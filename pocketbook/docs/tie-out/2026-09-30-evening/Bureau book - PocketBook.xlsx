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ontrol" sheetId="2" state="visible" r:id="rId2"/>
    <sheet name="Columns" sheetId="3" state="visible" r:id="rId3"/>
    <sheet name="Look" sheetId="4" state="visible" r:id="rId4"/>
    <sheet name="Pockets" sheetId="5" state="visible" r:id="rId5"/>
    <sheet name="Paid, cost, kept" sheetId="6" state="visible" r:id="rId6"/>
    <sheet name="Grids" sheetId="7" state="visible" r:id="rId7"/>
    <sheet name="Split" sheetId="8" state="visible" r:id="rId8"/>
    <sheet name="Record" sheetId="9" state="visible" r:id="rId9"/>
    <sheet name="_options" sheetId="10" state="hidden" r:id="rId10"/>
    <sheet name="_meanings" sheetId="11" state="hidden" r:id="rId11"/>
    <sheet name="_about" sheetId="12" state="hidden" r:id="rId12"/>
    <sheet name="_log" sheetId="13" state="hidden" r:id="rId13"/>
    <sheet name="_choices" sheetId="14" state="hidden" r:id="rId14"/>
    <sheet name="_views" sheetId="15" state="hidden" r:id="rId15"/>
    <sheet name="_live" sheetId="16" state="hidden" r:id="rId16"/>
    <sheet name="_pockets" sheetId="17" state="hidden" r:id="rId17"/>
    <sheet name="_list" sheetId="18" state="hidden" r:id="rId18"/>
    <sheet name="_chart" sheetId="19" state="hidden" r:id="rId19"/>
    <sheet name="_used" sheetId="20" state="hidden" r:id="rId20"/>
    <sheet name="_found" sheetId="21" state="hidden" r:id="rId21"/>
    <sheet name="_look" sheetId="22" state="hidden" r:id="rId22"/>
    <sheet name="_dots" sheetId="23" state="hidden" r:id="rId23"/>
  </sheets>
  <definedNames>
    <definedName name="answers_needed">Control!$J$15:$J$30</definedName>
    <definedName name="Status">Control!$H$24:$H$44</definedName>
    <definedName name="waiting_words">Control!$K$24:$K$44</definedName>
    <definedName name="worse_at">'_live'!$C$5</definedName>
    <definedName name="better_at">'_live'!$C$6</definedName>
    <definedName name="confidence">'_live'!$C$7</definedName>
    <definedName name="significance_bar">'_live'!$C$8</definedName>
    <definedName name="judged_band">'_live'!$C$9</definedName>
    <definedName name="materiality_kind">'_live'!$C$10</definedName>
    <definedName name="materiality_share">'_live'!$C$11</definedName>
    <definedName name="materiality_gco">'_live'!$C$12</definedName>
    <definedName name="profit_kind">'_live'!$C$13</definedName>
    <definedName name="profit_line">'_live'!$C$14</definedName>
    <definedName name="in_use_words">'_live'!$C$17</definedName>
    <definedName name="line_keys">'_live'!$G$20:$G$30</definedName>
    <definedName name="line_values">'_live'!$C$20:$C$30</definedName>
    <definedName name="book_gco">'_live'!$C$15</definedName>
    <definedName name="pk_kind">'_pockets'!$A$4:$A$1048576</definedName>
    <definedName name="pk_measure">'_pockets'!$E$4:$E$1048576</definedName>
    <definedName name="pk_dollars">'_pockets'!$Z$4:$Z$1048576</definedName>
    <definedName name="pk_flag">'_pockets'!$Y$4:$Y$1048576</definedName>
    <definedName name="pk_material">'_pockets'!$AA$4:$AA$1048576</definedName>
    <definedName name="pk_worse">'_pockets'!$AI$4:$AI$1048576</definedName>
    <definedName name="pk_mat">'_pockets'!$AJ$4:$AJ$1048576</definedName>
    <definedName name="pk_border">'_pockets'!$AM$4:$AM$1048576</definedName>
    <definedName name="pk_wborder">'_pockets'!$AN$4:$AN$1048576</definedName>
    <definedName name="pk_sel_measure">'Pockets'!$C$18</definedName>
    <definedName name="pk_sel_kind">'Pockets'!$D$18</definedName>
    <definedName name="pk_sel_show">'Pockets'!$E$18</definedName>
    <definedName name="_xlnm.Print_Area" localSheetId="1">'Control'!$B$1:$P$44</definedName>
    <definedName name="_xlnm.Print_Area" localSheetId="3">'Look'!$A$1:$Q$130</definedName>
    <definedName name="_xlnm.Print_Area" localSheetId="8">'Record'!$B$1:$G$79</definedName>
  </definedNames>
  <calcPr calcId="124519" fullCalcOnLoad="1"/>
</workbook>
</file>

<file path=xl/styles.xml><?xml version="1.0" encoding="utf-8"?>
<styleSheet xmlns="http://schemas.openxmlformats.org/spreadsheetml/2006/main">
  <numFmts count="7">
    <numFmt numFmtId="164" formatCode="&quot;$&quot;#,##0"/>
    <numFmt numFmtId="165" formatCode="yyyy-mm-dd"/>
    <numFmt numFmtId="166" formatCode="0.0%"/>
    <numFmt numFmtId="167" formatCode="+0.00;-0.00;0.00"/>
    <numFmt numFmtId="168" formatCode="0.00&quot;×&quot;"/>
    <numFmt numFmtId="169" formatCode="[&lt;0.0001]&quot;under 0.01%&quot;;[&lt;0.01]0.00%;0.0%"/>
    <numFmt numFmtId="170" formatCode="+0.00&quot; pts&quot;;-0.00&quot; pts&quot;;0.00&quot; pts&quot;"/>
  </numFmts>
  <fonts count="29">
    <font>
      <name val="Calibri"/>
      <family val="2"/>
      <color theme="1"/>
      <sz val="11"/>
      <scheme val="minor"/>
    </font>
    <font>
      <name val="Arial"/>
      <b val="1"/>
      <color rgb="00FFFFFF"/>
      <sz val="16"/>
    </font>
    <font>
      <name val="Arial"/>
      <color rgb="00B9B4AC"/>
      <sz val="10"/>
    </font>
    <font>
      <name val="Arial"/>
      <b val="1"/>
      <color rgb="0057534B"/>
      <sz val="9"/>
    </font>
    <font>
      <name val="Calibri"/>
      <b val="1"/>
      <color rgb="0016130F"/>
      <sz val="10"/>
    </font>
    <font>
      <name val="Calibri"/>
      <color rgb="0016130F"/>
      <sz val="10"/>
    </font>
    <font>
      <name val="Arial"/>
      <b val="1"/>
      <color rgb="00FFFFFF"/>
      <sz val="10"/>
    </font>
    <font>
      <name val="Consolas"/>
      <color rgb="0057534B"/>
      <sz val="8"/>
    </font>
    <font>
      <name val="Calibri"/>
      <i val="1"/>
      <color rgb="00B9B4AC"/>
      <sz val="10"/>
    </font>
    <font>
      <name val="Arial"/>
      <b val="1"/>
      <color rgb="0016130F"/>
      <sz val="10"/>
    </font>
    <font>
      <name val="Calibri"/>
      <i val="1"/>
      <color rgb="0057534B"/>
      <sz val="9"/>
    </font>
    <font>
      <name val="Calibri"/>
      <color rgb="0057534B"/>
      <sz val="10"/>
    </font>
    <font>
      <name val="Calibri"/>
      <color rgb="0057534B"/>
      <sz val="9"/>
    </font>
    <font>
      <name val="Calibri"/>
      <b val="1"/>
      <sz val="11"/>
    </font>
    <font>
      <name val="Arial"/>
      <b val="1"/>
      <color rgb="00FFFFFF"/>
      <sz val="9"/>
    </font>
    <font>
      <name val="Calibri"/>
      <b val="1"/>
      <sz val="10"/>
    </font>
    <font>
      <name val="Arial"/>
      <b val="1"/>
      <color rgb="00FFFFFF"/>
      <sz val="11"/>
    </font>
    <font>
      <name val="Arial"/>
      <b val="1"/>
      <color rgb="0016130F"/>
      <sz val="12"/>
    </font>
    <font>
      <name val="Calibri"/>
      <b val="1"/>
      <color rgb="00960019"/>
      <sz val="10"/>
    </font>
    <font>
      <name val="Arial"/>
      <b val="1"/>
      <sz val="10"/>
    </font>
    <font>
      <name val="Arial"/>
      <color rgb="00E4DFD5"/>
      <sz val="10"/>
    </font>
    <font>
      <name val="Arial"/>
      <b val="1"/>
      <sz val="14"/>
    </font>
    <font>
      <b val="1"/>
    </font>
    <font>
      <name val="Arial"/>
      <b val="1"/>
      <color rgb="0057534B"/>
      <sz val="8"/>
    </font>
    <font>
      <name val="Calibri"/>
      <color rgb="0057534B"/>
      <sz val="8"/>
    </font>
    <font>
      <name val="Calibri"/>
      <b val="1"/>
      <color rgb="00960019"/>
      <sz val="9"/>
    </font>
    <font>
      <name val="Arial"/>
      <b val="1"/>
      <color rgb="0016130F"/>
      <sz val="9"/>
    </font>
    <font>
      <name val="Arial"/>
      <color rgb="0016130F"/>
      <sz val="9"/>
    </font>
    <font>
      <name val="Calibri"/>
      <color rgb="00CC0000"/>
      <sz val="10"/>
      <u val="single"/>
    </font>
  </fonts>
  <fills count="10">
    <fill>
      <patternFill/>
    </fill>
    <fill>
      <patternFill patternType="gray125"/>
    </fill>
    <fill>
      <patternFill patternType="solid">
        <fgColor rgb="000A0908"/>
        <bgColor rgb="000A0908"/>
      </patternFill>
    </fill>
    <fill>
      <patternFill patternType="solid">
        <fgColor rgb="00F4F1EC"/>
        <bgColor rgb="00F4F1EC"/>
      </patternFill>
    </fill>
    <fill>
      <patternFill patternType="solid">
        <fgColor rgb="00FFFFFF"/>
        <bgColor rgb="00FFFFFF"/>
      </patternFill>
    </fill>
    <fill>
      <patternFill patternType="solid">
        <fgColor rgb="00F7DEDE"/>
        <bgColor rgb="00F7DEDE"/>
      </patternFill>
    </fill>
    <fill>
      <patternFill patternType="solid">
        <fgColor rgb="0057534B"/>
        <bgColor rgb="0057534B"/>
      </patternFill>
    </fill>
    <fill>
      <patternFill patternType="solid">
        <fgColor rgb="00E4DFD5"/>
        <bgColor rgb="00E4DFD5"/>
      </patternFill>
    </fill>
    <fill>
      <patternFill patternType="solid">
        <fgColor rgb="0016130F"/>
        <bgColor rgb="0016130F"/>
      </patternFill>
    </fill>
    <fill>
      <patternFill patternType="solid">
        <fgColor rgb="00E4DFD5"/>
      </patternFill>
    </fill>
  </fills>
  <borders count="28">
    <border>
      <left/>
      <right/>
      <top/>
      <bottom/>
      <diagonal/>
    </border>
    <border>
      <bottom style="thick">
        <color rgb="00CC0000"/>
      </bottom>
    </border>
    <border>
      <left style="thin">
        <color rgb="0016130F"/>
      </left>
      <right style="thin">
        <color rgb="0016130F"/>
      </right>
      <top style="thin">
        <color rgb="0016130F"/>
      </top>
      <bottom style="thin">
        <color rgb="0016130F"/>
      </bottom>
    </border>
    <border>
      <left style="dashed">
        <color rgb="0057534B"/>
      </left>
      <right style="dashed">
        <color rgb="0057534B"/>
      </right>
      <top style="dashed">
        <color rgb="0057534B"/>
      </top>
      <bottom style="dashed">
        <color rgb="0057534B"/>
      </bottom>
    </border>
    <border>
      <bottom style="medium">
        <color rgb="00CC0000"/>
      </bottom>
    </border>
    <border>
      <bottom style="medium">
        <color rgb="00B9B4AC"/>
      </bottom>
    </border>
    <border>
      <bottom style="thin">
        <color rgb="00EFEBE4"/>
      </bottom>
    </border>
    <border/>
    <border>
      <top style="thick">
        <color rgb="00CC0000"/>
      </top>
    </border>
    <border>
      <top style="thick">
        <color rgb="00B9B4AC"/>
      </top>
    </border>
    <border>
      <left/>
      <right/>
      <top style="thick">
        <color rgb="00B9B4AC"/>
      </top>
      <bottom/>
      <diagonal/>
    </border>
    <border>
      <top style="thick">
        <color rgb="000A0908"/>
      </top>
    </border>
    <border>
      <right/>
      <top style="thick">
        <color rgb="00B9B4AC"/>
      </top>
      <bottom/>
    </border>
    <border>
      <bottom style="thick">
        <color rgb="00B9B4AC"/>
      </bottom>
    </border>
    <border>
      <bottom style="thin">
        <color rgb="00E4DFD5"/>
      </bottom>
    </border>
    <border>
      <bottom style="medium">
        <color rgb="0016130F"/>
      </bottom>
    </border>
    <border>
      <left/>
      <right/>
      <top/>
      <bottom style="thin">
        <color rgb="00E4DFD5"/>
      </bottom>
      <diagonal/>
    </border>
    <border>
      <left/>
      <right/>
      <top/>
      <bottom style="thin">
        <color rgb="00EFEBE4"/>
      </bottom>
      <diagonal/>
    </border>
    <border>
      <left/>
      <right/>
      <top/>
      <bottom style="medium">
        <color rgb="0016130F"/>
      </bottom>
      <diagonal/>
    </border>
    <border>
      <right/>
      <bottom style="thin">
        <color rgb="00E4DFD5"/>
      </bottom>
    </border>
    <border>
      <right/>
      <bottom style="thin">
        <color rgb="00EFEBE4"/>
      </bottom>
    </border>
    <border>
      <right/>
      <bottom style="medium">
        <color rgb="0016130F"/>
      </bottom>
    </border>
    <border>
      <left/>
      <right/>
      <top style="thick">
        <color rgb="00CC0000"/>
      </top>
      <bottom/>
      <diagonal/>
    </border>
    <border>
      <left/>
      <right/>
      <top style="thin">
        <color rgb="0016130F"/>
      </top>
      <bottom/>
      <diagonal/>
    </border>
    <border>
      <left/>
      <right style="thin">
        <color rgb="0016130F"/>
      </right>
      <top style="thin">
        <color rgb="0016130F"/>
      </top>
      <bottom/>
      <diagonal/>
    </border>
    <border>
      <left/>
      <right style="thin">
        <color rgb="0016130F"/>
      </right>
      <top style="thin">
        <color rgb="0016130F"/>
      </top>
      <bottom style="thin">
        <color rgb="0016130F"/>
      </bottom>
      <diagonal/>
    </border>
    <border>
      <bottom style="medium">
        <color rgb="000A0908"/>
      </bottom>
    </border>
    <border>
      <left/>
      <right/>
      <top style="thin">
        <color rgb="0016130F"/>
      </top>
      <bottom style="thin">
        <color rgb="0016130F"/>
      </bottom>
      <diagonal/>
    </border>
  </borders>
  <cellStyleXfs count="1">
    <xf numFmtId="0" fontId="0" fillId="0" borderId="0"/>
  </cellStyleXfs>
  <cellXfs count="146">
    <xf numFmtId="0" fontId="0" fillId="0" borderId="0" pivotButton="0" quotePrefix="0" xfId="0"/>
    <xf numFmtId="0" fontId="1" fillId="2" borderId="1" applyAlignment="1" pivotButton="0" quotePrefix="0" xfId="0">
      <alignment vertical="center"/>
    </xf>
    <xf numFmtId="0" fontId="2" fillId="2" borderId="1" applyAlignment="1" pivotButton="0" quotePrefix="0" xfId="0">
      <alignment vertical="center"/>
    </xf>
    <xf numFmtId="0" fontId="0" fillId="2" borderId="1" pivotButton="0" quotePrefix="0" xfId="0"/>
    <xf numFmtId="0" fontId="3" fillId="3" borderId="0" pivotButton="0" quotePrefix="0" xfId="0"/>
    <xf numFmtId="0" fontId="0" fillId="3" borderId="0" pivotButton="0" quotePrefix="0" xfId="0"/>
    <xf numFmtId="0" fontId="4" fillId="3" borderId="0" applyAlignment="1" pivotButton="0" quotePrefix="0" xfId="0">
      <alignment vertical="top" wrapText="1"/>
    </xf>
    <xf numFmtId="0" fontId="5" fillId="3" borderId="0" applyAlignment="1" pivotButton="0" quotePrefix="0" xfId="0">
      <alignment vertical="top" wrapText="1"/>
    </xf>
    <xf numFmtId="0" fontId="3" fillId="0" borderId="0" pivotButton="0" quotePrefix="0" xfId="0"/>
    <xf numFmtId="0" fontId="12" fillId="3" borderId="9" applyAlignment="1" pivotButton="0" quotePrefix="0" xfId="0">
      <alignment vertical="top" indent="1"/>
    </xf>
    <xf numFmtId="0" fontId="0" fillId="0" borderId="10" pivotButton="0" quotePrefix="0" xfId="0"/>
    <xf numFmtId="0" fontId="17" fillId="3" borderId="7" applyAlignment="1" pivotButton="0" quotePrefix="0" xfId="0">
      <alignment horizontal="left" vertical="center" indent="1"/>
    </xf>
    <xf numFmtId="0" fontId="12" fillId="0" borderId="0" applyAlignment="1" pivotButton="0" quotePrefix="0" xfId="0">
      <alignment indent="1"/>
    </xf>
    <xf numFmtId="0" fontId="18" fillId="0" borderId="0" applyAlignment="1" pivotButton="0" quotePrefix="0" xfId="0">
      <alignment vertical="center" wrapText="1" indent="1"/>
    </xf>
    <xf numFmtId="0" fontId="11" fillId="0" borderId="0" pivotButton="0" quotePrefix="0" xfId="0"/>
    <xf numFmtId="0" fontId="19" fillId="0" borderId="8" pivotButton="0" quotePrefix="0" xfId="0"/>
    <xf numFmtId="0" fontId="0" fillId="0" borderId="8" pivotButton="0" quotePrefix="0" xfId="0"/>
    <xf numFmtId="0" fontId="19" fillId="0" borderId="11" pivotButton="0" quotePrefix="0" xfId="0"/>
    <xf numFmtId="0" fontId="0" fillId="0" borderId="11" pivotButton="0" quotePrefix="0" xfId="0"/>
    <xf numFmtId="0" fontId="19" fillId="0" borderId="9" pivotButton="0" quotePrefix="0" xfId="0"/>
    <xf numFmtId="0" fontId="0" fillId="0" borderId="9" pivotButton="0" quotePrefix="0" xfId="0"/>
    <xf numFmtId="0" fontId="5" fillId="0" borderId="0" pivotButton="0" quotePrefix="0" xfId="0"/>
    <xf numFmtId="0" fontId="4" fillId="3" borderId="2" applyAlignment="1" pivotButton="0" quotePrefix="0" xfId="0">
      <alignment horizontal="center" vertical="center"/>
    </xf>
    <xf numFmtId="0" fontId="4" fillId="4" borderId="3" applyAlignment="1" pivotButton="0" quotePrefix="0" xfId="0">
      <alignment horizontal="center" vertical="center"/>
    </xf>
    <xf numFmtId="0" fontId="4" fillId="5" borderId="0" applyAlignment="1" pivotButton="0" quotePrefix="0" xfId="0">
      <alignment horizontal="center" vertical="center"/>
    </xf>
    <xf numFmtId="0" fontId="6" fillId="2" borderId="4" applyAlignment="1" pivotButton="0" quotePrefix="0" xfId="0">
      <alignment vertical="center"/>
    </xf>
    <xf numFmtId="0" fontId="0" fillId="2" borderId="4" pivotButton="0" quotePrefix="0" xfId="0"/>
    <xf numFmtId="0" fontId="9" fillId="3" borderId="8" pivotButton="0" quotePrefix="0" xfId="0"/>
    <xf numFmtId="0" fontId="0" fillId="3" borderId="8" pivotButton="0" quotePrefix="0" xfId="0"/>
    <xf numFmtId="0" fontId="3" fillId="3" borderId="0" applyAlignment="1" pivotButton="0" quotePrefix="0" xfId="0">
      <alignment horizontal="left" vertical="center"/>
    </xf>
    <xf numFmtId="0" fontId="3" fillId="3" borderId="0" applyAlignment="1" pivotButton="0" quotePrefix="0" xfId="0">
      <alignment horizontal="center" vertical="center"/>
    </xf>
    <xf numFmtId="0" fontId="5" fillId="0" borderId="6" applyAlignment="1" pivotButton="0" quotePrefix="0" xfId="0">
      <alignment horizontal="left" vertical="center"/>
    </xf>
    <xf numFmtId="0" fontId="4" fillId="3" borderId="2" applyAlignment="1" pivotButton="0" quotePrefix="0" xfId="0">
      <alignment horizontal="left" vertical="center" indent="1"/>
    </xf>
    <xf numFmtId="0" fontId="4" fillId="0" borderId="6" applyAlignment="1" pivotButton="0" quotePrefix="0" xfId="0">
      <alignment horizontal="center" vertical="center"/>
    </xf>
    <xf numFmtId="0" fontId="0" fillId="0" borderId="6" applyAlignment="1" pivotButton="0" quotePrefix="0" xfId="0">
      <alignment horizontal="center" vertical="center"/>
    </xf>
    <xf numFmtId="0" fontId="7" fillId="0" borderId="0" pivotButton="0" quotePrefix="0" xfId="0"/>
    <xf numFmtId="0" fontId="4" fillId="0" borderId="6" applyAlignment="1" pivotButton="0" quotePrefix="0" xfId="0">
      <alignment horizontal="left" vertical="center"/>
    </xf>
    <xf numFmtId="164" fontId="5" fillId="0" borderId="6" applyAlignment="1" pivotButton="0" quotePrefix="0" xfId="0">
      <alignment horizontal="center" vertical="center"/>
    </xf>
    <xf numFmtId="0" fontId="5" fillId="0" borderId="6" applyAlignment="1" pivotButton="0" quotePrefix="0" xfId="0">
      <alignment horizontal="center" vertical="center"/>
    </xf>
    <xf numFmtId="9" fontId="5" fillId="0" borderId="6" applyAlignment="1" pivotButton="0" quotePrefix="0" xfId="0">
      <alignment horizontal="center" vertical="center"/>
    </xf>
    <xf numFmtId="0" fontId="8" fillId="0" borderId="0" applyAlignment="1" pivotButton="0" quotePrefix="0" xfId="0">
      <alignment horizontal="center" vertical="center"/>
    </xf>
    <xf numFmtId="0" fontId="12" fillId="0" borderId="0" pivotButton="0" quotePrefix="0" xfId="0"/>
    <xf numFmtId="0" fontId="6" fillId="6" borderId="5" applyAlignment="1" pivotButton="0" quotePrefix="0" xfId="0">
      <alignment vertical="center"/>
    </xf>
    <xf numFmtId="0" fontId="0" fillId="6" borderId="5" pivotButton="0" quotePrefix="0" xfId="0"/>
    <xf numFmtId="0" fontId="4" fillId="4" borderId="3" applyAlignment="1" pivotButton="0" quotePrefix="0" xfId="0">
      <alignment horizontal="left" vertical="center" indent="1"/>
    </xf>
    <xf numFmtId="165" fontId="4" fillId="4" borderId="3" applyAlignment="1" pivotButton="0" quotePrefix="0" xfId="0">
      <alignment horizontal="center" vertical="center"/>
    </xf>
    <xf numFmtId="0" fontId="9" fillId="7" borderId="7" applyAlignment="1" pivotButton="0" quotePrefix="0" xfId="0">
      <alignment vertical="center"/>
    </xf>
    <xf numFmtId="0" fontId="0" fillId="7" borderId="7" pivotButton="0" quotePrefix="0" xfId="0"/>
    <xf numFmtId="0" fontId="10" fillId="7" borderId="7" pivotButton="0" quotePrefix="0" xfId="0"/>
    <xf numFmtId="0" fontId="11" fillId="0" borderId="6" applyAlignment="1" pivotButton="0" quotePrefix="0" xfId="0">
      <alignment vertical="center"/>
    </xf>
    <xf numFmtId="0" fontId="4" fillId="0" borderId="6" applyAlignment="1" pivotButton="0" quotePrefix="0" xfId="0">
      <alignment vertical="center"/>
    </xf>
    <xf numFmtId="0" fontId="5" fillId="0" borderId="6" applyAlignment="1" pivotButton="0" quotePrefix="0" xfId="0">
      <alignment vertical="center"/>
    </xf>
    <xf numFmtId="0" fontId="13" fillId="0" borderId="0" pivotButton="0" quotePrefix="0" xfId="0"/>
    <xf numFmtId="0" fontId="4" fillId="4" borderId="3" applyAlignment="1" pivotButton="0" quotePrefix="0" xfId="0">
      <alignment horizontal="center"/>
    </xf>
    <xf numFmtId="0" fontId="11" fillId="0" borderId="0" applyAlignment="1" pivotButton="0" quotePrefix="0" xfId="0">
      <alignment vertical="center"/>
    </xf>
    <xf numFmtId="0" fontId="14" fillId="2" borderId="0" applyAlignment="1" pivotButton="0" quotePrefix="0" xfId="0">
      <alignment horizontal="left" vertical="center"/>
    </xf>
    <xf numFmtId="0" fontId="14" fillId="2" borderId="0" applyAlignment="1" pivotButton="0" quotePrefix="0" xfId="0">
      <alignment horizontal="center" vertical="center"/>
    </xf>
    <xf numFmtId="0" fontId="15" fillId="0" borderId="6" applyAlignment="1" pivotButton="0" quotePrefix="0" xfId="0">
      <alignment horizontal="left" vertical="center"/>
    </xf>
    <xf numFmtId="0" fontId="11" fillId="0" borderId="6" applyAlignment="1" pivotButton="0" quotePrefix="0" xfId="0">
      <alignment horizontal="left" vertical="center"/>
    </xf>
    <xf numFmtId="49" fontId="5" fillId="0" borderId="6" applyAlignment="1" pivotButton="0" quotePrefix="0" xfId="0">
      <alignment horizontal="center" vertical="center"/>
    </xf>
    <xf numFmtId="49" fontId="4" fillId="4" borderId="3" applyAlignment="1" pivotButton="0" quotePrefix="0" xfId="0">
      <alignment horizontal="center" vertical="center"/>
    </xf>
    <xf numFmtId="0" fontId="4" fillId="4" borderId="3" applyAlignment="1" pivotButton="0" quotePrefix="0" xfId="0">
      <alignment vertical="center"/>
    </xf>
    <xf numFmtId="0" fontId="11" fillId="0" borderId="6" pivotButton="0" quotePrefix="0" xfId="0"/>
    <xf numFmtId="0" fontId="0" fillId="0" borderId="6" pivotButton="0" quotePrefix="0" xfId="0"/>
    <xf numFmtId="0" fontId="16" fillId="2" borderId="0" pivotButton="0" quotePrefix="0" xfId="0"/>
    <xf numFmtId="0" fontId="0" fillId="2" borderId="0" pivotButton="0" quotePrefix="0" xfId="0"/>
    <xf numFmtId="3" fontId="5" fillId="0" borderId="0" applyAlignment="1" pivotButton="0" quotePrefix="0" xfId="0">
      <alignment horizontal="center"/>
    </xf>
    <xf numFmtId="166" fontId="11" fillId="0" borderId="0" applyAlignment="1" pivotButton="0" quotePrefix="0" xfId="0">
      <alignment horizontal="center"/>
    </xf>
    <xf numFmtId="1" fontId="4" fillId="3" borderId="2" applyAlignment="1" pivotButton="0" quotePrefix="0" xfId="0">
      <alignment horizontal="center"/>
    </xf>
    <xf numFmtId="3" fontId="4" fillId="3" borderId="2" applyAlignment="1" pivotButton="0" quotePrefix="0" xfId="0">
      <alignment horizontal="center"/>
    </xf>
    <xf numFmtId="0" fontId="10" fillId="0" borderId="0" pivotButton="0" quotePrefix="0" xfId="0"/>
    <xf numFmtId="167" fontId="5" fillId="0" borderId="0" applyAlignment="1" pivotButton="0" quotePrefix="0" xfId="0">
      <alignment horizontal="center"/>
    </xf>
    <xf numFmtId="0" fontId="12" fillId="3" borderId="12" applyAlignment="1" pivotButton="0" quotePrefix="0" xfId="0">
      <alignment vertical="top" indent="1"/>
    </xf>
    <xf numFmtId="164" fontId="5" fillId="0" borderId="6" applyAlignment="1" pivotButton="0" quotePrefix="0" xfId="0">
      <alignment horizontal="center" vertical="center"/>
    </xf>
    <xf numFmtId="165" fontId="4" fillId="4" borderId="3" applyAlignment="1" pivotButton="0" quotePrefix="0" xfId="0">
      <alignment horizontal="center" vertical="center"/>
    </xf>
    <xf numFmtId="0" fontId="1" fillId="6" borderId="13" applyAlignment="1" pivotButton="0" quotePrefix="0" xfId="0">
      <alignment vertical="center"/>
    </xf>
    <xf numFmtId="0" fontId="20" fillId="6" borderId="13" applyAlignment="1" pivotButton="0" quotePrefix="0" xfId="0">
      <alignment vertical="center"/>
    </xf>
    <xf numFmtId="0" fontId="0" fillId="6" borderId="13" pivotButton="0" quotePrefix="0" xfId="0"/>
    <xf numFmtId="0" fontId="6" fillId="8" borderId="0" applyAlignment="1" pivotButton="0" quotePrefix="0" xfId="0">
      <alignment vertical="center" indent="1"/>
    </xf>
    <xf numFmtId="0" fontId="0" fillId="8" borderId="0" pivotButton="0" quotePrefix="0" xfId="0"/>
    <xf numFmtId="0" fontId="3" fillId="3" borderId="14" applyAlignment="1" pivotButton="0" quotePrefix="0" xfId="0">
      <alignment horizontal="left" vertical="center" indent="1"/>
    </xf>
    <xf numFmtId="0" fontId="3" fillId="3" borderId="14" applyAlignment="1" pivotButton="0" quotePrefix="0" xfId="0">
      <alignment horizontal="center" vertical="center" indent="1"/>
    </xf>
    <xf numFmtId="0" fontId="11" fillId="0" borderId="15" applyAlignment="1" pivotButton="0" quotePrefix="0" xfId="0">
      <alignment horizontal="left" vertical="center" wrapText="1" indent="1"/>
    </xf>
    <xf numFmtId="0" fontId="5" fillId="0" borderId="15" applyAlignment="1" pivotButton="0" quotePrefix="0" xfId="0">
      <alignment horizontal="left" vertical="center" wrapText="1" indent="1"/>
    </xf>
    <xf numFmtId="0" fontId="4" fillId="0" borderId="15" applyAlignment="1" pivotButton="0" quotePrefix="0" xfId="0">
      <alignment horizontal="center" vertical="center" wrapText="1" indent="1"/>
    </xf>
    <xf numFmtId="0" fontId="5" fillId="0" borderId="15" applyAlignment="1" pivotButton="0" quotePrefix="0" xfId="0">
      <alignment horizontal="center" vertical="center" wrapText="1" indent="1"/>
    </xf>
    <xf numFmtId="0" fontId="0" fillId="0" borderId="16" pivotButton="0" quotePrefix="0" xfId="0"/>
    <xf numFmtId="0" fontId="0" fillId="0" borderId="15" pivotButton="0" quotePrefix="0" xfId="0"/>
    <xf numFmtId="0" fontId="11" fillId="0" borderId="6" applyAlignment="1" pivotButton="0" quotePrefix="0" xfId="0">
      <alignment horizontal="left" vertical="center" wrapText="1" indent="1"/>
    </xf>
    <xf numFmtId="0" fontId="5" fillId="0" borderId="6" applyAlignment="1" pivotButton="0" quotePrefix="0" xfId="0">
      <alignment horizontal="left" vertical="center" wrapText="1" indent="1"/>
    </xf>
    <xf numFmtId="0" fontId="18" fillId="0" borderId="6" applyAlignment="1" pivotButton="0" quotePrefix="0" xfId="0">
      <alignment horizontal="left" vertical="center" wrapText="1" indent="1"/>
    </xf>
    <xf numFmtId="0" fontId="3" fillId="3" borderId="19" applyAlignment="1" pivotButton="0" quotePrefix="0" xfId="0">
      <alignment horizontal="left" vertical="center" indent="1"/>
    </xf>
    <xf numFmtId="0" fontId="0" fillId="0" borderId="18" pivotButton="0" quotePrefix="0" xfId="0"/>
    <xf numFmtId="0" fontId="0" fillId="0" borderId="17" pivotButton="0" quotePrefix="0" xfId="0"/>
    <xf numFmtId="0" fontId="5" fillId="0" borderId="21" applyAlignment="1" pivotButton="0" quotePrefix="0" xfId="0">
      <alignment horizontal="left" vertical="center" wrapText="1" indent="1"/>
    </xf>
    <xf numFmtId="0" fontId="18" fillId="0" borderId="20" applyAlignment="1" pivotButton="0" quotePrefix="0" xfId="0">
      <alignment horizontal="left" vertical="center" wrapText="1" indent="1"/>
    </xf>
    <xf numFmtId="0" fontId="5" fillId="0" borderId="20" applyAlignment="1" pivotButton="0" quotePrefix="0" xfId="0">
      <alignment horizontal="left" vertical="center" wrapText="1" indent="1"/>
    </xf>
    <xf numFmtId="0" fontId="12" fillId="3" borderId="8" applyAlignment="1" pivotButton="0" quotePrefix="0" xfId="0">
      <alignment vertical="top" indent="1"/>
    </xf>
    <xf numFmtId="0" fontId="0" fillId="0" borderId="22" pivotButton="0" quotePrefix="0" xfId="0"/>
    <xf numFmtId="164" fontId="17" fillId="3" borderId="7" applyAlignment="1" pivotButton="0" quotePrefix="0" xfId="0">
      <alignment horizontal="left" vertical="center" indent="1"/>
    </xf>
    <xf numFmtId="3" fontId="5" fillId="0" borderId="6" applyAlignment="1" pivotButton="0" quotePrefix="0" xfId="0">
      <alignment horizontal="center" vertical="center"/>
    </xf>
    <xf numFmtId="168" fontId="5" fillId="0" borderId="6" applyAlignment="1" pivotButton="0" quotePrefix="0" xfId="0">
      <alignment horizontal="center" vertical="center"/>
    </xf>
    <xf numFmtId="0" fontId="28" fillId="0" borderId="0" pivotButton="0" quotePrefix="0" xfId="0"/>
    <xf numFmtId="0" fontId="11" fillId="0" borderId="6" applyAlignment="1" pivotButton="0" quotePrefix="0" xfId="0">
      <alignment horizontal="center" vertical="center"/>
    </xf>
    <xf numFmtId="0" fontId="23" fillId="0" borderId="0" applyAlignment="1" pivotButton="0" quotePrefix="0" xfId="0">
      <alignment horizontal="left" vertical="center"/>
    </xf>
    <xf numFmtId="0" fontId="12" fillId="0" borderId="0" applyAlignment="1" pivotButton="0" quotePrefix="0" xfId="0">
      <alignment horizontal="left" vertical="center" indent="1"/>
    </xf>
    <xf numFmtId="0" fontId="24" fillId="0" borderId="0" applyAlignment="1" pivotButton="0" quotePrefix="0" xfId="0">
      <alignment horizontal="left" vertical="center"/>
    </xf>
    <xf numFmtId="168" fontId="17" fillId="3" borderId="7" applyAlignment="1" pivotButton="0" quotePrefix="0" xfId="0">
      <alignment horizontal="left" vertical="center" indent="1"/>
    </xf>
    <xf numFmtId="9" fontId="17" fillId="3" borderId="7" applyAlignment="1" pivotButton="0" quotePrefix="0" xfId="0">
      <alignment horizontal="left" vertical="center" indent="1"/>
    </xf>
    <xf numFmtId="0" fontId="25" fillId="0" borderId="0" applyAlignment="1" pivotButton="0" quotePrefix="0" xfId="0">
      <alignment horizontal="left" vertical="center" indent="1"/>
    </xf>
    <xf numFmtId="0" fontId="3" fillId="0" borderId="0" applyAlignment="1" pivotButton="0" quotePrefix="0" xfId="0">
      <alignment horizontal="left" vertical="center"/>
    </xf>
    <xf numFmtId="0" fontId="11" fillId="0" borderId="0" applyAlignment="1" pivotButton="0" quotePrefix="0" xfId="0">
      <alignment horizontal="left" vertical="center" indent="1"/>
    </xf>
    <xf numFmtId="0" fontId="12" fillId="0" borderId="0" applyAlignment="1" pivotButton="0" quotePrefix="0" xfId="0">
      <alignment horizontal="center" vertical="center"/>
    </xf>
    <xf numFmtId="0" fontId="5" fillId="0" borderId="0" applyAlignment="1" pivotButton="0" quotePrefix="0" xfId="0">
      <alignment horizontal="left" vertical="center" indent="1"/>
    </xf>
    <xf numFmtId="3" fontId="5" fillId="0" borderId="0" applyAlignment="1" pivotButton="0" quotePrefix="0" xfId="0">
      <alignment horizontal="center" vertical="center"/>
    </xf>
    <xf numFmtId="10" fontId="5" fillId="0" borderId="0" applyAlignment="1" pivotButton="0" quotePrefix="0" xfId="0">
      <alignment horizontal="center" vertical="center"/>
    </xf>
    <xf numFmtId="168" fontId="5" fillId="0" borderId="0" applyAlignment="1" pivotButton="0" quotePrefix="0" xfId="0">
      <alignment horizontal="center" vertical="center"/>
    </xf>
    <xf numFmtId="0" fontId="5" fillId="0" borderId="0" applyAlignment="1" pivotButton="0" quotePrefix="0" xfId="0">
      <alignment horizontal="center" vertical="center"/>
    </xf>
    <xf numFmtId="169" fontId="5" fillId="0" borderId="0" applyAlignment="1" pivotButton="0" quotePrefix="0" xfId="0">
      <alignment horizontal="center" vertical="center"/>
    </xf>
    <xf numFmtId="0" fontId="0" fillId="0" borderId="25" pivotButton="0" quotePrefix="0" xfId="0"/>
    <xf numFmtId="0" fontId="27" fillId="0" borderId="0" applyAlignment="1" pivotButton="0" quotePrefix="0" xfId="0">
      <alignment horizontal="left" vertical="center"/>
    </xf>
    <xf numFmtId="0" fontId="26" fillId="0" borderId="26" applyAlignment="1" pivotButton="0" quotePrefix="0" xfId="0">
      <alignment horizontal="center" vertical="center"/>
    </xf>
    <xf numFmtId="0" fontId="0" fillId="0" borderId="26" pivotButton="0" quotePrefix="0" xfId="0"/>
    <xf numFmtId="170" fontId="5" fillId="0" borderId="0" applyAlignment="1" pivotButton="0" quotePrefix="0" xfId="0">
      <alignment horizontal="center" vertical="center"/>
    </xf>
    <xf numFmtId="0" fontId="4" fillId="0" borderId="0" applyAlignment="1" pivotButton="0" quotePrefix="0" xfId="0">
      <alignment horizontal="left" vertical="center" indent="1"/>
    </xf>
    <xf numFmtId="0" fontId="26" fillId="0" borderId="0" applyAlignment="1" pivotButton="0" quotePrefix="0" xfId="0">
      <alignment horizontal="left" vertical="center"/>
    </xf>
    <xf numFmtId="0" fontId="0" fillId="0" borderId="27" pivotButton="0" quotePrefix="0" xfId="0"/>
    <xf numFmtId="0" fontId="12" fillId="0" borderId="0" applyAlignment="1" pivotButton="0" quotePrefix="0" xfId="0">
      <alignment horizontal="left" vertical="center"/>
    </xf>
    <xf numFmtId="0" fontId="6" fillId="2" borderId="4" applyAlignment="1" pivotButton="0" quotePrefix="0" xfId="0">
      <alignment horizontal="left" vertical="center" indent="1"/>
    </xf>
    <xf numFmtId="0" fontId="3" fillId="3" borderId="0" applyAlignment="1" pivotButton="0" quotePrefix="0" xfId="0">
      <alignment horizontal="center" vertical="center" wrapText="1"/>
    </xf>
    <xf numFmtId="0" fontId="3" fillId="3" borderId="0" applyAlignment="1" pivotButton="0" quotePrefix="0" xfId="0">
      <alignment horizontal="left" vertical="center" indent="1"/>
    </xf>
    <xf numFmtId="0" fontId="9" fillId="0" borderId="0" applyAlignment="1" pivotButton="0" quotePrefix="0" xfId="0">
      <alignment horizontal="left" vertical="center" indent="1"/>
    </xf>
    <xf numFmtId="0" fontId="3" fillId="0" borderId="0" applyAlignment="1" pivotButton="0" quotePrefix="0" xfId="0">
      <alignment horizontal="left" vertical="center" indent="1"/>
    </xf>
    <xf numFmtId="0" fontId="9" fillId="0" borderId="0" applyAlignment="1" pivotButton="0" quotePrefix="0" xfId="0">
      <alignment horizontal="left" vertical="center"/>
    </xf>
    <xf numFmtId="0" fontId="14" fillId="2" borderId="0" applyAlignment="1" pivotButton="0" quotePrefix="0" xfId="0">
      <alignment horizontal="left" vertical="center" wrapText="1"/>
    </xf>
    <xf numFmtId="0" fontId="14" fillId="2" borderId="0" applyAlignment="1" pivotButton="0" quotePrefix="0" xfId="0">
      <alignment horizontal="center" vertical="center" wrapText="1"/>
    </xf>
    <xf numFmtId="0" fontId="26" fillId="0" borderId="0" applyAlignment="1" pivotButton="0" quotePrefix="0" xfId="0">
      <alignment horizontal="center" vertical="center"/>
    </xf>
    <xf numFmtId="0" fontId="5" fillId="0" borderId="6" applyAlignment="1" pivotButton="0" quotePrefix="0" xfId="0">
      <alignment horizontal="left" vertical="center" indent="1"/>
    </xf>
    <xf numFmtId="169" fontId="5" fillId="0" borderId="6" applyAlignment="1" pivotButton="0" quotePrefix="0" xfId="0">
      <alignment horizontal="center" vertical="center"/>
    </xf>
    <xf numFmtId="0" fontId="4" fillId="0" borderId="6" applyAlignment="1" pivotButton="0" quotePrefix="0" xfId="0">
      <alignment horizontal="center" vertical="center" wrapText="1" indent="1"/>
    </xf>
    <xf numFmtId="0" fontId="5" fillId="0" borderId="6" applyAlignment="1" pivotButton="0" quotePrefix="0" xfId="0">
      <alignment horizontal="center" vertical="center" wrapText="1" indent="1"/>
    </xf>
    <xf numFmtId="0" fontId="21" fillId="0" borderId="0" pivotButton="0" quotePrefix="0" xfId="0"/>
    <xf numFmtId="0" fontId="0" fillId="0" borderId="0" applyAlignment="1" pivotButton="0" quotePrefix="0" xfId="0">
      <alignment vertical="top" wrapText="1"/>
    </xf>
    <xf numFmtId="0" fontId="22" fillId="0" borderId="0" pivotButton="0" quotePrefix="0" xfId="0"/>
    <xf numFmtId="0" fontId="22" fillId="0" borderId="0" applyAlignment="1" pivotButton="0" quotePrefix="0" xfId="0">
      <alignment vertical="top" wrapText="1"/>
    </xf>
    <xf numFmtId="0" fontId="22" fillId="9" borderId="0" applyAlignment="1" pivotButton="0" quotePrefix="0" xfId="0">
      <alignment vertical="top" wrapText="1"/>
    </xf>
  </cellXfs>
  <cellStyles count="1">
    <cellStyle name="Normal" xfId="0" builtinId="0" hidden="0"/>
  </cellStyles>
  <dxfs count="53">
    <dxf>
      <font>
        <name val="Arial"/>
        <b val="1"/>
        <color rgb="00960019"/>
        <sz val="12"/>
      </font>
    </dxf>
    <dxf>
      <border>
        <top style="thick">
          <color rgb="00CC0000"/>
        </top>
      </border>
    </dxf>
    <dxf>
      <fill>
        <patternFill patternType="solid">
          <fgColor rgb="00F7DEDE"/>
          <bgColor rgb="00F7DEDE"/>
        </patternFill>
      </fill>
    </dxf>
    <dxf>
      <font>
        <b val="1"/>
        <color rgb="00960019"/>
      </font>
      <fill>
        <patternFill patternType="solid">
          <fgColor rgb="00F7DEDE"/>
          <bgColor rgb="00F7DEDE"/>
        </patternFill>
      </fill>
    </dxf>
    <dxf>
      <font>
        <b val="1"/>
      </font>
      <fill>
        <patternFill patternType="solid">
          <fgColor rgb="00F4F1EC"/>
          <bgColor rgb="00F4F1EC"/>
        </patternFill>
      </fill>
    </dxf>
    <dxf>
      <font>
        <color rgb="0057534B"/>
      </font>
      <border>
        <bottom style="thin">
          <color rgb="00EFEBE4"/>
        </bottom>
      </border>
    </dxf>
    <dxf>
      <border>
        <bottom style="thin">
          <color rgb="00EFEBE4"/>
        </bottom>
      </border>
    </dxf>
    <dxf>
      <font>
        <color rgb="0057534B"/>
      </font>
      <numFmt numFmtId="489" formatCode="+0.00&quot; pts&quot;;-0.00&quot; pts&quot;;0.00&quot; pts&quot;"/>
      <border>
        <bottom style="thin">
          <color rgb="00EFEBE4"/>
        </bottom>
      </border>
    </dxf>
    <dxf>
      <numFmt numFmtId="489" formatCode="+0.00&quot; pts&quot;;-0.00&quot; pts&quot;;0.00&quot; pts&quot;"/>
      <border>
        <bottom style="thin">
          <color rgb="00EFEBE4"/>
        </bottom>
      </border>
    </dxf>
    <dxf>
      <font>
        <color rgb="0057534B"/>
      </font>
      <numFmt numFmtId="474" formatCode="#,##0.0"/>
      <border>
        <bottom style="thin">
          <color rgb="00EFEBE4"/>
        </bottom>
      </border>
    </dxf>
    <dxf>
      <numFmt numFmtId="474" formatCode="#,##0.0"/>
      <border>
        <bottom style="thin">
          <color rgb="00EFEBE4"/>
        </bottom>
      </border>
    </dxf>
    <dxf>
      <font>
        <b val="1"/>
        <color rgb="00960019"/>
      </font>
      <fill>
        <patternFill patternType="solid">
          <fgColor rgb="00F7DEDE"/>
          <bgColor rgb="00F7DEDE"/>
        </patternFill>
      </fill>
      <border>
        <bottom style="thin">
          <color rgb="00EFEBE4"/>
        </bottom>
      </border>
    </dxf>
    <dxf>
      <fill>
        <patternFill patternType="solid">
          <fgColor rgb="00F4F1EC"/>
          <bgColor rgb="00F4F1EC"/>
        </patternFill>
      </fill>
      <border>
        <bottom style="thin">
          <color rgb="00EFEBE4"/>
        </bottom>
      </border>
    </dxf>
    <dxf>
      <font>
        <b val="1"/>
      </font>
      <fill>
        <patternFill patternType="solid">
          <fgColor rgb="00E4DFD5"/>
          <bgColor rgb="00E4DFD5"/>
        </patternFill>
      </fill>
      <border>
        <bottom style="thin">
          <color rgb="00EFEBE4"/>
        </bottom>
      </border>
    </dxf>
    <dxf>
      <font>
        <b val="1"/>
        <color rgb="00960019"/>
      </font>
      <border>
        <bottom style="thin">
          <color rgb="00EFEBE4"/>
        </bottom>
      </border>
    </dxf>
    <dxf>
      <fill>
        <patternFill patternType="solid">
          <fgColor rgb="00F7DEDE"/>
          <bgColor rgb="00F7DEDE"/>
        </patternFill>
      </fill>
      <border>
        <bottom style="thin">
          <color rgb="00EFEBE4"/>
        </bottom>
      </border>
    </dxf>
    <dxf>
      <fill>
        <patternFill patternType="solid">
          <fgColor rgb="00EAF6EE"/>
          <bgColor rgb="00EAF6EE"/>
        </patternFill>
      </fill>
      <border>
        <bottom style="thin">
          <color rgb="00EFEBE4"/>
        </bottom>
      </border>
    </dxf>
    <dxf>
      <font>
        <b val="1"/>
        <color rgb="001E7A47"/>
      </font>
      <border>
        <bottom style="thin">
          <color rgb="00EFEBE4"/>
        </bottom>
      </border>
    </dxf>
    <dxf>
      <numFmt numFmtId="408" formatCode="#,##0.00"/>
      <border>
        <bottom style="thin">
          <color rgb="00EFEBE4"/>
        </bottom>
      </border>
    </dxf>
    <dxf>
      <numFmt numFmtId="410" formatCode="&quot;$&quot;#,##0"/>
      <border>
        <bottom style="thin">
          <color rgb="00EFEBE4"/>
        </bottom>
      </border>
    </dxf>
    <dxf>
      <font>
        <color rgb="009A958C"/>
      </font>
      <numFmt numFmtId="489" formatCode="+0.00&quot; pts&quot;;-0.00&quot; pts&quot;;0.00&quot; pts&quot;"/>
      <border>
        <bottom style="thin">
          <color rgb="00EFEBE4"/>
        </bottom>
      </border>
    </dxf>
    <dxf>
      <font>
        <color rgb="009A958C"/>
      </font>
      <border>
        <bottom style="thin">
          <color rgb="00EFEBE4"/>
        </bottom>
      </border>
    </dxf>
    <dxf>
      <fill>
        <patternFill patternType="solid">
          <fgColor rgb="00B9B4AC"/>
          <bgColor rgb="00B9B4AC"/>
        </patternFill>
      </fill>
      <border>
        <bottom style="thin">
          <color rgb="00EFEBE4"/>
        </bottom>
      </border>
    </dxf>
    <dxf>
      <fill>
        <patternFill patternType="solid">
          <fgColor rgb="00CFCAC2"/>
          <bgColor rgb="00CFCAC2"/>
        </patternFill>
      </fill>
      <border>
        <bottom style="thin">
          <color rgb="00EFEBE4"/>
        </bottom>
      </border>
    </dxf>
    <dxf>
      <fill>
        <patternFill patternType="solid">
          <fgColor rgb="00E4DFD5"/>
          <bgColor rgb="00E4DFD5"/>
        </patternFill>
      </fill>
      <border>
        <bottom style="thin">
          <color rgb="00EFEBE4"/>
        </bottom>
      </border>
    </dxf>
    <dxf>
      <fill>
        <patternFill patternType="solid">
          <fgColor rgb="00EFEBE4"/>
          <bgColor rgb="00EFEBE4"/>
        </patternFill>
      </fill>
      <border>
        <bottom style="thin">
          <color rgb="00EFEBE4"/>
        </bottom>
      </border>
    </dxf>
    <dxf>
      <numFmt numFmtId="489" formatCode="+0.00&quot; pts&quot;;-0.00&quot; pts&quot;;0.00&quot; pts&quot;"/>
      <fill>
        <patternFill patternType="solid">
          <fgColor rgb="00CF7777"/>
          <bgColor rgb="00CF7777"/>
        </patternFill>
      </fill>
      <border>
        <bottom style="thin">
          <color rgb="00EFEBE4"/>
        </bottom>
      </border>
    </dxf>
    <dxf>
      <fill>
        <patternFill patternType="solid">
          <fgColor rgb="00CF7777"/>
          <bgColor rgb="00CF7777"/>
        </patternFill>
      </fill>
      <border>
        <bottom style="thin">
          <color rgb="00EFEBE4"/>
        </bottom>
      </border>
    </dxf>
    <dxf>
      <numFmt numFmtId="489" formatCode="+0.00&quot; pts&quot;;-0.00&quot; pts&quot;;0.00&quot; pts&quot;"/>
      <fill>
        <patternFill patternType="solid">
          <fgColor rgb="00E0A6A6"/>
          <bgColor rgb="00E0A6A6"/>
        </patternFill>
      </fill>
      <border>
        <bottom style="thin">
          <color rgb="00EFEBE4"/>
        </bottom>
      </border>
    </dxf>
    <dxf>
      <fill>
        <patternFill patternType="solid">
          <fgColor rgb="00E0A6A6"/>
          <bgColor rgb="00E0A6A6"/>
        </patternFill>
      </fill>
      <border>
        <bottom style="thin">
          <color rgb="00EFEBE4"/>
        </bottom>
      </border>
    </dxf>
    <dxf>
      <numFmt numFmtId="489" formatCode="+0.00&quot; pts&quot;;-0.00&quot; pts&quot;;0.00&quot; pts&quot;"/>
      <fill>
        <patternFill patternType="solid">
          <fgColor rgb="00EACBC9"/>
          <bgColor rgb="00EACBC9"/>
        </patternFill>
      </fill>
      <border>
        <bottom style="thin">
          <color rgb="00EFEBE4"/>
        </bottom>
      </border>
    </dxf>
    <dxf>
      <fill>
        <patternFill patternType="solid">
          <fgColor rgb="00EACBC9"/>
          <bgColor rgb="00EACBC9"/>
        </patternFill>
      </fill>
      <border>
        <bottom style="thin">
          <color rgb="00EFEBE4"/>
        </bottom>
      </border>
    </dxf>
    <dxf>
      <numFmt numFmtId="489" formatCode="+0.00&quot; pts&quot;;-0.00&quot; pts&quot;;0.00&quot; pts&quot;"/>
      <fill>
        <patternFill patternType="solid">
          <fgColor rgb="00BBD3BD"/>
          <bgColor rgb="00BBD3BD"/>
        </patternFill>
      </fill>
      <border>
        <bottom style="thin">
          <color rgb="00EFEBE4"/>
        </bottom>
      </border>
    </dxf>
    <dxf>
      <fill>
        <patternFill patternType="solid">
          <fgColor rgb="00BBD3BD"/>
          <bgColor rgb="00BBD3BD"/>
        </patternFill>
      </fill>
      <border>
        <bottom style="thin">
          <color rgb="00EFEBE4"/>
        </bottom>
      </border>
    </dxf>
    <dxf>
      <numFmt numFmtId="489" formatCode="+0.00&quot; pts&quot;;-0.00&quot; pts&quot;;0.00&quot; pts&quot;"/>
      <fill>
        <patternFill patternType="solid">
          <fgColor rgb="00D7E2D4"/>
          <bgColor rgb="00D7E2D4"/>
        </patternFill>
      </fill>
      <border>
        <bottom style="thin">
          <color rgb="00EFEBE4"/>
        </bottom>
      </border>
    </dxf>
    <dxf>
      <fill>
        <patternFill patternType="solid">
          <fgColor rgb="00D7E2D4"/>
          <bgColor rgb="00D7E2D4"/>
        </patternFill>
      </fill>
      <border>
        <bottom style="thin">
          <color rgb="00EFEBE4"/>
        </bottom>
      </border>
    </dxf>
    <dxf>
      <numFmt numFmtId="489" formatCode="+0.00&quot; pts&quot;;-0.00&quot; pts&quot;;0.00&quot; pts&quot;"/>
      <fill>
        <patternFill patternType="solid">
          <fgColor rgb="00F4F1EC"/>
          <bgColor rgb="00F4F1EC"/>
        </patternFill>
      </fill>
      <border>
        <bottom style="thin">
          <color rgb="00EFEBE4"/>
        </bottom>
      </border>
    </dxf>
    <dxf>
      <font>
        <b val="1"/>
      </font>
      <numFmt numFmtId="319" formatCode="0.0%"/>
      <fill>
        <patternFill patternType="solid">
          <fgColor rgb="00F4F1EC"/>
          <bgColor rgb="00F4F1EC"/>
        </patternFill>
      </fill>
      <border>
        <bottom style="thin">
          <color rgb="00EFEBE4"/>
        </bottom>
      </border>
    </dxf>
    <dxf>
      <font>
        <b val="1"/>
      </font>
      <fill>
        <patternFill patternType="solid">
          <fgColor rgb="00F4F1EC"/>
          <bgColor rgb="00F4F1EC"/>
        </patternFill>
      </fill>
      <border>
        <bottom style="thin">
          <color rgb="00EFEBE4"/>
        </bottom>
      </border>
    </dxf>
    <dxf>
      <font>
        <b val="1"/>
        <color rgb="001E7A47"/>
      </font>
      <fill>
        <patternFill patternType="solid">
          <fgColor rgb="00EAF6EE"/>
          <bgColor rgb="00EAF6EE"/>
        </patternFill>
      </fill>
    </dxf>
    <dxf>
      <numFmt numFmtId="489" formatCode="+0.00&quot; pts&quot;;-0.00&quot; pts&quot;;0.00&quot; pts&quot;"/>
      <fill>
        <patternFill patternType="solid">
          <fgColor rgb="00CF7777"/>
          <bgColor rgb="00CF7777"/>
        </patternFill>
      </fill>
    </dxf>
    <dxf>
      <fill>
        <patternFill patternType="solid">
          <fgColor rgb="00CF7777"/>
          <bgColor rgb="00CF7777"/>
        </patternFill>
      </fill>
    </dxf>
    <dxf>
      <numFmt numFmtId="489" formatCode="+0.00&quot; pts&quot;;-0.00&quot; pts&quot;;0.00&quot; pts&quot;"/>
      <fill>
        <patternFill patternType="solid">
          <fgColor rgb="00E0A6A6"/>
          <bgColor rgb="00E0A6A6"/>
        </patternFill>
      </fill>
    </dxf>
    <dxf>
      <fill>
        <patternFill patternType="solid">
          <fgColor rgb="00E0A6A6"/>
          <bgColor rgb="00E0A6A6"/>
        </patternFill>
      </fill>
    </dxf>
    <dxf>
      <numFmt numFmtId="489" formatCode="+0.00&quot; pts&quot;;-0.00&quot; pts&quot;;0.00&quot; pts&quot;"/>
      <fill>
        <patternFill patternType="solid">
          <fgColor rgb="00EACBC9"/>
          <bgColor rgb="00EACBC9"/>
        </patternFill>
      </fill>
    </dxf>
    <dxf>
      <fill>
        <patternFill patternType="solid">
          <fgColor rgb="00EACBC9"/>
          <bgColor rgb="00EACBC9"/>
        </patternFill>
      </fill>
    </dxf>
    <dxf>
      <numFmt numFmtId="489" formatCode="+0.00&quot; pts&quot;;-0.00&quot; pts&quot;;0.00&quot; pts&quot;"/>
      <fill>
        <patternFill patternType="solid">
          <fgColor rgb="00BBD3BD"/>
          <bgColor rgb="00BBD3BD"/>
        </patternFill>
      </fill>
    </dxf>
    <dxf>
      <fill>
        <patternFill patternType="solid">
          <fgColor rgb="00BBD3BD"/>
          <bgColor rgb="00BBD3BD"/>
        </patternFill>
      </fill>
    </dxf>
    <dxf>
      <numFmt numFmtId="489" formatCode="+0.00&quot; pts&quot;;-0.00&quot; pts&quot;;0.00&quot; pts&quot;"/>
      <fill>
        <patternFill patternType="solid">
          <fgColor rgb="00D7E2D4"/>
          <bgColor rgb="00D7E2D4"/>
        </patternFill>
      </fill>
    </dxf>
    <dxf>
      <fill>
        <patternFill patternType="solid">
          <fgColor rgb="00D7E2D4"/>
          <bgColor rgb="00D7E2D4"/>
        </patternFill>
      </fill>
    </dxf>
    <dxf>
      <numFmt numFmtId="489" formatCode="+0.00&quot; pts&quot;;-0.00&quot; pts&quot;;0.00&quot; pts&quot;"/>
      <fill>
        <patternFill patternType="solid">
          <fgColor rgb="00F4F1EC"/>
          <bgColor rgb="00F4F1EC"/>
        </patternFill>
      </fill>
    </dxf>
    <dxf>
      <fill>
        <patternFill patternType="solid">
          <fgColor rgb="00F4F1EC"/>
          <bgColor rgb="00F4F1EC"/>
        </patternFill>
      </fill>
    </dxf>
    <dxf>
      <font>
        <b val="1"/>
      </font>
      <border>
        <bottom style="thin">
          <color rgb="00EFEBE4"/>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harts/chart1.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'_look'!$I$4:$I$123</f>
            </numRef>
          </cat>
          <val>
            <numRef>
              <f>'_look'!$J$4:$J$123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'_look'!$K$52:$K$53</f>
            </numRef>
          </xVal>
          <yVal>
            <numRef>
              <f>'_look'!$L$52:$L$53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'_look'!$K$54:$K$55</f>
            </numRef>
          </xVal>
          <yVal>
            <numRef>
              <f>'_look'!$L$54:$L$55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'_look'!$K$56:$K$57</f>
            </numRef>
          </xVal>
          <yVal>
            <numRef>
              <f>'_look'!$L$56:$L$57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'_look'!$K$58:$K$59</f>
            </numRef>
          </xVal>
          <yVal>
            <numRef>
              <f>'_look'!$L$58:$L$59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'_look'!$K$60:$K$61</f>
            </numRef>
          </xVal>
          <yVal>
            <numRef>
              <f>'_look'!$L$60:$L$61</f>
            </numRef>
          </yVal>
          <smooth val="0"/>
        </ser>
        <ser>
          <idx val="6"/>
          <order val="6"/>
          <spPr>
            <a:ln w="19050">
              <a:solidFill>
                <a:srgbClr val="CC0000"/>
              </a:solidFill>
              <a:prstDash val="dash"/>
            </a:ln>
          </spPr>
          <marker>
            <symbol val="none"/>
            <spPr>
              <a:ln>
                <a:prstDash val="solid"/>
              </a:ln>
            </spPr>
          </marker>
          <xVal>
            <numRef>
              <f>'_look'!$K$4:$K$5</f>
            </numRef>
          </xVal>
          <yVal>
            <numRef>
              <f>'_look'!$L$4:$L$5</f>
            </numRef>
          </yVal>
          <smooth val="0"/>
        </ser>
        <ser>
          <idx val="7"/>
          <order val="7"/>
          <spPr>
            <a:ln w="19050">
              <a:solidFill>
                <a:srgbClr val="CC0000"/>
              </a:solidFill>
              <a:prstDash val="dash"/>
            </a:ln>
          </spPr>
          <marker>
            <symbol val="none"/>
            <spPr>
              <a:ln>
                <a:prstDash val="solid"/>
              </a:ln>
            </spPr>
          </marker>
          <xVal>
            <numRef>
              <f>'_look'!$K$6:$K$7</f>
            </numRef>
          </xVal>
          <yVal>
            <numRef>
              <f>'_look'!$L$6:$L$7</f>
            </numRef>
          </yVal>
          <smooth val="0"/>
        </ser>
        <ser>
          <idx val="8"/>
          <order val="8"/>
          <spPr>
            <a:ln w="19050">
              <a:solidFill>
                <a:srgbClr val="CC0000"/>
              </a:solidFill>
              <a:prstDash val="dash"/>
            </a:ln>
          </spPr>
          <marker>
            <symbol val="none"/>
            <spPr>
              <a:ln>
                <a:prstDash val="solid"/>
              </a:ln>
            </spPr>
          </marker>
          <xVal>
            <numRef>
              <f>'_look'!$K$8:$K$9</f>
            </numRef>
          </xVal>
          <yVal>
            <numRef>
              <f>'_look'!$L$8:$L$9</f>
            </numRef>
          </yVal>
          <smooth val="0"/>
        </ser>
        <ser>
          <idx val="9"/>
          <order val="9"/>
          <spPr>
            <a:ln w="19050">
              <a:solidFill>
                <a:srgbClr val="CC0000"/>
              </a:solidFill>
              <a:prstDash val="dash"/>
            </a:ln>
          </spPr>
          <marker>
            <symbol val="none"/>
            <spPr>
              <a:ln>
                <a:prstDash val="solid"/>
              </a:ln>
            </spPr>
          </marker>
          <xVal>
            <numRef>
              <f>'_look'!$K$10:$K$11</f>
            </numRef>
          </xVal>
          <yVal>
            <numRef>
              <f>'_look'!$L$10:$L$11</f>
            </numRef>
          </yVal>
          <smooth val="0"/>
        </ser>
        <ser>
          <idx val="10"/>
          <order val="10"/>
          <spPr>
            <a:ln w="19050">
              <a:solidFill>
                <a:srgbClr val="CC0000"/>
              </a:solidFill>
              <a:prstDash val="dash"/>
            </a:ln>
          </spPr>
          <marker>
            <symbol val="none"/>
            <spPr>
              <a:ln>
                <a:prstDash val="solid"/>
              </a:ln>
            </spPr>
          </marker>
          <xVal>
            <numRef>
              <f>'_look'!$K$12:$K$13</f>
            </numRef>
          </xVal>
          <yVal>
            <numRef>
              <f>'_look'!$L$12:$L$13</f>
            </numRef>
          </yVal>
          <smooth val="0"/>
        </ser>
        <ser>
          <idx val="11"/>
          <order val="11"/>
          <spPr>
            <a:ln w="19050">
              <a:solidFill>
                <a:srgbClr val="CC0000"/>
              </a:solidFill>
              <a:prstDash val="dash"/>
            </a:ln>
          </spPr>
          <marker>
            <symbol val="none"/>
            <spPr>
              <a:ln>
                <a:prstDash val="solid"/>
              </a:ln>
            </spPr>
          </marker>
          <xVal>
            <numRef>
              <f>'_look'!$K$14:$K$15</f>
            </numRef>
          </xVal>
          <yVal>
            <numRef>
              <f>'_look'!$L$14:$L$15</f>
            </numRef>
          </yVal>
          <smooth val="0"/>
        </ser>
        <ser>
          <idx val="12"/>
          <order val="12"/>
          <spPr>
            <a:ln w="19050">
              <a:solidFill>
                <a:srgbClr val="CC0000"/>
              </a:solidFill>
              <a:prstDash val="dash"/>
            </a:ln>
          </spPr>
          <marker>
            <symbol val="none"/>
            <spPr>
              <a:ln>
                <a:prstDash val="solid"/>
              </a:ln>
            </spPr>
          </marker>
          <xVal>
            <numRef>
              <f>'_look'!$K$16:$K$17</f>
            </numRef>
          </xVal>
          <yVal>
            <numRef>
              <f>'_look'!$L$16:$L$17</f>
            </numRef>
          </yVal>
          <smooth val="0"/>
        </ser>
        <ser>
          <idx val="13"/>
          <order val="13"/>
          <spPr>
            <a:ln w="19050">
              <a:solidFill>
                <a:srgbClr val="CC0000"/>
              </a:solidFill>
              <a:prstDash val="dash"/>
            </a:ln>
          </spPr>
          <marker>
            <symbol val="none"/>
            <spPr>
              <a:ln>
                <a:prstDash val="solid"/>
              </a:ln>
            </spPr>
          </marker>
          <xVal>
            <numRef>
              <f>'_look'!$K$18:$K$19</f>
            </numRef>
          </xVal>
          <yVal>
            <numRef>
              <f>'_look'!$L$18:$L$19</f>
            </numRef>
          </yVal>
          <smooth val="0"/>
        </ser>
        <ser>
          <idx val="14"/>
          <order val="14"/>
          <spPr>
            <a:ln w="19050">
              <a:solidFill>
                <a:srgbClr val="CC0000"/>
              </a:solidFill>
              <a:prstDash val="dash"/>
            </a:ln>
          </spPr>
          <marker>
            <symbol val="none"/>
            <spPr>
              <a:ln>
                <a:prstDash val="solid"/>
              </a:ln>
            </spPr>
          </marker>
          <xVal>
            <numRef>
              <f>'_look'!$K$20:$K$21</f>
            </numRef>
          </xVal>
          <yVal>
            <numRef>
              <f>'_look'!$L$20:$L$21</f>
            </numRef>
          </yVal>
          <smooth val="0"/>
        </ser>
        <ser>
          <idx val="15"/>
          <order val="15"/>
          <spPr>
            <a:ln w="19050">
              <a:solidFill>
                <a:srgbClr val="CC0000"/>
              </a:solidFill>
              <a:prstDash val="dash"/>
            </a:ln>
          </spPr>
          <marker>
            <symbol val="none"/>
            <spPr>
              <a:ln>
                <a:prstDash val="solid"/>
              </a:ln>
            </spPr>
          </marker>
          <xVal>
            <numRef>
              <f>'_look'!$K$22:$K$23</f>
            </numRef>
          </xVal>
          <yVal>
            <numRef>
              <f>'_look'!$L$22:$L$23</f>
            </numRef>
          </yVal>
          <smooth val="0"/>
        </ser>
        <ser>
          <idx val="16"/>
          <order val="16"/>
          <spPr>
            <a:ln w="19050">
              <a:solidFill>
                <a:srgbClr val="CC0000"/>
              </a:solidFill>
              <a:prstDash val="dash"/>
            </a:ln>
          </spPr>
          <marker>
            <symbol val="none"/>
            <spPr>
              <a:ln>
                <a:prstDash val="solid"/>
              </a:ln>
            </spPr>
          </marker>
          <xVal>
            <numRef>
              <f>'_look'!$K$24:$K$25</f>
            </numRef>
          </xVal>
          <yVal>
            <numRef>
              <f>'_look'!$L$24:$L$25</f>
            </numRef>
          </yVal>
          <smooth val="0"/>
        </ser>
        <ser>
          <idx val="17"/>
          <order val="17"/>
          <spPr>
            <a:ln w="19050">
              <a:solidFill>
                <a:srgbClr val="CC0000"/>
              </a:solidFill>
              <a:prstDash val="dash"/>
            </a:ln>
          </spPr>
          <marker>
            <symbol val="none"/>
            <spPr>
              <a:ln>
                <a:prstDash val="solid"/>
              </a:ln>
            </spPr>
          </marker>
          <xVal>
            <numRef>
              <f>'_look'!$K$26:$K$27</f>
            </numRef>
          </xVal>
          <yVal>
            <numRef>
              <f>'_look'!$L$26:$L$27</f>
            </numRef>
          </yVal>
          <smooth val="0"/>
        </ser>
        <ser>
          <idx val="18"/>
          <order val="18"/>
          <spPr>
            <a:ln w="19050">
              <a:solidFill>
                <a:srgbClr val="CC0000"/>
              </a:solidFill>
              <a:prstDash val="dash"/>
            </a:ln>
          </spPr>
          <marker>
            <symbol val="none"/>
            <spPr>
              <a:ln>
                <a:prstDash val="solid"/>
              </a:ln>
            </spPr>
          </marker>
          <xVal>
            <numRef>
              <f>'_look'!$K$28:$K$29</f>
            </numRef>
          </xVal>
          <yVal>
            <numRef>
              <f>'_look'!$L$28:$L$29</f>
            </numRef>
          </yVal>
          <smooth val="0"/>
        </ser>
        <ser>
          <idx val="19"/>
          <order val="19"/>
          <spPr>
            <a:ln w="19050">
              <a:solidFill>
                <a:srgbClr val="CC0000"/>
              </a:solidFill>
              <a:prstDash val="dash"/>
            </a:ln>
          </spPr>
          <marker>
            <symbol val="none"/>
            <spPr>
              <a:ln>
                <a:prstDash val="solid"/>
              </a:ln>
            </spPr>
          </marker>
          <xVal>
            <numRef>
              <f>'_look'!$K$30:$K$31</f>
            </numRef>
          </xVal>
          <yVal>
            <numRef>
              <f>'_look'!$L$30:$L$31</f>
            </numRef>
          </yVal>
          <smooth val="0"/>
        </ser>
        <ser>
          <idx val="20"/>
          <order val="20"/>
          <spPr>
            <a:ln w="19050">
              <a:solidFill>
                <a:srgbClr val="CC0000"/>
              </a:solidFill>
              <a:prstDash val="dash"/>
            </a:ln>
          </spPr>
          <marker>
            <symbol val="none"/>
            <spPr>
              <a:ln>
                <a:prstDash val="solid"/>
              </a:ln>
            </spPr>
          </marker>
          <xVal>
            <numRef>
              <f>'_look'!$K$32:$K$33</f>
            </numRef>
          </xVal>
          <yVal>
            <numRef>
              <f>'_look'!$L$32:$L$33</f>
            </numRef>
          </yVal>
          <smooth val="0"/>
        </ser>
        <ser>
          <idx val="21"/>
          <order val="21"/>
          <spPr>
            <a:ln w="19050">
              <a:solidFill>
                <a:srgbClr val="CC0000"/>
              </a:solidFill>
              <a:prstDash val="dash"/>
            </a:ln>
          </spPr>
          <marker>
            <symbol val="none"/>
            <spPr>
              <a:ln>
                <a:prstDash val="solid"/>
              </a:ln>
            </spPr>
          </marker>
          <xVal>
            <numRef>
              <f>'_look'!$K$34:$K$35</f>
            </numRef>
          </xVal>
          <yVal>
            <numRef>
              <f>'_look'!$L$34:$L$35</f>
            </numRef>
          </yVal>
          <smooth val="0"/>
        </ser>
        <ser>
          <idx val="22"/>
          <order val="22"/>
          <spPr>
            <a:ln w="19050">
              <a:solidFill>
                <a:srgbClr val="CC0000"/>
              </a:solidFill>
              <a:prstDash val="dash"/>
            </a:ln>
          </spPr>
          <marker>
            <symbol val="none"/>
            <spPr>
              <a:ln>
                <a:prstDash val="solid"/>
              </a:ln>
            </spPr>
          </marker>
          <xVal>
            <numRef>
              <f>'_look'!$K$36:$K$37</f>
            </numRef>
          </xVal>
          <yVal>
            <numRef>
              <f>'_look'!$L$36:$L$37</f>
            </numRef>
          </yVal>
          <smooth val="0"/>
        </ser>
        <ser>
          <idx val="23"/>
          <order val="23"/>
          <spPr>
            <a:ln w="19050">
              <a:solidFill>
                <a:srgbClr val="CC0000"/>
              </a:solidFill>
              <a:prstDash val="dash"/>
            </a:ln>
          </spPr>
          <marker>
            <symbol val="none"/>
            <spPr>
              <a:ln>
                <a:prstDash val="solid"/>
              </a:ln>
            </spPr>
          </marker>
          <xVal>
            <numRef>
              <f>'_look'!$K$38:$K$39</f>
            </numRef>
          </xVal>
          <yVal>
            <numRef>
              <f>'_look'!$L$38:$L$39</f>
            </numRef>
          </yVal>
          <smooth val="0"/>
        </ser>
        <ser>
          <idx val="24"/>
          <order val="24"/>
          <spPr>
            <a:ln w="19050">
              <a:solidFill>
                <a:srgbClr val="CC0000"/>
              </a:solidFill>
              <a:prstDash val="dash"/>
            </a:ln>
          </spPr>
          <marker>
            <symbol val="none"/>
            <spPr>
              <a:ln>
                <a:prstDash val="solid"/>
              </a:ln>
            </spPr>
          </marker>
          <xVal>
            <numRef>
              <f>'_look'!$K$40:$K$41</f>
            </numRef>
          </xVal>
          <yVal>
            <numRef>
              <f>'_look'!$L$40:$L$41</f>
            </numRef>
          </yVal>
          <smooth val="0"/>
        </ser>
        <ser>
          <idx val="25"/>
          <order val="25"/>
          <spPr>
            <a:ln w="19050">
              <a:solidFill>
                <a:srgbClr val="CC0000"/>
              </a:solidFill>
              <a:prstDash val="dash"/>
            </a:ln>
          </spPr>
          <marker>
            <symbol val="none"/>
            <spPr>
              <a:ln>
                <a:prstDash val="solid"/>
              </a:ln>
            </spPr>
          </marker>
          <xVal>
            <numRef>
              <f>'_look'!$K$42:$K$43</f>
            </numRef>
          </xVal>
          <yVal>
            <numRef>
              <f>'_look'!$L$42:$L$43</f>
            </numRef>
          </yVal>
          <smooth val="0"/>
        </ser>
        <ser>
          <idx val="26"/>
          <order val="26"/>
          <spPr>
            <a:ln w="19050">
              <a:solidFill>
                <a:srgbClr val="CC0000"/>
              </a:solidFill>
              <a:prstDash val="dash"/>
            </a:ln>
          </spPr>
          <marker>
            <symbol val="none"/>
            <spPr>
              <a:ln>
                <a:prstDash val="solid"/>
              </a:ln>
            </spPr>
          </marker>
          <xVal>
            <numRef>
              <f>'_look'!$K$44:$K$45</f>
            </numRef>
          </xVal>
          <yVal>
            <numRef>
              <f>'_look'!$L$44:$L$45</f>
            </numRef>
          </yVal>
          <smooth val="0"/>
        </ser>
        <ser>
          <idx val="27"/>
          <order val="27"/>
          <spPr>
            <a:ln w="19050">
              <a:solidFill>
                <a:srgbClr val="CC0000"/>
              </a:solidFill>
              <a:prstDash val="dash"/>
            </a:ln>
          </spPr>
          <marker>
            <symbol val="none"/>
            <spPr>
              <a:ln>
                <a:prstDash val="solid"/>
              </a:ln>
            </spPr>
          </marker>
          <xVal>
            <numRef>
              <f>'_look'!$K$46:$K$47</f>
            </numRef>
          </xVal>
          <yVal>
            <numRef>
              <f>'_look'!$L$46:$L$47</f>
            </numRef>
          </yVal>
          <smooth val="0"/>
        </ser>
        <ser>
          <idx val="28"/>
          <order val="28"/>
          <spPr>
            <a:ln w="19050">
              <a:solidFill>
                <a:srgbClr val="CC0000"/>
              </a:solidFill>
              <a:prstDash val="dash"/>
            </a:ln>
          </spPr>
          <marker>
            <symbol val="none"/>
            <spPr>
              <a:ln>
                <a:prstDash val="solid"/>
              </a:ln>
            </spPr>
          </marker>
          <xVal>
            <numRef>
              <f>'_look'!$K$48:$K$49</f>
            </numRef>
          </xVal>
          <yVal>
            <numRef>
              <f>'_look'!$L$48:$L$49</f>
            </numRef>
          </yVal>
          <smooth val="0"/>
        </ser>
        <ser>
          <idx val="29"/>
          <order val="29"/>
          <spPr>
            <a:ln w="19050">
              <a:solidFill>
                <a:srgbClr val="CC0000"/>
              </a:solidFill>
              <a:prstDash val="dash"/>
            </a:ln>
          </spPr>
          <marker>
            <symbol val="none"/>
            <spPr>
              <a:ln>
                <a:prstDash val="solid"/>
              </a:ln>
            </spPr>
          </marker>
          <xVal>
            <numRef>
              <f>'_look'!$K$50:$K$51</f>
            </numRef>
          </xVal>
          <yVal>
            <numRef>
              <f>'_look'!$L$50:$L$51</f>
            </numRef>
          </yVal>
          <smooth val="0"/>
        </ser>
        <axId val="500"/>
        <axId val="600"/>
      </scatterChart>
      <catAx>
        <axId val="10"/>
        <scaling>
          <orientation val="minMax"/>
        </scaling>
        <delete val="0"/>
        <axPos val="l"/>
        <majorTickMark val="none"/>
        <minorTickMark val="none"/>
        <txPr>
          <a:bodyPr rot="0" vert="horz" wrap="none"/>
          <a:p>
            <a:pPr>
              <a:defRPr sz="900">
                <a:solidFill>
                  <a:srgbClr val="16130F"/>
                </a:solidFill>
              </a:defRPr>
            </a:pP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2.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'_look'!$V$4:$V$123</f>
            </numRef>
          </cat>
          <val>
            <numRef>
              <f>'_look'!$W$4:$W$123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'_look'!$X$52:$X$53</f>
            </numRef>
          </xVal>
          <yVal>
            <numRef>
              <f>'_look'!$Y$52:$Y$53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'_look'!$X$54:$X$55</f>
            </numRef>
          </xVal>
          <yVal>
            <numRef>
              <f>'_look'!$Y$54:$Y$55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'_look'!$X$56:$X$57</f>
            </numRef>
          </xVal>
          <yVal>
            <numRef>
              <f>'_look'!$Y$56:$Y$57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'_look'!$X$58:$X$59</f>
            </numRef>
          </xVal>
          <yVal>
            <numRef>
              <f>'_look'!$Y$58:$Y$59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'_look'!$X$60:$X$61</f>
            </numRef>
          </xVal>
          <yVal>
            <numRef>
              <f>'_look'!$Y$60:$Y$61</f>
            </numRef>
          </yVal>
          <smooth val="0"/>
        </ser>
        <ser>
          <idx val="6"/>
          <order val="6"/>
          <spPr>
            <a:ln w="19050">
              <a:solidFill>
                <a:srgbClr val="CC0000"/>
              </a:solidFill>
              <a:prstDash val="dash"/>
            </a:ln>
          </spPr>
          <marker>
            <symbol val="none"/>
            <spPr>
              <a:ln>
                <a:prstDash val="solid"/>
              </a:ln>
            </spPr>
          </marker>
          <xVal>
            <numRef>
              <f>'_look'!$X$4:$X$5</f>
            </numRef>
          </xVal>
          <yVal>
            <numRef>
              <f>'_look'!$Y$4:$Y$5</f>
            </numRef>
          </yVal>
          <smooth val="0"/>
        </ser>
        <ser>
          <idx val="7"/>
          <order val="7"/>
          <spPr>
            <a:ln w="19050">
              <a:solidFill>
                <a:srgbClr val="CC0000"/>
              </a:solidFill>
              <a:prstDash val="dash"/>
            </a:ln>
          </spPr>
          <marker>
            <symbol val="none"/>
            <spPr>
              <a:ln>
                <a:prstDash val="solid"/>
              </a:ln>
            </spPr>
          </marker>
          <xVal>
            <numRef>
              <f>'_look'!$X$6:$X$7</f>
            </numRef>
          </xVal>
          <yVal>
            <numRef>
              <f>'_look'!$Y$6:$Y$7</f>
            </numRef>
          </yVal>
          <smooth val="0"/>
        </ser>
        <ser>
          <idx val="8"/>
          <order val="8"/>
          <spPr>
            <a:ln w="19050">
              <a:solidFill>
                <a:srgbClr val="CC0000"/>
              </a:solidFill>
              <a:prstDash val="dash"/>
            </a:ln>
          </spPr>
          <marker>
            <symbol val="none"/>
            <spPr>
              <a:ln>
                <a:prstDash val="solid"/>
              </a:ln>
            </spPr>
          </marker>
          <xVal>
            <numRef>
              <f>'_look'!$X$8:$X$9</f>
            </numRef>
          </xVal>
          <yVal>
            <numRef>
              <f>'_look'!$Y$8:$Y$9</f>
            </numRef>
          </yVal>
          <smooth val="0"/>
        </ser>
        <ser>
          <idx val="9"/>
          <order val="9"/>
          <spPr>
            <a:ln w="19050">
              <a:solidFill>
                <a:srgbClr val="CC0000"/>
              </a:solidFill>
              <a:prstDash val="dash"/>
            </a:ln>
          </spPr>
          <marker>
            <symbol val="none"/>
            <spPr>
              <a:ln>
                <a:prstDash val="solid"/>
              </a:ln>
            </spPr>
          </marker>
          <xVal>
            <numRef>
              <f>'_look'!$X$10:$X$11</f>
            </numRef>
          </xVal>
          <yVal>
            <numRef>
              <f>'_look'!$Y$10:$Y$11</f>
            </numRef>
          </yVal>
          <smooth val="0"/>
        </ser>
        <ser>
          <idx val="10"/>
          <order val="10"/>
          <spPr>
            <a:ln w="19050">
              <a:solidFill>
                <a:srgbClr val="CC0000"/>
              </a:solidFill>
              <a:prstDash val="dash"/>
            </a:ln>
          </spPr>
          <marker>
            <symbol val="none"/>
            <spPr>
              <a:ln>
                <a:prstDash val="solid"/>
              </a:ln>
            </spPr>
          </marker>
          <xVal>
            <numRef>
              <f>'_look'!$X$12:$X$13</f>
            </numRef>
          </xVal>
          <yVal>
            <numRef>
              <f>'_look'!$Y$12:$Y$13</f>
            </numRef>
          </yVal>
          <smooth val="0"/>
        </ser>
        <ser>
          <idx val="11"/>
          <order val="11"/>
          <spPr>
            <a:ln w="19050">
              <a:solidFill>
                <a:srgbClr val="CC0000"/>
              </a:solidFill>
              <a:prstDash val="dash"/>
            </a:ln>
          </spPr>
          <marker>
            <symbol val="none"/>
            <spPr>
              <a:ln>
                <a:prstDash val="solid"/>
              </a:ln>
            </spPr>
          </marker>
          <xVal>
            <numRef>
              <f>'_look'!$X$14:$X$15</f>
            </numRef>
          </xVal>
          <yVal>
            <numRef>
              <f>'_look'!$Y$14:$Y$15</f>
            </numRef>
          </yVal>
          <smooth val="0"/>
        </ser>
        <ser>
          <idx val="12"/>
          <order val="12"/>
          <spPr>
            <a:ln w="19050">
              <a:solidFill>
                <a:srgbClr val="CC0000"/>
              </a:solidFill>
              <a:prstDash val="dash"/>
            </a:ln>
          </spPr>
          <marker>
            <symbol val="none"/>
            <spPr>
              <a:ln>
                <a:prstDash val="solid"/>
              </a:ln>
            </spPr>
          </marker>
          <xVal>
            <numRef>
              <f>'_look'!$X$16:$X$17</f>
            </numRef>
          </xVal>
          <yVal>
            <numRef>
              <f>'_look'!$Y$16:$Y$17</f>
            </numRef>
          </yVal>
          <smooth val="0"/>
        </ser>
        <ser>
          <idx val="13"/>
          <order val="13"/>
          <spPr>
            <a:ln w="19050">
              <a:solidFill>
                <a:srgbClr val="CC0000"/>
              </a:solidFill>
              <a:prstDash val="dash"/>
            </a:ln>
          </spPr>
          <marker>
            <symbol val="none"/>
            <spPr>
              <a:ln>
                <a:prstDash val="solid"/>
              </a:ln>
            </spPr>
          </marker>
          <xVal>
            <numRef>
              <f>'_look'!$X$18:$X$19</f>
            </numRef>
          </xVal>
          <yVal>
            <numRef>
              <f>'_look'!$Y$18:$Y$19</f>
            </numRef>
          </yVal>
          <smooth val="0"/>
        </ser>
        <ser>
          <idx val="14"/>
          <order val="14"/>
          <spPr>
            <a:ln w="19050">
              <a:solidFill>
                <a:srgbClr val="CC0000"/>
              </a:solidFill>
              <a:prstDash val="dash"/>
            </a:ln>
          </spPr>
          <marker>
            <symbol val="none"/>
            <spPr>
              <a:ln>
                <a:prstDash val="solid"/>
              </a:ln>
            </spPr>
          </marker>
          <xVal>
            <numRef>
              <f>'_look'!$X$20:$X$21</f>
            </numRef>
          </xVal>
          <yVal>
            <numRef>
              <f>'_look'!$Y$20:$Y$21</f>
            </numRef>
          </yVal>
          <smooth val="0"/>
        </ser>
        <ser>
          <idx val="15"/>
          <order val="15"/>
          <spPr>
            <a:ln w="19050">
              <a:solidFill>
                <a:srgbClr val="CC0000"/>
              </a:solidFill>
              <a:prstDash val="dash"/>
            </a:ln>
          </spPr>
          <marker>
            <symbol val="none"/>
            <spPr>
              <a:ln>
                <a:prstDash val="solid"/>
              </a:ln>
            </spPr>
          </marker>
          <xVal>
            <numRef>
              <f>'_look'!$X$22:$X$23</f>
            </numRef>
          </xVal>
          <yVal>
            <numRef>
              <f>'_look'!$Y$22:$Y$23</f>
            </numRef>
          </yVal>
          <smooth val="0"/>
        </ser>
        <ser>
          <idx val="16"/>
          <order val="16"/>
          <spPr>
            <a:ln w="19050">
              <a:solidFill>
                <a:srgbClr val="CC0000"/>
              </a:solidFill>
              <a:prstDash val="dash"/>
            </a:ln>
          </spPr>
          <marker>
            <symbol val="none"/>
            <spPr>
              <a:ln>
                <a:prstDash val="solid"/>
              </a:ln>
            </spPr>
          </marker>
          <xVal>
            <numRef>
              <f>'_look'!$X$24:$X$25</f>
            </numRef>
          </xVal>
          <yVal>
            <numRef>
              <f>'_look'!$Y$24:$Y$25</f>
            </numRef>
          </yVal>
          <smooth val="0"/>
        </ser>
        <ser>
          <idx val="17"/>
          <order val="17"/>
          <spPr>
            <a:ln w="19050">
              <a:solidFill>
                <a:srgbClr val="CC0000"/>
              </a:solidFill>
              <a:prstDash val="dash"/>
            </a:ln>
          </spPr>
          <marker>
            <symbol val="none"/>
            <spPr>
              <a:ln>
                <a:prstDash val="solid"/>
              </a:ln>
            </spPr>
          </marker>
          <xVal>
            <numRef>
              <f>'_look'!$X$26:$X$27</f>
            </numRef>
          </xVal>
          <yVal>
            <numRef>
              <f>'_look'!$Y$26:$Y$27</f>
            </numRef>
          </yVal>
          <smooth val="0"/>
        </ser>
        <ser>
          <idx val="18"/>
          <order val="18"/>
          <spPr>
            <a:ln w="19050">
              <a:solidFill>
                <a:srgbClr val="CC0000"/>
              </a:solidFill>
              <a:prstDash val="dash"/>
            </a:ln>
          </spPr>
          <marker>
            <symbol val="none"/>
            <spPr>
              <a:ln>
                <a:prstDash val="solid"/>
              </a:ln>
            </spPr>
          </marker>
          <xVal>
            <numRef>
              <f>'_look'!$X$28:$X$29</f>
            </numRef>
          </xVal>
          <yVal>
            <numRef>
              <f>'_look'!$Y$28:$Y$29</f>
            </numRef>
          </yVal>
          <smooth val="0"/>
        </ser>
        <ser>
          <idx val="19"/>
          <order val="19"/>
          <spPr>
            <a:ln w="19050">
              <a:solidFill>
                <a:srgbClr val="CC0000"/>
              </a:solidFill>
              <a:prstDash val="dash"/>
            </a:ln>
          </spPr>
          <marker>
            <symbol val="none"/>
            <spPr>
              <a:ln>
                <a:prstDash val="solid"/>
              </a:ln>
            </spPr>
          </marker>
          <xVal>
            <numRef>
              <f>'_look'!$X$30:$X$31</f>
            </numRef>
          </xVal>
          <yVal>
            <numRef>
              <f>'_look'!$Y$30:$Y$31</f>
            </numRef>
          </yVal>
          <smooth val="0"/>
        </ser>
        <ser>
          <idx val="20"/>
          <order val="20"/>
          <spPr>
            <a:ln w="19050">
              <a:solidFill>
                <a:srgbClr val="CC0000"/>
              </a:solidFill>
              <a:prstDash val="dash"/>
            </a:ln>
          </spPr>
          <marker>
            <symbol val="none"/>
            <spPr>
              <a:ln>
                <a:prstDash val="solid"/>
              </a:ln>
            </spPr>
          </marker>
          <xVal>
            <numRef>
              <f>'_look'!$X$32:$X$33</f>
            </numRef>
          </xVal>
          <yVal>
            <numRef>
              <f>'_look'!$Y$32:$Y$33</f>
            </numRef>
          </yVal>
          <smooth val="0"/>
        </ser>
        <ser>
          <idx val="21"/>
          <order val="21"/>
          <spPr>
            <a:ln w="19050">
              <a:solidFill>
                <a:srgbClr val="CC0000"/>
              </a:solidFill>
              <a:prstDash val="dash"/>
            </a:ln>
          </spPr>
          <marker>
            <symbol val="none"/>
            <spPr>
              <a:ln>
                <a:prstDash val="solid"/>
              </a:ln>
            </spPr>
          </marker>
          <xVal>
            <numRef>
              <f>'_look'!$X$34:$X$35</f>
            </numRef>
          </xVal>
          <yVal>
            <numRef>
              <f>'_look'!$Y$34:$Y$35</f>
            </numRef>
          </yVal>
          <smooth val="0"/>
        </ser>
        <ser>
          <idx val="22"/>
          <order val="22"/>
          <spPr>
            <a:ln w="19050">
              <a:solidFill>
                <a:srgbClr val="CC0000"/>
              </a:solidFill>
              <a:prstDash val="dash"/>
            </a:ln>
          </spPr>
          <marker>
            <symbol val="none"/>
            <spPr>
              <a:ln>
                <a:prstDash val="solid"/>
              </a:ln>
            </spPr>
          </marker>
          <xVal>
            <numRef>
              <f>'_look'!$X$36:$X$37</f>
            </numRef>
          </xVal>
          <yVal>
            <numRef>
              <f>'_look'!$Y$36:$Y$37</f>
            </numRef>
          </yVal>
          <smooth val="0"/>
        </ser>
        <ser>
          <idx val="23"/>
          <order val="23"/>
          <spPr>
            <a:ln w="19050">
              <a:solidFill>
                <a:srgbClr val="CC0000"/>
              </a:solidFill>
              <a:prstDash val="dash"/>
            </a:ln>
          </spPr>
          <marker>
            <symbol val="none"/>
            <spPr>
              <a:ln>
                <a:prstDash val="solid"/>
              </a:ln>
            </spPr>
          </marker>
          <xVal>
            <numRef>
              <f>'_look'!$X$38:$X$39</f>
            </numRef>
          </xVal>
          <yVal>
            <numRef>
              <f>'_look'!$Y$38:$Y$39</f>
            </numRef>
          </yVal>
          <smooth val="0"/>
        </ser>
        <ser>
          <idx val="24"/>
          <order val="24"/>
          <spPr>
            <a:ln w="19050">
              <a:solidFill>
                <a:srgbClr val="CC0000"/>
              </a:solidFill>
              <a:prstDash val="dash"/>
            </a:ln>
          </spPr>
          <marker>
            <symbol val="none"/>
            <spPr>
              <a:ln>
                <a:prstDash val="solid"/>
              </a:ln>
            </spPr>
          </marker>
          <xVal>
            <numRef>
              <f>'_look'!$X$40:$X$41</f>
            </numRef>
          </xVal>
          <yVal>
            <numRef>
              <f>'_look'!$Y$40:$Y$41</f>
            </numRef>
          </yVal>
          <smooth val="0"/>
        </ser>
        <ser>
          <idx val="25"/>
          <order val="25"/>
          <spPr>
            <a:ln w="19050">
              <a:solidFill>
                <a:srgbClr val="CC0000"/>
              </a:solidFill>
              <a:prstDash val="dash"/>
            </a:ln>
          </spPr>
          <marker>
            <symbol val="none"/>
            <spPr>
              <a:ln>
                <a:prstDash val="solid"/>
              </a:ln>
            </spPr>
          </marker>
          <xVal>
            <numRef>
              <f>'_look'!$X$42:$X$43</f>
            </numRef>
          </xVal>
          <yVal>
            <numRef>
              <f>'_look'!$Y$42:$Y$43</f>
            </numRef>
          </yVal>
          <smooth val="0"/>
        </ser>
        <ser>
          <idx val="26"/>
          <order val="26"/>
          <spPr>
            <a:ln w="19050">
              <a:solidFill>
                <a:srgbClr val="CC0000"/>
              </a:solidFill>
              <a:prstDash val="dash"/>
            </a:ln>
          </spPr>
          <marker>
            <symbol val="none"/>
            <spPr>
              <a:ln>
                <a:prstDash val="solid"/>
              </a:ln>
            </spPr>
          </marker>
          <xVal>
            <numRef>
              <f>'_look'!$X$44:$X$45</f>
            </numRef>
          </xVal>
          <yVal>
            <numRef>
              <f>'_look'!$Y$44:$Y$45</f>
            </numRef>
          </yVal>
          <smooth val="0"/>
        </ser>
        <ser>
          <idx val="27"/>
          <order val="27"/>
          <spPr>
            <a:ln w="19050">
              <a:solidFill>
                <a:srgbClr val="CC0000"/>
              </a:solidFill>
              <a:prstDash val="dash"/>
            </a:ln>
          </spPr>
          <marker>
            <symbol val="none"/>
            <spPr>
              <a:ln>
                <a:prstDash val="solid"/>
              </a:ln>
            </spPr>
          </marker>
          <xVal>
            <numRef>
              <f>'_look'!$X$46:$X$47</f>
            </numRef>
          </xVal>
          <yVal>
            <numRef>
              <f>'_look'!$Y$46:$Y$47</f>
            </numRef>
          </yVal>
          <smooth val="0"/>
        </ser>
        <ser>
          <idx val="28"/>
          <order val="28"/>
          <spPr>
            <a:ln w="19050">
              <a:solidFill>
                <a:srgbClr val="CC0000"/>
              </a:solidFill>
              <a:prstDash val="dash"/>
            </a:ln>
          </spPr>
          <marker>
            <symbol val="none"/>
            <spPr>
              <a:ln>
                <a:prstDash val="solid"/>
              </a:ln>
            </spPr>
          </marker>
          <xVal>
            <numRef>
              <f>'_look'!$X$48:$X$49</f>
            </numRef>
          </xVal>
          <yVal>
            <numRef>
              <f>'_look'!$Y$48:$Y$49</f>
            </numRef>
          </yVal>
          <smooth val="0"/>
        </ser>
        <ser>
          <idx val="29"/>
          <order val="29"/>
          <spPr>
            <a:ln w="19050">
              <a:solidFill>
                <a:srgbClr val="CC0000"/>
              </a:solidFill>
              <a:prstDash val="dash"/>
            </a:ln>
          </spPr>
          <marker>
            <symbol val="none"/>
            <spPr>
              <a:ln>
                <a:prstDash val="solid"/>
              </a:ln>
            </spPr>
          </marker>
          <xVal>
            <numRef>
              <f>'_look'!$X$50:$X$51</f>
            </numRef>
          </xVal>
          <yVal>
            <numRef>
              <f>'_look'!$Y$50:$Y$51</f>
            </numRef>
          </yVal>
          <smooth val="0"/>
        </ser>
        <axId val="500"/>
        <axId val="600"/>
      </scatterChart>
      <catAx>
        <axId val="10"/>
        <scaling>
          <orientation val="minMax"/>
        </scaling>
        <delete val="0"/>
        <axPos val="l"/>
        <majorTickMark val="none"/>
        <minorTickMark val="none"/>
        <txPr>
          <a:bodyPr rot="0" vert="horz" wrap="none"/>
          <a:p>
            <a:pPr>
              <a:defRPr sz="900">
                <a:solidFill>
                  <a:srgbClr val="16130F"/>
                </a:solidFill>
              </a:defRPr>
            </a:pP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3.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'_look'!$AI$4:$AI$123</f>
            </numRef>
          </cat>
          <val>
            <numRef>
              <f>'_look'!$AJ$4:$AJ$123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'_look'!$AK$52:$AK$53</f>
            </numRef>
          </xVal>
          <yVal>
            <numRef>
              <f>'_look'!$AL$52:$AL$53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'_look'!$AK$54:$AK$55</f>
            </numRef>
          </xVal>
          <yVal>
            <numRef>
              <f>'_look'!$AL$54:$AL$55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'_look'!$AK$56:$AK$57</f>
            </numRef>
          </xVal>
          <yVal>
            <numRef>
              <f>'_look'!$AL$56:$AL$57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'_look'!$AK$58:$AK$59</f>
            </numRef>
          </xVal>
          <yVal>
            <numRef>
              <f>'_look'!$AL$58:$AL$59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'_look'!$AK$60:$AK$61</f>
            </numRef>
          </xVal>
          <yVal>
            <numRef>
              <f>'_look'!$AL$60:$AL$61</f>
            </numRef>
          </yVal>
          <smooth val="0"/>
        </ser>
        <ser>
          <idx val="6"/>
          <order val="6"/>
          <spPr>
            <a:ln w="19050">
              <a:solidFill>
                <a:srgbClr val="CC0000"/>
              </a:solidFill>
              <a:prstDash val="dash"/>
            </a:ln>
          </spPr>
          <marker>
            <symbol val="none"/>
            <spPr>
              <a:ln>
                <a:prstDash val="solid"/>
              </a:ln>
            </spPr>
          </marker>
          <xVal>
            <numRef>
              <f>'_look'!$AK$4:$AK$5</f>
            </numRef>
          </xVal>
          <yVal>
            <numRef>
              <f>'_look'!$AL$4:$AL$5</f>
            </numRef>
          </yVal>
          <smooth val="0"/>
        </ser>
        <ser>
          <idx val="7"/>
          <order val="7"/>
          <spPr>
            <a:ln w="19050">
              <a:solidFill>
                <a:srgbClr val="CC0000"/>
              </a:solidFill>
              <a:prstDash val="dash"/>
            </a:ln>
          </spPr>
          <marker>
            <symbol val="none"/>
            <spPr>
              <a:ln>
                <a:prstDash val="solid"/>
              </a:ln>
            </spPr>
          </marker>
          <xVal>
            <numRef>
              <f>'_look'!$AK$6:$AK$7</f>
            </numRef>
          </xVal>
          <yVal>
            <numRef>
              <f>'_look'!$AL$6:$AL$7</f>
            </numRef>
          </yVal>
          <smooth val="0"/>
        </ser>
        <ser>
          <idx val="8"/>
          <order val="8"/>
          <spPr>
            <a:ln w="19050">
              <a:solidFill>
                <a:srgbClr val="CC0000"/>
              </a:solidFill>
              <a:prstDash val="dash"/>
            </a:ln>
          </spPr>
          <marker>
            <symbol val="none"/>
            <spPr>
              <a:ln>
                <a:prstDash val="solid"/>
              </a:ln>
            </spPr>
          </marker>
          <xVal>
            <numRef>
              <f>'_look'!$AK$8:$AK$9</f>
            </numRef>
          </xVal>
          <yVal>
            <numRef>
              <f>'_look'!$AL$8:$AL$9</f>
            </numRef>
          </yVal>
          <smooth val="0"/>
        </ser>
        <ser>
          <idx val="9"/>
          <order val="9"/>
          <spPr>
            <a:ln w="19050">
              <a:solidFill>
                <a:srgbClr val="CC0000"/>
              </a:solidFill>
              <a:prstDash val="dash"/>
            </a:ln>
          </spPr>
          <marker>
            <symbol val="none"/>
            <spPr>
              <a:ln>
                <a:prstDash val="solid"/>
              </a:ln>
            </spPr>
          </marker>
          <xVal>
            <numRef>
              <f>'_look'!$AK$10:$AK$11</f>
            </numRef>
          </xVal>
          <yVal>
            <numRef>
              <f>'_look'!$AL$10:$AL$11</f>
            </numRef>
          </yVal>
          <smooth val="0"/>
        </ser>
        <ser>
          <idx val="10"/>
          <order val="10"/>
          <spPr>
            <a:ln w="19050">
              <a:solidFill>
                <a:srgbClr val="CC0000"/>
              </a:solidFill>
              <a:prstDash val="dash"/>
            </a:ln>
          </spPr>
          <marker>
            <symbol val="none"/>
            <spPr>
              <a:ln>
                <a:prstDash val="solid"/>
              </a:ln>
            </spPr>
          </marker>
          <xVal>
            <numRef>
              <f>'_look'!$AK$12:$AK$13</f>
            </numRef>
          </xVal>
          <yVal>
            <numRef>
              <f>'_look'!$AL$12:$AL$13</f>
            </numRef>
          </yVal>
          <smooth val="0"/>
        </ser>
        <ser>
          <idx val="11"/>
          <order val="11"/>
          <spPr>
            <a:ln w="19050">
              <a:solidFill>
                <a:srgbClr val="CC0000"/>
              </a:solidFill>
              <a:prstDash val="dash"/>
            </a:ln>
          </spPr>
          <marker>
            <symbol val="none"/>
            <spPr>
              <a:ln>
                <a:prstDash val="solid"/>
              </a:ln>
            </spPr>
          </marker>
          <xVal>
            <numRef>
              <f>'_look'!$AK$14:$AK$15</f>
            </numRef>
          </xVal>
          <yVal>
            <numRef>
              <f>'_look'!$AL$14:$AL$15</f>
            </numRef>
          </yVal>
          <smooth val="0"/>
        </ser>
        <ser>
          <idx val="12"/>
          <order val="12"/>
          <spPr>
            <a:ln w="19050">
              <a:solidFill>
                <a:srgbClr val="CC0000"/>
              </a:solidFill>
              <a:prstDash val="dash"/>
            </a:ln>
          </spPr>
          <marker>
            <symbol val="none"/>
            <spPr>
              <a:ln>
                <a:prstDash val="solid"/>
              </a:ln>
            </spPr>
          </marker>
          <xVal>
            <numRef>
              <f>'_look'!$AK$16:$AK$17</f>
            </numRef>
          </xVal>
          <yVal>
            <numRef>
              <f>'_look'!$AL$16:$AL$17</f>
            </numRef>
          </yVal>
          <smooth val="0"/>
        </ser>
        <ser>
          <idx val="13"/>
          <order val="13"/>
          <spPr>
            <a:ln w="19050">
              <a:solidFill>
                <a:srgbClr val="CC0000"/>
              </a:solidFill>
              <a:prstDash val="dash"/>
            </a:ln>
          </spPr>
          <marker>
            <symbol val="none"/>
            <spPr>
              <a:ln>
                <a:prstDash val="solid"/>
              </a:ln>
            </spPr>
          </marker>
          <xVal>
            <numRef>
              <f>'_look'!$AK$18:$AK$19</f>
            </numRef>
          </xVal>
          <yVal>
            <numRef>
              <f>'_look'!$AL$18:$AL$19</f>
            </numRef>
          </yVal>
          <smooth val="0"/>
        </ser>
        <ser>
          <idx val="14"/>
          <order val="14"/>
          <spPr>
            <a:ln w="19050">
              <a:solidFill>
                <a:srgbClr val="CC0000"/>
              </a:solidFill>
              <a:prstDash val="dash"/>
            </a:ln>
          </spPr>
          <marker>
            <symbol val="none"/>
            <spPr>
              <a:ln>
                <a:prstDash val="solid"/>
              </a:ln>
            </spPr>
          </marker>
          <xVal>
            <numRef>
              <f>'_look'!$AK$20:$AK$21</f>
            </numRef>
          </xVal>
          <yVal>
            <numRef>
              <f>'_look'!$AL$20:$AL$21</f>
            </numRef>
          </yVal>
          <smooth val="0"/>
        </ser>
        <ser>
          <idx val="15"/>
          <order val="15"/>
          <spPr>
            <a:ln w="19050">
              <a:solidFill>
                <a:srgbClr val="CC0000"/>
              </a:solidFill>
              <a:prstDash val="dash"/>
            </a:ln>
          </spPr>
          <marker>
            <symbol val="none"/>
            <spPr>
              <a:ln>
                <a:prstDash val="solid"/>
              </a:ln>
            </spPr>
          </marker>
          <xVal>
            <numRef>
              <f>'_look'!$AK$22:$AK$23</f>
            </numRef>
          </xVal>
          <yVal>
            <numRef>
              <f>'_look'!$AL$22:$AL$23</f>
            </numRef>
          </yVal>
          <smooth val="0"/>
        </ser>
        <ser>
          <idx val="16"/>
          <order val="16"/>
          <spPr>
            <a:ln w="19050">
              <a:solidFill>
                <a:srgbClr val="CC0000"/>
              </a:solidFill>
              <a:prstDash val="dash"/>
            </a:ln>
          </spPr>
          <marker>
            <symbol val="none"/>
            <spPr>
              <a:ln>
                <a:prstDash val="solid"/>
              </a:ln>
            </spPr>
          </marker>
          <xVal>
            <numRef>
              <f>'_look'!$AK$24:$AK$25</f>
            </numRef>
          </xVal>
          <yVal>
            <numRef>
              <f>'_look'!$AL$24:$AL$25</f>
            </numRef>
          </yVal>
          <smooth val="0"/>
        </ser>
        <ser>
          <idx val="17"/>
          <order val="17"/>
          <spPr>
            <a:ln w="19050">
              <a:solidFill>
                <a:srgbClr val="CC0000"/>
              </a:solidFill>
              <a:prstDash val="dash"/>
            </a:ln>
          </spPr>
          <marker>
            <symbol val="none"/>
            <spPr>
              <a:ln>
                <a:prstDash val="solid"/>
              </a:ln>
            </spPr>
          </marker>
          <xVal>
            <numRef>
              <f>'_look'!$AK$26:$AK$27</f>
            </numRef>
          </xVal>
          <yVal>
            <numRef>
              <f>'_look'!$AL$26:$AL$27</f>
            </numRef>
          </yVal>
          <smooth val="0"/>
        </ser>
        <ser>
          <idx val="18"/>
          <order val="18"/>
          <spPr>
            <a:ln w="19050">
              <a:solidFill>
                <a:srgbClr val="CC0000"/>
              </a:solidFill>
              <a:prstDash val="dash"/>
            </a:ln>
          </spPr>
          <marker>
            <symbol val="none"/>
            <spPr>
              <a:ln>
                <a:prstDash val="solid"/>
              </a:ln>
            </spPr>
          </marker>
          <xVal>
            <numRef>
              <f>'_look'!$AK$28:$AK$29</f>
            </numRef>
          </xVal>
          <yVal>
            <numRef>
              <f>'_look'!$AL$28:$AL$29</f>
            </numRef>
          </yVal>
          <smooth val="0"/>
        </ser>
        <ser>
          <idx val="19"/>
          <order val="19"/>
          <spPr>
            <a:ln w="19050">
              <a:solidFill>
                <a:srgbClr val="CC0000"/>
              </a:solidFill>
              <a:prstDash val="dash"/>
            </a:ln>
          </spPr>
          <marker>
            <symbol val="none"/>
            <spPr>
              <a:ln>
                <a:prstDash val="solid"/>
              </a:ln>
            </spPr>
          </marker>
          <xVal>
            <numRef>
              <f>'_look'!$AK$30:$AK$31</f>
            </numRef>
          </xVal>
          <yVal>
            <numRef>
              <f>'_look'!$AL$30:$AL$31</f>
            </numRef>
          </yVal>
          <smooth val="0"/>
        </ser>
        <ser>
          <idx val="20"/>
          <order val="20"/>
          <spPr>
            <a:ln w="19050">
              <a:solidFill>
                <a:srgbClr val="CC0000"/>
              </a:solidFill>
              <a:prstDash val="dash"/>
            </a:ln>
          </spPr>
          <marker>
            <symbol val="none"/>
            <spPr>
              <a:ln>
                <a:prstDash val="solid"/>
              </a:ln>
            </spPr>
          </marker>
          <xVal>
            <numRef>
              <f>'_look'!$AK$32:$AK$33</f>
            </numRef>
          </xVal>
          <yVal>
            <numRef>
              <f>'_look'!$AL$32:$AL$33</f>
            </numRef>
          </yVal>
          <smooth val="0"/>
        </ser>
        <ser>
          <idx val="21"/>
          <order val="21"/>
          <spPr>
            <a:ln w="19050">
              <a:solidFill>
                <a:srgbClr val="CC0000"/>
              </a:solidFill>
              <a:prstDash val="dash"/>
            </a:ln>
          </spPr>
          <marker>
            <symbol val="none"/>
            <spPr>
              <a:ln>
                <a:prstDash val="solid"/>
              </a:ln>
            </spPr>
          </marker>
          <xVal>
            <numRef>
              <f>'_look'!$AK$34:$AK$35</f>
            </numRef>
          </xVal>
          <yVal>
            <numRef>
              <f>'_look'!$AL$34:$AL$35</f>
            </numRef>
          </yVal>
          <smooth val="0"/>
        </ser>
        <ser>
          <idx val="22"/>
          <order val="22"/>
          <spPr>
            <a:ln w="19050">
              <a:solidFill>
                <a:srgbClr val="CC0000"/>
              </a:solidFill>
              <a:prstDash val="dash"/>
            </a:ln>
          </spPr>
          <marker>
            <symbol val="none"/>
            <spPr>
              <a:ln>
                <a:prstDash val="solid"/>
              </a:ln>
            </spPr>
          </marker>
          <xVal>
            <numRef>
              <f>'_look'!$AK$36:$AK$37</f>
            </numRef>
          </xVal>
          <yVal>
            <numRef>
              <f>'_look'!$AL$36:$AL$37</f>
            </numRef>
          </yVal>
          <smooth val="0"/>
        </ser>
        <ser>
          <idx val="23"/>
          <order val="23"/>
          <spPr>
            <a:ln w="19050">
              <a:solidFill>
                <a:srgbClr val="CC0000"/>
              </a:solidFill>
              <a:prstDash val="dash"/>
            </a:ln>
          </spPr>
          <marker>
            <symbol val="none"/>
            <spPr>
              <a:ln>
                <a:prstDash val="solid"/>
              </a:ln>
            </spPr>
          </marker>
          <xVal>
            <numRef>
              <f>'_look'!$AK$38:$AK$39</f>
            </numRef>
          </xVal>
          <yVal>
            <numRef>
              <f>'_look'!$AL$38:$AL$39</f>
            </numRef>
          </yVal>
          <smooth val="0"/>
        </ser>
        <ser>
          <idx val="24"/>
          <order val="24"/>
          <spPr>
            <a:ln w="19050">
              <a:solidFill>
                <a:srgbClr val="CC0000"/>
              </a:solidFill>
              <a:prstDash val="dash"/>
            </a:ln>
          </spPr>
          <marker>
            <symbol val="none"/>
            <spPr>
              <a:ln>
                <a:prstDash val="solid"/>
              </a:ln>
            </spPr>
          </marker>
          <xVal>
            <numRef>
              <f>'_look'!$AK$40:$AK$41</f>
            </numRef>
          </xVal>
          <yVal>
            <numRef>
              <f>'_look'!$AL$40:$AL$41</f>
            </numRef>
          </yVal>
          <smooth val="0"/>
        </ser>
        <ser>
          <idx val="25"/>
          <order val="25"/>
          <spPr>
            <a:ln w="19050">
              <a:solidFill>
                <a:srgbClr val="CC0000"/>
              </a:solidFill>
              <a:prstDash val="dash"/>
            </a:ln>
          </spPr>
          <marker>
            <symbol val="none"/>
            <spPr>
              <a:ln>
                <a:prstDash val="solid"/>
              </a:ln>
            </spPr>
          </marker>
          <xVal>
            <numRef>
              <f>'_look'!$AK$42:$AK$43</f>
            </numRef>
          </xVal>
          <yVal>
            <numRef>
              <f>'_look'!$AL$42:$AL$43</f>
            </numRef>
          </yVal>
          <smooth val="0"/>
        </ser>
        <ser>
          <idx val="26"/>
          <order val="26"/>
          <spPr>
            <a:ln w="19050">
              <a:solidFill>
                <a:srgbClr val="CC0000"/>
              </a:solidFill>
              <a:prstDash val="dash"/>
            </a:ln>
          </spPr>
          <marker>
            <symbol val="none"/>
            <spPr>
              <a:ln>
                <a:prstDash val="solid"/>
              </a:ln>
            </spPr>
          </marker>
          <xVal>
            <numRef>
              <f>'_look'!$AK$44:$AK$45</f>
            </numRef>
          </xVal>
          <yVal>
            <numRef>
              <f>'_look'!$AL$44:$AL$45</f>
            </numRef>
          </yVal>
          <smooth val="0"/>
        </ser>
        <ser>
          <idx val="27"/>
          <order val="27"/>
          <spPr>
            <a:ln w="19050">
              <a:solidFill>
                <a:srgbClr val="CC0000"/>
              </a:solidFill>
              <a:prstDash val="dash"/>
            </a:ln>
          </spPr>
          <marker>
            <symbol val="none"/>
            <spPr>
              <a:ln>
                <a:prstDash val="solid"/>
              </a:ln>
            </spPr>
          </marker>
          <xVal>
            <numRef>
              <f>'_look'!$AK$46:$AK$47</f>
            </numRef>
          </xVal>
          <yVal>
            <numRef>
              <f>'_look'!$AL$46:$AL$47</f>
            </numRef>
          </yVal>
          <smooth val="0"/>
        </ser>
        <ser>
          <idx val="28"/>
          <order val="28"/>
          <spPr>
            <a:ln w="19050">
              <a:solidFill>
                <a:srgbClr val="CC0000"/>
              </a:solidFill>
              <a:prstDash val="dash"/>
            </a:ln>
          </spPr>
          <marker>
            <symbol val="none"/>
            <spPr>
              <a:ln>
                <a:prstDash val="solid"/>
              </a:ln>
            </spPr>
          </marker>
          <xVal>
            <numRef>
              <f>'_look'!$AK$48:$AK$49</f>
            </numRef>
          </xVal>
          <yVal>
            <numRef>
              <f>'_look'!$AL$48:$AL$49</f>
            </numRef>
          </yVal>
          <smooth val="0"/>
        </ser>
        <ser>
          <idx val="29"/>
          <order val="29"/>
          <spPr>
            <a:ln w="19050">
              <a:solidFill>
                <a:srgbClr val="CC0000"/>
              </a:solidFill>
              <a:prstDash val="dash"/>
            </a:ln>
          </spPr>
          <marker>
            <symbol val="none"/>
            <spPr>
              <a:ln>
                <a:prstDash val="solid"/>
              </a:ln>
            </spPr>
          </marker>
          <xVal>
            <numRef>
              <f>'_look'!$AK$50:$AK$51</f>
            </numRef>
          </xVal>
          <yVal>
            <numRef>
              <f>'_look'!$AL$50:$AL$51</f>
            </numRef>
          </yVal>
          <smooth val="0"/>
        </ser>
        <axId val="500"/>
        <axId val="600"/>
      </scatterChart>
      <catAx>
        <axId val="10"/>
        <scaling>
          <orientation val="minMax"/>
        </scaling>
        <delete val="0"/>
        <axPos val="l"/>
        <majorTickMark val="none"/>
        <minorTickMark val="none"/>
        <txPr>
          <a:bodyPr rot="0" vert="horz" wrap="none"/>
          <a:p>
            <a:pPr>
              <a:defRPr sz="900">
                <a:solidFill>
                  <a:srgbClr val="16130F"/>
                </a:solidFill>
              </a:defRPr>
            </a:pP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4.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'_look'!$AV$4:$AV$123</f>
            </numRef>
          </cat>
          <val>
            <numRef>
              <f>'_look'!$AW$4:$AW$123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'_look'!$AX$52:$AX$53</f>
            </numRef>
          </xVal>
          <yVal>
            <numRef>
              <f>'_look'!$AY$52:$AY$53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'_look'!$AX$54:$AX$55</f>
            </numRef>
          </xVal>
          <yVal>
            <numRef>
              <f>'_look'!$AY$54:$AY$55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'_look'!$AX$56:$AX$57</f>
            </numRef>
          </xVal>
          <yVal>
            <numRef>
              <f>'_look'!$AY$56:$AY$57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'_look'!$AX$58:$AX$59</f>
            </numRef>
          </xVal>
          <yVal>
            <numRef>
              <f>'_look'!$AY$58:$AY$59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'_look'!$AX$60:$AX$61</f>
            </numRef>
          </xVal>
          <yVal>
            <numRef>
              <f>'_look'!$AY$60:$AY$61</f>
            </numRef>
          </yVal>
          <smooth val="0"/>
        </ser>
        <ser>
          <idx val="6"/>
          <order val="6"/>
          <spPr>
            <a:ln w="19050">
              <a:solidFill>
                <a:srgbClr val="CC0000"/>
              </a:solidFill>
              <a:prstDash val="dash"/>
            </a:ln>
          </spPr>
          <marker>
            <symbol val="none"/>
            <spPr>
              <a:ln>
                <a:prstDash val="solid"/>
              </a:ln>
            </spPr>
          </marker>
          <xVal>
            <numRef>
              <f>'_look'!$AX$4:$AX$5</f>
            </numRef>
          </xVal>
          <yVal>
            <numRef>
              <f>'_look'!$AY$4:$AY$5</f>
            </numRef>
          </yVal>
          <smooth val="0"/>
        </ser>
        <ser>
          <idx val="7"/>
          <order val="7"/>
          <spPr>
            <a:ln w="19050">
              <a:solidFill>
                <a:srgbClr val="CC0000"/>
              </a:solidFill>
              <a:prstDash val="dash"/>
            </a:ln>
          </spPr>
          <marker>
            <symbol val="none"/>
            <spPr>
              <a:ln>
                <a:prstDash val="solid"/>
              </a:ln>
            </spPr>
          </marker>
          <xVal>
            <numRef>
              <f>'_look'!$AX$6:$AX$7</f>
            </numRef>
          </xVal>
          <yVal>
            <numRef>
              <f>'_look'!$AY$6:$AY$7</f>
            </numRef>
          </yVal>
          <smooth val="0"/>
        </ser>
        <ser>
          <idx val="8"/>
          <order val="8"/>
          <spPr>
            <a:ln w="19050">
              <a:solidFill>
                <a:srgbClr val="CC0000"/>
              </a:solidFill>
              <a:prstDash val="dash"/>
            </a:ln>
          </spPr>
          <marker>
            <symbol val="none"/>
            <spPr>
              <a:ln>
                <a:prstDash val="solid"/>
              </a:ln>
            </spPr>
          </marker>
          <xVal>
            <numRef>
              <f>'_look'!$AX$8:$AX$9</f>
            </numRef>
          </xVal>
          <yVal>
            <numRef>
              <f>'_look'!$AY$8:$AY$9</f>
            </numRef>
          </yVal>
          <smooth val="0"/>
        </ser>
        <ser>
          <idx val="9"/>
          <order val="9"/>
          <spPr>
            <a:ln w="19050">
              <a:solidFill>
                <a:srgbClr val="CC0000"/>
              </a:solidFill>
              <a:prstDash val="dash"/>
            </a:ln>
          </spPr>
          <marker>
            <symbol val="none"/>
            <spPr>
              <a:ln>
                <a:prstDash val="solid"/>
              </a:ln>
            </spPr>
          </marker>
          <xVal>
            <numRef>
              <f>'_look'!$AX$10:$AX$11</f>
            </numRef>
          </xVal>
          <yVal>
            <numRef>
              <f>'_look'!$AY$10:$AY$11</f>
            </numRef>
          </yVal>
          <smooth val="0"/>
        </ser>
        <ser>
          <idx val="10"/>
          <order val="10"/>
          <spPr>
            <a:ln w="19050">
              <a:solidFill>
                <a:srgbClr val="CC0000"/>
              </a:solidFill>
              <a:prstDash val="dash"/>
            </a:ln>
          </spPr>
          <marker>
            <symbol val="none"/>
            <spPr>
              <a:ln>
                <a:prstDash val="solid"/>
              </a:ln>
            </spPr>
          </marker>
          <xVal>
            <numRef>
              <f>'_look'!$AX$12:$AX$13</f>
            </numRef>
          </xVal>
          <yVal>
            <numRef>
              <f>'_look'!$AY$12:$AY$13</f>
            </numRef>
          </yVal>
          <smooth val="0"/>
        </ser>
        <ser>
          <idx val="11"/>
          <order val="11"/>
          <spPr>
            <a:ln w="19050">
              <a:solidFill>
                <a:srgbClr val="CC0000"/>
              </a:solidFill>
              <a:prstDash val="dash"/>
            </a:ln>
          </spPr>
          <marker>
            <symbol val="none"/>
            <spPr>
              <a:ln>
                <a:prstDash val="solid"/>
              </a:ln>
            </spPr>
          </marker>
          <xVal>
            <numRef>
              <f>'_look'!$AX$14:$AX$15</f>
            </numRef>
          </xVal>
          <yVal>
            <numRef>
              <f>'_look'!$AY$14:$AY$15</f>
            </numRef>
          </yVal>
          <smooth val="0"/>
        </ser>
        <ser>
          <idx val="12"/>
          <order val="12"/>
          <spPr>
            <a:ln w="19050">
              <a:solidFill>
                <a:srgbClr val="CC0000"/>
              </a:solidFill>
              <a:prstDash val="dash"/>
            </a:ln>
          </spPr>
          <marker>
            <symbol val="none"/>
            <spPr>
              <a:ln>
                <a:prstDash val="solid"/>
              </a:ln>
            </spPr>
          </marker>
          <xVal>
            <numRef>
              <f>'_look'!$AX$16:$AX$17</f>
            </numRef>
          </xVal>
          <yVal>
            <numRef>
              <f>'_look'!$AY$16:$AY$17</f>
            </numRef>
          </yVal>
          <smooth val="0"/>
        </ser>
        <ser>
          <idx val="13"/>
          <order val="13"/>
          <spPr>
            <a:ln w="19050">
              <a:solidFill>
                <a:srgbClr val="CC0000"/>
              </a:solidFill>
              <a:prstDash val="dash"/>
            </a:ln>
          </spPr>
          <marker>
            <symbol val="none"/>
            <spPr>
              <a:ln>
                <a:prstDash val="solid"/>
              </a:ln>
            </spPr>
          </marker>
          <xVal>
            <numRef>
              <f>'_look'!$AX$18:$AX$19</f>
            </numRef>
          </xVal>
          <yVal>
            <numRef>
              <f>'_look'!$AY$18:$AY$19</f>
            </numRef>
          </yVal>
          <smooth val="0"/>
        </ser>
        <ser>
          <idx val="14"/>
          <order val="14"/>
          <spPr>
            <a:ln w="19050">
              <a:solidFill>
                <a:srgbClr val="CC0000"/>
              </a:solidFill>
              <a:prstDash val="dash"/>
            </a:ln>
          </spPr>
          <marker>
            <symbol val="none"/>
            <spPr>
              <a:ln>
                <a:prstDash val="solid"/>
              </a:ln>
            </spPr>
          </marker>
          <xVal>
            <numRef>
              <f>'_look'!$AX$20:$AX$21</f>
            </numRef>
          </xVal>
          <yVal>
            <numRef>
              <f>'_look'!$AY$20:$AY$21</f>
            </numRef>
          </yVal>
          <smooth val="0"/>
        </ser>
        <ser>
          <idx val="15"/>
          <order val="15"/>
          <spPr>
            <a:ln w="19050">
              <a:solidFill>
                <a:srgbClr val="CC0000"/>
              </a:solidFill>
              <a:prstDash val="dash"/>
            </a:ln>
          </spPr>
          <marker>
            <symbol val="none"/>
            <spPr>
              <a:ln>
                <a:prstDash val="solid"/>
              </a:ln>
            </spPr>
          </marker>
          <xVal>
            <numRef>
              <f>'_look'!$AX$22:$AX$23</f>
            </numRef>
          </xVal>
          <yVal>
            <numRef>
              <f>'_look'!$AY$22:$AY$23</f>
            </numRef>
          </yVal>
          <smooth val="0"/>
        </ser>
        <ser>
          <idx val="16"/>
          <order val="16"/>
          <spPr>
            <a:ln w="19050">
              <a:solidFill>
                <a:srgbClr val="CC0000"/>
              </a:solidFill>
              <a:prstDash val="dash"/>
            </a:ln>
          </spPr>
          <marker>
            <symbol val="none"/>
            <spPr>
              <a:ln>
                <a:prstDash val="solid"/>
              </a:ln>
            </spPr>
          </marker>
          <xVal>
            <numRef>
              <f>'_look'!$AX$24:$AX$25</f>
            </numRef>
          </xVal>
          <yVal>
            <numRef>
              <f>'_look'!$AY$24:$AY$25</f>
            </numRef>
          </yVal>
          <smooth val="0"/>
        </ser>
        <ser>
          <idx val="17"/>
          <order val="17"/>
          <spPr>
            <a:ln w="19050">
              <a:solidFill>
                <a:srgbClr val="CC0000"/>
              </a:solidFill>
              <a:prstDash val="dash"/>
            </a:ln>
          </spPr>
          <marker>
            <symbol val="none"/>
            <spPr>
              <a:ln>
                <a:prstDash val="solid"/>
              </a:ln>
            </spPr>
          </marker>
          <xVal>
            <numRef>
              <f>'_look'!$AX$26:$AX$27</f>
            </numRef>
          </xVal>
          <yVal>
            <numRef>
              <f>'_look'!$AY$26:$AY$27</f>
            </numRef>
          </yVal>
          <smooth val="0"/>
        </ser>
        <ser>
          <idx val="18"/>
          <order val="18"/>
          <spPr>
            <a:ln w="19050">
              <a:solidFill>
                <a:srgbClr val="CC0000"/>
              </a:solidFill>
              <a:prstDash val="dash"/>
            </a:ln>
          </spPr>
          <marker>
            <symbol val="none"/>
            <spPr>
              <a:ln>
                <a:prstDash val="solid"/>
              </a:ln>
            </spPr>
          </marker>
          <xVal>
            <numRef>
              <f>'_look'!$AX$28:$AX$29</f>
            </numRef>
          </xVal>
          <yVal>
            <numRef>
              <f>'_look'!$AY$28:$AY$29</f>
            </numRef>
          </yVal>
          <smooth val="0"/>
        </ser>
        <ser>
          <idx val="19"/>
          <order val="19"/>
          <spPr>
            <a:ln w="19050">
              <a:solidFill>
                <a:srgbClr val="CC0000"/>
              </a:solidFill>
              <a:prstDash val="dash"/>
            </a:ln>
          </spPr>
          <marker>
            <symbol val="none"/>
            <spPr>
              <a:ln>
                <a:prstDash val="solid"/>
              </a:ln>
            </spPr>
          </marker>
          <xVal>
            <numRef>
              <f>'_look'!$AX$30:$AX$31</f>
            </numRef>
          </xVal>
          <yVal>
            <numRef>
              <f>'_look'!$AY$30:$AY$31</f>
            </numRef>
          </yVal>
          <smooth val="0"/>
        </ser>
        <ser>
          <idx val="20"/>
          <order val="20"/>
          <spPr>
            <a:ln w="19050">
              <a:solidFill>
                <a:srgbClr val="CC0000"/>
              </a:solidFill>
              <a:prstDash val="dash"/>
            </a:ln>
          </spPr>
          <marker>
            <symbol val="none"/>
            <spPr>
              <a:ln>
                <a:prstDash val="solid"/>
              </a:ln>
            </spPr>
          </marker>
          <xVal>
            <numRef>
              <f>'_look'!$AX$32:$AX$33</f>
            </numRef>
          </xVal>
          <yVal>
            <numRef>
              <f>'_look'!$AY$32:$AY$33</f>
            </numRef>
          </yVal>
          <smooth val="0"/>
        </ser>
        <ser>
          <idx val="21"/>
          <order val="21"/>
          <spPr>
            <a:ln w="19050">
              <a:solidFill>
                <a:srgbClr val="CC0000"/>
              </a:solidFill>
              <a:prstDash val="dash"/>
            </a:ln>
          </spPr>
          <marker>
            <symbol val="none"/>
            <spPr>
              <a:ln>
                <a:prstDash val="solid"/>
              </a:ln>
            </spPr>
          </marker>
          <xVal>
            <numRef>
              <f>'_look'!$AX$34:$AX$35</f>
            </numRef>
          </xVal>
          <yVal>
            <numRef>
              <f>'_look'!$AY$34:$AY$35</f>
            </numRef>
          </yVal>
          <smooth val="0"/>
        </ser>
        <ser>
          <idx val="22"/>
          <order val="22"/>
          <spPr>
            <a:ln w="19050">
              <a:solidFill>
                <a:srgbClr val="CC0000"/>
              </a:solidFill>
              <a:prstDash val="dash"/>
            </a:ln>
          </spPr>
          <marker>
            <symbol val="none"/>
            <spPr>
              <a:ln>
                <a:prstDash val="solid"/>
              </a:ln>
            </spPr>
          </marker>
          <xVal>
            <numRef>
              <f>'_look'!$AX$36:$AX$37</f>
            </numRef>
          </xVal>
          <yVal>
            <numRef>
              <f>'_look'!$AY$36:$AY$37</f>
            </numRef>
          </yVal>
          <smooth val="0"/>
        </ser>
        <ser>
          <idx val="23"/>
          <order val="23"/>
          <spPr>
            <a:ln w="19050">
              <a:solidFill>
                <a:srgbClr val="CC0000"/>
              </a:solidFill>
              <a:prstDash val="dash"/>
            </a:ln>
          </spPr>
          <marker>
            <symbol val="none"/>
            <spPr>
              <a:ln>
                <a:prstDash val="solid"/>
              </a:ln>
            </spPr>
          </marker>
          <xVal>
            <numRef>
              <f>'_look'!$AX$38:$AX$39</f>
            </numRef>
          </xVal>
          <yVal>
            <numRef>
              <f>'_look'!$AY$38:$AY$39</f>
            </numRef>
          </yVal>
          <smooth val="0"/>
        </ser>
        <ser>
          <idx val="24"/>
          <order val="24"/>
          <spPr>
            <a:ln w="19050">
              <a:solidFill>
                <a:srgbClr val="CC0000"/>
              </a:solidFill>
              <a:prstDash val="dash"/>
            </a:ln>
          </spPr>
          <marker>
            <symbol val="none"/>
            <spPr>
              <a:ln>
                <a:prstDash val="solid"/>
              </a:ln>
            </spPr>
          </marker>
          <xVal>
            <numRef>
              <f>'_look'!$AX$40:$AX$41</f>
            </numRef>
          </xVal>
          <yVal>
            <numRef>
              <f>'_look'!$AY$40:$AY$41</f>
            </numRef>
          </yVal>
          <smooth val="0"/>
        </ser>
        <ser>
          <idx val="25"/>
          <order val="25"/>
          <spPr>
            <a:ln w="19050">
              <a:solidFill>
                <a:srgbClr val="CC0000"/>
              </a:solidFill>
              <a:prstDash val="dash"/>
            </a:ln>
          </spPr>
          <marker>
            <symbol val="none"/>
            <spPr>
              <a:ln>
                <a:prstDash val="solid"/>
              </a:ln>
            </spPr>
          </marker>
          <xVal>
            <numRef>
              <f>'_look'!$AX$42:$AX$43</f>
            </numRef>
          </xVal>
          <yVal>
            <numRef>
              <f>'_look'!$AY$42:$AY$43</f>
            </numRef>
          </yVal>
          <smooth val="0"/>
        </ser>
        <ser>
          <idx val="26"/>
          <order val="26"/>
          <spPr>
            <a:ln w="19050">
              <a:solidFill>
                <a:srgbClr val="CC0000"/>
              </a:solidFill>
              <a:prstDash val="dash"/>
            </a:ln>
          </spPr>
          <marker>
            <symbol val="none"/>
            <spPr>
              <a:ln>
                <a:prstDash val="solid"/>
              </a:ln>
            </spPr>
          </marker>
          <xVal>
            <numRef>
              <f>'_look'!$AX$44:$AX$45</f>
            </numRef>
          </xVal>
          <yVal>
            <numRef>
              <f>'_look'!$AY$44:$AY$45</f>
            </numRef>
          </yVal>
          <smooth val="0"/>
        </ser>
        <ser>
          <idx val="27"/>
          <order val="27"/>
          <spPr>
            <a:ln w="19050">
              <a:solidFill>
                <a:srgbClr val="CC0000"/>
              </a:solidFill>
              <a:prstDash val="dash"/>
            </a:ln>
          </spPr>
          <marker>
            <symbol val="none"/>
            <spPr>
              <a:ln>
                <a:prstDash val="solid"/>
              </a:ln>
            </spPr>
          </marker>
          <xVal>
            <numRef>
              <f>'_look'!$AX$46:$AX$47</f>
            </numRef>
          </xVal>
          <yVal>
            <numRef>
              <f>'_look'!$AY$46:$AY$47</f>
            </numRef>
          </yVal>
          <smooth val="0"/>
        </ser>
        <ser>
          <idx val="28"/>
          <order val="28"/>
          <spPr>
            <a:ln w="19050">
              <a:solidFill>
                <a:srgbClr val="CC0000"/>
              </a:solidFill>
              <a:prstDash val="dash"/>
            </a:ln>
          </spPr>
          <marker>
            <symbol val="none"/>
            <spPr>
              <a:ln>
                <a:prstDash val="solid"/>
              </a:ln>
            </spPr>
          </marker>
          <xVal>
            <numRef>
              <f>'_look'!$AX$48:$AX$49</f>
            </numRef>
          </xVal>
          <yVal>
            <numRef>
              <f>'_look'!$AY$48:$AY$49</f>
            </numRef>
          </yVal>
          <smooth val="0"/>
        </ser>
        <ser>
          <idx val="29"/>
          <order val="29"/>
          <spPr>
            <a:ln w="19050">
              <a:solidFill>
                <a:srgbClr val="CC0000"/>
              </a:solidFill>
              <a:prstDash val="dash"/>
            </a:ln>
          </spPr>
          <marker>
            <symbol val="none"/>
            <spPr>
              <a:ln>
                <a:prstDash val="solid"/>
              </a:ln>
            </spPr>
          </marker>
          <xVal>
            <numRef>
              <f>'_look'!$AX$50:$AX$51</f>
            </numRef>
          </xVal>
          <yVal>
            <numRef>
              <f>'_look'!$AY$50:$AY$51</f>
            </numRef>
          </yVal>
          <smooth val="0"/>
        </ser>
        <axId val="500"/>
        <axId val="600"/>
      </scatterChart>
      <catAx>
        <axId val="10"/>
        <scaling>
          <orientation val="minMax"/>
        </scaling>
        <delete val="0"/>
        <axPos val="l"/>
        <majorTickMark val="none"/>
        <minorTickMark val="none"/>
        <txPr>
          <a:bodyPr rot="0" vert="horz" wrap="none"/>
          <a:p>
            <a:pPr>
              <a:defRPr sz="900">
                <a:solidFill>
                  <a:srgbClr val="16130F"/>
                </a:solidFill>
              </a:defRPr>
            </a:pP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5.xml><?xml version="1.0" encoding="utf-8"?>
<chartSpace xmlns:a="http://schemas.openxmlformats.org/drawingml/2006/main" xmlns="http://schemas.openxmlformats.org/drawingml/2006/chart">
  <style val="13"/>
  <chart>
    <title>
      <tx>
        <rich>
          <a:bodyPr/>
          <a:p>
            <a:pPr>
              <a:defRPr/>
            </a:pPr>
            <a:r>
              <a:t>REV_DEBT against FICO</a:t>
            </a:r>
          </a:p>
        </rich>
      </tx>
    </title>
    <plotArea>
      <scatterChart>
        <ser>
          <idx val="0"/>
          <order val="0"/>
          <tx>
            <v>REV_DEBT</v>
          </tx>
          <spPr>
            <a:ln>
              <a:noFill/>
              <a:prstDash val="solid"/>
            </a:ln>
          </spPr>
          <marker>
            <symbol val="circle"/>
            <size val="3"/>
            <spPr>
              <a:solidFill>
                <a:srgbClr val="0A0908"/>
              </a:solidFill>
              <a:ln>
                <a:solidFill>
                  <a:srgbClr val="0A0908"/>
                </a:solidFill>
                <a:prstDash val="solid"/>
              </a:ln>
            </spPr>
          </marker>
          <xVal>
            <numRef>
              <f>'_dots'!$A$4:$A$2003</f>
            </numRef>
          </xVal>
          <yVal>
            <numRef>
              <f>'_dots'!$B$4:$B$2003</f>
            </numRef>
          </yVal>
        </ser>
        <axId val="10"/>
        <axId val="20"/>
      </scatterChart>
      <valAx>
        <axId val="10"/>
        <scaling>
          <orientation val="minMax"/>
          <max val="900"/>
          <min val="500"/>
        </scaling>
        <delete val="0"/>
        <axPos val="l"/>
        <majorGridlines/>
        <title>
          <tx>
            <rich>
              <a:bodyPr/>
              <a:p>
                <a:pPr>
                  <a:defRPr/>
                </a:pPr>
                <a:r>
                  <a:t>FICO</a:t>
                </a:r>
              </a:p>
            </rich>
          </tx>
        </title>
        <numFmt formatCode="#,##0" sourceLinked="0"/>
        <majorTickMark val="none"/>
        <minorTickMark val="none"/>
        <crossAx val="20"/>
        <majorUnit val="50"/>
      </valAx>
      <valAx>
        <axId val="20"/>
        <scaling>
          <orientation val="minMax"/>
          <max val="50000"/>
          <min val="0"/>
        </scaling>
        <delete val="0"/>
        <axPos val="l"/>
        <majorGridlines/>
        <title>
          <tx>
            <rich>
              <a:bodyPr/>
              <a:p>
                <a:pPr>
                  <a:defRPr/>
                </a:pPr>
                <a:r>
                  <a:t>REV_DEBT</a:t>
                </a:r>
              </a:p>
            </rich>
          </tx>
        </title>
        <numFmt formatCode="[&gt;=1000]#,##0,&quot;k&quot;;0" sourceLinked="0"/>
        <majorTickMark val="none"/>
        <minorTickMark val="none"/>
        <crossAx val="10"/>
        <majorUnit val="10000"/>
      </valAx>
    </plotArea>
    <plotVisOnly val="1"/>
    <dispBlanksAs val="gap"/>
  </chart>
</chartSpace>
</file>

<file path=xl/charts/chart6.xml><?xml version="1.0" encoding="utf-8"?>
<chartSpace xmlns:a="http://schemas.openxmlformats.org/drawingml/2006/main" xmlns="http://schemas.openxmlformats.org/drawingml/2006/chart">
  <style val="13"/>
  <chart>
    <title>
      <tx>
        <rich>
          <a:bodyPr/>
          <a:p>
            <a:pPr>
              <a:defRPr/>
            </a:pPr>
            <a:r>
              <a:t>REV_DEBT against SHORT_HIST</a:t>
            </a:r>
          </a:p>
        </rich>
      </tx>
    </title>
    <plotArea>
      <scatterChart>
        <ser>
          <idx val="0"/>
          <order val="0"/>
          <tx>
            <v>REV_DEBT</v>
          </tx>
          <spPr>
            <a:ln>
              <a:noFill/>
              <a:prstDash val="solid"/>
            </a:ln>
          </spPr>
          <marker>
            <symbol val="circle"/>
            <size val="3"/>
            <spPr>
              <a:solidFill>
                <a:srgbClr val="0A0908"/>
              </a:solidFill>
              <a:ln>
                <a:solidFill>
                  <a:srgbClr val="0A0908"/>
                </a:solidFill>
                <a:prstDash val="solid"/>
              </a:ln>
            </spPr>
          </marker>
          <xVal>
            <numRef>
              <f>'_dots'!$C$4:$C$2003</f>
            </numRef>
          </xVal>
          <yVal>
            <numRef>
              <f>'_dots'!$D$4:$D$2003</f>
            </numRef>
          </yVal>
        </ser>
        <axId val="10"/>
        <axId val="20"/>
      </scatterChart>
      <valAx>
        <axId val="10"/>
        <scaling>
          <orientation val="minMax"/>
          <max val="500"/>
          <min val="0"/>
        </scaling>
        <delete val="0"/>
        <axPos val="l"/>
        <majorGridlines/>
        <title>
          <tx>
            <rich>
              <a:bodyPr/>
              <a:p>
                <a:pPr>
                  <a:defRPr/>
                </a:pPr>
                <a:r>
                  <a:t>SHORT_HIST</a:t>
                </a:r>
              </a:p>
            </rich>
          </tx>
        </title>
        <numFmt formatCode="#,##0" sourceLinked="0"/>
        <majorTickMark val="none"/>
        <minorTickMark val="none"/>
        <crossAx val="20"/>
        <majorUnit val="100"/>
      </valAx>
      <valAx>
        <axId val="20"/>
        <scaling>
          <orientation val="minMax"/>
          <max val="40000"/>
          <min val="0"/>
        </scaling>
        <delete val="0"/>
        <axPos val="l"/>
        <majorGridlines/>
        <title>
          <tx>
            <rich>
              <a:bodyPr/>
              <a:p>
                <a:pPr>
                  <a:defRPr/>
                </a:pPr>
                <a:r>
                  <a:t>REV_DEBT</a:t>
                </a:r>
              </a:p>
            </rich>
          </tx>
        </title>
        <numFmt formatCode="[&gt;=1000]#,##0,&quot;k&quot;;0" sourceLinked="0"/>
        <majorTickMark val="none"/>
        <minorTickMark val="none"/>
        <crossAx val="10"/>
        <majorUnit val="5000"/>
      </valAx>
    </plotArea>
    <plotVisOnly val="1"/>
    <dispBlanksAs val="gap"/>
  </chart>
</chartSpace>
</file>

<file path=xl/charts/chart7.xml><?xml version="1.0" encoding="utf-8"?>
<chartSpace xmlns:a="http://schemas.openxmlformats.org/drawingml/2006/main" xmlns="http://schemas.openxmlformats.org/drawingml/2006/chart">
  <style val="13"/>
  <chart>
    <title>
      <tx>
        <rich>
          <a:bodyPr/>
          <a:p>
            <a:pPr>
              <a:defRPr/>
            </a:pPr>
            <a:r>
              <a:t>Cost us against what we kept, the grid picked above</a:t>
            </a:r>
          </a:p>
        </rich>
      </tx>
    </title>
    <plotArea>
      <scatterChart>
        <ser>
          <idx val="0"/>
          <order val="0"/>
          <tx>
            <v>Pockets</v>
          </tx>
          <spPr>
            <a:ln>
              <a:noFill/>
              <a:prstDash val="solid"/>
            </a:ln>
          </spPr>
          <marker>
            <symbol val="circle"/>
            <size val="6"/>
            <spPr>
              <a:solidFill>
                <a:srgbClr val="0A0908"/>
              </a:solidFill>
              <a:ln>
                <a:solidFill>
                  <a:srgbClr val="0A0908"/>
                </a:solidFill>
                <a:prstDash val="solid"/>
              </a:ln>
            </spPr>
          </marker>
          <xVal>
            <numRef>
              <f>'_chart'!$A$1:$A$19</f>
            </numRef>
          </xVal>
          <yVal>
            <numRef>
              <f>'_chart'!$B$1:$B$19</f>
            </numRef>
          </yVal>
        </ser>
        <ser>
          <idx val="1"/>
          <order val="1"/>
          <spPr>
            <a:ln>
              <a:noFill/>
              <a:prstDash val="solid"/>
            </a:ln>
          </spPr>
          <marker>
            <symbol val="circle"/>
            <size val="8"/>
            <spPr>
              <a:solidFill>
                <a:srgbClr val="CC0000"/>
              </a:solidFill>
              <a:ln>
                <a:solidFill>
                  <a:srgbClr val="CC0000"/>
                </a:solidFill>
                <a:prstDash val="solid"/>
              </a:ln>
            </spPr>
          </marker>
          <xVal>
            <numRef>
              <f>'_chart'!$F$1:$F$19</f>
            </numRef>
          </xVal>
          <yVal>
            <numRef>
              <f>'_chart'!$G$1:$G$19</f>
            </numRef>
          </yVal>
        </ser>
        <ser>
          <idx val="2"/>
          <order val="2"/>
          <spPr>
            <a:ln>
              <a:noFill/>
              <a:prstDash val="solid"/>
            </a:ln>
          </spPr>
          <marker>
            <symbol val="circle"/>
            <size val="8"/>
            <spPr>
              <a:solidFill>
                <a:srgbClr val="1E7A47"/>
              </a:solidFill>
              <a:ln>
                <a:solidFill>
                  <a:srgbClr val="1E7A47"/>
                </a:solidFill>
                <a:prstDash val="solid"/>
              </a:ln>
            </spPr>
          </marker>
          <xVal>
            <numRef>
              <f>'_chart'!$H$1:$H$19</f>
            </numRef>
          </xVal>
          <yVal>
            <numRef>
              <f>'_chart'!$I$1:$I$19</f>
            </numRef>
          </yVal>
        </ser>
        <ser>
          <idx val="3"/>
          <order val="3"/>
          <tx>
            <v>line</v>
          </tx>
          <spPr>
            <a:ln>
              <a:solidFill>
                <a:srgbClr val="CC0000"/>
              </a:solidFill>
              <a:prstDash val="dash"/>
            </a:ln>
          </spPr>
          <marker>
            <symbol val="none"/>
            <spPr>
              <a:ln>
                <a:prstDash val="solid"/>
              </a:ln>
            </spPr>
          </marker>
          <xVal>
            <numRef>
              <f>'_chart'!$A$22:$A$23</f>
            </numRef>
          </xVal>
          <yVal>
            <numRef>
              <f>'_chart'!$B$22:$B$23</f>
            </numRef>
          </yVal>
        </ser>
        <ser>
          <idx val="4"/>
          <order val="4"/>
          <tx>
            <v>line</v>
          </tx>
          <spPr>
            <a:ln>
              <a:solidFill>
                <a:srgbClr val="CC0000"/>
              </a:solidFill>
              <a:prstDash val="dash"/>
            </a:ln>
          </spPr>
          <marker>
            <symbol val="none"/>
            <spPr>
              <a:ln>
                <a:prstDash val="solid"/>
              </a:ln>
            </spPr>
          </marker>
          <xVal>
            <numRef>
              <f>'_chart'!$A$24:$A$25</f>
            </numRef>
          </xVal>
          <yVal>
            <numRef>
              <f>'_chart'!$B$24:$B$25</f>
            </numRef>
          </yVal>
        </ser>
        <ser>
          <idx val="5"/>
          <order val="5"/>
          <tx>
            <v>Priced for it</v>
          </tx>
          <spPr>
            <a:ln>
              <a:noFill/>
              <a:prstDash val="solid"/>
            </a:ln>
          </spPr>
          <marker>
            <symbol val="none"/>
            <spPr>
              <a:ln>
                <a:prstDash val="solid"/>
              </a:ln>
            </spPr>
          </marker>
          <dLbls>
            <dLblPos val="ctr"/>
            <showLegendKey val="0"/>
            <showVal val="0"/>
            <showCatName val="0"/>
            <showSerName val="1"/>
            <showPercent val="0"/>
            <showBubbleSize val="0"/>
          </dLbls>
          <xVal>
            <numRef>
              <f>'_chart'!$A$26</f>
            </numRef>
          </xVal>
          <yVal>
            <numRef>
              <f>'_chart'!$B$26</f>
            </numRef>
          </yVal>
        </ser>
        <ser>
          <idx val="6"/>
          <order val="6"/>
          <tx>
            <v>Net drain</v>
          </tx>
          <spPr>
            <a:ln>
              <a:noFill/>
              <a:prstDash val="solid"/>
            </a:ln>
          </spPr>
          <marker>
            <symbol val="none"/>
            <spPr>
              <a:ln>
                <a:prstDash val="solid"/>
              </a:ln>
            </spPr>
          </marker>
          <dLbls>
            <dLblPos val="ctr"/>
            <showLegendKey val="0"/>
            <showVal val="0"/>
            <showCatName val="0"/>
            <showSerName val="1"/>
            <showPercent val="0"/>
            <showBubbleSize val="0"/>
          </dLbls>
          <xVal>
            <numRef>
              <f>'_chart'!$A$27</f>
            </numRef>
          </xVal>
          <yVal>
            <numRef>
              <f>'_chart'!$B$27</f>
            </numRef>
          </yVal>
        </ser>
        <ser>
          <idx val="7"/>
          <order val="7"/>
          <tx>
            <v>Strong</v>
          </tx>
          <spPr>
            <a:ln>
              <a:noFill/>
              <a:prstDash val="solid"/>
            </a:ln>
          </spPr>
          <marker>
            <symbol val="none"/>
            <spPr>
              <a:ln>
                <a:prstDash val="solid"/>
              </a:ln>
            </spPr>
          </marker>
          <dLbls>
            <dLblPos val="ctr"/>
            <showLegendKey val="0"/>
            <showVal val="0"/>
            <showCatName val="0"/>
            <showSerName val="1"/>
            <showPercent val="0"/>
            <showBubbleSize val="0"/>
          </dLbls>
          <xVal>
            <numRef>
              <f>'_chart'!$A$28</f>
            </numRef>
          </xVal>
          <yVal>
            <numRef>
              <f>'_chart'!$B$28</f>
            </numRef>
          </yVal>
        </ser>
        <ser>
          <idx val="8"/>
          <order val="8"/>
          <tx>
            <v>Safe but idle</v>
          </tx>
          <spPr>
            <a:ln>
              <a:noFill/>
              <a:prstDash val="solid"/>
            </a:ln>
          </spPr>
          <marker>
            <symbol val="none"/>
            <spPr>
              <a:ln>
                <a:prstDash val="solid"/>
              </a:ln>
            </spPr>
          </marker>
          <dLbls>
            <dLblPos val="ctr"/>
            <showLegendKey val="0"/>
            <showVal val="0"/>
            <showCatName val="0"/>
            <showSerName val="1"/>
            <showPercent val="0"/>
            <showBubbleSize val="0"/>
          </dLbls>
          <xVal>
            <numRef>
              <f>'_chart'!$A$29</f>
            </numRef>
          </xVal>
          <yVal>
            <numRef>
              <f>'_chart'!$B$29</f>
            </numRef>
          </yVal>
        </ser>
        <ser>
          <idx val="9"/>
          <order val="9"/>
          <tx>
            <strRef>
              <f>'_chart'!$J$1</f>
            </strRef>
          </tx>
          <spPr>
            <a:ln>
              <a:noFill/>
              <a:prstDash val="solid"/>
            </a:ln>
          </spPr>
          <marker>
            <symbol val="none"/>
            <spPr>
              <a:ln>
                <a:prstDash val="solid"/>
              </a:ln>
            </spPr>
          </marker>
          <dLbls>
            <dLblPos val="r"/>
            <showLegendKey val="0"/>
            <showVal val="0"/>
            <showCatName val="0"/>
            <showSerName val="1"/>
            <showPercent val="0"/>
            <showBubbleSize val="0"/>
          </dLbls>
          <xVal>
            <numRef>
              <f>'_chart'!$D$1</f>
            </numRef>
          </xVal>
          <yVal>
            <numRef>
              <f>'_chart'!$E$1</f>
            </numRef>
          </yVal>
        </ser>
        <ser>
          <idx val="10"/>
          <order val="10"/>
          <tx>
            <strRef>
              <f>'_chart'!$J$2</f>
            </strRef>
          </tx>
          <spPr>
            <a:ln>
              <a:noFill/>
              <a:prstDash val="solid"/>
            </a:ln>
          </spPr>
          <marker>
            <symbol val="none"/>
            <spPr>
              <a:ln>
                <a:prstDash val="solid"/>
              </a:ln>
            </spPr>
          </marker>
          <dLbls>
            <dLblPos val="r"/>
            <showLegendKey val="0"/>
            <showVal val="0"/>
            <showCatName val="0"/>
            <showSerName val="1"/>
            <showPercent val="0"/>
            <showBubbleSize val="0"/>
          </dLbls>
          <xVal>
            <numRef>
              <f>'_chart'!$D$2</f>
            </numRef>
          </xVal>
          <yVal>
            <numRef>
              <f>'_chart'!$E$2</f>
            </numRef>
          </yVal>
        </ser>
        <ser>
          <idx val="11"/>
          <order val="11"/>
          <tx>
            <strRef>
              <f>'_chart'!$J$3</f>
            </strRef>
          </tx>
          <spPr>
            <a:ln>
              <a:noFill/>
              <a:prstDash val="solid"/>
            </a:ln>
          </spPr>
          <marker>
            <symbol val="none"/>
            <spPr>
              <a:ln>
                <a:prstDash val="solid"/>
              </a:ln>
            </spPr>
          </marker>
          <dLbls>
            <dLblPos val="r"/>
            <showLegendKey val="0"/>
            <showVal val="0"/>
            <showCatName val="0"/>
            <showSerName val="1"/>
            <showPercent val="0"/>
            <showBubbleSize val="0"/>
          </dLbls>
          <xVal>
            <numRef>
              <f>'_chart'!$D$3</f>
            </numRef>
          </xVal>
          <yVal>
            <numRef>
              <f>'_chart'!$E$3</f>
            </numRef>
          </yVal>
        </ser>
        <ser>
          <idx val="12"/>
          <order val="12"/>
          <tx>
            <strRef>
              <f>'_chart'!$J$4</f>
            </strRef>
          </tx>
          <spPr>
            <a:ln>
              <a:noFill/>
              <a:prstDash val="solid"/>
            </a:ln>
          </spPr>
          <marker>
            <symbol val="none"/>
            <spPr>
              <a:ln>
                <a:prstDash val="solid"/>
              </a:ln>
            </spPr>
          </marker>
          <dLbls>
            <dLblPos val="r"/>
            <showLegendKey val="0"/>
            <showVal val="0"/>
            <showCatName val="0"/>
            <showSerName val="1"/>
            <showPercent val="0"/>
            <showBubbleSize val="0"/>
          </dLbls>
          <xVal>
            <numRef>
              <f>'_chart'!$D$4</f>
            </numRef>
          </xVal>
          <yVal>
            <numRef>
              <f>'_chart'!$E$4</f>
            </numRef>
          </yVal>
        </ser>
        <ser>
          <idx val="13"/>
          <order val="13"/>
          <tx>
            <strRef>
              <f>'_chart'!$J$5</f>
            </strRef>
          </tx>
          <spPr>
            <a:ln>
              <a:noFill/>
              <a:prstDash val="solid"/>
            </a:ln>
          </spPr>
          <marker>
            <symbol val="none"/>
            <spPr>
              <a:ln>
                <a:prstDash val="solid"/>
              </a:ln>
            </spPr>
          </marker>
          <dLbls>
            <dLblPos val="r"/>
            <showLegendKey val="0"/>
            <showVal val="0"/>
            <showCatName val="0"/>
            <showSerName val="1"/>
            <showPercent val="0"/>
            <showBubbleSize val="0"/>
          </dLbls>
          <xVal>
            <numRef>
              <f>'_chart'!$D$5</f>
            </numRef>
          </xVal>
          <yVal>
            <numRef>
              <f>'_chart'!$E$5</f>
            </numRef>
          </yVal>
        </ser>
        <ser>
          <idx val="14"/>
          <order val="14"/>
          <tx>
            <strRef>
              <f>'_chart'!$J$6</f>
            </strRef>
          </tx>
          <spPr>
            <a:ln>
              <a:noFill/>
              <a:prstDash val="solid"/>
            </a:ln>
          </spPr>
          <marker>
            <symbol val="none"/>
            <spPr>
              <a:ln>
                <a:prstDash val="solid"/>
              </a:ln>
            </spPr>
          </marker>
          <dLbls>
            <dLblPos val="r"/>
            <showLegendKey val="0"/>
            <showVal val="0"/>
            <showCatName val="0"/>
            <showSerName val="1"/>
            <showPercent val="0"/>
            <showBubbleSize val="0"/>
          </dLbls>
          <xVal>
            <numRef>
              <f>'_chart'!$D$6</f>
            </numRef>
          </xVal>
          <yVal>
            <numRef>
              <f>'_chart'!$E$6</f>
            </numRef>
          </yVal>
        </ser>
        <ser>
          <idx val="15"/>
          <order val="15"/>
          <tx>
            <strRef>
              <f>'_chart'!$J$7</f>
            </strRef>
          </tx>
          <spPr>
            <a:ln>
              <a:noFill/>
              <a:prstDash val="solid"/>
            </a:ln>
          </spPr>
          <marker>
            <symbol val="none"/>
            <spPr>
              <a:ln>
                <a:prstDash val="solid"/>
              </a:ln>
            </spPr>
          </marker>
          <dLbls>
            <dLblPos val="r"/>
            <showLegendKey val="0"/>
            <showVal val="0"/>
            <showCatName val="0"/>
            <showSerName val="1"/>
            <showPercent val="0"/>
            <showBubbleSize val="0"/>
          </dLbls>
          <xVal>
            <numRef>
              <f>'_chart'!$D$7</f>
            </numRef>
          </xVal>
          <yVal>
            <numRef>
              <f>'_chart'!$E$7</f>
            </numRef>
          </yVal>
        </ser>
        <ser>
          <idx val="16"/>
          <order val="16"/>
          <tx>
            <strRef>
              <f>'_chart'!$J$8</f>
            </strRef>
          </tx>
          <spPr>
            <a:ln>
              <a:noFill/>
              <a:prstDash val="solid"/>
            </a:ln>
          </spPr>
          <marker>
            <symbol val="none"/>
            <spPr>
              <a:ln>
                <a:prstDash val="solid"/>
              </a:ln>
            </spPr>
          </marker>
          <dLbls>
            <dLblPos val="r"/>
            <showLegendKey val="0"/>
            <showVal val="0"/>
            <showCatName val="0"/>
            <showSerName val="1"/>
            <showPercent val="0"/>
            <showBubbleSize val="0"/>
          </dLbls>
          <xVal>
            <numRef>
              <f>'_chart'!$D$8</f>
            </numRef>
          </xVal>
          <yVal>
            <numRef>
              <f>'_chart'!$E$8</f>
            </numRef>
          </yVal>
        </ser>
        <axId val="10"/>
        <axId val="20"/>
      </scatterChart>
      <valAx>
        <axId val="10"/>
        <scaling>
          <logBase val="10"/>
          <orientation val="minMax"/>
          <max val="10"/>
          <min val="0.1"/>
        </scaling>
        <delete val="0"/>
        <axPos val="l"/>
        <majorGridlines/>
        <numFmt formatCode="0.0&quot;×&quot;" sourceLinked="0"/>
        <majorTickMark val="none"/>
        <minorTickMark val="none"/>
        <crossAx val="20"/>
        <crosses val="min"/>
      </valAx>
      <valAx>
        <axId val="20"/>
        <scaling>
          <orientation val="minMax"/>
          <max val="12.5"/>
          <min val="-12.5"/>
        </scaling>
        <delete val="0"/>
        <axPos val="l"/>
        <majorGridlines/>
        <numFmt formatCode="+0&quot; pts&quot;;-0&quot; pts&quot;;0&quot; pts&quot;" sourceLinked="0"/>
        <majorTickMark val="none"/>
        <minorTickMark val="none"/>
        <crossAx val="10"/>
        <crosses val="min"/>
        <majorUnit val="2.5"/>
      </valAx>
    </plotArea>
    <plotVisOnly val="1"/>
    <dispBlanksAs val="gap"/>
  </chart>
</chartSpace>
</file>

<file path=xl/comments/comment1.xml><?xml version="1.0" encoding="utf-8"?>
<comments xmlns="http://schemas.openxmlformats.org/spreadsheetml/2006/main">
  <authors>
    <author>PocketBook</author>
  </authors>
  <commentList>
    <comment ref="B15" authorId="0" shapeId="0">
      <text>
        <t>The smallest significant gap in a typical pocket (suggested): From this book: the smallest gap a typical pocket can call significant, 1.96 standard errors at 95% (how far a pocket's rate typically lands from its true value).
1.25 times: The old workbook's value. Moderate gaps; more pockets flagged.
1.5 times: Half as bad again.
2 times: Only pockets at double the rate or more. Few, and obvious.</t>
      </text>
    </comment>
    <comment ref="B16" authorId="0" shapeId="0">
      <text>
        <t>The smallest significant gap in a typical pocket (suggested): The same as above, the other way: one over the smallest gap a pocket of typical size can call significant.
0.8 times: The old workbook's value.
0.67 times: A third better or more.
0.5 times: Half the rate or less. Few, and obvious.</t>
      </text>
    </comment>
    <comment ref="B17" authorId="0" shapeId="0">
      <text>
        <t>Each pocket's own test (suggested): Profit counts as keeping more or less only when the pocket's own test calls the gap significant. A small pocket needs a bigger gap.
0.25 points either way: A point is 1% of booked dollars. A gap of a quarter point or more counts, and one that isn't significant says so.
0.5 points either way: Only gaps of half a point of booked dollars or more count.
A gap as big as the materiality line: Profit counts as keeping less when the pocket's shortfall against its comparison reaches the dollar line above, and as more when its surplus does.</t>
      </text>
    </comment>
    <comment ref="B18" authorId="0" shapeId="0">
      <text>
        <t>90% sure: Finds more. About 1 in 10 pockets with no real difference will still pass.
95% sure: The usual standard. About 1 pocket in 20 with no real difference will still pass.
99% sure: Strict. About 1 in 100, and smaller real gaps will be missed.</t>
      </text>
    </comment>
    <comment ref="B19" authorId="0" shapeId="0">
      <text>
        <t>0.5% of the book's total losses: Catches small pockets as well as big ones. Excess is counted against whatever a pocket is judged against, below.
1% of the book's total losses: Scales with the book, so the same setting works on any population. Excess is counted against whatever a pocket is judged against, below.
2% of the book's total losses: Keeps pockets whose excess is over 2% of the book's losses. Excess is counted against whatever a pocket is judged against, below.
5% of the book's total losses: Only pockets that move the total. Excess is counted against whatever a pocket is judged against, below.
10% of the book's total losses: Only the few pockets that carry the book. Excess is counted against whatever a pocket is judged against, below.
No floor: Every pocket that tests worse is listed, however small. For spotting patterns rather than dollars.</t>
      </text>
    </comment>
    <comment ref="B20" authorId="0" shapeId="0">
      <text>
        <t>The rest of its band: A pocket against the other segments in the same band. Both comparisons are printed; this one decides the flag.
The rest of the book: The simplest story: does this pocket stand out overall? Both comparisons are printed; this one decides the flag.</t>
      </text>
    </comment>
    <comment ref="B24" authorId="0" shapeId="0">
      <text>
        <t>Enough for 5 expected losses (suggested): Worked out from this book: the loans a pocket needs to expect 5 with the outcome at the book's rate, the textbook floor for the usual test.
30 loans: The old workbook's value. Smaller pockets get the exact test, which needs no minimum.
100 loans: Pockets under 100 loans get the exact test.
300 loans: Pockets under 300 loans get the exact test.</t>
      </text>
    </comment>
    <comment ref="B25" authorId="0" shapeId="0">
      <text>
        <t>5 losses: The least the test can work with. Ranges will be wide.
10 losses: A loss rate rests on how many loans lost money, not how many a pocket holds. Ten is a common floor.
20 losses: Ranges narrow enough to rank pockets against each other.</t>
      </text>
    </comment>
    <comment ref="B26" authorId="0" shapeId="0">
      <text>
        <t>5 bands: Fine enough to see a trend, with each band holding a fifth of the loans.
3 bands: Low, middle, high. Big pockets; a problem at the edge may be diluted.
10 bands: Shows where a rate turns, but each band is a tenth of the book.
20 bands: Narrow bands, each a twentieth of the book. Needs a big book, or most pockets will be too small to test.</t>
      </text>
    </comment>
    <comment ref="B27" authorId="0" shapeId="0">
      <text>
        <t>Each band holds about the same number of loans: Every band can be tested equally well. Edges land on uneven numbers.
The same, snapped to round numbers: Edges on round numbers, easier to quote. Bands hold uneven counts.</t>
      </text>
    </comment>
    <comment ref="B28" authorId="0" shapeId="0">
      <text>
        <t>80% of the time: The usual standard. Used only to say how big a gap each pocket's size could show; it never flags anything.
90% of the time: Each pocket can vouch for larger gaps only.
50% of the time: A coin toss. The smallest gap a pocket could possibly show.</t>
      </text>
    </comment>
    <comment ref="B29" authorId="0" shapeId="0">
      <text>
        <t>No allowance: Each pocket is tested alone. Scan 200 pockets at 95% and about 10 will read significant with no real difference behind them.
Hold down the share of false finds (Benjamini-Hochberg): Of the pockets that read significant, about 5% at 95% are expected to have no real difference behind them. Suits scanning for leads.
Hold down the chance of any false find (Bonferroni): The chance of even one pocket reading significant with no real difference is held to 5% at 95%. Very strict; suits a short list going to the LOB.</t>
      </text>
    </comment>
    <comment ref="B30" authorId="0" shapeId="0">
      <text>
        <t>The month start nearest 70% of the loans (suggested): Worked out from this extract's dates: the first of the month by which about 70% of the loans had been made. The tree is built on the loans before it.
The month start nearest 80% of the loans: The same at 80%: more loans to find on, fewer held back to confirm on.</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_rels/drawing2.xml.rels><Relationships xmlns="http://schemas.openxmlformats.org/package/2006/relationships"><Relationship Type="http://schemas.openxmlformats.org/officeDocument/2006/relationships/chart" Target="/xl/charts/chart7.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10</row>
      <rowOff>0</rowOff>
    </from>
    <ext cx="6120000" cy="288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30</row>
      <rowOff>0</rowOff>
    </from>
    <ext cx="6120000" cy="288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50</row>
      <rowOff>0</rowOff>
    </from>
    <ext cx="6120000" cy="288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70</row>
      <rowOff>0</rowOff>
    </from>
    <ext cx="6120000" cy="2880000"/>
    <graphicFrame>
      <nvGraphicFramePr>
        <cNvPr id="4" name="Chart 4"/>
        <cNvGraphicFramePr/>
      </nvGraphicFramePr>
      <xfrm/>
      <a:graphic>
        <a:graphicData uri="http://schemas.openxmlformats.org/drawingml/2006/chart">
          <c:chart r:id="rId4"/>
        </a:graphicData>
      </a:graphic>
    </graphicFrame>
    <clientData/>
  </oneCellAnchor>
  <oneCellAnchor>
    <from>
      <col>7</col>
      <colOff>0</colOff>
      <row>90</row>
      <rowOff>0</rowOff>
    </from>
    <ext cx="6120000" cy="2880000"/>
    <graphicFrame>
      <nvGraphicFramePr>
        <cNvPr id="5" name="Chart 5"/>
        <cNvGraphicFramePr/>
      </nvGraphicFramePr>
      <xfrm/>
      <a:graphic>
        <a:graphicData uri="http://schemas.openxmlformats.org/drawingml/2006/chart">
          <c:chart r:id="rId5"/>
        </a:graphicData>
      </a:graphic>
    </graphicFrame>
    <clientData/>
  </oneCellAnchor>
  <oneCellAnchor>
    <from>
      <col>7</col>
      <colOff>0</colOff>
      <row>110</row>
      <rowOff>0</rowOff>
    </from>
    <ext cx="6120000" cy="2880000"/>
    <graphicFrame>
      <nvGraphicFramePr>
        <cNvPr id="6" name="Chart 6"/>
        <cNvGraphicFramePr/>
      </nvGraphicFramePr>
      <xfrm/>
      <a:graphic>
        <a:graphicData uri="http://schemas.openxmlformats.org/drawingml/2006/chart">
          <c:chart r:id="rId6"/>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17</row>
      <rowOff>0</rowOff>
    </from>
    <ext cx="61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ockets'!A1" TargetMode="External" Id="rId1" /><Relationship Type="http://schemas.openxmlformats.org/officeDocument/2006/relationships/hyperlink" Target="#'Control'!A1" TargetMode="External" Id="rId2" /><Relationship Type="http://schemas.openxmlformats.org/officeDocument/2006/relationships/hyperlink" Target="#'Pockets'!A1" TargetMode="External" Id="rId3" /><Relationship Type="http://schemas.openxmlformats.org/officeDocument/2006/relationships/hyperlink" Target="#'Record'!A1" TargetMode="External" Id="rId4" /><Relationship Type="http://schemas.openxmlformats.org/officeDocument/2006/relationships/hyperlink" Target="#'Columns'!A1" TargetMode="External" Id="rId5" /><Relationship Type="http://schemas.openxmlformats.org/officeDocument/2006/relationships/hyperlink" Target="#'Paid, cost, kept'!A1" TargetMode="External" Id="rId6" /><Relationship Type="http://schemas.openxmlformats.org/officeDocument/2006/relationships/hyperlink" Target="#'Look'!A1" TargetMode="External" Id="rId7" /><Relationship Type="http://schemas.openxmlformats.org/officeDocument/2006/relationships/hyperlink" Target="#'Grids'!A1" TargetMode="External" Id="rId8" /><Relationship Type="http://schemas.openxmlformats.org/officeDocument/2006/relationships/hyperlink" Target="#'Split'!A1" TargetMode="External" Id="rId9"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CC0000"/>
    <outlinePr summaryBelow="0" summaryRight="1"/>
    <pageSetUpPr fitToPage="1"/>
  </sheetPr>
  <dimension ref="B1:K33"/>
  <sheetViews>
    <sheetView showGridLines="0" tabSelected="1" workbookViewId="0">
      <pane ySplit="1" topLeftCell="A2" activePane="bottomLeft" state="frozen"/>
      <selection pane="bottomLeft" activeCell="A1" sqref="A1"/>
    </sheetView>
  </sheetViews>
  <sheetFormatPr baseColWidth="8" defaultRowHeight="15"/>
  <cols>
    <col width="2" customWidth="1" min="1" max="1"/>
    <col width="29" customWidth="1" min="2" max="2"/>
    <col width="16" customWidth="1" min="3" max="3"/>
    <col width="12" customWidth="1" min="4" max="4"/>
    <col width="18" customWidth="1" min="5" max="5"/>
    <col width="21" customWidth="1" min="6" max="6"/>
    <col width="16" customWidth="1" min="7" max="7"/>
    <col width="16" customWidth="1" min="8" max="8"/>
    <col width="22" customWidth="1" min="9" max="9"/>
    <col hidden="1" width="13" customWidth="1" min="11" max="11"/>
  </cols>
  <sheetData>
    <row r="1" ht="30" customHeight="1">
      <c r="B1" s="1" t="inlineStr">
        <is>
          <t>PocketBook</t>
        </is>
      </c>
      <c r="C1" s="2" t="inlineStr">
        <is>
          <t>Bureau book.csv · 8,000 loans · 11 columns · last Run 2026-09-30 04:03</t>
        </is>
      </c>
      <c r="D1" s="3" t="n"/>
      <c r="E1" s="3" t="n"/>
      <c r="F1" s="3" t="n"/>
      <c r="G1" s="3" t="n"/>
      <c r="H1" s="3" t="n"/>
      <c r="I1" s="3" t="n"/>
    </row>
    <row r="3" outlineLevel="1">
      <c r="B3" s="4" t="inlineStr">
        <is>
          <t>How this tab works</t>
        </is>
      </c>
      <c r="C3" s="5" t="n"/>
      <c r="D3" s="5" t="n"/>
      <c r="E3" s="5" t="n"/>
      <c r="F3" s="5" t="n"/>
      <c r="G3" s="5" t="n"/>
      <c r="H3" s="5" t="n"/>
      <c r="I3" s="5" t="n"/>
    </row>
    <row r="4" outlineLevel="1" ht="17" customHeight="1">
      <c r="B4" s="6" t="inlineStr">
        <is>
          <t>Where things stand</t>
        </is>
      </c>
      <c r="C4" s="7" t="inlineStr">
        <is>
          <t>What is left before Run, counted live from Control and Columns as you fill them in.</t>
        </is>
      </c>
    </row>
    <row r="5" outlineLevel="1" ht="17" customHeight="1">
      <c r="B5" s="6" t="inlineStr">
        <is>
          <t>What the last Run found</t>
        </is>
      </c>
      <c r="C5" s="7" t="inlineStr">
        <is>
          <t>Pockets worse and material at Control's lines, and the five largest.</t>
        </is>
      </c>
    </row>
    <row r="6" outlineLevel="1" ht="17" customHeight="1">
      <c r="B6" s="6" t="inlineStr">
        <is>
          <t>The tabs</t>
        </is>
      </c>
      <c r="C6" s="7" t="inlineStr">
        <is>
          <t>Red tabs you fill in; black tabs hold results; grey tabs are the record.</t>
        </is>
      </c>
    </row>
    <row r="8">
      <c r="B8" s="8" t="inlineStr">
        <is>
          <t>WHERE THINGS STAND</t>
        </is>
      </c>
    </row>
    <row r="9" ht="15" customHeight="1">
      <c r="B9" s="9" t="inlineStr">
        <is>
          <t>Answers needed before Run</t>
        </is>
      </c>
      <c r="C9" s="10" t="n"/>
      <c r="D9" s="9" t="inlineStr">
        <is>
          <t>Odd values to answer</t>
        </is>
      </c>
      <c r="E9" s="10" t="n"/>
      <c r="F9" s="9" t="inlineStr">
        <is>
          <t>Changes waiting for a Run</t>
        </is>
      </c>
      <c r="G9" s="10" t="n"/>
    </row>
    <row r="10" ht="22" customHeight="1">
      <c r="B10" s="11">
        <f>IFERROR(SUM(answers_needed),0)+IF(Control!$C$33="",1,0)+IF(Columns!$C$3="Yes",0,1)</f>
        <v/>
      </c>
      <c r="D10" s="11">
        <f>COUNTIFS(Columns!$S$13:$S$23,"?*",Columns!$H$13:$H$23,"")</f>
        <v/>
      </c>
      <c r="F10" s="11">
        <f>IFERROR(COUNTIF(Status,"↻ Waiting for a Run"),0)</f>
        <v/>
      </c>
    </row>
    <row r="11">
      <c r="B11" s="12" t="inlineStr">
        <is>
          <t>Control and Columns</t>
        </is>
      </c>
      <c r="D11" s="12" t="inlineStr">
        <is>
          <t>Columns · Treat as</t>
        </is>
      </c>
      <c r="F11" s="12" t="inlineStr">
        <is>
          <t>Control · Status</t>
        </is>
      </c>
    </row>
    <row r="13" ht="42" customHeight="1">
      <c r="B13" s="13">
        <f>IFERROR(IF(COUNTIF(Status,"↻ Waiting for a Run")=0,"","↻ "&amp;COUNTIF(Status,"↻ Waiting for a Run")&amp;IF(COUNTIF(Status,"↻ Waiting for a Run")=1," change is"," changes are")&amp;" waiting for a Run. "&amp;LEFT(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amp;INDEX(waiting_words,21),LEN(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amp;INDEX(waiting_words,21))-2)&amp;". The result tabs still show the last Run. Save, close, and press Run in the launcher."),"")</f>
        <v/>
      </c>
    </row>
    <row r="15">
      <c r="B15" s="8" t="inlineStr">
        <is>
          <t>WHAT THE LAST RUN FOUND</t>
        </is>
      </c>
    </row>
    <row r="16" ht="15" customHeight="1">
      <c r="B16" s="97" t="inlineStr">
        <is>
          <t>Pockets worse and material, charge-offs</t>
        </is>
      </c>
      <c r="C16" s="98" t="n"/>
      <c r="D16" s="97" t="inlineStr">
        <is>
          <t>Dollars above their share, in those</t>
        </is>
      </c>
      <c r="E16" s="98" t="n"/>
      <c r="F16" s="97" t="inlineStr">
        <is>
          <t>Pockets keeping less, worse and material</t>
        </is>
      </c>
      <c r="G16" s="98" t="n"/>
    </row>
    <row r="17" ht="22" customHeight="1">
      <c r="B17" s="11">
        <f>IFERROR(COUNTIFS(pk_kind,"grids",pk_measure,"gco_rate",pk_flag,"worse",pk_material,"yes")&amp;" of 37"&amp;IF(COUNTIFS(pk_kind,"grids",pk_measure,"gco_rate",pk_flag,"worse",pk_material,"yes",pk_wborder,"?*")&gt;0," · "&amp;COUNTIFS(pk_kind,"grids",pk_measure,"gco_rate",pk_flag,"worse",pk_material,"yes",pk_wborder,"?*")&amp;" borderline",""),"")</f>
        <v/>
      </c>
      <c r="D17" s="99">
        <f>IFERROR(SUMIFS(pk_dollars,pk_kind,"grids",pk_measure,"gco_rate",pk_flag,"worse",pk_material,"yes"),"")</f>
        <v/>
      </c>
      <c r="F17" s="11">
        <f>IFERROR(COUNTIFS(pk_kind,"grids",pk_measure,"ranr_rate",pk_flag,"worse",pk_material,"yes")&amp;" short $"&amp;TEXT(SUMIFS(pk_dollars,pk_kind,"grids",pk_measure,"ranr_rate",pk_flag,"worse",pk_material,"yes"),"#,##0"),"")</f>
        <v/>
      </c>
    </row>
    <row r="19" ht="18" customHeight="1">
      <c r="B19" s="55" t="inlineStr">
        <is>
          <t>Largest, worse and material</t>
        </is>
      </c>
      <c r="C19" s="55" t="inlineStr">
        <is>
          <t>Segment</t>
        </is>
      </c>
      <c r="D19" s="56" t="inlineStr">
        <is>
          <t>Loans</t>
        </is>
      </c>
      <c r="E19" s="56" t="inlineStr">
        <is>
          <t>× its comparison</t>
        </is>
      </c>
      <c r="F19" s="56" t="inlineStr">
        <is>
          <t>Dollars above share</t>
        </is>
      </c>
    </row>
    <row r="20" ht="18" customHeight="1">
      <c r="B20" s="31">
        <f>IF($K20="","No pocket is worse and material.",INDEX('_found'!$B$6:$B$23,$K20))</f>
        <v/>
      </c>
      <c r="C20" s="31">
        <f>IF($K20="","",IF(OR(INDEX('_found'!$C$6:$C$23,$K20)="",INDEX('_pockets'!$AN:$AN,INDEX('_found'!$E$6:$E$23,$K20))=""),INDEX('_found'!$C$6:$C$23,$K20),INDEX('_found'!$C$6:$C$23,$K20)&amp;" · borderline (p "&amp;INDEX('_pockets'!$AN:$AN,INDEX('_found'!$E$6:$E$23,$K20))&amp;")"))</f>
        <v/>
      </c>
      <c r="D20" s="100">
        <f>IF($K20="","",INDEX('_found'!$D$6:$D$23,$K20))</f>
        <v/>
      </c>
      <c r="E20" s="101">
        <f>IF($K20="","",IF(INDEX('_pockets'!$AB:$AB,INDEX('_found'!$E$6:$E$23,$K20))="","",INDEX('_pockets'!$AB:$AB,INDEX('_found'!$E$6:$E$23,$K20))))</f>
        <v/>
      </c>
      <c r="F20" s="73">
        <f>IF($K20="","",IF(INDEX('_pockets'!$Z:$Z,INDEX('_found'!$E$6:$E$23,$K20))="","",INDEX('_pockets'!$Z:$Z,INDEX('_found'!$E$6:$E$23,$K20))))</f>
        <v/>
      </c>
      <c r="K20">
        <f>IFERROR(MATCH(1,'_found'!$G$6:$G$23,0),"")</f>
        <v/>
      </c>
    </row>
    <row r="21" ht="18" customHeight="1">
      <c r="B21" s="31">
        <f>IF($K21="","",INDEX('_found'!$B$6:$B$23,$K21))</f>
        <v/>
      </c>
      <c r="C21" s="31">
        <f>IF($K21="","",IF(OR(INDEX('_found'!$C$6:$C$23,$K21)="",INDEX('_pockets'!$AN:$AN,INDEX('_found'!$E$6:$E$23,$K21))=""),INDEX('_found'!$C$6:$C$23,$K21),INDEX('_found'!$C$6:$C$23,$K21)&amp;" · borderline (p "&amp;INDEX('_pockets'!$AN:$AN,INDEX('_found'!$E$6:$E$23,$K21))&amp;")"))</f>
        <v/>
      </c>
      <c r="D21" s="100">
        <f>IF($K21="","",INDEX('_found'!$D$6:$D$23,$K21))</f>
        <v/>
      </c>
      <c r="E21" s="101">
        <f>IF($K21="","",IF(INDEX('_pockets'!$AB:$AB,INDEX('_found'!$E$6:$E$23,$K21))="","",INDEX('_pockets'!$AB:$AB,INDEX('_found'!$E$6:$E$23,$K21))))</f>
        <v/>
      </c>
      <c r="F21" s="73">
        <f>IF($K21="","",IF(INDEX('_pockets'!$Z:$Z,INDEX('_found'!$E$6:$E$23,$K21))="","",INDEX('_pockets'!$Z:$Z,INDEX('_found'!$E$6:$E$23,$K21))))</f>
        <v/>
      </c>
      <c r="K21">
        <f>IFERROR(MATCH(2,'_found'!$G$6:$G$23,0),"")</f>
        <v/>
      </c>
    </row>
    <row r="22" ht="18" customHeight="1">
      <c r="B22" s="31">
        <f>IF($K22="","",INDEX('_found'!$B$6:$B$23,$K22))</f>
        <v/>
      </c>
      <c r="C22" s="31">
        <f>IF($K22="","",IF(OR(INDEX('_found'!$C$6:$C$23,$K22)="",INDEX('_pockets'!$AN:$AN,INDEX('_found'!$E$6:$E$23,$K22))=""),INDEX('_found'!$C$6:$C$23,$K22),INDEX('_found'!$C$6:$C$23,$K22)&amp;" · borderline (p "&amp;INDEX('_pockets'!$AN:$AN,INDEX('_found'!$E$6:$E$23,$K22))&amp;")"))</f>
        <v/>
      </c>
      <c r="D22" s="100">
        <f>IF($K22="","",INDEX('_found'!$D$6:$D$23,$K22))</f>
        <v/>
      </c>
      <c r="E22" s="101">
        <f>IF($K22="","",IF(INDEX('_pockets'!$AB:$AB,INDEX('_found'!$E$6:$E$23,$K22))="","",INDEX('_pockets'!$AB:$AB,INDEX('_found'!$E$6:$E$23,$K22))))</f>
        <v/>
      </c>
      <c r="F22" s="73">
        <f>IF($K22="","",IF(INDEX('_pockets'!$Z:$Z,INDEX('_found'!$E$6:$E$23,$K22))="","",INDEX('_pockets'!$Z:$Z,INDEX('_found'!$E$6:$E$23,$K22))))</f>
        <v/>
      </c>
      <c r="K22">
        <f>IFERROR(MATCH(3,'_found'!$G$6:$G$23,0),"")</f>
        <v/>
      </c>
    </row>
    <row r="23" ht="18" customHeight="1">
      <c r="B23" s="31">
        <f>IF($K23="","",INDEX('_found'!$B$6:$B$23,$K23))</f>
        <v/>
      </c>
      <c r="C23" s="31">
        <f>IF($K23="","",IF(OR(INDEX('_found'!$C$6:$C$23,$K23)="",INDEX('_pockets'!$AN:$AN,INDEX('_found'!$E$6:$E$23,$K23))=""),INDEX('_found'!$C$6:$C$23,$K23),INDEX('_found'!$C$6:$C$23,$K23)&amp;" · borderline (p "&amp;INDEX('_pockets'!$AN:$AN,INDEX('_found'!$E$6:$E$23,$K23))&amp;")"))</f>
        <v/>
      </c>
      <c r="D23" s="100">
        <f>IF($K23="","",INDEX('_found'!$D$6:$D$23,$K23))</f>
        <v/>
      </c>
      <c r="E23" s="101">
        <f>IF($K23="","",IF(INDEX('_pockets'!$AB:$AB,INDEX('_found'!$E$6:$E$23,$K23))="","",INDEX('_pockets'!$AB:$AB,INDEX('_found'!$E$6:$E$23,$K23))))</f>
        <v/>
      </c>
      <c r="F23" s="73">
        <f>IF($K23="","",IF(INDEX('_pockets'!$Z:$Z,INDEX('_found'!$E$6:$E$23,$K23))="","",INDEX('_pockets'!$Z:$Z,INDEX('_found'!$E$6:$E$23,$K23))))</f>
        <v/>
      </c>
      <c r="K23">
        <f>IFERROR(MATCH(4,'_found'!$G$6:$G$23,0),"")</f>
        <v/>
      </c>
    </row>
    <row r="24" ht="18" customHeight="1">
      <c r="B24" s="31">
        <f>IF($K24="","",INDEX('_found'!$B$6:$B$23,$K24))</f>
        <v/>
      </c>
      <c r="C24" s="31">
        <f>IF($K24="","",IF(OR(INDEX('_found'!$C$6:$C$23,$K24)="",INDEX('_pockets'!$AN:$AN,INDEX('_found'!$E$6:$E$23,$K24))=""),INDEX('_found'!$C$6:$C$23,$K24),INDEX('_found'!$C$6:$C$23,$K24)&amp;" · borderline (p "&amp;INDEX('_pockets'!$AN:$AN,INDEX('_found'!$E$6:$E$23,$K24))&amp;")"))</f>
        <v/>
      </c>
      <c r="D24" s="100">
        <f>IF($K24="","",INDEX('_found'!$D$6:$D$23,$K24))</f>
        <v/>
      </c>
      <c r="E24" s="101">
        <f>IF($K24="","",IF(INDEX('_pockets'!$AB:$AB,INDEX('_found'!$E$6:$E$23,$K24))="","",INDEX('_pockets'!$AB:$AB,INDEX('_found'!$E$6:$E$23,$K24))))</f>
        <v/>
      </c>
      <c r="F24" s="73">
        <f>IF($K24="","",IF(INDEX('_pockets'!$Z:$Z,INDEX('_found'!$E$6:$E$23,$K24))="","",INDEX('_pockets'!$Z:$Z,INDEX('_found'!$E$6:$E$23,$K24))))</f>
        <v/>
      </c>
      <c r="K24">
        <f>IFERROR(MATCH(5,'_found'!$G$6:$G$23,0),"")</f>
        <v/>
      </c>
    </row>
    <row r="25">
      <c r="B25" s="102" t="inlineStr">
        <is>
          <t>Every pocket, every measure: the Pockets tab.</t>
        </is>
      </c>
    </row>
    <row r="28">
      <c r="B28" s="8" t="inlineStr">
        <is>
          <t>THE TABS</t>
        </is>
      </c>
    </row>
    <row r="29">
      <c r="B29" s="15" t="inlineStr">
        <is>
          <t>You answer</t>
        </is>
      </c>
      <c r="C29" s="16" t="n"/>
      <c r="D29" s="17" t="inlineStr">
        <is>
          <t>Results</t>
        </is>
      </c>
      <c r="E29" s="18" t="n"/>
      <c r="F29" s="18" t="n"/>
      <c r="G29" s="19" t="inlineStr">
        <is>
          <t>Record</t>
        </is>
      </c>
      <c r="H29" s="20" t="n"/>
      <c r="I29" s="20" t="n"/>
    </row>
    <row r="30">
      <c r="B30" s="21" t="inlineStr">
        <is>
          <t>Control: the professional calls</t>
        </is>
      </c>
      <c r="D30" s="21" t="inlineStr">
        <is>
          <t>Pockets: every pocket, worse first</t>
        </is>
      </c>
      <c r="G30" s="21" t="inlineStr">
        <is>
          <t>Record: what ran, the tie-outs, every Run</t>
        </is>
      </c>
    </row>
    <row r="31">
      <c r="B31" s="21" t="inlineStr">
        <is>
          <t>Columns: meanings, odd values, memory</t>
        </is>
      </c>
      <c r="D31" s="21" t="inlineStr">
        <is>
          <t>Paid, cost, kept: paid against cost</t>
        </is>
      </c>
    </row>
    <row r="32">
      <c r="B32" s="21" t="inlineStr">
        <is>
          <t>Look: each number column's shape</t>
        </is>
      </c>
      <c r="D32" s="21" t="inlineStr">
        <is>
          <t>Grids: one grid at a time, and how common</t>
        </is>
      </c>
    </row>
    <row r="33">
      <c r="D33" s="21" t="inlineStr">
        <is>
          <t>Split: each pocket split</t>
        </is>
      </c>
    </row>
  </sheetData>
  <mergeCells count="16">
    <mergeCell ref="B13:I13"/>
    <mergeCell ref="D16:E16"/>
    <mergeCell ref="B16:C16"/>
    <mergeCell ref="D10:E10"/>
    <mergeCell ref="F9:G9"/>
    <mergeCell ref="F10:G10"/>
    <mergeCell ref="F16:G16"/>
    <mergeCell ref="D17:E17"/>
    <mergeCell ref="B10:C10"/>
    <mergeCell ref="C4:I4"/>
    <mergeCell ref="C6:I6"/>
    <mergeCell ref="B17:C17"/>
    <mergeCell ref="B9:C9"/>
    <mergeCell ref="D9:E9"/>
    <mergeCell ref="F17:G17"/>
    <mergeCell ref="C5:I5"/>
  </mergeCells>
  <conditionalFormatting sqref="B10">
    <cfRule type="expression" priority="1" dxfId="0">
      <formula>$B$10&gt;0</formula>
    </cfRule>
  </conditionalFormatting>
  <conditionalFormatting sqref="B9:C9">
    <cfRule type="expression" priority="2" dxfId="1">
      <formula>$B$10&gt;0</formula>
    </cfRule>
  </conditionalFormatting>
  <conditionalFormatting sqref="D10">
    <cfRule type="expression" priority="3" dxfId="0">
      <formula>$D$10&gt;0</formula>
    </cfRule>
  </conditionalFormatting>
  <conditionalFormatting sqref="D9:E9">
    <cfRule type="expression" priority="4" dxfId="1">
      <formula>$D$10&gt;0</formula>
    </cfRule>
  </conditionalFormatting>
  <conditionalFormatting sqref="F10">
    <cfRule type="expression" priority="5" dxfId="0">
      <formula>$F$10&gt;0</formula>
    </cfRule>
  </conditionalFormatting>
  <conditionalFormatting sqref="F9:G9">
    <cfRule type="expression" priority="6" dxfId="1">
      <formula>$F$10&gt;0</formula>
    </cfRule>
  </conditionalFormatting>
  <conditionalFormatting sqref="B13:I13">
    <cfRule type="expression" priority="7" dxfId="2">
      <formula>$B$13&lt;&gt;""</formula>
    </cfRule>
  </conditionalFormatting>
  <hyperlinks>
    <hyperlink xmlns:r="http://schemas.openxmlformats.org/officeDocument/2006/relationships" ref="B25" r:id="rId1"/>
    <hyperlink xmlns:r="http://schemas.openxmlformats.org/officeDocument/2006/relationships" ref="B30" r:id="rId2"/>
    <hyperlink xmlns:r="http://schemas.openxmlformats.org/officeDocument/2006/relationships" ref="D30" r:id="rId3"/>
    <hyperlink xmlns:r="http://schemas.openxmlformats.org/officeDocument/2006/relationships" ref="G30" r:id="rId4"/>
    <hyperlink xmlns:r="http://schemas.openxmlformats.org/officeDocument/2006/relationships" ref="B31" r:id="rId5"/>
    <hyperlink xmlns:r="http://schemas.openxmlformats.org/officeDocument/2006/relationships" ref="D31" r:id="rId6"/>
    <hyperlink xmlns:r="http://schemas.openxmlformats.org/officeDocument/2006/relationships" ref="B32" r:id="rId7"/>
    <hyperlink xmlns:r="http://schemas.openxmlformats.org/officeDocument/2006/relationships" ref="D32" r:id="rId8"/>
    <hyperlink xmlns:r="http://schemas.openxmlformats.org/officeDocument/2006/relationships" ref="D33" r:id="rId9"/>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CC0000"/>
    <outlinePr summaryBelow="0" summaryRight="1"/>
    <pageSetUpPr fitToPage="1"/>
  </sheetPr>
  <dimension ref="A1:P44"/>
  <sheetViews>
    <sheetView showGridLines="0" tabSelected="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82" customWidth="1" min="2" max="2"/>
    <col width="66" customWidth="1" min="3" max="3"/>
    <col width="12" customWidth="1" min="4" max="4"/>
    <col width="14" customWidth="1" min="5" max="5"/>
    <col width="58" customWidth="1" min="6" max="6"/>
    <col hidden="1" width="12" customWidth="1" min="7" max="7"/>
    <col width="22" customWidth="1" min="8" max="8"/>
    <col width="56" customWidth="1" min="9" max="9"/>
    <col hidden="1" width="4" customWidth="1" min="10" max="10"/>
    <col hidden="1" width="4" customWidth="1" min="11" max="11"/>
    <col width="3" customWidth="1" min="12" max="12"/>
    <col width="12" customWidth="1" min="13" max="13"/>
    <col width="14" customWidth="1" min="14" max="14"/>
    <col width="10" customWidth="1" min="15" max="15"/>
    <col width="11" customWidth="1" min="16" max="16"/>
  </cols>
  <sheetData>
    <row r="1" ht="30" customHeight="1">
      <c r="B1" s="1" t="inlineStr">
        <is>
          <t>Control</t>
        </is>
      </c>
      <c r="C1" s="2" t="inlineStr">
        <is>
          <t>The professional calls. The top block changes results now; the second waits for a Run.</t>
        </is>
      </c>
      <c r="D1" s="3" t="n"/>
      <c r="E1" s="3" t="n"/>
      <c r="F1" s="3" t="n"/>
      <c r="G1" s="3" t="n"/>
      <c r="H1" s="3" t="n"/>
      <c r="I1" s="3" t="n"/>
      <c r="J1" s="3" t="n"/>
      <c r="K1" s="3" t="n"/>
      <c r="L1" s="3" t="n"/>
      <c r="M1" s="3" t="n"/>
      <c r="N1" s="3" t="n"/>
      <c r="O1" s="3" t="n"/>
      <c r="P1" s="3" t="n"/>
    </row>
    <row r="2"/>
    <row r="3" outlineLevel="1">
      <c r="B3" s="4" t="inlineStr">
        <is>
          <t>How this tab works</t>
        </is>
      </c>
      <c r="C3" s="5" t="n"/>
      <c r="D3" s="5" t="n"/>
      <c r="E3" s="5" t="n"/>
      <c r="F3" s="5" t="n"/>
      <c r="G3" s="5" t="n"/>
      <c r="H3" s="5" t="n"/>
      <c r="I3" s="5" t="n"/>
    </row>
    <row r="4" outlineLevel="1" ht="17" customHeight="1">
      <c r="B4" s="6" t="inlineStr">
        <is>
          <t>Changes now</t>
        </is>
      </c>
      <c r="C4" s="7" t="inlineStr">
        <is>
          <t>The result tabs read these answers with formulas. Change one and every reading, dollar figure, colour and verdict follows at once. The order of rows stays as the last Run left it.</t>
        </is>
      </c>
    </row>
    <row r="5" outlineLevel="1" ht="17" customHeight="1">
      <c r="B5" s="6" t="inlineStr">
        <is>
          <t>Needs a Run</t>
        </is>
      </c>
      <c r="C5" s="7" t="inlineStr">
        <is>
          <t>These decide which pockets exist and which test each one gets, so they take effect when you press Run again. Status says when an answer differs from what the last Run used.</t>
        </is>
      </c>
    </row>
    <row r="6" outlineLevel="1" ht="17" customHeight="1">
      <c r="B6" s="6" t="inlineStr">
        <is>
          <t>Your answer</t>
        </is>
      </c>
      <c r="C6" s="7" t="inlineStr">
        <is>
          <t>Pick from the list, or type a number under Or your own: a number there wins. A shaded answer still needs one. Comes to shows what the answer amounts to now.</t>
        </is>
      </c>
    </row>
    <row r="7" outlineLevel="1" ht="17" customHeight="1">
      <c r="B7" s="6" t="inlineStr">
        <is>
          <t>Worked out</t>
        </is>
      </c>
      <c r="C7" s="7" t="inlineStr">
        <is>
          <t>Fewest loans, worse at and better at each have a value worked out from this extract, shown beside the setting. It is never picked for you.</t>
        </is>
      </c>
    </row>
    <row r="8" outlineLevel="1" ht="17" customHeight="1">
      <c r="B8" s="6" t="inlineStr">
        <is>
          <t>Chosen in the launcher</t>
        </is>
      </c>
      <c r="C8" s="7" t="inlineStr">
        <is>
          <t>What you're running and how the pockets are cut. Change them in the launcher's Choose tests, then press Next. They are shown here so a reviewer sees them.</t>
        </is>
      </c>
    </row>
    <row r="9" outlineLevel="1" ht="17" customHeight="1">
      <c r="B9" s="6" t="inlineStr">
        <is>
          <t>Materiality levels</t>
        </is>
      </c>
      <c r="C9" s="7" t="inlineStr">
        <is>
          <t>For each level: its dollar line, how many pockets have charge-offs above their share that reach it, and their part of all such dollars. It follows your answer live.</t>
        </is>
      </c>
    </row>
    <row r="10"/>
    <row r="11">
      <c r="B11" s="22" t="inlineStr">
        <is>
          <t>Changes now</t>
        </is>
      </c>
      <c r="C11" s="23" t="inlineStr">
        <is>
          <t>Needs a Run</t>
        </is>
      </c>
      <c r="F11" s="24" t="inlineStr">
        <is>
          <t>Still needs an answer</t>
        </is>
      </c>
      <c r="G11" t="inlineStr">
        <is>
          <t>legend</t>
        </is>
      </c>
    </row>
    <row r="12"/>
    <row r="13" ht="20" customHeight="1">
      <c r="B13" s="25" t="inlineStr">
        <is>
          <t>Changes now · the result tabs follow as you change these</t>
        </is>
      </c>
      <c r="C13" s="26" t="n"/>
      <c r="D13" s="26" t="n"/>
      <c r="E13" s="26" t="n"/>
      <c r="F13" s="26" t="n"/>
      <c r="G13" s="26" t="inlineStr">
        <is>
          <t>block|now</t>
        </is>
      </c>
      <c r="H13" s="26" t="n"/>
      <c r="I13" s="26" t="n"/>
      <c r="M13" s="27" t="inlineStr">
        <is>
          <t>What each materiality level keeps</t>
        </is>
      </c>
      <c r="N13" s="28" t="n"/>
      <c r="O13" s="28" t="n"/>
      <c r="P13" s="28" t="n"/>
    </row>
    <row r="14">
      <c r="B14" s="29" t="inlineStr">
        <is>
          <t>Setting</t>
        </is>
      </c>
      <c r="C14" s="30" t="inlineStr">
        <is>
          <t>Your answer</t>
        </is>
      </c>
      <c r="D14" s="30" t="inlineStr">
        <is>
          <t>Or your own</t>
        </is>
      </c>
      <c r="E14" s="30" t="inlineStr">
        <is>
          <t>Comes to</t>
        </is>
      </c>
      <c r="F14" s="30" t="inlineStr">
        <is>
          <t>Last Run used</t>
        </is>
      </c>
      <c r="G14" s="30" t="n"/>
      <c r="H14" s="30" t="n"/>
      <c r="I14" s="30" t="inlineStr">
        <is>
          <t>Worked out from the loans</t>
        </is>
      </c>
      <c r="M14" s="29" t="inlineStr">
        <is>
          <t>Level</t>
        </is>
      </c>
      <c r="N14" s="30" t="inlineStr">
        <is>
          <t>Dollars</t>
        </is>
      </c>
      <c r="O14" s="30" t="inlineStr">
        <is>
          <t>Pockets</t>
        </is>
      </c>
      <c r="P14" s="30" t="inlineStr">
        <is>
          <t>Of excess</t>
        </is>
      </c>
    </row>
    <row r="15" ht="18" customHeight="1">
      <c r="B15" s="31" t="inlineStr">
        <is>
          <t>How much worse than its comparison a pocket must be</t>
        </is>
      </c>
      <c r="C15" s="32" t="inlineStr">
        <is>
          <t>The smallest significant gap in a typical pocket (suggested)</t>
        </is>
      </c>
      <c r="D15" s="22" t="n"/>
      <c r="E15" s="33">
        <f>IF(NOT(TRUE),"",IF(AND($D$15&lt;&gt;"",$D$15&lt;&gt;"n/a"),$D$15,IF($C$15="","",IF(ISNA(IFERROR(MATCH($G$15&amp;"|"&amp;$C$15,_options!$A:$A,0),MATCH($G$15&amp;"|"&amp;IFERROR(VALUE($C$15),$C$15),_options!$H:$H,0))),"not an option",IFERROR(TEXT(worse_at,"0.00")&amp;"×",IF(ISNUMBER(IFERROR(INDEX(_options!$D:$D,IFERROR(MATCH($G$15&amp;"|"&amp;$C$15,_options!$A:$A,0),MATCH($G$15&amp;"|"&amp;IFERROR(VALUE($C$15),$C$15),_options!$H:$H,0))),"")),TEXT(IFERROR(INDEX(_options!$D:$D,IFERROR(MATCH($G$15&amp;"|"&amp;$C$15,_options!$A:$A,0),MATCH($G$15&amp;"|"&amp;IFERROR(VALUE($C$15),$C$15),_options!$H:$H,0))),""),"0.00")&amp;"×",IF(ISNUMBER($K$15),TEXT($K$15,"0.00")&amp;"×","")))))))</f>
        <v/>
      </c>
      <c r="F15" s="103" t="inlineStr">
        <is>
          <t>1.31 (worked out from this book)</t>
        </is>
      </c>
      <c r="G15" s="35" t="inlineStr">
        <is>
          <t>worse_at</t>
        </is>
      </c>
      <c r="H15" s="34" t="n"/>
      <c r="I15" s="36" t="inlineStr">
        <is>
          <t>suggested: 1.31x, from this extract at the last Run</t>
        </is>
      </c>
      <c r="J15">
        <f>IF(AND(TRUE,$C15="",OR($D15="",$D15="n/a")),1,0)</f>
        <v/>
      </c>
      <c r="K15" t="n">
        <v>1.31</v>
      </c>
      <c r="M15" s="31">
        <f>IFERROR("0.5%"&amp;IF(AND(materiality_kind="share",ABS(materiality_share-0.005)&lt;1E-9)," ◂",""),"0.5%")</f>
        <v/>
      </c>
      <c r="N15" s="73">
        <f>IFERROR((0.005*book_gco),"")</f>
        <v/>
      </c>
      <c r="O15" s="38">
        <f>IFERROR(COUNTIFS(pk_kind,"grids",pk_measure,"gco_rate",pk_dollars,"&gt;="&amp;(0.005*book_gco),pk_dollars,"&gt;0"),"")</f>
        <v/>
      </c>
      <c r="P15" s="39">
        <f>IFERROR(IF(SUMIFS(pk_dollars,pk_kind,"grids",pk_measure,"gco_rate",pk_dollars,"&gt;0")=0,0,SUMIFS(pk_dollars,pk_kind,"grids",pk_measure,"gco_rate",pk_dollars,"&gt;="&amp;(0.005*book_gco),pk_dollars,"&gt;0")/SUMIFS(pk_dollars,pk_kind,"grids",pk_measure,"gco_rate",pk_dollars,"&gt;0")),"")</f>
        <v/>
      </c>
    </row>
    <row r="16" ht="18" customHeight="1">
      <c r="B16" s="31" t="inlineStr">
        <is>
          <t>How much better than its comparison a pocket must be</t>
        </is>
      </c>
      <c r="C16" s="32" t="inlineStr">
        <is>
          <t>The smallest significant gap in a typical pocket (suggested)</t>
        </is>
      </c>
      <c r="D16" s="22" t="n"/>
      <c r="E16" s="33">
        <f>IF(NOT($C$33="Where the book bleeds"),"",IF(AND($D$16&lt;&gt;"",$D$16&lt;&gt;"n/a"),$D$16,IF($C$16="","",IF(ISNA(IFERROR(MATCH($G$16&amp;"|"&amp;$C$16,_options!$A:$A,0),MATCH($G$16&amp;"|"&amp;IFERROR(VALUE($C$16),$C$16),_options!$H:$H,0))),"not an option",IFERROR(TEXT(better_at,"0.00")&amp;"×",IF(ISNUMBER(IFERROR(INDEX(_options!$D:$D,IFERROR(MATCH($G$16&amp;"|"&amp;$C$16,_options!$A:$A,0),MATCH($G$16&amp;"|"&amp;IFERROR(VALUE($C$16),$C$16),_options!$H:$H,0))),"")),TEXT(IFERROR(INDEX(_options!$D:$D,IFERROR(MATCH($G$16&amp;"|"&amp;$C$16,_options!$A:$A,0),MATCH($G$16&amp;"|"&amp;IFERROR(VALUE($C$16),$C$16),_options!$H:$H,0))),""),"0.00")&amp;"×",IF(ISNUMBER($K$16),TEXT($K$16,"0.00")&amp;"×","")))))))</f>
        <v/>
      </c>
      <c r="F16" s="103" t="inlineStr">
        <is>
          <t>0.76 (worked out from this book)</t>
        </is>
      </c>
      <c r="G16" s="35" t="inlineStr">
        <is>
          <t>better_at</t>
        </is>
      </c>
      <c r="H16" s="34" t="n"/>
      <c r="I16" s="36" t="inlineStr">
        <is>
          <t>suggested: 0.76x, from this extract at the last Run</t>
        </is>
      </c>
      <c r="J16">
        <f>IF(AND($C$33="Where the book bleeds",$C16="",OR($D16="",$D16="n/a")),1,0)</f>
        <v/>
      </c>
      <c r="K16" t="n">
        <v>0.76</v>
      </c>
      <c r="M16" s="31">
        <f>IFERROR("1%"&amp;IF(AND(materiality_kind="share",ABS(materiality_share-0.01)&lt;1E-9)," ◂",""),"1%")</f>
        <v/>
      </c>
      <c r="N16" s="73">
        <f>IFERROR((0.01*book_gco),"")</f>
        <v/>
      </c>
      <c r="O16" s="38">
        <f>IFERROR(COUNTIFS(pk_kind,"grids",pk_measure,"gco_rate",pk_dollars,"&gt;="&amp;(0.01*book_gco),pk_dollars,"&gt;0"),"")</f>
        <v/>
      </c>
      <c r="P16" s="39">
        <f>IFERROR(IF(SUMIFS(pk_dollars,pk_kind,"grids",pk_measure,"gco_rate",pk_dollars,"&gt;0")=0,0,SUMIFS(pk_dollars,pk_kind,"grids",pk_measure,"gco_rate",pk_dollars,"&gt;="&amp;(0.01*book_gco),pk_dollars,"&gt;0")/SUMIFS(pk_dollars,pk_kind,"grids",pk_measure,"gco_rate",pk_dollars,"&gt;0")),"")</f>
        <v/>
      </c>
    </row>
    <row r="17" ht="18" customHeight="1">
      <c r="B17" s="31" t="inlineStr">
        <is>
          <t>How far profit must move before it counts as more or less</t>
        </is>
      </c>
      <c r="C17" s="32" t="inlineStr">
        <is>
          <t>Each pocket's own test (suggested)</t>
        </is>
      </c>
      <c r="D17" s="22" t="n"/>
      <c r="E17" s="33">
        <f>IF(NOT($C$33="Where the book bleeds"),"",IF(AND($D$17&lt;&gt;"",$D$17&lt;&gt;"n/a"),$D$17,IF($C$17="","",IF(ISNA(IFERROR(MATCH($G$17&amp;"|"&amp;$C$17,_options!$A:$A,0),MATCH($G$17&amp;"|"&amp;IFERROR(VALUE($C$17),$C$17),_options!$H:$H,0))),"not an option",""))))</f>
        <v/>
      </c>
      <c r="F17" s="103" t="inlineStr">
        <is>
          <t>each pocket's own test</t>
        </is>
      </c>
      <c r="G17" s="35" t="inlineStr">
        <is>
          <t>revenue_line</t>
        </is>
      </c>
      <c r="H17" s="34" t="n"/>
      <c r="I17" s="34" t="n"/>
      <c r="J17">
        <f>IF(AND($C$33="Where the book bleeds",$C17="",OR($D17="",$D17="n/a")),1,0)</f>
        <v/>
      </c>
      <c r="M17" s="31">
        <f>IFERROR("2%"&amp;IF(AND(materiality_kind="share",ABS(materiality_share-0.02)&lt;1E-9)," ◂",""),"2%")</f>
        <v/>
      </c>
      <c r="N17" s="73">
        <f>IFERROR((0.02*book_gco),"")</f>
        <v/>
      </c>
      <c r="O17" s="38">
        <f>IFERROR(COUNTIFS(pk_kind,"grids",pk_measure,"gco_rate",pk_dollars,"&gt;="&amp;(0.02*book_gco),pk_dollars,"&gt;0"),"")</f>
        <v/>
      </c>
      <c r="P17" s="39">
        <f>IFERROR(IF(SUMIFS(pk_dollars,pk_kind,"grids",pk_measure,"gco_rate",pk_dollars,"&gt;0")=0,0,SUMIFS(pk_dollars,pk_kind,"grids",pk_measure,"gco_rate",pk_dollars,"&gt;="&amp;(0.02*book_gco),pk_dollars,"&gt;0")/SUMIFS(pk_dollars,pk_kind,"grids",pk_measure,"gco_rate",pk_dollars,"&gt;0")),"")</f>
        <v/>
      </c>
    </row>
    <row r="18" ht="18" customHeight="1">
      <c r="B18" s="31" t="inlineStr">
        <is>
          <t>How sure a difference must be before it counts</t>
        </is>
      </c>
      <c r="C18" s="32" t="inlineStr">
        <is>
          <t>95% sure</t>
        </is>
      </c>
      <c r="D18" s="22" t="n"/>
      <c r="E18" s="33">
        <f>IF(NOT(TRUE),"",IF(AND($D$18&lt;&gt;"",$D$18&lt;&gt;"n/a"),$D$18,IF($C$18="","",IF(ISNA(IFERROR(MATCH($G$18&amp;"|"&amp;$C$18,_options!$A:$A,0),MATCH($G$18&amp;"|"&amp;IFERROR(VALUE($C$18),$C$18),_options!$H:$H,0))),"not an option",""))))</f>
        <v/>
      </c>
      <c r="F18" s="103" t="inlineStr">
        <is>
          <t>95% sure</t>
        </is>
      </c>
      <c r="G18" s="35" t="inlineStr">
        <is>
          <t>confidence</t>
        </is>
      </c>
      <c r="H18" s="34" t="n"/>
      <c r="I18" s="34" t="n"/>
      <c r="J18">
        <f>IF(AND(TRUE,$C18="",OR($D18="",$D18="n/a")),1,0)</f>
        <v/>
      </c>
      <c r="M18" s="31">
        <f>IFERROR("5%"&amp;IF(AND(materiality_kind="share",ABS(materiality_share-0.05)&lt;1E-9)," ◂",""),"5%")</f>
        <v/>
      </c>
      <c r="N18" s="73">
        <f>IFERROR((0.05*book_gco),"")</f>
        <v/>
      </c>
      <c r="O18" s="38">
        <f>IFERROR(COUNTIFS(pk_kind,"grids",pk_measure,"gco_rate",pk_dollars,"&gt;="&amp;(0.05*book_gco),pk_dollars,"&gt;0"),"")</f>
        <v/>
      </c>
      <c r="P18" s="39">
        <f>IFERROR(IF(SUMIFS(pk_dollars,pk_kind,"grids",pk_measure,"gco_rate",pk_dollars,"&gt;0")=0,0,SUMIFS(pk_dollars,pk_kind,"grids",pk_measure,"gco_rate",pk_dollars,"&gt;="&amp;(0.05*book_gco),pk_dollars,"&gt;0")/SUMIFS(pk_dollars,pk_kind,"grids",pk_measure,"gco_rate",pk_dollars,"&gt;0")),"")</f>
        <v/>
      </c>
    </row>
    <row r="19" ht="18" customHeight="1">
      <c r="B19" s="31" t="inlineStr">
        <is>
          <t>Smallest excess loss worth reporting</t>
        </is>
      </c>
      <c r="C19" s="32" t="inlineStr">
        <is>
          <t>1% of the book's total losses</t>
        </is>
      </c>
      <c r="D19" s="22" t="n"/>
      <c r="E19" s="33">
        <f>IF(NOT(TRUE),"",IF(AND($D$19&lt;&gt;"",$D$19&lt;&gt;"n/a"),$D$19,IF($C$19="","",IF(ISNA(IFERROR(MATCH($G$19&amp;"|"&amp;$C$19,_options!$A:$A,0),MATCH($G$19&amp;"|"&amp;IFERROR(VALUE($C$19),$C$19),_options!$H:$H,0))),"not an option",IFERROR(IF(materiality_kind="none","No floor",IF(materiality_gco&gt;0,"$"&amp;TEXT(materiality_gco,"#,##0"),IFERROR(INDEX(_options!$G:$G,IFERROR(MATCH($G$19&amp;"|"&amp;$C$19,_options!$A:$A,0),MATCH($G$19&amp;"|"&amp;IFERROR(VALUE($C$19),$C$19),_options!$H:$H,0))),"not an option"))),"")))))</f>
        <v/>
      </c>
      <c r="F19" s="103" t="inlineStr">
        <is>
          <t>1% of the book's total losses</t>
        </is>
      </c>
      <c r="G19" s="35" t="inlineStr">
        <is>
          <t>materiality</t>
        </is>
      </c>
      <c r="H19" s="34" t="n"/>
      <c r="I19" s="34" t="n"/>
      <c r="J19">
        <f>IF(AND(TRUE,$C19="",OR($D19="",$D19="n/a")),1,0)</f>
        <v/>
      </c>
      <c r="M19" s="31">
        <f>IFERROR("10%"&amp;IF(AND(materiality_kind="share",ABS(materiality_share-0.1)&lt;1E-9)," ◂",""),"10%")</f>
        <v/>
      </c>
      <c r="N19" s="73">
        <f>IFERROR((0.1*book_gco),"")</f>
        <v/>
      </c>
      <c r="O19" s="38">
        <f>IFERROR(COUNTIFS(pk_kind,"grids",pk_measure,"gco_rate",pk_dollars,"&gt;="&amp;(0.1*book_gco),pk_dollars,"&gt;0"),"")</f>
        <v/>
      </c>
      <c r="P19" s="39">
        <f>IFERROR(IF(SUMIFS(pk_dollars,pk_kind,"grids",pk_measure,"gco_rate",pk_dollars,"&gt;0")=0,0,SUMIFS(pk_dollars,pk_kind,"grids",pk_measure,"gco_rate",pk_dollars,"&gt;="&amp;(0.1*book_gco),pk_dollars,"&gt;0")/SUMIFS(pk_dollars,pk_kind,"grids",pk_measure,"gco_rate",pk_dollars,"&gt;0")),"")</f>
        <v/>
      </c>
    </row>
    <row r="20" ht="18" customHeight="1">
      <c r="B20" s="31" t="inlineStr">
        <is>
          <t>What a pocket is judged against</t>
        </is>
      </c>
      <c r="C20" s="32" t="inlineStr">
        <is>
          <t>The rest of its band</t>
        </is>
      </c>
      <c r="D20" s="40" t="inlineStr">
        <is>
          <t>n/a</t>
        </is>
      </c>
      <c r="E20" s="33">
        <f>IF(NOT($C$33="Where the book bleeds"),"",IF(AND($D$20&lt;&gt;"",$D$20&lt;&gt;"n/a"),$D$20,IF($C$20="","",IF(ISNA(IFERROR(MATCH($G$20&amp;"|"&amp;$C$20,_options!$A:$A,0),MATCH($G$20&amp;"|"&amp;IFERROR(VALUE($C$20),$C$20),_options!$H:$H,0))),"not an option",""))))</f>
        <v/>
      </c>
      <c r="F20" s="103" t="inlineStr">
        <is>
          <t>The rest of its band</t>
        </is>
      </c>
      <c r="G20" s="35" t="inlineStr">
        <is>
          <t>compare_to</t>
        </is>
      </c>
      <c r="H20" s="34" t="n"/>
      <c r="I20" s="34" t="n"/>
      <c r="J20">
        <f>IF(AND($C$33="Where the book bleeds",$C20="",OR($D20="",$D20="n/a")),1,0)</f>
        <v/>
      </c>
      <c r="M20" s="41" t="inlineStr">
        <is>
          <t>Charge-offs, every grid, against what each pocket is judged against.</t>
        </is>
      </c>
    </row>
    <row r="21">
      <c r="M21" s="41" t="inlineStr">
        <is>
          <t>A profit shortfall is held to the same dollar line.</t>
        </is>
      </c>
    </row>
    <row r="22" ht="20" customHeight="1">
      <c r="B22" s="42" t="inlineStr">
        <is>
          <t>↻ Needs a Run · takes effect when you press Run again</t>
        </is>
      </c>
      <c r="C22" s="43" t="n"/>
      <c r="D22" s="43" t="n"/>
      <c r="E22" s="43" t="n"/>
      <c r="F22" s="43" t="n"/>
      <c r="G22" s="43" t="inlineStr">
        <is>
          <t>block|run</t>
        </is>
      </c>
      <c r="H22" s="43" t="n"/>
      <c r="I22" s="43" t="n"/>
    </row>
    <row r="23">
      <c r="B23" s="29" t="inlineStr">
        <is>
          <t>Setting</t>
        </is>
      </c>
      <c r="C23" s="30" t="inlineStr">
        <is>
          <t>Your answer ↻</t>
        </is>
      </c>
      <c r="D23" s="30" t="inlineStr">
        <is>
          <t>Or your own</t>
        </is>
      </c>
      <c r="E23" s="30" t="n"/>
      <c r="F23" s="30" t="inlineStr">
        <is>
          <t>Last Run used</t>
        </is>
      </c>
      <c r="G23" s="30" t="n"/>
      <c r="H23" s="30" t="inlineStr">
        <is>
          <t>Status</t>
        </is>
      </c>
      <c r="I23" s="30" t="inlineStr">
        <is>
          <t>Worked out from the loans</t>
        </is>
      </c>
    </row>
    <row r="24" ht="18" customHeight="1">
      <c r="B24" s="31" t="inlineStr">
        <is>
          <t>Fewest loans in a pocket for the usual test (smaller ones get the exact test)</t>
        </is>
      </c>
      <c r="C24" s="44" t="inlineStr">
        <is>
          <t>Enough for 5 expected losses (suggested)</t>
        </is>
      </c>
      <c r="D24" s="23" t="n"/>
      <c r="E24" s="33" t="n"/>
      <c r="F24" s="103" t="inlineStr">
        <is>
          <t>65 (worked out from this book)</t>
        </is>
      </c>
      <c r="G24" s="35" t="inlineStr">
        <is>
          <t>min_loans</t>
        </is>
      </c>
      <c r="H24" s="34">
        <f>IF(OR(NOT($C$33="Where the book bleeds"),AND($C$33="Where the book bleeds",$C24="",OR($D24="",$D24="n/a"))),"",IFERROR(IF(IF(AND($D$24&lt;&gt;"",$D$24&lt;&gt;"n/a"),$D$24,$C$24)&amp;""=INDEX(_used!$B:$B,MATCH($G$24,_used!$A:$A,0))&amp;"","Same as last Run","↻ Waiting for a Run"),""))</f>
        <v/>
      </c>
      <c r="I24" s="36" t="inlineStr">
        <is>
          <t>suggested: 65, from this extract at the last Run</t>
        </is>
      </c>
      <c r="J24">
        <f>IF(AND($C$33="Where the book bleeds",$C24="",OR($D24="",$D24="n/a")),1,0)</f>
        <v/>
      </c>
      <c r="K24">
        <f>IF($H24="↻ Waiting for a Run",$B24&amp;": "&amp;INDEX(_used!$C:$C,MATCH($G$24,_used!$A:$A,0))&amp;" → "&amp;IF(AND($D$24&lt;&gt;"",$D$24&lt;&gt;"n/a"),$D$24,$C$24)&amp;" (Control C24); ","")</f>
        <v/>
      </c>
    </row>
    <row r="25" ht="18" customHeight="1">
      <c r="B25" s="31" t="inlineStr">
        <is>
          <t>Fewest loans with a loss before a loss rate is tested</t>
        </is>
      </c>
      <c r="C25" s="44" t="inlineStr">
        <is>
          <t>10 losses</t>
        </is>
      </c>
      <c r="D25" s="23" t="n"/>
      <c r="E25" s="33" t="n"/>
      <c r="F25" s="103" t="inlineStr">
        <is>
          <t>10 losses</t>
        </is>
      </c>
      <c r="G25" s="35" t="inlineStr">
        <is>
          <t>min_events</t>
        </is>
      </c>
      <c r="H25" s="34">
        <f>IF(OR(NOT($C$33="Where the book bleeds"),AND($C$33="Where the book bleeds",$C25="",OR($D25="",$D25="n/a"))),"",IFERROR(IF(IF(AND($D$25&lt;&gt;"",$D$25&lt;&gt;"n/a"),$D$25,$C$25)&amp;""=INDEX(_used!$B:$B,MATCH($G$25,_used!$A:$A,0))&amp;"","Same as last Run","↻ Waiting for a Run"),""))</f>
        <v/>
      </c>
      <c r="I25" s="34" t="n"/>
      <c r="J25">
        <f>IF(AND($C$33="Where the book bleeds",$C25="",OR($D25="",$D25="n/a")),1,0)</f>
        <v/>
      </c>
      <c r="K25">
        <f>IF($H25="↻ Waiting for a Run",$B25&amp;": "&amp;INDEX(_used!$C:$C,MATCH($G$25,_used!$A:$A,0))&amp;" → "&amp;IF(AND($D$25&lt;&gt;"",$D$25&lt;&gt;"n/a"),$D$25,$C$25)&amp;" (Control C25); ","")</f>
        <v/>
      </c>
    </row>
    <row r="26" ht="18" customHeight="1">
      <c r="B26" s="31" t="inlineStr">
        <is>
          <t>How many bands a number column is cut into</t>
        </is>
      </c>
      <c r="C26" s="44" t="inlineStr">
        <is>
          <t>5 bands (recommended)</t>
        </is>
      </c>
      <c r="D26" s="23" t="n"/>
      <c r="E26" s="33" t="n"/>
      <c r="F26" s="103" t="inlineStr">
        <is>
          <t>5 bands</t>
        </is>
      </c>
      <c r="G26" s="35" t="inlineStr">
        <is>
          <t>band_count</t>
        </is>
      </c>
      <c r="H26" s="34">
        <f>IF(OR(NOT(TRUE),AND(TRUE,$C26="",OR($D26="",$D26="n/a"))),"",IFERROR(IF(IF(AND($D$26&lt;&gt;"",$D$26&lt;&gt;"n/a"),$D$26,$C$26)&amp;""=INDEX(_used!$B:$B,MATCH($G$26,_used!$A:$A,0))&amp;"","Same as last Run","↻ Waiting for a Run"),""))</f>
        <v/>
      </c>
      <c r="I26" s="34" t="n"/>
      <c r="J26">
        <f>IF(AND(TRUE,$C26="",OR($D26="",$D26="n/a")),1,0)</f>
        <v/>
      </c>
      <c r="K26">
        <f>IF($H26="↻ Waiting for a Run",$B26&amp;": "&amp;INDEX(_used!$C:$C,MATCH($G$26,_used!$A:$A,0))&amp;" → "&amp;IF(AND($D$26&lt;&gt;"",$D$26&lt;&gt;"n/a"),$D$26,$C$26)&amp;" (Control C26); ","")</f>
        <v/>
      </c>
    </row>
    <row r="27" ht="18" customHeight="1">
      <c r="B27" s="31" t="inlineStr">
        <is>
          <t>Where the band edges fall</t>
        </is>
      </c>
      <c r="C27" s="44" t="inlineStr">
        <is>
          <t>Each band holds about the same number of loans (recommended)</t>
        </is>
      </c>
      <c r="D27" s="40" t="inlineStr">
        <is>
          <t>n/a</t>
        </is>
      </c>
      <c r="E27" s="33" t="n"/>
      <c r="F27" s="103" t="inlineStr">
        <is>
          <t>Each band holds about the same number of loans</t>
        </is>
      </c>
      <c r="G27" s="35" t="inlineStr">
        <is>
          <t>band_cut</t>
        </is>
      </c>
      <c r="H27" s="34">
        <f>IF(OR(NOT(TRUE),AND(TRUE,$C27="",OR($D27="",$D27="n/a"))),"",IFERROR(IF(IF(AND($D$27&lt;&gt;"",$D$27&lt;&gt;"n/a"),$D$27,$C$27)&amp;""=INDEX(_used!$B:$B,MATCH($G$27,_used!$A:$A,0))&amp;"","Same as last Run","↻ Waiting for a Run"),""))</f>
        <v/>
      </c>
      <c r="I27" s="34" t="n"/>
      <c r="J27">
        <f>IF(AND(TRUE,$C27="",OR($D27="",$D27="n/a")),1,0)</f>
        <v/>
      </c>
      <c r="K27">
        <f>IF($H27="↻ Waiting for a Run",$B27&amp;": "&amp;INDEX(_used!$C:$C,MATCH($G$27,_used!$A:$A,0))&amp;" → "&amp;IF(AND($D$27&lt;&gt;"",$D$27&lt;&gt;"n/a"),$D$27,$C$27)&amp;" (Control C27); ","")</f>
        <v/>
      </c>
    </row>
    <row r="28" ht="18" customHeight="1">
      <c r="B28" s="31" t="inlineStr">
        <is>
          <t>How often a real gap should be caught</t>
        </is>
      </c>
      <c r="C28" s="44" t="inlineStr">
        <is>
          <t>80% of the time (recommended)</t>
        </is>
      </c>
      <c r="D28" s="23" t="n"/>
      <c r="E28" s="33" t="n"/>
      <c r="F28" s="103" t="inlineStr">
        <is>
          <t>80% of the time</t>
        </is>
      </c>
      <c r="G28" s="35" t="inlineStr">
        <is>
          <t>power</t>
        </is>
      </c>
      <c r="H28" s="34">
        <f>IF(OR(NOT($C$33="Where the book bleeds"),AND($C$33="Where the book bleeds",$C28="",OR($D28="",$D28="n/a"))),"",IFERROR(IF(IF(AND($D$28&lt;&gt;"",$D$28&lt;&gt;"n/a"),$D$28,$C$28)&amp;""=INDEX(_used!$B:$B,MATCH($G$28,_used!$A:$A,0))&amp;"","Same as last Run","↻ Waiting for a Run"),""))</f>
        <v/>
      </c>
      <c r="I28" s="34" t="n"/>
      <c r="J28">
        <f>IF(AND($C$33="Where the book bleeds",$C28="",OR($D28="",$D28="n/a")),1,0)</f>
        <v/>
      </c>
      <c r="K28">
        <f>IF($H28="↻ Waiting for a Run",$B28&amp;": "&amp;INDEX(_used!$C:$C,MATCH($G$28,_used!$A:$A,0))&amp;" → "&amp;IF(AND($D$28&lt;&gt;"",$D$28&lt;&gt;"n/a"),$D$28,$C$28)&amp;" (Control C28); ","")</f>
        <v/>
      </c>
    </row>
    <row r="29" ht="18" customHeight="1">
      <c r="B29" s="31" t="inlineStr">
        <is>
          <t>Allowing for testing many pockets at once</t>
        </is>
      </c>
      <c r="C29" s="44" t="inlineStr">
        <is>
          <t>Hold down the share of false finds (Benjamini-Hochberg) (recommended)</t>
        </is>
      </c>
      <c r="D29" s="40" t="inlineStr">
        <is>
          <t>n/a</t>
        </is>
      </c>
      <c r="E29" s="33" t="n"/>
      <c r="F29" s="103" t="inlineStr">
        <is>
          <t>Hold down the share of false finds (Benjamini-Hochberg)</t>
        </is>
      </c>
      <c r="G29" s="35" t="inlineStr">
        <is>
          <t>many_tests</t>
        </is>
      </c>
      <c r="H29" s="34">
        <f>IF(OR(NOT(TRUE),AND(TRUE,$C29="",OR($D29="",$D29="n/a"))),"",IFERROR(IF(IF(AND($D$29&lt;&gt;"",$D$29&lt;&gt;"n/a"),$D$29,$C$29)&amp;""=INDEX(_used!$B:$B,MATCH($G$29,_used!$A:$A,0))&amp;"","Same as last Run","↻ Waiting for a Run"),""))</f>
        <v/>
      </c>
      <c r="I29" s="34" t="n"/>
      <c r="J29">
        <f>IF(AND(TRUE,$C29="",OR($D29="",$D29="n/a")),1,0)</f>
        <v/>
      </c>
      <c r="K29">
        <f>IF($H29="↻ Waiting for a Run",$B29&amp;": "&amp;INDEX(_used!$C:$C,MATCH($G$29,_used!$A:$A,0))&amp;" → "&amp;IF(AND($D$29&lt;&gt;"",$D$29&lt;&gt;"n/a"),$D$29,$C$29)&amp;" (Control C29); ","")</f>
        <v/>
      </c>
    </row>
    <row r="30" hidden="1" ht="18" customHeight="1">
      <c r="B30" s="31" t="inlineStr">
        <is>
          <t>Loans made before this date find the candidates; the rest are held back</t>
        </is>
      </c>
      <c r="C30" s="44" t="n"/>
      <c r="D30" s="74" t="n"/>
      <c r="E30" s="33" t="n"/>
      <c r="F30" s="103" t="n"/>
      <c r="G30" s="35" t="inlineStr">
        <is>
          <t>cutoff</t>
        </is>
      </c>
      <c r="H30" s="34">
        <f>IF(OR(NOT(AND($C$33="Finding and testing a new variable",$C$34="Scout first")),AND(AND($C$33="Finding and testing a new variable",$C$34="Scout first"),$C30="",OR($D30="",$D30="n/a"))),"",IFERROR(IF(IF(AND($D$30&lt;&gt;"",$D$30&lt;&gt;"n/a"),$D$30,$C$30)&amp;""=INDEX(_used!$B:$B,MATCH($G$30,_used!$A:$A,0))&amp;"","Same as last Run","↻ Waiting for a Run"),""))</f>
        <v/>
      </c>
      <c r="I30" s="36" t="inlineStr">
        <is>
          <t>suggested: 2024-11-01 (5,641 loans before, 2,359 after)</t>
        </is>
      </c>
      <c r="J30">
        <f>IF(AND(AND($C$33="Finding and testing a new variable",$C$34="Scout first"),$C30="",OR($D30="",$D30="n/a")),1,0)</f>
        <v/>
      </c>
      <c r="K30">
        <f>IF($H30="↻ Waiting for a Run",$B30&amp;": "&amp;INDEX(_used!$C:$C,MATCH($G$30,_used!$A:$A,0))&amp;" → "&amp;IF(AND($D$30&lt;&gt;"",$D$30&lt;&gt;"n/a"),$D$30,$C$30)&amp;" (Control C30); ","")</f>
        <v/>
      </c>
    </row>
    <row r="31"/>
    <row r="32" ht="20" customHeight="1">
      <c r="B32" s="46" t="inlineStr">
        <is>
          <t>Chosen in the launcher · read-only here</t>
        </is>
      </c>
      <c r="C32" s="47" t="n"/>
      <c r="D32" s="48" t="inlineStr">
        <is>
          <t>To change these, go back to Choose tests in the launcher and press Next.</t>
        </is>
      </c>
      <c r="E32" s="47" t="n"/>
      <c r="F32" s="47" t="n"/>
      <c r="G32" s="47" t="inlineStr">
        <is>
          <t>launcher|head</t>
        </is>
      </c>
      <c r="H32" s="47" t="n"/>
      <c r="I32" s="47" t="n"/>
    </row>
    <row r="33" ht="18" customHeight="1">
      <c r="B33" s="49" t="inlineStr">
        <is>
          <t>What are you running?</t>
        </is>
      </c>
      <c r="C33" s="50" t="inlineStr">
        <is>
          <t>Where the book bleeds</t>
        </is>
      </c>
      <c r="D33" s="51" t="n"/>
      <c r="E33" s="51" t="n"/>
      <c r="F33" s="51" t="n"/>
      <c r="G33" s="35" t="inlineStr">
        <is>
          <t>run_kind</t>
        </is>
      </c>
      <c r="H33" s="38">
        <f>IFERROR(IF(IF(AND($D$33&lt;&gt;"",$D$33&lt;&gt;"n/a"),$D$33,$C$33)&amp;""=INDEX(_used!$B:$B,MATCH($G$33,_used!$A:$A,0))&amp;"","Same as last Run","↻ Waiting for a Run"),"")</f>
        <v/>
      </c>
      <c r="I33" s="51" t="n"/>
      <c r="K33">
        <f>IF($H33="↻ Waiting for a Run",$B33&amp;": "&amp;IF(INDEX(_used!$B:$B,MATCH($G$33,_used!$A:$A,0))&amp;""="","none",INDEX(_used!$B:$B,MATCH($G$33,_used!$A:$A,0)))&amp;" → "&amp;IF(IF(AND($D$33&lt;&gt;"",$D$33&lt;&gt;"n/a"),$D$33,$C$33)&amp;""="","none",IF(AND($D$33&lt;&gt;"",$D$33&lt;&gt;"n/a"),$D$33,$C$33))&amp;" (launcher); ","")</f>
        <v/>
      </c>
    </row>
    <row r="34" hidden="1" ht="18" customHeight="1">
      <c r="B34" s="49" t="inlineStr">
        <is>
          <t>Scout first, or test from a pre-spec already written?</t>
        </is>
      </c>
      <c r="C34" s="50" t="n"/>
      <c r="D34" s="51" t="n"/>
      <c r="E34" s="51" t="n"/>
      <c r="F34" s="51" t="n"/>
      <c r="G34" s="35" t="inlineStr">
        <is>
          <t>new_variable_step</t>
        </is>
      </c>
      <c r="H34" s="38">
        <f>IF($H$33="↻ Waiting for a Run","",IFERROR(IF(IF(AND($D$34&lt;&gt;"",$D$34&lt;&gt;"n/a"),$D$34,$C$34)&amp;""=INDEX(_used!$B:$B,MATCH($G$34,_used!$A:$A,0))&amp;"","Same as last Run","↻ Waiting for a Run"),""))</f>
        <v/>
      </c>
      <c r="I34" s="51" t="n"/>
      <c r="K34">
        <f>IF($H34="↻ Waiting for a Run",$B34&amp;": "&amp;IF(INDEX(_used!$B:$B,MATCH($G$34,_used!$A:$A,0))&amp;""="","none",INDEX(_used!$B:$B,MATCH($G$34,_used!$A:$A,0)))&amp;" → "&amp;IF(IF(AND($D$34&lt;&gt;"",$D$34&lt;&gt;"n/a"),$D$34,$C$34)&amp;""="","none",IF(AND($D$34&lt;&gt;"",$D$34&lt;&gt;"n/a"),$D$34,$C$34))&amp;" (launcher); ","")</f>
        <v/>
      </c>
    </row>
    <row r="35" ht="18" customHeight="1">
      <c r="B35" s="49" t="inlineStr">
        <is>
          <t>Cut into bands</t>
        </is>
      </c>
      <c r="C35" s="50" t="inlineStr">
        <is>
          <t>FICO, SHORT_HIST</t>
        </is>
      </c>
      <c r="D35" s="51" t="n"/>
      <c r="E35" s="51" t="n"/>
      <c r="F35" s="51" t="n"/>
      <c r="G35" s="35" t="inlineStr">
        <is>
          <t>launcher|bands</t>
        </is>
      </c>
      <c r="H35" s="38">
        <f>IF($H$33="↻ Waiting for a Run","",IFERROR(IF(IF(AND($D$35&lt;&gt;"",$D$35&lt;&gt;"n/a"),$D$35,$C$35)&amp;""=INDEX(_used!$B:$B,MATCH($G$35,_used!$A:$A,0))&amp;"","Same as last Run","↻ Waiting for a Run"),""))</f>
        <v/>
      </c>
      <c r="I35" s="51" t="n"/>
      <c r="K35">
        <f>IF($H35="↻ Waiting for a Run",$B35&amp;": "&amp;IF(INDEX(_used!$B:$B,MATCH($G$35,_used!$A:$A,0))&amp;""="","none",INDEX(_used!$B:$B,MATCH($G$35,_used!$A:$A,0)))&amp;" → "&amp;IF(IF(AND($D$35&lt;&gt;"",$D$35&lt;&gt;"n/a"),$D$35,$C$35)&amp;""="","none",IF(AND($D$35&lt;&gt;"",$D$35&lt;&gt;"n/a"),$D$35,$C$35))&amp;" (launcher); ","")</f>
        <v/>
      </c>
    </row>
    <row r="36" ht="18" customHeight="1">
      <c r="B36" s="49" t="inlineStr">
        <is>
          <t>Segment by</t>
        </is>
      </c>
      <c r="C36" s="50" t="inlineStr">
        <is>
          <t>CHANNEL</t>
        </is>
      </c>
      <c r="D36" s="51" t="n"/>
      <c r="E36" s="51" t="n"/>
      <c r="F36" s="51" t="n"/>
      <c r="G36" s="35" t="inlineStr">
        <is>
          <t>launcher|segments</t>
        </is>
      </c>
      <c r="H36" s="38">
        <f>IF($H$33="↻ Waiting for a Run","",IFERROR(IF(IF(AND($D$36&lt;&gt;"",$D$36&lt;&gt;"n/a"),$D$36,$C$36)&amp;""=INDEX(_used!$B:$B,MATCH($G$36,_used!$A:$A,0))&amp;"","Same as last Run","↻ Waiting for a Run"),""))</f>
        <v/>
      </c>
      <c r="I36" s="51" t="n"/>
      <c r="K36">
        <f>IF($H36="↻ Waiting for a Run",$B36&amp;": "&amp;IF(INDEX(_used!$B:$B,MATCH($G$36,_used!$A:$A,0))&amp;""="","none",INDEX(_used!$B:$B,MATCH($G$36,_used!$A:$A,0)))&amp;" → "&amp;IF(IF(AND($D$36&lt;&gt;"",$D$36&lt;&gt;"n/a"),$D$36,$C$36)&amp;""="","none",IF(AND($D$36&lt;&gt;"",$D$36&lt;&gt;"n/a"),$D$36,$C$36))&amp;" (launcher); ","")</f>
        <v/>
      </c>
    </row>
    <row r="37" ht="18" customHeight="1">
      <c r="B37" s="49" t="inlineStr">
        <is>
          <t>Split every pocket by</t>
        </is>
      </c>
      <c r="C37" s="50" t="inlineStr">
        <is>
          <t>REV_DEBT</t>
        </is>
      </c>
      <c r="D37" s="51" t="n"/>
      <c r="E37" s="51" t="n"/>
      <c r="F37" s="51" t="n"/>
      <c r="G37" s="35" t="inlineStr">
        <is>
          <t>launcher|split</t>
        </is>
      </c>
      <c r="H37" s="38">
        <f>IF($H$33="↻ Waiting for a Run","",IFERROR(IF(IF(AND($D$37&lt;&gt;"",$D$37&lt;&gt;"n/a"),$D$37,$C$37)&amp;""=INDEX(_used!$B:$B,MATCH($G$37,_used!$A:$A,0))&amp;"","Same as last Run","↻ Waiting for a Run"),""))</f>
        <v/>
      </c>
      <c r="I37" s="51" t="n"/>
      <c r="K37">
        <f>IF($H37="↻ Waiting for a Run",$B37&amp;": "&amp;IF(INDEX(_used!$B:$B,MATCH($G$37,_used!$A:$A,0))&amp;""="","none",INDEX(_used!$B:$B,MATCH($G$37,_used!$A:$A,0)))&amp;" → "&amp;IF(IF(AND($D$37&lt;&gt;"",$D$37&lt;&gt;"n/a"),$D$37,$C$37)&amp;""="","none",IF(AND($D$37&lt;&gt;"",$D$37&lt;&gt;"n/a"),$D$37,$C$37))&amp;" (launcher); ","")</f>
        <v/>
      </c>
    </row>
    <row r="38" ht="18" customHeight="1">
      <c r="B38" s="49" t="inlineStr">
        <is>
          <t>Filter the Grids by</t>
        </is>
      </c>
      <c r="C38" s="50" t="n"/>
      <c r="D38" s="51" t="n"/>
      <c r="E38" s="51" t="n"/>
      <c r="F38" s="51" t="n"/>
      <c r="G38" s="35" t="inlineStr">
        <is>
          <t>launcher|filter</t>
        </is>
      </c>
      <c r="H38" s="38">
        <f>IF($H$33="↻ Waiting for a Run","",IFERROR(IF(IF(AND($D$38&lt;&gt;"",$D$38&lt;&gt;"n/a"),$D$38,$C$38)&amp;""=INDEX(_used!$B:$B,MATCH($G$38,_used!$A:$A,0))&amp;"","Same as last Run","↻ Waiting for a Run"),""))</f>
        <v/>
      </c>
      <c r="I38" s="51" t="n"/>
      <c r="K38">
        <f>IF($H38="↻ Waiting for a Run",$B38&amp;": "&amp;IF(INDEX(_used!$B:$B,MATCH($G$38,_used!$A:$A,0))&amp;""="","none",INDEX(_used!$B:$B,MATCH($G$38,_used!$A:$A,0)))&amp;" → "&amp;IF(IF(AND($D$38&lt;&gt;"",$D$38&lt;&gt;"n/a"),$D$38,$C$38)&amp;""="","none",IF(AND($D$38&lt;&gt;"",$D$38&lt;&gt;"n/a"),$D$38,$C$38))&amp;" (launcher); ","")</f>
        <v/>
      </c>
    </row>
    <row r="39" hidden="1" ht="18" customHeight="1">
      <c r="B39" s="49" t="inlineStr">
        <is>
          <t>Tested against</t>
        </is>
      </c>
      <c r="C39" s="50" t="n"/>
      <c r="D39" s="51" t="n"/>
      <c r="E39" s="51" t="n"/>
      <c r="F39" s="51" t="n"/>
      <c r="G39" s="35" t="inlineStr">
        <is>
          <t>launcher|outcome</t>
        </is>
      </c>
      <c r="H39" s="38">
        <f>IF($H$33="↻ Waiting for a Run","",IFERROR(IF(IF(AND($D$39&lt;&gt;"",$D$39&lt;&gt;"n/a"),$D$39,$C$39)&amp;""=INDEX(_used!$B:$B,MATCH($G$39,_used!$A:$A,0))&amp;"","Same as last Run","↻ Waiting for a Run"),""))</f>
        <v/>
      </c>
      <c r="I39" s="51" t="n"/>
      <c r="K39">
        <f>IF($H39="↻ Waiting for a Run",$B39&amp;": "&amp;IF(INDEX(_used!$B:$B,MATCH($G$39,_used!$A:$A,0))&amp;""="","none",INDEX(_used!$B:$B,MATCH($G$39,_used!$A:$A,0)))&amp;" → "&amp;IF(IF(AND($D$39&lt;&gt;"",$D$39&lt;&gt;"n/a"),$D$39,$C$39)&amp;""="","none",IF(AND($D$39&lt;&gt;"",$D$39&lt;&gt;"n/a"),$D$39,$C$39))&amp;" (launcher); ","")</f>
        <v/>
      </c>
    </row>
    <row r="40" hidden="1" ht="18" customHeight="1">
      <c r="B40" s="49" t="inlineStr">
        <is>
          <t>Inputs tested</t>
        </is>
      </c>
      <c r="C40" s="50" t="n"/>
      <c r="D40" s="51" t="n"/>
      <c r="E40" s="51" t="n"/>
      <c r="F40" s="51" t="n"/>
      <c r="G40" s="35" t="inlineStr">
        <is>
          <t>launcher|test</t>
        </is>
      </c>
      <c r="H40" s="38">
        <f>IF($H$33="↻ Waiting for a Run","",IFERROR(IF(IF(AND($D$40&lt;&gt;"",$D$40&lt;&gt;"n/a"),$D$40,$C$40)&amp;""=INDEX(_used!$B:$B,MATCH($G$40,_used!$A:$A,0))&amp;"","Same as last Run","↻ Waiting for a Run"),""))</f>
        <v/>
      </c>
      <c r="I40" s="51" t="n"/>
      <c r="K40">
        <f>IF($H40="↻ Waiting for a Run",$B40&amp;": "&amp;IF(INDEX(_used!$B:$B,MATCH($G$40,_used!$A:$A,0))&amp;""="","none",INDEX(_used!$B:$B,MATCH($G$40,_used!$A:$A,0)))&amp;" → "&amp;IF(IF(AND($D$40&lt;&gt;"",$D$40&lt;&gt;"n/a"),$D$40,$C$40)&amp;""="","none",IF(AND($D$40&lt;&gt;"",$D$40&lt;&gt;"n/a"),$D$40,$C$40))&amp;" (launcher); ","")</f>
        <v/>
      </c>
    </row>
    <row r="41" hidden="1" ht="18" customHeight="1">
      <c r="B41" s="49" t="inlineStr">
        <is>
          <t>Held fixed</t>
        </is>
      </c>
      <c r="C41" s="50" t="n"/>
      <c r="D41" s="51" t="n"/>
      <c r="E41" s="51" t="n"/>
      <c r="F41" s="51" t="n"/>
      <c r="G41" s="35" t="inlineStr">
        <is>
          <t>launcher|hold</t>
        </is>
      </c>
      <c r="H41" s="38">
        <f>IF($H$33="↻ Waiting for a Run","",IFERROR(IF(IF(AND($D$41&lt;&gt;"",$D$41&lt;&gt;"n/a"),$D$41,$C$41)&amp;""=INDEX(_used!$B:$B,MATCH($G$41,_used!$A:$A,0))&amp;"","Same as last Run","↻ Waiting for a Run"),""))</f>
        <v/>
      </c>
      <c r="I41" s="51" t="n"/>
      <c r="K41">
        <f>IF($H41="↻ Waiting for a Run",$B41&amp;": "&amp;IF(INDEX(_used!$B:$B,MATCH($G$41,_used!$A:$A,0))&amp;""="","none",INDEX(_used!$B:$B,MATCH($G$41,_used!$A:$A,0)))&amp;" → "&amp;IF(IF(AND($D$41&lt;&gt;"",$D$41&lt;&gt;"n/a"),$D$41,$C$41)&amp;""="","none",IF(AND($D$41&lt;&gt;"",$D$41&lt;&gt;"n/a"),$D$41,$C$41))&amp;" (launcher); ","")</f>
        <v/>
      </c>
    </row>
    <row r="42" hidden="1" ht="18" customHeight="1">
      <c r="B42" s="49" t="inlineStr">
        <is>
          <t>Saved shortlist (pre-spec file)</t>
        </is>
      </c>
      <c r="C42" s="50" t="n"/>
      <c r="D42" s="51" t="n"/>
      <c r="E42" s="51" t="n"/>
      <c r="F42" s="51" t="n"/>
      <c r="G42" s="35" t="inlineStr">
        <is>
          <t>prespec</t>
        </is>
      </c>
      <c r="H42" s="38">
        <f>IF($H$33="↻ Waiting for a Run","",IFERROR(IF(IF(AND($D$42&lt;&gt;"",$D$42&lt;&gt;"n/a"),$D$42,$C$42)&amp;""=INDEX(_used!$B:$B,MATCH($G$42,_used!$A:$A,0))&amp;"","Same as last Run","↻ Waiting for a Run"),""))</f>
        <v/>
      </c>
      <c r="I42" s="51" t="n"/>
      <c r="K42">
        <f>IF($H42="↻ Waiting for a Run",$B42&amp;": "&amp;IF(INDEX(_used!$B:$B,MATCH($G$42,_used!$A:$A,0))&amp;""="","none",INDEX(_used!$B:$B,MATCH($G$42,_used!$A:$A,0)))&amp;" → "&amp;IF(IF(AND($D$42&lt;&gt;"",$D$42&lt;&gt;"n/a"),$D$42,$C$42)&amp;""="","none",IF(AND($D$42&lt;&gt;"",$D$42&lt;&gt;"n/a"),$D$42,$C$42))&amp;" (launcher); ","")</f>
        <v/>
      </c>
    </row>
    <row r="43" ht="18" customHeight="1">
      <c r="B43" s="49" t="inlineStr">
        <is>
          <t>Number columns: this many values or fewer is a category; more is cut into bands</t>
        </is>
      </c>
      <c r="C43" s="50" t="inlineStr">
        <is>
          <t>12 values</t>
        </is>
      </c>
      <c r="D43" s="51" t="n"/>
      <c r="E43" s="51" t="n"/>
      <c r="F43" s="51" t="n"/>
      <c r="G43" s="35" t="inlineStr">
        <is>
          <t>few_values</t>
        </is>
      </c>
      <c r="H43" s="38">
        <f>IF($H$33="↻ Waiting for a Run","",IFERROR(IF(IF(AND($D$43&lt;&gt;"",$D$43&lt;&gt;"n/a"),$D$43,$C$43)&amp;""=INDEX(_used!$B:$B,MATCH($G$43,_used!$A:$A,0))&amp;"","Same as last Run","↻ Waiting for a Run"),""))</f>
        <v/>
      </c>
      <c r="I43" s="51" t="n"/>
      <c r="K43">
        <f>IF($H43="↻ Waiting for a Run",$B43&amp;": "&amp;IF(INDEX(_used!$B:$B,MATCH($G$43,_used!$A:$A,0))&amp;""="","none",INDEX(_used!$B:$B,MATCH($G$43,_used!$A:$A,0)))&amp;" → "&amp;IF(IF(AND($D$43&lt;&gt;"",$D$43&lt;&gt;"n/a"),$D$43,$C$43)&amp;""="","none",IF(AND($D$43&lt;&gt;"",$D$43&lt;&gt;"n/a"),$D$43,$C$43))&amp;" (launcher); ","")</f>
        <v/>
      </c>
    </row>
    <row r="44" ht="18" customHeight="1">
      <c r="B44" s="49" t="inlineStr">
        <is>
          <t>Text columns: more values than this is too many to cut by (text is never cut into bands)</t>
        </is>
      </c>
      <c r="C44" s="50" t="inlineStr">
        <is>
          <t>50 values</t>
        </is>
      </c>
      <c r="D44" s="51" t="n"/>
      <c r="E44" s="51" t="n"/>
      <c r="F44" s="51" t="n"/>
      <c r="G44" s="35" t="inlineStr">
        <is>
          <t>many_values</t>
        </is>
      </c>
      <c r="H44" s="38">
        <f>IF($H$33="↻ Waiting for a Run","",IFERROR(IF(IF(AND($D$44&lt;&gt;"",$D$44&lt;&gt;"n/a"),$D$44,$C$44)&amp;""=INDEX(_used!$B:$B,MATCH($G$44,_used!$A:$A,0))&amp;"","Same as last Run","↻ Waiting for a Run"),""))</f>
        <v/>
      </c>
      <c r="I44" s="51" t="n"/>
      <c r="K44">
        <f>IF($H44="↻ Waiting for a Run",$B44&amp;": "&amp;IF(INDEX(_used!$B:$B,MATCH($G$44,_used!$A:$A,0))&amp;""="","none",INDEX(_used!$B:$B,MATCH($G$44,_used!$A:$A,0)))&amp;" → "&amp;IF(IF(AND($D$44&lt;&gt;"",$D$44&lt;&gt;"n/a"),$D$44,$C$44)&amp;""="","none",IF(AND($D$44&lt;&gt;"",$D$44&lt;&gt;"n/a"),$D$44,$C$44))&amp;" (launcher); ","")</f>
        <v/>
      </c>
    </row>
  </sheetData>
  <mergeCells count="6">
    <mergeCell ref="C9:I9"/>
    <mergeCell ref="C8:I8"/>
    <mergeCell ref="C4:I4"/>
    <mergeCell ref="C6:I6"/>
    <mergeCell ref="C7:I7"/>
    <mergeCell ref="C5:I5"/>
  </mergeCells>
  <conditionalFormatting sqref="C15:D15">
    <cfRule type="expression" priority="1" dxfId="2">
      <formula>AND(TRUE,$C15="",OR($D15="",$D15="n/a"))</formula>
    </cfRule>
  </conditionalFormatting>
  <conditionalFormatting sqref="C16:D16">
    <cfRule type="expression" priority="2" dxfId="2">
      <formula>AND($C$33="Where the book bleeds",$C16="",OR($D16="",$D16="n/a"))</formula>
    </cfRule>
  </conditionalFormatting>
  <conditionalFormatting sqref="C17:D17">
    <cfRule type="expression" priority="3" dxfId="2">
      <formula>AND($C$33="Where the book bleeds",$C17="",OR($D17="",$D17="n/a"))</formula>
    </cfRule>
  </conditionalFormatting>
  <conditionalFormatting sqref="C18:D18">
    <cfRule type="expression" priority="4" dxfId="2">
      <formula>AND(TRUE,$C18="",OR($D18="",$D18="n/a"))</formula>
    </cfRule>
  </conditionalFormatting>
  <conditionalFormatting sqref="C19:D19">
    <cfRule type="expression" priority="5" dxfId="2">
      <formula>AND(TRUE,$C19="",OR($D19="",$D19="n/a"))</formula>
    </cfRule>
  </conditionalFormatting>
  <conditionalFormatting sqref="C20">
    <cfRule type="expression" priority="6" dxfId="2">
      <formula>AND($C$33="Where the book bleeds",$C20="",OR($D20="",$D20="n/a"))</formula>
    </cfRule>
  </conditionalFormatting>
  <conditionalFormatting sqref="C24:D24">
    <cfRule type="expression" priority="7" dxfId="2">
      <formula>AND($C$33="Where the book bleeds",$C24="",OR($D24="",$D24="n/a"))</formula>
    </cfRule>
  </conditionalFormatting>
  <conditionalFormatting sqref="C25:D25">
    <cfRule type="expression" priority="8" dxfId="2">
      <formula>AND($C$33="Where the book bleeds",$C25="",OR($D25="",$D25="n/a"))</formula>
    </cfRule>
  </conditionalFormatting>
  <conditionalFormatting sqref="C26:D26">
    <cfRule type="expression" priority="9" dxfId="2">
      <formula>AND(TRUE,$C26="",OR($D26="",$D26="n/a"))</formula>
    </cfRule>
  </conditionalFormatting>
  <conditionalFormatting sqref="C27">
    <cfRule type="expression" priority="10" dxfId="2">
      <formula>AND(TRUE,$C27="",OR($D27="",$D27="n/a"))</formula>
    </cfRule>
  </conditionalFormatting>
  <conditionalFormatting sqref="C28:D28">
    <cfRule type="expression" priority="11" dxfId="2">
      <formula>AND($C$33="Where the book bleeds",$C28="",OR($D28="",$D28="n/a"))</formula>
    </cfRule>
  </conditionalFormatting>
  <conditionalFormatting sqref="C29">
    <cfRule type="expression" priority="12" dxfId="2">
      <formula>AND(TRUE,$C29="",OR($D29="",$D29="n/a"))</formula>
    </cfRule>
  </conditionalFormatting>
  <conditionalFormatting sqref="C30:D30">
    <cfRule type="expression" priority="13" dxfId="2">
      <formula>AND(AND($C$33="Finding and testing a new variable",$C$34="Scout first"),$C30="",OR($D30="",$D30="n/a"))</formula>
    </cfRule>
  </conditionalFormatting>
  <conditionalFormatting sqref="H24:H44">
    <cfRule type="expression" priority="14" dxfId="3">
      <formula>$H24="↻ Waiting for a Run"</formula>
    </cfRule>
  </conditionalFormatting>
  <conditionalFormatting sqref="M15:P19">
    <cfRule type="expression" priority="15" dxfId="4">
      <formula>RIGHT($M15,1)="◂"</formula>
    </cfRule>
  </conditionalFormatting>
  <dataValidations count="23">
    <dataValidation sqref="C15" showDropDown="0" showInputMessage="0" showErrorMessage="1" allowBlank="1" errorTitle="Pick from the list" error="Pick one of the listed options. To use your own number, type it in the next column." type="list">
      <formula1>='_options'!$C$35:$C$38</formula1>
    </dataValidation>
    <dataValidation sqref="D15" showDropDown="0" showInputMessage="0" showErrorMessage="1" allowBlank="1" errorTitle="Out of range" error="Enter a multiple above 1, such as 1.4, from 1.01 to 100." type="decimal" operator="between">
      <formula1>1.01</formula1>
      <formula2>100</formula2>
    </dataValidation>
    <dataValidation sqref="C16" showDropDown="0" showInputMessage="0" showErrorMessage="1" allowBlank="1" errorTitle="Pick from the list" error="Pick one of the listed options. To use your own number, type it in the next column." type="list">
      <formula1>='_options'!$C$39:$C$42</formula1>
    </dataValidation>
    <dataValidation sqref="D16" showDropDown="0" showInputMessage="0" showErrorMessage="1" allowBlank="1" errorTitle="Out of range" error="Enter a multiple below 1, such as 0.7, from 0.01 to 0.99." type="decimal" operator="between">
      <formula1>0.01</formula1>
      <formula2>0.99</formula2>
    </dataValidation>
    <dataValidation sqref="C17" showDropDown="0" showInputMessage="0" showErrorMessage="1" allowBlank="1" errorTitle="Pick from the list" error="Pick one of the listed options. To use your own number, type it in the next column." type="list">
      <formula1>='_options'!$C$43:$C$46</formula1>
    </dataValidation>
    <dataValidation sqref="D17" showDropDown="0" showInputMessage="0" showErrorMessage="1" allowBlank="1" errorTitle="Out of range" error="Enter a number of points, such as 0.3, from 0.01 to 20." type="decimal" operator="between">
      <formula1>0.01</formula1>
      <formula2>20</formula2>
    </dataValidation>
    <dataValidation sqref="C18" showDropDown="0" showInputMessage="0" showErrorMessage="1" allowBlank="1" errorTitle="Pick from the list" error="Pick one of the listed options. To use your own number, type it in the next column." type="list">
      <formula1>='_options'!$C$47:$C$49</formula1>
    </dataValidation>
    <dataValidation sqref="D18" showDropDown="0" showInputMessage="0" showErrorMessage="1" allowBlank="1" errorTitle="Out of range" error="Enter a share, such as 0.95 for 95%, from 0.5 to 0.999." type="decimal" operator="between">
      <formula1>0.5</formula1>
      <formula2>0.999</formula2>
    </dataValidation>
    <dataValidation sqref="C19" showDropDown="0" showInputMessage="0" showErrorMessage="1" allowBlank="1" errorTitle="Pick from the list" error="Pick one of the listed options. To use your own number, type it in the next column." type="list">
      <formula1>='_options'!$C$27:$C$32</formula1>
    </dataValidation>
    <dataValidation sqref="D19" showDropDown="0" showInputMessage="0" showErrorMessage="1" allowBlank="1" errorTitle="Out of range" error="Enter a dollar amount of GCO, from 0 to 1e+12." type="decimal" operator="between">
      <formula1>0</formula1>
      <formula2>1000000000000</formula2>
    </dataValidation>
    <dataValidation sqref="C20" showDropDown="0" showInputMessage="0" showErrorMessage="1" allowBlank="1" errorTitle="Pick from the list" error="Pick one of the listed options. To use your own number, type it in the next column." type="list">
      <formula1>='_options'!$C$33:$C$34</formula1>
    </dataValidation>
    <dataValidation sqref="C24" showDropDown="0" showInputMessage="0" showErrorMessage="1" allowBlank="1" errorTitle="Pick from the list" error="Pick one of the listed options. To use your own number, type it in the next column." type="list">
      <formula1>='_options'!$C$20:$C$23</formula1>
    </dataValidation>
    <dataValidation sqref="D24" showDropDown="0" showInputMessage="0" showErrorMessage="1" allowBlank="1" errorTitle="Out of range" error="Enter whole number of loans, from 2 to 100000." type="whole" operator="between">
      <formula1>2</formula1>
      <formula2>100000</formula2>
    </dataValidation>
    <dataValidation sqref="C25" showDropDown="0" showInputMessage="0" showErrorMessage="1" allowBlank="1" errorTitle="Pick from the list" error="Pick one of the listed options. To use your own number, type it in the next column." type="list">
      <formula1>='_options'!$C$24:$C$26</formula1>
    </dataValidation>
    <dataValidation sqref="D25" showDropDown="0" showInputMessage="0" showErrorMessage="1" allowBlank="1" errorTitle="Out of range" error="Enter whole number of loans, from 1 to 100000." type="whole" operator="between">
      <formula1>1</formula1>
      <formula2>100000</formula2>
    </dataValidation>
    <dataValidation sqref="C26" showDropDown="0" showInputMessage="0" showErrorMessage="1" allowBlank="1" errorTitle="Pick from the list" error="Pick one of the listed options. To use your own number, type it in the next column." type="list">
      <formula1>='_options'!$C$14:$C$17</formula1>
    </dataValidation>
    <dataValidation sqref="D26" showDropDown="0" showInputMessage="0" showErrorMessage="1" allowBlank="1" errorTitle="Out of range" error="Enter whole number of bands, from 2 to 50." type="whole" operator="between">
      <formula1>2</formula1>
      <formula2>50</formula2>
    </dataValidation>
    <dataValidation sqref="C27" showDropDown="0" showInputMessage="0" showErrorMessage="1" allowBlank="1" errorTitle="Pick from the list" error="Pick one of the listed options. To use your own number, type it in the next column." type="list">
      <formula1>='_options'!$C$18:$C$19</formula1>
    </dataValidation>
    <dataValidation sqref="C28" showDropDown="0" showInputMessage="0" showErrorMessage="1" allowBlank="1" errorTitle="Pick from the list" error="Pick one of the listed options. To use your own number, type it in the next column." type="list">
      <formula1>='_options'!$C$50:$C$52</formula1>
    </dataValidation>
    <dataValidation sqref="D28" showDropDown="0" showInputMessage="0" showErrorMessage="1" allowBlank="1" errorTitle="Out of range" error="Enter a share, such as 0.8 for 80%, from 0.5 to 0.99." type="decimal" operator="between">
      <formula1>0.5</formula1>
      <formula2>0.99</formula2>
    </dataValidation>
    <dataValidation sqref="C29" showDropDown="0" showInputMessage="0" showErrorMessage="1" allowBlank="1" errorTitle="Pick from the list" error="Pick one of the listed options. To use your own number, type it in the next column." type="list">
      <formula1>='_options'!$C$53:$C$55</formula1>
    </dataValidation>
    <dataValidation sqref="C30" showDropDown="0" showInputMessage="0" showErrorMessage="1" allowBlank="1" errorTitle="Pick from the list" error="Pick one of the listed options. To use your own number, type it in the next column." type="list">
      <formula1>='_options'!$C$6:$C$7</formula1>
    </dataValidation>
    <dataValidation sqref="D30" showDropDown="0" showInputMessage="0" showErrorMessage="1" allowBlank="1" errorTitle="Not a date" error="Enter a date, such as 2024-01-01." type="date" operator="greaterThan">
      <formula1>1</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tabColor rgb="00CC0000"/>
    <outlinePr summaryBelow="0" summaryRight="1"/>
    <pageSetUpPr fitToPage="1"/>
  </sheetPr>
  <dimension ref="A1:S31"/>
  <sheetViews>
    <sheetView showGridLines="0" tabSelected="0" workbookViewId="0">
      <pane xSplit="2" ySplit="12" topLeftCell="C13"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4" customWidth="1" min="2" max="2"/>
    <col width="36" customWidth="1" min="3" max="3"/>
    <col width="20" customWidth="1" min="4" max="4"/>
    <col width="51.3" customWidth="1" min="5" max="5"/>
    <col width="7" customWidth="1" min="6" max="6"/>
    <col width="23" customWidth="1" min="7" max="7"/>
    <col width="11" customWidth="1" min="8" max="8"/>
    <col width="16" customWidth="1" min="9" max="9"/>
    <col width="13" customWidth="1" min="10" max="10"/>
    <col width="9" customWidth="1" min="11" max="11"/>
    <col width="60" customWidth="1" min="12" max="12"/>
    <col width="12" customWidth="1" min="13" max="13"/>
    <col width="19" customWidth="1" min="14" max="14"/>
    <col width="11" customWidth="1" min="15" max="15"/>
    <col width="30" customWidth="1" min="16" max="16"/>
    <col hidden="1" width="13" customWidth="1" min="17" max="17"/>
    <col hidden="1" width="13" customWidth="1" min="18" max="18"/>
    <col hidden="1" width="13" customWidth="1" min="19" max="19"/>
  </cols>
  <sheetData>
    <row r="1" ht="30" customHeight="1">
      <c r="B1" s="1" t="inlineStr">
        <is>
          <t>Columns</t>
        </is>
      </c>
      <c r="C1" s="2" t="inlineStr">
        <is>
          <t>What each column means, what looks odd in it, and what PocketBook remembers about it.</t>
        </is>
      </c>
      <c r="D1" s="3" t="n"/>
      <c r="E1" s="3" t="n"/>
      <c r="F1" s="3" t="n"/>
      <c r="G1" s="3" t="n"/>
      <c r="H1" s="3" t="n"/>
      <c r="I1" s="3" t="n"/>
      <c r="J1" s="3" t="n"/>
      <c r="K1" s="3" t="n"/>
      <c r="L1" s="3" t="n"/>
      <c r="M1" s="3" t="n"/>
      <c r="N1" s="3" t="n"/>
      <c r="O1" s="3" t="n"/>
      <c r="P1" s="3" t="n"/>
    </row>
    <row r="2"/>
    <row r="3" ht="20" customHeight="1">
      <c r="B3" s="52" t="inlineStr">
        <is>
          <t>Checked every column?</t>
        </is>
      </c>
      <c r="C3" s="53" t="inlineStr">
        <is>
          <t>Yes</t>
        </is>
      </c>
      <c r="D3" s="54" t="inlineStr">
        <is>
          <t>Run won't start until this is Yes. Only the columns this Run uses are shown; 1 not picked in the launcher are hidden.</t>
        </is>
      </c>
    </row>
    <row r="4"/>
    <row r="5" outlineLevel="1">
      <c r="B5" s="4" t="inlineStr">
        <is>
          <t>How this tab works</t>
        </is>
      </c>
      <c r="C5" s="5" t="n"/>
      <c r="D5" s="5" t="n"/>
      <c r="E5" s="5" t="n"/>
      <c r="F5" s="5" t="n"/>
      <c r="G5" s="5" t="n"/>
      <c r="H5" s="5" t="n"/>
    </row>
    <row r="6" outlineLevel="1" ht="31" customHeight="1">
      <c r="B6" s="6" t="inlineStr">
        <is>
          <t>What it is</t>
        </is>
      </c>
      <c r="C6" s="7" t="inlineStr">
        <is>
          <t>Set up guesses each column's meaning from its name and values; the reason is beside it. Fix any that's wrong. Confirmed meanings are remembered for the next extract.</t>
        </is>
      </c>
    </row>
    <row r="7" outlineLevel="1" ht="31" customHeight="1">
      <c r="B7" s="6" t="inlineStr">
        <is>
          <t>Odd values</t>
        </is>
      </c>
      <c r="C7" s="7" t="inlineStr">
        <is>
          <t>Values that may be codes rather than real numbers: one value far more often than any other, or negatives in a column that's mostly positive. Missing is treated as blank and counted.</t>
        </is>
      </c>
    </row>
    <row r="8" outlineLevel="1" ht="17" customHeight="1">
      <c r="B8" s="6" t="inlineStr">
        <is>
          <t>Treat as</t>
        </is>
      </c>
      <c r="C8" s="7" t="inlineStr">
        <is>
          <t>Answer Real or Missing. One left blank is used as recorded.</t>
        </is>
      </c>
    </row>
    <row r="9" outlineLevel="1" ht="17" customHeight="1">
      <c r="B9" s="6" t="inlineStr">
        <is>
          <t>Band edges</t>
        </is>
      </c>
      <c r="C9" s="7" t="inlineStr">
        <is>
          <t>Blank means Control's setting. Type edges as 620; 680; 740, or every 20. Look shows what each would cut, live.</t>
        </is>
      </c>
    </row>
    <row r="10" outlineLevel="1" ht="31" customHeight="1">
      <c r="B10" s="6" t="inlineStr">
        <is>
          <t>Remembered</t>
        </is>
      </c>
      <c r="C10" s="7" t="inlineStr">
        <is>
          <t>Set Forget? to Yes to drop what was learned about a column at the next Run. It then waits here for you to confirm it again. Answers marked ↻ take effect at the next Run.</t>
        </is>
      </c>
    </row>
    <row r="11"/>
    <row r="12" ht="18" customHeight="1">
      <c r="B12" s="55" t="inlineStr">
        <is>
          <t>Column</t>
        </is>
      </c>
      <c r="C12" s="55" t="inlineStr">
        <is>
          <t>Samples</t>
        </is>
      </c>
      <c r="D12" s="55" t="inlineStr">
        <is>
          <t>What it is ↻</t>
        </is>
      </c>
      <c r="E12" s="55" t="inlineStr">
        <is>
          <t>Why we think so</t>
        </is>
      </c>
      <c r="F12" s="56" t="inlineStr">
        <is>
          <t>Blank</t>
        </is>
      </c>
      <c r="G12" s="55" t="inlineStr">
        <is>
          <t>Odd values</t>
        </is>
      </c>
      <c r="H12" s="56" t="inlineStr">
        <is>
          <t>Treat as ↻</t>
        </is>
      </c>
      <c r="I12" s="56" t="inlineStr">
        <is>
          <t>Band edges ↻</t>
        </is>
      </c>
      <c r="J12" s="56" t="inlineStr">
        <is>
          <t>Remembered</t>
        </is>
      </c>
      <c r="K12" s="56" t="inlineStr">
        <is>
          <t>Forget? ↻</t>
        </is>
      </c>
      <c r="L12" s="55" t="inlineStr">
        <is>
          <t>Check first</t>
        </is>
      </c>
      <c r="M12" s="56" t="inlineStr">
        <is>
          <t>Yes means ↻</t>
        </is>
      </c>
      <c r="N12" s="56" t="inlineStr">
        <is>
          <t>Show per pocket ↻</t>
        </is>
      </c>
      <c r="O12" s="56" t="inlineStr">
        <is>
          <t>Period ↻</t>
        </is>
      </c>
      <c r="P12" s="55" t="inlineStr">
        <is>
          <t>In your words</t>
        </is>
      </c>
    </row>
    <row r="13" ht="18" customHeight="1">
      <c r="B13" s="57" t="inlineStr">
        <is>
          <t>LOAN_NBR</t>
        </is>
      </c>
      <c r="C13" s="58" t="inlineStr">
        <is>
          <t>L0000000, L0000001, L0000002</t>
        </is>
      </c>
      <c r="D13" s="23" t="inlineStr">
        <is>
          <t>Loan number (key)</t>
        </is>
      </c>
      <c r="E13" s="58" t="inlineStr">
        <is>
          <t>name contains 'loan'; a different value on every row</t>
        </is>
      </c>
      <c r="F13" s="39" t="n">
        <v>0</v>
      </c>
      <c r="G13" s="31" t="n"/>
      <c r="H13" s="38" t="n"/>
      <c r="I13" s="59" t="n"/>
      <c r="J13" s="38" t="inlineStr">
        <is>
          <t>Yes · 1 Run</t>
        </is>
      </c>
      <c r="K13" s="23" t="inlineStr">
        <is>
          <t>No</t>
        </is>
      </c>
      <c r="L13" s="58" t="n"/>
      <c r="M13" s="38" t="n"/>
      <c r="N13" s="38" t="n"/>
      <c r="O13" s="38" t="n"/>
      <c r="P13" s="31" t="n"/>
      <c r="Q13" t="inlineStr">
        <is>
          <t>key</t>
        </is>
      </c>
    </row>
    <row r="14" ht="18" customHeight="1">
      <c r="B14" s="57" t="inlineStr">
        <is>
          <t>FICO</t>
        </is>
      </c>
      <c r="C14" s="58" t="inlineStr">
        <is>
          <t>-9999, 713, 716</t>
        </is>
      </c>
      <c r="D14" s="23" t="inlineStr">
        <is>
          <t>FICO score</t>
        </is>
      </c>
      <c r="E14" s="58" t="inlineStr">
        <is>
          <t>name contains 'fico'; 98% of values between 300 and 850</t>
        </is>
      </c>
      <c r="F14" s="39" t="n">
        <v>0.000125</v>
      </c>
      <c r="G14" s="31" t="inlineStr">
        <is>
          <t>-9999 on 160 loans</t>
        </is>
      </c>
      <c r="H14" s="23" t="inlineStr">
        <is>
          <t>Missing</t>
        </is>
      </c>
      <c r="I14" s="60" t="n"/>
      <c r="J14" s="38" t="inlineStr">
        <is>
          <t>Yes · 1 Run</t>
        </is>
      </c>
      <c r="K14" s="23" t="inlineStr">
        <is>
          <t>No</t>
        </is>
      </c>
      <c r="L14" s="58" t="n"/>
      <c r="M14" s="38" t="n"/>
      <c r="N14" s="38" t="n"/>
      <c r="O14" s="38" t="n"/>
      <c r="P14" s="31" t="n"/>
      <c r="Q14" t="inlineStr">
        <is>
          <t>fico</t>
        </is>
      </c>
      <c r="S14" t="inlineStr">
        <is>
          <t>FICO|repeated_value|-9999.0</t>
        </is>
      </c>
    </row>
    <row r="15" ht="18" customHeight="1">
      <c r="B15" s="57" t="inlineStr">
        <is>
          <t>CHANNEL</t>
        </is>
      </c>
      <c r="C15" s="58" t="inlineStr">
        <is>
          <t>Online, Broker, Branch</t>
        </is>
      </c>
      <c r="D15" s="23" t="inlineStr">
        <is>
          <t>Category</t>
        </is>
      </c>
      <c r="E15" s="58" t="inlineStr">
        <is>
          <t>3 different values</t>
        </is>
      </c>
      <c r="F15" s="39" t="n">
        <v>0</v>
      </c>
      <c r="G15" s="31" t="n"/>
      <c r="H15" s="38" t="n"/>
      <c r="I15" s="59" t="n"/>
      <c r="J15" s="38" t="inlineStr">
        <is>
          <t>Yes · 1 Run</t>
        </is>
      </c>
      <c r="K15" s="23" t="inlineStr">
        <is>
          <t>No</t>
        </is>
      </c>
      <c r="L15" s="58" t="inlineStr">
        <is>
          <t>suggested as Category from its shape alone (3 different values). If it's something more specific, say so and it will be remembered.</t>
        </is>
      </c>
      <c r="M15" s="38" t="n"/>
      <c r="N15" s="38" t="n"/>
      <c r="O15" s="38" t="n"/>
      <c r="P15" s="31" t="n"/>
      <c r="Q15" t="inlineStr">
        <is>
          <t>category</t>
        </is>
      </c>
    </row>
    <row r="16" ht="18" customHeight="1">
      <c r="B16" s="57" t="inlineStr">
        <is>
          <t>ORIG_BAL</t>
        </is>
      </c>
      <c r="C16" s="58" t="inlineStr">
        <is>
          <t>7655.75, 27999.47, 39684.43</t>
        </is>
      </c>
      <c r="D16" s="23" t="inlineStr">
        <is>
          <t>Booked amount</t>
        </is>
      </c>
      <c r="E16" s="58" t="inlineStr">
        <is>
          <t>name contains 'bal'; positive on every loan</t>
        </is>
      </c>
      <c r="F16" s="39" t="n">
        <v>0.000125</v>
      </c>
      <c r="G16" s="31" t="n"/>
      <c r="H16" s="38" t="n"/>
      <c r="I16" s="60" t="n"/>
      <c r="J16" s="38" t="inlineStr">
        <is>
          <t>Yes · 1 Run</t>
        </is>
      </c>
      <c r="K16" s="23" t="inlineStr">
        <is>
          <t>No</t>
        </is>
      </c>
      <c r="L16" s="58" t="n"/>
      <c r="M16" s="38" t="n"/>
      <c r="N16" s="38" t="n"/>
      <c r="O16" s="38" t="n"/>
      <c r="P16" s="31" t="n"/>
      <c r="Q16" t="inlineStr">
        <is>
          <t>booked</t>
        </is>
      </c>
    </row>
    <row r="17" ht="18" customHeight="1">
      <c r="B17" s="57" t="inlineStr">
        <is>
          <t>BAD_FLAG</t>
        </is>
      </c>
      <c r="C17" s="58" t="inlineStr">
        <is>
          <t>0, 2, 1</t>
        </is>
      </c>
      <c r="D17" s="23" t="inlineStr">
        <is>
          <t>Outcome (yes/no)</t>
        </is>
      </c>
      <c r="E17" s="58" t="inlineStr">
        <is>
          <t>picked and confirmed in the launcher as the outcome</t>
        </is>
      </c>
      <c r="F17" s="39" t="n">
        <v>0</v>
      </c>
      <c r="G17" s="31" t="n"/>
      <c r="H17" s="38" t="n"/>
      <c r="I17" s="59" t="n"/>
      <c r="J17" s="38" t="inlineStr">
        <is>
          <t>Yes · 1 Run</t>
        </is>
      </c>
      <c r="K17" s="23" t="inlineStr">
        <is>
          <t>No</t>
        </is>
      </c>
      <c r="L17" s="58" t="inlineStr">
        <is>
          <t>1 value is neither 0 nor 1. They're left out of the outcome rates and counted; if they mean something, fix the extract.</t>
        </is>
      </c>
      <c r="M17" s="38" t="n"/>
      <c r="N17" s="38" t="n"/>
      <c r="O17" s="38" t="n"/>
      <c r="P17" s="31" t="n"/>
      <c r="Q17" t="inlineStr">
        <is>
          <t>outcome</t>
        </is>
      </c>
    </row>
    <row r="18" ht="18" customHeight="1">
      <c r="B18" s="57" t="inlineStr">
        <is>
          <t>GCO_AMT</t>
        </is>
      </c>
      <c r="C18" s="58" t="inlineStr">
        <is>
          <t>0.0, #N/A, 27620.62</t>
        </is>
      </c>
      <c r="D18" s="23" t="inlineStr">
        <is>
          <t>GCO dollars</t>
        </is>
      </c>
      <c r="E18" s="58" t="inlineStr">
        <is>
          <t>name contains 'gco'; zero on 92% of loans, never negative</t>
        </is>
      </c>
      <c r="F18" s="39" t="n">
        <v>0</v>
      </c>
      <c r="G18" s="31" t="n"/>
      <c r="H18" s="38" t="n"/>
      <c r="I18" s="59" t="n"/>
      <c r="J18" s="38" t="inlineStr">
        <is>
          <t>Yes · 1 Run</t>
        </is>
      </c>
      <c r="K18" s="23" t="inlineStr">
        <is>
          <t>No</t>
        </is>
      </c>
      <c r="L18" s="58" t="inlineStr">
        <is>
          <t>1 value isn't a number among 7,999 that are. They're left out of any rate using this column and counted.</t>
        </is>
      </c>
      <c r="M18" s="38" t="n"/>
      <c r="N18" s="38" t="n"/>
      <c r="O18" s="38" t="n"/>
      <c r="P18" s="31" t="n"/>
      <c r="Q18" t="inlineStr">
        <is>
          <t>gco</t>
        </is>
      </c>
    </row>
    <row r="19" ht="18" customHeight="1">
      <c r="B19" s="57" t="inlineStr">
        <is>
          <t>RANR_AMT</t>
        </is>
      </c>
      <c r="C19" s="58" t="inlineStr">
        <is>
          <t>3017.35, 3928.24, 5816.98</t>
        </is>
      </c>
      <c r="D19" s="23" t="inlineStr">
        <is>
          <t>RANR dollars</t>
        </is>
      </c>
      <c r="E19" s="58" t="inlineStr">
        <is>
          <t>name contains 'ranr'; numbers</t>
        </is>
      </c>
      <c r="F19" s="39" t="n">
        <v>0</v>
      </c>
      <c r="G19" s="31" t="inlineStr">
        <is>
          <t>Negative on 595 loans</t>
        </is>
      </c>
      <c r="H19" s="23" t="inlineStr">
        <is>
          <t>Real</t>
        </is>
      </c>
      <c r="I19" s="59" t="n"/>
      <c r="J19" s="38" t="inlineStr">
        <is>
          <t>Yes · 1 Run</t>
        </is>
      </c>
      <c r="K19" s="23" t="inlineStr">
        <is>
          <t>No</t>
        </is>
      </c>
      <c r="L19" s="58" t="n"/>
      <c r="M19" s="38" t="n"/>
      <c r="N19" s="38" t="n"/>
      <c r="O19" s="38" t="n"/>
      <c r="P19" s="31" t="n"/>
      <c r="Q19" t="inlineStr">
        <is>
          <t>ranr</t>
        </is>
      </c>
      <c r="S19" t="inlineStr">
        <is>
          <t>RANR_AMT|negatives|</t>
        </is>
      </c>
    </row>
    <row r="20" hidden="1" ht="18" customHeight="1">
      <c r="B20" s="57" t="inlineStr">
        <is>
          <t>ASSET_CLASS</t>
        </is>
      </c>
      <c r="C20" s="58" t="inlineStr">
        <is>
          <t>1, 2, 4</t>
        </is>
      </c>
      <c r="D20" s="23" t="inlineStr">
        <is>
          <t>Category</t>
        </is>
      </c>
      <c r="E20" s="58" t="inlineStr">
        <is>
          <t>4 different values</t>
        </is>
      </c>
      <c r="F20" s="39" t="n">
        <v>0</v>
      </c>
      <c r="G20" s="31" t="n"/>
      <c r="H20" s="38" t="n"/>
      <c r="I20" s="59" t="n"/>
      <c r="J20" s="38" t="inlineStr">
        <is>
          <t>Yes · 1 Run</t>
        </is>
      </c>
      <c r="K20" s="23" t="inlineStr">
        <is>
          <t>No</t>
        </is>
      </c>
      <c r="L20" s="58" t="inlineStr">
        <is>
          <t>suggested as Category from its shape alone (4 different values). If it's something more specific, say so and it will be remembered.</t>
        </is>
      </c>
      <c r="M20" s="38" t="n"/>
      <c r="N20" s="38" t="n"/>
      <c r="O20" s="38" t="n"/>
      <c r="P20" s="31" t="n"/>
      <c r="Q20" t="inlineStr">
        <is>
          <t>category</t>
        </is>
      </c>
    </row>
    <row r="21" ht="18" customHeight="1">
      <c r="B21" s="57" t="inlineStr">
        <is>
          <t>REV_DEBT</t>
        </is>
      </c>
      <c r="C21" s="58" t="inlineStr">
        <is>
          <t>15868.86, 12884.7, 8920.97</t>
        </is>
      </c>
      <c r="D21" s="23" t="inlineStr">
        <is>
          <t>Amount or number</t>
        </is>
      </c>
      <c r="E21" s="58" t="inlineStr">
        <is>
          <t>numbers with 7,889 values</t>
        </is>
      </c>
      <c r="F21" s="39" t="n">
        <v>0</v>
      </c>
      <c r="G21" s="31" t="n"/>
      <c r="H21" s="38" t="n"/>
      <c r="I21" s="60" t="n"/>
      <c r="J21" s="38" t="inlineStr">
        <is>
          <t>Yes · 1 Run</t>
        </is>
      </c>
      <c r="K21" s="23" t="inlineStr">
        <is>
          <t>No</t>
        </is>
      </c>
      <c r="L21" s="58" t="inlineStr">
        <is>
          <t>suggested as Amount or number from its shape alone (numbers with 7,889 values). If it's something more specific, say so and it will be remembered.</t>
        </is>
      </c>
      <c r="M21" s="38" t="n"/>
      <c r="N21" s="38" t="n"/>
      <c r="O21" s="38" t="n"/>
      <c r="P21" s="31" t="n"/>
      <c r="Q21" t="inlineStr">
        <is>
          <t>amount</t>
        </is>
      </c>
    </row>
    <row r="22" ht="18" customHeight="1">
      <c r="B22" s="57" t="inlineStr">
        <is>
          <t>ORIG_DATE</t>
        </is>
      </c>
      <c r="C22" s="58" t="inlineStr">
        <is>
          <t>2021-11-18, 2024-06-24, 2023-07-12</t>
        </is>
      </c>
      <c r="D22" s="23" t="inlineStr">
        <is>
          <t>Origination date</t>
        </is>
      </c>
      <c r="E22" s="58" t="inlineStr">
        <is>
          <t>name contains 'orig'; dates</t>
        </is>
      </c>
      <c r="F22" s="39" t="n">
        <v>0</v>
      </c>
      <c r="G22" s="31" t="n"/>
      <c r="H22" s="38" t="n"/>
      <c r="I22" s="59" t="n"/>
      <c r="J22" s="38" t="inlineStr">
        <is>
          <t>Yes · 1 Run</t>
        </is>
      </c>
      <c r="K22" s="23" t="inlineStr">
        <is>
          <t>No</t>
        </is>
      </c>
      <c r="L22" s="58" t="n"/>
      <c r="M22" s="38" t="n"/>
      <c r="N22" s="38" t="n"/>
      <c r="O22" s="38" t="n"/>
      <c r="P22" s="31" t="n"/>
      <c r="Q22" t="inlineStr">
        <is>
          <t>origination_date</t>
        </is>
      </c>
    </row>
    <row r="23" ht="18" customHeight="1">
      <c r="B23" s="57" t="inlineStr">
        <is>
          <t>SHORT_HIST</t>
        </is>
      </c>
      <c r="C23" s="58" t="inlineStr">
        <is>
          <t>-99000901, 121, 303</t>
        </is>
      </c>
      <c r="D23" s="23" t="inlineStr">
        <is>
          <t>Amount or number</t>
        </is>
      </c>
      <c r="E23" s="58" t="inlineStr">
        <is>
          <t>numbers with 440 values</t>
        </is>
      </c>
      <c r="F23" s="39" t="n">
        <v>0</v>
      </c>
      <c r="G23" s="31" t="inlineStr">
        <is>
          <t>Negative on 200 loans</t>
        </is>
      </c>
      <c r="H23" s="23" t="inlineStr">
        <is>
          <t>Missing</t>
        </is>
      </c>
      <c r="I23" s="60" t="n"/>
      <c r="J23" s="38" t="inlineStr">
        <is>
          <t>Yes · 1 Run</t>
        </is>
      </c>
      <c r="K23" s="23" t="inlineStr">
        <is>
          <t>No</t>
        </is>
      </c>
      <c r="L23" s="58" t="inlineStr">
        <is>
          <t>suggested as Amount or number from its shape alone (numbers with 440 values). If it's something more specific, say so and it will be remembered.</t>
        </is>
      </c>
      <c r="M23" s="38" t="n"/>
      <c r="N23" s="38" t="n"/>
      <c r="O23" s="38" t="n"/>
      <c r="P23" s="31" t="n"/>
      <c r="Q23" t="inlineStr">
        <is>
          <t>amount</t>
        </is>
      </c>
      <c r="S23" t="inlineStr">
        <is>
          <t>SHORT_HIST|negatives|</t>
        </is>
      </c>
    </row>
    <row r="24">
      <c r="S24" t="inlineStr">
        <is>
          <t>table|end</t>
        </is>
      </c>
    </row>
    <row r="25"/>
    <row r="26" ht="20" customHeight="1">
      <c r="B26" s="25" t="inlineStr">
        <is>
          <t>Add a column: one divided by another</t>
        </is>
      </c>
      <c r="C26" s="26" t="n"/>
      <c r="D26" s="26" t="n"/>
      <c r="E26" s="26" t="n"/>
      <c r="F26" s="26" t="n"/>
      <c r="S26" t="inlineStr">
        <is>
          <t>derived|head</t>
        </is>
      </c>
    </row>
    <row r="27">
      <c r="B27" s="41" t="inlineStr">
        <is>
          <t>Shows here and on Look, and in Choose tests, once you press Set up again. Blank where the bottom is zero or blank.</t>
        </is>
      </c>
      <c r="S27" t="inlineStr">
        <is>
          <t>derived|note</t>
        </is>
      </c>
    </row>
    <row r="28">
      <c r="B28" s="29" t="inlineStr">
        <is>
          <t>New column name ↻</t>
        </is>
      </c>
      <c r="C28" s="29" t="inlineStr">
        <is>
          <t>Top (divided)</t>
        </is>
      </c>
      <c r="D28" s="29" t="inlineStr">
        <is>
          <t>Bottom (divided by)</t>
        </is>
      </c>
      <c r="E28" s="29" t="inlineStr">
        <is>
          <t>What it makes</t>
        </is>
      </c>
      <c r="S28" t="inlineStr">
        <is>
          <t>derived|cols</t>
        </is>
      </c>
    </row>
    <row r="29" ht="18" customHeight="1">
      <c r="B29" s="61" t="n"/>
      <c r="C29" s="61" t="n"/>
      <c r="D29" s="61" t="n"/>
      <c r="E29" s="62">
        <f>IF(COUNTA(B29:D29)=0,"",IF(COUNTA(B29:D29)&lt;3,"Needs a name, a top and a bottom.",B29&amp;" = "&amp;C29&amp;" ÷ "&amp;D29&amp;" on each loan."))</f>
        <v/>
      </c>
      <c r="F29" s="63" t="n"/>
      <c r="S29" t="inlineStr">
        <is>
          <t>derived|1</t>
        </is>
      </c>
    </row>
    <row r="30" ht="18" customHeight="1">
      <c r="B30" s="61" t="n"/>
      <c r="C30" s="61" t="n"/>
      <c r="D30" s="61" t="n"/>
      <c r="E30" s="62">
        <f>IF(COUNTA(B30:D30)=0,"",IF(COUNTA(B30:D30)&lt;3,"Needs a name, a top and a bottom.",B30&amp;" = "&amp;C30&amp;" ÷ "&amp;D30&amp;" on each loan."))</f>
        <v/>
      </c>
      <c r="F30" s="63" t="n"/>
      <c r="S30" t="inlineStr">
        <is>
          <t>derived|2</t>
        </is>
      </c>
    </row>
    <row r="31" ht="18" customHeight="1">
      <c r="B31" s="61" t="n"/>
      <c r="C31" s="61" t="n"/>
      <c r="D31" s="61" t="n"/>
      <c r="E31" s="62">
        <f>IF(COUNTA(B31:D31)=0,"",IF(COUNTA(B31:D31)&lt;3,"Needs a name, a top and a bottom.",B31&amp;" = "&amp;C31&amp;" ÷ "&amp;D31&amp;" on each loan."))</f>
        <v/>
      </c>
      <c r="F31" s="63" t="n"/>
      <c r="S31" t="inlineStr">
        <is>
          <t>derived|3</t>
        </is>
      </c>
    </row>
  </sheetData>
  <mergeCells count="5">
    <mergeCell ref="C6:H6"/>
    <mergeCell ref="C10:H10"/>
    <mergeCell ref="C9:H9"/>
    <mergeCell ref="C8:H8"/>
    <mergeCell ref="C7:H7"/>
  </mergeCells>
  <conditionalFormatting sqref="C3">
    <cfRule type="expression" priority="1" dxfId="2">
      <formula>C3&lt;&gt;"Yes"</formula>
    </cfRule>
  </conditionalFormatting>
  <conditionalFormatting sqref="H13:H23">
    <cfRule type="expression" priority="2" dxfId="2">
      <formula>AND($S13&lt;&gt;"",$H13="")</formula>
    </cfRule>
  </conditionalFormatting>
  <conditionalFormatting sqref="L13:L23">
    <cfRule type="expression" priority="3" dxfId="2">
      <formula>L13&lt;&gt;""</formula>
    </cfRule>
  </conditionalFormatting>
  <conditionalFormatting sqref="B29:D29">
    <cfRule type="expression" priority="4" dxfId="2">
      <formula>AND(B29="",COUNTA($B29:$D29)&gt;0)</formula>
    </cfRule>
  </conditionalFormatting>
  <conditionalFormatting sqref="B30:D30">
    <cfRule type="expression" priority="5" dxfId="2">
      <formula>AND(B30="",COUNTA($B30:$D30)&gt;0)</formula>
    </cfRule>
  </conditionalFormatting>
  <conditionalFormatting sqref="B31:D31">
    <cfRule type="expression" priority="6" dxfId="2">
      <formula>AND(B31="",COUNTA($B31:$D31)&gt;0)</formula>
    </cfRule>
  </conditionalFormatting>
  <dataValidations count="7">
    <dataValidation sqref="C3" showDropDown="0" showInputMessage="0" showErrorMessage="1" allowBlank="1" type="list">
      <formula1>"Yes,No"</formula1>
    </dataValidation>
    <dataValidation sqref="D13 D14 D15 D16 D17 D18 D19 D20 D21 D22 D23" showDropDown="0" showInputMessage="0" showErrorMessage="1" allowBlank="0" error="Pick one of the meanings in the list." type="list">
      <formula1>='_meanings'!$A$1:$A$19</formula1>
    </dataValidation>
    <dataValidation sqref="N13 N14 N15 N16 N17 N18 N19 N20 N21 N22 N23" showDropDown="0" showInputMessage="0" showErrorMessage="1" allowBlank="1" type="list">
      <formula1>"median,average"</formula1>
    </dataValidation>
    <dataValidation sqref="O13 O14 O15 O16 O17 O18 O19 O20 O21 O22 O23" showDropDown="0" showInputMessage="0" showErrorMessage="1" allowBlank="1" error="Pick per year, per month or one-time, or leave it blank." type="list">
      <formula1>"per year,per month,one-time"</formula1>
    </dataValidation>
    <dataValidation sqref="H14 H19 H23" showDropDown="0" showInputMessage="0" showErrorMessage="1" allowBlank="1" error="Pick Real or Missing, or leave it blank to use the values as recorded." type="list">
      <formula1>"Real,Missing"</formula1>
    </dataValidation>
    <dataValidation sqref="K13 K14 K15 K16 K17 K18 K19 K20 K21 K22 K23" showDropDown="0" showInputMessage="0" showErrorMessage="1" allowBlank="1" type="list">
      <formula1>"No,Yes"</formula1>
    </dataValidation>
    <dataValidation sqref="C29 C30 C31 D29 D30 D31" showDropDown="0" showInputMessage="0" showErrorMessage="1" allowBlank="1" errorTitle="Pick a column" error="Pick one of the extract's number columns from the list." type="list">
      <formula1>='_options'!$J$2:$J$9</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CC0000"/>
    <outlinePr summaryBelow="0" summaryRight="1"/>
    <pageSetUpPr fitToPage="1"/>
  </sheetPr>
  <dimension ref="B1:Q114"/>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32" customWidth="1" min="2" max="2"/>
    <col width="12" customWidth="1" min="3" max="3"/>
    <col width="9" customWidth="1" min="4" max="4"/>
    <col width="2" customWidth="1" min="5" max="5"/>
    <col width="13" customWidth="1" min="6" max="6"/>
    <col width="2" customWidth="1" min="7" max="7"/>
    <col width="10"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30" customHeight="1">
      <c r="B1" s="1" t="inlineStr">
        <is>
          <t>Look</t>
        </is>
      </c>
      <c r="C1" s="2" t="inlineStr">
        <is>
          <t>Each number column before you choose its band edges.</t>
        </is>
      </c>
      <c r="D1" s="3" t="n"/>
      <c r="E1" s="3" t="n"/>
      <c r="F1" s="3" t="n"/>
      <c r="G1" s="3" t="n"/>
      <c r="H1" s="3" t="n"/>
      <c r="I1" s="3" t="n"/>
      <c r="J1" s="3" t="n"/>
      <c r="K1" s="3" t="n"/>
      <c r="L1" s="3" t="n"/>
      <c r="M1" s="3" t="n"/>
      <c r="N1" s="3" t="n"/>
      <c r="O1" s="3" t="n"/>
      <c r="P1" s="3" t="n"/>
      <c r="Q1" s="3" t="n"/>
    </row>
    <row r="3" outlineLevel="1">
      <c r="B3" s="4" t="inlineStr">
        <is>
          <t>How this tab works</t>
        </is>
      </c>
      <c r="C3" s="5" t="n"/>
      <c r="D3" s="5" t="n"/>
      <c r="E3" s="5" t="n"/>
      <c r="F3" s="5" t="n"/>
      <c r="G3" s="5" t="n"/>
      <c r="H3" s="5" t="n"/>
      <c r="I3" s="5" t="n"/>
      <c r="J3" s="5" t="n"/>
      <c r="K3" s="5" t="n"/>
      <c r="L3" s="5" t="n"/>
      <c r="M3" s="5" t="n"/>
      <c r="N3" s="5" t="n"/>
      <c r="O3" s="5" t="n"/>
      <c r="P3" s="5" t="n"/>
      <c r="Q3" s="5" t="n"/>
    </row>
    <row r="4" outlineLevel="1" ht="17" customHeight="1">
      <c r="B4" s="6" t="inlineStr">
        <is>
          <t>The bars</t>
        </is>
      </c>
      <c r="C4" s="7" t="inlineStr">
        <is>
          <t>How many loans fall in each step between From and To. Pick 10, 20 or 50 bars and change the range; the chart follows. The grey bar at each end holds the loans outside the range.</t>
        </is>
      </c>
    </row>
    <row r="5" outlineLevel="1" ht="17" customHeight="1">
      <c r="B5" s="6" t="inlineStr">
        <is>
          <t>The red bar</t>
        </is>
      </c>
      <c r="C5" s="7" t="inlineStr">
        <is>
          <t>A value that looks like a code, such as a score of -9999, gets a red bar of its own left of the chart, so it doesn't flatten the rest. Columns asks whether it means missing.</t>
        </is>
      </c>
    </row>
    <row r="6" outlineLevel="1" ht="31" customHeight="1">
      <c r="B6" s="6" t="inlineStr">
        <is>
          <t>The lines</t>
        </is>
      </c>
      <c r="C6" s="7" t="inlineStr">
        <is>
          <t>Red dashed: the band edges typed on Columns. They follow that tab as you type, so you can try edges here before the next Run; blank edges are cut at the Run, so no lines show. Grey: the 10th, 25th, 50th, 75th and 90th percentile, P10 to P90. A tenth of the loans on the chart lie below P10, half below P50 (the median). Worked out as Excel's PERCENTILE.INC does.</t>
        </is>
      </c>
    </row>
    <row r="7" outlineLevel="1" ht="17" customHeight="1">
      <c r="B7" s="6" t="inlineStr">
        <is>
          <t>How it counts</t>
        </is>
      </c>
      <c r="C7" s="7" t="inlineStr">
        <is>
          <t>Set up counts each column once, in 200 equal slices around its 1st to 99th percentile. A range you type is counted to the nearest slice.</t>
        </is>
      </c>
    </row>
    <row r="8" outlineLevel="1" ht="17" customHeight="1">
      <c r="B8" s="6" t="inlineStr">
        <is>
          <t>The dots</t>
        </is>
      </c>
      <c r="C8" s="7" t="inlineStr">
        <is>
          <t>The split column against each band column: a random 2,000 loans, the same every time. If the dots slope, the two move together, and part of a gap on Split may belong to the band column.</t>
        </is>
      </c>
    </row>
    <row r="10" ht="18" customHeight="1">
      <c r="B10" s="64" t="inlineStr">
        <is>
          <t>FICO</t>
        </is>
      </c>
      <c r="C10" s="65" t="n"/>
      <c r="D10" s="65" t="n"/>
      <c r="H10" s="41">
        <f>IF('_look'!$F$20="","FICO · no edges on Columns yet","FICO · edges now "&amp;'_look'!$F$20)</f>
        <v/>
      </c>
    </row>
    <row r="11">
      <c r="B11" s="21" t="inlineStr">
        <is>
          <t>Loans</t>
        </is>
      </c>
      <c r="C11" s="66" t="n">
        <v>8000</v>
      </c>
    </row>
    <row r="12">
      <c r="B12" s="21" t="inlineStr">
        <is>
          <t>Blank</t>
        </is>
      </c>
      <c r="C12" s="66" t="n">
        <v>1</v>
      </c>
      <c r="D12" s="67" t="n">
        <v>0.000125</v>
      </c>
    </row>
    <row r="13">
      <c r="B13" s="21" t="inlineStr">
        <is>
          <t>Not a number</t>
        </is>
      </c>
      <c r="C13" s="66" t="n">
        <v>0</v>
      </c>
      <c r="D13" s="67" t="n">
        <v>0</v>
      </c>
    </row>
    <row r="14">
      <c r="B14" s="21" t="inlineStr">
        <is>
          <t>Likely a code</t>
        </is>
      </c>
      <c r="C14" s="66" t="inlineStr">
        <is>
          <t>none found</t>
        </is>
      </c>
    </row>
    <row r="15">
      <c r="B15" s="21" t="inlineStr">
        <is>
          <t>Smallest</t>
        </is>
      </c>
      <c r="C15" s="66" t="n">
        <v>496</v>
      </c>
    </row>
    <row r="16">
      <c r="B16" s="21" t="inlineStr">
        <is>
          <t>Median</t>
        </is>
      </c>
      <c r="C16" s="66" t="n">
        <v>699</v>
      </c>
    </row>
    <row r="17">
      <c r="B17" s="21" t="inlineStr">
        <is>
          <t>Mean</t>
        </is>
      </c>
      <c r="C17" s="66" t="n">
        <v>699.750988646511</v>
      </c>
    </row>
    <row r="18">
      <c r="B18" s="21" t="inlineStr">
        <is>
          <t>Largest</t>
        </is>
      </c>
      <c r="C18" s="66" t="n">
        <v>921</v>
      </c>
    </row>
    <row r="19">
      <c r="B19" s="21" t="inlineStr">
        <is>
          <t>Answered missing, left out</t>
        </is>
      </c>
      <c r="C19" s="66" t="n">
        <v>160</v>
      </c>
      <c r="D19" s="67" t="n">
        <v>0.02</v>
      </c>
    </row>
    <row r="20">
      <c r="B20" s="21" t="inlineStr">
        <is>
          <t>Bars</t>
        </is>
      </c>
      <c r="C20" s="68" t="n">
        <v>20</v>
      </c>
    </row>
    <row r="21">
      <c r="B21" s="21" t="inlineStr">
        <is>
          <t>From</t>
        </is>
      </c>
      <c r="C21" s="69" t="n">
        <v>550</v>
      </c>
    </row>
    <row r="22">
      <c r="B22" s="21" t="inlineStr">
        <is>
          <t>To</t>
        </is>
      </c>
      <c r="C22" s="69" t="n">
        <v>850</v>
      </c>
    </row>
    <row r="24">
      <c r="B24" s="21" t="inlineStr">
        <is>
          <t>10th percentile (P10)</t>
        </is>
      </c>
      <c r="C24" s="66" t="n">
        <v>629</v>
      </c>
    </row>
    <row r="25">
      <c r="B25" s="21" t="inlineStr">
        <is>
          <t>25th percentile (P25)</t>
        </is>
      </c>
      <c r="C25" s="66" t="n">
        <v>663</v>
      </c>
    </row>
    <row r="26">
      <c r="B26" s="21" t="inlineStr">
        <is>
          <t>50th percentile (P50), the median</t>
        </is>
      </c>
      <c r="C26" s="66" t="n">
        <v>699</v>
      </c>
    </row>
    <row r="27">
      <c r="B27" s="21" t="inlineStr">
        <is>
          <t>75th percentile (P75)</t>
        </is>
      </c>
      <c r="C27" s="66" t="n">
        <v>736</v>
      </c>
    </row>
    <row r="28">
      <c r="B28" s="21" t="inlineStr">
        <is>
          <t>90th percentile (P90)</t>
        </is>
      </c>
      <c r="C28" s="66" t="n">
        <v>772</v>
      </c>
    </row>
    <row r="30" ht="18" customHeight="1">
      <c r="B30" s="64" t="inlineStr">
        <is>
          <t>ORIG_BAL</t>
        </is>
      </c>
      <c r="C30" s="65" t="n"/>
      <c r="D30" s="65" t="n"/>
      <c r="H30" s="41">
        <f>IF('_look'!$S$20="","ORIG_BAL · no edges on Columns yet","ORIG_BAL · edges now "&amp;'_look'!$S$20)</f>
        <v/>
      </c>
    </row>
    <row r="31">
      <c r="B31" s="21" t="inlineStr">
        <is>
          <t>Loans</t>
        </is>
      </c>
      <c r="C31" s="66" t="n">
        <v>8000</v>
      </c>
    </row>
    <row r="32">
      <c r="B32" s="21" t="inlineStr">
        <is>
          <t>Blank</t>
        </is>
      </c>
      <c r="C32" s="66" t="n">
        <v>1</v>
      </c>
      <c r="D32" s="67" t="n">
        <v>0.000125</v>
      </c>
    </row>
    <row r="33">
      <c r="B33" s="21" t="inlineStr">
        <is>
          <t>Not a number</t>
        </is>
      </c>
      <c r="C33" s="66" t="n">
        <v>0</v>
      </c>
      <c r="D33" s="67" t="n">
        <v>0</v>
      </c>
    </row>
    <row r="34">
      <c r="B34" s="21" t="inlineStr">
        <is>
          <t>Likely a code</t>
        </is>
      </c>
      <c r="C34" s="66" t="inlineStr">
        <is>
          <t>none found</t>
        </is>
      </c>
    </row>
    <row r="35">
      <c r="B35" s="21" t="inlineStr">
        <is>
          <t>Smallest</t>
        </is>
      </c>
      <c r="C35" s="66" t="n">
        <v>5005.32</v>
      </c>
    </row>
    <row r="36">
      <c r="B36" s="21" t="inlineStr">
        <is>
          <t>Median</t>
        </is>
      </c>
      <c r="C36" s="66" t="n">
        <v>32112.83</v>
      </c>
    </row>
    <row r="37">
      <c r="B37" s="21" t="inlineStr">
        <is>
          <t>Mean</t>
        </is>
      </c>
      <c r="C37" s="66" t="n">
        <v>32262.58857732217</v>
      </c>
    </row>
    <row r="38">
      <c r="B38" s="21" t="inlineStr">
        <is>
          <t>Largest</t>
        </is>
      </c>
      <c r="C38" s="66" t="n">
        <v>59983.86</v>
      </c>
    </row>
    <row r="40">
      <c r="B40" s="21" t="inlineStr">
        <is>
          <t>Bars</t>
        </is>
      </c>
      <c r="C40" s="68" t="n">
        <v>20</v>
      </c>
    </row>
    <row r="41">
      <c r="B41" s="21" t="inlineStr">
        <is>
          <t>From</t>
        </is>
      </c>
      <c r="C41" s="69" t="n">
        <v>0</v>
      </c>
    </row>
    <row r="42">
      <c r="B42" s="21" t="inlineStr">
        <is>
          <t>To</t>
        </is>
      </c>
      <c r="C42" s="69" t="n">
        <v>60000</v>
      </c>
    </row>
    <row r="44">
      <c r="B44" s="21" t="inlineStr">
        <is>
          <t>10th percentile (P10)</t>
        </is>
      </c>
      <c r="C44" s="66" t="n">
        <v>10110.416</v>
      </c>
    </row>
    <row r="45">
      <c r="B45" s="21" t="inlineStr">
        <is>
          <t>25th percentile (P25)</t>
        </is>
      </c>
      <c r="C45" s="66" t="n">
        <v>18191.43</v>
      </c>
    </row>
    <row r="46">
      <c r="B46" s="21" t="inlineStr">
        <is>
          <t>50th percentile (P50), the median</t>
        </is>
      </c>
      <c r="C46" s="66" t="n">
        <v>32112.83</v>
      </c>
    </row>
    <row r="47">
      <c r="B47" s="21" t="inlineStr">
        <is>
          <t>75th percentile (P75)</t>
        </is>
      </c>
      <c r="C47" s="66" t="n">
        <v>46264.885</v>
      </c>
    </row>
    <row r="48">
      <c r="B48" s="21" t="inlineStr">
        <is>
          <t>90th percentile (P90)</t>
        </is>
      </c>
      <c r="C48" s="66" t="n">
        <v>54495.472</v>
      </c>
    </row>
    <row r="50" ht="18" customHeight="1">
      <c r="B50" s="64" t="inlineStr">
        <is>
          <t>REV_DEBT</t>
        </is>
      </c>
      <c r="C50" s="65" t="n"/>
      <c r="D50" s="65" t="n"/>
      <c r="H50" s="41">
        <f>IF('_look'!$AF$20="","REV_DEBT · no edges on Columns yet","REV_DEBT · edges now "&amp;'_look'!$AF$20)</f>
        <v/>
      </c>
    </row>
    <row r="51">
      <c r="B51" s="21" t="inlineStr">
        <is>
          <t>Loans</t>
        </is>
      </c>
      <c r="C51" s="66" t="n">
        <v>8000</v>
      </c>
    </row>
    <row r="52">
      <c r="B52" s="21" t="inlineStr">
        <is>
          <t>Blank</t>
        </is>
      </c>
      <c r="C52" s="66" t="n">
        <v>0</v>
      </c>
      <c r="D52" s="67" t="n">
        <v>0</v>
      </c>
    </row>
    <row r="53">
      <c r="B53" s="21" t="inlineStr">
        <is>
          <t>Not a number</t>
        </is>
      </c>
      <c r="C53" s="66" t="n">
        <v>0</v>
      </c>
      <c r="D53" s="67" t="n">
        <v>0</v>
      </c>
    </row>
    <row r="54">
      <c r="B54" s="21" t="inlineStr">
        <is>
          <t>Likely a code</t>
        </is>
      </c>
      <c r="C54" s="66" t="inlineStr">
        <is>
          <t>none found</t>
        </is>
      </c>
    </row>
    <row r="55">
      <c r="B55" s="21" t="inlineStr">
        <is>
          <t>Smallest</t>
        </is>
      </c>
      <c r="C55" s="66" t="n">
        <v>0</v>
      </c>
    </row>
    <row r="56">
      <c r="B56" s="21" t="inlineStr">
        <is>
          <t>Median</t>
        </is>
      </c>
      <c r="C56" s="66" t="n">
        <v>11392.84</v>
      </c>
    </row>
    <row r="57">
      <c r="B57" s="21" t="inlineStr">
        <is>
          <t>Mean</t>
        </is>
      </c>
      <c r="C57" s="66" t="n">
        <v>12064.48326875</v>
      </c>
    </row>
    <row r="58">
      <c r="B58" s="21" t="inlineStr">
        <is>
          <t>Largest</t>
        </is>
      </c>
      <c r="C58" s="66" t="n">
        <v>48521.79</v>
      </c>
    </row>
    <row r="60">
      <c r="B60" s="21" t="inlineStr">
        <is>
          <t>Bars</t>
        </is>
      </c>
      <c r="C60" s="68" t="n">
        <v>20</v>
      </c>
    </row>
    <row r="61">
      <c r="B61" s="21" t="inlineStr">
        <is>
          <t>From</t>
        </is>
      </c>
      <c r="C61" s="69" t="n">
        <v>0</v>
      </c>
    </row>
    <row r="62">
      <c r="B62" s="21" t="inlineStr">
        <is>
          <t>To</t>
        </is>
      </c>
      <c r="C62" s="69" t="n">
        <v>30000</v>
      </c>
    </row>
    <row r="64">
      <c r="B64" s="21" t="inlineStr">
        <is>
          <t>10th percentile (P10)</t>
        </is>
      </c>
      <c r="C64" s="66" t="n">
        <v>4382.994000000001</v>
      </c>
    </row>
    <row r="65">
      <c r="B65" s="21" t="inlineStr">
        <is>
          <t>25th percentile (P25)</t>
        </is>
      </c>
      <c r="C65" s="66" t="n">
        <v>7384.4825</v>
      </c>
    </row>
    <row r="66">
      <c r="B66" s="21" t="inlineStr">
        <is>
          <t>50th percentile (P50), the median</t>
        </is>
      </c>
      <c r="C66" s="66" t="n">
        <v>11392.84</v>
      </c>
    </row>
    <row r="67">
      <c r="B67" s="21" t="inlineStr">
        <is>
          <t>75th percentile (P75)</t>
        </is>
      </c>
      <c r="C67" s="66" t="n">
        <v>15940.795</v>
      </c>
    </row>
    <row r="68">
      <c r="B68" s="21" t="inlineStr">
        <is>
          <t>90th percentile (P90)</t>
        </is>
      </c>
      <c r="C68" s="66" t="n">
        <v>20607.534</v>
      </c>
    </row>
    <row r="70" ht="18" customHeight="1">
      <c r="B70" s="64" t="inlineStr">
        <is>
          <t>SHORT_HIST</t>
        </is>
      </c>
      <c r="C70" s="65" t="n"/>
      <c r="D70" s="65" t="n"/>
      <c r="H70" s="41">
        <f>IF('_look'!$AS$20="","SHORT_HIST · no edges on Columns yet","SHORT_HIST · edges now "&amp;'_look'!$AS$20)</f>
        <v/>
      </c>
    </row>
    <row r="71">
      <c r="B71" s="21" t="inlineStr">
        <is>
          <t>Loans</t>
        </is>
      </c>
      <c r="C71" s="66" t="n">
        <v>8000</v>
      </c>
    </row>
    <row r="72">
      <c r="B72" s="21" t="inlineStr">
        <is>
          <t>Blank</t>
        </is>
      </c>
      <c r="C72" s="66" t="n">
        <v>0</v>
      </c>
      <c r="D72" s="67" t="n">
        <v>0</v>
      </c>
    </row>
    <row r="73">
      <c r="B73" s="21" t="inlineStr">
        <is>
          <t>Not a number</t>
        </is>
      </c>
      <c r="C73" s="66" t="n">
        <v>0</v>
      </c>
      <c r="D73" s="67" t="n">
        <v>0</v>
      </c>
    </row>
    <row r="74">
      <c r="B74" s="21" t="inlineStr">
        <is>
          <t>Likely a code</t>
        </is>
      </c>
      <c r="C74" s="66" t="inlineStr">
        <is>
          <t>none found</t>
        </is>
      </c>
    </row>
    <row r="75">
      <c r="B75" s="21" t="inlineStr">
        <is>
          <t>Smallest</t>
        </is>
      </c>
      <c r="C75" s="66" t="n">
        <v>0</v>
      </c>
    </row>
    <row r="76">
      <c r="B76" s="21" t="inlineStr">
        <is>
          <t>Median</t>
        </is>
      </c>
      <c r="C76" s="66" t="n">
        <v>214</v>
      </c>
    </row>
    <row r="77">
      <c r="B77" s="21" t="inlineStr">
        <is>
          <t>Mean</t>
        </is>
      </c>
      <c r="C77" s="66" t="n">
        <v>216.2051282051282</v>
      </c>
    </row>
    <row r="78">
      <c r="B78" s="21" t="inlineStr">
        <is>
          <t>Largest</t>
        </is>
      </c>
      <c r="C78" s="66" t="n">
        <v>435</v>
      </c>
    </row>
    <row r="79">
      <c r="B79" s="21" t="inlineStr">
        <is>
          <t>Answered missing, left out</t>
        </is>
      </c>
      <c r="C79" s="66" t="n">
        <v>200</v>
      </c>
      <c r="D79" s="67" t="n">
        <v>0.025</v>
      </c>
    </row>
    <row r="80">
      <c r="B80" s="21" t="inlineStr">
        <is>
          <t>Bars</t>
        </is>
      </c>
      <c r="C80" s="68" t="n">
        <v>20</v>
      </c>
    </row>
    <row r="81">
      <c r="B81" s="21" t="inlineStr">
        <is>
          <t>From</t>
        </is>
      </c>
      <c r="C81" s="69" t="n">
        <v>0</v>
      </c>
    </row>
    <row r="82">
      <c r="B82" s="21" t="inlineStr">
        <is>
          <t>To</t>
        </is>
      </c>
      <c r="C82" s="69" t="n">
        <v>450</v>
      </c>
    </row>
    <row r="83">
      <c r="B83" s="70">
        <f>IF(Columns!$H$23="Missing","Answered on Columns: its negative values mean missing.",IF(Columns!$H$23="Real","Answered on Columns: its negative values are real.","Not answered on Columns yet (row 23): its negative values are used as recorded."))</f>
        <v/>
      </c>
    </row>
    <row r="84">
      <c r="B84" s="21" t="inlineStr">
        <is>
          <t>10th percentile (P10)</t>
        </is>
      </c>
      <c r="C84" s="66" t="n">
        <v>45</v>
      </c>
    </row>
    <row r="85">
      <c r="B85" s="21" t="inlineStr">
        <is>
          <t>25th percentile (P25)</t>
        </is>
      </c>
      <c r="C85" s="66" t="n">
        <v>110</v>
      </c>
    </row>
    <row r="86">
      <c r="B86" s="21" t="inlineStr">
        <is>
          <t>50th percentile (P50), the median</t>
        </is>
      </c>
      <c r="C86" s="66" t="n">
        <v>214</v>
      </c>
    </row>
    <row r="87">
      <c r="B87" s="21" t="inlineStr">
        <is>
          <t>75th percentile (P75)</t>
        </is>
      </c>
      <c r="C87" s="66" t="n">
        <v>323</v>
      </c>
    </row>
    <row r="88">
      <c r="B88" s="21" t="inlineStr">
        <is>
          <t>90th percentile (P90)</t>
        </is>
      </c>
      <c r="C88" s="66" t="n">
        <v>392</v>
      </c>
    </row>
    <row r="90" ht="18" customHeight="1">
      <c r="B90" s="64" t="inlineStr">
        <is>
          <t>REV_DEBT against FICO</t>
        </is>
      </c>
      <c r="C90" s="65" t="n"/>
      <c r="D90" s="65" t="n"/>
    </row>
    <row r="91">
      <c r="B91" s="21" t="inlineStr">
        <is>
          <t>Loans with both values</t>
        </is>
      </c>
      <c r="C91" s="66" t="n">
        <v>7839</v>
      </c>
    </row>
    <row r="92">
      <c r="B92" s="21" t="inlineStr">
        <is>
          <t>Dots shown</t>
        </is>
      </c>
      <c r="C92" s="66" t="n">
        <v>2000</v>
      </c>
    </row>
    <row r="93">
      <c r="B93" s="21" t="inlineStr">
        <is>
          <t>Moves together (correlation)</t>
        </is>
      </c>
      <c r="C93" s="71" t="n">
        <v>-0.53</v>
      </c>
    </row>
    <row r="94">
      <c r="B94" s="14" t="inlineStr">
        <is>
          <t>A random sample of 2,000: the same loans every time.</t>
        </is>
      </c>
    </row>
    <row r="110" ht="18" customHeight="1">
      <c r="B110" s="64" t="inlineStr">
        <is>
          <t>REV_DEBT against SHORT_HIST</t>
        </is>
      </c>
      <c r="C110" s="65" t="n"/>
      <c r="D110" s="65" t="n"/>
    </row>
    <row r="111">
      <c r="B111" s="21" t="inlineStr">
        <is>
          <t>Loans with both values</t>
        </is>
      </c>
      <c r="C111" s="66" t="n">
        <v>7800</v>
      </c>
    </row>
    <row r="112">
      <c r="B112" s="21" t="inlineStr">
        <is>
          <t>Dots shown</t>
        </is>
      </c>
      <c r="C112" s="66" t="n">
        <v>2000</v>
      </c>
    </row>
    <row r="113">
      <c r="B113" s="21" t="inlineStr">
        <is>
          <t>Moves together (correlation)</t>
        </is>
      </c>
      <c r="C113" s="71" t="n">
        <v>-0.01</v>
      </c>
    </row>
    <row r="114">
      <c r="B114" s="14" t="inlineStr">
        <is>
          <t>A random sample of 2,000: the same loans every time.</t>
        </is>
      </c>
    </row>
  </sheetData>
  <mergeCells count="5">
    <mergeCell ref="C7:Q7"/>
    <mergeCell ref="C6:Q6"/>
    <mergeCell ref="C5:Q5"/>
    <mergeCell ref="C8:Q8"/>
    <mergeCell ref="C4:Q4"/>
  </mergeCells>
  <dataValidations count="1">
    <dataValidation sqref="C20 C40 C60 C80" showDropDown="0" showInputMessage="0" showErrorMessage="1" allowBlank="0" error="Pick 10, 20 or 50 bars." type="list">
      <formula1>"10,20,50"</formula1>
    </dataValidation>
  </dataValidations>
  <pageMargins left="0.75" right="0.75" top="1" bottom="1" header="0.5" footer="0.5"/>
  <pageSetup orientation="landscape" fitToHeight="0" fitToWidth="1"/>
  <rowBreaks count="2" manualBreakCount="2">
    <brk id="48" min="0" max="16383" man="1"/>
    <brk id="88" min="0" max="16383" man="1"/>
  </rowBreaks>
  <drawing xmlns:r="http://schemas.openxmlformats.org/officeDocument/2006/relationships" r:id="rId1"/>
</worksheet>
</file>

<file path=xl/worksheets/sheet5.xml><?xml version="1.0" encoding="utf-8"?>
<worksheet xmlns="http://schemas.openxmlformats.org/spreadsheetml/2006/main">
  <sheetPr>
    <tabColor rgb="000A0908"/>
    <outlinePr summaryBelow="0" summaryRight="1"/>
    <pageSetUpPr fitToPage="1"/>
  </sheetPr>
  <dimension ref="B1:U65"/>
  <sheetViews>
    <sheetView showGridLines="0" tabSelected="0" workbookViewId="0">
      <pane ySplit="20" topLeftCell="A21" activePane="bottomLeft" state="frozen"/>
      <selection pane="bottomLeft" activeCell="A1" sqref="A1"/>
    </sheetView>
  </sheetViews>
  <sheetFormatPr baseColWidth="8" defaultRowHeight="15"/>
  <cols>
    <col width="2" customWidth="1" min="1" max="1"/>
    <col width="5" customWidth="1" min="2" max="2"/>
    <col width="30" customWidth="1" min="3" max="3"/>
    <col width="20" customWidth="1" min="4" max="4"/>
    <col width="21" customWidth="1" min="5" max="5"/>
    <col width="9" customWidth="1" min="6" max="6"/>
    <col width="11" customWidth="1" min="7" max="7"/>
    <col width="12" customWidth="1" min="8" max="8"/>
    <col width="14" customWidth="1" min="9" max="9"/>
    <col width="22" customWidth="1" min="10" max="10"/>
    <col width="33" customWidth="1" min="11" max="11"/>
    <col width="13" customWidth="1" min="12" max="12"/>
    <col width="11" customWidth="1" min="13" max="13"/>
    <col width="19" customWidth="1" min="14" max="14"/>
    <col width="25" customWidth="1" min="15" max="15"/>
    <col hidden="1" width="13" customWidth="1" min="18" max="18"/>
    <col hidden="1" width="13" customWidth="1" min="19" max="19"/>
    <col hidden="1" width="13" customWidth="1" min="20" max="20"/>
    <col hidden="1" width="13" customWidth="1" min="21" max="21"/>
  </cols>
  <sheetData>
    <row r="1" ht="30" customHeight="1">
      <c r="B1" s="3" t="n"/>
      <c r="C1" s="1" t="inlineStr">
        <is>
          <t>Pockets</t>
        </is>
      </c>
      <c r="D1" s="2" t="inlineStr">
        <is>
          <t>Which pockets lose more than their share, how much, and whether it's real and big enough to matter.</t>
        </is>
      </c>
      <c r="E1" s="3" t="n"/>
      <c r="F1" s="3" t="n"/>
      <c r="G1" s="3" t="n"/>
      <c r="H1" s="3" t="n"/>
      <c r="I1" s="3" t="n"/>
      <c r="J1" s="3" t="n"/>
      <c r="K1" s="3" t="n"/>
      <c r="L1" s="3" t="n"/>
      <c r="M1" s="3" t="n"/>
      <c r="N1" s="3" t="n"/>
      <c r="O1" s="3" t="n"/>
    </row>
    <row r="3" outlineLevel="1">
      <c r="C3" s="4" t="inlineStr">
        <is>
          <t>How this tab works</t>
        </is>
      </c>
      <c r="D3" s="5" t="n"/>
      <c r="E3" s="5" t="n"/>
      <c r="F3" s="5" t="n"/>
      <c r="G3" s="5" t="n"/>
      <c r="H3" s="5" t="n"/>
      <c r="I3" s="5" t="n"/>
      <c r="J3" s="5" t="n"/>
      <c r="K3" s="5" t="n"/>
      <c r="L3" s="5" t="n"/>
      <c r="M3" s="5" t="n"/>
      <c r="N3" s="5" t="n"/>
      <c r="O3" s="5" t="n"/>
    </row>
    <row r="4" outlineLevel="1" ht="17" customHeight="1">
      <c r="C4" s="6" t="inlineStr">
        <is>
          <t>A pocket</t>
        </is>
      </c>
      <c r="D4" s="7" t="inlineStr">
        <is>
          <t>One band of one column crossed with one segment of another, in every grid chosen in the launcher. Loans: how many are in it. Split by REV_DEBT: each pocket halved at its own median REV_DEBT, each half tested like any other pocket.</t>
        </is>
      </c>
    </row>
    <row r="5" outlineLevel="1" ht="31" customHeight="1">
      <c r="C5" s="6" t="inlineStr">
        <is>
          <t>Rest of band</t>
        </is>
      </c>
      <c r="D5" s="7">
        <f>"Every other loan in the same band. Judged against on Control picks it or the rest of the book (every other loan in the book); now "&amp;IF(judged_band,"the rest of its band","the rest of the book")&amp;". It decides the gap, the excess and both verdicts. A pocket alone in its band has nothing beside it to compare with, so it is judged against the rest of the book, whatever Control says."</f>
        <v/>
      </c>
    </row>
    <row r="6" outlineLevel="1" ht="31" customHeight="1">
      <c r="C6" s="6" t="inlineStr">
        <is>
          <t>Excess</t>
        </is>
      </c>
      <c r="D6" s="7" t="inlineStr">
        <is>
          <t>What the pocket lost above what it would have lost at the rest's rate: bad loans for Bad loans, dollars for the dollar measures. For Kept after losses and Earned before losses, the dollars it fell short of the rest, and the gap is in points of booked dollars.</t>
        </is>
      </c>
    </row>
    <row r="7" outlineLevel="1" ht="31" customHeight="1">
      <c r="C7" s="6" t="inlineStr">
        <is>
          <t>Worse?</t>
        </is>
      </c>
      <c r="D7" s="7">
        <f>"Yes: at least "&amp;TEXT(worse_at,"0.00")&amp;"x the rest"&amp;" (for profit, short of it by the profit line on Control)"&amp;", with a p-value under "&amp;TEXT(significance_bar,"0%")&amp;". Not sure: the gap is there, but the p-value isn't under it. Too few losses: fewer than "&amp;"10 (a setting for the next Run), so not tested. No: anything else."</f>
        <v/>
      </c>
    </row>
    <row r="8" outlineLevel="1" ht="45" customHeight="1">
      <c r="C8" s="6" t="inlineStr">
        <is>
          <t>p-value</t>
        </is>
      </c>
      <c r="D8" s="7">
        <f>"The chance of a gap at least this big if the pocket were no different from the rest, after the allowance for testing many pockets at once (Benjamini-Hochberg, across one grid and one measure). Bad loans: the z test, or the exact test for a pocket und"&amp;"er 65 loans. Dollar measures: the loans are shuffled 10,000 times, within the band for the rest of its band, and it is how often a gap as big turned up."&amp;" Under "&amp;TEXT(significance_bar,"0%")&amp;" counts."&amp;" Borderline: the test's p-value is within the shuffle's own margin of the "&amp;TEXT(significance_bar,"0%")&amp;" bar, so another run could read it the other way."</f>
        <v/>
      </c>
    </row>
    <row r="9" outlineLevel="1" ht="17" customHeight="1">
      <c r="C9" s="6" t="inlineStr">
        <is>
          <t>Material?</t>
        </is>
      </c>
      <c r="D9" s="7" t="inlineStr">
        <is>
          <t>Yes when the excess reaches the materiality line on Control (the Material at tile, in the measure's own unit). It is judged apart from Worse?: a pocket can be one without the other.</t>
        </is>
      </c>
    </row>
    <row r="10" outlineLevel="1" ht="17" customHeight="1">
      <c r="C10" s="6" t="inlineStr">
        <is>
          <t>Could have caught</t>
        </is>
      </c>
      <c r="D10" s="7" t="inlineStr">
        <is>
          <t>The smallest gap a pocket this size would catch 80% of the time at the last Run's confidence. As of the last Run.</t>
        </is>
      </c>
    </row>
    <row r="11" outlineLevel="1" ht="31" customHeight="1">
      <c r="C11" s="6" t="inlineStr">
        <is>
          <t>Order</t>
        </is>
      </c>
      <c r="D11" s="7" t="inlineStr">
        <is>
          <t>Sorted as of the last Run: worse pockets first, largest excess first, then the rest by their excess. Last come pockets losing more only against the other comparison, so that changing Judged against on Control finds them here. A change on Control updates Worse?, Material?, the dollars and the colours at once, not the order. The caption counts what the dropdowns pick.</t>
        </is>
      </c>
    </row>
    <row r="12" outlineLevel="1" ht="17" customHeight="1">
      <c r="C12" s="6" t="inlineStr">
        <is>
          <t>Holds FICO fixed?</t>
        </is>
      </c>
      <c r="D12" s="7" t="inlineStr">
        <is>
          <t>Split only. REV_DEBT moves with FICO (correlation -0.53), so a split pocket in a grid that doesn't hold FICO fixed may be showing FICO, not REV_DEBT. Those rows come last, in grey, with no verdict colour.</t>
        </is>
      </c>
    </row>
    <row r="14" ht="15" customHeight="1">
      <c r="C14" s="104" t="inlineStr">
        <is>
          <t>LINES IN USE NOW</t>
        </is>
      </c>
      <c r="D14" s="97" t="inlineStr">
        <is>
          <t>Worse at</t>
        </is>
      </c>
      <c r="E14" s="97" t="inlineStr">
        <is>
          <t>Better at</t>
        </is>
      </c>
      <c r="F14" s="97" t="inlineStr">
        <is>
          <t>How sure</t>
        </is>
      </c>
      <c r="G14" s="98" t="n"/>
      <c r="H14" s="97" t="inlineStr">
        <is>
          <t>Material at</t>
        </is>
      </c>
      <c r="I14" s="98" t="n"/>
      <c r="J14" s="97" t="inlineStr">
        <is>
          <t>Judged against</t>
        </is>
      </c>
      <c r="K14" s="105" t="inlineStr">
        <is>
          <t>Order and "Could have caught" are from the last Run, 2026-09-30 04:03.</t>
        </is>
      </c>
    </row>
    <row r="15" ht="22" customHeight="1">
      <c r="C15" s="106" t="inlineStr">
        <is>
          <t>live from Control</t>
        </is>
      </c>
      <c r="D15" s="107">
        <f>worse_at</f>
        <v/>
      </c>
      <c r="E15" s="107">
        <f>better_at</f>
        <v/>
      </c>
      <c r="F15" s="108">
        <f>confidence</f>
        <v/>
      </c>
      <c r="H15" s="11">
        <f>IFERROR(IF(materiality_kind="none","No floor",IF(INDEX(line_values,MATCH($U$18,line_keys,0))="","No line",IF($U$20,TEXT(INDEX(line_values,MATCH($U$18,line_keys,0)),"#,##0.0")&amp;" bad loans","$"&amp;TEXT(INDEX(line_values,MATCH($U$18,line_keys,0)),"#,##0")))),"")</f>
        <v/>
      </c>
      <c r="J15" s="11">
        <f>IF(judged_band,"Rest of its band","Rest of the book")</f>
        <v/>
      </c>
      <c r="K15" s="109">
        <f>IFERROR(IF(COUNTIF(Status,"↻ Waiting for a Run")=0,"","↻ "&amp;COUNTIF(Status,"↻ Waiting for a Run")&amp;IF(COUNTIF(Status,"↻ Waiting for a Run")=1," Control change waits for a Run."," Control changes wait for a Run.")),"")</f>
        <v/>
      </c>
    </row>
    <row r="17">
      <c r="C17" s="110" t="inlineStr">
        <is>
          <t>MEASURE</t>
        </is>
      </c>
      <c r="D17" s="110" t="inlineStr">
        <is>
          <t>POCKETS</t>
        </is>
      </c>
      <c r="E17" s="110" t="inlineStr">
        <is>
          <t>SHOW</t>
        </is>
      </c>
    </row>
    <row r="18" ht="20" customHeight="1">
      <c r="C18" s="32" t="inlineStr">
        <is>
          <t>Bad loans</t>
        </is>
      </c>
      <c r="D18" s="32" t="inlineStr">
        <is>
          <t>Two-way</t>
        </is>
      </c>
      <c r="E18" s="32" t="inlineStr">
        <is>
          <t>All</t>
        </is>
      </c>
      <c r="F18" s="111">
        <f>IFERROR(COUNTIFS('_list'!$A$2:$A$292,'Pockets'!$D$18,'_list'!$B$2:$B$292,'Pockets'!$C$18,'_list'!$K$2:$K$292,"Yes",'_list'!$L$2:$L$292,"Yes")&amp;" worse and material · "&amp;COUNTIFS('_list'!$A$2:$A$292,'Pockets'!$D$18,'_list'!$B$2:$B$292,'Pockets'!$C$18,'_list'!$K$2:$K$292,"Yes")&amp;" worse · "&amp;SUM('_list'!$M$2:$M$292)&amp;" shown","")</f>
        <v/>
      </c>
      <c r="U18">
        <f>IFERROR(INDEX('_choices'!$B$2:$B$6,MATCH('Pockets'!$C$18,'_choices'!$A$2:$A$6,0)),"")</f>
        <v/>
      </c>
    </row>
    <row r="19">
      <c r="U19">
        <f>IFERROR(INDEX('_choices'!$C$2:$C$6,MATCH('Pockets'!$C$18,'_choices'!$A$2:$A$6,0))=1,FALSE)</f>
        <v/>
      </c>
    </row>
    <row r="20" ht="18" customHeight="1">
      <c r="B20" s="56" t="inlineStr">
        <is>
          <t>#</t>
        </is>
      </c>
      <c r="C20" s="55" t="inlineStr">
        <is>
          <t>Band</t>
        </is>
      </c>
      <c r="D20" s="55" t="inlineStr">
        <is>
          <t>Segment</t>
        </is>
      </c>
      <c r="E20" s="55">
        <f>IF('Pockets'!$D$18="Two-way","","REV_DEBT half")</f>
        <v/>
      </c>
      <c r="F20" s="56" t="inlineStr">
        <is>
          <t>Loans</t>
        </is>
      </c>
      <c r="G20" s="56" t="inlineStr">
        <is>
          <t>This pocket</t>
        </is>
      </c>
      <c r="H20" s="56">
        <f>IF(judged_band,"Rest of band","Rest of book")</f>
        <v/>
      </c>
      <c r="I20" s="56">
        <f>IF($U$19,"Gap in pts",IF(judged_band,"× rest of band","× rest of book"))</f>
        <v/>
      </c>
      <c r="J20" s="56">
        <f>IF($U$20,"Bad loans above share",IF($U$19,IF(judged_band,"Dollars short of band","Dollars short of book"),"Dollars above share"))</f>
        <v/>
      </c>
      <c r="K20" s="56" t="inlineStr">
        <is>
          <t>Worse?</t>
        </is>
      </c>
      <c r="L20" s="56" t="inlineStr">
        <is>
          <t>p-value</t>
        </is>
      </c>
      <c r="M20" s="56" t="inlineStr">
        <is>
          <t>Material?</t>
        </is>
      </c>
      <c r="N20" s="56" t="inlineStr">
        <is>
          <t>Could have caught</t>
        </is>
      </c>
      <c r="O20" s="56">
        <f>IF('Pockets'!$D$18="Two-way","","Holds FICO fixed?")</f>
        <v/>
      </c>
      <c r="U20">
        <f>IFERROR(INDEX('_choices'!$D$2:$D$6,MATCH('Pockets'!$C$18,'_choices'!$A$2:$A$6,0))=1,FALSE)</f>
        <v/>
      </c>
    </row>
    <row r="21" ht="16" customHeight="1">
      <c r="B21" s="112">
        <f>IF($R21="","",1)</f>
        <v/>
      </c>
      <c r="C21" s="113">
        <f>IF($R21="","",IF(INDEX('_list'!$D$2:$D$292,$R21)="","",INDEX('_list'!$D$2:$D$292,$R21)))</f>
        <v/>
      </c>
      <c r="D21" s="113">
        <f>IF($R21="","",IF(INDEX('_list'!$E$2:$E$292,$R21)="","",INDEX('_list'!$E$2:$E$292,$R21)))</f>
        <v/>
      </c>
      <c r="E21" s="113">
        <f>IF($R21="","",IF(INDEX('_list'!$F$2:$F$292,$R21)="","",INDEX('_list'!$F$2:$F$292,$R21)))</f>
        <v/>
      </c>
      <c r="F21" s="114">
        <f>IF($R21="","",IF(INDEX('_list'!$G$2:$G$292,$R21)="","",INDEX('_list'!$G$2:$G$292,$R21)))</f>
        <v/>
      </c>
      <c r="G21" s="115">
        <f>IF($S21="","",IF(INDEX('_pockets'!$AH:$AH,$S21)="","",INDEX('_pockets'!$AH:$AH,$S21)))</f>
        <v/>
      </c>
      <c r="H21" s="115">
        <f>IF($S21="","",IF(INDEX('_pockets'!$AF:$AF,$S21)="","",INDEX('_pockets'!$AF:$AF,$S21)))</f>
        <v/>
      </c>
      <c r="I21" s="116">
        <f>IF(IF($S21="","",IF(INDEX('_pockets'!$AB:$AB,$S21)="","",INDEX('_pockets'!$AB:$AB,$S21)))="","",IF($S21="","",IF(INDEX('_pockets'!$AB:$AB,$S21)="","",INDEX('_pockets'!$AB:$AB,$S21)))*IF($U$19,100,1))</f>
        <v/>
      </c>
      <c r="J21" s="114">
        <f>IF($S21="","",IF(INDEX('_pockets'!$Z:$Z,$S21)="","",INDEX('_pockets'!$Z:$Z,$S21)))</f>
        <v/>
      </c>
      <c r="K21" s="117">
        <f>IF($S21="","",IF(INDEX('_pockets'!$AO:$AO,$S21)="","",INDEX('_pockets'!$AO:$AO,$S21)))</f>
        <v/>
      </c>
      <c r="L21" s="118">
        <f>IF($S21="","",IF(INDEX('_pockets'!$AC:$AC,$S21)="","",INDEX('_pockets'!$AC:$AC,$S21)))</f>
        <v/>
      </c>
      <c r="M21" s="117">
        <f>IF($R21="","",IF(INDEX('_list'!$L$2:$L$292,$R21)="","",INDEX('_list'!$L$2:$L$292,$R21)))</f>
        <v/>
      </c>
      <c r="N21" s="116">
        <f>IF($R21="","",IF(INDEX('_list'!$H$2:$H$292,$R21)="","",INDEX('_list'!$H$2:$H$292,$R21)))</f>
        <v/>
      </c>
      <c r="O21" s="113">
        <f>IF($R21="","",IF(INDEX('_list'!$I$2:$I$292,$R21)="","",INDEX('_list'!$I$2:$I$292,$R21)))</f>
        <v/>
      </c>
      <c r="R21">
        <f>IFERROR(MATCH(1,'_list'!$N$2:$N$292,0),"")</f>
        <v/>
      </c>
      <c r="S21">
        <f>IF($R21="","",INDEX('_list'!$C$2:$C$292,$R21))</f>
        <v/>
      </c>
    </row>
    <row r="22" ht="16" customHeight="1">
      <c r="B22" s="112">
        <f>IF($R22="","",2)</f>
        <v/>
      </c>
      <c r="C22" s="113">
        <f>IF($R22="","",IF(INDEX('_list'!$D$2:$D$292,$R22)="","",INDEX('_list'!$D$2:$D$292,$R22)))</f>
        <v/>
      </c>
      <c r="D22" s="113">
        <f>IF($R22="","",IF(INDEX('_list'!$E$2:$E$292,$R22)="","",INDEX('_list'!$E$2:$E$292,$R22)))</f>
        <v/>
      </c>
      <c r="E22" s="113">
        <f>IF($R22="","",IF(INDEX('_list'!$F$2:$F$292,$R22)="","",INDEX('_list'!$F$2:$F$292,$R22)))</f>
        <v/>
      </c>
      <c r="F22" s="114">
        <f>IF($R22="","",IF(INDEX('_list'!$G$2:$G$292,$R22)="","",INDEX('_list'!$G$2:$G$292,$R22)))</f>
        <v/>
      </c>
      <c r="G22" s="115">
        <f>IF($S22="","",IF(INDEX('_pockets'!$AH:$AH,$S22)="","",INDEX('_pockets'!$AH:$AH,$S22)))</f>
        <v/>
      </c>
      <c r="H22" s="115">
        <f>IF($S22="","",IF(INDEX('_pockets'!$AF:$AF,$S22)="","",INDEX('_pockets'!$AF:$AF,$S22)))</f>
        <v/>
      </c>
      <c r="I22" s="116">
        <f>IF(IF($S22="","",IF(INDEX('_pockets'!$AB:$AB,$S22)="","",INDEX('_pockets'!$AB:$AB,$S22)))="","",IF($S22="","",IF(INDEX('_pockets'!$AB:$AB,$S22)="","",INDEX('_pockets'!$AB:$AB,$S22)))*IF($U$19,100,1))</f>
        <v/>
      </c>
      <c r="J22" s="114">
        <f>IF($S22="","",IF(INDEX('_pockets'!$Z:$Z,$S22)="","",INDEX('_pockets'!$Z:$Z,$S22)))</f>
        <v/>
      </c>
      <c r="K22" s="117">
        <f>IF($S22="","",IF(INDEX('_pockets'!$AO:$AO,$S22)="","",INDEX('_pockets'!$AO:$AO,$S22)))</f>
        <v/>
      </c>
      <c r="L22" s="118">
        <f>IF($S22="","",IF(INDEX('_pockets'!$AC:$AC,$S22)="","",INDEX('_pockets'!$AC:$AC,$S22)))</f>
        <v/>
      </c>
      <c r="M22" s="117">
        <f>IF($R22="","",IF(INDEX('_list'!$L$2:$L$292,$R22)="","",INDEX('_list'!$L$2:$L$292,$R22)))</f>
        <v/>
      </c>
      <c r="N22" s="116">
        <f>IF($R22="","",IF(INDEX('_list'!$H$2:$H$292,$R22)="","",INDEX('_list'!$H$2:$H$292,$R22)))</f>
        <v/>
      </c>
      <c r="O22" s="113">
        <f>IF($R22="","",IF(INDEX('_list'!$I$2:$I$292,$R22)="","",INDEX('_list'!$I$2:$I$292,$R22)))</f>
        <v/>
      </c>
      <c r="R22">
        <f>IFERROR(MATCH(2,'_list'!$N$2:$N$292,0),"")</f>
        <v/>
      </c>
      <c r="S22">
        <f>IF($R22="","",INDEX('_list'!$C$2:$C$292,$R22))</f>
        <v/>
      </c>
    </row>
    <row r="23" ht="16" customHeight="1">
      <c r="B23" s="112">
        <f>IF($R23="","",3)</f>
        <v/>
      </c>
      <c r="C23" s="113">
        <f>IF($R23="","",IF(INDEX('_list'!$D$2:$D$292,$R23)="","",INDEX('_list'!$D$2:$D$292,$R23)))</f>
        <v/>
      </c>
      <c r="D23" s="113">
        <f>IF($R23="","",IF(INDEX('_list'!$E$2:$E$292,$R23)="","",INDEX('_list'!$E$2:$E$292,$R23)))</f>
        <v/>
      </c>
      <c r="E23" s="113">
        <f>IF($R23="","",IF(INDEX('_list'!$F$2:$F$292,$R23)="","",INDEX('_list'!$F$2:$F$292,$R23)))</f>
        <v/>
      </c>
      <c r="F23" s="114">
        <f>IF($R23="","",IF(INDEX('_list'!$G$2:$G$292,$R23)="","",INDEX('_list'!$G$2:$G$292,$R23)))</f>
        <v/>
      </c>
      <c r="G23" s="115">
        <f>IF($S23="","",IF(INDEX('_pockets'!$AH:$AH,$S23)="","",INDEX('_pockets'!$AH:$AH,$S23)))</f>
        <v/>
      </c>
      <c r="H23" s="115">
        <f>IF($S23="","",IF(INDEX('_pockets'!$AF:$AF,$S23)="","",INDEX('_pockets'!$AF:$AF,$S23)))</f>
        <v/>
      </c>
      <c r="I23" s="116">
        <f>IF(IF($S23="","",IF(INDEX('_pockets'!$AB:$AB,$S23)="","",INDEX('_pockets'!$AB:$AB,$S23)))="","",IF($S23="","",IF(INDEX('_pockets'!$AB:$AB,$S23)="","",INDEX('_pockets'!$AB:$AB,$S23)))*IF($U$19,100,1))</f>
        <v/>
      </c>
      <c r="J23" s="114">
        <f>IF($S23="","",IF(INDEX('_pockets'!$Z:$Z,$S23)="","",INDEX('_pockets'!$Z:$Z,$S23)))</f>
        <v/>
      </c>
      <c r="K23" s="117">
        <f>IF($S23="","",IF(INDEX('_pockets'!$AO:$AO,$S23)="","",INDEX('_pockets'!$AO:$AO,$S23)))</f>
        <v/>
      </c>
      <c r="L23" s="118">
        <f>IF($S23="","",IF(INDEX('_pockets'!$AC:$AC,$S23)="","",INDEX('_pockets'!$AC:$AC,$S23)))</f>
        <v/>
      </c>
      <c r="M23" s="117">
        <f>IF($R23="","",IF(INDEX('_list'!$L$2:$L$292,$R23)="","",INDEX('_list'!$L$2:$L$292,$R23)))</f>
        <v/>
      </c>
      <c r="N23" s="116">
        <f>IF($R23="","",IF(INDEX('_list'!$H$2:$H$292,$R23)="","",INDEX('_list'!$H$2:$H$292,$R23)))</f>
        <v/>
      </c>
      <c r="O23" s="113">
        <f>IF($R23="","",IF(INDEX('_list'!$I$2:$I$292,$R23)="","",INDEX('_list'!$I$2:$I$292,$R23)))</f>
        <v/>
      </c>
      <c r="R23">
        <f>IFERROR(MATCH(3,'_list'!$N$2:$N$292,0),"")</f>
        <v/>
      </c>
      <c r="S23">
        <f>IF($R23="","",INDEX('_list'!$C$2:$C$292,$R23))</f>
        <v/>
      </c>
    </row>
    <row r="24" ht="16" customHeight="1">
      <c r="B24" s="112">
        <f>IF($R24="","",4)</f>
        <v/>
      </c>
      <c r="C24" s="113">
        <f>IF($R24="","",IF(INDEX('_list'!$D$2:$D$292,$R24)="","",INDEX('_list'!$D$2:$D$292,$R24)))</f>
        <v/>
      </c>
      <c r="D24" s="113">
        <f>IF($R24="","",IF(INDEX('_list'!$E$2:$E$292,$R24)="","",INDEX('_list'!$E$2:$E$292,$R24)))</f>
        <v/>
      </c>
      <c r="E24" s="113">
        <f>IF($R24="","",IF(INDEX('_list'!$F$2:$F$292,$R24)="","",INDEX('_list'!$F$2:$F$292,$R24)))</f>
        <v/>
      </c>
      <c r="F24" s="114">
        <f>IF($R24="","",IF(INDEX('_list'!$G$2:$G$292,$R24)="","",INDEX('_list'!$G$2:$G$292,$R24)))</f>
        <v/>
      </c>
      <c r="G24" s="115">
        <f>IF($S24="","",IF(INDEX('_pockets'!$AH:$AH,$S24)="","",INDEX('_pockets'!$AH:$AH,$S24)))</f>
        <v/>
      </c>
      <c r="H24" s="115">
        <f>IF($S24="","",IF(INDEX('_pockets'!$AF:$AF,$S24)="","",INDEX('_pockets'!$AF:$AF,$S24)))</f>
        <v/>
      </c>
      <c r="I24" s="116">
        <f>IF(IF($S24="","",IF(INDEX('_pockets'!$AB:$AB,$S24)="","",INDEX('_pockets'!$AB:$AB,$S24)))="","",IF($S24="","",IF(INDEX('_pockets'!$AB:$AB,$S24)="","",INDEX('_pockets'!$AB:$AB,$S24)))*IF($U$19,100,1))</f>
        <v/>
      </c>
      <c r="J24" s="114">
        <f>IF($S24="","",IF(INDEX('_pockets'!$Z:$Z,$S24)="","",INDEX('_pockets'!$Z:$Z,$S24)))</f>
        <v/>
      </c>
      <c r="K24" s="117">
        <f>IF($S24="","",IF(INDEX('_pockets'!$AO:$AO,$S24)="","",INDEX('_pockets'!$AO:$AO,$S24)))</f>
        <v/>
      </c>
      <c r="L24" s="118">
        <f>IF($S24="","",IF(INDEX('_pockets'!$AC:$AC,$S24)="","",INDEX('_pockets'!$AC:$AC,$S24)))</f>
        <v/>
      </c>
      <c r="M24" s="117">
        <f>IF($R24="","",IF(INDEX('_list'!$L$2:$L$292,$R24)="","",INDEX('_list'!$L$2:$L$292,$R24)))</f>
        <v/>
      </c>
      <c r="N24" s="116">
        <f>IF($R24="","",IF(INDEX('_list'!$H$2:$H$292,$R24)="","",INDEX('_list'!$H$2:$H$292,$R24)))</f>
        <v/>
      </c>
      <c r="O24" s="113">
        <f>IF($R24="","",IF(INDEX('_list'!$I$2:$I$292,$R24)="","",INDEX('_list'!$I$2:$I$292,$R24)))</f>
        <v/>
      </c>
      <c r="R24">
        <f>IFERROR(MATCH(4,'_list'!$N$2:$N$292,0),"")</f>
        <v/>
      </c>
      <c r="S24">
        <f>IF($R24="","",INDEX('_list'!$C$2:$C$292,$R24))</f>
        <v/>
      </c>
    </row>
    <row r="25" ht="16" customHeight="1">
      <c r="B25" s="112">
        <f>IF($R25="","",5)</f>
        <v/>
      </c>
      <c r="C25" s="113">
        <f>IF($R25="","",IF(INDEX('_list'!$D$2:$D$292,$R25)="","",INDEX('_list'!$D$2:$D$292,$R25)))</f>
        <v/>
      </c>
      <c r="D25" s="113">
        <f>IF($R25="","",IF(INDEX('_list'!$E$2:$E$292,$R25)="","",INDEX('_list'!$E$2:$E$292,$R25)))</f>
        <v/>
      </c>
      <c r="E25" s="113">
        <f>IF($R25="","",IF(INDEX('_list'!$F$2:$F$292,$R25)="","",INDEX('_list'!$F$2:$F$292,$R25)))</f>
        <v/>
      </c>
      <c r="F25" s="114">
        <f>IF($R25="","",IF(INDEX('_list'!$G$2:$G$292,$R25)="","",INDEX('_list'!$G$2:$G$292,$R25)))</f>
        <v/>
      </c>
      <c r="G25" s="115">
        <f>IF($S25="","",IF(INDEX('_pockets'!$AH:$AH,$S25)="","",INDEX('_pockets'!$AH:$AH,$S25)))</f>
        <v/>
      </c>
      <c r="H25" s="115">
        <f>IF($S25="","",IF(INDEX('_pockets'!$AF:$AF,$S25)="","",INDEX('_pockets'!$AF:$AF,$S25)))</f>
        <v/>
      </c>
      <c r="I25" s="116">
        <f>IF(IF($S25="","",IF(INDEX('_pockets'!$AB:$AB,$S25)="","",INDEX('_pockets'!$AB:$AB,$S25)))="","",IF($S25="","",IF(INDEX('_pockets'!$AB:$AB,$S25)="","",INDEX('_pockets'!$AB:$AB,$S25)))*IF($U$19,100,1))</f>
        <v/>
      </c>
      <c r="J25" s="114">
        <f>IF($S25="","",IF(INDEX('_pockets'!$Z:$Z,$S25)="","",INDEX('_pockets'!$Z:$Z,$S25)))</f>
        <v/>
      </c>
      <c r="K25" s="117">
        <f>IF($S25="","",IF(INDEX('_pockets'!$AO:$AO,$S25)="","",INDEX('_pockets'!$AO:$AO,$S25)))</f>
        <v/>
      </c>
      <c r="L25" s="118">
        <f>IF($S25="","",IF(INDEX('_pockets'!$AC:$AC,$S25)="","",INDEX('_pockets'!$AC:$AC,$S25)))</f>
        <v/>
      </c>
      <c r="M25" s="117">
        <f>IF($R25="","",IF(INDEX('_list'!$L$2:$L$292,$R25)="","",INDEX('_list'!$L$2:$L$292,$R25)))</f>
        <v/>
      </c>
      <c r="N25" s="116">
        <f>IF($R25="","",IF(INDEX('_list'!$H$2:$H$292,$R25)="","",INDEX('_list'!$H$2:$H$292,$R25)))</f>
        <v/>
      </c>
      <c r="O25" s="113">
        <f>IF($R25="","",IF(INDEX('_list'!$I$2:$I$292,$R25)="","",INDEX('_list'!$I$2:$I$292,$R25)))</f>
        <v/>
      </c>
      <c r="R25">
        <f>IFERROR(MATCH(5,'_list'!$N$2:$N$292,0),"")</f>
        <v/>
      </c>
      <c r="S25">
        <f>IF($R25="","",INDEX('_list'!$C$2:$C$292,$R25))</f>
        <v/>
      </c>
    </row>
    <row r="26" ht="16" customHeight="1">
      <c r="B26" s="112">
        <f>IF($R26="","",6)</f>
        <v/>
      </c>
      <c r="C26" s="113">
        <f>IF($R26="","",IF(INDEX('_list'!$D$2:$D$292,$R26)="","",INDEX('_list'!$D$2:$D$292,$R26)))</f>
        <v/>
      </c>
      <c r="D26" s="113">
        <f>IF($R26="","",IF(INDEX('_list'!$E$2:$E$292,$R26)="","",INDEX('_list'!$E$2:$E$292,$R26)))</f>
        <v/>
      </c>
      <c r="E26" s="113">
        <f>IF($R26="","",IF(INDEX('_list'!$F$2:$F$292,$R26)="","",INDEX('_list'!$F$2:$F$292,$R26)))</f>
        <v/>
      </c>
      <c r="F26" s="114">
        <f>IF($R26="","",IF(INDEX('_list'!$G$2:$G$292,$R26)="","",INDEX('_list'!$G$2:$G$292,$R26)))</f>
        <v/>
      </c>
      <c r="G26" s="115">
        <f>IF($S26="","",IF(INDEX('_pockets'!$AH:$AH,$S26)="","",INDEX('_pockets'!$AH:$AH,$S26)))</f>
        <v/>
      </c>
      <c r="H26" s="115">
        <f>IF($S26="","",IF(INDEX('_pockets'!$AF:$AF,$S26)="","",INDEX('_pockets'!$AF:$AF,$S26)))</f>
        <v/>
      </c>
      <c r="I26" s="116">
        <f>IF(IF($S26="","",IF(INDEX('_pockets'!$AB:$AB,$S26)="","",INDEX('_pockets'!$AB:$AB,$S26)))="","",IF($S26="","",IF(INDEX('_pockets'!$AB:$AB,$S26)="","",INDEX('_pockets'!$AB:$AB,$S26)))*IF($U$19,100,1))</f>
        <v/>
      </c>
      <c r="J26" s="114">
        <f>IF($S26="","",IF(INDEX('_pockets'!$Z:$Z,$S26)="","",INDEX('_pockets'!$Z:$Z,$S26)))</f>
        <v/>
      </c>
      <c r="K26" s="117">
        <f>IF($S26="","",IF(INDEX('_pockets'!$AO:$AO,$S26)="","",INDEX('_pockets'!$AO:$AO,$S26)))</f>
        <v/>
      </c>
      <c r="L26" s="118">
        <f>IF($S26="","",IF(INDEX('_pockets'!$AC:$AC,$S26)="","",INDEX('_pockets'!$AC:$AC,$S26)))</f>
        <v/>
      </c>
      <c r="M26" s="117">
        <f>IF($R26="","",IF(INDEX('_list'!$L$2:$L$292,$R26)="","",INDEX('_list'!$L$2:$L$292,$R26)))</f>
        <v/>
      </c>
      <c r="N26" s="116">
        <f>IF($R26="","",IF(INDEX('_list'!$H$2:$H$292,$R26)="","",INDEX('_list'!$H$2:$H$292,$R26)))</f>
        <v/>
      </c>
      <c r="O26" s="113">
        <f>IF($R26="","",IF(INDEX('_list'!$I$2:$I$292,$R26)="","",INDEX('_list'!$I$2:$I$292,$R26)))</f>
        <v/>
      </c>
      <c r="R26">
        <f>IFERROR(MATCH(6,'_list'!$N$2:$N$292,0),"")</f>
        <v/>
      </c>
      <c r="S26">
        <f>IF($R26="","",INDEX('_list'!$C$2:$C$292,$R26))</f>
        <v/>
      </c>
    </row>
    <row r="27" ht="16" customHeight="1">
      <c r="B27" s="112">
        <f>IF($R27="","",7)</f>
        <v/>
      </c>
      <c r="C27" s="113">
        <f>IF($R27="","",IF(INDEX('_list'!$D$2:$D$292,$R27)="","",INDEX('_list'!$D$2:$D$292,$R27)))</f>
        <v/>
      </c>
      <c r="D27" s="113">
        <f>IF($R27="","",IF(INDEX('_list'!$E$2:$E$292,$R27)="","",INDEX('_list'!$E$2:$E$292,$R27)))</f>
        <v/>
      </c>
      <c r="E27" s="113">
        <f>IF($R27="","",IF(INDEX('_list'!$F$2:$F$292,$R27)="","",INDEX('_list'!$F$2:$F$292,$R27)))</f>
        <v/>
      </c>
      <c r="F27" s="114">
        <f>IF($R27="","",IF(INDEX('_list'!$G$2:$G$292,$R27)="","",INDEX('_list'!$G$2:$G$292,$R27)))</f>
        <v/>
      </c>
      <c r="G27" s="115">
        <f>IF($S27="","",IF(INDEX('_pockets'!$AH:$AH,$S27)="","",INDEX('_pockets'!$AH:$AH,$S27)))</f>
        <v/>
      </c>
      <c r="H27" s="115">
        <f>IF($S27="","",IF(INDEX('_pockets'!$AF:$AF,$S27)="","",INDEX('_pockets'!$AF:$AF,$S27)))</f>
        <v/>
      </c>
      <c r="I27" s="116">
        <f>IF(IF($S27="","",IF(INDEX('_pockets'!$AB:$AB,$S27)="","",INDEX('_pockets'!$AB:$AB,$S27)))="","",IF($S27="","",IF(INDEX('_pockets'!$AB:$AB,$S27)="","",INDEX('_pockets'!$AB:$AB,$S27)))*IF($U$19,100,1))</f>
        <v/>
      </c>
      <c r="J27" s="114">
        <f>IF($S27="","",IF(INDEX('_pockets'!$Z:$Z,$S27)="","",INDEX('_pockets'!$Z:$Z,$S27)))</f>
        <v/>
      </c>
      <c r="K27" s="117">
        <f>IF($S27="","",IF(INDEX('_pockets'!$AO:$AO,$S27)="","",INDEX('_pockets'!$AO:$AO,$S27)))</f>
        <v/>
      </c>
      <c r="L27" s="118">
        <f>IF($S27="","",IF(INDEX('_pockets'!$AC:$AC,$S27)="","",INDEX('_pockets'!$AC:$AC,$S27)))</f>
        <v/>
      </c>
      <c r="M27" s="117">
        <f>IF($R27="","",IF(INDEX('_list'!$L$2:$L$292,$R27)="","",INDEX('_list'!$L$2:$L$292,$R27)))</f>
        <v/>
      </c>
      <c r="N27" s="116">
        <f>IF($R27="","",IF(INDEX('_list'!$H$2:$H$292,$R27)="","",INDEX('_list'!$H$2:$H$292,$R27)))</f>
        <v/>
      </c>
      <c r="O27" s="113">
        <f>IF($R27="","",IF(INDEX('_list'!$I$2:$I$292,$R27)="","",INDEX('_list'!$I$2:$I$292,$R27)))</f>
        <v/>
      </c>
      <c r="R27">
        <f>IFERROR(MATCH(7,'_list'!$N$2:$N$292,0),"")</f>
        <v/>
      </c>
      <c r="S27">
        <f>IF($R27="","",INDEX('_list'!$C$2:$C$292,$R27))</f>
        <v/>
      </c>
    </row>
    <row r="28" ht="16" customHeight="1">
      <c r="B28" s="112">
        <f>IF($R28="","",8)</f>
        <v/>
      </c>
      <c r="C28" s="113">
        <f>IF($R28="","",IF(INDEX('_list'!$D$2:$D$292,$R28)="","",INDEX('_list'!$D$2:$D$292,$R28)))</f>
        <v/>
      </c>
      <c r="D28" s="113">
        <f>IF($R28="","",IF(INDEX('_list'!$E$2:$E$292,$R28)="","",INDEX('_list'!$E$2:$E$292,$R28)))</f>
        <v/>
      </c>
      <c r="E28" s="113">
        <f>IF($R28="","",IF(INDEX('_list'!$F$2:$F$292,$R28)="","",INDEX('_list'!$F$2:$F$292,$R28)))</f>
        <v/>
      </c>
      <c r="F28" s="114">
        <f>IF($R28="","",IF(INDEX('_list'!$G$2:$G$292,$R28)="","",INDEX('_list'!$G$2:$G$292,$R28)))</f>
        <v/>
      </c>
      <c r="G28" s="115">
        <f>IF($S28="","",IF(INDEX('_pockets'!$AH:$AH,$S28)="","",INDEX('_pockets'!$AH:$AH,$S28)))</f>
        <v/>
      </c>
      <c r="H28" s="115">
        <f>IF($S28="","",IF(INDEX('_pockets'!$AF:$AF,$S28)="","",INDEX('_pockets'!$AF:$AF,$S28)))</f>
        <v/>
      </c>
      <c r="I28" s="116">
        <f>IF(IF($S28="","",IF(INDEX('_pockets'!$AB:$AB,$S28)="","",INDEX('_pockets'!$AB:$AB,$S28)))="","",IF($S28="","",IF(INDEX('_pockets'!$AB:$AB,$S28)="","",INDEX('_pockets'!$AB:$AB,$S28)))*IF($U$19,100,1))</f>
        <v/>
      </c>
      <c r="J28" s="114">
        <f>IF($S28="","",IF(INDEX('_pockets'!$Z:$Z,$S28)="","",INDEX('_pockets'!$Z:$Z,$S28)))</f>
        <v/>
      </c>
      <c r="K28" s="117">
        <f>IF($S28="","",IF(INDEX('_pockets'!$AO:$AO,$S28)="","",INDEX('_pockets'!$AO:$AO,$S28)))</f>
        <v/>
      </c>
      <c r="L28" s="118">
        <f>IF($S28="","",IF(INDEX('_pockets'!$AC:$AC,$S28)="","",INDEX('_pockets'!$AC:$AC,$S28)))</f>
        <v/>
      </c>
      <c r="M28" s="117">
        <f>IF($R28="","",IF(INDEX('_list'!$L$2:$L$292,$R28)="","",INDEX('_list'!$L$2:$L$292,$R28)))</f>
        <v/>
      </c>
      <c r="N28" s="116">
        <f>IF($R28="","",IF(INDEX('_list'!$H$2:$H$292,$R28)="","",INDEX('_list'!$H$2:$H$292,$R28)))</f>
        <v/>
      </c>
      <c r="O28" s="113">
        <f>IF($R28="","",IF(INDEX('_list'!$I$2:$I$292,$R28)="","",INDEX('_list'!$I$2:$I$292,$R28)))</f>
        <v/>
      </c>
      <c r="R28">
        <f>IFERROR(MATCH(8,'_list'!$N$2:$N$292,0),"")</f>
        <v/>
      </c>
      <c r="S28">
        <f>IF($R28="","",INDEX('_list'!$C$2:$C$292,$R28))</f>
        <v/>
      </c>
    </row>
    <row r="29" ht="16" customHeight="1">
      <c r="B29" s="112">
        <f>IF($R29="","",9)</f>
        <v/>
      </c>
      <c r="C29" s="113">
        <f>IF($R29="","",IF(INDEX('_list'!$D$2:$D$292,$R29)="","",INDEX('_list'!$D$2:$D$292,$R29)))</f>
        <v/>
      </c>
      <c r="D29" s="113">
        <f>IF($R29="","",IF(INDEX('_list'!$E$2:$E$292,$R29)="","",INDEX('_list'!$E$2:$E$292,$R29)))</f>
        <v/>
      </c>
      <c r="E29" s="113">
        <f>IF($R29="","",IF(INDEX('_list'!$F$2:$F$292,$R29)="","",INDEX('_list'!$F$2:$F$292,$R29)))</f>
        <v/>
      </c>
      <c r="F29" s="114">
        <f>IF($R29="","",IF(INDEX('_list'!$G$2:$G$292,$R29)="","",INDEX('_list'!$G$2:$G$292,$R29)))</f>
        <v/>
      </c>
      <c r="G29" s="115">
        <f>IF($S29="","",IF(INDEX('_pockets'!$AH:$AH,$S29)="","",INDEX('_pockets'!$AH:$AH,$S29)))</f>
        <v/>
      </c>
      <c r="H29" s="115">
        <f>IF($S29="","",IF(INDEX('_pockets'!$AF:$AF,$S29)="","",INDEX('_pockets'!$AF:$AF,$S29)))</f>
        <v/>
      </c>
      <c r="I29" s="116">
        <f>IF(IF($S29="","",IF(INDEX('_pockets'!$AB:$AB,$S29)="","",INDEX('_pockets'!$AB:$AB,$S29)))="","",IF($S29="","",IF(INDEX('_pockets'!$AB:$AB,$S29)="","",INDEX('_pockets'!$AB:$AB,$S29)))*IF($U$19,100,1))</f>
        <v/>
      </c>
      <c r="J29" s="114">
        <f>IF($S29="","",IF(INDEX('_pockets'!$Z:$Z,$S29)="","",INDEX('_pockets'!$Z:$Z,$S29)))</f>
        <v/>
      </c>
      <c r="K29" s="117">
        <f>IF($S29="","",IF(INDEX('_pockets'!$AO:$AO,$S29)="","",INDEX('_pockets'!$AO:$AO,$S29)))</f>
        <v/>
      </c>
      <c r="L29" s="118">
        <f>IF($S29="","",IF(INDEX('_pockets'!$AC:$AC,$S29)="","",INDEX('_pockets'!$AC:$AC,$S29)))</f>
        <v/>
      </c>
      <c r="M29" s="117">
        <f>IF($R29="","",IF(INDEX('_list'!$L$2:$L$292,$R29)="","",INDEX('_list'!$L$2:$L$292,$R29)))</f>
        <v/>
      </c>
      <c r="N29" s="116">
        <f>IF($R29="","",IF(INDEX('_list'!$H$2:$H$292,$R29)="","",INDEX('_list'!$H$2:$H$292,$R29)))</f>
        <v/>
      </c>
      <c r="O29" s="113">
        <f>IF($R29="","",IF(INDEX('_list'!$I$2:$I$292,$R29)="","",INDEX('_list'!$I$2:$I$292,$R29)))</f>
        <v/>
      </c>
      <c r="R29">
        <f>IFERROR(MATCH(9,'_list'!$N$2:$N$292,0),"")</f>
        <v/>
      </c>
      <c r="S29">
        <f>IF($R29="","",INDEX('_list'!$C$2:$C$292,$R29))</f>
        <v/>
      </c>
    </row>
    <row r="30" ht="16" customHeight="1">
      <c r="B30" s="112">
        <f>IF($R30="","",10)</f>
        <v/>
      </c>
      <c r="C30" s="113">
        <f>IF($R30="","",IF(INDEX('_list'!$D$2:$D$292,$R30)="","",INDEX('_list'!$D$2:$D$292,$R30)))</f>
        <v/>
      </c>
      <c r="D30" s="113">
        <f>IF($R30="","",IF(INDEX('_list'!$E$2:$E$292,$R30)="","",INDEX('_list'!$E$2:$E$292,$R30)))</f>
        <v/>
      </c>
      <c r="E30" s="113">
        <f>IF($R30="","",IF(INDEX('_list'!$F$2:$F$292,$R30)="","",INDEX('_list'!$F$2:$F$292,$R30)))</f>
        <v/>
      </c>
      <c r="F30" s="114">
        <f>IF($R30="","",IF(INDEX('_list'!$G$2:$G$292,$R30)="","",INDEX('_list'!$G$2:$G$292,$R30)))</f>
        <v/>
      </c>
      <c r="G30" s="115">
        <f>IF($S30="","",IF(INDEX('_pockets'!$AH:$AH,$S30)="","",INDEX('_pockets'!$AH:$AH,$S30)))</f>
        <v/>
      </c>
      <c r="H30" s="115">
        <f>IF($S30="","",IF(INDEX('_pockets'!$AF:$AF,$S30)="","",INDEX('_pockets'!$AF:$AF,$S30)))</f>
        <v/>
      </c>
      <c r="I30" s="116">
        <f>IF(IF($S30="","",IF(INDEX('_pockets'!$AB:$AB,$S30)="","",INDEX('_pockets'!$AB:$AB,$S30)))="","",IF($S30="","",IF(INDEX('_pockets'!$AB:$AB,$S30)="","",INDEX('_pockets'!$AB:$AB,$S30)))*IF($U$19,100,1))</f>
        <v/>
      </c>
      <c r="J30" s="114">
        <f>IF($S30="","",IF(INDEX('_pockets'!$Z:$Z,$S30)="","",INDEX('_pockets'!$Z:$Z,$S30)))</f>
        <v/>
      </c>
      <c r="K30" s="117">
        <f>IF($S30="","",IF(INDEX('_pockets'!$AO:$AO,$S30)="","",INDEX('_pockets'!$AO:$AO,$S30)))</f>
        <v/>
      </c>
      <c r="L30" s="118">
        <f>IF($S30="","",IF(INDEX('_pockets'!$AC:$AC,$S30)="","",INDEX('_pockets'!$AC:$AC,$S30)))</f>
        <v/>
      </c>
      <c r="M30" s="117">
        <f>IF($R30="","",IF(INDEX('_list'!$L$2:$L$292,$R30)="","",INDEX('_list'!$L$2:$L$292,$R30)))</f>
        <v/>
      </c>
      <c r="N30" s="116">
        <f>IF($R30="","",IF(INDEX('_list'!$H$2:$H$292,$R30)="","",INDEX('_list'!$H$2:$H$292,$R30)))</f>
        <v/>
      </c>
      <c r="O30" s="113">
        <f>IF($R30="","",IF(INDEX('_list'!$I$2:$I$292,$R30)="","",INDEX('_list'!$I$2:$I$292,$R30)))</f>
        <v/>
      </c>
      <c r="R30">
        <f>IFERROR(MATCH(10,'_list'!$N$2:$N$292,0),"")</f>
        <v/>
      </c>
      <c r="S30">
        <f>IF($R30="","",INDEX('_list'!$C$2:$C$292,$R30))</f>
        <v/>
      </c>
    </row>
    <row r="31" ht="16" customHeight="1">
      <c r="B31" s="112">
        <f>IF($R31="","",11)</f>
        <v/>
      </c>
      <c r="C31" s="113">
        <f>IF($R31="","",IF(INDEX('_list'!$D$2:$D$292,$R31)="","",INDEX('_list'!$D$2:$D$292,$R31)))</f>
        <v/>
      </c>
      <c r="D31" s="113">
        <f>IF($R31="","",IF(INDEX('_list'!$E$2:$E$292,$R31)="","",INDEX('_list'!$E$2:$E$292,$R31)))</f>
        <v/>
      </c>
      <c r="E31" s="113">
        <f>IF($R31="","",IF(INDEX('_list'!$F$2:$F$292,$R31)="","",INDEX('_list'!$F$2:$F$292,$R31)))</f>
        <v/>
      </c>
      <c r="F31" s="114">
        <f>IF($R31="","",IF(INDEX('_list'!$G$2:$G$292,$R31)="","",INDEX('_list'!$G$2:$G$292,$R31)))</f>
        <v/>
      </c>
      <c r="G31" s="115">
        <f>IF($S31="","",IF(INDEX('_pockets'!$AH:$AH,$S31)="","",INDEX('_pockets'!$AH:$AH,$S31)))</f>
        <v/>
      </c>
      <c r="H31" s="115">
        <f>IF($S31="","",IF(INDEX('_pockets'!$AF:$AF,$S31)="","",INDEX('_pockets'!$AF:$AF,$S31)))</f>
        <v/>
      </c>
      <c r="I31" s="116">
        <f>IF(IF($S31="","",IF(INDEX('_pockets'!$AB:$AB,$S31)="","",INDEX('_pockets'!$AB:$AB,$S31)))="","",IF($S31="","",IF(INDEX('_pockets'!$AB:$AB,$S31)="","",INDEX('_pockets'!$AB:$AB,$S31)))*IF($U$19,100,1))</f>
        <v/>
      </c>
      <c r="J31" s="114">
        <f>IF($S31="","",IF(INDEX('_pockets'!$Z:$Z,$S31)="","",INDEX('_pockets'!$Z:$Z,$S31)))</f>
        <v/>
      </c>
      <c r="K31" s="117">
        <f>IF($S31="","",IF(INDEX('_pockets'!$AO:$AO,$S31)="","",INDEX('_pockets'!$AO:$AO,$S31)))</f>
        <v/>
      </c>
      <c r="L31" s="118">
        <f>IF($S31="","",IF(INDEX('_pockets'!$AC:$AC,$S31)="","",INDEX('_pockets'!$AC:$AC,$S31)))</f>
        <v/>
      </c>
      <c r="M31" s="117">
        <f>IF($R31="","",IF(INDEX('_list'!$L$2:$L$292,$R31)="","",INDEX('_list'!$L$2:$L$292,$R31)))</f>
        <v/>
      </c>
      <c r="N31" s="116">
        <f>IF($R31="","",IF(INDEX('_list'!$H$2:$H$292,$R31)="","",INDEX('_list'!$H$2:$H$292,$R31)))</f>
        <v/>
      </c>
      <c r="O31" s="113">
        <f>IF($R31="","",IF(INDEX('_list'!$I$2:$I$292,$R31)="","",INDEX('_list'!$I$2:$I$292,$R31)))</f>
        <v/>
      </c>
      <c r="R31">
        <f>IFERROR(MATCH(11,'_list'!$N$2:$N$292,0),"")</f>
        <v/>
      </c>
      <c r="S31">
        <f>IF($R31="","",INDEX('_list'!$C$2:$C$292,$R31))</f>
        <v/>
      </c>
    </row>
    <row r="32" ht="16" customHeight="1">
      <c r="B32" s="112">
        <f>IF($R32="","",12)</f>
        <v/>
      </c>
      <c r="C32" s="113">
        <f>IF($R32="","",IF(INDEX('_list'!$D$2:$D$292,$R32)="","",INDEX('_list'!$D$2:$D$292,$R32)))</f>
        <v/>
      </c>
      <c r="D32" s="113">
        <f>IF($R32="","",IF(INDEX('_list'!$E$2:$E$292,$R32)="","",INDEX('_list'!$E$2:$E$292,$R32)))</f>
        <v/>
      </c>
      <c r="E32" s="113">
        <f>IF($R32="","",IF(INDEX('_list'!$F$2:$F$292,$R32)="","",INDEX('_list'!$F$2:$F$292,$R32)))</f>
        <v/>
      </c>
      <c r="F32" s="114">
        <f>IF($R32="","",IF(INDEX('_list'!$G$2:$G$292,$R32)="","",INDEX('_list'!$G$2:$G$292,$R32)))</f>
        <v/>
      </c>
      <c r="G32" s="115">
        <f>IF($S32="","",IF(INDEX('_pockets'!$AH:$AH,$S32)="","",INDEX('_pockets'!$AH:$AH,$S32)))</f>
        <v/>
      </c>
      <c r="H32" s="115">
        <f>IF($S32="","",IF(INDEX('_pockets'!$AF:$AF,$S32)="","",INDEX('_pockets'!$AF:$AF,$S32)))</f>
        <v/>
      </c>
      <c r="I32" s="116">
        <f>IF(IF($S32="","",IF(INDEX('_pockets'!$AB:$AB,$S32)="","",INDEX('_pockets'!$AB:$AB,$S32)))="","",IF($S32="","",IF(INDEX('_pockets'!$AB:$AB,$S32)="","",INDEX('_pockets'!$AB:$AB,$S32)))*IF($U$19,100,1))</f>
        <v/>
      </c>
      <c r="J32" s="114">
        <f>IF($S32="","",IF(INDEX('_pockets'!$Z:$Z,$S32)="","",INDEX('_pockets'!$Z:$Z,$S32)))</f>
        <v/>
      </c>
      <c r="K32" s="117">
        <f>IF($S32="","",IF(INDEX('_pockets'!$AO:$AO,$S32)="","",INDEX('_pockets'!$AO:$AO,$S32)))</f>
        <v/>
      </c>
      <c r="L32" s="118">
        <f>IF($S32="","",IF(INDEX('_pockets'!$AC:$AC,$S32)="","",INDEX('_pockets'!$AC:$AC,$S32)))</f>
        <v/>
      </c>
      <c r="M32" s="117">
        <f>IF($R32="","",IF(INDEX('_list'!$L$2:$L$292,$R32)="","",INDEX('_list'!$L$2:$L$292,$R32)))</f>
        <v/>
      </c>
      <c r="N32" s="116">
        <f>IF($R32="","",IF(INDEX('_list'!$H$2:$H$292,$R32)="","",INDEX('_list'!$H$2:$H$292,$R32)))</f>
        <v/>
      </c>
      <c r="O32" s="113">
        <f>IF($R32="","",IF(INDEX('_list'!$I$2:$I$292,$R32)="","",INDEX('_list'!$I$2:$I$292,$R32)))</f>
        <v/>
      </c>
      <c r="R32">
        <f>IFERROR(MATCH(12,'_list'!$N$2:$N$292,0),"")</f>
        <v/>
      </c>
      <c r="S32">
        <f>IF($R32="","",INDEX('_list'!$C$2:$C$292,$R32))</f>
        <v/>
      </c>
    </row>
    <row r="33" ht="16" customHeight="1">
      <c r="B33" s="112">
        <f>IF($R33="","",13)</f>
        <v/>
      </c>
      <c r="C33" s="113">
        <f>IF($R33="","",IF(INDEX('_list'!$D$2:$D$292,$R33)="","",INDEX('_list'!$D$2:$D$292,$R33)))</f>
        <v/>
      </c>
      <c r="D33" s="113">
        <f>IF($R33="","",IF(INDEX('_list'!$E$2:$E$292,$R33)="","",INDEX('_list'!$E$2:$E$292,$R33)))</f>
        <v/>
      </c>
      <c r="E33" s="113">
        <f>IF($R33="","",IF(INDEX('_list'!$F$2:$F$292,$R33)="","",INDEX('_list'!$F$2:$F$292,$R33)))</f>
        <v/>
      </c>
      <c r="F33" s="114">
        <f>IF($R33="","",IF(INDEX('_list'!$G$2:$G$292,$R33)="","",INDEX('_list'!$G$2:$G$292,$R33)))</f>
        <v/>
      </c>
      <c r="G33" s="115">
        <f>IF($S33="","",IF(INDEX('_pockets'!$AH:$AH,$S33)="","",INDEX('_pockets'!$AH:$AH,$S33)))</f>
        <v/>
      </c>
      <c r="H33" s="115">
        <f>IF($S33="","",IF(INDEX('_pockets'!$AF:$AF,$S33)="","",INDEX('_pockets'!$AF:$AF,$S33)))</f>
        <v/>
      </c>
      <c r="I33" s="116">
        <f>IF(IF($S33="","",IF(INDEX('_pockets'!$AB:$AB,$S33)="","",INDEX('_pockets'!$AB:$AB,$S33)))="","",IF($S33="","",IF(INDEX('_pockets'!$AB:$AB,$S33)="","",INDEX('_pockets'!$AB:$AB,$S33)))*IF($U$19,100,1))</f>
        <v/>
      </c>
      <c r="J33" s="114">
        <f>IF($S33="","",IF(INDEX('_pockets'!$Z:$Z,$S33)="","",INDEX('_pockets'!$Z:$Z,$S33)))</f>
        <v/>
      </c>
      <c r="K33" s="117">
        <f>IF($S33="","",IF(INDEX('_pockets'!$AO:$AO,$S33)="","",INDEX('_pockets'!$AO:$AO,$S33)))</f>
        <v/>
      </c>
      <c r="L33" s="118">
        <f>IF($S33="","",IF(INDEX('_pockets'!$AC:$AC,$S33)="","",INDEX('_pockets'!$AC:$AC,$S33)))</f>
        <v/>
      </c>
      <c r="M33" s="117">
        <f>IF($R33="","",IF(INDEX('_list'!$L$2:$L$292,$R33)="","",INDEX('_list'!$L$2:$L$292,$R33)))</f>
        <v/>
      </c>
      <c r="N33" s="116">
        <f>IF($R33="","",IF(INDEX('_list'!$H$2:$H$292,$R33)="","",INDEX('_list'!$H$2:$H$292,$R33)))</f>
        <v/>
      </c>
      <c r="O33" s="113">
        <f>IF($R33="","",IF(INDEX('_list'!$I$2:$I$292,$R33)="","",INDEX('_list'!$I$2:$I$292,$R33)))</f>
        <v/>
      </c>
      <c r="R33">
        <f>IFERROR(MATCH(13,'_list'!$N$2:$N$292,0),"")</f>
        <v/>
      </c>
      <c r="S33">
        <f>IF($R33="","",INDEX('_list'!$C$2:$C$292,$R33))</f>
        <v/>
      </c>
    </row>
    <row r="34" ht="16" customHeight="1">
      <c r="B34" s="112">
        <f>IF($R34="","",14)</f>
        <v/>
      </c>
      <c r="C34" s="113">
        <f>IF($R34="","",IF(INDEX('_list'!$D$2:$D$292,$R34)="","",INDEX('_list'!$D$2:$D$292,$R34)))</f>
        <v/>
      </c>
      <c r="D34" s="113">
        <f>IF($R34="","",IF(INDEX('_list'!$E$2:$E$292,$R34)="","",INDEX('_list'!$E$2:$E$292,$R34)))</f>
        <v/>
      </c>
      <c r="E34" s="113">
        <f>IF($R34="","",IF(INDEX('_list'!$F$2:$F$292,$R34)="","",INDEX('_list'!$F$2:$F$292,$R34)))</f>
        <v/>
      </c>
      <c r="F34" s="114">
        <f>IF($R34="","",IF(INDEX('_list'!$G$2:$G$292,$R34)="","",INDEX('_list'!$G$2:$G$292,$R34)))</f>
        <v/>
      </c>
      <c r="G34" s="115">
        <f>IF($S34="","",IF(INDEX('_pockets'!$AH:$AH,$S34)="","",INDEX('_pockets'!$AH:$AH,$S34)))</f>
        <v/>
      </c>
      <c r="H34" s="115">
        <f>IF($S34="","",IF(INDEX('_pockets'!$AF:$AF,$S34)="","",INDEX('_pockets'!$AF:$AF,$S34)))</f>
        <v/>
      </c>
      <c r="I34" s="116">
        <f>IF(IF($S34="","",IF(INDEX('_pockets'!$AB:$AB,$S34)="","",INDEX('_pockets'!$AB:$AB,$S34)))="","",IF($S34="","",IF(INDEX('_pockets'!$AB:$AB,$S34)="","",INDEX('_pockets'!$AB:$AB,$S34)))*IF($U$19,100,1))</f>
        <v/>
      </c>
      <c r="J34" s="114">
        <f>IF($S34="","",IF(INDEX('_pockets'!$Z:$Z,$S34)="","",INDEX('_pockets'!$Z:$Z,$S34)))</f>
        <v/>
      </c>
      <c r="K34" s="117">
        <f>IF($S34="","",IF(INDEX('_pockets'!$AO:$AO,$S34)="","",INDEX('_pockets'!$AO:$AO,$S34)))</f>
        <v/>
      </c>
      <c r="L34" s="118">
        <f>IF($S34="","",IF(INDEX('_pockets'!$AC:$AC,$S34)="","",INDEX('_pockets'!$AC:$AC,$S34)))</f>
        <v/>
      </c>
      <c r="M34" s="117">
        <f>IF($R34="","",IF(INDEX('_list'!$L$2:$L$292,$R34)="","",INDEX('_list'!$L$2:$L$292,$R34)))</f>
        <v/>
      </c>
      <c r="N34" s="116">
        <f>IF($R34="","",IF(INDEX('_list'!$H$2:$H$292,$R34)="","",INDEX('_list'!$H$2:$H$292,$R34)))</f>
        <v/>
      </c>
      <c r="O34" s="113">
        <f>IF($R34="","",IF(INDEX('_list'!$I$2:$I$292,$R34)="","",INDEX('_list'!$I$2:$I$292,$R34)))</f>
        <v/>
      </c>
      <c r="R34">
        <f>IFERROR(MATCH(14,'_list'!$N$2:$N$292,0),"")</f>
        <v/>
      </c>
      <c r="S34">
        <f>IF($R34="","",INDEX('_list'!$C$2:$C$292,$R34))</f>
        <v/>
      </c>
    </row>
    <row r="35" ht="16" customHeight="1">
      <c r="B35" s="112">
        <f>IF($R35="","",15)</f>
        <v/>
      </c>
      <c r="C35" s="113">
        <f>IF($R35="","",IF(INDEX('_list'!$D$2:$D$292,$R35)="","",INDEX('_list'!$D$2:$D$292,$R35)))</f>
        <v/>
      </c>
      <c r="D35" s="113">
        <f>IF($R35="","",IF(INDEX('_list'!$E$2:$E$292,$R35)="","",INDEX('_list'!$E$2:$E$292,$R35)))</f>
        <v/>
      </c>
      <c r="E35" s="113">
        <f>IF($R35="","",IF(INDEX('_list'!$F$2:$F$292,$R35)="","",INDEX('_list'!$F$2:$F$292,$R35)))</f>
        <v/>
      </c>
      <c r="F35" s="114">
        <f>IF($R35="","",IF(INDEX('_list'!$G$2:$G$292,$R35)="","",INDEX('_list'!$G$2:$G$292,$R35)))</f>
        <v/>
      </c>
      <c r="G35" s="115">
        <f>IF($S35="","",IF(INDEX('_pockets'!$AH:$AH,$S35)="","",INDEX('_pockets'!$AH:$AH,$S35)))</f>
        <v/>
      </c>
      <c r="H35" s="115">
        <f>IF($S35="","",IF(INDEX('_pockets'!$AF:$AF,$S35)="","",INDEX('_pockets'!$AF:$AF,$S35)))</f>
        <v/>
      </c>
      <c r="I35" s="116">
        <f>IF(IF($S35="","",IF(INDEX('_pockets'!$AB:$AB,$S35)="","",INDEX('_pockets'!$AB:$AB,$S35)))="","",IF($S35="","",IF(INDEX('_pockets'!$AB:$AB,$S35)="","",INDEX('_pockets'!$AB:$AB,$S35)))*IF($U$19,100,1))</f>
        <v/>
      </c>
      <c r="J35" s="114">
        <f>IF($S35="","",IF(INDEX('_pockets'!$Z:$Z,$S35)="","",INDEX('_pockets'!$Z:$Z,$S35)))</f>
        <v/>
      </c>
      <c r="K35" s="117">
        <f>IF($S35="","",IF(INDEX('_pockets'!$AO:$AO,$S35)="","",INDEX('_pockets'!$AO:$AO,$S35)))</f>
        <v/>
      </c>
      <c r="L35" s="118">
        <f>IF($S35="","",IF(INDEX('_pockets'!$AC:$AC,$S35)="","",INDEX('_pockets'!$AC:$AC,$S35)))</f>
        <v/>
      </c>
      <c r="M35" s="117">
        <f>IF($R35="","",IF(INDEX('_list'!$L$2:$L$292,$R35)="","",INDEX('_list'!$L$2:$L$292,$R35)))</f>
        <v/>
      </c>
      <c r="N35" s="116">
        <f>IF($R35="","",IF(INDEX('_list'!$H$2:$H$292,$R35)="","",INDEX('_list'!$H$2:$H$292,$R35)))</f>
        <v/>
      </c>
      <c r="O35" s="113">
        <f>IF($R35="","",IF(INDEX('_list'!$I$2:$I$292,$R35)="","",INDEX('_list'!$I$2:$I$292,$R35)))</f>
        <v/>
      </c>
      <c r="R35">
        <f>IFERROR(MATCH(15,'_list'!$N$2:$N$292,0),"")</f>
        <v/>
      </c>
      <c r="S35">
        <f>IF($R35="","",INDEX('_list'!$C$2:$C$292,$R35))</f>
        <v/>
      </c>
    </row>
    <row r="36" ht="16" customHeight="1">
      <c r="B36" s="112">
        <f>IF($R36="","",16)</f>
        <v/>
      </c>
      <c r="C36" s="113">
        <f>IF($R36="","",IF(INDEX('_list'!$D$2:$D$292,$R36)="","",INDEX('_list'!$D$2:$D$292,$R36)))</f>
        <v/>
      </c>
      <c r="D36" s="113">
        <f>IF($R36="","",IF(INDEX('_list'!$E$2:$E$292,$R36)="","",INDEX('_list'!$E$2:$E$292,$R36)))</f>
        <v/>
      </c>
      <c r="E36" s="113">
        <f>IF($R36="","",IF(INDEX('_list'!$F$2:$F$292,$R36)="","",INDEX('_list'!$F$2:$F$292,$R36)))</f>
        <v/>
      </c>
      <c r="F36" s="114">
        <f>IF($R36="","",IF(INDEX('_list'!$G$2:$G$292,$R36)="","",INDEX('_list'!$G$2:$G$292,$R36)))</f>
        <v/>
      </c>
      <c r="G36" s="115">
        <f>IF($S36="","",IF(INDEX('_pockets'!$AH:$AH,$S36)="","",INDEX('_pockets'!$AH:$AH,$S36)))</f>
        <v/>
      </c>
      <c r="H36" s="115">
        <f>IF($S36="","",IF(INDEX('_pockets'!$AF:$AF,$S36)="","",INDEX('_pockets'!$AF:$AF,$S36)))</f>
        <v/>
      </c>
      <c r="I36" s="116">
        <f>IF(IF($S36="","",IF(INDEX('_pockets'!$AB:$AB,$S36)="","",INDEX('_pockets'!$AB:$AB,$S36)))="","",IF($S36="","",IF(INDEX('_pockets'!$AB:$AB,$S36)="","",INDEX('_pockets'!$AB:$AB,$S36)))*IF($U$19,100,1))</f>
        <v/>
      </c>
      <c r="J36" s="114">
        <f>IF($S36="","",IF(INDEX('_pockets'!$Z:$Z,$S36)="","",INDEX('_pockets'!$Z:$Z,$S36)))</f>
        <v/>
      </c>
      <c r="K36" s="117">
        <f>IF($S36="","",IF(INDEX('_pockets'!$AO:$AO,$S36)="","",INDEX('_pockets'!$AO:$AO,$S36)))</f>
        <v/>
      </c>
      <c r="L36" s="118">
        <f>IF($S36="","",IF(INDEX('_pockets'!$AC:$AC,$S36)="","",INDEX('_pockets'!$AC:$AC,$S36)))</f>
        <v/>
      </c>
      <c r="M36" s="117">
        <f>IF($R36="","",IF(INDEX('_list'!$L$2:$L$292,$R36)="","",INDEX('_list'!$L$2:$L$292,$R36)))</f>
        <v/>
      </c>
      <c r="N36" s="116">
        <f>IF($R36="","",IF(INDEX('_list'!$H$2:$H$292,$R36)="","",INDEX('_list'!$H$2:$H$292,$R36)))</f>
        <v/>
      </c>
      <c r="O36" s="113">
        <f>IF($R36="","",IF(INDEX('_list'!$I$2:$I$292,$R36)="","",INDEX('_list'!$I$2:$I$292,$R36)))</f>
        <v/>
      </c>
      <c r="R36">
        <f>IFERROR(MATCH(16,'_list'!$N$2:$N$292,0),"")</f>
        <v/>
      </c>
      <c r="S36">
        <f>IF($R36="","",INDEX('_list'!$C$2:$C$292,$R36))</f>
        <v/>
      </c>
    </row>
    <row r="37" ht="16" customHeight="1">
      <c r="B37" s="112">
        <f>IF($R37="","",17)</f>
        <v/>
      </c>
      <c r="C37" s="113">
        <f>IF($R37="","",IF(INDEX('_list'!$D$2:$D$292,$R37)="","",INDEX('_list'!$D$2:$D$292,$R37)))</f>
        <v/>
      </c>
      <c r="D37" s="113">
        <f>IF($R37="","",IF(INDEX('_list'!$E$2:$E$292,$R37)="","",INDEX('_list'!$E$2:$E$292,$R37)))</f>
        <v/>
      </c>
      <c r="E37" s="113">
        <f>IF($R37="","",IF(INDEX('_list'!$F$2:$F$292,$R37)="","",INDEX('_list'!$F$2:$F$292,$R37)))</f>
        <v/>
      </c>
      <c r="F37" s="114">
        <f>IF($R37="","",IF(INDEX('_list'!$G$2:$G$292,$R37)="","",INDEX('_list'!$G$2:$G$292,$R37)))</f>
        <v/>
      </c>
      <c r="G37" s="115">
        <f>IF($S37="","",IF(INDEX('_pockets'!$AH:$AH,$S37)="","",INDEX('_pockets'!$AH:$AH,$S37)))</f>
        <v/>
      </c>
      <c r="H37" s="115">
        <f>IF($S37="","",IF(INDEX('_pockets'!$AF:$AF,$S37)="","",INDEX('_pockets'!$AF:$AF,$S37)))</f>
        <v/>
      </c>
      <c r="I37" s="116">
        <f>IF(IF($S37="","",IF(INDEX('_pockets'!$AB:$AB,$S37)="","",INDEX('_pockets'!$AB:$AB,$S37)))="","",IF($S37="","",IF(INDEX('_pockets'!$AB:$AB,$S37)="","",INDEX('_pockets'!$AB:$AB,$S37)))*IF($U$19,100,1))</f>
        <v/>
      </c>
      <c r="J37" s="114">
        <f>IF($S37="","",IF(INDEX('_pockets'!$Z:$Z,$S37)="","",INDEX('_pockets'!$Z:$Z,$S37)))</f>
        <v/>
      </c>
      <c r="K37" s="117">
        <f>IF($S37="","",IF(INDEX('_pockets'!$AO:$AO,$S37)="","",INDEX('_pockets'!$AO:$AO,$S37)))</f>
        <v/>
      </c>
      <c r="L37" s="118">
        <f>IF($S37="","",IF(INDEX('_pockets'!$AC:$AC,$S37)="","",INDEX('_pockets'!$AC:$AC,$S37)))</f>
        <v/>
      </c>
      <c r="M37" s="117">
        <f>IF($R37="","",IF(INDEX('_list'!$L$2:$L$292,$R37)="","",INDEX('_list'!$L$2:$L$292,$R37)))</f>
        <v/>
      </c>
      <c r="N37" s="116">
        <f>IF($R37="","",IF(INDEX('_list'!$H$2:$H$292,$R37)="","",INDEX('_list'!$H$2:$H$292,$R37)))</f>
        <v/>
      </c>
      <c r="O37" s="113">
        <f>IF($R37="","",IF(INDEX('_list'!$I$2:$I$292,$R37)="","",INDEX('_list'!$I$2:$I$292,$R37)))</f>
        <v/>
      </c>
      <c r="R37">
        <f>IFERROR(MATCH(17,'_list'!$N$2:$N$292,0),"")</f>
        <v/>
      </c>
      <c r="S37">
        <f>IF($R37="","",INDEX('_list'!$C$2:$C$292,$R37))</f>
        <v/>
      </c>
    </row>
    <row r="38" ht="16" customHeight="1">
      <c r="B38" s="112">
        <f>IF($R38="","",18)</f>
        <v/>
      </c>
      <c r="C38" s="113">
        <f>IF($R38="","",IF(INDEX('_list'!$D$2:$D$292,$R38)="","",INDEX('_list'!$D$2:$D$292,$R38)))</f>
        <v/>
      </c>
      <c r="D38" s="113">
        <f>IF($R38="","",IF(INDEX('_list'!$E$2:$E$292,$R38)="","",INDEX('_list'!$E$2:$E$292,$R38)))</f>
        <v/>
      </c>
      <c r="E38" s="113">
        <f>IF($R38="","",IF(INDEX('_list'!$F$2:$F$292,$R38)="","",INDEX('_list'!$F$2:$F$292,$R38)))</f>
        <v/>
      </c>
      <c r="F38" s="114">
        <f>IF($R38="","",IF(INDEX('_list'!$G$2:$G$292,$R38)="","",INDEX('_list'!$G$2:$G$292,$R38)))</f>
        <v/>
      </c>
      <c r="G38" s="115">
        <f>IF($S38="","",IF(INDEX('_pockets'!$AH:$AH,$S38)="","",INDEX('_pockets'!$AH:$AH,$S38)))</f>
        <v/>
      </c>
      <c r="H38" s="115">
        <f>IF($S38="","",IF(INDEX('_pockets'!$AF:$AF,$S38)="","",INDEX('_pockets'!$AF:$AF,$S38)))</f>
        <v/>
      </c>
      <c r="I38" s="116">
        <f>IF(IF($S38="","",IF(INDEX('_pockets'!$AB:$AB,$S38)="","",INDEX('_pockets'!$AB:$AB,$S38)))="","",IF($S38="","",IF(INDEX('_pockets'!$AB:$AB,$S38)="","",INDEX('_pockets'!$AB:$AB,$S38)))*IF($U$19,100,1))</f>
        <v/>
      </c>
      <c r="J38" s="114">
        <f>IF($S38="","",IF(INDEX('_pockets'!$Z:$Z,$S38)="","",INDEX('_pockets'!$Z:$Z,$S38)))</f>
        <v/>
      </c>
      <c r="K38" s="117">
        <f>IF($S38="","",IF(INDEX('_pockets'!$AO:$AO,$S38)="","",INDEX('_pockets'!$AO:$AO,$S38)))</f>
        <v/>
      </c>
      <c r="L38" s="118">
        <f>IF($S38="","",IF(INDEX('_pockets'!$AC:$AC,$S38)="","",INDEX('_pockets'!$AC:$AC,$S38)))</f>
        <v/>
      </c>
      <c r="M38" s="117">
        <f>IF($R38="","",IF(INDEX('_list'!$L$2:$L$292,$R38)="","",INDEX('_list'!$L$2:$L$292,$R38)))</f>
        <v/>
      </c>
      <c r="N38" s="116">
        <f>IF($R38="","",IF(INDEX('_list'!$H$2:$H$292,$R38)="","",INDEX('_list'!$H$2:$H$292,$R38)))</f>
        <v/>
      </c>
      <c r="O38" s="113">
        <f>IF($R38="","",IF(INDEX('_list'!$I$2:$I$292,$R38)="","",INDEX('_list'!$I$2:$I$292,$R38)))</f>
        <v/>
      </c>
      <c r="R38">
        <f>IFERROR(MATCH(18,'_list'!$N$2:$N$292,0),"")</f>
        <v/>
      </c>
      <c r="S38">
        <f>IF($R38="","",INDEX('_list'!$C$2:$C$292,$R38))</f>
        <v/>
      </c>
    </row>
    <row r="39" ht="16" customHeight="1">
      <c r="B39" s="112">
        <f>IF($R39="","",19)</f>
        <v/>
      </c>
      <c r="C39" s="113">
        <f>IF($R39="","",IF(INDEX('_list'!$D$2:$D$292,$R39)="","",INDEX('_list'!$D$2:$D$292,$R39)))</f>
        <v/>
      </c>
      <c r="D39" s="113">
        <f>IF($R39="","",IF(INDEX('_list'!$E$2:$E$292,$R39)="","",INDEX('_list'!$E$2:$E$292,$R39)))</f>
        <v/>
      </c>
      <c r="E39" s="113">
        <f>IF($R39="","",IF(INDEX('_list'!$F$2:$F$292,$R39)="","",INDEX('_list'!$F$2:$F$292,$R39)))</f>
        <v/>
      </c>
      <c r="F39" s="114">
        <f>IF($R39="","",IF(INDEX('_list'!$G$2:$G$292,$R39)="","",INDEX('_list'!$G$2:$G$292,$R39)))</f>
        <v/>
      </c>
      <c r="G39" s="115">
        <f>IF($S39="","",IF(INDEX('_pockets'!$AH:$AH,$S39)="","",INDEX('_pockets'!$AH:$AH,$S39)))</f>
        <v/>
      </c>
      <c r="H39" s="115">
        <f>IF($S39="","",IF(INDEX('_pockets'!$AF:$AF,$S39)="","",INDEX('_pockets'!$AF:$AF,$S39)))</f>
        <v/>
      </c>
      <c r="I39" s="116">
        <f>IF(IF($S39="","",IF(INDEX('_pockets'!$AB:$AB,$S39)="","",INDEX('_pockets'!$AB:$AB,$S39)))="","",IF($S39="","",IF(INDEX('_pockets'!$AB:$AB,$S39)="","",INDEX('_pockets'!$AB:$AB,$S39)))*IF($U$19,100,1))</f>
        <v/>
      </c>
      <c r="J39" s="114">
        <f>IF($S39="","",IF(INDEX('_pockets'!$Z:$Z,$S39)="","",INDEX('_pockets'!$Z:$Z,$S39)))</f>
        <v/>
      </c>
      <c r="K39" s="117">
        <f>IF($S39="","",IF(INDEX('_pockets'!$AO:$AO,$S39)="","",INDEX('_pockets'!$AO:$AO,$S39)))</f>
        <v/>
      </c>
      <c r="L39" s="118">
        <f>IF($S39="","",IF(INDEX('_pockets'!$AC:$AC,$S39)="","",INDEX('_pockets'!$AC:$AC,$S39)))</f>
        <v/>
      </c>
      <c r="M39" s="117">
        <f>IF($R39="","",IF(INDEX('_list'!$L$2:$L$292,$R39)="","",INDEX('_list'!$L$2:$L$292,$R39)))</f>
        <v/>
      </c>
      <c r="N39" s="116">
        <f>IF($R39="","",IF(INDEX('_list'!$H$2:$H$292,$R39)="","",INDEX('_list'!$H$2:$H$292,$R39)))</f>
        <v/>
      </c>
      <c r="O39" s="113">
        <f>IF($R39="","",IF(INDEX('_list'!$I$2:$I$292,$R39)="","",INDEX('_list'!$I$2:$I$292,$R39)))</f>
        <v/>
      </c>
      <c r="R39">
        <f>IFERROR(MATCH(19,'_list'!$N$2:$N$292,0),"")</f>
        <v/>
      </c>
      <c r="S39">
        <f>IF($R39="","",INDEX('_list'!$C$2:$C$292,$R39))</f>
        <v/>
      </c>
    </row>
    <row r="40" ht="16" customHeight="1">
      <c r="B40" s="112">
        <f>IF($R40="","",20)</f>
        <v/>
      </c>
      <c r="C40" s="113">
        <f>IF($R40="","",IF(INDEX('_list'!$D$2:$D$292,$R40)="","",INDEX('_list'!$D$2:$D$292,$R40)))</f>
        <v/>
      </c>
      <c r="D40" s="113">
        <f>IF($R40="","",IF(INDEX('_list'!$E$2:$E$292,$R40)="","",INDEX('_list'!$E$2:$E$292,$R40)))</f>
        <v/>
      </c>
      <c r="E40" s="113">
        <f>IF($R40="","",IF(INDEX('_list'!$F$2:$F$292,$R40)="","",INDEX('_list'!$F$2:$F$292,$R40)))</f>
        <v/>
      </c>
      <c r="F40" s="114">
        <f>IF($R40="","",IF(INDEX('_list'!$G$2:$G$292,$R40)="","",INDEX('_list'!$G$2:$G$292,$R40)))</f>
        <v/>
      </c>
      <c r="G40" s="115">
        <f>IF($S40="","",IF(INDEX('_pockets'!$AH:$AH,$S40)="","",INDEX('_pockets'!$AH:$AH,$S40)))</f>
        <v/>
      </c>
      <c r="H40" s="115">
        <f>IF($S40="","",IF(INDEX('_pockets'!$AF:$AF,$S40)="","",INDEX('_pockets'!$AF:$AF,$S40)))</f>
        <v/>
      </c>
      <c r="I40" s="116">
        <f>IF(IF($S40="","",IF(INDEX('_pockets'!$AB:$AB,$S40)="","",INDEX('_pockets'!$AB:$AB,$S40)))="","",IF($S40="","",IF(INDEX('_pockets'!$AB:$AB,$S40)="","",INDEX('_pockets'!$AB:$AB,$S40)))*IF($U$19,100,1))</f>
        <v/>
      </c>
      <c r="J40" s="114">
        <f>IF($S40="","",IF(INDEX('_pockets'!$Z:$Z,$S40)="","",INDEX('_pockets'!$Z:$Z,$S40)))</f>
        <v/>
      </c>
      <c r="K40" s="117">
        <f>IF($S40="","",IF(INDEX('_pockets'!$AO:$AO,$S40)="","",INDEX('_pockets'!$AO:$AO,$S40)))</f>
        <v/>
      </c>
      <c r="L40" s="118">
        <f>IF($S40="","",IF(INDEX('_pockets'!$AC:$AC,$S40)="","",INDEX('_pockets'!$AC:$AC,$S40)))</f>
        <v/>
      </c>
      <c r="M40" s="117">
        <f>IF($R40="","",IF(INDEX('_list'!$L$2:$L$292,$R40)="","",INDEX('_list'!$L$2:$L$292,$R40)))</f>
        <v/>
      </c>
      <c r="N40" s="116">
        <f>IF($R40="","",IF(INDEX('_list'!$H$2:$H$292,$R40)="","",INDEX('_list'!$H$2:$H$292,$R40)))</f>
        <v/>
      </c>
      <c r="O40" s="113">
        <f>IF($R40="","",IF(INDEX('_list'!$I$2:$I$292,$R40)="","",INDEX('_list'!$I$2:$I$292,$R40)))</f>
        <v/>
      </c>
      <c r="R40">
        <f>IFERROR(MATCH(20,'_list'!$N$2:$N$292,0),"")</f>
        <v/>
      </c>
      <c r="S40">
        <f>IF($R40="","",INDEX('_list'!$C$2:$C$292,$R40))</f>
        <v/>
      </c>
    </row>
    <row r="41" ht="16" customHeight="1">
      <c r="B41" s="112">
        <f>IF($R41="","",21)</f>
        <v/>
      </c>
      <c r="C41" s="113">
        <f>IF($R41="","",IF(INDEX('_list'!$D$2:$D$292,$R41)="","",INDEX('_list'!$D$2:$D$292,$R41)))</f>
        <v/>
      </c>
      <c r="D41" s="113">
        <f>IF($R41="","",IF(INDEX('_list'!$E$2:$E$292,$R41)="","",INDEX('_list'!$E$2:$E$292,$R41)))</f>
        <v/>
      </c>
      <c r="E41" s="113">
        <f>IF($R41="","",IF(INDEX('_list'!$F$2:$F$292,$R41)="","",INDEX('_list'!$F$2:$F$292,$R41)))</f>
        <v/>
      </c>
      <c r="F41" s="114">
        <f>IF($R41="","",IF(INDEX('_list'!$G$2:$G$292,$R41)="","",INDEX('_list'!$G$2:$G$292,$R41)))</f>
        <v/>
      </c>
      <c r="G41" s="115">
        <f>IF($S41="","",IF(INDEX('_pockets'!$AH:$AH,$S41)="","",INDEX('_pockets'!$AH:$AH,$S41)))</f>
        <v/>
      </c>
      <c r="H41" s="115">
        <f>IF($S41="","",IF(INDEX('_pockets'!$AF:$AF,$S41)="","",INDEX('_pockets'!$AF:$AF,$S41)))</f>
        <v/>
      </c>
      <c r="I41" s="116">
        <f>IF(IF($S41="","",IF(INDEX('_pockets'!$AB:$AB,$S41)="","",INDEX('_pockets'!$AB:$AB,$S41)))="","",IF($S41="","",IF(INDEX('_pockets'!$AB:$AB,$S41)="","",INDEX('_pockets'!$AB:$AB,$S41)))*IF($U$19,100,1))</f>
        <v/>
      </c>
      <c r="J41" s="114">
        <f>IF($S41="","",IF(INDEX('_pockets'!$Z:$Z,$S41)="","",INDEX('_pockets'!$Z:$Z,$S41)))</f>
        <v/>
      </c>
      <c r="K41" s="117">
        <f>IF($S41="","",IF(INDEX('_pockets'!$AO:$AO,$S41)="","",INDEX('_pockets'!$AO:$AO,$S41)))</f>
        <v/>
      </c>
      <c r="L41" s="118">
        <f>IF($S41="","",IF(INDEX('_pockets'!$AC:$AC,$S41)="","",INDEX('_pockets'!$AC:$AC,$S41)))</f>
        <v/>
      </c>
      <c r="M41" s="117">
        <f>IF($R41="","",IF(INDEX('_list'!$L$2:$L$292,$R41)="","",INDEX('_list'!$L$2:$L$292,$R41)))</f>
        <v/>
      </c>
      <c r="N41" s="116">
        <f>IF($R41="","",IF(INDEX('_list'!$H$2:$H$292,$R41)="","",INDEX('_list'!$H$2:$H$292,$R41)))</f>
        <v/>
      </c>
      <c r="O41" s="113">
        <f>IF($R41="","",IF(INDEX('_list'!$I$2:$I$292,$R41)="","",INDEX('_list'!$I$2:$I$292,$R41)))</f>
        <v/>
      </c>
      <c r="R41">
        <f>IFERROR(MATCH(21,'_list'!$N$2:$N$292,0),"")</f>
        <v/>
      </c>
      <c r="S41">
        <f>IF($R41="","",INDEX('_list'!$C$2:$C$292,$R41))</f>
        <v/>
      </c>
    </row>
    <row r="42" ht="16" customHeight="1">
      <c r="B42" s="112">
        <f>IF($R42="","",22)</f>
        <v/>
      </c>
      <c r="C42" s="113">
        <f>IF($R42="","",IF(INDEX('_list'!$D$2:$D$292,$R42)="","",INDEX('_list'!$D$2:$D$292,$R42)))</f>
        <v/>
      </c>
      <c r="D42" s="113">
        <f>IF($R42="","",IF(INDEX('_list'!$E$2:$E$292,$R42)="","",INDEX('_list'!$E$2:$E$292,$R42)))</f>
        <v/>
      </c>
      <c r="E42" s="113">
        <f>IF($R42="","",IF(INDEX('_list'!$F$2:$F$292,$R42)="","",INDEX('_list'!$F$2:$F$292,$R42)))</f>
        <v/>
      </c>
      <c r="F42" s="114">
        <f>IF($R42="","",IF(INDEX('_list'!$G$2:$G$292,$R42)="","",INDEX('_list'!$G$2:$G$292,$R42)))</f>
        <v/>
      </c>
      <c r="G42" s="115">
        <f>IF($S42="","",IF(INDEX('_pockets'!$AH:$AH,$S42)="","",INDEX('_pockets'!$AH:$AH,$S42)))</f>
        <v/>
      </c>
      <c r="H42" s="115">
        <f>IF($S42="","",IF(INDEX('_pockets'!$AF:$AF,$S42)="","",INDEX('_pockets'!$AF:$AF,$S42)))</f>
        <v/>
      </c>
      <c r="I42" s="116">
        <f>IF(IF($S42="","",IF(INDEX('_pockets'!$AB:$AB,$S42)="","",INDEX('_pockets'!$AB:$AB,$S42)))="","",IF($S42="","",IF(INDEX('_pockets'!$AB:$AB,$S42)="","",INDEX('_pockets'!$AB:$AB,$S42)))*IF($U$19,100,1))</f>
        <v/>
      </c>
      <c r="J42" s="114">
        <f>IF($S42="","",IF(INDEX('_pockets'!$Z:$Z,$S42)="","",INDEX('_pockets'!$Z:$Z,$S42)))</f>
        <v/>
      </c>
      <c r="K42" s="117">
        <f>IF($S42="","",IF(INDEX('_pockets'!$AO:$AO,$S42)="","",INDEX('_pockets'!$AO:$AO,$S42)))</f>
        <v/>
      </c>
      <c r="L42" s="118">
        <f>IF($S42="","",IF(INDEX('_pockets'!$AC:$AC,$S42)="","",INDEX('_pockets'!$AC:$AC,$S42)))</f>
        <v/>
      </c>
      <c r="M42" s="117">
        <f>IF($R42="","",IF(INDEX('_list'!$L$2:$L$292,$R42)="","",INDEX('_list'!$L$2:$L$292,$R42)))</f>
        <v/>
      </c>
      <c r="N42" s="116">
        <f>IF($R42="","",IF(INDEX('_list'!$H$2:$H$292,$R42)="","",INDEX('_list'!$H$2:$H$292,$R42)))</f>
        <v/>
      </c>
      <c r="O42" s="113">
        <f>IF($R42="","",IF(INDEX('_list'!$I$2:$I$292,$R42)="","",INDEX('_list'!$I$2:$I$292,$R42)))</f>
        <v/>
      </c>
      <c r="R42">
        <f>IFERROR(MATCH(22,'_list'!$N$2:$N$292,0),"")</f>
        <v/>
      </c>
      <c r="S42">
        <f>IF($R42="","",INDEX('_list'!$C$2:$C$292,$R42))</f>
        <v/>
      </c>
    </row>
    <row r="43" ht="16" customHeight="1">
      <c r="B43" s="112">
        <f>IF($R43="","",23)</f>
        <v/>
      </c>
      <c r="C43" s="113">
        <f>IF($R43="","",IF(INDEX('_list'!$D$2:$D$292,$R43)="","",INDEX('_list'!$D$2:$D$292,$R43)))</f>
        <v/>
      </c>
      <c r="D43" s="113">
        <f>IF($R43="","",IF(INDEX('_list'!$E$2:$E$292,$R43)="","",INDEX('_list'!$E$2:$E$292,$R43)))</f>
        <v/>
      </c>
      <c r="E43" s="113">
        <f>IF($R43="","",IF(INDEX('_list'!$F$2:$F$292,$R43)="","",INDEX('_list'!$F$2:$F$292,$R43)))</f>
        <v/>
      </c>
      <c r="F43" s="114">
        <f>IF($R43="","",IF(INDEX('_list'!$G$2:$G$292,$R43)="","",INDEX('_list'!$G$2:$G$292,$R43)))</f>
        <v/>
      </c>
      <c r="G43" s="115">
        <f>IF($S43="","",IF(INDEX('_pockets'!$AH:$AH,$S43)="","",INDEX('_pockets'!$AH:$AH,$S43)))</f>
        <v/>
      </c>
      <c r="H43" s="115">
        <f>IF($S43="","",IF(INDEX('_pockets'!$AF:$AF,$S43)="","",INDEX('_pockets'!$AF:$AF,$S43)))</f>
        <v/>
      </c>
      <c r="I43" s="116">
        <f>IF(IF($S43="","",IF(INDEX('_pockets'!$AB:$AB,$S43)="","",INDEX('_pockets'!$AB:$AB,$S43)))="","",IF($S43="","",IF(INDEX('_pockets'!$AB:$AB,$S43)="","",INDEX('_pockets'!$AB:$AB,$S43)))*IF($U$19,100,1))</f>
        <v/>
      </c>
      <c r="J43" s="114">
        <f>IF($S43="","",IF(INDEX('_pockets'!$Z:$Z,$S43)="","",INDEX('_pockets'!$Z:$Z,$S43)))</f>
        <v/>
      </c>
      <c r="K43" s="117">
        <f>IF($S43="","",IF(INDEX('_pockets'!$AO:$AO,$S43)="","",INDEX('_pockets'!$AO:$AO,$S43)))</f>
        <v/>
      </c>
      <c r="L43" s="118">
        <f>IF($S43="","",IF(INDEX('_pockets'!$AC:$AC,$S43)="","",INDEX('_pockets'!$AC:$AC,$S43)))</f>
        <v/>
      </c>
      <c r="M43" s="117">
        <f>IF($R43="","",IF(INDEX('_list'!$L$2:$L$292,$R43)="","",INDEX('_list'!$L$2:$L$292,$R43)))</f>
        <v/>
      </c>
      <c r="N43" s="116">
        <f>IF($R43="","",IF(INDEX('_list'!$H$2:$H$292,$R43)="","",INDEX('_list'!$H$2:$H$292,$R43)))</f>
        <v/>
      </c>
      <c r="O43" s="113">
        <f>IF($R43="","",IF(INDEX('_list'!$I$2:$I$292,$R43)="","",INDEX('_list'!$I$2:$I$292,$R43)))</f>
        <v/>
      </c>
      <c r="R43">
        <f>IFERROR(MATCH(23,'_list'!$N$2:$N$292,0),"")</f>
        <v/>
      </c>
      <c r="S43">
        <f>IF($R43="","",INDEX('_list'!$C$2:$C$292,$R43))</f>
        <v/>
      </c>
    </row>
    <row r="44" ht="16" customHeight="1">
      <c r="B44" s="112">
        <f>IF($R44="","",24)</f>
        <v/>
      </c>
      <c r="C44" s="113">
        <f>IF($R44="","",IF(INDEX('_list'!$D$2:$D$292,$R44)="","",INDEX('_list'!$D$2:$D$292,$R44)))</f>
        <v/>
      </c>
      <c r="D44" s="113">
        <f>IF($R44="","",IF(INDEX('_list'!$E$2:$E$292,$R44)="","",INDEX('_list'!$E$2:$E$292,$R44)))</f>
        <v/>
      </c>
      <c r="E44" s="113">
        <f>IF($R44="","",IF(INDEX('_list'!$F$2:$F$292,$R44)="","",INDEX('_list'!$F$2:$F$292,$R44)))</f>
        <v/>
      </c>
      <c r="F44" s="114">
        <f>IF($R44="","",IF(INDEX('_list'!$G$2:$G$292,$R44)="","",INDEX('_list'!$G$2:$G$292,$R44)))</f>
        <v/>
      </c>
      <c r="G44" s="115">
        <f>IF($S44="","",IF(INDEX('_pockets'!$AH:$AH,$S44)="","",INDEX('_pockets'!$AH:$AH,$S44)))</f>
        <v/>
      </c>
      <c r="H44" s="115">
        <f>IF($S44="","",IF(INDEX('_pockets'!$AF:$AF,$S44)="","",INDEX('_pockets'!$AF:$AF,$S44)))</f>
        <v/>
      </c>
      <c r="I44" s="116">
        <f>IF(IF($S44="","",IF(INDEX('_pockets'!$AB:$AB,$S44)="","",INDEX('_pockets'!$AB:$AB,$S44)))="","",IF($S44="","",IF(INDEX('_pockets'!$AB:$AB,$S44)="","",INDEX('_pockets'!$AB:$AB,$S44)))*IF($U$19,100,1))</f>
        <v/>
      </c>
      <c r="J44" s="114">
        <f>IF($S44="","",IF(INDEX('_pockets'!$Z:$Z,$S44)="","",INDEX('_pockets'!$Z:$Z,$S44)))</f>
        <v/>
      </c>
      <c r="K44" s="117">
        <f>IF($S44="","",IF(INDEX('_pockets'!$AO:$AO,$S44)="","",INDEX('_pockets'!$AO:$AO,$S44)))</f>
        <v/>
      </c>
      <c r="L44" s="118">
        <f>IF($S44="","",IF(INDEX('_pockets'!$AC:$AC,$S44)="","",INDEX('_pockets'!$AC:$AC,$S44)))</f>
        <v/>
      </c>
      <c r="M44" s="117">
        <f>IF($R44="","",IF(INDEX('_list'!$L$2:$L$292,$R44)="","",INDEX('_list'!$L$2:$L$292,$R44)))</f>
        <v/>
      </c>
      <c r="N44" s="116">
        <f>IF($R44="","",IF(INDEX('_list'!$H$2:$H$292,$R44)="","",INDEX('_list'!$H$2:$H$292,$R44)))</f>
        <v/>
      </c>
      <c r="O44" s="113">
        <f>IF($R44="","",IF(INDEX('_list'!$I$2:$I$292,$R44)="","",INDEX('_list'!$I$2:$I$292,$R44)))</f>
        <v/>
      </c>
      <c r="R44">
        <f>IFERROR(MATCH(24,'_list'!$N$2:$N$292,0),"")</f>
        <v/>
      </c>
      <c r="S44">
        <f>IF($R44="","",INDEX('_list'!$C$2:$C$292,$R44))</f>
        <v/>
      </c>
    </row>
    <row r="45" ht="16" customHeight="1">
      <c r="B45" s="112">
        <f>IF($R45="","",25)</f>
        <v/>
      </c>
      <c r="C45" s="113">
        <f>IF($R45="","",IF(INDEX('_list'!$D$2:$D$292,$R45)="","",INDEX('_list'!$D$2:$D$292,$R45)))</f>
        <v/>
      </c>
      <c r="D45" s="113">
        <f>IF($R45="","",IF(INDEX('_list'!$E$2:$E$292,$R45)="","",INDEX('_list'!$E$2:$E$292,$R45)))</f>
        <v/>
      </c>
      <c r="E45" s="113">
        <f>IF($R45="","",IF(INDEX('_list'!$F$2:$F$292,$R45)="","",INDEX('_list'!$F$2:$F$292,$R45)))</f>
        <v/>
      </c>
      <c r="F45" s="114">
        <f>IF($R45="","",IF(INDEX('_list'!$G$2:$G$292,$R45)="","",INDEX('_list'!$G$2:$G$292,$R45)))</f>
        <v/>
      </c>
      <c r="G45" s="115">
        <f>IF($S45="","",IF(INDEX('_pockets'!$AH:$AH,$S45)="","",INDEX('_pockets'!$AH:$AH,$S45)))</f>
        <v/>
      </c>
      <c r="H45" s="115">
        <f>IF($S45="","",IF(INDEX('_pockets'!$AF:$AF,$S45)="","",INDEX('_pockets'!$AF:$AF,$S45)))</f>
        <v/>
      </c>
      <c r="I45" s="116">
        <f>IF(IF($S45="","",IF(INDEX('_pockets'!$AB:$AB,$S45)="","",INDEX('_pockets'!$AB:$AB,$S45)))="","",IF($S45="","",IF(INDEX('_pockets'!$AB:$AB,$S45)="","",INDEX('_pockets'!$AB:$AB,$S45)))*IF($U$19,100,1))</f>
        <v/>
      </c>
      <c r="J45" s="114">
        <f>IF($S45="","",IF(INDEX('_pockets'!$Z:$Z,$S45)="","",INDEX('_pockets'!$Z:$Z,$S45)))</f>
        <v/>
      </c>
      <c r="K45" s="117">
        <f>IF($S45="","",IF(INDEX('_pockets'!$AO:$AO,$S45)="","",INDEX('_pockets'!$AO:$AO,$S45)))</f>
        <v/>
      </c>
      <c r="L45" s="118">
        <f>IF($S45="","",IF(INDEX('_pockets'!$AC:$AC,$S45)="","",INDEX('_pockets'!$AC:$AC,$S45)))</f>
        <v/>
      </c>
      <c r="M45" s="117">
        <f>IF($R45="","",IF(INDEX('_list'!$L$2:$L$292,$R45)="","",INDEX('_list'!$L$2:$L$292,$R45)))</f>
        <v/>
      </c>
      <c r="N45" s="116">
        <f>IF($R45="","",IF(INDEX('_list'!$H$2:$H$292,$R45)="","",INDEX('_list'!$H$2:$H$292,$R45)))</f>
        <v/>
      </c>
      <c r="O45" s="113">
        <f>IF($R45="","",IF(INDEX('_list'!$I$2:$I$292,$R45)="","",INDEX('_list'!$I$2:$I$292,$R45)))</f>
        <v/>
      </c>
      <c r="R45">
        <f>IFERROR(MATCH(25,'_list'!$N$2:$N$292,0),"")</f>
        <v/>
      </c>
      <c r="S45">
        <f>IF($R45="","",INDEX('_list'!$C$2:$C$292,$R45))</f>
        <v/>
      </c>
    </row>
    <row r="46" ht="16" customHeight="1">
      <c r="B46" s="112">
        <f>IF($R46="","",26)</f>
        <v/>
      </c>
      <c r="C46" s="113">
        <f>IF($R46="","",IF(INDEX('_list'!$D$2:$D$292,$R46)="","",INDEX('_list'!$D$2:$D$292,$R46)))</f>
        <v/>
      </c>
      <c r="D46" s="113">
        <f>IF($R46="","",IF(INDEX('_list'!$E$2:$E$292,$R46)="","",INDEX('_list'!$E$2:$E$292,$R46)))</f>
        <v/>
      </c>
      <c r="E46" s="113">
        <f>IF($R46="","",IF(INDEX('_list'!$F$2:$F$292,$R46)="","",INDEX('_list'!$F$2:$F$292,$R46)))</f>
        <v/>
      </c>
      <c r="F46" s="114">
        <f>IF($R46="","",IF(INDEX('_list'!$G$2:$G$292,$R46)="","",INDEX('_list'!$G$2:$G$292,$R46)))</f>
        <v/>
      </c>
      <c r="G46" s="115">
        <f>IF($S46="","",IF(INDEX('_pockets'!$AH:$AH,$S46)="","",INDEX('_pockets'!$AH:$AH,$S46)))</f>
        <v/>
      </c>
      <c r="H46" s="115">
        <f>IF($S46="","",IF(INDEX('_pockets'!$AF:$AF,$S46)="","",INDEX('_pockets'!$AF:$AF,$S46)))</f>
        <v/>
      </c>
      <c r="I46" s="116">
        <f>IF(IF($S46="","",IF(INDEX('_pockets'!$AB:$AB,$S46)="","",INDEX('_pockets'!$AB:$AB,$S46)))="","",IF($S46="","",IF(INDEX('_pockets'!$AB:$AB,$S46)="","",INDEX('_pockets'!$AB:$AB,$S46)))*IF($U$19,100,1))</f>
        <v/>
      </c>
      <c r="J46" s="114">
        <f>IF($S46="","",IF(INDEX('_pockets'!$Z:$Z,$S46)="","",INDEX('_pockets'!$Z:$Z,$S46)))</f>
        <v/>
      </c>
      <c r="K46" s="117">
        <f>IF($S46="","",IF(INDEX('_pockets'!$AO:$AO,$S46)="","",INDEX('_pockets'!$AO:$AO,$S46)))</f>
        <v/>
      </c>
      <c r="L46" s="118">
        <f>IF($S46="","",IF(INDEX('_pockets'!$AC:$AC,$S46)="","",INDEX('_pockets'!$AC:$AC,$S46)))</f>
        <v/>
      </c>
      <c r="M46" s="117">
        <f>IF($R46="","",IF(INDEX('_list'!$L$2:$L$292,$R46)="","",INDEX('_list'!$L$2:$L$292,$R46)))</f>
        <v/>
      </c>
      <c r="N46" s="116">
        <f>IF($R46="","",IF(INDEX('_list'!$H$2:$H$292,$R46)="","",INDEX('_list'!$H$2:$H$292,$R46)))</f>
        <v/>
      </c>
      <c r="O46" s="113">
        <f>IF($R46="","",IF(INDEX('_list'!$I$2:$I$292,$R46)="","",INDEX('_list'!$I$2:$I$292,$R46)))</f>
        <v/>
      </c>
      <c r="R46">
        <f>IFERROR(MATCH(26,'_list'!$N$2:$N$292,0),"")</f>
        <v/>
      </c>
      <c r="S46">
        <f>IF($R46="","",INDEX('_list'!$C$2:$C$292,$R46))</f>
        <v/>
      </c>
    </row>
    <row r="47" ht="16" customHeight="1">
      <c r="B47" s="112">
        <f>IF($R47="","",27)</f>
        <v/>
      </c>
      <c r="C47" s="113">
        <f>IF($R47="","",IF(INDEX('_list'!$D$2:$D$292,$R47)="","",INDEX('_list'!$D$2:$D$292,$R47)))</f>
        <v/>
      </c>
      <c r="D47" s="113">
        <f>IF($R47="","",IF(INDEX('_list'!$E$2:$E$292,$R47)="","",INDEX('_list'!$E$2:$E$292,$R47)))</f>
        <v/>
      </c>
      <c r="E47" s="113">
        <f>IF($R47="","",IF(INDEX('_list'!$F$2:$F$292,$R47)="","",INDEX('_list'!$F$2:$F$292,$R47)))</f>
        <v/>
      </c>
      <c r="F47" s="114">
        <f>IF($R47="","",IF(INDEX('_list'!$G$2:$G$292,$R47)="","",INDEX('_list'!$G$2:$G$292,$R47)))</f>
        <v/>
      </c>
      <c r="G47" s="115">
        <f>IF($S47="","",IF(INDEX('_pockets'!$AH:$AH,$S47)="","",INDEX('_pockets'!$AH:$AH,$S47)))</f>
        <v/>
      </c>
      <c r="H47" s="115">
        <f>IF($S47="","",IF(INDEX('_pockets'!$AF:$AF,$S47)="","",INDEX('_pockets'!$AF:$AF,$S47)))</f>
        <v/>
      </c>
      <c r="I47" s="116">
        <f>IF(IF($S47="","",IF(INDEX('_pockets'!$AB:$AB,$S47)="","",INDEX('_pockets'!$AB:$AB,$S47)))="","",IF($S47="","",IF(INDEX('_pockets'!$AB:$AB,$S47)="","",INDEX('_pockets'!$AB:$AB,$S47)))*IF($U$19,100,1))</f>
        <v/>
      </c>
      <c r="J47" s="114">
        <f>IF($S47="","",IF(INDEX('_pockets'!$Z:$Z,$S47)="","",INDEX('_pockets'!$Z:$Z,$S47)))</f>
        <v/>
      </c>
      <c r="K47" s="117">
        <f>IF($S47="","",IF(INDEX('_pockets'!$AO:$AO,$S47)="","",INDEX('_pockets'!$AO:$AO,$S47)))</f>
        <v/>
      </c>
      <c r="L47" s="118">
        <f>IF($S47="","",IF(INDEX('_pockets'!$AC:$AC,$S47)="","",INDEX('_pockets'!$AC:$AC,$S47)))</f>
        <v/>
      </c>
      <c r="M47" s="117">
        <f>IF($R47="","",IF(INDEX('_list'!$L$2:$L$292,$R47)="","",INDEX('_list'!$L$2:$L$292,$R47)))</f>
        <v/>
      </c>
      <c r="N47" s="116">
        <f>IF($R47="","",IF(INDEX('_list'!$H$2:$H$292,$R47)="","",INDEX('_list'!$H$2:$H$292,$R47)))</f>
        <v/>
      </c>
      <c r="O47" s="113">
        <f>IF($R47="","",IF(INDEX('_list'!$I$2:$I$292,$R47)="","",INDEX('_list'!$I$2:$I$292,$R47)))</f>
        <v/>
      </c>
      <c r="R47">
        <f>IFERROR(MATCH(27,'_list'!$N$2:$N$292,0),"")</f>
        <v/>
      </c>
      <c r="S47">
        <f>IF($R47="","",INDEX('_list'!$C$2:$C$292,$R47))</f>
        <v/>
      </c>
    </row>
    <row r="48" ht="16" customHeight="1">
      <c r="B48" s="112">
        <f>IF($R48="","",28)</f>
        <v/>
      </c>
      <c r="C48" s="113">
        <f>IF($R48="","",IF(INDEX('_list'!$D$2:$D$292,$R48)="","",INDEX('_list'!$D$2:$D$292,$R48)))</f>
        <v/>
      </c>
      <c r="D48" s="113">
        <f>IF($R48="","",IF(INDEX('_list'!$E$2:$E$292,$R48)="","",INDEX('_list'!$E$2:$E$292,$R48)))</f>
        <v/>
      </c>
      <c r="E48" s="113">
        <f>IF($R48="","",IF(INDEX('_list'!$F$2:$F$292,$R48)="","",INDEX('_list'!$F$2:$F$292,$R48)))</f>
        <v/>
      </c>
      <c r="F48" s="114">
        <f>IF($R48="","",IF(INDEX('_list'!$G$2:$G$292,$R48)="","",INDEX('_list'!$G$2:$G$292,$R48)))</f>
        <v/>
      </c>
      <c r="G48" s="115">
        <f>IF($S48="","",IF(INDEX('_pockets'!$AH:$AH,$S48)="","",INDEX('_pockets'!$AH:$AH,$S48)))</f>
        <v/>
      </c>
      <c r="H48" s="115">
        <f>IF($S48="","",IF(INDEX('_pockets'!$AF:$AF,$S48)="","",INDEX('_pockets'!$AF:$AF,$S48)))</f>
        <v/>
      </c>
      <c r="I48" s="116">
        <f>IF(IF($S48="","",IF(INDEX('_pockets'!$AB:$AB,$S48)="","",INDEX('_pockets'!$AB:$AB,$S48)))="","",IF($S48="","",IF(INDEX('_pockets'!$AB:$AB,$S48)="","",INDEX('_pockets'!$AB:$AB,$S48)))*IF($U$19,100,1))</f>
        <v/>
      </c>
      <c r="J48" s="114">
        <f>IF($S48="","",IF(INDEX('_pockets'!$Z:$Z,$S48)="","",INDEX('_pockets'!$Z:$Z,$S48)))</f>
        <v/>
      </c>
      <c r="K48" s="117">
        <f>IF($S48="","",IF(INDEX('_pockets'!$AO:$AO,$S48)="","",INDEX('_pockets'!$AO:$AO,$S48)))</f>
        <v/>
      </c>
      <c r="L48" s="118">
        <f>IF($S48="","",IF(INDEX('_pockets'!$AC:$AC,$S48)="","",INDEX('_pockets'!$AC:$AC,$S48)))</f>
        <v/>
      </c>
      <c r="M48" s="117">
        <f>IF($R48="","",IF(INDEX('_list'!$L$2:$L$292,$R48)="","",INDEX('_list'!$L$2:$L$292,$R48)))</f>
        <v/>
      </c>
      <c r="N48" s="116">
        <f>IF($R48="","",IF(INDEX('_list'!$H$2:$H$292,$R48)="","",INDEX('_list'!$H$2:$H$292,$R48)))</f>
        <v/>
      </c>
      <c r="O48" s="113">
        <f>IF($R48="","",IF(INDEX('_list'!$I$2:$I$292,$R48)="","",INDEX('_list'!$I$2:$I$292,$R48)))</f>
        <v/>
      </c>
      <c r="R48">
        <f>IFERROR(MATCH(28,'_list'!$N$2:$N$292,0),"")</f>
        <v/>
      </c>
      <c r="S48">
        <f>IF($R48="","",INDEX('_list'!$C$2:$C$292,$R48))</f>
        <v/>
      </c>
    </row>
    <row r="49" ht="16" customHeight="1">
      <c r="B49" s="112">
        <f>IF($R49="","",29)</f>
        <v/>
      </c>
      <c r="C49" s="113">
        <f>IF($R49="","",IF(INDEX('_list'!$D$2:$D$292,$R49)="","",INDEX('_list'!$D$2:$D$292,$R49)))</f>
        <v/>
      </c>
      <c r="D49" s="113">
        <f>IF($R49="","",IF(INDEX('_list'!$E$2:$E$292,$R49)="","",INDEX('_list'!$E$2:$E$292,$R49)))</f>
        <v/>
      </c>
      <c r="E49" s="113">
        <f>IF($R49="","",IF(INDEX('_list'!$F$2:$F$292,$R49)="","",INDEX('_list'!$F$2:$F$292,$R49)))</f>
        <v/>
      </c>
      <c r="F49" s="114">
        <f>IF($R49="","",IF(INDEX('_list'!$G$2:$G$292,$R49)="","",INDEX('_list'!$G$2:$G$292,$R49)))</f>
        <v/>
      </c>
      <c r="G49" s="115">
        <f>IF($S49="","",IF(INDEX('_pockets'!$AH:$AH,$S49)="","",INDEX('_pockets'!$AH:$AH,$S49)))</f>
        <v/>
      </c>
      <c r="H49" s="115">
        <f>IF($S49="","",IF(INDEX('_pockets'!$AF:$AF,$S49)="","",INDEX('_pockets'!$AF:$AF,$S49)))</f>
        <v/>
      </c>
      <c r="I49" s="116">
        <f>IF(IF($S49="","",IF(INDEX('_pockets'!$AB:$AB,$S49)="","",INDEX('_pockets'!$AB:$AB,$S49)))="","",IF($S49="","",IF(INDEX('_pockets'!$AB:$AB,$S49)="","",INDEX('_pockets'!$AB:$AB,$S49)))*IF($U$19,100,1))</f>
        <v/>
      </c>
      <c r="J49" s="114">
        <f>IF($S49="","",IF(INDEX('_pockets'!$Z:$Z,$S49)="","",INDEX('_pockets'!$Z:$Z,$S49)))</f>
        <v/>
      </c>
      <c r="K49" s="117">
        <f>IF($S49="","",IF(INDEX('_pockets'!$AO:$AO,$S49)="","",INDEX('_pockets'!$AO:$AO,$S49)))</f>
        <v/>
      </c>
      <c r="L49" s="118">
        <f>IF($S49="","",IF(INDEX('_pockets'!$AC:$AC,$S49)="","",INDEX('_pockets'!$AC:$AC,$S49)))</f>
        <v/>
      </c>
      <c r="M49" s="117">
        <f>IF($R49="","",IF(INDEX('_list'!$L$2:$L$292,$R49)="","",INDEX('_list'!$L$2:$L$292,$R49)))</f>
        <v/>
      </c>
      <c r="N49" s="116">
        <f>IF($R49="","",IF(INDEX('_list'!$H$2:$H$292,$R49)="","",INDEX('_list'!$H$2:$H$292,$R49)))</f>
        <v/>
      </c>
      <c r="O49" s="113">
        <f>IF($R49="","",IF(INDEX('_list'!$I$2:$I$292,$R49)="","",INDEX('_list'!$I$2:$I$292,$R49)))</f>
        <v/>
      </c>
      <c r="R49">
        <f>IFERROR(MATCH(29,'_list'!$N$2:$N$292,0),"")</f>
        <v/>
      </c>
      <c r="S49">
        <f>IF($R49="","",INDEX('_list'!$C$2:$C$292,$R49))</f>
        <v/>
      </c>
    </row>
    <row r="50" ht="16" customHeight="1">
      <c r="B50" s="112">
        <f>IF($R50="","",30)</f>
        <v/>
      </c>
      <c r="C50" s="113">
        <f>IF($R50="","",IF(INDEX('_list'!$D$2:$D$292,$R50)="","",INDEX('_list'!$D$2:$D$292,$R50)))</f>
        <v/>
      </c>
      <c r="D50" s="113">
        <f>IF($R50="","",IF(INDEX('_list'!$E$2:$E$292,$R50)="","",INDEX('_list'!$E$2:$E$292,$R50)))</f>
        <v/>
      </c>
      <c r="E50" s="113">
        <f>IF($R50="","",IF(INDEX('_list'!$F$2:$F$292,$R50)="","",INDEX('_list'!$F$2:$F$292,$R50)))</f>
        <v/>
      </c>
      <c r="F50" s="114">
        <f>IF($R50="","",IF(INDEX('_list'!$G$2:$G$292,$R50)="","",INDEX('_list'!$G$2:$G$292,$R50)))</f>
        <v/>
      </c>
      <c r="G50" s="115">
        <f>IF($S50="","",IF(INDEX('_pockets'!$AH:$AH,$S50)="","",INDEX('_pockets'!$AH:$AH,$S50)))</f>
        <v/>
      </c>
      <c r="H50" s="115">
        <f>IF($S50="","",IF(INDEX('_pockets'!$AF:$AF,$S50)="","",INDEX('_pockets'!$AF:$AF,$S50)))</f>
        <v/>
      </c>
      <c r="I50" s="116">
        <f>IF(IF($S50="","",IF(INDEX('_pockets'!$AB:$AB,$S50)="","",INDEX('_pockets'!$AB:$AB,$S50)))="","",IF($S50="","",IF(INDEX('_pockets'!$AB:$AB,$S50)="","",INDEX('_pockets'!$AB:$AB,$S50)))*IF($U$19,100,1))</f>
        <v/>
      </c>
      <c r="J50" s="114">
        <f>IF($S50="","",IF(INDEX('_pockets'!$Z:$Z,$S50)="","",INDEX('_pockets'!$Z:$Z,$S50)))</f>
        <v/>
      </c>
      <c r="K50" s="117">
        <f>IF($S50="","",IF(INDEX('_pockets'!$AO:$AO,$S50)="","",INDEX('_pockets'!$AO:$AO,$S50)))</f>
        <v/>
      </c>
      <c r="L50" s="118">
        <f>IF($S50="","",IF(INDEX('_pockets'!$AC:$AC,$S50)="","",INDEX('_pockets'!$AC:$AC,$S50)))</f>
        <v/>
      </c>
      <c r="M50" s="117">
        <f>IF($R50="","",IF(INDEX('_list'!$L$2:$L$292,$R50)="","",INDEX('_list'!$L$2:$L$292,$R50)))</f>
        <v/>
      </c>
      <c r="N50" s="116">
        <f>IF($R50="","",IF(INDEX('_list'!$H$2:$H$292,$R50)="","",INDEX('_list'!$H$2:$H$292,$R50)))</f>
        <v/>
      </c>
      <c r="O50" s="113">
        <f>IF($R50="","",IF(INDEX('_list'!$I$2:$I$292,$R50)="","",INDEX('_list'!$I$2:$I$292,$R50)))</f>
        <v/>
      </c>
      <c r="R50">
        <f>IFERROR(MATCH(30,'_list'!$N$2:$N$292,0),"")</f>
        <v/>
      </c>
      <c r="S50">
        <f>IF($R50="","",INDEX('_list'!$C$2:$C$292,$R50))</f>
        <v/>
      </c>
    </row>
    <row r="51" ht="16" customHeight="1">
      <c r="B51" s="112">
        <f>IF($R51="","",31)</f>
        <v/>
      </c>
      <c r="C51" s="113">
        <f>IF($R51="","",IF(INDEX('_list'!$D$2:$D$292,$R51)="","",INDEX('_list'!$D$2:$D$292,$R51)))</f>
        <v/>
      </c>
      <c r="D51" s="113">
        <f>IF($R51="","",IF(INDEX('_list'!$E$2:$E$292,$R51)="","",INDEX('_list'!$E$2:$E$292,$R51)))</f>
        <v/>
      </c>
      <c r="E51" s="113">
        <f>IF($R51="","",IF(INDEX('_list'!$F$2:$F$292,$R51)="","",INDEX('_list'!$F$2:$F$292,$R51)))</f>
        <v/>
      </c>
      <c r="F51" s="114">
        <f>IF($R51="","",IF(INDEX('_list'!$G$2:$G$292,$R51)="","",INDEX('_list'!$G$2:$G$292,$R51)))</f>
        <v/>
      </c>
      <c r="G51" s="115">
        <f>IF($S51="","",IF(INDEX('_pockets'!$AH:$AH,$S51)="","",INDEX('_pockets'!$AH:$AH,$S51)))</f>
        <v/>
      </c>
      <c r="H51" s="115">
        <f>IF($S51="","",IF(INDEX('_pockets'!$AF:$AF,$S51)="","",INDEX('_pockets'!$AF:$AF,$S51)))</f>
        <v/>
      </c>
      <c r="I51" s="116">
        <f>IF(IF($S51="","",IF(INDEX('_pockets'!$AB:$AB,$S51)="","",INDEX('_pockets'!$AB:$AB,$S51)))="","",IF($S51="","",IF(INDEX('_pockets'!$AB:$AB,$S51)="","",INDEX('_pockets'!$AB:$AB,$S51)))*IF($U$19,100,1))</f>
        <v/>
      </c>
      <c r="J51" s="114">
        <f>IF($S51="","",IF(INDEX('_pockets'!$Z:$Z,$S51)="","",INDEX('_pockets'!$Z:$Z,$S51)))</f>
        <v/>
      </c>
      <c r="K51" s="117">
        <f>IF($S51="","",IF(INDEX('_pockets'!$AO:$AO,$S51)="","",INDEX('_pockets'!$AO:$AO,$S51)))</f>
        <v/>
      </c>
      <c r="L51" s="118">
        <f>IF($S51="","",IF(INDEX('_pockets'!$AC:$AC,$S51)="","",INDEX('_pockets'!$AC:$AC,$S51)))</f>
        <v/>
      </c>
      <c r="M51" s="117">
        <f>IF($R51="","",IF(INDEX('_list'!$L$2:$L$292,$R51)="","",INDEX('_list'!$L$2:$L$292,$R51)))</f>
        <v/>
      </c>
      <c r="N51" s="116">
        <f>IF($R51="","",IF(INDEX('_list'!$H$2:$H$292,$R51)="","",INDEX('_list'!$H$2:$H$292,$R51)))</f>
        <v/>
      </c>
      <c r="O51" s="113">
        <f>IF($R51="","",IF(INDEX('_list'!$I$2:$I$292,$R51)="","",INDEX('_list'!$I$2:$I$292,$R51)))</f>
        <v/>
      </c>
      <c r="R51">
        <f>IFERROR(MATCH(31,'_list'!$N$2:$N$292,0),"")</f>
        <v/>
      </c>
      <c r="S51">
        <f>IF($R51="","",INDEX('_list'!$C$2:$C$292,$R51))</f>
        <v/>
      </c>
    </row>
    <row r="52" ht="16" customHeight="1">
      <c r="B52" s="112">
        <f>IF($R52="","",32)</f>
        <v/>
      </c>
      <c r="C52" s="113">
        <f>IF($R52="","",IF(INDEX('_list'!$D$2:$D$292,$R52)="","",INDEX('_list'!$D$2:$D$292,$R52)))</f>
        <v/>
      </c>
      <c r="D52" s="113">
        <f>IF($R52="","",IF(INDEX('_list'!$E$2:$E$292,$R52)="","",INDEX('_list'!$E$2:$E$292,$R52)))</f>
        <v/>
      </c>
      <c r="E52" s="113">
        <f>IF($R52="","",IF(INDEX('_list'!$F$2:$F$292,$R52)="","",INDEX('_list'!$F$2:$F$292,$R52)))</f>
        <v/>
      </c>
      <c r="F52" s="114">
        <f>IF($R52="","",IF(INDEX('_list'!$G$2:$G$292,$R52)="","",INDEX('_list'!$G$2:$G$292,$R52)))</f>
        <v/>
      </c>
      <c r="G52" s="115">
        <f>IF($S52="","",IF(INDEX('_pockets'!$AH:$AH,$S52)="","",INDEX('_pockets'!$AH:$AH,$S52)))</f>
        <v/>
      </c>
      <c r="H52" s="115">
        <f>IF($S52="","",IF(INDEX('_pockets'!$AF:$AF,$S52)="","",INDEX('_pockets'!$AF:$AF,$S52)))</f>
        <v/>
      </c>
      <c r="I52" s="116">
        <f>IF(IF($S52="","",IF(INDEX('_pockets'!$AB:$AB,$S52)="","",INDEX('_pockets'!$AB:$AB,$S52)))="","",IF($S52="","",IF(INDEX('_pockets'!$AB:$AB,$S52)="","",INDEX('_pockets'!$AB:$AB,$S52)))*IF($U$19,100,1))</f>
        <v/>
      </c>
      <c r="J52" s="114">
        <f>IF($S52="","",IF(INDEX('_pockets'!$Z:$Z,$S52)="","",INDEX('_pockets'!$Z:$Z,$S52)))</f>
        <v/>
      </c>
      <c r="K52" s="117">
        <f>IF($S52="","",IF(INDEX('_pockets'!$AO:$AO,$S52)="","",INDEX('_pockets'!$AO:$AO,$S52)))</f>
        <v/>
      </c>
      <c r="L52" s="118">
        <f>IF($S52="","",IF(INDEX('_pockets'!$AC:$AC,$S52)="","",INDEX('_pockets'!$AC:$AC,$S52)))</f>
        <v/>
      </c>
      <c r="M52" s="117">
        <f>IF($R52="","",IF(INDEX('_list'!$L$2:$L$292,$R52)="","",INDEX('_list'!$L$2:$L$292,$R52)))</f>
        <v/>
      </c>
      <c r="N52" s="116">
        <f>IF($R52="","",IF(INDEX('_list'!$H$2:$H$292,$R52)="","",INDEX('_list'!$H$2:$H$292,$R52)))</f>
        <v/>
      </c>
      <c r="O52" s="113">
        <f>IF($R52="","",IF(INDEX('_list'!$I$2:$I$292,$R52)="","",INDEX('_list'!$I$2:$I$292,$R52)))</f>
        <v/>
      </c>
      <c r="R52">
        <f>IFERROR(MATCH(32,'_list'!$N$2:$N$292,0),"")</f>
        <v/>
      </c>
      <c r="S52">
        <f>IF($R52="","",INDEX('_list'!$C$2:$C$292,$R52))</f>
        <v/>
      </c>
    </row>
    <row r="53" ht="16" customHeight="1">
      <c r="B53" s="112">
        <f>IF($R53="","",33)</f>
        <v/>
      </c>
      <c r="C53" s="113">
        <f>IF($R53="","",IF(INDEX('_list'!$D$2:$D$292,$R53)="","",INDEX('_list'!$D$2:$D$292,$R53)))</f>
        <v/>
      </c>
      <c r="D53" s="113">
        <f>IF($R53="","",IF(INDEX('_list'!$E$2:$E$292,$R53)="","",INDEX('_list'!$E$2:$E$292,$R53)))</f>
        <v/>
      </c>
      <c r="E53" s="113">
        <f>IF($R53="","",IF(INDEX('_list'!$F$2:$F$292,$R53)="","",INDEX('_list'!$F$2:$F$292,$R53)))</f>
        <v/>
      </c>
      <c r="F53" s="114">
        <f>IF($R53="","",IF(INDEX('_list'!$G$2:$G$292,$R53)="","",INDEX('_list'!$G$2:$G$292,$R53)))</f>
        <v/>
      </c>
      <c r="G53" s="115">
        <f>IF($S53="","",IF(INDEX('_pockets'!$AH:$AH,$S53)="","",INDEX('_pockets'!$AH:$AH,$S53)))</f>
        <v/>
      </c>
      <c r="H53" s="115">
        <f>IF($S53="","",IF(INDEX('_pockets'!$AF:$AF,$S53)="","",INDEX('_pockets'!$AF:$AF,$S53)))</f>
        <v/>
      </c>
      <c r="I53" s="116">
        <f>IF(IF($S53="","",IF(INDEX('_pockets'!$AB:$AB,$S53)="","",INDEX('_pockets'!$AB:$AB,$S53)))="","",IF($S53="","",IF(INDEX('_pockets'!$AB:$AB,$S53)="","",INDEX('_pockets'!$AB:$AB,$S53)))*IF($U$19,100,1))</f>
        <v/>
      </c>
      <c r="J53" s="114">
        <f>IF($S53="","",IF(INDEX('_pockets'!$Z:$Z,$S53)="","",INDEX('_pockets'!$Z:$Z,$S53)))</f>
        <v/>
      </c>
      <c r="K53" s="117">
        <f>IF($S53="","",IF(INDEX('_pockets'!$AO:$AO,$S53)="","",INDEX('_pockets'!$AO:$AO,$S53)))</f>
        <v/>
      </c>
      <c r="L53" s="118">
        <f>IF($S53="","",IF(INDEX('_pockets'!$AC:$AC,$S53)="","",INDEX('_pockets'!$AC:$AC,$S53)))</f>
        <v/>
      </c>
      <c r="M53" s="117">
        <f>IF($R53="","",IF(INDEX('_list'!$L$2:$L$292,$R53)="","",INDEX('_list'!$L$2:$L$292,$R53)))</f>
        <v/>
      </c>
      <c r="N53" s="116">
        <f>IF($R53="","",IF(INDEX('_list'!$H$2:$H$292,$R53)="","",INDEX('_list'!$H$2:$H$292,$R53)))</f>
        <v/>
      </c>
      <c r="O53" s="113">
        <f>IF($R53="","",IF(INDEX('_list'!$I$2:$I$292,$R53)="","",INDEX('_list'!$I$2:$I$292,$R53)))</f>
        <v/>
      </c>
      <c r="R53">
        <f>IFERROR(MATCH(33,'_list'!$N$2:$N$292,0),"")</f>
        <v/>
      </c>
      <c r="S53">
        <f>IF($R53="","",INDEX('_list'!$C$2:$C$292,$R53))</f>
        <v/>
      </c>
    </row>
    <row r="54" ht="16" customHeight="1">
      <c r="B54" s="112">
        <f>IF($R54="","",34)</f>
        <v/>
      </c>
      <c r="C54" s="113">
        <f>IF($R54="","",IF(INDEX('_list'!$D$2:$D$292,$R54)="","",INDEX('_list'!$D$2:$D$292,$R54)))</f>
        <v/>
      </c>
      <c r="D54" s="113">
        <f>IF($R54="","",IF(INDEX('_list'!$E$2:$E$292,$R54)="","",INDEX('_list'!$E$2:$E$292,$R54)))</f>
        <v/>
      </c>
      <c r="E54" s="113">
        <f>IF($R54="","",IF(INDEX('_list'!$F$2:$F$292,$R54)="","",INDEX('_list'!$F$2:$F$292,$R54)))</f>
        <v/>
      </c>
      <c r="F54" s="114">
        <f>IF($R54="","",IF(INDEX('_list'!$G$2:$G$292,$R54)="","",INDEX('_list'!$G$2:$G$292,$R54)))</f>
        <v/>
      </c>
      <c r="G54" s="115">
        <f>IF($S54="","",IF(INDEX('_pockets'!$AH:$AH,$S54)="","",INDEX('_pockets'!$AH:$AH,$S54)))</f>
        <v/>
      </c>
      <c r="H54" s="115">
        <f>IF($S54="","",IF(INDEX('_pockets'!$AF:$AF,$S54)="","",INDEX('_pockets'!$AF:$AF,$S54)))</f>
        <v/>
      </c>
      <c r="I54" s="116">
        <f>IF(IF($S54="","",IF(INDEX('_pockets'!$AB:$AB,$S54)="","",INDEX('_pockets'!$AB:$AB,$S54)))="","",IF($S54="","",IF(INDEX('_pockets'!$AB:$AB,$S54)="","",INDEX('_pockets'!$AB:$AB,$S54)))*IF($U$19,100,1))</f>
        <v/>
      </c>
      <c r="J54" s="114">
        <f>IF($S54="","",IF(INDEX('_pockets'!$Z:$Z,$S54)="","",INDEX('_pockets'!$Z:$Z,$S54)))</f>
        <v/>
      </c>
      <c r="K54" s="117">
        <f>IF($S54="","",IF(INDEX('_pockets'!$AO:$AO,$S54)="","",INDEX('_pockets'!$AO:$AO,$S54)))</f>
        <v/>
      </c>
      <c r="L54" s="118">
        <f>IF($S54="","",IF(INDEX('_pockets'!$AC:$AC,$S54)="","",INDEX('_pockets'!$AC:$AC,$S54)))</f>
        <v/>
      </c>
      <c r="M54" s="117">
        <f>IF($R54="","",IF(INDEX('_list'!$L$2:$L$292,$R54)="","",INDEX('_list'!$L$2:$L$292,$R54)))</f>
        <v/>
      </c>
      <c r="N54" s="116">
        <f>IF($R54="","",IF(INDEX('_list'!$H$2:$H$292,$R54)="","",INDEX('_list'!$H$2:$H$292,$R54)))</f>
        <v/>
      </c>
      <c r="O54" s="113">
        <f>IF($R54="","",IF(INDEX('_list'!$I$2:$I$292,$R54)="","",INDEX('_list'!$I$2:$I$292,$R54)))</f>
        <v/>
      </c>
      <c r="R54">
        <f>IFERROR(MATCH(34,'_list'!$N$2:$N$292,0),"")</f>
        <v/>
      </c>
      <c r="S54">
        <f>IF($R54="","",INDEX('_list'!$C$2:$C$292,$R54))</f>
        <v/>
      </c>
    </row>
    <row r="55" ht="16" customHeight="1">
      <c r="B55" s="112">
        <f>IF($R55="","",35)</f>
        <v/>
      </c>
      <c r="C55" s="113">
        <f>IF($R55="","",IF(INDEX('_list'!$D$2:$D$292,$R55)="","",INDEX('_list'!$D$2:$D$292,$R55)))</f>
        <v/>
      </c>
      <c r="D55" s="113">
        <f>IF($R55="","",IF(INDEX('_list'!$E$2:$E$292,$R55)="","",INDEX('_list'!$E$2:$E$292,$R55)))</f>
        <v/>
      </c>
      <c r="E55" s="113">
        <f>IF($R55="","",IF(INDEX('_list'!$F$2:$F$292,$R55)="","",INDEX('_list'!$F$2:$F$292,$R55)))</f>
        <v/>
      </c>
      <c r="F55" s="114">
        <f>IF($R55="","",IF(INDEX('_list'!$G$2:$G$292,$R55)="","",INDEX('_list'!$G$2:$G$292,$R55)))</f>
        <v/>
      </c>
      <c r="G55" s="115">
        <f>IF($S55="","",IF(INDEX('_pockets'!$AH:$AH,$S55)="","",INDEX('_pockets'!$AH:$AH,$S55)))</f>
        <v/>
      </c>
      <c r="H55" s="115">
        <f>IF($S55="","",IF(INDEX('_pockets'!$AF:$AF,$S55)="","",INDEX('_pockets'!$AF:$AF,$S55)))</f>
        <v/>
      </c>
      <c r="I55" s="116">
        <f>IF(IF($S55="","",IF(INDEX('_pockets'!$AB:$AB,$S55)="","",INDEX('_pockets'!$AB:$AB,$S55)))="","",IF($S55="","",IF(INDEX('_pockets'!$AB:$AB,$S55)="","",INDEX('_pockets'!$AB:$AB,$S55)))*IF($U$19,100,1))</f>
        <v/>
      </c>
      <c r="J55" s="114">
        <f>IF($S55="","",IF(INDEX('_pockets'!$Z:$Z,$S55)="","",INDEX('_pockets'!$Z:$Z,$S55)))</f>
        <v/>
      </c>
      <c r="K55" s="117">
        <f>IF($S55="","",IF(INDEX('_pockets'!$AO:$AO,$S55)="","",INDEX('_pockets'!$AO:$AO,$S55)))</f>
        <v/>
      </c>
      <c r="L55" s="118">
        <f>IF($S55="","",IF(INDEX('_pockets'!$AC:$AC,$S55)="","",INDEX('_pockets'!$AC:$AC,$S55)))</f>
        <v/>
      </c>
      <c r="M55" s="117">
        <f>IF($R55="","",IF(INDEX('_list'!$L$2:$L$292,$R55)="","",INDEX('_list'!$L$2:$L$292,$R55)))</f>
        <v/>
      </c>
      <c r="N55" s="116">
        <f>IF($R55="","",IF(INDEX('_list'!$H$2:$H$292,$R55)="","",INDEX('_list'!$H$2:$H$292,$R55)))</f>
        <v/>
      </c>
      <c r="O55" s="113">
        <f>IF($R55="","",IF(INDEX('_list'!$I$2:$I$292,$R55)="","",INDEX('_list'!$I$2:$I$292,$R55)))</f>
        <v/>
      </c>
      <c r="R55">
        <f>IFERROR(MATCH(35,'_list'!$N$2:$N$292,0),"")</f>
        <v/>
      </c>
      <c r="S55">
        <f>IF($R55="","",INDEX('_list'!$C$2:$C$292,$R55))</f>
        <v/>
      </c>
    </row>
    <row r="56" ht="16" customHeight="1">
      <c r="B56" s="112">
        <f>IF($R56="","",36)</f>
        <v/>
      </c>
      <c r="C56" s="113">
        <f>IF($R56="","",IF(INDEX('_list'!$D$2:$D$292,$R56)="","",INDEX('_list'!$D$2:$D$292,$R56)))</f>
        <v/>
      </c>
      <c r="D56" s="113">
        <f>IF($R56="","",IF(INDEX('_list'!$E$2:$E$292,$R56)="","",INDEX('_list'!$E$2:$E$292,$R56)))</f>
        <v/>
      </c>
      <c r="E56" s="113">
        <f>IF($R56="","",IF(INDEX('_list'!$F$2:$F$292,$R56)="","",INDEX('_list'!$F$2:$F$292,$R56)))</f>
        <v/>
      </c>
      <c r="F56" s="114">
        <f>IF($R56="","",IF(INDEX('_list'!$G$2:$G$292,$R56)="","",INDEX('_list'!$G$2:$G$292,$R56)))</f>
        <v/>
      </c>
      <c r="G56" s="115">
        <f>IF($S56="","",IF(INDEX('_pockets'!$AH:$AH,$S56)="","",INDEX('_pockets'!$AH:$AH,$S56)))</f>
        <v/>
      </c>
      <c r="H56" s="115">
        <f>IF($S56="","",IF(INDEX('_pockets'!$AF:$AF,$S56)="","",INDEX('_pockets'!$AF:$AF,$S56)))</f>
        <v/>
      </c>
      <c r="I56" s="116">
        <f>IF(IF($S56="","",IF(INDEX('_pockets'!$AB:$AB,$S56)="","",INDEX('_pockets'!$AB:$AB,$S56)))="","",IF($S56="","",IF(INDEX('_pockets'!$AB:$AB,$S56)="","",INDEX('_pockets'!$AB:$AB,$S56)))*IF($U$19,100,1))</f>
        <v/>
      </c>
      <c r="J56" s="114">
        <f>IF($S56="","",IF(INDEX('_pockets'!$Z:$Z,$S56)="","",INDEX('_pockets'!$Z:$Z,$S56)))</f>
        <v/>
      </c>
      <c r="K56" s="117">
        <f>IF($S56="","",IF(INDEX('_pockets'!$AO:$AO,$S56)="","",INDEX('_pockets'!$AO:$AO,$S56)))</f>
        <v/>
      </c>
      <c r="L56" s="118">
        <f>IF($S56="","",IF(INDEX('_pockets'!$AC:$AC,$S56)="","",INDEX('_pockets'!$AC:$AC,$S56)))</f>
        <v/>
      </c>
      <c r="M56" s="117">
        <f>IF($R56="","",IF(INDEX('_list'!$L$2:$L$292,$R56)="","",INDEX('_list'!$L$2:$L$292,$R56)))</f>
        <v/>
      </c>
      <c r="N56" s="116">
        <f>IF($R56="","",IF(INDEX('_list'!$H$2:$H$292,$R56)="","",INDEX('_list'!$H$2:$H$292,$R56)))</f>
        <v/>
      </c>
      <c r="O56" s="113">
        <f>IF($R56="","",IF(INDEX('_list'!$I$2:$I$292,$R56)="","",INDEX('_list'!$I$2:$I$292,$R56)))</f>
        <v/>
      </c>
      <c r="R56">
        <f>IFERROR(MATCH(36,'_list'!$N$2:$N$292,0),"")</f>
        <v/>
      </c>
      <c r="S56">
        <f>IF($R56="","",INDEX('_list'!$C$2:$C$292,$R56))</f>
        <v/>
      </c>
    </row>
    <row r="57" ht="16" customHeight="1">
      <c r="B57" s="112">
        <f>IF($R57="","",37)</f>
        <v/>
      </c>
      <c r="C57" s="113">
        <f>IF($R57="","",IF(INDEX('_list'!$D$2:$D$292,$R57)="","",INDEX('_list'!$D$2:$D$292,$R57)))</f>
        <v/>
      </c>
      <c r="D57" s="113">
        <f>IF($R57="","",IF(INDEX('_list'!$E$2:$E$292,$R57)="","",INDEX('_list'!$E$2:$E$292,$R57)))</f>
        <v/>
      </c>
      <c r="E57" s="113">
        <f>IF($R57="","",IF(INDEX('_list'!$F$2:$F$292,$R57)="","",INDEX('_list'!$F$2:$F$292,$R57)))</f>
        <v/>
      </c>
      <c r="F57" s="114">
        <f>IF($R57="","",IF(INDEX('_list'!$G$2:$G$292,$R57)="","",INDEX('_list'!$G$2:$G$292,$R57)))</f>
        <v/>
      </c>
      <c r="G57" s="115">
        <f>IF($S57="","",IF(INDEX('_pockets'!$AH:$AH,$S57)="","",INDEX('_pockets'!$AH:$AH,$S57)))</f>
        <v/>
      </c>
      <c r="H57" s="115">
        <f>IF($S57="","",IF(INDEX('_pockets'!$AF:$AF,$S57)="","",INDEX('_pockets'!$AF:$AF,$S57)))</f>
        <v/>
      </c>
      <c r="I57" s="116">
        <f>IF(IF($S57="","",IF(INDEX('_pockets'!$AB:$AB,$S57)="","",INDEX('_pockets'!$AB:$AB,$S57)))="","",IF($S57="","",IF(INDEX('_pockets'!$AB:$AB,$S57)="","",INDEX('_pockets'!$AB:$AB,$S57)))*IF($U$19,100,1))</f>
        <v/>
      </c>
      <c r="J57" s="114">
        <f>IF($S57="","",IF(INDEX('_pockets'!$Z:$Z,$S57)="","",INDEX('_pockets'!$Z:$Z,$S57)))</f>
        <v/>
      </c>
      <c r="K57" s="117">
        <f>IF($S57="","",IF(INDEX('_pockets'!$AO:$AO,$S57)="","",INDEX('_pockets'!$AO:$AO,$S57)))</f>
        <v/>
      </c>
      <c r="L57" s="118">
        <f>IF($S57="","",IF(INDEX('_pockets'!$AC:$AC,$S57)="","",INDEX('_pockets'!$AC:$AC,$S57)))</f>
        <v/>
      </c>
      <c r="M57" s="117">
        <f>IF($R57="","",IF(INDEX('_list'!$L$2:$L$292,$R57)="","",INDEX('_list'!$L$2:$L$292,$R57)))</f>
        <v/>
      </c>
      <c r="N57" s="116">
        <f>IF($R57="","",IF(INDEX('_list'!$H$2:$H$292,$R57)="","",INDEX('_list'!$H$2:$H$292,$R57)))</f>
        <v/>
      </c>
      <c r="O57" s="113">
        <f>IF($R57="","",IF(INDEX('_list'!$I$2:$I$292,$R57)="","",INDEX('_list'!$I$2:$I$292,$R57)))</f>
        <v/>
      </c>
      <c r="R57">
        <f>IFERROR(MATCH(37,'_list'!$N$2:$N$292,0),"")</f>
        <v/>
      </c>
      <c r="S57">
        <f>IF($R57="","",INDEX('_list'!$C$2:$C$292,$R57))</f>
        <v/>
      </c>
    </row>
    <row r="58" ht="16" customHeight="1">
      <c r="B58" s="112">
        <f>IF($R58="","",38)</f>
        <v/>
      </c>
      <c r="C58" s="113">
        <f>IF($R58="","",IF(INDEX('_list'!$D$2:$D$292,$R58)="","",INDEX('_list'!$D$2:$D$292,$R58)))</f>
        <v/>
      </c>
      <c r="D58" s="113">
        <f>IF($R58="","",IF(INDEX('_list'!$E$2:$E$292,$R58)="","",INDEX('_list'!$E$2:$E$292,$R58)))</f>
        <v/>
      </c>
      <c r="E58" s="113">
        <f>IF($R58="","",IF(INDEX('_list'!$F$2:$F$292,$R58)="","",INDEX('_list'!$F$2:$F$292,$R58)))</f>
        <v/>
      </c>
      <c r="F58" s="114">
        <f>IF($R58="","",IF(INDEX('_list'!$G$2:$G$292,$R58)="","",INDEX('_list'!$G$2:$G$292,$R58)))</f>
        <v/>
      </c>
      <c r="G58" s="115">
        <f>IF($S58="","",IF(INDEX('_pockets'!$AH:$AH,$S58)="","",INDEX('_pockets'!$AH:$AH,$S58)))</f>
        <v/>
      </c>
      <c r="H58" s="115">
        <f>IF($S58="","",IF(INDEX('_pockets'!$AF:$AF,$S58)="","",INDEX('_pockets'!$AF:$AF,$S58)))</f>
        <v/>
      </c>
      <c r="I58" s="116">
        <f>IF(IF($S58="","",IF(INDEX('_pockets'!$AB:$AB,$S58)="","",INDEX('_pockets'!$AB:$AB,$S58)))="","",IF($S58="","",IF(INDEX('_pockets'!$AB:$AB,$S58)="","",INDEX('_pockets'!$AB:$AB,$S58)))*IF($U$19,100,1))</f>
        <v/>
      </c>
      <c r="J58" s="114">
        <f>IF($S58="","",IF(INDEX('_pockets'!$Z:$Z,$S58)="","",INDEX('_pockets'!$Z:$Z,$S58)))</f>
        <v/>
      </c>
      <c r="K58" s="117">
        <f>IF($S58="","",IF(INDEX('_pockets'!$AO:$AO,$S58)="","",INDEX('_pockets'!$AO:$AO,$S58)))</f>
        <v/>
      </c>
      <c r="L58" s="118">
        <f>IF($S58="","",IF(INDEX('_pockets'!$AC:$AC,$S58)="","",INDEX('_pockets'!$AC:$AC,$S58)))</f>
        <v/>
      </c>
      <c r="M58" s="117">
        <f>IF($R58="","",IF(INDEX('_list'!$L$2:$L$292,$R58)="","",INDEX('_list'!$L$2:$L$292,$R58)))</f>
        <v/>
      </c>
      <c r="N58" s="116">
        <f>IF($R58="","",IF(INDEX('_list'!$H$2:$H$292,$R58)="","",INDEX('_list'!$H$2:$H$292,$R58)))</f>
        <v/>
      </c>
      <c r="O58" s="113">
        <f>IF($R58="","",IF(INDEX('_list'!$I$2:$I$292,$R58)="","",INDEX('_list'!$I$2:$I$292,$R58)))</f>
        <v/>
      </c>
      <c r="R58">
        <f>IFERROR(MATCH(38,'_list'!$N$2:$N$292,0),"")</f>
        <v/>
      </c>
      <c r="S58">
        <f>IF($R58="","",INDEX('_list'!$C$2:$C$292,$R58))</f>
        <v/>
      </c>
    </row>
    <row r="59" ht="16" customHeight="1">
      <c r="B59" s="112">
        <f>IF($R59="","",39)</f>
        <v/>
      </c>
      <c r="C59" s="113">
        <f>IF($R59="","",IF(INDEX('_list'!$D$2:$D$292,$R59)="","",INDEX('_list'!$D$2:$D$292,$R59)))</f>
        <v/>
      </c>
      <c r="D59" s="113">
        <f>IF($R59="","",IF(INDEX('_list'!$E$2:$E$292,$R59)="","",INDEX('_list'!$E$2:$E$292,$R59)))</f>
        <v/>
      </c>
      <c r="E59" s="113">
        <f>IF($R59="","",IF(INDEX('_list'!$F$2:$F$292,$R59)="","",INDEX('_list'!$F$2:$F$292,$R59)))</f>
        <v/>
      </c>
      <c r="F59" s="114">
        <f>IF($R59="","",IF(INDEX('_list'!$G$2:$G$292,$R59)="","",INDEX('_list'!$G$2:$G$292,$R59)))</f>
        <v/>
      </c>
      <c r="G59" s="115">
        <f>IF($S59="","",IF(INDEX('_pockets'!$AH:$AH,$S59)="","",INDEX('_pockets'!$AH:$AH,$S59)))</f>
        <v/>
      </c>
      <c r="H59" s="115">
        <f>IF($S59="","",IF(INDEX('_pockets'!$AF:$AF,$S59)="","",INDEX('_pockets'!$AF:$AF,$S59)))</f>
        <v/>
      </c>
      <c r="I59" s="116">
        <f>IF(IF($S59="","",IF(INDEX('_pockets'!$AB:$AB,$S59)="","",INDEX('_pockets'!$AB:$AB,$S59)))="","",IF($S59="","",IF(INDEX('_pockets'!$AB:$AB,$S59)="","",INDEX('_pockets'!$AB:$AB,$S59)))*IF($U$19,100,1))</f>
        <v/>
      </c>
      <c r="J59" s="114">
        <f>IF($S59="","",IF(INDEX('_pockets'!$Z:$Z,$S59)="","",INDEX('_pockets'!$Z:$Z,$S59)))</f>
        <v/>
      </c>
      <c r="K59" s="117">
        <f>IF($S59="","",IF(INDEX('_pockets'!$AO:$AO,$S59)="","",INDEX('_pockets'!$AO:$AO,$S59)))</f>
        <v/>
      </c>
      <c r="L59" s="118">
        <f>IF($S59="","",IF(INDEX('_pockets'!$AC:$AC,$S59)="","",INDEX('_pockets'!$AC:$AC,$S59)))</f>
        <v/>
      </c>
      <c r="M59" s="117">
        <f>IF($R59="","",IF(INDEX('_list'!$L$2:$L$292,$R59)="","",INDEX('_list'!$L$2:$L$292,$R59)))</f>
        <v/>
      </c>
      <c r="N59" s="116">
        <f>IF($R59="","",IF(INDEX('_list'!$H$2:$H$292,$R59)="","",INDEX('_list'!$H$2:$H$292,$R59)))</f>
        <v/>
      </c>
      <c r="O59" s="113">
        <f>IF($R59="","",IF(INDEX('_list'!$I$2:$I$292,$R59)="","",INDEX('_list'!$I$2:$I$292,$R59)))</f>
        <v/>
      </c>
      <c r="R59">
        <f>IFERROR(MATCH(39,'_list'!$N$2:$N$292,0),"")</f>
        <v/>
      </c>
      <c r="S59">
        <f>IF($R59="","",INDEX('_list'!$C$2:$C$292,$R59))</f>
        <v/>
      </c>
    </row>
    <row r="60" ht="16" customHeight="1">
      <c r="B60" s="112">
        <f>IF($R60="","",40)</f>
        <v/>
      </c>
      <c r="C60" s="113">
        <f>IF($R60="","",IF(INDEX('_list'!$D$2:$D$292,$R60)="","",INDEX('_list'!$D$2:$D$292,$R60)))</f>
        <v/>
      </c>
      <c r="D60" s="113">
        <f>IF($R60="","",IF(INDEX('_list'!$E$2:$E$292,$R60)="","",INDEX('_list'!$E$2:$E$292,$R60)))</f>
        <v/>
      </c>
      <c r="E60" s="113">
        <f>IF($R60="","",IF(INDEX('_list'!$F$2:$F$292,$R60)="","",INDEX('_list'!$F$2:$F$292,$R60)))</f>
        <v/>
      </c>
      <c r="F60" s="114">
        <f>IF($R60="","",IF(INDEX('_list'!$G$2:$G$292,$R60)="","",INDEX('_list'!$G$2:$G$292,$R60)))</f>
        <v/>
      </c>
      <c r="G60" s="115">
        <f>IF($S60="","",IF(INDEX('_pockets'!$AH:$AH,$S60)="","",INDEX('_pockets'!$AH:$AH,$S60)))</f>
        <v/>
      </c>
      <c r="H60" s="115">
        <f>IF($S60="","",IF(INDEX('_pockets'!$AF:$AF,$S60)="","",INDEX('_pockets'!$AF:$AF,$S60)))</f>
        <v/>
      </c>
      <c r="I60" s="116">
        <f>IF(IF($S60="","",IF(INDEX('_pockets'!$AB:$AB,$S60)="","",INDEX('_pockets'!$AB:$AB,$S60)))="","",IF($S60="","",IF(INDEX('_pockets'!$AB:$AB,$S60)="","",INDEX('_pockets'!$AB:$AB,$S60)))*IF($U$19,100,1))</f>
        <v/>
      </c>
      <c r="J60" s="114">
        <f>IF($S60="","",IF(INDEX('_pockets'!$Z:$Z,$S60)="","",INDEX('_pockets'!$Z:$Z,$S60)))</f>
        <v/>
      </c>
      <c r="K60" s="117">
        <f>IF($S60="","",IF(INDEX('_pockets'!$AO:$AO,$S60)="","",INDEX('_pockets'!$AO:$AO,$S60)))</f>
        <v/>
      </c>
      <c r="L60" s="118">
        <f>IF($S60="","",IF(INDEX('_pockets'!$AC:$AC,$S60)="","",INDEX('_pockets'!$AC:$AC,$S60)))</f>
        <v/>
      </c>
      <c r="M60" s="117">
        <f>IF($R60="","",IF(INDEX('_list'!$L$2:$L$292,$R60)="","",INDEX('_list'!$L$2:$L$292,$R60)))</f>
        <v/>
      </c>
      <c r="N60" s="116">
        <f>IF($R60="","",IF(INDEX('_list'!$H$2:$H$292,$R60)="","",INDEX('_list'!$H$2:$H$292,$R60)))</f>
        <v/>
      </c>
      <c r="O60" s="113">
        <f>IF($R60="","",IF(INDEX('_list'!$I$2:$I$292,$R60)="","",INDEX('_list'!$I$2:$I$292,$R60)))</f>
        <v/>
      </c>
      <c r="R60">
        <f>IFERROR(MATCH(40,'_list'!$N$2:$N$292,0),"")</f>
        <v/>
      </c>
      <c r="S60">
        <f>IF($R60="","",INDEX('_list'!$C$2:$C$292,$R60))</f>
        <v/>
      </c>
    </row>
    <row r="61" ht="16" customHeight="1">
      <c r="B61" s="112">
        <f>IF($R61="","",41)</f>
        <v/>
      </c>
      <c r="C61" s="113">
        <f>IF($R61="","",IF(INDEX('_list'!$D$2:$D$292,$R61)="","",INDEX('_list'!$D$2:$D$292,$R61)))</f>
        <v/>
      </c>
      <c r="D61" s="113">
        <f>IF($R61="","",IF(INDEX('_list'!$E$2:$E$292,$R61)="","",INDEX('_list'!$E$2:$E$292,$R61)))</f>
        <v/>
      </c>
      <c r="E61" s="113">
        <f>IF($R61="","",IF(INDEX('_list'!$F$2:$F$292,$R61)="","",INDEX('_list'!$F$2:$F$292,$R61)))</f>
        <v/>
      </c>
      <c r="F61" s="114">
        <f>IF($R61="","",IF(INDEX('_list'!$G$2:$G$292,$R61)="","",INDEX('_list'!$G$2:$G$292,$R61)))</f>
        <v/>
      </c>
      <c r="G61" s="115">
        <f>IF($S61="","",IF(INDEX('_pockets'!$AH:$AH,$S61)="","",INDEX('_pockets'!$AH:$AH,$S61)))</f>
        <v/>
      </c>
      <c r="H61" s="115">
        <f>IF($S61="","",IF(INDEX('_pockets'!$AF:$AF,$S61)="","",INDEX('_pockets'!$AF:$AF,$S61)))</f>
        <v/>
      </c>
      <c r="I61" s="116">
        <f>IF(IF($S61="","",IF(INDEX('_pockets'!$AB:$AB,$S61)="","",INDEX('_pockets'!$AB:$AB,$S61)))="","",IF($S61="","",IF(INDEX('_pockets'!$AB:$AB,$S61)="","",INDEX('_pockets'!$AB:$AB,$S61)))*IF($U$19,100,1))</f>
        <v/>
      </c>
      <c r="J61" s="114">
        <f>IF($S61="","",IF(INDEX('_pockets'!$Z:$Z,$S61)="","",INDEX('_pockets'!$Z:$Z,$S61)))</f>
        <v/>
      </c>
      <c r="K61" s="117">
        <f>IF($S61="","",IF(INDEX('_pockets'!$AO:$AO,$S61)="","",INDEX('_pockets'!$AO:$AO,$S61)))</f>
        <v/>
      </c>
      <c r="L61" s="118">
        <f>IF($S61="","",IF(INDEX('_pockets'!$AC:$AC,$S61)="","",INDEX('_pockets'!$AC:$AC,$S61)))</f>
        <v/>
      </c>
      <c r="M61" s="117">
        <f>IF($R61="","",IF(INDEX('_list'!$L$2:$L$292,$R61)="","",INDEX('_list'!$L$2:$L$292,$R61)))</f>
        <v/>
      </c>
      <c r="N61" s="116">
        <f>IF($R61="","",IF(INDEX('_list'!$H$2:$H$292,$R61)="","",INDEX('_list'!$H$2:$H$292,$R61)))</f>
        <v/>
      </c>
      <c r="O61" s="113">
        <f>IF($R61="","",IF(INDEX('_list'!$I$2:$I$292,$R61)="","",INDEX('_list'!$I$2:$I$292,$R61)))</f>
        <v/>
      </c>
      <c r="R61">
        <f>IFERROR(MATCH(41,'_list'!$N$2:$N$292,0),"")</f>
        <v/>
      </c>
      <c r="S61">
        <f>IF($R61="","",INDEX('_list'!$C$2:$C$292,$R61))</f>
        <v/>
      </c>
    </row>
    <row r="62" ht="16" customHeight="1">
      <c r="B62" s="112">
        <f>IF($R62="","",42)</f>
        <v/>
      </c>
      <c r="C62" s="113">
        <f>IF($R62="","",IF(INDEX('_list'!$D$2:$D$292,$R62)="","",INDEX('_list'!$D$2:$D$292,$R62)))</f>
        <v/>
      </c>
      <c r="D62" s="113">
        <f>IF($R62="","",IF(INDEX('_list'!$E$2:$E$292,$R62)="","",INDEX('_list'!$E$2:$E$292,$R62)))</f>
        <v/>
      </c>
      <c r="E62" s="113">
        <f>IF($R62="","",IF(INDEX('_list'!$F$2:$F$292,$R62)="","",INDEX('_list'!$F$2:$F$292,$R62)))</f>
        <v/>
      </c>
      <c r="F62" s="114">
        <f>IF($R62="","",IF(INDEX('_list'!$G$2:$G$292,$R62)="","",INDEX('_list'!$G$2:$G$292,$R62)))</f>
        <v/>
      </c>
      <c r="G62" s="115">
        <f>IF($S62="","",IF(INDEX('_pockets'!$AH:$AH,$S62)="","",INDEX('_pockets'!$AH:$AH,$S62)))</f>
        <v/>
      </c>
      <c r="H62" s="115">
        <f>IF($S62="","",IF(INDEX('_pockets'!$AF:$AF,$S62)="","",INDEX('_pockets'!$AF:$AF,$S62)))</f>
        <v/>
      </c>
      <c r="I62" s="116">
        <f>IF(IF($S62="","",IF(INDEX('_pockets'!$AB:$AB,$S62)="","",INDEX('_pockets'!$AB:$AB,$S62)))="","",IF($S62="","",IF(INDEX('_pockets'!$AB:$AB,$S62)="","",INDEX('_pockets'!$AB:$AB,$S62)))*IF($U$19,100,1))</f>
        <v/>
      </c>
      <c r="J62" s="114">
        <f>IF($S62="","",IF(INDEX('_pockets'!$Z:$Z,$S62)="","",INDEX('_pockets'!$Z:$Z,$S62)))</f>
        <v/>
      </c>
      <c r="K62" s="117">
        <f>IF($S62="","",IF(INDEX('_pockets'!$AO:$AO,$S62)="","",INDEX('_pockets'!$AO:$AO,$S62)))</f>
        <v/>
      </c>
      <c r="L62" s="118">
        <f>IF($S62="","",IF(INDEX('_pockets'!$AC:$AC,$S62)="","",INDEX('_pockets'!$AC:$AC,$S62)))</f>
        <v/>
      </c>
      <c r="M62" s="117">
        <f>IF($R62="","",IF(INDEX('_list'!$L$2:$L$292,$R62)="","",INDEX('_list'!$L$2:$L$292,$R62)))</f>
        <v/>
      </c>
      <c r="N62" s="116">
        <f>IF($R62="","",IF(INDEX('_list'!$H$2:$H$292,$R62)="","",INDEX('_list'!$H$2:$H$292,$R62)))</f>
        <v/>
      </c>
      <c r="O62" s="113">
        <f>IF($R62="","",IF(INDEX('_list'!$I$2:$I$292,$R62)="","",INDEX('_list'!$I$2:$I$292,$R62)))</f>
        <v/>
      </c>
      <c r="R62">
        <f>IFERROR(MATCH(42,'_list'!$N$2:$N$292,0),"")</f>
        <v/>
      </c>
      <c r="S62">
        <f>IF($R62="","",INDEX('_list'!$C$2:$C$292,$R62))</f>
        <v/>
      </c>
    </row>
    <row r="63" ht="16" customHeight="1">
      <c r="B63" s="112">
        <f>IF($R63="","",43)</f>
        <v/>
      </c>
      <c r="C63" s="113">
        <f>IF($R63="","",IF(INDEX('_list'!$D$2:$D$292,$R63)="","",INDEX('_list'!$D$2:$D$292,$R63)))</f>
        <v/>
      </c>
      <c r="D63" s="113">
        <f>IF($R63="","",IF(INDEX('_list'!$E$2:$E$292,$R63)="","",INDEX('_list'!$E$2:$E$292,$R63)))</f>
        <v/>
      </c>
      <c r="E63" s="113">
        <f>IF($R63="","",IF(INDEX('_list'!$F$2:$F$292,$R63)="","",INDEX('_list'!$F$2:$F$292,$R63)))</f>
        <v/>
      </c>
      <c r="F63" s="114">
        <f>IF($R63="","",IF(INDEX('_list'!$G$2:$G$292,$R63)="","",INDEX('_list'!$G$2:$G$292,$R63)))</f>
        <v/>
      </c>
      <c r="G63" s="115">
        <f>IF($S63="","",IF(INDEX('_pockets'!$AH:$AH,$S63)="","",INDEX('_pockets'!$AH:$AH,$S63)))</f>
        <v/>
      </c>
      <c r="H63" s="115">
        <f>IF($S63="","",IF(INDEX('_pockets'!$AF:$AF,$S63)="","",INDEX('_pockets'!$AF:$AF,$S63)))</f>
        <v/>
      </c>
      <c r="I63" s="116">
        <f>IF(IF($S63="","",IF(INDEX('_pockets'!$AB:$AB,$S63)="","",INDEX('_pockets'!$AB:$AB,$S63)))="","",IF($S63="","",IF(INDEX('_pockets'!$AB:$AB,$S63)="","",INDEX('_pockets'!$AB:$AB,$S63)))*IF($U$19,100,1))</f>
        <v/>
      </c>
      <c r="J63" s="114">
        <f>IF($S63="","",IF(INDEX('_pockets'!$Z:$Z,$S63)="","",INDEX('_pockets'!$Z:$Z,$S63)))</f>
        <v/>
      </c>
      <c r="K63" s="117">
        <f>IF($S63="","",IF(INDEX('_pockets'!$AO:$AO,$S63)="","",INDEX('_pockets'!$AO:$AO,$S63)))</f>
        <v/>
      </c>
      <c r="L63" s="118">
        <f>IF($S63="","",IF(INDEX('_pockets'!$AC:$AC,$S63)="","",INDEX('_pockets'!$AC:$AC,$S63)))</f>
        <v/>
      </c>
      <c r="M63" s="117">
        <f>IF($R63="","",IF(INDEX('_list'!$L$2:$L$292,$R63)="","",INDEX('_list'!$L$2:$L$292,$R63)))</f>
        <v/>
      </c>
      <c r="N63" s="116">
        <f>IF($R63="","",IF(INDEX('_list'!$H$2:$H$292,$R63)="","",INDEX('_list'!$H$2:$H$292,$R63)))</f>
        <v/>
      </c>
      <c r="O63" s="113">
        <f>IF($R63="","",IF(INDEX('_list'!$I$2:$I$292,$R63)="","",INDEX('_list'!$I$2:$I$292,$R63)))</f>
        <v/>
      </c>
      <c r="R63">
        <f>IFERROR(MATCH(43,'_list'!$N$2:$N$292,0),"")</f>
        <v/>
      </c>
      <c r="S63">
        <f>IF($R63="","",INDEX('_list'!$C$2:$C$292,$R63))</f>
        <v/>
      </c>
    </row>
    <row r="64" ht="16" customHeight="1">
      <c r="B64" s="112">
        <f>IF($R64="","",44)</f>
        <v/>
      </c>
      <c r="C64" s="113">
        <f>IF($R64="","",IF(INDEX('_list'!$D$2:$D$292,$R64)="","",INDEX('_list'!$D$2:$D$292,$R64)))</f>
        <v/>
      </c>
      <c r="D64" s="113">
        <f>IF($R64="","",IF(INDEX('_list'!$E$2:$E$292,$R64)="","",INDEX('_list'!$E$2:$E$292,$R64)))</f>
        <v/>
      </c>
      <c r="E64" s="113">
        <f>IF($R64="","",IF(INDEX('_list'!$F$2:$F$292,$R64)="","",INDEX('_list'!$F$2:$F$292,$R64)))</f>
        <v/>
      </c>
      <c r="F64" s="114">
        <f>IF($R64="","",IF(INDEX('_list'!$G$2:$G$292,$R64)="","",INDEX('_list'!$G$2:$G$292,$R64)))</f>
        <v/>
      </c>
      <c r="G64" s="115">
        <f>IF($S64="","",IF(INDEX('_pockets'!$AH:$AH,$S64)="","",INDEX('_pockets'!$AH:$AH,$S64)))</f>
        <v/>
      </c>
      <c r="H64" s="115">
        <f>IF($S64="","",IF(INDEX('_pockets'!$AF:$AF,$S64)="","",INDEX('_pockets'!$AF:$AF,$S64)))</f>
        <v/>
      </c>
      <c r="I64" s="116">
        <f>IF(IF($S64="","",IF(INDEX('_pockets'!$AB:$AB,$S64)="","",INDEX('_pockets'!$AB:$AB,$S64)))="","",IF($S64="","",IF(INDEX('_pockets'!$AB:$AB,$S64)="","",INDEX('_pockets'!$AB:$AB,$S64)))*IF($U$19,100,1))</f>
        <v/>
      </c>
      <c r="J64" s="114">
        <f>IF($S64="","",IF(INDEX('_pockets'!$Z:$Z,$S64)="","",INDEX('_pockets'!$Z:$Z,$S64)))</f>
        <v/>
      </c>
      <c r="K64" s="117">
        <f>IF($S64="","",IF(INDEX('_pockets'!$AO:$AO,$S64)="","",INDEX('_pockets'!$AO:$AO,$S64)))</f>
        <v/>
      </c>
      <c r="L64" s="118">
        <f>IF($S64="","",IF(INDEX('_pockets'!$AC:$AC,$S64)="","",INDEX('_pockets'!$AC:$AC,$S64)))</f>
        <v/>
      </c>
      <c r="M64" s="117">
        <f>IF($R64="","",IF(INDEX('_list'!$L$2:$L$292,$R64)="","",INDEX('_list'!$L$2:$L$292,$R64)))</f>
        <v/>
      </c>
      <c r="N64" s="116">
        <f>IF($R64="","",IF(INDEX('_list'!$H$2:$H$292,$R64)="","",INDEX('_list'!$H$2:$H$292,$R64)))</f>
        <v/>
      </c>
      <c r="O64" s="113">
        <f>IF($R64="","",IF(INDEX('_list'!$I$2:$I$292,$R64)="","",INDEX('_list'!$I$2:$I$292,$R64)))</f>
        <v/>
      </c>
      <c r="R64">
        <f>IFERROR(MATCH(44,'_list'!$N$2:$N$292,0),"")</f>
        <v/>
      </c>
      <c r="S64">
        <f>IF($R64="","",INDEX('_list'!$C$2:$C$292,$R64))</f>
        <v/>
      </c>
    </row>
    <row r="65" ht="16" customHeight="1">
      <c r="B65" s="112">
        <f>IF($R65="","",45)</f>
        <v/>
      </c>
      <c r="C65" s="113">
        <f>IF($R65="","",IF(INDEX('_list'!$D$2:$D$292,$R65)="","",INDEX('_list'!$D$2:$D$292,$R65)))</f>
        <v/>
      </c>
      <c r="D65" s="113">
        <f>IF($R65="","",IF(INDEX('_list'!$E$2:$E$292,$R65)="","",INDEX('_list'!$E$2:$E$292,$R65)))</f>
        <v/>
      </c>
      <c r="E65" s="113">
        <f>IF($R65="","",IF(INDEX('_list'!$F$2:$F$292,$R65)="","",INDEX('_list'!$F$2:$F$292,$R65)))</f>
        <v/>
      </c>
      <c r="F65" s="114">
        <f>IF($R65="","",IF(INDEX('_list'!$G$2:$G$292,$R65)="","",INDEX('_list'!$G$2:$G$292,$R65)))</f>
        <v/>
      </c>
      <c r="G65" s="115">
        <f>IF($S65="","",IF(INDEX('_pockets'!$AH:$AH,$S65)="","",INDEX('_pockets'!$AH:$AH,$S65)))</f>
        <v/>
      </c>
      <c r="H65" s="115">
        <f>IF($S65="","",IF(INDEX('_pockets'!$AF:$AF,$S65)="","",INDEX('_pockets'!$AF:$AF,$S65)))</f>
        <v/>
      </c>
      <c r="I65" s="116">
        <f>IF(IF($S65="","",IF(INDEX('_pockets'!$AB:$AB,$S65)="","",INDEX('_pockets'!$AB:$AB,$S65)))="","",IF($S65="","",IF(INDEX('_pockets'!$AB:$AB,$S65)="","",INDEX('_pockets'!$AB:$AB,$S65)))*IF($U$19,100,1))</f>
        <v/>
      </c>
      <c r="J65" s="114">
        <f>IF($S65="","",IF(INDEX('_pockets'!$Z:$Z,$S65)="","",INDEX('_pockets'!$Z:$Z,$S65)))</f>
        <v/>
      </c>
      <c r="K65" s="117">
        <f>IF($S65="","",IF(INDEX('_pockets'!$AO:$AO,$S65)="","",INDEX('_pockets'!$AO:$AO,$S65)))</f>
        <v/>
      </c>
      <c r="L65" s="118">
        <f>IF($S65="","",IF(INDEX('_pockets'!$AC:$AC,$S65)="","",INDEX('_pockets'!$AC:$AC,$S65)))</f>
        <v/>
      </c>
      <c r="M65" s="117">
        <f>IF($R65="","",IF(INDEX('_list'!$L$2:$L$292,$R65)="","",INDEX('_list'!$L$2:$L$292,$R65)))</f>
        <v/>
      </c>
      <c r="N65" s="116">
        <f>IF($R65="","",IF(INDEX('_list'!$H$2:$H$292,$R65)="","",INDEX('_list'!$H$2:$H$292,$R65)))</f>
        <v/>
      </c>
      <c r="O65" s="113">
        <f>IF($R65="","",IF(INDEX('_list'!$I$2:$I$292,$R65)="","",INDEX('_list'!$I$2:$I$292,$R65)))</f>
        <v/>
      </c>
      <c r="R65">
        <f>IFERROR(MATCH(45,'_list'!$N$2:$N$292,0),"")</f>
        <v/>
      </c>
      <c r="S65">
        <f>IF($R65="","",INDEX('_list'!$C$2:$C$292,$R65))</f>
        <v/>
      </c>
    </row>
  </sheetData>
  <mergeCells count="16">
    <mergeCell ref="D10:O10"/>
    <mergeCell ref="F15:G15"/>
    <mergeCell ref="D11:O11"/>
    <mergeCell ref="K14:O14"/>
    <mergeCell ref="K15:O15"/>
    <mergeCell ref="D5:O5"/>
    <mergeCell ref="H15:I15"/>
    <mergeCell ref="F18:M18"/>
    <mergeCell ref="D4:O4"/>
    <mergeCell ref="F14:G14"/>
    <mergeCell ref="H14:I14"/>
    <mergeCell ref="D9:O9"/>
    <mergeCell ref="D12:O12"/>
    <mergeCell ref="D7:O7"/>
    <mergeCell ref="D8:O8"/>
    <mergeCell ref="D6:O6"/>
  </mergeCells>
  <conditionalFormatting sqref="B21:B65 C21:C65 D21:D65 E21:E65 F21:F65 G21:G65 H21:H65 L21:L65">
    <cfRule type="expression" priority="1" dxfId="5">
      <formula>AND($B21&lt;&gt;"",LEFT($O21,3)="No:")</formula>
    </cfRule>
    <cfRule type="expression" priority="2" dxfId="6">
      <formula>$B21&lt;&gt;""</formula>
    </cfRule>
  </conditionalFormatting>
  <conditionalFormatting sqref="I21:I65">
    <cfRule type="expression" priority="3" dxfId="7">
      <formula>AND($B21&lt;&gt;"",AND(LEFT($O21,3)="No:",$U$19))</formula>
    </cfRule>
    <cfRule type="expression" priority="4" dxfId="5">
      <formula>AND($B21&lt;&gt;"",LEFT($O21,3)="No:")</formula>
    </cfRule>
    <cfRule type="expression" priority="5" dxfId="8">
      <formula>AND($B21&lt;&gt;"",$U$19)</formula>
    </cfRule>
    <cfRule type="expression" priority="6" dxfId="6">
      <formula>$B21&lt;&gt;""</formula>
    </cfRule>
  </conditionalFormatting>
  <conditionalFormatting sqref="N21:N65">
    <cfRule type="expression" priority="7" dxfId="7">
      <formula>AND($B21&lt;&gt;"",AND(LEFT($O21,3)="No:",$U$19))</formula>
    </cfRule>
    <cfRule type="expression" priority="8" dxfId="5">
      <formula>AND($B21&lt;&gt;"",LEFT($O21,3)="No:")</formula>
    </cfRule>
    <cfRule type="expression" priority="9" dxfId="8">
      <formula>AND($B21&lt;&gt;"",$U$19)</formula>
    </cfRule>
    <cfRule type="expression" priority="10" dxfId="6">
      <formula>$B21&lt;&gt;""</formula>
    </cfRule>
  </conditionalFormatting>
  <conditionalFormatting sqref="J21:J65">
    <cfRule type="expression" priority="11" dxfId="9">
      <formula>AND($B21&lt;&gt;"",AND(LEFT($O21,3)="No:",$U$20))</formula>
    </cfRule>
    <cfRule type="expression" priority="12" dxfId="5">
      <formula>AND($B21&lt;&gt;"",LEFT($O21,3)="No:")</formula>
    </cfRule>
    <cfRule type="expression" priority="13" dxfId="10">
      <formula>AND($B21&lt;&gt;"",$U$20)</formula>
    </cfRule>
    <cfRule type="expression" priority="14" dxfId="6">
      <formula>$B21&lt;&gt;""</formula>
    </cfRule>
  </conditionalFormatting>
  <conditionalFormatting sqref="K21:K65">
    <cfRule type="expression" priority="15" dxfId="5">
      <formula>AND($B21&lt;&gt;"",LEFT($O21,3)="No:")</formula>
    </cfRule>
    <cfRule type="expression" priority="16" dxfId="11">
      <formula>AND($B21&lt;&gt;"",IFERROR(LEFT($K21,FIND(" · ",$K21)-1),$K21)="Yes")</formula>
    </cfRule>
    <cfRule type="expression" priority="17" dxfId="12">
      <formula>AND($B21&lt;&gt;"",IFERROR(LEFT($K21,FIND(" · ",$K21)-1),$K21)="Not sure")</formula>
    </cfRule>
    <cfRule type="expression" priority="18" dxfId="5">
      <formula>AND($B21&lt;&gt;"",OR(IFERROR(LEFT($K21,FIND(" · ",$K21)-1),$K21)="No",IFERROR(LEFT($K21,FIND(" · ",$K21)-1),$K21)="Too few losses"))</formula>
    </cfRule>
    <cfRule type="expression" priority="19" dxfId="6">
      <formula>$B21&lt;&gt;""</formula>
    </cfRule>
  </conditionalFormatting>
  <conditionalFormatting sqref="M21:M65">
    <cfRule type="expression" priority="20" dxfId="5">
      <formula>AND($B21&lt;&gt;"",LEFT($O21,3)="No:")</formula>
    </cfRule>
    <cfRule type="expression" priority="21" dxfId="13">
      <formula>AND($B21&lt;&gt;"",$M21="Yes")</formula>
    </cfRule>
    <cfRule type="expression" priority="22" dxfId="6">
      <formula>$B21&lt;&gt;""</formula>
    </cfRule>
  </conditionalFormatting>
  <conditionalFormatting sqref="O21:O65">
    <cfRule type="expression" priority="23" dxfId="14">
      <formula>AND($B21&lt;&gt;"",LEFT($O21,3)="No:")</formula>
    </cfRule>
    <cfRule type="expression" priority="24" dxfId="6">
      <formula>$B21&lt;&gt;""</formula>
    </cfRule>
  </conditionalFormatting>
  <dataValidations count="3">
    <dataValidation sqref="C18" showDropDown="0" showInputMessage="0" showErrorMessage="1" allowBlank="0" errorTitle="Measure" error="Pick one from the list." type="list">
      <formula1>='_choices'!$A$2:$A$6</formula1>
    </dataValidation>
    <dataValidation sqref="D18" showDropDown="0" showInputMessage="0" showErrorMessage="1" allowBlank="0" errorTitle="Pockets" error="Pick one from the list." type="list">
      <formula1>='_choices'!$E$2:$E$3</formula1>
    </dataValidation>
    <dataValidation sqref="E18" showDropDown="0" showInputMessage="0" showErrorMessage="1" allowBlank="0" errorTitle="Show" error="Pick one from the list." type="list">
      <formula1>='_choices'!$F$2:$F$4</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0A0908"/>
    <outlinePr summaryBelow="0" summaryRight="1"/>
    <pageSetUpPr fitToPage="1"/>
  </sheetPr>
  <dimension ref="B1:AX49"/>
  <sheetViews>
    <sheetView showGridLines="0" tabSelected="0" workbookViewId="0">
      <pane ySplit="19" topLeftCell="A20" activePane="bottomLeft" state="frozen"/>
      <selection pane="bottomLeft" activeCell="A1" sqref="A1"/>
    </sheetView>
  </sheetViews>
  <sheetFormatPr baseColWidth="8" defaultRowHeight="15"/>
  <cols>
    <col width="2" customWidth="1" min="1" max="1"/>
    <col width="20" customWidth="1" min="2" max="2"/>
    <col width="12" customWidth="1" min="3" max="3"/>
    <col width="9" customWidth="1" min="4" max="4"/>
    <col width="11" customWidth="1" min="5" max="5"/>
    <col width="13" customWidth="1" min="6" max="6"/>
    <col width="11" customWidth="1" min="7" max="7"/>
    <col width="13" customWidth="1" min="8" max="8"/>
    <col width="11" customWidth="1" min="9" max="9"/>
    <col width="13" customWidth="1" min="10" max="10"/>
    <col width="52" customWidth="1" min="11" max="11"/>
    <col width="3" customWidth="1" min="12" max="12"/>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s>
  <sheetData>
    <row r="1" ht="30" customHeight="1">
      <c r="B1" s="1" t="inlineStr">
        <is>
          <t>Paid, cost, kept</t>
        </is>
      </c>
      <c r="C1" s="2" t="inlineStr">
        <is>
          <t>What each pocket paid us, what it cost us, and what we kept.</t>
        </is>
      </c>
      <c r="D1" s="3" t="n"/>
      <c r="E1" s="3" t="n"/>
      <c r="F1" s="3" t="n"/>
      <c r="G1" s="3" t="n"/>
      <c r="H1" s="3" t="n"/>
      <c r="I1" s="3" t="n"/>
      <c r="J1" s="3" t="n"/>
      <c r="K1" s="3" t="n"/>
      <c r="L1" s="3" t="n"/>
      <c r="M1" s="3" t="n"/>
      <c r="N1" s="3" t="n"/>
      <c r="O1" s="3" t="n"/>
      <c r="P1" s="3" t="n"/>
      <c r="Q1" s="3" t="n"/>
      <c r="R1" s="3" t="n"/>
      <c r="S1" s="3" t="n"/>
    </row>
    <row r="3" outlineLevel="1">
      <c r="B3" s="4" t="inlineStr">
        <is>
          <t>How this tab works</t>
        </is>
      </c>
      <c r="C3" s="5" t="n"/>
      <c r="D3" s="5" t="n"/>
      <c r="E3" s="5" t="n"/>
      <c r="F3" s="5" t="n"/>
      <c r="G3" s="5" t="n"/>
      <c r="H3" s="5" t="n"/>
      <c r="I3" s="5" t="n"/>
      <c r="J3" s="5" t="n"/>
      <c r="K3" s="5" t="n"/>
    </row>
    <row r="4" outlineLevel="1" ht="31" customHeight="1">
      <c r="B4" s="6" t="inlineStr">
        <is>
          <t>Paid us</t>
        </is>
      </c>
      <c r="C4" s="7" t="inlineStr">
        <is>
          <t>Earned before losses: RANR + GCO per booked dollar. RANR already has the charge-offs taken out, so this adds them back. Gap: points of booked dollars ahead of (+) or short of (-) the rest; Dollars: what that comes to.</t>
        </is>
      </c>
    </row>
    <row r="5" outlineLevel="1" ht="17" customHeight="1">
      <c r="B5" s="6" t="inlineStr">
        <is>
          <t>Cost us</t>
        </is>
      </c>
      <c r="C5" s="7" t="inlineStr">
        <is>
          <t>Charge-offs (GCO) per booked dollar, as a multiple of the rest; Dollars: charge-offs above the rest's rate.</t>
        </is>
      </c>
    </row>
    <row r="6" outlineLevel="1" ht="17" customHeight="1">
      <c r="B6" s="6" t="inlineStr">
        <is>
          <t>Kept</t>
        </is>
      </c>
      <c r="C6" s="7" t="inlineStr">
        <is>
          <t>Kept after losses: RANR per booked dollar, as a gap in points and dollars, like Paid us.</t>
        </is>
      </c>
    </row>
    <row r="7" outlineLevel="1" ht="31" customHeight="1">
      <c r="B7" s="6" t="inlineStr">
        <is>
          <t>The rest</t>
        </is>
      </c>
      <c r="C7" s="7">
        <f>"Judged against on Control picks it: now "&amp;IF(judged_band,"the rest of its band","the rest of the book")&amp;". A pocket alone in its band is compared with the rest of the book."</f>
        <v/>
      </c>
    </row>
    <row r="8" outlineLevel="1" ht="45" customHeight="1">
      <c r="B8" s="6" t="inlineStr">
        <is>
          <t>Shading</t>
        </is>
      </c>
      <c r="C8" s="7">
        <f>"Pink: worse, and real. Green: better, and real. None: it could be chance (the p-value isn't under "&amp;TEXT(significance_bar,"0%")&amp;"), or the pocket has too few losses to test. Charge-offs count at "&amp;TEXT(worse_at,"0.00")&amp;"x or "&amp;TEXT(better_at,"0.00")&amp;"x; profit "&amp;IF(profit_kind="test","when its own test says so",IF(profit_kind="points","at "&amp;TEXT(profit_line*100,"0.00")&amp;" points either way","at a gap of $"&amp;TEXT(profit_line,"#,##0")))&amp;"."</f>
        <v/>
      </c>
    </row>
    <row r="9" outlineLevel="1" ht="59" customHeight="1">
      <c r="B9" s="6" t="inlineStr">
        <is>
          <t>Together</t>
        </is>
      </c>
      <c r="C9" s="7">
        <f>"The two sides read at once. Priced for it: more charge-offs and more kept. Net drain: more charge-offs and less kept. Strong: fewer charge-offs and more kept. Safe but idle: fewer charge-offs and less kept. Earns less, not from losses: less kept whil"&amp;"e charge-offs are about the same. Losing more, profit holding: more charge-offs while what we kept is about the same. Blank: nothing to read together."&amp;" Borderline: the test's p-value is within the shuffle's own margin of the "&amp;TEXT(significance_bar,"0%")&amp;" bar, so another run could read it the other way."&amp;" Together gives the p-value of each side that is, charge-offs first."</f>
        <v/>
      </c>
    </row>
    <row r="10" outlineLevel="1" ht="31" customHeight="1">
      <c r="B10" s="6" t="inlineStr">
        <is>
          <t>Order and chart</t>
        </is>
      </c>
      <c r="C10" s="7" t="inlineStr">
        <is>
          <t>Rows are as of the last Run: the pockets read together first, then by charge-off dollars; a pocket with too few losses last. The chart shows the grid picked above, live; the pockets read together are named on it.</t>
        </is>
      </c>
    </row>
    <row r="12" ht="15" customHeight="1">
      <c r="B12" s="104" t="inlineStr">
        <is>
          <t>LINES IN USE NOW</t>
        </is>
      </c>
      <c r="C12" s="97" t="inlineStr">
        <is>
          <t>Worse at</t>
        </is>
      </c>
      <c r="D12" s="97" t="inlineStr">
        <is>
          <t>Better at</t>
        </is>
      </c>
      <c r="E12" s="98" t="n"/>
      <c r="F12" s="97" t="inlineStr">
        <is>
          <t>How sure</t>
        </is>
      </c>
      <c r="G12" s="98" t="n"/>
      <c r="H12" s="97" t="inlineStr">
        <is>
          <t>Material at</t>
        </is>
      </c>
      <c r="I12" s="98" t="n"/>
      <c r="J12" s="97" t="inlineStr">
        <is>
          <t>Judged against</t>
        </is>
      </c>
      <c r="K12" s="98" t="n"/>
      <c r="M12" s="105" t="inlineStr">
        <is>
          <t>The order is from the last Run, 2026-09-30 04:03.</t>
        </is>
      </c>
    </row>
    <row r="13" ht="22" customHeight="1">
      <c r="B13" s="106" t="inlineStr">
        <is>
          <t>live from Control</t>
        </is>
      </c>
      <c r="C13" s="107">
        <f>worse_at</f>
        <v/>
      </c>
      <c r="D13" s="107">
        <f>better_at</f>
        <v/>
      </c>
      <c r="F13" s="108">
        <f>confidence</f>
        <v/>
      </c>
      <c r="H13" s="11">
        <f>IFERROR(IF(materiality_kind="none","No floor",IF(INDEX(line_values,MATCH("gco_rate",line_keys,0))="","No line",IF(FALSE,TEXT(INDEX(line_values,MATCH("gco_rate",line_keys,0)),"#,##0.0")&amp;" bad loans","$"&amp;TEXT(INDEX(line_values,MATCH("gco_rate",line_keys,0)),"#,##0")))),"")</f>
        <v/>
      </c>
      <c r="J13" s="11">
        <f>IF(judged_band,"Rest of its band","Rest of the book")</f>
        <v/>
      </c>
      <c r="M13" s="109">
        <f>IFERROR(IF(COUNTIF(Status,"↻ Waiting for a Run")=0,"","↻ "&amp;COUNTIF(Status,"↻ Waiting for a Run")&amp;IF(COUNTIF(Status,"↻ Waiting for a Run")=1," Control change waits for a Run."," Control changes wait for a Run.")),"")</f>
        <v/>
      </c>
    </row>
    <row r="15">
      <c r="B15" s="110" t="inlineStr">
        <is>
          <t>GRID</t>
        </is>
      </c>
    </row>
    <row r="16" ht="20" customHeight="1">
      <c r="B16" s="32" t="inlineStr">
        <is>
          <t>FICO x CHANNEL</t>
        </is>
      </c>
      <c r="C16" s="119" t="n"/>
    </row>
    <row r="17">
      <c r="M17" s="120" t="inlineStr">
        <is>
          <t>Across: charge-offs × the rest, on a log scale. Up: kept, as a gap in points. Red: Net drain. Green: Strong or Priced for it.</t>
        </is>
      </c>
    </row>
    <row r="18">
      <c r="E18" s="121">
        <f>"Paid us · gap vs "&amp;IF(judged_band,"band","book")</f>
        <v/>
      </c>
      <c r="F18" s="122" t="n"/>
      <c r="G18" s="121" t="inlineStr">
        <is>
          <t>Cost us · charge-offs</t>
        </is>
      </c>
      <c r="H18" s="122" t="n"/>
      <c r="I18" s="121">
        <f>"Kept · gap vs "&amp;IF(judged_band,"band","book")</f>
        <v/>
      </c>
      <c r="J18" s="122" t="n"/>
      <c r="K18" s="121" t="inlineStr"/>
    </row>
    <row r="19" ht="18" customHeight="1">
      <c r="B19" s="55" t="inlineStr">
        <is>
          <t>Band</t>
        </is>
      </c>
      <c r="C19" s="55" t="inlineStr">
        <is>
          <t>Segment</t>
        </is>
      </c>
      <c r="D19" s="56" t="inlineStr">
        <is>
          <t>Loans</t>
        </is>
      </c>
      <c r="E19" s="56" t="inlineStr">
        <is>
          <t>Gap pts</t>
        </is>
      </c>
      <c r="F19" s="56" t="inlineStr">
        <is>
          <t>Dollars</t>
        </is>
      </c>
      <c r="G19" s="56">
        <f>IF(judged_band,"× band","× book")</f>
        <v/>
      </c>
      <c r="H19" s="56" t="inlineStr">
        <is>
          <t>Dollars</t>
        </is>
      </c>
      <c r="I19" s="56" t="inlineStr">
        <is>
          <t>Gap pts</t>
        </is>
      </c>
      <c r="J19" s="56" t="inlineStr">
        <is>
          <t>Dollars</t>
        </is>
      </c>
      <c r="K19" s="56" t="inlineStr">
        <is>
          <t>Together</t>
        </is>
      </c>
    </row>
    <row r="20" ht="16" customHeight="1">
      <c r="B20" s="113">
        <f>IF($AN20="","",IF(INDEX('_views'!$B:$ZZ,$AN20,1)="","",INDEX('_views'!$B:$ZZ,$AN20,1)))</f>
        <v/>
      </c>
      <c r="C20" s="113">
        <f>IF($AN20="","",IF(INDEX('_views'!$B:$ZZ,$AN20,2)="","",INDEX('_views'!$B:$ZZ,$AN20,2)))</f>
        <v/>
      </c>
      <c r="D20" s="114">
        <f>IF($AN20="","",IF(INDEX('_views'!$B:$ZZ,$AN20,3)="","",INDEX('_views'!$B:$ZZ,$AN20,3)))</f>
        <v/>
      </c>
      <c r="E20" s="123">
        <f>IF(IF($AP20="","",IF(INDEX('_pockets'!$AB:$AB,$AP20)="","",INDEX('_pockets'!$AB:$AB,$AP20)))="","",IF($AP20="","",IF(INDEX('_pockets'!$AB:$AB,$AP20)="","",INDEX('_pockets'!$AB:$AB,$AP20)))*100)</f>
        <v/>
      </c>
      <c r="F20" s="114">
        <f>IF(IF($AP20="","",IF(INDEX('_pockets'!$Z:$Z,$AP20)="","",INDEX('_pockets'!$Z:$Z,$AP20)))="","",-IF($AP20="","",IF(INDEX('_pockets'!$Z:$Z,$AP20)="","",INDEX('_pockets'!$Z:$Z,$AP20))))</f>
        <v/>
      </c>
      <c r="G20" s="116">
        <f>IF($AQ20="","",IF(INDEX('_pockets'!$AB:$AB,$AQ20)="","",INDEX('_pockets'!$AB:$AB,$AQ20)))</f>
        <v/>
      </c>
      <c r="H20" s="114">
        <f>IF($AQ20="","",IF(INDEX('_pockets'!$Z:$Z,$AQ20)="","",INDEX('_pockets'!$Z:$Z,$AQ20)))</f>
        <v/>
      </c>
      <c r="I20" s="123">
        <f>IF(IF($AR20="","",IF(INDEX('_pockets'!$AB:$AB,$AR20)="","",INDEX('_pockets'!$AB:$AB,$AR20)))="","",IF($AR20="","",IF(INDEX('_pockets'!$AB:$AB,$AR20)="","",INDEX('_pockets'!$AB:$AB,$AR20)))*100)</f>
        <v/>
      </c>
      <c r="J20" s="114">
        <f>IF(IF($AR20="","",IF(INDEX('_pockets'!$Z:$Z,$AR20)="","",INDEX('_pockets'!$Z:$Z,$AR20)))="","",-IF($AR20="","",IF(INDEX('_pockets'!$Z:$Z,$AR20)="","",INDEX('_pockets'!$Z:$Z,$AR20))))</f>
        <v/>
      </c>
      <c r="K20" s="124">
        <f>IF(OR($AV20="",AND($AW20="",$AX20="")),$AV20,$AV20&amp;" · borderline (p "&amp;IF(AND($AW20&lt;&gt;"",$AX20&lt;&gt;""),$AW20&amp;" and "&amp;$AX20,$AW20&amp;$AX20)&amp;")")</f>
        <v/>
      </c>
      <c r="AN20">
        <f>IFERROR(MATCH("C|"&amp;$B$16&amp;"|1",'_views'!$A:$A,0),"")</f>
        <v/>
      </c>
      <c r="AO20">
        <f>IF($AN20="","",IF(INDEX('_views'!$B:$ZZ,$AN20,4)="","",INDEX('_views'!$B:$ZZ,$AN20,4)))</f>
        <v/>
      </c>
      <c r="AP20">
        <f>IF($AN20="","",IF(INDEX('_views'!$B:$ZZ,$AN20,5)="","",INDEX('_views'!$B:$ZZ,$AN20,5)))</f>
        <v/>
      </c>
      <c r="AQ20">
        <f>IF($AN20="","",IF(INDEX('_views'!$B:$ZZ,$AN20,6)="","",INDEX('_views'!$B:$ZZ,$AN20,6)))</f>
        <v/>
      </c>
      <c r="AR20">
        <f>IF($AN20="","",IF(INDEX('_views'!$B:$ZZ,$AN20,7)="","",INDEX('_views'!$B:$ZZ,$AN20,7)))</f>
        <v/>
      </c>
      <c r="AS20">
        <f>IF($AP20="","",IF(INDEX('_pockets'!$Y:$Y,$AP20)="","",INDEX('_pockets'!$Y:$Y,$AP20)))</f>
        <v/>
      </c>
      <c r="AT20">
        <f>IF($AQ20="","",IF(INDEX('_pockets'!$Y:$Y,$AQ20)="","",INDEX('_pockets'!$Y:$Y,$AQ20)))</f>
        <v/>
      </c>
      <c r="AU20">
        <f>IF($AR20="","",IF(INDEX('_pockets'!$Y:$Y,$AR20)="","",INDEX('_pockets'!$Y:$Y,$AR20)))</f>
        <v/>
      </c>
      <c r="AV20">
        <f>IF(OR($AO20=1,$AO20=""),"",IF(AND($AT20="worse",$AU20="better"),"Priced for it",IF(AND($AT20="worse",$AU20="worse"),"Net drain",IF(AND($AT20="better",$AU20="better"),"Strong",IF(AND($AT20="better",$AU20="worse"),"Safe but idle",IF(AND(OR($AT20="in line",$AT20="worse, not significant",$AT20="better, not significant"),$AU20="worse"),"Earns less, not from losses",IF(AND($AT20="worse",OR($AU20="in line",$AU20="worse, not significant",$AU20="better, not significant")),"Losing more, profit holding","")))))))</f>
        <v/>
      </c>
      <c r="AW20">
        <f>IF($AQ20="","",IF(INDEX('_pockets'!$AM:$AM,$AQ20)="","",INDEX('_pockets'!$AM:$AM,$AQ20)))</f>
        <v/>
      </c>
      <c r="AX20">
        <f>IF($AR20="","",IF(INDEX('_pockets'!$AM:$AM,$AR20)="","",INDEX('_pockets'!$AM:$AM,$AR20)))</f>
        <v/>
      </c>
    </row>
    <row r="21" ht="16" customHeight="1">
      <c r="B21" s="113">
        <f>IF($AN21="","",IF(INDEX('_views'!$B:$ZZ,$AN21,1)="","",INDEX('_views'!$B:$ZZ,$AN21,1)))</f>
        <v/>
      </c>
      <c r="C21" s="113">
        <f>IF($AN21="","",IF(INDEX('_views'!$B:$ZZ,$AN21,2)="","",INDEX('_views'!$B:$ZZ,$AN21,2)))</f>
        <v/>
      </c>
      <c r="D21" s="114">
        <f>IF($AN21="","",IF(INDEX('_views'!$B:$ZZ,$AN21,3)="","",INDEX('_views'!$B:$ZZ,$AN21,3)))</f>
        <v/>
      </c>
      <c r="E21" s="123">
        <f>IF(IF($AP21="","",IF(INDEX('_pockets'!$AB:$AB,$AP21)="","",INDEX('_pockets'!$AB:$AB,$AP21)))="","",IF($AP21="","",IF(INDEX('_pockets'!$AB:$AB,$AP21)="","",INDEX('_pockets'!$AB:$AB,$AP21)))*100)</f>
        <v/>
      </c>
      <c r="F21" s="114">
        <f>IF(IF($AP21="","",IF(INDEX('_pockets'!$Z:$Z,$AP21)="","",INDEX('_pockets'!$Z:$Z,$AP21)))="","",-IF($AP21="","",IF(INDEX('_pockets'!$Z:$Z,$AP21)="","",INDEX('_pockets'!$Z:$Z,$AP21))))</f>
        <v/>
      </c>
      <c r="G21" s="116">
        <f>IF($AQ21="","",IF(INDEX('_pockets'!$AB:$AB,$AQ21)="","",INDEX('_pockets'!$AB:$AB,$AQ21)))</f>
        <v/>
      </c>
      <c r="H21" s="114">
        <f>IF($AQ21="","",IF(INDEX('_pockets'!$Z:$Z,$AQ21)="","",INDEX('_pockets'!$Z:$Z,$AQ21)))</f>
        <v/>
      </c>
      <c r="I21" s="123">
        <f>IF(IF($AR21="","",IF(INDEX('_pockets'!$AB:$AB,$AR21)="","",INDEX('_pockets'!$AB:$AB,$AR21)))="","",IF($AR21="","",IF(INDEX('_pockets'!$AB:$AB,$AR21)="","",INDEX('_pockets'!$AB:$AB,$AR21)))*100)</f>
        <v/>
      </c>
      <c r="J21" s="114">
        <f>IF(IF($AR21="","",IF(INDEX('_pockets'!$Z:$Z,$AR21)="","",INDEX('_pockets'!$Z:$Z,$AR21)))="","",-IF($AR21="","",IF(INDEX('_pockets'!$Z:$Z,$AR21)="","",INDEX('_pockets'!$Z:$Z,$AR21))))</f>
        <v/>
      </c>
      <c r="K21" s="124">
        <f>IF(OR($AV21="",AND($AW21="",$AX21="")),$AV21,$AV21&amp;" · borderline (p "&amp;IF(AND($AW21&lt;&gt;"",$AX21&lt;&gt;""),$AW21&amp;" and "&amp;$AX21,$AW21&amp;$AX21)&amp;")")</f>
        <v/>
      </c>
      <c r="AN21">
        <f>IFERROR(MATCH("C|"&amp;$B$16&amp;"|2",'_views'!$A:$A,0),"")</f>
        <v/>
      </c>
      <c r="AO21">
        <f>IF($AN21="","",IF(INDEX('_views'!$B:$ZZ,$AN21,4)="","",INDEX('_views'!$B:$ZZ,$AN21,4)))</f>
        <v/>
      </c>
      <c r="AP21">
        <f>IF($AN21="","",IF(INDEX('_views'!$B:$ZZ,$AN21,5)="","",INDEX('_views'!$B:$ZZ,$AN21,5)))</f>
        <v/>
      </c>
      <c r="AQ21">
        <f>IF($AN21="","",IF(INDEX('_views'!$B:$ZZ,$AN21,6)="","",INDEX('_views'!$B:$ZZ,$AN21,6)))</f>
        <v/>
      </c>
      <c r="AR21">
        <f>IF($AN21="","",IF(INDEX('_views'!$B:$ZZ,$AN21,7)="","",INDEX('_views'!$B:$ZZ,$AN21,7)))</f>
        <v/>
      </c>
      <c r="AS21">
        <f>IF($AP21="","",IF(INDEX('_pockets'!$Y:$Y,$AP21)="","",INDEX('_pockets'!$Y:$Y,$AP21)))</f>
        <v/>
      </c>
      <c r="AT21">
        <f>IF($AQ21="","",IF(INDEX('_pockets'!$Y:$Y,$AQ21)="","",INDEX('_pockets'!$Y:$Y,$AQ21)))</f>
        <v/>
      </c>
      <c r="AU21">
        <f>IF($AR21="","",IF(INDEX('_pockets'!$Y:$Y,$AR21)="","",INDEX('_pockets'!$Y:$Y,$AR21)))</f>
        <v/>
      </c>
      <c r="AV21">
        <f>IF(OR($AO21=1,$AO21=""),"",IF(AND($AT21="worse",$AU21="better"),"Priced for it",IF(AND($AT21="worse",$AU21="worse"),"Net drain",IF(AND($AT21="better",$AU21="better"),"Strong",IF(AND($AT21="better",$AU21="worse"),"Safe but idle",IF(AND(OR($AT21="in line",$AT21="worse, not significant",$AT21="better, not significant"),$AU21="worse"),"Earns less, not from losses",IF(AND($AT21="worse",OR($AU21="in line",$AU21="worse, not significant",$AU21="better, not significant")),"Losing more, profit holding","")))))))</f>
        <v/>
      </c>
      <c r="AW21">
        <f>IF($AQ21="","",IF(INDEX('_pockets'!$AM:$AM,$AQ21)="","",INDEX('_pockets'!$AM:$AM,$AQ21)))</f>
        <v/>
      </c>
      <c r="AX21">
        <f>IF($AR21="","",IF(INDEX('_pockets'!$AM:$AM,$AR21)="","",INDEX('_pockets'!$AM:$AM,$AR21)))</f>
        <v/>
      </c>
    </row>
    <row r="22" ht="16" customHeight="1">
      <c r="B22" s="113">
        <f>IF($AN22="","",IF(INDEX('_views'!$B:$ZZ,$AN22,1)="","",INDEX('_views'!$B:$ZZ,$AN22,1)))</f>
        <v/>
      </c>
      <c r="C22" s="113">
        <f>IF($AN22="","",IF(INDEX('_views'!$B:$ZZ,$AN22,2)="","",INDEX('_views'!$B:$ZZ,$AN22,2)))</f>
        <v/>
      </c>
      <c r="D22" s="114">
        <f>IF($AN22="","",IF(INDEX('_views'!$B:$ZZ,$AN22,3)="","",INDEX('_views'!$B:$ZZ,$AN22,3)))</f>
        <v/>
      </c>
      <c r="E22" s="123">
        <f>IF(IF($AP22="","",IF(INDEX('_pockets'!$AB:$AB,$AP22)="","",INDEX('_pockets'!$AB:$AB,$AP22)))="","",IF($AP22="","",IF(INDEX('_pockets'!$AB:$AB,$AP22)="","",INDEX('_pockets'!$AB:$AB,$AP22)))*100)</f>
        <v/>
      </c>
      <c r="F22" s="114">
        <f>IF(IF($AP22="","",IF(INDEX('_pockets'!$Z:$Z,$AP22)="","",INDEX('_pockets'!$Z:$Z,$AP22)))="","",-IF($AP22="","",IF(INDEX('_pockets'!$Z:$Z,$AP22)="","",INDEX('_pockets'!$Z:$Z,$AP22))))</f>
        <v/>
      </c>
      <c r="G22" s="116">
        <f>IF($AQ22="","",IF(INDEX('_pockets'!$AB:$AB,$AQ22)="","",INDEX('_pockets'!$AB:$AB,$AQ22)))</f>
        <v/>
      </c>
      <c r="H22" s="114">
        <f>IF($AQ22="","",IF(INDEX('_pockets'!$Z:$Z,$AQ22)="","",INDEX('_pockets'!$Z:$Z,$AQ22)))</f>
        <v/>
      </c>
      <c r="I22" s="123">
        <f>IF(IF($AR22="","",IF(INDEX('_pockets'!$AB:$AB,$AR22)="","",INDEX('_pockets'!$AB:$AB,$AR22)))="","",IF($AR22="","",IF(INDEX('_pockets'!$AB:$AB,$AR22)="","",INDEX('_pockets'!$AB:$AB,$AR22)))*100)</f>
        <v/>
      </c>
      <c r="J22" s="114">
        <f>IF(IF($AR22="","",IF(INDEX('_pockets'!$Z:$Z,$AR22)="","",INDEX('_pockets'!$Z:$Z,$AR22)))="","",-IF($AR22="","",IF(INDEX('_pockets'!$Z:$Z,$AR22)="","",INDEX('_pockets'!$Z:$Z,$AR22))))</f>
        <v/>
      </c>
      <c r="K22" s="124">
        <f>IF(OR($AV22="",AND($AW22="",$AX22="")),$AV22,$AV22&amp;" · borderline (p "&amp;IF(AND($AW22&lt;&gt;"",$AX22&lt;&gt;""),$AW22&amp;" and "&amp;$AX22,$AW22&amp;$AX22)&amp;")")</f>
        <v/>
      </c>
      <c r="AN22">
        <f>IFERROR(MATCH("C|"&amp;$B$16&amp;"|3",'_views'!$A:$A,0),"")</f>
        <v/>
      </c>
      <c r="AO22">
        <f>IF($AN22="","",IF(INDEX('_views'!$B:$ZZ,$AN22,4)="","",INDEX('_views'!$B:$ZZ,$AN22,4)))</f>
        <v/>
      </c>
      <c r="AP22">
        <f>IF($AN22="","",IF(INDEX('_views'!$B:$ZZ,$AN22,5)="","",INDEX('_views'!$B:$ZZ,$AN22,5)))</f>
        <v/>
      </c>
      <c r="AQ22">
        <f>IF($AN22="","",IF(INDEX('_views'!$B:$ZZ,$AN22,6)="","",INDEX('_views'!$B:$ZZ,$AN22,6)))</f>
        <v/>
      </c>
      <c r="AR22">
        <f>IF($AN22="","",IF(INDEX('_views'!$B:$ZZ,$AN22,7)="","",INDEX('_views'!$B:$ZZ,$AN22,7)))</f>
        <v/>
      </c>
      <c r="AS22">
        <f>IF($AP22="","",IF(INDEX('_pockets'!$Y:$Y,$AP22)="","",INDEX('_pockets'!$Y:$Y,$AP22)))</f>
        <v/>
      </c>
      <c r="AT22">
        <f>IF($AQ22="","",IF(INDEX('_pockets'!$Y:$Y,$AQ22)="","",INDEX('_pockets'!$Y:$Y,$AQ22)))</f>
        <v/>
      </c>
      <c r="AU22">
        <f>IF($AR22="","",IF(INDEX('_pockets'!$Y:$Y,$AR22)="","",INDEX('_pockets'!$Y:$Y,$AR22)))</f>
        <v/>
      </c>
      <c r="AV22">
        <f>IF(OR($AO22=1,$AO22=""),"",IF(AND($AT22="worse",$AU22="better"),"Priced for it",IF(AND($AT22="worse",$AU22="worse"),"Net drain",IF(AND($AT22="better",$AU22="better"),"Strong",IF(AND($AT22="better",$AU22="worse"),"Safe but idle",IF(AND(OR($AT22="in line",$AT22="worse, not significant",$AT22="better, not significant"),$AU22="worse"),"Earns less, not from losses",IF(AND($AT22="worse",OR($AU22="in line",$AU22="worse, not significant",$AU22="better, not significant")),"Losing more, profit holding","")))))))</f>
        <v/>
      </c>
      <c r="AW22">
        <f>IF($AQ22="","",IF(INDEX('_pockets'!$AM:$AM,$AQ22)="","",INDEX('_pockets'!$AM:$AM,$AQ22)))</f>
        <v/>
      </c>
      <c r="AX22">
        <f>IF($AR22="","",IF(INDEX('_pockets'!$AM:$AM,$AR22)="","",INDEX('_pockets'!$AM:$AM,$AR22)))</f>
        <v/>
      </c>
    </row>
    <row r="23" ht="16" customHeight="1">
      <c r="B23" s="113">
        <f>IF($AN23="","",IF(INDEX('_views'!$B:$ZZ,$AN23,1)="","",INDEX('_views'!$B:$ZZ,$AN23,1)))</f>
        <v/>
      </c>
      <c r="C23" s="113">
        <f>IF($AN23="","",IF(INDEX('_views'!$B:$ZZ,$AN23,2)="","",INDEX('_views'!$B:$ZZ,$AN23,2)))</f>
        <v/>
      </c>
      <c r="D23" s="114">
        <f>IF($AN23="","",IF(INDEX('_views'!$B:$ZZ,$AN23,3)="","",INDEX('_views'!$B:$ZZ,$AN23,3)))</f>
        <v/>
      </c>
      <c r="E23" s="123">
        <f>IF(IF($AP23="","",IF(INDEX('_pockets'!$AB:$AB,$AP23)="","",INDEX('_pockets'!$AB:$AB,$AP23)))="","",IF($AP23="","",IF(INDEX('_pockets'!$AB:$AB,$AP23)="","",INDEX('_pockets'!$AB:$AB,$AP23)))*100)</f>
        <v/>
      </c>
      <c r="F23" s="114">
        <f>IF(IF($AP23="","",IF(INDEX('_pockets'!$Z:$Z,$AP23)="","",INDEX('_pockets'!$Z:$Z,$AP23)))="","",-IF($AP23="","",IF(INDEX('_pockets'!$Z:$Z,$AP23)="","",INDEX('_pockets'!$Z:$Z,$AP23))))</f>
        <v/>
      </c>
      <c r="G23" s="116">
        <f>IF($AQ23="","",IF(INDEX('_pockets'!$AB:$AB,$AQ23)="","",INDEX('_pockets'!$AB:$AB,$AQ23)))</f>
        <v/>
      </c>
      <c r="H23" s="114">
        <f>IF($AQ23="","",IF(INDEX('_pockets'!$Z:$Z,$AQ23)="","",INDEX('_pockets'!$Z:$Z,$AQ23)))</f>
        <v/>
      </c>
      <c r="I23" s="123">
        <f>IF(IF($AR23="","",IF(INDEX('_pockets'!$AB:$AB,$AR23)="","",INDEX('_pockets'!$AB:$AB,$AR23)))="","",IF($AR23="","",IF(INDEX('_pockets'!$AB:$AB,$AR23)="","",INDEX('_pockets'!$AB:$AB,$AR23)))*100)</f>
        <v/>
      </c>
      <c r="J23" s="114">
        <f>IF(IF($AR23="","",IF(INDEX('_pockets'!$Z:$Z,$AR23)="","",INDEX('_pockets'!$Z:$Z,$AR23)))="","",-IF($AR23="","",IF(INDEX('_pockets'!$Z:$Z,$AR23)="","",INDEX('_pockets'!$Z:$Z,$AR23))))</f>
        <v/>
      </c>
      <c r="K23" s="124">
        <f>IF(OR($AV23="",AND($AW23="",$AX23="")),$AV23,$AV23&amp;" · borderline (p "&amp;IF(AND($AW23&lt;&gt;"",$AX23&lt;&gt;""),$AW23&amp;" and "&amp;$AX23,$AW23&amp;$AX23)&amp;")")</f>
        <v/>
      </c>
      <c r="AN23">
        <f>IFERROR(MATCH("C|"&amp;$B$16&amp;"|4",'_views'!$A:$A,0),"")</f>
        <v/>
      </c>
      <c r="AO23">
        <f>IF($AN23="","",IF(INDEX('_views'!$B:$ZZ,$AN23,4)="","",INDEX('_views'!$B:$ZZ,$AN23,4)))</f>
        <v/>
      </c>
      <c r="AP23">
        <f>IF($AN23="","",IF(INDEX('_views'!$B:$ZZ,$AN23,5)="","",INDEX('_views'!$B:$ZZ,$AN23,5)))</f>
        <v/>
      </c>
      <c r="AQ23">
        <f>IF($AN23="","",IF(INDEX('_views'!$B:$ZZ,$AN23,6)="","",INDEX('_views'!$B:$ZZ,$AN23,6)))</f>
        <v/>
      </c>
      <c r="AR23">
        <f>IF($AN23="","",IF(INDEX('_views'!$B:$ZZ,$AN23,7)="","",INDEX('_views'!$B:$ZZ,$AN23,7)))</f>
        <v/>
      </c>
      <c r="AS23">
        <f>IF($AP23="","",IF(INDEX('_pockets'!$Y:$Y,$AP23)="","",INDEX('_pockets'!$Y:$Y,$AP23)))</f>
        <v/>
      </c>
      <c r="AT23">
        <f>IF($AQ23="","",IF(INDEX('_pockets'!$Y:$Y,$AQ23)="","",INDEX('_pockets'!$Y:$Y,$AQ23)))</f>
        <v/>
      </c>
      <c r="AU23">
        <f>IF($AR23="","",IF(INDEX('_pockets'!$Y:$Y,$AR23)="","",INDEX('_pockets'!$Y:$Y,$AR23)))</f>
        <v/>
      </c>
      <c r="AV23">
        <f>IF(OR($AO23=1,$AO23=""),"",IF(AND($AT23="worse",$AU23="better"),"Priced for it",IF(AND($AT23="worse",$AU23="worse"),"Net drain",IF(AND($AT23="better",$AU23="better"),"Strong",IF(AND($AT23="better",$AU23="worse"),"Safe but idle",IF(AND(OR($AT23="in line",$AT23="worse, not significant",$AT23="better, not significant"),$AU23="worse"),"Earns less, not from losses",IF(AND($AT23="worse",OR($AU23="in line",$AU23="worse, not significant",$AU23="better, not significant")),"Losing more, profit holding","")))))))</f>
        <v/>
      </c>
      <c r="AW23">
        <f>IF($AQ23="","",IF(INDEX('_pockets'!$AM:$AM,$AQ23)="","",INDEX('_pockets'!$AM:$AM,$AQ23)))</f>
        <v/>
      </c>
      <c r="AX23">
        <f>IF($AR23="","",IF(INDEX('_pockets'!$AM:$AM,$AR23)="","",INDEX('_pockets'!$AM:$AM,$AR23)))</f>
        <v/>
      </c>
    </row>
    <row r="24" ht="16" customHeight="1">
      <c r="B24" s="113">
        <f>IF($AN24="","",IF(INDEX('_views'!$B:$ZZ,$AN24,1)="","",INDEX('_views'!$B:$ZZ,$AN24,1)))</f>
        <v/>
      </c>
      <c r="C24" s="113">
        <f>IF($AN24="","",IF(INDEX('_views'!$B:$ZZ,$AN24,2)="","",INDEX('_views'!$B:$ZZ,$AN24,2)))</f>
        <v/>
      </c>
      <c r="D24" s="114">
        <f>IF($AN24="","",IF(INDEX('_views'!$B:$ZZ,$AN24,3)="","",INDEX('_views'!$B:$ZZ,$AN24,3)))</f>
        <v/>
      </c>
      <c r="E24" s="123">
        <f>IF(IF($AP24="","",IF(INDEX('_pockets'!$AB:$AB,$AP24)="","",INDEX('_pockets'!$AB:$AB,$AP24)))="","",IF($AP24="","",IF(INDEX('_pockets'!$AB:$AB,$AP24)="","",INDEX('_pockets'!$AB:$AB,$AP24)))*100)</f>
        <v/>
      </c>
      <c r="F24" s="114">
        <f>IF(IF($AP24="","",IF(INDEX('_pockets'!$Z:$Z,$AP24)="","",INDEX('_pockets'!$Z:$Z,$AP24)))="","",-IF($AP24="","",IF(INDEX('_pockets'!$Z:$Z,$AP24)="","",INDEX('_pockets'!$Z:$Z,$AP24))))</f>
        <v/>
      </c>
      <c r="G24" s="116">
        <f>IF($AQ24="","",IF(INDEX('_pockets'!$AB:$AB,$AQ24)="","",INDEX('_pockets'!$AB:$AB,$AQ24)))</f>
        <v/>
      </c>
      <c r="H24" s="114">
        <f>IF($AQ24="","",IF(INDEX('_pockets'!$Z:$Z,$AQ24)="","",INDEX('_pockets'!$Z:$Z,$AQ24)))</f>
        <v/>
      </c>
      <c r="I24" s="123">
        <f>IF(IF($AR24="","",IF(INDEX('_pockets'!$AB:$AB,$AR24)="","",INDEX('_pockets'!$AB:$AB,$AR24)))="","",IF($AR24="","",IF(INDEX('_pockets'!$AB:$AB,$AR24)="","",INDEX('_pockets'!$AB:$AB,$AR24)))*100)</f>
        <v/>
      </c>
      <c r="J24" s="114">
        <f>IF(IF($AR24="","",IF(INDEX('_pockets'!$Z:$Z,$AR24)="","",INDEX('_pockets'!$Z:$Z,$AR24)))="","",-IF($AR24="","",IF(INDEX('_pockets'!$Z:$Z,$AR24)="","",INDEX('_pockets'!$Z:$Z,$AR24))))</f>
        <v/>
      </c>
      <c r="K24" s="124">
        <f>IF(OR($AV24="",AND($AW24="",$AX24="")),$AV24,$AV24&amp;" · borderline (p "&amp;IF(AND($AW24&lt;&gt;"",$AX24&lt;&gt;""),$AW24&amp;" and "&amp;$AX24,$AW24&amp;$AX24)&amp;")")</f>
        <v/>
      </c>
      <c r="AN24">
        <f>IFERROR(MATCH("C|"&amp;$B$16&amp;"|5",'_views'!$A:$A,0),"")</f>
        <v/>
      </c>
      <c r="AO24">
        <f>IF($AN24="","",IF(INDEX('_views'!$B:$ZZ,$AN24,4)="","",INDEX('_views'!$B:$ZZ,$AN24,4)))</f>
        <v/>
      </c>
      <c r="AP24">
        <f>IF($AN24="","",IF(INDEX('_views'!$B:$ZZ,$AN24,5)="","",INDEX('_views'!$B:$ZZ,$AN24,5)))</f>
        <v/>
      </c>
      <c r="AQ24">
        <f>IF($AN24="","",IF(INDEX('_views'!$B:$ZZ,$AN24,6)="","",INDEX('_views'!$B:$ZZ,$AN24,6)))</f>
        <v/>
      </c>
      <c r="AR24">
        <f>IF($AN24="","",IF(INDEX('_views'!$B:$ZZ,$AN24,7)="","",INDEX('_views'!$B:$ZZ,$AN24,7)))</f>
        <v/>
      </c>
      <c r="AS24">
        <f>IF($AP24="","",IF(INDEX('_pockets'!$Y:$Y,$AP24)="","",INDEX('_pockets'!$Y:$Y,$AP24)))</f>
        <v/>
      </c>
      <c r="AT24">
        <f>IF($AQ24="","",IF(INDEX('_pockets'!$Y:$Y,$AQ24)="","",INDEX('_pockets'!$Y:$Y,$AQ24)))</f>
        <v/>
      </c>
      <c r="AU24">
        <f>IF($AR24="","",IF(INDEX('_pockets'!$Y:$Y,$AR24)="","",INDEX('_pockets'!$Y:$Y,$AR24)))</f>
        <v/>
      </c>
      <c r="AV24">
        <f>IF(OR($AO24=1,$AO24=""),"",IF(AND($AT24="worse",$AU24="better"),"Priced for it",IF(AND($AT24="worse",$AU24="worse"),"Net drain",IF(AND($AT24="better",$AU24="better"),"Strong",IF(AND($AT24="better",$AU24="worse"),"Safe but idle",IF(AND(OR($AT24="in line",$AT24="worse, not significant",$AT24="better, not significant"),$AU24="worse"),"Earns less, not from losses",IF(AND($AT24="worse",OR($AU24="in line",$AU24="worse, not significant",$AU24="better, not significant")),"Losing more, profit holding","")))))))</f>
        <v/>
      </c>
      <c r="AW24">
        <f>IF($AQ24="","",IF(INDEX('_pockets'!$AM:$AM,$AQ24)="","",INDEX('_pockets'!$AM:$AM,$AQ24)))</f>
        <v/>
      </c>
      <c r="AX24">
        <f>IF($AR24="","",IF(INDEX('_pockets'!$AM:$AM,$AR24)="","",INDEX('_pockets'!$AM:$AM,$AR24)))</f>
        <v/>
      </c>
    </row>
    <row r="25" ht="16" customHeight="1">
      <c r="B25" s="113">
        <f>IF($AN25="","",IF(INDEX('_views'!$B:$ZZ,$AN25,1)="","",INDEX('_views'!$B:$ZZ,$AN25,1)))</f>
        <v/>
      </c>
      <c r="C25" s="113">
        <f>IF($AN25="","",IF(INDEX('_views'!$B:$ZZ,$AN25,2)="","",INDEX('_views'!$B:$ZZ,$AN25,2)))</f>
        <v/>
      </c>
      <c r="D25" s="114">
        <f>IF($AN25="","",IF(INDEX('_views'!$B:$ZZ,$AN25,3)="","",INDEX('_views'!$B:$ZZ,$AN25,3)))</f>
        <v/>
      </c>
      <c r="E25" s="123">
        <f>IF(IF($AP25="","",IF(INDEX('_pockets'!$AB:$AB,$AP25)="","",INDEX('_pockets'!$AB:$AB,$AP25)))="","",IF($AP25="","",IF(INDEX('_pockets'!$AB:$AB,$AP25)="","",INDEX('_pockets'!$AB:$AB,$AP25)))*100)</f>
        <v/>
      </c>
      <c r="F25" s="114">
        <f>IF(IF($AP25="","",IF(INDEX('_pockets'!$Z:$Z,$AP25)="","",INDEX('_pockets'!$Z:$Z,$AP25)))="","",-IF($AP25="","",IF(INDEX('_pockets'!$Z:$Z,$AP25)="","",INDEX('_pockets'!$Z:$Z,$AP25))))</f>
        <v/>
      </c>
      <c r="G25" s="116">
        <f>IF($AQ25="","",IF(INDEX('_pockets'!$AB:$AB,$AQ25)="","",INDEX('_pockets'!$AB:$AB,$AQ25)))</f>
        <v/>
      </c>
      <c r="H25" s="114">
        <f>IF($AQ25="","",IF(INDEX('_pockets'!$Z:$Z,$AQ25)="","",INDEX('_pockets'!$Z:$Z,$AQ25)))</f>
        <v/>
      </c>
      <c r="I25" s="123">
        <f>IF(IF($AR25="","",IF(INDEX('_pockets'!$AB:$AB,$AR25)="","",INDEX('_pockets'!$AB:$AB,$AR25)))="","",IF($AR25="","",IF(INDEX('_pockets'!$AB:$AB,$AR25)="","",INDEX('_pockets'!$AB:$AB,$AR25)))*100)</f>
        <v/>
      </c>
      <c r="J25" s="114">
        <f>IF(IF($AR25="","",IF(INDEX('_pockets'!$Z:$Z,$AR25)="","",INDEX('_pockets'!$Z:$Z,$AR25)))="","",-IF($AR25="","",IF(INDEX('_pockets'!$Z:$Z,$AR25)="","",INDEX('_pockets'!$Z:$Z,$AR25))))</f>
        <v/>
      </c>
      <c r="K25" s="124">
        <f>IF(OR($AV25="",AND($AW25="",$AX25="")),$AV25,$AV25&amp;" · borderline (p "&amp;IF(AND($AW25&lt;&gt;"",$AX25&lt;&gt;""),$AW25&amp;" and "&amp;$AX25,$AW25&amp;$AX25)&amp;")")</f>
        <v/>
      </c>
      <c r="AN25">
        <f>IFERROR(MATCH("C|"&amp;$B$16&amp;"|6",'_views'!$A:$A,0),"")</f>
        <v/>
      </c>
      <c r="AO25">
        <f>IF($AN25="","",IF(INDEX('_views'!$B:$ZZ,$AN25,4)="","",INDEX('_views'!$B:$ZZ,$AN25,4)))</f>
        <v/>
      </c>
      <c r="AP25">
        <f>IF($AN25="","",IF(INDEX('_views'!$B:$ZZ,$AN25,5)="","",INDEX('_views'!$B:$ZZ,$AN25,5)))</f>
        <v/>
      </c>
      <c r="AQ25">
        <f>IF($AN25="","",IF(INDEX('_views'!$B:$ZZ,$AN25,6)="","",INDEX('_views'!$B:$ZZ,$AN25,6)))</f>
        <v/>
      </c>
      <c r="AR25">
        <f>IF($AN25="","",IF(INDEX('_views'!$B:$ZZ,$AN25,7)="","",INDEX('_views'!$B:$ZZ,$AN25,7)))</f>
        <v/>
      </c>
      <c r="AS25">
        <f>IF($AP25="","",IF(INDEX('_pockets'!$Y:$Y,$AP25)="","",INDEX('_pockets'!$Y:$Y,$AP25)))</f>
        <v/>
      </c>
      <c r="AT25">
        <f>IF($AQ25="","",IF(INDEX('_pockets'!$Y:$Y,$AQ25)="","",INDEX('_pockets'!$Y:$Y,$AQ25)))</f>
        <v/>
      </c>
      <c r="AU25">
        <f>IF($AR25="","",IF(INDEX('_pockets'!$Y:$Y,$AR25)="","",INDEX('_pockets'!$Y:$Y,$AR25)))</f>
        <v/>
      </c>
      <c r="AV25">
        <f>IF(OR($AO25=1,$AO25=""),"",IF(AND($AT25="worse",$AU25="better"),"Priced for it",IF(AND($AT25="worse",$AU25="worse"),"Net drain",IF(AND($AT25="better",$AU25="better"),"Strong",IF(AND($AT25="better",$AU25="worse"),"Safe but idle",IF(AND(OR($AT25="in line",$AT25="worse, not significant",$AT25="better, not significant"),$AU25="worse"),"Earns less, not from losses",IF(AND($AT25="worse",OR($AU25="in line",$AU25="worse, not significant",$AU25="better, not significant")),"Losing more, profit holding","")))))))</f>
        <v/>
      </c>
      <c r="AW25">
        <f>IF($AQ25="","",IF(INDEX('_pockets'!$AM:$AM,$AQ25)="","",INDEX('_pockets'!$AM:$AM,$AQ25)))</f>
        <v/>
      </c>
      <c r="AX25">
        <f>IF($AR25="","",IF(INDEX('_pockets'!$AM:$AM,$AR25)="","",INDEX('_pockets'!$AM:$AM,$AR25)))</f>
        <v/>
      </c>
    </row>
    <row r="26" ht="16" customHeight="1">
      <c r="B26" s="113">
        <f>IF($AN26="","",IF(INDEX('_views'!$B:$ZZ,$AN26,1)="","",INDEX('_views'!$B:$ZZ,$AN26,1)))</f>
        <v/>
      </c>
      <c r="C26" s="113">
        <f>IF($AN26="","",IF(INDEX('_views'!$B:$ZZ,$AN26,2)="","",INDEX('_views'!$B:$ZZ,$AN26,2)))</f>
        <v/>
      </c>
      <c r="D26" s="114">
        <f>IF($AN26="","",IF(INDEX('_views'!$B:$ZZ,$AN26,3)="","",INDEX('_views'!$B:$ZZ,$AN26,3)))</f>
        <v/>
      </c>
      <c r="E26" s="123">
        <f>IF(IF($AP26="","",IF(INDEX('_pockets'!$AB:$AB,$AP26)="","",INDEX('_pockets'!$AB:$AB,$AP26)))="","",IF($AP26="","",IF(INDEX('_pockets'!$AB:$AB,$AP26)="","",INDEX('_pockets'!$AB:$AB,$AP26)))*100)</f>
        <v/>
      </c>
      <c r="F26" s="114">
        <f>IF(IF($AP26="","",IF(INDEX('_pockets'!$Z:$Z,$AP26)="","",INDEX('_pockets'!$Z:$Z,$AP26)))="","",-IF($AP26="","",IF(INDEX('_pockets'!$Z:$Z,$AP26)="","",INDEX('_pockets'!$Z:$Z,$AP26))))</f>
        <v/>
      </c>
      <c r="G26" s="116">
        <f>IF($AQ26="","",IF(INDEX('_pockets'!$AB:$AB,$AQ26)="","",INDEX('_pockets'!$AB:$AB,$AQ26)))</f>
        <v/>
      </c>
      <c r="H26" s="114">
        <f>IF($AQ26="","",IF(INDEX('_pockets'!$Z:$Z,$AQ26)="","",INDEX('_pockets'!$Z:$Z,$AQ26)))</f>
        <v/>
      </c>
      <c r="I26" s="123">
        <f>IF(IF($AR26="","",IF(INDEX('_pockets'!$AB:$AB,$AR26)="","",INDEX('_pockets'!$AB:$AB,$AR26)))="","",IF($AR26="","",IF(INDEX('_pockets'!$AB:$AB,$AR26)="","",INDEX('_pockets'!$AB:$AB,$AR26)))*100)</f>
        <v/>
      </c>
      <c r="J26" s="114">
        <f>IF(IF($AR26="","",IF(INDEX('_pockets'!$Z:$Z,$AR26)="","",INDEX('_pockets'!$Z:$Z,$AR26)))="","",-IF($AR26="","",IF(INDEX('_pockets'!$Z:$Z,$AR26)="","",INDEX('_pockets'!$Z:$Z,$AR26))))</f>
        <v/>
      </c>
      <c r="K26" s="124">
        <f>IF(OR($AV26="",AND($AW26="",$AX26="")),$AV26,$AV26&amp;" · borderline (p "&amp;IF(AND($AW26&lt;&gt;"",$AX26&lt;&gt;""),$AW26&amp;" and "&amp;$AX26,$AW26&amp;$AX26)&amp;")")</f>
        <v/>
      </c>
      <c r="AN26">
        <f>IFERROR(MATCH("C|"&amp;$B$16&amp;"|7",'_views'!$A:$A,0),"")</f>
        <v/>
      </c>
      <c r="AO26">
        <f>IF($AN26="","",IF(INDEX('_views'!$B:$ZZ,$AN26,4)="","",INDEX('_views'!$B:$ZZ,$AN26,4)))</f>
        <v/>
      </c>
      <c r="AP26">
        <f>IF($AN26="","",IF(INDEX('_views'!$B:$ZZ,$AN26,5)="","",INDEX('_views'!$B:$ZZ,$AN26,5)))</f>
        <v/>
      </c>
      <c r="AQ26">
        <f>IF($AN26="","",IF(INDEX('_views'!$B:$ZZ,$AN26,6)="","",INDEX('_views'!$B:$ZZ,$AN26,6)))</f>
        <v/>
      </c>
      <c r="AR26">
        <f>IF($AN26="","",IF(INDEX('_views'!$B:$ZZ,$AN26,7)="","",INDEX('_views'!$B:$ZZ,$AN26,7)))</f>
        <v/>
      </c>
      <c r="AS26">
        <f>IF($AP26="","",IF(INDEX('_pockets'!$Y:$Y,$AP26)="","",INDEX('_pockets'!$Y:$Y,$AP26)))</f>
        <v/>
      </c>
      <c r="AT26">
        <f>IF($AQ26="","",IF(INDEX('_pockets'!$Y:$Y,$AQ26)="","",INDEX('_pockets'!$Y:$Y,$AQ26)))</f>
        <v/>
      </c>
      <c r="AU26">
        <f>IF($AR26="","",IF(INDEX('_pockets'!$Y:$Y,$AR26)="","",INDEX('_pockets'!$Y:$Y,$AR26)))</f>
        <v/>
      </c>
      <c r="AV26">
        <f>IF(OR($AO26=1,$AO26=""),"",IF(AND($AT26="worse",$AU26="better"),"Priced for it",IF(AND($AT26="worse",$AU26="worse"),"Net drain",IF(AND($AT26="better",$AU26="better"),"Strong",IF(AND($AT26="better",$AU26="worse"),"Safe but idle",IF(AND(OR($AT26="in line",$AT26="worse, not significant",$AT26="better, not significant"),$AU26="worse"),"Earns less, not from losses",IF(AND($AT26="worse",OR($AU26="in line",$AU26="worse, not significant",$AU26="better, not significant")),"Losing more, profit holding","")))))))</f>
        <v/>
      </c>
      <c r="AW26">
        <f>IF($AQ26="","",IF(INDEX('_pockets'!$AM:$AM,$AQ26)="","",INDEX('_pockets'!$AM:$AM,$AQ26)))</f>
        <v/>
      </c>
      <c r="AX26">
        <f>IF($AR26="","",IF(INDEX('_pockets'!$AM:$AM,$AR26)="","",INDEX('_pockets'!$AM:$AM,$AR26)))</f>
        <v/>
      </c>
    </row>
    <row r="27" ht="16" customHeight="1">
      <c r="B27" s="113">
        <f>IF($AN27="","",IF(INDEX('_views'!$B:$ZZ,$AN27,1)="","",INDEX('_views'!$B:$ZZ,$AN27,1)))</f>
        <v/>
      </c>
      <c r="C27" s="113">
        <f>IF($AN27="","",IF(INDEX('_views'!$B:$ZZ,$AN27,2)="","",INDEX('_views'!$B:$ZZ,$AN27,2)))</f>
        <v/>
      </c>
      <c r="D27" s="114">
        <f>IF($AN27="","",IF(INDEX('_views'!$B:$ZZ,$AN27,3)="","",INDEX('_views'!$B:$ZZ,$AN27,3)))</f>
        <v/>
      </c>
      <c r="E27" s="123">
        <f>IF(IF($AP27="","",IF(INDEX('_pockets'!$AB:$AB,$AP27)="","",INDEX('_pockets'!$AB:$AB,$AP27)))="","",IF($AP27="","",IF(INDEX('_pockets'!$AB:$AB,$AP27)="","",INDEX('_pockets'!$AB:$AB,$AP27)))*100)</f>
        <v/>
      </c>
      <c r="F27" s="114">
        <f>IF(IF($AP27="","",IF(INDEX('_pockets'!$Z:$Z,$AP27)="","",INDEX('_pockets'!$Z:$Z,$AP27)))="","",-IF($AP27="","",IF(INDEX('_pockets'!$Z:$Z,$AP27)="","",INDEX('_pockets'!$Z:$Z,$AP27))))</f>
        <v/>
      </c>
      <c r="G27" s="116">
        <f>IF($AQ27="","",IF(INDEX('_pockets'!$AB:$AB,$AQ27)="","",INDEX('_pockets'!$AB:$AB,$AQ27)))</f>
        <v/>
      </c>
      <c r="H27" s="114">
        <f>IF($AQ27="","",IF(INDEX('_pockets'!$Z:$Z,$AQ27)="","",INDEX('_pockets'!$Z:$Z,$AQ27)))</f>
        <v/>
      </c>
      <c r="I27" s="123">
        <f>IF(IF($AR27="","",IF(INDEX('_pockets'!$AB:$AB,$AR27)="","",INDEX('_pockets'!$AB:$AB,$AR27)))="","",IF($AR27="","",IF(INDEX('_pockets'!$AB:$AB,$AR27)="","",INDEX('_pockets'!$AB:$AB,$AR27)))*100)</f>
        <v/>
      </c>
      <c r="J27" s="114">
        <f>IF(IF($AR27="","",IF(INDEX('_pockets'!$Z:$Z,$AR27)="","",INDEX('_pockets'!$Z:$Z,$AR27)))="","",-IF($AR27="","",IF(INDEX('_pockets'!$Z:$Z,$AR27)="","",INDEX('_pockets'!$Z:$Z,$AR27))))</f>
        <v/>
      </c>
      <c r="K27" s="124">
        <f>IF(OR($AV27="",AND($AW27="",$AX27="")),$AV27,$AV27&amp;" · borderline (p "&amp;IF(AND($AW27&lt;&gt;"",$AX27&lt;&gt;""),$AW27&amp;" and "&amp;$AX27,$AW27&amp;$AX27)&amp;")")</f>
        <v/>
      </c>
      <c r="AN27">
        <f>IFERROR(MATCH("C|"&amp;$B$16&amp;"|8",'_views'!$A:$A,0),"")</f>
        <v/>
      </c>
      <c r="AO27">
        <f>IF($AN27="","",IF(INDEX('_views'!$B:$ZZ,$AN27,4)="","",INDEX('_views'!$B:$ZZ,$AN27,4)))</f>
        <v/>
      </c>
      <c r="AP27">
        <f>IF($AN27="","",IF(INDEX('_views'!$B:$ZZ,$AN27,5)="","",INDEX('_views'!$B:$ZZ,$AN27,5)))</f>
        <v/>
      </c>
      <c r="AQ27">
        <f>IF($AN27="","",IF(INDEX('_views'!$B:$ZZ,$AN27,6)="","",INDEX('_views'!$B:$ZZ,$AN27,6)))</f>
        <v/>
      </c>
      <c r="AR27">
        <f>IF($AN27="","",IF(INDEX('_views'!$B:$ZZ,$AN27,7)="","",INDEX('_views'!$B:$ZZ,$AN27,7)))</f>
        <v/>
      </c>
      <c r="AS27">
        <f>IF($AP27="","",IF(INDEX('_pockets'!$Y:$Y,$AP27)="","",INDEX('_pockets'!$Y:$Y,$AP27)))</f>
        <v/>
      </c>
      <c r="AT27">
        <f>IF($AQ27="","",IF(INDEX('_pockets'!$Y:$Y,$AQ27)="","",INDEX('_pockets'!$Y:$Y,$AQ27)))</f>
        <v/>
      </c>
      <c r="AU27">
        <f>IF($AR27="","",IF(INDEX('_pockets'!$Y:$Y,$AR27)="","",INDEX('_pockets'!$Y:$Y,$AR27)))</f>
        <v/>
      </c>
      <c r="AV27">
        <f>IF(OR($AO27=1,$AO27=""),"",IF(AND($AT27="worse",$AU27="better"),"Priced for it",IF(AND($AT27="worse",$AU27="worse"),"Net drain",IF(AND($AT27="better",$AU27="better"),"Strong",IF(AND($AT27="better",$AU27="worse"),"Safe but idle",IF(AND(OR($AT27="in line",$AT27="worse, not significant",$AT27="better, not significant"),$AU27="worse"),"Earns less, not from losses",IF(AND($AT27="worse",OR($AU27="in line",$AU27="worse, not significant",$AU27="better, not significant")),"Losing more, profit holding","")))))))</f>
        <v/>
      </c>
      <c r="AW27">
        <f>IF($AQ27="","",IF(INDEX('_pockets'!$AM:$AM,$AQ27)="","",INDEX('_pockets'!$AM:$AM,$AQ27)))</f>
        <v/>
      </c>
      <c r="AX27">
        <f>IF($AR27="","",IF(INDEX('_pockets'!$AM:$AM,$AR27)="","",INDEX('_pockets'!$AM:$AM,$AR27)))</f>
        <v/>
      </c>
    </row>
    <row r="28" ht="16" customHeight="1">
      <c r="B28" s="113">
        <f>IF($AN28="","",IF(INDEX('_views'!$B:$ZZ,$AN28,1)="","",INDEX('_views'!$B:$ZZ,$AN28,1)))</f>
        <v/>
      </c>
      <c r="C28" s="113">
        <f>IF($AN28="","",IF(INDEX('_views'!$B:$ZZ,$AN28,2)="","",INDEX('_views'!$B:$ZZ,$AN28,2)))</f>
        <v/>
      </c>
      <c r="D28" s="114">
        <f>IF($AN28="","",IF(INDEX('_views'!$B:$ZZ,$AN28,3)="","",INDEX('_views'!$B:$ZZ,$AN28,3)))</f>
        <v/>
      </c>
      <c r="E28" s="123">
        <f>IF(IF($AP28="","",IF(INDEX('_pockets'!$AB:$AB,$AP28)="","",INDEX('_pockets'!$AB:$AB,$AP28)))="","",IF($AP28="","",IF(INDEX('_pockets'!$AB:$AB,$AP28)="","",INDEX('_pockets'!$AB:$AB,$AP28)))*100)</f>
        <v/>
      </c>
      <c r="F28" s="114">
        <f>IF(IF($AP28="","",IF(INDEX('_pockets'!$Z:$Z,$AP28)="","",INDEX('_pockets'!$Z:$Z,$AP28)))="","",-IF($AP28="","",IF(INDEX('_pockets'!$Z:$Z,$AP28)="","",INDEX('_pockets'!$Z:$Z,$AP28))))</f>
        <v/>
      </c>
      <c r="G28" s="116">
        <f>IF($AQ28="","",IF(INDEX('_pockets'!$AB:$AB,$AQ28)="","",INDEX('_pockets'!$AB:$AB,$AQ28)))</f>
        <v/>
      </c>
      <c r="H28" s="114">
        <f>IF($AQ28="","",IF(INDEX('_pockets'!$Z:$Z,$AQ28)="","",INDEX('_pockets'!$Z:$Z,$AQ28)))</f>
        <v/>
      </c>
      <c r="I28" s="123">
        <f>IF(IF($AR28="","",IF(INDEX('_pockets'!$AB:$AB,$AR28)="","",INDEX('_pockets'!$AB:$AB,$AR28)))="","",IF($AR28="","",IF(INDEX('_pockets'!$AB:$AB,$AR28)="","",INDEX('_pockets'!$AB:$AB,$AR28)))*100)</f>
        <v/>
      </c>
      <c r="J28" s="114">
        <f>IF(IF($AR28="","",IF(INDEX('_pockets'!$Z:$Z,$AR28)="","",INDEX('_pockets'!$Z:$Z,$AR28)))="","",-IF($AR28="","",IF(INDEX('_pockets'!$Z:$Z,$AR28)="","",INDEX('_pockets'!$Z:$Z,$AR28))))</f>
        <v/>
      </c>
      <c r="K28" s="124">
        <f>IF(OR($AV28="",AND($AW28="",$AX28="")),$AV28,$AV28&amp;" · borderline (p "&amp;IF(AND($AW28&lt;&gt;"",$AX28&lt;&gt;""),$AW28&amp;" and "&amp;$AX28,$AW28&amp;$AX28)&amp;")")</f>
        <v/>
      </c>
      <c r="AN28">
        <f>IFERROR(MATCH("C|"&amp;$B$16&amp;"|9",'_views'!$A:$A,0),"")</f>
        <v/>
      </c>
      <c r="AO28">
        <f>IF($AN28="","",IF(INDEX('_views'!$B:$ZZ,$AN28,4)="","",INDEX('_views'!$B:$ZZ,$AN28,4)))</f>
        <v/>
      </c>
      <c r="AP28">
        <f>IF($AN28="","",IF(INDEX('_views'!$B:$ZZ,$AN28,5)="","",INDEX('_views'!$B:$ZZ,$AN28,5)))</f>
        <v/>
      </c>
      <c r="AQ28">
        <f>IF($AN28="","",IF(INDEX('_views'!$B:$ZZ,$AN28,6)="","",INDEX('_views'!$B:$ZZ,$AN28,6)))</f>
        <v/>
      </c>
      <c r="AR28">
        <f>IF($AN28="","",IF(INDEX('_views'!$B:$ZZ,$AN28,7)="","",INDEX('_views'!$B:$ZZ,$AN28,7)))</f>
        <v/>
      </c>
      <c r="AS28">
        <f>IF($AP28="","",IF(INDEX('_pockets'!$Y:$Y,$AP28)="","",INDEX('_pockets'!$Y:$Y,$AP28)))</f>
        <v/>
      </c>
      <c r="AT28">
        <f>IF($AQ28="","",IF(INDEX('_pockets'!$Y:$Y,$AQ28)="","",INDEX('_pockets'!$Y:$Y,$AQ28)))</f>
        <v/>
      </c>
      <c r="AU28">
        <f>IF($AR28="","",IF(INDEX('_pockets'!$Y:$Y,$AR28)="","",INDEX('_pockets'!$Y:$Y,$AR28)))</f>
        <v/>
      </c>
      <c r="AV28">
        <f>IF(OR($AO28=1,$AO28=""),"",IF(AND($AT28="worse",$AU28="better"),"Priced for it",IF(AND($AT28="worse",$AU28="worse"),"Net drain",IF(AND($AT28="better",$AU28="better"),"Strong",IF(AND($AT28="better",$AU28="worse"),"Safe but idle",IF(AND(OR($AT28="in line",$AT28="worse, not significant",$AT28="better, not significant"),$AU28="worse"),"Earns less, not from losses",IF(AND($AT28="worse",OR($AU28="in line",$AU28="worse, not significant",$AU28="better, not significant")),"Losing more, profit holding","")))))))</f>
        <v/>
      </c>
      <c r="AW28">
        <f>IF($AQ28="","",IF(INDEX('_pockets'!$AM:$AM,$AQ28)="","",INDEX('_pockets'!$AM:$AM,$AQ28)))</f>
        <v/>
      </c>
      <c r="AX28">
        <f>IF($AR28="","",IF(INDEX('_pockets'!$AM:$AM,$AR28)="","",INDEX('_pockets'!$AM:$AM,$AR28)))</f>
        <v/>
      </c>
    </row>
    <row r="29" ht="16" customHeight="1">
      <c r="B29" s="113">
        <f>IF($AN29="","",IF(INDEX('_views'!$B:$ZZ,$AN29,1)="","",INDEX('_views'!$B:$ZZ,$AN29,1)))</f>
        <v/>
      </c>
      <c r="C29" s="113">
        <f>IF($AN29="","",IF(INDEX('_views'!$B:$ZZ,$AN29,2)="","",INDEX('_views'!$B:$ZZ,$AN29,2)))</f>
        <v/>
      </c>
      <c r="D29" s="114">
        <f>IF($AN29="","",IF(INDEX('_views'!$B:$ZZ,$AN29,3)="","",INDEX('_views'!$B:$ZZ,$AN29,3)))</f>
        <v/>
      </c>
      <c r="E29" s="123">
        <f>IF(IF($AP29="","",IF(INDEX('_pockets'!$AB:$AB,$AP29)="","",INDEX('_pockets'!$AB:$AB,$AP29)))="","",IF($AP29="","",IF(INDEX('_pockets'!$AB:$AB,$AP29)="","",INDEX('_pockets'!$AB:$AB,$AP29)))*100)</f>
        <v/>
      </c>
      <c r="F29" s="114">
        <f>IF(IF($AP29="","",IF(INDEX('_pockets'!$Z:$Z,$AP29)="","",INDEX('_pockets'!$Z:$Z,$AP29)))="","",-IF($AP29="","",IF(INDEX('_pockets'!$Z:$Z,$AP29)="","",INDEX('_pockets'!$Z:$Z,$AP29))))</f>
        <v/>
      </c>
      <c r="G29" s="116">
        <f>IF($AQ29="","",IF(INDEX('_pockets'!$AB:$AB,$AQ29)="","",INDEX('_pockets'!$AB:$AB,$AQ29)))</f>
        <v/>
      </c>
      <c r="H29" s="114">
        <f>IF($AQ29="","",IF(INDEX('_pockets'!$Z:$Z,$AQ29)="","",INDEX('_pockets'!$Z:$Z,$AQ29)))</f>
        <v/>
      </c>
      <c r="I29" s="123">
        <f>IF(IF($AR29="","",IF(INDEX('_pockets'!$AB:$AB,$AR29)="","",INDEX('_pockets'!$AB:$AB,$AR29)))="","",IF($AR29="","",IF(INDEX('_pockets'!$AB:$AB,$AR29)="","",INDEX('_pockets'!$AB:$AB,$AR29)))*100)</f>
        <v/>
      </c>
      <c r="J29" s="114">
        <f>IF(IF($AR29="","",IF(INDEX('_pockets'!$Z:$Z,$AR29)="","",INDEX('_pockets'!$Z:$Z,$AR29)))="","",-IF($AR29="","",IF(INDEX('_pockets'!$Z:$Z,$AR29)="","",INDEX('_pockets'!$Z:$Z,$AR29))))</f>
        <v/>
      </c>
      <c r="K29" s="124">
        <f>IF(OR($AV29="",AND($AW29="",$AX29="")),$AV29,$AV29&amp;" · borderline (p "&amp;IF(AND($AW29&lt;&gt;"",$AX29&lt;&gt;""),$AW29&amp;" and "&amp;$AX29,$AW29&amp;$AX29)&amp;")")</f>
        <v/>
      </c>
      <c r="AN29">
        <f>IFERROR(MATCH("C|"&amp;$B$16&amp;"|10",'_views'!$A:$A,0),"")</f>
        <v/>
      </c>
      <c r="AO29">
        <f>IF($AN29="","",IF(INDEX('_views'!$B:$ZZ,$AN29,4)="","",INDEX('_views'!$B:$ZZ,$AN29,4)))</f>
        <v/>
      </c>
      <c r="AP29">
        <f>IF($AN29="","",IF(INDEX('_views'!$B:$ZZ,$AN29,5)="","",INDEX('_views'!$B:$ZZ,$AN29,5)))</f>
        <v/>
      </c>
      <c r="AQ29">
        <f>IF($AN29="","",IF(INDEX('_views'!$B:$ZZ,$AN29,6)="","",INDEX('_views'!$B:$ZZ,$AN29,6)))</f>
        <v/>
      </c>
      <c r="AR29">
        <f>IF($AN29="","",IF(INDEX('_views'!$B:$ZZ,$AN29,7)="","",INDEX('_views'!$B:$ZZ,$AN29,7)))</f>
        <v/>
      </c>
      <c r="AS29">
        <f>IF($AP29="","",IF(INDEX('_pockets'!$Y:$Y,$AP29)="","",INDEX('_pockets'!$Y:$Y,$AP29)))</f>
        <v/>
      </c>
      <c r="AT29">
        <f>IF($AQ29="","",IF(INDEX('_pockets'!$Y:$Y,$AQ29)="","",INDEX('_pockets'!$Y:$Y,$AQ29)))</f>
        <v/>
      </c>
      <c r="AU29">
        <f>IF($AR29="","",IF(INDEX('_pockets'!$Y:$Y,$AR29)="","",INDEX('_pockets'!$Y:$Y,$AR29)))</f>
        <v/>
      </c>
      <c r="AV29">
        <f>IF(OR($AO29=1,$AO29=""),"",IF(AND($AT29="worse",$AU29="better"),"Priced for it",IF(AND($AT29="worse",$AU29="worse"),"Net drain",IF(AND($AT29="better",$AU29="better"),"Strong",IF(AND($AT29="better",$AU29="worse"),"Safe but idle",IF(AND(OR($AT29="in line",$AT29="worse, not significant",$AT29="better, not significant"),$AU29="worse"),"Earns less, not from losses",IF(AND($AT29="worse",OR($AU29="in line",$AU29="worse, not significant",$AU29="better, not significant")),"Losing more, profit holding","")))))))</f>
        <v/>
      </c>
      <c r="AW29">
        <f>IF($AQ29="","",IF(INDEX('_pockets'!$AM:$AM,$AQ29)="","",INDEX('_pockets'!$AM:$AM,$AQ29)))</f>
        <v/>
      </c>
      <c r="AX29">
        <f>IF($AR29="","",IF(INDEX('_pockets'!$AM:$AM,$AR29)="","",INDEX('_pockets'!$AM:$AM,$AR29)))</f>
        <v/>
      </c>
    </row>
    <row r="30" ht="16" customHeight="1">
      <c r="B30" s="113">
        <f>IF($AN30="","",IF(INDEX('_views'!$B:$ZZ,$AN30,1)="","",INDEX('_views'!$B:$ZZ,$AN30,1)))</f>
        <v/>
      </c>
      <c r="C30" s="113">
        <f>IF($AN30="","",IF(INDEX('_views'!$B:$ZZ,$AN30,2)="","",INDEX('_views'!$B:$ZZ,$AN30,2)))</f>
        <v/>
      </c>
      <c r="D30" s="114">
        <f>IF($AN30="","",IF(INDEX('_views'!$B:$ZZ,$AN30,3)="","",INDEX('_views'!$B:$ZZ,$AN30,3)))</f>
        <v/>
      </c>
      <c r="E30" s="123">
        <f>IF(IF($AP30="","",IF(INDEX('_pockets'!$AB:$AB,$AP30)="","",INDEX('_pockets'!$AB:$AB,$AP30)))="","",IF($AP30="","",IF(INDEX('_pockets'!$AB:$AB,$AP30)="","",INDEX('_pockets'!$AB:$AB,$AP30)))*100)</f>
        <v/>
      </c>
      <c r="F30" s="114">
        <f>IF(IF($AP30="","",IF(INDEX('_pockets'!$Z:$Z,$AP30)="","",INDEX('_pockets'!$Z:$Z,$AP30)))="","",-IF($AP30="","",IF(INDEX('_pockets'!$Z:$Z,$AP30)="","",INDEX('_pockets'!$Z:$Z,$AP30))))</f>
        <v/>
      </c>
      <c r="G30" s="116">
        <f>IF($AQ30="","",IF(INDEX('_pockets'!$AB:$AB,$AQ30)="","",INDEX('_pockets'!$AB:$AB,$AQ30)))</f>
        <v/>
      </c>
      <c r="H30" s="114">
        <f>IF($AQ30="","",IF(INDEX('_pockets'!$Z:$Z,$AQ30)="","",INDEX('_pockets'!$Z:$Z,$AQ30)))</f>
        <v/>
      </c>
      <c r="I30" s="123">
        <f>IF(IF($AR30="","",IF(INDEX('_pockets'!$AB:$AB,$AR30)="","",INDEX('_pockets'!$AB:$AB,$AR30)))="","",IF($AR30="","",IF(INDEX('_pockets'!$AB:$AB,$AR30)="","",INDEX('_pockets'!$AB:$AB,$AR30)))*100)</f>
        <v/>
      </c>
      <c r="J30" s="114">
        <f>IF(IF($AR30="","",IF(INDEX('_pockets'!$Z:$Z,$AR30)="","",INDEX('_pockets'!$Z:$Z,$AR30)))="","",-IF($AR30="","",IF(INDEX('_pockets'!$Z:$Z,$AR30)="","",INDEX('_pockets'!$Z:$Z,$AR30))))</f>
        <v/>
      </c>
      <c r="K30" s="124">
        <f>IF(OR($AV30="",AND($AW30="",$AX30="")),$AV30,$AV30&amp;" · borderline (p "&amp;IF(AND($AW30&lt;&gt;"",$AX30&lt;&gt;""),$AW30&amp;" and "&amp;$AX30,$AW30&amp;$AX30)&amp;")")</f>
        <v/>
      </c>
      <c r="AN30">
        <f>IFERROR(MATCH("C|"&amp;$B$16&amp;"|11",'_views'!$A:$A,0),"")</f>
        <v/>
      </c>
      <c r="AO30">
        <f>IF($AN30="","",IF(INDEX('_views'!$B:$ZZ,$AN30,4)="","",INDEX('_views'!$B:$ZZ,$AN30,4)))</f>
        <v/>
      </c>
      <c r="AP30">
        <f>IF($AN30="","",IF(INDEX('_views'!$B:$ZZ,$AN30,5)="","",INDEX('_views'!$B:$ZZ,$AN30,5)))</f>
        <v/>
      </c>
      <c r="AQ30">
        <f>IF($AN30="","",IF(INDEX('_views'!$B:$ZZ,$AN30,6)="","",INDEX('_views'!$B:$ZZ,$AN30,6)))</f>
        <v/>
      </c>
      <c r="AR30">
        <f>IF($AN30="","",IF(INDEX('_views'!$B:$ZZ,$AN30,7)="","",INDEX('_views'!$B:$ZZ,$AN30,7)))</f>
        <v/>
      </c>
      <c r="AS30">
        <f>IF($AP30="","",IF(INDEX('_pockets'!$Y:$Y,$AP30)="","",INDEX('_pockets'!$Y:$Y,$AP30)))</f>
        <v/>
      </c>
      <c r="AT30">
        <f>IF($AQ30="","",IF(INDEX('_pockets'!$Y:$Y,$AQ30)="","",INDEX('_pockets'!$Y:$Y,$AQ30)))</f>
        <v/>
      </c>
      <c r="AU30">
        <f>IF($AR30="","",IF(INDEX('_pockets'!$Y:$Y,$AR30)="","",INDEX('_pockets'!$Y:$Y,$AR30)))</f>
        <v/>
      </c>
      <c r="AV30">
        <f>IF(OR($AO30=1,$AO30=""),"",IF(AND($AT30="worse",$AU30="better"),"Priced for it",IF(AND($AT30="worse",$AU30="worse"),"Net drain",IF(AND($AT30="better",$AU30="better"),"Strong",IF(AND($AT30="better",$AU30="worse"),"Safe but idle",IF(AND(OR($AT30="in line",$AT30="worse, not significant",$AT30="better, not significant"),$AU30="worse"),"Earns less, not from losses",IF(AND($AT30="worse",OR($AU30="in line",$AU30="worse, not significant",$AU30="better, not significant")),"Losing more, profit holding","")))))))</f>
        <v/>
      </c>
      <c r="AW30">
        <f>IF($AQ30="","",IF(INDEX('_pockets'!$AM:$AM,$AQ30)="","",INDEX('_pockets'!$AM:$AM,$AQ30)))</f>
        <v/>
      </c>
      <c r="AX30">
        <f>IF($AR30="","",IF(INDEX('_pockets'!$AM:$AM,$AR30)="","",INDEX('_pockets'!$AM:$AM,$AR30)))</f>
        <v/>
      </c>
    </row>
    <row r="31" ht="16" customHeight="1">
      <c r="B31" s="113">
        <f>IF($AN31="","",IF(INDEX('_views'!$B:$ZZ,$AN31,1)="","",INDEX('_views'!$B:$ZZ,$AN31,1)))</f>
        <v/>
      </c>
      <c r="C31" s="113">
        <f>IF($AN31="","",IF(INDEX('_views'!$B:$ZZ,$AN31,2)="","",INDEX('_views'!$B:$ZZ,$AN31,2)))</f>
        <v/>
      </c>
      <c r="D31" s="114">
        <f>IF($AN31="","",IF(INDEX('_views'!$B:$ZZ,$AN31,3)="","",INDEX('_views'!$B:$ZZ,$AN31,3)))</f>
        <v/>
      </c>
      <c r="E31" s="123">
        <f>IF(IF($AP31="","",IF(INDEX('_pockets'!$AB:$AB,$AP31)="","",INDEX('_pockets'!$AB:$AB,$AP31)))="","",IF($AP31="","",IF(INDEX('_pockets'!$AB:$AB,$AP31)="","",INDEX('_pockets'!$AB:$AB,$AP31)))*100)</f>
        <v/>
      </c>
      <c r="F31" s="114">
        <f>IF(IF($AP31="","",IF(INDEX('_pockets'!$Z:$Z,$AP31)="","",INDEX('_pockets'!$Z:$Z,$AP31)))="","",-IF($AP31="","",IF(INDEX('_pockets'!$Z:$Z,$AP31)="","",INDEX('_pockets'!$Z:$Z,$AP31))))</f>
        <v/>
      </c>
      <c r="G31" s="116">
        <f>IF($AQ31="","",IF(INDEX('_pockets'!$AB:$AB,$AQ31)="","",INDEX('_pockets'!$AB:$AB,$AQ31)))</f>
        <v/>
      </c>
      <c r="H31" s="114">
        <f>IF($AQ31="","",IF(INDEX('_pockets'!$Z:$Z,$AQ31)="","",INDEX('_pockets'!$Z:$Z,$AQ31)))</f>
        <v/>
      </c>
      <c r="I31" s="123">
        <f>IF(IF($AR31="","",IF(INDEX('_pockets'!$AB:$AB,$AR31)="","",INDEX('_pockets'!$AB:$AB,$AR31)))="","",IF($AR31="","",IF(INDEX('_pockets'!$AB:$AB,$AR31)="","",INDEX('_pockets'!$AB:$AB,$AR31)))*100)</f>
        <v/>
      </c>
      <c r="J31" s="114">
        <f>IF(IF($AR31="","",IF(INDEX('_pockets'!$Z:$Z,$AR31)="","",INDEX('_pockets'!$Z:$Z,$AR31)))="","",-IF($AR31="","",IF(INDEX('_pockets'!$Z:$Z,$AR31)="","",INDEX('_pockets'!$Z:$Z,$AR31))))</f>
        <v/>
      </c>
      <c r="K31" s="124">
        <f>IF(OR($AV31="",AND($AW31="",$AX31="")),$AV31,$AV31&amp;" · borderline (p "&amp;IF(AND($AW31&lt;&gt;"",$AX31&lt;&gt;""),$AW31&amp;" and "&amp;$AX31,$AW31&amp;$AX31)&amp;")")</f>
        <v/>
      </c>
      <c r="AN31">
        <f>IFERROR(MATCH("C|"&amp;$B$16&amp;"|12",'_views'!$A:$A,0),"")</f>
        <v/>
      </c>
      <c r="AO31">
        <f>IF($AN31="","",IF(INDEX('_views'!$B:$ZZ,$AN31,4)="","",INDEX('_views'!$B:$ZZ,$AN31,4)))</f>
        <v/>
      </c>
      <c r="AP31">
        <f>IF($AN31="","",IF(INDEX('_views'!$B:$ZZ,$AN31,5)="","",INDEX('_views'!$B:$ZZ,$AN31,5)))</f>
        <v/>
      </c>
      <c r="AQ31">
        <f>IF($AN31="","",IF(INDEX('_views'!$B:$ZZ,$AN31,6)="","",INDEX('_views'!$B:$ZZ,$AN31,6)))</f>
        <v/>
      </c>
      <c r="AR31">
        <f>IF($AN31="","",IF(INDEX('_views'!$B:$ZZ,$AN31,7)="","",INDEX('_views'!$B:$ZZ,$AN31,7)))</f>
        <v/>
      </c>
      <c r="AS31">
        <f>IF($AP31="","",IF(INDEX('_pockets'!$Y:$Y,$AP31)="","",INDEX('_pockets'!$Y:$Y,$AP31)))</f>
        <v/>
      </c>
      <c r="AT31">
        <f>IF($AQ31="","",IF(INDEX('_pockets'!$Y:$Y,$AQ31)="","",INDEX('_pockets'!$Y:$Y,$AQ31)))</f>
        <v/>
      </c>
      <c r="AU31">
        <f>IF($AR31="","",IF(INDEX('_pockets'!$Y:$Y,$AR31)="","",INDEX('_pockets'!$Y:$Y,$AR31)))</f>
        <v/>
      </c>
      <c r="AV31">
        <f>IF(OR($AO31=1,$AO31=""),"",IF(AND($AT31="worse",$AU31="better"),"Priced for it",IF(AND($AT31="worse",$AU31="worse"),"Net drain",IF(AND($AT31="better",$AU31="better"),"Strong",IF(AND($AT31="better",$AU31="worse"),"Safe but idle",IF(AND(OR($AT31="in line",$AT31="worse, not significant",$AT31="better, not significant"),$AU31="worse"),"Earns less, not from losses",IF(AND($AT31="worse",OR($AU31="in line",$AU31="worse, not significant",$AU31="better, not significant")),"Losing more, profit holding","")))))))</f>
        <v/>
      </c>
      <c r="AW31">
        <f>IF($AQ31="","",IF(INDEX('_pockets'!$AM:$AM,$AQ31)="","",INDEX('_pockets'!$AM:$AM,$AQ31)))</f>
        <v/>
      </c>
      <c r="AX31">
        <f>IF($AR31="","",IF(INDEX('_pockets'!$AM:$AM,$AR31)="","",INDEX('_pockets'!$AM:$AM,$AR31)))</f>
        <v/>
      </c>
    </row>
    <row r="32" ht="16" customHeight="1">
      <c r="B32" s="113">
        <f>IF($AN32="","",IF(INDEX('_views'!$B:$ZZ,$AN32,1)="","",INDEX('_views'!$B:$ZZ,$AN32,1)))</f>
        <v/>
      </c>
      <c r="C32" s="113">
        <f>IF($AN32="","",IF(INDEX('_views'!$B:$ZZ,$AN32,2)="","",INDEX('_views'!$B:$ZZ,$AN32,2)))</f>
        <v/>
      </c>
      <c r="D32" s="114">
        <f>IF($AN32="","",IF(INDEX('_views'!$B:$ZZ,$AN32,3)="","",INDEX('_views'!$B:$ZZ,$AN32,3)))</f>
        <v/>
      </c>
      <c r="E32" s="123">
        <f>IF(IF($AP32="","",IF(INDEX('_pockets'!$AB:$AB,$AP32)="","",INDEX('_pockets'!$AB:$AB,$AP32)))="","",IF($AP32="","",IF(INDEX('_pockets'!$AB:$AB,$AP32)="","",INDEX('_pockets'!$AB:$AB,$AP32)))*100)</f>
        <v/>
      </c>
      <c r="F32" s="114">
        <f>IF(IF($AP32="","",IF(INDEX('_pockets'!$Z:$Z,$AP32)="","",INDEX('_pockets'!$Z:$Z,$AP32)))="","",-IF($AP32="","",IF(INDEX('_pockets'!$Z:$Z,$AP32)="","",INDEX('_pockets'!$Z:$Z,$AP32))))</f>
        <v/>
      </c>
      <c r="G32" s="116">
        <f>IF($AQ32="","",IF(INDEX('_pockets'!$AB:$AB,$AQ32)="","",INDEX('_pockets'!$AB:$AB,$AQ32)))</f>
        <v/>
      </c>
      <c r="H32" s="114">
        <f>IF($AQ32="","",IF(INDEX('_pockets'!$Z:$Z,$AQ32)="","",INDEX('_pockets'!$Z:$Z,$AQ32)))</f>
        <v/>
      </c>
      <c r="I32" s="123">
        <f>IF(IF($AR32="","",IF(INDEX('_pockets'!$AB:$AB,$AR32)="","",INDEX('_pockets'!$AB:$AB,$AR32)))="","",IF($AR32="","",IF(INDEX('_pockets'!$AB:$AB,$AR32)="","",INDEX('_pockets'!$AB:$AB,$AR32)))*100)</f>
        <v/>
      </c>
      <c r="J32" s="114">
        <f>IF(IF($AR32="","",IF(INDEX('_pockets'!$Z:$Z,$AR32)="","",INDEX('_pockets'!$Z:$Z,$AR32)))="","",-IF($AR32="","",IF(INDEX('_pockets'!$Z:$Z,$AR32)="","",INDEX('_pockets'!$Z:$Z,$AR32))))</f>
        <v/>
      </c>
      <c r="K32" s="124">
        <f>IF(OR($AV32="",AND($AW32="",$AX32="")),$AV32,$AV32&amp;" · borderline (p "&amp;IF(AND($AW32&lt;&gt;"",$AX32&lt;&gt;""),$AW32&amp;" and "&amp;$AX32,$AW32&amp;$AX32)&amp;")")</f>
        <v/>
      </c>
      <c r="AN32">
        <f>IFERROR(MATCH("C|"&amp;$B$16&amp;"|13",'_views'!$A:$A,0),"")</f>
        <v/>
      </c>
      <c r="AO32">
        <f>IF($AN32="","",IF(INDEX('_views'!$B:$ZZ,$AN32,4)="","",INDEX('_views'!$B:$ZZ,$AN32,4)))</f>
        <v/>
      </c>
      <c r="AP32">
        <f>IF($AN32="","",IF(INDEX('_views'!$B:$ZZ,$AN32,5)="","",INDEX('_views'!$B:$ZZ,$AN32,5)))</f>
        <v/>
      </c>
      <c r="AQ32">
        <f>IF($AN32="","",IF(INDEX('_views'!$B:$ZZ,$AN32,6)="","",INDEX('_views'!$B:$ZZ,$AN32,6)))</f>
        <v/>
      </c>
      <c r="AR32">
        <f>IF($AN32="","",IF(INDEX('_views'!$B:$ZZ,$AN32,7)="","",INDEX('_views'!$B:$ZZ,$AN32,7)))</f>
        <v/>
      </c>
      <c r="AS32">
        <f>IF($AP32="","",IF(INDEX('_pockets'!$Y:$Y,$AP32)="","",INDEX('_pockets'!$Y:$Y,$AP32)))</f>
        <v/>
      </c>
      <c r="AT32">
        <f>IF($AQ32="","",IF(INDEX('_pockets'!$Y:$Y,$AQ32)="","",INDEX('_pockets'!$Y:$Y,$AQ32)))</f>
        <v/>
      </c>
      <c r="AU32">
        <f>IF($AR32="","",IF(INDEX('_pockets'!$Y:$Y,$AR32)="","",INDEX('_pockets'!$Y:$Y,$AR32)))</f>
        <v/>
      </c>
      <c r="AV32">
        <f>IF(OR($AO32=1,$AO32=""),"",IF(AND($AT32="worse",$AU32="better"),"Priced for it",IF(AND($AT32="worse",$AU32="worse"),"Net drain",IF(AND($AT32="better",$AU32="better"),"Strong",IF(AND($AT32="better",$AU32="worse"),"Safe but idle",IF(AND(OR($AT32="in line",$AT32="worse, not significant",$AT32="better, not significant"),$AU32="worse"),"Earns less, not from losses",IF(AND($AT32="worse",OR($AU32="in line",$AU32="worse, not significant",$AU32="better, not significant")),"Losing more, profit holding","")))))))</f>
        <v/>
      </c>
      <c r="AW32">
        <f>IF($AQ32="","",IF(INDEX('_pockets'!$AM:$AM,$AQ32)="","",INDEX('_pockets'!$AM:$AM,$AQ32)))</f>
        <v/>
      </c>
      <c r="AX32">
        <f>IF($AR32="","",IF(INDEX('_pockets'!$AM:$AM,$AR32)="","",INDEX('_pockets'!$AM:$AM,$AR32)))</f>
        <v/>
      </c>
    </row>
    <row r="33" ht="16" customHeight="1">
      <c r="B33" s="113">
        <f>IF($AN33="","",IF(INDEX('_views'!$B:$ZZ,$AN33,1)="","",INDEX('_views'!$B:$ZZ,$AN33,1)))</f>
        <v/>
      </c>
      <c r="C33" s="113">
        <f>IF($AN33="","",IF(INDEX('_views'!$B:$ZZ,$AN33,2)="","",INDEX('_views'!$B:$ZZ,$AN33,2)))</f>
        <v/>
      </c>
      <c r="D33" s="114">
        <f>IF($AN33="","",IF(INDEX('_views'!$B:$ZZ,$AN33,3)="","",INDEX('_views'!$B:$ZZ,$AN33,3)))</f>
        <v/>
      </c>
      <c r="E33" s="123">
        <f>IF(IF($AP33="","",IF(INDEX('_pockets'!$AB:$AB,$AP33)="","",INDEX('_pockets'!$AB:$AB,$AP33)))="","",IF($AP33="","",IF(INDEX('_pockets'!$AB:$AB,$AP33)="","",INDEX('_pockets'!$AB:$AB,$AP33)))*100)</f>
        <v/>
      </c>
      <c r="F33" s="114">
        <f>IF(IF($AP33="","",IF(INDEX('_pockets'!$Z:$Z,$AP33)="","",INDEX('_pockets'!$Z:$Z,$AP33)))="","",-IF($AP33="","",IF(INDEX('_pockets'!$Z:$Z,$AP33)="","",INDEX('_pockets'!$Z:$Z,$AP33))))</f>
        <v/>
      </c>
      <c r="G33" s="116">
        <f>IF($AQ33="","",IF(INDEX('_pockets'!$AB:$AB,$AQ33)="","",INDEX('_pockets'!$AB:$AB,$AQ33)))</f>
        <v/>
      </c>
      <c r="H33" s="114">
        <f>IF($AQ33="","",IF(INDEX('_pockets'!$Z:$Z,$AQ33)="","",INDEX('_pockets'!$Z:$Z,$AQ33)))</f>
        <v/>
      </c>
      <c r="I33" s="123">
        <f>IF(IF($AR33="","",IF(INDEX('_pockets'!$AB:$AB,$AR33)="","",INDEX('_pockets'!$AB:$AB,$AR33)))="","",IF($AR33="","",IF(INDEX('_pockets'!$AB:$AB,$AR33)="","",INDEX('_pockets'!$AB:$AB,$AR33)))*100)</f>
        <v/>
      </c>
      <c r="J33" s="114">
        <f>IF(IF($AR33="","",IF(INDEX('_pockets'!$Z:$Z,$AR33)="","",INDEX('_pockets'!$Z:$Z,$AR33)))="","",-IF($AR33="","",IF(INDEX('_pockets'!$Z:$Z,$AR33)="","",INDEX('_pockets'!$Z:$Z,$AR33))))</f>
        <v/>
      </c>
      <c r="K33" s="124">
        <f>IF(OR($AV33="",AND($AW33="",$AX33="")),$AV33,$AV33&amp;" · borderline (p "&amp;IF(AND($AW33&lt;&gt;"",$AX33&lt;&gt;""),$AW33&amp;" and "&amp;$AX33,$AW33&amp;$AX33)&amp;")")</f>
        <v/>
      </c>
      <c r="AN33">
        <f>IFERROR(MATCH("C|"&amp;$B$16&amp;"|14",'_views'!$A:$A,0),"")</f>
        <v/>
      </c>
      <c r="AO33">
        <f>IF($AN33="","",IF(INDEX('_views'!$B:$ZZ,$AN33,4)="","",INDEX('_views'!$B:$ZZ,$AN33,4)))</f>
        <v/>
      </c>
      <c r="AP33">
        <f>IF($AN33="","",IF(INDEX('_views'!$B:$ZZ,$AN33,5)="","",INDEX('_views'!$B:$ZZ,$AN33,5)))</f>
        <v/>
      </c>
      <c r="AQ33">
        <f>IF($AN33="","",IF(INDEX('_views'!$B:$ZZ,$AN33,6)="","",INDEX('_views'!$B:$ZZ,$AN33,6)))</f>
        <v/>
      </c>
      <c r="AR33">
        <f>IF($AN33="","",IF(INDEX('_views'!$B:$ZZ,$AN33,7)="","",INDEX('_views'!$B:$ZZ,$AN33,7)))</f>
        <v/>
      </c>
      <c r="AS33">
        <f>IF($AP33="","",IF(INDEX('_pockets'!$Y:$Y,$AP33)="","",INDEX('_pockets'!$Y:$Y,$AP33)))</f>
        <v/>
      </c>
      <c r="AT33">
        <f>IF($AQ33="","",IF(INDEX('_pockets'!$Y:$Y,$AQ33)="","",INDEX('_pockets'!$Y:$Y,$AQ33)))</f>
        <v/>
      </c>
      <c r="AU33">
        <f>IF($AR33="","",IF(INDEX('_pockets'!$Y:$Y,$AR33)="","",INDEX('_pockets'!$Y:$Y,$AR33)))</f>
        <v/>
      </c>
      <c r="AV33">
        <f>IF(OR($AO33=1,$AO33=""),"",IF(AND($AT33="worse",$AU33="better"),"Priced for it",IF(AND($AT33="worse",$AU33="worse"),"Net drain",IF(AND($AT33="better",$AU33="better"),"Strong",IF(AND($AT33="better",$AU33="worse"),"Safe but idle",IF(AND(OR($AT33="in line",$AT33="worse, not significant",$AT33="better, not significant"),$AU33="worse"),"Earns less, not from losses",IF(AND($AT33="worse",OR($AU33="in line",$AU33="worse, not significant",$AU33="better, not significant")),"Losing more, profit holding","")))))))</f>
        <v/>
      </c>
      <c r="AW33">
        <f>IF($AQ33="","",IF(INDEX('_pockets'!$AM:$AM,$AQ33)="","",INDEX('_pockets'!$AM:$AM,$AQ33)))</f>
        <v/>
      </c>
      <c r="AX33">
        <f>IF($AR33="","",IF(INDEX('_pockets'!$AM:$AM,$AR33)="","",INDEX('_pockets'!$AM:$AM,$AR33)))</f>
        <v/>
      </c>
    </row>
    <row r="34" ht="16" customHeight="1">
      <c r="B34" s="113">
        <f>IF($AN34="","",IF(INDEX('_views'!$B:$ZZ,$AN34,1)="","",INDEX('_views'!$B:$ZZ,$AN34,1)))</f>
        <v/>
      </c>
      <c r="C34" s="113">
        <f>IF($AN34="","",IF(INDEX('_views'!$B:$ZZ,$AN34,2)="","",INDEX('_views'!$B:$ZZ,$AN34,2)))</f>
        <v/>
      </c>
      <c r="D34" s="114">
        <f>IF($AN34="","",IF(INDEX('_views'!$B:$ZZ,$AN34,3)="","",INDEX('_views'!$B:$ZZ,$AN34,3)))</f>
        <v/>
      </c>
      <c r="E34" s="123">
        <f>IF(IF($AP34="","",IF(INDEX('_pockets'!$AB:$AB,$AP34)="","",INDEX('_pockets'!$AB:$AB,$AP34)))="","",IF($AP34="","",IF(INDEX('_pockets'!$AB:$AB,$AP34)="","",INDEX('_pockets'!$AB:$AB,$AP34)))*100)</f>
        <v/>
      </c>
      <c r="F34" s="114">
        <f>IF(IF($AP34="","",IF(INDEX('_pockets'!$Z:$Z,$AP34)="","",INDEX('_pockets'!$Z:$Z,$AP34)))="","",-IF($AP34="","",IF(INDEX('_pockets'!$Z:$Z,$AP34)="","",INDEX('_pockets'!$Z:$Z,$AP34))))</f>
        <v/>
      </c>
      <c r="G34" s="116">
        <f>IF($AQ34="","",IF(INDEX('_pockets'!$AB:$AB,$AQ34)="","",INDEX('_pockets'!$AB:$AB,$AQ34)))</f>
        <v/>
      </c>
      <c r="H34" s="114">
        <f>IF($AQ34="","",IF(INDEX('_pockets'!$Z:$Z,$AQ34)="","",INDEX('_pockets'!$Z:$Z,$AQ34)))</f>
        <v/>
      </c>
      <c r="I34" s="123">
        <f>IF(IF($AR34="","",IF(INDEX('_pockets'!$AB:$AB,$AR34)="","",INDEX('_pockets'!$AB:$AB,$AR34)))="","",IF($AR34="","",IF(INDEX('_pockets'!$AB:$AB,$AR34)="","",INDEX('_pockets'!$AB:$AB,$AR34)))*100)</f>
        <v/>
      </c>
      <c r="J34" s="114">
        <f>IF(IF($AR34="","",IF(INDEX('_pockets'!$Z:$Z,$AR34)="","",INDEX('_pockets'!$Z:$Z,$AR34)))="","",-IF($AR34="","",IF(INDEX('_pockets'!$Z:$Z,$AR34)="","",INDEX('_pockets'!$Z:$Z,$AR34))))</f>
        <v/>
      </c>
      <c r="K34" s="124">
        <f>IF(OR($AV34="",AND($AW34="",$AX34="")),$AV34,$AV34&amp;" · borderline (p "&amp;IF(AND($AW34&lt;&gt;"",$AX34&lt;&gt;""),$AW34&amp;" and "&amp;$AX34,$AW34&amp;$AX34)&amp;")")</f>
        <v/>
      </c>
      <c r="AN34">
        <f>IFERROR(MATCH("C|"&amp;$B$16&amp;"|15",'_views'!$A:$A,0),"")</f>
        <v/>
      </c>
      <c r="AO34">
        <f>IF($AN34="","",IF(INDEX('_views'!$B:$ZZ,$AN34,4)="","",INDEX('_views'!$B:$ZZ,$AN34,4)))</f>
        <v/>
      </c>
      <c r="AP34">
        <f>IF($AN34="","",IF(INDEX('_views'!$B:$ZZ,$AN34,5)="","",INDEX('_views'!$B:$ZZ,$AN34,5)))</f>
        <v/>
      </c>
      <c r="AQ34">
        <f>IF($AN34="","",IF(INDEX('_views'!$B:$ZZ,$AN34,6)="","",INDEX('_views'!$B:$ZZ,$AN34,6)))</f>
        <v/>
      </c>
      <c r="AR34">
        <f>IF($AN34="","",IF(INDEX('_views'!$B:$ZZ,$AN34,7)="","",INDEX('_views'!$B:$ZZ,$AN34,7)))</f>
        <v/>
      </c>
      <c r="AS34">
        <f>IF($AP34="","",IF(INDEX('_pockets'!$Y:$Y,$AP34)="","",INDEX('_pockets'!$Y:$Y,$AP34)))</f>
        <v/>
      </c>
      <c r="AT34">
        <f>IF($AQ34="","",IF(INDEX('_pockets'!$Y:$Y,$AQ34)="","",INDEX('_pockets'!$Y:$Y,$AQ34)))</f>
        <v/>
      </c>
      <c r="AU34">
        <f>IF($AR34="","",IF(INDEX('_pockets'!$Y:$Y,$AR34)="","",INDEX('_pockets'!$Y:$Y,$AR34)))</f>
        <v/>
      </c>
      <c r="AV34">
        <f>IF(OR($AO34=1,$AO34=""),"",IF(AND($AT34="worse",$AU34="better"),"Priced for it",IF(AND($AT34="worse",$AU34="worse"),"Net drain",IF(AND($AT34="better",$AU34="better"),"Strong",IF(AND($AT34="better",$AU34="worse"),"Safe but idle",IF(AND(OR($AT34="in line",$AT34="worse, not significant",$AT34="better, not significant"),$AU34="worse"),"Earns less, not from losses",IF(AND($AT34="worse",OR($AU34="in line",$AU34="worse, not significant",$AU34="better, not significant")),"Losing more, profit holding","")))))))</f>
        <v/>
      </c>
      <c r="AW34">
        <f>IF($AQ34="","",IF(INDEX('_pockets'!$AM:$AM,$AQ34)="","",INDEX('_pockets'!$AM:$AM,$AQ34)))</f>
        <v/>
      </c>
      <c r="AX34">
        <f>IF($AR34="","",IF(INDEX('_pockets'!$AM:$AM,$AR34)="","",INDEX('_pockets'!$AM:$AM,$AR34)))</f>
        <v/>
      </c>
    </row>
    <row r="35" ht="16" customHeight="1">
      <c r="B35" s="113">
        <f>IF($AN35="","",IF(INDEX('_views'!$B:$ZZ,$AN35,1)="","",INDEX('_views'!$B:$ZZ,$AN35,1)))</f>
        <v/>
      </c>
      <c r="C35" s="113">
        <f>IF($AN35="","",IF(INDEX('_views'!$B:$ZZ,$AN35,2)="","",INDEX('_views'!$B:$ZZ,$AN35,2)))</f>
        <v/>
      </c>
      <c r="D35" s="114">
        <f>IF($AN35="","",IF(INDEX('_views'!$B:$ZZ,$AN35,3)="","",INDEX('_views'!$B:$ZZ,$AN35,3)))</f>
        <v/>
      </c>
      <c r="E35" s="123">
        <f>IF(IF($AP35="","",IF(INDEX('_pockets'!$AB:$AB,$AP35)="","",INDEX('_pockets'!$AB:$AB,$AP35)))="","",IF($AP35="","",IF(INDEX('_pockets'!$AB:$AB,$AP35)="","",INDEX('_pockets'!$AB:$AB,$AP35)))*100)</f>
        <v/>
      </c>
      <c r="F35" s="114">
        <f>IF(IF($AP35="","",IF(INDEX('_pockets'!$Z:$Z,$AP35)="","",INDEX('_pockets'!$Z:$Z,$AP35)))="","",-IF($AP35="","",IF(INDEX('_pockets'!$Z:$Z,$AP35)="","",INDEX('_pockets'!$Z:$Z,$AP35))))</f>
        <v/>
      </c>
      <c r="G35" s="116">
        <f>IF($AQ35="","",IF(INDEX('_pockets'!$AB:$AB,$AQ35)="","",INDEX('_pockets'!$AB:$AB,$AQ35)))</f>
        <v/>
      </c>
      <c r="H35" s="114">
        <f>IF($AQ35="","",IF(INDEX('_pockets'!$Z:$Z,$AQ35)="","",INDEX('_pockets'!$Z:$Z,$AQ35)))</f>
        <v/>
      </c>
      <c r="I35" s="123">
        <f>IF(IF($AR35="","",IF(INDEX('_pockets'!$AB:$AB,$AR35)="","",INDEX('_pockets'!$AB:$AB,$AR35)))="","",IF($AR35="","",IF(INDEX('_pockets'!$AB:$AB,$AR35)="","",INDEX('_pockets'!$AB:$AB,$AR35)))*100)</f>
        <v/>
      </c>
      <c r="J35" s="114">
        <f>IF(IF($AR35="","",IF(INDEX('_pockets'!$Z:$Z,$AR35)="","",INDEX('_pockets'!$Z:$Z,$AR35)))="","",-IF($AR35="","",IF(INDEX('_pockets'!$Z:$Z,$AR35)="","",INDEX('_pockets'!$Z:$Z,$AR35))))</f>
        <v/>
      </c>
      <c r="K35" s="124">
        <f>IF(OR($AV35="",AND($AW35="",$AX35="")),$AV35,$AV35&amp;" · borderline (p "&amp;IF(AND($AW35&lt;&gt;"",$AX35&lt;&gt;""),$AW35&amp;" and "&amp;$AX35,$AW35&amp;$AX35)&amp;")")</f>
        <v/>
      </c>
      <c r="AN35">
        <f>IFERROR(MATCH("C|"&amp;$B$16&amp;"|16",'_views'!$A:$A,0),"")</f>
        <v/>
      </c>
      <c r="AO35">
        <f>IF($AN35="","",IF(INDEX('_views'!$B:$ZZ,$AN35,4)="","",INDEX('_views'!$B:$ZZ,$AN35,4)))</f>
        <v/>
      </c>
      <c r="AP35">
        <f>IF($AN35="","",IF(INDEX('_views'!$B:$ZZ,$AN35,5)="","",INDEX('_views'!$B:$ZZ,$AN35,5)))</f>
        <v/>
      </c>
      <c r="AQ35">
        <f>IF($AN35="","",IF(INDEX('_views'!$B:$ZZ,$AN35,6)="","",INDEX('_views'!$B:$ZZ,$AN35,6)))</f>
        <v/>
      </c>
      <c r="AR35">
        <f>IF($AN35="","",IF(INDEX('_views'!$B:$ZZ,$AN35,7)="","",INDEX('_views'!$B:$ZZ,$AN35,7)))</f>
        <v/>
      </c>
      <c r="AS35">
        <f>IF($AP35="","",IF(INDEX('_pockets'!$Y:$Y,$AP35)="","",INDEX('_pockets'!$Y:$Y,$AP35)))</f>
        <v/>
      </c>
      <c r="AT35">
        <f>IF($AQ35="","",IF(INDEX('_pockets'!$Y:$Y,$AQ35)="","",INDEX('_pockets'!$Y:$Y,$AQ35)))</f>
        <v/>
      </c>
      <c r="AU35">
        <f>IF($AR35="","",IF(INDEX('_pockets'!$Y:$Y,$AR35)="","",INDEX('_pockets'!$Y:$Y,$AR35)))</f>
        <v/>
      </c>
      <c r="AV35">
        <f>IF(OR($AO35=1,$AO35=""),"",IF(AND($AT35="worse",$AU35="better"),"Priced for it",IF(AND($AT35="worse",$AU35="worse"),"Net drain",IF(AND($AT35="better",$AU35="better"),"Strong",IF(AND($AT35="better",$AU35="worse"),"Safe but idle",IF(AND(OR($AT35="in line",$AT35="worse, not significant",$AT35="better, not significant"),$AU35="worse"),"Earns less, not from losses",IF(AND($AT35="worse",OR($AU35="in line",$AU35="worse, not significant",$AU35="better, not significant")),"Losing more, profit holding","")))))))</f>
        <v/>
      </c>
      <c r="AW35">
        <f>IF($AQ35="","",IF(INDEX('_pockets'!$AM:$AM,$AQ35)="","",INDEX('_pockets'!$AM:$AM,$AQ35)))</f>
        <v/>
      </c>
      <c r="AX35">
        <f>IF($AR35="","",IF(INDEX('_pockets'!$AM:$AM,$AR35)="","",INDEX('_pockets'!$AM:$AM,$AR35)))</f>
        <v/>
      </c>
    </row>
    <row r="36" ht="16" customHeight="1">
      <c r="B36" s="113">
        <f>IF($AN36="","",IF(INDEX('_views'!$B:$ZZ,$AN36,1)="","",INDEX('_views'!$B:$ZZ,$AN36,1)))</f>
        <v/>
      </c>
      <c r="C36" s="113">
        <f>IF($AN36="","",IF(INDEX('_views'!$B:$ZZ,$AN36,2)="","",INDEX('_views'!$B:$ZZ,$AN36,2)))</f>
        <v/>
      </c>
      <c r="D36" s="114">
        <f>IF($AN36="","",IF(INDEX('_views'!$B:$ZZ,$AN36,3)="","",INDEX('_views'!$B:$ZZ,$AN36,3)))</f>
        <v/>
      </c>
      <c r="E36" s="123">
        <f>IF(IF($AP36="","",IF(INDEX('_pockets'!$AB:$AB,$AP36)="","",INDEX('_pockets'!$AB:$AB,$AP36)))="","",IF($AP36="","",IF(INDEX('_pockets'!$AB:$AB,$AP36)="","",INDEX('_pockets'!$AB:$AB,$AP36)))*100)</f>
        <v/>
      </c>
      <c r="F36" s="114">
        <f>IF(IF($AP36="","",IF(INDEX('_pockets'!$Z:$Z,$AP36)="","",INDEX('_pockets'!$Z:$Z,$AP36)))="","",-IF($AP36="","",IF(INDEX('_pockets'!$Z:$Z,$AP36)="","",INDEX('_pockets'!$Z:$Z,$AP36))))</f>
        <v/>
      </c>
      <c r="G36" s="116">
        <f>IF($AQ36="","",IF(INDEX('_pockets'!$AB:$AB,$AQ36)="","",INDEX('_pockets'!$AB:$AB,$AQ36)))</f>
        <v/>
      </c>
      <c r="H36" s="114">
        <f>IF($AQ36="","",IF(INDEX('_pockets'!$Z:$Z,$AQ36)="","",INDEX('_pockets'!$Z:$Z,$AQ36)))</f>
        <v/>
      </c>
      <c r="I36" s="123">
        <f>IF(IF($AR36="","",IF(INDEX('_pockets'!$AB:$AB,$AR36)="","",INDEX('_pockets'!$AB:$AB,$AR36)))="","",IF($AR36="","",IF(INDEX('_pockets'!$AB:$AB,$AR36)="","",INDEX('_pockets'!$AB:$AB,$AR36)))*100)</f>
        <v/>
      </c>
      <c r="J36" s="114">
        <f>IF(IF($AR36="","",IF(INDEX('_pockets'!$Z:$Z,$AR36)="","",INDEX('_pockets'!$Z:$Z,$AR36)))="","",-IF($AR36="","",IF(INDEX('_pockets'!$Z:$Z,$AR36)="","",INDEX('_pockets'!$Z:$Z,$AR36))))</f>
        <v/>
      </c>
      <c r="K36" s="124">
        <f>IF(OR($AV36="",AND($AW36="",$AX36="")),$AV36,$AV36&amp;" · borderline (p "&amp;IF(AND($AW36&lt;&gt;"",$AX36&lt;&gt;""),$AW36&amp;" and "&amp;$AX36,$AW36&amp;$AX36)&amp;")")</f>
        <v/>
      </c>
      <c r="AN36">
        <f>IFERROR(MATCH("C|"&amp;$B$16&amp;"|17",'_views'!$A:$A,0),"")</f>
        <v/>
      </c>
      <c r="AO36">
        <f>IF($AN36="","",IF(INDEX('_views'!$B:$ZZ,$AN36,4)="","",INDEX('_views'!$B:$ZZ,$AN36,4)))</f>
        <v/>
      </c>
      <c r="AP36">
        <f>IF($AN36="","",IF(INDEX('_views'!$B:$ZZ,$AN36,5)="","",INDEX('_views'!$B:$ZZ,$AN36,5)))</f>
        <v/>
      </c>
      <c r="AQ36">
        <f>IF($AN36="","",IF(INDEX('_views'!$B:$ZZ,$AN36,6)="","",INDEX('_views'!$B:$ZZ,$AN36,6)))</f>
        <v/>
      </c>
      <c r="AR36">
        <f>IF($AN36="","",IF(INDEX('_views'!$B:$ZZ,$AN36,7)="","",INDEX('_views'!$B:$ZZ,$AN36,7)))</f>
        <v/>
      </c>
      <c r="AS36">
        <f>IF($AP36="","",IF(INDEX('_pockets'!$Y:$Y,$AP36)="","",INDEX('_pockets'!$Y:$Y,$AP36)))</f>
        <v/>
      </c>
      <c r="AT36">
        <f>IF($AQ36="","",IF(INDEX('_pockets'!$Y:$Y,$AQ36)="","",INDEX('_pockets'!$Y:$Y,$AQ36)))</f>
        <v/>
      </c>
      <c r="AU36">
        <f>IF($AR36="","",IF(INDEX('_pockets'!$Y:$Y,$AR36)="","",INDEX('_pockets'!$Y:$Y,$AR36)))</f>
        <v/>
      </c>
      <c r="AV36">
        <f>IF(OR($AO36=1,$AO36=""),"",IF(AND($AT36="worse",$AU36="better"),"Priced for it",IF(AND($AT36="worse",$AU36="worse"),"Net drain",IF(AND($AT36="better",$AU36="better"),"Strong",IF(AND($AT36="better",$AU36="worse"),"Safe but idle",IF(AND(OR($AT36="in line",$AT36="worse, not significant",$AT36="better, not significant"),$AU36="worse"),"Earns less, not from losses",IF(AND($AT36="worse",OR($AU36="in line",$AU36="worse, not significant",$AU36="better, not significant")),"Losing more, profit holding","")))))))</f>
        <v/>
      </c>
      <c r="AW36">
        <f>IF($AQ36="","",IF(INDEX('_pockets'!$AM:$AM,$AQ36)="","",INDEX('_pockets'!$AM:$AM,$AQ36)))</f>
        <v/>
      </c>
      <c r="AX36">
        <f>IF($AR36="","",IF(INDEX('_pockets'!$AM:$AM,$AR36)="","",INDEX('_pockets'!$AM:$AM,$AR36)))</f>
        <v/>
      </c>
    </row>
    <row r="37" ht="16" customHeight="1">
      <c r="B37" s="113">
        <f>IF($AN37="","",IF(INDEX('_views'!$B:$ZZ,$AN37,1)="","",INDEX('_views'!$B:$ZZ,$AN37,1)))</f>
        <v/>
      </c>
      <c r="C37" s="113">
        <f>IF($AN37="","",IF(INDEX('_views'!$B:$ZZ,$AN37,2)="","",INDEX('_views'!$B:$ZZ,$AN37,2)))</f>
        <v/>
      </c>
      <c r="D37" s="114">
        <f>IF($AN37="","",IF(INDEX('_views'!$B:$ZZ,$AN37,3)="","",INDEX('_views'!$B:$ZZ,$AN37,3)))</f>
        <v/>
      </c>
      <c r="E37" s="123">
        <f>IF(IF($AP37="","",IF(INDEX('_pockets'!$AB:$AB,$AP37)="","",INDEX('_pockets'!$AB:$AB,$AP37)))="","",IF($AP37="","",IF(INDEX('_pockets'!$AB:$AB,$AP37)="","",INDEX('_pockets'!$AB:$AB,$AP37)))*100)</f>
        <v/>
      </c>
      <c r="F37" s="114">
        <f>IF(IF($AP37="","",IF(INDEX('_pockets'!$Z:$Z,$AP37)="","",INDEX('_pockets'!$Z:$Z,$AP37)))="","",-IF($AP37="","",IF(INDEX('_pockets'!$Z:$Z,$AP37)="","",INDEX('_pockets'!$Z:$Z,$AP37))))</f>
        <v/>
      </c>
      <c r="G37" s="116">
        <f>IF($AQ37="","",IF(INDEX('_pockets'!$AB:$AB,$AQ37)="","",INDEX('_pockets'!$AB:$AB,$AQ37)))</f>
        <v/>
      </c>
      <c r="H37" s="114">
        <f>IF($AQ37="","",IF(INDEX('_pockets'!$Z:$Z,$AQ37)="","",INDEX('_pockets'!$Z:$Z,$AQ37)))</f>
        <v/>
      </c>
      <c r="I37" s="123">
        <f>IF(IF($AR37="","",IF(INDEX('_pockets'!$AB:$AB,$AR37)="","",INDEX('_pockets'!$AB:$AB,$AR37)))="","",IF($AR37="","",IF(INDEX('_pockets'!$AB:$AB,$AR37)="","",INDEX('_pockets'!$AB:$AB,$AR37)))*100)</f>
        <v/>
      </c>
      <c r="J37" s="114">
        <f>IF(IF($AR37="","",IF(INDEX('_pockets'!$Z:$Z,$AR37)="","",INDEX('_pockets'!$Z:$Z,$AR37)))="","",-IF($AR37="","",IF(INDEX('_pockets'!$Z:$Z,$AR37)="","",INDEX('_pockets'!$Z:$Z,$AR37))))</f>
        <v/>
      </c>
      <c r="K37" s="124">
        <f>IF(OR($AV37="",AND($AW37="",$AX37="")),$AV37,$AV37&amp;" · borderline (p "&amp;IF(AND($AW37&lt;&gt;"",$AX37&lt;&gt;""),$AW37&amp;" and "&amp;$AX37,$AW37&amp;$AX37)&amp;")")</f>
        <v/>
      </c>
      <c r="AN37">
        <f>IFERROR(MATCH("C|"&amp;$B$16&amp;"|18",'_views'!$A:$A,0),"")</f>
        <v/>
      </c>
      <c r="AO37">
        <f>IF($AN37="","",IF(INDEX('_views'!$B:$ZZ,$AN37,4)="","",INDEX('_views'!$B:$ZZ,$AN37,4)))</f>
        <v/>
      </c>
      <c r="AP37">
        <f>IF($AN37="","",IF(INDEX('_views'!$B:$ZZ,$AN37,5)="","",INDEX('_views'!$B:$ZZ,$AN37,5)))</f>
        <v/>
      </c>
      <c r="AQ37">
        <f>IF($AN37="","",IF(INDEX('_views'!$B:$ZZ,$AN37,6)="","",INDEX('_views'!$B:$ZZ,$AN37,6)))</f>
        <v/>
      </c>
      <c r="AR37">
        <f>IF($AN37="","",IF(INDEX('_views'!$B:$ZZ,$AN37,7)="","",INDEX('_views'!$B:$ZZ,$AN37,7)))</f>
        <v/>
      </c>
      <c r="AS37">
        <f>IF($AP37="","",IF(INDEX('_pockets'!$Y:$Y,$AP37)="","",INDEX('_pockets'!$Y:$Y,$AP37)))</f>
        <v/>
      </c>
      <c r="AT37">
        <f>IF($AQ37="","",IF(INDEX('_pockets'!$Y:$Y,$AQ37)="","",INDEX('_pockets'!$Y:$Y,$AQ37)))</f>
        <v/>
      </c>
      <c r="AU37">
        <f>IF($AR37="","",IF(INDEX('_pockets'!$Y:$Y,$AR37)="","",INDEX('_pockets'!$Y:$Y,$AR37)))</f>
        <v/>
      </c>
      <c r="AV37">
        <f>IF(OR($AO37=1,$AO37=""),"",IF(AND($AT37="worse",$AU37="better"),"Priced for it",IF(AND($AT37="worse",$AU37="worse"),"Net drain",IF(AND($AT37="better",$AU37="better"),"Strong",IF(AND($AT37="better",$AU37="worse"),"Safe but idle",IF(AND(OR($AT37="in line",$AT37="worse, not significant",$AT37="better, not significant"),$AU37="worse"),"Earns less, not from losses",IF(AND($AT37="worse",OR($AU37="in line",$AU37="worse, not significant",$AU37="better, not significant")),"Losing more, profit holding","")))))))</f>
        <v/>
      </c>
      <c r="AW37">
        <f>IF($AQ37="","",IF(INDEX('_pockets'!$AM:$AM,$AQ37)="","",INDEX('_pockets'!$AM:$AM,$AQ37)))</f>
        <v/>
      </c>
      <c r="AX37">
        <f>IF($AR37="","",IF(INDEX('_pockets'!$AM:$AM,$AR37)="","",INDEX('_pockets'!$AM:$AM,$AR37)))</f>
        <v/>
      </c>
    </row>
    <row r="38" ht="16" customHeight="1">
      <c r="B38" s="113">
        <f>IF($AN38="","",IF(INDEX('_views'!$B:$ZZ,$AN38,1)="","",INDEX('_views'!$B:$ZZ,$AN38,1)))</f>
        <v/>
      </c>
      <c r="C38" s="113">
        <f>IF($AN38="","",IF(INDEX('_views'!$B:$ZZ,$AN38,2)="","",INDEX('_views'!$B:$ZZ,$AN38,2)))</f>
        <v/>
      </c>
      <c r="D38" s="114">
        <f>IF($AN38="","",IF(INDEX('_views'!$B:$ZZ,$AN38,3)="","",INDEX('_views'!$B:$ZZ,$AN38,3)))</f>
        <v/>
      </c>
      <c r="E38" s="123">
        <f>IF(IF($AP38="","",IF(INDEX('_pockets'!$AB:$AB,$AP38)="","",INDEX('_pockets'!$AB:$AB,$AP38)))="","",IF($AP38="","",IF(INDEX('_pockets'!$AB:$AB,$AP38)="","",INDEX('_pockets'!$AB:$AB,$AP38)))*100)</f>
        <v/>
      </c>
      <c r="F38" s="114">
        <f>IF(IF($AP38="","",IF(INDEX('_pockets'!$Z:$Z,$AP38)="","",INDEX('_pockets'!$Z:$Z,$AP38)))="","",-IF($AP38="","",IF(INDEX('_pockets'!$Z:$Z,$AP38)="","",INDEX('_pockets'!$Z:$Z,$AP38))))</f>
        <v/>
      </c>
      <c r="G38" s="116">
        <f>IF($AQ38="","",IF(INDEX('_pockets'!$AB:$AB,$AQ38)="","",INDEX('_pockets'!$AB:$AB,$AQ38)))</f>
        <v/>
      </c>
      <c r="H38" s="114">
        <f>IF($AQ38="","",IF(INDEX('_pockets'!$Z:$Z,$AQ38)="","",INDEX('_pockets'!$Z:$Z,$AQ38)))</f>
        <v/>
      </c>
      <c r="I38" s="123">
        <f>IF(IF($AR38="","",IF(INDEX('_pockets'!$AB:$AB,$AR38)="","",INDEX('_pockets'!$AB:$AB,$AR38)))="","",IF($AR38="","",IF(INDEX('_pockets'!$AB:$AB,$AR38)="","",INDEX('_pockets'!$AB:$AB,$AR38)))*100)</f>
        <v/>
      </c>
      <c r="J38" s="114">
        <f>IF(IF($AR38="","",IF(INDEX('_pockets'!$Z:$Z,$AR38)="","",INDEX('_pockets'!$Z:$Z,$AR38)))="","",-IF($AR38="","",IF(INDEX('_pockets'!$Z:$Z,$AR38)="","",INDEX('_pockets'!$Z:$Z,$AR38))))</f>
        <v/>
      </c>
      <c r="K38" s="124">
        <f>IF(OR($AV38="",AND($AW38="",$AX38="")),$AV38,$AV38&amp;" · borderline (p "&amp;IF(AND($AW38&lt;&gt;"",$AX38&lt;&gt;""),$AW38&amp;" and "&amp;$AX38,$AW38&amp;$AX38)&amp;")")</f>
        <v/>
      </c>
      <c r="AN38">
        <f>IFERROR(MATCH("C|"&amp;$B$16&amp;"|19",'_views'!$A:$A,0),"")</f>
        <v/>
      </c>
      <c r="AO38">
        <f>IF($AN38="","",IF(INDEX('_views'!$B:$ZZ,$AN38,4)="","",INDEX('_views'!$B:$ZZ,$AN38,4)))</f>
        <v/>
      </c>
      <c r="AP38">
        <f>IF($AN38="","",IF(INDEX('_views'!$B:$ZZ,$AN38,5)="","",INDEX('_views'!$B:$ZZ,$AN38,5)))</f>
        <v/>
      </c>
      <c r="AQ38">
        <f>IF($AN38="","",IF(INDEX('_views'!$B:$ZZ,$AN38,6)="","",INDEX('_views'!$B:$ZZ,$AN38,6)))</f>
        <v/>
      </c>
      <c r="AR38">
        <f>IF($AN38="","",IF(INDEX('_views'!$B:$ZZ,$AN38,7)="","",INDEX('_views'!$B:$ZZ,$AN38,7)))</f>
        <v/>
      </c>
      <c r="AS38">
        <f>IF($AP38="","",IF(INDEX('_pockets'!$Y:$Y,$AP38)="","",INDEX('_pockets'!$Y:$Y,$AP38)))</f>
        <v/>
      </c>
      <c r="AT38">
        <f>IF($AQ38="","",IF(INDEX('_pockets'!$Y:$Y,$AQ38)="","",INDEX('_pockets'!$Y:$Y,$AQ38)))</f>
        <v/>
      </c>
      <c r="AU38">
        <f>IF($AR38="","",IF(INDEX('_pockets'!$Y:$Y,$AR38)="","",INDEX('_pockets'!$Y:$Y,$AR38)))</f>
        <v/>
      </c>
      <c r="AV38">
        <f>IF(OR($AO38=1,$AO38=""),"",IF(AND($AT38="worse",$AU38="better"),"Priced for it",IF(AND($AT38="worse",$AU38="worse"),"Net drain",IF(AND($AT38="better",$AU38="better"),"Strong",IF(AND($AT38="better",$AU38="worse"),"Safe but idle",IF(AND(OR($AT38="in line",$AT38="worse, not significant",$AT38="better, not significant"),$AU38="worse"),"Earns less, not from losses",IF(AND($AT38="worse",OR($AU38="in line",$AU38="worse, not significant",$AU38="better, not significant")),"Losing more, profit holding","")))))))</f>
        <v/>
      </c>
      <c r="AW38">
        <f>IF($AQ38="","",IF(INDEX('_pockets'!$AM:$AM,$AQ38)="","",INDEX('_pockets'!$AM:$AM,$AQ38)))</f>
        <v/>
      </c>
      <c r="AX38">
        <f>IF($AR38="","",IF(INDEX('_pockets'!$AM:$AM,$AR38)="","",INDEX('_pockets'!$AM:$AM,$AR38)))</f>
        <v/>
      </c>
    </row>
    <row r="41">
      <c r="M41" s="125" t="inlineStr">
        <is>
          <t>Numbered on the chart</t>
        </is>
      </c>
    </row>
    <row r="42">
      <c r="M42" s="120">
        <f>IF('_chart'!$C$1="","","1  "&amp;'_chart'!$C$1)</f>
        <v/>
      </c>
    </row>
    <row r="43">
      <c r="M43" s="120">
        <f>IF('_chart'!$C$2="","","2  "&amp;'_chart'!$C$2)</f>
        <v/>
      </c>
    </row>
    <row r="44">
      <c r="M44" s="120">
        <f>IF('_chart'!$C$3="","","3  "&amp;'_chart'!$C$3)</f>
        <v/>
      </c>
    </row>
    <row r="45">
      <c r="M45" s="120">
        <f>IF('_chart'!$C$4="","","4  "&amp;'_chart'!$C$4)</f>
        <v/>
      </c>
    </row>
    <row r="46">
      <c r="M46" s="120">
        <f>IF('_chart'!$C$5="","","5  "&amp;'_chart'!$C$5)</f>
        <v/>
      </c>
    </row>
    <row r="47">
      <c r="M47" s="120">
        <f>IF('_chart'!$C$6="","","6  "&amp;'_chart'!$C$6)</f>
        <v/>
      </c>
    </row>
    <row r="48">
      <c r="M48" s="120">
        <f>IF('_chart'!$C$7="","","7  "&amp;'_chart'!$C$7)</f>
        <v/>
      </c>
    </row>
    <row r="49">
      <c r="M49" s="120">
        <f>IF('_chart'!$C$8="","","8  "&amp;'_chart'!$C$8)</f>
        <v/>
      </c>
    </row>
  </sheetData>
  <mergeCells count="22">
    <mergeCell ref="B16:C16"/>
    <mergeCell ref="C10:K10"/>
    <mergeCell ref="C9:K9"/>
    <mergeCell ref="J13:K13"/>
    <mergeCell ref="K18"/>
    <mergeCell ref="F12:G12"/>
    <mergeCell ref="D13:E13"/>
    <mergeCell ref="C8:K8"/>
    <mergeCell ref="G18:H18"/>
    <mergeCell ref="I18:J18"/>
    <mergeCell ref="C7:K7"/>
    <mergeCell ref="M13:T13"/>
    <mergeCell ref="M12:T12"/>
    <mergeCell ref="F13:G13"/>
    <mergeCell ref="H13:I13"/>
    <mergeCell ref="D12:E12"/>
    <mergeCell ref="C6:K6"/>
    <mergeCell ref="H12:I12"/>
    <mergeCell ref="J12:K12"/>
    <mergeCell ref="C5:K5"/>
    <mergeCell ref="C4:K4"/>
    <mergeCell ref="E18:F18"/>
  </mergeCells>
  <conditionalFormatting sqref="E20:F38">
    <cfRule type="expression" priority="1" dxfId="15">
      <formula>AND($B20&lt;&gt;"",AND($AO20=0,$AS20="worse"))</formula>
    </cfRule>
    <cfRule type="expression" priority="2" dxfId="16">
      <formula>AND($B20&lt;&gt;"",AND($AO20=0,$AS20="better"))</formula>
    </cfRule>
    <cfRule type="expression" priority="3" dxfId="6">
      <formula>$B20&lt;&gt;""</formula>
    </cfRule>
  </conditionalFormatting>
  <conditionalFormatting sqref="G20:H38">
    <cfRule type="expression" priority="4" dxfId="15">
      <formula>AND($B20&lt;&gt;"",AND($AO20=0,$AT20="worse"))</formula>
    </cfRule>
    <cfRule type="expression" priority="5" dxfId="16">
      <formula>AND($B20&lt;&gt;"",AND($AO20=0,$AT20="better"))</formula>
    </cfRule>
    <cfRule type="expression" priority="6" dxfId="6">
      <formula>$B20&lt;&gt;""</formula>
    </cfRule>
  </conditionalFormatting>
  <conditionalFormatting sqref="I20:J38">
    <cfRule type="expression" priority="7" dxfId="15">
      <formula>AND($B20&lt;&gt;"",AND($AO20=0,$AU20="worse"))</formula>
    </cfRule>
    <cfRule type="expression" priority="8" dxfId="16">
      <formula>AND($B20&lt;&gt;"",AND($AO20=0,$AU20="better"))</formula>
    </cfRule>
    <cfRule type="expression" priority="9" dxfId="6">
      <formula>$B20&lt;&gt;""</formula>
    </cfRule>
  </conditionalFormatting>
  <conditionalFormatting sqref="K20:K38">
    <cfRule type="expression" priority="10" dxfId="17">
      <formula>AND($B20&lt;&gt;"",OR($AV20="Priced for it",$AV20="Strong"))</formula>
    </cfRule>
    <cfRule type="expression" priority="11" dxfId="14">
      <formula>AND($B20&lt;&gt;"",$AV20="Net drain")</formula>
    </cfRule>
    <cfRule type="expression" priority="12" dxfId="6">
      <formula>$B20&lt;&gt;""</formula>
    </cfRule>
  </conditionalFormatting>
  <conditionalFormatting sqref="B20:D38">
    <cfRule type="expression" priority="13" dxfId="6">
      <formula>$B20&lt;&gt;""</formula>
    </cfRule>
  </conditionalFormatting>
  <dataValidations count="1">
    <dataValidation sqref="B16" showDropDown="0" showInputMessage="0" showErrorMessage="1" allowBlank="0" errorTitle="Grid" error="Pick one from the list." type="list">
      <formula1>='_choices'!$G$2:$G$3</formula1>
    </dataValidation>
  </dataValidations>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0A0908"/>
    <outlinePr summaryBelow="0" summaryRight="1"/>
    <pageSetUpPr fitToPage="1"/>
  </sheetPr>
  <dimension ref="B1:AF74"/>
  <sheetViews>
    <sheetView showGridLines="0" tabSelected="0" workbookViewId="0">
      <pane ySplit="13" topLeftCell="A14" activePane="bottomLeft" state="frozen"/>
      <selection pane="bottomLeft" activeCell="A1" sqref="A1"/>
    </sheetView>
  </sheetViews>
  <sheetFormatPr baseColWidth="8" defaultRowHeight="15"/>
  <cols>
    <col width="2" customWidth="1" min="1" max="1"/>
    <col width="20" customWidth="1" min="2" max="2"/>
    <col width="13" customWidth="1" min="3" max="3"/>
    <col width="13" customWidth="1" min="4" max="4"/>
    <col width="13" customWidth="1" min="5" max="5"/>
    <col width="13" customWidth="1" min="6" max="6"/>
    <col width="13" customWidth="1" min="7" max="7"/>
    <col width="13" customWidth="1" min="8" max="8"/>
    <col width="13" customWidth="1" min="9" max="9"/>
    <col width="3" customWidth="1" min="10" max="10"/>
    <col width="20"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30" customHeight="1">
      <c r="B1" s="1" t="inlineStr">
        <is>
          <t>Grids</t>
        </is>
      </c>
      <c r="C1" s="2" t="inlineStr">
        <is>
          <t>One grid at a time: the rate, how it compares, and how many loans sit in each pocket.</t>
        </is>
      </c>
      <c r="D1" s="3" t="n"/>
      <c r="E1" s="3" t="n"/>
      <c r="F1" s="3" t="n"/>
      <c r="G1" s="3" t="n"/>
      <c r="H1" s="3" t="n"/>
      <c r="I1" s="3" t="n"/>
      <c r="J1" s="3" t="n"/>
      <c r="K1" s="3" t="n"/>
      <c r="L1" s="3" t="n"/>
      <c r="M1" s="3" t="n"/>
      <c r="N1" s="3" t="n"/>
      <c r="O1" s="3" t="n"/>
      <c r="P1" s="3" t="n"/>
      <c r="Q1" s="3" t="n"/>
      <c r="R1" s="3" t="n"/>
    </row>
    <row r="3" outlineLevel="1">
      <c r="B3" s="4" t="inlineStr">
        <is>
          <t>How this tab works</t>
        </is>
      </c>
      <c r="C3" s="5" t="n"/>
      <c r="D3" s="5" t="n"/>
      <c r="E3" s="5" t="n"/>
      <c r="F3" s="5" t="n"/>
      <c r="G3" s="5" t="n"/>
      <c r="H3" s="5" t="n"/>
      <c r="I3" s="5" t="n"/>
      <c r="J3" s="5" t="n"/>
      <c r="K3" s="5" t="n"/>
      <c r="L3" s="5" t="n"/>
      <c r="M3" s="5" t="n"/>
      <c r="N3" s="5" t="n"/>
      <c r="O3" s="5" t="n"/>
      <c r="P3" s="5" t="n"/>
      <c r="Q3" s="5" t="n"/>
      <c r="R3" s="5" t="n"/>
    </row>
    <row r="4" outlineLevel="1" ht="31" customHeight="1">
      <c r="B4" s="6" t="inlineStr">
        <is>
          <t>Rate</t>
        </is>
      </c>
      <c r="C4" s="7" t="inlineStr">
        <is>
          <t>The measure picked above, in every pocket: one band (down) by one segment (across), with the band's and the segment's totals in All. Loan size: booked dollars per loan, the average; against the book's and the rest of the band's average as a multiple. It is a description, not a finding: no red or green, only darker the bigger the loans against the book's.</t>
        </is>
      </c>
    </row>
    <row r="5" outlineLevel="1" ht="17" customHeight="1">
      <c r="B5" s="6" t="inlineStr">
        <is>
          <t>vs the book</t>
        </is>
      </c>
      <c r="C5" s="7" t="inlineStr">
        <is>
          <t>The pocket's rate over the whole book's, which the heading gives: 2.00× goes bad twice as often as the book. Kept after losses and Earned before losses are a gap in points instead.</t>
        </is>
      </c>
    </row>
    <row r="6" outlineLevel="1" ht="17" customHeight="1">
      <c r="B6" s="6" t="inlineStr">
        <is>
          <t>vs rest of band</t>
        </is>
      </c>
      <c r="C6" s="7" t="inlineStr">
        <is>
          <t>The pocket's rate over every other loan in its band, so a band that is bad all through doesn't make each of its pockets look bad. No rate in its heading: the rest of the band is different in every row.</t>
        </is>
      </c>
    </row>
    <row r="7" outlineLevel="1" ht="31" customHeight="1">
      <c r="B7" s="6" t="inlineStr">
        <is>
          <t>Colour</t>
        </is>
      </c>
      <c r="C7" s="7" t="inlineStr">
        <is>
          <t>Red is worse, green better, pale in line: 0.5× and under the greenest, 2× and over the deepest red; for a gap in points, the largest in the grid is the deepest. A blank: alone in its band, or fewer losses than fewest losses on Control, so not compared (a setting for the next Run). Grey: fewer loans than the 65 in Fewest loans in a pocket on Control, so not coloured, and left out of the largest gap.</t>
        </is>
      </c>
    </row>
    <row r="8" outlineLevel="1" ht="17" customHeight="1">
      <c r="B8" s="6" t="inlineStr">
        <is>
          <t>Loans</t>
        </is>
      </c>
      <c r="C8" s="7" t="inlineStr">
        <is>
          <t>How many loans are in each pocket, shaded by its share of the grid: darker is more. A count, not a test, so no red or green.</t>
        </is>
      </c>
    </row>
    <row r="9" outlineLevel="1" ht="17" customHeight="1">
      <c r="B9" s="6" t="inlineStr">
        <is>
          <t>Only loans where</t>
        </is>
      </c>
      <c r="C9" s="7" t="inlineStr">
        <is>
          <t>Pick a Filter by in the launcher.</t>
        </is>
      </c>
    </row>
    <row r="10" outlineLevel="1" ht="31" customHeight="1">
      <c r="B10" s="6" t="inlineStr">
        <is>
          <t>Groups</t>
        </is>
      </c>
      <c r="C10" s="7" t="inlineStr">
        <is>
          <t>Under the blocks: how many loans, and booked dollars, fall in each group of the split column or a new column, pocket by pocket, for every loan in the grid. The count is checked against the grid's before it is shown. Everything on this tab is as of the last Run: no line on Control changes it.</t>
        </is>
      </c>
    </row>
    <row r="12">
      <c r="B12" s="110" t="inlineStr">
        <is>
          <t>GRID</t>
        </is>
      </c>
      <c r="F12" s="110" t="inlineStr">
        <is>
          <t>MEASURE</t>
        </is>
      </c>
      <c r="J12" s="110" t="inlineStr">
        <is>
          <t>ONLY LOANS WHERE</t>
        </is>
      </c>
      <c r="N12" s="110" t="inlineStr">
        <is>
          <t>ROW</t>
        </is>
      </c>
      <c r="R12" s="110" t="inlineStr">
        <is>
          <t>COLUMN</t>
        </is>
      </c>
    </row>
    <row r="13" ht="20" customHeight="1">
      <c r="B13" s="32" t="inlineStr">
        <is>
          <t>FICO x CHANNEL</t>
        </is>
      </c>
      <c r="C13" s="126" t="n"/>
      <c r="D13" s="119" t="n"/>
      <c r="F13" s="32" t="inlineStr">
        <is>
          <t>Bad loans</t>
        </is>
      </c>
      <c r="G13" s="126" t="n"/>
      <c r="H13" s="119" t="n"/>
      <c r="J13" s="32" t="inlineStr">
        <is>
          <t>All loans</t>
        </is>
      </c>
      <c r="K13" s="126" t="n"/>
      <c r="L13" s="119" t="n"/>
      <c r="N13" s="32" t="inlineStr">
        <is>
          <t>496 - 653</t>
        </is>
      </c>
      <c r="O13" s="126" t="n"/>
      <c r="P13" s="119" t="n"/>
      <c r="R13" s="32" t="inlineStr">
        <is>
          <t>Branch</t>
        </is>
      </c>
      <c r="S13" s="126" t="n"/>
      <c r="T13" s="119" t="n"/>
      <c r="V13">
        <f>IFERROR(INDEX('_choices'!$J$2:$J$7,MATCH($F$13,'_choices'!$I$2:$I$7,0)),"")</f>
        <v/>
      </c>
      <c r="W13">
        <f>IF($V$14="","",IF(INDEX('_views'!$B:$ZZ,$V$14,1)="","",INDEX('_views'!$B:$ZZ,$V$14,1)))</f>
        <v/>
      </c>
      <c r="AC13">
        <f>IF(IF($V$16="","",IF(INDEX('_views'!$B:$ZZ,$V$16,1)="","",INDEX('_views'!$B:$ZZ,$V$16,1)))="All","",IF($V$16="","",IF(INDEX('_views'!$B:$ZZ,$V$16,1)="","",INDEX('_views'!$B:$ZZ,$V$16,1))))</f>
        <v/>
      </c>
      <c r="AD13">
        <f>IF(IF($V$15="","",IF(INDEX('_views'!$B:$ZZ,$V$15,1)="","",INDEX('_views'!$B:$ZZ,$V$15,1)))="All","",IF($V$15="","",IF(INDEX('_views'!$B:$ZZ,$V$15,1)="","",INDEX('_views'!$B:$ZZ,$V$15,1))))</f>
        <v/>
      </c>
      <c r="AE13">
        <f>SUMPRODUCT(--(LEN($AC$13:$AC$19)&gt;0))</f>
        <v/>
      </c>
      <c r="AF13">
        <f>IF($N$13="","",IFERROR(MATCH($N$13,$AC$13:$AC$19,0),""))</f>
        <v/>
      </c>
    </row>
    <row r="14">
      <c r="J14" s="127" t="inlineStr">
        <is>
          <t>Pick a Filter by in the launcher.</t>
        </is>
      </c>
      <c r="V14">
        <f>IFERROR(MATCH("G|"&amp;$W$15&amp;"|"&amp;$V$13&amp;"|meta",'_views'!$A:$A,0),"")</f>
        <v/>
      </c>
      <c r="W14">
        <f>IF($V$14="","",IF(INDEX('_views'!$B:$ZZ,$V$14,2)="","",INDEX('_views'!$B:$ZZ,$V$14,2)))</f>
        <v/>
      </c>
      <c r="AC14">
        <f>IF(IF($V$16="","",IF(INDEX('_views'!$B:$ZZ,$V$16,2)="","",INDEX('_views'!$B:$ZZ,$V$16,2)))="All","",IF($V$16="","",IF(INDEX('_views'!$B:$ZZ,$V$16,2)="","",INDEX('_views'!$B:$ZZ,$V$16,2))))</f>
        <v/>
      </c>
      <c r="AD14">
        <f>IF(IF($V$15="","",IF(INDEX('_views'!$B:$ZZ,$V$15,2)="","",INDEX('_views'!$B:$ZZ,$V$15,2)))="All","",IF($V$15="","",IF(INDEX('_views'!$B:$ZZ,$V$15,2)="","",INDEX('_views'!$B:$ZZ,$V$15,2))))</f>
        <v/>
      </c>
      <c r="AE14">
        <f>SUMPRODUCT(--(LEN($AD$13:$AD$18)&gt;0))</f>
        <v/>
      </c>
      <c r="AF14">
        <f>IF($R$13="","",IFERROR(MATCH($R$13,$AD$13:$AD$18,0),""))</f>
        <v/>
      </c>
    </row>
    <row r="15" ht="20" customHeight="1">
      <c r="B15" s="128">
        <f>"Rate · "&amp;$F$13</f>
        <v/>
      </c>
      <c r="C15" s="26" t="n"/>
      <c r="D15" s="26" t="n"/>
      <c r="E15" s="26" t="n"/>
      <c r="F15" s="26" t="n"/>
      <c r="G15" s="26" t="n"/>
      <c r="H15" s="26" t="n"/>
      <c r="I15" s="26" t="n"/>
      <c r="K15" s="128">
        <f>IF(ISNUMBER($W$16),"vs the book (book: "&amp;IF($W$13="size",TEXT($W$16,"$#,##0"),TEXT($W$16,"0.00%"))&amp;")","vs the book")</f>
        <v/>
      </c>
      <c r="L15" s="26" t="n"/>
      <c r="M15" s="26" t="n"/>
      <c r="N15" s="26" t="n"/>
      <c r="O15" s="26" t="n"/>
      <c r="P15" s="26" t="n"/>
      <c r="Q15" s="26" t="n"/>
      <c r="R15" s="26" t="n"/>
      <c r="V15">
        <f>IFERROR(MATCH("G|"&amp;$W$15&amp;"|cols",'_views'!$A:$A,0),"")</f>
        <v/>
      </c>
      <c r="W15">
        <f>$B$13&amp;IF(OR($J$13="",$J$13="All loans"),"","|where "&amp;$J$13)</f>
        <v/>
      </c>
      <c r="AC15">
        <f>IF(IF($V$16="","",IF(INDEX('_views'!$B:$ZZ,$V$16,3)="","",INDEX('_views'!$B:$ZZ,$V$16,3)))="All","",IF($V$16="","",IF(INDEX('_views'!$B:$ZZ,$V$16,3)="","",INDEX('_views'!$B:$ZZ,$V$16,3))))</f>
        <v/>
      </c>
      <c r="AD15">
        <f>IF(IF($V$15="","",IF(INDEX('_views'!$B:$ZZ,$V$15,3)="","",INDEX('_views'!$B:$ZZ,$V$15,3)))="All","",IF($V$15="","",IF(INDEX('_views'!$B:$ZZ,$V$15,3)="","",INDEX('_views'!$B:$ZZ,$V$15,3))))</f>
        <v/>
      </c>
      <c r="AF15">
        <f>IF(OR($AF$13="",$AF$14=""),"",INDEX($C$18:$I$25,$AF$13,$AF$14))</f>
        <v/>
      </c>
    </row>
    <row r="16" ht="16" customHeight="1">
      <c r="B16" s="5" t="n"/>
      <c r="C16" s="129">
        <f>IF($V$20="","",IF(INDEX('_views'!$B:$ZZ,$V$20,1)="","",INDEX('_views'!$B:$ZZ,$V$20,1)))</f>
        <v/>
      </c>
      <c r="E16" s="129">
        <f>IF($V$20="","",IF(INDEX('_views'!$B:$ZZ,$V$20,2)="","",INDEX('_views'!$B:$ZZ,$V$20,2)))</f>
        <v/>
      </c>
      <c r="G16" s="129">
        <f>IF($V$20="","",IF(INDEX('_views'!$B:$ZZ,$V$20,3)="","",INDEX('_views'!$B:$ZZ,$V$20,3)))</f>
        <v/>
      </c>
      <c r="I16" s="5" t="n"/>
      <c r="K16" s="5" t="n"/>
      <c r="L16" s="129">
        <f>IF($V$20="","",IF(INDEX('_views'!$B:$ZZ,$V$20,1)="","",INDEX('_views'!$B:$ZZ,$V$20,1)))</f>
        <v/>
      </c>
      <c r="N16" s="129">
        <f>IF($V$20="","",IF(INDEX('_views'!$B:$ZZ,$V$20,2)="","",INDEX('_views'!$B:$ZZ,$V$20,2)))</f>
        <v/>
      </c>
      <c r="P16" s="129">
        <f>IF($V$20="","",IF(INDEX('_views'!$B:$ZZ,$V$20,3)="","",INDEX('_views'!$B:$ZZ,$V$20,3)))</f>
        <v/>
      </c>
      <c r="R16" s="5" t="n"/>
      <c r="V16">
        <f>IFERROR(MATCH("G|"&amp;$W$15&amp;"|rows",'_views'!$A:$A,0),"")</f>
        <v/>
      </c>
      <c r="W16">
        <f>IF($V$14="","",IF(INDEX('_views'!$B:$ZZ,$V$14,4)="","",INDEX('_views'!$B:$ZZ,$V$14,4)))</f>
        <v/>
      </c>
      <c r="AC16">
        <f>IF(IF($V$16="","",IF(INDEX('_views'!$B:$ZZ,$V$16,4)="","",INDEX('_views'!$B:$ZZ,$V$16,4)))="All","",IF($V$16="","",IF(INDEX('_views'!$B:$ZZ,$V$16,4)="","",INDEX('_views'!$B:$ZZ,$V$16,4))))</f>
        <v/>
      </c>
      <c r="AD16">
        <f>IF(IF($V$15="","",IF(INDEX('_views'!$B:$ZZ,$V$15,4)="","",INDEX('_views'!$B:$ZZ,$V$15,4)))="All","",IF($V$15="","",IF(INDEX('_views'!$B:$ZZ,$V$15,4)="","",INDEX('_views'!$B:$ZZ,$V$15,4))))</f>
        <v/>
      </c>
      <c r="AF16">
        <f>IF(OR($AF$13="",$AF$14=""),"",INDEX($L$18:$R$25,$AF$13,$AF$14))</f>
        <v/>
      </c>
    </row>
    <row r="17" ht="16" customHeight="1">
      <c r="B17" s="130">
        <f>IF($V$17="","",IF(INDEX('_views'!$B:$ZZ,$V$17,1)="","",INDEX('_views'!$B:$ZZ,$V$17,1)))</f>
        <v/>
      </c>
      <c r="C17" s="129">
        <f>IF($V$19="","",IF(INDEX('_views'!$B:$ZZ,$V$19,1)="","",INDEX('_views'!$B:$ZZ,$V$19,1)))</f>
        <v/>
      </c>
      <c r="D17" s="129">
        <f>IF($V$19="","",IF(INDEX('_views'!$B:$ZZ,$V$19,2)="","",INDEX('_views'!$B:$ZZ,$V$19,2)))</f>
        <v/>
      </c>
      <c r="E17" s="129">
        <f>IF($V$19="","",IF(INDEX('_views'!$B:$ZZ,$V$19,3)="","",INDEX('_views'!$B:$ZZ,$V$19,3)))</f>
        <v/>
      </c>
      <c r="F17" s="129">
        <f>IF($V$19="","",IF(INDEX('_views'!$B:$ZZ,$V$19,4)="","",INDEX('_views'!$B:$ZZ,$V$19,4)))</f>
        <v/>
      </c>
      <c r="G17" s="129">
        <f>IF($V$19="","",IF(INDEX('_views'!$B:$ZZ,$V$19,5)="","",INDEX('_views'!$B:$ZZ,$V$19,5)))</f>
        <v/>
      </c>
      <c r="H17" s="129">
        <f>IF($V$19="","",IF(INDEX('_views'!$B:$ZZ,$V$19,6)="","",INDEX('_views'!$B:$ZZ,$V$19,6)))</f>
        <v/>
      </c>
      <c r="I17" s="129">
        <f>IF($V$19="","",IF(INDEX('_views'!$B:$ZZ,$V$19,7)="","",INDEX('_views'!$B:$ZZ,$V$19,7)))</f>
        <v/>
      </c>
      <c r="K17" s="130">
        <f>IF($V$17="","",IF(INDEX('_views'!$B:$ZZ,$V$17,1)="","",INDEX('_views'!$B:$ZZ,$V$17,1)))</f>
        <v/>
      </c>
      <c r="L17" s="129">
        <f>IF($V$19="","",IF(INDEX('_views'!$B:$ZZ,$V$19,1)="","",INDEX('_views'!$B:$ZZ,$V$19,1)))</f>
        <v/>
      </c>
      <c r="M17" s="129">
        <f>IF($V$19="","",IF(INDEX('_views'!$B:$ZZ,$V$19,2)="","",INDEX('_views'!$B:$ZZ,$V$19,2)))</f>
        <v/>
      </c>
      <c r="N17" s="129">
        <f>IF($V$19="","",IF(INDEX('_views'!$B:$ZZ,$V$19,3)="","",INDEX('_views'!$B:$ZZ,$V$19,3)))</f>
        <v/>
      </c>
      <c r="O17" s="129">
        <f>IF($V$19="","",IF(INDEX('_views'!$B:$ZZ,$V$19,4)="","",INDEX('_views'!$B:$ZZ,$V$19,4)))</f>
        <v/>
      </c>
      <c r="P17" s="129">
        <f>IF($V$19="","",IF(INDEX('_views'!$B:$ZZ,$V$19,5)="","",INDEX('_views'!$B:$ZZ,$V$19,5)))</f>
        <v/>
      </c>
      <c r="Q17" s="129">
        <f>IF($V$19="","",IF(INDEX('_views'!$B:$ZZ,$V$19,6)="","",INDEX('_views'!$B:$ZZ,$V$19,6)))</f>
        <v/>
      </c>
      <c r="R17" s="129">
        <f>IF($V$19="","",IF(INDEX('_views'!$B:$ZZ,$V$19,7)="","",INDEX('_views'!$B:$ZZ,$V$19,7)))</f>
        <v/>
      </c>
      <c r="V17">
        <f>IFERROR(MATCH("G|"&amp;$W$15&amp;"|names",'_views'!$A:$A,0),"")</f>
        <v/>
      </c>
      <c r="W17">
        <f>IF($V$14="","",IF(INDEX('_views'!$B:$ZZ,$V$14,5)="","",INDEX('_views'!$B:$ZZ,$V$14,5)))</f>
        <v/>
      </c>
      <c r="AC17">
        <f>IF(IF($V$16="","",IF(INDEX('_views'!$B:$ZZ,$V$16,5)="","",INDEX('_views'!$B:$ZZ,$V$16,5)))="All","",IF($V$16="","",IF(INDEX('_views'!$B:$ZZ,$V$16,5)="","",INDEX('_views'!$B:$ZZ,$V$16,5))))</f>
        <v/>
      </c>
      <c r="AD17">
        <f>IF(IF($V$15="","",IF(INDEX('_views'!$B:$ZZ,$V$15,5)="","",INDEX('_views'!$B:$ZZ,$V$15,5)))="All","",IF($V$15="","",IF(INDEX('_views'!$B:$ZZ,$V$15,5)="","",INDEX('_views'!$B:$ZZ,$V$15,5))))</f>
        <v/>
      </c>
      <c r="AF17">
        <f>IF(OR($AF$13="",$AF$14=""),"",INDEX($C$30:$I$37,$AF$13,$AF$14))</f>
        <v/>
      </c>
    </row>
    <row r="18" ht="16" customHeight="1">
      <c r="B18" s="113">
        <f>IF($V$16="","",IF(INDEX('_views'!$B:$ZZ,$V$16,1)="","",INDEX('_views'!$B:$ZZ,$V$16,1)))</f>
        <v/>
      </c>
      <c r="C18" s="115">
        <f>IF($X18="","",IF(INDEX('_views'!$B:$ZZ,$X18,1)="","",INDEX('_views'!$B:$ZZ,$X18,1)))</f>
        <v/>
      </c>
      <c r="D18" s="115">
        <f>IF($X18="","",IF(INDEX('_views'!$B:$ZZ,$X18,2)="","",INDEX('_views'!$B:$ZZ,$X18,2)))</f>
        <v/>
      </c>
      <c r="E18" s="115">
        <f>IF($X18="","",IF(INDEX('_views'!$B:$ZZ,$X18,3)="","",INDEX('_views'!$B:$ZZ,$X18,3)))</f>
        <v/>
      </c>
      <c r="F18" s="115">
        <f>IF($X18="","",IF(INDEX('_views'!$B:$ZZ,$X18,4)="","",INDEX('_views'!$B:$ZZ,$X18,4)))</f>
        <v/>
      </c>
      <c r="G18" s="115">
        <f>IF($X18="","",IF(INDEX('_views'!$B:$ZZ,$X18,5)="","",INDEX('_views'!$B:$ZZ,$X18,5)))</f>
        <v/>
      </c>
      <c r="H18" s="115">
        <f>IF($X18="","",IF(INDEX('_views'!$B:$ZZ,$X18,6)="","",INDEX('_views'!$B:$ZZ,$X18,6)))</f>
        <v/>
      </c>
      <c r="I18" s="115">
        <f>IF($X18="","",IF(INDEX('_views'!$B:$ZZ,$X18,7)="","",INDEX('_views'!$B:$ZZ,$X18,7)))</f>
        <v/>
      </c>
      <c r="K18" s="113">
        <f>IF($V$16="","",IF(INDEX('_views'!$B:$ZZ,$V$16,1)="","",INDEX('_views'!$B:$ZZ,$V$16,1)))</f>
        <v/>
      </c>
      <c r="L18" s="116">
        <f>IF($Y18="","",IF(INDEX('_views'!$B:$ZZ,$Y18,1)="","",INDEX('_views'!$B:$ZZ,$Y18,1)))</f>
        <v/>
      </c>
      <c r="M18" s="116">
        <f>IF($Y18="","",IF(INDEX('_views'!$B:$ZZ,$Y18,2)="","",INDEX('_views'!$B:$ZZ,$Y18,2)))</f>
        <v/>
      </c>
      <c r="N18" s="116">
        <f>IF($Y18="","",IF(INDEX('_views'!$B:$ZZ,$Y18,3)="","",INDEX('_views'!$B:$ZZ,$Y18,3)))</f>
        <v/>
      </c>
      <c r="O18" s="116">
        <f>IF($Y18="","",IF(INDEX('_views'!$B:$ZZ,$Y18,4)="","",INDEX('_views'!$B:$ZZ,$Y18,4)))</f>
        <v/>
      </c>
      <c r="P18" s="116">
        <f>IF($Y18="","",IF(INDEX('_views'!$B:$ZZ,$Y18,5)="","",INDEX('_views'!$B:$ZZ,$Y18,5)))</f>
        <v/>
      </c>
      <c r="Q18" s="116">
        <f>IF($Y18="","",IF(INDEX('_views'!$B:$ZZ,$Y18,6)="","",INDEX('_views'!$B:$ZZ,$Y18,6)))</f>
        <v/>
      </c>
      <c r="R18" s="116">
        <f>IF($Y18="","",IF(INDEX('_views'!$B:$ZZ,$Y18,7)="","",INDEX('_views'!$B:$ZZ,$Y18,7)))</f>
        <v/>
      </c>
      <c r="V18">
        <f>IFERROR(MATCH("G|"&amp;$W$15&amp;"|total",'_views'!$A:$A,0),"")</f>
        <v/>
      </c>
      <c r="X18">
        <f>IFERROR(MATCH("G|"&amp;$W$15&amp;"|"&amp;$V$13&amp;"|rate|1",'_views'!$A:$A,0),"")</f>
        <v/>
      </c>
      <c r="Y18">
        <f>IFERROR(MATCH("G|"&amp;$W$15&amp;"|"&amp;$V$13&amp;"|book|1",'_views'!$A:$A,0),"")</f>
        <v/>
      </c>
      <c r="AC18">
        <f>IF(IF($V$16="","",IF(INDEX('_views'!$B:$ZZ,$V$16,6)="","",INDEX('_views'!$B:$ZZ,$V$16,6)))="All","",IF($V$16="","",IF(INDEX('_views'!$B:$ZZ,$V$16,6)="","",INDEX('_views'!$B:$ZZ,$V$16,6))))</f>
        <v/>
      </c>
      <c r="AD18">
        <f>IF(IF($V$15="","",IF(INDEX('_views'!$B:$ZZ,$V$15,6)="","",INDEX('_views'!$B:$ZZ,$V$15,6)))="All","",IF($V$15="","",IF(INDEX('_views'!$B:$ZZ,$V$15,6)="","",INDEX('_views'!$B:$ZZ,$V$15,6))))</f>
        <v/>
      </c>
      <c r="AF18">
        <f>IF(OR($AF$13="",$AF$14=""),"",INDEX($L$30:$R$37,$AF$13,$AF$14))</f>
        <v/>
      </c>
    </row>
    <row r="19" ht="16" customHeight="1">
      <c r="B19" s="113">
        <f>IF($V$16="","",IF(INDEX('_views'!$B:$ZZ,$V$16,2)="","",INDEX('_views'!$B:$ZZ,$V$16,2)))</f>
        <v/>
      </c>
      <c r="C19" s="115">
        <f>IF($X19="","",IF(INDEX('_views'!$B:$ZZ,$X19,1)="","",INDEX('_views'!$B:$ZZ,$X19,1)))</f>
        <v/>
      </c>
      <c r="D19" s="115">
        <f>IF($X19="","",IF(INDEX('_views'!$B:$ZZ,$X19,2)="","",INDEX('_views'!$B:$ZZ,$X19,2)))</f>
        <v/>
      </c>
      <c r="E19" s="115">
        <f>IF($X19="","",IF(INDEX('_views'!$B:$ZZ,$X19,3)="","",INDEX('_views'!$B:$ZZ,$X19,3)))</f>
        <v/>
      </c>
      <c r="F19" s="115">
        <f>IF($X19="","",IF(INDEX('_views'!$B:$ZZ,$X19,4)="","",INDEX('_views'!$B:$ZZ,$X19,4)))</f>
        <v/>
      </c>
      <c r="G19" s="115">
        <f>IF($X19="","",IF(INDEX('_views'!$B:$ZZ,$X19,5)="","",INDEX('_views'!$B:$ZZ,$X19,5)))</f>
        <v/>
      </c>
      <c r="H19" s="115">
        <f>IF($X19="","",IF(INDEX('_views'!$B:$ZZ,$X19,6)="","",INDEX('_views'!$B:$ZZ,$X19,6)))</f>
        <v/>
      </c>
      <c r="I19" s="115">
        <f>IF($X19="","",IF(INDEX('_views'!$B:$ZZ,$X19,7)="","",INDEX('_views'!$B:$ZZ,$X19,7)))</f>
        <v/>
      </c>
      <c r="K19" s="113">
        <f>IF($V$16="","",IF(INDEX('_views'!$B:$ZZ,$V$16,2)="","",INDEX('_views'!$B:$ZZ,$V$16,2)))</f>
        <v/>
      </c>
      <c r="L19" s="116">
        <f>IF($Y19="","",IF(INDEX('_views'!$B:$ZZ,$Y19,1)="","",INDEX('_views'!$B:$ZZ,$Y19,1)))</f>
        <v/>
      </c>
      <c r="M19" s="116">
        <f>IF($Y19="","",IF(INDEX('_views'!$B:$ZZ,$Y19,2)="","",INDEX('_views'!$B:$ZZ,$Y19,2)))</f>
        <v/>
      </c>
      <c r="N19" s="116">
        <f>IF($Y19="","",IF(INDEX('_views'!$B:$ZZ,$Y19,3)="","",INDEX('_views'!$B:$ZZ,$Y19,3)))</f>
        <v/>
      </c>
      <c r="O19" s="116">
        <f>IF($Y19="","",IF(INDEX('_views'!$B:$ZZ,$Y19,4)="","",INDEX('_views'!$B:$ZZ,$Y19,4)))</f>
        <v/>
      </c>
      <c r="P19" s="116">
        <f>IF($Y19="","",IF(INDEX('_views'!$B:$ZZ,$Y19,5)="","",INDEX('_views'!$B:$ZZ,$Y19,5)))</f>
        <v/>
      </c>
      <c r="Q19" s="116">
        <f>IF($Y19="","",IF(INDEX('_views'!$B:$ZZ,$Y19,6)="","",INDEX('_views'!$B:$ZZ,$Y19,6)))</f>
        <v/>
      </c>
      <c r="R19" s="116">
        <f>IF($Y19="","",IF(INDEX('_views'!$B:$ZZ,$Y19,7)="","",INDEX('_views'!$B:$ZZ,$Y19,7)))</f>
        <v/>
      </c>
      <c r="V19">
        <f>IFERROR(MATCH("G|"&amp;$W$15&amp;"|heads",'_views'!$A:$A,0),"")</f>
        <v/>
      </c>
      <c r="X19">
        <f>IFERROR(MATCH("G|"&amp;$W$15&amp;"|"&amp;$V$13&amp;"|rate|2",'_views'!$A:$A,0),"")</f>
        <v/>
      </c>
      <c r="Y19">
        <f>IFERROR(MATCH("G|"&amp;$W$15&amp;"|"&amp;$V$13&amp;"|book|2",'_views'!$A:$A,0),"")</f>
        <v/>
      </c>
      <c r="AC19">
        <f>IF(IF($V$16="","",IF(INDEX('_views'!$B:$ZZ,$V$16,7)="","",INDEX('_views'!$B:$ZZ,$V$16,7)))="All","",IF($V$16="","",IF(INDEX('_views'!$B:$ZZ,$V$16,7)="","",INDEX('_views'!$B:$ZZ,$V$16,7))))</f>
        <v/>
      </c>
      <c r="AF19">
        <f>IF($AF$13="","",INDEX($L$30:$R$37,$AF$13,$AE$14+1))</f>
        <v/>
      </c>
    </row>
    <row r="20" ht="16" customHeight="1">
      <c r="B20" s="113">
        <f>IF($V$16="","",IF(INDEX('_views'!$B:$ZZ,$V$16,3)="","",INDEX('_views'!$B:$ZZ,$V$16,3)))</f>
        <v/>
      </c>
      <c r="C20" s="115">
        <f>IF($X20="","",IF(INDEX('_views'!$B:$ZZ,$X20,1)="","",INDEX('_views'!$B:$ZZ,$X20,1)))</f>
        <v/>
      </c>
      <c r="D20" s="115">
        <f>IF($X20="","",IF(INDEX('_views'!$B:$ZZ,$X20,2)="","",INDEX('_views'!$B:$ZZ,$X20,2)))</f>
        <v/>
      </c>
      <c r="E20" s="115">
        <f>IF($X20="","",IF(INDEX('_views'!$B:$ZZ,$X20,3)="","",INDEX('_views'!$B:$ZZ,$X20,3)))</f>
        <v/>
      </c>
      <c r="F20" s="115">
        <f>IF($X20="","",IF(INDEX('_views'!$B:$ZZ,$X20,4)="","",INDEX('_views'!$B:$ZZ,$X20,4)))</f>
        <v/>
      </c>
      <c r="G20" s="115">
        <f>IF($X20="","",IF(INDEX('_views'!$B:$ZZ,$X20,5)="","",INDEX('_views'!$B:$ZZ,$X20,5)))</f>
        <v/>
      </c>
      <c r="H20" s="115">
        <f>IF($X20="","",IF(INDEX('_views'!$B:$ZZ,$X20,6)="","",INDEX('_views'!$B:$ZZ,$X20,6)))</f>
        <v/>
      </c>
      <c r="I20" s="115">
        <f>IF($X20="","",IF(INDEX('_views'!$B:$ZZ,$X20,7)="","",INDEX('_views'!$B:$ZZ,$X20,7)))</f>
        <v/>
      </c>
      <c r="K20" s="113">
        <f>IF($V$16="","",IF(INDEX('_views'!$B:$ZZ,$V$16,3)="","",INDEX('_views'!$B:$ZZ,$V$16,3)))</f>
        <v/>
      </c>
      <c r="L20" s="116">
        <f>IF($Y20="","",IF(INDEX('_views'!$B:$ZZ,$Y20,1)="","",INDEX('_views'!$B:$ZZ,$Y20,1)))</f>
        <v/>
      </c>
      <c r="M20" s="116">
        <f>IF($Y20="","",IF(INDEX('_views'!$B:$ZZ,$Y20,2)="","",INDEX('_views'!$B:$ZZ,$Y20,2)))</f>
        <v/>
      </c>
      <c r="N20" s="116">
        <f>IF($Y20="","",IF(INDEX('_views'!$B:$ZZ,$Y20,3)="","",INDEX('_views'!$B:$ZZ,$Y20,3)))</f>
        <v/>
      </c>
      <c r="O20" s="116">
        <f>IF($Y20="","",IF(INDEX('_views'!$B:$ZZ,$Y20,4)="","",INDEX('_views'!$B:$ZZ,$Y20,4)))</f>
        <v/>
      </c>
      <c r="P20" s="116">
        <f>IF($Y20="","",IF(INDEX('_views'!$B:$ZZ,$Y20,5)="","",INDEX('_views'!$B:$ZZ,$Y20,5)))</f>
        <v/>
      </c>
      <c r="Q20" s="116">
        <f>IF($Y20="","",IF(INDEX('_views'!$B:$ZZ,$Y20,6)="","",INDEX('_views'!$B:$ZZ,$Y20,6)))</f>
        <v/>
      </c>
      <c r="R20" s="116">
        <f>IF($Y20="","",IF(INDEX('_views'!$B:$ZZ,$Y20,7)="","",INDEX('_views'!$B:$ZZ,$Y20,7)))</f>
        <v/>
      </c>
      <c r="V20">
        <f>IFERROR(MATCH("G|"&amp;$W$15&amp;"|segs",'_views'!$A:$A,0),"")</f>
        <v/>
      </c>
      <c r="X20">
        <f>IFERROR(MATCH("G|"&amp;$W$15&amp;"|"&amp;$V$13&amp;"|rate|3",'_views'!$A:$A,0),"")</f>
        <v/>
      </c>
      <c r="Y20">
        <f>IFERROR(MATCH("G|"&amp;$W$15&amp;"|"&amp;$V$13&amp;"|book|3",'_views'!$A:$A,0),"")</f>
        <v/>
      </c>
      <c r="AF20">
        <f>IF(OR($AF$13="",$AF$14=""),"",COUNT(OFFSET($L$30,$AF$13-1,0,1,$AE$14))-IF(ISNUMBER($AF$18),1,0))</f>
        <v/>
      </c>
    </row>
    <row r="21" ht="16" customHeight="1">
      <c r="B21" s="113">
        <f>IF($V$16="","",IF(INDEX('_views'!$B:$ZZ,$V$16,4)="","",INDEX('_views'!$B:$ZZ,$V$16,4)))</f>
        <v/>
      </c>
      <c r="C21" s="115">
        <f>IF($X21="","",IF(INDEX('_views'!$B:$ZZ,$X21,1)="","",INDEX('_views'!$B:$ZZ,$X21,1)))</f>
        <v/>
      </c>
      <c r="D21" s="115">
        <f>IF($X21="","",IF(INDEX('_views'!$B:$ZZ,$X21,2)="","",INDEX('_views'!$B:$ZZ,$X21,2)))</f>
        <v/>
      </c>
      <c r="E21" s="115">
        <f>IF($X21="","",IF(INDEX('_views'!$B:$ZZ,$X21,3)="","",INDEX('_views'!$B:$ZZ,$X21,3)))</f>
        <v/>
      </c>
      <c r="F21" s="115">
        <f>IF($X21="","",IF(INDEX('_views'!$B:$ZZ,$X21,4)="","",INDEX('_views'!$B:$ZZ,$X21,4)))</f>
        <v/>
      </c>
      <c r="G21" s="115">
        <f>IF($X21="","",IF(INDEX('_views'!$B:$ZZ,$X21,5)="","",INDEX('_views'!$B:$ZZ,$X21,5)))</f>
        <v/>
      </c>
      <c r="H21" s="115">
        <f>IF($X21="","",IF(INDEX('_views'!$B:$ZZ,$X21,6)="","",INDEX('_views'!$B:$ZZ,$X21,6)))</f>
        <v/>
      </c>
      <c r="I21" s="115">
        <f>IF($X21="","",IF(INDEX('_views'!$B:$ZZ,$X21,7)="","",INDEX('_views'!$B:$ZZ,$X21,7)))</f>
        <v/>
      </c>
      <c r="K21" s="113">
        <f>IF($V$16="","",IF(INDEX('_views'!$B:$ZZ,$V$16,4)="","",INDEX('_views'!$B:$ZZ,$V$16,4)))</f>
        <v/>
      </c>
      <c r="L21" s="116">
        <f>IF($Y21="","",IF(INDEX('_views'!$B:$ZZ,$Y21,1)="","",INDEX('_views'!$B:$ZZ,$Y21,1)))</f>
        <v/>
      </c>
      <c r="M21" s="116">
        <f>IF($Y21="","",IF(INDEX('_views'!$B:$ZZ,$Y21,2)="","",INDEX('_views'!$B:$ZZ,$Y21,2)))</f>
        <v/>
      </c>
      <c r="N21" s="116">
        <f>IF($Y21="","",IF(INDEX('_views'!$B:$ZZ,$Y21,3)="","",INDEX('_views'!$B:$ZZ,$Y21,3)))</f>
        <v/>
      </c>
      <c r="O21" s="116">
        <f>IF($Y21="","",IF(INDEX('_views'!$B:$ZZ,$Y21,4)="","",INDEX('_views'!$B:$ZZ,$Y21,4)))</f>
        <v/>
      </c>
      <c r="P21" s="116">
        <f>IF($Y21="","",IF(INDEX('_views'!$B:$ZZ,$Y21,5)="","",INDEX('_views'!$B:$ZZ,$Y21,5)))</f>
        <v/>
      </c>
      <c r="Q21" s="116">
        <f>IF($Y21="","",IF(INDEX('_views'!$B:$ZZ,$Y21,6)="","",INDEX('_views'!$B:$ZZ,$Y21,6)))</f>
        <v/>
      </c>
      <c r="R21" s="116">
        <f>IF($Y21="","",IF(INDEX('_views'!$B:$ZZ,$Y21,7)="","",INDEX('_views'!$B:$ZZ,$Y21,7)))</f>
        <v/>
      </c>
      <c r="X21">
        <f>IFERROR(MATCH("G|"&amp;$W$15&amp;"|"&amp;$V$13&amp;"|rate|4",'_views'!$A:$A,0),"")</f>
        <v/>
      </c>
      <c r="Y21">
        <f>IFERROR(MATCH("G|"&amp;$W$15&amp;"|"&amp;$V$13&amp;"|book|4",'_views'!$A:$A,0),"")</f>
        <v/>
      </c>
      <c r="AF21">
        <f>IFERROR(MID(IF(AND(1&lt;&gt;$AF$14,1&lt;=$AE$14,ISNUMBER(INDEX($L$30:$R$37,$AF$13,1))),", "&amp;IF($V$15="","",IF(INDEX('_views'!$B:$ZZ,$V$15,1)="","",INDEX('_views'!$B:$ZZ,$V$15,1))),"")&amp;IF(AND(2&lt;&gt;$AF$14,2&lt;=$AE$14,ISNUMBER(INDEX($L$30:$R$37,$AF$13,2))),", "&amp;IF($V$15="","",IF(INDEX('_views'!$B:$ZZ,$V$15,2)="","",INDEX('_views'!$B:$ZZ,$V$15,2))),"")&amp;IF(AND(3&lt;&gt;$AF$14,3&lt;=$AE$14,ISNUMBER(INDEX($L$30:$R$37,$AF$13,3))),", "&amp;IF($V$15="","",IF(INDEX('_views'!$B:$ZZ,$V$15,3)="","",INDEX('_views'!$B:$ZZ,$V$15,3))),"")&amp;IF(AND(4&lt;&gt;$AF$14,4&lt;=$AE$14,ISNUMBER(INDEX($L$30:$R$37,$AF$13,4))),", "&amp;IF($V$15="","",IF(INDEX('_views'!$B:$ZZ,$V$15,4)="","",INDEX('_views'!$B:$ZZ,$V$15,4))),"")&amp;IF(AND(5&lt;&gt;$AF$14,5&lt;=$AE$14,ISNUMBER(INDEX($L$30:$R$37,$AF$13,5))),", "&amp;IF($V$15="","",IF(INDEX('_views'!$B:$ZZ,$V$15,5)="","",INDEX('_views'!$B:$ZZ,$V$15,5))),"")&amp;IF(AND(6&lt;&gt;$AF$14,6&lt;=$AE$14,ISNUMBER(INDEX($L$30:$R$37,$AF$13,6))),", "&amp;IF($V$15="","",IF(INDEX('_views'!$B:$ZZ,$V$15,6)="","",INDEX('_views'!$B:$ZZ,$V$15,6))),"")&amp;IF(AND(7&lt;&gt;$AF$14,7&lt;=$AE$14,ISNUMBER(INDEX($L$30:$R$37,$AF$13,7))),", "&amp;IF($V$15="","",IF(INDEX('_views'!$B:$ZZ,$V$15,7)="","",INDEX('_views'!$B:$ZZ,$V$15,7))),""),3,999),"")</f>
        <v/>
      </c>
    </row>
    <row r="22" ht="16" customHeight="1">
      <c r="B22" s="113">
        <f>IF($V$16="","",IF(INDEX('_views'!$B:$ZZ,$V$16,5)="","",INDEX('_views'!$B:$ZZ,$V$16,5)))</f>
        <v/>
      </c>
      <c r="C22" s="115">
        <f>IF($X22="","",IF(INDEX('_views'!$B:$ZZ,$X22,1)="","",INDEX('_views'!$B:$ZZ,$X22,1)))</f>
        <v/>
      </c>
      <c r="D22" s="115">
        <f>IF($X22="","",IF(INDEX('_views'!$B:$ZZ,$X22,2)="","",INDEX('_views'!$B:$ZZ,$X22,2)))</f>
        <v/>
      </c>
      <c r="E22" s="115">
        <f>IF($X22="","",IF(INDEX('_views'!$B:$ZZ,$X22,3)="","",INDEX('_views'!$B:$ZZ,$X22,3)))</f>
        <v/>
      </c>
      <c r="F22" s="115">
        <f>IF($X22="","",IF(INDEX('_views'!$B:$ZZ,$X22,4)="","",INDEX('_views'!$B:$ZZ,$X22,4)))</f>
        <v/>
      </c>
      <c r="G22" s="115">
        <f>IF($X22="","",IF(INDEX('_views'!$B:$ZZ,$X22,5)="","",INDEX('_views'!$B:$ZZ,$X22,5)))</f>
        <v/>
      </c>
      <c r="H22" s="115">
        <f>IF($X22="","",IF(INDEX('_views'!$B:$ZZ,$X22,6)="","",INDEX('_views'!$B:$ZZ,$X22,6)))</f>
        <v/>
      </c>
      <c r="I22" s="115">
        <f>IF($X22="","",IF(INDEX('_views'!$B:$ZZ,$X22,7)="","",INDEX('_views'!$B:$ZZ,$X22,7)))</f>
        <v/>
      </c>
      <c r="K22" s="113">
        <f>IF($V$16="","",IF(INDEX('_views'!$B:$ZZ,$V$16,5)="","",INDEX('_views'!$B:$ZZ,$V$16,5)))</f>
        <v/>
      </c>
      <c r="L22" s="116">
        <f>IF($Y22="","",IF(INDEX('_views'!$B:$ZZ,$Y22,1)="","",INDEX('_views'!$B:$ZZ,$Y22,1)))</f>
        <v/>
      </c>
      <c r="M22" s="116">
        <f>IF($Y22="","",IF(INDEX('_views'!$B:$ZZ,$Y22,2)="","",INDEX('_views'!$B:$ZZ,$Y22,2)))</f>
        <v/>
      </c>
      <c r="N22" s="116">
        <f>IF($Y22="","",IF(INDEX('_views'!$B:$ZZ,$Y22,3)="","",INDEX('_views'!$B:$ZZ,$Y22,3)))</f>
        <v/>
      </c>
      <c r="O22" s="116">
        <f>IF($Y22="","",IF(INDEX('_views'!$B:$ZZ,$Y22,4)="","",INDEX('_views'!$B:$ZZ,$Y22,4)))</f>
        <v/>
      </c>
      <c r="P22" s="116">
        <f>IF($Y22="","",IF(INDEX('_views'!$B:$ZZ,$Y22,5)="","",INDEX('_views'!$B:$ZZ,$Y22,5)))</f>
        <v/>
      </c>
      <c r="Q22" s="116">
        <f>IF($Y22="","",IF(INDEX('_views'!$B:$ZZ,$Y22,6)="","",INDEX('_views'!$B:$ZZ,$Y22,6)))</f>
        <v/>
      </c>
      <c r="R22" s="116">
        <f>IF($Y22="","",IF(INDEX('_views'!$B:$ZZ,$Y22,7)="","",INDEX('_views'!$B:$ZZ,$Y22,7)))</f>
        <v/>
      </c>
      <c r="X22">
        <f>IFERROR(MATCH("G|"&amp;$W$15&amp;"|"&amp;$V$13&amp;"|rate|5",'_views'!$A:$A,0),"")</f>
        <v/>
      </c>
      <c r="Y22">
        <f>IFERROR(MATCH("G|"&amp;$W$15&amp;"|"&amp;$V$13&amp;"|book|5",'_views'!$A:$A,0),"")</f>
        <v/>
      </c>
      <c r="AF22">
        <f>IFERROR(INDEX('_choices'!$K$2:$K$7,MATCH($F$13,'_choices'!$I$2:$I$7,0)),"")</f>
        <v/>
      </c>
    </row>
    <row r="23" ht="16" customHeight="1">
      <c r="B23" s="113">
        <f>IF($V$16="","",IF(INDEX('_views'!$B:$ZZ,$V$16,6)="","",INDEX('_views'!$B:$ZZ,$V$16,6)))</f>
        <v/>
      </c>
      <c r="C23" s="115">
        <f>IF($X23="","",IF(INDEX('_views'!$B:$ZZ,$X23,1)="","",INDEX('_views'!$B:$ZZ,$X23,1)))</f>
        <v/>
      </c>
      <c r="D23" s="115">
        <f>IF($X23="","",IF(INDEX('_views'!$B:$ZZ,$X23,2)="","",INDEX('_views'!$B:$ZZ,$X23,2)))</f>
        <v/>
      </c>
      <c r="E23" s="115">
        <f>IF($X23="","",IF(INDEX('_views'!$B:$ZZ,$X23,3)="","",INDEX('_views'!$B:$ZZ,$X23,3)))</f>
        <v/>
      </c>
      <c r="F23" s="115">
        <f>IF($X23="","",IF(INDEX('_views'!$B:$ZZ,$X23,4)="","",INDEX('_views'!$B:$ZZ,$X23,4)))</f>
        <v/>
      </c>
      <c r="G23" s="115">
        <f>IF($X23="","",IF(INDEX('_views'!$B:$ZZ,$X23,5)="","",INDEX('_views'!$B:$ZZ,$X23,5)))</f>
        <v/>
      </c>
      <c r="H23" s="115">
        <f>IF($X23="","",IF(INDEX('_views'!$B:$ZZ,$X23,6)="","",INDEX('_views'!$B:$ZZ,$X23,6)))</f>
        <v/>
      </c>
      <c r="I23" s="115">
        <f>IF($X23="","",IF(INDEX('_views'!$B:$ZZ,$X23,7)="","",INDEX('_views'!$B:$ZZ,$X23,7)))</f>
        <v/>
      </c>
      <c r="K23" s="113">
        <f>IF($V$16="","",IF(INDEX('_views'!$B:$ZZ,$V$16,6)="","",INDEX('_views'!$B:$ZZ,$V$16,6)))</f>
        <v/>
      </c>
      <c r="L23" s="116">
        <f>IF($Y23="","",IF(INDEX('_views'!$B:$ZZ,$Y23,1)="","",INDEX('_views'!$B:$ZZ,$Y23,1)))</f>
        <v/>
      </c>
      <c r="M23" s="116">
        <f>IF($Y23="","",IF(INDEX('_views'!$B:$ZZ,$Y23,2)="","",INDEX('_views'!$B:$ZZ,$Y23,2)))</f>
        <v/>
      </c>
      <c r="N23" s="116">
        <f>IF($Y23="","",IF(INDEX('_views'!$B:$ZZ,$Y23,3)="","",INDEX('_views'!$B:$ZZ,$Y23,3)))</f>
        <v/>
      </c>
      <c r="O23" s="116">
        <f>IF($Y23="","",IF(INDEX('_views'!$B:$ZZ,$Y23,4)="","",INDEX('_views'!$B:$ZZ,$Y23,4)))</f>
        <v/>
      </c>
      <c r="P23" s="116">
        <f>IF($Y23="","",IF(INDEX('_views'!$B:$ZZ,$Y23,5)="","",INDEX('_views'!$B:$ZZ,$Y23,5)))</f>
        <v/>
      </c>
      <c r="Q23" s="116">
        <f>IF($Y23="","",IF(INDEX('_views'!$B:$ZZ,$Y23,6)="","",INDEX('_views'!$B:$ZZ,$Y23,6)))</f>
        <v/>
      </c>
      <c r="R23" s="116">
        <f>IF($Y23="","",IF(INDEX('_views'!$B:$ZZ,$Y23,7)="","",INDEX('_views'!$B:$ZZ,$Y23,7)))</f>
        <v/>
      </c>
      <c r="X23">
        <f>IFERROR(MATCH("G|"&amp;$W$15&amp;"|"&amp;$V$13&amp;"|rate|6",'_views'!$A:$A,0),"")</f>
        <v/>
      </c>
      <c r="Y23">
        <f>IFERROR(MATCH("G|"&amp;$W$15&amp;"|"&amp;$V$13&amp;"|book|6",'_views'!$A:$A,0),"")</f>
        <v/>
      </c>
      <c r="AF23">
        <f>IFERROR(INDEX('_choices'!$L$2:$L$7,MATCH($F$13,'_choices'!$I$2:$I$7,0)),"")</f>
        <v/>
      </c>
    </row>
    <row r="24" ht="16" customHeight="1">
      <c r="B24" s="113">
        <f>IF($V$16="","",IF(INDEX('_views'!$B:$ZZ,$V$16,7)="","",INDEX('_views'!$B:$ZZ,$V$16,7)))</f>
        <v/>
      </c>
      <c r="C24" s="115">
        <f>IF($X24="","",IF(INDEX('_views'!$B:$ZZ,$X24,1)="","",INDEX('_views'!$B:$ZZ,$X24,1)))</f>
        <v/>
      </c>
      <c r="D24" s="115">
        <f>IF($X24="","",IF(INDEX('_views'!$B:$ZZ,$X24,2)="","",INDEX('_views'!$B:$ZZ,$X24,2)))</f>
        <v/>
      </c>
      <c r="E24" s="115">
        <f>IF($X24="","",IF(INDEX('_views'!$B:$ZZ,$X24,3)="","",INDEX('_views'!$B:$ZZ,$X24,3)))</f>
        <v/>
      </c>
      <c r="F24" s="115">
        <f>IF($X24="","",IF(INDEX('_views'!$B:$ZZ,$X24,4)="","",INDEX('_views'!$B:$ZZ,$X24,4)))</f>
        <v/>
      </c>
      <c r="G24" s="115">
        <f>IF($X24="","",IF(INDEX('_views'!$B:$ZZ,$X24,5)="","",INDEX('_views'!$B:$ZZ,$X24,5)))</f>
        <v/>
      </c>
      <c r="H24" s="115">
        <f>IF($X24="","",IF(INDEX('_views'!$B:$ZZ,$X24,6)="","",INDEX('_views'!$B:$ZZ,$X24,6)))</f>
        <v/>
      </c>
      <c r="I24" s="115">
        <f>IF($X24="","",IF(INDEX('_views'!$B:$ZZ,$X24,7)="","",INDEX('_views'!$B:$ZZ,$X24,7)))</f>
        <v/>
      </c>
      <c r="K24" s="113">
        <f>IF($V$16="","",IF(INDEX('_views'!$B:$ZZ,$V$16,7)="","",INDEX('_views'!$B:$ZZ,$V$16,7)))</f>
        <v/>
      </c>
      <c r="L24" s="116">
        <f>IF($Y24="","",IF(INDEX('_views'!$B:$ZZ,$Y24,1)="","",INDEX('_views'!$B:$ZZ,$Y24,1)))</f>
        <v/>
      </c>
      <c r="M24" s="116">
        <f>IF($Y24="","",IF(INDEX('_views'!$B:$ZZ,$Y24,2)="","",INDEX('_views'!$B:$ZZ,$Y24,2)))</f>
        <v/>
      </c>
      <c r="N24" s="116">
        <f>IF($Y24="","",IF(INDEX('_views'!$B:$ZZ,$Y24,3)="","",INDEX('_views'!$B:$ZZ,$Y24,3)))</f>
        <v/>
      </c>
      <c r="O24" s="116">
        <f>IF($Y24="","",IF(INDEX('_views'!$B:$ZZ,$Y24,4)="","",INDEX('_views'!$B:$ZZ,$Y24,4)))</f>
        <v/>
      </c>
      <c r="P24" s="116">
        <f>IF($Y24="","",IF(INDEX('_views'!$B:$ZZ,$Y24,5)="","",INDEX('_views'!$B:$ZZ,$Y24,5)))</f>
        <v/>
      </c>
      <c r="Q24" s="116">
        <f>IF($Y24="","",IF(INDEX('_views'!$B:$ZZ,$Y24,6)="","",INDEX('_views'!$B:$ZZ,$Y24,6)))</f>
        <v/>
      </c>
      <c r="R24" s="116">
        <f>IF($Y24="","",IF(INDEX('_views'!$B:$ZZ,$Y24,7)="","",INDEX('_views'!$B:$ZZ,$Y24,7)))</f>
        <v/>
      </c>
      <c r="X24">
        <f>IFERROR(MATCH("G|"&amp;$W$15&amp;"|"&amp;$V$13&amp;"|rate|7",'_views'!$A:$A,0),"")</f>
        <v/>
      </c>
      <c r="Y24">
        <f>IFERROR(MATCH("G|"&amp;$W$15&amp;"|"&amp;$V$13&amp;"|book|7",'_views'!$A:$A,0),"")</f>
        <v/>
      </c>
      <c r="AF24">
        <f>IF($V$14="","",IF(INDEX('_views'!$B:$ZZ,$V$14,3)="","",INDEX('_views'!$B:$ZZ,$V$14,3)))</f>
        <v/>
      </c>
    </row>
    <row r="25" ht="16" customHeight="1">
      <c r="B25" s="113">
        <f>IF($V$16="","",IF(INDEX('_views'!$B:$ZZ,$V$16,8)="","",INDEX('_views'!$B:$ZZ,$V$16,8)))</f>
        <v/>
      </c>
      <c r="C25" s="115">
        <f>IF($X25="","",IF(INDEX('_views'!$B:$ZZ,$X25,1)="","",INDEX('_views'!$B:$ZZ,$X25,1)))</f>
        <v/>
      </c>
      <c r="D25" s="115">
        <f>IF($X25="","",IF(INDEX('_views'!$B:$ZZ,$X25,2)="","",INDEX('_views'!$B:$ZZ,$X25,2)))</f>
        <v/>
      </c>
      <c r="E25" s="115">
        <f>IF($X25="","",IF(INDEX('_views'!$B:$ZZ,$X25,3)="","",INDEX('_views'!$B:$ZZ,$X25,3)))</f>
        <v/>
      </c>
      <c r="F25" s="115">
        <f>IF($X25="","",IF(INDEX('_views'!$B:$ZZ,$X25,4)="","",INDEX('_views'!$B:$ZZ,$X25,4)))</f>
        <v/>
      </c>
      <c r="G25" s="115">
        <f>IF($X25="","",IF(INDEX('_views'!$B:$ZZ,$X25,5)="","",INDEX('_views'!$B:$ZZ,$X25,5)))</f>
        <v/>
      </c>
      <c r="H25" s="115">
        <f>IF($X25="","",IF(INDEX('_views'!$B:$ZZ,$X25,6)="","",INDEX('_views'!$B:$ZZ,$X25,6)))</f>
        <v/>
      </c>
      <c r="I25" s="115">
        <f>IF($X25="","",IF(INDEX('_views'!$B:$ZZ,$X25,7)="","",INDEX('_views'!$B:$ZZ,$X25,7)))</f>
        <v/>
      </c>
      <c r="K25" s="113">
        <f>IF($V$16="","",IF(INDEX('_views'!$B:$ZZ,$V$16,8)="","",INDEX('_views'!$B:$ZZ,$V$16,8)))</f>
        <v/>
      </c>
      <c r="L25" s="116">
        <f>IF($Y25="","",IF(INDEX('_views'!$B:$ZZ,$Y25,1)="","",INDEX('_views'!$B:$ZZ,$Y25,1)))</f>
        <v/>
      </c>
      <c r="M25" s="116">
        <f>IF($Y25="","",IF(INDEX('_views'!$B:$ZZ,$Y25,2)="","",INDEX('_views'!$B:$ZZ,$Y25,2)))</f>
        <v/>
      </c>
      <c r="N25" s="116">
        <f>IF($Y25="","",IF(INDEX('_views'!$B:$ZZ,$Y25,3)="","",INDEX('_views'!$B:$ZZ,$Y25,3)))</f>
        <v/>
      </c>
      <c r="O25" s="116">
        <f>IF($Y25="","",IF(INDEX('_views'!$B:$ZZ,$Y25,4)="","",INDEX('_views'!$B:$ZZ,$Y25,4)))</f>
        <v/>
      </c>
      <c r="P25" s="116">
        <f>IF($Y25="","",IF(INDEX('_views'!$B:$ZZ,$Y25,5)="","",INDEX('_views'!$B:$ZZ,$Y25,5)))</f>
        <v/>
      </c>
      <c r="Q25" s="116">
        <f>IF($Y25="","",IF(INDEX('_views'!$B:$ZZ,$Y25,6)="","",INDEX('_views'!$B:$ZZ,$Y25,6)))</f>
        <v/>
      </c>
      <c r="R25" s="116">
        <f>IF($Y25="","",IF(INDEX('_views'!$B:$ZZ,$Y25,7)="","",INDEX('_views'!$B:$ZZ,$Y25,7)))</f>
        <v/>
      </c>
      <c r="X25">
        <f>IFERROR(MATCH("G|"&amp;$W$15&amp;"|"&amp;$V$13&amp;"|rate|8",'_views'!$A:$A,0),"")</f>
        <v/>
      </c>
      <c r="Y25">
        <f>IFERROR(MATCH("G|"&amp;$W$15&amp;"|"&amp;$V$13&amp;"|book|8",'_views'!$A:$A,0),"")</f>
        <v/>
      </c>
      <c r="AF25">
        <f>IF(OR(OR($AF$13="",$AF$14=""),$W$13&lt;&gt;"size"),"",IF((IFERROR(MATCH("G|"&amp;$W$15&amp;"|"&amp;$V$13&amp;"|median|"&amp;$AF$13,'_views'!$A:$A,0),""))="","",IF(INDEX('_views'!$B:$ZZ,(IFERROR(MATCH("G|"&amp;$W$15&amp;"|"&amp;$V$13&amp;"|median|"&amp;$AF$13,'_views'!$A:$A,0),"")),$AF$14)="","",INDEX('_views'!$B:$ZZ,(IFERROR(MATCH("G|"&amp;$W$15&amp;"|"&amp;$V$13&amp;"|median|"&amp;$AF$13,'_views'!$A:$A,0),"")),$AF$14))))</f>
        <v/>
      </c>
    </row>
    <row r="26">
      <c r="AF26">
        <f>AND(ISNUMBER($AF$18),ISNUMBER($W$17),$AF$18&lt;$W$17)</f>
        <v/>
      </c>
    </row>
    <row r="27" ht="20" customHeight="1">
      <c r="B27" s="128" t="inlineStr">
        <is>
          <t>vs rest of band</t>
        </is>
      </c>
      <c r="C27" s="26" t="n"/>
      <c r="D27" s="26" t="n"/>
      <c r="E27" s="26" t="n"/>
      <c r="F27" s="26" t="n"/>
      <c r="G27" s="26" t="n"/>
      <c r="H27" s="26" t="n"/>
      <c r="I27" s="26" t="n"/>
      <c r="K27" s="128" t="inlineStr">
        <is>
          <t>Loans</t>
        </is>
      </c>
      <c r="L27" s="26" t="n"/>
      <c r="M27" s="26" t="n"/>
      <c r="N27" s="26" t="n"/>
      <c r="O27" s="26" t="n"/>
      <c r="P27" s="26" t="n"/>
      <c r="Q27" s="26" t="n"/>
      <c r="R27" s="26" t="n"/>
    </row>
    <row r="28" ht="16" customHeight="1">
      <c r="B28" s="5" t="n"/>
      <c r="C28" s="129">
        <f>IF($V$20="","",IF(INDEX('_views'!$B:$ZZ,$V$20,1)="","",INDEX('_views'!$B:$ZZ,$V$20,1)))</f>
        <v/>
      </c>
      <c r="E28" s="129">
        <f>IF($V$20="","",IF(INDEX('_views'!$B:$ZZ,$V$20,2)="","",INDEX('_views'!$B:$ZZ,$V$20,2)))</f>
        <v/>
      </c>
      <c r="G28" s="129">
        <f>IF($V$20="","",IF(INDEX('_views'!$B:$ZZ,$V$20,3)="","",INDEX('_views'!$B:$ZZ,$V$20,3)))</f>
        <v/>
      </c>
      <c r="I28" s="5" t="n"/>
      <c r="K28" s="5" t="n"/>
      <c r="L28" s="129">
        <f>IF($V$20="","",IF(INDEX('_views'!$B:$ZZ,$V$20,1)="","",INDEX('_views'!$B:$ZZ,$V$20,1)))</f>
        <v/>
      </c>
      <c r="N28" s="129">
        <f>IF($V$20="","",IF(INDEX('_views'!$B:$ZZ,$V$20,2)="","",INDEX('_views'!$B:$ZZ,$V$20,2)))</f>
        <v/>
      </c>
      <c r="P28" s="129">
        <f>IF($V$20="","",IF(INDEX('_views'!$B:$ZZ,$V$20,3)="","",INDEX('_views'!$B:$ZZ,$V$20,3)))</f>
        <v/>
      </c>
      <c r="R28" s="5" t="n"/>
    </row>
    <row r="29" ht="16" customHeight="1">
      <c r="B29" s="130">
        <f>IF($V$17="","",IF(INDEX('_views'!$B:$ZZ,$V$17,1)="","",INDEX('_views'!$B:$ZZ,$V$17,1)))</f>
        <v/>
      </c>
      <c r="C29" s="129">
        <f>IF($V$19="","",IF(INDEX('_views'!$B:$ZZ,$V$19,1)="","",INDEX('_views'!$B:$ZZ,$V$19,1)))</f>
        <v/>
      </c>
      <c r="D29" s="129">
        <f>IF($V$19="","",IF(INDEX('_views'!$B:$ZZ,$V$19,2)="","",INDEX('_views'!$B:$ZZ,$V$19,2)))</f>
        <v/>
      </c>
      <c r="E29" s="129">
        <f>IF($V$19="","",IF(INDEX('_views'!$B:$ZZ,$V$19,3)="","",INDEX('_views'!$B:$ZZ,$V$19,3)))</f>
        <v/>
      </c>
      <c r="F29" s="129">
        <f>IF($V$19="","",IF(INDEX('_views'!$B:$ZZ,$V$19,4)="","",INDEX('_views'!$B:$ZZ,$V$19,4)))</f>
        <v/>
      </c>
      <c r="G29" s="129">
        <f>IF($V$19="","",IF(INDEX('_views'!$B:$ZZ,$V$19,5)="","",INDEX('_views'!$B:$ZZ,$V$19,5)))</f>
        <v/>
      </c>
      <c r="H29" s="129">
        <f>IF($V$19="","",IF(INDEX('_views'!$B:$ZZ,$V$19,6)="","",INDEX('_views'!$B:$ZZ,$V$19,6)))</f>
        <v/>
      </c>
      <c r="I29" s="129">
        <f>IF($V$19="","",IF(INDEX('_views'!$B:$ZZ,$V$19,7)="","",INDEX('_views'!$B:$ZZ,$V$19,7)))</f>
        <v/>
      </c>
      <c r="K29" s="130">
        <f>IF($V$17="","",IF(INDEX('_views'!$B:$ZZ,$V$17,1)="","",INDEX('_views'!$B:$ZZ,$V$17,1)))</f>
        <v/>
      </c>
      <c r="L29" s="129">
        <f>IF($V$19="","",IF(INDEX('_views'!$B:$ZZ,$V$19,1)="","",INDEX('_views'!$B:$ZZ,$V$19,1)))</f>
        <v/>
      </c>
      <c r="M29" s="129">
        <f>IF($V$19="","",IF(INDEX('_views'!$B:$ZZ,$V$19,2)="","",INDEX('_views'!$B:$ZZ,$V$19,2)))</f>
        <v/>
      </c>
      <c r="N29" s="129">
        <f>IF($V$19="","",IF(INDEX('_views'!$B:$ZZ,$V$19,3)="","",INDEX('_views'!$B:$ZZ,$V$19,3)))</f>
        <v/>
      </c>
      <c r="O29" s="129">
        <f>IF($V$19="","",IF(INDEX('_views'!$B:$ZZ,$V$19,4)="","",INDEX('_views'!$B:$ZZ,$V$19,4)))</f>
        <v/>
      </c>
      <c r="P29" s="129">
        <f>IF($V$19="","",IF(INDEX('_views'!$B:$ZZ,$V$19,5)="","",INDEX('_views'!$B:$ZZ,$V$19,5)))</f>
        <v/>
      </c>
      <c r="Q29" s="129">
        <f>IF($V$19="","",IF(INDEX('_views'!$B:$ZZ,$V$19,6)="","",INDEX('_views'!$B:$ZZ,$V$19,6)))</f>
        <v/>
      </c>
      <c r="R29" s="129">
        <f>IF($V$19="","",IF(INDEX('_views'!$B:$ZZ,$V$19,7)="","",INDEX('_views'!$B:$ZZ,$V$19,7)))</f>
        <v/>
      </c>
    </row>
    <row r="30" ht="16" customHeight="1">
      <c r="B30" s="113">
        <f>IF($V$16="","",IF(INDEX('_views'!$B:$ZZ,$V$16,1)="","",INDEX('_views'!$B:$ZZ,$V$16,1)))</f>
        <v/>
      </c>
      <c r="C30" s="116">
        <f>IF($X30="","",IF(INDEX('_views'!$B:$ZZ,$X30,1)="","",INDEX('_views'!$B:$ZZ,$X30,1)))</f>
        <v/>
      </c>
      <c r="D30" s="116">
        <f>IF($X30="","",IF(INDEX('_views'!$B:$ZZ,$X30,2)="","",INDEX('_views'!$B:$ZZ,$X30,2)))</f>
        <v/>
      </c>
      <c r="E30" s="116">
        <f>IF($X30="","",IF(INDEX('_views'!$B:$ZZ,$X30,3)="","",INDEX('_views'!$B:$ZZ,$X30,3)))</f>
        <v/>
      </c>
      <c r="F30" s="116">
        <f>IF($X30="","",IF(INDEX('_views'!$B:$ZZ,$X30,4)="","",INDEX('_views'!$B:$ZZ,$X30,4)))</f>
        <v/>
      </c>
      <c r="G30" s="116">
        <f>IF($X30="","",IF(INDEX('_views'!$B:$ZZ,$X30,5)="","",INDEX('_views'!$B:$ZZ,$X30,5)))</f>
        <v/>
      </c>
      <c r="H30" s="116">
        <f>IF($X30="","",IF(INDEX('_views'!$B:$ZZ,$X30,6)="","",INDEX('_views'!$B:$ZZ,$X30,6)))</f>
        <v/>
      </c>
      <c r="I30" s="116">
        <f>IF($X30="","",IF(INDEX('_views'!$B:$ZZ,$X30,7)="","",INDEX('_views'!$B:$ZZ,$X30,7)))</f>
        <v/>
      </c>
      <c r="K30" s="113">
        <f>IF($V$16="","",IF(INDEX('_views'!$B:$ZZ,$V$16,1)="","",INDEX('_views'!$B:$ZZ,$V$16,1)))</f>
        <v/>
      </c>
      <c r="L30" s="114">
        <f>IF($Y30="","",IF(INDEX('_views'!$B:$ZZ,$Y30,1)="","",INDEX('_views'!$B:$ZZ,$Y30,1)))</f>
        <v/>
      </c>
      <c r="M30" s="114">
        <f>IF($Y30="","",IF(INDEX('_views'!$B:$ZZ,$Y30,2)="","",INDEX('_views'!$B:$ZZ,$Y30,2)))</f>
        <v/>
      </c>
      <c r="N30" s="114">
        <f>IF($Y30="","",IF(INDEX('_views'!$B:$ZZ,$Y30,3)="","",INDEX('_views'!$B:$ZZ,$Y30,3)))</f>
        <v/>
      </c>
      <c r="O30" s="114">
        <f>IF($Y30="","",IF(INDEX('_views'!$B:$ZZ,$Y30,4)="","",INDEX('_views'!$B:$ZZ,$Y30,4)))</f>
        <v/>
      </c>
      <c r="P30" s="114">
        <f>IF($Y30="","",IF(INDEX('_views'!$B:$ZZ,$Y30,5)="","",INDEX('_views'!$B:$ZZ,$Y30,5)))</f>
        <v/>
      </c>
      <c r="Q30" s="114">
        <f>IF($Y30="","",IF(INDEX('_views'!$B:$ZZ,$Y30,6)="","",INDEX('_views'!$B:$ZZ,$Y30,6)))</f>
        <v/>
      </c>
      <c r="R30" s="114">
        <f>IF($Y30="","",IF(INDEX('_views'!$B:$ZZ,$Y30,7)="","",INDEX('_views'!$B:$ZZ,$Y30,7)))</f>
        <v/>
      </c>
      <c r="X30">
        <f>IFERROR(MATCH("G|"&amp;$W$15&amp;"|"&amp;$V$13&amp;"|band|1",'_views'!$A:$A,0),"")</f>
        <v/>
      </c>
      <c r="Y30">
        <f>IFERROR(MATCH("G|"&amp;$W$15&amp;"|loans|1",'_views'!$A:$A,0),"")</f>
        <v/>
      </c>
    </row>
    <row r="31" ht="16" customHeight="1">
      <c r="B31" s="113">
        <f>IF($V$16="","",IF(INDEX('_views'!$B:$ZZ,$V$16,2)="","",INDEX('_views'!$B:$ZZ,$V$16,2)))</f>
        <v/>
      </c>
      <c r="C31" s="116">
        <f>IF($X31="","",IF(INDEX('_views'!$B:$ZZ,$X31,1)="","",INDEX('_views'!$B:$ZZ,$X31,1)))</f>
        <v/>
      </c>
      <c r="D31" s="116">
        <f>IF($X31="","",IF(INDEX('_views'!$B:$ZZ,$X31,2)="","",INDEX('_views'!$B:$ZZ,$X31,2)))</f>
        <v/>
      </c>
      <c r="E31" s="116">
        <f>IF($X31="","",IF(INDEX('_views'!$B:$ZZ,$X31,3)="","",INDEX('_views'!$B:$ZZ,$X31,3)))</f>
        <v/>
      </c>
      <c r="F31" s="116">
        <f>IF($X31="","",IF(INDEX('_views'!$B:$ZZ,$X31,4)="","",INDEX('_views'!$B:$ZZ,$X31,4)))</f>
        <v/>
      </c>
      <c r="G31" s="116">
        <f>IF($X31="","",IF(INDEX('_views'!$B:$ZZ,$X31,5)="","",INDEX('_views'!$B:$ZZ,$X31,5)))</f>
        <v/>
      </c>
      <c r="H31" s="116">
        <f>IF($X31="","",IF(INDEX('_views'!$B:$ZZ,$X31,6)="","",INDEX('_views'!$B:$ZZ,$X31,6)))</f>
        <v/>
      </c>
      <c r="I31" s="116">
        <f>IF($X31="","",IF(INDEX('_views'!$B:$ZZ,$X31,7)="","",INDEX('_views'!$B:$ZZ,$X31,7)))</f>
        <v/>
      </c>
      <c r="K31" s="113">
        <f>IF($V$16="","",IF(INDEX('_views'!$B:$ZZ,$V$16,2)="","",INDEX('_views'!$B:$ZZ,$V$16,2)))</f>
        <v/>
      </c>
      <c r="L31" s="114">
        <f>IF($Y31="","",IF(INDEX('_views'!$B:$ZZ,$Y31,1)="","",INDEX('_views'!$B:$ZZ,$Y31,1)))</f>
        <v/>
      </c>
      <c r="M31" s="114">
        <f>IF($Y31="","",IF(INDEX('_views'!$B:$ZZ,$Y31,2)="","",INDEX('_views'!$B:$ZZ,$Y31,2)))</f>
        <v/>
      </c>
      <c r="N31" s="114">
        <f>IF($Y31="","",IF(INDEX('_views'!$B:$ZZ,$Y31,3)="","",INDEX('_views'!$B:$ZZ,$Y31,3)))</f>
        <v/>
      </c>
      <c r="O31" s="114">
        <f>IF($Y31="","",IF(INDEX('_views'!$B:$ZZ,$Y31,4)="","",INDEX('_views'!$B:$ZZ,$Y31,4)))</f>
        <v/>
      </c>
      <c r="P31" s="114">
        <f>IF($Y31="","",IF(INDEX('_views'!$B:$ZZ,$Y31,5)="","",INDEX('_views'!$B:$ZZ,$Y31,5)))</f>
        <v/>
      </c>
      <c r="Q31" s="114">
        <f>IF($Y31="","",IF(INDEX('_views'!$B:$ZZ,$Y31,6)="","",INDEX('_views'!$B:$ZZ,$Y31,6)))</f>
        <v/>
      </c>
      <c r="R31" s="114">
        <f>IF($Y31="","",IF(INDEX('_views'!$B:$ZZ,$Y31,7)="","",INDEX('_views'!$B:$ZZ,$Y31,7)))</f>
        <v/>
      </c>
      <c r="X31">
        <f>IFERROR(MATCH("G|"&amp;$W$15&amp;"|"&amp;$V$13&amp;"|band|2",'_views'!$A:$A,0),"")</f>
        <v/>
      </c>
      <c r="Y31">
        <f>IFERROR(MATCH("G|"&amp;$W$15&amp;"|loans|2",'_views'!$A:$A,0),"")</f>
        <v/>
      </c>
    </row>
    <row r="32" ht="16" customHeight="1">
      <c r="B32" s="113">
        <f>IF($V$16="","",IF(INDEX('_views'!$B:$ZZ,$V$16,3)="","",INDEX('_views'!$B:$ZZ,$V$16,3)))</f>
        <v/>
      </c>
      <c r="C32" s="116">
        <f>IF($X32="","",IF(INDEX('_views'!$B:$ZZ,$X32,1)="","",INDEX('_views'!$B:$ZZ,$X32,1)))</f>
        <v/>
      </c>
      <c r="D32" s="116">
        <f>IF($X32="","",IF(INDEX('_views'!$B:$ZZ,$X32,2)="","",INDEX('_views'!$B:$ZZ,$X32,2)))</f>
        <v/>
      </c>
      <c r="E32" s="116">
        <f>IF($X32="","",IF(INDEX('_views'!$B:$ZZ,$X32,3)="","",INDEX('_views'!$B:$ZZ,$X32,3)))</f>
        <v/>
      </c>
      <c r="F32" s="116">
        <f>IF($X32="","",IF(INDEX('_views'!$B:$ZZ,$X32,4)="","",INDEX('_views'!$B:$ZZ,$X32,4)))</f>
        <v/>
      </c>
      <c r="G32" s="116">
        <f>IF($X32="","",IF(INDEX('_views'!$B:$ZZ,$X32,5)="","",INDEX('_views'!$B:$ZZ,$X32,5)))</f>
        <v/>
      </c>
      <c r="H32" s="116">
        <f>IF($X32="","",IF(INDEX('_views'!$B:$ZZ,$X32,6)="","",INDEX('_views'!$B:$ZZ,$X32,6)))</f>
        <v/>
      </c>
      <c r="I32" s="116">
        <f>IF($X32="","",IF(INDEX('_views'!$B:$ZZ,$X32,7)="","",INDEX('_views'!$B:$ZZ,$X32,7)))</f>
        <v/>
      </c>
      <c r="K32" s="113">
        <f>IF($V$16="","",IF(INDEX('_views'!$B:$ZZ,$V$16,3)="","",INDEX('_views'!$B:$ZZ,$V$16,3)))</f>
        <v/>
      </c>
      <c r="L32" s="114">
        <f>IF($Y32="","",IF(INDEX('_views'!$B:$ZZ,$Y32,1)="","",INDEX('_views'!$B:$ZZ,$Y32,1)))</f>
        <v/>
      </c>
      <c r="M32" s="114">
        <f>IF($Y32="","",IF(INDEX('_views'!$B:$ZZ,$Y32,2)="","",INDEX('_views'!$B:$ZZ,$Y32,2)))</f>
        <v/>
      </c>
      <c r="N32" s="114">
        <f>IF($Y32="","",IF(INDEX('_views'!$B:$ZZ,$Y32,3)="","",INDEX('_views'!$B:$ZZ,$Y32,3)))</f>
        <v/>
      </c>
      <c r="O32" s="114">
        <f>IF($Y32="","",IF(INDEX('_views'!$B:$ZZ,$Y32,4)="","",INDEX('_views'!$B:$ZZ,$Y32,4)))</f>
        <v/>
      </c>
      <c r="P32" s="114">
        <f>IF($Y32="","",IF(INDEX('_views'!$B:$ZZ,$Y32,5)="","",INDEX('_views'!$B:$ZZ,$Y32,5)))</f>
        <v/>
      </c>
      <c r="Q32" s="114">
        <f>IF($Y32="","",IF(INDEX('_views'!$B:$ZZ,$Y32,6)="","",INDEX('_views'!$B:$ZZ,$Y32,6)))</f>
        <v/>
      </c>
      <c r="R32" s="114">
        <f>IF($Y32="","",IF(INDEX('_views'!$B:$ZZ,$Y32,7)="","",INDEX('_views'!$B:$ZZ,$Y32,7)))</f>
        <v/>
      </c>
      <c r="X32">
        <f>IFERROR(MATCH("G|"&amp;$W$15&amp;"|"&amp;$V$13&amp;"|band|3",'_views'!$A:$A,0),"")</f>
        <v/>
      </c>
      <c r="Y32">
        <f>IFERROR(MATCH("G|"&amp;$W$15&amp;"|loans|3",'_views'!$A:$A,0),"")</f>
        <v/>
      </c>
    </row>
    <row r="33" ht="16" customHeight="1">
      <c r="B33" s="113">
        <f>IF($V$16="","",IF(INDEX('_views'!$B:$ZZ,$V$16,4)="","",INDEX('_views'!$B:$ZZ,$V$16,4)))</f>
        <v/>
      </c>
      <c r="C33" s="116">
        <f>IF($X33="","",IF(INDEX('_views'!$B:$ZZ,$X33,1)="","",INDEX('_views'!$B:$ZZ,$X33,1)))</f>
        <v/>
      </c>
      <c r="D33" s="116">
        <f>IF($X33="","",IF(INDEX('_views'!$B:$ZZ,$X33,2)="","",INDEX('_views'!$B:$ZZ,$X33,2)))</f>
        <v/>
      </c>
      <c r="E33" s="116">
        <f>IF($X33="","",IF(INDEX('_views'!$B:$ZZ,$X33,3)="","",INDEX('_views'!$B:$ZZ,$X33,3)))</f>
        <v/>
      </c>
      <c r="F33" s="116">
        <f>IF($X33="","",IF(INDEX('_views'!$B:$ZZ,$X33,4)="","",INDEX('_views'!$B:$ZZ,$X33,4)))</f>
        <v/>
      </c>
      <c r="G33" s="116">
        <f>IF($X33="","",IF(INDEX('_views'!$B:$ZZ,$X33,5)="","",INDEX('_views'!$B:$ZZ,$X33,5)))</f>
        <v/>
      </c>
      <c r="H33" s="116">
        <f>IF($X33="","",IF(INDEX('_views'!$B:$ZZ,$X33,6)="","",INDEX('_views'!$B:$ZZ,$X33,6)))</f>
        <v/>
      </c>
      <c r="I33" s="116">
        <f>IF($X33="","",IF(INDEX('_views'!$B:$ZZ,$X33,7)="","",INDEX('_views'!$B:$ZZ,$X33,7)))</f>
        <v/>
      </c>
      <c r="K33" s="113">
        <f>IF($V$16="","",IF(INDEX('_views'!$B:$ZZ,$V$16,4)="","",INDEX('_views'!$B:$ZZ,$V$16,4)))</f>
        <v/>
      </c>
      <c r="L33" s="114">
        <f>IF($Y33="","",IF(INDEX('_views'!$B:$ZZ,$Y33,1)="","",INDEX('_views'!$B:$ZZ,$Y33,1)))</f>
        <v/>
      </c>
      <c r="M33" s="114">
        <f>IF($Y33="","",IF(INDEX('_views'!$B:$ZZ,$Y33,2)="","",INDEX('_views'!$B:$ZZ,$Y33,2)))</f>
        <v/>
      </c>
      <c r="N33" s="114">
        <f>IF($Y33="","",IF(INDEX('_views'!$B:$ZZ,$Y33,3)="","",INDEX('_views'!$B:$ZZ,$Y33,3)))</f>
        <v/>
      </c>
      <c r="O33" s="114">
        <f>IF($Y33="","",IF(INDEX('_views'!$B:$ZZ,$Y33,4)="","",INDEX('_views'!$B:$ZZ,$Y33,4)))</f>
        <v/>
      </c>
      <c r="P33" s="114">
        <f>IF($Y33="","",IF(INDEX('_views'!$B:$ZZ,$Y33,5)="","",INDEX('_views'!$B:$ZZ,$Y33,5)))</f>
        <v/>
      </c>
      <c r="Q33" s="114">
        <f>IF($Y33="","",IF(INDEX('_views'!$B:$ZZ,$Y33,6)="","",INDEX('_views'!$B:$ZZ,$Y33,6)))</f>
        <v/>
      </c>
      <c r="R33" s="114">
        <f>IF($Y33="","",IF(INDEX('_views'!$B:$ZZ,$Y33,7)="","",INDEX('_views'!$B:$ZZ,$Y33,7)))</f>
        <v/>
      </c>
      <c r="X33">
        <f>IFERROR(MATCH("G|"&amp;$W$15&amp;"|"&amp;$V$13&amp;"|band|4",'_views'!$A:$A,0),"")</f>
        <v/>
      </c>
      <c r="Y33">
        <f>IFERROR(MATCH("G|"&amp;$W$15&amp;"|loans|4",'_views'!$A:$A,0),"")</f>
        <v/>
      </c>
    </row>
    <row r="34" ht="16" customHeight="1">
      <c r="B34" s="113">
        <f>IF($V$16="","",IF(INDEX('_views'!$B:$ZZ,$V$16,5)="","",INDEX('_views'!$B:$ZZ,$V$16,5)))</f>
        <v/>
      </c>
      <c r="C34" s="116">
        <f>IF($X34="","",IF(INDEX('_views'!$B:$ZZ,$X34,1)="","",INDEX('_views'!$B:$ZZ,$X34,1)))</f>
        <v/>
      </c>
      <c r="D34" s="116">
        <f>IF($X34="","",IF(INDEX('_views'!$B:$ZZ,$X34,2)="","",INDEX('_views'!$B:$ZZ,$X34,2)))</f>
        <v/>
      </c>
      <c r="E34" s="116">
        <f>IF($X34="","",IF(INDEX('_views'!$B:$ZZ,$X34,3)="","",INDEX('_views'!$B:$ZZ,$X34,3)))</f>
        <v/>
      </c>
      <c r="F34" s="116">
        <f>IF($X34="","",IF(INDEX('_views'!$B:$ZZ,$X34,4)="","",INDEX('_views'!$B:$ZZ,$X34,4)))</f>
        <v/>
      </c>
      <c r="G34" s="116">
        <f>IF($X34="","",IF(INDEX('_views'!$B:$ZZ,$X34,5)="","",INDEX('_views'!$B:$ZZ,$X34,5)))</f>
        <v/>
      </c>
      <c r="H34" s="116">
        <f>IF($X34="","",IF(INDEX('_views'!$B:$ZZ,$X34,6)="","",INDEX('_views'!$B:$ZZ,$X34,6)))</f>
        <v/>
      </c>
      <c r="I34" s="116">
        <f>IF($X34="","",IF(INDEX('_views'!$B:$ZZ,$X34,7)="","",INDEX('_views'!$B:$ZZ,$X34,7)))</f>
        <v/>
      </c>
      <c r="K34" s="113">
        <f>IF($V$16="","",IF(INDEX('_views'!$B:$ZZ,$V$16,5)="","",INDEX('_views'!$B:$ZZ,$V$16,5)))</f>
        <v/>
      </c>
      <c r="L34" s="114">
        <f>IF($Y34="","",IF(INDEX('_views'!$B:$ZZ,$Y34,1)="","",INDEX('_views'!$B:$ZZ,$Y34,1)))</f>
        <v/>
      </c>
      <c r="M34" s="114">
        <f>IF($Y34="","",IF(INDEX('_views'!$B:$ZZ,$Y34,2)="","",INDEX('_views'!$B:$ZZ,$Y34,2)))</f>
        <v/>
      </c>
      <c r="N34" s="114">
        <f>IF($Y34="","",IF(INDEX('_views'!$B:$ZZ,$Y34,3)="","",INDEX('_views'!$B:$ZZ,$Y34,3)))</f>
        <v/>
      </c>
      <c r="O34" s="114">
        <f>IF($Y34="","",IF(INDEX('_views'!$B:$ZZ,$Y34,4)="","",INDEX('_views'!$B:$ZZ,$Y34,4)))</f>
        <v/>
      </c>
      <c r="P34" s="114">
        <f>IF($Y34="","",IF(INDEX('_views'!$B:$ZZ,$Y34,5)="","",INDEX('_views'!$B:$ZZ,$Y34,5)))</f>
        <v/>
      </c>
      <c r="Q34" s="114">
        <f>IF($Y34="","",IF(INDEX('_views'!$B:$ZZ,$Y34,6)="","",INDEX('_views'!$B:$ZZ,$Y34,6)))</f>
        <v/>
      </c>
      <c r="R34" s="114">
        <f>IF($Y34="","",IF(INDEX('_views'!$B:$ZZ,$Y34,7)="","",INDEX('_views'!$B:$ZZ,$Y34,7)))</f>
        <v/>
      </c>
      <c r="X34">
        <f>IFERROR(MATCH("G|"&amp;$W$15&amp;"|"&amp;$V$13&amp;"|band|5",'_views'!$A:$A,0),"")</f>
        <v/>
      </c>
      <c r="Y34">
        <f>IFERROR(MATCH("G|"&amp;$W$15&amp;"|loans|5",'_views'!$A:$A,0),"")</f>
        <v/>
      </c>
    </row>
    <row r="35" ht="16" customHeight="1">
      <c r="B35" s="113">
        <f>IF($V$16="","",IF(INDEX('_views'!$B:$ZZ,$V$16,6)="","",INDEX('_views'!$B:$ZZ,$V$16,6)))</f>
        <v/>
      </c>
      <c r="C35" s="116">
        <f>IF($X35="","",IF(INDEX('_views'!$B:$ZZ,$X35,1)="","",INDEX('_views'!$B:$ZZ,$X35,1)))</f>
        <v/>
      </c>
      <c r="D35" s="116">
        <f>IF($X35="","",IF(INDEX('_views'!$B:$ZZ,$X35,2)="","",INDEX('_views'!$B:$ZZ,$X35,2)))</f>
        <v/>
      </c>
      <c r="E35" s="116">
        <f>IF($X35="","",IF(INDEX('_views'!$B:$ZZ,$X35,3)="","",INDEX('_views'!$B:$ZZ,$X35,3)))</f>
        <v/>
      </c>
      <c r="F35" s="116">
        <f>IF($X35="","",IF(INDEX('_views'!$B:$ZZ,$X35,4)="","",INDEX('_views'!$B:$ZZ,$X35,4)))</f>
        <v/>
      </c>
      <c r="G35" s="116">
        <f>IF($X35="","",IF(INDEX('_views'!$B:$ZZ,$X35,5)="","",INDEX('_views'!$B:$ZZ,$X35,5)))</f>
        <v/>
      </c>
      <c r="H35" s="116">
        <f>IF($X35="","",IF(INDEX('_views'!$B:$ZZ,$X35,6)="","",INDEX('_views'!$B:$ZZ,$X35,6)))</f>
        <v/>
      </c>
      <c r="I35" s="116">
        <f>IF($X35="","",IF(INDEX('_views'!$B:$ZZ,$X35,7)="","",INDEX('_views'!$B:$ZZ,$X35,7)))</f>
        <v/>
      </c>
      <c r="K35" s="113">
        <f>IF($V$16="","",IF(INDEX('_views'!$B:$ZZ,$V$16,6)="","",INDEX('_views'!$B:$ZZ,$V$16,6)))</f>
        <v/>
      </c>
      <c r="L35" s="114">
        <f>IF($Y35="","",IF(INDEX('_views'!$B:$ZZ,$Y35,1)="","",INDEX('_views'!$B:$ZZ,$Y35,1)))</f>
        <v/>
      </c>
      <c r="M35" s="114">
        <f>IF($Y35="","",IF(INDEX('_views'!$B:$ZZ,$Y35,2)="","",INDEX('_views'!$B:$ZZ,$Y35,2)))</f>
        <v/>
      </c>
      <c r="N35" s="114">
        <f>IF($Y35="","",IF(INDEX('_views'!$B:$ZZ,$Y35,3)="","",INDEX('_views'!$B:$ZZ,$Y35,3)))</f>
        <v/>
      </c>
      <c r="O35" s="114">
        <f>IF($Y35="","",IF(INDEX('_views'!$B:$ZZ,$Y35,4)="","",INDEX('_views'!$B:$ZZ,$Y35,4)))</f>
        <v/>
      </c>
      <c r="P35" s="114">
        <f>IF($Y35="","",IF(INDEX('_views'!$B:$ZZ,$Y35,5)="","",INDEX('_views'!$B:$ZZ,$Y35,5)))</f>
        <v/>
      </c>
      <c r="Q35" s="114">
        <f>IF($Y35="","",IF(INDEX('_views'!$B:$ZZ,$Y35,6)="","",INDEX('_views'!$B:$ZZ,$Y35,6)))</f>
        <v/>
      </c>
      <c r="R35" s="114">
        <f>IF($Y35="","",IF(INDEX('_views'!$B:$ZZ,$Y35,7)="","",INDEX('_views'!$B:$ZZ,$Y35,7)))</f>
        <v/>
      </c>
      <c r="X35">
        <f>IFERROR(MATCH("G|"&amp;$W$15&amp;"|"&amp;$V$13&amp;"|band|6",'_views'!$A:$A,0),"")</f>
        <v/>
      </c>
      <c r="Y35">
        <f>IFERROR(MATCH("G|"&amp;$W$15&amp;"|loans|6",'_views'!$A:$A,0),"")</f>
        <v/>
      </c>
    </row>
    <row r="36" ht="16" customHeight="1">
      <c r="B36" s="113">
        <f>IF($V$16="","",IF(INDEX('_views'!$B:$ZZ,$V$16,7)="","",INDEX('_views'!$B:$ZZ,$V$16,7)))</f>
        <v/>
      </c>
      <c r="C36" s="116">
        <f>IF($X36="","",IF(INDEX('_views'!$B:$ZZ,$X36,1)="","",INDEX('_views'!$B:$ZZ,$X36,1)))</f>
        <v/>
      </c>
      <c r="D36" s="116">
        <f>IF($X36="","",IF(INDEX('_views'!$B:$ZZ,$X36,2)="","",INDEX('_views'!$B:$ZZ,$X36,2)))</f>
        <v/>
      </c>
      <c r="E36" s="116">
        <f>IF($X36="","",IF(INDEX('_views'!$B:$ZZ,$X36,3)="","",INDEX('_views'!$B:$ZZ,$X36,3)))</f>
        <v/>
      </c>
      <c r="F36" s="116">
        <f>IF($X36="","",IF(INDEX('_views'!$B:$ZZ,$X36,4)="","",INDEX('_views'!$B:$ZZ,$X36,4)))</f>
        <v/>
      </c>
      <c r="G36" s="116">
        <f>IF($X36="","",IF(INDEX('_views'!$B:$ZZ,$X36,5)="","",INDEX('_views'!$B:$ZZ,$X36,5)))</f>
        <v/>
      </c>
      <c r="H36" s="116">
        <f>IF($X36="","",IF(INDEX('_views'!$B:$ZZ,$X36,6)="","",INDEX('_views'!$B:$ZZ,$X36,6)))</f>
        <v/>
      </c>
      <c r="I36" s="116">
        <f>IF($X36="","",IF(INDEX('_views'!$B:$ZZ,$X36,7)="","",INDEX('_views'!$B:$ZZ,$X36,7)))</f>
        <v/>
      </c>
      <c r="K36" s="113">
        <f>IF($V$16="","",IF(INDEX('_views'!$B:$ZZ,$V$16,7)="","",INDEX('_views'!$B:$ZZ,$V$16,7)))</f>
        <v/>
      </c>
      <c r="L36" s="114">
        <f>IF($Y36="","",IF(INDEX('_views'!$B:$ZZ,$Y36,1)="","",INDEX('_views'!$B:$ZZ,$Y36,1)))</f>
        <v/>
      </c>
      <c r="M36" s="114">
        <f>IF($Y36="","",IF(INDEX('_views'!$B:$ZZ,$Y36,2)="","",INDEX('_views'!$B:$ZZ,$Y36,2)))</f>
        <v/>
      </c>
      <c r="N36" s="114">
        <f>IF($Y36="","",IF(INDEX('_views'!$B:$ZZ,$Y36,3)="","",INDEX('_views'!$B:$ZZ,$Y36,3)))</f>
        <v/>
      </c>
      <c r="O36" s="114">
        <f>IF($Y36="","",IF(INDEX('_views'!$B:$ZZ,$Y36,4)="","",INDEX('_views'!$B:$ZZ,$Y36,4)))</f>
        <v/>
      </c>
      <c r="P36" s="114">
        <f>IF($Y36="","",IF(INDEX('_views'!$B:$ZZ,$Y36,5)="","",INDEX('_views'!$B:$ZZ,$Y36,5)))</f>
        <v/>
      </c>
      <c r="Q36" s="114">
        <f>IF($Y36="","",IF(INDEX('_views'!$B:$ZZ,$Y36,6)="","",INDEX('_views'!$B:$ZZ,$Y36,6)))</f>
        <v/>
      </c>
      <c r="R36" s="114">
        <f>IF($Y36="","",IF(INDEX('_views'!$B:$ZZ,$Y36,7)="","",INDEX('_views'!$B:$ZZ,$Y36,7)))</f>
        <v/>
      </c>
      <c r="X36">
        <f>IFERROR(MATCH("G|"&amp;$W$15&amp;"|"&amp;$V$13&amp;"|band|7",'_views'!$A:$A,0),"")</f>
        <v/>
      </c>
      <c r="Y36">
        <f>IFERROR(MATCH("G|"&amp;$W$15&amp;"|loans|7",'_views'!$A:$A,0),"")</f>
        <v/>
      </c>
    </row>
    <row r="37" ht="16" customHeight="1">
      <c r="B37" s="113">
        <f>IF($V$16="","",IF(INDEX('_views'!$B:$ZZ,$V$16,8)="","",INDEX('_views'!$B:$ZZ,$V$16,8)))</f>
        <v/>
      </c>
      <c r="C37" s="116">
        <f>IF($X37="","",IF(INDEX('_views'!$B:$ZZ,$X37,1)="","",INDEX('_views'!$B:$ZZ,$X37,1)))</f>
        <v/>
      </c>
      <c r="D37" s="116">
        <f>IF($X37="","",IF(INDEX('_views'!$B:$ZZ,$X37,2)="","",INDEX('_views'!$B:$ZZ,$X37,2)))</f>
        <v/>
      </c>
      <c r="E37" s="116">
        <f>IF($X37="","",IF(INDEX('_views'!$B:$ZZ,$X37,3)="","",INDEX('_views'!$B:$ZZ,$X37,3)))</f>
        <v/>
      </c>
      <c r="F37" s="116">
        <f>IF($X37="","",IF(INDEX('_views'!$B:$ZZ,$X37,4)="","",INDEX('_views'!$B:$ZZ,$X37,4)))</f>
        <v/>
      </c>
      <c r="G37" s="116">
        <f>IF($X37="","",IF(INDEX('_views'!$B:$ZZ,$X37,5)="","",INDEX('_views'!$B:$ZZ,$X37,5)))</f>
        <v/>
      </c>
      <c r="H37" s="116">
        <f>IF($X37="","",IF(INDEX('_views'!$B:$ZZ,$X37,6)="","",INDEX('_views'!$B:$ZZ,$X37,6)))</f>
        <v/>
      </c>
      <c r="I37" s="116">
        <f>IF($X37="","",IF(INDEX('_views'!$B:$ZZ,$X37,7)="","",INDEX('_views'!$B:$ZZ,$X37,7)))</f>
        <v/>
      </c>
      <c r="K37" s="113">
        <f>IF($V$16="","",IF(INDEX('_views'!$B:$ZZ,$V$16,8)="","",INDEX('_views'!$B:$ZZ,$V$16,8)))</f>
        <v/>
      </c>
      <c r="L37" s="114">
        <f>IF($Y37="","",IF(INDEX('_views'!$B:$ZZ,$Y37,1)="","",INDEX('_views'!$B:$ZZ,$Y37,1)))</f>
        <v/>
      </c>
      <c r="M37" s="114">
        <f>IF($Y37="","",IF(INDEX('_views'!$B:$ZZ,$Y37,2)="","",INDEX('_views'!$B:$ZZ,$Y37,2)))</f>
        <v/>
      </c>
      <c r="N37" s="114">
        <f>IF($Y37="","",IF(INDEX('_views'!$B:$ZZ,$Y37,3)="","",INDEX('_views'!$B:$ZZ,$Y37,3)))</f>
        <v/>
      </c>
      <c r="O37" s="114">
        <f>IF($Y37="","",IF(INDEX('_views'!$B:$ZZ,$Y37,4)="","",INDEX('_views'!$B:$ZZ,$Y37,4)))</f>
        <v/>
      </c>
      <c r="P37" s="114">
        <f>IF($Y37="","",IF(INDEX('_views'!$B:$ZZ,$Y37,5)="","",INDEX('_views'!$B:$ZZ,$Y37,5)))</f>
        <v/>
      </c>
      <c r="Q37" s="114">
        <f>IF($Y37="","",IF(INDEX('_views'!$B:$ZZ,$Y37,6)="","",INDEX('_views'!$B:$ZZ,$Y37,6)))</f>
        <v/>
      </c>
      <c r="R37" s="114">
        <f>IF($Y37="","",IF(INDEX('_views'!$B:$ZZ,$Y37,7)="","",INDEX('_views'!$B:$ZZ,$Y37,7)))</f>
        <v/>
      </c>
      <c r="X37">
        <f>IFERROR(MATCH("G|"&amp;$W$15&amp;"|"&amp;$V$13&amp;"|band|8",'_views'!$A:$A,0),"")</f>
        <v/>
      </c>
      <c r="Y37">
        <f>IFERROR(MATCH("G|"&amp;$W$15&amp;"|loans|8",'_views'!$A:$A,0),"")</f>
        <v/>
      </c>
    </row>
    <row r="39">
      <c r="B39" s="127" t="inlineStr">
        <is>
          <t>A blank: alone in its band, or fewer losses than the minimum, so not compared.</t>
        </is>
      </c>
    </row>
    <row r="41" ht="20" customHeight="1">
      <c r="B41" s="128" t="inlineStr">
        <is>
          <t>What one cell says</t>
        </is>
      </c>
      <c r="C41" s="26" t="n"/>
      <c r="D41" s="26" t="n"/>
      <c r="E41" s="26" t="n"/>
      <c r="F41" s="26" t="n"/>
      <c r="G41" s="26" t="n"/>
      <c r="H41" s="26" t="n"/>
      <c r="I41" s="26" t="n"/>
      <c r="J41" s="26" t="n"/>
      <c r="K41" s="26" t="n"/>
      <c r="L41" s="26" t="n"/>
      <c r="M41" s="26" t="n"/>
      <c r="N41" s="26" t="n"/>
      <c r="O41" s="26" t="n"/>
      <c r="P41" s="26" t="n"/>
      <c r="Q41" s="26" t="n"/>
      <c r="R41" s="26" t="n"/>
      <c r="S41" s="26" t="n"/>
      <c r="T41" s="26" t="n"/>
    </row>
    <row r="42" ht="18" customHeight="1">
      <c r="B42" s="131">
        <f>IF(OR($AF$13="",$AF$14=""),"Pick a Row and a Column above: their lists follow the Grid.",$N$13&amp;" · "&amp;$R$13&amp;", "&amp;$F$13&amp;"")</f>
        <v/>
      </c>
    </row>
    <row r="43" ht="18" customHeight="1">
      <c r="B43" s="132" t="inlineStr">
        <is>
          <t>Rate</t>
        </is>
      </c>
      <c r="C43" s="113">
        <f>IF(OR($AF$13="",$AF$14=""),"",IF(NOT(ISNUMBER($AF$18)),"No loans in this pocket.",IF($AF$15="","No rate: these loans have nothing to divide by for this measure.",SUBSTITUTE(SUBSTITUTE(SUBSTITUTE(SUBSTITUTE(SUBSTITUTE($AF$22,"{these}",IF($AF$18=1,"This one loan","These "&amp;TEXT($AF$18,"#,##0")&amp;" loans")),"{their}",IF($AF$18=1,"its","their")),"{r}",IF($W$13="amt",TEXT($AF$15,"#,##0.00"),IF($W$13="size",TEXT($AF$15,"$#,##0"),TEXT($AF$15,"0.00%")))),"{measure}",$F$13),"{med}",TEXT($AF$25,"$#,##0")))))</f>
        <v/>
      </c>
    </row>
    <row r="44" ht="18" customHeight="1">
      <c r="B44" s="132" t="inlineStr">
        <is>
          <t>vs the book</t>
        </is>
      </c>
      <c r="C44" s="113">
        <f>IF(OR(OR($AF$13="",$AF$14=""),NOT(ISNUMBER($AF$18))),"",IF(ISNUMBER($AF$16),SUBSTITUTE(SUBSTITUTE(SUBSTITUTE(SUBSTITUTE($AF$23,"{x}",TEXT($AF$16,"0.00")),"{pts}",TEXT(ABS($AF$16),"0.00")),"{more}",IF($AF$16&lt;0,"less","more")),"{against}","the whole book"),IF($W$13="amt",$AF$23,IF(OR($W$13="pts",$W$13="size"),"Blank: not compared.","Blank: fewer losses than the minimum ("&amp;($AF$24)&amp;" losses), so not compared."))))</f>
        <v/>
      </c>
    </row>
    <row r="45" ht="18" customHeight="1">
      <c r="B45" s="132" t="inlineStr">
        <is>
          <t>vs rest of band</t>
        </is>
      </c>
      <c r="C45" s="113">
        <f>IF(OR(OR($AF$13="",$AF$14=""),NOT(ISNUMBER($AF$18))),"",IF(ISNUMBER($AF$17),SUBSTITUTE(SUBSTITUTE(SUBSTITUTE(SUBSTITUTE($AF$23,"{x}",TEXT($AF$17,"0.00")),"{pts}",TEXT(ABS($AF$17),"0.00")),"{more}",IF($AF$17&lt;0,"less","more")),"{against}","the other loans in "&amp;($N$13)&amp;IF(AND($AF$20&gt;=1,$AF$20&lt;=3)," (the "&amp;$AF$21&amp;" loans)","")),IF($W$13="amt",$AF$23,IF($AF$20&lt;1,"Blank: alone in its band. Nothing else in "&amp;($N$13)&amp;" to compare with.",IF(OR($W$13="pts",$W$13="size"),"Blank: not compared.","Blank: fewer losses than the minimum ("&amp;($AF$24)&amp;" losses), so not compared.")))))</f>
        <v/>
      </c>
    </row>
    <row r="46" ht="18" customHeight="1">
      <c r="B46" s="132" t="inlineStr">
        <is>
          <t>Loans</t>
        </is>
      </c>
      <c r="C46" s="113">
        <f>IF(OR(OR($AF$13="",$AF$14=""),NOT(ISNUMBER($AF$18))),"",(TEXT($AF$18,"#,##0")&amp;IF($AF$18=1," loan"," loans"))&amp;"; "&amp;($N$13)&amp;" has "&amp;(TEXT($AF$19,"#,##0"))&amp;" in all.")</f>
        <v/>
      </c>
    </row>
    <row r="47" ht="18" customHeight="1">
      <c r="B47" s="132" t="inlineStr">
        <is>
          <t>The colour</t>
        </is>
      </c>
      <c r="C47" s="113">
        <f>IF(OR(OR($AF$13="",$AF$14=""),NOT(ISNUMBER($AF$18))),"",IF($W$13="amt","No colour: this figure is not compared.",IF($AF$26,"Grey: only "&amp;(TEXT($AF$18,"#,##0")&amp;IF($AF$18=1," loan"," loans"))&amp;", fewer than the "&amp;(TEXT($W$17,"#,##0"))&amp;" set on Control, so not coloured.",IF($W$13="size","No red or green: loan size is a description, not a finding. Shaded darker the bigger the loans are against the book's.","vs the book is "&amp;(IF(ISNUMBER($AF$16),IF(IFERROR(IF($W$13="pts",-$AF$16/$W$14,IF($W$13="x",LOG($AF$16,2),IF($W$13="xr",-LOG($AF$16,2),0))),0)&gt;=1.0,"deep red",IF(IFERROR(IF($W$13="pts",-$AF$16/$W$14,IF($W$13="x",LOG($AF$16,2),IF($W$13="xr",-LOG($AF$16,2),0))),0)&gt;=0.585,"red",IF(IFERROR(IF($W$13="pts",-$AF$16/$W$14,IF($W$13="x",LOG($AF$16,2),IF($W$13="xr",-LOG($AF$16,2),0))),0)&gt;=0.263,"light red",IF(IFERROR(IF($W$13="pts",-$AF$16/$W$14,IF($W$13="x",LOG($AF$16,2),IF($W$13="xr",-LOG($AF$16,2),0))),0)&lt;=-0.585,"green",IF(IFERROR(IF($W$13="pts",-$AF$16/$W$14,IF($W$13="x",LOG($AF$16,2),IF($W$13="xr",-LOG($AF$16,2),0))),0)&lt;=-0.263,"light green","pale"))))),"blank"))&amp;", vs rest of band "&amp;(IF(ISNUMBER($AF$17),IF(IFERROR(IF($W$13="pts",-$AF$17/$W$14,IF($W$13="x",LOG($AF$17,2),IF($W$13="xr",-LOG($AF$17,2),0))),0)&gt;=1.0,"deep red",IF(IFERROR(IF($W$13="pts",-$AF$17/$W$14,IF($W$13="x",LOG($AF$17,2),IF($W$13="xr",-LOG($AF$17,2),0))),0)&gt;=0.585,"red",IF(IFERROR(IF($W$13="pts",-$AF$17/$W$14,IF($W$13="x",LOG($AF$17,2),IF($W$13="xr",-LOG($AF$17,2),0))),0)&gt;=0.263,"light red",IF(IFERROR(IF($W$13="pts",-$AF$17/$W$14,IF($W$13="x",LOG($AF$17,2),IF($W$13="xr",-LOG($AF$17,2),0))),0)&lt;=-0.585,"green",IF(IFERROR(IF($W$13="pts",-$AF$17/$W$14,IF($W$13="x",LOG($AF$17,2),IF($W$13="xr",-LOG($AF$17,2),0))),0)&lt;=-0.263,"light green","pale"))))),"blank"))&amp;". Red is worse, green better, deeper a bigger gap. It is the size of the gap, not a test."))))</f>
        <v/>
      </c>
    </row>
    <row r="49" ht="20" customHeight="1">
      <c r="B49" s="128" t="inlineStr">
        <is>
          <t>How common each group is: a count, not a test</t>
        </is>
      </c>
      <c r="C49" s="26" t="n"/>
      <c r="D49" s="26" t="n"/>
      <c r="E49" s="26" t="n"/>
      <c r="F49" s="26" t="n"/>
      <c r="G49" s="26" t="n"/>
      <c r="H49" s="26" t="n"/>
      <c r="I49" s="26" t="n"/>
    </row>
    <row r="50">
      <c r="B50" s="133" t="inlineStr">
        <is>
          <t>REV_DEBT, each pocket cut at its own median</t>
        </is>
      </c>
    </row>
    <row r="51">
      <c r="B51" s="127">
        <f>IF($Z$51="","",IF(INDEX('_views'!$B:$ZZ,$Z$51,1)="","",INDEX('_views'!$B:$ZZ,$Z$51,1)))</f>
        <v/>
      </c>
      <c r="Z51">
        <f>IFERROR(MATCH("P|0|"&amp;$B$13&amp;"|say",'_views'!$A:$A,0),"")</f>
        <v/>
      </c>
    </row>
    <row r="52" ht="28" customHeight="1">
      <c r="B52" s="134">
        <f>IF($Z$52="","",IF(INDEX('_views'!$B:$ZZ,$Z$52,1)="","",INDEX('_views'!$B:$ZZ,$Z$52,1)))</f>
        <v/>
      </c>
      <c r="C52" s="134">
        <f>IF($Z$52="","",IF(INDEX('_views'!$B:$ZZ,$Z$52,2)="","",INDEX('_views'!$B:$ZZ,$Z$52,2)))</f>
        <v/>
      </c>
      <c r="D52" s="135">
        <f>IF($Z$52="","",IF(INDEX('_views'!$B:$ZZ,$Z$52,3)="","",INDEX('_views'!$B:$ZZ,$Z$52,3)))</f>
        <v/>
      </c>
      <c r="E52" s="135">
        <f>IF($Z$52="","",IF(INDEX('_views'!$B:$ZZ,$Z$52,4)="","",INDEX('_views'!$B:$ZZ,$Z$52,4)))</f>
        <v/>
      </c>
      <c r="F52" s="135">
        <f>IF($Z$52="","",IF(INDEX('_views'!$B:$ZZ,$Z$52,5)="","",INDEX('_views'!$B:$ZZ,$Z$52,5)))</f>
        <v/>
      </c>
      <c r="G52" s="135">
        <f>IF($Z$52="","",IF(INDEX('_views'!$B:$ZZ,$Z$52,6)="","",INDEX('_views'!$B:$ZZ,$Z$52,6)))</f>
        <v/>
      </c>
      <c r="H52" s="135">
        <f>IF($Z$52="","",IF(INDEX('_views'!$B:$ZZ,$Z$52,7)="","",INDEX('_views'!$B:$ZZ,$Z$52,7)))</f>
        <v/>
      </c>
      <c r="I52" s="135">
        <f>IF($Z$52="","",IF(INDEX('_views'!$B:$ZZ,$Z$52,8)="","",INDEX('_views'!$B:$ZZ,$Z$52,8)))</f>
        <v/>
      </c>
      <c r="Z52">
        <f>IFERROR(MATCH("P|0|"&amp;$B$13&amp;"|head",'_views'!$A:$A,0),"")</f>
        <v/>
      </c>
    </row>
    <row r="53" ht="28" customHeight="1">
      <c r="B53" s="5" t="n"/>
      <c r="C53" s="5" t="n"/>
      <c r="D53" s="5" t="n"/>
      <c r="E53" s="5" t="n"/>
      <c r="F53" s="129">
        <f>IF(IF($Z$52="","",IF(INDEX('_views'!$B:$ZZ,$Z$52,5)="","",INDEX('_views'!$B:$ZZ,$Z$52,5)))="","","Loans")</f>
        <v/>
      </c>
      <c r="G53" s="129">
        <f>IF(IF($Z$52="","",IF(INDEX('_views'!$B:$ZZ,$Z$52,5)="","",INDEX('_views'!$B:$ZZ,$Z$52,5)))="","","Booked dollars")</f>
        <v/>
      </c>
      <c r="H53" s="129">
        <f>IF(IF($Z$52="","",IF(INDEX('_views'!$B:$ZZ,$Z$52,7)="","",INDEX('_views'!$B:$ZZ,$Z$52,7)))="","","Loans")</f>
        <v/>
      </c>
      <c r="I53" s="129">
        <f>IF(IF($Z$52="","",IF(INDEX('_views'!$B:$ZZ,$Z$52,7)="","",INDEX('_views'!$B:$ZZ,$Z$52,7)))="","","Booked dollars")</f>
        <v/>
      </c>
    </row>
    <row r="54" ht="16" customHeight="1">
      <c r="B54" s="113">
        <f>IF($Z54="","",IF(INDEX('_views'!$B:$ZZ,$Z54,1)="","",INDEX('_views'!$B:$ZZ,$Z54,1)))</f>
        <v/>
      </c>
      <c r="C54" s="113">
        <f>IF($Z54="","",IF(INDEX('_views'!$B:$ZZ,$Z54,2)="","",INDEX('_views'!$B:$ZZ,$Z54,2)))</f>
        <v/>
      </c>
      <c r="D54" s="114">
        <f>IF($Z54="","",IF(INDEX('_views'!$B:$ZZ,$Z54,3)="","",INDEX('_views'!$B:$ZZ,$Z54,3)))</f>
        <v/>
      </c>
      <c r="E54" s="114">
        <f>IF($Z54="","",IF(INDEX('_views'!$B:$ZZ,$Z54,4)="","",INDEX('_views'!$B:$ZZ,$Z54,4)))</f>
        <v/>
      </c>
      <c r="F54" s="114">
        <f>IF($Z54="","",IF(INDEX('_views'!$B:$ZZ,$Z54,5)="","",INDEX('_views'!$B:$ZZ,$Z54,5)))</f>
        <v/>
      </c>
      <c r="G54" s="114">
        <f>IF($Z54="","",IF(INDEX('_views'!$B:$ZZ,$Z54,6)="","",INDEX('_views'!$B:$ZZ,$Z54,6)))</f>
        <v/>
      </c>
      <c r="H54" s="114">
        <f>IF($Z54="","",IF(INDEX('_views'!$B:$ZZ,$Z54,7)="","",INDEX('_views'!$B:$ZZ,$Z54,7)))</f>
        <v/>
      </c>
      <c r="I54" s="114">
        <f>IF($Z54="","",IF(INDEX('_views'!$B:$ZZ,$Z54,8)="","",INDEX('_views'!$B:$ZZ,$Z54,8)))</f>
        <v/>
      </c>
      <c r="Z54">
        <f>IFERROR(MATCH("P|0|"&amp;$B$13&amp;"|1",'_views'!$A:$A,0),"")</f>
        <v/>
      </c>
    </row>
    <row r="55" ht="16" customHeight="1">
      <c r="B55" s="113">
        <f>IF($Z55="","",IF(INDEX('_views'!$B:$ZZ,$Z55,1)="","",INDEX('_views'!$B:$ZZ,$Z55,1)))</f>
        <v/>
      </c>
      <c r="C55" s="113">
        <f>IF($Z55="","",IF(INDEX('_views'!$B:$ZZ,$Z55,2)="","",INDEX('_views'!$B:$ZZ,$Z55,2)))</f>
        <v/>
      </c>
      <c r="D55" s="114">
        <f>IF($Z55="","",IF(INDEX('_views'!$B:$ZZ,$Z55,3)="","",INDEX('_views'!$B:$ZZ,$Z55,3)))</f>
        <v/>
      </c>
      <c r="E55" s="114">
        <f>IF($Z55="","",IF(INDEX('_views'!$B:$ZZ,$Z55,4)="","",INDEX('_views'!$B:$ZZ,$Z55,4)))</f>
        <v/>
      </c>
      <c r="F55" s="114">
        <f>IF($Z55="","",IF(INDEX('_views'!$B:$ZZ,$Z55,5)="","",INDEX('_views'!$B:$ZZ,$Z55,5)))</f>
        <v/>
      </c>
      <c r="G55" s="114">
        <f>IF($Z55="","",IF(INDEX('_views'!$B:$ZZ,$Z55,6)="","",INDEX('_views'!$B:$ZZ,$Z55,6)))</f>
        <v/>
      </c>
      <c r="H55" s="114">
        <f>IF($Z55="","",IF(INDEX('_views'!$B:$ZZ,$Z55,7)="","",INDEX('_views'!$B:$ZZ,$Z55,7)))</f>
        <v/>
      </c>
      <c r="I55" s="114">
        <f>IF($Z55="","",IF(INDEX('_views'!$B:$ZZ,$Z55,8)="","",INDEX('_views'!$B:$ZZ,$Z55,8)))</f>
        <v/>
      </c>
      <c r="Z55">
        <f>IFERROR(MATCH("P|0|"&amp;$B$13&amp;"|2",'_views'!$A:$A,0),"")</f>
        <v/>
      </c>
    </row>
    <row r="56" ht="16" customHeight="1">
      <c r="B56" s="113">
        <f>IF($Z56="","",IF(INDEX('_views'!$B:$ZZ,$Z56,1)="","",INDEX('_views'!$B:$ZZ,$Z56,1)))</f>
        <v/>
      </c>
      <c r="C56" s="113">
        <f>IF($Z56="","",IF(INDEX('_views'!$B:$ZZ,$Z56,2)="","",INDEX('_views'!$B:$ZZ,$Z56,2)))</f>
        <v/>
      </c>
      <c r="D56" s="114">
        <f>IF($Z56="","",IF(INDEX('_views'!$B:$ZZ,$Z56,3)="","",INDEX('_views'!$B:$ZZ,$Z56,3)))</f>
        <v/>
      </c>
      <c r="E56" s="114">
        <f>IF($Z56="","",IF(INDEX('_views'!$B:$ZZ,$Z56,4)="","",INDEX('_views'!$B:$ZZ,$Z56,4)))</f>
        <v/>
      </c>
      <c r="F56" s="114">
        <f>IF($Z56="","",IF(INDEX('_views'!$B:$ZZ,$Z56,5)="","",INDEX('_views'!$B:$ZZ,$Z56,5)))</f>
        <v/>
      </c>
      <c r="G56" s="114">
        <f>IF($Z56="","",IF(INDEX('_views'!$B:$ZZ,$Z56,6)="","",INDEX('_views'!$B:$ZZ,$Z56,6)))</f>
        <v/>
      </c>
      <c r="H56" s="114">
        <f>IF($Z56="","",IF(INDEX('_views'!$B:$ZZ,$Z56,7)="","",INDEX('_views'!$B:$ZZ,$Z56,7)))</f>
        <v/>
      </c>
      <c r="I56" s="114">
        <f>IF($Z56="","",IF(INDEX('_views'!$B:$ZZ,$Z56,8)="","",INDEX('_views'!$B:$ZZ,$Z56,8)))</f>
        <v/>
      </c>
      <c r="Z56">
        <f>IFERROR(MATCH("P|0|"&amp;$B$13&amp;"|3",'_views'!$A:$A,0),"")</f>
        <v/>
      </c>
    </row>
    <row r="57" ht="16" customHeight="1">
      <c r="B57" s="113">
        <f>IF($Z57="","",IF(INDEX('_views'!$B:$ZZ,$Z57,1)="","",INDEX('_views'!$B:$ZZ,$Z57,1)))</f>
        <v/>
      </c>
      <c r="C57" s="113">
        <f>IF($Z57="","",IF(INDEX('_views'!$B:$ZZ,$Z57,2)="","",INDEX('_views'!$B:$ZZ,$Z57,2)))</f>
        <v/>
      </c>
      <c r="D57" s="114">
        <f>IF($Z57="","",IF(INDEX('_views'!$B:$ZZ,$Z57,3)="","",INDEX('_views'!$B:$ZZ,$Z57,3)))</f>
        <v/>
      </c>
      <c r="E57" s="114">
        <f>IF($Z57="","",IF(INDEX('_views'!$B:$ZZ,$Z57,4)="","",INDEX('_views'!$B:$ZZ,$Z57,4)))</f>
        <v/>
      </c>
      <c r="F57" s="114">
        <f>IF($Z57="","",IF(INDEX('_views'!$B:$ZZ,$Z57,5)="","",INDEX('_views'!$B:$ZZ,$Z57,5)))</f>
        <v/>
      </c>
      <c r="G57" s="114">
        <f>IF($Z57="","",IF(INDEX('_views'!$B:$ZZ,$Z57,6)="","",INDEX('_views'!$B:$ZZ,$Z57,6)))</f>
        <v/>
      </c>
      <c r="H57" s="114">
        <f>IF($Z57="","",IF(INDEX('_views'!$B:$ZZ,$Z57,7)="","",INDEX('_views'!$B:$ZZ,$Z57,7)))</f>
        <v/>
      </c>
      <c r="I57" s="114">
        <f>IF($Z57="","",IF(INDEX('_views'!$B:$ZZ,$Z57,8)="","",INDEX('_views'!$B:$ZZ,$Z57,8)))</f>
        <v/>
      </c>
      <c r="Z57">
        <f>IFERROR(MATCH("P|0|"&amp;$B$13&amp;"|4",'_views'!$A:$A,0),"")</f>
        <v/>
      </c>
    </row>
    <row r="58" ht="16" customHeight="1">
      <c r="B58" s="113">
        <f>IF($Z58="","",IF(INDEX('_views'!$B:$ZZ,$Z58,1)="","",INDEX('_views'!$B:$ZZ,$Z58,1)))</f>
        <v/>
      </c>
      <c r="C58" s="113">
        <f>IF($Z58="","",IF(INDEX('_views'!$B:$ZZ,$Z58,2)="","",INDEX('_views'!$B:$ZZ,$Z58,2)))</f>
        <v/>
      </c>
      <c r="D58" s="114">
        <f>IF($Z58="","",IF(INDEX('_views'!$B:$ZZ,$Z58,3)="","",INDEX('_views'!$B:$ZZ,$Z58,3)))</f>
        <v/>
      </c>
      <c r="E58" s="114">
        <f>IF($Z58="","",IF(INDEX('_views'!$B:$ZZ,$Z58,4)="","",INDEX('_views'!$B:$ZZ,$Z58,4)))</f>
        <v/>
      </c>
      <c r="F58" s="114">
        <f>IF($Z58="","",IF(INDEX('_views'!$B:$ZZ,$Z58,5)="","",INDEX('_views'!$B:$ZZ,$Z58,5)))</f>
        <v/>
      </c>
      <c r="G58" s="114">
        <f>IF($Z58="","",IF(INDEX('_views'!$B:$ZZ,$Z58,6)="","",INDEX('_views'!$B:$ZZ,$Z58,6)))</f>
        <v/>
      </c>
      <c r="H58" s="114">
        <f>IF($Z58="","",IF(INDEX('_views'!$B:$ZZ,$Z58,7)="","",INDEX('_views'!$B:$ZZ,$Z58,7)))</f>
        <v/>
      </c>
      <c r="I58" s="114">
        <f>IF($Z58="","",IF(INDEX('_views'!$B:$ZZ,$Z58,8)="","",INDEX('_views'!$B:$ZZ,$Z58,8)))</f>
        <v/>
      </c>
      <c r="Z58">
        <f>IFERROR(MATCH("P|0|"&amp;$B$13&amp;"|5",'_views'!$A:$A,0),"")</f>
        <v/>
      </c>
    </row>
    <row r="59" ht="16" customHeight="1">
      <c r="B59" s="113">
        <f>IF($Z59="","",IF(INDEX('_views'!$B:$ZZ,$Z59,1)="","",INDEX('_views'!$B:$ZZ,$Z59,1)))</f>
        <v/>
      </c>
      <c r="C59" s="113">
        <f>IF($Z59="","",IF(INDEX('_views'!$B:$ZZ,$Z59,2)="","",INDEX('_views'!$B:$ZZ,$Z59,2)))</f>
        <v/>
      </c>
      <c r="D59" s="114">
        <f>IF($Z59="","",IF(INDEX('_views'!$B:$ZZ,$Z59,3)="","",INDEX('_views'!$B:$ZZ,$Z59,3)))</f>
        <v/>
      </c>
      <c r="E59" s="114">
        <f>IF($Z59="","",IF(INDEX('_views'!$B:$ZZ,$Z59,4)="","",INDEX('_views'!$B:$ZZ,$Z59,4)))</f>
        <v/>
      </c>
      <c r="F59" s="114">
        <f>IF($Z59="","",IF(INDEX('_views'!$B:$ZZ,$Z59,5)="","",INDEX('_views'!$B:$ZZ,$Z59,5)))</f>
        <v/>
      </c>
      <c r="G59" s="114">
        <f>IF($Z59="","",IF(INDEX('_views'!$B:$ZZ,$Z59,6)="","",INDEX('_views'!$B:$ZZ,$Z59,6)))</f>
        <v/>
      </c>
      <c r="H59" s="114">
        <f>IF($Z59="","",IF(INDEX('_views'!$B:$ZZ,$Z59,7)="","",INDEX('_views'!$B:$ZZ,$Z59,7)))</f>
        <v/>
      </c>
      <c r="I59" s="114">
        <f>IF($Z59="","",IF(INDEX('_views'!$B:$ZZ,$Z59,8)="","",INDEX('_views'!$B:$ZZ,$Z59,8)))</f>
        <v/>
      </c>
      <c r="Z59">
        <f>IFERROR(MATCH("P|0|"&amp;$B$13&amp;"|6",'_views'!$A:$A,0),"")</f>
        <v/>
      </c>
    </row>
    <row r="60" ht="16" customHeight="1">
      <c r="B60" s="113">
        <f>IF($Z60="","",IF(INDEX('_views'!$B:$ZZ,$Z60,1)="","",INDEX('_views'!$B:$ZZ,$Z60,1)))</f>
        <v/>
      </c>
      <c r="C60" s="113">
        <f>IF($Z60="","",IF(INDEX('_views'!$B:$ZZ,$Z60,2)="","",INDEX('_views'!$B:$ZZ,$Z60,2)))</f>
        <v/>
      </c>
      <c r="D60" s="114">
        <f>IF($Z60="","",IF(INDEX('_views'!$B:$ZZ,$Z60,3)="","",INDEX('_views'!$B:$ZZ,$Z60,3)))</f>
        <v/>
      </c>
      <c r="E60" s="114">
        <f>IF($Z60="","",IF(INDEX('_views'!$B:$ZZ,$Z60,4)="","",INDEX('_views'!$B:$ZZ,$Z60,4)))</f>
        <v/>
      </c>
      <c r="F60" s="114">
        <f>IF($Z60="","",IF(INDEX('_views'!$B:$ZZ,$Z60,5)="","",INDEX('_views'!$B:$ZZ,$Z60,5)))</f>
        <v/>
      </c>
      <c r="G60" s="114">
        <f>IF($Z60="","",IF(INDEX('_views'!$B:$ZZ,$Z60,6)="","",INDEX('_views'!$B:$ZZ,$Z60,6)))</f>
        <v/>
      </c>
      <c r="H60" s="114">
        <f>IF($Z60="","",IF(INDEX('_views'!$B:$ZZ,$Z60,7)="","",INDEX('_views'!$B:$ZZ,$Z60,7)))</f>
        <v/>
      </c>
      <c r="I60" s="114">
        <f>IF($Z60="","",IF(INDEX('_views'!$B:$ZZ,$Z60,8)="","",INDEX('_views'!$B:$ZZ,$Z60,8)))</f>
        <v/>
      </c>
      <c r="Z60">
        <f>IFERROR(MATCH("P|0|"&amp;$B$13&amp;"|7",'_views'!$A:$A,0),"")</f>
        <v/>
      </c>
    </row>
    <row r="61" ht="16" customHeight="1">
      <c r="B61" s="113">
        <f>IF($Z61="","",IF(INDEX('_views'!$B:$ZZ,$Z61,1)="","",INDEX('_views'!$B:$ZZ,$Z61,1)))</f>
        <v/>
      </c>
      <c r="C61" s="113">
        <f>IF($Z61="","",IF(INDEX('_views'!$B:$ZZ,$Z61,2)="","",INDEX('_views'!$B:$ZZ,$Z61,2)))</f>
        <v/>
      </c>
      <c r="D61" s="114">
        <f>IF($Z61="","",IF(INDEX('_views'!$B:$ZZ,$Z61,3)="","",INDEX('_views'!$B:$ZZ,$Z61,3)))</f>
        <v/>
      </c>
      <c r="E61" s="114">
        <f>IF($Z61="","",IF(INDEX('_views'!$B:$ZZ,$Z61,4)="","",INDEX('_views'!$B:$ZZ,$Z61,4)))</f>
        <v/>
      </c>
      <c r="F61" s="114">
        <f>IF($Z61="","",IF(INDEX('_views'!$B:$ZZ,$Z61,5)="","",INDEX('_views'!$B:$ZZ,$Z61,5)))</f>
        <v/>
      </c>
      <c r="G61" s="114">
        <f>IF($Z61="","",IF(INDEX('_views'!$B:$ZZ,$Z61,6)="","",INDEX('_views'!$B:$ZZ,$Z61,6)))</f>
        <v/>
      </c>
      <c r="H61" s="114">
        <f>IF($Z61="","",IF(INDEX('_views'!$B:$ZZ,$Z61,7)="","",INDEX('_views'!$B:$ZZ,$Z61,7)))</f>
        <v/>
      </c>
      <c r="I61" s="114">
        <f>IF($Z61="","",IF(INDEX('_views'!$B:$ZZ,$Z61,8)="","",INDEX('_views'!$B:$ZZ,$Z61,8)))</f>
        <v/>
      </c>
      <c r="Z61">
        <f>IFERROR(MATCH("P|0|"&amp;$B$13&amp;"|8",'_views'!$A:$A,0),"")</f>
        <v/>
      </c>
    </row>
    <row r="62" ht="16" customHeight="1">
      <c r="B62" s="113">
        <f>IF($Z62="","",IF(INDEX('_views'!$B:$ZZ,$Z62,1)="","",INDEX('_views'!$B:$ZZ,$Z62,1)))</f>
        <v/>
      </c>
      <c r="C62" s="113">
        <f>IF($Z62="","",IF(INDEX('_views'!$B:$ZZ,$Z62,2)="","",INDEX('_views'!$B:$ZZ,$Z62,2)))</f>
        <v/>
      </c>
      <c r="D62" s="114">
        <f>IF($Z62="","",IF(INDEX('_views'!$B:$ZZ,$Z62,3)="","",INDEX('_views'!$B:$ZZ,$Z62,3)))</f>
        <v/>
      </c>
      <c r="E62" s="114">
        <f>IF($Z62="","",IF(INDEX('_views'!$B:$ZZ,$Z62,4)="","",INDEX('_views'!$B:$ZZ,$Z62,4)))</f>
        <v/>
      </c>
      <c r="F62" s="114">
        <f>IF($Z62="","",IF(INDEX('_views'!$B:$ZZ,$Z62,5)="","",INDEX('_views'!$B:$ZZ,$Z62,5)))</f>
        <v/>
      </c>
      <c r="G62" s="114">
        <f>IF($Z62="","",IF(INDEX('_views'!$B:$ZZ,$Z62,6)="","",INDEX('_views'!$B:$ZZ,$Z62,6)))</f>
        <v/>
      </c>
      <c r="H62" s="114">
        <f>IF($Z62="","",IF(INDEX('_views'!$B:$ZZ,$Z62,7)="","",INDEX('_views'!$B:$ZZ,$Z62,7)))</f>
        <v/>
      </c>
      <c r="I62" s="114">
        <f>IF($Z62="","",IF(INDEX('_views'!$B:$ZZ,$Z62,8)="","",INDEX('_views'!$B:$ZZ,$Z62,8)))</f>
        <v/>
      </c>
      <c r="Z62">
        <f>IFERROR(MATCH("P|0|"&amp;$B$13&amp;"|9",'_views'!$A:$A,0),"")</f>
        <v/>
      </c>
    </row>
    <row r="63" ht="16" customHeight="1">
      <c r="B63" s="113">
        <f>IF($Z63="","",IF(INDEX('_views'!$B:$ZZ,$Z63,1)="","",INDEX('_views'!$B:$ZZ,$Z63,1)))</f>
        <v/>
      </c>
      <c r="C63" s="113">
        <f>IF($Z63="","",IF(INDEX('_views'!$B:$ZZ,$Z63,2)="","",INDEX('_views'!$B:$ZZ,$Z63,2)))</f>
        <v/>
      </c>
      <c r="D63" s="114">
        <f>IF($Z63="","",IF(INDEX('_views'!$B:$ZZ,$Z63,3)="","",INDEX('_views'!$B:$ZZ,$Z63,3)))</f>
        <v/>
      </c>
      <c r="E63" s="114">
        <f>IF($Z63="","",IF(INDEX('_views'!$B:$ZZ,$Z63,4)="","",INDEX('_views'!$B:$ZZ,$Z63,4)))</f>
        <v/>
      </c>
      <c r="F63" s="114">
        <f>IF($Z63="","",IF(INDEX('_views'!$B:$ZZ,$Z63,5)="","",INDEX('_views'!$B:$ZZ,$Z63,5)))</f>
        <v/>
      </c>
      <c r="G63" s="114">
        <f>IF($Z63="","",IF(INDEX('_views'!$B:$ZZ,$Z63,6)="","",INDEX('_views'!$B:$ZZ,$Z63,6)))</f>
        <v/>
      </c>
      <c r="H63" s="114">
        <f>IF($Z63="","",IF(INDEX('_views'!$B:$ZZ,$Z63,7)="","",INDEX('_views'!$B:$ZZ,$Z63,7)))</f>
        <v/>
      </c>
      <c r="I63" s="114">
        <f>IF($Z63="","",IF(INDEX('_views'!$B:$ZZ,$Z63,8)="","",INDEX('_views'!$B:$ZZ,$Z63,8)))</f>
        <v/>
      </c>
      <c r="Z63">
        <f>IFERROR(MATCH("P|0|"&amp;$B$13&amp;"|10",'_views'!$A:$A,0),"")</f>
        <v/>
      </c>
    </row>
    <row r="64" ht="16" customHeight="1">
      <c r="B64" s="113">
        <f>IF($Z64="","",IF(INDEX('_views'!$B:$ZZ,$Z64,1)="","",INDEX('_views'!$B:$ZZ,$Z64,1)))</f>
        <v/>
      </c>
      <c r="C64" s="113">
        <f>IF($Z64="","",IF(INDEX('_views'!$B:$ZZ,$Z64,2)="","",INDEX('_views'!$B:$ZZ,$Z64,2)))</f>
        <v/>
      </c>
      <c r="D64" s="114">
        <f>IF($Z64="","",IF(INDEX('_views'!$B:$ZZ,$Z64,3)="","",INDEX('_views'!$B:$ZZ,$Z64,3)))</f>
        <v/>
      </c>
      <c r="E64" s="114">
        <f>IF($Z64="","",IF(INDEX('_views'!$B:$ZZ,$Z64,4)="","",INDEX('_views'!$B:$ZZ,$Z64,4)))</f>
        <v/>
      </c>
      <c r="F64" s="114">
        <f>IF($Z64="","",IF(INDEX('_views'!$B:$ZZ,$Z64,5)="","",INDEX('_views'!$B:$ZZ,$Z64,5)))</f>
        <v/>
      </c>
      <c r="G64" s="114">
        <f>IF($Z64="","",IF(INDEX('_views'!$B:$ZZ,$Z64,6)="","",INDEX('_views'!$B:$ZZ,$Z64,6)))</f>
        <v/>
      </c>
      <c r="H64" s="114">
        <f>IF($Z64="","",IF(INDEX('_views'!$B:$ZZ,$Z64,7)="","",INDEX('_views'!$B:$ZZ,$Z64,7)))</f>
        <v/>
      </c>
      <c r="I64" s="114">
        <f>IF($Z64="","",IF(INDEX('_views'!$B:$ZZ,$Z64,8)="","",INDEX('_views'!$B:$ZZ,$Z64,8)))</f>
        <v/>
      </c>
      <c r="Z64">
        <f>IFERROR(MATCH("P|0|"&amp;$B$13&amp;"|11",'_views'!$A:$A,0),"")</f>
        <v/>
      </c>
    </row>
    <row r="65" ht="16" customHeight="1">
      <c r="B65" s="113">
        <f>IF($Z65="","",IF(INDEX('_views'!$B:$ZZ,$Z65,1)="","",INDEX('_views'!$B:$ZZ,$Z65,1)))</f>
        <v/>
      </c>
      <c r="C65" s="113">
        <f>IF($Z65="","",IF(INDEX('_views'!$B:$ZZ,$Z65,2)="","",INDEX('_views'!$B:$ZZ,$Z65,2)))</f>
        <v/>
      </c>
      <c r="D65" s="114">
        <f>IF($Z65="","",IF(INDEX('_views'!$B:$ZZ,$Z65,3)="","",INDEX('_views'!$B:$ZZ,$Z65,3)))</f>
        <v/>
      </c>
      <c r="E65" s="114">
        <f>IF($Z65="","",IF(INDEX('_views'!$B:$ZZ,$Z65,4)="","",INDEX('_views'!$B:$ZZ,$Z65,4)))</f>
        <v/>
      </c>
      <c r="F65" s="114">
        <f>IF($Z65="","",IF(INDEX('_views'!$B:$ZZ,$Z65,5)="","",INDEX('_views'!$B:$ZZ,$Z65,5)))</f>
        <v/>
      </c>
      <c r="G65" s="114">
        <f>IF($Z65="","",IF(INDEX('_views'!$B:$ZZ,$Z65,6)="","",INDEX('_views'!$B:$ZZ,$Z65,6)))</f>
        <v/>
      </c>
      <c r="H65" s="114">
        <f>IF($Z65="","",IF(INDEX('_views'!$B:$ZZ,$Z65,7)="","",INDEX('_views'!$B:$ZZ,$Z65,7)))</f>
        <v/>
      </c>
      <c r="I65" s="114">
        <f>IF($Z65="","",IF(INDEX('_views'!$B:$ZZ,$Z65,8)="","",INDEX('_views'!$B:$ZZ,$Z65,8)))</f>
        <v/>
      </c>
      <c r="Z65">
        <f>IFERROR(MATCH("P|0|"&amp;$B$13&amp;"|12",'_views'!$A:$A,0),"")</f>
        <v/>
      </c>
    </row>
    <row r="66" ht="16" customHeight="1">
      <c r="B66" s="113">
        <f>IF($Z66="","",IF(INDEX('_views'!$B:$ZZ,$Z66,1)="","",INDEX('_views'!$B:$ZZ,$Z66,1)))</f>
        <v/>
      </c>
      <c r="C66" s="113">
        <f>IF($Z66="","",IF(INDEX('_views'!$B:$ZZ,$Z66,2)="","",INDEX('_views'!$B:$ZZ,$Z66,2)))</f>
        <v/>
      </c>
      <c r="D66" s="114">
        <f>IF($Z66="","",IF(INDEX('_views'!$B:$ZZ,$Z66,3)="","",INDEX('_views'!$B:$ZZ,$Z66,3)))</f>
        <v/>
      </c>
      <c r="E66" s="114">
        <f>IF($Z66="","",IF(INDEX('_views'!$B:$ZZ,$Z66,4)="","",INDEX('_views'!$B:$ZZ,$Z66,4)))</f>
        <v/>
      </c>
      <c r="F66" s="114">
        <f>IF($Z66="","",IF(INDEX('_views'!$B:$ZZ,$Z66,5)="","",INDEX('_views'!$B:$ZZ,$Z66,5)))</f>
        <v/>
      </c>
      <c r="G66" s="114">
        <f>IF($Z66="","",IF(INDEX('_views'!$B:$ZZ,$Z66,6)="","",INDEX('_views'!$B:$ZZ,$Z66,6)))</f>
        <v/>
      </c>
      <c r="H66" s="114">
        <f>IF($Z66="","",IF(INDEX('_views'!$B:$ZZ,$Z66,7)="","",INDEX('_views'!$B:$ZZ,$Z66,7)))</f>
        <v/>
      </c>
      <c r="I66" s="114">
        <f>IF($Z66="","",IF(INDEX('_views'!$B:$ZZ,$Z66,8)="","",INDEX('_views'!$B:$ZZ,$Z66,8)))</f>
        <v/>
      </c>
      <c r="Z66">
        <f>IFERROR(MATCH("P|0|"&amp;$B$13&amp;"|13",'_views'!$A:$A,0),"")</f>
        <v/>
      </c>
    </row>
    <row r="67" ht="16" customHeight="1">
      <c r="B67" s="113">
        <f>IF($Z67="","",IF(INDEX('_views'!$B:$ZZ,$Z67,1)="","",INDEX('_views'!$B:$ZZ,$Z67,1)))</f>
        <v/>
      </c>
      <c r="C67" s="113">
        <f>IF($Z67="","",IF(INDEX('_views'!$B:$ZZ,$Z67,2)="","",INDEX('_views'!$B:$ZZ,$Z67,2)))</f>
        <v/>
      </c>
      <c r="D67" s="114">
        <f>IF($Z67="","",IF(INDEX('_views'!$B:$ZZ,$Z67,3)="","",INDEX('_views'!$B:$ZZ,$Z67,3)))</f>
        <v/>
      </c>
      <c r="E67" s="114">
        <f>IF($Z67="","",IF(INDEX('_views'!$B:$ZZ,$Z67,4)="","",INDEX('_views'!$B:$ZZ,$Z67,4)))</f>
        <v/>
      </c>
      <c r="F67" s="114">
        <f>IF($Z67="","",IF(INDEX('_views'!$B:$ZZ,$Z67,5)="","",INDEX('_views'!$B:$ZZ,$Z67,5)))</f>
        <v/>
      </c>
      <c r="G67" s="114">
        <f>IF($Z67="","",IF(INDEX('_views'!$B:$ZZ,$Z67,6)="","",INDEX('_views'!$B:$ZZ,$Z67,6)))</f>
        <v/>
      </c>
      <c r="H67" s="114">
        <f>IF($Z67="","",IF(INDEX('_views'!$B:$ZZ,$Z67,7)="","",INDEX('_views'!$B:$ZZ,$Z67,7)))</f>
        <v/>
      </c>
      <c r="I67" s="114">
        <f>IF($Z67="","",IF(INDEX('_views'!$B:$ZZ,$Z67,8)="","",INDEX('_views'!$B:$ZZ,$Z67,8)))</f>
        <v/>
      </c>
      <c r="Z67">
        <f>IFERROR(MATCH("P|0|"&amp;$B$13&amp;"|14",'_views'!$A:$A,0),"")</f>
        <v/>
      </c>
    </row>
    <row r="68" ht="16" customHeight="1">
      <c r="B68" s="113">
        <f>IF($Z68="","",IF(INDEX('_views'!$B:$ZZ,$Z68,1)="","",INDEX('_views'!$B:$ZZ,$Z68,1)))</f>
        <v/>
      </c>
      <c r="C68" s="113">
        <f>IF($Z68="","",IF(INDEX('_views'!$B:$ZZ,$Z68,2)="","",INDEX('_views'!$B:$ZZ,$Z68,2)))</f>
        <v/>
      </c>
      <c r="D68" s="114">
        <f>IF($Z68="","",IF(INDEX('_views'!$B:$ZZ,$Z68,3)="","",INDEX('_views'!$B:$ZZ,$Z68,3)))</f>
        <v/>
      </c>
      <c r="E68" s="114">
        <f>IF($Z68="","",IF(INDEX('_views'!$B:$ZZ,$Z68,4)="","",INDEX('_views'!$B:$ZZ,$Z68,4)))</f>
        <v/>
      </c>
      <c r="F68" s="114">
        <f>IF($Z68="","",IF(INDEX('_views'!$B:$ZZ,$Z68,5)="","",INDEX('_views'!$B:$ZZ,$Z68,5)))</f>
        <v/>
      </c>
      <c r="G68" s="114">
        <f>IF($Z68="","",IF(INDEX('_views'!$B:$ZZ,$Z68,6)="","",INDEX('_views'!$B:$ZZ,$Z68,6)))</f>
        <v/>
      </c>
      <c r="H68" s="114">
        <f>IF($Z68="","",IF(INDEX('_views'!$B:$ZZ,$Z68,7)="","",INDEX('_views'!$B:$ZZ,$Z68,7)))</f>
        <v/>
      </c>
      <c r="I68" s="114">
        <f>IF($Z68="","",IF(INDEX('_views'!$B:$ZZ,$Z68,8)="","",INDEX('_views'!$B:$ZZ,$Z68,8)))</f>
        <v/>
      </c>
      <c r="Z68">
        <f>IFERROR(MATCH("P|0|"&amp;$B$13&amp;"|15",'_views'!$A:$A,0),"")</f>
        <v/>
      </c>
    </row>
    <row r="69" ht="16" customHeight="1">
      <c r="B69" s="113">
        <f>IF($Z69="","",IF(INDEX('_views'!$B:$ZZ,$Z69,1)="","",INDEX('_views'!$B:$ZZ,$Z69,1)))</f>
        <v/>
      </c>
      <c r="C69" s="113">
        <f>IF($Z69="","",IF(INDEX('_views'!$B:$ZZ,$Z69,2)="","",INDEX('_views'!$B:$ZZ,$Z69,2)))</f>
        <v/>
      </c>
      <c r="D69" s="114">
        <f>IF($Z69="","",IF(INDEX('_views'!$B:$ZZ,$Z69,3)="","",INDEX('_views'!$B:$ZZ,$Z69,3)))</f>
        <v/>
      </c>
      <c r="E69" s="114">
        <f>IF($Z69="","",IF(INDEX('_views'!$B:$ZZ,$Z69,4)="","",INDEX('_views'!$B:$ZZ,$Z69,4)))</f>
        <v/>
      </c>
      <c r="F69" s="114">
        <f>IF($Z69="","",IF(INDEX('_views'!$B:$ZZ,$Z69,5)="","",INDEX('_views'!$B:$ZZ,$Z69,5)))</f>
        <v/>
      </c>
      <c r="G69" s="114">
        <f>IF($Z69="","",IF(INDEX('_views'!$B:$ZZ,$Z69,6)="","",INDEX('_views'!$B:$ZZ,$Z69,6)))</f>
        <v/>
      </c>
      <c r="H69" s="114">
        <f>IF($Z69="","",IF(INDEX('_views'!$B:$ZZ,$Z69,7)="","",INDEX('_views'!$B:$ZZ,$Z69,7)))</f>
        <v/>
      </c>
      <c r="I69" s="114">
        <f>IF($Z69="","",IF(INDEX('_views'!$B:$ZZ,$Z69,8)="","",INDEX('_views'!$B:$ZZ,$Z69,8)))</f>
        <v/>
      </c>
      <c r="Z69">
        <f>IFERROR(MATCH("P|0|"&amp;$B$13&amp;"|16",'_views'!$A:$A,0),"")</f>
        <v/>
      </c>
    </row>
    <row r="70" ht="16" customHeight="1">
      <c r="B70" s="113">
        <f>IF($Z70="","",IF(INDEX('_views'!$B:$ZZ,$Z70,1)="","",INDEX('_views'!$B:$ZZ,$Z70,1)))</f>
        <v/>
      </c>
      <c r="C70" s="113">
        <f>IF($Z70="","",IF(INDEX('_views'!$B:$ZZ,$Z70,2)="","",INDEX('_views'!$B:$ZZ,$Z70,2)))</f>
        <v/>
      </c>
      <c r="D70" s="114">
        <f>IF($Z70="","",IF(INDEX('_views'!$B:$ZZ,$Z70,3)="","",INDEX('_views'!$B:$ZZ,$Z70,3)))</f>
        <v/>
      </c>
      <c r="E70" s="114">
        <f>IF($Z70="","",IF(INDEX('_views'!$B:$ZZ,$Z70,4)="","",INDEX('_views'!$B:$ZZ,$Z70,4)))</f>
        <v/>
      </c>
      <c r="F70" s="114">
        <f>IF($Z70="","",IF(INDEX('_views'!$B:$ZZ,$Z70,5)="","",INDEX('_views'!$B:$ZZ,$Z70,5)))</f>
        <v/>
      </c>
      <c r="G70" s="114">
        <f>IF($Z70="","",IF(INDEX('_views'!$B:$ZZ,$Z70,6)="","",INDEX('_views'!$B:$ZZ,$Z70,6)))</f>
        <v/>
      </c>
      <c r="H70" s="114">
        <f>IF($Z70="","",IF(INDEX('_views'!$B:$ZZ,$Z70,7)="","",INDEX('_views'!$B:$ZZ,$Z70,7)))</f>
        <v/>
      </c>
      <c r="I70" s="114">
        <f>IF($Z70="","",IF(INDEX('_views'!$B:$ZZ,$Z70,8)="","",INDEX('_views'!$B:$ZZ,$Z70,8)))</f>
        <v/>
      </c>
      <c r="Z70">
        <f>IFERROR(MATCH("P|0|"&amp;$B$13&amp;"|17",'_views'!$A:$A,0),"")</f>
        <v/>
      </c>
    </row>
    <row r="71" ht="16" customHeight="1">
      <c r="B71" s="113">
        <f>IF($Z71="","",IF(INDEX('_views'!$B:$ZZ,$Z71,1)="","",INDEX('_views'!$B:$ZZ,$Z71,1)))</f>
        <v/>
      </c>
      <c r="C71" s="113">
        <f>IF($Z71="","",IF(INDEX('_views'!$B:$ZZ,$Z71,2)="","",INDEX('_views'!$B:$ZZ,$Z71,2)))</f>
        <v/>
      </c>
      <c r="D71" s="114">
        <f>IF($Z71="","",IF(INDEX('_views'!$B:$ZZ,$Z71,3)="","",INDEX('_views'!$B:$ZZ,$Z71,3)))</f>
        <v/>
      </c>
      <c r="E71" s="114">
        <f>IF($Z71="","",IF(INDEX('_views'!$B:$ZZ,$Z71,4)="","",INDEX('_views'!$B:$ZZ,$Z71,4)))</f>
        <v/>
      </c>
      <c r="F71" s="114">
        <f>IF($Z71="","",IF(INDEX('_views'!$B:$ZZ,$Z71,5)="","",INDEX('_views'!$B:$ZZ,$Z71,5)))</f>
        <v/>
      </c>
      <c r="G71" s="114">
        <f>IF($Z71="","",IF(INDEX('_views'!$B:$ZZ,$Z71,6)="","",INDEX('_views'!$B:$ZZ,$Z71,6)))</f>
        <v/>
      </c>
      <c r="H71" s="114">
        <f>IF($Z71="","",IF(INDEX('_views'!$B:$ZZ,$Z71,7)="","",INDEX('_views'!$B:$ZZ,$Z71,7)))</f>
        <v/>
      </c>
      <c r="I71" s="114">
        <f>IF($Z71="","",IF(INDEX('_views'!$B:$ZZ,$Z71,8)="","",INDEX('_views'!$B:$ZZ,$Z71,8)))</f>
        <v/>
      </c>
      <c r="Z71">
        <f>IFERROR(MATCH("P|0|"&amp;$B$13&amp;"|18",'_views'!$A:$A,0),"")</f>
        <v/>
      </c>
    </row>
    <row r="72" ht="16" customHeight="1">
      <c r="B72" s="113">
        <f>IF($Z72="","",IF(INDEX('_views'!$B:$ZZ,$Z72,1)="","",INDEX('_views'!$B:$ZZ,$Z72,1)))</f>
        <v/>
      </c>
      <c r="C72" s="113">
        <f>IF($Z72="","",IF(INDEX('_views'!$B:$ZZ,$Z72,2)="","",INDEX('_views'!$B:$ZZ,$Z72,2)))</f>
        <v/>
      </c>
      <c r="D72" s="114">
        <f>IF($Z72="","",IF(INDEX('_views'!$B:$ZZ,$Z72,3)="","",INDEX('_views'!$B:$ZZ,$Z72,3)))</f>
        <v/>
      </c>
      <c r="E72" s="114">
        <f>IF($Z72="","",IF(INDEX('_views'!$B:$ZZ,$Z72,4)="","",INDEX('_views'!$B:$ZZ,$Z72,4)))</f>
        <v/>
      </c>
      <c r="F72" s="114">
        <f>IF($Z72="","",IF(INDEX('_views'!$B:$ZZ,$Z72,5)="","",INDEX('_views'!$B:$ZZ,$Z72,5)))</f>
        <v/>
      </c>
      <c r="G72" s="114">
        <f>IF($Z72="","",IF(INDEX('_views'!$B:$ZZ,$Z72,6)="","",INDEX('_views'!$B:$ZZ,$Z72,6)))</f>
        <v/>
      </c>
      <c r="H72" s="114">
        <f>IF($Z72="","",IF(INDEX('_views'!$B:$ZZ,$Z72,7)="","",INDEX('_views'!$B:$ZZ,$Z72,7)))</f>
        <v/>
      </c>
      <c r="I72" s="114">
        <f>IF($Z72="","",IF(INDEX('_views'!$B:$ZZ,$Z72,8)="","",INDEX('_views'!$B:$ZZ,$Z72,8)))</f>
        <v/>
      </c>
      <c r="Z72">
        <f>IFERROR(MATCH("P|0|"&amp;$B$13&amp;"|19",'_views'!$A:$A,0),"")</f>
        <v/>
      </c>
    </row>
    <row r="73" ht="16" customHeight="1">
      <c r="B73" s="113">
        <f>IF($Z73="","",IF(INDEX('_views'!$B:$ZZ,$Z73,1)="","",INDEX('_views'!$B:$ZZ,$Z73,1)))</f>
        <v/>
      </c>
      <c r="C73" s="113">
        <f>IF($Z73="","",IF(INDEX('_views'!$B:$ZZ,$Z73,2)="","",INDEX('_views'!$B:$ZZ,$Z73,2)))</f>
        <v/>
      </c>
      <c r="D73" s="114">
        <f>IF($Z73="","",IF(INDEX('_views'!$B:$ZZ,$Z73,3)="","",INDEX('_views'!$B:$ZZ,$Z73,3)))</f>
        <v/>
      </c>
      <c r="E73" s="114">
        <f>IF($Z73="","",IF(INDEX('_views'!$B:$ZZ,$Z73,4)="","",INDEX('_views'!$B:$ZZ,$Z73,4)))</f>
        <v/>
      </c>
      <c r="F73" s="114">
        <f>IF($Z73="","",IF(INDEX('_views'!$B:$ZZ,$Z73,5)="","",INDEX('_views'!$B:$ZZ,$Z73,5)))</f>
        <v/>
      </c>
      <c r="G73" s="114">
        <f>IF($Z73="","",IF(INDEX('_views'!$B:$ZZ,$Z73,6)="","",INDEX('_views'!$B:$ZZ,$Z73,6)))</f>
        <v/>
      </c>
      <c r="H73" s="114">
        <f>IF($Z73="","",IF(INDEX('_views'!$B:$ZZ,$Z73,7)="","",INDEX('_views'!$B:$ZZ,$Z73,7)))</f>
        <v/>
      </c>
      <c r="I73" s="114">
        <f>IF($Z73="","",IF(INDEX('_views'!$B:$ZZ,$Z73,8)="","",INDEX('_views'!$B:$ZZ,$Z73,8)))</f>
        <v/>
      </c>
      <c r="Z73">
        <f>IFERROR(MATCH("P|0|"&amp;$B$13&amp;"|20",'_views'!$A:$A,0),"")</f>
        <v/>
      </c>
    </row>
    <row r="74" ht="16" customHeight="1">
      <c r="B74" s="113">
        <f>IF($Z74="","",IF(INDEX('_views'!$B:$ZZ,$Z74,1)="","",INDEX('_views'!$B:$ZZ,$Z74,1)))</f>
        <v/>
      </c>
      <c r="C74" s="113">
        <f>IF($Z74="","",IF(INDEX('_views'!$B:$ZZ,$Z74,2)="","",INDEX('_views'!$B:$ZZ,$Z74,2)))</f>
        <v/>
      </c>
      <c r="D74" s="114">
        <f>IF($Z74="","",IF(INDEX('_views'!$B:$ZZ,$Z74,3)="","",INDEX('_views'!$B:$ZZ,$Z74,3)))</f>
        <v/>
      </c>
      <c r="E74" s="114">
        <f>IF($Z74="","",IF(INDEX('_views'!$B:$ZZ,$Z74,4)="","",INDEX('_views'!$B:$ZZ,$Z74,4)))</f>
        <v/>
      </c>
      <c r="F74" s="114">
        <f>IF($Z74="","",IF(INDEX('_views'!$B:$ZZ,$Z74,5)="","",INDEX('_views'!$B:$ZZ,$Z74,5)))</f>
        <v/>
      </c>
      <c r="G74" s="114">
        <f>IF($Z74="","",IF(INDEX('_views'!$B:$ZZ,$Z74,6)="","",INDEX('_views'!$B:$ZZ,$Z74,6)))</f>
        <v/>
      </c>
      <c r="H74" s="114">
        <f>IF($Z74="","",IF(INDEX('_views'!$B:$ZZ,$Z74,7)="","",INDEX('_views'!$B:$ZZ,$Z74,7)))</f>
        <v/>
      </c>
      <c r="I74" s="114">
        <f>IF($Z74="","",IF(INDEX('_views'!$B:$ZZ,$Z74,8)="","",INDEX('_views'!$B:$ZZ,$Z74,8)))</f>
        <v/>
      </c>
      <c r="Z74">
        <f>IFERROR(MATCH("P|0|"&amp;$B$13&amp;"|21",'_views'!$A:$A,0),"")</f>
        <v/>
      </c>
    </row>
  </sheetData>
  <mergeCells count="30">
    <mergeCell ref="L16:M16"/>
    <mergeCell ref="C47:T47"/>
    <mergeCell ref="N16:O16"/>
    <mergeCell ref="C8:R8"/>
    <mergeCell ref="B13:D13"/>
    <mergeCell ref="C44:T44"/>
    <mergeCell ref="L28:M28"/>
    <mergeCell ref="C7:R7"/>
    <mergeCell ref="C43:T43"/>
    <mergeCell ref="C16:D16"/>
    <mergeCell ref="F13:H13"/>
    <mergeCell ref="C46:T46"/>
    <mergeCell ref="N13:P13"/>
    <mergeCell ref="E28:F28"/>
    <mergeCell ref="G28:H28"/>
    <mergeCell ref="C6:R6"/>
    <mergeCell ref="C5:R5"/>
    <mergeCell ref="P16:Q16"/>
    <mergeCell ref="N28:O28"/>
    <mergeCell ref="C4:R4"/>
    <mergeCell ref="P28:Q28"/>
    <mergeCell ref="B42:T42"/>
    <mergeCell ref="C10:R10"/>
    <mergeCell ref="E16:F16"/>
    <mergeCell ref="G16:H16"/>
    <mergeCell ref="C9:R9"/>
    <mergeCell ref="J13:L13"/>
    <mergeCell ref="R13:T13"/>
    <mergeCell ref="C28:D28"/>
    <mergeCell ref="C45:T45"/>
  </mergeCells>
  <conditionalFormatting sqref="B18:B25">
    <cfRule type="expression" priority="1" dxfId="6">
      <formula>$B18&lt;&gt;""</formula>
    </cfRule>
  </conditionalFormatting>
  <conditionalFormatting sqref="C18:I25">
    <cfRule type="expression" priority="2" dxfId="18">
      <formula>AND($B18&lt;&gt;"",$W$13="amt")</formula>
    </cfRule>
    <cfRule type="expression" priority="3" dxfId="19">
      <formula>AND($B18&lt;&gt;"",$W$13="size")</formula>
    </cfRule>
    <cfRule type="expression" priority="4" dxfId="6">
      <formula>$B18&lt;&gt;""</formula>
    </cfRule>
  </conditionalFormatting>
  <conditionalFormatting sqref="K18:K25">
    <cfRule type="expression" priority="5" dxfId="6">
      <formula>$K18&lt;&gt;""</formula>
    </cfRule>
  </conditionalFormatting>
  <conditionalFormatting sqref="L18:R25">
    <cfRule type="expression" priority="6" dxfId="20">
      <formula>AND($K18&lt;&gt;"",AND(AND(ISNUMBER(L18),ISNUMBER(L30),ISNUMBER($W$17),L30&lt;$W$17),$W$13="pts"))</formula>
    </cfRule>
    <cfRule type="expression" priority="7" dxfId="21">
      <formula>AND($K18&lt;&gt;"",AND(ISNUMBER(L18),ISNUMBER(L30),ISNUMBER($W$17),L30&lt;$W$17))</formula>
    </cfRule>
    <cfRule type="expression" priority="8" dxfId="22">
      <formula>AND($K18&lt;&gt;"",AND(NOT(AND(ISNUMBER(L18),ISNUMBER(L30),ISNUMBER($W$17),L30&lt;$W$17)),$W$13="size",ISNUMBER(L18),L18&gt;=2.0))</formula>
    </cfRule>
    <cfRule type="expression" priority="9" dxfId="23">
      <formula>AND($K18&lt;&gt;"",AND(NOT(AND(ISNUMBER(L18),ISNUMBER(L30),ISNUMBER($W$17),L30&lt;$W$17)),$W$13="size",ISNUMBER(L18),L18&gt;=1.5))</formula>
    </cfRule>
    <cfRule type="expression" priority="10" dxfId="24">
      <formula>AND($K18&lt;&gt;"",AND(NOT(AND(ISNUMBER(L18),ISNUMBER(L30),ISNUMBER($W$17),L30&lt;$W$17)),$W$13="size",ISNUMBER(L18),L18&gt;=1.25))</formula>
    </cfRule>
    <cfRule type="expression" priority="11" dxfId="25">
      <formula>AND($K18&lt;&gt;"",AND(NOT(AND(ISNUMBER(L18),ISNUMBER(L30),ISNUMBER($W$17),L30&lt;$W$17)),$W$13="size",ISNUMBER(L18),L18&gt;=1.1))</formula>
    </cfRule>
    <cfRule type="expression" priority="12" dxfId="26">
      <formula>AND($K18&lt;&gt;"",AND(NOT(AND(ISNUMBER(L18),ISNUMBER(L30),ISNUMBER($W$17),L30&lt;$W$17)),$W$13&lt;&gt;"size",AND($W$13="pts",AND(ISNUMBER(L18),IFERROR(IF($W$13="pts",-L18/$W$14,IF($W$13="x",LOG(L18,2),IF($W$13="xr",-LOG(L18,2),0))),0)&gt;=1.0))))</formula>
    </cfRule>
    <cfRule type="expression" priority="13" dxfId="27">
      <formula>AND($K18&lt;&gt;"",AND(NOT(AND(ISNUMBER(L18),ISNUMBER(L30),ISNUMBER($W$17),L30&lt;$W$17)),$W$13&lt;&gt;"size",AND(ISNUMBER(L18),IFERROR(IF($W$13="pts",-L18/$W$14,IF($W$13="x",LOG(L18,2),IF($W$13="xr",-LOG(L18,2),0))),0)&gt;=1.0)))</formula>
    </cfRule>
    <cfRule type="expression" priority="14" dxfId="28">
      <formula>AND($K18&lt;&gt;"",AND(NOT(AND(ISNUMBER(L18),ISNUMBER(L30),ISNUMBER($W$17),L30&lt;$W$17)),$W$13&lt;&gt;"size",AND($W$13="pts",AND(ISNUMBER(L18),IFERROR(IF($W$13="pts",-L18/$W$14,IF($W$13="x",LOG(L18,2),IF($W$13="xr",-LOG(L18,2),0))),0)&gt;=0.585))))</formula>
    </cfRule>
    <cfRule type="expression" priority="15" dxfId="29">
      <formula>AND($K18&lt;&gt;"",AND(NOT(AND(ISNUMBER(L18),ISNUMBER(L30),ISNUMBER($W$17),L30&lt;$W$17)),$W$13&lt;&gt;"size",AND(ISNUMBER(L18),IFERROR(IF($W$13="pts",-L18/$W$14,IF($W$13="x",LOG(L18,2),IF($W$13="xr",-LOG(L18,2),0))),0)&gt;=0.585)))</formula>
    </cfRule>
    <cfRule type="expression" priority="16" dxfId="30">
      <formula>AND($K18&lt;&gt;"",AND(NOT(AND(ISNUMBER(L18),ISNUMBER(L30),ISNUMBER($W$17),L30&lt;$W$17)),$W$13&lt;&gt;"size",AND($W$13="pts",AND(ISNUMBER(L18),IFERROR(IF($W$13="pts",-L18/$W$14,IF($W$13="x",LOG(L18,2),IF($W$13="xr",-LOG(L18,2),0))),0)&gt;=0.263))))</formula>
    </cfRule>
    <cfRule type="expression" priority="17" dxfId="31">
      <formula>AND($K18&lt;&gt;"",AND(NOT(AND(ISNUMBER(L18),ISNUMBER(L30),ISNUMBER($W$17),L30&lt;$W$17)),$W$13&lt;&gt;"size",AND(ISNUMBER(L18),IFERROR(IF($W$13="pts",-L18/$W$14,IF($W$13="x",LOG(L18,2),IF($W$13="xr",-LOG(L18,2),0))),0)&gt;=0.263)))</formula>
    </cfRule>
    <cfRule type="expression" priority="18" dxfId="32">
      <formula>AND($K18&lt;&gt;"",AND(NOT(AND(ISNUMBER(L18),ISNUMBER(L30),ISNUMBER($W$17),L30&lt;$W$17)),$W$13&lt;&gt;"size",AND($W$13="pts",AND(ISNUMBER(L18),IFERROR(IF($W$13="pts",-L18/$W$14,IF($W$13="x",LOG(L18,2),IF($W$13="xr",-LOG(L18,2),0))),0)&lt;=-0.585))))</formula>
    </cfRule>
    <cfRule type="expression" priority="19" dxfId="33">
      <formula>AND($K18&lt;&gt;"",AND(NOT(AND(ISNUMBER(L18),ISNUMBER(L30),ISNUMBER($W$17),L30&lt;$W$17)),$W$13&lt;&gt;"size",AND(ISNUMBER(L18),IFERROR(IF($W$13="pts",-L18/$W$14,IF($W$13="x",LOG(L18,2),IF($W$13="xr",-LOG(L18,2),0))),0)&lt;=-0.585)))</formula>
    </cfRule>
    <cfRule type="expression" priority="20" dxfId="34">
      <formula>AND($K18&lt;&gt;"",AND(NOT(AND(ISNUMBER(L18),ISNUMBER(L30),ISNUMBER($W$17),L30&lt;$W$17)),$W$13&lt;&gt;"size",AND($W$13="pts",AND(ISNUMBER(L18),IFERROR(IF($W$13="pts",-L18/$W$14,IF($W$13="x",LOG(L18,2),IF($W$13="xr",-LOG(L18,2),0))),0)&lt;=-0.263))))</formula>
    </cfRule>
    <cfRule type="expression" priority="21" dxfId="35">
      <formula>AND($K18&lt;&gt;"",AND(NOT(AND(ISNUMBER(L18),ISNUMBER(L30),ISNUMBER($W$17),L30&lt;$W$17)),$W$13&lt;&gt;"size",AND(ISNUMBER(L18),IFERROR(IF($W$13="pts",-L18/$W$14,IF($W$13="x",LOG(L18,2),IF($W$13="xr",-LOG(L18,2),0))),0)&lt;=-0.263)))</formula>
    </cfRule>
    <cfRule type="expression" priority="22" dxfId="36">
      <formula>AND($K18&lt;&gt;"",AND(NOT(AND(ISNUMBER(L18),ISNUMBER(L30),ISNUMBER($W$17),L30&lt;$W$17)),$W$13&lt;&gt;"size",AND($W$13="pts",ISNUMBER(L18))))</formula>
    </cfRule>
    <cfRule type="expression" priority="23" dxfId="12">
      <formula>AND($K18&lt;&gt;"",AND(NOT(AND(ISNUMBER(L18),ISNUMBER(L30),ISNUMBER($W$17),L30&lt;$W$17)),$W$13&lt;&gt;"size",ISNUMBER(L18)))</formula>
    </cfRule>
    <cfRule type="expression" priority="24" dxfId="6">
      <formula>$K18&lt;&gt;""</formula>
    </cfRule>
  </conditionalFormatting>
  <conditionalFormatting sqref="B30:B37">
    <cfRule type="expression" priority="25" dxfId="6">
      <formula>$B30&lt;&gt;""</formula>
    </cfRule>
  </conditionalFormatting>
  <conditionalFormatting sqref="C30:I37">
    <cfRule type="expression" priority="26" dxfId="20">
      <formula>AND($B30&lt;&gt;"",AND(AND(ISNUMBER(C30),ISNUMBER(L30),ISNUMBER($W$17),L30&lt;$W$17),$W$13="pts"))</formula>
    </cfRule>
    <cfRule type="expression" priority="27" dxfId="21">
      <formula>AND($B30&lt;&gt;"",AND(ISNUMBER(C30),ISNUMBER(L30),ISNUMBER($W$17),L30&lt;$W$17))</formula>
    </cfRule>
    <cfRule type="expression" priority="28" dxfId="22">
      <formula>AND($B30&lt;&gt;"",AND(NOT(AND(ISNUMBER(C30),ISNUMBER(L30),ISNUMBER($W$17),L30&lt;$W$17)),$W$13="size",ISNUMBER(C30),C30&gt;=2.0))</formula>
    </cfRule>
    <cfRule type="expression" priority="29" dxfId="23">
      <formula>AND($B30&lt;&gt;"",AND(NOT(AND(ISNUMBER(C30),ISNUMBER(L30),ISNUMBER($W$17),L30&lt;$W$17)),$W$13="size",ISNUMBER(C30),C30&gt;=1.5))</formula>
    </cfRule>
    <cfRule type="expression" priority="30" dxfId="24">
      <formula>AND($B30&lt;&gt;"",AND(NOT(AND(ISNUMBER(C30),ISNUMBER(L30),ISNUMBER($W$17),L30&lt;$W$17)),$W$13="size",ISNUMBER(C30),C30&gt;=1.25))</formula>
    </cfRule>
    <cfRule type="expression" priority="31" dxfId="25">
      <formula>AND($B30&lt;&gt;"",AND(NOT(AND(ISNUMBER(C30),ISNUMBER(L30),ISNUMBER($W$17),L30&lt;$W$17)),$W$13="size",ISNUMBER(C30),C30&gt;=1.1))</formula>
    </cfRule>
    <cfRule type="expression" priority="32" dxfId="26">
      <formula>AND($B30&lt;&gt;"",AND(NOT(AND(ISNUMBER(C30),ISNUMBER(L30),ISNUMBER($W$17),L30&lt;$W$17)),$W$13&lt;&gt;"size",AND($W$13="pts",AND(ISNUMBER(C30),IFERROR(IF($W$13="pts",-C30/$W$14,IF($W$13="x",LOG(C30,2),IF($W$13="xr",-LOG(C30,2),0))),0)&gt;=1.0))))</formula>
    </cfRule>
    <cfRule type="expression" priority="33" dxfId="27">
      <formula>AND($B30&lt;&gt;"",AND(NOT(AND(ISNUMBER(C30),ISNUMBER(L30),ISNUMBER($W$17),L30&lt;$W$17)),$W$13&lt;&gt;"size",AND(ISNUMBER(C30),IFERROR(IF($W$13="pts",-C30/$W$14,IF($W$13="x",LOG(C30,2),IF($W$13="xr",-LOG(C30,2),0))),0)&gt;=1.0)))</formula>
    </cfRule>
    <cfRule type="expression" priority="34" dxfId="28">
      <formula>AND($B30&lt;&gt;"",AND(NOT(AND(ISNUMBER(C30),ISNUMBER(L30),ISNUMBER($W$17),L30&lt;$W$17)),$W$13&lt;&gt;"size",AND($W$13="pts",AND(ISNUMBER(C30),IFERROR(IF($W$13="pts",-C30/$W$14,IF($W$13="x",LOG(C30,2),IF($W$13="xr",-LOG(C30,2),0))),0)&gt;=0.585))))</formula>
    </cfRule>
    <cfRule type="expression" priority="35" dxfId="29">
      <formula>AND($B30&lt;&gt;"",AND(NOT(AND(ISNUMBER(C30),ISNUMBER(L30),ISNUMBER($W$17),L30&lt;$W$17)),$W$13&lt;&gt;"size",AND(ISNUMBER(C30),IFERROR(IF($W$13="pts",-C30/$W$14,IF($W$13="x",LOG(C30,2),IF($W$13="xr",-LOG(C30,2),0))),0)&gt;=0.585)))</formula>
    </cfRule>
    <cfRule type="expression" priority="36" dxfId="30">
      <formula>AND($B30&lt;&gt;"",AND(NOT(AND(ISNUMBER(C30),ISNUMBER(L30),ISNUMBER($W$17),L30&lt;$W$17)),$W$13&lt;&gt;"size",AND($W$13="pts",AND(ISNUMBER(C30),IFERROR(IF($W$13="pts",-C30/$W$14,IF($W$13="x",LOG(C30,2),IF($W$13="xr",-LOG(C30,2),0))),0)&gt;=0.263))))</formula>
    </cfRule>
    <cfRule type="expression" priority="37" dxfId="31">
      <formula>AND($B30&lt;&gt;"",AND(NOT(AND(ISNUMBER(C30),ISNUMBER(L30),ISNUMBER($W$17),L30&lt;$W$17)),$W$13&lt;&gt;"size",AND(ISNUMBER(C30),IFERROR(IF($W$13="pts",-C30/$W$14,IF($W$13="x",LOG(C30,2),IF($W$13="xr",-LOG(C30,2),0))),0)&gt;=0.263)))</formula>
    </cfRule>
    <cfRule type="expression" priority="38" dxfId="32">
      <formula>AND($B30&lt;&gt;"",AND(NOT(AND(ISNUMBER(C30),ISNUMBER(L30),ISNUMBER($W$17),L30&lt;$W$17)),$W$13&lt;&gt;"size",AND($W$13="pts",AND(ISNUMBER(C30),IFERROR(IF($W$13="pts",-C30/$W$14,IF($W$13="x",LOG(C30,2),IF($W$13="xr",-LOG(C30,2),0))),0)&lt;=-0.585))))</formula>
    </cfRule>
    <cfRule type="expression" priority="39" dxfId="33">
      <formula>AND($B30&lt;&gt;"",AND(NOT(AND(ISNUMBER(C30),ISNUMBER(L30),ISNUMBER($W$17),L30&lt;$W$17)),$W$13&lt;&gt;"size",AND(ISNUMBER(C30),IFERROR(IF($W$13="pts",-C30/$W$14,IF($W$13="x",LOG(C30,2),IF($W$13="xr",-LOG(C30,2),0))),0)&lt;=-0.585)))</formula>
    </cfRule>
    <cfRule type="expression" priority="40" dxfId="34">
      <formula>AND($B30&lt;&gt;"",AND(NOT(AND(ISNUMBER(C30),ISNUMBER(L30),ISNUMBER($W$17),L30&lt;$W$17)),$W$13&lt;&gt;"size",AND($W$13="pts",AND(ISNUMBER(C30),IFERROR(IF($W$13="pts",-C30/$W$14,IF($W$13="x",LOG(C30,2),IF($W$13="xr",-LOG(C30,2),0))),0)&lt;=-0.263))))</formula>
    </cfRule>
    <cfRule type="expression" priority="41" dxfId="35">
      <formula>AND($B30&lt;&gt;"",AND(NOT(AND(ISNUMBER(C30),ISNUMBER(L30),ISNUMBER($W$17),L30&lt;$W$17)),$W$13&lt;&gt;"size",AND(ISNUMBER(C30),IFERROR(IF($W$13="pts",-C30/$W$14,IF($W$13="x",LOG(C30,2),IF($W$13="xr",-LOG(C30,2),0))),0)&lt;=-0.263)))</formula>
    </cfRule>
    <cfRule type="expression" priority="42" dxfId="36">
      <formula>AND($B30&lt;&gt;"",AND(NOT(AND(ISNUMBER(C30),ISNUMBER(L30),ISNUMBER($W$17),L30&lt;$W$17)),$W$13&lt;&gt;"size",AND($W$13="pts",ISNUMBER(C30))))</formula>
    </cfRule>
    <cfRule type="expression" priority="43" dxfId="12">
      <formula>AND($B30&lt;&gt;"",AND(NOT(AND(ISNUMBER(C30),ISNUMBER(L30),ISNUMBER($W$17),L30&lt;$W$17)),$W$13&lt;&gt;"size",ISNUMBER(C30)))</formula>
    </cfRule>
    <cfRule type="expression" priority="44" dxfId="6">
      <formula>$B30&lt;&gt;""</formula>
    </cfRule>
  </conditionalFormatting>
  <conditionalFormatting sqref="K30:K37">
    <cfRule type="expression" priority="45" dxfId="6">
      <formula>$K30&lt;&gt;""</formula>
    </cfRule>
  </conditionalFormatting>
  <conditionalFormatting sqref="L30:R37">
    <cfRule type="expression" priority="46" dxfId="22">
      <formula>AND($K30&lt;&gt;"",AND(ISNUMBER(L30),NOT(OR($K30="All",L$29="All")),L30/IF($V$18="","",IF(INDEX('_views'!$B:$ZZ,$V$18,1)="","",INDEX('_views'!$B:$ZZ,$V$18,1)))&gt;=0.2))</formula>
    </cfRule>
    <cfRule type="expression" priority="47" dxfId="23">
      <formula>AND($K30&lt;&gt;"",AND(ISNUMBER(L30),NOT(OR($K30="All",L$29="All")),L30/IF($V$18="","",IF(INDEX('_views'!$B:$ZZ,$V$18,1)="","",INDEX('_views'!$B:$ZZ,$V$18,1)))&gt;=0.1))</formula>
    </cfRule>
    <cfRule type="expression" priority="48" dxfId="24">
      <formula>AND($K30&lt;&gt;"",AND(ISNUMBER(L30),NOT(OR($K30="All",L$29="All")),L30/IF($V$18="","",IF(INDEX('_views'!$B:$ZZ,$V$18,1)="","",INDEX('_views'!$B:$ZZ,$V$18,1)))&gt;=0.05))</formula>
    </cfRule>
    <cfRule type="expression" priority="49" dxfId="25">
      <formula>AND($K30&lt;&gt;"",AND(ISNUMBER(L30),NOT(OR($K30="All",L$29="All")),L30/IF($V$18="","",IF(INDEX('_views'!$B:$ZZ,$V$18,1)="","",INDEX('_views'!$B:$ZZ,$V$18,1)))&gt;=0.02))</formula>
    </cfRule>
    <cfRule type="expression" priority="50" dxfId="6">
      <formula>$K30&lt;&gt;""</formula>
    </cfRule>
  </conditionalFormatting>
  <conditionalFormatting sqref="B54:I74">
    <cfRule type="expression" priority="51" dxfId="37">
      <formula>AND($B54&lt;&gt;"",$B54="Share of the grid")</formula>
    </cfRule>
    <cfRule type="expression" priority="52" dxfId="38">
      <formula>AND($B54&lt;&gt;"",$B54="Every pocket")</formula>
    </cfRule>
    <cfRule type="expression" priority="53" dxfId="6">
      <formula>$B54&lt;&gt;""</formula>
    </cfRule>
  </conditionalFormatting>
  <dataValidations count="5">
    <dataValidation sqref="B13" showDropDown="0" showInputMessage="0" showErrorMessage="1" allowBlank="0" errorTitle="Grid" error="Pick one from the list." type="list">
      <formula1>='_choices'!$H$2:$H$5</formula1>
    </dataValidation>
    <dataValidation sqref="F13" showDropDown="0" showInputMessage="0" showErrorMessage="1" allowBlank="0" errorTitle="Measure" error="Pick one from the list." type="list">
      <formula1>='_choices'!$I$2:$I$7</formula1>
    </dataValidation>
    <dataValidation sqref="J13" showDropDown="0" showInputMessage="0" showErrorMessage="1" allowBlank="0" errorTitle="Only loans where" error="Pick one from the list." type="list">
      <formula1>='_choices'!$M$2:$M$2</formula1>
    </dataValidation>
    <dataValidation sqref="N13" showDropDown="0" showInputMessage="0" showErrorMessage="1" allowBlank="0" errorTitle="Row" error="Pick one from the list." type="list">
      <formula1>=OFFSET($AC$13,0,0,MAX(1,$AE$13),1)</formula1>
    </dataValidation>
    <dataValidation sqref="R13" showDropDown="0" showInputMessage="0" showErrorMessage="1" allowBlank="0" errorTitle="Column" error="Pick one from the list." type="list">
      <formula1>=OFFSET($AD$13,0,0,MAX(1,$AE$14),1)</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0A0908"/>
    <outlinePr summaryBelow="0" summaryRight="1"/>
    <pageSetUpPr fitToPage="1"/>
  </sheetPr>
  <dimension ref="B1:Q36"/>
  <sheetViews>
    <sheetView showGridLines="0" tabSelected="0" workbookViewId="0">
      <pane ySplit="15" topLeftCell="A16" activePane="bottomLeft" state="frozen"/>
      <selection pane="bottomLeft" activeCell="A1" sqref="A1"/>
    </sheetView>
  </sheetViews>
  <sheetFormatPr baseColWidth="8" defaultRowHeight="15"/>
  <cols>
    <col width="2" customWidth="1" min="1" max="1"/>
    <col width="23" customWidth="1" min="2" max="2"/>
    <col width="13" customWidth="1" min="3" max="3"/>
    <col width="13" customWidth="1" min="4" max="4"/>
    <col width="13" customWidth="1" min="5" max="5"/>
    <col width="20" customWidth="1" min="6" max="6"/>
    <col width="23" customWidth="1" min="7" max="7"/>
    <col width="13" customWidth="1" min="8" max="8"/>
    <col width="22" customWidth="1" min="9" max="9"/>
    <col width="13" customWidth="1" min="10" max="10"/>
    <col hidden="1" width="13" customWidth="1" min="12" max="12"/>
    <col hidden="1" width="13" customWidth="1" min="13" max="13"/>
    <col hidden="1" width="13" customWidth="1" min="14" max="14"/>
    <col hidden="1" width="13" customWidth="1" min="15" max="15"/>
    <col hidden="1" width="13" customWidth="1" min="16" max="16"/>
    <col hidden="1" width="13" customWidth="1" min="17" max="17"/>
  </cols>
  <sheetData>
    <row r="1" ht="30" customHeight="1">
      <c r="B1" s="1" t="inlineStr">
        <is>
          <t>Split</t>
        </is>
      </c>
      <c r="C1" s="2" t="inlineStr">
        <is>
          <t>Every pocket split in two at its own median REV_DEBT: does the high half do worse?</t>
        </is>
      </c>
      <c r="D1" s="3" t="n"/>
      <c r="E1" s="3" t="n"/>
      <c r="F1" s="3" t="n"/>
      <c r="G1" s="3" t="n"/>
      <c r="H1" s="3" t="n"/>
      <c r="I1" s="3" t="n"/>
      <c r="J1" s="3" t="n"/>
    </row>
    <row r="3" outlineLevel="1">
      <c r="B3" s="4" t="inlineStr">
        <is>
          <t>How this tab works</t>
        </is>
      </c>
      <c r="C3" s="5" t="n"/>
      <c r="D3" s="5" t="n"/>
      <c r="E3" s="5" t="n"/>
      <c r="F3" s="5" t="n"/>
      <c r="G3" s="5" t="n"/>
      <c r="H3" s="5" t="n"/>
      <c r="I3" s="5" t="n"/>
      <c r="J3" s="5" t="n"/>
    </row>
    <row r="4" outlineLevel="1" ht="31" customHeight="1">
      <c r="B4" s="6" t="inlineStr">
        <is>
          <t>What it does</t>
        </is>
      </c>
      <c r="C4" s="7" t="inlineStr">
        <is>
          <t>Inside each pocket the loans are sorted by REV_DEBT and cut at that pocket's own median. The high half is compared with the low half, so the band and segment are the same on both sides. REV_DEBT isn't cut into bands of its own while it splits.</t>
        </is>
      </c>
    </row>
    <row r="5" outlineLevel="1" ht="31" customHeight="1">
      <c r="B5" s="6" t="inlineStr">
        <is>
          <t>High vs low</t>
        </is>
      </c>
      <c r="C5" s="7" t="inlineStr">
        <is>
          <t>The high half's rate over the low half's: 2.00× means the high half goes bad, or loses, twice as often. Kept after losses and Earned before losses are a gap in points instead: +0.30 pts means the high half keeps 0.30 points more per booked dollar.</t>
        </is>
      </c>
    </row>
    <row r="6" outlineLevel="1" ht="45" customHeight="1">
      <c r="B6" s="6" t="inlineStr">
        <is>
          <t>High vs low, all</t>
        </is>
      </c>
      <c r="C6" s="7">
        <f>"The high halves' actual total against what it would be at their low halves' rates, added over every pocket, with its range at "&amp;TEXT(confidence,"0%")&amp;" sure. For Bad loans only, the odds are pooled too (Mantel-Haenszel: a standard way to combine pockets without mixing their loans), with their p-value (Cochran-Mantel-Haenszel), and Cochran's Q asks whether the gap is the same size in every pocket."</f>
        <v/>
      </c>
    </row>
    <row r="7" outlineLevel="1" ht="87" customHeight="1">
      <c r="B7" s="6" t="inlineStr">
        <is>
          <t>p-value</t>
        </is>
      </c>
      <c r="C7" s="7">
        <f>"The chance of a gap at least this big if the two halves were no different. Under "&amp;TEXT(significance_bar,"0%")&amp;" counts, and is bold. Bad loans: the gap in standard errors; a dollar measure: the loans dealt into the two halves at random inside their pocket, 10,000 times. The pockets are after the allowance for many tests (Benjamini-Hochberg, across one grid an"&amp;"d one measure); a gap that is not significant is in brackets, unshaded. The summary is one pooled test per grid and measure, with no allowance. A blank: a half has fewer loans or losses than the minimums (65 loans, 10 losses)."&amp;" Borderline: the test's p-value is within the shuffle's own margin of the "&amp;TEXT(significance_bar,"0%")&amp;" bar, so another run could read it the other way."</f>
        <v/>
      </c>
    </row>
    <row r="8" outlineLevel="1" ht="31" customHeight="1">
      <c r="B8" s="6" t="inlineStr">
        <is>
          <t>What it holds</t>
        </is>
      </c>
      <c r="C8" s="7" t="inlineStr">
        <is>
          <t>A grid holds fixed only its band and segment. REV_DEBT moves with FICO (correlation -0.53), so in a grid that doesn't hold FICO fixed part of every gap may be FICO, not REV_DEBT: the chip says which. Grids that hold it fixed come first in the list. Loans are treated as independent of each other.</t>
        </is>
      </c>
    </row>
    <row r="9" outlineLevel="1" ht="17" customHeight="1">
      <c r="B9" s="6" t="inlineStr">
        <is>
          <t>As of</t>
        </is>
      </c>
      <c r="C9" s="7" t="inlineStr">
        <is>
          <t>The numbers are the last Run's. The range, the brackets and the bold follow the confidence on Control.</t>
        </is>
      </c>
    </row>
    <row r="11" ht="15" customHeight="1">
      <c r="B11" s="104" t="inlineStr">
        <is>
          <t>LINES IN USE NOW</t>
        </is>
      </c>
      <c r="C11" s="97" t="inlineStr">
        <is>
          <t>Worse at</t>
        </is>
      </c>
      <c r="D11" s="97" t="inlineStr">
        <is>
          <t>Better at</t>
        </is>
      </c>
      <c r="E11" s="97" t="inlineStr">
        <is>
          <t>How sure</t>
        </is>
      </c>
      <c r="F11" s="97" t="inlineStr">
        <is>
          <t>Material at</t>
        </is>
      </c>
      <c r="G11" s="97" t="inlineStr">
        <is>
          <t>Judged against</t>
        </is>
      </c>
      <c r="H11" s="98" t="n"/>
      <c r="I11" s="105" t="inlineStr">
        <is>
          <t>The numbers are from the last Run, 2026-09-30 04:03.</t>
        </is>
      </c>
    </row>
    <row r="12" ht="22" customHeight="1">
      <c r="B12" s="106" t="inlineStr">
        <is>
          <t>live from Control</t>
        </is>
      </c>
      <c r="C12" s="107">
        <f>worse_at</f>
        <v/>
      </c>
      <c r="D12" s="107">
        <f>better_at</f>
        <v/>
      </c>
      <c r="E12" s="108">
        <f>confidence</f>
        <v/>
      </c>
      <c r="F12" s="11">
        <f>IFERROR(IF(materiality_kind="none","No floor",IF(INDEX(line_values,MATCH("gco_rate",line_keys,0))="","No line",IF(FALSE,TEXT(INDEX(line_values,MATCH("gco_rate",line_keys,0)),"#,##0.0")&amp;" bad loans","$"&amp;TEXT(INDEX(line_values,MATCH("gco_rate",line_keys,0)),"#,##0")))),"")</f>
        <v/>
      </c>
      <c r="G12" s="11">
        <f>IF(judged_band,"Rest of its band","Rest of the book")</f>
        <v/>
      </c>
      <c r="I12" s="109">
        <f>IFERROR(IF(COUNTIF(Status,"↻ Waiting for a Run")=0,"","↻ "&amp;COUNTIF(Status,"↻ Waiting for a Run")&amp;IF(COUNTIF(Status,"↻ Waiting for a Run")=1," Control change waits for a Run."," Control changes wait for a Run.")),"")</f>
        <v/>
      </c>
    </row>
    <row r="14">
      <c r="B14" s="110" t="inlineStr">
        <is>
          <t>GRID</t>
        </is>
      </c>
    </row>
    <row r="15" ht="20" customHeight="1">
      <c r="B15" s="32" t="inlineStr">
        <is>
          <t>FICO x CHANNEL</t>
        </is>
      </c>
      <c r="C15" s="126" t="n"/>
      <c r="D15" s="119" t="n"/>
      <c r="E15" s="136">
        <f>IF($L$15="","",IF(INDEX('_views'!$B:$ZZ,$L$15,1)="","",INDEX('_views'!$B:$ZZ,$L$15,1)))</f>
        <v/>
      </c>
      <c r="G15" s="105">
        <f>IF($L$15="","",IF(INDEX('_views'!$B:$ZZ,$L$15,3)="","",INDEX('_views'!$B:$ZZ,$L$15,3)))</f>
        <v/>
      </c>
      <c r="L15">
        <f>IFERROR(MATCH("S|"&amp;$B$15&amp;"|chip",'_views'!$A:$A,0),"")</f>
        <v/>
      </c>
    </row>
    <row r="17" ht="30" customHeight="1">
      <c r="B17" s="134" t="inlineStr">
        <is>
          <t>Measure</t>
        </is>
      </c>
      <c r="C17" s="135" t="inlineStr">
        <is>
          <t>Pockets</t>
        </is>
      </c>
      <c r="D17" s="135" t="inlineStr">
        <is>
          <t>High half worse in</t>
        </is>
      </c>
      <c r="E17" s="135" t="inlineStr">
        <is>
          <t>High vs low, all</t>
        </is>
      </c>
      <c r="F17" s="135">
        <f>"Range ("&amp;TEXT(confidence,"0%")&amp;" sure)"</f>
        <v/>
      </c>
      <c r="G17" s="135" t="inlineStr">
        <is>
          <t>p-value</t>
        </is>
      </c>
      <c r="H17" s="135" t="inlineStr">
        <is>
          <t>As odds</t>
        </is>
      </c>
      <c r="I17" s="135" t="inlineStr">
        <is>
          <t>p-value, as odds</t>
        </is>
      </c>
    </row>
    <row r="18" ht="16" customHeight="1">
      <c r="B18" s="137">
        <f>IF($L18="","",IF(INDEX('_views'!$B:$ZZ,$L18,1)="","",INDEX('_views'!$B:$ZZ,$L18,1)))</f>
        <v/>
      </c>
      <c r="C18" s="38">
        <f>IF($L18="","",IF(INDEX('_views'!$B:$ZZ,$L18,2)="","",INDEX('_views'!$B:$ZZ,$L18,2)))</f>
        <v/>
      </c>
      <c r="D18" s="38">
        <f>IF($L18="","",IF(INDEX('_views'!$B:$ZZ,$L18,3)="","",INDEX('_views'!$B:$ZZ,$L18,3)))</f>
        <v/>
      </c>
      <c r="E18" s="101">
        <f>IF($L18="","",IF(INDEX('_views'!$B:$ZZ,$L18,4)="","",INDEX('_views'!$B:$ZZ,$L18,4)))</f>
        <v/>
      </c>
      <c r="F18" s="38">
        <f>IF(OR(IF($L18="","",IF(INDEX('_views'!$B:$ZZ,$L18,5)="","",INDEX('_views'!$B:$ZZ,$L18,5)))="",IF($L18="","",IF(INDEX('_views'!$B:$ZZ,$L18,4)="","",INDEX('_views'!$B:$ZZ,$L18,4)))=""),"",IF(IF($L18="","",IF(INDEX('_views'!$B:$ZZ,$L18,6)="","",INDEX('_views'!$B:$ZZ,$L18,6)))="pts",TEXT(IF($L18="","",IF(INDEX('_views'!$B:$ZZ,$L18,4)="","",INDEX('_views'!$B:$ZZ,$L18,4)))-NORMSINV(1-(1-confidence)/2)*IF($L18="","",IF(INDEX('_views'!$B:$ZZ,$L18,5)="","",INDEX('_views'!$B:$ZZ,$L18,5))),"+0.00;-0.00")&amp;" to "&amp;TEXT(IF($L18="","",IF(INDEX('_views'!$B:$ZZ,$L18,4)="","",INDEX('_views'!$B:$ZZ,$L18,4)))+NORMSINV(1-(1-confidence)/2)*IF($L18="","",IF(INDEX('_views'!$B:$ZZ,$L18,5)="","",INDEX('_views'!$B:$ZZ,$L18,5))),"+0.00;-0.00")&amp;" pts",TEXT(MAX(IF($L18="","",IF(INDEX('_views'!$B:$ZZ,$L18,4)="","",INDEX('_views'!$B:$ZZ,$L18,4)))-NORMSINV(1-(1-confidence)/2)*IF($L18="","",IF(INDEX('_views'!$B:$ZZ,$L18,5)="","",INDEX('_views'!$B:$ZZ,$L18,5))),0),"0.00")&amp;"× to "&amp;TEXT(IF($L18="","",IF(INDEX('_views'!$B:$ZZ,$L18,4)="","",INDEX('_views'!$B:$ZZ,$L18,4)))+NORMSINV(1-(1-confidence)/2)*IF($L18="","",IF(INDEX('_views'!$B:$ZZ,$L18,5)="","",INDEX('_views'!$B:$ZZ,$L18,5))),"0.00")&amp;"×"))</f>
        <v/>
      </c>
      <c r="G18" s="138">
        <f>IF(AND(ISNUMBER(IF($L18="","",IF(INDEX('_views'!$B:$ZZ,$L18,7)="","",INDEX('_views'!$B:$ZZ,$L18,7)))),ISNUMBER(IF($L18="","",IF(INDEX('_views'!$B:$ZZ,$L18,15)="","",INDEX('_views'!$B:$ZZ,$L18,15))))),IF(ABS(IF($L18="","",IF(INDEX('_views'!$B:$ZZ,$L18,7)="","",INDEX('_views'!$B:$ZZ,$L18,7)))-significance_bar)&lt;=2.0*IF($L18="","",IF(INDEX('_views'!$B:$ZZ,$L18,15)="","",INDEX('_views'!$B:$ZZ,$L18,15))),"borderline (p "&amp;IF(ROUND(IF($L18="","",IF(INDEX('_views'!$B:$ZZ,$L18,7)="","",INDEX('_views'!$B:$ZZ,$L18,7))),3)=ROUND(significance_bar,3),TEXT(IF($L18="","",IF(INDEX('_views'!$B:$ZZ,$L18,7)="","",INDEX('_views'!$B:$ZZ,$L18,7))),"0.0000"),TEXT(IF($L18="","",IF(INDEX('_views'!$B:$ZZ,$L18,7)="","",INDEX('_views'!$B:$ZZ,$L18,7))),"0.000"))&amp;")",IF($L18="","",IF(INDEX('_views'!$B:$ZZ,$L18,7)="","",INDEX('_views'!$B:$ZZ,$L18,7)))),IF(IF($L18="","",IF(INDEX('_views'!$B:$ZZ,$L18,7)="","",INDEX('_views'!$B:$ZZ,$L18,7)))="","",IF($L18="","",IF(INDEX('_views'!$B:$ZZ,$L18,7)="","",INDEX('_views'!$B:$ZZ,$L18,7)))))</f>
        <v/>
      </c>
      <c r="H18" s="101">
        <f>IF($L18="","",IF(INDEX('_views'!$B:$ZZ,$L18,8)="","",INDEX('_views'!$B:$ZZ,$L18,8)))</f>
        <v/>
      </c>
      <c r="I18" s="138">
        <f>IF($L18="","",IF(INDEX('_views'!$B:$ZZ,$L18,9)="","",INDEX('_views'!$B:$ZZ,$L18,9)))</f>
        <v/>
      </c>
      <c r="L18">
        <f>IFERROR(MATCH("S|"&amp;$B$15&amp;"|sum|1",'_views'!$A:$A,0),"")</f>
        <v/>
      </c>
    </row>
    <row r="19" ht="16" customHeight="1">
      <c r="B19" s="137">
        <f>IF($L19="","",IF(INDEX('_views'!$B:$ZZ,$L19,1)="","",INDEX('_views'!$B:$ZZ,$L19,1)))</f>
        <v/>
      </c>
      <c r="C19" s="38">
        <f>IF($L19="","",IF(INDEX('_views'!$B:$ZZ,$L19,2)="","",INDEX('_views'!$B:$ZZ,$L19,2)))</f>
        <v/>
      </c>
      <c r="D19" s="38">
        <f>IF($L19="","",IF(INDEX('_views'!$B:$ZZ,$L19,3)="","",INDEX('_views'!$B:$ZZ,$L19,3)))</f>
        <v/>
      </c>
      <c r="E19" s="101">
        <f>IF($L19="","",IF(INDEX('_views'!$B:$ZZ,$L19,4)="","",INDEX('_views'!$B:$ZZ,$L19,4)))</f>
        <v/>
      </c>
      <c r="F19" s="38">
        <f>IF(OR(IF($L19="","",IF(INDEX('_views'!$B:$ZZ,$L19,5)="","",INDEX('_views'!$B:$ZZ,$L19,5)))="",IF($L19="","",IF(INDEX('_views'!$B:$ZZ,$L19,4)="","",INDEX('_views'!$B:$ZZ,$L19,4)))=""),"",IF(IF($L19="","",IF(INDEX('_views'!$B:$ZZ,$L19,6)="","",INDEX('_views'!$B:$ZZ,$L19,6)))="pts",TEXT(IF($L19="","",IF(INDEX('_views'!$B:$ZZ,$L19,4)="","",INDEX('_views'!$B:$ZZ,$L19,4)))-NORMSINV(1-(1-confidence)/2)*IF($L19="","",IF(INDEX('_views'!$B:$ZZ,$L19,5)="","",INDEX('_views'!$B:$ZZ,$L19,5))),"+0.00;-0.00")&amp;" to "&amp;TEXT(IF($L19="","",IF(INDEX('_views'!$B:$ZZ,$L19,4)="","",INDEX('_views'!$B:$ZZ,$L19,4)))+NORMSINV(1-(1-confidence)/2)*IF($L19="","",IF(INDEX('_views'!$B:$ZZ,$L19,5)="","",INDEX('_views'!$B:$ZZ,$L19,5))),"+0.00;-0.00")&amp;" pts",TEXT(MAX(IF($L19="","",IF(INDEX('_views'!$B:$ZZ,$L19,4)="","",INDEX('_views'!$B:$ZZ,$L19,4)))-NORMSINV(1-(1-confidence)/2)*IF($L19="","",IF(INDEX('_views'!$B:$ZZ,$L19,5)="","",INDEX('_views'!$B:$ZZ,$L19,5))),0),"0.00")&amp;"× to "&amp;TEXT(IF($L19="","",IF(INDEX('_views'!$B:$ZZ,$L19,4)="","",INDEX('_views'!$B:$ZZ,$L19,4)))+NORMSINV(1-(1-confidence)/2)*IF($L19="","",IF(INDEX('_views'!$B:$ZZ,$L19,5)="","",INDEX('_views'!$B:$ZZ,$L19,5))),"0.00")&amp;"×"))</f>
        <v/>
      </c>
      <c r="G19" s="138">
        <f>IF(AND(ISNUMBER(IF($L19="","",IF(INDEX('_views'!$B:$ZZ,$L19,7)="","",INDEX('_views'!$B:$ZZ,$L19,7)))),ISNUMBER(IF($L19="","",IF(INDEX('_views'!$B:$ZZ,$L19,15)="","",INDEX('_views'!$B:$ZZ,$L19,15))))),IF(ABS(IF($L19="","",IF(INDEX('_views'!$B:$ZZ,$L19,7)="","",INDEX('_views'!$B:$ZZ,$L19,7)))-significance_bar)&lt;=2.0*IF($L19="","",IF(INDEX('_views'!$B:$ZZ,$L19,15)="","",INDEX('_views'!$B:$ZZ,$L19,15))),"borderline (p "&amp;IF(ROUND(IF($L19="","",IF(INDEX('_views'!$B:$ZZ,$L19,7)="","",INDEX('_views'!$B:$ZZ,$L19,7))),3)=ROUND(significance_bar,3),TEXT(IF($L19="","",IF(INDEX('_views'!$B:$ZZ,$L19,7)="","",INDEX('_views'!$B:$ZZ,$L19,7))),"0.0000"),TEXT(IF($L19="","",IF(INDEX('_views'!$B:$ZZ,$L19,7)="","",INDEX('_views'!$B:$ZZ,$L19,7))),"0.000"))&amp;")",IF($L19="","",IF(INDEX('_views'!$B:$ZZ,$L19,7)="","",INDEX('_views'!$B:$ZZ,$L19,7)))),IF(IF($L19="","",IF(INDEX('_views'!$B:$ZZ,$L19,7)="","",INDEX('_views'!$B:$ZZ,$L19,7)))="","",IF($L19="","",IF(INDEX('_views'!$B:$ZZ,$L19,7)="","",INDEX('_views'!$B:$ZZ,$L19,7)))))</f>
        <v/>
      </c>
      <c r="H19" s="101">
        <f>IF($L19="","",IF(INDEX('_views'!$B:$ZZ,$L19,8)="","",INDEX('_views'!$B:$ZZ,$L19,8)))</f>
        <v/>
      </c>
      <c r="I19" s="138">
        <f>IF($L19="","",IF(INDEX('_views'!$B:$ZZ,$L19,9)="","",INDEX('_views'!$B:$ZZ,$L19,9)))</f>
        <v/>
      </c>
      <c r="L19">
        <f>IFERROR(MATCH("S|"&amp;$B$15&amp;"|sum|2",'_views'!$A:$A,0),"")</f>
        <v/>
      </c>
    </row>
    <row r="20" ht="16" customHeight="1">
      <c r="B20" s="137">
        <f>IF($L20="","",IF(INDEX('_views'!$B:$ZZ,$L20,1)="","",INDEX('_views'!$B:$ZZ,$L20,1)))</f>
        <v/>
      </c>
      <c r="C20" s="38">
        <f>IF($L20="","",IF(INDEX('_views'!$B:$ZZ,$L20,2)="","",INDEX('_views'!$B:$ZZ,$L20,2)))</f>
        <v/>
      </c>
      <c r="D20" s="38">
        <f>IF($L20="","",IF(INDEX('_views'!$B:$ZZ,$L20,3)="","",INDEX('_views'!$B:$ZZ,$L20,3)))</f>
        <v/>
      </c>
      <c r="E20" s="101">
        <f>IF($L20="","",IF(INDEX('_views'!$B:$ZZ,$L20,4)="","",INDEX('_views'!$B:$ZZ,$L20,4)))</f>
        <v/>
      </c>
      <c r="F20" s="38">
        <f>IF(OR(IF($L20="","",IF(INDEX('_views'!$B:$ZZ,$L20,5)="","",INDEX('_views'!$B:$ZZ,$L20,5)))="",IF($L20="","",IF(INDEX('_views'!$B:$ZZ,$L20,4)="","",INDEX('_views'!$B:$ZZ,$L20,4)))=""),"",IF(IF($L20="","",IF(INDEX('_views'!$B:$ZZ,$L20,6)="","",INDEX('_views'!$B:$ZZ,$L20,6)))="pts",TEXT(IF($L20="","",IF(INDEX('_views'!$B:$ZZ,$L20,4)="","",INDEX('_views'!$B:$ZZ,$L20,4)))-NORMSINV(1-(1-confidence)/2)*IF($L20="","",IF(INDEX('_views'!$B:$ZZ,$L20,5)="","",INDEX('_views'!$B:$ZZ,$L20,5))),"+0.00;-0.00")&amp;" to "&amp;TEXT(IF($L20="","",IF(INDEX('_views'!$B:$ZZ,$L20,4)="","",INDEX('_views'!$B:$ZZ,$L20,4)))+NORMSINV(1-(1-confidence)/2)*IF($L20="","",IF(INDEX('_views'!$B:$ZZ,$L20,5)="","",INDEX('_views'!$B:$ZZ,$L20,5))),"+0.00;-0.00")&amp;" pts",TEXT(MAX(IF($L20="","",IF(INDEX('_views'!$B:$ZZ,$L20,4)="","",INDEX('_views'!$B:$ZZ,$L20,4)))-NORMSINV(1-(1-confidence)/2)*IF($L20="","",IF(INDEX('_views'!$B:$ZZ,$L20,5)="","",INDEX('_views'!$B:$ZZ,$L20,5))),0),"0.00")&amp;"× to "&amp;TEXT(IF($L20="","",IF(INDEX('_views'!$B:$ZZ,$L20,4)="","",INDEX('_views'!$B:$ZZ,$L20,4)))+NORMSINV(1-(1-confidence)/2)*IF($L20="","",IF(INDEX('_views'!$B:$ZZ,$L20,5)="","",INDEX('_views'!$B:$ZZ,$L20,5))),"0.00")&amp;"×"))</f>
        <v/>
      </c>
      <c r="G20" s="138">
        <f>IF(AND(ISNUMBER(IF($L20="","",IF(INDEX('_views'!$B:$ZZ,$L20,7)="","",INDEX('_views'!$B:$ZZ,$L20,7)))),ISNUMBER(IF($L20="","",IF(INDEX('_views'!$B:$ZZ,$L20,15)="","",INDEX('_views'!$B:$ZZ,$L20,15))))),IF(ABS(IF($L20="","",IF(INDEX('_views'!$B:$ZZ,$L20,7)="","",INDEX('_views'!$B:$ZZ,$L20,7)))-significance_bar)&lt;=2.0*IF($L20="","",IF(INDEX('_views'!$B:$ZZ,$L20,15)="","",INDEX('_views'!$B:$ZZ,$L20,15))),"borderline (p "&amp;IF(ROUND(IF($L20="","",IF(INDEX('_views'!$B:$ZZ,$L20,7)="","",INDEX('_views'!$B:$ZZ,$L20,7))),3)=ROUND(significance_bar,3),TEXT(IF($L20="","",IF(INDEX('_views'!$B:$ZZ,$L20,7)="","",INDEX('_views'!$B:$ZZ,$L20,7))),"0.0000"),TEXT(IF($L20="","",IF(INDEX('_views'!$B:$ZZ,$L20,7)="","",INDEX('_views'!$B:$ZZ,$L20,7))),"0.000"))&amp;")",IF($L20="","",IF(INDEX('_views'!$B:$ZZ,$L20,7)="","",INDEX('_views'!$B:$ZZ,$L20,7)))),IF(IF($L20="","",IF(INDEX('_views'!$B:$ZZ,$L20,7)="","",INDEX('_views'!$B:$ZZ,$L20,7)))="","",IF($L20="","",IF(INDEX('_views'!$B:$ZZ,$L20,7)="","",INDEX('_views'!$B:$ZZ,$L20,7)))))</f>
        <v/>
      </c>
      <c r="H20" s="101">
        <f>IF($L20="","",IF(INDEX('_views'!$B:$ZZ,$L20,8)="","",INDEX('_views'!$B:$ZZ,$L20,8)))</f>
        <v/>
      </c>
      <c r="I20" s="138">
        <f>IF($L20="","",IF(INDEX('_views'!$B:$ZZ,$L20,9)="","",INDEX('_views'!$B:$ZZ,$L20,9)))</f>
        <v/>
      </c>
      <c r="L20">
        <f>IFERROR(MATCH("S|"&amp;$B$15&amp;"|sum|3",'_views'!$A:$A,0),"")</f>
        <v/>
      </c>
    </row>
    <row r="21" ht="16" customHeight="1">
      <c r="B21" s="137">
        <f>IF($L21="","",IF(INDEX('_views'!$B:$ZZ,$L21,1)="","",INDEX('_views'!$B:$ZZ,$L21,1)))</f>
        <v/>
      </c>
      <c r="C21" s="38">
        <f>IF($L21="","",IF(INDEX('_views'!$B:$ZZ,$L21,2)="","",INDEX('_views'!$B:$ZZ,$L21,2)))</f>
        <v/>
      </c>
      <c r="D21" s="38">
        <f>IF($L21="","",IF(INDEX('_views'!$B:$ZZ,$L21,3)="","",INDEX('_views'!$B:$ZZ,$L21,3)))</f>
        <v/>
      </c>
      <c r="E21" s="101">
        <f>IF($L21="","",IF(INDEX('_views'!$B:$ZZ,$L21,4)="","",INDEX('_views'!$B:$ZZ,$L21,4)))</f>
        <v/>
      </c>
      <c r="F21" s="38">
        <f>IF(OR(IF($L21="","",IF(INDEX('_views'!$B:$ZZ,$L21,5)="","",INDEX('_views'!$B:$ZZ,$L21,5)))="",IF($L21="","",IF(INDEX('_views'!$B:$ZZ,$L21,4)="","",INDEX('_views'!$B:$ZZ,$L21,4)))=""),"",IF(IF($L21="","",IF(INDEX('_views'!$B:$ZZ,$L21,6)="","",INDEX('_views'!$B:$ZZ,$L21,6)))="pts",TEXT(IF($L21="","",IF(INDEX('_views'!$B:$ZZ,$L21,4)="","",INDEX('_views'!$B:$ZZ,$L21,4)))-NORMSINV(1-(1-confidence)/2)*IF($L21="","",IF(INDEX('_views'!$B:$ZZ,$L21,5)="","",INDEX('_views'!$B:$ZZ,$L21,5))),"+0.00;-0.00")&amp;" to "&amp;TEXT(IF($L21="","",IF(INDEX('_views'!$B:$ZZ,$L21,4)="","",INDEX('_views'!$B:$ZZ,$L21,4)))+NORMSINV(1-(1-confidence)/2)*IF($L21="","",IF(INDEX('_views'!$B:$ZZ,$L21,5)="","",INDEX('_views'!$B:$ZZ,$L21,5))),"+0.00;-0.00")&amp;" pts",TEXT(MAX(IF($L21="","",IF(INDEX('_views'!$B:$ZZ,$L21,4)="","",INDEX('_views'!$B:$ZZ,$L21,4)))-NORMSINV(1-(1-confidence)/2)*IF($L21="","",IF(INDEX('_views'!$B:$ZZ,$L21,5)="","",INDEX('_views'!$B:$ZZ,$L21,5))),0),"0.00")&amp;"× to "&amp;TEXT(IF($L21="","",IF(INDEX('_views'!$B:$ZZ,$L21,4)="","",INDEX('_views'!$B:$ZZ,$L21,4)))+NORMSINV(1-(1-confidence)/2)*IF($L21="","",IF(INDEX('_views'!$B:$ZZ,$L21,5)="","",INDEX('_views'!$B:$ZZ,$L21,5))),"0.00")&amp;"×"))</f>
        <v/>
      </c>
      <c r="G21" s="138">
        <f>IF(AND(ISNUMBER(IF($L21="","",IF(INDEX('_views'!$B:$ZZ,$L21,7)="","",INDEX('_views'!$B:$ZZ,$L21,7)))),ISNUMBER(IF($L21="","",IF(INDEX('_views'!$B:$ZZ,$L21,15)="","",INDEX('_views'!$B:$ZZ,$L21,15))))),IF(ABS(IF($L21="","",IF(INDEX('_views'!$B:$ZZ,$L21,7)="","",INDEX('_views'!$B:$ZZ,$L21,7)))-significance_bar)&lt;=2.0*IF($L21="","",IF(INDEX('_views'!$B:$ZZ,$L21,15)="","",INDEX('_views'!$B:$ZZ,$L21,15))),"borderline (p "&amp;IF(ROUND(IF($L21="","",IF(INDEX('_views'!$B:$ZZ,$L21,7)="","",INDEX('_views'!$B:$ZZ,$L21,7))),3)=ROUND(significance_bar,3),TEXT(IF($L21="","",IF(INDEX('_views'!$B:$ZZ,$L21,7)="","",INDEX('_views'!$B:$ZZ,$L21,7))),"0.0000"),TEXT(IF($L21="","",IF(INDEX('_views'!$B:$ZZ,$L21,7)="","",INDEX('_views'!$B:$ZZ,$L21,7))),"0.000"))&amp;")",IF($L21="","",IF(INDEX('_views'!$B:$ZZ,$L21,7)="","",INDEX('_views'!$B:$ZZ,$L21,7)))),IF(IF($L21="","",IF(INDEX('_views'!$B:$ZZ,$L21,7)="","",INDEX('_views'!$B:$ZZ,$L21,7)))="","",IF($L21="","",IF(INDEX('_views'!$B:$ZZ,$L21,7)="","",INDEX('_views'!$B:$ZZ,$L21,7)))))</f>
        <v/>
      </c>
      <c r="H21" s="101">
        <f>IF($L21="","",IF(INDEX('_views'!$B:$ZZ,$L21,8)="","",INDEX('_views'!$B:$ZZ,$L21,8)))</f>
        <v/>
      </c>
      <c r="I21" s="138">
        <f>IF($L21="","",IF(INDEX('_views'!$B:$ZZ,$L21,9)="","",INDEX('_views'!$B:$ZZ,$L21,9)))</f>
        <v/>
      </c>
      <c r="L21">
        <f>IFERROR(MATCH("S|"&amp;$B$15&amp;"|sum|4",'_views'!$A:$A,0),"")</f>
        <v/>
      </c>
    </row>
    <row r="22" ht="16" customHeight="1">
      <c r="B22" s="137">
        <f>IF($L22="","",IF(INDEX('_views'!$B:$ZZ,$L22,1)="","",INDEX('_views'!$B:$ZZ,$L22,1)))</f>
        <v/>
      </c>
      <c r="C22" s="38">
        <f>IF($L22="","",IF(INDEX('_views'!$B:$ZZ,$L22,2)="","",INDEX('_views'!$B:$ZZ,$L22,2)))</f>
        <v/>
      </c>
      <c r="D22" s="38">
        <f>IF($L22="","",IF(INDEX('_views'!$B:$ZZ,$L22,3)="","",INDEX('_views'!$B:$ZZ,$L22,3)))</f>
        <v/>
      </c>
      <c r="E22" s="101">
        <f>IF($L22="","",IF(INDEX('_views'!$B:$ZZ,$L22,4)="","",INDEX('_views'!$B:$ZZ,$L22,4)))</f>
        <v/>
      </c>
      <c r="F22" s="38">
        <f>IF(OR(IF($L22="","",IF(INDEX('_views'!$B:$ZZ,$L22,5)="","",INDEX('_views'!$B:$ZZ,$L22,5)))="",IF($L22="","",IF(INDEX('_views'!$B:$ZZ,$L22,4)="","",INDEX('_views'!$B:$ZZ,$L22,4)))=""),"",IF(IF($L22="","",IF(INDEX('_views'!$B:$ZZ,$L22,6)="","",INDEX('_views'!$B:$ZZ,$L22,6)))="pts",TEXT(IF($L22="","",IF(INDEX('_views'!$B:$ZZ,$L22,4)="","",INDEX('_views'!$B:$ZZ,$L22,4)))-NORMSINV(1-(1-confidence)/2)*IF($L22="","",IF(INDEX('_views'!$B:$ZZ,$L22,5)="","",INDEX('_views'!$B:$ZZ,$L22,5))),"+0.00;-0.00")&amp;" to "&amp;TEXT(IF($L22="","",IF(INDEX('_views'!$B:$ZZ,$L22,4)="","",INDEX('_views'!$B:$ZZ,$L22,4)))+NORMSINV(1-(1-confidence)/2)*IF($L22="","",IF(INDEX('_views'!$B:$ZZ,$L22,5)="","",INDEX('_views'!$B:$ZZ,$L22,5))),"+0.00;-0.00")&amp;" pts",TEXT(MAX(IF($L22="","",IF(INDEX('_views'!$B:$ZZ,$L22,4)="","",INDEX('_views'!$B:$ZZ,$L22,4)))-NORMSINV(1-(1-confidence)/2)*IF($L22="","",IF(INDEX('_views'!$B:$ZZ,$L22,5)="","",INDEX('_views'!$B:$ZZ,$L22,5))),0),"0.00")&amp;"× to "&amp;TEXT(IF($L22="","",IF(INDEX('_views'!$B:$ZZ,$L22,4)="","",INDEX('_views'!$B:$ZZ,$L22,4)))+NORMSINV(1-(1-confidence)/2)*IF($L22="","",IF(INDEX('_views'!$B:$ZZ,$L22,5)="","",INDEX('_views'!$B:$ZZ,$L22,5))),"0.00")&amp;"×"))</f>
        <v/>
      </c>
      <c r="G22" s="138">
        <f>IF(AND(ISNUMBER(IF($L22="","",IF(INDEX('_views'!$B:$ZZ,$L22,7)="","",INDEX('_views'!$B:$ZZ,$L22,7)))),ISNUMBER(IF($L22="","",IF(INDEX('_views'!$B:$ZZ,$L22,15)="","",INDEX('_views'!$B:$ZZ,$L22,15))))),IF(ABS(IF($L22="","",IF(INDEX('_views'!$B:$ZZ,$L22,7)="","",INDEX('_views'!$B:$ZZ,$L22,7)))-significance_bar)&lt;=2.0*IF($L22="","",IF(INDEX('_views'!$B:$ZZ,$L22,15)="","",INDEX('_views'!$B:$ZZ,$L22,15))),"borderline (p "&amp;IF(ROUND(IF($L22="","",IF(INDEX('_views'!$B:$ZZ,$L22,7)="","",INDEX('_views'!$B:$ZZ,$L22,7))),3)=ROUND(significance_bar,3),TEXT(IF($L22="","",IF(INDEX('_views'!$B:$ZZ,$L22,7)="","",INDEX('_views'!$B:$ZZ,$L22,7))),"0.0000"),TEXT(IF($L22="","",IF(INDEX('_views'!$B:$ZZ,$L22,7)="","",INDEX('_views'!$B:$ZZ,$L22,7))),"0.000"))&amp;")",IF($L22="","",IF(INDEX('_views'!$B:$ZZ,$L22,7)="","",INDEX('_views'!$B:$ZZ,$L22,7)))),IF(IF($L22="","",IF(INDEX('_views'!$B:$ZZ,$L22,7)="","",INDEX('_views'!$B:$ZZ,$L22,7)))="","",IF($L22="","",IF(INDEX('_views'!$B:$ZZ,$L22,7)="","",INDEX('_views'!$B:$ZZ,$L22,7)))))</f>
        <v/>
      </c>
      <c r="H22" s="101">
        <f>IF($L22="","",IF(INDEX('_views'!$B:$ZZ,$L22,8)="","",INDEX('_views'!$B:$ZZ,$L22,8)))</f>
        <v/>
      </c>
      <c r="I22" s="138">
        <f>IF($L22="","",IF(INDEX('_views'!$B:$ZZ,$L22,9)="","",INDEX('_views'!$B:$ZZ,$L22,9)))</f>
        <v/>
      </c>
      <c r="L22">
        <f>IFERROR(MATCH("S|"&amp;$B$15&amp;"|sum|5",'_views'!$A:$A,0),"")</f>
        <v/>
      </c>
    </row>
    <row r="23">
      <c r="B23" s="113">
        <f>"Same in every pocket? "&amp;"Bad loans: "&amp;IF(IF($L18="","",IF(INDEX('_views'!$B:$ZZ,$L18,10)="","",INDEX('_views'!$B:$ZZ,$L18,10)))="",IF(IF($L18="","",IF(INDEX('_views'!$B:$ZZ,$L18,11)="","",INDEX('_views'!$B:$ZZ,$L18,11)))="","not tested",IF($L18="","",IF(INDEX('_views'!$B:$ZZ,$L18,11)="","",INDEX('_views'!$B:$ZZ,$L18,11)))),IF(AND(ISNUMBER(IF($L18="","",IF(INDEX('_views'!$B:$ZZ,$L18,10)="","",INDEX('_views'!$B:$ZZ,$L18,10)))),IF($L18="","",IF(INDEX('_views'!$B:$ZZ,$L18,10)="","",INDEX('_views'!$B:$ZZ,$L18,10)))&lt;significance_bar),"bigger in some pockets than others","no sign the gap differs between pockets"))&amp;"; "&amp;"Bad dollars, Charge-offs, Kept after losses, Earned before losses: not tested: dollar rate"&amp;"."</f>
        <v/>
      </c>
    </row>
    <row r="25">
      <c r="B25" s="110" t="inlineStr">
        <is>
          <t>MEASURE</t>
        </is>
      </c>
    </row>
    <row r="26" ht="20" customHeight="1">
      <c r="B26" s="32" t="inlineStr">
        <is>
          <t>Bad loans</t>
        </is>
      </c>
      <c r="M26">
        <f>IFERROR(INDEX('_choices'!$P$2:$P$6,MATCH($B$26,'_choices'!$O$2:$O$6,0)),"")</f>
        <v/>
      </c>
      <c r="N26">
        <f>IF($M$27="","",IF(INDEX('_views'!$B:$ZZ,$M$27,1)="","",INDEX('_views'!$B:$ZZ,$M$27,1)))</f>
        <v/>
      </c>
    </row>
    <row r="27">
      <c r="M27">
        <f>IFERROR(MATCH("S|"&amp;$B$15&amp;"|"&amp;$M$26&amp;"|meta",'_views'!$A:$A,0),"")</f>
        <v/>
      </c>
      <c r="N27">
        <f>IF($M$27="","",IF(INDEX('_views'!$B:$ZZ,$M$27,2)="","",INDEX('_views'!$B:$ZZ,$M$27,2)))</f>
        <v/>
      </c>
    </row>
    <row r="28" ht="20" customHeight="1">
      <c r="B28" s="128">
        <f>$B$26&amp;", high vs low"</f>
        <v/>
      </c>
      <c r="C28" s="26" t="n"/>
      <c r="D28" s="26" t="n"/>
      <c r="E28" s="26" t="n"/>
      <c r="G28" s="128" t="inlineStr">
        <is>
          <t>p-value per pocket</t>
        </is>
      </c>
      <c r="H28" s="26" t="n"/>
      <c r="I28" s="26" t="n"/>
      <c r="J28" s="26" t="n"/>
      <c r="M28">
        <f>IFERROR(MATCH("S|"&amp;$B$15&amp;"|rows",'_views'!$A:$A,0),"")</f>
        <v/>
      </c>
    </row>
    <row r="29" ht="16" customHeight="1">
      <c r="B29" s="5" t="n"/>
      <c r="C29" s="129">
        <f>IF($M$29="","",IF(INDEX('_views'!$B:$ZZ,$M$29,1)="","",INDEX('_views'!$B:$ZZ,$M$29,1)))</f>
        <v/>
      </c>
      <c r="D29" s="129">
        <f>IF($M$29="","",IF(INDEX('_views'!$B:$ZZ,$M$29,2)="","",INDEX('_views'!$B:$ZZ,$M$29,2)))</f>
        <v/>
      </c>
      <c r="E29" s="129">
        <f>IF($M$29="","",IF(INDEX('_views'!$B:$ZZ,$M$29,3)="","",INDEX('_views'!$B:$ZZ,$M$29,3)))</f>
        <v/>
      </c>
      <c r="G29" s="5" t="n"/>
      <c r="H29" s="129">
        <f>IF($M$29="","",IF(INDEX('_views'!$B:$ZZ,$M$29,1)="","",INDEX('_views'!$B:$ZZ,$M$29,1)))</f>
        <v/>
      </c>
      <c r="I29" s="129">
        <f>IF($M$29="","",IF(INDEX('_views'!$B:$ZZ,$M$29,2)="","",INDEX('_views'!$B:$ZZ,$M$29,2)))</f>
        <v/>
      </c>
      <c r="J29" s="129">
        <f>IF($M$29="","",IF(INDEX('_views'!$B:$ZZ,$M$29,3)="","",INDEX('_views'!$B:$ZZ,$M$29,3)))</f>
        <v/>
      </c>
      <c r="M29">
        <f>IFERROR(MATCH("S|"&amp;$B$15&amp;"|cols",'_views'!$A:$A,0),"")</f>
        <v/>
      </c>
    </row>
    <row r="30" ht="16" customHeight="1">
      <c r="B30" s="113">
        <f>IF($M$28="","",IF(INDEX('_views'!$B:$ZZ,$M$28,1)="","",INDEX('_views'!$B:$ZZ,$M$28,1)))</f>
        <v/>
      </c>
      <c r="C30" s="116">
        <f>IF(IF($O30="","",IF(INDEX('_views'!$B:$ZZ,$O30,1)="","",INDEX('_views'!$B:$ZZ,$O30,1)))="","",IF(AND(ISNUMBER(IF($P30="","",IF(INDEX('_views'!$B:$ZZ,$P30,1)="","",INDEX('_views'!$B:$ZZ,$P30,1)))),IF($P30="","",IF(INDEX('_views'!$B:$ZZ,$P30,1)="","",INDEX('_views'!$B:$ZZ,$P30,1)))&lt;significance_bar),IF($O30="","",IF(INDEX('_views'!$B:$ZZ,$O30,1)="","",INDEX('_views'!$B:$ZZ,$O30,1))),IF($N$26="pts","("&amp;TEXT(IF($O30="","",IF(INDEX('_views'!$B:$ZZ,$O30,1)="","",INDEX('_views'!$B:$ZZ,$O30,1))),"+0.00;-0.00")&amp;" pts)","("&amp;TEXT(IF($O30="","",IF(INDEX('_views'!$B:$ZZ,$O30,1)="","",INDEX('_views'!$B:$ZZ,$O30,1))),"0.00")&amp;"×)")))</f>
        <v/>
      </c>
      <c r="D30" s="116">
        <f>IF(IF($O30="","",IF(INDEX('_views'!$B:$ZZ,$O30,2)="","",INDEX('_views'!$B:$ZZ,$O30,2)))="","",IF(AND(ISNUMBER(IF($P30="","",IF(INDEX('_views'!$B:$ZZ,$P30,2)="","",INDEX('_views'!$B:$ZZ,$P30,2)))),IF($P30="","",IF(INDEX('_views'!$B:$ZZ,$P30,2)="","",INDEX('_views'!$B:$ZZ,$P30,2)))&lt;significance_bar),IF($O30="","",IF(INDEX('_views'!$B:$ZZ,$O30,2)="","",INDEX('_views'!$B:$ZZ,$O30,2))),IF($N$26="pts","("&amp;TEXT(IF($O30="","",IF(INDEX('_views'!$B:$ZZ,$O30,2)="","",INDEX('_views'!$B:$ZZ,$O30,2))),"+0.00;-0.00")&amp;" pts)","("&amp;TEXT(IF($O30="","",IF(INDEX('_views'!$B:$ZZ,$O30,2)="","",INDEX('_views'!$B:$ZZ,$O30,2))),"0.00")&amp;"×)")))</f>
        <v/>
      </c>
      <c r="E30" s="116">
        <f>IF(IF($O30="","",IF(INDEX('_views'!$B:$ZZ,$O30,3)="","",INDEX('_views'!$B:$ZZ,$O30,3)))="","",IF(AND(ISNUMBER(IF($P30="","",IF(INDEX('_views'!$B:$ZZ,$P30,3)="","",INDEX('_views'!$B:$ZZ,$P30,3)))),IF($P30="","",IF(INDEX('_views'!$B:$ZZ,$P30,3)="","",INDEX('_views'!$B:$ZZ,$P30,3)))&lt;significance_bar),IF($O30="","",IF(INDEX('_views'!$B:$ZZ,$O30,3)="","",INDEX('_views'!$B:$ZZ,$O30,3))),IF($N$26="pts","("&amp;TEXT(IF($O30="","",IF(INDEX('_views'!$B:$ZZ,$O30,3)="","",INDEX('_views'!$B:$ZZ,$O30,3))),"+0.00;-0.00")&amp;" pts)","("&amp;TEXT(IF($O30="","",IF(INDEX('_views'!$B:$ZZ,$O30,3)="","",INDEX('_views'!$B:$ZZ,$O30,3))),"0.00")&amp;"×)")))</f>
        <v/>
      </c>
      <c r="G30" s="113">
        <f>IF($M$28="","",IF(INDEX('_views'!$B:$ZZ,$M$28,1)="","",INDEX('_views'!$B:$ZZ,$M$28,1)))</f>
        <v/>
      </c>
      <c r="H30" s="118">
        <f>IF(AND(ISNUMBER(IF($P30="","",IF(INDEX('_views'!$B:$ZZ,$P30,1)="","",INDEX('_views'!$B:$ZZ,$P30,1)))),ISNUMBER(IF($Q30="","",IF(INDEX('_views'!$B:$ZZ,$Q30,1)="","",INDEX('_views'!$B:$ZZ,$Q30,1))))),IF(ABS(IF($P30="","",IF(INDEX('_views'!$B:$ZZ,$P30,1)="","",INDEX('_views'!$B:$ZZ,$P30,1)))-significance_bar)&lt;=2.0*IF($Q30="","",IF(INDEX('_views'!$B:$ZZ,$Q30,1)="","",INDEX('_views'!$B:$ZZ,$Q30,1))),"borderline (p "&amp;IF(ROUND(IF($P30="","",IF(INDEX('_views'!$B:$ZZ,$P30,1)="","",INDEX('_views'!$B:$ZZ,$P30,1))),3)=ROUND(significance_bar,3),TEXT(IF($P30="","",IF(INDEX('_views'!$B:$ZZ,$P30,1)="","",INDEX('_views'!$B:$ZZ,$P30,1))),"0.0000"),TEXT(IF($P30="","",IF(INDEX('_views'!$B:$ZZ,$P30,1)="","",INDEX('_views'!$B:$ZZ,$P30,1))),"0.000"))&amp;")",IF($P30="","",IF(INDEX('_views'!$B:$ZZ,$P30,1)="","",INDEX('_views'!$B:$ZZ,$P30,1)))),IF(IF($P30="","",IF(INDEX('_views'!$B:$ZZ,$P30,1)="","",INDEX('_views'!$B:$ZZ,$P30,1)))="","",IF($P30="","",IF(INDEX('_views'!$B:$ZZ,$P30,1)="","",INDEX('_views'!$B:$ZZ,$P30,1)))))</f>
        <v/>
      </c>
      <c r="I30" s="118">
        <f>IF(AND(ISNUMBER(IF($P30="","",IF(INDEX('_views'!$B:$ZZ,$P30,2)="","",INDEX('_views'!$B:$ZZ,$P30,2)))),ISNUMBER(IF($Q30="","",IF(INDEX('_views'!$B:$ZZ,$Q30,2)="","",INDEX('_views'!$B:$ZZ,$Q30,2))))),IF(ABS(IF($P30="","",IF(INDEX('_views'!$B:$ZZ,$P30,2)="","",INDEX('_views'!$B:$ZZ,$P30,2)))-significance_bar)&lt;=2.0*IF($Q30="","",IF(INDEX('_views'!$B:$ZZ,$Q30,2)="","",INDEX('_views'!$B:$ZZ,$Q30,2))),"borderline (p "&amp;IF(ROUND(IF($P30="","",IF(INDEX('_views'!$B:$ZZ,$P30,2)="","",INDEX('_views'!$B:$ZZ,$P30,2))),3)=ROUND(significance_bar,3),TEXT(IF($P30="","",IF(INDEX('_views'!$B:$ZZ,$P30,2)="","",INDEX('_views'!$B:$ZZ,$P30,2))),"0.0000"),TEXT(IF($P30="","",IF(INDEX('_views'!$B:$ZZ,$P30,2)="","",INDEX('_views'!$B:$ZZ,$P30,2))),"0.000"))&amp;")",IF($P30="","",IF(INDEX('_views'!$B:$ZZ,$P30,2)="","",INDEX('_views'!$B:$ZZ,$P30,2)))),IF(IF($P30="","",IF(INDEX('_views'!$B:$ZZ,$P30,2)="","",INDEX('_views'!$B:$ZZ,$P30,2)))="","",IF($P30="","",IF(INDEX('_views'!$B:$ZZ,$P30,2)="","",INDEX('_views'!$B:$ZZ,$P30,2)))))</f>
        <v/>
      </c>
      <c r="J30" s="118">
        <f>IF(AND(ISNUMBER(IF($P30="","",IF(INDEX('_views'!$B:$ZZ,$P30,3)="","",INDEX('_views'!$B:$ZZ,$P30,3)))),ISNUMBER(IF($Q30="","",IF(INDEX('_views'!$B:$ZZ,$Q30,3)="","",INDEX('_views'!$B:$ZZ,$Q30,3))))),IF(ABS(IF($P30="","",IF(INDEX('_views'!$B:$ZZ,$P30,3)="","",INDEX('_views'!$B:$ZZ,$P30,3)))-significance_bar)&lt;=2.0*IF($Q30="","",IF(INDEX('_views'!$B:$ZZ,$Q30,3)="","",INDEX('_views'!$B:$ZZ,$Q30,3))),"borderline (p "&amp;IF(ROUND(IF($P30="","",IF(INDEX('_views'!$B:$ZZ,$P30,3)="","",INDEX('_views'!$B:$ZZ,$P30,3))),3)=ROUND(significance_bar,3),TEXT(IF($P30="","",IF(INDEX('_views'!$B:$ZZ,$P30,3)="","",INDEX('_views'!$B:$ZZ,$P30,3))),"0.0000"),TEXT(IF($P30="","",IF(INDEX('_views'!$B:$ZZ,$P30,3)="","",INDEX('_views'!$B:$ZZ,$P30,3))),"0.000"))&amp;")",IF($P30="","",IF(INDEX('_views'!$B:$ZZ,$P30,3)="","",INDEX('_views'!$B:$ZZ,$P30,3)))),IF(IF($P30="","",IF(INDEX('_views'!$B:$ZZ,$P30,3)="","",INDEX('_views'!$B:$ZZ,$P30,3)))="","",IF($P30="","",IF(INDEX('_views'!$B:$ZZ,$P30,3)="","",INDEX('_views'!$B:$ZZ,$P30,3)))))</f>
        <v/>
      </c>
      <c r="O30">
        <f>IFERROR(MATCH("S|"&amp;$B$15&amp;"|"&amp;$M$26&amp;"|v|1",'_views'!$A:$A,0),"")</f>
        <v/>
      </c>
      <c r="P30">
        <f>IFERROR(MATCH("S|"&amp;$B$15&amp;"|"&amp;$M$26&amp;"|p|1",'_views'!$A:$A,0),"")</f>
        <v/>
      </c>
      <c r="Q30">
        <f>IFERROR(MATCH("S|"&amp;$B$15&amp;"|"&amp;$M$26&amp;"|se|1",'_views'!$A:$A,0),"")</f>
        <v/>
      </c>
    </row>
    <row r="31" ht="16" customHeight="1">
      <c r="B31" s="113">
        <f>IF($M$28="","",IF(INDEX('_views'!$B:$ZZ,$M$28,2)="","",INDEX('_views'!$B:$ZZ,$M$28,2)))</f>
        <v/>
      </c>
      <c r="C31" s="116">
        <f>IF(IF($O31="","",IF(INDEX('_views'!$B:$ZZ,$O31,1)="","",INDEX('_views'!$B:$ZZ,$O31,1)))="","",IF(AND(ISNUMBER(IF($P31="","",IF(INDEX('_views'!$B:$ZZ,$P31,1)="","",INDEX('_views'!$B:$ZZ,$P31,1)))),IF($P31="","",IF(INDEX('_views'!$B:$ZZ,$P31,1)="","",INDEX('_views'!$B:$ZZ,$P31,1)))&lt;significance_bar),IF($O31="","",IF(INDEX('_views'!$B:$ZZ,$O31,1)="","",INDEX('_views'!$B:$ZZ,$O31,1))),IF($N$26="pts","("&amp;TEXT(IF($O31="","",IF(INDEX('_views'!$B:$ZZ,$O31,1)="","",INDEX('_views'!$B:$ZZ,$O31,1))),"+0.00;-0.00")&amp;" pts)","("&amp;TEXT(IF($O31="","",IF(INDEX('_views'!$B:$ZZ,$O31,1)="","",INDEX('_views'!$B:$ZZ,$O31,1))),"0.00")&amp;"×)")))</f>
        <v/>
      </c>
      <c r="D31" s="116">
        <f>IF(IF($O31="","",IF(INDEX('_views'!$B:$ZZ,$O31,2)="","",INDEX('_views'!$B:$ZZ,$O31,2)))="","",IF(AND(ISNUMBER(IF($P31="","",IF(INDEX('_views'!$B:$ZZ,$P31,2)="","",INDEX('_views'!$B:$ZZ,$P31,2)))),IF($P31="","",IF(INDEX('_views'!$B:$ZZ,$P31,2)="","",INDEX('_views'!$B:$ZZ,$P31,2)))&lt;significance_bar),IF($O31="","",IF(INDEX('_views'!$B:$ZZ,$O31,2)="","",INDEX('_views'!$B:$ZZ,$O31,2))),IF($N$26="pts","("&amp;TEXT(IF($O31="","",IF(INDEX('_views'!$B:$ZZ,$O31,2)="","",INDEX('_views'!$B:$ZZ,$O31,2))),"+0.00;-0.00")&amp;" pts)","("&amp;TEXT(IF($O31="","",IF(INDEX('_views'!$B:$ZZ,$O31,2)="","",INDEX('_views'!$B:$ZZ,$O31,2))),"0.00")&amp;"×)")))</f>
        <v/>
      </c>
      <c r="E31" s="116">
        <f>IF(IF($O31="","",IF(INDEX('_views'!$B:$ZZ,$O31,3)="","",INDEX('_views'!$B:$ZZ,$O31,3)))="","",IF(AND(ISNUMBER(IF($P31="","",IF(INDEX('_views'!$B:$ZZ,$P31,3)="","",INDEX('_views'!$B:$ZZ,$P31,3)))),IF($P31="","",IF(INDEX('_views'!$B:$ZZ,$P31,3)="","",INDEX('_views'!$B:$ZZ,$P31,3)))&lt;significance_bar),IF($O31="","",IF(INDEX('_views'!$B:$ZZ,$O31,3)="","",INDEX('_views'!$B:$ZZ,$O31,3))),IF($N$26="pts","("&amp;TEXT(IF($O31="","",IF(INDEX('_views'!$B:$ZZ,$O31,3)="","",INDEX('_views'!$B:$ZZ,$O31,3))),"+0.00;-0.00")&amp;" pts)","("&amp;TEXT(IF($O31="","",IF(INDEX('_views'!$B:$ZZ,$O31,3)="","",INDEX('_views'!$B:$ZZ,$O31,3))),"0.00")&amp;"×)")))</f>
        <v/>
      </c>
      <c r="G31" s="113">
        <f>IF($M$28="","",IF(INDEX('_views'!$B:$ZZ,$M$28,2)="","",INDEX('_views'!$B:$ZZ,$M$28,2)))</f>
        <v/>
      </c>
      <c r="H31" s="118">
        <f>IF(AND(ISNUMBER(IF($P31="","",IF(INDEX('_views'!$B:$ZZ,$P31,1)="","",INDEX('_views'!$B:$ZZ,$P31,1)))),ISNUMBER(IF($Q31="","",IF(INDEX('_views'!$B:$ZZ,$Q31,1)="","",INDEX('_views'!$B:$ZZ,$Q31,1))))),IF(ABS(IF($P31="","",IF(INDEX('_views'!$B:$ZZ,$P31,1)="","",INDEX('_views'!$B:$ZZ,$P31,1)))-significance_bar)&lt;=2.0*IF($Q31="","",IF(INDEX('_views'!$B:$ZZ,$Q31,1)="","",INDEX('_views'!$B:$ZZ,$Q31,1))),"borderline (p "&amp;IF(ROUND(IF($P31="","",IF(INDEX('_views'!$B:$ZZ,$P31,1)="","",INDEX('_views'!$B:$ZZ,$P31,1))),3)=ROUND(significance_bar,3),TEXT(IF($P31="","",IF(INDEX('_views'!$B:$ZZ,$P31,1)="","",INDEX('_views'!$B:$ZZ,$P31,1))),"0.0000"),TEXT(IF($P31="","",IF(INDEX('_views'!$B:$ZZ,$P31,1)="","",INDEX('_views'!$B:$ZZ,$P31,1))),"0.000"))&amp;")",IF($P31="","",IF(INDEX('_views'!$B:$ZZ,$P31,1)="","",INDEX('_views'!$B:$ZZ,$P31,1)))),IF(IF($P31="","",IF(INDEX('_views'!$B:$ZZ,$P31,1)="","",INDEX('_views'!$B:$ZZ,$P31,1)))="","",IF($P31="","",IF(INDEX('_views'!$B:$ZZ,$P31,1)="","",INDEX('_views'!$B:$ZZ,$P31,1)))))</f>
        <v/>
      </c>
      <c r="I31" s="118">
        <f>IF(AND(ISNUMBER(IF($P31="","",IF(INDEX('_views'!$B:$ZZ,$P31,2)="","",INDEX('_views'!$B:$ZZ,$P31,2)))),ISNUMBER(IF($Q31="","",IF(INDEX('_views'!$B:$ZZ,$Q31,2)="","",INDEX('_views'!$B:$ZZ,$Q31,2))))),IF(ABS(IF($P31="","",IF(INDEX('_views'!$B:$ZZ,$P31,2)="","",INDEX('_views'!$B:$ZZ,$P31,2)))-significance_bar)&lt;=2.0*IF($Q31="","",IF(INDEX('_views'!$B:$ZZ,$Q31,2)="","",INDEX('_views'!$B:$ZZ,$Q31,2))),"borderline (p "&amp;IF(ROUND(IF($P31="","",IF(INDEX('_views'!$B:$ZZ,$P31,2)="","",INDEX('_views'!$B:$ZZ,$P31,2))),3)=ROUND(significance_bar,3),TEXT(IF($P31="","",IF(INDEX('_views'!$B:$ZZ,$P31,2)="","",INDEX('_views'!$B:$ZZ,$P31,2))),"0.0000"),TEXT(IF($P31="","",IF(INDEX('_views'!$B:$ZZ,$P31,2)="","",INDEX('_views'!$B:$ZZ,$P31,2))),"0.000"))&amp;")",IF($P31="","",IF(INDEX('_views'!$B:$ZZ,$P31,2)="","",INDEX('_views'!$B:$ZZ,$P31,2)))),IF(IF($P31="","",IF(INDEX('_views'!$B:$ZZ,$P31,2)="","",INDEX('_views'!$B:$ZZ,$P31,2)))="","",IF($P31="","",IF(INDEX('_views'!$B:$ZZ,$P31,2)="","",INDEX('_views'!$B:$ZZ,$P31,2)))))</f>
        <v/>
      </c>
      <c r="J31" s="118">
        <f>IF(AND(ISNUMBER(IF($P31="","",IF(INDEX('_views'!$B:$ZZ,$P31,3)="","",INDEX('_views'!$B:$ZZ,$P31,3)))),ISNUMBER(IF($Q31="","",IF(INDEX('_views'!$B:$ZZ,$Q31,3)="","",INDEX('_views'!$B:$ZZ,$Q31,3))))),IF(ABS(IF($P31="","",IF(INDEX('_views'!$B:$ZZ,$P31,3)="","",INDEX('_views'!$B:$ZZ,$P31,3)))-significance_bar)&lt;=2.0*IF($Q31="","",IF(INDEX('_views'!$B:$ZZ,$Q31,3)="","",INDEX('_views'!$B:$ZZ,$Q31,3))),"borderline (p "&amp;IF(ROUND(IF($P31="","",IF(INDEX('_views'!$B:$ZZ,$P31,3)="","",INDEX('_views'!$B:$ZZ,$P31,3))),3)=ROUND(significance_bar,3),TEXT(IF($P31="","",IF(INDEX('_views'!$B:$ZZ,$P31,3)="","",INDEX('_views'!$B:$ZZ,$P31,3))),"0.0000"),TEXT(IF($P31="","",IF(INDEX('_views'!$B:$ZZ,$P31,3)="","",INDEX('_views'!$B:$ZZ,$P31,3))),"0.000"))&amp;")",IF($P31="","",IF(INDEX('_views'!$B:$ZZ,$P31,3)="","",INDEX('_views'!$B:$ZZ,$P31,3)))),IF(IF($P31="","",IF(INDEX('_views'!$B:$ZZ,$P31,3)="","",INDEX('_views'!$B:$ZZ,$P31,3)))="","",IF($P31="","",IF(INDEX('_views'!$B:$ZZ,$P31,3)="","",INDEX('_views'!$B:$ZZ,$P31,3)))))</f>
        <v/>
      </c>
      <c r="O31">
        <f>IFERROR(MATCH("S|"&amp;$B$15&amp;"|"&amp;$M$26&amp;"|v|2",'_views'!$A:$A,0),"")</f>
        <v/>
      </c>
      <c r="P31">
        <f>IFERROR(MATCH("S|"&amp;$B$15&amp;"|"&amp;$M$26&amp;"|p|2",'_views'!$A:$A,0),"")</f>
        <v/>
      </c>
      <c r="Q31">
        <f>IFERROR(MATCH("S|"&amp;$B$15&amp;"|"&amp;$M$26&amp;"|se|2",'_views'!$A:$A,0),"")</f>
        <v/>
      </c>
    </row>
    <row r="32" ht="16" customHeight="1">
      <c r="B32" s="113">
        <f>IF($M$28="","",IF(INDEX('_views'!$B:$ZZ,$M$28,3)="","",INDEX('_views'!$B:$ZZ,$M$28,3)))</f>
        <v/>
      </c>
      <c r="C32" s="116">
        <f>IF(IF($O32="","",IF(INDEX('_views'!$B:$ZZ,$O32,1)="","",INDEX('_views'!$B:$ZZ,$O32,1)))="","",IF(AND(ISNUMBER(IF($P32="","",IF(INDEX('_views'!$B:$ZZ,$P32,1)="","",INDEX('_views'!$B:$ZZ,$P32,1)))),IF($P32="","",IF(INDEX('_views'!$B:$ZZ,$P32,1)="","",INDEX('_views'!$B:$ZZ,$P32,1)))&lt;significance_bar),IF($O32="","",IF(INDEX('_views'!$B:$ZZ,$O32,1)="","",INDEX('_views'!$B:$ZZ,$O32,1))),IF($N$26="pts","("&amp;TEXT(IF($O32="","",IF(INDEX('_views'!$B:$ZZ,$O32,1)="","",INDEX('_views'!$B:$ZZ,$O32,1))),"+0.00;-0.00")&amp;" pts)","("&amp;TEXT(IF($O32="","",IF(INDEX('_views'!$B:$ZZ,$O32,1)="","",INDEX('_views'!$B:$ZZ,$O32,1))),"0.00")&amp;"×)")))</f>
        <v/>
      </c>
      <c r="D32" s="116">
        <f>IF(IF($O32="","",IF(INDEX('_views'!$B:$ZZ,$O32,2)="","",INDEX('_views'!$B:$ZZ,$O32,2)))="","",IF(AND(ISNUMBER(IF($P32="","",IF(INDEX('_views'!$B:$ZZ,$P32,2)="","",INDEX('_views'!$B:$ZZ,$P32,2)))),IF($P32="","",IF(INDEX('_views'!$B:$ZZ,$P32,2)="","",INDEX('_views'!$B:$ZZ,$P32,2)))&lt;significance_bar),IF($O32="","",IF(INDEX('_views'!$B:$ZZ,$O32,2)="","",INDEX('_views'!$B:$ZZ,$O32,2))),IF($N$26="pts","("&amp;TEXT(IF($O32="","",IF(INDEX('_views'!$B:$ZZ,$O32,2)="","",INDEX('_views'!$B:$ZZ,$O32,2))),"+0.00;-0.00")&amp;" pts)","("&amp;TEXT(IF($O32="","",IF(INDEX('_views'!$B:$ZZ,$O32,2)="","",INDEX('_views'!$B:$ZZ,$O32,2))),"0.00")&amp;"×)")))</f>
        <v/>
      </c>
      <c r="E32" s="116">
        <f>IF(IF($O32="","",IF(INDEX('_views'!$B:$ZZ,$O32,3)="","",INDEX('_views'!$B:$ZZ,$O32,3)))="","",IF(AND(ISNUMBER(IF($P32="","",IF(INDEX('_views'!$B:$ZZ,$P32,3)="","",INDEX('_views'!$B:$ZZ,$P32,3)))),IF($P32="","",IF(INDEX('_views'!$B:$ZZ,$P32,3)="","",INDEX('_views'!$B:$ZZ,$P32,3)))&lt;significance_bar),IF($O32="","",IF(INDEX('_views'!$B:$ZZ,$O32,3)="","",INDEX('_views'!$B:$ZZ,$O32,3))),IF($N$26="pts","("&amp;TEXT(IF($O32="","",IF(INDEX('_views'!$B:$ZZ,$O32,3)="","",INDEX('_views'!$B:$ZZ,$O32,3))),"+0.00;-0.00")&amp;" pts)","("&amp;TEXT(IF($O32="","",IF(INDEX('_views'!$B:$ZZ,$O32,3)="","",INDEX('_views'!$B:$ZZ,$O32,3))),"0.00")&amp;"×)")))</f>
        <v/>
      </c>
      <c r="G32" s="113">
        <f>IF($M$28="","",IF(INDEX('_views'!$B:$ZZ,$M$28,3)="","",INDEX('_views'!$B:$ZZ,$M$28,3)))</f>
        <v/>
      </c>
      <c r="H32" s="118">
        <f>IF(AND(ISNUMBER(IF($P32="","",IF(INDEX('_views'!$B:$ZZ,$P32,1)="","",INDEX('_views'!$B:$ZZ,$P32,1)))),ISNUMBER(IF($Q32="","",IF(INDEX('_views'!$B:$ZZ,$Q32,1)="","",INDEX('_views'!$B:$ZZ,$Q32,1))))),IF(ABS(IF($P32="","",IF(INDEX('_views'!$B:$ZZ,$P32,1)="","",INDEX('_views'!$B:$ZZ,$P32,1)))-significance_bar)&lt;=2.0*IF($Q32="","",IF(INDEX('_views'!$B:$ZZ,$Q32,1)="","",INDEX('_views'!$B:$ZZ,$Q32,1))),"borderline (p "&amp;IF(ROUND(IF($P32="","",IF(INDEX('_views'!$B:$ZZ,$P32,1)="","",INDEX('_views'!$B:$ZZ,$P32,1))),3)=ROUND(significance_bar,3),TEXT(IF($P32="","",IF(INDEX('_views'!$B:$ZZ,$P32,1)="","",INDEX('_views'!$B:$ZZ,$P32,1))),"0.0000"),TEXT(IF($P32="","",IF(INDEX('_views'!$B:$ZZ,$P32,1)="","",INDEX('_views'!$B:$ZZ,$P32,1))),"0.000"))&amp;")",IF($P32="","",IF(INDEX('_views'!$B:$ZZ,$P32,1)="","",INDEX('_views'!$B:$ZZ,$P32,1)))),IF(IF($P32="","",IF(INDEX('_views'!$B:$ZZ,$P32,1)="","",INDEX('_views'!$B:$ZZ,$P32,1)))="","",IF($P32="","",IF(INDEX('_views'!$B:$ZZ,$P32,1)="","",INDEX('_views'!$B:$ZZ,$P32,1)))))</f>
        <v/>
      </c>
      <c r="I32" s="118">
        <f>IF(AND(ISNUMBER(IF($P32="","",IF(INDEX('_views'!$B:$ZZ,$P32,2)="","",INDEX('_views'!$B:$ZZ,$P32,2)))),ISNUMBER(IF($Q32="","",IF(INDEX('_views'!$B:$ZZ,$Q32,2)="","",INDEX('_views'!$B:$ZZ,$Q32,2))))),IF(ABS(IF($P32="","",IF(INDEX('_views'!$B:$ZZ,$P32,2)="","",INDEX('_views'!$B:$ZZ,$P32,2)))-significance_bar)&lt;=2.0*IF($Q32="","",IF(INDEX('_views'!$B:$ZZ,$Q32,2)="","",INDEX('_views'!$B:$ZZ,$Q32,2))),"borderline (p "&amp;IF(ROUND(IF($P32="","",IF(INDEX('_views'!$B:$ZZ,$P32,2)="","",INDEX('_views'!$B:$ZZ,$P32,2))),3)=ROUND(significance_bar,3),TEXT(IF($P32="","",IF(INDEX('_views'!$B:$ZZ,$P32,2)="","",INDEX('_views'!$B:$ZZ,$P32,2))),"0.0000"),TEXT(IF($P32="","",IF(INDEX('_views'!$B:$ZZ,$P32,2)="","",INDEX('_views'!$B:$ZZ,$P32,2))),"0.000"))&amp;")",IF($P32="","",IF(INDEX('_views'!$B:$ZZ,$P32,2)="","",INDEX('_views'!$B:$ZZ,$P32,2)))),IF(IF($P32="","",IF(INDEX('_views'!$B:$ZZ,$P32,2)="","",INDEX('_views'!$B:$ZZ,$P32,2)))="","",IF($P32="","",IF(INDEX('_views'!$B:$ZZ,$P32,2)="","",INDEX('_views'!$B:$ZZ,$P32,2)))))</f>
        <v/>
      </c>
      <c r="J32" s="118">
        <f>IF(AND(ISNUMBER(IF($P32="","",IF(INDEX('_views'!$B:$ZZ,$P32,3)="","",INDEX('_views'!$B:$ZZ,$P32,3)))),ISNUMBER(IF($Q32="","",IF(INDEX('_views'!$B:$ZZ,$Q32,3)="","",INDEX('_views'!$B:$ZZ,$Q32,3))))),IF(ABS(IF($P32="","",IF(INDEX('_views'!$B:$ZZ,$P32,3)="","",INDEX('_views'!$B:$ZZ,$P32,3)))-significance_bar)&lt;=2.0*IF($Q32="","",IF(INDEX('_views'!$B:$ZZ,$Q32,3)="","",INDEX('_views'!$B:$ZZ,$Q32,3))),"borderline (p "&amp;IF(ROUND(IF($P32="","",IF(INDEX('_views'!$B:$ZZ,$P32,3)="","",INDEX('_views'!$B:$ZZ,$P32,3))),3)=ROUND(significance_bar,3),TEXT(IF($P32="","",IF(INDEX('_views'!$B:$ZZ,$P32,3)="","",INDEX('_views'!$B:$ZZ,$P32,3))),"0.0000"),TEXT(IF($P32="","",IF(INDEX('_views'!$B:$ZZ,$P32,3)="","",INDEX('_views'!$B:$ZZ,$P32,3))),"0.000"))&amp;")",IF($P32="","",IF(INDEX('_views'!$B:$ZZ,$P32,3)="","",INDEX('_views'!$B:$ZZ,$P32,3)))),IF(IF($P32="","",IF(INDEX('_views'!$B:$ZZ,$P32,3)="","",INDEX('_views'!$B:$ZZ,$P32,3)))="","",IF($P32="","",IF(INDEX('_views'!$B:$ZZ,$P32,3)="","",INDEX('_views'!$B:$ZZ,$P32,3)))))</f>
        <v/>
      </c>
      <c r="O32">
        <f>IFERROR(MATCH("S|"&amp;$B$15&amp;"|"&amp;$M$26&amp;"|v|3",'_views'!$A:$A,0),"")</f>
        <v/>
      </c>
      <c r="P32">
        <f>IFERROR(MATCH("S|"&amp;$B$15&amp;"|"&amp;$M$26&amp;"|p|3",'_views'!$A:$A,0),"")</f>
        <v/>
      </c>
      <c r="Q32">
        <f>IFERROR(MATCH("S|"&amp;$B$15&amp;"|"&amp;$M$26&amp;"|se|3",'_views'!$A:$A,0),"")</f>
        <v/>
      </c>
    </row>
    <row r="33" ht="16" customHeight="1">
      <c r="B33" s="113">
        <f>IF($M$28="","",IF(INDEX('_views'!$B:$ZZ,$M$28,4)="","",INDEX('_views'!$B:$ZZ,$M$28,4)))</f>
        <v/>
      </c>
      <c r="C33" s="116">
        <f>IF(IF($O33="","",IF(INDEX('_views'!$B:$ZZ,$O33,1)="","",INDEX('_views'!$B:$ZZ,$O33,1)))="","",IF(AND(ISNUMBER(IF($P33="","",IF(INDEX('_views'!$B:$ZZ,$P33,1)="","",INDEX('_views'!$B:$ZZ,$P33,1)))),IF($P33="","",IF(INDEX('_views'!$B:$ZZ,$P33,1)="","",INDEX('_views'!$B:$ZZ,$P33,1)))&lt;significance_bar),IF($O33="","",IF(INDEX('_views'!$B:$ZZ,$O33,1)="","",INDEX('_views'!$B:$ZZ,$O33,1))),IF($N$26="pts","("&amp;TEXT(IF($O33="","",IF(INDEX('_views'!$B:$ZZ,$O33,1)="","",INDEX('_views'!$B:$ZZ,$O33,1))),"+0.00;-0.00")&amp;" pts)","("&amp;TEXT(IF($O33="","",IF(INDEX('_views'!$B:$ZZ,$O33,1)="","",INDEX('_views'!$B:$ZZ,$O33,1))),"0.00")&amp;"×)")))</f>
        <v/>
      </c>
      <c r="D33" s="116">
        <f>IF(IF($O33="","",IF(INDEX('_views'!$B:$ZZ,$O33,2)="","",INDEX('_views'!$B:$ZZ,$O33,2)))="","",IF(AND(ISNUMBER(IF($P33="","",IF(INDEX('_views'!$B:$ZZ,$P33,2)="","",INDEX('_views'!$B:$ZZ,$P33,2)))),IF($P33="","",IF(INDEX('_views'!$B:$ZZ,$P33,2)="","",INDEX('_views'!$B:$ZZ,$P33,2)))&lt;significance_bar),IF($O33="","",IF(INDEX('_views'!$B:$ZZ,$O33,2)="","",INDEX('_views'!$B:$ZZ,$O33,2))),IF($N$26="pts","("&amp;TEXT(IF($O33="","",IF(INDEX('_views'!$B:$ZZ,$O33,2)="","",INDEX('_views'!$B:$ZZ,$O33,2))),"+0.00;-0.00")&amp;" pts)","("&amp;TEXT(IF($O33="","",IF(INDEX('_views'!$B:$ZZ,$O33,2)="","",INDEX('_views'!$B:$ZZ,$O33,2))),"0.00")&amp;"×)")))</f>
        <v/>
      </c>
      <c r="E33" s="116">
        <f>IF(IF($O33="","",IF(INDEX('_views'!$B:$ZZ,$O33,3)="","",INDEX('_views'!$B:$ZZ,$O33,3)))="","",IF(AND(ISNUMBER(IF($P33="","",IF(INDEX('_views'!$B:$ZZ,$P33,3)="","",INDEX('_views'!$B:$ZZ,$P33,3)))),IF($P33="","",IF(INDEX('_views'!$B:$ZZ,$P33,3)="","",INDEX('_views'!$B:$ZZ,$P33,3)))&lt;significance_bar),IF($O33="","",IF(INDEX('_views'!$B:$ZZ,$O33,3)="","",INDEX('_views'!$B:$ZZ,$O33,3))),IF($N$26="pts","("&amp;TEXT(IF($O33="","",IF(INDEX('_views'!$B:$ZZ,$O33,3)="","",INDEX('_views'!$B:$ZZ,$O33,3))),"+0.00;-0.00")&amp;" pts)","("&amp;TEXT(IF($O33="","",IF(INDEX('_views'!$B:$ZZ,$O33,3)="","",INDEX('_views'!$B:$ZZ,$O33,3))),"0.00")&amp;"×)")))</f>
        <v/>
      </c>
      <c r="G33" s="113">
        <f>IF($M$28="","",IF(INDEX('_views'!$B:$ZZ,$M$28,4)="","",INDEX('_views'!$B:$ZZ,$M$28,4)))</f>
        <v/>
      </c>
      <c r="H33" s="118">
        <f>IF(AND(ISNUMBER(IF($P33="","",IF(INDEX('_views'!$B:$ZZ,$P33,1)="","",INDEX('_views'!$B:$ZZ,$P33,1)))),ISNUMBER(IF($Q33="","",IF(INDEX('_views'!$B:$ZZ,$Q33,1)="","",INDEX('_views'!$B:$ZZ,$Q33,1))))),IF(ABS(IF($P33="","",IF(INDEX('_views'!$B:$ZZ,$P33,1)="","",INDEX('_views'!$B:$ZZ,$P33,1)))-significance_bar)&lt;=2.0*IF($Q33="","",IF(INDEX('_views'!$B:$ZZ,$Q33,1)="","",INDEX('_views'!$B:$ZZ,$Q33,1))),"borderline (p "&amp;IF(ROUND(IF($P33="","",IF(INDEX('_views'!$B:$ZZ,$P33,1)="","",INDEX('_views'!$B:$ZZ,$P33,1))),3)=ROUND(significance_bar,3),TEXT(IF($P33="","",IF(INDEX('_views'!$B:$ZZ,$P33,1)="","",INDEX('_views'!$B:$ZZ,$P33,1))),"0.0000"),TEXT(IF($P33="","",IF(INDEX('_views'!$B:$ZZ,$P33,1)="","",INDEX('_views'!$B:$ZZ,$P33,1))),"0.000"))&amp;")",IF($P33="","",IF(INDEX('_views'!$B:$ZZ,$P33,1)="","",INDEX('_views'!$B:$ZZ,$P33,1)))),IF(IF($P33="","",IF(INDEX('_views'!$B:$ZZ,$P33,1)="","",INDEX('_views'!$B:$ZZ,$P33,1)))="","",IF($P33="","",IF(INDEX('_views'!$B:$ZZ,$P33,1)="","",INDEX('_views'!$B:$ZZ,$P33,1)))))</f>
        <v/>
      </c>
      <c r="I33" s="118">
        <f>IF(AND(ISNUMBER(IF($P33="","",IF(INDEX('_views'!$B:$ZZ,$P33,2)="","",INDEX('_views'!$B:$ZZ,$P33,2)))),ISNUMBER(IF($Q33="","",IF(INDEX('_views'!$B:$ZZ,$Q33,2)="","",INDEX('_views'!$B:$ZZ,$Q33,2))))),IF(ABS(IF($P33="","",IF(INDEX('_views'!$B:$ZZ,$P33,2)="","",INDEX('_views'!$B:$ZZ,$P33,2)))-significance_bar)&lt;=2.0*IF($Q33="","",IF(INDEX('_views'!$B:$ZZ,$Q33,2)="","",INDEX('_views'!$B:$ZZ,$Q33,2))),"borderline (p "&amp;IF(ROUND(IF($P33="","",IF(INDEX('_views'!$B:$ZZ,$P33,2)="","",INDEX('_views'!$B:$ZZ,$P33,2))),3)=ROUND(significance_bar,3),TEXT(IF($P33="","",IF(INDEX('_views'!$B:$ZZ,$P33,2)="","",INDEX('_views'!$B:$ZZ,$P33,2))),"0.0000"),TEXT(IF($P33="","",IF(INDEX('_views'!$B:$ZZ,$P33,2)="","",INDEX('_views'!$B:$ZZ,$P33,2))),"0.000"))&amp;")",IF($P33="","",IF(INDEX('_views'!$B:$ZZ,$P33,2)="","",INDEX('_views'!$B:$ZZ,$P33,2)))),IF(IF($P33="","",IF(INDEX('_views'!$B:$ZZ,$P33,2)="","",INDEX('_views'!$B:$ZZ,$P33,2)))="","",IF($P33="","",IF(INDEX('_views'!$B:$ZZ,$P33,2)="","",INDEX('_views'!$B:$ZZ,$P33,2)))))</f>
        <v/>
      </c>
      <c r="J33" s="118">
        <f>IF(AND(ISNUMBER(IF($P33="","",IF(INDEX('_views'!$B:$ZZ,$P33,3)="","",INDEX('_views'!$B:$ZZ,$P33,3)))),ISNUMBER(IF($Q33="","",IF(INDEX('_views'!$B:$ZZ,$Q33,3)="","",INDEX('_views'!$B:$ZZ,$Q33,3))))),IF(ABS(IF($P33="","",IF(INDEX('_views'!$B:$ZZ,$P33,3)="","",INDEX('_views'!$B:$ZZ,$P33,3)))-significance_bar)&lt;=2.0*IF($Q33="","",IF(INDEX('_views'!$B:$ZZ,$Q33,3)="","",INDEX('_views'!$B:$ZZ,$Q33,3))),"borderline (p "&amp;IF(ROUND(IF($P33="","",IF(INDEX('_views'!$B:$ZZ,$P33,3)="","",INDEX('_views'!$B:$ZZ,$P33,3))),3)=ROUND(significance_bar,3),TEXT(IF($P33="","",IF(INDEX('_views'!$B:$ZZ,$P33,3)="","",INDEX('_views'!$B:$ZZ,$P33,3))),"0.0000"),TEXT(IF($P33="","",IF(INDEX('_views'!$B:$ZZ,$P33,3)="","",INDEX('_views'!$B:$ZZ,$P33,3))),"0.000"))&amp;")",IF($P33="","",IF(INDEX('_views'!$B:$ZZ,$P33,3)="","",INDEX('_views'!$B:$ZZ,$P33,3)))),IF(IF($P33="","",IF(INDEX('_views'!$B:$ZZ,$P33,3)="","",INDEX('_views'!$B:$ZZ,$P33,3)))="","",IF($P33="","",IF(INDEX('_views'!$B:$ZZ,$P33,3)="","",INDEX('_views'!$B:$ZZ,$P33,3)))))</f>
        <v/>
      </c>
      <c r="O33">
        <f>IFERROR(MATCH("S|"&amp;$B$15&amp;"|"&amp;$M$26&amp;"|v|4",'_views'!$A:$A,0),"")</f>
        <v/>
      </c>
      <c r="P33">
        <f>IFERROR(MATCH("S|"&amp;$B$15&amp;"|"&amp;$M$26&amp;"|p|4",'_views'!$A:$A,0),"")</f>
        <v/>
      </c>
      <c r="Q33">
        <f>IFERROR(MATCH("S|"&amp;$B$15&amp;"|"&amp;$M$26&amp;"|se|4",'_views'!$A:$A,0),"")</f>
        <v/>
      </c>
    </row>
    <row r="34" ht="16" customHeight="1">
      <c r="B34" s="113">
        <f>IF($M$28="","",IF(INDEX('_views'!$B:$ZZ,$M$28,5)="","",INDEX('_views'!$B:$ZZ,$M$28,5)))</f>
        <v/>
      </c>
      <c r="C34" s="116">
        <f>IF(IF($O34="","",IF(INDEX('_views'!$B:$ZZ,$O34,1)="","",INDEX('_views'!$B:$ZZ,$O34,1)))="","",IF(AND(ISNUMBER(IF($P34="","",IF(INDEX('_views'!$B:$ZZ,$P34,1)="","",INDEX('_views'!$B:$ZZ,$P34,1)))),IF($P34="","",IF(INDEX('_views'!$B:$ZZ,$P34,1)="","",INDEX('_views'!$B:$ZZ,$P34,1)))&lt;significance_bar),IF($O34="","",IF(INDEX('_views'!$B:$ZZ,$O34,1)="","",INDEX('_views'!$B:$ZZ,$O34,1))),IF($N$26="pts","("&amp;TEXT(IF($O34="","",IF(INDEX('_views'!$B:$ZZ,$O34,1)="","",INDEX('_views'!$B:$ZZ,$O34,1))),"+0.00;-0.00")&amp;" pts)","("&amp;TEXT(IF($O34="","",IF(INDEX('_views'!$B:$ZZ,$O34,1)="","",INDEX('_views'!$B:$ZZ,$O34,1))),"0.00")&amp;"×)")))</f>
        <v/>
      </c>
      <c r="D34" s="116">
        <f>IF(IF($O34="","",IF(INDEX('_views'!$B:$ZZ,$O34,2)="","",INDEX('_views'!$B:$ZZ,$O34,2)))="","",IF(AND(ISNUMBER(IF($P34="","",IF(INDEX('_views'!$B:$ZZ,$P34,2)="","",INDEX('_views'!$B:$ZZ,$P34,2)))),IF($P34="","",IF(INDEX('_views'!$B:$ZZ,$P34,2)="","",INDEX('_views'!$B:$ZZ,$P34,2)))&lt;significance_bar),IF($O34="","",IF(INDEX('_views'!$B:$ZZ,$O34,2)="","",INDEX('_views'!$B:$ZZ,$O34,2))),IF($N$26="pts","("&amp;TEXT(IF($O34="","",IF(INDEX('_views'!$B:$ZZ,$O34,2)="","",INDEX('_views'!$B:$ZZ,$O34,2))),"+0.00;-0.00")&amp;" pts)","("&amp;TEXT(IF($O34="","",IF(INDEX('_views'!$B:$ZZ,$O34,2)="","",INDEX('_views'!$B:$ZZ,$O34,2))),"0.00")&amp;"×)")))</f>
        <v/>
      </c>
      <c r="E34" s="116">
        <f>IF(IF($O34="","",IF(INDEX('_views'!$B:$ZZ,$O34,3)="","",INDEX('_views'!$B:$ZZ,$O34,3)))="","",IF(AND(ISNUMBER(IF($P34="","",IF(INDEX('_views'!$B:$ZZ,$P34,3)="","",INDEX('_views'!$B:$ZZ,$P34,3)))),IF($P34="","",IF(INDEX('_views'!$B:$ZZ,$P34,3)="","",INDEX('_views'!$B:$ZZ,$P34,3)))&lt;significance_bar),IF($O34="","",IF(INDEX('_views'!$B:$ZZ,$O34,3)="","",INDEX('_views'!$B:$ZZ,$O34,3))),IF($N$26="pts","("&amp;TEXT(IF($O34="","",IF(INDEX('_views'!$B:$ZZ,$O34,3)="","",INDEX('_views'!$B:$ZZ,$O34,3))),"+0.00;-0.00")&amp;" pts)","("&amp;TEXT(IF($O34="","",IF(INDEX('_views'!$B:$ZZ,$O34,3)="","",INDEX('_views'!$B:$ZZ,$O34,3))),"0.00")&amp;"×)")))</f>
        <v/>
      </c>
      <c r="G34" s="113">
        <f>IF($M$28="","",IF(INDEX('_views'!$B:$ZZ,$M$28,5)="","",INDEX('_views'!$B:$ZZ,$M$28,5)))</f>
        <v/>
      </c>
      <c r="H34" s="118">
        <f>IF(AND(ISNUMBER(IF($P34="","",IF(INDEX('_views'!$B:$ZZ,$P34,1)="","",INDEX('_views'!$B:$ZZ,$P34,1)))),ISNUMBER(IF($Q34="","",IF(INDEX('_views'!$B:$ZZ,$Q34,1)="","",INDEX('_views'!$B:$ZZ,$Q34,1))))),IF(ABS(IF($P34="","",IF(INDEX('_views'!$B:$ZZ,$P34,1)="","",INDEX('_views'!$B:$ZZ,$P34,1)))-significance_bar)&lt;=2.0*IF($Q34="","",IF(INDEX('_views'!$B:$ZZ,$Q34,1)="","",INDEX('_views'!$B:$ZZ,$Q34,1))),"borderline (p "&amp;IF(ROUND(IF($P34="","",IF(INDEX('_views'!$B:$ZZ,$P34,1)="","",INDEX('_views'!$B:$ZZ,$P34,1))),3)=ROUND(significance_bar,3),TEXT(IF($P34="","",IF(INDEX('_views'!$B:$ZZ,$P34,1)="","",INDEX('_views'!$B:$ZZ,$P34,1))),"0.0000"),TEXT(IF($P34="","",IF(INDEX('_views'!$B:$ZZ,$P34,1)="","",INDEX('_views'!$B:$ZZ,$P34,1))),"0.000"))&amp;")",IF($P34="","",IF(INDEX('_views'!$B:$ZZ,$P34,1)="","",INDEX('_views'!$B:$ZZ,$P34,1)))),IF(IF($P34="","",IF(INDEX('_views'!$B:$ZZ,$P34,1)="","",INDEX('_views'!$B:$ZZ,$P34,1)))="","",IF($P34="","",IF(INDEX('_views'!$B:$ZZ,$P34,1)="","",INDEX('_views'!$B:$ZZ,$P34,1)))))</f>
        <v/>
      </c>
      <c r="I34" s="118">
        <f>IF(AND(ISNUMBER(IF($P34="","",IF(INDEX('_views'!$B:$ZZ,$P34,2)="","",INDEX('_views'!$B:$ZZ,$P34,2)))),ISNUMBER(IF($Q34="","",IF(INDEX('_views'!$B:$ZZ,$Q34,2)="","",INDEX('_views'!$B:$ZZ,$Q34,2))))),IF(ABS(IF($P34="","",IF(INDEX('_views'!$B:$ZZ,$P34,2)="","",INDEX('_views'!$B:$ZZ,$P34,2)))-significance_bar)&lt;=2.0*IF($Q34="","",IF(INDEX('_views'!$B:$ZZ,$Q34,2)="","",INDEX('_views'!$B:$ZZ,$Q34,2))),"borderline (p "&amp;IF(ROUND(IF($P34="","",IF(INDEX('_views'!$B:$ZZ,$P34,2)="","",INDEX('_views'!$B:$ZZ,$P34,2))),3)=ROUND(significance_bar,3),TEXT(IF($P34="","",IF(INDEX('_views'!$B:$ZZ,$P34,2)="","",INDEX('_views'!$B:$ZZ,$P34,2))),"0.0000"),TEXT(IF($P34="","",IF(INDEX('_views'!$B:$ZZ,$P34,2)="","",INDEX('_views'!$B:$ZZ,$P34,2))),"0.000"))&amp;")",IF($P34="","",IF(INDEX('_views'!$B:$ZZ,$P34,2)="","",INDEX('_views'!$B:$ZZ,$P34,2)))),IF(IF($P34="","",IF(INDEX('_views'!$B:$ZZ,$P34,2)="","",INDEX('_views'!$B:$ZZ,$P34,2)))="","",IF($P34="","",IF(INDEX('_views'!$B:$ZZ,$P34,2)="","",INDEX('_views'!$B:$ZZ,$P34,2)))))</f>
        <v/>
      </c>
      <c r="J34" s="118">
        <f>IF(AND(ISNUMBER(IF($P34="","",IF(INDEX('_views'!$B:$ZZ,$P34,3)="","",INDEX('_views'!$B:$ZZ,$P34,3)))),ISNUMBER(IF($Q34="","",IF(INDEX('_views'!$B:$ZZ,$Q34,3)="","",INDEX('_views'!$B:$ZZ,$Q34,3))))),IF(ABS(IF($P34="","",IF(INDEX('_views'!$B:$ZZ,$P34,3)="","",INDEX('_views'!$B:$ZZ,$P34,3)))-significance_bar)&lt;=2.0*IF($Q34="","",IF(INDEX('_views'!$B:$ZZ,$Q34,3)="","",INDEX('_views'!$B:$ZZ,$Q34,3))),"borderline (p "&amp;IF(ROUND(IF($P34="","",IF(INDEX('_views'!$B:$ZZ,$P34,3)="","",INDEX('_views'!$B:$ZZ,$P34,3))),3)=ROUND(significance_bar,3),TEXT(IF($P34="","",IF(INDEX('_views'!$B:$ZZ,$P34,3)="","",INDEX('_views'!$B:$ZZ,$P34,3))),"0.0000"),TEXT(IF($P34="","",IF(INDEX('_views'!$B:$ZZ,$P34,3)="","",INDEX('_views'!$B:$ZZ,$P34,3))),"0.000"))&amp;")",IF($P34="","",IF(INDEX('_views'!$B:$ZZ,$P34,3)="","",INDEX('_views'!$B:$ZZ,$P34,3)))),IF(IF($P34="","",IF(INDEX('_views'!$B:$ZZ,$P34,3)="","",INDEX('_views'!$B:$ZZ,$P34,3)))="","",IF($P34="","",IF(INDEX('_views'!$B:$ZZ,$P34,3)="","",INDEX('_views'!$B:$ZZ,$P34,3)))))</f>
        <v/>
      </c>
      <c r="O34">
        <f>IFERROR(MATCH("S|"&amp;$B$15&amp;"|"&amp;$M$26&amp;"|v|5",'_views'!$A:$A,0),"")</f>
        <v/>
      </c>
      <c r="P34">
        <f>IFERROR(MATCH("S|"&amp;$B$15&amp;"|"&amp;$M$26&amp;"|p|5",'_views'!$A:$A,0),"")</f>
        <v/>
      </c>
      <c r="Q34">
        <f>IFERROR(MATCH("S|"&amp;$B$15&amp;"|"&amp;$M$26&amp;"|se|5",'_views'!$A:$A,0),"")</f>
        <v/>
      </c>
    </row>
    <row r="35" ht="16" customHeight="1">
      <c r="B35" s="113">
        <f>IF($M$28="","",IF(INDEX('_views'!$B:$ZZ,$M$28,6)="","",INDEX('_views'!$B:$ZZ,$M$28,6)))</f>
        <v/>
      </c>
      <c r="C35" s="116">
        <f>IF(IF($O35="","",IF(INDEX('_views'!$B:$ZZ,$O35,1)="","",INDEX('_views'!$B:$ZZ,$O35,1)))="","",IF(AND(ISNUMBER(IF($P35="","",IF(INDEX('_views'!$B:$ZZ,$P35,1)="","",INDEX('_views'!$B:$ZZ,$P35,1)))),IF($P35="","",IF(INDEX('_views'!$B:$ZZ,$P35,1)="","",INDEX('_views'!$B:$ZZ,$P35,1)))&lt;significance_bar),IF($O35="","",IF(INDEX('_views'!$B:$ZZ,$O35,1)="","",INDEX('_views'!$B:$ZZ,$O35,1))),IF($N$26="pts","("&amp;TEXT(IF($O35="","",IF(INDEX('_views'!$B:$ZZ,$O35,1)="","",INDEX('_views'!$B:$ZZ,$O35,1))),"+0.00;-0.00")&amp;" pts)","("&amp;TEXT(IF($O35="","",IF(INDEX('_views'!$B:$ZZ,$O35,1)="","",INDEX('_views'!$B:$ZZ,$O35,1))),"0.00")&amp;"×)")))</f>
        <v/>
      </c>
      <c r="D35" s="116">
        <f>IF(IF($O35="","",IF(INDEX('_views'!$B:$ZZ,$O35,2)="","",INDEX('_views'!$B:$ZZ,$O35,2)))="","",IF(AND(ISNUMBER(IF($P35="","",IF(INDEX('_views'!$B:$ZZ,$P35,2)="","",INDEX('_views'!$B:$ZZ,$P35,2)))),IF($P35="","",IF(INDEX('_views'!$B:$ZZ,$P35,2)="","",INDEX('_views'!$B:$ZZ,$P35,2)))&lt;significance_bar),IF($O35="","",IF(INDEX('_views'!$B:$ZZ,$O35,2)="","",INDEX('_views'!$B:$ZZ,$O35,2))),IF($N$26="pts","("&amp;TEXT(IF($O35="","",IF(INDEX('_views'!$B:$ZZ,$O35,2)="","",INDEX('_views'!$B:$ZZ,$O35,2))),"+0.00;-0.00")&amp;" pts)","("&amp;TEXT(IF($O35="","",IF(INDEX('_views'!$B:$ZZ,$O35,2)="","",INDEX('_views'!$B:$ZZ,$O35,2))),"0.00")&amp;"×)")))</f>
        <v/>
      </c>
      <c r="E35" s="116">
        <f>IF(IF($O35="","",IF(INDEX('_views'!$B:$ZZ,$O35,3)="","",INDEX('_views'!$B:$ZZ,$O35,3)))="","",IF(AND(ISNUMBER(IF($P35="","",IF(INDEX('_views'!$B:$ZZ,$P35,3)="","",INDEX('_views'!$B:$ZZ,$P35,3)))),IF($P35="","",IF(INDEX('_views'!$B:$ZZ,$P35,3)="","",INDEX('_views'!$B:$ZZ,$P35,3)))&lt;significance_bar),IF($O35="","",IF(INDEX('_views'!$B:$ZZ,$O35,3)="","",INDEX('_views'!$B:$ZZ,$O35,3))),IF($N$26="pts","("&amp;TEXT(IF($O35="","",IF(INDEX('_views'!$B:$ZZ,$O35,3)="","",INDEX('_views'!$B:$ZZ,$O35,3))),"+0.00;-0.00")&amp;" pts)","("&amp;TEXT(IF($O35="","",IF(INDEX('_views'!$B:$ZZ,$O35,3)="","",INDEX('_views'!$B:$ZZ,$O35,3))),"0.00")&amp;"×)")))</f>
        <v/>
      </c>
      <c r="G35" s="113">
        <f>IF($M$28="","",IF(INDEX('_views'!$B:$ZZ,$M$28,6)="","",INDEX('_views'!$B:$ZZ,$M$28,6)))</f>
        <v/>
      </c>
      <c r="H35" s="118">
        <f>IF(AND(ISNUMBER(IF($P35="","",IF(INDEX('_views'!$B:$ZZ,$P35,1)="","",INDEX('_views'!$B:$ZZ,$P35,1)))),ISNUMBER(IF($Q35="","",IF(INDEX('_views'!$B:$ZZ,$Q35,1)="","",INDEX('_views'!$B:$ZZ,$Q35,1))))),IF(ABS(IF($P35="","",IF(INDEX('_views'!$B:$ZZ,$P35,1)="","",INDEX('_views'!$B:$ZZ,$P35,1)))-significance_bar)&lt;=2.0*IF($Q35="","",IF(INDEX('_views'!$B:$ZZ,$Q35,1)="","",INDEX('_views'!$B:$ZZ,$Q35,1))),"borderline (p "&amp;IF(ROUND(IF($P35="","",IF(INDEX('_views'!$B:$ZZ,$P35,1)="","",INDEX('_views'!$B:$ZZ,$P35,1))),3)=ROUND(significance_bar,3),TEXT(IF($P35="","",IF(INDEX('_views'!$B:$ZZ,$P35,1)="","",INDEX('_views'!$B:$ZZ,$P35,1))),"0.0000"),TEXT(IF($P35="","",IF(INDEX('_views'!$B:$ZZ,$P35,1)="","",INDEX('_views'!$B:$ZZ,$P35,1))),"0.000"))&amp;")",IF($P35="","",IF(INDEX('_views'!$B:$ZZ,$P35,1)="","",INDEX('_views'!$B:$ZZ,$P35,1)))),IF(IF($P35="","",IF(INDEX('_views'!$B:$ZZ,$P35,1)="","",INDEX('_views'!$B:$ZZ,$P35,1)))="","",IF($P35="","",IF(INDEX('_views'!$B:$ZZ,$P35,1)="","",INDEX('_views'!$B:$ZZ,$P35,1)))))</f>
        <v/>
      </c>
      <c r="I35" s="118">
        <f>IF(AND(ISNUMBER(IF($P35="","",IF(INDEX('_views'!$B:$ZZ,$P35,2)="","",INDEX('_views'!$B:$ZZ,$P35,2)))),ISNUMBER(IF($Q35="","",IF(INDEX('_views'!$B:$ZZ,$Q35,2)="","",INDEX('_views'!$B:$ZZ,$Q35,2))))),IF(ABS(IF($P35="","",IF(INDEX('_views'!$B:$ZZ,$P35,2)="","",INDEX('_views'!$B:$ZZ,$P35,2)))-significance_bar)&lt;=2.0*IF($Q35="","",IF(INDEX('_views'!$B:$ZZ,$Q35,2)="","",INDEX('_views'!$B:$ZZ,$Q35,2))),"borderline (p "&amp;IF(ROUND(IF($P35="","",IF(INDEX('_views'!$B:$ZZ,$P35,2)="","",INDEX('_views'!$B:$ZZ,$P35,2))),3)=ROUND(significance_bar,3),TEXT(IF($P35="","",IF(INDEX('_views'!$B:$ZZ,$P35,2)="","",INDEX('_views'!$B:$ZZ,$P35,2))),"0.0000"),TEXT(IF($P35="","",IF(INDEX('_views'!$B:$ZZ,$P35,2)="","",INDEX('_views'!$B:$ZZ,$P35,2))),"0.000"))&amp;")",IF($P35="","",IF(INDEX('_views'!$B:$ZZ,$P35,2)="","",INDEX('_views'!$B:$ZZ,$P35,2)))),IF(IF($P35="","",IF(INDEX('_views'!$B:$ZZ,$P35,2)="","",INDEX('_views'!$B:$ZZ,$P35,2)))="","",IF($P35="","",IF(INDEX('_views'!$B:$ZZ,$P35,2)="","",INDEX('_views'!$B:$ZZ,$P35,2)))))</f>
        <v/>
      </c>
      <c r="J35" s="118">
        <f>IF(AND(ISNUMBER(IF($P35="","",IF(INDEX('_views'!$B:$ZZ,$P35,3)="","",INDEX('_views'!$B:$ZZ,$P35,3)))),ISNUMBER(IF($Q35="","",IF(INDEX('_views'!$B:$ZZ,$Q35,3)="","",INDEX('_views'!$B:$ZZ,$Q35,3))))),IF(ABS(IF($P35="","",IF(INDEX('_views'!$B:$ZZ,$P35,3)="","",INDEX('_views'!$B:$ZZ,$P35,3)))-significance_bar)&lt;=2.0*IF($Q35="","",IF(INDEX('_views'!$B:$ZZ,$Q35,3)="","",INDEX('_views'!$B:$ZZ,$Q35,3))),"borderline (p "&amp;IF(ROUND(IF($P35="","",IF(INDEX('_views'!$B:$ZZ,$P35,3)="","",INDEX('_views'!$B:$ZZ,$P35,3))),3)=ROUND(significance_bar,3),TEXT(IF($P35="","",IF(INDEX('_views'!$B:$ZZ,$P35,3)="","",INDEX('_views'!$B:$ZZ,$P35,3))),"0.0000"),TEXT(IF($P35="","",IF(INDEX('_views'!$B:$ZZ,$P35,3)="","",INDEX('_views'!$B:$ZZ,$P35,3))),"0.000"))&amp;")",IF($P35="","",IF(INDEX('_views'!$B:$ZZ,$P35,3)="","",INDEX('_views'!$B:$ZZ,$P35,3)))),IF(IF($P35="","",IF(INDEX('_views'!$B:$ZZ,$P35,3)="","",INDEX('_views'!$B:$ZZ,$P35,3)))="","",IF($P35="","",IF(INDEX('_views'!$B:$ZZ,$P35,3)="","",INDEX('_views'!$B:$ZZ,$P35,3)))))</f>
        <v/>
      </c>
      <c r="O35">
        <f>IFERROR(MATCH("S|"&amp;$B$15&amp;"|"&amp;$M$26&amp;"|v|6",'_views'!$A:$A,0),"")</f>
        <v/>
      </c>
      <c r="P35">
        <f>IFERROR(MATCH("S|"&amp;$B$15&amp;"|"&amp;$M$26&amp;"|p|6",'_views'!$A:$A,0),"")</f>
        <v/>
      </c>
      <c r="Q35">
        <f>IFERROR(MATCH("S|"&amp;$B$15&amp;"|"&amp;$M$26&amp;"|se|6",'_views'!$A:$A,0),"")</f>
        <v/>
      </c>
    </row>
    <row r="36" ht="16" customHeight="1">
      <c r="B36" s="113">
        <f>IF($M$28="","",IF(INDEX('_views'!$B:$ZZ,$M$28,7)="","",INDEX('_views'!$B:$ZZ,$M$28,7)))</f>
        <v/>
      </c>
      <c r="C36" s="116">
        <f>IF(IF($O36="","",IF(INDEX('_views'!$B:$ZZ,$O36,1)="","",INDEX('_views'!$B:$ZZ,$O36,1)))="","",IF(AND(ISNUMBER(IF($P36="","",IF(INDEX('_views'!$B:$ZZ,$P36,1)="","",INDEX('_views'!$B:$ZZ,$P36,1)))),IF($P36="","",IF(INDEX('_views'!$B:$ZZ,$P36,1)="","",INDEX('_views'!$B:$ZZ,$P36,1)))&lt;significance_bar),IF($O36="","",IF(INDEX('_views'!$B:$ZZ,$O36,1)="","",INDEX('_views'!$B:$ZZ,$O36,1))),IF($N$26="pts","("&amp;TEXT(IF($O36="","",IF(INDEX('_views'!$B:$ZZ,$O36,1)="","",INDEX('_views'!$B:$ZZ,$O36,1))),"+0.00;-0.00")&amp;" pts)","("&amp;TEXT(IF($O36="","",IF(INDEX('_views'!$B:$ZZ,$O36,1)="","",INDEX('_views'!$B:$ZZ,$O36,1))),"0.00")&amp;"×)")))</f>
        <v/>
      </c>
      <c r="D36" s="116">
        <f>IF(IF($O36="","",IF(INDEX('_views'!$B:$ZZ,$O36,2)="","",INDEX('_views'!$B:$ZZ,$O36,2)))="","",IF(AND(ISNUMBER(IF($P36="","",IF(INDEX('_views'!$B:$ZZ,$P36,2)="","",INDEX('_views'!$B:$ZZ,$P36,2)))),IF($P36="","",IF(INDEX('_views'!$B:$ZZ,$P36,2)="","",INDEX('_views'!$B:$ZZ,$P36,2)))&lt;significance_bar),IF($O36="","",IF(INDEX('_views'!$B:$ZZ,$O36,2)="","",INDEX('_views'!$B:$ZZ,$O36,2))),IF($N$26="pts","("&amp;TEXT(IF($O36="","",IF(INDEX('_views'!$B:$ZZ,$O36,2)="","",INDEX('_views'!$B:$ZZ,$O36,2))),"+0.00;-0.00")&amp;" pts)","("&amp;TEXT(IF($O36="","",IF(INDEX('_views'!$B:$ZZ,$O36,2)="","",INDEX('_views'!$B:$ZZ,$O36,2))),"0.00")&amp;"×)")))</f>
        <v/>
      </c>
      <c r="E36" s="116">
        <f>IF(IF($O36="","",IF(INDEX('_views'!$B:$ZZ,$O36,3)="","",INDEX('_views'!$B:$ZZ,$O36,3)))="","",IF(AND(ISNUMBER(IF($P36="","",IF(INDEX('_views'!$B:$ZZ,$P36,3)="","",INDEX('_views'!$B:$ZZ,$P36,3)))),IF($P36="","",IF(INDEX('_views'!$B:$ZZ,$P36,3)="","",INDEX('_views'!$B:$ZZ,$P36,3)))&lt;significance_bar),IF($O36="","",IF(INDEX('_views'!$B:$ZZ,$O36,3)="","",INDEX('_views'!$B:$ZZ,$O36,3))),IF($N$26="pts","("&amp;TEXT(IF($O36="","",IF(INDEX('_views'!$B:$ZZ,$O36,3)="","",INDEX('_views'!$B:$ZZ,$O36,3))),"+0.00;-0.00")&amp;" pts)","("&amp;TEXT(IF($O36="","",IF(INDEX('_views'!$B:$ZZ,$O36,3)="","",INDEX('_views'!$B:$ZZ,$O36,3))),"0.00")&amp;"×)")))</f>
        <v/>
      </c>
      <c r="G36" s="113">
        <f>IF($M$28="","",IF(INDEX('_views'!$B:$ZZ,$M$28,7)="","",INDEX('_views'!$B:$ZZ,$M$28,7)))</f>
        <v/>
      </c>
      <c r="H36" s="118">
        <f>IF(AND(ISNUMBER(IF($P36="","",IF(INDEX('_views'!$B:$ZZ,$P36,1)="","",INDEX('_views'!$B:$ZZ,$P36,1)))),ISNUMBER(IF($Q36="","",IF(INDEX('_views'!$B:$ZZ,$Q36,1)="","",INDEX('_views'!$B:$ZZ,$Q36,1))))),IF(ABS(IF($P36="","",IF(INDEX('_views'!$B:$ZZ,$P36,1)="","",INDEX('_views'!$B:$ZZ,$P36,1)))-significance_bar)&lt;=2.0*IF($Q36="","",IF(INDEX('_views'!$B:$ZZ,$Q36,1)="","",INDEX('_views'!$B:$ZZ,$Q36,1))),"borderline (p "&amp;IF(ROUND(IF($P36="","",IF(INDEX('_views'!$B:$ZZ,$P36,1)="","",INDEX('_views'!$B:$ZZ,$P36,1))),3)=ROUND(significance_bar,3),TEXT(IF($P36="","",IF(INDEX('_views'!$B:$ZZ,$P36,1)="","",INDEX('_views'!$B:$ZZ,$P36,1))),"0.0000"),TEXT(IF($P36="","",IF(INDEX('_views'!$B:$ZZ,$P36,1)="","",INDEX('_views'!$B:$ZZ,$P36,1))),"0.000"))&amp;")",IF($P36="","",IF(INDEX('_views'!$B:$ZZ,$P36,1)="","",INDEX('_views'!$B:$ZZ,$P36,1)))),IF(IF($P36="","",IF(INDEX('_views'!$B:$ZZ,$P36,1)="","",INDEX('_views'!$B:$ZZ,$P36,1)))="","",IF($P36="","",IF(INDEX('_views'!$B:$ZZ,$P36,1)="","",INDEX('_views'!$B:$ZZ,$P36,1)))))</f>
        <v/>
      </c>
      <c r="I36" s="118">
        <f>IF(AND(ISNUMBER(IF($P36="","",IF(INDEX('_views'!$B:$ZZ,$P36,2)="","",INDEX('_views'!$B:$ZZ,$P36,2)))),ISNUMBER(IF($Q36="","",IF(INDEX('_views'!$B:$ZZ,$Q36,2)="","",INDEX('_views'!$B:$ZZ,$Q36,2))))),IF(ABS(IF($P36="","",IF(INDEX('_views'!$B:$ZZ,$P36,2)="","",INDEX('_views'!$B:$ZZ,$P36,2)))-significance_bar)&lt;=2.0*IF($Q36="","",IF(INDEX('_views'!$B:$ZZ,$Q36,2)="","",INDEX('_views'!$B:$ZZ,$Q36,2))),"borderline (p "&amp;IF(ROUND(IF($P36="","",IF(INDEX('_views'!$B:$ZZ,$P36,2)="","",INDEX('_views'!$B:$ZZ,$P36,2))),3)=ROUND(significance_bar,3),TEXT(IF($P36="","",IF(INDEX('_views'!$B:$ZZ,$P36,2)="","",INDEX('_views'!$B:$ZZ,$P36,2))),"0.0000"),TEXT(IF($P36="","",IF(INDEX('_views'!$B:$ZZ,$P36,2)="","",INDEX('_views'!$B:$ZZ,$P36,2))),"0.000"))&amp;")",IF($P36="","",IF(INDEX('_views'!$B:$ZZ,$P36,2)="","",INDEX('_views'!$B:$ZZ,$P36,2)))),IF(IF($P36="","",IF(INDEX('_views'!$B:$ZZ,$P36,2)="","",INDEX('_views'!$B:$ZZ,$P36,2)))="","",IF($P36="","",IF(INDEX('_views'!$B:$ZZ,$P36,2)="","",INDEX('_views'!$B:$ZZ,$P36,2)))))</f>
        <v/>
      </c>
      <c r="J36" s="118">
        <f>IF(AND(ISNUMBER(IF($P36="","",IF(INDEX('_views'!$B:$ZZ,$P36,3)="","",INDEX('_views'!$B:$ZZ,$P36,3)))),ISNUMBER(IF($Q36="","",IF(INDEX('_views'!$B:$ZZ,$Q36,3)="","",INDEX('_views'!$B:$ZZ,$Q36,3))))),IF(ABS(IF($P36="","",IF(INDEX('_views'!$B:$ZZ,$P36,3)="","",INDEX('_views'!$B:$ZZ,$P36,3)))-significance_bar)&lt;=2.0*IF($Q36="","",IF(INDEX('_views'!$B:$ZZ,$Q36,3)="","",INDEX('_views'!$B:$ZZ,$Q36,3))),"borderline (p "&amp;IF(ROUND(IF($P36="","",IF(INDEX('_views'!$B:$ZZ,$P36,3)="","",INDEX('_views'!$B:$ZZ,$P36,3))),3)=ROUND(significance_bar,3),TEXT(IF($P36="","",IF(INDEX('_views'!$B:$ZZ,$P36,3)="","",INDEX('_views'!$B:$ZZ,$P36,3))),"0.0000"),TEXT(IF($P36="","",IF(INDEX('_views'!$B:$ZZ,$P36,3)="","",INDEX('_views'!$B:$ZZ,$P36,3))),"0.000"))&amp;")",IF($P36="","",IF(INDEX('_views'!$B:$ZZ,$P36,3)="","",INDEX('_views'!$B:$ZZ,$P36,3)))),IF(IF($P36="","",IF(INDEX('_views'!$B:$ZZ,$P36,3)="","",INDEX('_views'!$B:$ZZ,$P36,3)))="","",IF($P36="","",IF(INDEX('_views'!$B:$ZZ,$P36,3)="","",INDEX('_views'!$B:$ZZ,$P36,3)))))</f>
        <v/>
      </c>
      <c r="O36">
        <f>IFERROR(MATCH("S|"&amp;$B$15&amp;"|"&amp;$M$26&amp;"|v|7",'_views'!$A:$A,0),"")</f>
        <v/>
      </c>
      <c r="P36">
        <f>IFERROR(MATCH("S|"&amp;$B$15&amp;"|"&amp;$M$26&amp;"|p|7",'_views'!$A:$A,0),"")</f>
        <v/>
      </c>
      <c r="Q36">
        <f>IFERROR(MATCH("S|"&amp;$B$15&amp;"|"&amp;$M$26&amp;"|se|7",'_views'!$A:$A,0),"")</f>
        <v/>
      </c>
    </row>
  </sheetData>
  <mergeCells count="14">
    <mergeCell ref="C4:J4"/>
    <mergeCell ref="I12:J12"/>
    <mergeCell ref="G12:H12"/>
    <mergeCell ref="C7:J7"/>
    <mergeCell ref="E15:F15"/>
    <mergeCell ref="C6:J6"/>
    <mergeCell ref="G11:H11"/>
    <mergeCell ref="I11:J11"/>
    <mergeCell ref="B23:J23"/>
    <mergeCell ref="C5:J5"/>
    <mergeCell ref="G15:J15"/>
    <mergeCell ref="B15:D15"/>
    <mergeCell ref="C8:J8"/>
    <mergeCell ref="C9:J9"/>
  </mergeCells>
  <conditionalFormatting sqref="E15:F15">
    <cfRule type="expression" priority="1" dxfId="39">
      <formula>IF($L$15="","",IF(INDEX('_views'!$B:$ZZ,$L$15,2)="","",INDEX('_views'!$B:$ZZ,$L$15,2)))=1</formula>
    </cfRule>
    <cfRule type="expression" priority="2" dxfId="3">
      <formula>IF($L$15="","",IF(INDEX('_views'!$B:$ZZ,$L$15,2)="","",INDEX('_views'!$B:$ZZ,$L$15,2)))=0</formula>
    </cfRule>
  </conditionalFormatting>
  <conditionalFormatting sqref="E18">
    <cfRule type="expression" priority="3" dxfId="40">
      <formula>AND(IF($L18="","",IF(INDEX('_views'!$B:$ZZ,$L18,6)="","",INDEX('_views'!$B:$ZZ,$L18,6)))="pts",AND(ISNUMBER(E18),IFERROR(IF(IF($L18="","",IF(INDEX('_views'!$B:$ZZ,$L18,6)="","",INDEX('_views'!$B:$ZZ,$L18,6)))="pts",-E18/1,IF(IF($L18="","",IF(INDEX('_views'!$B:$ZZ,$L18,6)="","",INDEX('_views'!$B:$ZZ,$L18,6)))="x",LOG(E18,2),IF(IF($L18="","",IF(INDEX('_views'!$B:$ZZ,$L18,6)="","",INDEX('_views'!$B:$ZZ,$L18,6)))="xr",-LOG(E18,2),0))),0)&gt;=1.0))</formula>
    </cfRule>
    <cfRule type="expression" priority="4" dxfId="41">
      <formula>AND(ISNUMBER(E18),IFERROR(IF(IF($L18="","",IF(INDEX('_views'!$B:$ZZ,$L18,6)="","",INDEX('_views'!$B:$ZZ,$L18,6)))="pts",-E18/1,IF(IF($L18="","",IF(INDEX('_views'!$B:$ZZ,$L18,6)="","",INDEX('_views'!$B:$ZZ,$L18,6)))="x",LOG(E18,2),IF(IF($L18="","",IF(INDEX('_views'!$B:$ZZ,$L18,6)="","",INDEX('_views'!$B:$ZZ,$L18,6)))="xr",-LOG(E18,2),0))),0)&gt;=1.0)</formula>
    </cfRule>
    <cfRule type="expression" priority="5" dxfId="42">
      <formula>AND(IF($L18="","",IF(INDEX('_views'!$B:$ZZ,$L18,6)="","",INDEX('_views'!$B:$ZZ,$L18,6)))="pts",AND(ISNUMBER(E18),IFERROR(IF(IF($L18="","",IF(INDEX('_views'!$B:$ZZ,$L18,6)="","",INDEX('_views'!$B:$ZZ,$L18,6)))="pts",-E18/1,IF(IF($L18="","",IF(INDEX('_views'!$B:$ZZ,$L18,6)="","",INDEX('_views'!$B:$ZZ,$L18,6)))="x",LOG(E18,2),IF(IF($L18="","",IF(INDEX('_views'!$B:$ZZ,$L18,6)="","",INDEX('_views'!$B:$ZZ,$L18,6)))="xr",-LOG(E18,2),0))),0)&gt;=0.585))</formula>
    </cfRule>
    <cfRule type="expression" priority="6" dxfId="43">
      <formula>AND(ISNUMBER(E18),IFERROR(IF(IF($L18="","",IF(INDEX('_views'!$B:$ZZ,$L18,6)="","",INDEX('_views'!$B:$ZZ,$L18,6)))="pts",-E18/1,IF(IF($L18="","",IF(INDEX('_views'!$B:$ZZ,$L18,6)="","",INDEX('_views'!$B:$ZZ,$L18,6)))="x",LOG(E18,2),IF(IF($L18="","",IF(INDEX('_views'!$B:$ZZ,$L18,6)="","",INDEX('_views'!$B:$ZZ,$L18,6)))="xr",-LOG(E18,2),0))),0)&gt;=0.585)</formula>
    </cfRule>
    <cfRule type="expression" priority="7" dxfId="44">
      <formula>AND(IF($L18="","",IF(INDEX('_views'!$B:$ZZ,$L18,6)="","",INDEX('_views'!$B:$ZZ,$L18,6)))="pts",AND(ISNUMBER(E18),IFERROR(IF(IF($L18="","",IF(INDEX('_views'!$B:$ZZ,$L18,6)="","",INDEX('_views'!$B:$ZZ,$L18,6)))="pts",-E18/1,IF(IF($L18="","",IF(INDEX('_views'!$B:$ZZ,$L18,6)="","",INDEX('_views'!$B:$ZZ,$L18,6)))="x",LOG(E18,2),IF(IF($L18="","",IF(INDEX('_views'!$B:$ZZ,$L18,6)="","",INDEX('_views'!$B:$ZZ,$L18,6)))="xr",-LOG(E18,2),0))),0)&gt;=0.263))</formula>
    </cfRule>
    <cfRule type="expression" priority="8" dxfId="45">
      <formula>AND(ISNUMBER(E18),IFERROR(IF(IF($L18="","",IF(INDEX('_views'!$B:$ZZ,$L18,6)="","",INDEX('_views'!$B:$ZZ,$L18,6)))="pts",-E18/1,IF(IF($L18="","",IF(INDEX('_views'!$B:$ZZ,$L18,6)="","",INDEX('_views'!$B:$ZZ,$L18,6)))="x",LOG(E18,2),IF(IF($L18="","",IF(INDEX('_views'!$B:$ZZ,$L18,6)="","",INDEX('_views'!$B:$ZZ,$L18,6)))="xr",-LOG(E18,2),0))),0)&gt;=0.263)</formula>
    </cfRule>
    <cfRule type="expression" priority="9" dxfId="46">
      <formula>AND(IF($L18="","",IF(INDEX('_views'!$B:$ZZ,$L18,6)="","",INDEX('_views'!$B:$ZZ,$L18,6)))="pts",AND(ISNUMBER(E18),IFERROR(IF(IF($L18="","",IF(INDEX('_views'!$B:$ZZ,$L18,6)="","",INDEX('_views'!$B:$ZZ,$L18,6)))="pts",-E18/1,IF(IF($L18="","",IF(INDEX('_views'!$B:$ZZ,$L18,6)="","",INDEX('_views'!$B:$ZZ,$L18,6)))="x",LOG(E18,2),IF(IF($L18="","",IF(INDEX('_views'!$B:$ZZ,$L18,6)="","",INDEX('_views'!$B:$ZZ,$L18,6)))="xr",-LOG(E18,2),0))),0)&lt;=-0.585))</formula>
    </cfRule>
    <cfRule type="expression" priority="10" dxfId="47">
      <formula>AND(ISNUMBER(E18),IFERROR(IF(IF($L18="","",IF(INDEX('_views'!$B:$ZZ,$L18,6)="","",INDEX('_views'!$B:$ZZ,$L18,6)))="pts",-E18/1,IF(IF($L18="","",IF(INDEX('_views'!$B:$ZZ,$L18,6)="","",INDEX('_views'!$B:$ZZ,$L18,6)))="x",LOG(E18,2),IF(IF($L18="","",IF(INDEX('_views'!$B:$ZZ,$L18,6)="","",INDEX('_views'!$B:$ZZ,$L18,6)))="xr",-LOG(E18,2),0))),0)&lt;=-0.585)</formula>
    </cfRule>
    <cfRule type="expression" priority="11" dxfId="48">
      <formula>AND(IF($L18="","",IF(INDEX('_views'!$B:$ZZ,$L18,6)="","",INDEX('_views'!$B:$ZZ,$L18,6)))="pts",AND(ISNUMBER(E18),IFERROR(IF(IF($L18="","",IF(INDEX('_views'!$B:$ZZ,$L18,6)="","",INDEX('_views'!$B:$ZZ,$L18,6)))="pts",-E18/1,IF(IF($L18="","",IF(INDEX('_views'!$B:$ZZ,$L18,6)="","",INDEX('_views'!$B:$ZZ,$L18,6)))="x",LOG(E18,2),IF(IF($L18="","",IF(INDEX('_views'!$B:$ZZ,$L18,6)="","",INDEX('_views'!$B:$ZZ,$L18,6)))="xr",-LOG(E18,2),0))),0)&lt;=-0.263))</formula>
    </cfRule>
    <cfRule type="expression" priority="12" dxfId="49">
      <formula>AND(ISNUMBER(E18),IFERROR(IF(IF($L18="","",IF(INDEX('_views'!$B:$ZZ,$L18,6)="","",INDEX('_views'!$B:$ZZ,$L18,6)))="pts",-E18/1,IF(IF($L18="","",IF(INDEX('_views'!$B:$ZZ,$L18,6)="","",INDEX('_views'!$B:$ZZ,$L18,6)))="x",LOG(E18,2),IF(IF($L18="","",IF(INDEX('_views'!$B:$ZZ,$L18,6)="","",INDEX('_views'!$B:$ZZ,$L18,6)))="xr",-LOG(E18,2),0))),0)&lt;=-0.263)</formula>
    </cfRule>
    <cfRule type="expression" priority="13" dxfId="50">
      <formula>AND(IF($L18="","",IF(INDEX('_views'!$B:$ZZ,$L18,6)="","",INDEX('_views'!$B:$ZZ,$L18,6)))="pts",ISNUMBER(E18))</formula>
    </cfRule>
    <cfRule type="expression" priority="14" dxfId="51">
      <formula>ISNUMBER(E18)</formula>
    </cfRule>
  </conditionalFormatting>
  <conditionalFormatting sqref="E19">
    <cfRule type="expression" priority="15" dxfId="40">
      <formula>AND(IF($L19="","",IF(INDEX('_views'!$B:$ZZ,$L19,6)="","",INDEX('_views'!$B:$ZZ,$L19,6)))="pts",AND(ISNUMBER(E19),IFERROR(IF(IF($L19="","",IF(INDEX('_views'!$B:$ZZ,$L19,6)="","",INDEX('_views'!$B:$ZZ,$L19,6)))="pts",-E19/1,IF(IF($L19="","",IF(INDEX('_views'!$B:$ZZ,$L19,6)="","",INDEX('_views'!$B:$ZZ,$L19,6)))="x",LOG(E19,2),IF(IF($L19="","",IF(INDEX('_views'!$B:$ZZ,$L19,6)="","",INDEX('_views'!$B:$ZZ,$L19,6)))="xr",-LOG(E19,2),0))),0)&gt;=1.0))</formula>
    </cfRule>
    <cfRule type="expression" priority="16" dxfId="41">
      <formula>AND(ISNUMBER(E19),IFERROR(IF(IF($L19="","",IF(INDEX('_views'!$B:$ZZ,$L19,6)="","",INDEX('_views'!$B:$ZZ,$L19,6)))="pts",-E19/1,IF(IF($L19="","",IF(INDEX('_views'!$B:$ZZ,$L19,6)="","",INDEX('_views'!$B:$ZZ,$L19,6)))="x",LOG(E19,2),IF(IF($L19="","",IF(INDEX('_views'!$B:$ZZ,$L19,6)="","",INDEX('_views'!$B:$ZZ,$L19,6)))="xr",-LOG(E19,2),0))),0)&gt;=1.0)</formula>
    </cfRule>
    <cfRule type="expression" priority="17" dxfId="42">
      <formula>AND(IF($L19="","",IF(INDEX('_views'!$B:$ZZ,$L19,6)="","",INDEX('_views'!$B:$ZZ,$L19,6)))="pts",AND(ISNUMBER(E19),IFERROR(IF(IF($L19="","",IF(INDEX('_views'!$B:$ZZ,$L19,6)="","",INDEX('_views'!$B:$ZZ,$L19,6)))="pts",-E19/1,IF(IF($L19="","",IF(INDEX('_views'!$B:$ZZ,$L19,6)="","",INDEX('_views'!$B:$ZZ,$L19,6)))="x",LOG(E19,2),IF(IF($L19="","",IF(INDEX('_views'!$B:$ZZ,$L19,6)="","",INDEX('_views'!$B:$ZZ,$L19,6)))="xr",-LOG(E19,2),0))),0)&gt;=0.585))</formula>
    </cfRule>
    <cfRule type="expression" priority="18" dxfId="43">
      <formula>AND(ISNUMBER(E19),IFERROR(IF(IF($L19="","",IF(INDEX('_views'!$B:$ZZ,$L19,6)="","",INDEX('_views'!$B:$ZZ,$L19,6)))="pts",-E19/1,IF(IF($L19="","",IF(INDEX('_views'!$B:$ZZ,$L19,6)="","",INDEX('_views'!$B:$ZZ,$L19,6)))="x",LOG(E19,2),IF(IF($L19="","",IF(INDEX('_views'!$B:$ZZ,$L19,6)="","",INDEX('_views'!$B:$ZZ,$L19,6)))="xr",-LOG(E19,2),0))),0)&gt;=0.585)</formula>
    </cfRule>
    <cfRule type="expression" priority="19" dxfId="44">
      <formula>AND(IF($L19="","",IF(INDEX('_views'!$B:$ZZ,$L19,6)="","",INDEX('_views'!$B:$ZZ,$L19,6)))="pts",AND(ISNUMBER(E19),IFERROR(IF(IF($L19="","",IF(INDEX('_views'!$B:$ZZ,$L19,6)="","",INDEX('_views'!$B:$ZZ,$L19,6)))="pts",-E19/1,IF(IF($L19="","",IF(INDEX('_views'!$B:$ZZ,$L19,6)="","",INDEX('_views'!$B:$ZZ,$L19,6)))="x",LOG(E19,2),IF(IF($L19="","",IF(INDEX('_views'!$B:$ZZ,$L19,6)="","",INDEX('_views'!$B:$ZZ,$L19,6)))="xr",-LOG(E19,2),0))),0)&gt;=0.263))</formula>
    </cfRule>
    <cfRule type="expression" priority="20" dxfId="45">
      <formula>AND(ISNUMBER(E19),IFERROR(IF(IF($L19="","",IF(INDEX('_views'!$B:$ZZ,$L19,6)="","",INDEX('_views'!$B:$ZZ,$L19,6)))="pts",-E19/1,IF(IF($L19="","",IF(INDEX('_views'!$B:$ZZ,$L19,6)="","",INDEX('_views'!$B:$ZZ,$L19,6)))="x",LOG(E19,2),IF(IF($L19="","",IF(INDEX('_views'!$B:$ZZ,$L19,6)="","",INDEX('_views'!$B:$ZZ,$L19,6)))="xr",-LOG(E19,2),0))),0)&gt;=0.263)</formula>
    </cfRule>
    <cfRule type="expression" priority="21" dxfId="46">
      <formula>AND(IF($L19="","",IF(INDEX('_views'!$B:$ZZ,$L19,6)="","",INDEX('_views'!$B:$ZZ,$L19,6)))="pts",AND(ISNUMBER(E19),IFERROR(IF(IF($L19="","",IF(INDEX('_views'!$B:$ZZ,$L19,6)="","",INDEX('_views'!$B:$ZZ,$L19,6)))="pts",-E19/1,IF(IF($L19="","",IF(INDEX('_views'!$B:$ZZ,$L19,6)="","",INDEX('_views'!$B:$ZZ,$L19,6)))="x",LOG(E19,2),IF(IF($L19="","",IF(INDEX('_views'!$B:$ZZ,$L19,6)="","",INDEX('_views'!$B:$ZZ,$L19,6)))="xr",-LOG(E19,2),0))),0)&lt;=-0.585))</formula>
    </cfRule>
    <cfRule type="expression" priority="22" dxfId="47">
      <formula>AND(ISNUMBER(E19),IFERROR(IF(IF($L19="","",IF(INDEX('_views'!$B:$ZZ,$L19,6)="","",INDEX('_views'!$B:$ZZ,$L19,6)))="pts",-E19/1,IF(IF($L19="","",IF(INDEX('_views'!$B:$ZZ,$L19,6)="","",INDEX('_views'!$B:$ZZ,$L19,6)))="x",LOG(E19,2),IF(IF($L19="","",IF(INDEX('_views'!$B:$ZZ,$L19,6)="","",INDEX('_views'!$B:$ZZ,$L19,6)))="xr",-LOG(E19,2),0))),0)&lt;=-0.585)</formula>
    </cfRule>
    <cfRule type="expression" priority="23" dxfId="48">
      <formula>AND(IF($L19="","",IF(INDEX('_views'!$B:$ZZ,$L19,6)="","",INDEX('_views'!$B:$ZZ,$L19,6)))="pts",AND(ISNUMBER(E19),IFERROR(IF(IF($L19="","",IF(INDEX('_views'!$B:$ZZ,$L19,6)="","",INDEX('_views'!$B:$ZZ,$L19,6)))="pts",-E19/1,IF(IF($L19="","",IF(INDEX('_views'!$B:$ZZ,$L19,6)="","",INDEX('_views'!$B:$ZZ,$L19,6)))="x",LOG(E19,2),IF(IF($L19="","",IF(INDEX('_views'!$B:$ZZ,$L19,6)="","",INDEX('_views'!$B:$ZZ,$L19,6)))="xr",-LOG(E19,2),0))),0)&lt;=-0.263))</formula>
    </cfRule>
    <cfRule type="expression" priority="24" dxfId="49">
      <formula>AND(ISNUMBER(E19),IFERROR(IF(IF($L19="","",IF(INDEX('_views'!$B:$ZZ,$L19,6)="","",INDEX('_views'!$B:$ZZ,$L19,6)))="pts",-E19/1,IF(IF($L19="","",IF(INDEX('_views'!$B:$ZZ,$L19,6)="","",INDEX('_views'!$B:$ZZ,$L19,6)))="x",LOG(E19,2),IF(IF($L19="","",IF(INDEX('_views'!$B:$ZZ,$L19,6)="","",INDEX('_views'!$B:$ZZ,$L19,6)))="xr",-LOG(E19,2),0))),0)&lt;=-0.263)</formula>
    </cfRule>
    <cfRule type="expression" priority="25" dxfId="50">
      <formula>AND(IF($L19="","",IF(INDEX('_views'!$B:$ZZ,$L19,6)="","",INDEX('_views'!$B:$ZZ,$L19,6)))="pts",ISNUMBER(E19))</formula>
    </cfRule>
    <cfRule type="expression" priority="26" dxfId="51">
      <formula>ISNUMBER(E19)</formula>
    </cfRule>
  </conditionalFormatting>
  <conditionalFormatting sqref="E20">
    <cfRule type="expression" priority="27" dxfId="40">
      <formula>AND(IF($L20="","",IF(INDEX('_views'!$B:$ZZ,$L20,6)="","",INDEX('_views'!$B:$ZZ,$L20,6)))="pts",AND(ISNUMBER(E20),IFERROR(IF(IF($L20="","",IF(INDEX('_views'!$B:$ZZ,$L20,6)="","",INDEX('_views'!$B:$ZZ,$L20,6)))="pts",-E20/1,IF(IF($L20="","",IF(INDEX('_views'!$B:$ZZ,$L20,6)="","",INDEX('_views'!$B:$ZZ,$L20,6)))="x",LOG(E20,2),IF(IF($L20="","",IF(INDEX('_views'!$B:$ZZ,$L20,6)="","",INDEX('_views'!$B:$ZZ,$L20,6)))="xr",-LOG(E20,2),0))),0)&gt;=1.0))</formula>
    </cfRule>
    <cfRule type="expression" priority="28" dxfId="41">
      <formula>AND(ISNUMBER(E20),IFERROR(IF(IF($L20="","",IF(INDEX('_views'!$B:$ZZ,$L20,6)="","",INDEX('_views'!$B:$ZZ,$L20,6)))="pts",-E20/1,IF(IF($L20="","",IF(INDEX('_views'!$B:$ZZ,$L20,6)="","",INDEX('_views'!$B:$ZZ,$L20,6)))="x",LOG(E20,2),IF(IF($L20="","",IF(INDEX('_views'!$B:$ZZ,$L20,6)="","",INDEX('_views'!$B:$ZZ,$L20,6)))="xr",-LOG(E20,2),0))),0)&gt;=1.0)</formula>
    </cfRule>
    <cfRule type="expression" priority="29" dxfId="42">
      <formula>AND(IF($L20="","",IF(INDEX('_views'!$B:$ZZ,$L20,6)="","",INDEX('_views'!$B:$ZZ,$L20,6)))="pts",AND(ISNUMBER(E20),IFERROR(IF(IF($L20="","",IF(INDEX('_views'!$B:$ZZ,$L20,6)="","",INDEX('_views'!$B:$ZZ,$L20,6)))="pts",-E20/1,IF(IF($L20="","",IF(INDEX('_views'!$B:$ZZ,$L20,6)="","",INDEX('_views'!$B:$ZZ,$L20,6)))="x",LOG(E20,2),IF(IF($L20="","",IF(INDEX('_views'!$B:$ZZ,$L20,6)="","",INDEX('_views'!$B:$ZZ,$L20,6)))="xr",-LOG(E20,2),0))),0)&gt;=0.585))</formula>
    </cfRule>
    <cfRule type="expression" priority="30" dxfId="43">
      <formula>AND(ISNUMBER(E20),IFERROR(IF(IF($L20="","",IF(INDEX('_views'!$B:$ZZ,$L20,6)="","",INDEX('_views'!$B:$ZZ,$L20,6)))="pts",-E20/1,IF(IF($L20="","",IF(INDEX('_views'!$B:$ZZ,$L20,6)="","",INDEX('_views'!$B:$ZZ,$L20,6)))="x",LOG(E20,2),IF(IF($L20="","",IF(INDEX('_views'!$B:$ZZ,$L20,6)="","",INDEX('_views'!$B:$ZZ,$L20,6)))="xr",-LOG(E20,2),0))),0)&gt;=0.585)</formula>
    </cfRule>
    <cfRule type="expression" priority="31" dxfId="44">
      <formula>AND(IF($L20="","",IF(INDEX('_views'!$B:$ZZ,$L20,6)="","",INDEX('_views'!$B:$ZZ,$L20,6)))="pts",AND(ISNUMBER(E20),IFERROR(IF(IF($L20="","",IF(INDEX('_views'!$B:$ZZ,$L20,6)="","",INDEX('_views'!$B:$ZZ,$L20,6)))="pts",-E20/1,IF(IF($L20="","",IF(INDEX('_views'!$B:$ZZ,$L20,6)="","",INDEX('_views'!$B:$ZZ,$L20,6)))="x",LOG(E20,2),IF(IF($L20="","",IF(INDEX('_views'!$B:$ZZ,$L20,6)="","",INDEX('_views'!$B:$ZZ,$L20,6)))="xr",-LOG(E20,2),0))),0)&gt;=0.263))</formula>
    </cfRule>
    <cfRule type="expression" priority="32" dxfId="45">
      <formula>AND(ISNUMBER(E20),IFERROR(IF(IF($L20="","",IF(INDEX('_views'!$B:$ZZ,$L20,6)="","",INDEX('_views'!$B:$ZZ,$L20,6)))="pts",-E20/1,IF(IF($L20="","",IF(INDEX('_views'!$B:$ZZ,$L20,6)="","",INDEX('_views'!$B:$ZZ,$L20,6)))="x",LOG(E20,2),IF(IF($L20="","",IF(INDEX('_views'!$B:$ZZ,$L20,6)="","",INDEX('_views'!$B:$ZZ,$L20,6)))="xr",-LOG(E20,2),0))),0)&gt;=0.263)</formula>
    </cfRule>
    <cfRule type="expression" priority="33" dxfId="46">
      <formula>AND(IF($L20="","",IF(INDEX('_views'!$B:$ZZ,$L20,6)="","",INDEX('_views'!$B:$ZZ,$L20,6)))="pts",AND(ISNUMBER(E20),IFERROR(IF(IF($L20="","",IF(INDEX('_views'!$B:$ZZ,$L20,6)="","",INDEX('_views'!$B:$ZZ,$L20,6)))="pts",-E20/1,IF(IF($L20="","",IF(INDEX('_views'!$B:$ZZ,$L20,6)="","",INDEX('_views'!$B:$ZZ,$L20,6)))="x",LOG(E20,2),IF(IF($L20="","",IF(INDEX('_views'!$B:$ZZ,$L20,6)="","",INDEX('_views'!$B:$ZZ,$L20,6)))="xr",-LOG(E20,2),0))),0)&lt;=-0.585))</formula>
    </cfRule>
    <cfRule type="expression" priority="34" dxfId="47">
      <formula>AND(ISNUMBER(E20),IFERROR(IF(IF($L20="","",IF(INDEX('_views'!$B:$ZZ,$L20,6)="","",INDEX('_views'!$B:$ZZ,$L20,6)))="pts",-E20/1,IF(IF($L20="","",IF(INDEX('_views'!$B:$ZZ,$L20,6)="","",INDEX('_views'!$B:$ZZ,$L20,6)))="x",LOG(E20,2),IF(IF($L20="","",IF(INDEX('_views'!$B:$ZZ,$L20,6)="","",INDEX('_views'!$B:$ZZ,$L20,6)))="xr",-LOG(E20,2),0))),0)&lt;=-0.585)</formula>
    </cfRule>
    <cfRule type="expression" priority="35" dxfId="48">
      <formula>AND(IF($L20="","",IF(INDEX('_views'!$B:$ZZ,$L20,6)="","",INDEX('_views'!$B:$ZZ,$L20,6)))="pts",AND(ISNUMBER(E20),IFERROR(IF(IF($L20="","",IF(INDEX('_views'!$B:$ZZ,$L20,6)="","",INDEX('_views'!$B:$ZZ,$L20,6)))="pts",-E20/1,IF(IF($L20="","",IF(INDEX('_views'!$B:$ZZ,$L20,6)="","",INDEX('_views'!$B:$ZZ,$L20,6)))="x",LOG(E20,2),IF(IF($L20="","",IF(INDEX('_views'!$B:$ZZ,$L20,6)="","",INDEX('_views'!$B:$ZZ,$L20,6)))="xr",-LOG(E20,2),0))),0)&lt;=-0.263))</formula>
    </cfRule>
    <cfRule type="expression" priority="36" dxfId="49">
      <formula>AND(ISNUMBER(E20),IFERROR(IF(IF($L20="","",IF(INDEX('_views'!$B:$ZZ,$L20,6)="","",INDEX('_views'!$B:$ZZ,$L20,6)))="pts",-E20/1,IF(IF($L20="","",IF(INDEX('_views'!$B:$ZZ,$L20,6)="","",INDEX('_views'!$B:$ZZ,$L20,6)))="x",LOG(E20,2),IF(IF($L20="","",IF(INDEX('_views'!$B:$ZZ,$L20,6)="","",INDEX('_views'!$B:$ZZ,$L20,6)))="xr",-LOG(E20,2),0))),0)&lt;=-0.263)</formula>
    </cfRule>
    <cfRule type="expression" priority="37" dxfId="50">
      <formula>AND(IF($L20="","",IF(INDEX('_views'!$B:$ZZ,$L20,6)="","",INDEX('_views'!$B:$ZZ,$L20,6)))="pts",ISNUMBER(E20))</formula>
    </cfRule>
    <cfRule type="expression" priority="38" dxfId="51">
      <formula>ISNUMBER(E20)</formula>
    </cfRule>
  </conditionalFormatting>
  <conditionalFormatting sqref="E21">
    <cfRule type="expression" priority="39" dxfId="40">
      <formula>AND(IF($L21="","",IF(INDEX('_views'!$B:$ZZ,$L21,6)="","",INDEX('_views'!$B:$ZZ,$L21,6)))="pts",AND(ISNUMBER(E21),IFERROR(IF(IF($L21="","",IF(INDEX('_views'!$B:$ZZ,$L21,6)="","",INDEX('_views'!$B:$ZZ,$L21,6)))="pts",-E21/1,IF(IF($L21="","",IF(INDEX('_views'!$B:$ZZ,$L21,6)="","",INDEX('_views'!$B:$ZZ,$L21,6)))="x",LOG(E21,2),IF(IF($L21="","",IF(INDEX('_views'!$B:$ZZ,$L21,6)="","",INDEX('_views'!$B:$ZZ,$L21,6)))="xr",-LOG(E21,2),0))),0)&gt;=1.0))</formula>
    </cfRule>
    <cfRule type="expression" priority="40" dxfId="41">
      <formula>AND(ISNUMBER(E21),IFERROR(IF(IF($L21="","",IF(INDEX('_views'!$B:$ZZ,$L21,6)="","",INDEX('_views'!$B:$ZZ,$L21,6)))="pts",-E21/1,IF(IF($L21="","",IF(INDEX('_views'!$B:$ZZ,$L21,6)="","",INDEX('_views'!$B:$ZZ,$L21,6)))="x",LOG(E21,2),IF(IF($L21="","",IF(INDEX('_views'!$B:$ZZ,$L21,6)="","",INDEX('_views'!$B:$ZZ,$L21,6)))="xr",-LOG(E21,2),0))),0)&gt;=1.0)</formula>
    </cfRule>
    <cfRule type="expression" priority="41" dxfId="42">
      <formula>AND(IF($L21="","",IF(INDEX('_views'!$B:$ZZ,$L21,6)="","",INDEX('_views'!$B:$ZZ,$L21,6)))="pts",AND(ISNUMBER(E21),IFERROR(IF(IF($L21="","",IF(INDEX('_views'!$B:$ZZ,$L21,6)="","",INDEX('_views'!$B:$ZZ,$L21,6)))="pts",-E21/1,IF(IF($L21="","",IF(INDEX('_views'!$B:$ZZ,$L21,6)="","",INDEX('_views'!$B:$ZZ,$L21,6)))="x",LOG(E21,2),IF(IF($L21="","",IF(INDEX('_views'!$B:$ZZ,$L21,6)="","",INDEX('_views'!$B:$ZZ,$L21,6)))="xr",-LOG(E21,2),0))),0)&gt;=0.585))</formula>
    </cfRule>
    <cfRule type="expression" priority="42" dxfId="43">
      <formula>AND(ISNUMBER(E21),IFERROR(IF(IF($L21="","",IF(INDEX('_views'!$B:$ZZ,$L21,6)="","",INDEX('_views'!$B:$ZZ,$L21,6)))="pts",-E21/1,IF(IF($L21="","",IF(INDEX('_views'!$B:$ZZ,$L21,6)="","",INDEX('_views'!$B:$ZZ,$L21,6)))="x",LOG(E21,2),IF(IF($L21="","",IF(INDEX('_views'!$B:$ZZ,$L21,6)="","",INDEX('_views'!$B:$ZZ,$L21,6)))="xr",-LOG(E21,2),0))),0)&gt;=0.585)</formula>
    </cfRule>
    <cfRule type="expression" priority="43" dxfId="44">
      <formula>AND(IF($L21="","",IF(INDEX('_views'!$B:$ZZ,$L21,6)="","",INDEX('_views'!$B:$ZZ,$L21,6)))="pts",AND(ISNUMBER(E21),IFERROR(IF(IF($L21="","",IF(INDEX('_views'!$B:$ZZ,$L21,6)="","",INDEX('_views'!$B:$ZZ,$L21,6)))="pts",-E21/1,IF(IF($L21="","",IF(INDEX('_views'!$B:$ZZ,$L21,6)="","",INDEX('_views'!$B:$ZZ,$L21,6)))="x",LOG(E21,2),IF(IF($L21="","",IF(INDEX('_views'!$B:$ZZ,$L21,6)="","",INDEX('_views'!$B:$ZZ,$L21,6)))="xr",-LOG(E21,2),0))),0)&gt;=0.263))</formula>
    </cfRule>
    <cfRule type="expression" priority="44" dxfId="45">
      <formula>AND(ISNUMBER(E21),IFERROR(IF(IF($L21="","",IF(INDEX('_views'!$B:$ZZ,$L21,6)="","",INDEX('_views'!$B:$ZZ,$L21,6)))="pts",-E21/1,IF(IF($L21="","",IF(INDEX('_views'!$B:$ZZ,$L21,6)="","",INDEX('_views'!$B:$ZZ,$L21,6)))="x",LOG(E21,2),IF(IF($L21="","",IF(INDEX('_views'!$B:$ZZ,$L21,6)="","",INDEX('_views'!$B:$ZZ,$L21,6)))="xr",-LOG(E21,2),0))),0)&gt;=0.263)</formula>
    </cfRule>
    <cfRule type="expression" priority="45" dxfId="46">
      <formula>AND(IF($L21="","",IF(INDEX('_views'!$B:$ZZ,$L21,6)="","",INDEX('_views'!$B:$ZZ,$L21,6)))="pts",AND(ISNUMBER(E21),IFERROR(IF(IF($L21="","",IF(INDEX('_views'!$B:$ZZ,$L21,6)="","",INDEX('_views'!$B:$ZZ,$L21,6)))="pts",-E21/1,IF(IF($L21="","",IF(INDEX('_views'!$B:$ZZ,$L21,6)="","",INDEX('_views'!$B:$ZZ,$L21,6)))="x",LOG(E21,2),IF(IF($L21="","",IF(INDEX('_views'!$B:$ZZ,$L21,6)="","",INDEX('_views'!$B:$ZZ,$L21,6)))="xr",-LOG(E21,2),0))),0)&lt;=-0.585))</formula>
    </cfRule>
    <cfRule type="expression" priority="46" dxfId="47">
      <formula>AND(ISNUMBER(E21),IFERROR(IF(IF($L21="","",IF(INDEX('_views'!$B:$ZZ,$L21,6)="","",INDEX('_views'!$B:$ZZ,$L21,6)))="pts",-E21/1,IF(IF($L21="","",IF(INDEX('_views'!$B:$ZZ,$L21,6)="","",INDEX('_views'!$B:$ZZ,$L21,6)))="x",LOG(E21,2),IF(IF($L21="","",IF(INDEX('_views'!$B:$ZZ,$L21,6)="","",INDEX('_views'!$B:$ZZ,$L21,6)))="xr",-LOG(E21,2),0))),0)&lt;=-0.585)</formula>
    </cfRule>
    <cfRule type="expression" priority="47" dxfId="48">
      <formula>AND(IF($L21="","",IF(INDEX('_views'!$B:$ZZ,$L21,6)="","",INDEX('_views'!$B:$ZZ,$L21,6)))="pts",AND(ISNUMBER(E21),IFERROR(IF(IF($L21="","",IF(INDEX('_views'!$B:$ZZ,$L21,6)="","",INDEX('_views'!$B:$ZZ,$L21,6)))="pts",-E21/1,IF(IF($L21="","",IF(INDEX('_views'!$B:$ZZ,$L21,6)="","",INDEX('_views'!$B:$ZZ,$L21,6)))="x",LOG(E21,2),IF(IF($L21="","",IF(INDEX('_views'!$B:$ZZ,$L21,6)="","",INDEX('_views'!$B:$ZZ,$L21,6)))="xr",-LOG(E21,2),0))),0)&lt;=-0.263))</formula>
    </cfRule>
    <cfRule type="expression" priority="48" dxfId="49">
      <formula>AND(ISNUMBER(E21),IFERROR(IF(IF($L21="","",IF(INDEX('_views'!$B:$ZZ,$L21,6)="","",INDEX('_views'!$B:$ZZ,$L21,6)))="pts",-E21/1,IF(IF($L21="","",IF(INDEX('_views'!$B:$ZZ,$L21,6)="","",INDEX('_views'!$B:$ZZ,$L21,6)))="x",LOG(E21,2),IF(IF($L21="","",IF(INDEX('_views'!$B:$ZZ,$L21,6)="","",INDEX('_views'!$B:$ZZ,$L21,6)))="xr",-LOG(E21,2),0))),0)&lt;=-0.263)</formula>
    </cfRule>
    <cfRule type="expression" priority="49" dxfId="50">
      <formula>AND(IF($L21="","",IF(INDEX('_views'!$B:$ZZ,$L21,6)="","",INDEX('_views'!$B:$ZZ,$L21,6)))="pts",ISNUMBER(E21))</formula>
    </cfRule>
    <cfRule type="expression" priority="50" dxfId="51">
      <formula>ISNUMBER(E21)</formula>
    </cfRule>
  </conditionalFormatting>
  <conditionalFormatting sqref="E22">
    <cfRule type="expression" priority="51" dxfId="40">
      <formula>AND(IF($L22="","",IF(INDEX('_views'!$B:$ZZ,$L22,6)="","",INDEX('_views'!$B:$ZZ,$L22,6)))="pts",AND(ISNUMBER(E22),IFERROR(IF(IF($L22="","",IF(INDEX('_views'!$B:$ZZ,$L22,6)="","",INDEX('_views'!$B:$ZZ,$L22,6)))="pts",-E22/1,IF(IF($L22="","",IF(INDEX('_views'!$B:$ZZ,$L22,6)="","",INDEX('_views'!$B:$ZZ,$L22,6)))="x",LOG(E22,2),IF(IF($L22="","",IF(INDEX('_views'!$B:$ZZ,$L22,6)="","",INDEX('_views'!$B:$ZZ,$L22,6)))="xr",-LOG(E22,2),0))),0)&gt;=1.0))</formula>
    </cfRule>
    <cfRule type="expression" priority="52" dxfId="41">
      <formula>AND(ISNUMBER(E22),IFERROR(IF(IF($L22="","",IF(INDEX('_views'!$B:$ZZ,$L22,6)="","",INDEX('_views'!$B:$ZZ,$L22,6)))="pts",-E22/1,IF(IF($L22="","",IF(INDEX('_views'!$B:$ZZ,$L22,6)="","",INDEX('_views'!$B:$ZZ,$L22,6)))="x",LOG(E22,2),IF(IF($L22="","",IF(INDEX('_views'!$B:$ZZ,$L22,6)="","",INDEX('_views'!$B:$ZZ,$L22,6)))="xr",-LOG(E22,2),0))),0)&gt;=1.0)</formula>
    </cfRule>
    <cfRule type="expression" priority="53" dxfId="42">
      <formula>AND(IF($L22="","",IF(INDEX('_views'!$B:$ZZ,$L22,6)="","",INDEX('_views'!$B:$ZZ,$L22,6)))="pts",AND(ISNUMBER(E22),IFERROR(IF(IF($L22="","",IF(INDEX('_views'!$B:$ZZ,$L22,6)="","",INDEX('_views'!$B:$ZZ,$L22,6)))="pts",-E22/1,IF(IF($L22="","",IF(INDEX('_views'!$B:$ZZ,$L22,6)="","",INDEX('_views'!$B:$ZZ,$L22,6)))="x",LOG(E22,2),IF(IF($L22="","",IF(INDEX('_views'!$B:$ZZ,$L22,6)="","",INDEX('_views'!$B:$ZZ,$L22,6)))="xr",-LOG(E22,2),0))),0)&gt;=0.585))</formula>
    </cfRule>
    <cfRule type="expression" priority="54" dxfId="43">
      <formula>AND(ISNUMBER(E22),IFERROR(IF(IF($L22="","",IF(INDEX('_views'!$B:$ZZ,$L22,6)="","",INDEX('_views'!$B:$ZZ,$L22,6)))="pts",-E22/1,IF(IF($L22="","",IF(INDEX('_views'!$B:$ZZ,$L22,6)="","",INDEX('_views'!$B:$ZZ,$L22,6)))="x",LOG(E22,2),IF(IF($L22="","",IF(INDEX('_views'!$B:$ZZ,$L22,6)="","",INDEX('_views'!$B:$ZZ,$L22,6)))="xr",-LOG(E22,2),0))),0)&gt;=0.585)</formula>
    </cfRule>
    <cfRule type="expression" priority="55" dxfId="44">
      <formula>AND(IF($L22="","",IF(INDEX('_views'!$B:$ZZ,$L22,6)="","",INDEX('_views'!$B:$ZZ,$L22,6)))="pts",AND(ISNUMBER(E22),IFERROR(IF(IF($L22="","",IF(INDEX('_views'!$B:$ZZ,$L22,6)="","",INDEX('_views'!$B:$ZZ,$L22,6)))="pts",-E22/1,IF(IF($L22="","",IF(INDEX('_views'!$B:$ZZ,$L22,6)="","",INDEX('_views'!$B:$ZZ,$L22,6)))="x",LOG(E22,2),IF(IF($L22="","",IF(INDEX('_views'!$B:$ZZ,$L22,6)="","",INDEX('_views'!$B:$ZZ,$L22,6)))="xr",-LOG(E22,2),0))),0)&gt;=0.263))</formula>
    </cfRule>
    <cfRule type="expression" priority="56" dxfId="45">
      <formula>AND(ISNUMBER(E22),IFERROR(IF(IF($L22="","",IF(INDEX('_views'!$B:$ZZ,$L22,6)="","",INDEX('_views'!$B:$ZZ,$L22,6)))="pts",-E22/1,IF(IF($L22="","",IF(INDEX('_views'!$B:$ZZ,$L22,6)="","",INDEX('_views'!$B:$ZZ,$L22,6)))="x",LOG(E22,2),IF(IF($L22="","",IF(INDEX('_views'!$B:$ZZ,$L22,6)="","",INDEX('_views'!$B:$ZZ,$L22,6)))="xr",-LOG(E22,2),0))),0)&gt;=0.263)</formula>
    </cfRule>
    <cfRule type="expression" priority="57" dxfId="46">
      <formula>AND(IF($L22="","",IF(INDEX('_views'!$B:$ZZ,$L22,6)="","",INDEX('_views'!$B:$ZZ,$L22,6)))="pts",AND(ISNUMBER(E22),IFERROR(IF(IF($L22="","",IF(INDEX('_views'!$B:$ZZ,$L22,6)="","",INDEX('_views'!$B:$ZZ,$L22,6)))="pts",-E22/1,IF(IF($L22="","",IF(INDEX('_views'!$B:$ZZ,$L22,6)="","",INDEX('_views'!$B:$ZZ,$L22,6)))="x",LOG(E22,2),IF(IF($L22="","",IF(INDEX('_views'!$B:$ZZ,$L22,6)="","",INDEX('_views'!$B:$ZZ,$L22,6)))="xr",-LOG(E22,2),0))),0)&lt;=-0.585))</formula>
    </cfRule>
    <cfRule type="expression" priority="58" dxfId="47">
      <formula>AND(ISNUMBER(E22),IFERROR(IF(IF($L22="","",IF(INDEX('_views'!$B:$ZZ,$L22,6)="","",INDEX('_views'!$B:$ZZ,$L22,6)))="pts",-E22/1,IF(IF($L22="","",IF(INDEX('_views'!$B:$ZZ,$L22,6)="","",INDEX('_views'!$B:$ZZ,$L22,6)))="x",LOG(E22,2),IF(IF($L22="","",IF(INDEX('_views'!$B:$ZZ,$L22,6)="","",INDEX('_views'!$B:$ZZ,$L22,6)))="xr",-LOG(E22,2),0))),0)&lt;=-0.585)</formula>
    </cfRule>
    <cfRule type="expression" priority="59" dxfId="48">
      <formula>AND(IF($L22="","",IF(INDEX('_views'!$B:$ZZ,$L22,6)="","",INDEX('_views'!$B:$ZZ,$L22,6)))="pts",AND(ISNUMBER(E22),IFERROR(IF(IF($L22="","",IF(INDEX('_views'!$B:$ZZ,$L22,6)="","",INDEX('_views'!$B:$ZZ,$L22,6)))="pts",-E22/1,IF(IF($L22="","",IF(INDEX('_views'!$B:$ZZ,$L22,6)="","",INDEX('_views'!$B:$ZZ,$L22,6)))="x",LOG(E22,2),IF(IF($L22="","",IF(INDEX('_views'!$B:$ZZ,$L22,6)="","",INDEX('_views'!$B:$ZZ,$L22,6)))="xr",-LOG(E22,2),0))),0)&lt;=-0.263))</formula>
    </cfRule>
    <cfRule type="expression" priority="60" dxfId="49">
      <formula>AND(ISNUMBER(E22),IFERROR(IF(IF($L22="","",IF(INDEX('_views'!$B:$ZZ,$L22,6)="","",INDEX('_views'!$B:$ZZ,$L22,6)))="pts",-E22/1,IF(IF($L22="","",IF(INDEX('_views'!$B:$ZZ,$L22,6)="","",INDEX('_views'!$B:$ZZ,$L22,6)))="x",LOG(E22,2),IF(IF($L22="","",IF(INDEX('_views'!$B:$ZZ,$L22,6)="","",INDEX('_views'!$B:$ZZ,$L22,6)))="xr",-LOG(E22,2),0))),0)&lt;=-0.263)</formula>
    </cfRule>
    <cfRule type="expression" priority="61" dxfId="50">
      <formula>AND(IF($L22="","",IF(INDEX('_views'!$B:$ZZ,$L22,6)="","",INDEX('_views'!$B:$ZZ,$L22,6)))="pts",ISNUMBER(E22))</formula>
    </cfRule>
    <cfRule type="expression" priority="62" dxfId="51">
      <formula>ISNUMBER(E22)</formula>
    </cfRule>
  </conditionalFormatting>
  <conditionalFormatting sqref="B30:B36">
    <cfRule type="expression" priority="63" dxfId="6">
      <formula>$B30&lt;&gt;""</formula>
    </cfRule>
  </conditionalFormatting>
  <conditionalFormatting sqref="C30:E36">
    <cfRule type="expression" priority="64" dxfId="5">
      <formula>AND($B30&lt;&gt;"",ISTEXT(C30))</formula>
    </cfRule>
    <cfRule type="expression" priority="65" dxfId="26">
      <formula>AND($B30&lt;&gt;"",AND($N$26="pts",AND(ISNUMBER(C30),IFERROR(IF($N$26="pts",-C30/$N$27,IF($N$26="x",LOG(C30,2),IF($N$26="xr",-LOG(C30,2),0))),0)&gt;=1.0)))</formula>
    </cfRule>
    <cfRule type="expression" priority="66" dxfId="27">
      <formula>AND($B30&lt;&gt;"",AND(ISNUMBER(C30),IFERROR(IF($N$26="pts",-C30/$N$27,IF($N$26="x",LOG(C30,2),IF($N$26="xr",-LOG(C30,2),0))),0)&gt;=1.0))</formula>
    </cfRule>
    <cfRule type="expression" priority="67" dxfId="28">
      <formula>AND($B30&lt;&gt;"",AND($N$26="pts",AND(ISNUMBER(C30),IFERROR(IF($N$26="pts",-C30/$N$27,IF($N$26="x",LOG(C30,2),IF($N$26="xr",-LOG(C30,2),0))),0)&gt;=0.585)))</formula>
    </cfRule>
    <cfRule type="expression" priority="68" dxfId="29">
      <formula>AND($B30&lt;&gt;"",AND(ISNUMBER(C30),IFERROR(IF($N$26="pts",-C30/$N$27,IF($N$26="x",LOG(C30,2),IF($N$26="xr",-LOG(C30,2),0))),0)&gt;=0.585))</formula>
    </cfRule>
    <cfRule type="expression" priority="69" dxfId="30">
      <formula>AND($B30&lt;&gt;"",AND($N$26="pts",AND(ISNUMBER(C30),IFERROR(IF($N$26="pts",-C30/$N$27,IF($N$26="x",LOG(C30,2),IF($N$26="xr",-LOG(C30,2),0))),0)&gt;=0.263)))</formula>
    </cfRule>
    <cfRule type="expression" priority="70" dxfId="31">
      <formula>AND($B30&lt;&gt;"",AND(ISNUMBER(C30),IFERROR(IF($N$26="pts",-C30/$N$27,IF($N$26="x",LOG(C30,2),IF($N$26="xr",-LOG(C30,2),0))),0)&gt;=0.263))</formula>
    </cfRule>
    <cfRule type="expression" priority="71" dxfId="32">
      <formula>AND($B30&lt;&gt;"",AND($N$26="pts",AND(ISNUMBER(C30),IFERROR(IF($N$26="pts",-C30/$N$27,IF($N$26="x",LOG(C30,2),IF($N$26="xr",-LOG(C30,2),0))),0)&lt;=-0.585)))</formula>
    </cfRule>
    <cfRule type="expression" priority="72" dxfId="33">
      <formula>AND($B30&lt;&gt;"",AND(ISNUMBER(C30),IFERROR(IF($N$26="pts",-C30/$N$27,IF($N$26="x",LOG(C30,2),IF($N$26="xr",-LOG(C30,2),0))),0)&lt;=-0.585))</formula>
    </cfRule>
    <cfRule type="expression" priority="73" dxfId="34">
      <formula>AND($B30&lt;&gt;"",AND($N$26="pts",AND(ISNUMBER(C30),IFERROR(IF($N$26="pts",-C30/$N$27,IF($N$26="x",LOG(C30,2),IF($N$26="xr",-LOG(C30,2),0))),0)&lt;=-0.263)))</formula>
    </cfRule>
    <cfRule type="expression" priority="74" dxfId="35">
      <formula>AND($B30&lt;&gt;"",AND(ISNUMBER(C30),IFERROR(IF($N$26="pts",-C30/$N$27,IF($N$26="x",LOG(C30,2),IF($N$26="xr",-LOG(C30,2),0))),0)&lt;=-0.263))</formula>
    </cfRule>
    <cfRule type="expression" priority="75" dxfId="36">
      <formula>AND($B30&lt;&gt;"",AND($N$26="pts",ISNUMBER(C30)))</formula>
    </cfRule>
    <cfRule type="expression" priority="76" dxfId="12">
      <formula>AND($B30&lt;&gt;"",ISNUMBER(C30))</formula>
    </cfRule>
    <cfRule type="expression" priority="77" dxfId="6">
      <formula>$B30&lt;&gt;""</formula>
    </cfRule>
  </conditionalFormatting>
  <conditionalFormatting sqref="G30:G36">
    <cfRule type="expression" priority="78" dxfId="6">
      <formula>$G30&lt;&gt;""</formula>
    </cfRule>
  </conditionalFormatting>
  <conditionalFormatting sqref="H30:H36">
    <cfRule type="expression" priority="79" dxfId="52">
      <formula>AND($G30&lt;&gt;"",OR(AND(ISNUMBER(H30),H30&lt;significance_bar),AND(ISTEXT(H30),AND(ISNUMBER(IF($P30="","",IF(INDEX('_views'!$B:$ZZ,$P30,1)="","",INDEX('_views'!$B:$ZZ,$P30,1)))),IF($P30="","",IF(INDEX('_views'!$B:$ZZ,$P30,1)="","",INDEX('_views'!$B:$ZZ,$P30,1)))&lt;significance_bar))))</formula>
    </cfRule>
    <cfRule type="expression" priority="80" dxfId="6">
      <formula>$G30&lt;&gt;""</formula>
    </cfRule>
  </conditionalFormatting>
  <conditionalFormatting sqref="I30:I36">
    <cfRule type="expression" priority="81" dxfId="52">
      <formula>AND($G30&lt;&gt;"",OR(AND(ISNUMBER(I30),I30&lt;significance_bar),AND(ISTEXT(I30),AND(ISNUMBER(IF($P30="","",IF(INDEX('_views'!$B:$ZZ,$P30,2)="","",INDEX('_views'!$B:$ZZ,$P30,2)))),IF($P30="","",IF(INDEX('_views'!$B:$ZZ,$P30,2)="","",INDEX('_views'!$B:$ZZ,$P30,2)))&lt;significance_bar))))</formula>
    </cfRule>
    <cfRule type="expression" priority="82" dxfId="6">
      <formula>$G30&lt;&gt;""</formula>
    </cfRule>
  </conditionalFormatting>
  <conditionalFormatting sqref="J30:J36">
    <cfRule type="expression" priority="83" dxfId="52">
      <formula>AND($G30&lt;&gt;"",OR(AND(ISNUMBER(J30),J30&lt;significance_bar),AND(ISTEXT(J30),AND(ISNUMBER(IF($P30="","",IF(INDEX('_views'!$B:$ZZ,$P30,3)="","",INDEX('_views'!$B:$ZZ,$P30,3)))),IF($P30="","",IF(INDEX('_views'!$B:$ZZ,$P30,3)="","",INDEX('_views'!$B:$ZZ,$P30,3)))&lt;significance_bar))))</formula>
    </cfRule>
    <cfRule type="expression" priority="84" dxfId="6">
      <formula>$G30&lt;&gt;""</formula>
    </cfRule>
  </conditionalFormatting>
  <dataValidations count="2">
    <dataValidation sqref="B15" showDropDown="0" showInputMessage="0" showErrorMessage="1" allowBlank="0" errorTitle="Grid" error="Pick one from the list." type="list">
      <formula1>='_choices'!$N$2:$N$3</formula1>
    </dataValidation>
    <dataValidation sqref="B26" showDropDown="0" showInputMessage="0" showErrorMessage="1" allowBlank="0" errorTitle="Measure" error="Pick one from the list." type="list">
      <formula1>='_choices'!$O$2:$O$6</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B9B4AC"/>
    <outlinePr summaryBelow="0" summaryRight="1"/>
    <pageSetUpPr fitToPage="1"/>
  </sheetPr>
  <dimension ref="B1:N77"/>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33" customWidth="1" min="2" max="2"/>
    <col width="92" customWidth="1" min="3" max="3"/>
    <col width="3" customWidth="1" min="4" max="4"/>
    <col width="33" customWidth="1" min="5" max="5"/>
    <col width="44" customWidth="1" min="6" max="6"/>
    <col width="44" customWidth="1" min="7" max="7"/>
    <col width="2" customWidth="1" min="8" max="8"/>
    <col hidden="1" width="12" customWidth="1" min="11" max="11"/>
    <col hidden="1" width="6" customWidth="1" min="12" max="12"/>
    <col hidden="1" width="4" customWidth="1" min="13" max="13"/>
    <col hidden="1" width="4" customWidth="1" min="14" max="14"/>
  </cols>
  <sheetData>
    <row r="1" ht="30" customHeight="1">
      <c r="B1" s="75" t="inlineStr">
        <is>
          <t>Record</t>
        </is>
      </c>
      <c r="C1" s="76" t="inlineStr">
        <is>
          <t>What ran, whether it adds up, what was left out, and every Run. For the reviewer.</t>
        </is>
      </c>
      <c r="D1" s="77" t="n"/>
      <c r="E1" s="77" t="n"/>
      <c r="F1" s="77" t="n"/>
      <c r="G1" s="77" t="n"/>
    </row>
    <row r="3" outlineLevel="1">
      <c r="B3" s="4" t="inlineStr">
        <is>
          <t>How this tab works</t>
        </is>
      </c>
      <c r="C3" s="5" t="n"/>
      <c r="D3" s="5" t="n"/>
      <c r="E3" s="5" t="n"/>
      <c r="F3" s="5" t="n"/>
      <c r="G3" s="5" t="n"/>
    </row>
    <row r="4" outlineLevel="1" ht="17" customHeight="1">
      <c r="B4" s="6" t="inlineStr">
        <is>
          <t>What it holds</t>
        </is>
      </c>
      <c r="C4" s="7" t="inlineStr">
        <is>
          <t>What the last Run was, whether it adds up, which tests it used, what it left out, and every Run and refusal. Nothing here is a result: the result tabs hold those.</t>
        </is>
      </c>
    </row>
    <row r="5" outlineLevel="1" ht="17" customHeight="1">
      <c r="B5" s="6" t="inlineStr">
        <is>
          <t>Settings</t>
        </is>
      </c>
      <c r="C5" s="7" t="inlineStr">
        <is>
          <t>Each Control setting: the answer in use now, and what the last Run used. A setting changed since the Run is shaded; the result tabs follow a Changes-now setting at once, and a Needs-a-Run one at the next Run.</t>
        </is>
      </c>
    </row>
    <row r="6" outlineLevel="1" ht="17" customHeight="1">
      <c r="B6" s="6" t="inlineStr">
        <is>
          <t>Every Run</t>
        </is>
      </c>
      <c r="C6" s="7" t="inlineStr">
        <is>
          <t>Newest first. Each entry is what that Run used, and a refusal says what it was waiting for.</t>
        </is>
      </c>
    </row>
    <row r="8" ht="24" customHeight="1">
      <c r="B8" s="78" t="inlineStr">
        <is>
          <t>This Run</t>
        </is>
      </c>
      <c r="C8" s="79" t="n"/>
      <c r="E8" s="78" t="inlineStr">
        <is>
          <t>Settings</t>
        </is>
      </c>
      <c r="F8" s="79" t="n"/>
      <c r="G8" s="79" t="n"/>
      <c r="K8" t="inlineStr">
        <is>
          <t>pair|this|settings</t>
        </is>
      </c>
    </row>
    <row r="9" ht="18" customHeight="1">
      <c r="B9" s="80" t="inlineStr">
        <is>
          <t>Item</t>
        </is>
      </c>
      <c r="C9" s="80" t="inlineStr">
        <is>
          <t>Detail</t>
        </is>
      </c>
      <c r="E9" s="80" t="inlineStr">
        <is>
          <t>Setting</t>
        </is>
      </c>
      <c r="F9" s="81" t="inlineStr">
        <is>
          <t>In use now</t>
        </is>
      </c>
      <c r="G9" s="81" t="inlineStr">
        <is>
          <t>Last Run used</t>
        </is>
      </c>
    </row>
    <row r="10" ht="32" customHeight="1">
      <c r="B10" s="88" t="inlineStr">
        <is>
          <t>Extract</t>
        </is>
      </c>
      <c r="C10" s="89" t="inlineStr">
        <is>
          <t>Bureau book.csv</t>
        </is>
      </c>
      <c r="E10" s="88" t="inlineStr">
        <is>
          <t>How many bands a number column is cut into</t>
        </is>
      </c>
      <c r="F10" s="139">
        <f>IF(AND(Control!$D$26&lt;&gt;"",Control!$D$26&lt;&gt;"n/a"),Control!$D$26,IFERROR(INDEX(_options!$G:$G,MATCH(Control!$G$26&amp;"|"&amp;Control!$C$26,_options!$A:$A,0)),Control!$C$26&amp;""))</f>
        <v/>
      </c>
      <c r="G10" s="140" t="inlineStr">
        <is>
          <t>5 bands</t>
        </is>
      </c>
      <c r="K10" t="inlineStr">
        <is>
          <t>row|this|settings</t>
        </is>
      </c>
      <c r="L10">
        <f>IF(Control!$H$26="↻ Waiting for a Run",1,0)</f>
        <v/>
      </c>
    </row>
    <row r="11" ht="18" customHeight="1">
      <c r="B11" s="88" t="inlineStr">
        <is>
          <t>Loans run</t>
        </is>
      </c>
      <c r="C11" s="89" t="inlineStr">
        <is>
          <t>8,000</t>
        </is>
      </c>
      <c r="E11" s="88" t="inlineStr">
        <is>
          <t>Where the band edges fall</t>
        </is>
      </c>
      <c r="F11" s="139">
        <f>IF(AND(Control!$D$27&lt;&gt;"",Control!$D$27&lt;&gt;"n/a"),Control!$D$27,IFERROR(INDEX(_options!$G:$G,MATCH(Control!$G$27&amp;"|"&amp;Control!$C$27,_options!$A:$A,0)),Control!$C$27&amp;""))</f>
        <v/>
      </c>
      <c r="G11" s="140" t="inlineStr">
        <is>
          <t>Each band holds about the same number of loans</t>
        </is>
      </c>
      <c r="K11" t="inlineStr">
        <is>
          <t>row|this|settings</t>
        </is>
      </c>
      <c r="L11">
        <f>IF(Control!$H$27="↻ Waiting for a Run",1,0)</f>
        <v/>
      </c>
    </row>
    <row r="12" ht="46" customHeight="1">
      <c r="B12" s="88" t="inlineStr">
        <is>
          <t>What was run</t>
        </is>
      </c>
      <c r="C12" s="89" t="inlineStr">
        <is>
          <t>Where the book bleeds</t>
        </is>
      </c>
      <c r="E12" s="88" t="inlineStr">
        <is>
          <t>Fewest loans in a pocket for the usual test (smaller ones get the exact test)</t>
        </is>
      </c>
      <c r="F12" s="139">
        <f>IF(AND(Control!$D$24&lt;&gt;"",Control!$D$24&lt;&gt;"n/a"),Control!$D$24,IFERROR(INDEX(_options!$G:$G,MATCH(Control!$G$24&amp;"|"&amp;Control!$C$24,_options!$A:$A,0)),Control!$C$24&amp;""))</f>
        <v/>
      </c>
      <c r="G12" s="140" t="inlineStr">
        <is>
          <t>65 (worked out from this book)</t>
        </is>
      </c>
      <c r="K12" t="inlineStr">
        <is>
          <t>row|this|settings</t>
        </is>
      </c>
      <c r="L12">
        <f>IF(Control!$H$24="↻ Waiting for a Run",1,0)</f>
        <v/>
      </c>
    </row>
    <row r="13" ht="32" customHeight="1">
      <c r="B13" s="88" t="inlineStr">
        <is>
          <t>Record of this run</t>
        </is>
      </c>
      <c r="C13" s="89" t="inlineStr">
        <is>
          <t>Bureau book - PocketBook - what ran.yaml, beside this workbook: every setting the run used, kept for the file.</t>
        </is>
      </c>
      <c r="E13" s="88" t="inlineStr">
        <is>
          <t>Fewest loans with a loss before a loss rate is tested</t>
        </is>
      </c>
      <c r="F13" s="139">
        <f>IF(AND(Control!$D$25&lt;&gt;"",Control!$D$25&lt;&gt;"n/a"),Control!$D$25,IFERROR(INDEX(_options!$G:$G,MATCH(Control!$G$25&amp;"|"&amp;Control!$C$25,_options!$A:$A,0)),Control!$C$25&amp;""))</f>
        <v/>
      </c>
      <c r="G13" s="140" t="inlineStr">
        <is>
          <t>10 losses</t>
        </is>
      </c>
      <c r="K13" t="inlineStr">
        <is>
          <t>row|this|settings</t>
        </is>
      </c>
      <c r="L13">
        <f>IF(Control!$H$25="↻ Waiting for a Run",1,0)</f>
        <v/>
      </c>
    </row>
    <row r="14" ht="18" customHeight="1">
      <c r="B14" s="88" t="n"/>
      <c r="C14" s="89" t="inlineStr">
        <is>
          <t>It is replaced by the next Run.</t>
        </is>
      </c>
      <c r="E14" s="88" t="inlineStr">
        <is>
          <t>Smallest excess loss worth reporting</t>
        </is>
      </c>
      <c r="F14" s="139">
        <f>'_live'!$E$10</f>
        <v/>
      </c>
      <c r="G14" s="140" t="inlineStr">
        <is>
          <t>1.0% of the book's GCO, $107,354</t>
        </is>
      </c>
      <c r="K14" t="inlineStr">
        <is>
          <t>row|this|settings</t>
        </is>
      </c>
      <c r="L14">
        <f>IF('_live'!$E$10&lt;&gt;'_live'!$F$10,1,0)</f>
        <v/>
      </c>
      <c r="M14" t="inlineStr">
        <is>
          <t>sp</t>
        </is>
      </c>
    </row>
    <row r="15" ht="18" customHeight="1">
      <c r="B15" s="88" t="inlineStr">
        <is>
          <t>Origination dates</t>
        </is>
      </c>
      <c r="C15" s="89" t="inlineStr">
        <is>
          <t>2021-06-30 to 2026-03-30 (8,000 loans; 0 without a readable date)</t>
        </is>
      </c>
      <c r="E15" s="88" t="inlineStr">
        <is>
          <t>What a pocket is judged against</t>
        </is>
      </c>
      <c r="F15" s="139">
        <f>'_live'!$E$9</f>
        <v/>
      </c>
      <c r="G15" s="140" t="inlineStr">
        <is>
          <t>the rest of its band</t>
        </is>
      </c>
      <c r="K15" t="inlineStr">
        <is>
          <t>row|this|settings</t>
        </is>
      </c>
      <c r="L15">
        <f>IF('_live'!$E$9&lt;&gt;'_live'!$F$9,1,0)</f>
        <v/>
      </c>
    </row>
    <row r="16" ht="32" customHeight="1">
      <c r="B16" s="88" t="inlineStr">
        <is>
          <t>Band edges used: FICO</t>
        </is>
      </c>
      <c r="C16" s="89" t="inlineStr">
        <is>
          <t>654; 686; 712; 746  (5 bands)</t>
        </is>
      </c>
      <c r="E16" s="88" t="inlineStr">
        <is>
          <t>How much worse than its comparison a pocket must be</t>
        </is>
      </c>
      <c r="F16" s="139">
        <f>'_live'!$E$5</f>
        <v/>
      </c>
      <c r="G16" s="140" t="inlineStr">
        <is>
          <t>worse at 1.31x</t>
        </is>
      </c>
      <c r="K16" t="inlineStr">
        <is>
          <t>row|this|settings</t>
        </is>
      </c>
      <c r="L16">
        <f>IF('_live'!$E$5&lt;&gt;'_live'!$F$5,1,0)</f>
        <v/>
      </c>
    </row>
    <row r="17" ht="32" customHeight="1">
      <c r="B17" s="88" t="inlineStr">
        <is>
          <t>Band edges used: SHORT_HIST</t>
        </is>
      </c>
      <c r="C17" s="89" t="inlineStr">
        <is>
          <t>89; 172; 256; 346  (5 bands)</t>
        </is>
      </c>
      <c r="E17" s="88" t="inlineStr">
        <is>
          <t>How much better than its comparison a pocket must be</t>
        </is>
      </c>
      <c r="F17" s="139">
        <f>'_live'!$E$6</f>
        <v/>
      </c>
      <c r="G17" s="140" t="inlineStr">
        <is>
          <t>better at 0.76x</t>
        </is>
      </c>
      <c r="K17" t="inlineStr">
        <is>
          <t>row|this|settings</t>
        </is>
      </c>
      <c r="L17">
        <f>IF('_live'!$E$6&lt;&gt;'_live'!$F$6,1,0)</f>
        <v/>
      </c>
    </row>
    <row r="18" ht="32" customHeight="1">
      <c r="B18" s="88" t="inlineStr">
        <is>
          <t>Split</t>
        </is>
      </c>
      <c r="C18" s="89" t="inlineStr">
        <is>
          <t>REV_DEBT, each pocket halved at its own median. REV_DEBT isn't cut on its own while it splits. Split pockets:</t>
        </is>
      </c>
      <c r="E18" s="88" t="inlineStr">
        <is>
          <t>How far profit must move before it counts as more or less</t>
        </is>
      </c>
      <c r="F18" s="139">
        <f>'_live'!$E$13</f>
        <v/>
      </c>
      <c r="G18" s="140" t="inlineStr">
        <is>
          <t>each pocket's own test</t>
        </is>
      </c>
      <c r="K18" t="inlineStr">
        <is>
          <t>row|this|settings</t>
        </is>
      </c>
      <c r="L18">
        <f>IF('_live'!$E$13&lt;&gt;'_live'!$F$13,1,0)</f>
        <v/>
      </c>
    </row>
    <row r="19" ht="32" customHeight="1">
      <c r="B19" s="88" t="n"/>
      <c r="C19" s="89" t="inlineStr">
        <is>
          <t>73.</t>
        </is>
      </c>
      <c r="E19" s="88" t="inlineStr">
        <is>
          <t>How sure a difference must be before it counts</t>
        </is>
      </c>
      <c r="F19" s="139">
        <f>'_live'!$E$7</f>
        <v/>
      </c>
      <c r="G19" s="140" t="inlineStr">
        <is>
          <t>95% sure</t>
        </is>
      </c>
      <c r="K19" t="inlineStr">
        <is>
          <t>row|this|settings</t>
        </is>
      </c>
      <c r="L19">
        <f>IF('_live'!$E$7&lt;&gt;'_live'!$F$7,1,0)</f>
        <v/>
      </c>
      <c r="M19" t="inlineStr">
        <is>
          <t>sp</t>
        </is>
      </c>
    </row>
    <row r="20" ht="18" customHeight="1">
      <c r="B20" s="88" t="inlineStr">
        <is>
          <t>How closely REV_DEBT moves with FICO</t>
        </is>
      </c>
      <c r="C20" s="89" t="inlineStr">
        <is>
          <t>correlation -0.53</t>
        </is>
      </c>
      <c r="E20" s="88" t="inlineStr">
        <is>
          <t>How often a real gap should be caught</t>
        </is>
      </c>
      <c r="F20" s="139">
        <f>IF(AND(Control!$D$28&lt;&gt;"",Control!$D$28&lt;&gt;"n/a"),Control!$D$28,IFERROR(INDEX(_options!$G:$G,MATCH(Control!$G$28&amp;"|"&amp;Control!$C$28,_options!$A:$A,0)),Control!$C$28&amp;""))</f>
        <v/>
      </c>
      <c r="G20" s="140" t="inlineStr">
        <is>
          <t>80% of the time</t>
        </is>
      </c>
      <c r="K20" t="inlineStr">
        <is>
          <t>row|this|settings</t>
        </is>
      </c>
      <c r="L20">
        <f>IF(Control!$H$28="↻ Waiting for a Run",1,0)</f>
        <v/>
      </c>
    </row>
    <row r="21" ht="32" customHeight="1">
      <c r="B21" s="82" t="inlineStr">
        <is>
          <t>How closely REV_DEBT moves with SHORT_HIST</t>
        </is>
      </c>
      <c r="C21" s="83" t="inlineStr">
        <is>
          <t>correlation -0.01</t>
        </is>
      </c>
      <c r="E21" s="82" t="inlineStr">
        <is>
          <t>Allowing for testing many pockets at once</t>
        </is>
      </c>
      <c r="F21" s="84">
        <f>IF(AND(Control!$D$29&lt;&gt;"",Control!$D$29&lt;&gt;"n/a"),Control!$D$29,IFERROR(INDEX(_options!$G:$G,MATCH(Control!$G$29&amp;"|"&amp;Control!$C$29,_options!$A:$A,0)),Control!$C$29&amp;""))</f>
        <v/>
      </c>
      <c r="G21" s="85" t="inlineStr">
        <is>
          <t>Hold down the share of false finds (Benjamini-Hochberg)</t>
        </is>
      </c>
      <c r="K21" t="inlineStr">
        <is>
          <t>row|this|settings</t>
        </is>
      </c>
      <c r="L21">
        <f>IF(Control!$H$29="↻ Waiting for a Run",1,0)</f>
        <v/>
      </c>
    </row>
    <row r="23" ht="24" customHeight="1">
      <c r="B23" s="78" t="inlineStr">
        <is>
          <t>Does it add up</t>
        </is>
      </c>
      <c r="C23" s="79" t="n"/>
      <c r="E23" s="78" t="inlineStr">
        <is>
          <t>Tests used</t>
        </is>
      </c>
      <c r="F23" s="79" t="n"/>
      <c r="G23" s="79" t="n"/>
      <c r="K23" t="inlineStr">
        <is>
          <t>pair|adds|tests</t>
        </is>
      </c>
    </row>
    <row r="24" ht="18" customHeight="1">
      <c r="B24" s="80" t="inlineStr">
        <is>
          <t>Check</t>
        </is>
      </c>
      <c r="C24" s="80" t="inlineStr">
        <is>
          <t>Result</t>
        </is>
      </c>
      <c r="E24" s="80" t="inlineStr">
        <is>
          <t>Where</t>
        </is>
      </c>
      <c r="F24" s="80" t="inlineStr">
        <is>
          <t>Test</t>
        </is>
      </c>
      <c r="G24" s="86" t="n"/>
    </row>
    <row r="25" ht="32" customHeight="1">
      <c r="B25" s="88" t="inlineStr">
        <is>
          <t>Tie-out checks</t>
        </is>
      </c>
      <c r="C25" s="89" t="inlineStr">
        <is>
          <t>330: every grid adds up to the book</t>
        </is>
      </c>
      <c r="E25" s="88" t="inlineStr">
        <is>
          <t>Borderline now: Bad dollars</t>
        </is>
      </c>
      <c r="F25" s="89">
        <f>COUNTIFS('_pockets'!$A$4:$A$1048576,"grids",'_pockets'!$E$4:$E$1048576,"outcome_booked",'_pockets'!$AM$4:$AM$1048576,"?*")&amp;" of 37 pockets on the grids have a borderline verdict ("&amp;COUNTIFS('_pockets'!$A$4:$A$1048576,"grids",'_pockets'!$E$4:$E$1048576,"outcome_booked",'_pockets'!$AN$4:$AN$1048576,"?*")&amp;" on Worse?)."</f>
        <v/>
      </c>
      <c r="G25" s="63" t="n"/>
      <c r="K25" t="inlineStr">
        <is>
          <t>row|adds|tests</t>
        </is>
      </c>
    </row>
    <row r="26" ht="18" customHeight="1">
      <c r="B26" s="88" t="inlineStr">
        <is>
          <t>Worse now: Bad loans</t>
        </is>
      </c>
      <c r="C26" s="89">
        <f>COUNTIFS('_pockets'!$A$4:$A$1048576,"grids",'_pockets'!$E$4:$E$1048576,"outcome_loans",'_pockets'!$Y$4:$Y$1048576,"worse")&amp;" of 37 pockets on the grids read worse; "&amp;COUNTIFS('_pockets'!$A$4:$A$1048576,"grids",'_pockets'!$E$4:$E$1048576,"outcome_loans",'_pockets'!$Y$4:$Y$1048576,"worse",'_pockets'!$AA$4:$AA$1048576,"yes")&amp;" of them are material."</f>
        <v/>
      </c>
      <c r="E26" s="88" t="inlineStr">
        <is>
          <t>Borderline now: Charge-offs</t>
        </is>
      </c>
      <c r="F26" s="89">
        <f>COUNTIFS('_pockets'!$A$4:$A$1048576,"grids",'_pockets'!$E$4:$E$1048576,"gco_rate",'_pockets'!$AM$4:$AM$1048576,"?*")&amp;" of 37 pockets on the grids have a borderline verdict ("&amp;COUNTIFS('_pockets'!$A$4:$A$1048576,"grids",'_pockets'!$E$4:$E$1048576,"gco_rate",'_pockets'!$AN$4:$AN$1048576,"?*")&amp;" on Worse?)."</f>
        <v/>
      </c>
      <c r="G26" s="63" t="n"/>
      <c r="K26" t="inlineStr">
        <is>
          <t>row|adds|tests</t>
        </is>
      </c>
    </row>
    <row r="27" ht="32" customHeight="1">
      <c r="B27" s="88" t="inlineStr">
        <is>
          <t>Worse now: Bad dollars</t>
        </is>
      </c>
      <c r="C27" s="89">
        <f>COUNTIFS('_pockets'!$A$4:$A$1048576,"grids",'_pockets'!$E$4:$E$1048576,"outcome_booked",'_pockets'!$Y$4:$Y$1048576,"worse")&amp;" of 37 pockets on the grids read worse; "&amp;COUNTIFS('_pockets'!$A$4:$A$1048576,"grids",'_pockets'!$E$4:$E$1048576,"outcome_booked",'_pockets'!$Y$4:$Y$1048576,"worse",'_pockets'!$AA$4:$AA$1048576,"yes")&amp;" of them are material."</f>
        <v/>
      </c>
      <c r="E27" s="88" t="inlineStr">
        <is>
          <t>Borderline now: Kept after losses</t>
        </is>
      </c>
      <c r="F27" s="89">
        <f>COUNTIFS('_pockets'!$A$4:$A$1048576,"grids",'_pockets'!$E$4:$E$1048576,"ranr_rate",'_pockets'!$AM$4:$AM$1048576,"?*")&amp;" of 37 pockets on the grids have a borderline verdict ("&amp;COUNTIFS('_pockets'!$A$4:$A$1048576,"grids",'_pockets'!$E$4:$E$1048576,"ranr_rate",'_pockets'!$AN$4:$AN$1048576,"?*")&amp;" on Worse?)."</f>
        <v/>
      </c>
      <c r="G27" s="63" t="n"/>
      <c r="K27" t="inlineStr">
        <is>
          <t>row|adds|tests</t>
        </is>
      </c>
    </row>
    <row r="28" ht="32" customHeight="1">
      <c r="B28" s="88" t="inlineStr">
        <is>
          <t>Worse now: Charge-offs</t>
        </is>
      </c>
      <c r="C28" s="89">
        <f>COUNTIFS('_pockets'!$A$4:$A$1048576,"grids",'_pockets'!$E$4:$E$1048576,"gco_rate",'_pockets'!$Y$4:$Y$1048576,"worse")&amp;" of 37 pockets on the grids read worse; "&amp;COUNTIFS('_pockets'!$A$4:$A$1048576,"grids",'_pockets'!$E$4:$E$1048576,"gco_rate",'_pockets'!$Y$4:$Y$1048576,"worse",'_pockets'!$AA$4:$AA$1048576,"yes")&amp;" of them are material."</f>
        <v/>
      </c>
      <c r="E28" s="88" t="inlineStr">
        <is>
          <t>Borderline now: Earned before losses</t>
        </is>
      </c>
      <c r="F28" s="89">
        <f>COUNTIFS('_pockets'!$A$4:$A$1048576,"grids",'_pockets'!$E$4:$E$1048576,"contribution_rate",'_pockets'!$AM$4:$AM$1048576,"?*")&amp;" of 37 pockets on the grids have a borderline verdict ("&amp;COUNTIFS('_pockets'!$A$4:$A$1048576,"grids",'_pockets'!$E$4:$E$1048576,"contribution_rate",'_pockets'!$AN$4:$AN$1048576,"?*")&amp;" on Worse?)."</f>
        <v/>
      </c>
      <c r="G28" s="63" t="n"/>
      <c r="K28" t="inlineStr">
        <is>
          <t>row|adds|tests</t>
        </is>
      </c>
    </row>
    <row r="29" ht="18" customHeight="1">
      <c r="B29" s="88" t="inlineStr">
        <is>
          <t>Worse now: Kept after losses</t>
        </is>
      </c>
      <c r="C29" s="89">
        <f>COUNTIFS('_pockets'!$A$4:$A$1048576,"grids",'_pockets'!$E$4:$E$1048576,"ranr_rate",'_pockets'!$Y$4:$Y$1048576,"worse")&amp;" of 37 pockets on the grids read worse; "&amp;COUNTIFS('_pockets'!$A$4:$A$1048576,"grids",'_pockets'!$E$4:$E$1048576,"ranr_rate",'_pockets'!$Y$4:$Y$1048576,"worse",'_pockets'!$AA$4:$AA$1048576,"yes")&amp;" of them are material."</f>
        <v/>
      </c>
      <c r="E29" s="88" t="inlineStr">
        <is>
          <t>Tests</t>
        </is>
      </c>
      <c r="F29" s="89" t="inlineStr">
        <is>
          <t>Outcome, share of loans: the z test, pooled, for a pocket of 65 loans or more, and the exact test</t>
        </is>
      </c>
      <c r="G29" s="63" t="n"/>
      <c r="K29" t="inlineStr">
        <is>
          <t>row|adds|tests</t>
        </is>
      </c>
    </row>
    <row r="30" ht="32" customHeight="1">
      <c r="B30" s="88" t="inlineStr">
        <is>
          <t>Worse now: Earned before losses</t>
        </is>
      </c>
      <c r="C30" s="89">
        <f>COUNTIFS('_pockets'!$A$4:$A$1048576,"grids",'_pockets'!$E$4:$E$1048576,"contribution_rate",'_pockets'!$Y$4:$Y$1048576,"worse")&amp;" of 37 pockets on the grids read worse; "&amp;COUNTIFS('_pockets'!$A$4:$A$1048576,"grids",'_pockets'!$E$4:$E$1048576,"contribution_rate",'_pockets'!$Y$4:$Y$1048576,"worse",'_pockets'!$AA$4:$AA$1048576,"yes")&amp;" of them are material."</f>
        <v/>
      </c>
      <c r="E30" s="88" t="n"/>
      <c r="F30" s="89" t="inlineStr">
        <is>
          <t>(Fisher's) below that. Every dollar rate: the loans are shuffled 10,000 times, within the band for the</t>
        </is>
      </c>
      <c r="G30" s="63" t="n"/>
      <c r="K30" t="inlineStr">
        <is>
          <t>row|adds|tests</t>
        </is>
      </c>
      <c r="N30" t="inlineStr">
        <is>
          <t>sp</t>
        </is>
      </c>
    </row>
    <row r="31" ht="32" customHeight="1">
      <c r="B31" s="88" t="inlineStr">
        <is>
          <t>Loans needed for a 1.31x gap: Bad loans</t>
        </is>
      </c>
      <c r="C31" s="89" t="inlineStr">
        <is>
          <t>about 1,274</t>
        </is>
      </c>
      <c r="E31" s="88" t="n"/>
      <c r="F31" s="89" t="inlineStr">
        <is>
          <t>rest of its band, and its p-value is how often a shuffle made a gap as big. Profit and contribution are</t>
        </is>
      </c>
      <c r="G31" s="63" t="n"/>
      <c r="K31" t="inlineStr">
        <is>
          <t>row|adds|tests</t>
        </is>
      </c>
      <c r="N31" t="inlineStr">
        <is>
          <t>sp</t>
        </is>
      </c>
    </row>
    <row r="32" ht="32" customHeight="1">
      <c r="B32" s="88" t="inlineStr">
        <is>
          <t>Loans needed for a 1.31x gap: Bad dollars</t>
        </is>
      </c>
      <c r="C32" s="89" t="inlineStr">
        <is>
          <t>about 1,339</t>
        </is>
      </c>
      <c r="E32" s="88" t="n"/>
      <c r="F32" s="89" t="inlineStr">
        <is>
          <t>compared as a gap in points, never a multiple. The split's odds: Cochran-Mantel-Haenszel, which asks</t>
        </is>
      </c>
      <c r="G32" s="63" t="n"/>
      <c r="K32" t="inlineStr">
        <is>
          <t>row|adds|tests</t>
        </is>
      </c>
      <c r="N32" t="inlineStr">
        <is>
          <t>sp</t>
        </is>
      </c>
    </row>
    <row r="33" ht="32" customHeight="1">
      <c r="B33" s="88" t="inlineStr">
        <is>
          <t>Loans needed for a 1.31x gap: Charge-offs</t>
        </is>
      </c>
      <c r="C33" s="89" t="inlineStr">
        <is>
          <t>about 1,433</t>
        </is>
      </c>
      <c r="E33" s="88" t="n"/>
      <c r="F33" s="89" t="inlineStr">
        <is>
          <t>whether an odds ratio this far from 1 could come from shuffling loans within their pockets. It has no</t>
        </is>
      </c>
      <c r="G33" s="63" t="n"/>
      <c r="K33" t="inlineStr">
        <is>
          <t>row|adds|tests</t>
        </is>
      </c>
      <c r="N33" t="inlineStr">
        <is>
          <t>sp</t>
        </is>
      </c>
    </row>
    <row r="34" ht="32" customHeight="1">
      <c r="B34" s="88" t="inlineStr">
        <is>
          <t>Smallest gap a typical pocket could show: Kept after losses</t>
        </is>
      </c>
      <c r="C34" s="89" t="inlineStr">
        <is>
          <t>2.59 points either way (the median over the pockets; caught 80% of the time at 95% sure)</t>
        </is>
      </c>
      <c r="E34" s="88" t="n"/>
      <c r="F34" s="89" t="inlineStr">
        <is>
          <t>continuity correction: nothing is taken off the gap between actual and expected before it is squared.</t>
        </is>
      </c>
      <c r="G34" s="63" t="n"/>
      <c r="K34" t="inlineStr">
        <is>
          <t>row|adds|tests</t>
        </is>
      </c>
      <c r="N34" t="inlineStr">
        <is>
          <t>sp</t>
        </is>
      </c>
    </row>
    <row r="35" ht="32" customHeight="1">
      <c r="B35" s="88" t="inlineStr">
        <is>
          <t>Smallest gap a typical pocket could show: Earned before losses</t>
        </is>
      </c>
      <c r="C35" s="89" t="inlineStr">
        <is>
          <t>1.70 points either way (the median over the pockets; caught 80% of the time at 95% sure)</t>
        </is>
      </c>
      <c r="E35" s="88" t="inlineStr">
        <is>
          <t>p-value</t>
        </is>
      </c>
      <c r="F35" s="89">
        <f>"The chance of a gap at least this big if there were no real difference, after the allowance for many tests. Below "&amp;TEXT(significance_bar,"0%")&amp;" is significant, at "&amp;TEXT(confidence,"0%")&amp;" sure. Two-sided: a gap either way counts."</f>
        <v/>
      </c>
      <c r="G35" s="63" t="n"/>
      <c r="K35" t="inlineStr">
        <is>
          <t>row|adds|tests</t>
        </is>
      </c>
    </row>
    <row r="36" ht="88" customHeight="1">
      <c r="B36" s="88" t="inlineStr">
        <is>
          <t>Materiality line: Bad loans</t>
        </is>
      </c>
      <c r="C36" s="89">
        <f>IF('_live'!$C$20="","no line: the dollar line on Control is a GCO amount",TEXT('_live'!$C$20,"#,##0.0")&amp;" loans")</f>
        <v/>
      </c>
      <c r="E36" s="88" t="inlineStr">
        <is>
          <t>Borderline</t>
        </is>
      </c>
      <c r="F36" s="89">
        <f>"A verdict is borderline when the p-value that decides it came from shuffling and sits within 2 of its own standard errors of the "&amp;TEXT(significance_bar,"0%")&amp;" bar, either side, so another run of the shuffles could read it the other way. The standard error is the square root of p (1 - p) / shuffles, times what the allowance for many tests multiplied the p-value by. The tabs add ""borderline (p 0.048)"" to th"&amp;"e verdict; its colour, order and counts stay the verdict's. The z test and the exact test give the same p-value on every run, so they are never borderline."</f>
        <v/>
      </c>
      <c r="G36" s="63" t="n"/>
      <c r="K36" t="inlineStr">
        <is>
          <t>row|adds|tests</t>
        </is>
      </c>
    </row>
    <row r="37" ht="32" customHeight="1">
      <c r="B37" s="88" t="inlineStr">
        <is>
          <t>Materiality line: Bad dollars</t>
        </is>
      </c>
      <c r="C37" s="89">
        <f>IF('_live'!$C$21="","no line: the dollar line on Control is a GCO amount",TEXT('_live'!$C$21,"#,##0")&amp;" ORIG_BAL dollars")</f>
        <v/>
      </c>
      <c r="E37" s="88" t="inlineStr">
        <is>
          <t>Standard error</t>
        </is>
      </c>
      <c r="F37" s="89">
        <f>"How far a rate worked out from this many loans typically lands from its true value. A gap of "&amp;TEXT(NORMSINV(1-(1-confidence)/2),"0.00")&amp;" standard errors is the "&amp;TEXT(confidence,"0%")&amp;" line."</f>
        <v/>
      </c>
      <c r="G37" s="63" t="n"/>
      <c r="K37" t="inlineStr">
        <is>
          <t>row|adds|tests</t>
        </is>
      </c>
    </row>
    <row r="38" ht="18" customHeight="1">
      <c r="B38" s="88" t="inlineStr">
        <is>
          <t>Materiality line: Charge-offs</t>
        </is>
      </c>
      <c r="C38" s="89">
        <f>IF('_live'!$C$22="","no line: the dollar line on Control is a GCO amount",TEXT('_live'!$C$22,"#,##0")&amp;" GCO_AMT dollars")</f>
        <v/>
      </c>
      <c r="E38" s="88" t="inlineStr">
        <is>
          <t>The allowance for many tests covers</t>
        </is>
      </c>
      <c r="F38" s="89" t="inlineStr">
        <is>
          <t>each grid and measure on its own, one comparison at a time</t>
        </is>
      </c>
      <c r="G38" s="63" t="n"/>
      <c r="K38" t="inlineStr">
        <is>
          <t>row|adds|tests</t>
        </is>
      </c>
    </row>
    <row r="39" ht="32" customHeight="1">
      <c r="B39" s="88" t="inlineStr">
        <is>
          <t>Materiality line: Kept after losses</t>
        </is>
      </c>
      <c r="C39" s="89">
        <f>IF('_live'!$C$23="","no line: the dollar line on Control is a GCO amount","a shortfall of "&amp;TEXT('_live'!$C$23,"#,##0")&amp;" RANR_AMT dollars"&amp;": the same dollar line as GCO (Control's materiality answer)")</f>
        <v/>
      </c>
      <c r="E39" s="88" t="inlineStr">
        <is>
          <t>Contribution before losses</t>
        </is>
      </c>
      <c r="F39" s="89" t="inlineStr">
        <is>
          <t>RANR + GCO, per booked dollar. This assumes RANR has gross charge-offs taken out. If RANR nets</t>
        </is>
      </c>
      <c r="G39" s="63" t="n"/>
      <c r="K39" t="inlineStr">
        <is>
          <t>row|adds|tests</t>
        </is>
      </c>
    </row>
    <row r="40" ht="32" customHeight="1">
      <c r="B40" s="88" t="inlineStr">
        <is>
          <t>Materiality line: Earned before losses</t>
        </is>
      </c>
      <c r="C40" s="89">
        <f>IF('_live'!$C$24="","no line: the dollar line on Control is a GCO amount","a shortfall of "&amp;TEXT('_live'!$C$24,"#,##0")&amp;" RANR_AMT + GCO_AMT dollars"&amp;": the same dollar line as GCO (Control's materiality answer)")</f>
        <v/>
      </c>
      <c r="E40" s="88" t="n"/>
      <c r="F40" s="89" t="inlineStr">
        <is>
          <t>recoveries instead, contribution is overstated by the recoveries.</t>
        </is>
      </c>
      <c r="G40" s="63" t="n"/>
      <c r="K40" t="inlineStr">
        <is>
          <t>row|adds|tests</t>
        </is>
      </c>
      <c r="N40" t="inlineStr">
        <is>
          <t>sp</t>
        </is>
      </c>
    </row>
    <row r="41" ht="46" customHeight="1">
      <c r="B41" s="88" t="inlineStr">
        <is>
          <t>Worked out from this book</t>
        </is>
      </c>
      <c r="C41" s="89" t="inlineStr">
        <is>
          <t>fewest loans 65 (enough to expect 5 with the outcome at the book's rate of 7.74%); worse at 1.31x; better at</t>
        </is>
      </c>
      <c r="E41" s="88" t="inlineStr">
        <is>
          <t>Decides each pocket</t>
        </is>
      </c>
      <c r="F41" s="89">
        <f>IF(judged_band,"The rest of its band decides each pocket's flag, its dollars and whether it is material. A pocket alone in its band is compared with the rest of the book.","The rest of the book decides each pocket's flag, its dollars and whether it is material: every other loan in the book, for the gap and the dollars alike.")</f>
        <v/>
      </c>
      <c r="G41" s="63" t="n"/>
      <c r="K41" t="inlineStr">
        <is>
          <t>row|adds|tests</t>
        </is>
      </c>
    </row>
    <row r="42" ht="18" customHeight="1">
      <c r="B42" s="88" t="n"/>
      <c r="C42" s="89" t="inlineStr">
        <is>
          <t>0.76x (the smallest outcome gap a pocket of typical size can call significant)</t>
        </is>
      </c>
      <c r="E42" s="88" t="inlineStr">
        <is>
          <t>Profit counts as more or less</t>
        </is>
      </c>
      <c r="F42" s="89">
        <f>'_live'!$E$13&amp;IF(profit_kind="test",": only a gap that is significant at "&amp;TEXT(confidence,"0%"),"")</f>
        <v/>
      </c>
      <c r="G42" s="63" t="n"/>
      <c r="K42" t="inlineStr">
        <is>
          <t>row|adds|tests</t>
        </is>
      </c>
      <c r="M42" t="inlineStr">
        <is>
          <t>sp</t>
        </is>
      </c>
    </row>
    <row r="43" ht="18" customHeight="1">
      <c r="B43" s="88" t="inlineStr">
        <is>
          <t>Pockets tested</t>
        </is>
      </c>
      <c r="C43" s="89" t="inlineStr">
        <is>
          <t>30 of 37</t>
        </is>
      </c>
      <c r="E43" s="88" t="inlineStr">
        <is>
          <t>How profit reads</t>
        </is>
      </c>
      <c r="F43" s="89" t="inlineStr">
        <is>
          <t>As the gap: how many points of booked dollars a pocket is short of or ahead of its band, and the dollars</t>
        </is>
      </c>
      <c r="G43" s="63" t="n"/>
      <c r="K43" t="inlineStr">
        <is>
          <t>row|adds|tests</t>
        </is>
      </c>
    </row>
    <row r="44" ht="18" customHeight="1">
      <c r="B44" s="88" t="inlineStr">
        <is>
          <t>Pocket budget</t>
        </is>
      </c>
      <c r="C44" s="89" t="inlineStr">
        <is>
          <t>At most 123 pockets per grid can be tested: at the suggested floor a pocket needs to expect 5 bad loans, and the</t>
        </is>
      </c>
      <c r="E44" s="88" t="n"/>
      <c r="F44" s="89" t="inlineStr">
        <is>
          <t>that comes to. In this run, FICO 496 - 653 / CHANNEL Broker: "short of its band by 7.86 points</t>
        </is>
      </c>
      <c r="G44" s="63" t="n"/>
      <c r="K44" t="inlineStr">
        <is>
          <t>row|adds|tests</t>
        </is>
      </c>
      <c r="N44" t="inlineStr">
        <is>
          <t>sp</t>
        </is>
      </c>
    </row>
    <row r="45" ht="18" customHeight="1">
      <c r="B45" s="88" t="n"/>
      <c r="C45" s="89" t="inlineStr">
        <is>
          <t>book has 619 (619 ÷ 5 = 123). Fewer in practice, since loans never spread evenly. Each grid cuts the whole book</t>
        </is>
      </c>
      <c r="E45" s="88" t="n"/>
      <c r="F45" s="89" t="inlineStr">
        <is>
          <t>($1,339,855)". A gap its own test doesn't call significant gives the gap and says not significant. In</t>
        </is>
      </c>
      <c r="G45" s="63" t="n"/>
      <c r="K45" t="inlineStr">
        <is>
          <t>row|adds|tests</t>
        </is>
      </c>
      <c r="M45" t="inlineStr">
        <is>
          <t>sp</t>
        </is>
      </c>
      <c r="N45" t="inlineStr">
        <is>
          <t>sp</t>
        </is>
      </c>
    </row>
    <row r="46" ht="18" customHeight="1">
      <c r="B46" s="88" t="n"/>
      <c r="C46" s="89" t="inlineStr">
        <is>
          <t>again, so each grid is held to this on its own.</t>
        </is>
      </c>
      <c r="E46" s="88" t="n"/>
      <c r="F46" s="89" t="inlineStr">
        <is>
          <t>this run, SHORT_HIST 0.0 - 88.9 / CHANNEL Online: "+2.65 points against its band, not significant". The</t>
        </is>
      </c>
      <c r="G46" s="63" t="n"/>
      <c r="K46" t="inlineStr">
        <is>
          <t>row|adds|tests</t>
        </is>
      </c>
      <c r="M46" t="inlineStr">
        <is>
          <t>sp</t>
        </is>
      </c>
      <c r="N46" t="inlineStr">
        <is>
          <t>sp</t>
        </is>
      </c>
    </row>
    <row r="47" ht="18" customHeight="1">
      <c r="B47" s="88" t="inlineStr">
        <is>
          <t>Pockets: FICO x CHANNEL</t>
        </is>
      </c>
      <c r="C47" s="89" t="inlineStr">
        <is>
          <t>19 pockets, against a budget of 123. 15 have at least 10 bad loans and can be tested, holding 98% of the loans</t>
        </is>
      </c>
      <c r="E47" s="88" t="n"/>
      <c r="F47" s="89" t="inlineStr">
        <is>
          <t>examples are as of the last Run.</t>
        </is>
      </c>
      <c r="G47" s="63" t="n"/>
      <c r="K47" t="inlineStr">
        <is>
          <t>row|adds|tests</t>
        </is>
      </c>
      <c r="N47" t="inlineStr">
        <is>
          <t>sp</t>
        </is>
      </c>
    </row>
    <row r="48" ht="18" customHeight="1">
      <c r="B48" s="88" t="n"/>
      <c r="C48" s="89" t="inlineStr">
        <is>
          <t>and 98% of the booked dollars.</t>
        </is>
      </c>
      <c r="E48" s="88" t="inlineStr">
        <is>
          <t>Families of tests</t>
        </is>
      </c>
      <c r="F48" s="89" t="inlineStr">
        <is>
          <t>50, holding 1,060 tests: 2 grids x 5 rates x 2 comparisons; 2 three-way grids x 5 rates x 2 comparisons;</t>
        </is>
      </c>
      <c r="G48" s="63" t="n"/>
      <c r="K48" t="inlineStr">
        <is>
          <t>row|adds|tests</t>
        </is>
      </c>
      <c r="M48" t="inlineStr">
        <is>
          <t>sp</t>
        </is>
      </c>
    </row>
    <row r="49" ht="18" customHeight="1">
      <c r="B49" s="88" t="inlineStr">
        <is>
          <t>Pockets: SHORT_HIST x CHANNEL</t>
        </is>
      </c>
      <c r="C49" s="89" t="inlineStr">
        <is>
          <t>18 pockets, against a budget of 123. 15 have at least 10 bad loans and can be tested, holding 98% of the loans</t>
        </is>
      </c>
      <c r="E49" s="88" t="n"/>
      <c r="F49" s="89" t="inlineStr">
        <is>
          <t>2 grids x 5 rates for the split's halves. A family is one grid, one rate and one comparison (against the</t>
        </is>
      </c>
      <c r="G49" s="63" t="n"/>
      <c r="K49" t="inlineStr">
        <is>
          <t>row|adds|tests</t>
        </is>
      </c>
      <c r="N49" t="inlineStr">
        <is>
          <t>sp</t>
        </is>
      </c>
    </row>
    <row r="50" ht="18" customHeight="1">
      <c r="B50" s="88" t="n"/>
      <c r="C50" s="89" t="inlineStr">
        <is>
          <t>and 97% of the booked dollars.</t>
        </is>
      </c>
      <c r="E50" s="88" t="n"/>
      <c r="F50" s="89" t="inlineStr">
        <is>
          <t>rest of the book, the rest of its band, or the other half).</t>
        </is>
      </c>
      <c r="G50" s="63" t="n"/>
      <c r="K50" t="inlineStr">
        <is>
          <t>row|adds|tests</t>
        </is>
      </c>
      <c r="M50" t="inlineStr">
        <is>
          <t>sp</t>
        </is>
      </c>
      <c r="N50" t="inlineStr">
        <is>
          <t>sp</t>
        </is>
      </c>
    </row>
    <row r="51" ht="32" customHeight="1">
      <c r="B51" s="88" t="inlineStr">
        <is>
          <t>Pockets: Split: FICO x CHANNEL / REV_DEBT</t>
        </is>
      </c>
      <c r="C51" s="89" t="inlineStr">
        <is>
          <t>37 pockets, against a budget of 123. 23 have at least 10 bad loans and can be tested, holding 75% of the loans</t>
        </is>
      </c>
      <c r="E51" s="88" t="inlineStr">
        <is>
          <t>Reading a single red</t>
        </is>
      </c>
      <c r="F51" s="89" t="inlineStr">
        <is>
          <t>Each family gets its own allowance for many tests, not one for the whole run. So a single red across 50</t>
        </is>
      </c>
      <c r="G51" s="63" t="n"/>
      <c r="K51" t="inlineStr">
        <is>
          <t>row|adds|tests</t>
        </is>
      </c>
    </row>
    <row r="52" ht="18" customHeight="1">
      <c r="B52" s="88" t="n"/>
      <c r="C52" s="89" t="inlineStr">
        <is>
          <t>and 75% of the booked dollars.</t>
        </is>
      </c>
      <c r="E52" s="88" t="n"/>
      <c r="F52" s="89" t="inlineStr">
        <is>
          <t>families is weak evidence.</t>
        </is>
      </c>
      <c r="G52" s="63" t="n"/>
      <c r="K52" t="inlineStr">
        <is>
          <t>row|adds|tests</t>
        </is>
      </c>
      <c r="M52" t="inlineStr">
        <is>
          <t>sp</t>
        </is>
      </c>
      <c r="N52" t="inlineStr">
        <is>
          <t>sp</t>
        </is>
      </c>
    </row>
    <row r="53" ht="32" customHeight="1">
      <c r="B53" s="88" t="inlineStr">
        <is>
          <t>Pockets: Split: SHORT_HIST x CHANNEL / REV_DEBT</t>
        </is>
      </c>
      <c r="C53" s="89" t="inlineStr">
        <is>
          <t>36 pockets, against a budget of 123. 26 have at least 10 bad loans and can be tested, holding 85% of the loans</t>
        </is>
      </c>
      <c r="K53" t="inlineStr">
        <is>
          <t>row|adds|tests</t>
        </is>
      </c>
    </row>
    <row r="54" ht="18" customHeight="1">
      <c r="B54" s="88" t="n"/>
      <c r="C54" s="89" t="inlineStr">
        <is>
          <t>and 85% of the booked dollars.</t>
        </is>
      </c>
      <c r="K54" t="inlineStr">
        <is>
          <t>row|adds|tests</t>
        </is>
      </c>
      <c r="M54" t="inlineStr">
        <is>
          <t>sp</t>
        </is>
      </c>
    </row>
    <row r="55" ht="18" customHeight="1">
      <c r="B55" s="88" t="inlineStr">
        <is>
          <t>Pockets in all</t>
        </is>
      </c>
      <c r="C55" s="89" t="inlineStr">
        <is>
          <t>110 pockets across 4 grids. Testable means at least 10 bad loans (fewest losses): that is the only floor that</t>
        </is>
      </c>
      <c r="K55" t="inlineStr">
        <is>
          <t>row|adds|tests</t>
        </is>
      </c>
    </row>
    <row r="56" ht="18" customHeight="1">
      <c r="B56" s="82" t="n"/>
      <c r="C56" s="83" t="inlineStr">
        <is>
          <t>stops a test now, since a pocket under fewest loans gets the exact test.</t>
        </is>
      </c>
      <c r="E56" s="87" t="n"/>
      <c r="F56" s="87" t="n"/>
      <c r="G56" s="87" t="n"/>
      <c r="K56" t="inlineStr">
        <is>
          <t>row|adds|tests</t>
        </is>
      </c>
      <c r="M56" t="inlineStr">
        <is>
          <t>sp</t>
        </is>
      </c>
    </row>
    <row r="58" ht="24" customHeight="1">
      <c r="B58" s="78" t="inlineStr">
        <is>
          <t>Left out</t>
        </is>
      </c>
      <c r="C58" s="79" t="n"/>
      <c r="E58" s="78" t="inlineStr">
        <is>
          <t>Every Run, newest first</t>
        </is>
      </c>
      <c r="F58" s="79" t="n"/>
      <c r="G58" s="79" t="n"/>
      <c r="K58" t="inlineStr">
        <is>
          <t>pair|left|runs</t>
        </is>
      </c>
    </row>
    <row r="59" ht="18" customHeight="1">
      <c r="B59" s="80" t="inlineStr">
        <is>
          <t>Where</t>
        </is>
      </c>
      <c r="C59" s="80" t="inlineStr">
        <is>
          <t>What and how many</t>
        </is>
      </c>
      <c r="E59" s="80" t="inlineStr">
        <is>
          <t>When</t>
        </is>
      </c>
      <c r="F59" s="80" t="inlineStr">
        <is>
          <t>What happened</t>
        </is>
      </c>
      <c r="G59" s="86" t="n"/>
    </row>
    <row r="60" ht="18" customHeight="1">
      <c r="B60" s="88" t="inlineStr">
        <is>
          <t>Left out of Bad loans</t>
        </is>
      </c>
      <c r="C60" s="89" t="inlineStr">
        <is>
          <t>1 x BAD_FLAG flag not 0 or 1</t>
        </is>
      </c>
      <c r="E60" s="88" t="inlineStr">
        <is>
          <t>2026-09-30 04:03</t>
        </is>
      </c>
      <c r="F60" s="89" t="inlineStr">
        <is>
          <t>Ran on 8,000 loans from Bureau book.csv. What was run: Where the book bleeds.</t>
        </is>
      </c>
      <c r="G60" s="63" t="n"/>
      <c r="K60" t="inlineStr">
        <is>
          <t>row|left|runs</t>
        </is>
      </c>
    </row>
    <row r="61" ht="18" customHeight="1">
      <c r="B61" s="88" t="inlineStr">
        <is>
          <t>Left out of Bad dollars</t>
        </is>
      </c>
      <c r="C61" s="89" t="inlineStr">
        <is>
          <t>1 x ORIG_BAL blank; 1 x BAD_FLAG flag not 0 or 1</t>
        </is>
      </c>
      <c r="E61" s="88" t="inlineStr">
        <is>
          <t>2026-09-30 04:03</t>
        </is>
      </c>
      <c r="F61" s="90" t="inlineStr">
        <is>
          <t>Couldn't run. Fix these, save, close, and press Run again:</t>
        </is>
      </c>
      <c r="G61" s="63" t="n"/>
      <c r="K61" t="inlineStr">
        <is>
          <t>row|left|runs</t>
        </is>
      </c>
    </row>
    <row r="62" ht="18" customHeight="1">
      <c r="B62" s="88" t="inlineStr">
        <is>
          <t>Left out of Charge-offs</t>
        </is>
      </c>
      <c r="C62" s="89" t="inlineStr">
        <is>
          <t>1 x GCO_AMT not a number; 1 x ORIG_BAL blank</t>
        </is>
      </c>
      <c r="E62" s="88" t="n"/>
      <c r="F62" s="89" t="inlineStr">
        <is>
          <t>Control!C15: "How much worse than its comparison a pocket must be" needs an answer. Pick one, or enter</t>
        </is>
      </c>
      <c r="G62" s="63" t="n"/>
      <c r="K62" t="inlineStr">
        <is>
          <t>row|left|runs</t>
        </is>
      </c>
    </row>
    <row r="63" ht="18" customHeight="1">
      <c r="B63" s="88" t="inlineStr">
        <is>
          <t>Left out of Kept after losses</t>
        </is>
      </c>
      <c r="C63" s="89" t="inlineStr">
        <is>
          <t>1 x ORIG_BAL blank</t>
        </is>
      </c>
      <c r="E63" s="88" t="n"/>
      <c r="F63" s="89" t="inlineStr">
        <is>
          <t>your own in column D.</t>
        </is>
      </c>
      <c r="G63" s="63" t="n"/>
      <c r="K63" t="inlineStr">
        <is>
          <t>row|left|runs</t>
        </is>
      </c>
      <c r="N63" t="inlineStr">
        <is>
          <t>sp</t>
        </is>
      </c>
    </row>
    <row r="64" ht="18" customHeight="1">
      <c r="B64" s="88" t="inlineStr">
        <is>
          <t>Left out of Earned before losses</t>
        </is>
      </c>
      <c r="C64" s="89" t="inlineStr">
        <is>
          <t>1 x GCO_AMT not a number; 1 x ORIG_BAL blank</t>
        </is>
      </c>
      <c r="E64" s="88" t="n"/>
      <c r="F64" s="89" t="inlineStr">
        <is>
          <t>Control!C18: "How sure a difference must be before it counts" needs an answer. Pick one, or enter your</t>
        </is>
      </c>
      <c r="G64" s="63" t="n"/>
      <c r="K64" t="inlineStr">
        <is>
          <t>row|left|runs</t>
        </is>
      </c>
    </row>
    <row r="65" ht="18" customHeight="1">
      <c r="B65" s="88" t="inlineStr">
        <is>
          <t>Alone in its band</t>
        </is>
      </c>
      <c r="C65" s="89" t="inlineStr">
        <is>
          <t>2 pockets had no other pocket in its band, so they were compared with the rest of the book.</t>
        </is>
      </c>
      <c r="E65" s="88" t="n"/>
      <c r="F65" s="89" t="inlineStr">
        <is>
          <t>own in column D.</t>
        </is>
      </c>
      <c r="G65" s="63" t="n"/>
      <c r="K65" t="inlineStr">
        <is>
          <t>row|left|runs</t>
        </is>
      </c>
      <c r="N65" t="inlineStr">
        <is>
          <t>sp</t>
        </is>
      </c>
    </row>
    <row r="66" ht="18" customHeight="1">
      <c r="E66" s="88" t="n"/>
      <c r="F66" s="89" t="inlineStr">
        <is>
          <t>Control!C19: "Smallest excess loss worth reporting" needs an answer. Pick one, or enter your own in</t>
        </is>
      </c>
      <c r="G66" s="63" t="n"/>
      <c r="K66" t="inlineStr">
        <is>
          <t>row|left|runs</t>
        </is>
      </c>
    </row>
    <row r="67" ht="18" customHeight="1">
      <c r="E67" s="88" t="n"/>
      <c r="F67" s="89" t="inlineStr">
        <is>
          <t>column D.</t>
        </is>
      </c>
      <c r="G67" s="63" t="n"/>
      <c r="K67" t="inlineStr">
        <is>
          <t>row|left|runs</t>
        </is>
      </c>
      <c r="N67" t="inlineStr">
        <is>
          <t>sp</t>
        </is>
      </c>
    </row>
    <row r="68" ht="18" customHeight="1">
      <c r="E68" s="88" t="n"/>
      <c r="F68" s="89" t="inlineStr">
        <is>
          <t>Control!C16: "How much better than its comparison a pocket must be" needs an answer. Pick one, or enter</t>
        </is>
      </c>
      <c r="G68" s="63" t="n"/>
      <c r="K68" t="inlineStr">
        <is>
          <t>row|left|runs</t>
        </is>
      </c>
    </row>
    <row r="69" ht="18" customHeight="1">
      <c r="E69" s="88" t="n"/>
      <c r="F69" s="89" t="inlineStr">
        <is>
          <t>your own in column D.</t>
        </is>
      </c>
      <c r="G69" s="63" t="n"/>
      <c r="K69" t="inlineStr">
        <is>
          <t>row|left|runs</t>
        </is>
      </c>
      <c r="N69" t="inlineStr">
        <is>
          <t>sp</t>
        </is>
      </c>
    </row>
    <row r="70" ht="18" customHeight="1">
      <c r="E70" s="88" t="n"/>
      <c r="F70" s="89" t="inlineStr">
        <is>
          <t>Control!C17: "How far profit must move before it counts as more or less" needs an answer. Pick one, or</t>
        </is>
      </c>
      <c r="G70" s="63" t="n"/>
      <c r="K70" t="inlineStr">
        <is>
          <t>row|left|runs</t>
        </is>
      </c>
    </row>
    <row r="71" ht="18" customHeight="1">
      <c r="E71" s="88" t="n"/>
      <c r="F71" s="89" t="inlineStr">
        <is>
          <t>enter your own in column D.</t>
        </is>
      </c>
      <c r="G71" s="63" t="n"/>
      <c r="K71" t="inlineStr">
        <is>
          <t>row|left|runs</t>
        </is>
      </c>
      <c r="N71" t="inlineStr">
        <is>
          <t>sp</t>
        </is>
      </c>
    </row>
    <row r="72" ht="18" customHeight="1">
      <c r="E72" s="88" t="n"/>
      <c r="F72" s="89" t="inlineStr">
        <is>
          <t>Control!C20: "What a pocket is judged against" needs an answer. Pick one from the list.</t>
        </is>
      </c>
      <c r="G72" s="63" t="n"/>
      <c r="K72" t="inlineStr">
        <is>
          <t>row|left|runs</t>
        </is>
      </c>
    </row>
    <row r="73" ht="18" customHeight="1">
      <c r="E73" s="88" t="n"/>
      <c r="F73" s="89" t="inlineStr">
        <is>
          <t>Control!C24: "Fewest loans in a pocket for the usual test (smaller ones get the exact test)" needs an</t>
        </is>
      </c>
      <c r="G73" s="63" t="n"/>
      <c r="K73" t="inlineStr">
        <is>
          <t>row|left|runs</t>
        </is>
      </c>
    </row>
    <row r="74" ht="18" customHeight="1">
      <c r="E74" s="88" t="n"/>
      <c r="F74" s="89" t="inlineStr">
        <is>
          <t>answer. Pick one, or enter your own in column D.</t>
        </is>
      </c>
      <c r="G74" s="63" t="n"/>
      <c r="K74" t="inlineStr">
        <is>
          <t>row|left|runs</t>
        </is>
      </c>
      <c r="N74" t="inlineStr">
        <is>
          <t>sp</t>
        </is>
      </c>
    </row>
    <row r="75" ht="18" customHeight="1">
      <c r="E75" s="88" t="n"/>
      <c r="F75" s="89" t="inlineStr">
        <is>
          <t>Control!C25: "Fewest loans with a loss before a loss rate is tested" needs an answer. Pick one, or enter</t>
        </is>
      </c>
      <c r="G75" s="63" t="n"/>
      <c r="K75" t="inlineStr">
        <is>
          <t>row|left|runs</t>
        </is>
      </c>
    </row>
    <row r="76" ht="18" customHeight="1">
      <c r="E76" s="88" t="n"/>
      <c r="F76" s="89" t="inlineStr">
        <is>
          <t>your own in column D.</t>
        </is>
      </c>
      <c r="G76" s="63" t="n"/>
      <c r="K76" t="inlineStr">
        <is>
          <t>row|left|runs</t>
        </is>
      </c>
      <c r="N76" t="inlineStr">
        <is>
          <t>sp</t>
        </is>
      </c>
    </row>
    <row r="77" ht="18" customHeight="1">
      <c r="B77" s="87" t="n"/>
      <c r="C77" s="87" t="n"/>
      <c r="E77" s="82" t="n"/>
      <c r="F77" s="83" t="inlineStr">
        <is>
          <t>Columns!C3: set Checked every column to Yes once you've checked each column's meaning.</t>
        </is>
      </c>
      <c r="G77" s="87" t="n"/>
      <c r="K77" t="inlineStr">
        <is>
          <t>row|left|runs</t>
        </is>
      </c>
    </row>
  </sheetData>
  <mergeCells count="55">
    <mergeCell ref="F73:G73"/>
    <mergeCell ref="F69:G69"/>
    <mergeCell ref="F29:G29"/>
    <mergeCell ref="C6:G6"/>
    <mergeCell ref="F54:G54"/>
    <mergeCell ref="F68:G68"/>
    <mergeCell ref="F25:G25"/>
    <mergeCell ref="F34:G34"/>
    <mergeCell ref="F63:G63"/>
    <mergeCell ref="F65:G65"/>
    <mergeCell ref="C5:G5"/>
    <mergeCell ref="F40:G40"/>
    <mergeCell ref="F74:G74"/>
    <mergeCell ref="F59:G59"/>
    <mergeCell ref="C4:G4"/>
    <mergeCell ref="F55:G55"/>
    <mergeCell ref="F24:G24"/>
    <mergeCell ref="F30:G30"/>
    <mergeCell ref="F53:G53"/>
    <mergeCell ref="F51:G51"/>
    <mergeCell ref="F76:G76"/>
    <mergeCell ref="F33:G33"/>
    <mergeCell ref="F45:G45"/>
    <mergeCell ref="F36:G36"/>
    <mergeCell ref="F42:G42"/>
    <mergeCell ref="F32:G32"/>
    <mergeCell ref="F50:G50"/>
    <mergeCell ref="F26:G26"/>
    <mergeCell ref="F41:G41"/>
    <mergeCell ref="F70:G70"/>
    <mergeCell ref="F66:G66"/>
    <mergeCell ref="F35:G35"/>
    <mergeCell ref="F75:G75"/>
    <mergeCell ref="F47:G47"/>
    <mergeCell ref="F62:G62"/>
    <mergeCell ref="F38:G38"/>
    <mergeCell ref="F72:G72"/>
    <mergeCell ref="F31:G31"/>
    <mergeCell ref="F46:G46"/>
    <mergeCell ref="F28:G28"/>
    <mergeCell ref="F27:G27"/>
    <mergeCell ref="F56:G56"/>
    <mergeCell ref="F71:G71"/>
    <mergeCell ref="F52:G52"/>
    <mergeCell ref="F67:G67"/>
    <mergeCell ref="F43:G43"/>
    <mergeCell ref="F61:G61"/>
    <mergeCell ref="F37:G37"/>
    <mergeCell ref="F39:G39"/>
    <mergeCell ref="F77:G77"/>
    <mergeCell ref="F48:G48"/>
    <mergeCell ref="F60:G60"/>
    <mergeCell ref="F49:G49"/>
    <mergeCell ref="F64:G64"/>
    <mergeCell ref="F44:G44"/>
  </mergeCells>
  <conditionalFormatting sqref="F10:G21">
    <cfRule type="expression" priority="1" dxfId="3">
      <formula>$L10=1</formula>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sheetPr>
  <dimension ref="A1:J55"/>
  <sheetViews>
    <sheetView tabSelected="0" workbookViewId="0">
      <selection activeCell="A1" sqref="A1"/>
    </sheetView>
  </sheetViews>
  <sheetFormatPr baseColWidth="8" defaultRowHeight="15"/>
  <sheetData>
    <row r="1">
      <c r="A1" t="inlineStr">
        <is>
          <t>lookup</t>
        </is>
      </c>
      <c r="B1" t="inlineStr">
        <is>
          <t>setting</t>
        </is>
      </c>
      <c r="C1" t="inlineStr">
        <is>
          <t>option</t>
        </is>
      </c>
      <c r="D1" t="inlineStr">
        <is>
          <t>value</t>
        </is>
      </c>
      <c r="E1" t="inlineStr">
        <is>
          <t>what it means</t>
        </is>
      </c>
      <c r="F1" t="inlineStr">
        <is>
          <t>your own value accepts</t>
        </is>
      </c>
      <c r="G1" t="inlineStr">
        <is>
          <t>plain</t>
        </is>
      </c>
      <c r="H1" t="inlineStr">
        <is>
          <t>lookup by value</t>
        </is>
      </c>
      <c r="J1" t="inlineStr">
        <is>
          <t>number columns</t>
        </is>
      </c>
    </row>
    <row r="2">
      <c r="A2" t="inlineStr">
        <is>
          <t>run_kind|Where the book bleeds</t>
        </is>
      </c>
      <c r="B2" t="inlineStr">
        <is>
          <t>run_kind</t>
        </is>
      </c>
      <c r="C2" t="inlineStr">
        <is>
          <t>Where the book bleeds</t>
        </is>
      </c>
      <c r="E2" t="inlineStr">
        <is>
          <t>The grids, the split and the three-way: which pockets lose more than their share. Needs the loan number, booked amount, outcome, GCO and RANR. No date.</t>
        </is>
      </c>
      <c r="G2" t="inlineStr">
        <is>
          <t>Where the book bleeds</t>
        </is>
      </c>
      <c r="J2" t="inlineStr">
        <is>
          <t>FICO</t>
        </is>
      </c>
    </row>
    <row r="3">
      <c r="A3" t="inlineStr">
        <is>
          <t>run_kind|Finding and testing a new variable</t>
        </is>
      </c>
      <c r="B3" t="inlineStr">
        <is>
          <t>run_kind</t>
        </is>
      </c>
      <c r="C3" t="inlineStr">
        <is>
          <t>Finding and testing a new variable</t>
        </is>
      </c>
      <c r="E3" t="inlineStr">
        <is>
          <t>Whether a new column, like income over sales, tells good loans from bad on loans kept back. Needs the loan number, the outcome and a column marked Origination date.</t>
        </is>
      </c>
      <c r="G3" t="inlineStr">
        <is>
          <t>Finding and testing a new variable</t>
        </is>
      </c>
      <c r="J3" t="inlineStr">
        <is>
          <t>ORIG_BAL</t>
        </is>
      </c>
    </row>
    <row r="4">
      <c r="A4" t="inlineStr">
        <is>
          <t>new_variable_step|Scout first</t>
        </is>
      </c>
      <c r="B4" t="inlineStr">
        <is>
          <t>new_variable_step</t>
        </is>
      </c>
      <c r="C4" t="inlineStr">
        <is>
          <t>Scout first</t>
        </is>
      </c>
      <c r="E4" t="inlineStr">
        <is>
          <t>The main path: the tree ranks the ticked columns on loans before the cutoff, to write the pre-spec and confirm it on the loans held back. Needs scikit-learn.</t>
        </is>
      </c>
      <c r="G4" t="inlineStr">
        <is>
          <t>Scout first</t>
        </is>
      </c>
      <c r="J4" t="inlineStr">
        <is>
          <t>BAD_FLAG</t>
        </is>
      </c>
    </row>
    <row r="5">
      <c r="A5" t="inlineStr">
        <is>
          <t>new_variable_step|Test from a pre-spec</t>
        </is>
      </c>
      <c r="B5" t="inlineStr">
        <is>
          <t>new_variable_step</t>
        </is>
      </c>
      <c r="C5" t="inlineStr">
        <is>
          <t>Test from a pre-spec</t>
        </is>
      </c>
      <c r="E5" t="inlineStr">
        <is>
          <t>Or test a shortlist saved earlier, once, on the loans it kept back. The launcher names the pre-spec file.</t>
        </is>
      </c>
      <c r="G5" t="inlineStr">
        <is>
          <t>Test from a pre-spec</t>
        </is>
      </c>
      <c r="J5" t="inlineStr">
        <is>
          <t>GCO_AMT</t>
        </is>
      </c>
    </row>
    <row r="6">
      <c r="A6" t="inlineStr">
        <is>
          <t>cutoff|The month start nearest 70% of the loans (suggested)</t>
        </is>
      </c>
      <c r="B6" t="inlineStr">
        <is>
          <t>cutoff</t>
        </is>
      </c>
      <c r="C6" t="inlineStr">
        <is>
          <t>The month start nearest 70% of the loans (suggested)</t>
        </is>
      </c>
      <c r="E6" t="inlineStr">
        <is>
          <t>Worked out from this extract's dates: the first of the month by which about 70% of the loans had been made. The tree is built on the loans before it.</t>
        </is>
      </c>
      <c r="F6" t="inlineStr">
        <is>
          <t>a date, such as 2024-01-01</t>
        </is>
      </c>
      <c r="G6" t="inlineStr">
        <is>
          <t>The month start nearest 70% of the loans (suggested)</t>
        </is>
      </c>
      <c r="J6" t="inlineStr">
        <is>
          <t>RANR_AMT</t>
        </is>
      </c>
    </row>
    <row r="7">
      <c r="A7" t="inlineStr">
        <is>
          <t>cutoff|The month start nearest 80% of the loans</t>
        </is>
      </c>
      <c r="B7" t="inlineStr">
        <is>
          <t>cutoff</t>
        </is>
      </c>
      <c r="C7" t="inlineStr">
        <is>
          <t>The month start nearest 80% of the loans</t>
        </is>
      </c>
      <c r="E7" t="inlineStr">
        <is>
          <t>The same at 80%: more loans to find on, fewer held back to confirm on.</t>
        </is>
      </c>
      <c r="F7" t="inlineStr">
        <is>
          <t>a date, such as 2024-01-01</t>
        </is>
      </c>
      <c r="G7" t="inlineStr">
        <is>
          <t>The month start nearest 80% of the loans</t>
        </is>
      </c>
      <c r="J7" t="inlineStr">
        <is>
          <t>ASSET_CLASS</t>
        </is>
      </c>
    </row>
    <row r="8">
      <c r="A8" t="inlineStr">
        <is>
          <t>few_values|12 values (recommended)</t>
        </is>
      </c>
      <c r="B8" t="inlineStr">
        <is>
          <t>few_values</t>
        </is>
      </c>
      <c r="C8" t="inlineStr">
        <is>
          <t>12 values (recommended)</t>
        </is>
      </c>
      <c r="D8" t="n">
        <v>12</v>
      </c>
      <c r="E8" t="inlineStr">
        <is>
          <t>Term (36, 48, 60) or a grade from 1 to 10 is read as categories, not cut into bands.</t>
        </is>
      </c>
      <c r="F8" t="inlineStr">
        <is>
          <t>whole number of values</t>
        </is>
      </c>
      <c r="G8" t="inlineStr">
        <is>
          <t>12 values</t>
        </is>
      </c>
      <c r="H8" t="inlineStr">
        <is>
          <t>few_values|12</t>
        </is>
      </c>
      <c r="J8" t="inlineStr">
        <is>
          <t>REV_DEBT</t>
        </is>
      </c>
    </row>
    <row r="9">
      <c r="A9" t="inlineStr">
        <is>
          <t>few_values|6 values</t>
        </is>
      </c>
      <c r="B9" t="inlineStr">
        <is>
          <t>few_values</t>
        </is>
      </c>
      <c r="C9" t="inlineStr">
        <is>
          <t>6 values</t>
        </is>
      </c>
      <c r="D9" t="n">
        <v>6</v>
      </c>
      <c r="E9" t="inlineStr">
        <is>
          <t>Only very short lists are categories; more columns are cut into bands.</t>
        </is>
      </c>
      <c r="F9" t="inlineStr">
        <is>
          <t>whole number of values</t>
        </is>
      </c>
      <c r="G9" t="inlineStr">
        <is>
          <t>6 values</t>
        </is>
      </c>
      <c r="H9" t="inlineStr">
        <is>
          <t>few_values|6</t>
        </is>
      </c>
      <c r="J9" t="inlineStr">
        <is>
          <t>SHORT_HIST</t>
        </is>
      </c>
    </row>
    <row r="10">
      <c r="A10" t="inlineStr">
        <is>
          <t>few_values|24 values</t>
        </is>
      </c>
      <c r="B10" t="inlineStr">
        <is>
          <t>few_values</t>
        </is>
      </c>
      <c r="C10" t="inlineStr">
        <is>
          <t>24 values</t>
        </is>
      </c>
      <c r="D10" t="n">
        <v>24</v>
      </c>
      <c r="E10" t="inlineStr">
        <is>
          <t>Longer lists stay categories, such as a month or a 1-20 score.</t>
        </is>
      </c>
      <c r="F10" t="inlineStr">
        <is>
          <t>whole number of values</t>
        </is>
      </c>
      <c r="G10" t="inlineStr">
        <is>
          <t>24 values</t>
        </is>
      </c>
      <c r="H10" t="inlineStr">
        <is>
          <t>few_values|24</t>
        </is>
      </c>
    </row>
    <row r="11">
      <c r="A11" t="inlineStr">
        <is>
          <t>many_values|50 values (recommended)</t>
        </is>
      </c>
      <c r="B11" t="inlineStr">
        <is>
          <t>many_values</t>
        </is>
      </c>
      <c r="C11" t="inlineStr">
        <is>
          <t>50 values (recommended)</t>
        </is>
      </c>
      <c r="D11" t="n">
        <v>50</v>
      </c>
      <c r="E11" t="inlineStr">
        <is>
          <t>State (50 or so) is still a dimension; a city or a dealer name is raised as a question instead.</t>
        </is>
      </c>
      <c r="F11" t="inlineStr">
        <is>
          <t>whole number of values</t>
        </is>
      </c>
      <c r="G11" t="inlineStr">
        <is>
          <t>50 values</t>
        </is>
      </c>
      <c r="H11" t="inlineStr">
        <is>
          <t>many_values|50</t>
        </is>
      </c>
    </row>
    <row r="12">
      <c r="A12" t="inlineStr">
        <is>
          <t>many_values|25 values</t>
        </is>
      </c>
      <c r="B12" t="inlineStr">
        <is>
          <t>many_values</t>
        </is>
      </c>
      <c r="C12" t="inlineStr">
        <is>
          <t>25 values</t>
        </is>
      </c>
      <c r="D12" t="n">
        <v>25</v>
      </c>
      <c r="E12" t="inlineStr">
        <is>
          <t>Keeps grids small. Longer lists are raised as questions.</t>
        </is>
      </c>
      <c r="F12" t="inlineStr">
        <is>
          <t>whole number of values</t>
        </is>
      </c>
      <c r="G12" t="inlineStr">
        <is>
          <t>25 values</t>
        </is>
      </c>
      <c r="H12" t="inlineStr">
        <is>
          <t>many_values|25</t>
        </is>
      </c>
    </row>
    <row r="13">
      <c r="A13" t="inlineStr">
        <is>
          <t>many_values|100 values</t>
        </is>
      </c>
      <c r="B13" t="inlineStr">
        <is>
          <t>many_values</t>
        </is>
      </c>
      <c r="C13" t="inlineStr">
        <is>
          <t>100 values</t>
        </is>
      </c>
      <c r="D13" t="n">
        <v>100</v>
      </c>
      <c r="E13" t="inlineStr">
        <is>
          <t>Allows long lists as dimensions; many of their pockets will be tiny.</t>
        </is>
      </c>
      <c r="F13" t="inlineStr">
        <is>
          <t>whole number of values</t>
        </is>
      </c>
      <c r="G13" t="inlineStr">
        <is>
          <t>100 values</t>
        </is>
      </c>
      <c r="H13" t="inlineStr">
        <is>
          <t>many_values|100</t>
        </is>
      </c>
    </row>
    <row r="14">
      <c r="A14" t="inlineStr">
        <is>
          <t>band_count|5 bands (recommended)</t>
        </is>
      </c>
      <c r="B14" t="inlineStr">
        <is>
          <t>band_count</t>
        </is>
      </c>
      <c r="C14" t="inlineStr">
        <is>
          <t>5 bands (recommended)</t>
        </is>
      </c>
      <c r="D14" t="n">
        <v>5</v>
      </c>
      <c r="E14" t="inlineStr">
        <is>
          <t>Fine enough to see a trend, with each band holding a fifth of the loans.</t>
        </is>
      </c>
      <c r="F14" t="inlineStr">
        <is>
          <t>whole number of bands</t>
        </is>
      </c>
      <c r="G14" t="inlineStr">
        <is>
          <t>5 bands</t>
        </is>
      </c>
      <c r="H14" t="inlineStr">
        <is>
          <t>band_count|5</t>
        </is>
      </c>
    </row>
    <row r="15">
      <c r="A15" t="inlineStr">
        <is>
          <t>band_count|3 bands</t>
        </is>
      </c>
      <c r="B15" t="inlineStr">
        <is>
          <t>band_count</t>
        </is>
      </c>
      <c r="C15" t="inlineStr">
        <is>
          <t>3 bands</t>
        </is>
      </c>
      <c r="D15" t="n">
        <v>3</v>
      </c>
      <c r="E15" t="inlineStr">
        <is>
          <t>Low, middle, high. Big pockets; a problem at the edge may be diluted.</t>
        </is>
      </c>
      <c r="F15" t="inlineStr">
        <is>
          <t>whole number of bands</t>
        </is>
      </c>
      <c r="G15" t="inlineStr">
        <is>
          <t>3 bands</t>
        </is>
      </c>
      <c r="H15" t="inlineStr">
        <is>
          <t>band_count|3</t>
        </is>
      </c>
    </row>
    <row r="16">
      <c r="A16" t="inlineStr">
        <is>
          <t>band_count|10 bands</t>
        </is>
      </c>
      <c r="B16" t="inlineStr">
        <is>
          <t>band_count</t>
        </is>
      </c>
      <c r="C16" t="inlineStr">
        <is>
          <t>10 bands</t>
        </is>
      </c>
      <c r="D16" t="n">
        <v>10</v>
      </c>
      <c r="E16" t="inlineStr">
        <is>
          <t>Shows where a rate turns, but each band is a tenth of the book.</t>
        </is>
      </c>
      <c r="F16" t="inlineStr">
        <is>
          <t>whole number of bands</t>
        </is>
      </c>
      <c r="G16" t="inlineStr">
        <is>
          <t>10 bands</t>
        </is>
      </c>
      <c r="H16" t="inlineStr">
        <is>
          <t>band_count|10</t>
        </is>
      </c>
    </row>
    <row r="17">
      <c r="A17" t="inlineStr">
        <is>
          <t>band_count|20 bands</t>
        </is>
      </c>
      <c r="B17" t="inlineStr">
        <is>
          <t>band_count</t>
        </is>
      </c>
      <c r="C17" t="inlineStr">
        <is>
          <t>20 bands</t>
        </is>
      </c>
      <c r="D17" t="n">
        <v>20</v>
      </c>
      <c r="E17" t="inlineStr">
        <is>
          <t>Narrow bands, each a twentieth of the book. Needs a big book, or most pockets will be too small to test.</t>
        </is>
      </c>
      <c r="F17" t="inlineStr">
        <is>
          <t>whole number of bands</t>
        </is>
      </c>
      <c r="G17" t="inlineStr">
        <is>
          <t>20 bands</t>
        </is>
      </c>
      <c r="H17" t="inlineStr">
        <is>
          <t>band_count|20</t>
        </is>
      </c>
    </row>
    <row r="18">
      <c r="A18" t="inlineStr">
        <is>
          <t>band_cut|Each band holds about the same number of loans (recommended)</t>
        </is>
      </c>
      <c r="B18" t="inlineStr">
        <is>
          <t>band_cut</t>
        </is>
      </c>
      <c r="C18" t="inlineStr">
        <is>
          <t>Each band holds about the same number of loans (recommended)</t>
        </is>
      </c>
      <c r="E18" t="inlineStr">
        <is>
          <t>Every band can be tested equally well. Edges land on uneven numbers.</t>
        </is>
      </c>
      <c r="G18" t="inlineStr">
        <is>
          <t>Each band holds about the same number of loans</t>
        </is>
      </c>
    </row>
    <row r="19">
      <c r="A19" t="inlineStr">
        <is>
          <t>band_cut|The same, snapped to round numbers</t>
        </is>
      </c>
      <c r="B19" t="inlineStr">
        <is>
          <t>band_cut</t>
        </is>
      </c>
      <c r="C19" t="inlineStr">
        <is>
          <t>The same, snapped to round numbers</t>
        </is>
      </c>
      <c r="E19" t="inlineStr">
        <is>
          <t>Edges on round numbers, easier to quote. Bands hold uneven counts.</t>
        </is>
      </c>
      <c r="G19" t="inlineStr">
        <is>
          <t>The same, snapped to round numbers</t>
        </is>
      </c>
    </row>
    <row r="20">
      <c r="A20" t="inlineStr">
        <is>
          <t>min_loans|Enough for 5 expected losses (suggested)</t>
        </is>
      </c>
      <c r="B20" t="inlineStr">
        <is>
          <t>min_loans</t>
        </is>
      </c>
      <c r="C20" t="inlineStr">
        <is>
          <t>Enough for 5 expected losses (suggested)</t>
        </is>
      </c>
      <c r="E20" t="inlineStr">
        <is>
          <t>Worked out from this book: the loans a pocket needs to expect 5 with the outcome at the book's rate, the textbook floor for the usual test.</t>
        </is>
      </c>
      <c r="F20" t="inlineStr">
        <is>
          <t>whole number of loans</t>
        </is>
      </c>
      <c r="G20" t="inlineStr">
        <is>
          <t>Enough for 5 expected losses (suggested)</t>
        </is>
      </c>
    </row>
    <row r="21">
      <c r="A21" t="inlineStr">
        <is>
          <t>min_loans|30 loans</t>
        </is>
      </c>
      <c r="B21" t="inlineStr">
        <is>
          <t>min_loans</t>
        </is>
      </c>
      <c r="C21" t="inlineStr">
        <is>
          <t>30 loans</t>
        </is>
      </c>
      <c r="D21" t="n">
        <v>30</v>
      </c>
      <c r="E21" t="inlineStr">
        <is>
          <t>The old workbook's value. Smaller pockets get the exact test, which needs no minimum.</t>
        </is>
      </c>
      <c r="F21" t="inlineStr">
        <is>
          <t>whole number of loans</t>
        </is>
      </c>
      <c r="G21" t="inlineStr">
        <is>
          <t>30 loans</t>
        </is>
      </c>
      <c r="H21" t="inlineStr">
        <is>
          <t>min_loans|30</t>
        </is>
      </c>
    </row>
    <row r="22">
      <c r="A22" t="inlineStr">
        <is>
          <t>min_loans|100 loans</t>
        </is>
      </c>
      <c r="B22" t="inlineStr">
        <is>
          <t>min_loans</t>
        </is>
      </c>
      <c r="C22" t="inlineStr">
        <is>
          <t>100 loans</t>
        </is>
      </c>
      <c r="D22" t="n">
        <v>100</v>
      </c>
      <c r="E22" t="inlineStr">
        <is>
          <t>Pockets under 100 loans get the exact test.</t>
        </is>
      </c>
      <c r="F22" t="inlineStr">
        <is>
          <t>whole number of loans</t>
        </is>
      </c>
      <c r="G22" t="inlineStr">
        <is>
          <t>100 loans</t>
        </is>
      </c>
      <c r="H22" t="inlineStr">
        <is>
          <t>min_loans|100</t>
        </is>
      </c>
    </row>
    <row r="23">
      <c r="A23" t="inlineStr">
        <is>
          <t>min_loans|300 loans</t>
        </is>
      </c>
      <c r="B23" t="inlineStr">
        <is>
          <t>min_loans</t>
        </is>
      </c>
      <c r="C23" t="inlineStr">
        <is>
          <t>300 loans</t>
        </is>
      </c>
      <c r="D23" t="n">
        <v>300</v>
      </c>
      <c r="E23" t="inlineStr">
        <is>
          <t>Pockets under 300 loans get the exact test.</t>
        </is>
      </c>
      <c r="F23" t="inlineStr">
        <is>
          <t>whole number of loans</t>
        </is>
      </c>
      <c r="G23" t="inlineStr">
        <is>
          <t>300 loans</t>
        </is>
      </c>
      <c r="H23" t="inlineStr">
        <is>
          <t>min_loans|300</t>
        </is>
      </c>
    </row>
    <row r="24">
      <c r="A24" t="inlineStr">
        <is>
          <t>min_events|5 losses</t>
        </is>
      </c>
      <c r="B24" t="inlineStr">
        <is>
          <t>min_events</t>
        </is>
      </c>
      <c r="C24" t="inlineStr">
        <is>
          <t>5 losses</t>
        </is>
      </c>
      <c r="D24" t="n">
        <v>5</v>
      </c>
      <c r="E24" t="inlineStr">
        <is>
          <t>The least the test can work with. Ranges will be wide.</t>
        </is>
      </c>
      <c r="F24" t="inlineStr">
        <is>
          <t>whole number of loans</t>
        </is>
      </c>
      <c r="G24" t="inlineStr">
        <is>
          <t>5 losses</t>
        </is>
      </c>
      <c r="H24" t="inlineStr">
        <is>
          <t>min_events|5</t>
        </is>
      </c>
    </row>
    <row r="25">
      <c r="A25" t="inlineStr">
        <is>
          <t>min_events|10 losses</t>
        </is>
      </c>
      <c r="B25" t="inlineStr">
        <is>
          <t>min_events</t>
        </is>
      </c>
      <c r="C25" t="inlineStr">
        <is>
          <t>10 losses</t>
        </is>
      </c>
      <c r="D25" t="n">
        <v>10</v>
      </c>
      <c r="E25" t="inlineStr">
        <is>
          <t>A loss rate rests on how many loans lost money, not how many a pocket holds. Ten is a common floor.</t>
        </is>
      </c>
      <c r="F25" t="inlineStr">
        <is>
          <t>whole number of loans</t>
        </is>
      </c>
      <c r="G25" t="inlineStr">
        <is>
          <t>10 losses</t>
        </is>
      </c>
      <c r="H25" t="inlineStr">
        <is>
          <t>min_events|10</t>
        </is>
      </c>
    </row>
    <row r="26">
      <c r="A26" t="inlineStr">
        <is>
          <t>min_events|20 losses</t>
        </is>
      </c>
      <c r="B26" t="inlineStr">
        <is>
          <t>min_events</t>
        </is>
      </c>
      <c r="C26" t="inlineStr">
        <is>
          <t>20 losses</t>
        </is>
      </c>
      <c r="D26" t="n">
        <v>20</v>
      </c>
      <c r="E26" t="inlineStr">
        <is>
          <t>Ranges narrow enough to rank pockets against each other.</t>
        </is>
      </c>
      <c r="F26" t="inlineStr">
        <is>
          <t>whole number of loans</t>
        </is>
      </c>
      <c r="G26" t="inlineStr">
        <is>
          <t>20 losses</t>
        </is>
      </c>
      <c r="H26" t="inlineStr">
        <is>
          <t>min_events|20</t>
        </is>
      </c>
    </row>
    <row r="27">
      <c r="A27" t="inlineStr">
        <is>
          <t>materiality|0.5% of the book's total losses</t>
        </is>
      </c>
      <c r="B27" t="inlineStr">
        <is>
          <t>materiality</t>
        </is>
      </c>
      <c r="C27" t="inlineStr">
        <is>
          <t>0.5% of the book's total losses</t>
        </is>
      </c>
      <c r="E27" t="inlineStr">
        <is>
          <t>Catches small pockets as well as big ones. Excess is counted against whatever a pocket is judged against, below.</t>
        </is>
      </c>
      <c r="F27" t="inlineStr">
        <is>
          <t>a dollar amount of GCO</t>
        </is>
      </c>
      <c r="G27" t="inlineStr">
        <is>
          <t>0.5% of the book's total losses</t>
        </is>
      </c>
    </row>
    <row r="28">
      <c r="A28" t="inlineStr">
        <is>
          <t>materiality|1% of the book's total losses</t>
        </is>
      </c>
      <c r="B28" t="inlineStr">
        <is>
          <t>materiality</t>
        </is>
      </c>
      <c r="C28" t="inlineStr">
        <is>
          <t>1% of the book's total losses</t>
        </is>
      </c>
      <c r="E28" t="inlineStr">
        <is>
          <t>Scales with the book, so the same setting works on any population. Excess is counted against whatever a pocket is judged against, below.</t>
        </is>
      </c>
      <c r="F28" t="inlineStr">
        <is>
          <t>a dollar amount of GCO</t>
        </is>
      </c>
      <c r="G28" t="inlineStr">
        <is>
          <t>1% of the book's total losses</t>
        </is>
      </c>
    </row>
    <row r="29">
      <c r="A29" t="inlineStr">
        <is>
          <t>materiality|2% of the book's total losses</t>
        </is>
      </c>
      <c r="B29" t="inlineStr">
        <is>
          <t>materiality</t>
        </is>
      </c>
      <c r="C29" t="inlineStr">
        <is>
          <t>2% of the book's total losses</t>
        </is>
      </c>
      <c r="E29" t="inlineStr">
        <is>
          <t>Keeps pockets whose excess is over 2% of the book's losses. Excess is counted against whatever a pocket is judged against, below.</t>
        </is>
      </c>
      <c r="F29" t="inlineStr">
        <is>
          <t>a dollar amount of GCO</t>
        </is>
      </c>
      <c r="G29" t="inlineStr">
        <is>
          <t>2% of the book's total losses</t>
        </is>
      </c>
    </row>
    <row r="30">
      <c r="A30" t="inlineStr">
        <is>
          <t>materiality|5% of the book's total losses</t>
        </is>
      </c>
      <c r="B30" t="inlineStr">
        <is>
          <t>materiality</t>
        </is>
      </c>
      <c r="C30" t="inlineStr">
        <is>
          <t>5% of the book's total losses</t>
        </is>
      </c>
      <c r="E30" t="inlineStr">
        <is>
          <t>Only pockets that move the total. Excess is counted against whatever a pocket is judged against, below.</t>
        </is>
      </c>
      <c r="F30" t="inlineStr">
        <is>
          <t>a dollar amount of GCO</t>
        </is>
      </c>
      <c r="G30" t="inlineStr">
        <is>
          <t>5% of the book's total losses</t>
        </is>
      </c>
    </row>
    <row r="31">
      <c r="A31" t="inlineStr">
        <is>
          <t>materiality|10% of the book's total losses</t>
        </is>
      </c>
      <c r="B31" t="inlineStr">
        <is>
          <t>materiality</t>
        </is>
      </c>
      <c r="C31" t="inlineStr">
        <is>
          <t>10% of the book's total losses</t>
        </is>
      </c>
      <c r="E31" t="inlineStr">
        <is>
          <t>Only the few pockets that carry the book. Excess is counted against whatever a pocket is judged against, below.</t>
        </is>
      </c>
      <c r="F31" t="inlineStr">
        <is>
          <t>a dollar amount of GCO</t>
        </is>
      </c>
      <c r="G31" t="inlineStr">
        <is>
          <t>10% of the book's total losses</t>
        </is>
      </c>
    </row>
    <row r="32">
      <c r="A32" t="inlineStr">
        <is>
          <t>materiality|No floor</t>
        </is>
      </c>
      <c r="B32" t="inlineStr">
        <is>
          <t>materiality</t>
        </is>
      </c>
      <c r="C32" t="inlineStr">
        <is>
          <t>No floor</t>
        </is>
      </c>
      <c r="E32" t="inlineStr">
        <is>
          <t>Every pocket that tests worse is listed, however small. For spotting patterns rather than dollars.</t>
        </is>
      </c>
      <c r="F32" t="inlineStr">
        <is>
          <t>a dollar amount of GCO</t>
        </is>
      </c>
      <c r="G32" t="inlineStr">
        <is>
          <t>No floor</t>
        </is>
      </c>
    </row>
    <row r="33">
      <c r="A33" t="inlineStr">
        <is>
          <t>compare_to|The rest of its band</t>
        </is>
      </c>
      <c r="B33" t="inlineStr">
        <is>
          <t>compare_to</t>
        </is>
      </c>
      <c r="C33" t="inlineStr">
        <is>
          <t>The rest of its band</t>
        </is>
      </c>
      <c r="E33" t="inlineStr">
        <is>
          <t>A pocket against the other segments in the same band. Both comparisons are printed; this one decides the flag.</t>
        </is>
      </c>
      <c r="G33" t="inlineStr">
        <is>
          <t>The rest of its band</t>
        </is>
      </c>
    </row>
    <row r="34">
      <c r="A34" t="inlineStr">
        <is>
          <t>compare_to|The rest of the book</t>
        </is>
      </c>
      <c r="B34" t="inlineStr">
        <is>
          <t>compare_to</t>
        </is>
      </c>
      <c r="C34" t="inlineStr">
        <is>
          <t>The rest of the book</t>
        </is>
      </c>
      <c r="E34" t="inlineStr">
        <is>
          <t>The simplest story: does this pocket stand out overall? Both comparisons are printed; this one decides the flag.</t>
        </is>
      </c>
      <c r="G34" t="inlineStr">
        <is>
          <t>The rest of the book</t>
        </is>
      </c>
    </row>
    <row r="35">
      <c r="A35" t="inlineStr">
        <is>
          <t>worse_at|The smallest significant gap in a typical pocket (suggested)</t>
        </is>
      </c>
      <c r="B35" t="inlineStr">
        <is>
          <t>worse_at</t>
        </is>
      </c>
      <c r="C35" t="inlineStr">
        <is>
          <t>The smallest significant gap in a typical pocket (suggested)</t>
        </is>
      </c>
      <c r="E35" t="inlineStr">
        <is>
          <t>From this book: the smallest gap a typical pocket can call significant, 1.96 standard errors at 95% (how far a pocket's rate typically lands from its true value).</t>
        </is>
      </c>
      <c r="F35" t="inlineStr">
        <is>
          <t>a multiple above 1, such as 1.4</t>
        </is>
      </c>
      <c r="G35" t="inlineStr">
        <is>
          <t>The smallest significant gap in a typical pocket (suggested)</t>
        </is>
      </c>
    </row>
    <row r="36">
      <c r="A36" t="inlineStr">
        <is>
          <t>worse_at|1.25 times</t>
        </is>
      </c>
      <c r="B36" t="inlineStr">
        <is>
          <t>worse_at</t>
        </is>
      </c>
      <c r="C36" t="inlineStr">
        <is>
          <t>1.25 times</t>
        </is>
      </c>
      <c r="D36" t="n">
        <v>1.25</v>
      </c>
      <c r="E36" t="inlineStr">
        <is>
          <t>The old workbook's value. Moderate gaps; more pockets flagged.</t>
        </is>
      </c>
      <c r="F36" t="inlineStr">
        <is>
          <t>a multiple above 1, such as 1.4</t>
        </is>
      </c>
      <c r="G36" t="inlineStr">
        <is>
          <t>1.25 times</t>
        </is>
      </c>
      <c r="H36" t="inlineStr">
        <is>
          <t>worse_at|1.25</t>
        </is>
      </c>
    </row>
    <row r="37">
      <c r="A37" t="inlineStr">
        <is>
          <t>worse_at|1.5 times</t>
        </is>
      </c>
      <c r="B37" t="inlineStr">
        <is>
          <t>worse_at</t>
        </is>
      </c>
      <c r="C37" t="inlineStr">
        <is>
          <t>1.5 times</t>
        </is>
      </c>
      <c r="D37" t="n">
        <v>1.5</v>
      </c>
      <c r="E37" t="inlineStr">
        <is>
          <t>Half as bad again.</t>
        </is>
      </c>
      <c r="F37" t="inlineStr">
        <is>
          <t>a multiple above 1, such as 1.4</t>
        </is>
      </c>
      <c r="G37" t="inlineStr">
        <is>
          <t>1.5 times</t>
        </is>
      </c>
      <c r="H37" t="inlineStr">
        <is>
          <t>worse_at|1.5</t>
        </is>
      </c>
    </row>
    <row r="38">
      <c r="A38" t="inlineStr">
        <is>
          <t>worse_at|2 times</t>
        </is>
      </c>
      <c r="B38" t="inlineStr">
        <is>
          <t>worse_at</t>
        </is>
      </c>
      <c r="C38" t="inlineStr">
        <is>
          <t>2 times</t>
        </is>
      </c>
      <c r="D38" t="n">
        <v>2</v>
      </c>
      <c r="E38" t="inlineStr">
        <is>
          <t>Only pockets at double the rate or more. Few, and obvious.</t>
        </is>
      </c>
      <c r="F38" t="inlineStr">
        <is>
          <t>a multiple above 1, such as 1.4</t>
        </is>
      </c>
      <c r="G38" t="inlineStr">
        <is>
          <t>2 times</t>
        </is>
      </c>
      <c r="H38" t="inlineStr">
        <is>
          <t>worse_at|2</t>
        </is>
      </c>
    </row>
    <row r="39">
      <c r="A39" t="inlineStr">
        <is>
          <t>better_at|The smallest significant gap in a typical pocket (suggested)</t>
        </is>
      </c>
      <c r="B39" t="inlineStr">
        <is>
          <t>better_at</t>
        </is>
      </c>
      <c r="C39" t="inlineStr">
        <is>
          <t>The smallest significant gap in a typical pocket (suggested)</t>
        </is>
      </c>
      <c r="E39" t="inlineStr">
        <is>
          <t>The same as above, the other way: one over the smallest gap a pocket of typical size can call significant.</t>
        </is>
      </c>
      <c r="F39" t="inlineStr">
        <is>
          <t>a multiple below 1, such as 0.7</t>
        </is>
      </c>
      <c r="G39" t="inlineStr">
        <is>
          <t>The smallest significant gap in a typical pocket (suggested)</t>
        </is>
      </c>
    </row>
    <row r="40">
      <c r="A40" t="inlineStr">
        <is>
          <t>better_at|0.8 times</t>
        </is>
      </c>
      <c r="B40" t="inlineStr">
        <is>
          <t>better_at</t>
        </is>
      </c>
      <c r="C40" t="inlineStr">
        <is>
          <t>0.8 times</t>
        </is>
      </c>
      <c r="D40" t="n">
        <v>0.8</v>
      </c>
      <c r="E40" t="inlineStr">
        <is>
          <t>The old workbook's value.</t>
        </is>
      </c>
      <c r="F40" t="inlineStr">
        <is>
          <t>a multiple below 1, such as 0.7</t>
        </is>
      </c>
      <c r="G40" t="inlineStr">
        <is>
          <t>0.8 times</t>
        </is>
      </c>
      <c r="H40" t="inlineStr">
        <is>
          <t>better_at|0.8</t>
        </is>
      </c>
    </row>
    <row r="41">
      <c r="A41" t="inlineStr">
        <is>
          <t>better_at|0.67 times</t>
        </is>
      </c>
      <c r="B41" t="inlineStr">
        <is>
          <t>better_at</t>
        </is>
      </c>
      <c r="C41" t="inlineStr">
        <is>
          <t>0.67 times</t>
        </is>
      </c>
      <c r="D41" t="n">
        <v>0.67</v>
      </c>
      <c r="E41" t="inlineStr">
        <is>
          <t>A third better or more.</t>
        </is>
      </c>
      <c r="F41" t="inlineStr">
        <is>
          <t>a multiple below 1, such as 0.7</t>
        </is>
      </c>
      <c r="G41" t="inlineStr">
        <is>
          <t>0.67 times</t>
        </is>
      </c>
      <c r="H41" t="inlineStr">
        <is>
          <t>better_at|0.67</t>
        </is>
      </c>
    </row>
    <row r="42">
      <c r="A42" t="inlineStr">
        <is>
          <t>better_at|0.5 times</t>
        </is>
      </c>
      <c r="B42" t="inlineStr">
        <is>
          <t>better_at</t>
        </is>
      </c>
      <c r="C42" t="inlineStr">
        <is>
          <t>0.5 times</t>
        </is>
      </c>
      <c r="D42" t="n">
        <v>0.5</v>
      </c>
      <c r="E42" t="inlineStr">
        <is>
          <t>Half the rate or less. Few, and obvious.</t>
        </is>
      </c>
      <c r="F42" t="inlineStr">
        <is>
          <t>a multiple below 1, such as 0.7</t>
        </is>
      </c>
      <c r="G42" t="inlineStr">
        <is>
          <t>0.5 times</t>
        </is>
      </c>
      <c r="H42" t="inlineStr">
        <is>
          <t>better_at|0.5</t>
        </is>
      </c>
    </row>
    <row r="43">
      <c r="A43" t="inlineStr">
        <is>
          <t>revenue_line|Each pocket's own test (suggested)</t>
        </is>
      </c>
      <c r="B43" t="inlineStr">
        <is>
          <t>revenue_line</t>
        </is>
      </c>
      <c r="C43" t="inlineStr">
        <is>
          <t>Each pocket's own test (suggested)</t>
        </is>
      </c>
      <c r="E43" t="inlineStr">
        <is>
          <t>Profit counts as keeping more or less only when the pocket's own test calls the gap significant. A small pocket needs a bigger gap.</t>
        </is>
      </c>
      <c r="F43" t="inlineStr">
        <is>
          <t>a number of points, such as 0.3</t>
        </is>
      </c>
      <c r="G43" t="inlineStr">
        <is>
          <t>Each pocket's own test (suggested)</t>
        </is>
      </c>
    </row>
    <row r="44">
      <c r="A44" t="inlineStr">
        <is>
          <t>revenue_line|0.25 points either way</t>
        </is>
      </c>
      <c r="B44" t="inlineStr">
        <is>
          <t>revenue_line</t>
        </is>
      </c>
      <c r="C44" t="inlineStr">
        <is>
          <t>0.25 points either way</t>
        </is>
      </c>
      <c r="D44" t="n">
        <v>0.25</v>
      </c>
      <c r="E44" t="inlineStr">
        <is>
          <t>A point is 1% of booked dollars. A gap of a quarter point or more counts, and one that isn't significant says so.</t>
        </is>
      </c>
      <c r="F44" t="inlineStr">
        <is>
          <t>a number of points, such as 0.3</t>
        </is>
      </c>
      <c r="G44" t="inlineStr">
        <is>
          <t>0.25 points either way</t>
        </is>
      </c>
      <c r="H44" t="inlineStr">
        <is>
          <t>revenue_line|0.25</t>
        </is>
      </c>
    </row>
    <row r="45">
      <c r="A45" t="inlineStr">
        <is>
          <t>revenue_line|0.5 points either way</t>
        </is>
      </c>
      <c r="B45" t="inlineStr">
        <is>
          <t>revenue_line</t>
        </is>
      </c>
      <c r="C45" t="inlineStr">
        <is>
          <t>0.5 points either way</t>
        </is>
      </c>
      <c r="D45" t="n">
        <v>0.5</v>
      </c>
      <c r="E45" t="inlineStr">
        <is>
          <t>Only gaps of half a point of booked dollars or more count.</t>
        </is>
      </c>
      <c r="F45" t="inlineStr">
        <is>
          <t>a number of points, such as 0.3</t>
        </is>
      </c>
      <c r="G45" t="inlineStr">
        <is>
          <t>0.5 points either way</t>
        </is>
      </c>
      <c r="H45" t="inlineStr">
        <is>
          <t>revenue_line|0.5</t>
        </is>
      </c>
    </row>
    <row r="46">
      <c r="A46" t="inlineStr">
        <is>
          <t>revenue_line|A gap as big as the materiality line</t>
        </is>
      </c>
      <c r="B46" t="inlineStr">
        <is>
          <t>revenue_line</t>
        </is>
      </c>
      <c r="C46" t="inlineStr">
        <is>
          <t>A gap as big as the materiality line</t>
        </is>
      </c>
      <c r="E46" t="inlineStr">
        <is>
          <t>Profit counts as keeping less when the pocket's shortfall against its comparison reaches the dollar line above, and as more when its surplus does.</t>
        </is>
      </c>
      <c r="F46" t="inlineStr">
        <is>
          <t>a number of points, such as 0.3</t>
        </is>
      </c>
      <c r="G46" t="inlineStr">
        <is>
          <t>A gap as big as the materiality line</t>
        </is>
      </c>
    </row>
    <row r="47">
      <c r="A47" t="inlineStr">
        <is>
          <t>confidence|90% sure</t>
        </is>
      </c>
      <c r="B47" t="inlineStr">
        <is>
          <t>confidence</t>
        </is>
      </c>
      <c r="C47" t="inlineStr">
        <is>
          <t>90% sure</t>
        </is>
      </c>
      <c r="D47" t="n">
        <v>0.9</v>
      </c>
      <c r="E47" t="inlineStr">
        <is>
          <t>Finds more. About 1 in 10 pockets with no real difference will still pass.</t>
        </is>
      </c>
      <c r="F47" t="inlineStr">
        <is>
          <t>a share, such as 0.95 for 95%</t>
        </is>
      </c>
      <c r="G47" t="inlineStr">
        <is>
          <t>90% sure</t>
        </is>
      </c>
      <c r="H47" t="inlineStr">
        <is>
          <t>confidence|0.9</t>
        </is>
      </c>
    </row>
    <row r="48">
      <c r="A48" t="inlineStr">
        <is>
          <t>confidence|95% sure</t>
        </is>
      </c>
      <c r="B48" t="inlineStr">
        <is>
          <t>confidence</t>
        </is>
      </c>
      <c r="C48" t="inlineStr">
        <is>
          <t>95% sure</t>
        </is>
      </c>
      <c r="D48" t="n">
        <v>0.95</v>
      </c>
      <c r="E48" t="inlineStr">
        <is>
          <t>The usual standard. About 1 pocket in 20 with no real difference will still pass.</t>
        </is>
      </c>
      <c r="F48" t="inlineStr">
        <is>
          <t>a share, such as 0.95 for 95%</t>
        </is>
      </c>
      <c r="G48" t="inlineStr">
        <is>
          <t>95% sure</t>
        </is>
      </c>
      <c r="H48" t="inlineStr">
        <is>
          <t>confidence|0.95</t>
        </is>
      </c>
    </row>
    <row r="49">
      <c r="A49" t="inlineStr">
        <is>
          <t>confidence|99% sure</t>
        </is>
      </c>
      <c r="B49" t="inlineStr">
        <is>
          <t>confidence</t>
        </is>
      </c>
      <c r="C49" t="inlineStr">
        <is>
          <t>99% sure</t>
        </is>
      </c>
      <c r="D49" t="n">
        <v>0.99</v>
      </c>
      <c r="E49" t="inlineStr">
        <is>
          <t>Strict. About 1 in 100, and smaller real gaps will be missed.</t>
        </is>
      </c>
      <c r="F49" t="inlineStr">
        <is>
          <t>a share, such as 0.95 for 95%</t>
        </is>
      </c>
      <c r="G49" t="inlineStr">
        <is>
          <t>99% sure</t>
        </is>
      </c>
      <c r="H49" t="inlineStr">
        <is>
          <t>confidence|0.99</t>
        </is>
      </c>
    </row>
    <row r="50">
      <c r="A50" t="inlineStr">
        <is>
          <t>power|80% of the time (recommended)</t>
        </is>
      </c>
      <c r="B50" t="inlineStr">
        <is>
          <t>power</t>
        </is>
      </c>
      <c r="C50" t="inlineStr">
        <is>
          <t>80% of the time (recommended)</t>
        </is>
      </c>
      <c r="D50" t="n">
        <v>0.8</v>
      </c>
      <c r="E50" t="inlineStr">
        <is>
          <t>The usual standard. Used only to say how big a gap each pocket's size could show; it never flags anything.</t>
        </is>
      </c>
      <c r="F50" t="inlineStr">
        <is>
          <t>a share, such as 0.8 for 80%</t>
        </is>
      </c>
      <c r="G50" t="inlineStr">
        <is>
          <t>80% of the time</t>
        </is>
      </c>
      <c r="H50" t="inlineStr">
        <is>
          <t>power|0.8</t>
        </is>
      </c>
    </row>
    <row r="51">
      <c r="A51" t="inlineStr">
        <is>
          <t>power|90% of the time</t>
        </is>
      </c>
      <c r="B51" t="inlineStr">
        <is>
          <t>power</t>
        </is>
      </c>
      <c r="C51" t="inlineStr">
        <is>
          <t>90% of the time</t>
        </is>
      </c>
      <c r="D51" t="n">
        <v>0.9</v>
      </c>
      <c r="E51" t="inlineStr">
        <is>
          <t>Each pocket can vouch for larger gaps only.</t>
        </is>
      </c>
      <c r="F51" t="inlineStr">
        <is>
          <t>a share, such as 0.8 for 80%</t>
        </is>
      </c>
      <c r="G51" t="inlineStr">
        <is>
          <t>90% of the time</t>
        </is>
      </c>
      <c r="H51" t="inlineStr">
        <is>
          <t>power|0.9</t>
        </is>
      </c>
    </row>
    <row r="52">
      <c r="A52" t="inlineStr">
        <is>
          <t>power|50% of the time</t>
        </is>
      </c>
      <c r="B52" t="inlineStr">
        <is>
          <t>power</t>
        </is>
      </c>
      <c r="C52" t="inlineStr">
        <is>
          <t>50% of the time</t>
        </is>
      </c>
      <c r="D52" t="n">
        <v>0.5</v>
      </c>
      <c r="E52" t="inlineStr">
        <is>
          <t>A coin toss. The smallest gap a pocket could possibly show.</t>
        </is>
      </c>
      <c r="F52" t="inlineStr">
        <is>
          <t>a share, such as 0.8 for 80%</t>
        </is>
      </c>
      <c r="G52" t="inlineStr">
        <is>
          <t>50% of the time</t>
        </is>
      </c>
      <c r="H52" t="inlineStr">
        <is>
          <t>power|0.5</t>
        </is>
      </c>
    </row>
    <row r="53">
      <c r="A53" t="inlineStr">
        <is>
          <t>many_tests|No allowance</t>
        </is>
      </c>
      <c r="B53" t="inlineStr">
        <is>
          <t>many_tests</t>
        </is>
      </c>
      <c r="C53" t="inlineStr">
        <is>
          <t>No allowance</t>
        </is>
      </c>
      <c r="E53" t="inlineStr">
        <is>
          <t>Each pocket is tested alone. Scan 200 pockets at 95% and about 10 will read significant with no real difference behind them.</t>
        </is>
      </c>
      <c r="G53" t="inlineStr">
        <is>
          <t>No allowance</t>
        </is>
      </c>
    </row>
    <row r="54">
      <c r="A54" t="inlineStr">
        <is>
          <t>many_tests|Hold down the share of false finds (Benjamini-Hochberg) (recommended)</t>
        </is>
      </c>
      <c r="B54" t="inlineStr">
        <is>
          <t>many_tests</t>
        </is>
      </c>
      <c r="C54" t="inlineStr">
        <is>
          <t>Hold down the share of false finds (Benjamini-Hochberg) (recommended)</t>
        </is>
      </c>
      <c r="E54" t="inlineStr">
        <is>
          <t>Of the pockets that read significant, about 5% at 95% are expected to have no real difference behind them. Suits scanning for leads.</t>
        </is>
      </c>
      <c r="G54" t="inlineStr">
        <is>
          <t>Hold down the share of false finds (Benjamini-Hochberg)</t>
        </is>
      </c>
    </row>
    <row r="55">
      <c r="A55" t="inlineStr">
        <is>
          <t>many_tests|Hold down the chance of any false find (Bonferroni)</t>
        </is>
      </c>
      <c r="B55" t="inlineStr">
        <is>
          <t>many_tests</t>
        </is>
      </c>
      <c r="C55" t="inlineStr">
        <is>
          <t>Hold down the chance of any false find (Bonferroni)</t>
        </is>
      </c>
      <c r="E55" t="inlineStr">
        <is>
          <t>The chance of even one pocket reading significant with no real difference is held to 5% at 95%. Very strict; suits a short list going to the LOB.</t>
        </is>
      </c>
      <c r="G55" t="inlineStr">
        <is>
          <t>Hold down the chance of any false find (Bonferroni)</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9"/>
  <sheetViews>
    <sheetView tabSelected="0" workbookViewId="0">
      <selection activeCell="A1" sqref="A1"/>
    </sheetView>
  </sheetViews>
  <sheetFormatPr baseColWidth="8" defaultRowHeight="15"/>
  <sheetData>
    <row r="1">
      <c r="A1" t="inlineStr">
        <is>
          <t>Loan number (key)</t>
        </is>
      </c>
      <c r="B1" t="inlineStr">
        <is>
          <t>key</t>
        </is>
      </c>
      <c r="C1" t="inlineStr">
        <is>
          <t>loan or application number</t>
        </is>
      </c>
    </row>
    <row r="2">
      <c r="A2" t="inlineStr">
        <is>
          <t>Booked amount</t>
        </is>
      </c>
      <c r="B2" t="inlineStr">
        <is>
          <t>booked</t>
        </is>
      </c>
      <c r="C2" t="inlineStr">
        <is>
          <t>booked or loan amount, which weights the reporting-level rates</t>
        </is>
      </c>
    </row>
    <row r="3">
      <c r="A3" t="inlineStr">
        <is>
          <t>Outcome (yes/no)</t>
        </is>
      </c>
      <c r="B3" t="inlineStr">
        <is>
          <t>outcome</t>
        </is>
      </c>
      <c r="C3" t="inlineStr">
        <is>
          <t>the yes/no outcome: charged off, ever delinquent, decided by the system</t>
        </is>
      </c>
    </row>
    <row r="4">
      <c r="A4" t="inlineStr">
        <is>
          <t>GCO dollars</t>
        </is>
      </c>
      <c r="B4" t="inlineStr">
        <is>
          <t>gco</t>
        </is>
      </c>
      <c r="C4" t="inlineStr">
        <is>
          <t>gross charge-off dollars</t>
        </is>
      </c>
    </row>
    <row r="5">
      <c r="A5" t="inlineStr">
        <is>
          <t>RANR dollars</t>
        </is>
      </c>
      <c r="B5" t="inlineStr">
        <is>
          <t>ranr</t>
        </is>
      </c>
      <c r="C5" t="inlineStr">
        <is>
          <t>RANR dollars</t>
        </is>
      </c>
    </row>
    <row r="6">
      <c r="A6" t="inlineStr">
        <is>
          <t>Origination date</t>
        </is>
      </c>
      <c r="B6" t="inlineStr">
        <is>
          <t>origination_date</t>
        </is>
      </c>
      <c r="C6" t="inlineStr">
        <is>
          <t>when the loan was made</t>
        </is>
      </c>
    </row>
    <row r="7">
      <c r="A7" t="inlineStr">
        <is>
          <t>FICO score</t>
        </is>
      </c>
      <c r="B7" t="inlineStr">
        <is>
          <t>fico</t>
        </is>
      </c>
      <c r="C7" t="inlineStr">
        <is>
          <t>a FICO score</t>
        </is>
      </c>
    </row>
    <row r="8">
      <c r="A8" t="inlineStr">
        <is>
          <t>Other score</t>
        </is>
      </c>
      <c r="B8" t="inlineStr">
        <is>
          <t>score</t>
        </is>
      </c>
      <c r="C8" t="inlineStr">
        <is>
          <t>a score not on the FICO scale (a custom or bank score)</t>
        </is>
      </c>
    </row>
    <row r="9">
      <c r="A9" t="inlineStr">
        <is>
          <t>DTI-style ratio</t>
        </is>
      </c>
      <c r="B9" t="inlineStr">
        <is>
          <t>dti</t>
        </is>
      </c>
      <c r="C9" t="inlineStr">
        <is>
          <t>a debt-to-income style ratio</t>
        </is>
      </c>
    </row>
    <row r="10">
      <c r="A10" t="inlineStr">
        <is>
          <t>LTV-style ratio</t>
        </is>
      </c>
      <c r="B10" t="inlineStr">
        <is>
          <t>ltv</t>
        </is>
      </c>
      <c r="C10" t="inlineStr">
        <is>
          <t>a loan-to-value style ratio</t>
        </is>
      </c>
    </row>
    <row r="11">
      <c r="A11" t="inlineStr">
        <is>
          <t>Rate or APR</t>
        </is>
      </c>
      <c r="B11" t="inlineStr">
        <is>
          <t>rate</t>
        </is>
      </c>
      <c r="C11" t="inlineStr">
        <is>
          <t>interest rate or APR</t>
        </is>
      </c>
    </row>
    <row r="12">
      <c r="A12" t="inlineStr">
        <is>
          <t>Term</t>
        </is>
      </c>
      <c r="B12" t="inlineStr">
        <is>
          <t>term</t>
        </is>
      </c>
      <c r="C12" t="inlineStr">
        <is>
          <t>loan term in months</t>
        </is>
      </c>
    </row>
    <row r="13">
      <c r="A13" t="inlineStr">
        <is>
          <t>Credit product</t>
        </is>
      </c>
      <c r="B13" t="inlineStr">
        <is>
          <t>product</t>
        </is>
      </c>
      <c r="C13" t="inlineStr">
        <is>
          <t>loan type or credit product: auto, card, mortgage, line of credit</t>
        </is>
      </c>
    </row>
    <row r="14">
      <c r="A14" t="inlineStr">
        <is>
          <t>Servicing data</t>
        </is>
      </c>
      <c r="B14" t="inlineStr">
        <is>
          <t>servicing</t>
        </is>
      </c>
      <c r="C14" t="inlineStr">
        <is>
          <t>servicing data: recorded after booking, like a new line limit, a status or days past due, so never cut by</t>
        </is>
      </c>
    </row>
    <row r="15">
      <c r="A15" t="inlineStr">
        <is>
          <t>Amount or number</t>
        </is>
      </c>
      <c r="B15" t="inlineStr">
        <is>
          <t>amount</t>
        </is>
      </c>
      <c r="C15" t="inlineStr">
        <is>
          <t>a number to cut into bands</t>
        </is>
      </c>
    </row>
    <row r="16">
      <c r="A16" t="inlineStr">
        <is>
          <t>Category</t>
        </is>
      </c>
      <c r="B16" t="inlineStr">
        <is>
          <t>category</t>
        </is>
      </c>
      <c r="C16" t="inlineStr">
        <is>
          <t>a category to cut by: channel, state, product</t>
        </is>
      </c>
    </row>
    <row r="17">
      <c r="A17" t="inlineStr">
        <is>
          <t>Other ID</t>
        </is>
      </c>
      <c r="B17" t="inlineStr">
        <is>
          <t>id</t>
        </is>
      </c>
      <c r="C17" t="inlineStr">
        <is>
          <t>an identifier that is not the key</t>
        </is>
      </c>
    </row>
    <row r="18">
      <c r="A18" t="inlineStr">
        <is>
          <t>Not used</t>
        </is>
      </c>
      <c r="B18" t="inlineStr">
        <is>
          <t>unused</t>
        </is>
      </c>
      <c r="C18" t="inlineStr">
        <is>
          <t>empty or one value only</t>
        </is>
      </c>
    </row>
    <row r="19">
      <c r="A19" t="inlineStr">
        <is>
          <t>Not sure yet</t>
        </is>
      </c>
      <c r="B19" t="inlineStr">
        <is>
          <t>unknown</t>
        </is>
      </c>
      <c r="C19" t="inlineStr">
        <is>
          <t>not known yet, so not cut by until you say what it is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tabSelected="0" workbookViewId="0">
      <selection activeCell="A1" sqref="A1"/>
    </sheetView>
  </sheetViews>
  <sheetFormatPr baseColWidth="8" defaultRowHeight="15"/>
  <sheetData>
    <row r="1">
      <c r="A1" t="inlineStr">
        <is>
          <t>extract</t>
        </is>
      </c>
      <c r="B1" t="inlineStr">
        <is>
          <t>/tmp/claude-0/-home-user-SATC/b4305bfc-8769-5da1-bd67-4db589c3cc31/scratchpad/credit3/Bureau files/Bureau book.csv</t>
        </is>
      </c>
    </row>
    <row r="2">
      <c r="A2" t="inlineStr">
        <is>
          <t>sha256</t>
        </is>
      </c>
      <c r="B2" t="inlineStr">
        <is>
          <t>435a381b73c97324a6f45ebe9f3a123f8bb7e2c61c89da8e92214228298e927a</t>
        </is>
      </c>
    </row>
    <row r="3">
      <c r="A3" t="inlineStr">
        <is>
          <t>set up</t>
        </is>
      </c>
      <c r="B3" t="inlineStr">
        <is>
          <t>2026-09-30</t>
        </is>
      </c>
    </row>
    <row r="4">
      <c r="A4" t="inlineStr">
        <is>
          <t>extract name</t>
        </is>
      </c>
      <c r="B4" t="inlineStr">
        <is>
          <t>Bureau book.csv</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5"/>
  <sheetViews>
    <sheetView tabSelected="0" workbookViewId="0">
      <selection activeCell="A1" sqref="A1"/>
    </sheetView>
  </sheetViews>
  <sheetFormatPr baseColWidth="8" defaultRowHeight="15"/>
  <sheetData>
    <row r="1">
      <c r="A1" t="inlineStr">
        <is>
          <t>Log</t>
        </is>
      </c>
    </row>
    <row r="2">
      <c r="A2" t="inlineStr">
        <is>
          <t>Every Run and every refusal, newest first. Each entry is what that Run used: a line changed on Control afterwards shows on the result tabs, not here.</t>
        </is>
      </c>
    </row>
    <row r="4">
      <c r="A4" t="inlineStr">
        <is>
          <t>2026-09-30 04:03</t>
        </is>
      </c>
      <c r="B4" t="inlineStr">
        <is>
          <t>Ran on 8,000 loans from Bureau book.csv. What was run: Where the book bleeds.</t>
        </is>
      </c>
    </row>
    <row r="5"/>
    <row r="6">
      <c r="A6" t="inlineStr">
        <is>
          <t>2026-09-30 04:03</t>
        </is>
      </c>
      <c r="B6" t="inlineStr">
        <is>
          <t>Couldn't run. Fix these, save, close, and press Run again:</t>
        </is>
      </c>
    </row>
    <row r="7">
      <c r="B7" t="inlineStr">
        <is>
          <t>Control!C15: "How much worse than its comparison a pocket must be" needs an answer. Pick one, or enter your own in column D.</t>
        </is>
      </c>
    </row>
    <row r="8">
      <c r="B8" t="inlineStr">
        <is>
          <t>Control!C18: "How sure a difference must be before it counts" needs an answer. Pick one, or enter your own in column D.</t>
        </is>
      </c>
    </row>
    <row r="9">
      <c r="B9" t="inlineStr">
        <is>
          <t>Control!C19: "Smallest excess loss worth reporting" needs an answer. Pick one, or enter your own in column D.</t>
        </is>
      </c>
    </row>
    <row r="10">
      <c r="B10" t="inlineStr">
        <is>
          <t>Control!C16: "How much better than its comparison a pocket must be" needs an answer. Pick one, or enter your own in column D.</t>
        </is>
      </c>
    </row>
    <row r="11">
      <c r="B11" t="inlineStr">
        <is>
          <t>Control!C17: "How far profit must move before it counts as more or less" needs an answer. Pick one, or enter your own in column D.</t>
        </is>
      </c>
    </row>
    <row r="12">
      <c r="B12" t="inlineStr">
        <is>
          <t>Control!C20: "What a pocket is judged against" needs an answer. Pick one from the list.</t>
        </is>
      </c>
    </row>
    <row r="13">
      <c r="B13" t="inlineStr">
        <is>
          <t>Control!C24: "Fewest loans in a pocket for the usual test (smaller ones get the exact test)" needs an answer. Pick one, or enter your own in column D.</t>
        </is>
      </c>
    </row>
    <row r="14">
      <c r="B14" t="inlineStr">
        <is>
          <t>Control!C25: "Fewest loans with a loss before a loss rate is tested" needs an answer. Pick one, or enter your own in column D.</t>
        </is>
      </c>
    </row>
    <row r="15">
      <c r="B15" t="inlineStr">
        <is>
          <t>Columns!C3: set Checked every column to Yes once you've checked each column's meaning.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7"/>
  <sheetViews>
    <sheetView tabSelected="0" workbookViewId="0">
      <selection activeCell="A1" sqref="A1"/>
    </sheetView>
  </sheetViews>
  <sheetFormatPr baseColWidth="8" defaultRowHeight="15"/>
  <sheetData>
    <row r="1">
      <c r="A1" t="inlineStr">
        <is>
          <t>Pockets: Measure</t>
        </is>
      </c>
      <c r="B1" t="inlineStr">
        <is>
          <t>Pockets: Measure (1)</t>
        </is>
      </c>
      <c r="C1" t="inlineStr">
        <is>
          <t>Pockets: Measure (2)</t>
        </is>
      </c>
      <c r="D1" t="inlineStr">
        <is>
          <t>Pockets: Measure (3)</t>
        </is>
      </c>
      <c r="E1" t="inlineStr">
        <is>
          <t>Pockets: Pockets</t>
        </is>
      </c>
      <c r="F1" t="inlineStr">
        <is>
          <t>Pockets: Show</t>
        </is>
      </c>
      <c r="G1" t="inlineStr">
        <is>
          <t>Paid, cost, kept: Grid</t>
        </is>
      </c>
      <c r="H1" t="inlineStr">
        <is>
          <t>Grids: Grid</t>
        </is>
      </c>
      <c r="I1" t="inlineStr">
        <is>
          <t>Grids: Measure</t>
        </is>
      </c>
      <c r="J1" t="inlineStr">
        <is>
          <t>Grids: Measure (1)</t>
        </is>
      </c>
      <c r="K1" t="inlineStr">
        <is>
          <t>Grids: Measure (2)</t>
        </is>
      </c>
      <c r="L1" t="inlineStr">
        <is>
          <t>Grids: Measure (3)</t>
        </is>
      </c>
      <c r="M1" t="inlineStr">
        <is>
          <t>Grids: Only loans where</t>
        </is>
      </c>
      <c r="N1" t="inlineStr">
        <is>
          <t>Split: Grid</t>
        </is>
      </c>
      <c r="O1" t="inlineStr">
        <is>
          <t>Split: Measure</t>
        </is>
      </c>
      <c r="P1" t="inlineStr">
        <is>
          <t>Split: Measure (1)</t>
        </is>
      </c>
    </row>
    <row r="2">
      <c r="A2" t="inlineStr">
        <is>
          <t>Bad loans</t>
        </is>
      </c>
      <c r="B2" t="inlineStr">
        <is>
          <t>outcome_loans</t>
        </is>
      </c>
      <c r="C2" t="n">
        <v>0</v>
      </c>
      <c r="D2" t="n">
        <v>1</v>
      </c>
      <c r="E2" t="inlineStr">
        <is>
          <t>Two-way</t>
        </is>
      </c>
      <c r="F2" t="inlineStr">
        <is>
          <t>All</t>
        </is>
      </c>
      <c r="G2" t="inlineStr">
        <is>
          <t>FICO x CHANNEL</t>
        </is>
      </c>
      <c r="H2" t="inlineStr">
        <is>
          <t>FICO x CHANNEL</t>
        </is>
      </c>
      <c r="I2" t="inlineStr">
        <is>
          <t>Bad loans</t>
        </is>
      </c>
      <c r="J2" t="inlineStr">
        <is>
          <t>outcome_loans</t>
        </is>
      </c>
      <c r="K2" t="inlineStr">
        <is>
          <t>{these}: {r} went bad.</t>
        </is>
      </c>
      <c r="L2" t="inlineStr">
        <is>
          <t>{x}× the bad-loan rate of {against}.</t>
        </is>
      </c>
      <c r="M2" t="inlineStr">
        <is>
          <t>All loans</t>
        </is>
      </c>
      <c r="N2" t="inlineStr">
        <is>
          <t>FICO x CHANNEL</t>
        </is>
      </c>
      <c r="O2" t="inlineStr">
        <is>
          <t>Bad loans</t>
        </is>
      </c>
      <c r="P2" t="inlineStr">
        <is>
          <t>outcome_loans</t>
        </is>
      </c>
    </row>
    <row r="3">
      <c r="A3" t="inlineStr">
        <is>
          <t>Bad dollars</t>
        </is>
      </c>
      <c r="B3" t="inlineStr">
        <is>
          <t>outcome_booked</t>
        </is>
      </c>
      <c r="C3" t="n">
        <v>0</v>
      </c>
      <c r="D3" t="n">
        <v>0</v>
      </c>
      <c r="E3" t="inlineStr">
        <is>
          <t>Split by REV_DEBT</t>
        </is>
      </c>
      <c r="F3" t="inlineStr">
        <is>
          <t>Worse and material</t>
        </is>
      </c>
      <c r="G3" t="inlineStr">
        <is>
          <t>SHORT_HIST x CHANNEL</t>
        </is>
      </c>
      <c r="H3" t="inlineStr">
        <is>
          <t>SHORT_HIST x CHANNEL</t>
        </is>
      </c>
      <c r="I3" t="inlineStr">
        <is>
          <t>Bad dollars</t>
        </is>
      </c>
      <c r="J3" t="inlineStr">
        <is>
          <t>outcome_booked</t>
        </is>
      </c>
      <c r="K3" t="inlineStr">
        <is>
          <t>{these}: {r} of {their} booked dollars were in loans that went bad.</t>
        </is>
      </c>
      <c r="L3" t="inlineStr">
        <is>
          <t>{x}× the bad-dollar rate of {against}.</t>
        </is>
      </c>
      <c r="N3" t="inlineStr">
        <is>
          <t>SHORT_HIST x CHANNEL</t>
        </is>
      </c>
      <c r="O3" t="inlineStr">
        <is>
          <t>Bad dollars</t>
        </is>
      </c>
      <c r="P3" t="inlineStr">
        <is>
          <t>outcome_booked</t>
        </is>
      </c>
    </row>
    <row r="4">
      <c r="A4" t="inlineStr">
        <is>
          <t>Charge-offs</t>
        </is>
      </c>
      <c r="B4" t="inlineStr">
        <is>
          <t>gco_rate</t>
        </is>
      </c>
      <c r="C4" t="n">
        <v>0</v>
      </c>
      <c r="D4" t="n">
        <v>0</v>
      </c>
      <c r="F4" t="inlineStr">
        <is>
          <t>Worse or not sure</t>
        </is>
      </c>
      <c r="H4" t="inlineStr">
        <is>
          <t>FICO x CHANNEL / REV_DEBT</t>
        </is>
      </c>
      <c r="I4" t="inlineStr">
        <is>
          <t>Charge-offs</t>
        </is>
      </c>
      <c r="J4" t="inlineStr">
        <is>
          <t>gco_rate</t>
        </is>
      </c>
      <c r="K4" t="inlineStr">
        <is>
          <t>{these} charged off {r} of {their} booked dollars.</t>
        </is>
      </c>
      <c r="L4" t="inlineStr">
        <is>
          <t>{x}× the charge-off rate of {against}.</t>
        </is>
      </c>
      <c r="O4" t="inlineStr">
        <is>
          <t>Charge-offs</t>
        </is>
      </c>
      <c r="P4" t="inlineStr">
        <is>
          <t>gco_rate</t>
        </is>
      </c>
    </row>
    <row r="5">
      <c r="A5" t="inlineStr">
        <is>
          <t>Kept after losses</t>
        </is>
      </c>
      <c r="B5" t="inlineStr">
        <is>
          <t>ranr_rate</t>
        </is>
      </c>
      <c r="C5" t="n">
        <v>1</v>
      </c>
      <c r="D5" t="n">
        <v>0</v>
      </c>
      <c r="H5" t="inlineStr">
        <is>
          <t>SHORT_HIST x CHANNEL / REV_DEBT</t>
        </is>
      </c>
      <c r="I5" t="inlineStr">
        <is>
          <t>Kept after losses</t>
        </is>
      </c>
      <c r="J5" t="inlineStr">
        <is>
          <t>ranr_rate</t>
        </is>
      </c>
      <c r="K5" t="inlineStr">
        <is>
          <t>{these} kept {r} of {their} booked dollars after losses.</t>
        </is>
      </c>
      <c r="L5" t="inlineStr">
        <is>
          <t>Kept {pts} points {more} of their booked dollars than {against}.</t>
        </is>
      </c>
      <c r="O5" t="inlineStr">
        <is>
          <t>Kept after losses</t>
        </is>
      </c>
      <c r="P5" t="inlineStr">
        <is>
          <t>ranr_rate</t>
        </is>
      </c>
    </row>
    <row r="6">
      <c r="A6" t="inlineStr">
        <is>
          <t>Earned before losses</t>
        </is>
      </c>
      <c r="B6" t="inlineStr">
        <is>
          <t>contribution_rate</t>
        </is>
      </c>
      <c r="C6" t="n">
        <v>1</v>
      </c>
      <c r="D6" t="n">
        <v>0</v>
      </c>
      <c r="I6" t="inlineStr">
        <is>
          <t>Earned before losses</t>
        </is>
      </c>
      <c r="J6" t="inlineStr">
        <is>
          <t>contribution_rate</t>
        </is>
      </c>
      <c r="K6" t="inlineStr">
        <is>
          <t>{these} earned {r} of {their} booked dollars before losses.</t>
        </is>
      </c>
      <c r="L6" t="inlineStr">
        <is>
          <t>Earned {pts} points {more} of their booked dollars than {against}.</t>
        </is>
      </c>
      <c r="O6" t="inlineStr">
        <is>
          <t>Earned before losses</t>
        </is>
      </c>
      <c r="P6" t="inlineStr">
        <is>
          <t>contribution_rate</t>
        </is>
      </c>
    </row>
    <row r="7">
      <c r="I7" t="inlineStr">
        <is>
          <t>Loan size</t>
        </is>
      </c>
      <c r="J7" t="inlineStr">
        <is>
          <t>loan_size</t>
        </is>
      </c>
      <c r="K7" t="inlineStr">
        <is>
          <t>{these} averaged {r} booked, median {med}.</t>
        </is>
      </c>
      <c r="L7" t="inlineStr">
        <is>
          <t>{x}× the average loan of {against}.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952"/>
  <sheetViews>
    <sheetView tabSelected="0" workbookViewId="0">
      <selection activeCell="A1" sqref="A1"/>
    </sheetView>
  </sheetViews>
  <sheetFormatPr baseColWidth="8" defaultRowHeight="15"/>
  <sheetData>
    <row r="1">
      <c r="A1" t="inlineStr">
        <is>
          <t>C|FICO x CHANNEL|1</t>
        </is>
      </c>
      <c r="B1" t="inlineStr">
        <is>
          <t>496 - 653</t>
        </is>
      </c>
      <c r="C1" t="inlineStr">
        <is>
          <t>Broker</t>
        </is>
      </c>
      <c r="D1" t="n">
        <v>523</v>
      </c>
      <c r="E1" t="n">
        <v>0</v>
      </c>
      <c r="F1" t="n">
        <v>33</v>
      </c>
      <c r="G1" t="n">
        <v>31</v>
      </c>
      <c r="H1" t="n">
        <v>32</v>
      </c>
    </row>
    <row r="2">
      <c r="A2" t="inlineStr">
        <is>
          <t>C|FICO x CHANNEL|2</t>
        </is>
      </c>
      <c r="B2" t="inlineStr">
        <is>
          <t>712 - 745</t>
        </is>
      </c>
      <c r="C2" t="inlineStr">
        <is>
          <t>Online</t>
        </is>
      </c>
      <c r="D2" t="n">
        <v>564</v>
      </c>
      <c r="E2" t="n">
        <v>0</v>
      </c>
      <c r="F2" t="n">
        <v>43</v>
      </c>
      <c r="G2" t="n">
        <v>41</v>
      </c>
      <c r="H2" t="n">
        <v>42</v>
      </c>
    </row>
    <row r="3">
      <c r="A3" t="inlineStr">
        <is>
          <t>C|FICO x CHANNEL|3</t>
        </is>
      </c>
      <c r="B3" t="inlineStr">
        <is>
          <t>496 - 653</t>
        </is>
      </c>
      <c r="C3" t="inlineStr">
        <is>
          <t>Branch</t>
        </is>
      </c>
      <c r="D3" t="n">
        <v>502</v>
      </c>
      <c r="E3" t="n">
        <v>0</v>
      </c>
      <c r="F3" t="n">
        <v>23</v>
      </c>
      <c r="G3" t="n">
        <v>21</v>
      </c>
      <c r="H3" t="n">
        <v>22</v>
      </c>
    </row>
    <row r="4">
      <c r="A4" t="inlineStr">
        <is>
          <t>C|FICO x CHANNEL|4</t>
        </is>
      </c>
      <c r="B4" t="inlineStr">
        <is>
          <t>496 - 653</t>
        </is>
      </c>
      <c r="C4" t="inlineStr">
        <is>
          <t>Online</t>
        </is>
      </c>
      <c r="D4" t="n">
        <v>531</v>
      </c>
      <c r="E4" t="n">
        <v>0</v>
      </c>
      <c r="F4" t="n">
        <v>83</v>
      </c>
      <c r="G4" t="n">
        <v>81</v>
      </c>
      <c r="H4" t="n">
        <v>82</v>
      </c>
    </row>
    <row r="5">
      <c r="A5" t="inlineStr">
        <is>
          <t>C|FICO x CHANNEL|5</t>
        </is>
      </c>
      <c r="B5" t="inlineStr">
        <is>
          <t>686 - 711</t>
        </is>
      </c>
      <c r="C5" t="inlineStr">
        <is>
          <t>Online</t>
        </is>
      </c>
      <c r="D5" t="n">
        <v>546</v>
      </c>
      <c r="E5" t="n">
        <v>0</v>
      </c>
      <c r="F5" t="n">
        <v>68</v>
      </c>
      <c r="G5" t="n">
        <v>66</v>
      </c>
      <c r="H5" t="n">
        <v>67</v>
      </c>
    </row>
    <row r="6">
      <c r="A6" t="inlineStr">
        <is>
          <t>C|FICO x CHANNEL|6</t>
        </is>
      </c>
      <c r="B6" t="inlineStr">
        <is>
          <t>654 - 685</t>
        </is>
      </c>
      <c r="C6" t="inlineStr">
        <is>
          <t>Branch</t>
        </is>
      </c>
      <c r="D6" t="n">
        <v>503</v>
      </c>
      <c r="E6" t="n">
        <v>0</v>
      </c>
      <c r="F6" t="n">
        <v>58</v>
      </c>
      <c r="G6" t="n">
        <v>56</v>
      </c>
      <c r="H6" t="n">
        <v>57</v>
      </c>
    </row>
    <row r="7">
      <c r="A7" t="inlineStr">
        <is>
          <t>C|FICO x CHANNEL|7</t>
        </is>
      </c>
      <c r="B7" t="inlineStr">
        <is>
          <t>746 - 921</t>
        </is>
      </c>
      <c r="C7" t="inlineStr">
        <is>
          <t>Branch</t>
        </is>
      </c>
      <c r="D7" t="n">
        <v>518</v>
      </c>
      <c r="E7" t="n">
        <v>0</v>
      </c>
      <c r="F7" t="n">
        <v>28</v>
      </c>
      <c r="G7" t="n">
        <v>26</v>
      </c>
      <c r="H7" t="n">
        <v>27</v>
      </c>
    </row>
    <row r="8">
      <c r="A8" t="inlineStr">
        <is>
          <t>C|FICO x CHANNEL|8</t>
        </is>
      </c>
      <c r="B8" t="inlineStr">
        <is>
          <t>746 - 921</t>
        </is>
      </c>
      <c r="C8" t="inlineStr">
        <is>
          <t>Broker</t>
        </is>
      </c>
      <c r="D8" t="n">
        <v>536</v>
      </c>
      <c r="E8" t="n">
        <v>0</v>
      </c>
      <c r="F8" t="n">
        <v>48</v>
      </c>
      <c r="G8" t="n">
        <v>46</v>
      </c>
      <c r="H8" t="n">
        <v>47</v>
      </c>
    </row>
    <row r="9">
      <c r="A9" t="inlineStr">
        <is>
          <t>C|FICO x CHANNEL|9</t>
        </is>
      </c>
      <c r="B9" t="inlineStr">
        <is>
          <t>654 - 685</t>
        </is>
      </c>
      <c r="C9" t="inlineStr">
        <is>
          <t>Online</t>
        </is>
      </c>
      <c r="D9" t="n">
        <v>505</v>
      </c>
      <c r="E9" t="n">
        <v>0</v>
      </c>
      <c r="F9" t="n">
        <v>73</v>
      </c>
      <c r="G9" t="n">
        <v>71</v>
      </c>
      <c r="H9" t="n">
        <v>72</v>
      </c>
    </row>
    <row r="10">
      <c r="A10" t="inlineStr">
        <is>
          <t>C|FICO x CHANNEL|10</t>
        </is>
      </c>
      <c r="B10" t="inlineStr">
        <is>
          <t>746 - 921</t>
        </is>
      </c>
      <c r="C10" t="inlineStr">
        <is>
          <t>Online</t>
        </is>
      </c>
      <c r="D10" t="n">
        <v>517</v>
      </c>
      <c r="E10" t="n">
        <v>0</v>
      </c>
      <c r="F10" t="n">
        <v>53</v>
      </c>
      <c r="G10" t="n">
        <v>51</v>
      </c>
      <c r="H10" t="n">
        <v>52</v>
      </c>
    </row>
    <row r="11">
      <c r="A11" t="inlineStr">
        <is>
          <t>C|FICO x CHANNEL|11</t>
        </is>
      </c>
      <c r="B11" t="inlineStr">
        <is>
          <t>654 - 685</t>
        </is>
      </c>
      <c r="C11" t="inlineStr">
        <is>
          <t>Broker</t>
        </is>
      </c>
      <c r="D11" t="n">
        <v>531</v>
      </c>
      <c r="E11" t="n">
        <v>0</v>
      </c>
      <c r="F11" t="n">
        <v>78</v>
      </c>
      <c r="G11" t="n">
        <v>76</v>
      </c>
      <c r="H11" t="n">
        <v>77</v>
      </c>
    </row>
    <row r="12">
      <c r="A12" t="inlineStr">
        <is>
          <t>C|FICO x CHANNEL|12</t>
        </is>
      </c>
      <c r="B12" t="inlineStr">
        <is>
          <t>686 - 711</t>
        </is>
      </c>
      <c r="C12" t="inlineStr">
        <is>
          <t>Broker</t>
        </is>
      </c>
      <c r="D12" t="n">
        <v>501</v>
      </c>
      <c r="E12" t="n">
        <v>0</v>
      </c>
      <c r="F12" t="n">
        <v>38</v>
      </c>
      <c r="G12" t="n">
        <v>36</v>
      </c>
      <c r="H12" t="n">
        <v>37</v>
      </c>
    </row>
    <row r="13">
      <c r="A13" t="inlineStr">
        <is>
          <t>C|FICO x CHANNEL|13</t>
        </is>
      </c>
      <c r="B13" t="inlineStr">
        <is>
          <t>712 - 745</t>
        </is>
      </c>
      <c r="C13" t="inlineStr">
        <is>
          <t>Branch</t>
        </is>
      </c>
      <c r="D13" t="n">
        <v>538</v>
      </c>
      <c r="E13" t="n">
        <v>0</v>
      </c>
      <c r="F13" t="n">
        <v>18</v>
      </c>
      <c r="G13" t="n">
        <v>16</v>
      </c>
      <c r="H13" t="n">
        <v>17</v>
      </c>
    </row>
    <row r="14">
      <c r="A14" t="inlineStr">
        <is>
          <t>C|FICO x CHANNEL|14</t>
        </is>
      </c>
      <c r="B14" t="inlineStr">
        <is>
          <t>686 - 711</t>
        </is>
      </c>
      <c r="C14" t="inlineStr">
        <is>
          <t>Branch</t>
        </is>
      </c>
      <c r="D14" t="n">
        <v>515</v>
      </c>
      <c r="E14" t="n">
        <v>0</v>
      </c>
      <c r="F14" t="n">
        <v>88</v>
      </c>
      <c r="G14" t="n">
        <v>86</v>
      </c>
      <c r="H14" t="n">
        <v>87</v>
      </c>
    </row>
    <row r="15">
      <c r="A15" t="inlineStr">
        <is>
          <t>C|FICO x CHANNEL|15</t>
        </is>
      </c>
      <c r="B15" t="inlineStr">
        <is>
          <t>712 - 745</t>
        </is>
      </c>
      <c r="C15" t="inlineStr">
        <is>
          <t>Broker</t>
        </is>
      </c>
      <c r="D15" t="n">
        <v>509</v>
      </c>
      <c r="E15" t="n">
        <v>0</v>
      </c>
      <c r="F15" t="n">
        <v>63</v>
      </c>
      <c r="G15" t="n">
        <v>61</v>
      </c>
      <c r="H15" t="n">
        <v>62</v>
      </c>
    </row>
    <row r="16">
      <c r="A16" t="inlineStr">
        <is>
          <t>C|FICO x CHANNEL|16</t>
        </is>
      </c>
      <c r="B16" t="inlineStr">
        <is>
          <t>(marked missing)</t>
        </is>
      </c>
      <c r="C16" t="inlineStr">
        <is>
          <t>Broker</t>
        </is>
      </c>
      <c r="D16" t="n">
        <v>54</v>
      </c>
      <c r="E16" t="n">
        <v>1</v>
      </c>
      <c r="F16" t="n">
        <v>98</v>
      </c>
      <c r="G16" t="n">
        <v>96</v>
      </c>
      <c r="H16" t="n">
        <v>97</v>
      </c>
    </row>
    <row r="17">
      <c r="A17" t="inlineStr">
        <is>
          <t>C|FICO x CHANNEL|17</t>
        </is>
      </c>
      <c r="B17" t="inlineStr">
        <is>
          <t>(blank)</t>
        </is>
      </c>
      <c r="C17" t="inlineStr">
        <is>
          <t>Broker</t>
        </is>
      </c>
      <c r="D17" t="n">
        <v>1</v>
      </c>
      <c r="E17" t="n">
        <v>1</v>
      </c>
      <c r="F17" t="n">
        <v>13</v>
      </c>
      <c r="G17" t="n">
        <v>11</v>
      </c>
      <c r="H17" t="n">
        <v>12</v>
      </c>
    </row>
    <row r="18">
      <c r="A18" t="inlineStr">
        <is>
          <t>C|FICO x CHANNEL|18</t>
        </is>
      </c>
      <c r="B18" t="inlineStr">
        <is>
          <t>(marked missing)</t>
        </is>
      </c>
      <c r="C18" t="inlineStr">
        <is>
          <t>Online</t>
        </is>
      </c>
      <c r="D18" t="n">
        <v>55</v>
      </c>
      <c r="E18" t="n">
        <v>1</v>
      </c>
      <c r="F18" t="n">
        <v>8</v>
      </c>
      <c r="G18" t="n">
        <v>6</v>
      </c>
      <c r="H18" t="n">
        <v>7</v>
      </c>
    </row>
    <row r="19">
      <c r="A19" t="inlineStr">
        <is>
          <t>C|FICO x CHANNEL|19</t>
        </is>
      </c>
      <c r="B19" t="inlineStr">
        <is>
          <t>(marked missing)</t>
        </is>
      </c>
      <c r="C19" t="inlineStr">
        <is>
          <t>Branch</t>
        </is>
      </c>
      <c r="D19" t="n">
        <v>51</v>
      </c>
      <c r="E19" t="n">
        <v>1</v>
      </c>
      <c r="F19" t="n">
        <v>93</v>
      </c>
      <c r="G19" t="n">
        <v>91</v>
      </c>
      <c r="H19" t="n">
        <v>92</v>
      </c>
    </row>
    <row r="20">
      <c r="A20" t="inlineStr">
        <is>
          <t>C|SHORT_HIST x CHANNEL|1</t>
        </is>
      </c>
      <c r="B20" t="inlineStr">
        <is>
          <t>346.0 - 435.0</t>
        </is>
      </c>
      <c r="C20" t="inlineStr">
        <is>
          <t>Broker</t>
        </is>
      </c>
      <c r="D20" t="n">
        <v>504</v>
      </c>
      <c r="E20" t="n">
        <v>0</v>
      </c>
      <c r="F20" t="n">
        <v>153</v>
      </c>
      <c r="G20" t="n">
        <v>151</v>
      </c>
      <c r="H20" t="n">
        <v>152</v>
      </c>
    </row>
    <row r="21">
      <c r="A21" t="inlineStr">
        <is>
          <t>C|SHORT_HIST x CHANNEL|2</t>
        </is>
      </c>
      <c r="B21" t="inlineStr">
        <is>
          <t>172.0 - 256.3</t>
        </is>
      </c>
      <c r="C21" t="inlineStr">
        <is>
          <t>Broker</t>
        </is>
      </c>
      <c r="D21" t="n">
        <v>541</v>
      </c>
      <c r="E21" t="n">
        <v>0</v>
      </c>
      <c r="F21" t="n">
        <v>128</v>
      </c>
      <c r="G21" t="n">
        <v>126</v>
      </c>
      <c r="H21" t="n">
        <v>127</v>
      </c>
    </row>
    <row r="22">
      <c r="A22" t="inlineStr">
        <is>
          <t>C|SHORT_HIST x CHANNEL|3</t>
        </is>
      </c>
      <c r="B22" t="inlineStr">
        <is>
          <t>89.0 - 171.9</t>
        </is>
      </c>
      <c r="C22" t="inlineStr">
        <is>
          <t>Broker</t>
        </is>
      </c>
      <c r="D22" t="n">
        <v>522</v>
      </c>
      <c r="E22" t="n">
        <v>0</v>
      </c>
      <c r="F22" t="n">
        <v>108</v>
      </c>
      <c r="G22" t="n">
        <v>106</v>
      </c>
      <c r="H22" t="n">
        <v>107</v>
      </c>
    </row>
    <row r="23">
      <c r="A23" t="inlineStr">
        <is>
          <t>C|SHORT_HIST x CHANNEL|4</t>
        </is>
      </c>
      <c r="B23" t="inlineStr">
        <is>
          <t>256.4 - 345.9</t>
        </is>
      </c>
      <c r="C23" t="inlineStr">
        <is>
          <t>Online</t>
        </is>
      </c>
      <c r="D23" t="n">
        <v>536</v>
      </c>
      <c r="E23" t="n">
        <v>0</v>
      </c>
      <c r="F23" t="n">
        <v>138</v>
      </c>
      <c r="G23" t="n">
        <v>136</v>
      </c>
      <c r="H23" t="n">
        <v>137</v>
      </c>
    </row>
    <row r="24">
      <c r="A24" t="inlineStr">
        <is>
          <t>C|SHORT_HIST x CHANNEL|5</t>
        </is>
      </c>
      <c r="B24" t="inlineStr">
        <is>
          <t>0.0 - 88.9</t>
        </is>
      </c>
      <c r="C24" t="inlineStr">
        <is>
          <t>Broker</t>
        </is>
      </c>
      <c r="D24" t="n">
        <v>508</v>
      </c>
      <c r="E24" t="n">
        <v>0</v>
      </c>
      <c r="F24" t="n">
        <v>143</v>
      </c>
      <c r="G24" t="n">
        <v>141</v>
      </c>
      <c r="H24" t="n">
        <v>142</v>
      </c>
    </row>
    <row r="25">
      <c r="A25" t="inlineStr">
        <is>
          <t>C|SHORT_HIST x CHANNEL|6</t>
        </is>
      </c>
      <c r="B25" t="inlineStr">
        <is>
          <t>256.4 - 345.9</t>
        </is>
      </c>
      <c r="C25" t="inlineStr">
        <is>
          <t>Broker</t>
        </is>
      </c>
      <c r="D25" t="n">
        <v>513</v>
      </c>
      <c r="E25" t="n">
        <v>0</v>
      </c>
      <c r="F25" t="n">
        <v>133</v>
      </c>
      <c r="G25" t="n">
        <v>131</v>
      </c>
      <c r="H25" t="n">
        <v>132</v>
      </c>
    </row>
    <row r="26">
      <c r="A26" t="inlineStr">
        <is>
          <t>C|SHORT_HIST x CHANNEL|7</t>
        </is>
      </c>
      <c r="B26" t="inlineStr">
        <is>
          <t>0.0 - 88.9</t>
        </is>
      </c>
      <c r="C26" t="inlineStr">
        <is>
          <t>Online</t>
        </is>
      </c>
      <c r="D26" t="n">
        <v>528</v>
      </c>
      <c r="E26" t="n">
        <v>0</v>
      </c>
      <c r="F26" t="n">
        <v>148</v>
      </c>
      <c r="G26" t="n">
        <v>146</v>
      </c>
      <c r="H26" t="n">
        <v>147</v>
      </c>
    </row>
    <row r="27">
      <c r="A27" t="inlineStr">
        <is>
          <t>C|SHORT_HIST x CHANNEL|8</t>
        </is>
      </c>
      <c r="B27" t="inlineStr">
        <is>
          <t>0.0 - 88.9</t>
        </is>
      </c>
      <c r="C27" t="inlineStr">
        <is>
          <t>Branch</t>
        </is>
      </c>
      <c r="D27" t="n">
        <v>509</v>
      </c>
      <c r="E27" t="n">
        <v>0</v>
      </c>
      <c r="F27" t="n">
        <v>118</v>
      </c>
      <c r="G27" t="n">
        <v>116</v>
      </c>
      <c r="H27" t="n">
        <v>117</v>
      </c>
    </row>
    <row r="28">
      <c r="A28" t="inlineStr">
        <is>
          <t>C|SHORT_HIST x CHANNEL|9</t>
        </is>
      </c>
      <c r="B28" t="inlineStr">
        <is>
          <t>172.0 - 256.3</t>
        </is>
      </c>
      <c r="C28" t="inlineStr">
        <is>
          <t>Online</t>
        </is>
      </c>
      <c r="D28" t="n">
        <v>517</v>
      </c>
      <c r="E28" t="n">
        <v>0</v>
      </c>
      <c r="F28" t="n">
        <v>158</v>
      </c>
      <c r="G28" t="n">
        <v>156</v>
      </c>
      <c r="H28" t="n">
        <v>157</v>
      </c>
    </row>
    <row r="29">
      <c r="A29" t="inlineStr">
        <is>
          <t>C|SHORT_HIST x CHANNEL|10</t>
        </is>
      </c>
      <c r="B29" t="inlineStr">
        <is>
          <t>89.0 - 171.9</t>
        </is>
      </c>
      <c r="C29" t="inlineStr">
        <is>
          <t>Branch</t>
        </is>
      </c>
      <c r="D29" t="n">
        <v>490</v>
      </c>
      <c r="E29" t="n">
        <v>0</v>
      </c>
      <c r="F29" t="n">
        <v>163</v>
      </c>
      <c r="G29" t="n">
        <v>161</v>
      </c>
      <c r="H29" t="n">
        <v>162</v>
      </c>
    </row>
    <row r="30">
      <c r="A30" t="inlineStr">
        <is>
          <t>C|SHORT_HIST x CHANNEL|11</t>
        </is>
      </c>
      <c r="B30" t="inlineStr">
        <is>
          <t>346.0 - 435.0</t>
        </is>
      </c>
      <c r="C30" t="inlineStr">
        <is>
          <t>Online</t>
        </is>
      </c>
      <c r="D30" t="n">
        <v>531</v>
      </c>
      <c r="E30" t="n">
        <v>0</v>
      </c>
      <c r="F30" t="n">
        <v>178</v>
      </c>
      <c r="G30" t="n">
        <v>176</v>
      </c>
      <c r="H30" t="n">
        <v>177</v>
      </c>
    </row>
    <row r="31">
      <c r="A31" t="inlineStr">
        <is>
          <t>C|SHORT_HIST x CHANNEL|12</t>
        </is>
      </c>
      <c r="B31" t="inlineStr">
        <is>
          <t>89.0 - 171.9</t>
        </is>
      </c>
      <c r="C31" t="inlineStr">
        <is>
          <t>Online</t>
        </is>
      </c>
      <c r="D31" t="n">
        <v>545</v>
      </c>
      <c r="E31" t="n">
        <v>0</v>
      </c>
      <c r="F31" t="n">
        <v>168</v>
      </c>
      <c r="G31" t="n">
        <v>166</v>
      </c>
      <c r="H31" t="n">
        <v>167</v>
      </c>
    </row>
    <row r="32">
      <c r="A32" t="inlineStr">
        <is>
          <t>C|SHORT_HIST x CHANNEL|13</t>
        </is>
      </c>
      <c r="B32" t="inlineStr">
        <is>
          <t>256.4 - 345.9</t>
        </is>
      </c>
      <c r="C32" t="inlineStr">
        <is>
          <t>Branch</t>
        </is>
      </c>
      <c r="D32" t="n">
        <v>503</v>
      </c>
      <c r="E32" t="n">
        <v>0</v>
      </c>
      <c r="F32" t="n">
        <v>113</v>
      </c>
      <c r="G32" t="n">
        <v>111</v>
      </c>
      <c r="H32" t="n">
        <v>112</v>
      </c>
    </row>
    <row r="33">
      <c r="A33" t="inlineStr">
        <is>
          <t>C|SHORT_HIST x CHANNEL|14</t>
        </is>
      </c>
      <c r="B33" t="inlineStr">
        <is>
          <t>172.0 - 256.3</t>
        </is>
      </c>
      <c r="C33" t="inlineStr">
        <is>
          <t>Branch</t>
        </is>
      </c>
      <c r="D33" t="n">
        <v>520</v>
      </c>
      <c r="E33" t="n">
        <v>0</v>
      </c>
      <c r="F33" t="n">
        <v>123</v>
      </c>
      <c r="G33" t="n">
        <v>121</v>
      </c>
      <c r="H33" t="n">
        <v>122</v>
      </c>
    </row>
    <row r="34">
      <c r="A34" t="inlineStr">
        <is>
          <t>C|SHORT_HIST x CHANNEL|15</t>
        </is>
      </c>
      <c r="B34" t="inlineStr">
        <is>
          <t>346.0 - 435.0</t>
        </is>
      </c>
      <c r="C34" t="inlineStr">
        <is>
          <t>Branch</t>
        </is>
      </c>
      <c r="D34" t="n">
        <v>533</v>
      </c>
      <c r="E34" t="n">
        <v>0</v>
      </c>
      <c r="F34" t="n">
        <v>173</v>
      </c>
      <c r="G34" t="n">
        <v>171</v>
      </c>
      <c r="H34" t="n">
        <v>172</v>
      </c>
    </row>
    <row r="35">
      <c r="A35" t="inlineStr">
        <is>
          <t>C|SHORT_HIST x CHANNEL|16</t>
        </is>
      </c>
      <c r="B35" t="inlineStr">
        <is>
          <t>(marked missing)</t>
        </is>
      </c>
      <c r="C35" t="inlineStr">
        <is>
          <t>Branch</t>
        </is>
      </c>
      <c r="D35" t="n">
        <v>72</v>
      </c>
      <c r="E35" t="n">
        <v>1</v>
      </c>
      <c r="F35" t="n">
        <v>188</v>
      </c>
      <c r="G35" t="n">
        <v>186</v>
      </c>
      <c r="H35" t="n">
        <v>187</v>
      </c>
    </row>
    <row r="36">
      <c r="A36" t="inlineStr">
        <is>
          <t>C|SHORT_HIST x CHANNEL|17</t>
        </is>
      </c>
      <c r="B36" t="inlineStr">
        <is>
          <t>(marked missing)</t>
        </is>
      </c>
      <c r="C36" t="inlineStr">
        <is>
          <t>Online</t>
        </is>
      </c>
      <c r="D36" t="n">
        <v>61</v>
      </c>
      <c r="E36" t="n">
        <v>1</v>
      </c>
      <c r="F36" t="n">
        <v>103</v>
      </c>
      <c r="G36" t="n">
        <v>101</v>
      </c>
      <c r="H36" t="n">
        <v>102</v>
      </c>
    </row>
    <row r="37">
      <c r="A37" t="inlineStr">
        <is>
          <t>C|SHORT_HIST x CHANNEL|18</t>
        </is>
      </c>
      <c r="B37" t="inlineStr">
        <is>
          <t>(marked missing)</t>
        </is>
      </c>
      <c r="C37" t="inlineStr">
        <is>
          <t>Broker</t>
        </is>
      </c>
      <c r="D37" t="n">
        <v>67</v>
      </c>
      <c r="E37" t="n">
        <v>1</v>
      </c>
      <c r="F37" t="n">
        <v>183</v>
      </c>
      <c r="G37" t="n">
        <v>181</v>
      </c>
      <c r="H37" t="n">
        <v>182</v>
      </c>
    </row>
    <row r="38">
      <c r="A38" t="inlineStr">
        <is>
          <t>G|FICO x CHANNEL|cols</t>
        </is>
      </c>
      <c r="B38" t="inlineStr">
        <is>
          <t>Branch</t>
        </is>
      </c>
      <c r="C38" t="inlineStr">
        <is>
          <t>Broker</t>
        </is>
      </c>
      <c r="D38" t="inlineStr">
        <is>
          <t>Online</t>
        </is>
      </c>
      <c r="E38" t="inlineStr">
        <is>
          <t>All</t>
        </is>
      </c>
    </row>
    <row r="39">
      <c r="A39" t="inlineStr">
        <is>
          <t>G|FICO x CHANNEL|heads</t>
        </is>
      </c>
      <c r="B39" t="inlineStr">
        <is>
          <t>Branch</t>
        </is>
      </c>
      <c r="C39" t="inlineStr">
        <is>
          <t>Broker</t>
        </is>
      </c>
      <c r="D39" t="inlineStr">
        <is>
          <t>Online</t>
        </is>
      </c>
      <c r="E39" t="inlineStr">
        <is>
          <t>All</t>
        </is>
      </c>
    </row>
    <row r="40">
      <c r="A40" t="inlineStr">
        <is>
          <t>G|FICO x CHANNEL|segs</t>
        </is>
      </c>
    </row>
    <row r="41">
      <c r="A41" t="inlineStr">
        <is>
          <t>G|FICO x CHANNEL|rows</t>
        </is>
      </c>
      <c r="B41" t="inlineStr">
        <is>
          <t>496 - 653</t>
        </is>
      </c>
      <c r="C41" t="inlineStr">
        <is>
          <t>654 - 685</t>
        </is>
      </c>
      <c r="D41" t="inlineStr">
        <is>
          <t>686 - 711</t>
        </is>
      </c>
      <c r="E41" t="inlineStr">
        <is>
          <t>712 - 745</t>
        </is>
      </c>
      <c r="F41" t="inlineStr">
        <is>
          <t>746 - 921</t>
        </is>
      </c>
      <c r="G41" t="inlineStr">
        <is>
          <t>(blank)</t>
        </is>
      </c>
      <c r="H41" t="inlineStr">
        <is>
          <t>(marked missing)</t>
        </is>
      </c>
      <c r="I41" t="inlineStr">
        <is>
          <t>All</t>
        </is>
      </c>
    </row>
    <row r="42">
      <c r="A42" t="inlineStr">
        <is>
          <t>G|FICO x CHANNEL|names</t>
        </is>
      </c>
      <c r="B42" t="inlineStr">
        <is>
          <t>FICO</t>
        </is>
      </c>
      <c r="C42" t="inlineStr">
        <is>
          <t>CHANNEL</t>
        </is>
      </c>
    </row>
    <row r="43">
      <c r="A43" t="inlineStr">
        <is>
          <t>G|FICO x CHANNEL|total</t>
        </is>
      </c>
      <c r="B43" t="n">
        <v>8000</v>
      </c>
    </row>
    <row r="44">
      <c r="A44" t="inlineStr">
        <is>
          <t>G|FICO x CHANNEL|loans|1</t>
        </is>
      </c>
      <c r="B44" t="n">
        <v>502</v>
      </c>
      <c r="C44" t="n">
        <v>523</v>
      </c>
      <c r="D44" t="n">
        <v>531</v>
      </c>
      <c r="E44" t="n">
        <v>1556</v>
      </c>
    </row>
    <row r="45">
      <c r="A45" t="inlineStr">
        <is>
          <t>G|FICO x CHANNEL|loans|2</t>
        </is>
      </c>
      <c r="B45" t="n">
        <v>503</v>
      </c>
      <c r="C45" t="n">
        <v>531</v>
      </c>
      <c r="D45" t="n">
        <v>505</v>
      </c>
      <c r="E45" t="n">
        <v>1539</v>
      </c>
    </row>
    <row r="46">
      <c r="A46" t="inlineStr">
        <is>
          <t>G|FICO x CHANNEL|loans|3</t>
        </is>
      </c>
      <c r="B46" t="n">
        <v>515</v>
      </c>
      <c r="C46" t="n">
        <v>501</v>
      </c>
      <c r="D46" t="n">
        <v>546</v>
      </c>
      <c r="E46" t="n">
        <v>1562</v>
      </c>
    </row>
    <row r="47">
      <c r="A47" t="inlineStr">
        <is>
          <t>G|FICO x CHANNEL|loans|4</t>
        </is>
      </c>
      <c r="B47" t="n">
        <v>538</v>
      </c>
      <c r="C47" t="n">
        <v>509</v>
      </c>
      <c r="D47" t="n">
        <v>564</v>
      </c>
      <c r="E47" t="n">
        <v>1611</v>
      </c>
    </row>
    <row r="48">
      <c r="A48" t="inlineStr">
        <is>
          <t>G|FICO x CHANNEL|loans|5</t>
        </is>
      </c>
      <c r="B48" t="n">
        <v>518</v>
      </c>
      <c r="C48" t="n">
        <v>536</v>
      </c>
      <c r="D48" t="n">
        <v>517</v>
      </c>
      <c r="E48" t="n">
        <v>1571</v>
      </c>
    </row>
    <row r="49">
      <c r="A49" t="inlineStr">
        <is>
          <t>G|FICO x CHANNEL|loans|6</t>
        </is>
      </c>
      <c r="C49" t="n">
        <v>1</v>
      </c>
      <c r="E49" t="n">
        <v>1</v>
      </c>
    </row>
    <row r="50">
      <c r="A50" t="inlineStr">
        <is>
          <t>G|FICO x CHANNEL|loans|7</t>
        </is>
      </c>
      <c r="B50" t="n">
        <v>51</v>
      </c>
      <c r="C50" t="n">
        <v>54</v>
      </c>
      <c r="D50" t="n">
        <v>55</v>
      </c>
      <c r="E50" t="n">
        <v>160</v>
      </c>
    </row>
    <row r="51">
      <c r="A51" t="inlineStr">
        <is>
          <t>G|FICO x CHANNEL|loans|8</t>
        </is>
      </c>
      <c r="B51" t="n">
        <v>2627</v>
      </c>
      <c r="C51" t="n">
        <v>2655</v>
      </c>
      <c r="D51" t="n">
        <v>2718</v>
      </c>
      <c r="E51" t="n">
        <v>8000</v>
      </c>
    </row>
    <row r="52">
      <c r="A52" t="inlineStr">
        <is>
          <t>G|FICO x CHANNEL|outcome_loans|rate|1</t>
        </is>
      </c>
      <c r="B52" t="n">
        <v>0.1017964071856287</v>
      </c>
      <c r="C52" t="n">
        <v>0.2447418738049713</v>
      </c>
      <c r="D52" t="n">
        <v>0.1035781544256121</v>
      </c>
      <c r="E52" t="n">
        <v>0.1504823151125402</v>
      </c>
    </row>
    <row r="53">
      <c r="A53" t="inlineStr">
        <is>
          <t>G|FICO x CHANNEL|outcome_loans|book|1</t>
        </is>
      </c>
      <c r="B53" t="n">
        <v>1.315459549398779</v>
      </c>
      <c r="C53" t="n">
        <v>3.162665991221269</v>
      </c>
      <c r="D53" t="n">
        <v>1.33848409895068</v>
      </c>
      <c r="E53" t="n">
        <v>1.944601031640079</v>
      </c>
    </row>
    <row r="54">
      <c r="A54" t="inlineStr">
        <is>
          <t>G|FICO x CHANNEL|outcome_loans|band|1</t>
        </is>
      </c>
      <c r="B54" t="n">
        <v>0.5863028042276104</v>
      </c>
      <c r="C54" t="n">
        <v>2.38276994119557</v>
      </c>
      <c r="D54" t="n">
        <v>0.5925364811833896</v>
      </c>
    </row>
    <row r="55">
      <c r="A55" t="inlineStr">
        <is>
          <t>G|FICO x CHANNEL|outcome_loans|rate|2</t>
        </is>
      </c>
      <c r="B55" t="n">
        <v>0.08946322067594434</v>
      </c>
      <c r="C55" t="n">
        <v>0.08097928436911488</v>
      </c>
      <c r="D55" t="n">
        <v>0.08316831683168317</v>
      </c>
      <c r="E55" t="n">
        <v>0.08447043534762833</v>
      </c>
    </row>
    <row r="56">
      <c r="A56" t="inlineStr">
        <is>
          <t>G|FICO x CHANNEL|outcome_loans|book|2</t>
        </is>
      </c>
      <c r="B56" t="n">
        <v>1.156084494647623</v>
      </c>
      <c r="C56" t="n">
        <v>1.046451204634168</v>
      </c>
      <c r="D56" t="n">
        <v>1.074738879380668</v>
      </c>
      <c r="E56" t="n">
        <v>1.091565448054409</v>
      </c>
    </row>
    <row r="57">
      <c r="A57" t="inlineStr">
        <is>
          <t>G|FICO x CHANNEL|outcome_loans|band|2</t>
        </is>
      </c>
      <c r="B57" t="n">
        <v>1.09039878376798</v>
      </c>
      <c r="C57" t="n">
        <v>0.938242743035262</v>
      </c>
      <c r="D57" t="n">
        <v>0.9772277227722773</v>
      </c>
    </row>
    <row r="58">
      <c r="A58" t="inlineStr">
        <is>
          <t>G|FICO x CHANNEL|outcome_loans|rate|3</t>
        </is>
      </c>
      <c r="B58" t="n">
        <v>0.05436893203883495</v>
      </c>
      <c r="C58" t="n">
        <v>0.05189620758483034</v>
      </c>
      <c r="D58" t="n">
        <v>0.07692307692307693</v>
      </c>
      <c r="E58" t="n">
        <v>0.06145966709346991</v>
      </c>
    </row>
    <row r="59">
      <c r="A59" t="inlineStr">
        <is>
          <t>G|FICO x CHANNEL|outcome_loans|book|3</t>
        </is>
      </c>
      <c r="B59" t="n">
        <v>0.7025801088507928</v>
      </c>
      <c r="C59" t="n">
        <v>0.6706264369483972</v>
      </c>
      <c r="D59" t="n">
        <v>0.9940350441158196</v>
      </c>
      <c r="E59" t="n">
        <v>0.7942098175778123</v>
      </c>
    </row>
    <row r="60">
      <c r="A60" t="inlineStr">
        <is>
          <t>G|FICO x CHANNEL|outcome_loans|band|3</t>
        </is>
      </c>
      <c r="B60" t="n">
        <v>0.8371216447744146</v>
      </c>
      <c r="C60" t="n">
        <v>0.7865982321072141</v>
      </c>
      <c r="D60" t="n">
        <v>1.447293447293447</v>
      </c>
    </row>
    <row r="61">
      <c r="A61" t="inlineStr">
        <is>
          <t>G|FICO x CHANNEL|outcome_loans|rate|4</t>
        </is>
      </c>
      <c r="B61" t="n">
        <v>0.04089219330855019</v>
      </c>
      <c r="C61" t="n">
        <v>0.03143418467583497</v>
      </c>
      <c r="D61" t="n">
        <v>0.08687943262411348</v>
      </c>
      <c r="E61" t="n">
        <v>0.05400372439478585</v>
      </c>
    </row>
    <row r="62">
      <c r="A62" t="inlineStr">
        <is>
          <t>G|FICO x CHANNEL|outcome_loans|book|4</t>
        </is>
      </c>
      <c r="B62" t="n">
        <v>0.5284275513329449</v>
      </c>
      <c r="C62" t="n">
        <v>0.4062068549628496</v>
      </c>
      <c r="D62" t="n">
        <v>1.122695608336484</v>
      </c>
      <c r="E62" t="n">
        <v>0.6978607292954636</v>
      </c>
    </row>
    <row r="63">
      <c r="A63" t="inlineStr">
        <is>
          <t>G|FICO x CHANNEL|outcome_loans|band|4</t>
        </is>
      </c>
      <c r="B63" t="n">
        <v>0.6750357449242208</v>
      </c>
      <c r="C63" t="n">
        <v>0.4878939649685934</v>
      </c>
      <c r="D63" t="n">
        <v>2.393756998880179</v>
      </c>
    </row>
    <row r="64">
      <c r="A64" t="inlineStr">
        <is>
          <t>G|FICO x CHANNEL|outcome_loans|rate|5</t>
        </is>
      </c>
      <c r="B64" t="n">
        <v>0.0444015444015444</v>
      </c>
      <c r="C64" t="n">
        <v>0.03731343283582089</v>
      </c>
      <c r="D64" t="n">
        <v>0.0367504835589942</v>
      </c>
      <c r="E64" t="n">
        <v>0.03946530872056015</v>
      </c>
    </row>
    <row r="65">
      <c r="A65" t="inlineStr">
        <is>
          <t>G|FICO x CHANNEL|outcome_loans|book|5</t>
        </is>
      </c>
      <c r="B65" t="n">
        <v>0.5737769849239962</v>
      </c>
      <c r="C65" t="n">
        <v>0.4821811781158826</v>
      </c>
      <c r="D65" t="n">
        <v>0.4749064910959525</v>
      </c>
      <c r="E65" t="n">
        <v>0.5099886986361238</v>
      </c>
    </row>
    <row r="66">
      <c r="A66" t="inlineStr">
        <is>
          <t>G|FICO x CHANNEL|outcome_loans|band|5</t>
        </is>
      </c>
      <c r="B66" t="n">
        <v>1.198841698841699</v>
      </c>
      <c r="C66" t="n">
        <v>0.9195095948827292</v>
      </c>
      <c r="D66" t="n">
        <v>0.9008141783995323</v>
      </c>
    </row>
    <row r="67">
      <c r="A67" t="inlineStr">
        <is>
          <t>G|FICO x CHANNEL|outcome_loans|rate|6</t>
        </is>
      </c>
      <c r="C67" t="n">
        <v>0</v>
      </c>
      <c r="E67" t="n">
        <v>0</v>
      </c>
    </row>
    <row r="68">
      <c r="A68" t="inlineStr">
        <is>
          <t>G|FICO x CHANNEL|outcome_loans|book|6</t>
        </is>
      </c>
    </row>
    <row r="69">
      <c r="A69" t="inlineStr">
        <is>
          <t>G|FICO x CHANNEL|outcome_loans|band|6</t>
        </is>
      </c>
    </row>
    <row r="70">
      <c r="A70" t="inlineStr">
        <is>
          <t>G|FICO x CHANNEL|outcome_loans|rate|7</t>
        </is>
      </c>
      <c r="B70" t="n">
        <v>0.0196078431372549</v>
      </c>
      <c r="C70" t="n">
        <v>0.1296296296296296</v>
      </c>
      <c r="D70" t="n">
        <v>0.03636363636363636</v>
      </c>
      <c r="E70" t="n">
        <v>0.0625</v>
      </c>
    </row>
    <row r="71">
      <c r="A71" t="inlineStr">
        <is>
          <t>G|FICO x CHANNEL|outcome_loans|book|7</t>
        </is>
      </c>
      <c r="E71" t="n">
        <v>0.8076534733441034</v>
      </c>
    </row>
    <row r="72">
      <c r="A72" t="inlineStr">
        <is>
          <t>G|FICO x CHANNEL|outcome_loans|band|7</t>
        </is>
      </c>
    </row>
    <row r="73">
      <c r="A73" t="inlineStr">
        <is>
          <t>G|FICO x CHANNEL|outcome_loans|rate|8</t>
        </is>
      </c>
      <c r="B73" t="n">
        <v>0.06473724295506474</v>
      </c>
      <c r="C73" t="n">
        <v>0.0903954802259887</v>
      </c>
      <c r="D73" t="n">
        <v>0.07689477557027226</v>
      </c>
      <c r="E73" t="n">
        <v>0.07738467308413552</v>
      </c>
    </row>
    <row r="74">
      <c r="A74" t="inlineStr">
        <is>
          <t>G|FICO x CHANNEL|outcome_loans|book|8</t>
        </is>
      </c>
      <c r="B74" t="n">
        <v>0.8365641460380659</v>
      </c>
      <c r="C74" t="n">
        <v>1.168131577266048</v>
      </c>
      <c r="D74" t="n">
        <v>0.9936693211415312</v>
      </c>
      <c r="E74" t="n">
        <v>1</v>
      </c>
    </row>
    <row r="75">
      <c r="A75" t="inlineStr">
        <is>
          <t>G|FICO x CHANNEL|outcome_loans|band|8</t>
        </is>
      </c>
    </row>
    <row r="76">
      <c r="A76" t="inlineStr">
        <is>
          <t>G|FICO x CHANNEL|outcome_loans|meta</t>
        </is>
      </c>
      <c r="B76" t="inlineStr">
        <is>
          <t>x</t>
        </is>
      </c>
      <c r="C76" t="n">
        <v>3.162665991221269</v>
      </c>
      <c r="D76" t="n">
        <v>10</v>
      </c>
      <c r="E76" t="n">
        <v>0.07738467308413552</v>
      </c>
      <c r="F76" t="n">
        <v>65</v>
      </c>
    </row>
    <row r="77">
      <c r="A77" t="inlineStr">
        <is>
          <t>G|FICO x CHANNEL|outcome_booked|rate|1</t>
        </is>
      </c>
      <c r="B77" t="n">
        <v>0.1032366130282964</v>
      </c>
      <c r="C77" t="n">
        <v>0.2452047977290487</v>
      </c>
      <c r="D77" t="n">
        <v>0.09804363285320282</v>
      </c>
      <c r="E77" t="n">
        <v>0.1491655756309188</v>
      </c>
    </row>
    <row r="78">
      <c r="A78" t="inlineStr">
        <is>
          <t>G|FICO x CHANNEL|outcome_booked|book|1</t>
        </is>
      </c>
      <c r="B78" t="n">
        <v>1.37963616176999</v>
      </c>
      <c r="C78" t="n">
        <v>3.276874318743562</v>
      </c>
      <c r="D78" t="n">
        <v>1.310238076858486</v>
      </c>
      <c r="E78" t="n">
        <v>1.993422839000397</v>
      </c>
    </row>
    <row r="79">
      <c r="A79" t="inlineStr">
        <is>
          <t>G|FICO x CHANNEL|outcome_booked|band|1</t>
        </is>
      </c>
      <c r="B79" t="n">
        <v>0.6039812851062788</v>
      </c>
      <c r="C79" t="n">
        <v>2.438440600661326</v>
      </c>
      <c r="D79" t="n">
        <v>0.5577235040008647</v>
      </c>
    </row>
    <row r="80">
      <c r="A80" t="inlineStr">
        <is>
          <t>G|FICO x CHANNEL|outcome_booked|rate|2</t>
        </is>
      </c>
      <c r="B80" t="n">
        <v>0.08626501981866973</v>
      </c>
      <c r="C80" t="n">
        <v>0.07651412632770158</v>
      </c>
      <c r="D80" t="n">
        <v>0.07697322210798571</v>
      </c>
      <c r="E80" t="n">
        <v>0.07985779590889652</v>
      </c>
    </row>
    <row r="81">
      <c r="A81" t="inlineStr">
        <is>
          <t>G|FICO x CHANNEL|outcome_booked|book|2</t>
        </is>
      </c>
      <c r="B81" t="n">
        <v>1.152830738499922</v>
      </c>
      <c r="C81" t="n">
        <v>1.022521491856776</v>
      </c>
      <c r="D81" t="n">
        <v>1.028656768108259</v>
      </c>
      <c r="E81" t="n">
        <v>1.067205711262177</v>
      </c>
    </row>
    <row r="82">
      <c r="A82" t="inlineStr">
        <is>
          <t>G|FICO x CHANNEL|outcome_booked|band|2</t>
        </is>
      </c>
      <c r="B82" t="n">
        <v>1.124215883183804</v>
      </c>
      <c r="C82" t="n">
        <v>0.9369131281724594</v>
      </c>
      <c r="D82" t="n">
        <v>0.9476799112696344</v>
      </c>
    </row>
    <row r="83">
      <c r="A83" t="inlineStr">
        <is>
          <t>G|FICO x CHANNEL|outcome_booked|rate|3</t>
        </is>
      </c>
      <c r="B83" t="n">
        <v>0.04502360615694115</v>
      </c>
      <c r="C83" t="n">
        <v>0.04625110965994935</v>
      </c>
      <c r="D83" t="n">
        <v>0.07807485876303806</v>
      </c>
      <c r="E83" t="n">
        <v>0.05686223568965074</v>
      </c>
    </row>
    <row r="84">
      <c r="A84" t="inlineStr">
        <is>
          <t>G|FICO x CHANNEL|outcome_booked|book|3</t>
        </is>
      </c>
      <c r="B84" t="n">
        <v>0.6016876509730165</v>
      </c>
      <c r="C84" t="n">
        <v>0.6180917945396528</v>
      </c>
      <c r="D84" t="n">
        <v>1.043378848984982</v>
      </c>
      <c r="E84" t="n">
        <v>0.7598970393868687</v>
      </c>
    </row>
    <row r="85">
      <c r="A85" t="inlineStr">
        <is>
          <t>G|FICO x CHANNEL|outcome_booked|band|3</t>
        </is>
      </c>
      <c r="B85" t="n">
        <v>0.718131796099021</v>
      </c>
      <c r="C85" t="n">
        <v>0.7466818259615715</v>
      </c>
      <c r="D85" t="n">
        <v>1.710989447132353</v>
      </c>
    </row>
    <row r="86">
      <c r="A86" t="inlineStr">
        <is>
          <t>G|FICO x CHANNEL|outcome_booked|rate|4</t>
        </is>
      </c>
      <c r="B86" t="n">
        <v>0.04121392727379864</v>
      </c>
      <c r="C86" t="n">
        <v>0.03545096557474654</v>
      </c>
      <c r="D86" t="n">
        <v>0.08332388471451478</v>
      </c>
      <c r="E86" t="n">
        <v>0.05451749193722224</v>
      </c>
    </row>
    <row r="87">
      <c r="A87" t="inlineStr">
        <is>
          <t>G|FICO x CHANNEL|outcome_booked|book|4</t>
        </is>
      </c>
      <c r="B87" t="n">
        <v>0.5507757642136718</v>
      </c>
      <c r="C87" t="n">
        <v>0.4737605452358035</v>
      </c>
      <c r="D87" t="n">
        <v>1.113525919915539</v>
      </c>
      <c r="E87" t="n">
        <v>0.7285622912191043</v>
      </c>
    </row>
    <row r="88">
      <c r="A88" t="inlineStr">
        <is>
          <t>G|FICO x CHANNEL|outcome_booked|band|4</t>
        </is>
      </c>
      <c r="B88" t="n">
        <v>0.6771166315286687</v>
      </c>
      <c r="C88" t="n">
        <v>0.5592595872783042</v>
      </c>
      <c r="D88" t="n">
        <v>2.172307734022388</v>
      </c>
    </row>
    <row r="89">
      <c r="A89" t="inlineStr">
        <is>
          <t>G|FICO x CHANNEL|outcome_booked|rate|5</t>
        </is>
      </c>
      <c r="B89" t="n">
        <v>0.04094877956620275</v>
      </c>
      <c r="C89" t="n">
        <v>0.03370544807318695</v>
      </c>
      <c r="D89" t="n">
        <v>0.0359906323755155</v>
      </c>
      <c r="E89" t="n">
        <v>0.03682990751373654</v>
      </c>
    </row>
    <row r="90">
      <c r="A90" t="inlineStr">
        <is>
          <t>G|FICO x CHANNEL|outcome_booked|book|5</t>
        </is>
      </c>
      <c r="B90" t="n">
        <v>0.5472323763120419</v>
      </c>
      <c r="C90" t="n">
        <v>0.4504337525843054</v>
      </c>
      <c r="D90" t="n">
        <v>0.4809725586078762</v>
      </c>
      <c r="E90" t="n">
        <v>0.4921884857523176</v>
      </c>
    </row>
    <row r="91">
      <c r="A91" t="inlineStr">
        <is>
          <t>G|FICO x CHANNEL|outcome_booked|band|5</t>
        </is>
      </c>
      <c r="B91" t="n">
        <v>1.175288487477193</v>
      </c>
      <c r="C91" t="n">
        <v>0.8769839649578951</v>
      </c>
      <c r="D91" t="n">
        <v>0.9661081622512918</v>
      </c>
    </row>
    <row r="92">
      <c r="A92" t="inlineStr">
        <is>
          <t>G|FICO x CHANNEL|outcome_booked|rate|6</t>
        </is>
      </c>
      <c r="C92" t="n">
        <v>0</v>
      </c>
      <c r="E92" t="n">
        <v>0</v>
      </c>
    </row>
    <row r="93">
      <c r="A93" t="inlineStr">
        <is>
          <t>G|FICO x CHANNEL|outcome_booked|book|6</t>
        </is>
      </c>
    </row>
    <row r="94">
      <c r="A94" t="inlineStr">
        <is>
          <t>G|FICO x CHANNEL|outcome_booked|band|6</t>
        </is>
      </c>
    </row>
    <row r="95">
      <c r="A95" t="inlineStr">
        <is>
          <t>G|FICO x CHANNEL|outcome_booked|rate|7</t>
        </is>
      </c>
      <c r="B95" t="n">
        <v>0.01600431583552905</v>
      </c>
      <c r="C95" t="n">
        <v>0.1031903128947965</v>
      </c>
      <c r="D95" t="n">
        <v>0.02927043551277416</v>
      </c>
      <c r="E95" t="n">
        <v>0.04815037624246446</v>
      </c>
    </row>
    <row r="96">
      <c r="A96" t="inlineStr">
        <is>
          <t>G|FICO x CHANNEL|outcome_booked|book|7</t>
        </is>
      </c>
      <c r="E96" t="n">
        <v>0.6434732631990415</v>
      </c>
    </row>
    <row r="97">
      <c r="A97" t="inlineStr">
        <is>
          <t>G|FICO x CHANNEL|outcome_booked|band|7</t>
        </is>
      </c>
    </row>
    <row r="98">
      <c r="A98" t="inlineStr">
        <is>
          <t>G|FICO x CHANNEL|outcome_booked|rate|8</t>
        </is>
      </c>
      <c r="B98" t="n">
        <v>0.06209402737287426</v>
      </c>
      <c r="C98" t="n">
        <v>0.08834961310910708</v>
      </c>
      <c r="D98" t="n">
        <v>0.07378839081032544</v>
      </c>
      <c r="E98" t="n">
        <v>0.07482886857347225</v>
      </c>
    </row>
    <row r="99">
      <c r="A99" t="inlineStr">
        <is>
          <t>G|FICO x CHANNEL|outcome_booked|book|8</t>
        </is>
      </c>
      <c r="B99" t="n">
        <v>0.8298137945505067</v>
      </c>
      <c r="C99" t="n">
        <v>1.180688881088174</v>
      </c>
      <c r="D99" t="n">
        <v>0.9860952359298967</v>
      </c>
      <c r="E99" t="n">
        <v>0.9999999999999987</v>
      </c>
    </row>
    <row r="100">
      <c r="A100" t="inlineStr">
        <is>
          <t>G|FICO x CHANNEL|outcome_booked|band|8</t>
        </is>
      </c>
    </row>
    <row r="101">
      <c r="A101" t="inlineStr">
        <is>
          <t>G|FICO x CHANNEL|outcome_booked|meta</t>
        </is>
      </c>
      <c r="B101" t="inlineStr">
        <is>
          <t>x</t>
        </is>
      </c>
      <c r="C101" t="n">
        <v>3.276874318743562</v>
      </c>
      <c r="D101" t="n">
        <v>10</v>
      </c>
      <c r="E101" t="n">
        <v>0.07482886857347235</v>
      </c>
      <c r="F101" t="n">
        <v>65</v>
      </c>
    </row>
    <row r="102">
      <c r="A102" t="inlineStr">
        <is>
          <t>G|FICO x CHANNEL|gco_rate|rate|1</t>
        </is>
      </c>
      <c r="B102" t="n">
        <v>0.05382250925935985</v>
      </c>
      <c r="C102" t="n">
        <v>0.1416885243252877</v>
      </c>
      <c r="D102" t="n">
        <v>0.05418720216775902</v>
      </c>
      <c r="E102" t="n">
        <v>0.08345255929305037</v>
      </c>
    </row>
    <row r="103">
      <c r="A103" t="inlineStr">
        <is>
          <t>G|FICO x CHANNEL|gco_rate|book|1</t>
        </is>
      </c>
      <c r="B103" t="n">
        <v>1.293646581223346</v>
      </c>
      <c r="C103" t="n">
        <v>3.405543101097873</v>
      </c>
      <c r="D103" t="n">
        <v>1.302412128215471</v>
      </c>
      <c r="E103" t="n">
        <v>2.005817259532897</v>
      </c>
    </row>
    <row r="104">
      <c r="A104" t="inlineStr">
        <is>
          <t>G|FICO x CHANNEL|gco_rate|band|1</t>
        </is>
      </c>
      <c r="B104" t="n">
        <v>0.5518943693761096</v>
      </c>
      <c r="C104" t="n">
        <v>2.623355637889496</v>
      </c>
      <c r="D104" t="n">
        <v>0.5491282604182235</v>
      </c>
    </row>
    <row r="105">
      <c r="A105" t="inlineStr">
        <is>
          <t>G|FICO x CHANNEL|gco_rate|rate|2</t>
        </is>
      </c>
      <c r="B105" t="n">
        <v>0.05005569466772698</v>
      </c>
      <c r="C105" t="n">
        <v>0.04225891257503112</v>
      </c>
      <c r="D105" t="n">
        <v>0.04350405077341554</v>
      </c>
      <c r="E105" t="n">
        <v>0.04521453740915432</v>
      </c>
    </row>
    <row r="106">
      <c r="A106" t="inlineStr">
        <is>
          <t>G|FICO x CHANNEL|gco_rate|book|2</t>
        </is>
      </c>
      <c r="B106" t="n">
        <v>1.203109612850385</v>
      </c>
      <c r="C106" t="n">
        <v>1.015710685569688</v>
      </c>
      <c r="D106" t="n">
        <v>1.045638104332879</v>
      </c>
      <c r="E106" t="n">
        <v>1.086750367937848</v>
      </c>
    </row>
    <row r="107">
      <c r="A107" t="inlineStr">
        <is>
          <t>G|FICO x CHANNEL|gco_rate|band|2</t>
        </is>
      </c>
      <c r="B107" t="n">
        <v>1.168054905981109</v>
      </c>
      <c r="C107" t="n">
        <v>0.9027162731903188</v>
      </c>
      <c r="D107" t="n">
        <v>0.9452479312942789</v>
      </c>
    </row>
    <row r="108">
      <c r="A108" t="inlineStr">
        <is>
          <t>G|FICO x CHANNEL|gco_rate|rate|3</t>
        </is>
      </c>
      <c r="B108" t="n">
        <v>0.02416902423541164</v>
      </c>
      <c r="C108" t="n">
        <v>0.02640479870989074</v>
      </c>
      <c r="D108" t="n">
        <v>0.0432990046008993</v>
      </c>
      <c r="E108" t="n">
        <v>0.03151500509362794</v>
      </c>
    </row>
    <row r="109">
      <c r="A109" t="inlineStr">
        <is>
          <t>G|FICO x CHANNEL|gco_rate|book|3</t>
        </is>
      </c>
      <c r="B109" t="n">
        <v>0.5809126330951804</v>
      </c>
      <c r="C109" t="n">
        <v>0.6346504101906126</v>
      </c>
      <c r="D109" t="n">
        <v>1.040709733587652</v>
      </c>
      <c r="E109" t="n">
        <v>0.7574763636557552</v>
      </c>
    </row>
    <row r="110">
      <c r="A110" t="inlineStr">
        <is>
          <t>G|FICO x CHANNEL|gco_rate|band|3</t>
        </is>
      </c>
      <c r="B110" t="n">
        <v>0.6878985196916947</v>
      </c>
      <c r="C110" t="n">
        <v>0.7774930635253152</v>
      </c>
      <c r="D110" t="n">
        <v>1.713043008488713</v>
      </c>
    </row>
    <row r="111">
      <c r="A111" t="inlineStr">
        <is>
          <t>G|FICO x CHANNEL|gco_rate|rate|4</t>
        </is>
      </c>
      <c r="B111" t="n">
        <v>0.02299567418454924</v>
      </c>
      <c r="C111" t="n">
        <v>0.02075932934058127</v>
      </c>
      <c r="D111" t="n">
        <v>0.04518040416451506</v>
      </c>
      <c r="E111" t="n">
        <v>0.03026397173122731</v>
      </c>
    </row>
    <row r="112">
      <c r="A112" t="inlineStr">
        <is>
          <t>G|FICO x CHANNEL|gco_rate|book|4</t>
        </is>
      </c>
      <c r="B112" t="n">
        <v>0.5527106725629815</v>
      </c>
      <c r="C112" t="n">
        <v>0.4989591863976923</v>
      </c>
      <c r="D112" t="n">
        <v>1.08592996108872</v>
      </c>
      <c r="E112" t="n">
        <v>0.7274072521532202</v>
      </c>
    </row>
    <row r="113">
      <c r="A113" t="inlineStr">
        <is>
          <t>G|FICO x CHANNEL|gco_rate|band|4</t>
        </is>
      </c>
      <c r="B113" t="n">
        <v>0.6818678243913163</v>
      </c>
      <c r="C113" t="n">
        <v>0.5983981658374574</v>
      </c>
      <c r="D113" t="n">
        <v>2.06437015854151</v>
      </c>
    </row>
    <row r="114">
      <c r="A114" t="inlineStr">
        <is>
          <t>G|FICO x CHANNEL|gco_rate|rate|5</t>
        </is>
      </c>
      <c r="B114" t="n">
        <v>0.02259516093848434</v>
      </c>
      <c r="C114" t="n">
        <v>0.01802270743101798</v>
      </c>
      <c r="D114" t="n">
        <v>0.0177152709979479</v>
      </c>
      <c r="E114" t="n">
        <v>0.01940834703954904</v>
      </c>
    </row>
    <row r="115">
      <c r="A115" t="inlineStr">
        <is>
          <t>G|FICO x CHANNEL|gco_rate|book|5</t>
        </is>
      </c>
      <c r="B115" t="n">
        <v>0.5430841687333329</v>
      </c>
      <c r="C115" t="n">
        <v>0.4331833311630761</v>
      </c>
      <c r="D115" t="n">
        <v>0.4257939675667393</v>
      </c>
      <c r="E115" t="n">
        <v>0.4664877602402493</v>
      </c>
    </row>
    <row r="116">
      <c r="A116" t="inlineStr">
        <is>
          <t>G|FICO x CHANNEL|gco_rate|band|5</t>
        </is>
      </c>
      <c r="B116" t="n">
        <v>1.264427615577086</v>
      </c>
      <c r="C116" t="n">
        <v>0.8957851944368566</v>
      </c>
      <c r="D116" t="n">
        <v>0.8742978867022101</v>
      </c>
    </row>
    <row r="117">
      <c r="A117" t="inlineStr">
        <is>
          <t>G|FICO x CHANNEL|gco_rate|rate|6</t>
        </is>
      </c>
      <c r="C117" t="n">
        <v>0</v>
      </c>
      <c r="E117" t="n">
        <v>0</v>
      </c>
    </row>
    <row r="118">
      <c r="A118" t="inlineStr">
        <is>
          <t>G|FICO x CHANNEL|gco_rate|book|6</t>
        </is>
      </c>
    </row>
    <row r="119">
      <c r="A119" t="inlineStr">
        <is>
          <t>G|FICO x CHANNEL|gco_rate|band|6</t>
        </is>
      </c>
    </row>
    <row r="120">
      <c r="A120" t="inlineStr">
        <is>
          <t>G|FICO x CHANNEL|gco_rate|rate|7</t>
        </is>
      </c>
      <c r="B120" t="n">
        <v>0.007777850065731658</v>
      </c>
      <c r="C120" t="n">
        <v>0.0521010838886127</v>
      </c>
      <c r="D120" t="n">
        <v>0.01850663107378558</v>
      </c>
      <c r="E120" t="n">
        <v>0.02551311188947889</v>
      </c>
    </row>
    <row r="121">
      <c r="A121" t="inlineStr">
        <is>
          <t>G|FICO x CHANNEL|gco_rate|book|7</t>
        </is>
      </c>
      <c r="E121" t="n">
        <v>0.6132183435214595</v>
      </c>
    </row>
    <row r="122">
      <c r="A122" t="inlineStr">
        <is>
          <t>G|FICO x CHANNEL|gco_rate|band|7</t>
        </is>
      </c>
    </row>
    <row r="123">
      <c r="A123" t="inlineStr">
        <is>
          <t>G|FICO x CHANNEL|gco_rate|rate|8</t>
        </is>
      </c>
      <c r="B123" t="n">
        <v>0.03403247368482893</v>
      </c>
      <c r="C123" t="n">
        <v>0.05021215552951191</v>
      </c>
      <c r="D123" t="n">
        <v>0.04043303389582082</v>
      </c>
      <c r="E123" t="n">
        <v>0.04160526533333563</v>
      </c>
    </row>
    <row r="124">
      <c r="A124" t="inlineStr">
        <is>
          <t>G|FICO x CHANNEL|gco_rate|book|8</t>
        </is>
      </c>
      <c r="B124" t="n">
        <v>0.8179847769787176</v>
      </c>
      <c r="C124" t="n">
        <v>1.206870215277299</v>
      </c>
      <c r="D124" t="n">
        <v>0.971824925808715</v>
      </c>
      <c r="E124" t="n">
        <v>0.9999999999999997</v>
      </c>
    </row>
    <row r="125">
      <c r="A125" t="inlineStr">
        <is>
          <t>G|FICO x CHANNEL|gco_rate|band|8</t>
        </is>
      </c>
    </row>
    <row r="126">
      <c r="A126" t="inlineStr">
        <is>
          <t>G|FICO x CHANNEL|gco_rate|meta</t>
        </is>
      </c>
      <c r="B126" t="inlineStr">
        <is>
          <t>x</t>
        </is>
      </c>
      <c r="C126" t="n">
        <v>3.405543101097873</v>
      </c>
      <c r="D126" t="n">
        <v>10</v>
      </c>
      <c r="E126" t="n">
        <v>0.04160526533333565</v>
      </c>
      <c r="F126" t="n">
        <v>65</v>
      </c>
    </row>
    <row r="127">
      <c r="A127" t="inlineStr">
        <is>
          <t>G|FICO x CHANNEL|ranr_rate|rate|1</t>
        </is>
      </c>
      <c r="B127" t="n">
        <v>0.2170734766287685</v>
      </c>
      <c r="C127" t="n">
        <v>0.1379488383901921</v>
      </c>
      <c r="D127" t="n">
        <v>0.2161038541582268</v>
      </c>
      <c r="E127" t="n">
        <v>0.1901717430158448</v>
      </c>
    </row>
    <row r="128">
      <c r="A128" t="inlineStr">
        <is>
          <t>G|FICO x CHANNEL|ranr_rate|book|1</t>
        </is>
      </c>
      <c r="B128" t="n">
        <v>8.908342698</v>
      </c>
      <c r="C128" t="n">
        <v>0.995878874</v>
      </c>
      <c r="D128" t="n">
        <v>8.811380451</v>
      </c>
      <c r="E128" t="n">
        <v>6.218169337</v>
      </c>
    </row>
    <row r="129">
      <c r="A129" t="inlineStr">
        <is>
          <t>G|FICO x CHANNEL|ranr_rate|band|1</t>
        </is>
      </c>
      <c r="B129" t="n">
        <v>3.967676562</v>
      </c>
      <c r="C129" t="n">
        <v>-7.862504873</v>
      </c>
      <c r="D129" t="n">
        <v>3.942393715</v>
      </c>
    </row>
    <row r="130">
      <c r="A130" t="inlineStr">
        <is>
          <t>G|FICO x CHANNEL|ranr_rate|rate|2</t>
        </is>
      </c>
      <c r="B130" t="n">
        <v>0.1503331012467687</v>
      </c>
      <c r="C130" t="n">
        <v>0.1579237894125024</v>
      </c>
      <c r="D130" t="n">
        <v>0.1817081086912193</v>
      </c>
      <c r="E130" t="n">
        <v>0.1630754408239561</v>
      </c>
    </row>
    <row r="131">
      <c r="A131" t="inlineStr">
        <is>
          <t>G|FICO x CHANNEL|ranr_rate|book|2</t>
        </is>
      </c>
      <c r="B131" t="n">
        <v>2.23430516</v>
      </c>
      <c r="C131" t="n">
        <v>2.993373976</v>
      </c>
      <c r="D131" t="n">
        <v>5.371805904</v>
      </c>
      <c r="E131" t="n">
        <v>3.508539118</v>
      </c>
    </row>
    <row r="132">
      <c r="A132" t="inlineStr">
        <is>
          <t>G|FICO x CHANNEL|ranr_rate|band|2</t>
        </is>
      </c>
      <c r="B132" t="n">
        <v>-1.89557693</v>
      </c>
      <c r="C132" t="n">
        <v>-0.793787777</v>
      </c>
      <c r="D132" t="n">
        <v>2.744984217</v>
      </c>
    </row>
    <row r="133">
      <c r="A133" t="inlineStr">
        <is>
          <t>G|FICO x CHANNEL|ranr_rate|rate|3</t>
        </is>
      </c>
      <c r="B133" t="n">
        <v>0.1298033696344339</v>
      </c>
      <c r="C133" t="n">
        <v>0.1268738832157217</v>
      </c>
      <c r="D133" t="n">
        <v>0.1675406164276845</v>
      </c>
      <c r="E133" t="n">
        <v>0.1419183148673722</v>
      </c>
    </row>
    <row r="134">
      <c r="A134" t="inlineStr">
        <is>
          <t>G|FICO x CHANNEL|ranr_rate|book|3</t>
        </is>
      </c>
      <c r="B134" t="n">
        <v>0.181331999</v>
      </c>
      <c r="C134" t="n">
        <v>-0.111616643</v>
      </c>
      <c r="D134" t="n">
        <v>3.955056678</v>
      </c>
      <c r="E134" t="n">
        <v>1.392826522</v>
      </c>
    </row>
    <row r="135">
      <c r="A135" t="inlineStr">
        <is>
          <t>G|FICO x CHANNEL|ranr_rate|band|3</t>
        </is>
      </c>
      <c r="B135" t="n">
        <v>-1.80843221</v>
      </c>
      <c r="C135" t="n">
        <v>-2.224678398</v>
      </c>
      <c r="D135" t="n">
        <v>3.9187792</v>
      </c>
    </row>
    <row r="136">
      <c r="A136" t="inlineStr">
        <is>
          <t>G|FICO x CHANNEL|ranr_rate|rate|4</t>
        </is>
      </c>
      <c r="B136" t="n">
        <v>0.08572381463720408</v>
      </c>
      <c r="C136" t="n">
        <v>0.0911555197398795</v>
      </c>
      <c r="D136" t="n">
        <v>0.1094328953856207</v>
      </c>
      <c r="E136" t="n">
        <v>0.09596924359374789</v>
      </c>
    </row>
    <row r="137">
      <c r="A137" t="inlineStr">
        <is>
          <t>G|FICO x CHANNEL|ranr_rate|book|4</t>
        </is>
      </c>
      <c r="B137" t="n">
        <v>-4.226623501</v>
      </c>
      <c r="C137" t="n">
        <v>-3.683452991</v>
      </c>
      <c r="D137" t="n">
        <v>-1.855715426</v>
      </c>
      <c r="E137" t="n">
        <v>-3.202080605</v>
      </c>
    </row>
    <row r="138">
      <c r="A138" t="inlineStr">
        <is>
          <t>G|FICO x CHANNEL|ranr_rate|band|4</t>
        </is>
      </c>
      <c r="B138" t="n">
        <v>-1.513520529</v>
      </c>
      <c r="C138" t="n">
        <v>-0.705353944</v>
      </c>
      <c r="D138" t="n">
        <v>2.101666415</v>
      </c>
    </row>
    <row r="139">
      <c r="A139" t="inlineStr">
        <is>
          <t>G|FICO x CHANNEL|ranr_rate|rate|5</t>
        </is>
      </c>
      <c r="B139" t="n">
        <v>0.04457648068932364</v>
      </c>
      <c r="C139" t="n">
        <v>0.04898207027874037</v>
      </c>
      <c r="D139" t="n">
        <v>0.04658320363935518</v>
      </c>
      <c r="E139" t="n">
        <v>0.04674341748455088</v>
      </c>
    </row>
    <row r="140">
      <c r="A140" t="inlineStr">
        <is>
          <t>G|FICO x CHANNEL|ranr_rate|book|5</t>
        </is>
      </c>
      <c r="B140" t="n">
        <v>-8.341356896000001</v>
      </c>
      <c r="C140" t="n">
        <v>-7.900797937</v>
      </c>
      <c r="D140" t="n">
        <v>-8.140684601</v>
      </c>
      <c r="E140" t="n">
        <v>-8.124663216</v>
      </c>
    </row>
    <row r="141">
      <c r="A141" t="inlineStr">
        <is>
          <t>G|FICO x CHANNEL|ranr_rate|band|5</t>
        </is>
      </c>
      <c r="B141" t="n">
        <v>-0.321305246</v>
      </c>
      <c r="C141" t="n">
        <v>0.338752124</v>
      </c>
      <c r="D141" t="n">
        <v>-0.02410208</v>
      </c>
    </row>
    <row r="142">
      <c r="A142" t="inlineStr">
        <is>
          <t>G|FICO x CHANNEL|ranr_rate|rate|6</t>
        </is>
      </c>
      <c r="C142" t="n">
        <v>0.140296941334961</v>
      </c>
      <c r="E142" t="n">
        <v>0.140296941334961</v>
      </c>
    </row>
    <row r="143">
      <c r="A143" t="inlineStr">
        <is>
          <t>G|FICO x CHANNEL|ranr_rate|book|6</t>
        </is>
      </c>
      <c r="C143" t="n">
        <v>1.230689169</v>
      </c>
      <c r="E143" t="n">
        <v>1.230689169</v>
      </c>
    </row>
    <row r="144">
      <c r="A144" t="inlineStr">
        <is>
          <t>G|FICO x CHANNEL|ranr_rate|band|6</t>
        </is>
      </c>
    </row>
    <row r="145">
      <c r="A145" t="inlineStr">
        <is>
          <t>G|FICO x CHANNEL|ranr_rate|rate|7</t>
        </is>
      </c>
      <c r="B145" t="n">
        <v>0.1469454487933999</v>
      </c>
      <c r="C145" t="n">
        <v>0.1256885776789557</v>
      </c>
      <c r="D145" t="n">
        <v>0.1896654103875157</v>
      </c>
      <c r="E145" t="n">
        <v>0.1551731988462655</v>
      </c>
    </row>
    <row r="146">
      <c r="A146" t="inlineStr">
        <is>
          <t>G|FICO x CHANNEL|ranr_rate|book|7</t>
        </is>
      </c>
      <c r="B146" t="n">
        <v>1.895539915</v>
      </c>
      <c r="C146" t="n">
        <v>-0.230147197</v>
      </c>
      <c r="D146" t="n">
        <v>6.167536074</v>
      </c>
      <c r="E146" t="n">
        <v>2.71831492</v>
      </c>
    </row>
    <row r="147">
      <c r="A147" t="inlineStr">
        <is>
          <t>G|FICO x CHANNEL|ranr_rate|band|7</t>
        </is>
      </c>
      <c r="B147" t="n">
        <v>-1.237059432</v>
      </c>
      <c r="C147" t="n">
        <v>-4.307550993</v>
      </c>
      <c r="D147" t="n">
        <v>5.303168205</v>
      </c>
    </row>
    <row r="148">
      <c r="A148" t="inlineStr">
        <is>
          <t>G|FICO x CHANNEL|ranr_rate|rate|8</t>
        </is>
      </c>
      <c r="B148" t="n">
        <v>0.1257424641427197</v>
      </c>
      <c r="C148" t="n">
        <v>0.1130333511764385</v>
      </c>
      <c r="D148" t="n">
        <v>0.1447377923020619</v>
      </c>
      <c r="E148" t="n">
        <v>0.1279900496481476</v>
      </c>
    </row>
    <row r="149">
      <c r="A149" t="inlineStr">
        <is>
          <t>G|FICO x CHANNEL|ranr_rate|book|8</t>
        </is>
      </c>
      <c r="B149" t="n">
        <v>-0.224758551</v>
      </c>
      <c r="C149" t="n">
        <v>-1.495669847</v>
      </c>
      <c r="D149" t="n">
        <v>1.674774265</v>
      </c>
      <c r="E149" t="n">
        <v>0</v>
      </c>
    </row>
    <row r="150">
      <c r="A150" t="inlineStr">
        <is>
          <t>G|FICO x CHANNEL|ranr_rate|band|8</t>
        </is>
      </c>
    </row>
    <row r="151">
      <c r="A151" t="inlineStr">
        <is>
          <t>G|FICO x CHANNEL|ranr_rate|meta</t>
        </is>
      </c>
      <c r="B151" t="inlineStr">
        <is>
          <t>pts</t>
        </is>
      </c>
      <c r="C151" t="n">
        <v>8.908342698</v>
      </c>
      <c r="D151" t="n">
        <v>10</v>
      </c>
      <c r="E151" t="n">
        <v>0.1279900496481481</v>
      </c>
      <c r="F151" t="n">
        <v>65</v>
      </c>
    </row>
    <row r="152">
      <c r="A152" t="inlineStr">
        <is>
          <t>G|FICO x CHANNEL|contribution_rate|rate|1</t>
        </is>
      </c>
      <c r="B152" t="n">
        <v>0.2708959858881283</v>
      </c>
      <c r="C152" t="n">
        <v>0.2796373627154796</v>
      </c>
      <c r="D152" t="n">
        <v>0.2702910563259856</v>
      </c>
      <c r="E152" t="n">
        <v>0.273624302308895</v>
      </c>
    </row>
    <row r="153">
      <c r="A153" t="inlineStr">
        <is>
          <t>G|FICO x CHANNEL|contribution_rate|book|1</t>
        </is>
      </c>
      <c r="B153" t="n">
        <v>10.130353015</v>
      </c>
      <c r="C153" t="n">
        <v>11.004490698</v>
      </c>
      <c r="D153" t="n">
        <v>10.069860059</v>
      </c>
      <c r="E153" t="n">
        <v>10.403184657</v>
      </c>
    </row>
    <row r="154">
      <c r="A154" t="inlineStr">
        <is>
          <t>G|FICO x CHANNEL|contribution_rate|band|1</t>
        </is>
      </c>
      <c r="B154" t="n">
        <v>-0.402393291</v>
      </c>
      <c r="C154" t="n">
        <v>0.90530615</v>
      </c>
      <c r="D154" t="n">
        <v>-0.506745014</v>
      </c>
    </row>
    <row r="155">
      <c r="A155" t="inlineStr">
        <is>
          <t>G|FICO x CHANNEL|contribution_rate|rate|2</t>
        </is>
      </c>
      <c r="B155" t="n">
        <v>0.2003887959144957</v>
      </c>
      <c r="C155" t="n">
        <v>0.2001827019875337</v>
      </c>
      <c r="D155" t="n">
        <v>0.2252121594646349</v>
      </c>
      <c r="E155" t="n">
        <v>0.2082899782331105</v>
      </c>
    </row>
    <row r="156">
      <c r="A156" t="inlineStr">
        <is>
          <t>G|FICO x CHANNEL|contribution_rate|book|2</t>
        </is>
      </c>
      <c r="B156" t="n">
        <v>3.079634018</v>
      </c>
      <c r="C156" t="n">
        <v>3.059024625</v>
      </c>
      <c r="D156" t="n">
        <v>5.561970373</v>
      </c>
      <c r="E156" t="n">
        <v>3.86975225</v>
      </c>
    </row>
    <row r="157">
      <c r="A157" t="inlineStr">
        <is>
          <t>G|FICO x CHANNEL|contribution_rate|band|2</t>
        </is>
      </c>
      <c r="B157" t="n">
        <v>-1.17539631</v>
      </c>
      <c r="C157" t="n">
        <v>-1.249202687</v>
      </c>
      <c r="D157" t="n">
        <v>2.492993527</v>
      </c>
    </row>
    <row r="158">
      <c r="A158" t="inlineStr">
        <is>
          <t>G|FICO x CHANNEL|contribution_rate|rate|3</t>
        </is>
      </c>
      <c r="B158" t="n">
        <v>0.1539723938698455</v>
      </c>
      <c r="C158" t="n">
        <v>0.1532786819256124</v>
      </c>
      <c r="D158" t="n">
        <v>0.2108396210285837</v>
      </c>
      <c r="E158" t="n">
        <v>0.1734333199610001</v>
      </c>
    </row>
    <row r="159">
      <c r="A159" t="inlineStr">
        <is>
          <t>G|FICO x CHANNEL|contribution_rate|book|3</t>
        </is>
      </c>
      <c r="B159" t="n">
        <v>-1.562006187</v>
      </c>
      <c r="C159" t="n">
        <v>-1.631377381</v>
      </c>
      <c r="D159" t="n">
        <v>4.124716529</v>
      </c>
      <c r="E159" t="n">
        <v>0.384086423</v>
      </c>
    </row>
    <row r="160">
      <c r="A160" t="inlineStr">
        <is>
          <t>G|FICO x CHANNEL|contribution_rate|band|3</t>
        </is>
      </c>
      <c r="B160" t="n">
        <v>-2.904987592</v>
      </c>
      <c r="C160" t="n">
        <v>-2.980344415</v>
      </c>
      <c r="D160" t="n">
        <v>5.7210721</v>
      </c>
    </row>
    <row r="161">
      <c r="A161" t="inlineStr">
        <is>
          <t>G|FICO x CHANNEL|contribution_rate|rate|4</t>
        </is>
      </c>
      <c r="B161" t="n">
        <v>0.1085728838543854</v>
      </c>
      <c r="C161" t="n">
        <v>0.1119148490804608</v>
      </c>
      <c r="D161" t="n">
        <v>0.1546132995501358</v>
      </c>
      <c r="E161" t="n">
        <v>0.126193889200492</v>
      </c>
    </row>
    <row r="162">
      <c r="A162" t="inlineStr">
        <is>
          <t>G|FICO x CHANNEL|contribution_rate|book|4</t>
        </is>
      </c>
      <c r="B162" t="n">
        <v>-6.101957188</v>
      </c>
      <c r="C162" t="n">
        <v>-5.767760665</v>
      </c>
      <c r="D162" t="n">
        <v>-1.497915618</v>
      </c>
      <c r="E162" t="n">
        <v>-4.339856653</v>
      </c>
    </row>
    <row r="163">
      <c r="A163" t="inlineStr">
        <is>
          <t>G|FICO x CHANNEL|contribution_rate|band|4</t>
        </is>
      </c>
      <c r="B163" t="n">
        <v>-2.601066942</v>
      </c>
      <c r="C163" t="n">
        <v>-2.093061481</v>
      </c>
      <c r="D163" t="n">
        <v>4.438184237</v>
      </c>
    </row>
    <row r="164">
      <c r="A164" t="inlineStr">
        <is>
          <t>G|FICO x CHANNEL|contribution_rate|rate|5</t>
        </is>
      </c>
      <c r="B164" t="n">
        <v>0.067171641627808</v>
      </c>
      <c r="C164" t="n">
        <v>0.06700477770975828</v>
      </c>
      <c r="D164" t="n">
        <v>0.06429847463730305</v>
      </c>
      <c r="E164" t="n">
        <v>0.0661517645240999</v>
      </c>
    </row>
    <row r="165">
      <c r="A165" t="inlineStr">
        <is>
          <t>G|FICO x CHANNEL|contribution_rate|book|5</t>
        </is>
      </c>
      <c r="B165" t="n">
        <v>-10.242081411</v>
      </c>
      <c r="C165" t="n">
        <v>-10.258767803</v>
      </c>
      <c r="D165" t="n">
        <v>-10.52939811</v>
      </c>
      <c r="E165" t="n">
        <v>-10.344069121</v>
      </c>
    </row>
    <row r="166">
      <c r="A166" t="inlineStr">
        <is>
          <t>G|FICO x CHANNEL|contribution_rate|band|5</t>
        </is>
      </c>
      <c r="B166" t="n">
        <v>0.151223545</v>
      </c>
      <c r="C166" t="n">
        <v>0.129077644</v>
      </c>
      <c r="D166" t="n">
        <v>-0.278803257</v>
      </c>
    </row>
    <row r="167">
      <c r="A167" t="inlineStr">
        <is>
          <t>G|FICO x CHANNEL|contribution_rate|rate|6</t>
        </is>
      </c>
      <c r="C167" t="n">
        <v>0.140296941334961</v>
      </c>
      <c r="E167" t="n">
        <v>0.140296941334961</v>
      </c>
    </row>
    <row r="168">
      <c r="A168" t="inlineStr">
        <is>
          <t>G|FICO x CHANNEL|contribution_rate|book|6</t>
        </is>
      </c>
      <c r="C168" t="n">
        <v>-2.92955144</v>
      </c>
      <c r="E168" t="n">
        <v>-2.92955144</v>
      </c>
    </row>
    <row r="169">
      <c r="A169" t="inlineStr">
        <is>
          <t>G|FICO x CHANNEL|contribution_rate|band|6</t>
        </is>
      </c>
    </row>
    <row r="170">
      <c r="A170" t="inlineStr">
        <is>
          <t>G|FICO x CHANNEL|contribution_rate|rate|7</t>
        </is>
      </c>
      <c r="B170" t="n">
        <v>0.1547232988591316</v>
      </c>
      <c r="C170" t="n">
        <v>0.1777896615675683</v>
      </c>
      <c r="D170" t="n">
        <v>0.2081720414613012</v>
      </c>
      <c r="E170" t="n">
        <v>0.1806863107357444</v>
      </c>
    </row>
    <row r="171">
      <c r="A171" t="inlineStr">
        <is>
          <t>G|FICO x CHANNEL|contribution_rate|book|7</t>
        </is>
      </c>
      <c r="B171" t="n">
        <v>-1.486915688</v>
      </c>
      <c r="C171" t="n">
        <v>0.8197205829999999</v>
      </c>
      <c r="D171" t="n">
        <v>3.857958573</v>
      </c>
      <c r="E171" t="n">
        <v>1.1093855</v>
      </c>
    </row>
    <row r="172">
      <c r="A172" t="inlineStr">
        <is>
          <t>G|FICO x CHANNEL|contribution_rate|band|7</t>
        </is>
      </c>
      <c r="B172" t="n">
        <v>-3.903593148</v>
      </c>
      <c r="C172" t="n">
        <v>-0.423185495</v>
      </c>
      <c r="D172" t="n">
        <v>4.225923673</v>
      </c>
    </row>
    <row r="173">
      <c r="A173" t="inlineStr">
        <is>
          <t>G|FICO x CHANNEL|contribution_rate|rate|8</t>
        </is>
      </c>
      <c r="B173" t="n">
        <v>0.1597650989343295</v>
      </c>
      <c r="C173" t="n">
        <v>0.1632455067059504</v>
      </c>
      <c r="D173" t="n">
        <v>0.1851708261978826</v>
      </c>
      <c r="E173" t="n">
        <v>0.1695924557349811</v>
      </c>
    </row>
    <row r="174">
      <c r="A174" t="inlineStr">
        <is>
          <t>G|FICO x CHANNEL|contribution_rate|book|8</t>
        </is>
      </c>
      <c r="B174" t="n">
        <v>-0.98273568</v>
      </c>
      <c r="C174" t="n">
        <v>-0.634694903</v>
      </c>
      <c r="D174" t="n">
        <v>1.557837046</v>
      </c>
      <c r="E174" t="n">
        <v>0</v>
      </c>
    </row>
    <row r="175">
      <c r="A175" t="inlineStr">
        <is>
          <t>G|FICO x CHANNEL|contribution_rate|band|8</t>
        </is>
      </c>
    </row>
    <row r="176">
      <c r="A176" t="inlineStr">
        <is>
          <t>G|FICO x CHANNEL|contribution_rate|meta</t>
        </is>
      </c>
      <c r="B176" t="inlineStr">
        <is>
          <t>pts</t>
        </is>
      </c>
      <c r="C176" t="n">
        <v>11.004490698</v>
      </c>
      <c r="D176" t="n">
        <v>10</v>
      </c>
      <c r="E176" t="n">
        <v>0.1695924557349815</v>
      </c>
      <c r="F176" t="n">
        <v>65</v>
      </c>
    </row>
    <row r="177">
      <c r="A177" t="inlineStr">
        <is>
          <t>G|FICO x CHANNEL|loan_size|rate|1</t>
        </is>
      </c>
      <c r="B177" t="n">
        <v>32549.21671314741</v>
      </c>
      <c r="C177" t="n">
        <v>32583.30282982791</v>
      </c>
      <c r="D177" t="n">
        <v>32706.55041431262</v>
      </c>
      <c r="E177" t="n">
        <v>32614.36532133676</v>
      </c>
    </row>
    <row r="178">
      <c r="A178" t="inlineStr">
        <is>
          <t>G|FICO x CHANNEL|loan_size|median|1</t>
        </is>
      </c>
      <c r="B178" t="n">
        <v>31733</v>
      </c>
      <c r="C178" t="n">
        <v>32270.57</v>
      </c>
      <c r="D178" t="n">
        <v>33127.26</v>
      </c>
      <c r="E178" t="n">
        <v>32375.37</v>
      </c>
    </row>
    <row r="179">
      <c r="A179" t="inlineStr">
        <is>
          <t>G|FICO x CHANNEL|loan_size|book|1</t>
        </is>
      </c>
      <c r="B179" t="n">
        <v>1.008884226234305</v>
      </c>
      <c r="C179" t="n">
        <v>1.009940747678603</v>
      </c>
      <c r="D179" t="n">
        <v>1.013760887038758</v>
      </c>
      <c r="E179" t="n">
        <v>1.010903549886318</v>
      </c>
    </row>
    <row r="180">
      <c r="A180" t="inlineStr">
        <is>
          <t>G|FICO x CHANNEL|loan_size|band|1</t>
        </is>
      </c>
      <c r="B180" t="n">
        <v>0.9970538679776419</v>
      </c>
      <c r="C180" t="n">
        <v>0.9985660722816204</v>
      </c>
      <c r="D180" t="n">
        <v>1.004297084421707</v>
      </c>
    </row>
    <row r="181">
      <c r="A181" t="inlineStr">
        <is>
          <t>G|FICO x CHANNEL|loan_size|rate|2</t>
        </is>
      </c>
      <c r="B181" t="n">
        <v>32159.22616302187</v>
      </c>
      <c r="C181" t="n">
        <v>32621.28516007533</v>
      </c>
      <c r="D181" t="n">
        <v>31389.31188118812</v>
      </c>
      <c r="E181" t="n">
        <v>32066.01408706952</v>
      </c>
    </row>
    <row r="182">
      <c r="A182" t="inlineStr">
        <is>
          <t>G|FICO x CHANNEL|loan_size|median|2</t>
        </is>
      </c>
      <c r="B182" t="n">
        <v>32486.61</v>
      </c>
      <c r="C182" t="n">
        <v>33949.56</v>
      </c>
      <c r="D182" t="n">
        <v>30881.45</v>
      </c>
      <c r="E182" t="n">
        <v>32343.46</v>
      </c>
    </row>
    <row r="183">
      <c r="A183" t="inlineStr">
        <is>
          <t>G|FICO x CHANNEL|loan_size|book|2</t>
        </is>
      </c>
      <c r="B183" t="n">
        <v>0.9967962144744655</v>
      </c>
      <c r="C183" t="n">
        <v>1.011118034806584</v>
      </c>
      <c r="D183" t="n">
        <v>0.9729322185651312</v>
      </c>
      <c r="E183" t="n">
        <v>0.9939070453140634</v>
      </c>
    </row>
    <row r="184">
      <c r="A184" t="inlineStr">
        <is>
          <t>G|FICO x CHANNEL|loan_size|band|2</t>
        </is>
      </c>
      <c r="B184" t="n">
        <v>1.004324336100047</v>
      </c>
      <c r="C184" t="n">
        <v>1.02668197720075</v>
      </c>
      <c r="D184" t="n">
        <v>0.9689102362265307</v>
      </c>
    </row>
    <row r="185">
      <c r="A185" t="inlineStr">
        <is>
          <t>G|FICO x CHANNEL|loan_size|rate|3</t>
        </is>
      </c>
      <c r="B185" t="n">
        <v>32698.63159223301</v>
      </c>
      <c r="C185" t="n">
        <v>32967.00101796407</v>
      </c>
      <c r="D185" t="n">
        <v>32344.62388278388</v>
      </c>
      <c r="E185" t="n">
        <v>32660.96505761844</v>
      </c>
    </row>
    <row r="186">
      <c r="A186" t="inlineStr">
        <is>
          <t>G|FICO x CHANNEL|loan_size|median|3</t>
        </is>
      </c>
      <c r="B186" t="n">
        <v>33544.5</v>
      </c>
      <c r="C186" t="n">
        <v>33142.91</v>
      </c>
      <c r="D186" t="n">
        <v>31877.675</v>
      </c>
      <c r="E186" t="n">
        <v>32657.185</v>
      </c>
    </row>
    <row r="187">
      <c r="A187" t="inlineStr">
        <is>
          <t>G|FICO x CHANNEL|loan_size|book|3</t>
        </is>
      </c>
      <c r="B187" t="n">
        <v>1.013515437977514</v>
      </c>
      <c r="C187" t="n">
        <v>1.021833723569753</v>
      </c>
      <c r="D187" t="n">
        <v>1.002542737860761</v>
      </c>
      <c r="E187" t="n">
        <v>1.012347939141384</v>
      </c>
    </row>
    <row r="188">
      <c r="A188" t="inlineStr">
        <is>
          <t>G|FICO x CHANNEL|loan_size|band|3</t>
        </is>
      </c>
      <c r="B188" t="n">
        <v>1.001721501604071</v>
      </c>
      <c r="C188" t="n">
        <v>1.013855905088206</v>
      </c>
      <c r="D188" t="n">
        <v>0.9851864425475193</v>
      </c>
    </row>
    <row r="189">
      <c r="A189" t="inlineStr">
        <is>
          <t>G|FICO x CHANNEL|loan_size|rate|4</t>
        </is>
      </c>
      <c r="B189" t="n">
        <v>30750.5847858473</v>
      </c>
      <c r="C189" t="n">
        <v>31887.05186640472</v>
      </c>
      <c r="D189" t="n">
        <v>32568.99023049645</v>
      </c>
      <c r="E189" t="n">
        <v>31746.88442236025</v>
      </c>
    </row>
    <row r="190">
      <c r="A190" t="inlineStr">
        <is>
          <t>G|FICO x CHANNEL|loan_size|median|4</t>
        </is>
      </c>
      <c r="B190" t="n">
        <v>29741.11</v>
      </c>
      <c r="C190" t="n">
        <v>32085.88</v>
      </c>
      <c r="D190" t="n">
        <v>32413.01</v>
      </c>
      <c r="E190" t="n">
        <v>31495.24</v>
      </c>
    </row>
    <row r="191">
      <c r="A191" t="inlineStr">
        <is>
          <t>G|FICO x CHANNEL|loan_size|book|4</t>
        </is>
      </c>
      <c r="B191" t="n">
        <v>0.9531344551646523</v>
      </c>
      <c r="C191" t="n">
        <v>0.9883599944245819</v>
      </c>
      <c r="D191" t="n">
        <v>1.009497119316386</v>
      </c>
      <c r="E191" t="n">
        <v>0.9840154129689267</v>
      </c>
    </row>
    <row r="192">
      <c r="A192" t="inlineStr">
        <is>
          <t>G|FICO x CHANNEL|loan_size|band|4</t>
        </is>
      </c>
      <c r="B192" t="n">
        <v>0.9536396153494627</v>
      </c>
      <c r="C192" t="n">
        <v>1.006469518655895</v>
      </c>
      <c r="D192" t="n">
        <v>1.040422904785542</v>
      </c>
    </row>
    <row r="193">
      <c r="A193" t="inlineStr">
        <is>
          <t>G|FICO x CHANNEL|loan_size|rate|5</t>
        </is>
      </c>
      <c r="B193" t="n">
        <v>31757.3934942085</v>
      </c>
      <c r="C193" t="n">
        <v>31969.52664179105</v>
      </c>
      <c r="D193" t="n">
        <v>32765.47040618955</v>
      </c>
      <c r="E193" t="n">
        <v>32161.51770210057</v>
      </c>
    </row>
    <row r="194">
      <c r="A194" t="inlineStr">
        <is>
          <t>G|FICO x CHANNEL|loan_size|median|5</t>
        </is>
      </c>
      <c r="B194" t="n">
        <v>30929.315</v>
      </c>
      <c r="C194" t="n">
        <v>31061.645</v>
      </c>
      <c r="D194" t="n">
        <v>33869.94</v>
      </c>
      <c r="E194" t="n">
        <v>31538.61</v>
      </c>
    </row>
    <row r="195">
      <c r="A195" t="inlineStr">
        <is>
          <t>G|FICO x CHANNEL|loan_size|book|5</t>
        </is>
      </c>
      <c r="B195" t="n">
        <v>0.9843411485131488</v>
      </c>
      <c r="C195" t="n">
        <v>0.9909163539426245</v>
      </c>
      <c r="D195" t="n">
        <v>1.015587150660963</v>
      </c>
      <c r="E195" t="n">
        <v>0.9968672422245548</v>
      </c>
    </row>
    <row r="196">
      <c r="A196" t="inlineStr">
        <is>
          <t>G|FICO x CHANNEL|loan_size|band|5</t>
        </is>
      </c>
      <c r="B196" t="n">
        <v>0.9813684106184214</v>
      </c>
      <c r="C196" t="n">
        <v>0.9909668388472985</v>
      </c>
      <c r="D196" t="n">
        <v>1.028250158042545</v>
      </c>
    </row>
    <row r="197">
      <c r="A197" t="inlineStr">
        <is>
          <t>G|FICO x CHANNEL|loan_size|rate|6</t>
        </is>
      </c>
      <c r="C197" t="n">
        <v>27999.47</v>
      </c>
      <c r="E197" t="n">
        <v>27999.47</v>
      </c>
    </row>
    <row r="198">
      <c r="A198" t="inlineStr">
        <is>
          <t>G|FICO x CHANNEL|loan_size|median|6</t>
        </is>
      </c>
      <c r="C198" t="n">
        <v>27999.47</v>
      </c>
      <c r="E198" t="n">
        <v>27999.47</v>
      </c>
    </row>
    <row r="199">
      <c r="A199" t="inlineStr">
        <is>
          <t>G|FICO x CHANNEL|loan_size|book|6</t>
        </is>
      </c>
      <c r="C199" t="n">
        <v>0.8678618559355534</v>
      </c>
      <c r="E199" t="n">
        <v>0.8678618559355534</v>
      </c>
    </row>
    <row r="200">
      <c r="A200" t="inlineStr">
        <is>
          <t>G|FICO x CHANNEL|loan_size|band|6</t>
        </is>
      </c>
    </row>
    <row r="201">
      <c r="A201" t="inlineStr">
        <is>
          <t>G|FICO x CHANNEL|loan_size|rate|7</t>
        </is>
      </c>
      <c r="B201" t="n">
        <v>34725.55960784314</v>
      </c>
      <c r="C201" t="n">
        <v>30898.33351851852</v>
      </c>
      <c r="D201" t="n">
        <v>33613.25890909091</v>
      </c>
      <c r="E201" t="n">
        <v>33051.5174375</v>
      </c>
    </row>
    <row r="202">
      <c r="A202" t="inlineStr">
        <is>
          <t>G|FICO x CHANNEL|loan_size|median|7</t>
        </is>
      </c>
      <c r="B202" t="n">
        <v>34982.22</v>
      </c>
      <c r="C202" t="n">
        <v>30178.235</v>
      </c>
      <c r="D202" t="n">
        <v>36736.09</v>
      </c>
      <c r="E202" t="n">
        <v>33153.41</v>
      </c>
    </row>
    <row r="203">
      <c r="A203" t="inlineStr">
        <is>
          <t>G|FICO x CHANNEL|loan_size|book|7</t>
        </is>
      </c>
      <c r="B203" t="n">
        <v>1.076341395378678</v>
      </c>
      <c r="C203" t="n">
        <v>0.9577140236117754</v>
      </c>
      <c r="D203" t="n">
        <v>1.04186490890313</v>
      </c>
      <c r="E203" t="n">
        <v>1.024453365181379</v>
      </c>
    </row>
    <row r="204">
      <c r="A204" t="inlineStr">
        <is>
          <t>G|FICO x CHANNEL|loan_size|band|7</t>
        </is>
      </c>
      <c r="B204" t="n">
        <v>1.07615255267463</v>
      </c>
      <c r="C204" t="n">
        <v>0.9048246243643882</v>
      </c>
      <c r="D204" t="n">
        <v>1.026131205517288</v>
      </c>
    </row>
    <row r="205">
      <c r="A205" t="inlineStr">
        <is>
          <t>G|FICO x CHANNEL|loan_size|rate|8</t>
        </is>
      </c>
      <c r="B205" t="n">
        <v>32022.08309977152</v>
      </c>
      <c r="C205" t="n">
        <v>32369.91430131827</v>
      </c>
      <c r="D205" t="n">
        <v>32390.11528329654</v>
      </c>
      <c r="E205" t="n">
        <v>32262.58857732217</v>
      </c>
    </row>
    <row r="206">
      <c r="A206" t="inlineStr">
        <is>
          <t>G|FICO x CHANNEL|loan_size|median|8</t>
        </is>
      </c>
      <c r="B206" t="n">
        <v>31587.98</v>
      </c>
      <c r="C206" t="n">
        <v>32609.4</v>
      </c>
      <c r="D206" t="n">
        <v>32036.465</v>
      </c>
      <c r="E206" t="n">
        <v>32112.83</v>
      </c>
    </row>
    <row r="207">
      <c r="A207" t="inlineStr">
        <is>
          <t>G|FICO x CHANNEL|loan_size|book|8</t>
        </is>
      </c>
      <c r="B207" t="n">
        <v>0.9925453756764048</v>
      </c>
      <c r="C207" t="n">
        <v>1.003326630897545</v>
      </c>
      <c r="D207" t="n">
        <v>1.003952773524937</v>
      </c>
      <c r="E207" t="n">
        <v>1</v>
      </c>
    </row>
    <row r="208">
      <c r="A208" t="inlineStr">
        <is>
          <t>G|FICO x CHANNEL|loan_size|band|8</t>
        </is>
      </c>
    </row>
    <row r="209">
      <c r="A209" t="inlineStr">
        <is>
          <t>G|FICO x CHANNEL|loan_size|meta</t>
        </is>
      </c>
      <c r="B209" t="inlineStr">
        <is>
          <t>size</t>
        </is>
      </c>
      <c r="C209" t="n">
        <v>1</v>
      </c>
      <c r="E209" t="n">
        <v>32262.58857732217</v>
      </c>
      <c r="F209" t="n">
        <v>65</v>
      </c>
    </row>
    <row r="210">
      <c r="A210" t="inlineStr">
        <is>
          <t>G|SHORT_HIST x CHANNEL|cols</t>
        </is>
      </c>
      <c r="B210" t="inlineStr">
        <is>
          <t>Branch</t>
        </is>
      </c>
      <c r="C210" t="inlineStr">
        <is>
          <t>Broker</t>
        </is>
      </c>
      <c r="D210" t="inlineStr">
        <is>
          <t>Online</t>
        </is>
      </c>
      <c r="E210" t="inlineStr">
        <is>
          <t>All</t>
        </is>
      </c>
    </row>
    <row r="211">
      <c r="A211" t="inlineStr">
        <is>
          <t>G|SHORT_HIST x CHANNEL|heads</t>
        </is>
      </c>
      <c r="B211" t="inlineStr">
        <is>
          <t>Branch</t>
        </is>
      </c>
      <c r="C211" t="inlineStr">
        <is>
          <t>Broker</t>
        </is>
      </c>
      <c r="D211" t="inlineStr">
        <is>
          <t>Online</t>
        </is>
      </c>
      <c r="E211" t="inlineStr">
        <is>
          <t>All</t>
        </is>
      </c>
    </row>
    <row r="212">
      <c r="A212" t="inlineStr">
        <is>
          <t>G|SHORT_HIST x CHANNEL|segs</t>
        </is>
      </c>
    </row>
    <row r="213">
      <c r="A213" t="inlineStr">
        <is>
          <t>G|SHORT_HIST x CHANNEL|rows</t>
        </is>
      </c>
      <c r="B213" t="inlineStr">
        <is>
          <t>0.0 - 88.9</t>
        </is>
      </c>
      <c r="C213" t="inlineStr">
        <is>
          <t>89.0 - 171.9</t>
        </is>
      </c>
      <c r="D213" t="inlineStr">
        <is>
          <t>172.0 - 256.3</t>
        </is>
      </c>
      <c r="E213" t="inlineStr">
        <is>
          <t>256.4 - 345.9</t>
        </is>
      </c>
      <c r="F213" t="inlineStr">
        <is>
          <t>346.0 - 435.0</t>
        </is>
      </c>
      <c r="G213" t="inlineStr">
        <is>
          <t>(marked missing)</t>
        </is>
      </c>
      <c r="H213" t="inlineStr">
        <is>
          <t>All</t>
        </is>
      </c>
    </row>
    <row r="214">
      <c r="A214" t="inlineStr">
        <is>
          <t>G|SHORT_HIST x CHANNEL|names</t>
        </is>
      </c>
      <c r="B214" t="inlineStr">
        <is>
          <t>SHORT_HIST</t>
        </is>
      </c>
      <c r="C214" t="inlineStr">
        <is>
          <t>CHANNEL</t>
        </is>
      </c>
    </row>
    <row r="215">
      <c r="A215" t="inlineStr">
        <is>
          <t>G|SHORT_HIST x CHANNEL|total</t>
        </is>
      </c>
      <c r="B215" t="n">
        <v>8000</v>
      </c>
    </row>
    <row r="216">
      <c r="A216" t="inlineStr">
        <is>
          <t>G|SHORT_HIST x CHANNEL|loans|1</t>
        </is>
      </c>
      <c r="B216" t="n">
        <v>509</v>
      </c>
      <c r="C216" t="n">
        <v>508</v>
      </c>
      <c r="D216" t="n">
        <v>528</v>
      </c>
      <c r="E216" t="n">
        <v>1545</v>
      </c>
    </row>
    <row r="217">
      <c r="A217" t="inlineStr">
        <is>
          <t>G|SHORT_HIST x CHANNEL|loans|2</t>
        </is>
      </c>
      <c r="B217" t="n">
        <v>490</v>
      </c>
      <c r="C217" t="n">
        <v>522</v>
      </c>
      <c r="D217" t="n">
        <v>545</v>
      </c>
      <c r="E217" t="n">
        <v>1557</v>
      </c>
    </row>
    <row r="218">
      <c r="A218" t="inlineStr">
        <is>
          <t>G|SHORT_HIST x CHANNEL|loans|3</t>
        </is>
      </c>
      <c r="B218" t="n">
        <v>520</v>
      </c>
      <c r="C218" t="n">
        <v>541</v>
      </c>
      <c r="D218" t="n">
        <v>517</v>
      </c>
      <c r="E218" t="n">
        <v>1578</v>
      </c>
    </row>
    <row r="219">
      <c r="A219" t="inlineStr">
        <is>
          <t>G|SHORT_HIST x CHANNEL|loans|4</t>
        </is>
      </c>
      <c r="B219" t="n">
        <v>503</v>
      </c>
      <c r="C219" t="n">
        <v>513</v>
      </c>
      <c r="D219" t="n">
        <v>536</v>
      </c>
      <c r="E219" t="n">
        <v>1552</v>
      </c>
    </row>
    <row r="220">
      <c r="A220" t="inlineStr">
        <is>
          <t>G|SHORT_HIST x CHANNEL|loans|5</t>
        </is>
      </c>
      <c r="B220" t="n">
        <v>533</v>
      </c>
      <c r="C220" t="n">
        <v>504</v>
      </c>
      <c r="D220" t="n">
        <v>531</v>
      </c>
      <c r="E220" t="n">
        <v>1568</v>
      </c>
    </row>
    <row r="221">
      <c r="A221" t="inlineStr">
        <is>
          <t>G|SHORT_HIST x CHANNEL|loans|6</t>
        </is>
      </c>
      <c r="B221" t="n">
        <v>72</v>
      </c>
      <c r="C221" t="n">
        <v>67</v>
      </c>
      <c r="D221" t="n">
        <v>61</v>
      </c>
      <c r="E221" t="n">
        <v>200</v>
      </c>
    </row>
    <row r="222">
      <c r="A222" t="inlineStr">
        <is>
          <t>G|SHORT_HIST x CHANNEL|loans|7</t>
        </is>
      </c>
      <c r="B222" t="n">
        <v>2627</v>
      </c>
      <c r="C222" t="n">
        <v>2655</v>
      </c>
      <c r="D222" t="n">
        <v>2718</v>
      </c>
      <c r="E222" t="n">
        <v>8000</v>
      </c>
    </row>
    <row r="223">
      <c r="A223" t="inlineStr">
        <is>
          <t>G|SHORT_HIST x CHANNEL|outcome_loans|rate|1</t>
        </is>
      </c>
      <c r="B223" t="n">
        <v>0.07086614173228346</v>
      </c>
      <c r="C223" t="n">
        <v>0.08661417322834646</v>
      </c>
      <c r="D223" t="n">
        <v>0.08143939393939394</v>
      </c>
      <c r="E223" t="n">
        <v>0.07966321243523317</v>
      </c>
    </row>
    <row r="224">
      <c r="A224" t="inlineStr">
        <is>
          <t>G|SHORT_HIST x CHANNEL|outcome_loans|book|1</t>
        </is>
      </c>
      <c r="B224" t="n">
        <v>0.915764568201188</v>
      </c>
      <c r="C224" t="n">
        <v>1.11926780557923</v>
      </c>
      <c r="D224" t="n">
        <v>1.052396950115044</v>
      </c>
      <c r="E224" t="n">
        <v>1.029444323537044</v>
      </c>
    </row>
    <row r="225">
      <c r="A225" t="inlineStr">
        <is>
          <t>G|SHORT_HIST x CHANNEL|outcome_loans|band|1</t>
        </is>
      </c>
      <c r="B225" t="n">
        <v>0.8438772739614445</v>
      </c>
      <c r="C225" t="n">
        <v>1.135851689424898</v>
      </c>
      <c r="D225" t="n">
        <v>1.034280303030303</v>
      </c>
    </row>
    <row r="226">
      <c r="A226" t="inlineStr">
        <is>
          <t>G|SHORT_HIST x CHANNEL|outcome_loans|rate|2</t>
        </is>
      </c>
      <c r="B226" t="n">
        <v>0.07346938775510205</v>
      </c>
      <c r="C226" t="n">
        <v>0.10727969348659</v>
      </c>
      <c r="D226" t="n">
        <v>0.06788990825688074</v>
      </c>
      <c r="E226" t="n">
        <v>0.08285163776493257</v>
      </c>
    </row>
    <row r="227">
      <c r="A227" t="inlineStr">
        <is>
          <t>G|SHORT_HIST x CHANNEL|outcome_loans|book|2</t>
        </is>
      </c>
      <c r="B227" t="n">
        <v>0.9494048992779665</v>
      </c>
      <c r="C227" t="n">
        <v>1.386317073019764</v>
      </c>
      <c r="D227" t="n">
        <v>0.8773043233389161</v>
      </c>
      <c r="E227" t="n">
        <v>1.070646608209524</v>
      </c>
    </row>
    <row r="228">
      <c r="A228" t="inlineStr">
        <is>
          <t>G|SHORT_HIST x CHANNEL|outcome_loans|band|2</t>
        </is>
      </c>
      <c r="B228" t="n">
        <v>0.8429229756418697</v>
      </c>
      <c r="C228" t="n">
        <v>1.521020311761927</v>
      </c>
      <c r="D228" t="n">
        <v>0.7467889908256881</v>
      </c>
    </row>
    <row r="229">
      <c r="A229" t="inlineStr">
        <is>
          <t>G|SHORT_HIST x CHANNEL|outcome_loans|rate|3</t>
        </is>
      </c>
      <c r="B229" t="n">
        <v>0.04807692307692308</v>
      </c>
      <c r="C229" t="n">
        <v>0.07763401109057301</v>
      </c>
      <c r="D229" t="n">
        <v>0.0735009671179884</v>
      </c>
      <c r="E229" t="n">
        <v>0.06653992395437262</v>
      </c>
    </row>
    <row r="230">
      <c r="A230" t="inlineStr">
        <is>
          <t>G|SHORT_HIST x CHANNEL|outcome_loans|book|3</t>
        </is>
      </c>
      <c r="B230" t="n">
        <v>0.6212719025723873</v>
      </c>
      <c r="C230" t="n">
        <v>1.003222059310975</v>
      </c>
      <c r="D230" t="n">
        <v>0.949812982191905</v>
      </c>
      <c r="E230" t="n">
        <v>0.8598592111648249</v>
      </c>
    </row>
    <row r="231">
      <c r="A231" t="inlineStr">
        <is>
          <t>G|SHORT_HIST x CHANNEL|outcome_loans|band|3</t>
        </is>
      </c>
      <c r="B231" t="n">
        <v>0.6358173076923077</v>
      </c>
      <c r="C231" t="n">
        <v>1.277880468268638</v>
      </c>
      <c r="D231" t="n">
        <v>1.163948150928144</v>
      </c>
    </row>
    <row r="232">
      <c r="A232" t="inlineStr">
        <is>
          <t>G|SHORT_HIST x CHANNEL|outcome_loans|rate|4</t>
        </is>
      </c>
      <c r="B232" t="n">
        <v>0.07554671968190854</v>
      </c>
      <c r="C232" t="n">
        <v>0.08771929824561403</v>
      </c>
      <c r="D232" t="n">
        <v>0.09514925373134328</v>
      </c>
      <c r="E232" t="n">
        <v>0.08634020618556701</v>
      </c>
    </row>
    <row r="233">
      <c r="A233" t="inlineStr">
        <is>
          <t>G|SHORT_HIST x CHANNEL|outcome_loans|book|4</t>
        </is>
      </c>
      <c r="B233" t="n">
        <v>0.9762491288135483</v>
      </c>
      <c r="C233" t="n">
        <v>1.13354873451804</v>
      </c>
      <c r="D233" t="n">
        <v>1.229562004195501</v>
      </c>
      <c r="E233" t="n">
        <v>1.115727478640308</v>
      </c>
    </row>
    <row r="234">
      <c r="A234" t="inlineStr">
        <is>
          <t>G|SHORT_HIST x CHANNEL|outcome_loans|band|4</t>
        </is>
      </c>
      <c r="B234" t="n">
        <v>0.8255053015241881</v>
      </c>
      <c r="C234" t="n">
        <v>1.024048886260595</v>
      </c>
      <c r="D234" t="n">
        <v>1.16471857579572</v>
      </c>
    </row>
    <row r="235">
      <c r="A235" t="inlineStr">
        <is>
          <t>G|SHORT_HIST x CHANNEL|outcome_loans|rate|5</t>
        </is>
      </c>
      <c r="B235" t="n">
        <v>0.05440900562851782</v>
      </c>
      <c r="C235" t="n">
        <v>0.09722222222222222</v>
      </c>
      <c r="D235" t="n">
        <v>0.0696798493408663</v>
      </c>
      <c r="E235" t="n">
        <v>0.07334183673469388</v>
      </c>
    </row>
    <row r="236">
      <c r="A236" t="inlineStr">
        <is>
          <t>G|SHORT_HIST x CHANNEL|outcome_loans|book|5</t>
        </is>
      </c>
      <c r="B236" t="n">
        <v>0.7030979580331407</v>
      </c>
      <c r="C236" t="n">
        <v>1.256349847424161</v>
      </c>
      <c r="D236" t="n">
        <v>0.900434757475912</v>
      </c>
      <c r="E236" t="n">
        <v>0.9477566268833867</v>
      </c>
    </row>
    <row r="237">
      <c r="A237" t="inlineStr">
        <is>
          <t>G|SHORT_HIST x CHANNEL|outcome_loans|band|5</t>
        </is>
      </c>
      <c r="B237" t="n">
        <v>0.6548060561106506</v>
      </c>
      <c r="C237" t="n">
        <v>1.567340067340067</v>
      </c>
      <c r="D237" t="n">
        <v>0.9263846636727993</v>
      </c>
    </row>
    <row r="238">
      <c r="A238" t="inlineStr">
        <is>
          <t>G|SHORT_HIST x CHANNEL|outcome_loans|rate|6</t>
        </is>
      </c>
      <c r="B238" t="n">
        <v>0.08333333333333333</v>
      </c>
      <c r="C238" t="n">
        <v>0.05970149253731343</v>
      </c>
      <c r="D238" t="n">
        <v>0.04918032786885246</v>
      </c>
      <c r="E238" t="n">
        <v>0.065</v>
      </c>
    </row>
    <row r="239">
      <c r="A239" t="inlineStr">
        <is>
          <t>G|SHORT_HIST x CHANNEL|outcome_loans|book|6</t>
        </is>
      </c>
      <c r="E239" t="n">
        <v>0.8399596122778675</v>
      </c>
    </row>
    <row r="240">
      <c r="A240" t="inlineStr">
        <is>
          <t>G|SHORT_HIST x CHANNEL|outcome_loans|band|6</t>
        </is>
      </c>
    </row>
    <row r="241">
      <c r="A241" t="inlineStr">
        <is>
          <t>G|SHORT_HIST x CHANNEL|outcome_loans|rate|7</t>
        </is>
      </c>
      <c r="B241" t="n">
        <v>0.06473724295506474</v>
      </c>
      <c r="C241" t="n">
        <v>0.0903954802259887</v>
      </c>
      <c r="D241" t="n">
        <v>0.07689477557027226</v>
      </c>
      <c r="E241" t="n">
        <v>0.07738467308413552</v>
      </c>
    </row>
    <row r="242">
      <c r="A242" t="inlineStr">
        <is>
          <t>G|SHORT_HIST x CHANNEL|outcome_loans|book|7</t>
        </is>
      </c>
      <c r="B242" t="n">
        <v>0.8365641460380659</v>
      </c>
      <c r="C242" t="n">
        <v>1.168131577266048</v>
      </c>
      <c r="D242" t="n">
        <v>0.9936693211415312</v>
      </c>
      <c r="E242" t="n">
        <v>1</v>
      </c>
    </row>
    <row r="243">
      <c r="A243" t="inlineStr">
        <is>
          <t>G|SHORT_HIST x CHANNEL|outcome_loans|band|7</t>
        </is>
      </c>
    </row>
    <row r="244">
      <c r="A244" t="inlineStr">
        <is>
          <t>G|SHORT_HIST x CHANNEL|outcome_loans|meta</t>
        </is>
      </c>
      <c r="B244" t="inlineStr">
        <is>
          <t>x</t>
        </is>
      </c>
      <c r="C244" t="n">
        <v>1.567340067340067</v>
      </c>
      <c r="D244" t="n">
        <v>10</v>
      </c>
      <c r="E244" t="n">
        <v>0.07738467308413552</v>
      </c>
      <c r="F244" t="n">
        <v>65</v>
      </c>
    </row>
    <row r="245">
      <c r="A245" t="inlineStr">
        <is>
          <t>G|SHORT_HIST x CHANNEL|outcome_booked|rate|1</t>
        </is>
      </c>
      <c r="B245" t="n">
        <v>0.06959492330835537</v>
      </c>
      <c r="C245" t="n">
        <v>0.08369062140297097</v>
      </c>
      <c r="D245" t="n">
        <v>0.08104617122242008</v>
      </c>
      <c r="E245" t="n">
        <v>0.07811684428944245</v>
      </c>
    </row>
    <row r="246">
      <c r="A246" t="inlineStr">
        <is>
          <t>G|SHORT_HIST x CHANNEL|outcome_booked|book|1</t>
        </is>
      </c>
      <c r="B246" t="n">
        <v>0.930054464742068</v>
      </c>
      <c r="C246" t="n">
        <v>1.11842692530888</v>
      </c>
      <c r="D246" t="n">
        <v>1.08308695250207</v>
      </c>
      <c r="E246" t="n">
        <v>1.043939936265931</v>
      </c>
    </row>
    <row r="247">
      <c r="A247" t="inlineStr">
        <is>
          <t>G|SHORT_HIST x CHANNEL|outcome_booked|band|1</t>
        </is>
      </c>
      <c r="B247" t="n">
        <v>0.8454279810133203</v>
      </c>
      <c r="C247" t="n">
        <v>1.109001328865544</v>
      </c>
      <c r="D247" t="n">
        <v>1.058625962199761</v>
      </c>
    </row>
    <row r="248">
      <c r="A248" t="inlineStr">
        <is>
          <t>G|SHORT_HIST x CHANNEL|outcome_booked|rate|2</t>
        </is>
      </c>
      <c r="B248" t="n">
        <v>0.07562527758003743</v>
      </c>
      <c r="C248" t="n">
        <v>0.09976894934976167</v>
      </c>
      <c r="D248" t="n">
        <v>0.06955779147786512</v>
      </c>
      <c r="E248" t="n">
        <v>0.08186105804588449</v>
      </c>
    </row>
    <row r="249">
      <c r="A249" t="inlineStr">
        <is>
          <t>G|SHORT_HIST x CHANNEL|outcome_booked|book|2</t>
        </is>
      </c>
      <c r="B249" t="n">
        <v>1.010643071607893</v>
      </c>
      <c r="C249" t="n">
        <v>1.333294906788566</v>
      </c>
      <c r="D249" t="n">
        <v>0.9295582414101089</v>
      </c>
      <c r="E249" t="n">
        <v>1.093976958444954</v>
      </c>
    </row>
    <row r="250">
      <c r="A250" t="inlineStr">
        <is>
          <t>G|SHORT_HIST x CHANNEL|outcome_booked|band|2</t>
        </is>
      </c>
      <c r="B250" t="n">
        <v>0.8933656161891005</v>
      </c>
      <c r="C250" t="n">
        <v>1.377594160596277</v>
      </c>
      <c r="D250" t="n">
        <v>0.7872058167032515</v>
      </c>
    </row>
    <row r="251">
      <c r="A251" t="inlineStr">
        <is>
          <t>G|SHORT_HIST x CHANNEL|outcome_booked|rate|3</t>
        </is>
      </c>
      <c r="B251" t="n">
        <v>0.04483145283363058</v>
      </c>
      <c r="C251" t="n">
        <v>0.08291101474313964</v>
      </c>
      <c r="D251" t="n">
        <v>0.06161788288357106</v>
      </c>
      <c r="E251" t="n">
        <v>0.06351587639874166</v>
      </c>
    </row>
    <row r="252">
      <c r="A252" t="inlineStr">
        <is>
          <t>G|SHORT_HIST x CHANNEL|outcome_booked|book|3</t>
        </is>
      </c>
      <c r="B252" t="n">
        <v>0.5991197473420549</v>
      </c>
      <c r="C252" t="n">
        <v>1.108008397343756</v>
      </c>
      <c r="D252" t="n">
        <v>0.8234506823134738</v>
      </c>
      <c r="E252" t="n">
        <v>0.8488151379220337</v>
      </c>
    </row>
    <row r="253">
      <c r="A253" t="inlineStr">
        <is>
          <t>G|SHORT_HIST x CHANNEL|outcome_booked|band|3</t>
        </is>
      </c>
      <c r="B253" t="n">
        <v>0.6183389315700936</v>
      </c>
      <c r="C253" t="n">
        <v>1.555782886546119</v>
      </c>
      <c r="D253" t="n">
        <v>0.956043845448179</v>
      </c>
    </row>
    <row r="254">
      <c r="A254" t="inlineStr">
        <is>
          <t>G|SHORT_HIST x CHANNEL|outcome_booked|rate|4</t>
        </is>
      </c>
      <c r="B254" t="n">
        <v>0.06683252763185622</v>
      </c>
      <c r="C254" t="n">
        <v>0.08125559449633184</v>
      </c>
      <c r="D254" t="n">
        <v>0.09817100345295376</v>
      </c>
      <c r="E254" t="n">
        <v>0.0826233204363792</v>
      </c>
    </row>
    <row r="255">
      <c r="A255" t="inlineStr">
        <is>
          <t>G|SHORT_HIST x CHANNEL|outcome_booked|book|4</t>
        </is>
      </c>
      <c r="B255" t="n">
        <v>0.8931382888174403</v>
      </c>
      <c r="C255" t="n">
        <v>1.08588564875265</v>
      </c>
      <c r="D255" t="n">
        <v>1.31194023542615</v>
      </c>
      <c r="E255" t="n">
        <v>1.10416370060779</v>
      </c>
    </row>
    <row r="256">
      <c r="A256" t="inlineStr">
        <is>
          <t>G|SHORT_HIST x CHANNEL|outcome_booked|band|4</t>
        </is>
      </c>
      <c r="B256" t="n">
        <v>0.744179643257966</v>
      </c>
      <c r="C256" t="n">
        <v>0.9751360283316158</v>
      </c>
      <c r="D256" t="n">
        <v>1.320490192170121</v>
      </c>
    </row>
    <row r="257">
      <c r="A257" t="inlineStr">
        <is>
          <t>G|SHORT_HIST x CHANNEL|outcome_booked|rate|5</t>
        </is>
      </c>
      <c r="B257" t="n">
        <v>0.05152249705170102</v>
      </c>
      <c r="C257" t="n">
        <v>0.09882754228994553</v>
      </c>
      <c r="D257" t="n">
        <v>0.05985611510444479</v>
      </c>
      <c r="E257" t="n">
        <v>0.06914282586852744</v>
      </c>
    </row>
    <row r="258">
      <c r="A258" t="inlineStr">
        <is>
          <t>G|SHORT_HIST x CHANNEL|outcome_booked|book|5</t>
        </is>
      </c>
      <c r="B258" t="n">
        <v>0.6885376998733121</v>
      </c>
      <c r="C258" t="n">
        <v>1.320714106386756</v>
      </c>
      <c r="D258" t="n">
        <v>0.7999067237756476</v>
      </c>
      <c r="E258" t="n">
        <v>0.9240127130966581</v>
      </c>
    </row>
    <row r="259">
      <c r="A259" t="inlineStr">
        <is>
          <t>G|SHORT_HIST x CHANNEL|outcome_booked|band|5</t>
        </is>
      </c>
      <c r="B259" t="n">
        <v>0.6571092289422741</v>
      </c>
      <c r="C259" t="n">
        <v>1.774856816489737</v>
      </c>
      <c r="D259" t="n">
        <v>0.8088687286707388</v>
      </c>
    </row>
    <row r="260">
      <c r="A260" t="inlineStr">
        <is>
          <t>G|SHORT_HIST x CHANNEL|outcome_booked|rate|6</t>
        </is>
      </c>
      <c r="B260" t="n">
        <v>0.08972692692304694</v>
      </c>
      <c r="C260" t="n">
        <v>0.05402620351110991</v>
      </c>
      <c r="D260" t="n">
        <v>0.06480282646938572</v>
      </c>
      <c r="E260" t="n">
        <v>0.07063219196788376</v>
      </c>
    </row>
    <row r="261">
      <c r="A261" t="inlineStr">
        <is>
          <t>G|SHORT_HIST x CHANNEL|outcome_booked|book|6</t>
        </is>
      </c>
      <c r="E261" t="n">
        <v>0.9439163429089137</v>
      </c>
    </row>
    <row r="262">
      <c r="A262" t="inlineStr">
        <is>
          <t>G|SHORT_HIST x CHANNEL|outcome_booked|band|6</t>
        </is>
      </c>
    </row>
    <row r="263">
      <c r="A263" t="inlineStr">
        <is>
          <t>G|SHORT_HIST x CHANNEL|outcome_booked|rate|7</t>
        </is>
      </c>
      <c r="B263" t="n">
        <v>0.06209402737287426</v>
      </c>
      <c r="C263" t="n">
        <v>0.08834961310910709</v>
      </c>
      <c r="D263" t="n">
        <v>0.07378839081032545</v>
      </c>
      <c r="E263" t="n">
        <v>0.07482886857347225</v>
      </c>
    </row>
    <row r="264">
      <c r="A264" t="inlineStr">
        <is>
          <t>G|SHORT_HIST x CHANNEL|outcome_booked|book|7</t>
        </is>
      </c>
      <c r="B264" t="n">
        <v>0.8298137945505067</v>
      </c>
      <c r="C264" t="n">
        <v>1.180688881088174</v>
      </c>
      <c r="D264" t="n">
        <v>0.9860952359298968</v>
      </c>
      <c r="E264" t="n">
        <v>0.9999999999999987</v>
      </c>
    </row>
    <row r="265">
      <c r="A265" t="inlineStr">
        <is>
          <t>G|SHORT_HIST x CHANNEL|outcome_booked|band|7</t>
        </is>
      </c>
    </row>
    <row r="266">
      <c r="A266" t="inlineStr">
        <is>
          <t>G|SHORT_HIST x CHANNEL|outcome_booked|meta</t>
        </is>
      </c>
      <c r="B266" t="inlineStr">
        <is>
          <t>x</t>
        </is>
      </c>
      <c r="C266" t="n">
        <v>1.774856816489737</v>
      </c>
      <c r="D266" t="n">
        <v>10</v>
      </c>
      <c r="E266" t="n">
        <v>0.07482886857347235</v>
      </c>
      <c r="F266" t="n">
        <v>65</v>
      </c>
    </row>
    <row r="267">
      <c r="A267" t="inlineStr">
        <is>
          <t>G|SHORT_HIST x CHANNEL|gco_rate|rate|1</t>
        </is>
      </c>
      <c r="B267" t="n">
        <v>0.04128144929687157</v>
      </c>
      <c r="C267" t="n">
        <v>0.04629416783779764</v>
      </c>
      <c r="D267" t="n">
        <v>0.04219362675401121</v>
      </c>
      <c r="E267" t="n">
        <v>0.04321293708093334</v>
      </c>
    </row>
    <row r="268">
      <c r="A268" t="inlineStr">
        <is>
          <t>G|SHORT_HIST x CHANNEL|gco_rate|book|1</t>
        </is>
      </c>
      <c r="B268" t="n">
        <v>0.9922169457670872</v>
      </c>
      <c r="C268" t="n">
        <v>1.11269973804746</v>
      </c>
      <c r="D268" t="n">
        <v>1.01414151348301</v>
      </c>
      <c r="E268" t="n">
        <v>1.038641064651727</v>
      </c>
    </row>
    <row r="269">
      <c r="A269" t="inlineStr">
        <is>
          <t>G|SHORT_HIST x CHANNEL|gco_rate|band|1</t>
        </is>
      </c>
      <c r="B269" t="n">
        <v>0.9346555414326541</v>
      </c>
      <c r="C269" t="n">
        <v>1.108881767649975</v>
      </c>
      <c r="D269" t="n">
        <v>0.9643204203461474</v>
      </c>
    </row>
    <row r="270">
      <c r="A270" t="inlineStr">
        <is>
          <t>G|SHORT_HIST x CHANNEL|gco_rate|rate|2</t>
        </is>
      </c>
      <c r="B270" t="n">
        <v>0.0404313090412611</v>
      </c>
      <c r="C270" t="n">
        <v>0.05670881167309819</v>
      </c>
      <c r="D270" t="n">
        <v>0.0378520317193661</v>
      </c>
      <c r="E270" t="n">
        <v>0.04515785540171807</v>
      </c>
    </row>
    <row r="271">
      <c r="A271" t="inlineStr">
        <is>
          <t>G|SHORT_HIST x CHANNEL|gco_rate|book|2</t>
        </is>
      </c>
      <c r="B271" t="n">
        <v>0.9717834682060319</v>
      </c>
      <c r="C271" t="n">
        <v>1.363020070146291</v>
      </c>
      <c r="D271" t="n">
        <v>0.9097894561205377</v>
      </c>
      <c r="E271" t="n">
        <v>1.085387992118775</v>
      </c>
    </row>
    <row r="272">
      <c r="A272" t="inlineStr">
        <is>
          <t>G|SHORT_HIST x CHANNEL|gco_rate|band|2</t>
        </is>
      </c>
      <c r="B272" t="n">
        <v>0.855265727238113</v>
      </c>
      <c r="C272" t="n">
        <v>1.451472241133468</v>
      </c>
      <c r="D272" t="n">
        <v>0.7722190859807847</v>
      </c>
    </row>
    <row r="273">
      <c r="A273" t="inlineStr">
        <is>
          <t>G|SHORT_HIST x CHANNEL|gco_rate|rate|3</t>
        </is>
      </c>
      <c r="B273" t="n">
        <v>0.02442486311685558</v>
      </c>
      <c r="C273" t="n">
        <v>0.04760103843242288</v>
      </c>
      <c r="D273" t="n">
        <v>0.03317530446852171</v>
      </c>
      <c r="E273" t="n">
        <v>0.03531276021190782</v>
      </c>
    </row>
    <row r="274">
      <c r="A274" t="inlineStr">
        <is>
          <t>G|SHORT_HIST x CHANNEL|gco_rate|book|3</t>
        </is>
      </c>
      <c r="B274" t="n">
        <v>0.5870618279000732</v>
      </c>
      <c r="C274" t="n">
        <v>1.144110920842589</v>
      </c>
      <c r="D274" t="n">
        <v>0.7973823553996291</v>
      </c>
      <c r="E274" t="n">
        <v>0.8487570005619928</v>
      </c>
    </row>
    <row r="275">
      <c r="A275" t="inlineStr">
        <is>
          <t>G|SHORT_HIST x CHANNEL|gco_rate|band|3</t>
        </is>
      </c>
      <c r="B275" t="n">
        <v>0.6023421812004696</v>
      </c>
      <c r="C275" t="n">
        <v>1.650792710694454</v>
      </c>
      <c r="D275" t="n">
        <v>0.9122678977122326</v>
      </c>
    </row>
    <row r="276">
      <c r="A276" t="inlineStr">
        <is>
          <t>G|SHORT_HIST x CHANNEL|gco_rate|rate|4</t>
        </is>
      </c>
      <c r="B276" t="n">
        <v>0.03392420182199627</v>
      </c>
      <c r="C276" t="n">
        <v>0.04531477815039813</v>
      </c>
      <c r="D276" t="n">
        <v>0.05578919166027494</v>
      </c>
      <c r="E276" t="n">
        <v>0.04540193243428441</v>
      </c>
    </row>
    <row r="277">
      <c r="A277" t="inlineStr">
        <is>
          <t>G|SHORT_HIST x CHANNEL|gco_rate|book|4</t>
        </is>
      </c>
      <c r="B277" t="n">
        <v>0.81538241735031</v>
      </c>
      <c r="C277" t="n">
        <v>1.089159696190912</v>
      </c>
      <c r="D277" t="n">
        <v>1.340916617483379</v>
      </c>
      <c r="E277" t="n">
        <v>1.09125448595341</v>
      </c>
    </row>
    <row r="278">
      <c r="A278" t="inlineStr">
        <is>
          <t>G|SHORT_HIST x CHANNEL|gco_rate|band|4</t>
        </is>
      </c>
      <c r="B278" t="n">
        <v>0.6703063599139613</v>
      </c>
      <c r="C278" t="n">
        <v>0.9970938039996746</v>
      </c>
      <c r="D278" t="n">
        <v>1.399488219831032</v>
      </c>
    </row>
    <row r="279">
      <c r="A279" t="inlineStr">
        <is>
          <t>G|SHORT_HIST x CHANNEL|gco_rate|rate|5</t>
        </is>
      </c>
      <c r="B279" t="n">
        <v>0.02791576329429162</v>
      </c>
      <c r="C279" t="n">
        <v>0.05832028826487354</v>
      </c>
      <c r="D279" t="n">
        <v>0.03389705489589308</v>
      </c>
      <c r="E279" t="n">
        <v>0.03945555984527094</v>
      </c>
    </row>
    <row r="280">
      <c r="A280" t="inlineStr">
        <is>
          <t>G|SHORT_HIST x CHANNEL|gco_rate|book|5</t>
        </is>
      </c>
      <c r="B280" t="n">
        <v>0.6709670776194883</v>
      </c>
      <c r="C280" t="n">
        <v>1.401752585823439</v>
      </c>
      <c r="D280" t="n">
        <v>0.8147299295970007</v>
      </c>
      <c r="E280" t="n">
        <v>0.9483309270871954</v>
      </c>
    </row>
    <row r="281">
      <c r="A281" t="inlineStr">
        <is>
          <t>G|SHORT_HIST x CHANNEL|gco_rate|band|5</t>
        </is>
      </c>
      <c r="B281" t="n">
        <v>0.6132188691820135</v>
      </c>
      <c r="C281" t="n">
        <v>1.887317658879006</v>
      </c>
      <c r="D281" t="n">
        <v>0.800163403737707</v>
      </c>
    </row>
    <row r="282">
      <c r="A282" t="inlineStr">
        <is>
          <t>G|SHORT_HIST x CHANNEL|gco_rate|rate|6</t>
        </is>
      </c>
      <c r="B282" t="n">
        <v>0.05495070322928809</v>
      </c>
      <c r="C282" t="n">
        <v>0.02701097445451731</v>
      </c>
      <c r="D282" t="n">
        <v>0.03515055553138285</v>
      </c>
      <c r="E282" t="n">
        <v>0.03992349205297003</v>
      </c>
    </row>
    <row r="283">
      <c r="A283" t="inlineStr">
        <is>
          <t>G|SHORT_HIST x CHANNEL|gco_rate|book|6</t>
        </is>
      </c>
      <c r="E283" t="n">
        <v>0.9595778739327467</v>
      </c>
    </row>
    <row r="284">
      <c r="A284" t="inlineStr">
        <is>
          <t>G|SHORT_HIST x CHANNEL|gco_rate|band|6</t>
        </is>
      </c>
    </row>
    <row r="285">
      <c r="A285" t="inlineStr">
        <is>
          <t>G|SHORT_HIST x CHANNEL|gco_rate|rate|7</t>
        </is>
      </c>
      <c r="B285" t="n">
        <v>0.03403247368482892</v>
      </c>
      <c r="C285" t="n">
        <v>0.05021215552951191</v>
      </c>
      <c r="D285" t="n">
        <v>0.04043303389582083</v>
      </c>
      <c r="E285" t="n">
        <v>0.04160526533333563</v>
      </c>
    </row>
    <row r="286">
      <c r="A286" t="inlineStr">
        <is>
          <t>G|SHORT_HIST x CHANNEL|gco_rate|book|7</t>
        </is>
      </c>
      <c r="B286" t="n">
        <v>0.8179847769787174</v>
      </c>
      <c r="C286" t="n">
        <v>1.206870215277298</v>
      </c>
      <c r="D286" t="n">
        <v>0.9718249258087153</v>
      </c>
      <c r="E286" t="n">
        <v>0.9999999999999997</v>
      </c>
    </row>
    <row r="287">
      <c r="A287" t="inlineStr">
        <is>
          <t>G|SHORT_HIST x CHANNEL|gco_rate|band|7</t>
        </is>
      </c>
    </row>
    <row r="288">
      <c r="A288" t="inlineStr">
        <is>
          <t>G|SHORT_HIST x CHANNEL|gco_rate|meta</t>
        </is>
      </c>
      <c r="B288" t="inlineStr">
        <is>
          <t>x</t>
        </is>
      </c>
      <c r="C288" t="n">
        <v>1.887317658879006</v>
      </c>
      <c r="D288" t="n">
        <v>10</v>
      </c>
      <c r="E288" t="n">
        <v>0.04160526533333565</v>
      </c>
      <c r="F288" t="n">
        <v>65</v>
      </c>
    </row>
    <row r="289">
      <c r="A289" t="inlineStr">
        <is>
          <t>G|SHORT_HIST x CHANNEL|ranr_rate|rate|1</t>
        </is>
      </c>
      <c r="B289" t="n">
        <v>0.1169320317339404</v>
      </c>
      <c r="C289" t="n">
        <v>0.1162133767485901</v>
      </c>
      <c r="D289" t="n">
        <v>0.1430760608541783</v>
      </c>
      <c r="E289" t="n">
        <v>0.1257745320694905</v>
      </c>
    </row>
    <row r="290">
      <c r="A290" t="inlineStr">
        <is>
          <t>G|SHORT_HIST x CHANNEL|ranr_rate|book|1</t>
        </is>
      </c>
      <c r="B290" t="n">
        <v>-1.105801791</v>
      </c>
      <c r="C290" t="n">
        <v>-1.17766729</v>
      </c>
      <c r="D290" t="n">
        <v>1.508601121</v>
      </c>
      <c r="E290" t="n">
        <v>-0.221551758</v>
      </c>
    </row>
    <row r="291">
      <c r="A291" t="inlineStr">
        <is>
          <t>G|SHORT_HIST x CHANNEL|ranr_rate|band|1</t>
        </is>
      </c>
      <c r="B291" t="n">
        <v>-1.321281134</v>
      </c>
      <c r="C291" t="n">
        <v>-1.410530076</v>
      </c>
      <c r="D291" t="n">
        <v>2.649862127</v>
      </c>
    </row>
    <row r="292">
      <c r="A292" t="inlineStr">
        <is>
          <t>G|SHORT_HIST x CHANNEL|ranr_rate|rate|2</t>
        </is>
      </c>
      <c r="B292" t="n">
        <v>0.1171330308949366</v>
      </c>
      <c r="C292" t="n">
        <v>0.1120526176746383</v>
      </c>
      <c r="D292" t="n">
        <v>0.1441594279898021</v>
      </c>
      <c r="E292" t="n">
        <v>0.1247215068613962</v>
      </c>
    </row>
    <row r="293">
      <c r="A293" t="inlineStr">
        <is>
          <t>G|SHORT_HIST x CHANNEL|ranr_rate|book|2</t>
        </is>
      </c>
      <c r="B293" t="n">
        <v>-1.085701875</v>
      </c>
      <c r="C293" t="n">
        <v>-1.593743197</v>
      </c>
      <c r="D293" t="n">
        <v>1.616937834</v>
      </c>
      <c r="E293" t="n">
        <v>-0.326854279</v>
      </c>
    </row>
    <row r="294">
      <c r="A294" t="inlineStr">
        <is>
          <t>G|SHORT_HIST x CHANNEL|ranr_rate|band|2</t>
        </is>
      </c>
      <c r="B294" t="n">
        <v>-1.098496703</v>
      </c>
      <c r="C294" t="n">
        <v>-1.934610153</v>
      </c>
      <c r="D294" t="n">
        <v>2.97061674</v>
      </c>
    </row>
    <row r="295">
      <c r="A295" t="inlineStr">
        <is>
          <t>G|SHORT_HIST x CHANNEL|ranr_rate|rate|3</t>
        </is>
      </c>
      <c r="B295" t="n">
        <v>0.1278993559359332</v>
      </c>
      <c r="C295" t="n">
        <v>0.114561085409478</v>
      </c>
      <c r="D295" t="n">
        <v>0.1548176000672529</v>
      </c>
      <c r="E295" t="n">
        <v>0.1321795164294266</v>
      </c>
    </row>
    <row r="296">
      <c r="A296" t="inlineStr">
        <is>
          <t>G|SHORT_HIST x CHANNEL|ranr_rate|book|3</t>
        </is>
      </c>
      <c r="B296" t="n">
        <v>-0.009069371</v>
      </c>
      <c r="C296" t="n">
        <v>-1.342896424</v>
      </c>
      <c r="D296" t="n">
        <v>2.682755042</v>
      </c>
      <c r="E296" t="n">
        <v>0.418946678</v>
      </c>
    </row>
    <row r="297">
      <c r="A297" t="inlineStr">
        <is>
          <t>G|SHORT_HIST x CHANNEL|ranr_rate|band|3</t>
        </is>
      </c>
      <c r="B297" t="n">
        <v>-0.633890778</v>
      </c>
      <c r="C297" t="n">
        <v>-2.690560482</v>
      </c>
      <c r="D297" t="n">
        <v>3.379042</v>
      </c>
    </row>
    <row r="298">
      <c r="A298" t="inlineStr">
        <is>
          <t>G|SHORT_HIST x CHANNEL|ranr_rate|rate|4</t>
        </is>
      </c>
      <c r="B298" t="n">
        <v>0.1326166365319124</v>
      </c>
      <c r="C298" t="n">
        <v>0.1195219694400614</v>
      </c>
      <c r="D298" t="n">
        <v>0.1412458224332529</v>
      </c>
      <c r="E298" t="n">
        <v>0.1311647239075688</v>
      </c>
    </row>
    <row r="299">
      <c r="A299" t="inlineStr">
        <is>
          <t>G|SHORT_HIST x CHANNEL|ranr_rate|book|4</t>
        </is>
      </c>
      <c r="B299" t="n">
        <v>0.462658688</v>
      </c>
      <c r="C299" t="n">
        <v>-0.846808021</v>
      </c>
      <c r="D299" t="n">
        <v>1.325577279</v>
      </c>
      <c r="E299" t="n">
        <v>0.317467426</v>
      </c>
    </row>
    <row r="300">
      <c r="A300" t="inlineStr">
        <is>
          <t>G|SHORT_HIST x CHANNEL|ranr_rate|band|4</t>
        </is>
      </c>
      <c r="B300" t="n">
        <v>0.211242718</v>
      </c>
      <c r="C300" t="n">
        <v>-1.763661469</v>
      </c>
      <c r="D300" t="n">
        <v>1.544916371</v>
      </c>
    </row>
    <row r="301">
      <c r="A301" t="inlineStr">
        <is>
          <t>G|SHORT_HIST x CHANNEL|ranr_rate|rate|5</t>
        </is>
      </c>
      <c r="B301" t="n">
        <v>0.134694912985337</v>
      </c>
      <c r="C301" t="n">
        <v>0.1035050722671184</v>
      </c>
      <c r="D301" t="n">
        <v>0.1367484687307458</v>
      </c>
      <c r="E301" t="n">
        <v>0.1256692892986874</v>
      </c>
    </row>
    <row r="302">
      <c r="A302" t="inlineStr">
        <is>
          <t>G|SHORT_HIST x CHANNEL|ranr_rate|book|5</t>
        </is>
      </c>
      <c r="B302" t="n">
        <v>0.670486334</v>
      </c>
      <c r="C302" t="n">
        <v>-2.448497738</v>
      </c>
      <c r="D302" t="n">
        <v>0.8758419079999999</v>
      </c>
      <c r="E302" t="n">
        <v>-0.232076035</v>
      </c>
    </row>
    <row r="303">
      <c r="A303" t="inlineStr">
        <is>
          <t>G|SHORT_HIST x CHANNEL|ranr_rate|band|5</t>
        </is>
      </c>
      <c r="B303" t="n">
        <v>1.377140803</v>
      </c>
      <c r="C303" t="n">
        <v>-3.221481339</v>
      </c>
      <c r="D303" t="n">
        <v>1.687360605</v>
      </c>
    </row>
    <row r="304">
      <c r="A304" t="inlineStr">
        <is>
          <t>G|SHORT_HIST x CHANNEL|ranr_rate|rate|6</t>
        </is>
      </c>
      <c r="B304" t="n">
        <v>0.117580286901332</v>
      </c>
      <c r="C304" t="n">
        <v>0.1046587970163651</v>
      </c>
      <c r="D304" t="n">
        <v>0.1800665935103817</v>
      </c>
      <c r="E304" t="n">
        <v>0.130954154271251</v>
      </c>
    </row>
    <row r="305">
      <c r="A305" t="inlineStr">
        <is>
          <t>G|SHORT_HIST x CHANNEL|ranr_rate|book|6</t>
        </is>
      </c>
      <c r="B305" t="n">
        <v>-1.040976275</v>
      </c>
      <c r="C305" t="n">
        <v>-2.333125263</v>
      </c>
      <c r="D305" t="n">
        <v>5.207654386</v>
      </c>
      <c r="E305" t="n">
        <v>0.296410462</v>
      </c>
    </row>
    <row r="306">
      <c r="A306" t="inlineStr">
        <is>
          <t>G|SHORT_HIST x CHANNEL|ranr_rate|band|6</t>
        </is>
      </c>
      <c r="B306" t="n">
        <v>-2.155384003</v>
      </c>
      <c r="C306" t="n">
        <v>-3.964976535</v>
      </c>
      <c r="D306" t="n">
        <v>6.856188853</v>
      </c>
    </row>
    <row r="307">
      <c r="A307" t="inlineStr">
        <is>
          <t>G|SHORT_HIST x CHANNEL|ranr_rate|rate|7</t>
        </is>
      </c>
      <c r="B307" t="n">
        <v>0.1257424641427197</v>
      </c>
      <c r="C307" t="n">
        <v>0.1130333511764385</v>
      </c>
      <c r="D307" t="n">
        <v>0.1447377923020619</v>
      </c>
      <c r="E307" t="n">
        <v>0.1279900496481476</v>
      </c>
    </row>
    <row r="308">
      <c r="A308" t="inlineStr">
        <is>
          <t>G|SHORT_HIST x CHANNEL|ranr_rate|book|7</t>
        </is>
      </c>
      <c r="B308" t="n">
        <v>-0.224758551</v>
      </c>
      <c r="C308" t="n">
        <v>-1.495669847</v>
      </c>
      <c r="D308" t="n">
        <v>1.674774265</v>
      </c>
      <c r="E308" t="n">
        <v>0</v>
      </c>
    </row>
    <row r="309">
      <c r="A309" t="inlineStr">
        <is>
          <t>G|SHORT_HIST x CHANNEL|ranr_rate|band|7</t>
        </is>
      </c>
    </row>
    <row r="310">
      <c r="A310" t="inlineStr">
        <is>
          <t>G|SHORT_HIST x CHANNEL|ranr_rate|meta</t>
        </is>
      </c>
      <c r="B310" t="inlineStr">
        <is>
          <t>pts</t>
        </is>
      </c>
      <c r="C310" t="n">
        <v>3.964976535</v>
      </c>
      <c r="D310" t="n">
        <v>10</v>
      </c>
      <c r="E310" t="n">
        <v>0.1279900496481481</v>
      </c>
      <c r="F310" t="n">
        <v>65</v>
      </c>
    </row>
    <row r="311">
      <c r="A311" t="inlineStr">
        <is>
          <t>G|SHORT_HIST x CHANNEL|contribution_rate|rate|1</t>
        </is>
      </c>
      <c r="B311" t="n">
        <v>0.158213481030812</v>
      </c>
      <c r="C311" t="n">
        <v>0.1625075445863878</v>
      </c>
      <c r="D311" t="n">
        <v>0.1852696876081897</v>
      </c>
      <c r="E311" t="n">
        <v>0.1689874691504239</v>
      </c>
    </row>
    <row r="312">
      <c r="A312" t="inlineStr">
        <is>
          <t>G|SHORT_HIST x CHANNEL|contribution_rate|book|1</t>
        </is>
      </c>
      <c r="B312" t="n">
        <v>-1.13789747</v>
      </c>
      <c r="C312" t="n">
        <v>-0.7084911149999999</v>
      </c>
      <c r="D312" t="n">
        <v>1.567723187</v>
      </c>
      <c r="E312" t="n">
        <v>-0.060498658</v>
      </c>
    </row>
    <row r="313">
      <c r="A313" t="inlineStr">
        <is>
          <t>G|SHORT_HIST x CHANNEL|contribution_rate|band|1</t>
        </is>
      </c>
      <c r="B313" t="n">
        <v>-1.609891625</v>
      </c>
      <c r="C313" t="n">
        <v>-0.955964858</v>
      </c>
      <c r="D313" t="n">
        <v>2.493746915</v>
      </c>
    </row>
    <row r="314">
      <c r="A314" t="inlineStr">
        <is>
          <t>G|SHORT_HIST x CHANNEL|contribution_rate|rate|2</t>
        </is>
      </c>
      <c r="B314" t="n">
        <v>0.1575643399361978</v>
      </c>
      <c r="C314" t="n">
        <v>0.1687614293477366</v>
      </c>
      <c r="D314" t="n">
        <v>0.1820114597091679</v>
      </c>
      <c r="E314" t="n">
        <v>0.1698793622631143</v>
      </c>
    </row>
    <row r="315">
      <c r="A315" t="inlineStr">
        <is>
          <t>G|SHORT_HIST x CHANNEL|contribution_rate|book|2</t>
        </is>
      </c>
      <c r="B315" t="n">
        <v>-1.20281158</v>
      </c>
      <c r="C315" t="n">
        <v>-0.08310263900000001</v>
      </c>
      <c r="D315" t="n">
        <v>1.241900397</v>
      </c>
      <c r="E315" t="n">
        <v>0.028690653</v>
      </c>
    </row>
    <row r="316">
      <c r="A316" t="inlineStr">
        <is>
          <t>G|SHORT_HIST x CHANNEL|contribution_rate|band|2</t>
        </is>
      </c>
      <c r="B316" t="n">
        <v>-1.782704655</v>
      </c>
      <c r="C316" t="n">
        <v>-0.170714601</v>
      </c>
      <c r="D316" t="n">
        <v>1.854098056</v>
      </c>
    </row>
    <row r="317">
      <c r="A317" t="inlineStr">
        <is>
          <t>G|SHORT_HIST x CHANNEL|contribution_rate|rate|3</t>
        </is>
      </c>
      <c r="B317" t="n">
        <v>0.1523242190527889</v>
      </c>
      <c r="C317" t="n">
        <v>0.1621621238419009</v>
      </c>
      <c r="D317" t="n">
        <v>0.1879929045357747</v>
      </c>
      <c r="E317" t="n">
        <v>0.1674922766413345</v>
      </c>
    </row>
    <row r="318">
      <c r="A318" t="inlineStr">
        <is>
          <t>G|SHORT_HIST x CHANNEL|contribution_rate|book|3</t>
        </is>
      </c>
      <c r="B318" t="n">
        <v>-1.726823668</v>
      </c>
      <c r="C318" t="n">
        <v>-0.743033189</v>
      </c>
      <c r="D318" t="n">
        <v>1.84004488</v>
      </c>
      <c r="E318" t="n">
        <v>-0.210017909</v>
      </c>
    </row>
    <row r="319">
      <c r="A319" t="inlineStr">
        <is>
          <t>G|SHORT_HIST x CHANNEL|contribution_rate|band|3</t>
        </is>
      </c>
      <c r="B319" t="n">
        <v>-2.246385818</v>
      </c>
      <c r="C319" t="n">
        <v>-0.813982725</v>
      </c>
      <c r="D319" t="n">
        <v>3.059997648</v>
      </c>
    </row>
    <row r="320">
      <c r="A320" t="inlineStr">
        <is>
          <t>G|SHORT_HIST x CHANNEL|contribution_rate|rate|4</t>
        </is>
      </c>
      <c r="B320" t="n">
        <v>0.1665047243373708</v>
      </c>
      <c r="C320" t="n">
        <v>0.1648367475904596</v>
      </c>
      <c r="D320" t="n">
        <v>0.1970350140935279</v>
      </c>
      <c r="E320" t="n">
        <v>0.1765542122346553</v>
      </c>
    </row>
    <row r="321">
      <c r="A321" t="inlineStr">
        <is>
          <t>G|SHORT_HIST x CHANNEL|contribution_rate|book|4</t>
        </is>
      </c>
      <c r="B321" t="n">
        <v>-0.30877314</v>
      </c>
      <c r="C321" t="n">
        <v>-0.475570814</v>
      </c>
      <c r="D321" t="n">
        <v>2.744255836</v>
      </c>
      <c r="E321" t="n">
        <v>0.69617565</v>
      </c>
    </row>
    <row r="322">
      <c r="A322" t="inlineStr">
        <is>
          <t>G|SHORT_HIST x CHANNEL|contribution_rate|band|4</t>
        </is>
      </c>
      <c r="B322" t="n">
        <v>-1.460948046</v>
      </c>
      <c r="C322" t="n">
        <v>-1.775716599</v>
      </c>
      <c r="D322" t="n">
        <v>3.14000822</v>
      </c>
    </row>
    <row r="323">
      <c r="A323" t="inlineStr">
        <is>
          <t>G|SHORT_HIST x CHANNEL|contribution_rate|rate|5</t>
        </is>
      </c>
      <c r="B323" t="n">
        <v>0.1626106762796285</v>
      </c>
      <c r="C323" t="n">
        <v>0.1618253605319919</v>
      </c>
      <c r="D323" t="n">
        <v>0.1706455236266388</v>
      </c>
      <c r="E323" t="n">
        <v>0.1651248491439583</v>
      </c>
    </row>
    <row r="324">
      <c r="A324" t="inlineStr">
        <is>
          <t>G|SHORT_HIST x CHANNEL|contribution_rate|book|5</t>
        </is>
      </c>
      <c r="B324" t="n">
        <v>-0.698177946</v>
      </c>
      <c r="C324" t="n">
        <v>-0.77670952</v>
      </c>
      <c r="D324" t="n">
        <v>0.105306789</v>
      </c>
      <c r="E324" t="n">
        <v>-0.446760659</v>
      </c>
    </row>
    <row r="325">
      <c r="A325" t="inlineStr">
        <is>
          <t>G|SHORT_HIST x CHANNEL|contribution_rate|band|5</t>
        </is>
      </c>
      <c r="B325" t="n">
        <v>-0.383615599</v>
      </c>
      <c r="C325" t="n">
        <v>-0.479567628</v>
      </c>
      <c r="D325" t="n">
        <v>0.84079951</v>
      </c>
    </row>
    <row r="326">
      <c r="A326" t="inlineStr">
        <is>
          <t>G|SHORT_HIST x CHANNEL|contribution_rate|rate|6</t>
        </is>
      </c>
      <c r="B326" t="n">
        <v>0.17253099013062</v>
      </c>
      <c r="C326" t="n">
        <v>0.1316697714708824</v>
      </c>
      <c r="D326" t="n">
        <v>0.2152171490417646</v>
      </c>
      <c r="E326" t="n">
        <v>0.1708776463242211</v>
      </c>
    </row>
    <row r="327">
      <c r="A327" t="inlineStr">
        <is>
          <t>G|SHORT_HIST x CHANNEL|contribution_rate|book|6</t>
        </is>
      </c>
      <c r="B327" t="n">
        <v>0.29385344</v>
      </c>
      <c r="C327" t="n">
        <v>-3.792268426</v>
      </c>
      <c r="D327" t="n">
        <v>4.562469331</v>
      </c>
      <c r="E327" t="n">
        <v>0.128519059</v>
      </c>
    </row>
    <row r="328">
      <c r="A328" t="inlineStr">
        <is>
          <t>G|SHORT_HIST x CHANNEL|contribution_rate|band|6</t>
        </is>
      </c>
      <c r="B328" t="n">
        <v>0.266459259</v>
      </c>
      <c r="C328" t="n">
        <v>-5.912005769</v>
      </c>
      <c r="D328" t="n">
        <v>6.189877941</v>
      </c>
    </row>
    <row r="329">
      <c r="A329" t="inlineStr">
        <is>
          <t>G|SHORT_HIST x CHANNEL|contribution_rate|rate|7</t>
        </is>
      </c>
      <c r="B329" t="n">
        <v>0.1597650989343295</v>
      </c>
      <c r="C329" t="n">
        <v>0.1632455067059504</v>
      </c>
      <c r="D329" t="n">
        <v>0.1851708261978827</v>
      </c>
      <c r="E329" t="n">
        <v>0.1695924557349811</v>
      </c>
    </row>
    <row r="330">
      <c r="A330" t="inlineStr">
        <is>
          <t>G|SHORT_HIST x CHANNEL|contribution_rate|book|7</t>
        </is>
      </c>
      <c r="B330" t="n">
        <v>-0.98273568</v>
      </c>
      <c r="C330" t="n">
        <v>-0.634694903</v>
      </c>
      <c r="D330" t="n">
        <v>1.557837046</v>
      </c>
      <c r="E330" t="n">
        <v>0</v>
      </c>
    </row>
    <row r="331">
      <c r="A331" t="inlineStr">
        <is>
          <t>G|SHORT_HIST x CHANNEL|contribution_rate|band|7</t>
        </is>
      </c>
    </row>
    <row r="332">
      <c r="A332" t="inlineStr">
        <is>
          <t>G|SHORT_HIST x CHANNEL|contribution_rate|meta</t>
        </is>
      </c>
      <c r="B332" t="inlineStr">
        <is>
          <t>pts</t>
        </is>
      </c>
      <c r="C332" t="n">
        <v>5.912005769</v>
      </c>
      <c r="D332" t="n">
        <v>10</v>
      </c>
      <c r="E332" t="n">
        <v>0.1695924557349815</v>
      </c>
      <c r="F332" t="n">
        <v>65</v>
      </c>
    </row>
    <row r="333">
      <c r="A333" t="inlineStr">
        <is>
          <t>G|SHORT_HIST x CHANNEL|loan_size|rate|1</t>
        </is>
      </c>
      <c r="B333" t="n">
        <v>32049.23430255403</v>
      </c>
      <c r="C333" t="n">
        <v>31276.95683070866</v>
      </c>
      <c r="D333" t="n">
        <v>32419.90096590909</v>
      </c>
      <c r="E333" t="n">
        <v>31921.98190291262</v>
      </c>
    </row>
    <row r="334">
      <c r="A334" t="inlineStr">
        <is>
          <t>G|SHORT_HIST x CHANNEL|loan_size|median|1</t>
        </is>
      </c>
      <c r="B334" t="n">
        <v>31530.48</v>
      </c>
      <c r="C334" t="n">
        <v>30551.96</v>
      </c>
      <c r="D334" t="n">
        <v>32788.49</v>
      </c>
      <c r="E334" t="n">
        <v>31654.49</v>
      </c>
    </row>
    <row r="335">
      <c r="A335" t="inlineStr">
        <is>
          <t>G|SHORT_HIST x CHANNEL|loan_size|book|1</t>
        </is>
      </c>
      <c r="B335" t="n">
        <v>0.993386944936027</v>
      </c>
      <c r="C335" t="n">
        <v>0.9694497004091507</v>
      </c>
      <c r="D335" t="n">
        <v>1.004876000207172</v>
      </c>
      <c r="E335" t="n">
        <v>0.9894426737149986</v>
      </c>
    </row>
    <row r="336">
      <c r="A336" t="inlineStr">
        <is>
          <t>G|SHORT_HIST x CHANNEL|loan_size|band|1</t>
        </is>
      </c>
      <c r="B336" t="n">
        <v>1.005956570448255</v>
      </c>
      <c r="C336" t="n">
        <v>0.9701902230469427</v>
      </c>
      <c r="D336" t="n">
        <v>1.023889535472074</v>
      </c>
    </row>
    <row r="337">
      <c r="A337" t="inlineStr">
        <is>
          <t>G|SHORT_HIST x CHANNEL|loan_size|rate|2</t>
        </is>
      </c>
      <c r="B337" t="n">
        <v>31904.89055102041</v>
      </c>
      <c r="C337" t="n">
        <v>33431.26749042145</v>
      </c>
      <c r="D337" t="n">
        <v>32068.21379816514</v>
      </c>
      <c r="E337" t="n">
        <v>32473.79224149005</v>
      </c>
    </row>
    <row r="338">
      <c r="A338" t="inlineStr">
        <is>
          <t>G|SHORT_HIST x CHANNEL|loan_size|median|2</t>
        </is>
      </c>
      <c r="B338" t="n">
        <v>32189.92</v>
      </c>
      <c r="C338" t="n">
        <v>34187.975</v>
      </c>
      <c r="D338" t="n">
        <v>32026.03</v>
      </c>
      <c r="E338" t="n">
        <v>33060.93</v>
      </c>
    </row>
    <row r="339">
      <c r="A339" t="inlineStr">
        <is>
          <t>G|SHORT_HIST x CHANNEL|loan_size|book|2</t>
        </is>
      </c>
      <c r="B339" t="n">
        <v>0.9889129161026715</v>
      </c>
      <c r="C339" t="n">
        <v>1.036223966043468</v>
      </c>
      <c r="D339" t="n">
        <v>0.9939752267958541</v>
      </c>
      <c r="E339" t="n">
        <v>1.006546395484098</v>
      </c>
    </row>
    <row r="340">
      <c r="A340" t="inlineStr">
        <is>
          <t>G|SHORT_HIST x CHANNEL|loan_size|band|2</t>
        </is>
      </c>
      <c r="B340" t="n">
        <v>0.97464004892946</v>
      </c>
      <c r="C340" t="n">
        <v>1.04502455960333</v>
      </c>
      <c r="D340" t="n">
        <v>0.9809129564391149</v>
      </c>
    </row>
    <row r="341">
      <c r="A341" t="inlineStr">
        <is>
          <t>G|SHORT_HIST x CHANNEL|loan_size|rate|3</t>
        </is>
      </c>
      <c r="B341" t="n">
        <v>32313.05094230769</v>
      </c>
      <c r="C341" t="n">
        <v>33009.29517560074</v>
      </c>
      <c r="D341" t="n">
        <v>33027.40324951644</v>
      </c>
      <c r="E341" t="n">
        <v>32785.79382762991</v>
      </c>
    </row>
    <row r="342">
      <c r="A342" t="inlineStr">
        <is>
          <t>G|SHORT_HIST x CHANNEL|loan_size|median|3</t>
        </is>
      </c>
      <c r="B342" t="n">
        <v>32509.41</v>
      </c>
      <c r="C342" t="n">
        <v>33346.73</v>
      </c>
      <c r="D342" t="n">
        <v>32717.37</v>
      </c>
      <c r="E342" t="n">
        <v>32929.845</v>
      </c>
    </row>
    <row r="343">
      <c r="A343" t="inlineStr">
        <is>
          <t>G|SHORT_HIST x CHANNEL|loan_size|book|3</t>
        </is>
      </c>
      <c r="B343" t="n">
        <v>1.001564113953987</v>
      </c>
      <c r="C343" t="n">
        <v>1.023144658603229</v>
      </c>
      <c r="D343" t="n">
        <v>1.023705930178581</v>
      </c>
      <c r="E343" t="n">
        <v>1.016217088379434</v>
      </c>
    </row>
    <row r="344">
      <c r="A344" t="inlineStr">
        <is>
          <t>G|SHORT_HIST x CHANNEL|loan_size|band|3</t>
        </is>
      </c>
      <c r="B344" t="n">
        <v>0.9786452900156011</v>
      </c>
      <c r="C344" t="n">
        <v>1.010410461251889</v>
      </c>
      <c r="D344" t="n">
        <v>1.010999731707318</v>
      </c>
    </row>
    <row r="345">
      <c r="A345" t="inlineStr">
        <is>
          <t>G|SHORT_HIST x CHANNEL|loan_size|rate|4</t>
        </is>
      </c>
      <c r="B345" t="n">
        <v>30646.49418326693</v>
      </c>
      <c r="C345" t="n">
        <v>32595.51816764133</v>
      </c>
      <c r="D345" t="n">
        <v>31895.68154850746</v>
      </c>
      <c r="E345" t="n">
        <v>31722.8408833011</v>
      </c>
    </row>
    <row r="346">
      <c r="A346" t="inlineStr">
        <is>
          <t>G|SHORT_HIST x CHANNEL|loan_size|median|4</t>
        </is>
      </c>
      <c r="B346" t="n">
        <v>29769.23</v>
      </c>
      <c r="C346" t="n">
        <v>32690.66</v>
      </c>
      <c r="D346" t="n">
        <v>31206.65</v>
      </c>
      <c r="E346" t="n">
        <v>31160.03</v>
      </c>
    </row>
    <row r="347">
      <c r="A347" t="inlineStr">
        <is>
          <t>G|SHORT_HIST x CHANNEL|loan_size|book|4</t>
        </is>
      </c>
      <c r="B347" t="n">
        <v>0.9499080989678798</v>
      </c>
      <c r="C347" t="n">
        <v>1.010319370050585</v>
      </c>
      <c r="D347" t="n">
        <v>0.9886274770564253</v>
      </c>
      <c r="E347" t="n">
        <v>0.9832701677756736</v>
      </c>
    </row>
    <row r="348">
      <c r="A348" t="inlineStr">
        <is>
          <t>G|SHORT_HIST x CHANNEL|loan_size|band|4</t>
        </is>
      </c>
      <c r="B348" t="n">
        <v>0.9506347459178338</v>
      </c>
      <c r="C348" t="n">
        <v>1.041671687406253</v>
      </c>
      <c r="D348" t="n">
        <v>1.008349701932108</v>
      </c>
    </row>
    <row r="349">
      <c r="A349" t="inlineStr">
        <is>
          <t>G|SHORT_HIST x CHANNEL|loan_size|rate|5</t>
        </is>
      </c>
      <c r="B349" t="n">
        <v>32800.37097560976</v>
      </c>
      <c r="C349" t="n">
        <v>31403.78438492064</v>
      </c>
      <c r="D349" t="n">
        <v>32808.34721280603</v>
      </c>
      <c r="E349" t="n">
        <v>32354.16927933673</v>
      </c>
    </row>
    <row r="350">
      <c r="A350" t="inlineStr">
        <is>
          <t>G|SHORT_HIST x CHANNEL|loan_size|median|5</t>
        </is>
      </c>
      <c r="B350" t="n">
        <v>31828.65</v>
      </c>
      <c r="C350" t="n">
        <v>31546.28</v>
      </c>
      <c r="D350" t="n">
        <v>33660.52</v>
      </c>
      <c r="E350" t="n">
        <v>31954.1</v>
      </c>
    </row>
    <row r="351">
      <c r="A351" t="inlineStr">
        <is>
          <t>G|SHORT_HIST x CHANNEL|loan_size|book|5</t>
        </is>
      </c>
      <c r="B351" t="n">
        <v>1.016668916599755</v>
      </c>
      <c r="C351" t="n">
        <v>0.9733808032686753</v>
      </c>
      <c r="D351" t="n">
        <v>1.016916145280031</v>
      </c>
      <c r="E351" t="n">
        <v>1.002838603659935</v>
      </c>
    </row>
    <row r="352">
      <c r="A352" t="inlineStr">
        <is>
          <t>G|SHORT_HIST x CHANNEL|loan_size|band|5</t>
        </is>
      </c>
      <c r="B352" t="n">
        <v>1.021042730222827</v>
      </c>
      <c r="C352" t="n">
        <v>0.9573054444118314</v>
      </c>
      <c r="D352" t="n">
        <v>1.021379428206458</v>
      </c>
    </row>
    <row r="353">
      <c r="A353" t="inlineStr">
        <is>
          <t>G|SHORT_HIST x CHANNEL|loan_size|rate|6</t>
        </is>
      </c>
      <c r="B353" t="n">
        <v>34355.68458333334</v>
      </c>
      <c r="C353" t="n">
        <v>32765.2228358209</v>
      </c>
      <c r="D353" t="n">
        <v>30310.88442622951</v>
      </c>
      <c r="E353" t="n">
        <v>32589.21585</v>
      </c>
    </row>
    <row r="354">
      <c r="A354" t="inlineStr">
        <is>
          <t>G|SHORT_HIST x CHANNEL|loan_size|median|6</t>
        </is>
      </c>
      <c r="B354" t="n">
        <v>36594.095</v>
      </c>
      <c r="C354" t="n">
        <v>32753.43</v>
      </c>
      <c r="D354" t="n">
        <v>28651.65</v>
      </c>
      <c r="E354" t="n">
        <v>32382.035</v>
      </c>
    </row>
    <row r="355">
      <c r="A355" t="inlineStr">
        <is>
          <t>G|SHORT_HIST x CHANNEL|loan_size|book|6</t>
        </is>
      </c>
      <c r="B355" t="n">
        <v>1.064876877470472</v>
      </c>
      <c r="C355" t="n">
        <v>1.015579477055726</v>
      </c>
      <c r="D355" t="n">
        <v>0.9395056553997486</v>
      </c>
      <c r="E355" t="n">
        <v>1.010124025599962</v>
      </c>
    </row>
    <row r="356">
      <c r="A356" t="inlineStr">
        <is>
          <t>G|SHORT_HIST x CHANNEL|loan_size|band|6</t>
        </is>
      </c>
      <c r="B356" t="n">
        <v>1.087357397507057</v>
      </c>
      <c r="C356" t="n">
        <v>1.008143620757755</v>
      </c>
      <c r="D356" t="n">
        <v>0.9024034970101243</v>
      </c>
    </row>
    <row r="357">
      <c r="A357" t="inlineStr">
        <is>
          <t>G|SHORT_HIST x CHANNEL|loan_size|rate|7</t>
        </is>
      </c>
      <c r="B357" t="n">
        <v>32022.08309977152</v>
      </c>
      <c r="C357" t="n">
        <v>32369.91430131827</v>
      </c>
      <c r="D357" t="n">
        <v>32390.11528329654</v>
      </c>
      <c r="E357" t="n">
        <v>32262.58857732217</v>
      </c>
    </row>
    <row r="358">
      <c r="A358" t="inlineStr">
        <is>
          <t>G|SHORT_HIST x CHANNEL|loan_size|median|7</t>
        </is>
      </c>
      <c r="B358" t="n">
        <v>31587.98</v>
      </c>
      <c r="C358" t="n">
        <v>32609.4</v>
      </c>
      <c r="D358" t="n">
        <v>32036.465</v>
      </c>
      <c r="E358" t="n">
        <v>32112.83</v>
      </c>
    </row>
    <row r="359">
      <c r="A359" t="inlineStr">
        <is>
          <t>G|SHORT_HIST x CHANNEL|loan_size|book|7</t>
        </is>
      </c>
      <c r="B359" t="n">
        <v>0.9925453756764048</v>
      </c>
      <c r="C359" t="n">
        <v>1.003326630897545</v>
      </c>
      <c r="D359" t="n">
        <v>1.003952773524937</v>
      </c>
      <c r="E359" t="n">
        <v>1</v>
      </c>
    </row>
    <row r="360">
      <c r="A360" t="inlineStr">
        <is>
          <t>G|SHORT_HIST x CHANNEL|loan_size|band|7</t>
        </is>
      </c>
    </row>
    <row r="361">
      <c r="A361" t="inlineStr">
        <is>
          <t>G|SHORT_HIST x CHANNEL|loan_size|meta</t>
        </is>
      </c>
      <c r="B361" t="inlineStr">
        <is>
          <t>size</t>
        </is>
      </c>
      <c r="C361" t="n">
        <v>1</v>
      </c>
      <c r="E361" t="n">
        <v>32262.58857732217</v>
      </c>
      <c r="F361" t="n">
        <v>65</v>
      </c>
    </row>
    <row r="362">
      <c r="A362" t="inlineStr">
        <is>
          <t>G|FICO x CHANNEL / REV_DEBT|cols</t>
        </is>
      </c>
      <c r="B362" t="inlineStr">
        <is>
          <t>Branch · high</t>
        </is>
      </c>
      <c r="C362" t="inlineStr">
        <is>
          <t>Branch · low</t>
        </is>
      </c>
      <c r="D362" t="inlineStr">
        <is>
          <t>Broker · high</t>
        </is>
      </c>
      <c r="E362" t="inlineStr">
        <is>
          <t>Broker · low</t>
        </is>
      </c>
      <c r="F362" t="inlineStr">
        <is>
          <t>Online · high</t>
        </is>
      </c>
      <c r="G362" t="inlineStr">
        <is>
          <t>Online · low</t>
        </is>
      </c>
      <c r="H362" t="inlineStr">
        <is>
          <t>All</t>
        </is>
      </c>
    </row>
    <row r="363">
      <c r="A363" t="inlineStr">
        <is>
          <t>G|FICO x CHANNEL / REV_DEBT|heads</t>
        </is>
      </c>
      <c r="B363" t="inlineStr">
        <is>
          <t>high</t>
        </is>
      </c>
      <c r="C363" t="inlineStr">
        <is>
          <t>low</t>
        </is>
      </c>
      <c r="D363" t="inlineStr">
        <is>
          <t>high</t>
        </is>
      </c>
      <c r="E363" t="inlineStr">
        <is>
          <t>low</t>
        </is>
      </c>
      <c r="F363" t="inlineStr">
        <is>
          <t>high</t>
        </is>
      </c>
      <c r="G363" t="inlineStr">
        <is>
          <t>low</t>
        </is>
      </c>
      <c r="H363" t="inlineStr">
        <is>
          <t>All</t>
        </is>
      </c>
    </row>
    <row r="364">
      <c r="A364" t="inlineStr">
        <is>
          <t>G|FICO x CHANNEL / REV_DEBT|segs</t>
        </is>
      </c>
      <c r="B364" t="inlineStr">
        <is>
          <t>Branch</t>
        </is>
      </c>
      <c r="C364" t="inlineStr">
        <is>
          <t>Broker</t>
        </is>
      </c>
      <c r="D364" t="inlineStr">
        <is>
          <t>Online</t>
        </is>
      </c>
    </row>
    <row r="365">
      <c r="A365" t="inlineStr">
        <is>
          <t>G|FICO x CHANNEL / REV_DEBT|rows</t>
        </is>
      </c>
      <c r="B365" t="inlineStr">
        <is>
          <t>496 - 653</t>
        </is>
      </c>
      <c r="C365" t="inlineStr">
        <is>
          <t>654 - 685</t>
        </is>
      </c>
      <c r="D365" t="inlineStr">
        <is>
          <t>686 - 711</t>
        </is>
      </c>
      <c r="E365" t="inlineStr">
        <is>
          <t>712 - 745</t>
        </is>
      </c>
      <c r="F365" t="inlineStr">
        <is>
          <t>746 - 921</t>
        </is>
      </c>
      <c r="G365" t="inlineStr">
        <is>
          <t>(blank)</t>
        </is>
      </c>
      <c r="H365" t="inlineStr">
        <is>
          <t>(marked missing)</t>
        </is>
      </c>
      <c r="I365" t="inlineStr">
        <is>
          <t>All</t>
        </is>
      </c>
    </row>
    <row r="366">
      <c r="A366" t="inlineStr">
        <is>
          <t>G|FICO x CHANNEL / REV_DEBT|names</t>
        </is>
      </c>
      <c r="B366" t="inlineStr">
        <is>
          <t>FICO</t>
        </is>
      </c>
      <c r="C366" t="inlineStr">
        <is>
          <t>CHANNEL / REV_DEBT</t>
        </is>
      </c>
    </row>
    <row r="367">
      <c r="A367" t="inlineStr">
        <is>
          <t>G|FICO x CHANNEL / REV_DEBT|total</t>
        </is>
      </c>
      <c r="B367" t="n">
        <v>8000</v>
      </c>
    </row>
    <row r="368">
      <c r="A368" t="inlineStr">
        <is>
          <t>G|FICO x CHANNEL / REV_DEBT|loans|1</t>
        </is>
      </c>
      <c r="B368" t="n">
        <v>251</v>
      </c>
      <c r="C368" t="n">
        <v>251</v>
      </c>
      <c r="D368" t="n">
        <v>261</v>
      </c>
      <c r="E368" t="n">
        <v>262</v>
      </c>
      <c r="F368" t="n">
        <v>265</v>
      </c>
      <c r="G368" t="n">
        <v>266</v>
      </c>
      <c r="H368" t="n">
        <v>1556</v>
      </c>
    </row>
    <row r="369">
      <c r="A369" t="inlineStr">
        <is>
          <t>G|FICO x CHANNEL / REV_DEBT|loans|2</t>
        </is>
      </c>
      <c r="B369" t="n">
        <v>251</v>
      </c>
      <c r="C369" t="n">
        <v>252</v>
      </c>
      <c r="D369" t="n">
        <v>265</v>
      </c>
      <c r="E369" t="n">
        <v>266</v>
      </c>
      <c r="F369" t="n">
        <v>252</v>
      </c>
      <c r="G369" t="n">
        <v>253</v>
      </c>
      <c r="H369" t="n">
        <v>1539</v>
      </c>
    </row>
    <row r="370">
      <c r="A370" t="inlineStr">
        <is>
          <t>G|FICO x CHANNEL / REV_DEBT|loans|3</t>
        </is>
      </c>
      <c r="B370" t="n">
        <v>257</v>
      </c>
      <c r="C370" t="n">
        <v>258</v>
      </c>
      <c r="D370" t="n">
        <v>250</v>
      </c>
      <c r="E370" t="n">
        <v>251</v>
      </c>
      <c r="F370" t="n">
        <v>273</v>
      </c>
      <c r="G370" t="n">
        <v>273</v>
      </c>
      <c r="H370" t="n">
        <v>1562</v>
      </c>
    </row>
    <row r="371">
      <c r="A371" t="inlineStr">
        <is>
          <t>G|FICO x CHANNEL / REV_DEBT|loans|4</t>
        </is>
      </c>
      <c r="B371" t="n">
        <v>269</v>
      </c>
      <c r="C371" t="n">
        <v>269</v>
      </c>
      <c r="D371" t="n">
        <v>254</v>
      </c>
      <c r="E371" t="n">
        <v>255</v>
      </c>
      <c r="F371" t="n">
        <v>282</v>
      </c>
      <c r="G371" t="n">
        <v>282</v>
      </c>
      <c r="H371" t="n">
        <v>1611</v>
      </c>
    </row>
    <row r="372">
      <c r="A372" t="inlineStr">
        <is>
          <t>G|FICO x CHANNEL / REV_DEBT|loans|5</t>
        </is>
      </c>
      <c r="B372" t="n">
        <v>259</v>
      </c>
      <c r="C372" t="n">
        <v>259</v>
      </c>
      <c r="D372" t="n">
        <v>268</v>
      </c>
      <c r="E372" t="n">
        <v>268</v>
      </c>
      <c r="F372" t="n">
        <v>258</v>
      </c>
      <c r="G372" t="n">
        <v>259</v>
      </c>
      <c r="H372" t="n">
        <v>1571</v>
      </c>
    </row>
    <row r="373">
      <c r="A373" t="inlineStr">
        <is>
          <t>G|FICO x CHANNEL / REV_DEBT|loans|6</t>
        </is>
      </c>
      <c r="E373" t="n">
        <v>1</v>
      </c>
      <c r="H373" t="n">
        <v>1</v>
      </c>
    </row>
    <row r="374">
      <c r="A374" t="inlineStr">
        <is>
          <t>G|FICO x CHANNEL / REV_DEBT|loans|7</t>
        </is>
      </c>
      <c r="B374" t="n">
        <v>25</v>
      </c>
      <c r="C374" t="n">
        <v>26</v>
      </c>
      <c r="D374" t="n">
        <v>27</v>
      </c>
      <c r="E374" t="n">
        <v>27</v>
      </c>
      <c r="F374" t="n">
        <v>27</v>
      </c>
      <c r="G374" t="n">
        <v>28</v>
      </c>
      <c r="H374" t="n">
        <v>160</v>
      </c>
    </row>
    <row r="375">
      <c r="A375" t="inlineStr">
        <is>
          <t>G|FICO x CHANNEL / REV_DEBT|loans|8</t>
        </is>
      </c>
      <c r="B375" t="n">
        <v>1312</v>
      </c>
      <c r="C375" t="n">
        <v>1315</v>
      </c>
      <c r="D375" t="n">
        <v>1325</v>
      </c>
      <c r="E375" t="n">
        <v>1330</v>
      </c>
      <c r="F375" t="n">
        <v>1357</v>
      </c>
      <c r="G375" t="n">
        <v>1361</v>
      </c>
      <c r="H375" t="n">
        <v>8000</v>
      </c>
    </row>
    <row r="376">
      <c r="A376" t="inlineStr">
        <is>
          <t>G|FICO x CHANNEL / REV_DEBT|outcome_loans|rate|1</t>
        </is>
      </c>
      <c r="B376" t="n">
        <v>0.1434262948207171</v>
      </c>
      <c r="C376" t="n">
        <v>0.06</v>
      </c>
      <c r="D376" t="n">
        <v>0.3563218390804598</v>
      </c>
      <c r="E376" t="n">
        <v>0.133587786259542</v>
      </c>
      <c r="F376" t="n">
        <v>0.1283018867924528</v>
      </c>
      <c r="G376" t="n">
        <v>0.07894736842105263</v>
      </c>
      <c r="H376" t="n">
        <v>0.1504823151125402</v>
      </c>
    </row>
    <row r="377">
      <c r="A377" t="inlineStr">
        <is>
          <t>G|FICO x CHANNEL / REV_DEBT|outcome_loans|book|1</t>
        </is>
      </c>
      <c r="B377" t="n">
        <v>1.853419922893241</v>
      </c>
      <c r="C377" t="n">
        <v>0.7753473344103392</v>
      </c>
      <c r="D377" t="n">
        <v>4.604553135387072</v>
      </c>
      <c r="E377" t="n">
        <v>1.7262822331019</v>
      </c>
      <c r="F377" t="n">
        <v>1.657975432072424</v>
      </c>
      <c r="G377" t="n">
        <v>1.020193861066236</v>
      </c>
      <c r="H377" t="n">
        <v>1.944601031640079</v>
      </c>
    </row>
    <row r="378">
      <c r="A378" t="inlineStr">
        <is>
          <t>G|FICO x CHANNEL / REV_DEBT|outcome_loans|band|1</t>
        </is>
      </c>
      <c r="B378" t="n">
        <v>0.9445852951829048</v>
      </c>
      <c r="C378" t="n">
        <v>0.3575342465753424</v>
      </c>
      <c r="D378" t="n">
        <v>3.270074182766773</v>
      </c>
      <c r="E378" t="n">
        <v>0.8679849629828532</v>
      </c>
      <c r="F378" t="n">
        <v>0.8275471698113208</v>
      </c>
      <c r="G378" t="n">
        <v>0.477761304670126</v>
      </c>
    </row>
    <row r="379">
      <c r="A379" t="inlineStr">
        <is>
          <t>G|FICO x CHANNEL / REV_DEBT|outcome_loans|rate|2</t>
        </is>
      </c>
      <c r="B379" t="n">
        <v>0.1035856573705179</v>
      </c>
      <c r="C379" t="n">
        <v>0.07539682539682539</v>
      </c>
      <c r="D379" t="n">
        <v>0.1207547169811321</v>
      </c>
      <c r="E379" t="n">
        <v>0.04135338345864661</v>
      </c>
      <c r="F379" t="n">
        <v>0.1150793650793651</v>
      </c>
      <c r="G379" t="n">
        <v>0.05138339920948617</v>
      </c>
      <c r="H379" t="n">
        <v>0.08447043534762833</v>
      </c>
    </row>
    <row r="380">
      <c r="A380" t="inlineStr">
        <is>
          <t>G|FICO x CHANNEL / REV_DEBT|outcome_loans|book|2</t>
        </is>
      </c>
      <c r="B380" t="n">
        <v>1.338581055422897</v>
      </c>
      <c r="C380" t="n">
        <v>0.9743121265738389</v>
      </c>
      <c r="D380" t="n">
        <v>1.560447465479928</v>
      </c>
      <c r="E380" t="n">
        <v>0.5343872605585045</v>
      </c>
      <c r="F380" t="n">
        <v>1.487107982665333</v>
      </c>
      <c r="G380" t="n">
        <v>0.6639996935002905</v>
      </c>
      <c r="H380" t="n">
        <v>1.091565448054409</v>
      </c>
    </row>
    <row r="381">
      <c r="A381" t="inlineStr">
        <is>
          <t>G|FICO x CHANNEL / REV_DEBT|outcome_loans|band|2</t>
        </is>
      </c>
      <c r="B381" t="n">
        <v>1.282868525896414</v>
      </c>
      <c r="C381" t="n">
        <v>0.8741956241956242</v>
      </c>
      <c r="D381" t="n">
        <v>1.569811320754717</v>
      </c>
      <c r="E381" t="n">
        <v>0.4423769507803121</v>
      </c>
      <c r="F381" t="n">
        <v>1.466407355021216</v>
      </c>
      <c r="G381" t="n">
        <v>0.56477821695213</v>
      </c>
    </row>
    <row r="382">
      <c r="A382" t="inlineStr">
        <is>
          <t>G|FICO x CHANNEL / REV_DEBT|outcome_loans|rate|3</t>
        </is>
      </c>
      <c r="B382" t="n">
        <v>0.07392996108949416</v>
      </c>
      <c r="C382" t="n">
        <v>0.03488372093023256</v>
      </c>
      <c r="D382" t="n">
        <v>0.068</v>
      </c>
      <c r="E382" t="n">
        <v>0.03585657370517929</v>
      </c>
      <c r="F382" t="n">
        <v>0.1172161172161172</v>
      </c>
      <c r="G382" t="n">
        <v>0.03663003663003663</v>
      </c>
      <c r="H382" t="n">
        <v>0.06145966709346991</v>
      </c>
    </row>
    <row r="383">
      <c r="A383" t="inlineStr">
        <is>
          <t>G|FICO x CHANNEL / REV_DEBT|outcome_loans|book|3</t>
        </is>
      </c>
      <c r="B383" t="n">
        <v>0.95535663772999</v>
      </c>
      <c r="D383" t="n">
        <v>0.8787269789983845</v>
      </c>
      <c r="F383" t="n">
        <v>1.514720067224106</v>
      </c>
      <c r="G383" t="n">
        <v>0.4733500210075332</v>
      </c>
      <c r="H383" t="n">
        <v>0.7942098175778123</v>
      </c>
    </row>
    <row r="384">
      <c r="A384" t="inlineStr">
        <is>
          <t>G|FICO x CHANNEL / REV_DEBT|outcome_loans|band|3</t>
        </is>
      </c>
      <c r="B384" t="n">
        <v>1.252968821062206</v>
      </c>
      <c r="D384" t="n">
        <v>1.129316455696203</v>
      </c>
      <c r="F384" t="n">
        <v>2.360805860805861</v>
      </c>
      <c r="G384" t="n">
        <v>0.5490246187920607</v>
      </c>
    </row>
    <row r="385">
      <c r="A385" t="inlineStr">
        <is>
          <t>G|FICO x CHANNEL / REV_DEBT|outcome_loans|rate|4</t>
        </is>
      </c>
      <c r="B385" t="n">
        <v>0.05576208178438662</v>
      </c>
      <c r="C385" t="n">
        <v>0.02602230483271376</v>
      </c>
      <c r="D385" t="n">
        <v>0.02755905511811024</v>
      </c>
      <c r="E385" t="n">
        <v>0.03529411764705882</v>
      </c>
      <c r="F385" t="n">
        <v>0.1063829787234043</v>
      </c>
      <c r="G385" t="n">
        <v>0.0673758865248227</v>
      </c>
      <c r="H385" t="n">
        <v>0.05400372439478585</v>
      </c>
    </row>
    <row r="386">
      <c r="A386" t="inlineStr">
        <is>
          <t>G|FICO x CHANNEL / REV_DEBT|outcome_loans|book|4</t>
        </is>
      </c>
      <c r="B386" t="n">
        <v>0.720583024544925</v>
      </c>
      <c r="F386" t="n">
        <v>1.374729316330389</v>
      </c>
      <c r="G386" t="n">
        <v>0.8706619003425795</v>
      </c>
      <c r="H386" t="n">
        <v>0.6978607292954636</v>
      </c>
    </row>
    <row r="387">
      <c r="A387" t="inlineStr">
        <is>
          <t>G|FICO x CHANNEL / REV_DEBT|outcome_loans|band|4</t>
        </is>
      </c>
      <c r="B387" t="n">
        <v>1.039343246592317</v>
      </c>
      <c r="F387" t="n">
        <v>2.48040313549832</v>
      </c>
      <c r="G387" t="n">
        <v>1.31680225281602</v>
      </c>
    </row>
    <row r="388">
      <c r="A388" t="inlineStr">
        <is>
          <t>G|FICO x CHANNEL / REV_DEBT|outcome_loans|rate|5</t>
        </is>
      </c>
      <c r="B388" t="n">
        <v>0.05019305019305019</v>
      </c>
      <c r="C388" t="n">
        <v>0.03861003861003861</v>
      </c>
      <c r="D388" t="n">
        <v>0.05223880597014925</v>
      </c>
      <c r="E388" t="n">
        <v>0.02238805970149254</v>
      </c>
      <c r="F388" t="n">
        <v>0.03875968992248062</v>
      </c>
      <c r="G388" t="n">
        <v>0.03474903474903475</v>
      </c>
      <c r="H388" t="n">
        <v>0.03946530872056015</v>
      </c>
    </row>
    <row r="389">
      <c r="A389" t="inlineStr">
        <is>
          <t>G|FICO x CHANNEL / REV_DEBT|outcome_loans|book|5</t>
        </is>
      </c>
      <c r="B389" t="n">
        <v>0.6486174612184304</v>
      </c>
      <c r="C389" t="n">
        <v>0.4989365086295619</v>
      </c>
      <c r="D389" t="n">
        <v>0.6750536493622357</v>
      </c>
      <c r="F389" t="n">
        <v>0.5008703710661107</v>
      </c>
      <c r="H389" t="n">
        <v>0.5099886986361238</v>
      </c>
    </row>
    <row r="390">
      <c r="A390" t="inlineStr">
        <is>
          <t>G|FICO x CHANNEL / REV_DEBT|outcome_loans|band|5</t>
        </is>
      </c>
      <c r="B390" t="n">
        <v>1.343944527617997</v>
      </c>
      <c r="C390" t="n">
        <v>0.9741609741609741</v>
      </c>
      <c r="D390" t="n">
        <v>1.41806592039801</v>
      </c>
      <c r="F390" t="n">
        <v>0.9786821705426356</v>
      </c>
    </row>
    <row r="391">
      <c r="A391" t="inlineStr">
        <is>
          <t>G|FICO x CHANNEL / REV_DEBT|outcome_loans|rate|6</t>
        </is>
      </c>
      <c r="E391" t="n">
        <v>0</v>
      </c>
      <c r="H391" t="n">
        <v>0</v>
      </c>
    </row>
    <row r="392">
      <c r="A392" t="inlineStr">
        <is>
          <t>G|FICO x CHANNEL / REV_DEBT|outcome_loans|book|6</t>
        </is>
      </c>
    </row>
    <row r="393">
      <c r="A393" t="inlineStr">
        <is>
          <t>G|FICO x CHANNEL / REV_DEBT|outcome_loans|band|6</t>
        </is>
      </c>
    </row>
    <row r="394">
      <c r="A394" t="inlineStr">
        <is>
          <t>G|FICO x CHANNEL / REV_DEBT|outcome_loans|rate|7</t>
        </is>
      </c>
      <c r="B394" t="n">
        <v>0.04</v>
      </c>
      <c r="C394" t="n">
        <v>0</v>
      </c>
      <c r="D394" t="n">
        <v>0.2222222222222222</v>
      </c>
      <c r="E394" t="n">
        <v>0.03703703703703703</v>
      </c>
      <c r="F394" t="n">
        <v>0.03703703703703703</v>
      </c>
      <c r="G394" t="n">
        <v>0.03571428571428571</v>
      </c>
      <c r="H394" t="n">
        <v>0.0625</v>
      </c>
    </row>
    <row r="395">
      <c r="A395" t="inlineStr">
        <is>
          <t>G|FICO x CHANNEL / REV_DEBT|outcome_loans|book|7</t>
        </is>
      </c>
      <c r="H395" t="n">
        <v>0.8076534733441034</v>
      </c>
    </row>
    <row r="396">
      <c r="A396" t="inlineStr">
        <is>
          <t>G|FICO x CHANNEL / REV_DEBT|outcome_loans|band|7</t>
        </is>
      </c>
    </row>
    <row r="397">
      <c r="A397" t="inlineStr">
        <is>
          <t>G|FICO x CHANNEL / REV_DEBT|outcome_loans|rate|8</t>
        </is>
      </c>
      <c r="B397" t="n">
        <v>0.08384146341463415</v>
      </c>
      <c r="C397" t="n">
        <v>0.045662100456621</v>
      </c>
      <c r="D397" t="n">
        <v>0.1275471698113207</v>
      </c>
      <c r="E397" t="n">
        <v>0.05338345864661654</v>
      </c>
      <c r="F397" t="n">
        <v>0.1002210759027266</v>
      </c>
      <c r="G397" t="n">
        <v>0.05363703159441587</v>
      </c>
      <c r="H397" t="n">
        <v>0.07738467308413552</v>
      </c>
    </row>
    <row r="398">
      <c r="A398" t="inlineStr">
        <is>
          <t>G|FICO x CHANNEL / REV_DEBT|outcome_loans|book|8</t>
        </is>
      </c>
      <c r="B398" t="n">
        <v>1.083437586193309</v>
      </c>
      <c r="C398" t="n">
        <v>0.5900664645436371</v>
      </c>
      <c r="D398" t="n">
        <v>1.648222635413174</v>
      </c>
      <c r="E398" t="n">
        <v>0.6898453727209785</v>
      </c>
      <c r="F398" t="n">
        <v>1.295102400881923</v>
      </c>
      <c r="G398" t="n">
        <v>0.6931221578735582</v>
      </c>
      <c r="H398" t="n">
        <v>1</v>
      </c>
    </row>
    <row r="399">
      <c r="A399" t="inlineStr">
        <is>
          <t>G|FICO x CHANNEL / REV_DEBT|outcome_loans|band|8</t>
        </is>
      </c>
    </row>
    <row r="400">
      <c r="A400" t="inlineStr">
        <is>
          <t>G|FICO x CHANNEL / REV_DEBT|outcome_loans|meta</t>
        </is>
      </c>
      <c r="B400" t="inlineStr">
        <is>
          <t>x</t>
        </is>
      </c>
      <c r="C400" t="n">
        <v>4.604553135387072</v>
      </c>
      <c r="D400" t="n">
        <v>10</v>
      </c>
      <c r="E400" t="n">
        <v>0.07738467308413552</v>
      </c>
      <c r="F400" t="n">
        <v>65</v>
      </c>
    </row>
    <row r="401">
      <c r="A401" t="inlineStr">
        <is>
          <t>G|FICO x CHANNEL / REV_DEBT|outcome_booked|rate|1</t>
        </is>
      </c>
      <c r="B401" t="n">
        <v>0.1536189737879834</v>
      </c>
      <c r="C401" t="n">
        <v>0.05414735545862832</v>
      </c>
      <c r="D401" t="n">
        <v>0.336136758977735</v>
      </c>
      <c r="E401" t="n">
        <v>0.1591020513998018</v>
      </c>
      <c r="F401" t="n">
        <v>0.132862358963367</v>
      </c>
      <c r="G401" t="n">
        <v>0.06492405469187032</v>
      </c>
      <c r="H401" t="n">
        <v>0.1491655756309188</v>
      </c>
    </row>
    <row r="402">
      <c r="A402" t="inlineStr">
        <is>
          <t>G|FICO x CHANNEL / REV_DEBT|outcome_booked|book|1</t>
        </is>
      </c>
      <c r="B402" t="n">
        <v>2.052937278306558</v>
      </c>
      <c r="C402" t="n">
        <v>0.72361585162099</v>
      </c>
      <c r="D402" t="n">
        <v>4.492073251751654</v>
      </c>
      <c r="E402" t="n">
        <v>2.126212174965388</v>
      </c>
      <c r="F402" t="n">
        <v>1.775549483725164</v>
      </c>
      <c r="G402" t="n">
        <v>0.8676337879961826</v>
      </c>
      <c r="H402" t="n">
        <v>1.993422839000396</v>
      </c>
    </row>
    <row r="403">
      <c r="A403" t="inlineStr">
        <is>
          <t>G|FICO x CHANNEL / REV_DEBT|outcome_booked|band|1</t>
        </is>
      </c>
      <c r="B403" t="n">
        <v>1.035686103285891</v>
      </c>
      <c r="C403" t="n">
        <v>0.322984675885934</v>
      </c>
      <c r="D403" t="n">
        <v>2.984242372177677</v>
      </c>
      <c r="E403" t="n">
        <v>1.08164475512421</v>
      </c>
      <c r="F403" t="n">
        <v>0.8716116761498696</v>
      </c>
      <c r="G403" t="n">
        <v>0.388535677843638</v>
      </c>
    </row>
    <row r="404">
      <c r="A404" t="inlineStr">
        <is>
          <t>G|FICO x CHANNEL / REV_DEBT|outcome_booked|rate|2</t>
        </is>
      </c>
      <c r="B404" t="n">
        <v>0.1068964968323921</v>
      </c>
      <c r="C404" t="n">
        <v>0.06750312638298399</v>
      </c>
      <c r="D404" t="n">
        <v>0.1213724619138242</v>
      </c>
      <c r="E404" t="n">
        <v>0.03174469803109126</v>
      </c>
      <c r="F404" t="n">
        <v>0.1155211052682056</v>
      </c>
      <c r="G404" t="n">
        <v>0.0412233826955352</v>
      </c>
      <c r="H404" t="n">
        <v>0.07985779590889651</v>
      </c>
    </row>
    <row r="405">
      <c r="A405" t="inlineStr">
        <is>
          <t>G|FICO x CHANNEL / REV_DEBT|outcome_booked|book|2</t>
        </is>
      </c>
      <c r="B405" t="n">
        <v>1.428546213116044</v>
      </c>
      <c r="C405" t="n">
        <v>0.9021000540280063</v>
      </c>
      <c r="D405" t="n">
        <v>1.622000495632939</v>
      </c>
      <c r="E405" t="n">
        <v>0.4242306296522718</v>
      </c>
      <c r="F405" t="n">
        <v>1.543803981945534</v>
      </c>
      <c r="G405" t="n">
        <v>0.5509021248271198</v>
      </c>
      <c r="H405" t="n">
        <v>1.067205711262177</v>
      </c>
    </row>
    <row r="406">
      <c r="A406" t="inlineStr">
        <is>
          <t>G|FICO x CHANNEL / REV_DEBT|outcome_booked|band|2</t>
        </is>
      </c>
      <c r="B406" t="n">
        <v>1.428032806802565</v>
      </c>
      <c r="C406" t="n">
        <v>0.819030802748909</v>
      </c>
      <c r="D406" t="n">
        <v>1.708709647934587</v>
      </c>
      <c r="E406" t="n">
        <v>0.3522826856359711</v>
      </c>
      <c r="F406" t="n">
        <v>1.575184781023838</v>
      </c>
      <c r="G406" t="n">
        <v>0.4706727986938429</v>
      </c>
    </row>
    <row r="407">
      <c r="A407" t="inlineStr">
        <is>
          <t>G|FICO x CHANNEL / REV_DEBT|outcome_booked|rate|3</t>
        </is>
      </c>
      <c r="B407" t="n">
        <v>0.06394970368009818</v>
      </c>
      <c r="C407" t="n">
        <v>0.02673369397622367</v>
      </c>
      <c r="D407" t="n">
        <v>0.0672155948903109</v>
      </c>
      <c r="E407" t="n">
        <v>0.0249998603412748</v>
      </c>
      <c r="F407" t="n">
        <v>0.111918803604827</v>
      </c>
      <c r="G407" t="n">
        <v>0.04280670075250181</v>
      </c>
      <c r="H407" t="n">
        <v>0.05686223568965073</v>
      </c>
    </row>
    <row r="408">
      <c r="A408" t="inlineStr">
        <is>
          <t>G|FICO x CHANNEL / REV_DEBT|outcome_booked|book|3</t>
        </is>
      </c>
      <c r="B408" t="n">
        <v>0.8546127303436077</v>
      </c>
      <c r="D408" t="n">
        <v>0.8982575331112191</v>
      </c>
      <c r="F408" t="n">
        <v>1.495663448324587</v>
      </c>
      <c r="G408" t="n">
        <v>0.5720613122791123</v>
      </c>
      <c r="H408" t="n">
        <v>0.7598970393868686</v>
      </c>
    </row>
    <row r="409">
      <c r="A409" t="inlineStr">
        <is>
          <t>G|FICO x CHANNEL / REV_DEBT|outcome_booked|band|3</t>
        </is>
      </c>
      <c r="B409" t="n">
        <v>1.152457305785378</v>
      </c>
      <c r="D409" t="n">
        <v>1.225524719414166</v>
      </c>
      <c r="F409" t="n">
        <v>2.484332954534354</v>
      </c>
      <c r="G409" t="n">
        <v>0.7166554141740161</v>
      </c>
    </row>
    <row r="410">
      <c r="A410" t="inlineStr">
        <is>
          <t>G|FICO x CHANNEL / REV_DEBT|outcome_booked|rate|4</t>
        </is>
      </c>
      <c r="B410" t="n">
        <v>0.05929734182689707</v>
      </c>
      <c r="C410" t="n">
        <v>0.02216499367326764</v>
      </c>
      <c r="D410" t="n">
        <v>0.03740820656933998</v>
      </c>
      <c r="E410" t="n">
        <v>0.03353957594842302</v>
      </c>
      <c r="F410" t="n">
        <v>0.1056496356580236</v>
      </c>
      <c r="G410" t="n">
        <v>0.06146309741883505</v>
      </c>
      <c r="H410" t="n">
        <v>0.05451749193722221</v>
      </c>
    </row>
    <row r="411">
      <c r="A411" t="inlineStr">
        <is>
          <t>G|FICO x CHANNEL / REV_DEBT|outcome_booked|book|4</t>
        </is>
      </c>
      <c r="B411" t="n">
        <v>0.7924393747671687</v>
      </c>
      <c r="F411" t="n">
        <v>1.411883376992252</v>
      </c>
      <c r="G411" t="n">
        <v>0.821382156252786</v>
      </c>
      <c r="H411" t="n">
        <v>0.7285622912191039</v>
      </c>
    </row>
    <row r="412">
      <c r="A412" t="inlineStr">
        <is>
          <t>G|FICO x CHANNEL / REV_DEBT|outcome_booked|band|4</t>
        </is>
      </c>
      <c r="B412" t="n">
        <v>1.106956313035407</v>
      </c>
      <c r="F412" t="n">
        <v>2.430951560061628</v>
      </c>
      <c r="G412" t="n">
        <v>1.160196054946808</v>
      </c>
    </row>
    <row r="413">
      <c r="A413" t="inlineStr">
        <is>
          <t>G|FICO x CHANNEL / REV_DEBT|outcome_booked|rate|5</t>
        </is>
      </c>
      <c r="B413" t="n">
        <v>0.04412875764521366</v>
      </c>
      <c r="C413" t="n">
        <v>0.03769867338847042</v>
      </c>
      <c r="D413" t="n">
        <v>0.05113325141591655</v>
      </c>
      <c r="E413" t="n">
        <v>0.0181043704024653</v>
      </c>
      <c r="F413" t="n">
        <v>0.03612042941967695</v>
      </c>
      <c r="G413" t="n">
        <v>0.03585055588587322</v>
      </c>
      <c r="H413" t="n">
        <v>0.03682990751373654</v>
      </c>
    </row>
    <row r="414">
      <c r="A414" t="inlineStr">
        <is>
          <t>G|FICO x CHANNEL / REV_DEBT|outcome_booked|book|5</t>
        </is>
      </c>
      <c r="B414" t="n">
        <v>0.5897290509194976</v>
      </c>
      <c r="C414" t="n">
        <v>0.5037985219762499</v>
      </c>
      <c r="D414" t="n">
        <v>0.683335888818234</v>
      </c>
      <c r="F414" t="n">
        <v>0.4827071437571092</v>
      </c>
      <c r="H414" t="n">
        <v>0.4921884857523176</v>
      </c>
    </row>
    <row r="415">
      <c r="A415" t="inlineStr">
        <is>
          <t>G|FICO x CHANNEL / REV_DEBT|outcome_booked|band|5</t>
        </is>
      </c>
      <c r="B415" t="n">
        <v>1.246851560495764</v>
      </c>
      <c r="C415" t="n">
        <v>1.028243535215503</v>
      </c>
      <c r="D415" t="n">
        <v>1.499442581014647</v>
      </c>
      <c r="F415" t="n">
        <v>0.9767721074710733</v>
      </c>
    </row>
    <row r="416">
      <c r="A416" t="inlineStr">
        <is>
          <t>G|FICO x CHANNEL / REV_DEBT|outcome_booked|rate|6</t>
        </is>
      </c>
      <c r="E416" t="n">
        <v>0</v>
      </c>
      <c r="H416" t="n">
        <v>0</v>
      </c>
    </row>
    <row r="417">
      <c r="A417" t="inlineStr">
        <is>
          <t>G|FICO x CHANNEL / REV_DEBT|outcome_booked|book|6</t>
        </is>
      </c>
    </row>
    <row r="418">
      <c r="A418" t="inlineStr">
        <is>
          <t>G|FICO x CHANNEL / REV_DEBT|outcome_booked|band|6</t>
        </is>
      </c>
    </row>
    <row r="419">
      <c r="A419" t="inlineStr">
        <is>
          <t>G|FICO x CHANNEL / REV_DEBT|outcome_booked|rate|7</t>
        </is>
      </c>
      <c r="B419" t="n">
        <v>0.03550611715967648</v>
      </c>
      <c r="C419" t="n">
        <v>0</v>
      </c>
      <c r="D419" t="n">
        <v>0.1711055954328356</v>
      </c>
      <c r="E419" t="n">
        <v>0.03502773714479442</v>
      </c>
      <c r="F419" t="n">
        <v>0.008828812794374075</v>
      </c>
      <c r="G419" t="n">
        <v>0.04697586101325057</v>
      </c>
      <c r="H419" t="n">
        <v>0.04815037624246447</v>
      </c>
    </row>
    <row r="420">
      <c r="A420" t="inlineStr">
        <is>
          <t>G|FICO x CHANNEL / REV_DEBT|outcome_booked|book|7</t>
        </is>
      </c>
      <c r="H420" t="n">
        <v>0.6434732631990416</v>
      </c>
    </row>
    <row r="421">
      <c r="A421" t="inlineStr">
        <is>
          <t>G|FICO x CHANNEL / REV_DEBT|outcome_booked|band|7</t>
        </is>
      </c>
    </row>
    <row r="422">
      <c r="A422" t="inlineStr">
        <is>
          <t>G|FICO x CHANNEL / REV_DEBT|outcome_booked|rate|8</t>
        </is>
      </c>
      <c r="B422" t="n">
        <v>0.08378558379582209</v>
      </c>
      <c r="C422" t="n">
        <v>0.04082828163295662</v>
      </c>
      <c r="D422" t="n">
        <v>0.1244396724191699</v>
      </c>
      <c r="E422" t="n">
        <v>0.05352604545127974</v>
      </c>
      <c r="F422" t="n">
        <v>0.09807215250739602</v>
      </c>
      <c r="G422" t="n">
        <v>0.04969588979811654</v>
      </c>
      <c r="H422" t="n">
        <v>0.07482886857347225</v>
      </c>
    </row>
    <row r="423">
      <c r="A423" t="inlineStr">
        <is>
          <t>G|FICO x CHANNEL / REV_DEBT|outcome_booked|book|8</t>
        </is>
      </c>
      <c r="B423" t="n">
        <v>1.119695986229638</v>
      </c>
      <c r="C423" t="n">
        <v>0.5456220628655969</v>
      </c>
      <c r="D423" t="n">
        <v>1.662990163976435</v>
      </c>
      <c r="E423" t="n">
        <v>0.7153127726196212</v>
      </c>
      <c r="F423" t="n">
        <v>1.310619208562558</v>
      </c>
      <c r="G423" t="n">
        <v>0.6641272378630388</v>
      </c>
      <c r="H423" t="n">
        <v>0.9999999999999987</v>
      </c>
    </row>
    <row r="424">
      <c r="A424" t="inlineStr">
        <is>
          <t>G|FICO x CHANNEL / REV_DEBT|outcome_booked|band|8</t>
        </is>
      </c>
    </row>
    <row r="425">
      <c r="A425" t="inlineStr">
        <is>
          <t>G|FICO x CHANNEL / REV_DEBT|outcome_booked|meta</t>
        </is>
      </c>
      <c r="B425" t="inlineStr">
        <is>
          <t>x</t>
        </is>
      </c>
      <c r="C425" t="n">
        <v>4.492073251751654</v>
      </c>
      <c r="D425" t="n">
        <v>10</v>
      </c>
      <c r="E425" t="n">
        <v>0.07482886857347235</v>
      </c>
      <c r="F425" t="n">
        <v>65</v>
      </c>
    </row>
    <row r="426">
      <c r="A426" t="inlineStr">
        <is>
          <t>G|FICO x CHANNEL / REV_DEBT|gco_rate|rate|1</t>
        </is>
      </c>
      <c r="B426" t="n">
        <v>0.08150011422684825</v>
      </c>
      <c r="C426" t="n">
        <v>0.0269755307841483</v>
      </c>
      <c r="D426" t="n">
        <v>0.1924677768239104</v>
      </c>
      <c r="E426" t="n">
        <v>0.09360605654786618</v>
      </c>
      <c r="F426" t="n">
        <v>0.0733555065457564</v>
      </c>
      <c r="G426" t="n">
        <v>0.03595430780342516</v>
      </c>
      <c r="H426" t="n">
        <v>0.08345255929305034</v>
      </c>
    </row>
    <row r="427">
      <c r="A427" t="inlineStr">
        <is>
          <t>G|FICO x CHANNEL / REV_DEBT|gco_rate|book|1</t>
        </is>
      </c>
      <c r="B427" t="n">
        <v>1.958889423583303</v>
      </c>
      <c r="C427" t="n">
        <v>0.6483681949393681</v>
      </c>
      <c r="D427" t="n">
        <v>4.626043729847294</v>
      </c>
      <c r="E427" t="n">
        <v>2.249860824054537</v>
      </c>
      <c r="F427" t="n">
        <v>1.76313036242029</v>
      </c>
      <c r="G427" t="n">
        <v>0.8641768659655025</v>
      </c>
      <c r="H427" t="n">
        <v>2.005817259532897</v>
      </c>
    </row>
    <row r="428">
      <c r="A428" t="inlineStr">
        <is>
          <t>G|FICO x CHANNEL / REV_DEBT|gco_rate|band|1</t>
        </is>
      </c>
      <c r="B428" t="n">
        <v>0.9723182419595726</v>
      </c>
      <c r="C428" t="n">
        <v>0.2854956251292415</v>
      </c>
      <c r="D428" t="n">
        <v>3.095684625974</v>
      </c>
      <c r="E428" t="n">
        <v>1.150852449792353</v>
      </c>
      <c r="F428" t="n">
        <v>0.8582162798326666</v>
      </c>
      <c r="G428" t="n">
        <v>0.3843107912920031</v>
      </c>
    </row>
    <row r="429">
      <c r="A429" t="inlineStr">
        <is>
          <t>G|FICO x CHANNEL / REV_DEBT|gco_rate|rate|2</t>
        </is>
      </c>
      <c r="B429" t="n">
        <v>0.05877590377407053</v>
      </c>
      <c r="C429" t="n">
        <v>0.04212569363671527</v>
      </c>
      <c r="D429" t="n">
        <v>0.0653009303630584</v>
      </c>
      <c r="E429" t="n">
        <v>0.01926256307406042</v>
      </c>
      <c r="F429" t="n">
        <v>0.06657029262275997</v>
      </c>
      <c r="G429" t="n">
        <v>0.02211209940385804</v>
      </c>
      <c r="H429" t="n">
        <v>0.04521453740915431</v>
      </c>
    </row>
    <row r="430">
      <c r="A430" t="inlineStr">
        <is>
          <t>G|FICO x CHANNEL / REV_DEBT|gco_rate|book|2</t>
        </is>
      </c>
      <c r="B430" t="n">
        <v>1.412703495655324</v>
      </c>
      <c r="C430" t="n">
        <v>1.012508712520159</v>
      </c>
      <c r="D430" t="n">
        <v>1.569535246077062</v>
      </c>
      <c r="E430" t="n">
        <v>0.4629837814933139</v>
      </c>
      <c r="F430" t="n">
        <v>1.600044900312688</v>
      </c>
      <c r="G430" t="n">
        <v>0.5314735821704045</v>
      </c>
      <c r="H430" t="n">
        <v>1.086750367937848</v>
      </c>
    </row>
    <row r="431">
      <c r="A431" t="inlineStr">
        <is>
          <t>G|FICO x CHANNEL / REV_DEBT|gco_rate|band|2</t>
        </is>
      </c>
      <c r="B431" t="n">
        <v>1.376299460471771</v>
      </c>
      <c r="C431" t="n">
        <v>0.9186777724967793</v>
      </c>
      <c r="D431" t="n">
        <v>1.594879816561104</v>
      </c>
      <c r="E431" t="n">
        <v>0.3795930421097626</v>
      </c>
      <c r="F431" t="n">
        <v>1.611463448498021</v>
      </c>
      <c r="G431" t="n">
        <v>0.4437098767580837</v>
      </c>
    </row>
    <row r="432">
      <c r="A432" t="inlineStr">
        <is>
          <t>G|FICO x CHANNEL / REV_DEBT|gco_rate|rate|3</t>
        </is>
      </c>
      <c r="B432" t="n">
        <v>0.03376308207333135</v>
      </c>
      <c r="C432" t="n">
        <v>0.01489746283203336</v>
      </c>
      <c r="D432" t="n">
        <v>0.03966845200544827</v>
      </c>
      <c r="E432" t="n">
        <v>0.01295971766148329</v>
      </c>
      <c r="F432" t="n">
        <v>0.06580955471535249</v>
      </c>
      <c r="G432" t="n">
        <v>0.01984117065004284</v>
      </c>
      <c r="H432" t="n">
        <v>0.03151500509362793</v>
      </c>
    </row>
    <row r="433">
      <c r="A433" t="inlineStr">
        <is>
          <t>G|FICO x CHANNEL / REV_DEBT|gco_rate|book|3</t>
        </is>
      </c>
      <c r="B433" t="n">
        <v>0.8115098366234705</v>
      </c>
      <c r="D433" t="n">
        <v>0.9534478794361748</v>
      </c>
      <c r="F433" t="n">
        <v>1.581760245682738</v>
      </c>
      <c r="G433" t="n">
        <v>0.4768908572287214</v>
      </c>
      <c r="H433" t="n">
        <v>0.757476363655755</v>
      </c>
    </row>
    <row r="434">
      <c r="A434" t="inlineStr">
        <is>
          <t>G|FICO x CHANNEL / REV_DEBT|gco_rate|band|3</t>
        </is>
      </c>
      <c r="B434" t="n">
        <v>1.086338626851793</v>
      </c>
      <c r="D434" t="n">
        <v>1.325485669164689</v>
      </c>
      <c r="F434" t="n">
        <v>2.724231933243186</v>
      </c>
      <c r="G434" t="n">
        <v>0.5853225588170431</v>
      </c>
    </row>
    <row r="435">
      <c r="A435" t="inlineStr">
        <is>
          <t>G|FICO x CHANNEL / REV_DEBT|gco_rate|rate|4</t>
        </is>
      </c>
      <c r="B435" t="n">
        <v>0.03329587438050934</v>
      </c>
      <c r="C435" t="n">
        <v>0.01209171211802789</v>
      </c>
      <c r="D435" t="n">
        <v>0.02097981175988825</v>
      </c>
      <c r="E435" t="n">
        <v>0.02054401205966685</v>
      </c>
      <c r="F435" t="n">
        <v>0.05625489135331869</v>
      </c>
      <c r="G435" t="n">
        <v>0.03433655799532023</v>
      </c>
      <c r="H435" t="n">
        <v>0.0302639717312273</v>
      </c>
    </row>
    <row r="436">
      <c r="A436" t="inlineStr">
        <is>
          <t>G|FICO x CHANNEL / REV_DEBT|gco_rate|book|4</t>
        </is>
      </c>
      <c r="B436" t="n">
        <v>0.8002803037968244</v>
      </c>
      <c r="F436" t="n">
        <v>1.352109904902955</v>
      </c>
      <c r="G436" t="n">
        <v>0.8252935709031167</v>
      </c>
      <c r="H436" t="n">
        <v>0.7274072521532199</v>
      </c>
    </row>
    <row r="437">
      <c r="A437" t="inlineStr">
        <is>
          <t>G|FICO x CHANNEL / REV_DEBT|gco_rate|band|4</t>
        </is>
      </c>
      <c r="B437" t="n">
        <v>1.122544032687435</v>
      </c>
      <c r="F437" t="n">
        <v>2.283244331918283</v>
      </c>
      <c r="G437" t="n">
        <v>1.16951994729172</v>
      </c>
    </row>
    <row r="438">
      <c r="A438" t="inlineStr">
        <is>
          <t>G|FICO x CHANNEL / REV_DEBT|gco_rate|rate|5</t>
        </is>
      </c>
      <c r="B438" t="n">
        <v>0.02551572116406029</v>
      </c>
      <c r="C438" t="n">
        <v>0.01961019355954686</v>
      </c>
      <c r="D438" t="n">
        <v>0.0280312621465384</v>
      </c>
      <c r="E438" t="n">
        <v>0.009063216873440612</v>
      </c>
      <c r="F438" t="n">
        <v>0.01670671480048458</v>
      </c>
      <c r="G438" t="n">
        <v>0.01880370111328881</v>
      </c>
      <c r="H438" t="n">
        <v>0.01940834703954903</v>
      </c>
    </row>
    <row r="439">
      <c r="A439" t="inlineStr">
        <is>
          <t>G|FICO x CHANNEL / REV_DEBT|gco_rate|book|5</t>
        </is>
      </c>
      <c r="B439" t="n">
        <v>0.6132810585302571</v>
      </c>
      <c r="C439" t="n">
        <v>0.4713392259953805</v>
      </c>
      <c r="D439" t="n">
        <v>0.6737431409691969</v>
      </c>
      <c r="F439" t="n">
        <v>0.4015528964094492</v>
      </c>
      <c r="H439" t="n">
        <v>0.4664877602402493</v>
      </c>
    </row>
    <row r="440">
      <c r="A440" t="inlineStr">
        <is>
          <t>G|FICO x CHANNEL / REV_DEBT|gco_rate|band|5</t>
        </is>
      </c>
      <c r="B440" t="n">
        <v>1.401555211020743</v>
      </c>
      <c r="C440" t="n">
        <v>1.012420720626409</v>
      </c>
      <c r="D440" t="n">
        <v>1.578025565847082</v>
      </c>
      <c r="F440" t="n">
        <v>0.8362750760357822</v>
      </c>
    </row>
    <row r="441">
      <c r="A441" t="inlineStr">
        <is>
          <t>G|FICO x CHANNEL / REV_DEBT|gco_rate|rate|6</t>
        </is>
      </c>
      <c r="E441" t="n">
        <v>0</v>
      </c>
      <c r="H441" t="n">
        <v>0</v>
      </c>
    </row>
    <row r="442">
      <c r="A442" t="inlineStr">
        <is>
          <t>G|FICO x CHANNEL / REV_DEBT|gco_rate|book|6</t>
        </is>
      </c>
    </row>
    <row r="443">
      <c r="A443" t="inlineStr">
        <is>
          <t>G|FICO x CHANNEL / REV_DEBT|gco_rate|band|6</t>
        </is>
      </c>
    </row>
    <row r="444">
      <c r="A444" t="inlineStr">
        <is>
          <t>G|FICO x CHANNEL / REV_DEBT|gco_rate|rate|7</t>
        </is>
      </c>
      <c r="B444" t="n">
        <v>0.01725542400701672</v>
      </c>
      <c r="C444" t="n">
        <v>0</v>
      </c>
      <c r="D444" t="n">
        <v>0.09131567352969819</v>
      </c>
      <c r="E444" t="n">
        <v>0.01274370603453961</v>
      </c>
      <c r="F444" t="n">
        <v>0.003764249521602246</v>
      </c>
      <c r="G444" t="n">
        <v>0.03127568282019258</v>
      </c>
      <c r="H444" t="n">
        <v>0.02551311188947889</v>
      </c>
    </row>
    <row r="445">
      <c r="A445" t="inlineStr">
        <is>
          <t>G|FICO x CHANNEL / REV_DEBT|gco_rate|book|7</t>
        </is>
      </c>
      <c r="H445" t="n">
        <v>0.6132183435214595</v>
      </c>
    </row>
    <row r="446">
      <c r="A446" t="inlineStr">
        <is>
          <t>G|FICO x CHANNEL / REV_DEBT|gco_rate|band|7</t>
        </is>
      </c>
    </row>
    <row r="447">
      <c r="A447" t="inlineStr">
        <is>
          <t>G|FICO x CHANNEL / REV_DEBT|gco_rate|rate|8</t>
        </is>
      </c>
      <c r="B447" t="n">
        <v>0.04556448944853227</v>
      </c>
      <c r="C447" t="n">
        <v>0.02272611598181003</v>
      </c>
      <c r="D447" t="n">
        <v>0.0701707518023539</v>
      </c>
      <c r="E447" t="n">
        <v>0.03095395698538307</v>
      </c>
      <c r="F447" t="n">
        <v>0.0543572497406653</v>
      </c>
      <c r="G447" t="n">
        <v>0.02661848619431711</v>
      </c>
      <c r="H447" t="n">
        <v>0.04160526533333562</v>
      </c>
    </row>
    <row r="448">
      <c r="A448" t="inlineStr">
        <is>
          <t>G|FICO x CHANNEL / REV_DEBT|gco_rate|book|8</t>
        </is>
      </c>
      <c r="B448" t="n">
        <v>1.095161611961271</v>
      </c>
      <c r="C448" t="n">
        <v>0.5462317281173794</v>
      </c>
      <c r="D448" t="n">
        <v>1.686583446593971</v>
      </c>
      <c r="E448" t="n">
        <v>0.7439913370912129</v>
      </c>
      <c r="F448" t="n">
        <v>1.306499292941951</v>
      </c>
      <c r="G448" t="n">
        <v>0.6397864784914474</v>
      </c>
      <c r="H448" t="n">
        <v>0.9999999999999993</v>
      </c>
    </row>
    <row r="449">
      <c r="A449" t="inlineStr">
        <is>
          <t>G|FICO x CHANNEL / REV_DEBT|gco_rate|band|8</t>
        </is>
      </c>
    </row>
    <row r="450">
      <c r="A450" t="inlineStr">
        <is>
          <t>G|FICO x CHANNEL / REV_DEBT|gco_rate|meta</t>
        </is>
      </c>
      <c r="B450" t="inlineStr">
        <is>
          <t>x</t>
        </is>
      </c>
      <c r="C450" t="n">
        <v>4.626043729847294</v>
      </c>
      <c r="D450" t="n">
        <v>10</v>
      </c>
      <c r="E450" t="n">
        <v>0.04160526533333565</v>
      </c>
      <c r="F450" t="n">
        <v>65</v>
      </c>
    </row>
    <row r="451">
      <c r="A451" t="inlineStr">
        <is>
          <t>G|FICO x CHANNEL / REV_DEBT|ranr_rate|rate|1</t>
        </is>
      </c>
      <c r="B451" t="n">
        <v>0.2011315244474042</v>
      </c>
      <c r="C451" t="n">
        <v>0.2325369984027331</v>
      </c>
      <c r="D451" t="n">
        <v>0.08835866727492452</v>
      </c>
      <c r="E451" t="n">
        <v>0.1849053745225698</v>
      </c>
      <c r="F451" t="n">
        <v>0.1928686922017278</v>
      </c>
      <c r="G451" t="n">
        <v>0.2382051441386441</v>
      </c>
      <c r="H451" t="n">
        <v>0.1901717430158449</v>
      </c>
    </row>
    <row r="452">
      <c r="A452" t="inlineStr">
        <is>
          <t>G|FICO x CHANNEL / REV_DEBT|ranr_rate|book|1</t>
        </is>
      </c>
      <c r="B452" t="n">
        <v>7.31414748</v>
      </c>
      <c r="C452" t="n">
        <v>10.454694875</v>
      </c>
      <c r="D452" t="n">
        <v>-3.963138237</v>
      </c>
      <c r="E452" t="n">
        <v>5.691532487</v>
      </c>
      <c r="F452" t="n">
        <v>6.487864255</v>
      </c>
      <c r="G452" t="n">
        <v>11.021509449</v>
      </c>
      <c r="H452" t="n">
        <v>6.218169337</v>
      </c>
    </row>
    <row r="453">
      <c r="A453" t="inlineStr">
        <is>
          <t>G|FICO x CHANNEL / REV_DEBT|ranr_rate|band|1</t>
        </is>
      </c>
      <c r="B453" t="n">
        <v>1.302466379</v>
      </c>
      <c r="C453" t="n">
        <v>5.064230024</v>
      </c>
      <c r="D453" t="n">
        <v>-12.168685831</v>
      </c>
      <c r="E453" t="n">
        <v>-0.636403059</v>
      </c>
      <c r="F453" t="n">
        <v>0.323698344</v>
      </c>
      <c r="G453" t="n">
        <v>5.824995722</v>
      </c>
    </row>
    <row r="454">
      <c r="A454" t="inlineStr">
        <is>
          <t>G|FICO x CHANNEL / REV_DEBT|ranr_rate|rate|2</t>
        </is>
      </c>
      <c r="B454" t="n">
        <v>0.1424456742903309</v>
      </c>
      <c r="C454" t="n">
        <v>0.1575057851966389</v>
      </c>
      <c r="D454" t="n">
        <v>0.1351536663082026</v>
      </c>
      <c r="E454" t="n">
        <v>0.1806487831133013</v>
      </c>
      <c r="F454" t="n">
        <v>0.1582616721313757</v>
      </c>
      <c r="G454" t="n">
        <v>0.2034526578879852</v>
      </c>
      <c r="H454" t="n">
        <v>0.1630754408239561</v>
      </c>
    </row>
    <row r="455">
      <c r="A455" t="inlineStr">
        <is>
          <t>G|FICO x CHANNEL / REV_DEBT|ranr_rate|book|2</t>
        </is>
      </c>
      <c r="B455" t="n">
        <v>1.445562464</v>
      </c>
      <c r="C455" t="n">
        <v>2.951573555</v>
      </c>
      <c r="D455" t="n">
        <v>0.716361666</v>
      </c>
      <c r="E455" t="n">
        <v>5.265873347</v>
      </c>
      <c r="F455" t="n">
        <v>3.027162248</v>
      </c>
      <c r="G455" t="n">
        <v>7.546260824</v>
      </c>
      <c r="H455" t="n">
        <v>3.508539118</v>
      </c>
    </row>
    <row r="456">
      <c r="A456" t="inlineStr">
        <is>
          <t>G|FICO x CHANNEL / REV_DEBT|ranr_rate|band|2</t>
        </is>
      </c>
      <c r="B456" t="n">
        <v>-2.444617049</v>
      </c>
      <c r="C456" t="n">
        <v>-0.672396621</v>
      </c>
      <c r="D456" t="n">
        <v>-3.385803129</v>
      </c>
      <c r="E456" t="n">
        <v>2.131849075</v>
      </c>
      <c r="F456" t="n">
        <v>-0.569378143</v>
      </c>
      <c r="G456" t="n">
        <v>4.845189868</v>
      </c>
    </row>
    <row r="457">
      <c r="A457" t="inlineStr">
        <is>
          <t>G|FICO x CHANNEL / REV_DEBT|ranr_rate|rate|3</t>
        </is>
      </c>
      <c r="B457" t="n">
        <v>0.126172464243062</v>
      </c>
      <c r="C457" t="n">
        <v>0.1333122251004606</v>
      </c>
      <c r="D457" t="n">
        <v>0.1160083101291299</v>
      </c>
      <c r="E457" t="n">
        <v>0.1378880817575027</v>
      </c>
      <c r="F457" t="n">
        <v>0.1404065997045983</v>
      </c>
      <c r="G457" t="n">
        <v>0.1958164806546211</v>
      </c>
      <c r="H457" t="n">
        <v>0.1419183148673722</v>
      </c>
    </row>
    <row r="458">
      <c r="A458" t="inlineStr">
        <is>
          <t>G|FICO x CHANNEL / REV_DEBT|ranr_rate|book|3</t>
        </is>
      </c>
      <c r="B458" t="n">
        <v>-0.181758541</v>
      </c>
      <c r="C458" t="n">
        <v>0.532217545</v>
      </c>
      <c r="D458" t="n">
        <v>-1.198173952</v>
      </c>
      <c r="E458" t="n">
        <v>0.989803211</v>
      </c>
      <c r="F458" t="n">
        <v>1.241655006</v>
      </c>
      <c r="G458" t="n">
        <v>6.782643101</v>
      </c>
      <c r="H458" t="n">
        <v>1.392826522</v>
      </c>
    </row>
    <row r="459">
      <c r="A459" t="inlineStr">
        <is>
          <t>G|FICO x CHANNEL / REV_DEBT|ranr_rate|band|3</t>
        </is>
      </c>
      <c r="B459" t="n">
        <v>-1.87947671</v>
      </c>
      <c r="C459" t="n">
        <v>-1.034216958</v>
      </c>
      <c r="D459" t="n">
        <v>-3.095482356</v>
      </c>
      <c r="E459" t="n">
        <v>-0.480232401</v>
      </c>
      <c r="F459" t="n">
        <v>-0.183605388</v>
      </c>
      <c r="G459" t="n">
        <v>6.489973088</v>
      </c>
    </row>
    <row r="460">
      <c r="A460" t="inlineStr">
        <is>
          <t>G|FICO x CHANNEL / REV_DEBT|ranr_rate|rate|4</t>
        </is>
      </c>
      <c r="B460" t="n">
        <v>0.07171734981396456</v>
      </c>
      <c r="C460" t="n">
        <v>0.1004781198936935</v>
      </c>
      <c r="D460" t="n">
        <v>0.09612704622259931</v>
      </c>
      <c r="E460" t="n">
        <v>0.08630045888007105</v>
      </c>
      <c r="F460" t="n">
        <v>0.09774697116590221</v>
      </c>
      <c r="G460" t="n">
        <v>0.1208754445911143</v>
      </c>
      <c r="H460" t="n">
        <v>0.09596924359374785</v>
      </c>
    </row>
    <row r="461">
      <c r="A461" t="inlineStr">
        <is>
          <t>G|FICO x CHANNEL / REV_DEBT|ranr_rate|book|4</t>
        </is>
      </c>
      <c r="B461" t="n">
        <v>-5.627269983</v>
      </c>
      <c r="C461" t="n">
        <v>-2.751192975</v>
      </c>
      <c r="D461" t="n">
        <v>-3.186300343</v>
      </c>
      <c r="E461" t="n">
        <v>-4.168959077</v>
      </c>
      <c r="F461" t="n">
        <v>-3.024307848</v>
      </c>
      <c r="G461" t="n">
        <v>-0.711460506</v>
      </c>
      <c r="H461" t="n">
        <v>-3.202080605</v>
      </c>
    </row>
    <row r="462">
      <c r="A462" t="inlineStr">
        <is>
          <t>G|FICO x CHANNEL / REV_DEBT|ranr_rate|band|4</t>
        </is>
      </c>
      <c r="B462" t="n">
        <v>-2.906983502</v>
      </c>
      <c r="C462" t="n">
        <v>0.535074177</v>
      </c>
      <c r="D462" t="n">
        <v>0.018716746</v>
      </c>
      <c r="E462" t="n">
        <v>-1.151943003</v>
      </c>
      <c r="F462" t="n">
        <v>0.216216005</v>
      </c>
      <c r="G462" t="n">
        <v>3.043212313</v>
      </c>
    </row>
    <row r="463">
      <c r="A463" t="inlineStr">
        <is>
          <t>G|FICO x CHANNEL / REV_DEBT|ranr_rate|rate|5</t>
        </is>
      </c>
      <c r="B463" t="n">
        <v>0.0424806706643388</v>
      </c>
      <c r="C463" t="n">
        <v>0.04671850964056586</v>
      </c>
      <c r="D463" t="n">
        <v>0.04368114076708252</v>
      </c>
      <c r="E463" t="n">
        <v>0.05372737359735346</v>
      </c>
      <c r="F463" t="n">
        <v>0.0488350511630867</v>
      </c>
      <c r="G463" t="n">
        <v>0.04415301812649041</v>
      </c>
      <c r="H463" t="n">
        <v>0.04674341748455087</v>
      </c>
    </row>
    <row r="464">
      <c r="A464" t="inlineStr">
        <is>
          <t>G|FICO x CHANNEL / REV_DEBT|ranr_rate|book|5</t>
        </is>
      </c>
      <c r="B464" t="n">
        <v>-8.550937898000001</v>
      </c>
      <c r="C464" t="n">
        <v>-8.127154000999999</v>
      </c>
      <c r="D464" t="n">
        <v>-8.430890888</v>
      </c>
      <c r="E464" t="n">
        <v>-7.426267605</v>
      </c>
      <c r="F464" t="n">
        <v>-7.915499849</v>
      </c>
      <c r="G464" t="n">
        <v>-8.383703152000001</v>
      </c>
      <c r="H464" t="n">
        <v>-8.124663216</v>
      </c>
    </row>
    <row r="465">
      <c r="A465" t="inlineStr">
        <is>
          <t>G|FICO x CHANNEL / REV_DEBT|ranr_rate|band|5</t>
        </is>
      </c>
      <c r="B465" t="n">
        <v>-0.510244013</v>
      </c>
      <c r="C465" t="n">
        <v>-0.002968811</v>
      </c>
      <c r="D465" t="n">
        <v>-0.36464141</v>
      </c>
      <c r="E465" t="n">
        <v>0.850615055</v>
      </c>
      <c r="F465" t="n">
        <v>0.25323055</v>
      </c>
      <c r="G465" t="n">
        <v>-0.308840325</v>
      </c>
    </row>
    <row r="466">
      <c r="A466" t="inlineStr">
        <is>
          <t>G|FICO x CHANNEL / REV_DEBT|ranr_rate|rate|6</t>
        </is>
      </c>
      <c r="E466" t="n">
        <v>0.140296941334961</v>
      </c>
      <c r="H466" t="n">
        <v>0.140296941334961</v>
      </c>
    </row>
    <row r="467">
      <c r="A467" t="inlineStr">
        <is>
          <t>G|FICO x CHANNEL / REV_DEBT|ranr_rate|book|6</t>
        </is>
      </c>
      <c r="E467" t="n">
        <v>1.230689169</v>
      </c>
      <c r="H467" t="n">
        <v>1.230689169</v>
      </c>
    </row>
    <row r="468">
      <c r="A468" t="inlineStr">
        <is>
          <t>G|FICO x CHANNEL / REV_DEBT|ranr_rate|band|6</t>
        </is>
      </c>
    </row>
    <row r="469">
      <c r="A469" t="inlineStr">
        <is>
          <t>G|FICO x CHANNEL / REV_DEBT|ranr_rate|rate|7</t>
        </is>
      </c>
      <c r="B469" t="n">
        <v>0.1736583186280072</v>
      </c>
      <c r="C469" t="n">
        <v>0.1250233094689125</v>
      </c>
      <c r="D469" t="n">
        <v>0.103272930869145</v>
      </c>
      <c r="E469" t="n">
        <v>0.1481858443700458</v>
      </c>
      <c r="F469" t="n">
        <v>0.2662747012704696</v>
      </c>
      <c r="G469" t="n">
        <v>0.1233105954563344</v>
      </c>
      <c r="H469" t="n">
        <v>0.1551731988462655</v>
      </c>
    </row>
    <row r="470">
      <c r="A470" t="inlineStr">
        <is>
          <t>G|FICO x CHANNEL / REV_DEBT|ranr_rate|book|7</t>
        </is>
      </c>
      <c r="B470" t="n">
        <v>4.566826898</v>
      </c>
      <c r="C470" t="n">
        <v>-0.296674018</v>
      </c>
      <c r="D470" t="n">
        <v>-2.471711878</v>
      </c>
      <c r="E470" t="n">
        <v>2.019579472</v>
      </c>
      <c r="F470" t="n">
        <v>13.828465162</v>
      </c>
      <c r="G470" t="n">
        <v>-0.467945419</v>
      </c>
      <c r="H470" t="n">
        <v>2.71831492</v>
      </c>
    </row>
    <row r="471">
      <c r="A471" t="inlineStr">
        <is>
          <t>G|FICO x CHANNEL / REV_DEBT|ranr_rate|band|7</t>
        </is>
      </c>
      <c r="B471" t="n">
        <v>2.177161158</v>
      </c>
      <c r="C471" t="n">
        <v>-3.694574258</v>
      </c>
      <c r="D471" t="n">
        <v>-6.164243962</v>
      </c>
      <c r="E471" t="n">
        <v>-0.829329926</v>
      </c>
      <c r="F471" t="n">
        <v>13.262026215</v>
      </c>
      <c r="G471" t="n">
        <v>-3.920749623</v>
      </c>
    </row>
    <row r="472">
      <c r="A472" t="inlineStr">
        <is>
          <t>G|FICO x CHANNEL / REV_DEBT|ranr_rate|rate|8</t>
        </is>
      </c>
      <c r="B472" t="n">
        <v>0.1167796626585477</v>
      </c>
      <c r="C472" t="n">
        <v>0.1345216727452018</v>
      </c>
      <c r="D472" t="n">
        <v>0.09660243674579157</v>
      </c>
      <c r="E472" t="n">
        <v>0.1288876631752017</v>
      </c>
      <c r="F472" t="n">
        <v>0.128900615051415</v>
      </c>
      <c r="G472" t="n">
        <v>0.160450234785294</v>
      </c>
      <c r="H472" t="n">
        <v>0.1279900496481476</v>
      </c>
    </row>
    <row r="473">
      <c r="A473" t="inlineStr">
        <is>
          <t>G|FICO x CHANNEL / REV_DEBT|ranr_rate|book|8</t>
        </is>
      </c>
      <c r="B473" t="n">
        <v>-1.121038699</v>
      </c>
      <c r="C473" t="n">
        <v>0.65316231</v>
      </c>
      <c r="D473" t="n">
        <v>-3.13876129</v>
      </c>
      <c r="E473" t="n">
        <v>0.089761353</v>
      </c>
      <c r="F473" t="n">
        <v>0.09105654000000001</v>
      </c>
      <c r="G473" t="n">
        <v>3.246018514</v>
      </c>
      <c r="H473" t="n">
        <v>0</v>
      </c>
    </row>
    <row r="474">
      <c r="A474" t="inlineStr">
        <is>
          <t>G|FICO x CHANNEL / REV_DEBT|ranr_rate|band|8</t>
        </is>
      </c>
    </row>
    <row r="475">
      <c r="A475" t="inlineStr">
        <is>
          <t>G|FICO x CHANNEL / REV_DEBT|ranr_rate|meta</t>
        </is>
      </c>
      <c r="B475" t="inlineStr">
        <is>
          <t>pts</t>
        </is>
      </c>
      <c r="C475" t="n">
        <v>12.168685831</v>
      </c>
      <c r="D475" t="n">
        <v>10</v>
      </c>
      <c r="E475" t="n">
        <v>0.1279900496481481</v>
      </c>
      <c r="F475" t="n">
        <v>65</v>
      </c>
    </row>
    <row r="476">
      <c r="A476" t="inlineStr">
        <is>
          <t>G|FICO x CHANNEL / REV_DEBT|contribution_rate|rate|1</t>
        </is>
      </c>
      <c r="B476" t="n">
        <v>0.2826316386742523</v>
      </c>
      <c r="C476" t="n">
        <v>0.2595125291868816</v>
      </c>
      <c r="D476" t="n">
        <v>0.2808264440988348</v>
      </c>
      <c r="E476" t="n">
        <v>0.2785114310704362</v>
      </c>
      <c r="F476" t="n">
        <v>0.2662241987474842</v>
      </c>
      <c r="G476" t="n">
        <v>0.274159451942069</v>
      </c>
      <c r="H476" t="n">
        <v>0.2736243023088952</v>
      </c>
    </row>
    <row r="477">
      <c r="A477" t="inlineStr">
        <is>
          <t>G|FICO x CHANNEL / REV_DEBT|contribution_rate|book|1</t>
        </is>
      </c>
      <c r="B477" t="n">
        <v>11.303918294</v>
      </c>
      <c r="C477" t="n">
        <v>8.992007344999999</v>
      </c>
      <c r="D477" t="n">
        <v>11.123398836</v>
      </c>
      <c r="E477" t="n">
        <v>10.891897534</v>
      </c>
      <c r="F477" t="n">
        <v>9.663174301</v>
      </c>
      <c r="G477" t="n">
        <v>10.456699621</v>
      </c>
      <c r="H477" t="n">
        <v>10.403184657</v>
      </c>
    </row>
    <row r="478">
      <c r="A478" t="inlineStr">
        <is>
          <t>G|FICO x CHANNEL / REV_DEBT|contribution_rate|band|1</t>
        </is>
      </c>
      <c r="B478" t="n">
        <v>1.070436747</v>
      </c>
      <c r="C478" t="n">
        <v>-1.686883851</v>
      </c>
      <c r="D478" t="n">
        <v>0.8607990679999999</v>
      </c>
      <c r="E478" t="n">
        <v>0.590574643</v>
      </c>
      <c r="F478" t="n">
        <v>-0.888189248</v>
      </c>
      <c r="G478" t="n">
        <v>0.06489743100000001</v>
      </c>
    </row>
    <row r="479">
      <c r="A479" t="inlineStr">
        <is>
          <t>G|FICO x CHANNEL / REV_DEBT|contribution_rate|rate|2</t>
        </is>
      </c>
      <c r="B479" t="n">
        <v>0.2012215780644014</v>
      </c>
      <c r="C479" t="n">
        <v>0.1996314788333542</v>
      </c>
      <c r="D479" t="n">
        <v>0.2004545966712609</v>
      </c>
      <c r="E479" t="n">
        <v>0.1999113461873617</v>
      </c>
      <c r="F479" t="n">
        <v>0.2248319647541358</v>
      </c>
      <c r="G479" t="n">
        <v>0.2255647572918433</v>
      </c>
      <c r="H479" t="n">
        <v>0.2082899782331104</v>
      </c>
    </row>
    <row r="480">
      <c r="A480" t="inlineStr">
        <is>
          <t>G|FICO x CHANNEL / REV_DEBT|contribution_rate|book|2</t>
        </is>
      </c>
      <c r="B480" t="n">
        <v>3.162912233</v>
      </c>
      <c r="C480" t="n">
        <v>3.00390231</v>
      </c>
      <c r="D480" t="n">
        <v>3.086214094</v>
      </c>
      <c r="E480" t="n">
        <v>3.031889045</v>
      </c>
      <c r="F480" t="n">
        <v>5.523950902</v>
      </c>
      <c r="G480" t="n">
        <v>5.597230156</v>
      </c>
      <c r="H480" t="n">
        <v>3.86975225</v>
      </c>
    </row>
    <row r="481">
      <c r="A481" t="inlineStr">
        <is>
          <t>G|FICO x CHANNEL / REV_DEBT|contribution_rate|band|2</t>
        </is>
      </c>
      <c r="B481" t="n">
        <v>-0.837601896</v>
      </c>
      <c r="C481" t="n">
        <v>-1.045297256</v>
      </c>
      <c r="D481" t="n">
        <v>-0.950120824</v>
      </c>
      <c r="E481" t="n">
        <v>-1.016424689</v>
      </c>
      <c r="F481" t="n">
        <v>1.956605349</v>
      </c>
      <c r="G481" t="n">
        <v>2.072940895</v>
      </c>
    </row>
    <row r="482">
      <c r="A482" t="inlineStr">
        <is>
          <t>G|FICO x CHANNEL / REV_DEBT|contribution_rate|rate|3</t>
        </is>
      </c>
      <c r="B482" t="n">
        <v>0.1599355463163935</v>
      </c>
      <c r="C482" t="n">
        <v>0.1482096879324939</v>
      </c>
      <c r="D482" t="n">
        <v>0.1556767621345781</v>
      </c>
      <c r="E482" t="n">
        <v>0.150847799418986</v>
      </c>
      <c r="F482" t="n">
        <v>0.2062161544199508</v>
      </c>
      <c r="G482" t="n">
        <v>0.2156576513046638</v>
      </c>
      <c r="H482" t="n">
        <v>0.1734333199610001</v>
      </c>
    </row>
    <row r="483">
      <c r="A483" t="inlineStr">
        <is>
          <t>G|FICO x CHANNEL / REV_DEBT|contribution_rate|book|3</t>
        </is>
      </c>
      <c r="B483" t="n">
        <v>-0.9656909420000001</v>
      </c>
      <c r="C483" t="n">
        <v>-2.13827678</v>
      </c>
      <c r="D483" t="n">
        <v>-1.39156936</v>
      </c>
      <c r="E483" t="n">
        <v>-1.874465632</v>
      </c>
      <c r="F483" t="n">
        <v>3.662369868</v>
      </c>
      <c r="G483" t="n">
        <v>4.606519557</v>
      </c>
      <c r="H483" t="n">
        <v>0.384086423</v>
      </c>
    </row>
    <row r="484">
      <c r="A484" t="inlineStr">
        <is>
          <t>G|FICO x CHANNEL / REV_DEBT|contribution_rate|band|3</t>
        </is>
      </c>
      <c r="B484" t="n">
        <v>-1.61113882</v>
      </c>
      <c r="C484" t="n">
        <v>-3.031191713</v>
      </c>
      <c r="D484" t="n">
        <v>-2.12138562</v>
      </c>
      <c r="E484" t="n">
        <v>-2.691233601</v>
      </c>
      <c r="F484" t="n">
        <v>3.981639662</v>
      </c>
      <c r="G484" t="n">
        <v>5.084306118</v>
      </c>
    </row>
    <row r="485">
      <c r="A485" t="inlineStr">
        <is>
          <t>G|FICO x CHANNEL / REV_DEBT|contribution_rate|rate|4</t>
        </is>
      </c>
      <c r="B485" t="n">
        <v>0.1050132241944739</v>
      </c>
      <c r="C485" t="n">
        <v>0.112341198368954</v>
      </c>
      <c r="D485" t="n">
        <v>0.1171068579824875</v>
      </c>
      <c r="E485" t="n">
        <v>0.1068444709397379</v>
      </c>
      <c r="F485" t="n">
        <v>0.1540018625192209</v>
      </c>
      <c r="G485" t="n">
        <v>0.1552120025864345</v>
      </c>
      <c r="H485" t="n">
        <v>0.1261938892004919</v>
      </c>
    </row>
    <row r="486">
      <c r="A486" t="inlineStr">
        <is>
          <t>G|FICO x CHANNEL / REV_DEBT|contribution_rate|book|4</t>
        </is>
      </c>
      <c r="B486" t="n">
        <v>-6.457923154</v>
      </c>
      <c r="C486" t="n">
        <v>-5.725125737</v>
      </c>
      <c r="D486" t="n">
        <v>-5.248559775</v>
      </c>
      <c r="E486" t="n">
        <v>-6.27479848</v>
      </c>
      <c r="F486" t="n">
        <v>-1.559059322</v>
      </c>
      <c r="G486" t="n">
        <v>-1.438045315</v>
      </c>
      <c r="H486" t="n">
        <v>-4.339856653</v>
      </c>
    </row>
    <row r="487">
      <c r="A487" t="inlineStr">
        <is>
          <t>G|FICO x CHANNEL / REV_DEBT|contribution_rate|band|4</t>
        </is>
      </c>
      <c r="B487" t="n">
        <v>-2.539238801</v>
      </c>
      <c r="C487" t="n">
        <v>-1.642640361</v>
      </c>
      <c r="D487" t="n">
        <v>-1.077955731</v>
      </c>
      <c r="E487" t="n">
        <v>-2.305640586</v>
      </c>
      <c r="F487" t="n">
        <v>3.382711412</v>
      </c>
      <c r="G487" t="n">
        <v>3.546245635</v>
      </c>
    </row>
    <row r="488">
      <c r="A488" t="inlineStr">
        <is>
          <t>G|FICO x CHANNEL / REV_DEBT|contribution_rate|rate|5</t>
        </is>
      </c>
      <c r="B488" t="n">
        <v>0.06799639182839903</v>
      </c>
      <c r="C488" t="n">
        <v>0.06632870320011271</v>
      </c>
      <c r="D488" t="n">
        <v>0.07171240291362092</v>
      </c>
      <c r="E488" t="n">
        <v>0.06279059047079409</v>
      </c>
      <c r="F488" t="n">
        <v>0.06554176596357127</v>
      </c>
      <c r="G488" t="n">
        <v>0.06295671923977922</v>
      </c>
      <c r="H488" t="n">
        <v>0.06615176452409988</v>
      </c>
    </row>
    <row r="489">
      <c r="A489" t="inlineStr">
        <is>
          <t>G|FICO x CHANNEL / REV_DEBT|contribution_rate|book|5</t>
        </is>
      </c>
      <c r="B489" t="n">
        <v>-10.159606391</v>
      </c>
      <c r="C489" t="n">
        <v>-10.326375253</v>
      </c>
      <c r="D489" t="n">
        <v>-9.788005282</v>
      </c>
      <c r="E489" t="n">
        <v>-10.680186526</v>
      </c>
      <c r="F489" t="n">
        <v>-10.405068977</v>
      </c>
      <c r="G489" t="n">
        <v>-10.66357365</v>
      </c>
      <c r="H489" t="n">
        <v>-10.344069121</v>
      </c>
    </row>
    <row r="490">
      <c r="A490" t="inlineStr">
        <is>
          <t>G|FICO x CHANNEL / REV_DEBT|contribution_rate|band|5</t>
        </is>
      </c>
      <c r="B490" t="n">
        <v>0.220798954</v>
      </c>
      <c r="C490" t="n">
        <v>0.021089639</v>
      </c>
      <c r="D490" t="n">
        <v>0.662134487</v>
      </c>
      <c r="E490" t="n">
        <v>-0.409376177</v>
      </c>
      <c r="F490" t="n">
        <v>-0.073851494</v>
      </c>
      <c r="G490" t="n">
        <v>-0.380929227</v>
      </c>
    </row>
    <row r="491">
      <c r="A491" t="inlineStr">
        <is>
          <t>G|FICO x CHANNEL / REV_DEBT|contribution_rate|rate|6</t>
        </is>
      </c>
      <c r="E491" t="n">
        <v>0.140296941334961</v>
      </c>
      <c r="H491" t="n">
        <v>0.140296941334961</v>
      </c>
    </row>
    <row r="492">
      <c r="A492" t="inlineStr">
        <is>
          <t>G|FICO x CHANNEL / REV_DEBT|contribution_rate|book|6</t>
        </is>
      </c>
      <c r="E492" t="n">
        <v>-2.92955144</v>
      </c>
      <c r="H492" t="n">
        <v>-2.92955144</v>
      </c>
    </row>
    <row r="493">
      <c r="A493" t="inlineStr">
        <is>
          <t>G|FICO x CHANNEL / REV_DEBT|contribution_rate|band|6</t>
        </is>
      </c>
    </row>
    <row r="494">
      <c r="A494" t="inlineStr">
        <is>
          <t>G|FICO x CHANNEL / REV_DEBT|contribution_rate|rate|7</t>
        </is>
      </c>
      <c r="B494" t="n">
        <v>0.190913742635024</v>
      </c>
      <c r="C494" t="n">
        <v>0.1250233094689125</v>
      </c>
      <c r="D494" t="n">
        <v>0.1945886043988433</v>
      </c>
      <c r="E494" t="n">
        <v>0.1609295504045854</v>
      </c>
      <c r="F494" t="n">
        <v>0.2700389507920719</v>
      </c>
      <c r="G494" t="n">
        <v>0.154586278276527</v>
      </c>
      <c r="H494" t="n">
        <v>0.1806863107357444</v>
      </c>
    </row>
    <row r="495">
      <c r="A495" t="inlineStr">
        <is>
          <t>G|FICO x CHANNEL / REV_DEBT|contribution_rate|book|7</t>
        </is>
      </c>
      <c r="B495" t="n">
        <v>2.13212869</v>
      </c>
      <c r="C495" t="n">
        <v>-4.456914627</v>
      </c>
      <c r="D495" t="n">
        <v>2.499614866</v>
      </c>
      <c r="E495" t="n">
        <v>-0.866290533</v>
      </c>
      <c r="F495" t="n">
        <v>10.044649506</v>
      </c>
      <c r="G495" t="n">
        <v>-1.500617746</v>
      </c>
      <c r="H495" t="n">
        <v>1.1093855</v>
      </c>
    </row>
    <row r="496">
      <c r="A496" t="inlineStr">
        <is>
          <t>G|FICO x CHANNEL / REV_DEBT|contribution_rate|band|7</t>
        </is>
      </c>
      <c r="B496" t="n">
        <v>1.204577938</v>
      </c>
      <c r="C496" t="n">
        <v>-6.820956755</v>
      </c>
      <c r="D496" t="n">
        <v>1.65118858</v>
      </c>
      <c r="E496" t="n">
        <v>-2.34493221</v>
      </c>
      <c r="F496" t="n">
        <v>10.66589586</v>
      </c>
      <c r="G496" t="n">
        <v>-3.211655092</v>
      </c>
    </row>
    <row r="497">
      <c r="A497" t="inlineStr">
        <is>
          <t>G|FICO x CHANNEL / REV_DEBT|contribution_rate|rate|8</t>
        </is>
      </c>
      <c r="B497" t="n">
        <v>0.1623441521070799</v>
      </c>
      <c r="C497" t="n">
        <v>0.1572365125792882</v>
      </c>
      <c r="D497" t="n">
        <v>0.1667731885481454</v>
      </c>
      <c r="E497" t="n">
        <v>0.1598416201605849</v>
      </c>
      <c r="F497" t="n">
        <v>0.1832578647920803</v>
      </c>
      <c r="G497" t="n">
        <v>0.187068720979611</v>
      </c>
      <c r="H497" t="n">
        <v>0.1695924557349811</v>
      </c>
    </row>
    <row r="498">
      <c r="A498" t="inlineStr">
        <is>
          <t>G|FICO x CHANNEL / REV_DEBT|contribution_rate|book|8</t>
        </is>
      </c>
      <c r="B498" t="n">
        <v>-0.724830363</v>
      </c>
      <c r="C498" t="n">
        <v>-1.235594316</v>
      </c>
      <c r="D498" t="n">
        <v>-0.281926719</v>
      </c>
      <c r="E498" t="n">
        <v>-0.975083557</v>
      </c>
      <c r="F498" t="n">
        <v>1.366540906</v>
      </c>
      <c r="G498" t="n">
        <v>1.747626524</v>
      </c>
      <c r="H498" t="n">
        <v>0</v>
      </c>
    </row>
    <row r="499">
      <c r="A499" t="inlineStr">
        <is>
          <t>G|FICO x CHANNEL / REV_DEBT|contribution_rate|band|8</t>
        </is>
      </c>
    </row>
    <row r="500">
      <c r="A500" t="inlineStr">
        <is>
          <t>G|FICO x CHANNEL / REV_DEBT|contribution_rate|meta</t>
        </is>
      </c>
      <c r="B500" t="inlineStr">
        <is>
          <t>pts</t>
        </is>
      </c>
      <c r="C500" t="n">
        <v>11.303918294</v>
      </c>
      <c r="D500" t="n">
        <v>10</v>
      </c>
      <c r="E500" t="n">
        <v>0.1695924557349815</v>
      </c>
      <c r="F500" t="n">
        <v>65</v>
      </c>
    </row>
    <row r="501">
      <c r="A501" t="inlineStr">
        <is>
          <t>G|FICO x CHANNEL / REV_DEBT|loan_size|rate|1</t>
        </is>
      </c>
      <c r="B501" t="n">
        <v>32053.3625498008</v>
      </c>
      <c r="C501" t="n">
        <v>33045.07087649402</v>
      </c>
      <c r="D501" t="n">
        <v>31755.2014559387</v>
      </c>
      <c r="E501" t="n">
        <v>33408.24351145038</v>
      </c>
      <c r="F501" t="n">
        <v>31948.72139622641</v>
      </c>
      <c r="G501" t="n">
        <v>33461.53045112782</v>
      </c>
      <c r="H501" t="n">
        <v>32614.36532133676</v>
      </c>
    </row>
    <row r="502">
      <c r="A502" t="inlineStr">
        <is>
          <t>G|FICO x CHANNEL / REV_DEBT|loan_size|median|1</t>
        </is>
      </c>
      <c r="B502" t="n">
        <v>29676.69</v>
      </c>
      <c r="C502" t="n">
        <v>32872.04</v>
      </c>
      <c r="D502" t="n">
        <v>31335.56</v>
      </c>
      <c r="E502" t="n">
        <v>33611.66</v>
      </c>
      <c r="F502" t="n">
        <v>31641.43</v>
      </c>
      <c r="G502" t="n">
        <v>34937.175</v>
      </c>
      <c r="H502" t="n">
        <v>32375.37</v>
      </c>
    </row>
    <row r="503">
      <c r="A503" t="inlineStr">
        <is>
          <t>G|FICO x CHANNEL / REV_DEBT|loan_size|book|1</t>
        </is>
      </c>
      <c r="B503" t="n">
        <v>0.9935149026551316</v>
      </c>
      <c r="C503" t="n">
        <v>1.024253549813479</v>
      </c>
      <c r="D503" t="n">
        <v>0.9842732048556042</v>
      </c>
      <c r="E503" t="n">
        <v>1.035510322780904</v>
      </c>
      <c r="F503" t="n">
        <v>0.990271481770797</v>
      </c>
      <c r="G503" t="n">
        <v>1.037161986271877</v>
      </c>
      <c r="H503" t="n">
        <v>1.010903549886318</v>
      </c>
    </row>
    <row r="504">
      <c r="A504" t="inlineStr">
        <is>
          <t>G|FICO x CHANNEL / REV_DEBT|loan_size|band|1</t>
        </is>
      </c>
      <c r="B504" t="n">
        <v>0.9795581261545143</v>
      </c>
      <c r="C504" t="n">
        <v>1.015786110433636</v>
      </c>
      <c r="D504" t="n">
        <v>0.9685147466042958</v>
      </c>
      <c r="E504" t="n">
        <v>1.029414803674479</v>
      </c>
      <c r="F504" t="n">
        <v>0.9755036851457781</v>
      </c>
      <c r="G504" t="n">
        <v>1.031500062220311</v>
      </c>
    </row>
    <row r="505">
      <c r="A505" t="inlineStr">
        <is>
          <t>G|FICO x CHANNEL / REV_DEBT|loan_size|rate|2</t>
        </is>
      </c>
      <c r="B505" t="n">
        <v>30693.99219123506</v>
      </c>
      <c r="C505" t="n">
        <v>33618.64571428572</v>
      </c>
      <c r="D505" t="n">
        <v>32650.41464150944</v>
      </c>
      <c r="E505" t="n">
        <v>32592.26518796992</v>
      </c>
      <c r="F505" t="n">
        <v>30267.12888888889</v>
      </c>
      <c r="G505" t="n">
        <v>32507.05936758893</v>
      </c>
      <c r="H505" t="n">
        <v>32066.01408706952</v>
      </c>
    </row>
    <row r="506">
      <c r="A506" t="inlineStr">
        <is>
          <t>G|FICO x CHANNEL / REV_DEBT|loan_size|median|2</t>
        </is>
      </c>
      <c r="B506" t="n">
        <v>30535.31</v>
      </c>
      <c r="C506" t="n">
        <v>35585.85</v>
      </c>
      <c r="D506" t="n">
        <v>34093.9</v>
      </c>
      <c r="E506" t="n">
        <v>33687.36500000001</v>
      </c>
      <c r="F506" t="n">
        <v>29776.16</v>
      </c>
      <c r="G506" t="n">
        <v>31536.52</v>
      </c>
      <c r="H506" t="n">
        <v>32343.46</v>
      </c>
    </row>
    <row r="507">
      <c r="A507" t="inlineStr">
        <is>
          <t>G|FICO x CHANNEL / REV_DEBT|loan_size|book|2</t>
        </is>
      </c>
      <c r="B507" t="n">
        <v>0.9513803307404262</v>
      </c>
      <c r="C507" t="n">
        <v>1.042031876447656</v>
      </c>
      <c r="D507" t="n">
        <v>1.012020922104802</v>
      </c>
      <c r="E507" t="n">
        <v>1.010218541821517</v>
      </c>
      <c r="F507" t="n">
        <v>0.938149423948086</v>
      </c>
      <c r="G507" t="n">
        <v>1.007577531780528</v>
      </c>
      <c r="H507" t="n">
        <v>0.9939070453140634</v>
      </c>
    </row>
    <row r="508">
      <c r="A508" t="inlineStr">
        <is>
          <t>G|FICO x CHANNEL / REV_DEBT|loan_size|band|2</t>
        </is>
      </c>
      <c r="B508" t="n">
        <v>0.9492971249374293</v>
      </c>
      <c r="C508" t="n">
        <v>1.058454860522693</v>
      </c>
      <c r="D508" t="n">
        <v>1.022099595601602</v>
      </c>
      <c r="E508" t="n">
        <v>1.019909031128805</v>
      </c>
      <c r="F508" t="n">
        <v>0.9336449404710373</v>
      </c>
      <c r="G508" t="n">
        <v>1.016504889381528</v>
      </c>
    </row>
    <row r="509">
      <c r="A509" t="inlineStr">
        <is>
          <t>G|FICO x CHANNEL / REV_DEBT|loan_size|rate|3</t>
        </is>
      </c>
      <c r="B509" t="n">
        <v>32202.1966536965</v>
      </c>
      <c r="C509" t="n">
        <v>33193.14236434109</v>
      </c>
      <c r="D509" t="n">
        <v>33257.32196</v>
      </c>
      <c r="E509" t="n">
        <v>32677.83673306773</v>
      </c>
      <c r="F509" t="n">
        <v>33011.15893772894</v>
      </c>
      <c r="G509" t="n">
        <v>31678.08882783883</v>
      </c>
      <c r="H509" t="n">
        <v>32660.96505761844</v>
      </c>
    </row>
    <row r="510">
      <c r="A510" t="inlineStr">
        <is>
          <t>G|FICO x CHANNEL / REV_DEBT|loan_size|median|3</t>
        </is>
      </c>
      <c r="B510" t="n">
        <v>33248.03</v>
      </c>
      <c r="C510" t="n">
        <v>33675.845</v>
      </c>
      <c r="D510" t="n">
        <v>33534.85000000001</v>
      </c>
      <c r="E510" t="n">
        <v>33015.4</v>
      </c>
      <c r="F510" t="n">
        <v>32824.25</v>
      </c>
      <c r="G510" t="n">
        <v>29907.76</v>
      </c>
      <c r="H510" t="n">
        <v>32657.185</v>
      </c>
    </row>
    <row r="511">
      <c r="A511" t="inlineStr">
        <is>
          <t>G|FICO x CHANNEL / REV_DEBT|loan_size|book|3</t>
        </is>
      </c>
      <c r="B511" t="n">
        <v>0.9981281128920907</v>
      </c>
      <c r="C511" t="n">
        <v>1.028843122268032</v>
      </c>
      <c r="D511" t="n">
        <v>1.030832410743912</v>
      </c>
      <c r="E511" t="n">
        <v>1.012870887738917</v>
      </c>
      <c r="F511" t="n">
        <v>1.023202427127405</v>
      </c>
      <c r="G511" t="n">
        <v>0.981883048594117</v>
      </c>
      <c r="H511" t="n">
        <v>1.012347939141384</v>
      </c>
    </row>
    <row r="512">
      <c r="A512" t="inlineStr">
        <is>
          <t>G|FICO x CHANNEL / REV_DEBT|loan_size|band|3</t>
        </is>
      </c>
      <c r="B512" t="n">
        <v>0.9832337743056733</v>
      </c>
      <c r="C512" t="n">
        <v>1.019580921260739</v>
      </c>
      <c r="D512" t="n">
        <v>1.021814139081905</v>
      </c>
      <c r="E512" t="n">
        <v>1.000615531795706</v>
      </c>
      <c r="F512" t="n">
        <v>1.013022518778266</v>
      </c>
      <c r="G512" t="n">
        <v>0.9637641269856756</v>
      </c>
    </row>
    <row r="513">
      <c r="A513" t="inlineStr">
        <is>
          <t>G|FICO x CHANNEL / REV_DEBT|loan_size|rate|4</t>
        </is>
      </c>
      <c r="B513" t="n">
        <v>31609.02682835821</v>
      </c>
      <c r="C513" t="n">
        <v>29895.33397769517</v>
      </c>
      <c r="D513" t="n">
        <v>31571.14940944882</v>
      </c>
      <c r="E513" t="n">
        <v>32201.71549019608</v>
      </c>
      <c r="F513" t="n">
        <v>32226.27507092199</v>
      </c>
      <c r="G513" t="n">
        <v>32911.70539007092</v>
      </c>
      <c r="H513" t="n">
        <v>31746.88442236025</v>
      </c>
    </row>
    <row r="514">
      <c r="A514" t="inlineStr">
        <is>
          <t>G|FICO x CHANNEL / REV_DEBT|loan_size|median|4</t>
        </is>
      </c>
      <c r="B514" t="n">
        <v>31581.23</v>
      </c>
      <c r="C514" t="n">
        <v>28591.67</v>
      </c>
      <c r="D514" t="n">
        <v>32498.06</v>
      </c>
      <c r="E514" t="n">
        <v>31750.93</v>
      </c>
      <c r="F514" t="n">
        <v>31404.575</v>
      </c>
      <c r="G514" t="n">
        <v>33711.715</v>
      </c>
      <c r="H514" t="n">
        <v>31495.24</v>
      </c>
    </row>
    <row r="515">
      <c r="A515" t="inlineStr">
        <is>
          <t>G|FICO x CHANNEL / REV_DEBT|loan_size|book|4</t>
        </is>
      </c>
      <c r="B515" t="n">
        <v>0.9797424268236382</v>
      </c>
      <c r="C515" t="n">
        <v>0.9266253978984508</v>
      </c>
      <c r="D515" t="n">
        <v>0.9785683914910854</v>
      </c>
      <c r="E515" t="n">
        <v>0.9981131989152018</v>
      </c>
      <c r="F515" t="n">
        <v>0.9988744391568845</v>
      </c>
      <c r="G515" t="n">
        <v>1.020119799475887</v>
      </c>
      <c r="H515" t="n">
        <v>0.9840154129689267</v>
      </c>
    </row>
    <row r="516">
      <c r="A516" t="inlineStr">
        <is>
          <t>G|FICO x CHANNEL / REV_DEBT|loan_size|band|4</t>
        </is>
      </c>
      <c r="B516" t="n">
        <v>0.9947949309724123</v>
      </c>
      <c r="C516" t="n">
        <v>0.9307882056178958</v>
      </c>
      <c r="D516" t="n">
        <v>0.9934344170523242</v>
      </c>
      <c r="E516" t="n">
        <v>1.017069001329088</v>
      </c>
      <c r="F516" t="n">
        <v>1.018365851874457</v>
      </c>
      <c r="G516" t="n">
        <v>1.044831454843704</v>
      </c>
    </row>
    <row r="517">
      <c r="A517" t="inlineStr">
        <is>
          <t>G|FICO x CHANNEL / REV_DEBT|loan_size|rate|5</t>
        </is>
      </c>
      <c r="B517" t="n">
        <v>32103.74752895753</v>
      </c>
      <c r="C517" t="n">
        <v>31411.03945945946</v>
      </c>
      <c r="D517" t="n">
        <v>30201.39059701492</v>
      </c>
      <c r="E517" t="n">
        <v>33737.66268656716</v>
      </c>
      <c r="F517" t="n">
        <v>34079.42027131783</v>
      </c>
      <c r="G517" t="n">
        <v>31456.59370656371</v>
      </c>
      <c r="H517" t="n">
        <v>32161.51770210057</v>
      </c>
    </row>
    <row r="518">
      <c r="A518" t="inlineStr">
        <is>
          <t>G|FICO x CHANNEL / REV_DEBT|loan_size|median|5</t>
        </is>
      </c>
      <c r="B518" t="n">
        <v>31887.05</v>
      </c>
      <c r="C518" t="n">
        <v>29521.51</v>
      </c>
      <c r="D518" t="n">
        <v>29016.235</v>
      </c>
      <c r="E518" t="n">
        <v>33367.655</v>
      </c>
      <c r="F518" t="n">
        <v>35505.93</v>
      </c>
      <c r="G518" t="n">
        <v>30942.36</v>
      </c>
      <c r="H518" t="n">
        <v>31538.61</v>
      </c>
    </row>
    <row r="519">
      <c r="A519" t="inlineStr">
        <is>
          <t>G|FICO x CHANNEL / REV_DEBT|loan_size|book|5</t>
        </is>
      </c>
      <c r="B519" t="n">
        <v>0.9950766179848232</v>
      </c>
      <c r="C519" t="n">
        <v>0.9736056790414742</v>
      </c>
      <c r="D519" t="n">
        <v>0.9361118226652126</v>
      </c>
      <c r="E519" t="n">
        <v>1.045720885220036</v>
      </c>
      <c r="F519" t="n">
        <v>1.05631388472259</v>
      </c>
      <c r="G519" t="n">
        <v>0.9750176626767945</v>
      </c>
      <c r="H519" t="n">
        <v>0.9968672422245548</v>
      </c>
    </row>
    <row r="520">
      <c r="A520" t="inlineStr">
        <is>
          <t>G|FICO x CHANNEL / REV_DEBT|loan_size|band|5</t>
        </is>
      </c>
      <c r="B520" t="n">
        <v>0.9978499155773759</v>
      </c>
      <c r="C520" t="n">
        <v>0.9721869924515482</v>
      </c>
      <c r="D520" t="n">
        <v>0.9274279728656818</v>
      </c>
      <c r="E520" t="n">
        <v>1.05968857255302</v>
      </c>
      <c r="F520" t="n">
        <v>1.072197220588262</v>
      </c>
      <c r="G520" t="n">
        <v>0.9738679767163668</v>
      </c>
    </row>
    <row r="521">
      <c r="A521" t="inlineStr">
        <is>
          <t>G|FICO x CHANNEL / REV_DEBT|loan_size|rate|6</t>
        </is>
      </c>
      <c r="E521" t="n">
        <v>27999.47</v>
      </c>
      <c r="H521" t="n">
        <v>27999.47</v>
      </c>
    </row>
    <row r="522">
      <c r="A522" t="inlineStr">
        <is>
          <t>G|FICO x CHANNEL / REV_DEBT|loan_size|median|6</t>
        </is>
      </c>
      <c r="E522" t="n">
        <v>27999.47</v>
      </c>
      <c r="H522" t="n">
        <v>27999.47</v>
      </c>
    </row>
    <row r="523">
      <c r="A523" t="inlineStr">
        <is>
          <t>G|FICO x CHANNEL / REV_DEBT|loan_size|book|6</t>
        </is>
      </c>
      <c r="E523" t="n">
        <v>0.8678618559355534</v>
      </c>
      <c r="H523" t="n">
        <v>0.8678618559355534</v>
      </c>
    </row>
    <row r="524">
      <c r="A524" t="inlineStr">
        <is>
          <t>G|FICO x CHANNEL / REV_DEBT|loan_size|band|6</t>
        </is>
      </c>
    </row>
    <row r="525">
      <c r="A525" t="inlineStr">
        <is>
          <t>G|FICO x CHANNEL / REV_DEBT|loan_size|rate|7</t>
        </is>
      </c>
      <c r="B525" t="n">
        <v>31931.0612</v>
      </c>
      <c r="C525" t="n">
        <v>37412.57730769231</v>
      </c>
      <c r="D525" t="n">
        <v>30954.48481481481</v>
      </c>
      <c r="E525" t="n">
        <v>30842.18222222223</v>
      </c>
      <c r="F525" t="n">
        <v>31780.07925925926</v>
      </c>
      <c r="G525" t="n">
        <v>35380.96785714286</v>
      </c>
      <c r="H525" t="n">
        <v>33051.5174375</v>
      </c>
    </row>
    <row r="526">
      <c r="A526" t="inlineStr">
        <is>
          <t>G|FICO x CHANNEL / REV_DEBT|loan_size|median|7</t>
        </is>
      </c>
      <c r="B526" t="n">
        <v>30288.67</v>
      </c>
      <c r="C526" t="n">
        <v>39057.61500000001</v>
      </c>
      <c r="D526" t="n">
        <v>30599.75</v>
      </c>
      <c r="E526" t="n">
        <v>30017.95</v>
      </c>
      <c r="F526" t="n">
        <v>36714.18</v>
      </c>
      <c r="G526" t="n">
        <v>37896.64999999999</v>
      </c>
      <c r="H526" t="n">
        <v>33153.41</v>
      </c>
    </row>
    <row r="527">
      <c r="A527" t="inlineStr">
        <is>
          <t>G|FICO x CHANNEL / REV_DEBT|loan_size|book|7</t>
        </is>
      </c>
      <c r="B527" t="n">
        <v>0.9897240924568835</v>
      </c>
      <c r="C527" t="n">
        <v>1.159627263572711</v>
      </c>
      <c r="D527" t="n">
        <v>0.9594544697065368</v>
      </c>
      <c r="E527" t="n">
        <v>0.9559735775170141</v>
      </c>
      <c r="F527" t="n">
        <v>0.9850443086144033</v>
      </c>
      <c r="G527" t="n">
        <v>1.096656202038687</v>
      </c>
      <c r="H527" t="n">
        <v>1.024453365181379</v>
      </c>
    </row>
    <row r="528">
      <c r="A528" t="inlineStr">
        <is>
          <t>G|FICO x CHANNEL / REV_DEBT|loan_size|band|7</t>
        </is>
      </c>
      <c r="B528" t="n">
        <v>0.9600725289191816</v>
      </c>
      <c r="C528" t="n">
        <v>1.161688570915333</v>
      </c>
      <c r="D528" t="n">
        <v>0.9246429304357778</v>
      </c>
      <c r="E528" t="n">
        <v>0.9206613562105505</v>
      </c>
      <c r="F528" t="n">
        <v>0.9540808548024968</v>
      </c>
      <c r="G528" t="n">
        <v>1.086726120498615</v>
      </c>
    </row>
    <row r="529">
      <c r="A529" t="inlineStr">
        <is>
          <t>G|FICO x CHANNEL / REV_DEBT|loan_size|rate|8</t>
        </is>
      </c>
      <c r="B529" t="n">
        <v>31739.06705568268</v>
      </c>
      <c r="C529" t="n">
        <v>32304.23825855513</v>
      </c>
      <c r="D529" t="n">
        <v>31851.78390188679</v>
      </c>
      <c r="E529" t="n">
        <v>32886.09684210526</v>
      </c>
      <c r="F529" t="n">
        <v>32309.60661753869</v>
      </c>
      <c r="G529" t="n">
        <v>32470.3873328435</v>
      </c>
      <c r="H529" t="n">
        <v>32262.58857732217</v>
      </c>
    </row>
    <row r="530">
      <c r="A530" t="inlineStr">
        <is>
          <t>G|FICO x CHANNEL / REV_DEBT|loan_size|median|8</t>
        </is>
      </c>
      <c r="B530" t="n">
        <v>31157.84</v>
      </c>
      <c r="C530" t="n">
        <v>32159.38</v>
      </c>
      <c r="D530" t="n">
        <v>31742.53</v>
      </c>
      <c r="E530" t="n">
        <v>32989.13499999999</v>
      </c>
      <c r="F530" t="n">
        <v>31920.87</v>
      </c>
      <c r="G530" t="n">
        <v>32254.46</v>
      </c>
      <c r="H530" t="n">
        <v>32112.83</v>
      </c>
    </row>
    <row r="531">
      <c r="A531" t="inlineStr">
        <is>
          <t>G|FICO x CHANNEL / REV_DEBT|loan_size|book|8</t>
        </is>
      </c>
      <c r="B531" t="n">
        <v>0.9837731085841178</v>
      </c>
      <c r="C531" t="n">
        <v>1.00129095906651</v>
      </c>
      <c r="D531" t="n">
        <v>0.987266840834832</v>
      </c>
      <c r="E531" t="n">
        <v>1.019326045809646</v>
      </c>
      <c r="F531" t="n">
        <v>1.001457354858673</v>
      </c>
      <c r="G531" t="n">
        <v>1.006440858117237</v>
      </c>
      <c r="H531" t="n">
        <v>1</v>
      </c>
    </row>
    <row r="532">
      <c r="A532" t="inlineStr">
        <is>
          <t>G|FICO x CHANNEL / REV_DEBT|loan_size|band|8</t>
        </is>
      </c>
    </row>
    <row r="533">
      <c r="A533" t="inlineStr">
        <is>
          <t>G|FICO x CHANNEL / REV_DEBT|loan_size|meta</t>
        </is>
      </c>
      <c r="B533" t="inlineStr">
        <is>
          <t>size</t>
        </is>
      </c>
      <c r="C533" t="n">
        <v>1</v>
      </c>
      <c r="E533" t="n">
        <v>32262.58857732217</v>
      </c>
      <c r="F533" t="n">
        <v>65</v>
      </c>
    </row>
    <row r="534">
      <c r="A534" t="inlineStr">
        <is>
          <t>G|SHORT_HIST x CHANNEL / REV_DEBT|cols</t>
        </is>
      </c>
      <c r="B534" t="inlineStr">
        <is>
          <t>Branch · high</t>
        </is>
      </c>
      <c r="C534" t="inlineStr">
        <is>
          <t>Branch · low</t>
        </is>
      </c>
      <c r="D534" t="inlineStr">
        <is>
          <t>Broker · high</t>
        </is>
      </c>
      <c r="E534" t="inlineStr">
        <is>
          <t>Broker · low</t>
        </is>
      </c>
      <c r="F534" t="inlineStr">
        <is>
          <t>Online · high</t>
        </is>
      </c>
      <c r="G534" t="inlineStr">
        <is>
          <t>Online · low</t>
        </is>
      </c>
      <c r="H534" t="inlineStr">
        <is>
          <t>All</t>
        </is>
      </c>
    </row>
    <row r="535">
      <c r="A535" t="inlineStr">
        <is>
          <t>G|SHORT_HIST x CHANNEL / REV_DEBT|heads</t>
        </is>
      </c>
      <c r="B535" t="inlineStr">
        <is>
          <t>high</t>
        </is>
      </c>
      <c r="C535" t="inlineStr">
        <is>
          <t>low</t>
        </is>
      </c>
      <c r="D535" t="inlineStr">
        <is>
          <t>high</t>
        </is>
      </c>
      <c r="E535" t="inlineStr">
        <is>
          <t>low</t>
        </is>
      </c>
      <c r="F535" t="inlineStr">
        <is>
          <t>high</t>
        </is>
      </c>
      <c r="G535" t="inlineStr">
        <is>
          <t>low</t>
        </is>
      </c>
      <c r="H535" t="inlineStr">
        <is>
          <t>All</t>
        </is>
      </c>
    </row>
    <row r="536">
      <c r="A536" t="inlineStr">
        <is>
          <t>G|SHORT_HIST x CHANNEL / REV_DEBT|segs</t>
        </is>
      </c>
      <c r="B536" t="inlineStr">
        <is>
          <t>Branch</t>
        </is>
      </c>
      <c r="C536" t="inlineStr">
        <is>
          <t>Broker</t>
        </is>
      </c>
      <c r="D536" t="inlineStr">
        <is>
          <t>Online</t>
        </is>
      </c>
    </row>
    <row r="537">
      <c r="A537" t="inlineStr">
        <is>
          <t>G|SHORT_HIST x CHANNEL / REV_DEBT|rows</t>
        </is>
      </c>
      <c r="B537" t="inlineStr">
        <is>
          <t>0.0 - 88.9</t>
        </is>
      </c>
      <c r="C537" t="inlineStr">
        <is>
          <t>89.0 - 171.9</t>
        </is>
      </c>
      <c r="D537" t="inlineStr">
        <is>
          <t>172.0 - 256.3</t>
        </is>
      </c>
      <c r="E537" t="inlineStr">
        <is>
          <t>256.4 - 345.9</t>
        </is>
      </c>
      <c r="F537" t="inlineStr">
        <is>
          <t>346.0 - 435.0</t>
        </is>
      </c>
      <c r="G537" t="inlineStr">
        <is>
          <t>(marked missing)</t>
        </is>
      </c>
      <c r="H537" t="inlineStr">
        <is>
          <t>All</t>
        </is>
      </c>
    </row>
    <row r="538">
      <c r="A538" t="inlineStr">
        <is>
          <t>G|SHORT_HIST x CHANNEL / REV_DEBT|names</t>
        </is>
      </c>
      <c r="B538" t="inlineStr">
        <is>
          <t>SHORT_HIST</t>
        </is>
      </c>
      <c r="C538" t="inlineStr">
        <is>
          <t>CHANNEL / REV_DEBT</t>
        </is>
      </c>
    </row>
    <row r="539">
      <c r="A539" t="inlineStr">
        <is>
          <t>G|SHORT_HIST x CHANNEL / REV_DEBT|total</t>
        </is>
      </c>
      <c r="B539" t="n">
        <v>8000</v>
      </c>
    </row>
    <row r="540">
      <c r="A540" t="inlineStr">
        <is>
          <t>G|SHORT_HIST x CHANNEL / REV_DEBT|loans|1</t>
        </is>
      </c>
      <c r="B540" t="n">
        <v>254</v>
      </c>
      <c r="C540" t="n">
        <v>255</v>
      </c>
      <c r="D540" t="n">
        <v>254</v>
      </c>
      <c r="E540" t="n">
        <v>254</v>
      </c>
      <c r="F540" t="n">
        <v>264</v>
      </c>
      <c r="G540" t="n">
        <v>264</v>
      </c>
      <c r="H540" t="n">
        <v>1545</v>
      </c>
    </row>
    <row r="541">
      <c r="A541" t="inlineStr">
        <is>
          <t>G|SHORT_HIST x CHANNEL / REV_DEBT|loans|2</t>
        </is>
      </c>
      <c r="B541" t="n">
        <v>245</v>
      </c>
      <c r="C541" t="n">
        <v>245</v>
      </c>
      <c r="D541" t="n">
        <v>261</v>
      </c>
      <c r="E541" t="n">
        <v>261</v>
      </c>
      <c r="F541" t="n">
        <v>272</v>
      </c>
      <c r="G541" t="n">
        <v>273</v>
      </c>
      <c r="H541" t="n">
        <v>1557</v>
      </c>
    </row>
    <row r="542">
      <c r="A542" t="inlineStr">
        <is>
          <t>G|SHORT_HIST x CHANNEL / REV_DEBT|loans|3</t>
        </is>
      </c>
      <c r="B542" t="n">
        <v>260</v>
      </c>
      <c r="C542" t="n">
        <v>260</v>
      </c>
      <c r="D542" t="n">
        <v>270</v>
      </c>
      <c r="E542" t="n">
        <v>271</v>
      </c>
      <c r="F542" t="n">
        <v>258</v>
      </c>
      <c r="G542" t="n">
        <v>259</v>
      </c>
      <c r="H542" t="n">
        <v>1578</v>
      </c>
    </row>
    <row r="543">
      <c r="A543" t="inlineStr">
        <is>
          <t>G|SHORT_HIST x CHANNEL / REV_DEBT|loans|4</t>
        </is>
      </c>
      <c r="B543" t="n">
        <v>251</v>
      </c>
      <c r="C543" t="n">
        <v>252</v>
      </c>
      <c r="D543" t="n">
        <v>256</v>
      </c>
      <c r="E543" t="n">
        <v>257</v>
      </c>
      <c r="F543" t="n">
        <v>268</v>
      </c>
      <c r="G543" t="n">
        <v>268</v>
      </c>
      <c r="H543" t="n">
        <v>1552</v>
      </c>
    </row>
    <row r="544">
      <c r="A544" t="inlineStr">
        <is>
          <t>G|SHORT_HIST x CHANNEL / REV_DEBT|loans|5</t>
        </is>
      </c>
      <c r="B544" t="n">
        <v>266</v>
      </c>
      <c r="C544" t="n">
        <v>267</v>
      </c>
      <c r="D544" t="n">
        <v>252</v>
      </c>
      <c r="E544" t="n">
        <v>252</v>
      </c>
      <c r="F544" t="n">
        <v>265</v>
      </c>
      <c r="G544" t="n">
        <v>266</v>
      </c>
      <c r="H544" t="n">
        <v>1568</v>
      </c>
    </row>
    <row r="545">
      <c r="A545" t="inlineStr">
        <is>
          <t>G|SHORT_HIST x CHANNEL / REV_DEBT|loans|6</t>
        </is>
      </c>
      <c r="B545" t="n">
        <v>36</v>
      </c>
      <c r="C545" t="n">
        <v>36</v>
      </c>
      <c r="D545" t="n">
        <v>33</v>
      </c>
      <c r="E545" t="n">
        <v>34</v>
      </c>
      <c r="F545" t="n">
        <v>30</v>
      </c>
      <c r="G545" t="n">
        <v>31</v>
      </c>
      <c r="H545" t="n">
        <v>200</v>
      </c>
    </row>
    <row r="546">
      <c r="A546" t="inlineStr">
        <is>
          <t>G|SHORT_HIST x CHANNEL / REV_DEBT|loans|7</t>
        </is>
      </c>
      <c r="B546" t="n">
        <v>1312</v>
      </c>
      <c r="C546" t="n">
        <v>1315</v>
      </c>
      <c r="D546" t="n">
        <v>1326</v>
      </c>
      <c r="E546" t="n">
        <v>1329</v>
      </c>
      <c r="F546" t="n">
        <v>1357</v>
      </c>
      <c r="G546" t="n">
        <v>1361</v>
      </c>
      <c r="H546" t="n">
        <v>8000</v>
      </c>
    </row>
    <row r="547">
      <c r="A547" t="inlineStr">
        <is>
          <t>G|SHORT_HIST x CHANNEL / REV_DEBT|outcome_loans|rate|1</t>
        </is>
      </c>
      <c r="B547" t="n">
        <v>0.09090909090909091</v>
      </c>
      <c r="C547" t="n">
        <v>0.05098039215686274</v>
      </c>
      <c r="D547" t="n">
        <v>0.1377952755905512</v>
      </c>
      <c r="E547" t="n">
        <v>0.03543307086614173</v>
      </c>
      <c r="F547" t="n">
        <v>0.1060606060606061</v>
      </c>
      <c r="G547" t="n">
        <v>0.05681818181818182</v>
      </c>
      <c r="H547" t="n">
        <v>0.07966321243523317</v>
      </c>
    </row>
    <row r="548">
      <c r="A548" t="inlineStr">
        <is>
          <t>G|SHORT_HIST x CHANNEL / REV_DEBT|outcome_loans|book|1</t>
        </is>
      </c>
      <c r="B548" t="n">
        <v>1.174768688500514</v>
      </c>
      <c r="C548" t="n">
        <v>0.6587918527669548</v>
      </c>
      <c r="D548" t="n">
        <v>1.780653327057866</v>
      </c>
      <c r="F548" t="n">
        <v>1.370563469917266</v>
      </c>
      <c r="G548" t="n">
        <v>0.7342304303128212</v>
      </c>
      <c r="H548" t="n">
        <v>1.029444323537044</v>
      </c>
    </row>
    <row r="549">
      <c r="A549" t="inlineStr">
        <is>
          <t>G|SHORT_HIST x CHANNEL / REV_DEBT|outcome_loans|band|1</t>
        </is>
      </c>
      <c r="B549" t="n">
        <v>1.173636363636364</v>
      </c>
      <c r="C549" t="n">
        <v>0.597397504456328</v>
      </c>
      <c r="D549" t="n">
        <v>2.019953471725125</v>
      </c>
      <c r="F549" t="n">
        <v>1.42902711323764</v>
      </c>
      <c r="G549" t="n">
        <v>0.6734006734006733</v>
      </c>
    </row>
    <row r="550">
      <c r="A550" t="inlineStr">
        <is>
          <t>G|SHORT_HIST x CHANNEL / REV_DEBT|outcome_loans|rate|2</t>
        </is>
      </c>
      <c r="B550" t="n">
        <v>0.1020408163265306</v>
      </c>
      <c r="C550" t="n">
        <v>0.04489795918367347</v>
      </c>
      <c r="D550" t="n">
        <v>0.157088122605364</v>
      </c>
      <c r="E550" t="n">
        <v>0.05747126436781609</v>
      </c>
      <c r="F550" t="n">
        <v>0.09558823529411764</v>
      </c>
      <c r="G550" t="n">
        <v>0.0402930402930403</v>
      </c>
      <c r="H550" t="n">
        <v>0.08285163776493257</v>
      </c>
    </row>
    <row r="551">
      <c r="A551" t="inlineStr">
        <is>
          <t>G|SHORT_HIST x CHANNEL / REV_DEBT|outcome_loans|book|2</t>
        </is>
      </c>
      <c r="B551" t="n">
        <v>1.318617915663842</v>
      </c>
      <c r="C551" t="n">
        <v>0.5801918828920906</v>
      </c>
      <c r="D551" t="n">
        <v>2.029964285493225</v>
      </c>
      <c r="E551" t="n">
        <v>0.7426698605463019</v>
      </c>
      <c r="F551" t="n">
        <v>1.23523472393804</v>
      </c>
      <c r="G551" t="n">
        <v>0.5206850231082865</v>
      </c>
      <c r="H551" t="n">
        <v>1.070646608209524</v>
      </c>
    </row>
    <row r="552">
      <c r="A552" t="inlineStr">
        <is>
          <t>G|SHORT_HIST x CHANNEL / REV_DEBT|outcome_loans|band|2</t>
        </is>
      </c>
      <c r="B552" t="n">
        <v>1.287284144427002</v>
      </c>
      <c r="C552" t="n">
        <v>0.4992044275337253</v>
      </c>
      <c r="D552" t="n">
        <v>2.313479623824451</v>
      </c>
      <c r="E552" t="n">
        <v>0.6533575317604355</v>
      </c>
      <c r="F552" t="n">
        <v>1.19253283837807</v>
      </c>
      <c r="G552" t="n">
        <v>0.4384429130191843</v>
      </c>
    </row>
    <row r="553">
      <c r="A553" t="inlineStr">
        <is>
          <t>G|SHORT_HIST x CHANNEL / REV_DEBT|outcome_loans|rate|3</t>
        </is>
      </c>
      <c r="B553" t="n">
        <v>0.06538461538461539</v>
      </c>
      <c r="C553" t="n">
        <v>0.03076923076923077</v>
      </c>
      <c r="D553" t="n">
        <v>0.1259259259259259</v>
      </c>
      <c r="E553" t="n">
        <v>0.02952029520295203</v>
      </c>
      <c r="F553" t="n">
        <v>0.1007751937984496</v>
      </c>
      <c r="G553" t="n">
        <v>0.04633204633204633</v>
      </c>
      <c r="H553" t="n">
        <v>0.06653992395437262</v>
      </c>
    </row>
    <row r="554">
      <c r="A554" t="inlineStr">
        <is>
          <t>G|SHORT_HIST x CHANNEL / REV_DEBT|outcome_loans|book|3</t>
        </is>
      </c>
      <c r="B554" t="n">
        <v>0.8449297874984466</v>
      </c>
      <c r="D554" t="n">
        <v>1.627272183330341</v>
      </c>
      <c r="F554" t="n">
        <v>1.302262964771888</v>
      </c>
      <c r="G554" t="n">
        <v>0.5987238103554743</v>
      </c>
      <c r="H554" t="n">
        <v>0.8598592111648249</v>
      </c>
    </row>
    <row r="555">
      <c r="A555" t="inlineStr">
        <is>
          <t>G|SHORT_HIST x CHANNEL / REV_DEBT|outcome_loans|band|3</t>
        </is>
      </c>
      <c r="B555" t="n">
        <v>0.9792832167832169</v>
      </c>
      <c r="D555" t="n">
        <v>2.319874804381846</v>
      </c>
      <c r="F555" t="n">
        <v>1.683838681189285</v>
      </c>
      <c r="G555" t="n">
        <v>0.6571179474405281</v>
      </c>
    </row>
    <row r="556">
      <c r="A556" t="inlineStr">
        <is>
          <t>G|SHORT_HIST x CHANNEL / REV_DEBT|outcome_loans|rate|4</t>
        </is>
      </c>
      <c r="B556" t="n">
        <v>0.1155378486055777</v>
      </c>
      <c r="C556" t="n">
        <v>0.03571428571428571</v>
      </c>
      <c r="D556" t="n">
        <v>0.1328125</v>
      </c>
      <c r="E556" t="n">
        <v>0.04280155642023346</v>
      </c>
      <c r="F556" t="n">
        <v>0.1343283582089552</v>
      </c>
      <c r="G556" t="n">
        <v>0.05597014925373135</v>
      </c>
      <c r="H556" t="n">
        <v>0.08634020618556701</v>
      </c>
    </row>
    <row r="557">
      <c r="A557" t="inlineStr">
        <is>
          <t>G|SHORT_HIST x CHANNEL / REV_DEBT|outcome_loans|book|4</t>
        </is>
      </c>
      <c r="B557" t="n">
        <v>1.493032715664</v>
      </c>
      <c r="D557" t="n">
        <v>1.71626363085622</v>
      </c>
      <c r="E557" t="n">
        <v>0.5531012113173627</v>
      </c>
      <c r="F557" t="n">
        <v>1.735852241217177</v>
      </c>
      <c r="G557" t="n">
        <v>0.7232717671738239</v>
      </c>
      <c r="H557" t="n">
        <v>1.115727478640308</v>
      </c>
    </row>
    <row r="558">
      <c r="A558" t="inlineStr">
        <is>
          <t>G|SHORT_HIST x CHANNEL / REV_DEBT|outcome_loans|band|4</t>
        </is>
      </c>
      <c r="B558" t="n">
        <v>1.431568962246253</v>
      </c>
      <c r="D558" t="n">
        <v>1.72125</v>
      </c>
      <c r="E558" t="n">
        <v>0.4506342728796938</v>
      </c>
      <c r="F558" t="n">
        <v>1.759975632043862</v>
      </c>
      <c r="G558" t="n">
        <v>0.6039132070738744</v>
      </c>
    </row>
    <row r="559">
      <c r="A559" t="inlineStr">
        <is>
          <t>G|SHORT_HIST x CHANNEL / REV_DEBT|outcome_loans|rate|5</t>
        </is>
      </c>
      <c r="B559" t="n">
        <v>0.06766917293233082</v>
      </c>
      <c r="C559" t="n">
        <v>0.04119850187265917</v>
      </c>
      <c r="D559" t="n">
        <v>0.1468253968253968</v>
      </c>
      <c r="E559" t="n">
        <v>0.04761904761904762</v>
      </c>
      <c r="F559" t="n">
        <v>0.09811320754716982</v>
      </c>
      <c r="G559" t="n">
        <v>0.04135338345864661</v>
      </c>
      <c r="H559" t="n">
        <v>0.07334183673469388</v>
      </c>
    </row>
    <row r="560">
      <c r="A560" t="inlineStr">
        <is>
          <t>G|SHORT_HIST x CHANNEL / REV_DEBT|outcome_loans|book|5</t>
        </is>
      </c>
      <c r="B560" t="n">
        <v>0.8744518809139163</v>
      </c>
      <c r="C560" t="n">
        <v>0.5323858101444277</v>
      </c>
      <c r="D560" t="n">
        <v>1.897344667538529</v>
      </c>
      <c r="E560" t="n">
        <v>0.615355027309793</v>
      </c>
      <c r="F560" t="n">
        <v>1.267863565702442</v>
      </c>
      <c r="G560" t="n">
        <v>0.5343872605585045</v>
      </c>
      <c r="H560" t="n">
        <v>0.9477566268833867</v>
      </c>
    </row>
    <row r="561">
      <c r="A561" t="inlineStr">
        <is>
          <t>G|SHORT_HIST x CHANNEL / REV_DEBT|outcome_loans|band|5</t>
        </is>
      </c>
      <c r="B561" t="n">
        <v>0.9083016820401518</v>
      </c>
      <c r="C561" t="n">
        <v>0.5153774128493229</v>
      </c>
      <c r="D561" t="n">
        <v>2.477207977207977</v>
      </c>
      <c r="E561" t="n">
        <v>0.6084142394822006</v>
      </c>
      <c r="F561" t="n">
        <v>1.436421454314183</v>
      </c>
      <c r="G561" t="n">
        <v>0.5177125506072875</v>
      </c>
    </row>
    <row r="562">
      <c r="A562" t="inlineStr">
        <is>
          <t>G|SHORT_HIST x CHANNEL / REV_DEBT|outcome_loans|rate|6</t>
        </is>
      </c>
      <c r="B562" t="n">
        <v>0.08333333333333333</v>
      </c>
      <c r="C562" t="n">
        <v>0.08333333333333333</v>
      </c>
      <c r="D562" t="n">
        <v>0.06060606060606061</v>
      </c>
      <c r="E562" t="n">
        <v>0.05882352941176471</v>
      </c>
      <c r="F562" t="n">
        <v>0.03333333333333333</v>
      </c>
      <c r="G562" t="n">
        <v>0.06451612903225806</v>
      </c>
      <c r="H562" t="n">
        <v>0.065</v>
      </c>
    </row>
    <row r="563">
      <c r="A563" t="inlineStr">
        <is>
          <t>G|SHORT_HIST x CHANNEL / REV_DEBT|outcome_loans|book|6</t>
        </is>
      </c>
      <c r="H563" t="n">
        <v>0.8399596122778675</v>
      </c>
    </row>
    <row r="564">
      <c r="A564" t="inlineStr">
        <is>
          <t>G|SHORT_HIST x CHANNEL / REV_DEBT|outcome_loans|band|6</t>
        </is>
      </c>
    </row>
    <row r="565">
      <c r="A565" t="inlineStr">
        <is>
          <t>G|SHORT_HIST x CHANNEL / REV_DEBT|outcome_loans|rate|7</t>
        </is>
      </c>
      <c r="B565" t="n">
        <v>0.08771929824561403</v>
      </c>
      <c r="C565" t="n">
        <v>0.04182509505703422</v>
      </c>
      <c r="D565" t="n">
        <v>0.1380090497737557</v>
      </c>
      <c r="E565" t="n">
        <v>0.04288939051918736</v>
      </c>
      <c r="F565" t="n">
        <v>0.105379513633014</v>
      </c>
      <c r="G565" t="n">
        <v>0.04849375459221161</v>
      </c>
      <c r="H565" t="n">
        <v>0.07738467308413552</v>
      </c>
    </row>
    <row r="566">
      <c r="A566" t="inlineStr">
        <is>
          <t>G|SHORT_HIST x CHANNEL / REV_DEBT|outcome_loans|book|7</t>
        </is>
      </c>
      <c r="B566" t="n">
        <v>1.13354873451804</v>
      </c>
      <c r="C566" t="n">
        <v>0.5404829327321756</v>
      </c>
      <c r="D566" t="n">
        <v>1.783415814443088</v>
      </c>
      <c r="E566" t="n">
        <v>0.5542362435589332</v>
      </c>
      <c r="F566" t="n">
        <v>1.361762083280257</v>
      </c>
      <c r="G566" t="n">
        <v>0.6266583893103402</v>
      </c>
      <c r="H566" t="n">
        <v>1</v>
      </c>
    </row>
    <row r="567">
      <c r="A567" t="inlineStr">
        <is>
          <t>G|SHORT_HIST x CHANNEL / REV_DEBT|outcome_loans|band|7</t>
        </is>
      </c>
    </row>
    <row r="568">
      <c r="A568" t="inlineStr">
        <is>
          <t>G|SHORT_HIST x CHANNEL / REV_DEBT|outcome_loans|meta</t>
        </is>
      </c>
      <c r="B568" t="inlineStr">
        <is>
          <t>x</t>
        </is>
      </c>
      <c r="C568" t="n">
        <v>2.477207977207977</v>
      </c>
      <c r="D568" t="n">
        <v>10</v>
      </c>
      <c r="E568" t="n">
        <v>0.07738467308413552</v>
      </c>
      <c r="F568" t="n">
        <v>65</v>
      </c>
    </row>
    <row r="569">
      <c r="A569" t="inlineStr">
        <is>
          <t>G|SHORT_HIST x CHANNEL / REV_DEBT|outcome_booked|rate|1</t>
        </is>
      </c>
      <c r="B569" t="n">
        <v>0.0912738714654356</v>
      </c>
      <c r="C569" t="n">
        <v>0.04712920257977888</v>
      </c>
      <c r="D569" t="n">
        <v>0.1297803896563237</v>
      </c>
      <c r="E569" t="n">
        <v>0.03756359363130909</v>
      </c>
      <c r="F569" t="n">
        <v>0.09672758036498029</v>
      </c>
      <c r="G569" t="n">
        <v>0.06547896192155085</v>
      </c>
      <c r="H569" t="n">
        <v>0.07811684428944242</v>
      </c>
    </row>
    <row r="570">
      <c r="A570" t="inlineStr">
        <is>
          <t>G|SHORT_HIST x CHANNEL / REV_DEBT|outcome_booked|book|1</t>
        </is>
      </c>
      <c r="B570" t="n">
        <v>1.219768161746511</v>
      </c>
      <c r="C570" t="n">
        <v>0.629826475773906</v>
      </c>
      <c r="D570" t="n">
        <v>1.734362581319749</v>
      </c>
      <c r="F570" t="n">
        <v>1.292650580036583</v>
      </c>
      <c r="G570" t="n">
        <v>0.8750494718125922</v>
      </c>
      <c r="H570" t="n">
        <v>1.043939936265931</v>
      </c>
    </row>
    <row r="571">
      <c r="A571" t="inlineStr">
        <is>
          <t>G|SHORT_HIST x CHANNEL / REV_DEBT|outcome_booked|band|1</t>
        </is>
      </c>
      <c r="B571" t="n">
        <v>1.209586475643649</v>
      </c>
      <c r="C571" t="n">
        <v>0.5602910984787358</v>
      </c>
      <c r="D571" t="n">
        <v>1.903402143148933</v>
      </c>
      <c r="F571" t="n">
        <v>1.30320707962616</v>
      </c>
      <c r="G571" t="n">
        <v>0.8105367239817485</v>
      </c>
    </row>
    <row r="572">
      <c r="A572" t="inlineStr">
        <is>
          <t>G|SHORT_HIST x CHANNEL / REV_DEBT|outcome_booked|rate|2</t>
        </is>
      </c>
      <c r="B572" t="n">
        <v>0.1105741437239202</v>
      </c>
      <c r="C572" t="n">
        <v>0.04243454329081996</v>
      </c>
      <c r="D572" t="n">
        <v>0.1401485832679718</v>
      </c>
      <c r="E572" t="n">
        <v>0.05894764183039803</v>
      </c>
      <c r="F572" t="n">
        <v>0.09535560067134168</v>
      </c>
      <c r="G572" t="n">
        <v>0.04574342266606115</v>
      </c>
      <c r="H572" t="n">
        <v>0.08186105804588445</v>
      </c>
    </row>
    <row r="573">
      <c r="A573" t="inlineStr">
        <is>
          <t>G|SHORT_HIST x CHANNEL / REV_DEBT|outcome_booked|book|2</t>
        </is>
      </c>
      <c r="B573" t="n">
        <v>1.47769364727666</v>
      </c>
      <c r="C573" t="n">
        <v>0.5670878646141052</v>
      </c>
      <c r="D573" t="n">
        <v>1.872921319535439</v>
      </c>
      <c r="E573" t="n">
        <v>0.7877660447654505</v>
      </c>
      <c r="F573" t="n">
        <v>1.274315681757432</v>
      </c>
      <c r="G573" t="n">
        <v>0.611307153751055</v>
      </c>
      <c r="H573" t="n">
        <v>1.093976958444954</v>
      </c>
    </row>
    <row r="574">
      <c r="A574" t="inlineStr">
        <is>
          <t>G|SHORT_HIST x CHANNEL / REV_DEBT|outcome_booked|band|2</t>
        </is>
      </c>
      <c r="B574" t="n">
        <v>1.440332944537492</v>
      </c>
      <c r="C574" t="n">
        <v>0.4752334208179259</v>
      </c>
      <c r="D574" t="n">
        <v>2.012926162743946</v>
      </c>
      <c r="E574" t="n">
        <v>0.6806209641776937</v>
      </c>
      <c r="F574" t="n">
        <v>1.204340178340857</v>
      </c>
      <c r="G574" t="n">
        <v>0.5095321240817201</v>
      </c>
    </row>
    <row r="575">
      <c r="A575" t="inlineStr">
        <is>
          <t>G|SHORT_HIST x CHANNEL / REV_DEBT|outcome_booked|rate|3</t>
        </is>
      </c>
      <c r="B575" t="n">
        <v>0.06878663794016718</v>
      </c>
      <c r="C575" t="n">
        <v>0.02122541262819254</v>
      </c>
      <c r="D575" t="n">
        <v>0.1409071751109976</v>
      </c>
      <c r="E575" t="n">
        <v>0.02801749272007743</v>
      </c>
      <c r="F575" t="n">
        <v>0.0839983660991054</v>
      </c>
      <c r="G575" t="n">
        <v>0.03878835044886775</v>
      </c>
      <c r="H575" t="n">
        <v>0.06351587639874162</v>
      </c>
    </row>
    <row r="576">
      <c r="A576" t="inlineStr">
        <is>
          <t>G|SHORT_HIST x CHANNEL / REV_DEBT|outcome_booked|book|3</t>
        </is>
      </c>
      <c r="B576" t="n">
        <v>0.9192526795006599</v>
      </c>
      <c r="D576" t="n">
        <v>1.883059009139565</v>
      </c>
      <c r="F576" t="n">
        <v>1.122539571965194</v>
      </c>
      <c r="G576" t="n">
        <v>0.5183607769076793</v>
      </c>
      <c r="H576" t="n">
        <v>0.8488151379220331</v>
      </c>
    </row>
    <row r="577">
      <c r="A577" t="inlineStr">
        <is>
          <t>G|SHORT_HIST x CHANNEL / REV_DEBT|outcome_booked|band|3</t>
        </is>
      </c>
      <c r="B577" t="n">
        <v>1.100534038252351</v>
      </c>
      <c r="D577" t="n">
        <v>2.941317311196334</v>
      </c>
      <c r="F577" t="n">
        <v>1.413648919617854</v>
      </c>
      <c r="G577" t="n">
        <v>0.567538167623592</v>
      </c>
    </row>
    <row r="578">
      <c r="A578" t="inlineStr">
        <is>
          <t>G|SHORT_HIST x CHANNEL / REV_DEBT|outcome_booked|rate|4</t>
        </is>
      </c>
      <c r="B578" t="n">
        <v>0.104151257342941</v>
      </c>
      <c r="C578" t="n">
        <v>0.02747987954132972</v>
      </c>
      <c r="D578" t="n">
        <v>0.121247337187693</v>
      </c>
      <c r="E578" t="n">
        <v>0.04027459873380231</v>
      </c>
      <c r="F578" t="n">
        <v>0.144534951293269</v>
      </c>
      <c r="G578" t="n">
        <v>0.05244214647907446</v>
      </c>
      <c r="H578" t="n">
        <v>0.08262332043637916</v>
      </c>
    </row>
    <row r="579">
      <c r="A579" t="inlineStr">
        <is>
          <t>G|SHORT_HIST x CHANNEL / REV_DEBT|outcome_booked|book|4</t>
        </is>
      </c>
      <c r="B579" t="n">
        <v>1.391859309494676</v>
      </c>
      <c r="D579" t="n">
        <v>1.620328350530166</v>
      </c>
      <c r="E579" t="n">
        <v>0.5382227407896435</v>
      </c>
      <c r="F579" t="n">
        <v>1.931539979805444</v>
      </c>
      <c r="G579" t="n">
        <v>0.7008277350549943</v>
      </c>
      <c r="H579" t="n">
        <v>1.10416370060779</v>
      </c>
    </row>
    <row r="580">
      <c r="A580" t="inlineStr">
        <is>
          <t>G|SHORT_HIST x CHANNEL / REV_DEBT|outcome_booked|band|4</t>
        </is>
      </c>
      <c r="B580" t="n">
        <v>1.326634485516255</v>
      </c>
      <c r="D580" t="n">
        <v>1.625303209808229</v>
      </c>
      <c r="E580" t="n">
        <v>0.4417752101333883</v>
      </c>
      <c r="F580" t="n">
        <v>2.07325286039507</v>
      </c>
      <c r="G580" t="n">
        <v>0.5890897239123188</v>
      </c>
    </row>
    <row r="581">
      <c r="A581" t="inlineStr">
        <is>
          <t>G|SHORT_HIST x CHANNEL / REV_DEBT|outcome_booked|rate|5</t>
        </is>
      </c>
      <c r="B581" t="n">
        <v>0.06468689360782492</v>
      </c>
      <c r="C581" t="n">
        <v>0.038376925836332</v>
      </c>
      <c r="D581" t="n">
        <v>0.153360332761718</v>
      </c>
      <c r="E581" t="n">
        <v>0.04550639584270515</v>
      </c>
      <c r="F581" t="n">
        <v>0.09070365913693959</v>
      </c>
      <c r="G581" t="n">
        <v>0.03068973482148071</v>
      </c>
      <c r="H581" t="n">
        <v>0.06914282586852749</v>
      </c>
    </row>
    <row r="582">
      <c r="A582" t="inlineStr">
        <is>
          <t>G|SHORT_HIST x CHANNEL / REV_DEBT|outcome_booked|book|5</t>
        </is>
      </c>
      <c r="B582" t="n">
        <v>0.8644644084697164</v>
      </c>
      <c r="C582" t="n">
        <v>0.5128625698603312</v>
      </c>
      <c r="D582" t="n">
        <v>2.049480844563857</v>
      </c>
      <c r="E582" t="n">
        <v>0.6081395684611175</v>
      </c>
      <c r="F582" t="n">
        <v>1.212147943248403</v>
      </c>
      <c r="G582" t="n">
        <v>0.4101322845921067</v>
      </c>
      <c r="H582" t="n">
        <v>0.9240127130966588</v>
      </c>
    </row>
    <row r="583">
      <c r="A583" t="inlineStr">
        <is>
          <t>G|SHORT_HIST x CHANNEL / REV_DEBT|outcome_booked|band|5</t>
        </is>
      </c>
      <c r="B583" t="n">
        <v>0.923180045448622</v>
      </c>
      <c r="C583" t="n">
        <v>0.5079466027027179</v>
      </c>
      <c r="D583" t="n">
        <v>2.85140692993865</v>
      </c>
      <c r="E583" t="n">
        <v>0.618548113399456</v>
      </c>
      <c r="F583" t="n">
        <v>1.39923627347908</v>
      </c>
      <c r="G583" t="n">
        <v>0.3965848008767522</v>
      </c>
    </row>
    <row r="584">
      <c r="A584" t="inlineStr">
        <is>
          <t>G|SHORT_HIST x CHANNEL / REV_DEBT|outcome_booked|rate|6</t>
        </is>
      </c>
      <c r="B584" t="n">
        <v>0.1148366150496104</v>
      </c>
      <c r="C584" t="n">
        <v>0.06844545238188707</v>
      </c>
      <c r="D584" t="n">
        <v>0.04000378556022353</v>
      </c>
      <c r="E584" t="n">
        <v>0.0657398197418731</v>
      </c>
      <c r="F584" t="n">
        <v>0.05520368935027108</v>
      </c>
      <c r="G584" t="n">
        <v>0.07492821206021386</v>
      </c>
      <c r="H584" t="n">
        <v>0.07063219196788374</v>
      </c>
    </row>
    <row r="585">
      <c r="A585" t="inlineStr">
        <is>
          <t>G|SHORT_HIST x CHANNEL / REV_DEBT|outcome_booked|book|6</t>
        </is>
      </c>
      <c r="H585" t="n">
        <v>0.9439163429089135</v>
      </c>
    </row>
    <row r="586">
      <c r="A586" t="inlineStr">
        <is>
          <t>G|SHORT_HIST x CHANNEL / REV_DEBT|outcome_booked|band|6</t>
        </is>
      </c>
    </row>
    <row r="587">
      <c r="A587" t="inlineStr">
        <is>
          <t>G|SHORT_HIST x CHANNEL / REV_DEBT|outcome_booked|rate|7</t>
        </is>
      </c>
      <c r="B587" t="n">
        <v>0.0878365237875204</v>
      </c>
      <c r="C587" t="n">
        <v>0.03637917385714839</v>
      </c>
      <c r="D587" t="n">
        <v>0.1347035374493311</v>
      </c>
      <c r="E587" t="n">
        <v>0.04259578352028108</v>
      </c>
      <c r="F587" t="n">
        <v>0.1011967964112799</v>
      </c>
      <c r="G587" t="n">
        <v>0.04708575900098213</v>
      </c>
      <c r="H587" t="n">
        <v>0.07482886857347223</v>
      </c>
    </row>
    <row r="588">
      <c r="A588" t="inlineStr">
        <is>
          <t>G|SHORT_HIST x CHANNEL / REV_DEBT|outcome_booked|book|7</t>
        </is>
      </c>
      <c r="B588" t="n">
        <v>1.173832044530731</v>
      </c>
      <c r="C588" t="n">
        <v>0.4861649594692015</v>
      </c>
      <c r="D588" t="n">
        <v>1.800154673153577</v>
      </c>
      <c r="E588" t="n">
        <v>0.569242651029228</v>
      </c>
      <c r="F588" t="n">
        <v>1.352376406866524</v>
      </c>
      <c r="G588" t="n">
        <v>0.6292459033340849</v>
      </c>
      <c r="H588" t="n">
        <v>0.9999999999999986</v>
      </c>
    </row>
    <row r="589">
      <c r="A589" t="inlineStr">
        <is>
          <t>G|SHORT_HIST x CHANNEL / REV_DEBT|outcome_booked|band|7</t>
        </is>
      </c>
    </row>
    <row r="590">
      <c r="A590" t="inlineStr">
        <is>
          <t>G|SHORT_HIST x CHANNEL / REV_DEBT|outcome_booked|meta</t>
        </is>
      </c>
      <c r="B590" t="inlineStr">
        <is>
          <t>x</t>
        </is>
      </c>
      <c r="C590" t="n">
        <v>2.941317311196334</v>
      </c>
      <c r="D590" t="n">
        <v>10</v>
      </c>
      <c r="E590" t="n">
        <v>0.07482886857347235</v>
      </c>
      <c r="F590" t="n">
        <v>65</v>
      </c>
    </row>
    <row r="591">
      <c r="A591" t="inlineStr">
        <is>
          <t>G|SHORT_HIST x CHANNEL / REV_DEBT|gco_rate|rate|1</t>
        </is>
      </c>
      <c r="B591" t="n">
        <v>0.05124852473208903</v>
      </c>
      <c r="C591" t="n">
        <v>0.03090652550373108</v>
      </c>
      <c r="D591" t="n">
        <v>0.07157095921083748</v>
      </c>
      <c r="E591" t="n">
        <v>0.02099694240516821</v>
      </c>
      <c r="F591" t="n">
        <v>0.05150343068690252</v>
      </c>
      <c r="G591" t="n">
        <v>0.03295162145615617</v>
      </c>
      <c r="H591" t="n">
        <v>0.04321293708093333</v>
      </c>
    </row>
    <row r="592">
      <c r="A592" t="inlineStr">
        <is>
          <t>G|SHORT_HIST x CHANNEL / REV_DEBT|gco_rate|book|1</t>
        </is>
      </c>
      <c r="B592" t="n">
        <v>1.231779783676247</v>
      </c>
      <c r="C592" t="n">
        <v>0.7428513015386938</v>
      </c>
      <c r="D592" t="n">
        <v>1.720238018852201</v>
      </c>
      <c r="F592" t="n">
        <v>1.237906555198342</v>
      </c>
      <c r="G592" t="n">
        <v>0.7920060403930206</v>
      </c>
      <c r="H592" t="n">
        <v>1.038641064651727</v>
      </c>
    </row>
    <row r="593">
      <c r="A593" t="inlineStr">
        <is>
          <t>G|SHORT_HIST x CHANNEL / REV_DEBT|gco_rate|band|1</t>
        </is>
      </c>
      <c r="B593" t="n">
        <v>1.232461145067216</v>
      </c>
      <c r="C593" t="n">
        <v>0.6778767646489686</v>
      </c>
      <c r="D593" t="n">
        <v>1.895148764090256</v>
      </c>
      <c r="F593" t="n">
        <v>1.241650800227482</v>
      </c>
      <c r="G593" t="n">
        <v>0.7261724703771381</v>
      </c>
    </row>
    <row r="594">
      <c r="A594" t="inlineStr">
        <is>
          <t>G|SHORT_HIST x CHANNEL / REV_DEBT|gco_rate|rate|2</t>
        </is>
      </c>
      <c r="B594" t="n">
        <v>0.06192148781309147</v>
      </c>
      <c r="C594" t="n">
        <v>0.02002221163286204</v>
      </c>
      <c r="D594" t="n">
        <v>0.0779273221133471</v>
      </c>
      <c r="E594" t="n">
        <v>0.03525821255328768</v>
      </c>
      <c r="F594" t="n">
        <v>0.0551622436917356</v>
      </c>
      <c r="G594" t="n">
        <v>0.0218726991710522</v>
      </c>
      <c r="H594" t="n">
        <v>0.04515785540171804</v>
      </c>
    </row>
    <row r="595">
      <c r="A595" t="inlineStr">
        <is>
          <t>G|SHORT_HIST x CHANNEL / REV_DEBT|gco_rate|book|2</t>
        </is>
      </c>
      <c r="B595" t="n">
        <v>1.488308927175084</v>
      </c>
      <c r="C595" t="n">
        <v>0.4812422531726896</v>
      </c>
      <c r="D595" t="n">
        <v>1.873015866838107</v>
      </c>
      <c r="E595" t="n">
        <v>0.8474459247117823</v>
      </c>
      <c r="F595" t="n">
        <v>1.325847660140689</v>
      </c>
      <c r="G595" t="n">
        <v>0.5257194971792908</v>
      </c>
      <c r="H595" t="n">
        <v>1.085387992118775</v>
      </c>
    </row>
    <row r="596">
      <c r="A596" t="inlineStr">
        <is>
          <t>G|SHORT_HIST x CHANNEL / REV_DEBT|gco_rate|band|2</t>
        </is>
      </c>
      <c r="B596" t="n">
        <v>1.467840185058921</v>
      </c>
      <c r="C596" t="n">
        <v>0.4012843967109795</v>
      </c>
      <c r="D596" t="n">
        <v>2.035809051678006</v>
      </c>
      <c r="E596" t="n">
        <v>0.7468533240652782</v>
      </c>
      <c r="F596" t="n">
        <v>1.277858766165531</v>
      </c>
      <c r="G596" t="n">
        <v>0.4351890651922134</v>
      </c>
    </row>
    <row r="597">
      <c r="A597" t="inlineStr">
        <is>
          <t>G|SHORT_HIST x CHANNEL / REV_DEBT|gco_rate|rate|3</t>
        </is>
      </c>
      <c r="B597" t="n">
        <v>0.03715907703163401</v>
      </c>
      <c r="C597" t="n">
        <v>0.0118762493482697</v>
      </c>
      <c r="D597" t="n">
        <v>0.08051809294364488</v>
      </c>
      <c r="E597" t="n">
        <v>0.01644495766284962</v>
      </c>
      <c r="F597" t="n">
        <v>0.04386152542047182</v>
      </c>
      <c r="G597" t="n">
        <v>0.02227467173966189</v>
      </c>
      <c r="H597" t="n">
        <v>0.0353127602119078</v>
      </c>
    </row>
    <row r="598">
      <c r="A598" t="inlineStr">
        <is>
          <t>G|SHORT_HIST x CHANNEL / REV_DEBT|gco_rate|book|3</t>
        </is>
      </c>
      <c r="B598" t="n">
        <v>0.893133999601267</v>
      </c>
      <c r="D598" t="n">
        <v>1.935286130218015</v>
      </c>
      <c r="F598" t="n">
        <v>1.054230157386555</v>
      </c>
      <c r="G598" t="n">
        <v>0.5353810764382896</v>
      </c>
      <c r="H598" t="n">
        <v>0.8487570005619921</v>
      </c>
    </row>
    <row r="599">
      <c r="A599" t="inlineStr">
        <is>
          <t>G|SHORT_HIST x CHANNEL / REV_DEBT|gco_rate|band|3</t>
        </is>
      </c>
      <c r="B599" t="n">
        <v>1.062965220061746</v>
      </c>
      <c r="D599" t="n">
        <v>3.073808044458584</v>
      </c>
      <c r="F599" t="n">
        <v>1.305283129213163</v>
      </c>
      <c r="G599" t="n">
        <v>0.5883591435370846</v>
      </c>
    </row>
    <row r="600">
      <c r="A600" t="inlineStr">
        <is>
          <t>G|SHORT_HIST x CHANNEL / REV_DEBT|gco_rate|rate|4</t>
        </is>
      </c>
      <c r="B600" t="n">
        <v>0.05104100417259994</v>
      </c>
      <c r="C600" t="n">
        <v>0.01577834636237685</v>
      </c>
      <c r="D600" t="n">
        <v>0.06503116881530736</v>
      </c>
      <c r="E600" t="n">
        <v>0.025110674305092</v>
      </c>
      <c r="F600" t="n">
        <v>0.08421751174942879</v>
      </c>
      <c r="G600" t="n">
        <v>0.02775028117228195</v>
      </c>
      <c r="H600" t="n">
        <v>0.0454019324342844</v>
      </c>
    </row>
    <row r="601">
      <c r="A601" t="inlineStr">
        <is>
          <t>G|SHORT_HIST x CHANNEL / REV_DEBT|gco_rate|book|4</t>
        </is>
      </c>
      <c r="B601" t="n">
        <v>1.22679194000246</v>
      </c>
      <c r="D601" t="n">
        <v>1.563051414148825</v>
      </c>
      <c r="E601" t="n">
        <v>0.6035455874132454</v>
      </c>
      <c r="F601" t="n">
        <v>2.024203212614791</v>
      </c>
      <c r="G601" t="n">
        <v>0.6669896454198893</v>
      </c>
      <c r="H601" t="n">
        <v>1.091254485953409</v>
      </c>
    </row>
    <row r="602">
      <c r="A602" t="inlineStr">
        <is>
          <t>G|SHORT_HIST x CHANNEL / REV_DEBT|gco_rate|band|4</t>
        </is>
      </c>
      <c r="B602" t="n">
        <v>1.151572162735767</v>
      </c>
      <c r="D602" t="n">
        <v>1.573830589275991</v>
      </c>
      <c r="E602" t="n">
        <v>0.507298669694889</v>
      </c>
      <c r="F602" t="n">
        <v>2.257806967046616</v>
      </c>
      <c r="G602" t="n">
        <v>0.5646256868238791</v>
      </c>
    </row>
    <row r="603">
      <c r="A603" t="inlineStr">
        <is>
          <t>G|SHORT_HIST x CHANNEL / REV_DEBT|gco_rate|rate|5</t>
        </is>
      </c>
      <c r="B603" t="n">
        <v>0.03335988813098494</v>
      </c>
      <c r="C603" t="n">
        <v>0.02247942366102377</v>
      </c>
      <c r="D603" t="n">
        <v>0.09146457065262367</v>
      </c>
      <c r="E603" t="n">
        <v>0.02591242650322924</v>
      </c>
      <c r="F603" t="n">
        <v>0.05321541920559361</v>
      </c>
      <c r="G603" t="n">
        <v>0.01563152428159098</v>
      </c>
      <c r="H603" t="n">
        <v>0.03945555984527097</v>
      </c>
    </row>
    <row r="604">
      <c r="A604" t="inlineStr">
        <is>
          <t>G|SHORT_HIST x CHANNEL / REV_DEBT|gco_rate|book|5</t>
        </is>
      </c>
      <c r="B604" t="n">
        <v>0.8018189011345106</v>
      </c>
      <c r="C604" t="n">
        <v>0.540302374733624</v>
      </c>
      <c r="D604" t="n">
        <v>2.198389312502207</v>
      </c>
      <c r="E604" t="n">
        <v>0.6228160377207658</v>
      </c>
      <c r="F604" t="n">
        <v>1.279054917189904</v>
      </c>
      <c r="G604" t="n">
        <v>0.3757102413926066</v>
      </c>
      <c r="H604" t="n">
        <v>0.948330927087196</v>
      </c>
    </row>
    <row r="605">
      <c r="A605" t="inlineStr">
        <is>
          <t>G|SHORT_HIST x CHANNEL / REV_DEBT|gco_rate|band|5</t>
        </is>
      </c>
      <c r="B605" t="n">
        <v>0.8191816326664786</v>
      </c>
      <c r="C605" t="n">
        <v>0.5228668913105157</v>
      </c>
      <c r="D605" t="n">
        <v>3.051801189724343</v>
      </c>
      <c r="E605" t="n">
        <v>0.6170792764068999</v>
      </c>
      <c r="F605" t="n">
        <v>1.450045376917783</v>
      </c>
      <c r="G605" t="n">
        <v>0.3507805288058118</v>
      </c>
    </row>
    <row r="606">
      <c r="A606" t="inlineStr">
        <is>
          <t>G|SHORT_HIST x CHANNEL / REV_DEBT|gco_rate|rate|6</t>
        </is>
      </c>
      <c r="B606" t="n">
        <v>0.08322481758492779</v>
      </c>
      <c r="C606" t="n">
        <v>0.03098724968894575</v>
      </c>
      <c r="D606" t="n">
        <v>0.02215141222043574</v>
      </c>
      <c r="E606" t="n">
        <v>0.03107040609169394</v>
      </c>
      <c r="F606" t="n">
        <v>0.03716101657459681</v>
      </c>
      <c r="G606" t="n">
        <v>0.03302987603433268</v>
      </c>
      <c r="H606" t="n">
        <v>0.03992349205297003</v>
      </c>
    </row>
    <row r="607">
      <c r="A607" t="inlineStr">
        <is>
          <t>G|SHORT_HIST x CHANNEL / REV_DEBT|gco_rate|book|6</t>
        </is>
      </c>
      <c r="H607" t="n">
        <v>0.9595778739327467</v>
      </c>
    </row>
    <row r="608">
      <c r="A608" t="inlineStr">
        <is>
          <t>G|SHORT_HIST x CHANNEL / REV_DEBT|gco_rate|band|6</t>
        </is>
      </c>
    </row>
    <row r="609">
      <c r="A609" t="inlineStr">
        <is>
          <t>G|SHORT_HIST x CHANNEL / REV_DEBT|gco_rate|rate|7</t>
        </is>
      </c>
      <c r="B609" t="n">
        <v>0.04749410830283057</v>
      </c>
      <c r="C609" t="n">
        <v>0.02056073896189273</v>
      </c>
      <c r="D609" t="n">
        <v>0.07589032816656593</v>
      </c>
      <c r="E609" t="n">
        <v>0.02486641076872324</v>
      </c>
      <c r="F609" t="n">
        <v>0.05710598931627548</v>
      </c>
      <c r="G609" t="n">
        <v>0.02418941154697136</v>
      </c>
      <c r="H609" t="n">
        <v>0.0416052653333356</v>
      </c>
    </row>
    <row r="610">
      <c r="A610" t="inlineStr">
        <is>
          <t>G|SHORT_HIST x CHANNEL / REV_DEBT|gco_rate|book|7</t>
        </is>
      </c>
      <c r="B610" t="n">
        <v>1.141540810335286</v>
      </c>
      <c r="C610" t="n">
        <v>0.4941859833644354</v>
      </c>
      <c r="D610" t="n">
        <v>1.824055863087114</v>
      </c>
      <c r="E610" t="n">
        <v>0.5976746108815072</v>
      </c>
      <c r="F610" t="n">
        <v>1.372566401361707</v>
      </c>
      <c r="G610" t="n">
        <v>0.5814026506782047</v>
      </c>
      <c r="H610" t="n">
        <v>0.999999999999999</v>
      </c>
    </row>
    <row r="611">
      <c r="A611" t="inlineStr">
        <is>
          <t>G|SHORT_HIST x CHANNEL / REV_DEBT|gco_rate|band|7</t>
        </is>
      </c>
    </row>
    <row r="612">
      <c r="A612" t="inlineStr">
        <is>
          <t>G|SHORT_HIST x CHANNEL / REV_DEBT|gco_rate|meta</t>
        </is>
      </c>
      <c r="B612" t="inlineStr">
        <is>
          <t>x</t>
        </is>
      </c>
      <c r="C612" t="n">
        <v>3.073808044458584</v>
      </c>
      <c r="D612" t="n">
        <v>10</v>
      </c>
      <c r="E612" t="n">
        <v>0.04160526533333565</v>
      </c>
      <c r="F612" t="n">
        <v>65</v>
      </c>
    </row>
    <row r="613">
      <c r="A613" t="inlineStr">
        <is>
          <t>G|SHORT_HIST x CHANNEL / REV_DEBT|ranr_rate|rate|1</t>
        </is>
      </c>
      <c r="B613" t="n">
        <v>0.1383503159769762</v>
      </c>
      <c r="C613" t="n">
        <v>0.09463732068799451</v>
      </c>
      <c r="D613" t="n">
        <v>0.1317554758642314</v>
      </c>
      <c r="E613" t="n">
        <v>0.1006587132146733</v>
      </c>
      <c r="F613" t="n">
        <v>0.1655380589884554</v>
      </c>
      <c r="G613" t="n">
        <v>0.1207776421921083</v>
      </c>
      <c r="H613" t="n">
        <v>0.1257745320694905</v>
      </c>
    </row>
    <row r="614">
      <c r="A614" t="inlineStr">
        <is>
          <t>G|SHORT_HIST x CHANNEL / REV_DEBT|ranr_rate|book|1</t>
        </is>
      </c>
      <c r="B614" t="n">
        <v>1.036026633</v>
      </c>
      <c r="C614" t="n">
        <v>-3.335272896</v>
      </c>
      <c r="D614" t="n">
        <v>0.376542622</v>
      </c>
      <c r="E614" t="n">
        <v>-2.733133643</v>
      </c>
      <c r="F614" t="n">
        <v>3.754800934</v>
      </c>
      <c r="G614" t="n">
        <v>-0.721240746</v>
      </c>
      <c r="H614" t="n">
        <v>-0.221551758</v>
      </c>
    </row>
    <row r="615">
      <c r="A615" t="inlineStr">
        <is>
          <t>G|SHORT_HIST x CHANNEL / REV_DEBT|ranr_rate|band|1</t>
        </is>
      </c>
      <c r="B615" t="n">
        <v>1.512780535</v>
      </c>
      <c r="C615" t="n">
        <v>-3.715949202</v>
      </c>
      <c r="D615" t="n">
        <v>0.712988511</v>
      </c>
      <c r="E615" t="n">
        <v>-2.993593092</v>
      </c>
      <c r="F615" t="n">
        <v>4.80761225</v>
      </c>
      <c r="G615" t="n">
        <v>-0.605077286</v>
      </c>
    </row>
    <row r="616">
      <c r="A616" t="inlineStr">
        <is>
          <t>G|SHORT_HIST x CHANNEL / REV_DEBT|ranr_rate|rate|2</t>
        </is>
      </c>
      <c r="B616" t="n">
        <v>0.1347906924758747</v>
      </c>
      <c r="C616" t="n">
        <v>0.1003636527042675</v>
      </c>
      <c r="D616" t="n">
        <v>0.1239402358375854</v>
      </c>
      <c r="E616" t="n">
        <v>0.1000349724011482</v>
      </c>
      <c r="F616" t="n">
        <v>0.1513777875013568</v>
      </c>
      <c r="G616" t="n">
        <v>0.1374960452841175</v>
      </c>
      <c r="H616" t="n">
        <v>0.1247215068613962</v>
      </c>
    </row>
    <row r="617">
      <c r="A617" t="inlineStr">
        <is>
          <t>G|SHORT_HIST x CHANNEL / REV_DEBT|ranr_rate|book|2</t>
        </is>
      </c>
      <c r="B617" t="n">
        <v>0.680064283</v>
      </c>
      <c r="C617" t="n">
        <v>-2.762639694</v>
      </c>
      <c r="D617" t="n">
        <v>-0.404981381</v>
      </c>
      <c r="E617" t="n">
        <v>-2.795507725</v>
      </c>
      <c r="F617" t="n">
        <v>2.338773785</v>
      </c>
      <c r="G617" t="n">
        <v>0.950599564</v>
      </c>
      <c r="H617" t="n">
        <v>-0.326854279</v>
      </c>
    </row>
    <row r="618">
      <c r="A618" t="inlineStr">
        <is>
          <t>G|SHORT_HIST x CHANNEL / REV_DEBT|ranr_rate|band|2</t>
        </is>
      </c>
      <c r="B618" t="n">
        <v>1.185458486</v>
      </c>
      <c r="C618" t="n">
        <v>-2.894871988</v>
      </c>
      <c r="D618" t="n">
        <v>-0.094528933</v>
      </c>
      <c r="E618" t="n">
        <v>-2.980147796</v>
      </c>
      <c r="F618" t="n">
        <v>3.195892641</v>
      </c>
      <c r="G618" t="n">
        <v>1.557376303</v>
      </c>
    </row>
    <row r="619">
      <c r="A619" t="inlineStr">
        <is>
          <t>G|SHORT_HIST x CHANNEL / REV_DEBT|ranr_rate|rate|3</t>
        </is>
      </c>
      <c r="B619" t="n">
        <v>0.1506673309992036</v>
      </c>
      <c r="C619" t="n">
        <v>0.1054632222826259</v>
      </c>
      <c r="D619" t="n">
        <v>0.1150401033105694</v>
      </c>
      <c r="E619" t="n">
        <v>0.1141076936756769</v>
      </c>
      <c r="F619" t="n">
        <v>0.1616953469210311</v>
      </c>
      <c r="G619" t="n">
        <v>0.1478018558867595</v>
      </c>
      <c r="H619" t="n">
        <v>0.1321795164294266</v>
      </c>
    </row>
    <row r="620">
      <c r="A620" t="inlineStr">
        <is>
          <t>G|SHORT_HIST x CHANNEL / REV_DEBT|ranr_rate|book|3</t>
        </is>
      </c>
      <c r="B620" t="n">
        <v>2.267728135</v>
      </c>
      <c r="C620" t="n">
        <v>-2.252682737</v>
      </c>
      <c r="D620" t="n">
        <v>-1.294994634</v>
      </c>
      <c r="E620" t="n">
        <v>-1.388235597</v>
      </c>
      <c r="F620" t="n">
        <v>3.370529727</v>
      </c>
      <c r="G620" t="n">
        <v>1.981180624</v>
      </c>
      <c r="H620" t="n">
        <v>0.418946678</v>
      </c>
    </row>
    <row r="621">
      <c r="A621" t="inlineStr">
        <is>
          <t>G|SHORT_HIST x CHANNEL / REV_DEBT|ranr_rate|band|3</t>
        </is>
      </c>
      <c r="B621" t="n">
        <v>2.204072823</v>
      </c>
      <c r="C621" t="n">
        <v>-3.194131308</v>
      </c>
      <c r="D621" t="n">
        <v>-2.059641191</v>
      </c>
      <c r="E621" t="n">
        <v>-2.196731978</v>
      </c>
      <c r="F621" t="n">
        <v>3.541876628</v>
      </c>
      <c r="G621" t="n">
        <v>1.867322909</v>
      </c>
    </row>
    <row r="622">
      <c r="A622" t="inlineStr">
        <is>
          <t>G|SHORT_HIST x CHANNEL / REV_DEBT|ranr_rate|rate|4</t>
        </is>
      </c>
      <c r="B622" t="n">
        <v>0.1563155962286464</v>
      </c>
      <c r="C622" t="n">
        <v>0.1076260532972392</v>
      </c>
      <c r="D622" t="n">
        <v>0.137332633742915</v>
      </c>
      <c r="E622" t="n">
        <v>0.1012707328296407</v>
      </c>
      <c r="F622" t="n">
        <v>0.1478244768086903</v>
      </c>
      <c r="G622" t="n">
        <v>0.1347572821119865</v>
      </c>
      <c r="H622" t="n">
        <v>0.1311647239075687</v>
      </c>
    </row>
    <row r="623">
      <c r="A623" t="inlineStr">
        <is>
          <t>G|SHORT_HIST x CHANNEL / REV_DEBT|ranr_rate|book|4</t>
        </is>
      </c>
      <c r="B623" t="n">
        <v>2.832554658</v>
      </c>
      <c r="C623" t="n">
        <v>-2.036399635</v>
      </c>
      <c r="D623" t="n">
        <v>0.934258409</v>
      </c>
      <c r="E623" t="n">
        <v>-2.671931682</v>
      </c>
      <c r="F623" t="n">
        <v>1.983442716</v>
      </c>
      <c r="G623" t="n">
        <v>0.676723246</v>
      </c>
      <c r="H623" t="n">
        <v>0.317467426</v>
      </c>
    </row>
    <row r="624">
      <c r="A624" t="inlineStr">
        <is>
          <t>G|SHORT_HIST x CHANNEL / REV_DEBT|ranr_rate|band|4</t>
        </is>
      </c>
      <c r="B624" t="n">
        <v>2.995890323</v>
      </c>
      <c r="C624" t="n">
        <v>-2.776418014</v>
      </c>
      <c r="D624" t="n">
        <v>0.744919004</v>
      </c>
      <c r="E624" t="n">
        <v>-3.59238268</v>
      </c>
      <c r="F624" t="n">
        <v>2.013348582</v>
      </c>
      <c r="G624" t="n">
        <v>0.435425339</v>
      </c>
    </row>
    <row r="625">
      <c r="A625" t="inlineStr">
        <is>
          <t>G|SHORT_HIST x CHANNEL / REV_DEBT|ranr_rate|rate|5</t>
        </is>
      </c>
      <c r="B625" t="n">
        <v>0.1613873181190101</v>
      </c>
      <c r="C625" t="n">
        <v>0.1080406785053712</v>
      </c>
      <c r="D625" t="n">
        <v>0.09614520374149405</v>
      </c>
      <c r="E625" t="n">
        <v>0.1107014145795555</v>
      </c>
      <c r="F625" t="n">
        <v>0.1517595725402434</v>
      </c>
      <c r="G625" t="n">
        <v>0.1225554567452969</v>
      </c>
      <c r="H625" t="n">
        <v>0.1256692892986875</v>
      </c>
    </row>
    <row r="626">
      <c r="A626" t="inlineStr">
        <is>
          <t>G|SHORT_HIST x CHANNEL / REV_DEBT|ranr_rate|book|5</t>
        </is>
      </c>
      <c r="B626" t="n">
        <v>3.339726847</v>
      </c>
      <c r="C626" t="n">
        <v>-1.994937114</v>
      </c>
      <c r="D626" t="n">
        <v>-3.184484591</v>
      </c>
      <c r="E626" t="n">
        <v>-1.728863507</v>
      </c>
      <c r="F626" t="n">
        <v>2.376952289</v>
      </c>
      <c r="G626" t="n">
        <v>-0.54345929</v>
      </c>
      <c r="H626" t="n">
        <v>-0.232076035</v>
      </c>
    </row>
    <row r="627">
      <c r="A627" t="inlineStr">
        <is>
          <t>G|SHORT_HIST x CHANNEL / REV_DEBT|ranr_rate|band|5</t>
        </is>
      </c>
      <c r="B627" t="n">
        <v>4.314722173</v>
      </c>
      <c r="C627" t="n">
        <v>-2.130162929</v>
      </c>
      <c r="D627" t="n">
        <v>-3.490838852</v>
      </c>
      <c r="E627" t="n">
        <v>-1.777120913</v>
      </c>
      <c r="F627" t="n">
        <v>3.131677257</v>
      </c>
      <c r="G627" t="n">
        <v>-0.378126673</v>
      </c>
    </row>
    <row r="628">
      <c r="A628" t="inlineStr">
        <is>
          <t>G|SHORT_HIST x CHANNEL / REV_DEBT|ranr_rate|rate|6</t>
        </is>
      </c>
      <c r="B628" t="n">
        <v>0.1254278842824984</v>
      </c>
      <c r="C628" t="n">
        <v>0.1109291312583477</v>
      </c>
      <c r="D628" t="n">
        <v>0.151130955633072</v>
      </c>
      <c r="E628" t="n">
        <v>0.065838314460655</v>
      </c>
      <c r="F628" t="n">
        <v>0.2084912404565501</v>
      </c>
      <c r="G628" t="n">
        <v>0.1500836370173452</v>
      </c>
      <c r="H628" t="n">
        <v>0.1309541542712511</v>
      </c>
    </row>
    <row r="629">
      <c r="A629" t="inlineStr">
        <is>
          <t>G|SHORT_HIST x CHANNEL / REV_DEBT|ranr_rate|book|6</t>
        </is>
      </c>
      <c r="B629" t="n">
        <v>-0.256216537</v>
      </c>
      <c r="C629" t="n">
        <v>-1.706091839</v>
      </c>
      <c r="D629" t="n">
        <v>2.314090598</v>
      </c>
      <c r="E629" t="n">
        <v>-6.215173519</v>
      </c>
      <c r="F629" t="n">
        <v>8.050119081</v>
      </c>
      <c r="G629" t="n">
        <v>2.209358737</v>
      </c>
      <c r="H629" t="n">
        <v>0.296410462</v>
      </c>
    </row>
    <row r="630">
      <c r="A630" t="inlineStr">
        <is>
          <t>G|SHORT_HIST x CHANNEL / REV_DEBT|ranr_rate|band|6</t>
        </is>
      </c>
      <c r="B630" t="n">
        <v>-0.669119296</v>
      </c>
      <c r="C630" t="n">
        <v>-2.520188045</v>
      </c>
      <c r="D630" t="n">
        <v>2.382984248</v>
      </c>
      <c r="E630" t="n">
        <v>-7.975116353</v>
      </c>
      <c r="F630" t="n">
        <v>9.075276484</v>
      </c>
      <c r="G630" t="n">
        <v>2.219337576</v>
      </c>
    </row>
    <row r="631">
      <c r="A631" t="inlineStr">
        <is>
          <t>G|SHORT_HIST x CHANNEL / REV_DEBT|ranr_rate|rate|7</t>
        </is>
      </c>
      <c r="B631" t="n">
        <v>0.1479609355396087</v>
      </c>
      <c r="C631" t="n">
        <v>0.103528307229045</v>
      </c>
      <c r="D631" t="n">
        <v>0.1217815025259213</v>
      </c>
      <c r="E631" t="n">
        <v>0.1043984527992549</v>
      </c>
      <c r="F631" t="n">
        <v>0.1568328939410194</v>
      </c>
      <c r="G631" t="n">
        <v>0.1329541427726481</v>
      </c>
      <c r="H631" t="n">
        <v>0.1279900496481476</v>
      </c>
    </row>
    <row r="632">
      <c r="A632" t="inlineStr">
        <is>
          <t>G|SHORT_HIST x CHANNEL / REV_DEBT|ranr_rate|book|7</t>
        </is>
      </c>
      <c r="B632" t="n">
        <v>1.997088589</v>
      </c>
      <c r="C632" t="n">
        <v>-2.446174242</v>
      </c>
      <c r="D632" t="n">
        <v>-0.620854712</v>
      </c>
      <c r="E632" t="n">
        <v>-2.359159685</v>
      </c>
      <c r="F632" t="n">
        <v>2.884284429</v>
      </c>
      <c r="G632" t="n">
        <v>0.496409312</v>
      </c>
      <c r="H632" t="n">
        <v>0</v>
      </c>
    </row>
    <row r="633">
      <c r="A633" t="inlineStr">
        <is>
          <t>G|SHORT_HIST x CHANNEL / REV_DEBT|ranr_rate|band|7</t>
        </is>
      </c>
    </row>
    <row r="634">
      <c r="A634" t="inlineStr">
        <is>
          <t>G|SHORT_HIST x CHANNEL / REV_DEBT|ranr_rate|meta</t>
        </is>
      </c>
      <c r="B634" t="inlineStr">
        <is>
          <t>pts</t>
        </is>
      </c>
      <c r="C634" t="n">
        <v>4.80761225</v>
      </c>
      <c r="D634" t="n">
        <v>10</v>
      </c>
      <c r="E634" t="n">
        <v>0.1279900496481481</v>
      </c>
      <c r="F634" t="n">
        <v>65</v>
      </c>
    </row>
    <row r="635">
      <c r="A635" t="inlineStr">
        <is>
          <t>G|SHORT_HIST x CHANNEL / REV_DEBT|contribution_rate|rate|1</t>
        </is>
      </c>
      <c r="B635" t="n">
        <v>0.1895988407090652</v>
      </c>
      <c r="C635" t="n">
        <v>0.1255438461917256</v>
      </c>
      <c r="D635" t="n">
        <v>0.2033264350750688</v>
      </c>
      <c r="E635" t="n">
        <v>0.1216556556198415</v>
      </c>
      <c r="F635" t="n">
        <v>0.2170414896753579</v>
      </c>
      <c r="G635" t="n">
        <v>0.1537292636482645</v>
      </c>
      <c r="H635" t="n">
        <v>0.1689874691504238</v>
      </c>
    </row>
    <row r="636">
      <c r="A636" t="inlineStr">
        <is>
          <t>G|SHORT_HIST x CHANNEL / REV_DEBT|contribution_rate|book|1</t>
        </is>
      </c>
      <c r="B636" t="n">
        <v>2.000638497</v>
      </c>
      <c r="C636" t="n">
        <v>-4.404860954</v>
      </c>
      <c r="D636" t="n">
        <v>3.373397934</v>
      </c>
      <c r="E636" t="n">
        <v>-4.793680012</v>
      </c>
      <c r="F636" t="n">
        <v>4.744903394</v>
      </c>
      <c r="G636" t="n">
        <v>-1.586319209</v>
      </c>
      <c r="H636" t="n">
        <v>-0.060498658</v>
      </c>
    </row>
    <row r="637">
      <c r="A637" t="inlineStr">
        <is>
          <t>G|SHORT_HIST x CHANNEL / REV_DEBT|contribution_rate|band|1</t>
        </is>
      </c>
      <c r="B637" t="n">
        <v>2.479406606</v>
      </c>
      <c r="C637" t="n">
        <v>-5.184609954</v>
      </c>
      <c r="D637" t="n">
        <v>4.093549282</v>
      </c>
      <c r="E637" t="n">
        <v>-5.641551679</v>
      </c>
      <c r="F637" t="n">
        <v>5.809975011</v>
      </c>
      <c r="G637" t="n">
        <v>-1.847627984</v>
      </c>
    </row>
    <row r="638">
      <c r="A638" t="inlineStr">
        <is>
          <t>G|SHORT_HIST x CHANNEL / REV_DEBT|contribution_rate|rate|2</t>
        </is>
      </c>
      <c r="B638" t="n">
        <v>0.196712180288966</v>
      </c>
      <c r="C638" t="n">
        <v>0.1203858643371296</v>
      </c>
      <c r="D638" t="n">
        <v>0.2018675579509323</v>
      </c>
      <c r="E638" t="n">
        <v>0.1352931849544358</v>
      </c>
      <c r="F638" t="n">
        <v>0.2065400311930925</v>
      </c>
      <c r="G638" t="n">
        <v>0.1593687444551698</v>
      </c>
      <c r="H638" t="n">
        <v>0.1698793622631142</v>
      </c>
    </row>
    <row r="639">
      <c r="A639" t="inlineStr">
        <is>
          <t>G|SHORT_HIST x CHANNEL / REV_DEBT|contribution_rate|book|2</t>
        </is>
      </c>
      <c r="B639" t="n">
        <v>2.711972455</v>
      </c>
      <c r="C639" t="n">
        <v>-4.92065914</v>
      </c>
      <c r="D639" t="n">
        <v>3.227510222</v>
      </c>
      <c r="E639" t="n">
        <v>-3.429927078</v>
      </c>
      <c r="F639" t="n">
        <v>3.694757546</v>
      </c>
      <c r="G639" t="n">
        <v>-1.022371128</v>
      </c>
      <c r="H639" t="n">
        <v>0.028690653</v>
      </c>
    </row>
    <row r="640">
      <c r="A640" t="inlineStr">
        <is>
          <t>G|SHORT_HIST x CHANNEL / REV_DEBT|contribution_rate|band|2</t>
        </is>
      </c>
      <c r="B640" t="n">
        <v>3.159063011</v>
      </c>
      <c r="C640" t="n">
        <v>-5.882182388</v>
      </c>
      <c r="D640" t="n">
        <v>3.870372665</v>
      </c>
      <c r="E640" t="n">
        <v>-4.175228412</v>
      </c>
      <c r="F640" t="n">
        <v>4.395345458</v>
      </c>
      <c r="G640" t="n">
        <v>-1.281376012</v>
      </c>
    </row>
    <row r="641">
      <c r="A641" t="inlineStr">
        <is>
          <t>G|SHORT_HIST x CHANNEL / REV_DEBT|contribution_rate|rate|3</t>
        </is>
      </c>
      <c r="B641" t="n">
        <v>0.1878264080308376</v>
      </c>
      <c r="C641" t="n">
        <v>0.1173394716308956</v>
      </c>
      <c r="D641" t="n">
        <v>0.1955581962542143</v>
      </c>
      <c r="E641" t="n">
        <v>0.1305526513385264</v>
      </c>
      <c r="F641" t="n">
        <v>0.2055568723415029</v>
      </c>
      <c r="G641" t="n">
        <v>0.1700765276264214</v>
      </c>
      <c r="H641" t="n">
        <v>0.1674922766413344</v>
      </c>
    </row>
    <row r="642">
      <c r="A642" t="inlineStr">
        <is>
          <t>G|SHORT_HIST x CHANNEL / REV_DEBT|contribution_rate|book|3</t>
        </is>
      </c>
      <c r="B642" t="n">
        <v>1.82339523</v>
      </c>
      <c r="C642" t="n">
        <v>-5.22529841</v>
      </c>
      <c r="D642" t="n">
        <v>2.596574052</v>
      </c>
      <c r="E642" t="n">
        <v>-3.90398044</v>
      </c>
      <c r="F642" t="n">
        <v>3.596441661</v>
      </c>
      <c r="G642" t="n">
        <v>0.048407189</v>
      </c>
      <c r="H642" t="n">
        <v>-0.210017909</v>
      </c>
    </row>
    <row r="643">
      <c r="A643" t="inlineStr">
        <is>
          <t>G|SHORT_HIST x CHANNEL / REV_DEBT|contribution_rate|band|3</t>
        </is>
      </c>
      <c r="B643" t="n">
        <v>2.424186277</v>
      </c>
      <c r="C643" t="n">
        <v>-5.996140175</v>
      </c>
      <c r="D643" t="n">
        <v>3.372678149</v>
      </c>
      <c r="E643" t="n">
        <v>-4.490219789</v>
      </c>
      <c r="F643" t="n">
        <v>4.567721782</v>
      </c>
      <c r="G643" t="n">
        <v>0.308892985</v>
      </c>
    </row>
    <row r="644">
      <c r="A644" t="inlineStr">
        <is>
          <t>G|SHORT_HIST x CHANNEL / REV_DEBT|contribution_rate|rate|4</t>
        </is>
      </c>
      <c r="B644" t="n">
        <v>0.2073566004012463</v>
      </c>
      <c r="C644" t="n">
        <v>0.1231968550796983</v>
      </c>
      <c r="D644" t="n">
        <v>0.2023638025582224</v>
      </c>
      <c r="E644" t="n">
        <v>0.1263814071347327</v>
      </c>
      <c r="F644" t="n">
        <v>0.2320419885581191</v>
      </c>
      <c r="G644" t="n">
        <v>0.1625075632842685</v>
      </c>
      <c r="H644" t="n">
        <v>0.1765542122346552</v>
      </c>
    </row>
    <row r="645">
      <c r="A645" t="inlineStr">
        <is>
          <t>G|SHORT_HIST x CHANNEL / REV_DEBT|contribution_rate|book|4</t>
        </is>
      </c>
      <c r="B645" t="n">
        <v>3.776414467</v>
      </c>
      <c r="C645" t="n">
        <v>-4.639560066</v>
      </c>
      <c r="D645" t="n">
        <v>3.277134682</v>
      </c>
      <c r="E645" t="n">
        <v>-4.32110486</v>
      </c>
      <c r="F645" t="n">
        <v>6.244953282</v>
      </c>
      <c r="G645" t="n">
        <v>-0.708489245</v>
      </c>
      <c r="H645" t="n">
        <v>0.69617565</v>
      </c>
    </row>
    <row r="646">
      <c r="A646" t="inlineStr">
        <is>
          <t>G|SHORT_HIST x CHANNEL / REV_DEBT|contribution_rate|band|4</t>
        </is>
      </c>
      <c r="B646" t="n">
        <v>3.66964683</v>
      </c>
      <c r="C646" t="n">
        <v>-6.288496256</v>
      </c>
      <c r="D646" t="n">
        <v>3.117632924</v>
      </c>
      <c r="E646" t="n">
        <v>-6.030284382</v>
      </c>
      <c r="F646" t="n">
        <v>6.706884717</v>
      </c>
      <c r="G646" t="n">
        <v>-1.702773758</v>
      </c>
    </row>
    <row r="647">
      <c r="A647" t="inlineStr">
        <is>
          <t>G|SHORT_HIST x CHANNEL / REV_DEBT|contribution_rate|rate|5</t>
        </is>
      </c>
      <c r="B647" t="n">
        <v>0.1947472062499951</v>
      </c>
      <c r="C647" t="n">
        <v>0.130520102166395</v>
      </c>
      <c r="D647" t="n">
        <v>0.1876097743941176</v>
      </c>
      <c r="E647" t="n">
        <v>0.1366138410827848</v>
      </c>
      <c r="F647" t="n">
        <v>0.2049749917458369</v>
      </c>
      <c r="G647" t="n">
        <v>0.1381869810268878</v>
      </c>
      <c r="H647" t="n">
        <v>0.1651248491439584</v>
      </c>
    </row>
    <row r="648">
      <c r="A648" t="inlineStr">
        <is>
          <t>G|SHORT_HIST x CHANNEL / REV_DEBT|contribution_rate|book|5</t>
        </is>
      </c>
      <c r="B648" t="n">
        <v>2.515475052</v>
      </c>
      <c r="C648" t="n">
        <v>-3.907235357</v>
      </c>
      <c r="D648" t="n">
        <v>1.801731866</v>
      </c>
      <c r="E648" t="n">
        <v>-3.297861465</v>
      </c>
      <c r="F648" t="n">
        <v>3.538253601</v>
      </c>
      <c r="G648" t="n">
        <v>-3.140547471</v>
      </c>
      <c r="H648" t="n">
        <v>-0.446760659</v>
      </c>
    </row>
    <row r="649">
      <c r="A649" t="inlineStr">
        <is>
          <t>G|SHORT_HIST x CHANNEL / REV_DEBT|contribution_rate|band|5</t>
        </is>
      </c>
      <c r="B649" t="n">
        <v>3.578367711</v>
      </c>
      <c r="C649" t="n">
        <v>-4.181483728</v>
      </c>
      <c r="D649" t="n">
        <v>2.658549762</v>
      </c>
      <c r="E649" t="n">
        <v>-3.385083696</v>
      </c>
      <c r="F649" t="n">
        <v>4.783305115</v>
      </c>
      <c r="G649" t="n">
        <v>-3.27118632</v>
      </c>
    </row>
    <row r="650">
      <c r="A650" t="inlineStr">
        <is>
          <t>G|SHORT_HIST x CHANNEL / REV_DEBT|contribution_rate|rate|6</t>
        </is>
      </c>
      <c r="B650" t="n">
        <v>0.2086527018674262</v>
      </c>
      <c r="C650" t="n">
        <v>0.1419163809472935</v>
      </c>
      <c r="D650" t="n">
        <v>0.1732823678535077</v>
      </c>
      <c r="E650" t="n">
        <v>0.09690872055234896</v>
      </c>
      <c r="F650" t="n">
        <v>0.2456522570311469</v>
      </c>
      <c r="G650" t="n">
        <v>0.1831135130516778</v>
      </c>
      <c r="H650" t="n">
        <v>0.1708776463242211</v>
      </c>
    </row>
    <row r="651">
      <c r="A651" t="inlineStr">
        <is>
          <t>G|SHORT_HIST x CHANNEL / REV_DEBT|contribution_rate|book|6</t>
        </is>
      </c>
      <c r="B651" t="n">
        <v>3.906024613</v>
      </c>
      <c r="C651" t="n">
        <v>-2.767607479</v>
      </c>
      <c r="D651" t="n">
        <v>0.368991212</v>
      </c>
      <c r="E651" t="n">
        <v>-7.268373518</v>
      </c>
      <c r="F651" t="n">
        <v>7.60598013</v>
      </c>
      <c r="G651" t="n">
        <v>1.352105732</v>
      </c>
      <c r="H651" t="n">
        <v>0.128519059</v>
      </c>
    </row>
    <row r="652">
      <c r="A652" t="inlineStr">
        <is>
          <t>G|SHORT_HIST x CHANNEL / REV_DEBT|contribution_rate|band|6</t>
        </is>
      </c>
      <c r="B652" t="n">
        <v>4.573793649</v>
      </c>
      <c r="C652" t="n">
        <v>-3.644831506</v>
      </c>
      <c r="D652" t="n">
        <v>0.284010008</v>
      </c>
      <c r="E652" t="n">
        <v>-9.059405379999999</v>
      </c>
      <c r="F652" t="n">
        <v>8.751944386</v>
      </c>
      <c r="G652" t="n">
        <v>1.419563673</v>
      </c>
    </row>
    <row r="653">
      <c r="A653" t="inlineStr">
        <is>
          <t>G|SHORT_HIST x CHANNEL / REV_DEBT|contribution_rate|rate|7</t>
        </is>
      </c>
      <c r="B653" t="n">
        <v>0.1954550438424392</v>
      </c>
      <c r="C653" t="n">
        <v>0.1240483762834783</v>
      </c>
      <c r="D653" t="n">
        <v>0.1976718306924872</v>
      </c>
      <c r="E653" t="n">
        <v>0.1292648635679782</v>
      </c>
      <c r="F653" t="n">
        <v>0.2139388832572948</v>
      </c>
      <c r="G653" t="n">
        <v>0.1571435543196195</v>
      </c>
      <c r="H653" t="n">
        <v>0.1695924557349811</v>
      </c>
    </row>
    <row r="654">
      <c r="A654" t="inlineStr">
        <is>
          <t>G|SHORT_HIST x CHANNEL / REV_DEBT|contribution_rate|book|7</t>
        </is>
      </c>
      <c r="B654" t="n">
        <v>2.586258811</v>
      </c>
      <c r="C654" t="n">
        <v>-4.554407945</v>
      </c>
      <c r="D654" t="n">
        <v>2.807937496</v>
      </c>
      <c r="E654" t="n">
        <v>-4.032759217</v>
      </c>
      <c r="F654" t="n">
        <v>4.434642752</v>
      </c>
      <c r="G654" t="n">
        <v>-1.244890142</v>
      </c>
      <c r="H654" t="n">
        <v>0</v>
      </c>
    </row>
    <row r="655">
      <c r="A655" t="inlineStr">
        <is>
          <t>G|SHORT_HIST x CHANNEL / REV_DEBT|contribution_rate|band|7</t>
        </is>
      </c>
    </row>
    <row r="656">
      <c r="A656" t="inlineStr">
        <is>
          <t>G|SHORT_HIST x CHANNEL / REV_DEBT|contribution_rate|meta</t>
        </is>
      </c>
      <c r="B656" t="inlineStr">
        <is>
          <t>pts</t>
        </is>
      </c>
      <c r="C656" t="n">
        <v>6.706884717</v>
      </c>
      <c r="D656" t="n">
        <v>10</v>
      </c>
      <c r="E656" t="n">
        <v>0.1695924557349815</v>
      </c>
      <c r="F656" t="n">
        <v>65</v>
      </c>
    </row>
    <row r="657">
      <c r="A657" t="inlineStr">
        <is>
          <t>G|SHORT_HIST x CHANNEL / REV_DEBT|loan_size|rate|1</t>
        </is>
      </c>
      <c r="B657" t="n">
        <v>32756.16165354331</v>
      </c>
      <c r="C657" t="n">
        <v>31345.07921568627</v>
      </c>
      <c r="D657" t="n">
        <v>31289.59405511811</v>
      </c>
      <c r="E657" t="n">
        <v>31264.31960629921</v>
      </c>
      <c r="F657" t="n">
        <v>32301.4206060606</v>
      </c>
      <c r="G657" t="n">
        <v>32538.38132575757</v>
      </c>
      <c r="H657" t="n">
        <v>31921.98190291262</v>
      </c>
    </row>
    <row r="658">
      <c r="A658" t="inlineStr">
        <is>
          <t>G|SHORT_HIST x CHANNEL / REV_DEBT|loan_size|median|1</t>
        </is>
      </c>
      <c r="B658" t="n">
        <v>32618.73</v>
      </c>
      <c r="C658" t="n">
        <v>29086.18</v>
      </c>
      <c r="D658" t="n">
        <v>30249.77</v>
      </c>
      <c r="E658" t="n">
        <v>30905.67</v>
      </c>
      <c r="F658" t="n">
        <v>32206.58</v>
      </c>
      <c r="G658" t="n">
        <v>33505.75</v>
      </c>
      <c r="H658" t="n">
        <v>31654.49</v>
      </c>
    </row>
    <row r="659">
      <c r="A659" t="inlineStr">
        <is>
          <t>G|SHORT_HIST x CHANNEL / REV_DEBT|loan_size|book|1</t>
        </is>
      </c>
      <c r="B659" t="n">
        <v>1.0152986197942</v>
      </c>
      <c r="C659" t="n">
        <v>0.9715611982145529</v>
      </c>
      <c r="D659" t="n">
        <v>0.9698413994316628</v>
      </c>
      <c r="E659" t="n">
        <v>0.9690580013866384</v>
      </c>
      <c r="F659" t="n">
        <v>1.001203624087552</v>
      </c>
      <c r="G659" t="n">
        <v>1.008548376326792</v>
      </c>
      <c r="H659" t="n">
        <v>0.9894426737149986</v>
      </c>
    </row>
    <row r="660">
      <c r="A660" t="inlineStr">
        <is>
          <t>G|SHORT_HIST x CHANNEL / REV_DEBT|loan_size|band|1</t>
        </is>
      </c>
      <c r="B660" t="n">
        <v>1.031434796842332</v>
      </c>
      <c r="C660" t="n">
        <v>0.9784323529225102</v>
      </c>
      <c r="D660" t="n">
        <v>0.9763839924388273</v>
      </c>
      <c r="E660" t="n">
        <v>0.9754439491761553</v>
      </c>
      <c r="F660" t="n">
        <v>1.014371308597801</v>
      </c>
      <c r="G660" t="n">
        <v>1.023382096465279</v>
      </c>
    </row>
    <row r="661">
      <c r="A661" t="inlineStr">
        <is>
          <t>G|SHORT_HIST x CHANNEL / REV_DEBT|loan_size|rate|2</t>
        </is>
      </c>
      <c r="B661" t="n">
        <v>31081.68342857143</v>
      </c>
      <c r="C661" t="n">
        <v>32728.09767346939</v>
      </c>
      <c r="D661" t="n">
        <v>33613.10908045977</v>
      </c>
      <c r="E661" t="n">
        <v>33249.42590038314</v>
      </c>
      <c r="F661" t="n">
        <v>30842.75404411765</v>
      </c>
      <c r="G661" t="n">
        <v>33289.18468864469</v>
      </c>
      <c r="H661" t="n">
        <v>32473.79224149005</v>
      </c>
    </row>
    <row r="662">
      <c r="A662" t="inlineStr">
        <is>
          <t>G|SHORT_HIST x CHANNEL / REV_DEBT|loan_size|median|2</t>
        </is>
      </c>
      <c r="B662" t="n">
        <v>31157.84</v>
      </c>
      <c r="C662" t="n">
        <v>34294.02</v>
      </c>
      <c r="D662" t="n">
        <v>34004.87</v>
      </c>
      <c r="E662" t="n">
        <v>34201.25</v>
      </c>
      <c r="F662" t="n">
        <v>30437.01</v>
      </c>
      <c r="G662" t="n">
        <v>35160.09</v>
      </c>
      <c r="H662" t="n">
        <v>33060.93</v>
      </c>
    </row>
    <row r="663">
      <c r="A663" t="inlineStr">
        <is>
          <t>G|SHORT_HIST x CHANNEL / REV_DEBT|loan_size|book|2</t>
        </is>
      </c>
      <c r="B663" t="n">
        <v>0.9633970737989446</v>
      </c>
      <c r="C663" t="n">
        <v>1.014428758406399</v>
      </c>
      <c r="D663" t="n">
        <v>1.041860264866871</v>
      </c>
      <c r="E663" t="n">
        <v>1.030587667220064</v>
      </c>
      <c r="F663" t="n">
        <v>0.9559913015100548</v>
      </c>
      <c r="G663" t="n">
        <v>1.031820016824196</v>
      </c>
      <c r="H663" t="n">
        <v>1.006546395484098</v>
      </c>
    </row>
    <row r="664">
      <c r="A664" t="inlineStr">
        <is>
          <t>G|SHORT_HIST x CHANNEL / REV_DEBT|loan_size|band|2</t>
        </is>
      </c>
      <c r="B664" t="n">
        <v>0.9495301309266057</v>
      </c>
      <c r="C664" t="n">
        <v>1.00930706971556</v>
      </c>
      <c r="D664" t="n">
        <v>1.042449692435875</v>
      </c>
      <c r="E664" t="n">
        <v>1.028833762368062</v>
      </c>
      <c r="F664" t="n">
        <v>0.9397823568525715</v>
      </c>
      <c r="G664" t="n">
        <v>1.030611317495828</v>
      </c>
    </row>
    <row r="665">
      <c r="A665" t="inlineStr">
        <is>
          <t>G|SHORT_HIST x CHANNEL / REV_DEBT|loan_size|rate|3</t>
        </is>
      </c>
      <c r="B665" t="n">
        <v>32075.84223076923</v>
      </c>
      <c r="C665" t="n">
        <v>32550.25965384615</v>
      </c>
      <c r="D665" t="n">
        <v>32161.52233333333</v>
      </c>
      <c r="E665" t="n">
        <v>33853.93970479705</v>
      </c>
      <c r="F665" t="n">
        <v>33420.09081395349</v>
      </c>
      <c r="G665" t="n">
        <v>32636.23185328186</v>
      </c>
      <c r="H665" t="n">
        <v>32785.79382762991</v>
      </c>
    </row>
    <row r="666">
      <c r="A666" t="inlineStr">
        <is>
          <t>G|SHORT_HIST x CHANNEL / REV_DEBT|loan_size|median|3</t>
        </is>
      </c>
      <c r="B666" t="n">
        <v>31077.98</v>
      </c>
      <c r="C666" t="n">
        <v>33242.78999999999</v>
      </c>
      <c r="D666" t="n">
        <v>32415.725</v>
      </c>
      <c r="E666" t="n">
        <v>33589.32</v>
      </c>
      <c r="F666" t="n">
        <v>33679.53</v>
      </c>
      <c r="G666" t="n">
        <v>31829.18</v>
      </c>
      <c r="H666" t="n">
        <v>32929.845</v>
      </c>
    </row>
    <row r="667">
      <c r="A667" t="inlineStr">
        <is>
          <t>G|SHORT_HIST x CHANNEL / REV_DEBT|loan_size|book|3</t>
        </is>
      </c>
      <c r="B667" t="n">
        <v>0.9942116750456841</v>
      </c>
      <c r="C667" t="n">
        <v>1.008916552862289</v>
      </c>
      <c r="D667" t="n">
        <v>0.9968673857726383</v>
      </c>
      <c r="E667" t="n">
        <v>1.049324967327435</v>
      </c>
      <c r="F667" t="n">
        <v>1.03587753765812</v>
      </c>
      <c r="G667" t="n">
        <v>1.011581317322514</v>
      </c>
      <c r="H667" t="n">
        <v>1.016217088379434</v>
      </c>
    </row>
    <row r="668">
      <c r="A668" t="inlineStr">
        <is>
          <t>G|SHORT_HIST x CHANNEL / REV_DEBT|loan_size|band|3</t>
        </is>
      </c>
      <c r="B668" t="n">
        <v>0.9741843300587542</v>
      </c>
      <c r="C668" t="n">
        <v>0.9914109570630402</v>
      </c>
      <c r="D668" t="n">
        <v>0.9771185562907863</v>
      </c>
      <c r="E668" t="n">
        <v>1.039602260729128</v>
      </c>
      <c r="F668" t="n">
        <v>1.023215891558461</v>
      </c>
      <c r="G668" t="n">
        <v>0.9945473346910479</v>
      </c>
    </row>
    <row r="669">
      <c r="A669" t="inlineStr">
        <is>
          <t>G|SHORT_HIST x CHANNEL / REV_DEBT|loan_size|rate|4</t>
        </is>
      </c>
      <c r="B669" t="n">
        <v>31459.47641434263</v>
      </c>
      <c r="C669" t="n">
        <v>29833.51195219123</v>
      </c>
      <c r="D669" t="n">
        <v>33058.1821875</v>
      </c>
      <c r="E669" t="n">
        <v>32134.65439688716</v>
      </c>
      <c r="F669" t="n">
        <v>31675.7223880597</v>
      </c>
      <c r="G669" t="n">
        <v>32115.64070895523</v>
      </c>
      <c r="H669" t="n">
        <v>31722.8408833011</v>
      </c>
    </row>
    <row r="670">
      <c r="A670" t="inlineStr">
        <is>
          <t>G|SHORT_HIST x CHANNEL / REV_DEBT|loan_size|median|4</t>
        </is>
      </c>
      <c r="B670" t="n">
        <v>31141.73</v>
      </c>
      <c r="C670" t="n">
        <v>27383.67</v>
      </c>
      <c r="D670" t="n">
        <v>33554.06</v>
      </c>
      <c r="E670" t="n">
        <v>31471.19</v>
      </c>
      <c r="F670" t="n">
        <v>30976.485</v>
      </c>
      <c r="G670" t="n">
        <v>31313.555</v>
      </c>
      <c r="H670" t="n">
        <v>31160.03</v>
      </c>
    </row>
    <row r="671">
      <c r="A671" t="inlineStr">
        <is>
          <t>G|SHORT_HIST x CHANNEL / REV_DEBT|loan_size|book|4</t>
        </is>
      </c>
      <c r="B671" t="n">
        <v>0.9751070140867724</v>
      </c>
      <c r="C671" t="n">
        <v>0.924709183848987</v>
      </c>
      <c r="D671" t="n">
        <v>1.024659943459623</v>
      </c>
      <c r="E671" t="n">
        <v>0.9960345965380802</v>
      </c>
      <c r="F671" t="n">
        <v>0.981809699247909</v>
      </c>
      <c r="G671" t="n">
        <v>0.9954452548649418</v>
      </c>
      <c r="H671" t="n">
        <v>0.9832701677756736</v>
      </c>
    </row>
    <row r="672">
      <c r="A672" t="inlineStr">
        <is>
          <t>G|SHORT_HIST x CHANNEL / REV_DEBT|loan_size|band|4</t>
        </is>
      </c>
      <c r="B672" t="n">
        <v>0.9901108726912003</v>
      </c>
      <c r="C672" t="n">
        <v>0.929751278619532</v>
      </c>
      <c r="D672" t="n">
        <v>1.050838326669314</v>
      </c>
      <c r="E672" t="n">
        <v>1.015600093961242</v>
      </c>
      <c r="F672" t="n">
        <v>0.9982049780761983</v>
      </c>
      <c r="G672" t="n">
        <v>1.015007525830209</v>
      </c>
    </row>
    <row r="673">
      <c r="A673" t="inlineStr">
        <is>
          <t>G|SHORT_HIST x CHANNEL / REV_DEBT|loan_size|rate|5</t>
        </is>
      </c>
      <c r="B673" t="n">
        <v>32838.51233082706</v>
      </c>
      <c r="C673" t="n">
        <v>32762.37247191011</v>
      </c>
      <c r="D673" t="n">
        <v>31050.99051587302</v>
      </c>
      <c r="E673" t="n">
        <v>31756.57825396825</v>
      </c>
      <c r="F673" t="n">
        <v>31949.45890566038</v>
      </c>
      <c r="G673" t="n">
        <v>33664.00661654135</v>
      </c>
      <c r="H673" t="n">
        <v>32354.16927933673</v>
      </c>
    </row>
    <row r="674">
      <c r="A674" t="inlineStr">
        <is>
          <t>G|SHORT_HIST x CHANNEL / REV_DEBT|loan_size|median|5</t>
        </is>
      </c>
      <c r="B674" t="n">
        <v>32080.6</v>
      </c>
      <c r="C674" t="n">
        <v>30712.29</v>
      </c>
      <c r="D674" t="n">
        <v>30541.83</v>
      </c>
      <c r="E674" t="n">
        <v>32089.33</v>
      </c>
      <c r="F674" t="n">
        <v>31585.87</v>
      </c>
      <c r="G674" t="n">
        <v>34494.455</v>
      </c>
      <c r="H674" t="n">
        <v>31954.1</v>
      </c>
    </row>
    <row r="675">
      <c r="A675" t="inlineStr">
        <is>
          <t>G|SHORT_HIST x CHANNEL / REV_DEBT|loan_size|book|5</t>
        </is>
      </c>
      <c r="B675" t="n">
        <v>1.017851132810518</v>
      </c>
      <c r="C675" t="n">
        <v>1.015491128165061</v>
      </c>
      <c r="D675" t="n">
        <v>0.9624457269277891</v>
      </c>
      <c r="E675" t="n">
        <v>0.9843158796095612</v>
      </c>
      <c r="F675" t="n">
        <v>0.9902943413572867</v>
      </c>
      <c r="G675" t="n">
        <v>1.043437867233141</v>
      </c>
      <c r="H675" t="n">
        <v>1.002838603659935</v>
      </c>
    </row>
    <row r="676">
      <c r="A676" t="inlineStr">
        <is>
          <t>G|SHORT_HIST x CHANNEL / REV_DEBT|loan_size|band|5</t>
        </is>
      </c>
      <c r="B676" t="n">
        <v>1.018083736629428</v>
      </c>
      <c r="C676" t="n">
        <v>1.0152454720675</v>
      </c>
      <c r="D676" t="n">
        <v>0.9523758665662999</v>
      </c>
      <c r="E676" t="n">
        <v>0.9780704029673427</v>
      </c>
      <c r="F676" t="n">
        <v>0.9849854511406414</v>
      </c>
      <c r="G676" t="n">
        <v>1.049161958005701</v>
      </c>
    </row>
    <row r="677">
      <c r="A677" t="inlineStr">
        <is>
          <t>G|SHORT_HIST x CHANNEL / REV_DEBT|loan_size|rate|6</t>
        </is>
      </c>
      <c r="B677" t="n">
        <v>31520.6425</v>
      </c>
      <c r="C677" t="n">
        <v>37190.72666666666</v>
      </c>
      <c r="D677" t="n">
        <v>30277.73303030303</v>
      </c>
      <c r="E677" t="n">
        <v>35179.55117647059</v>
      </c>
      <c r="F677" t="n">
        <v>31638.23566666666</v>
      </c>
      <c r="G677" t="n">
        <v>29026.35096774194</v>
      </c>
      <c r="H677" t="n">
        <v>32589.21585</v>
      </c>
    </row>
    <row r="678">
      <c r="A678" t="inlineStr">
        <is>
          <t>G|SHORT_HIST x CHANNEL / REV_DEBT|loan_size|median|6</t>
        </is>
      </c>
      <c r="B678" t="n">
        <v>30406.195</v>
      </c>
      <c r="C678" t="n">
        <v>38203.84</v>
      </c>
      <c r="D678" t="n">
        <v>32197.78</v>
      </c>
      <c r="E678" t="n">
        <v>32861.435</v>
      </c>
      <c r="F678" t="n">
        <v>29804.745</v>
      </c>
      <c r="G678" t="n">
        <v>27181.42</v>
      </c>
      <c r="H678" t="n">
        <v>32382.035</v>
      </c>
    </row>
    <row r="679">
      <c r="A679" t="inlineStr">
        <is>
          <t>G|SHORT_HIST x CHANNEL / REV_DEBT|loan_size|book|6</t>
        </is>
      </c>
      <c r="B679" t="n">
        <v>0.9770028968523718</v>
      </c>
      <c r="C679" t="n">
        <v>1.152750858088571</v>
      </c>
      <c r="D679" t="n">
        <v>0.938478106235582</v>
      </c>
      <c r="E679" t="n">
        <v>1.090413160498807</v>
      </c>
      <c r="F679" t="n">
        <v>0.9806477738399959</v>
      </c>
      <c r="G679" t="n">
        <v>0.8996907020704771</v>
      </c>
      <c r="H679" t="n">
        <v>1.010124025599962</v>
      </c>
    </row>
    <row r="680">
      <c r="A680" t="inlineStr">
        <is>
          <t>G|SHORT_HIST x CHANNEL / REV_DEBT|loan_size|band|6</t>
        </is>
      </c>
      <c r="B680" t="n">
        <v>0.9602989600022369</v>
      </c>
      <c r="C680" t="n">
        <v>1.177699603909486</v>
      </c>
      <c r="D680" t="n">
        <v>0.9162305599973792</v>
      </c>
      <c r="E680" t="n">
        <v>1.097349216258665</v>
      </c>
      <c r="F680" t="n">
        <v>0.9658454989729702</v>
      </c>
      <c r="G680" t="n">
        <v>0.8731631110876106</v>
      </c>
    </row>
    <row r="681">
      <c r="A681" t="inlineStr">
        <is>
          <t>G|SHORT_HIST x CHANNEL / REV_DEBT|loan_size|rate|7</t>
        </is>
      </c>
      <c r="B681" t="n">
        <v>32043.37840701219</v>
      </c>
      <c r="C681" t="n">
        <v>32000.82020547945</v>
      </c>
      <c r="D681" t="n">
        <v>32195.39881598793</v>
      </c>
      <c r="E681" t="n">
        <v>32544.03584650113</v>
      </c>
      <c r="F681" t="n">
        <v>32014.76407516581</v>
      </c>
      <c r="G681" t="n">
        <v>32764.36332843497</v>
      </c>
      <c r="H681" t="n">
        <v>32262.58857732217</v>
      </c>
    </row>
    <row r="682">
      <c r="A682" t="inlineStr">
        <is>
          <t>G|SHORT_HIST x CHANNEL / REV_DEBT|loan_size|median|7</t>
        </is>
      </c>
      <c r="B682" t="n">
        <v>31758.055</v>
      </c>
      <c r="C682" t="n">
        <v>31465.335</v>
      </c>
      <c r="D682" t="n">
        <v>32267.78</v>
      </c>
      <c r="E682" t="n">
        <v>32775.06</v>
      </c>
      <c r="F682" t="n">
        <v>31649.89</v>
      </c>
      <c r="G682" t="n">
        <v>32667.73</v>
      </c>
      <c r="H682" t="n">
        <v>32112.83</v>
      </c>
    </row>
    <row r="683">
      <c r="A683" t="inlineStr">
        <is>
          <t>G|SHORT_HIST x CHANNEL / REV_DEBT|loan_size|book|7</t>
        </is>
      </c>
      <c r="B683" t="n">
        <v>0.9932054376298851</v>
      </c>
      <c r="C683" t="n">
        <v>0.991886318383432</v>
      </c>
      <c r="D683" t="n">
        <v>0.9979174094734152</v>
      </c>
      <c r="E683" t="n">
        <v>1.008723641889566</v>
      </c>
      <c r="F683" t="n">
        <v>0.9923185177295241</v>
      </c>
      <c r="G683" t="n">
        <v>1.015552836063053</v>
      </c>
      <c r="H683" t="n">
        <v>1</v>
      </c>
    </row>
    <row r="684">
      <c r="A684" t="inlineStr">
        <is>
          <t>G|SHORT_HIST x CHANNEL / REV_DEBT|loan_size|band|7</t>
        </is>
      </c>
    </row>
    <row r="685">
      <c r="A685" t="inlineStr">
        <is>
          <t>G|SHORT_HIST x CHANNEL / REV_DEBT|loan_size|meta</t>
        </is>
      </c>
      <c r="B685" t="inlineStr">
        <is>
          <t>size</t>
        </is>
      </c>
      <c r="C685" t="n">
        <v>1</v>
      </c>
      <c r="E685" t="n">
        <v>32262.58857732217</v>
      </c>
      <c r="F685" t="n">
        <v>65</v>
      </c>
    </row>
    <row r="686">
      <c r="A686" t="inlineStr">
        <is>
          <t>G|fewest</t>
        </is>
      </c>
      <c r="B686" t="n">
        <v>65</v>
      </c>
    </row>
    <row r="687">
      <c r="A687" t="inlineStr">
        <is>
          <t>P|0|FICO x CHANNEL|head</t>
        </is>
      </c>
      <c r="B687" t="inlineStr">
        <is>
          <t>FICO</t>
        </is>
      </c>
      <c r="C687" t="inlineStr">
        <is>
          <t>CHANNEL</t>
        </is>
      </c>
      <c r="D687" t="inlineStr">
        <is>
          <t>Loans</t>
        </is>
      </c>
      <c r="E687" t="inlineStr">
        <is>
          <t>Booked dollars</t>
        </is>
      </c>
      <c r="F687" t="inlineStr">
        <is>
          <t>High half</t>
        </is>
      </c>
      <c r="H687" t="inlineStr">
        <is>
          <t>Low half</t>
        </is>
      </c>
    </row>
    <row r="688">
      <c r="A688" t="inlineStr">
        <is>
          <t>P|0|FICO x CHANNEL|1</t>
        </is>
      </c>
      <c r="B688" t="inlineStr">
        <is>
          <t>496 - 653</t>
        </is>
      </c>
      <c r="C688" t="inlineStr">
        <is>
          <t>Branch</t>
        </is>
      </c>
      <c r="D688" t="n">
        <v>502</v>
      </c>
      <c r="E688" t="n">
        <v>16339706.79000001</v>
      </c>
      <c r="F688" t="n">
        <v>251</v>
      </c>
      <c r="G688" t="n">
        <v>8045394.000000007</v>
      </c>
      <c r="H688" t="n">
        <v>251</v>
      </c>
      <c r="I688" t="n">
        <v>8294312.79</v>
      </c>
    </row>
    <row r="689">
      <c r="A689" t="inlineStr">
        <is>
          <t>P|0|FICO x CHANNEL|2</t>
        </is>
      </c>
      <c r="B689" t="inlineStr">
        <is>
          <t>496 - 653</t>
        </is>
      </c>
      <c r="C689" t="inlineStr">
        <is>
          <t>Broker</t>
        </is>
      </c>
      <c r="D689" t="n">
        <v>523</v>
      </c>
      <c r="E689" t="n">
        <v>17041067.38000001</v>
      </c>
      <c r="F689" t="n">
        <v>261</v>
      </c>
      <c r="G689" t="n">
        <v>8288107.580000003</v>
      </c>
      <c r="H689" t="n">
        <v>262</v>
      </c>
      <c r="I689" t="n">
        <v>8752959.800000006</v>
      </c>
    </row>
    <row r="690">
      <c r="A690" t="inlineStr">
        <is>
          <t>P|0|FICO x CHANNEL|3</t>
        </is>
      </c>
      <c r="B690" t="inlineStr">
        <is>
          <t>496 - 653</t>
        </is>
      </c>
      <c r="C690" t="inlineStr">
        <is>
          <t>Online</t>
        </is>
      </c>
      <c r="D690" t="n">
        <v>531</v>
      </c>
      <c r="E690" t="n">
        <v>17367178.27</v>
      </c>
      <c r="F690" t="n">
        <v>265</v>
      </c>
      <c r="G690" t="n">
        <v>8466411.169999998</v>
      </c>
      <c r="H690" t="n">
        <v>266</v>
      </c>
      <c r="I690" t="n">
        <v>8900767.100000001</v>
      </c>
    </row>
    <row r="691">
      <c r="A691" t="inlineStr">
        <is>
          <t>P|0|FICO x CHANNEL|4</t>
        </is>
      </c>
      <c r="B691" t="inlineStr">
        <is>
          <t>654 - 685</t>
        </is>
      </c>
      <c r="C691" t="inlineStr">
        <is>
          <t>Branch</t>
        </is>
      </c>
      <c r="D691" t="n">
        <v>503</v>
      </c>
      <c r="E691" t="n">
        <v>16176090.75999999</v>
      </c>
      <c r="F691" t="n">
        <v>251</v>
      </c>
      <c r="G691" t="n">
        <v>7704192.039999998</v>
      </c>
      <c r="H691" t="n">
        <v>252</v>
      </c>
      <c r="I691" t="n">
        <v>8471898.719999995</v>
      </c>
    </row>
    <row r="692">
      <c r="A692" t="inlineStr">
        <is>
          <t>P|0|FICO x CHANNEL|5</t>
        </is>
      </c>
      <c r="B692" t="inlineStr">
        <is>
          <t>654 - 685</t>
        </is>
      </c>
      <c r="C692" t="inlineStr">
        <is>
          <t>Broker</t>
        </is>
      </c>
      <c r="D692" t="n">
        <v>531</v>
      </c>
      <c r="E692" t="n">
        <v>17321902.42</v>
      </c>
      <c r="F692" t="n">
        <v>265</v>
      </c>
      <c r="G692" t="n">
        <v>8652359.879999997</v>
      </c>
      <c r="H692" t="n">
        <v>266</v>
      </c>
      <c r="I692" t="n">
        <v>8669542.540000001</v>
      </c>
    </row>
    <row r="693">
      <c r="A693" t="inlineStr">
        <is>
          <t>P|0|FICO x CHANNEL|6</t>
        </is>
      </c>
      <c r="B693" t="inlineStr">
        <is>
          <t>654 - 685</t>
        </is>
      </c>
      <c r="C693" t="inlineStr">
        <is>
          <t>Online</t>
        </is>
      </c>
      <c r="D693" t="n">
        <v>505</v>
      </c>
      <c r="E693" t="n">
        <v>15851602.5</v>
      </c>
      <c r="F693" t="n">
        <v>252</v>
      </c>
      <c r="G693" t="n">
        <v>7627316.480000005</v>
      </c>
      <c r="H693" t="n">
        <v>253</v>
      </c>
      <c r="I693" t="n">
        <v>8224286.019999999</v>
      </c>
    </row>
    <row r="694">
      <c r="A694" t="inlineStr">
        <is>
          <t>P|0|FICO x CHANNEL|7</t>
        </is>
      </c>
      <c r="B694" t="inlineStr">
        <is>
          <t>686 - 711</t>
        </is>
      </c>
      <c r="C694" t="inlineStr">
        <is>
          <t>Branch</t>
        </is>
      </c>
      <c r="D694" t="n">
        <v>515</v>
      </c>
      <c r="E694" t="n">
        <v>16839795.27</v>
      </c>
      <c r="F694" t="n">
        <v>257</v>
      </c>
      <c r="G694" t="n">
        <v>8275964.539999999</v>
      </c>
      <c r="H694" t="n">
        <v>258</v>
      </c>
      <c r="I694" t="n">
        <v>8563830.729999995</v>
      </c>
    </row>
    <row r="695">
      <c r="A695" t="inlineStr">
        <is>
          <t>P|0|FICO x CHANNEL|8</t>
        </is>
      </c>
      <c r="B695" t="inlineStr">
        <is>
          <t>686 - 711</t>
        </is>
      </c>
      <c r="C695" t="inlineStr">
        <is>
          <t>Broker</t>
        </is>
      </c>
      <c r="D695" t="n">
        <v>501</v>
      </c>
      <c r="E695" t="n">
        <v>16516467.51</v>
      </c>
      <c r="F695" t="n">
        <v>250</v>
      </c>
      <c r="G695" t="n">
        <v>8314330.489999998</v>
      </c>
      <c r="H695" t="n">
        <v>251</v>
      </c>
      <c r="I695" t="n">
        <v>8202137.020000005</v>
      </c>
    </row>
    <row r="696">
      <c r="A696" t="inlineStr">
        <is>
          <t>P|0|FICO x CHANNEL|9</t>
        </is>
      </c>
      <c r="B696" t="inlineStr">
        <is>
          <t>686 - 711</t>
        </is>
      </c>
      <c r="C696" t="inlineStr">
        <is>
          <t>Online</t>
        </is>
      </c>
      <c r="D696" t="n">
        <v>546</v>
      </c>
      <c r="E696" t="n">
        <v>17660164.64000001</v>
      </c>
      <c r="F696" t="n">
        <v>273</v>
      </c>
      <c r="G696" t="n">
        <v>9012046.389999999</v>
      </c>
      <c r="H696" t="n">
        <v>273</v>
      </c>
      <c r="I696" t="n">
        <v>8648118.250000007</v>
      </c>
    </row>
    <row r="697">
      <c r="A697" t="inlineStr">
        <is>
          <t>P|0|FICO x CHANNEL|10</t>
        </is>
      </c>
      <c r="B697" t="inlineStr">
        <is>
          <t>712 - 745</t>
        </is>
      </c>
      <c r="C697" t="inlineStr">
        <is>
          <t>Branch</t>
        </is>
      </c>
      <c r="D697" t="n">
        <v>538</v>
      </c>
      <c r="E697" t="n">
        <v>16513064.03</v>
      </c>
      <c r="F697" t="n">
        <v>269</v>
      </c>
      <c r="G697" t="n">
        <v>8471219.189999999</v>
      </c>
      <c r="H697" t="n">
        <v>269</v>
      </c>
      <c r="I697" t="n">
        <v>8041844.839999998</v>
      </c>
    </row>
    <row r="698">
      <c r="A698" t="inlineStr">
        <is>
          <t>P|0|FICO x CHANNEL|11</t>
        </is>
      </c>
      <c r="B698" t="inlineStr">
        <is>
          <t>712 - 745</t>
        </is>
      </c>
      <c r="C698" t="inlineStr">
        <is>
          <t>Broker</t>
        </is>
      </c>
      <c r="D698" t="n">
        <v>509</v>
      </c>
      <c r="E698" t="n">
        <v>16230509.4</v>
      </c>
      <c r="F698" t="n">
        <v>254</v>
      </c>
      <c r="G698" t="n">
        <v>8019071.95</v>
      </c>
      <c r="H698" t="n">
        <v>255</v>
      </c>
      <c r="I698" t="n">
        <v>8211437.449999999</v>
      </c>
    </row>
    <row r="699">
      <c r="A699" t="inlineStr">
        <is>
          <t>P|0|FICO x CHANNEL|12</t>
        </is>
      </c>
      <c r="B699" t="inlineStr">
        <is>
          <t>712 - 745</t>
        </is>
      </c>
      <c r="C699" t="inlineStr">
        <is>
          <t>Online</t>
        </is>
      </c>
      <c r="D699" t="n">
        <v>564</v>
      </c>
      <c r="E699" t="n">
        <v>18368910.49000001</v>
      </c>
      <c r="F699" t="n">
        <v>282</v>
      </c>
      <c r="G699" t="n">
        <v>9087809.570000002</v>
      </c>
      <c r="H699" t="n">
        <v>282</v>
      </c>
      <c r="I699" t="n">
        <v>9281100.920000004</v>
      </c>
    </row>
    <row r="700">
      <c r="A700" t="inlineStr">
        <is>
          <t>P|0|FICO x CHANNEL|13</t>
        </is>
      </c>
      <c r="B700" t="inlineStr">
        <is>
          <t>746 - 921</t>
        </is>
      </c>
      <c r="C700" t="inlineStr">
        <is>
          <t>Branch</t>
        </is>
      </c>
      <c r="D700" t="n">
        <v>518</v>
      </c>
      <c r="E700" t="n">
        <v>16450329.83</v>
      </c>
      <c r="F700" t="n">
        <v>259</v>
      </c>
      <c r="G700" t="n">
        <v>8314870.610000003</v>
      </c>
      <c r="H700" t="n">
        <v>259</v>
      </c>
      <c r="I700" t="n">
        <v>8135459.219999993</v>
      </c>
    </row>
    <row r="701">
      <c r="A701" t="inlineStr">
        <is>
          <t>P|0|FICO x CHANNEL|14</t>
        </is>
      </c>
      <c r="B701" t="inlineStr">
        <is>
          <t>746 - 921</t>
        </is>
      </c>
      <c r="C701" t="inlineStr">
        <is>
          <t>Broker</t>
        </is>
      </c>
      <c r="D701" t="n">
        <v>536</v>
      </c>
      <c r="E701" t="n">
        <v>17135666.28</v>
      </c>
      <c r="F701" t="n">
        <v>268</v>
      </c>
      <c r="G701" t="n">
        <v>8093972.680000002</v>
      </c>
      <c r="H701" t="n">
        <v>268</v>
      </c>
      <c r="I701" t="n">
        <v>9041693.600000001</v>
      </c>
    </row>
    <row r="702">
      <c r="A702" t="inlineStr">
        <is>
          <t>P|0|FICO x CHANNEL|15</t>
        </is>
      </c>
      <c r="B702" t="inlineStr">
        <is>
          <t>746 - 921</t>
        </is>
      </c>
      <c r="C702" t="inlineStr">
        <is>
          <t>Online</t>
        </is>
      </c>
      <c r="D702" t="n">
        <v>517</v>
      </c>
      <c r="E702" t="n">
        <v>16939748.2</v>
      </c>
      <c r="F702" t="n">
        <v>258</v>
      </c>
      <c r="G702" t="n">
        <v>8792490.43</v>
      </c>
      <c r="H702" t="n">
        <v>259</v>
      </c>
      <c r="I702" t="n">
        <v>8147257.770000005</v>
      </c>
    </row>
    <row r="703">
      <c r="A703" t="inlineStr">
        <is>
          <t>P|0|FICO x CHANNEL|16</t>
        </is>
      </c>
      <c r="B703" t="inlineStr">
        <is>
          <t>(blank)</t>
        </is>
      </c>
      <c r="C703" t="inlineStr">
        <is>
          <t>Broker</t>
        </is>
      </c>
      <c r="D703" t="n">
        <v>1</v>
      </c>
      <c r="E703" t="n">
        <v>27999.47</v>
      </c>
      <c r="F703" t="n">
        <v>0</v>
      </c>
      <c r="G703" t="n">
        <v>0</v>
      </c>
      <c r="H703" t="n">
        <v>1</v>
      </c>
      <c r="I703" t="n">
        <v>27999.47</v>
      </c>
    </row>
    <row r="704">
      <c r="A704" t="inlineStr">
        <is>
          <t>P|0|FICO x CHANNEL|17</t>
        </is>
      </c>
      <c r="B704" t="inlineStr">
        <is>
          <t>(marked missing)</t>
        </is>
      </c>
      <c r="C704" t="inlineStr">
        <is>
          <t>Branch</t>
        </is>
      </c>
      <c r="D704" t="n">
        <v>51</v>
      </c>
      <c r="E704" t="n">
        <v>1771003.54</v>
      </c>
      <c r="F704" t="n">
        <v>25</v>
      </c>
      <c r="G704" t="n">
        <v>798276.53</v>
      </c>
      <c r="H704" t="n">
        <v>26</v>
      </c>
      <c r="I704" t="n">
        <v>972727.01</v>
      </c>
    </row>
    <row r="705">
      <c r="A705" t="inlineStr">
        <is>
          <t>P|0|FICO x CHANNEL|18</t>
        </is>
      </c>
      <c r="B705" t="inlineStr">
        <is>
          <t>(marked missing)</t>
        </is>
      </c>
      <c r="C705" t="inlineStr">
        <is>
          <t>Broker</t>
        </is>
      </c>
      <c r="D705" t="n">
        <v>54</v>
      </c>
      <c r="E705" t="n">
        <v>1668510.01</v>
      </c>
      <c r="F705" t="n">
        <v>27</v>
      </c>
      <c r="G705" t="n">
        <v>835771.09</v>
      </c>
      <c r="H705" t="n">
        <v>27</v>
      </c>
      <c r="I705" t="n">
        <v>832738.9200000002</v>
      </c>
    </row>
    <row r="706">
      <c r="A706" t="inlineStr">
        <is>
          <t>P|0|FICO x CHANNEL|19</t>
        </is>
      </c>
      <c r="B706" t="inlineStr">
        <is>
          <t>(marked missing)</t>
        </is>
      </c>
      <c r="C706" t="inlineStr">
        <is>
          <t>Online</t>
        </is>
      </c>
      <c r="D706" t="n">
        <v>55</v>
      </c>
      <c r="E706" t="n">
        <v>1848729.24</v>
      </c>
      <c r="F706" t="n">
        <v>27</v>
      </c>
      <c r="G706" t="n">
        <v>858062.1400000001</v>
      </c>
      <c r="H706" t="n">
        <v>28</v>
      </c>
      <c r="I706" t="n">
        <v>990667.0999999999</v>
      </c>
    </row>
    <row r="707">
      <c r="A707" t="inlineStr">
        <is>
          <t>P|0|FICO x CHANNEL|20</t>
        </is>
      </c>
      <c r="B707" t="inlineStr">
        <is>
          <t>Every pocket</t>
        </is>
      </c>
      <c r="D707" t="n">
        <v>8000</v>
      </c>
      <c r="E707" t="n">
        <v>258068446.03</v>
      </c>
      <c r="F707" t="n">
        <v>3994</v>
      </c>
      <c r="G707" t="n">
        <v>127657666.76</v>
      </c>
      <c r="H707" t="n">
        <v>4006</v>
      </c>
      <c r="I707" t="n">
        <v>130410779.27</v>
      </c>
    </row>
    <row r="708">
      <c r="A708" t="inlineStr">
        <is>
          <t>P|0|FICO x CHANNEL|21</t>
        </is>
      </c>
      <c r="B708" t="inlineStr">
        <is>
          <t>Share of the grid</t>
        </is>
      </c>
      <c r="F708" t="n">
        <v>0.49925</v>
      </c>
      <c r="G708" t="n">
        <v>0.4946659257411115</v>
      </c>
      <c r="H708" t="n">
        <v>0.50075</v>
      </c>
      <c r="I708" t="n">
        <v>0.5053340742588885</v>
      </c>
    </row>
    <row r="709">
      <c r="A709" t="inlineStr">
        <is>
          <t>P|0|SHORT_HIST x CHANNEL|head</t>
        </is>
      </c>
      <c r="B709" t="inlineStr">
        <is>
          <t>SHORT_HIST</t>
        </is>
      </c>
      <c r="C709" t="inlineStr">
        <is>
          <t>CHANNEL</t>
        </is>
      </c>
      <c r="D709" t="inlineStr">
        <is>
          <t>Loans</t>
        </is>
      </c>
      <c r="E709" t="inlineStr">
        <is>
          <t>Booked dollars</t>
        </is>
      </c>
      <c r="F709" t="inlineStr">
        <is>
          <t>High half</t>
        </is>
      </c>
      <c r="H709" t="inlineStr">
        <is>
          <t>Low half</t>
        </is>
      </c>
    </row>
    <row r="710">
      <c r="A710" t="inlineStr">
        <is>
          <t>P|0|SHORT_HIST x CHANNEL|1</t>
        </is>
      </c>
      <c r="B710" t="inlineStr">
        <is>
          <t>0.0 - 88.9</t>
        </is>
      </c>
      <c r="C710" t="inlineStr">
        <is>
          <t>Branch</t>
        </is>
      </c>
      <c r="D710" t="n">
        <v>509</v>
      </c>
      <c r="E710" t="n">
        <v>16313060.26</v>
      </c>
      <c r="F710" t="n">
        <v>254</v>
      </c>
      <c r="G710" t="n">
        <v>8320065.060000005</v>
      </c>
      <c r="H710" t="n">
        <v>255</v>
      </c>
      <c r="I710" t="n">
        <v>7992995.199999996</v>
      </c>
    </row>
    <row r="711">
      <c r="A711" t="inlineStr">
        <is>
          <t>P|0|SHORT_HIST x CHANNEL|2</t>
        </is>
      </c>
      <c r="B711" t="inlineStr">
        <is>
          <t>0.0 - 88.9</t>
        </is>
      </c>
      <c r="C711" t="inlineStr">
        <is>
          <t>Broker</t>
        </is>
      </c>
      <c r="D711" t="n">
        <v>508</v>
      </c>
      <c r="E711" t="n">
        <v>15888694.07</v>
      </c>
      <c r="F711" t="n">
        <v>254</v>
      </c>
      <c r="G711" t="n">
        <v>7947556.889999998</v>
      </c>
      <c r="H711" t="n">
        <v>254</v>
      </c>
      <c r="I711" t="n">
        <v>7941137.180000004</v>
      </c>
    </row>
    <row r="712">
      <c r="A712" t="inlineStr">
        <is>
          <t>P|0|SHORT_HIST x CHANNEL|3</t>
        </is>
      </c>
      <c r="B712" t="inlineStr">
        <is>
          <t>0.0 - 88.9</t>
        </is>
      </c>
      <c r="C712" t="inlineStr">
        <is>
          <t>Online</t>
        </is>
      </c>
      <c r="D712" t="n">
        <v>528</v>
      </c>
      <c r="E712" t="n">
        <v>17117707.71</v>
      </c>
      <c r="F712" t="n">
        <v>264</v>
      </c>
      <c r="G712" t="n">
        <v>8527575.040000001</v>
      </c>
      <c r="H712" t="n">
        <v>264</v>
      </c>
      <c r="I712" t="n">
        <v>8590132.67</v>
      </c>
    </row>
    <row r="713">
      <c r="A713" t="inlineStr">
        <is>
          <t>P|0|SHORT_HIST x CHANNEL|4</t>
        </is>
      </c>
      <c r="B713" t="inlineStr">
        <is>
          <t>89.0 - 171.9</t>
        </is>
      </c>
      <c r="C713" t="inlineStr">
        <is>
          <t>Branch</t>
        </is>
      </c>
      <c r="D713" t="n">
        <v>490</v>
      </c>
      <c r="E713" t="n">
        <v>15633396.37</v>
      </c>
      <c r="F713" t="n">
        <v>245</v>
      </c>
      <c r="G713" t="n">
        <v>7615012.440000001</v>
      </c>
      <c r="H713" t="n">
        <v>245</v>
      </c>
      <c r="I713" t="n">
        <v>8018383.929999999</v>
      </c>
    </row>
    <row r="714">
      <c r="A714" t="inlineStr">
        <is>
          <t>P|0|SHORT_HIST x CHANNEL|5</t>
        </is>
      </c>
      <c r="B714" t="inlineStr">
        <is>
          <t>89.0 - 171.9</t>
        </is>
      </c>
      <c r="C714" t="inlineStr">
        <is>
          <t>Broker</t>
        </is>
      </c>
      <c r="D714" t="n">
        <v>522</v>
      </c>
      <c r="E714" t="n">
        <v>17451121.63000001</v>
      </c>
      <c r="F714" t="n">
        <v>261</v>
      </c>
      <c r="G714" t="n">
        <v>8773021.470000003</v>
      </c>
      <c r="H714" t="n">
        <v>261</v>
      </c>
      <c r="I714" t="n">
        <v>8678100.160000004</v>
      </c>
    </row>
    <row r="715">
      <c r="A715" t="inlineStr">
        <is>
          <t>P|0|SHORT_HIST x CHANNEL|6</t>
        </is>
      </c>
      <c r="B715" t="inlineStr">
        <is>
          <t>89.0 - 171.9</t>
        </is>
      </c>
      <c r="C715" t="inlineStr">
        <is>
          <t>Online</t>
        </is>
      </c>
      <c r="D715" t="n">
        <v>545</v>
      </c>
      <c r="E715" t="n">
        <v>17477176.52000001</v>
      </c>
      <c r="F715" t="n">
        <v>272</v>
      </c>
      <c r="G715" t="n">
        <v>8389229.100000007</v>
      </c>
      <c r="H715" t="n">
        <v>273</v>
      </c>
      <c r="I715" t="n">
        <v>9087947.420000002</v>
      </c>
    </row>
    <row r="716">
      <c r="A716" t="inlineStr">
        <is>
          <t>P|0|SHORT_HIST x CHANNEL|7</t>
        </is>
      </c>
      <c r="B716" t="inlineStr">
        <is>
          <t>172.0 - 256.3</t>
        </is>
      </c>
      <c r="C716" t="inlineStr">
        <is>
          <t>Branch</t>
        </is>
      </c>
      <c r="D716" t="n">
        <v>520</v>
      </c>
      <c r="E716" t="n">
        <v>16802786.48999999</v>
      </c>
      <c r="F716" t="n">
        <v>260</v>
      </c>
      <c r="G716" t="n">
        <v>8339718.979999995</v>
      </c>
      <c r="H716" t="n">
        <v>260</v>
      </c>
      <c r="I716" t="n">
        <v>8463067.510000002</v>
      </c>
    </row>
    <row r="717">
      <c r="A717" t="inlineStr">
        <is>
          <t>P|0|SHORT_HIST x CHANNEL|8</t>
        </is>
      </c>
      <c r="B717" t="inlineStr">
        <is>
          <t>172.0 - 256.3</t>
        </is>
      </c>
      <c r="C717" t="inlineStr">
        <is>
          <t>Broker</t>
        </is>
      </c>
      <c r="D717" t="n">
        <v>541</v>
      </c>
      <c r="E717" t="n">
        <v>17858028.69000001</v>
      </c>
      <c r="F717" t="n">
        <v>270</v>
      </c>
      <c r="G717" t="n">
        <v>8683611.029999999</v>
      </c>
      <c r="H717" t="n">
        <v>271</v>
      </c>
      <c r="I717" t="n">
        <v>9174417.660000006</v>
      </c>
    </row>
    <row r="718">
      <c r="A718" t="inlineStr">
        <is>
          <t>P|0|SHORT_HIST x CHANNEL|9</t>
        </is>
      </c>
      <c r="B718" t="inlineStr">
        <is>
          <t>172.0 - 256.3</t>
        </is>
      </c>
      <c r="C718" t="inlineStr">
        <is>
          <t>Online</t>
        </is>
      </c>
      <c r="D718" t="n">
        <v>517</v>
      </c>
      <c r="E718" t="n">
        <v>17075167.48000001</v>
      </c>
      <c r="F718" t="n">
        <v>258</v>
      </c>
      <c r="G718" t="n">
        <v>8622383.43</v>
      </c>
      <c r="H718" t="n">
        <v>259</v>
      </c>
      <c r="I718" t="n">
        <v>8452784.050000008</v>
      </c>
    </row>
    <row r="719">
      <c r="A719" t="inlineStr">
        <is>
          <t>P|0|SHORT_HIST x CHANNEL|10</t>
        </is>
      </c>
      <c r="B719" t="inlineStr">
        <is>
          <t>256.4 - 345.9</t>
        </is>
      </c>
      <c r="C719" t="inlineStr">
        <is>
          <t>Branch</t>
        </is>
      </c>
      <c r="D719" t="n">
        <v>503</v>
      </c>
      <c r="E719" t="n">
        <v>15384540.08</v>
      </c>
      <c r="F719" t="n">
        <v>251</v>
      </c>
      <c r="G719" t="n">
        <v>7896328.579999998</v>
      </c>
      <c r="H719" t="n">
        <v>252</v>
      </c>
      <c r="I719" t="n">
        <v>7488211.500000002</v>
      </c>
    </row>
    <row r="720">
      <c r="A720" t="inlineStr">
        <is>
          <t>P|0|SHORT_HIST x CHANNEL|11</t>
        </is>
      </c>
      <c r="B720" t="inlineStr">
        <is>
          <t>256.4 - 345.9</t>
        </is>
      </c>
      <c r="C720" t="inlineStr">
        <is>
          <t>Broker</t>
        </is>
      </c>
      <c r="D720" t="n">
        <v>513</v>
      </c>
      <c r="E720" t="n">
        <v>16721500.82000001</v>
      </c>
      <c r="F720" t="n">
        <v>256</v>
      </c>
      <c r="G720" t="n">
        <v>8462894.640000002</v>
      </c>
      <c r="H720" t="n">
        <v>257</v>
      </c>
      <c r="I720" t="n">
        <v>8258606.180000003</v>
      </c>
    </row>
    <row r="721">
      <c r="A721" t="inlineStr">
        <is>
          <t>P|0|SHORT_HIST x CHANNEL|12</t>
        </is>
      </c>
      <c r="B721" t="inlineStr">
        <is>
          <t>256.4 - 345.9</t>
        </is>
      </c>
      <c r="C721" t="inlineStr">
        <is>
          <t>Online</t>
        </is>
      </c>
      <c r="D721" t="n">
        <v>536</v>
      </c>
      <c r="E721" t="n">
        <v>17096085.31</v>
      </c>
      <c r="F721" t="n">
        <v>268</v>
      </c>
      <c r="G721" t="n">
        <v>8489093.599999992</v>
      </c>
      <c r="H721" t="n">
        <v>268</v>
      </c>
      <c r="I721" t="n">
        <v>8606991.710000006</v>
      </c>
    </row>
    <row r="722">
      <c r="A722" t="inlineStr">
        <is>
          <t>P|0|SHORT_HIST x CHANNEL|13</t>
        </is>
      </c>
      <c r="B722" t="inlineStr">
        <is>
          <t>346.0 - 435.0</t>
        </is>
      </c>
      <c r="C722" t="inlineStr">
        <is>
          <t>Branch</t>
        </is>
      </c>
      <c r="D722" t="n">
        <v>533</v>
      </c>
      <c r="E722" t="n">
        <v>17482597.73</v>
      </c>
      <c r="F722" t="n">
        <v>266</v>
      </c>
      <c r="G722" t="n">
        <v>8735044.280000005</v>
      </c>
      <c r="H722" t="n">
        <v>267</v>
      </c>
      <c r="I722" t="n">
        <v>8747553.449999996</v>
      </c>
    </row>
    <row r="723">
      <c r="A723" t="inlineStr">
        <is>
          <t>P|0|SHORT_HIST x CHANNEL|14</t>
        </is>
      </c>
      <c r="B723" t="inlineStr">
        <is>
          <t>346.0 - 435.0</t>
        </is>
      </c>
      <c r="C723" t="inlineStr">
        <is>
          <t>Broker</t>
        </is>
      </c>
      <c r="D723" t="n">
        <v>504</v>
      </c>
      <c r="E723" t="n">
        <v>15827507.33</v>
      </c>
      <c r="F723" t="n">
        <v>252</v>
      </c>
      <c r="G723" t="n">
        <v>7824849.610000002</v>
      </c>
      <c r="H723" t="n">
        <v>252</v>
      </c>
      <c r="I723" t="n">
        <v>8002657.719999996</v>
      </c>
    </row>
    <row r="724">
      <c r="A724" t="inlineStr">
        <is>
          <t>P|0|SHORT_HIST x CHANNEL|15</t>
        </is>
      </c>
      <c r="B724" t="inlineStr">
        <is>
          <t>346.0 - 435.0</t>
        </is>
      </c>
      <c r="C724" t="inlineStr">
        <is>
          <t>Online</t>
        </is>
      </c>
      <c r="D724" t="n">
        <v>531</v>
      </c>
      <c r="E724" t="n">
        <v>17421232.37</v>
      </c>
      <c r="F724" t="n">
        <v>265</v>
      </c>
      <c r="G724" t="n">
        <v>8466606.610000003</v>
      </c>
      <c r="H724" t="n">
        <v>266</v>
      </c>
      <c r="I724" t="n">
        <v>8954625.759999996</v>
      </c>
    </row>
    <row r="725">
      <c r="A725" t="inlineStr">
        <is>
          <t>P|0|SHORT_HIST x CHANNEL|16</t>
        </is>
      </c>
      <c r="B725" t="inlineStr">
        <is>
          <t>(marked missing)</t>
        </is>
      </c>
      <c r="C725" t="inlineStr">
        <is>
          <t>Branch</t>
        </is>
      </c>
      <c r="D725" t="n">
        <v>72</v>
      </c>
      <c r="E725" t="n">
        <v>2473609.29</v>
      </c>
      <c r="F725" t="n">
        <v>36</v>
      </c>
      <c r="G725" t="n">
        <v>1134743.13</v>
      </c>
      <c r="H725" t="n">
        <v>36</v>
      </c>
      <c r="I725" t="n">
        <v>1338866.16</v>
      </c>
    </row>
    <row r="726">
      <c r="A726" t="inlineStr">
        <is>
          <t>P|0|SHORT_HIST x CHANNEL|17</t>
        </is>
      </c>
      <c r="B726" t="inlineStr">
        <is>
          <t>(marked missing)</t>
        </is>
      </c>
      <c r="C726" t="inlineStr">
        <is>
          <t>Broker</t>
        </is>
      </c>
      <c r="D726" t="n">
        <v>67</v>
      </c>
      <c r="E726" t="n">
        <v>2195269.93</v>
      </c>
      <c r="F726" t="n">
        <v>33</v>
      </c>
      <c r="G726" t="n">
        <v>999165.1900000001</v>
      </c>
      <c r="H726" t="n">
        <v>34</v>
      </c>
      <c r="I726" t="n">
        <v>1196104.74</v>
      </c>
    </row>
    <row r="727">
      <c r="A727" t="inlineStr">
        <is>
          <t>P|0|SHORT_HIST x CHANNEL|18</t>
        </is>
      </c>
      <c r="B727" t="inlineStr">
        <is>
          <t>(marked missing)</t>
        </is>
      </c>
      <c r="C727" t="inlineStr">
        <is>
          <t>Online</t>
        </is>
      </c>
      <c r="D727" t="n">
        <v>61</v>
      </c>
      <c r="E727" t="n">
        <v>1848963.95</v>
      </c>
      <c r="F727" t="n">
        <v>30</v>
      </c>
      <c r="G727" t="n">
        <v>949147.0700000001</v>
      </c>
      <c r="H727" t="n">
        <v>31</v>
      </c>
      <c r="I727" t="n">
        <v>899816.88</v>
      </c>
    </row>
    <row r="728">
      <c r="A728" t="inlineStr">
        <is>
          <t>P|0|SHORT_HIST x CHANNEL|19</t>
        </is>
      </c>
      <c r="B728" t="inlineStr">
        <is>
          <t>Every pocket</t>
        </is>
      </c>
      <c r="D728" t="n">
        <v>8000</v>
      </c>
      <c r="E728" t="n">
        <v>258068446.03</v>
      </c>
      <c r="F728" t="n">
        <v>3995</v>
      </c>
      <c r="G728" t="n">
        <v>128176046.15</v>
      </c>
      <c r="H728" t="n">
        <v>4005</v>
      </c>
      <c r="I728" t="n">
        <v>129892399.88</v>
      </c>
    </row>
    <row r="729">
      <c r="A729" t="inlineStr">
        <is>
          <t>P|0|SHORT_HIST x CHANNEL|20</t>
        </is>
      </c>
      <c r="B729" t="inlineStr">
        <is>
          <t>Share of the grid</t>
        </is>
      </c>
      <c r="F729" t="n">
        <v>0.499375</v>
      </c>
      <c r="G729" t="n">
        <v>0.4966746152883013</v>
      </c>
      <c r="H729" t="n">
        <v>0.500625</v>
      </c>
      <c r="I729" t="n">
        <v>0.5033253847116987</v>
      </c>
    </row>
    <row r="730">
      <c r="A730" t="inlineStr">
        <is>
          <t>P|0|FICO x CHANNEL / REV_DEBT|say</t>
        </is>
      </c>
      <c r="B730" t="inlineStr">
        <is>
          <t>Counted on the two-way grids: pick one without the split.</t>
        </is>
      </c>
    </row>
    <row r="731">
      <c r="A731" t="inlineStr">
        <is>
          <t>P|0|SHORT_HIST x CHANNEL / REV_DEBT|say</t>
        </is>
      </c>
      <c r="B731" t="inlineStr">
        <is>
          <t>Counted on the two-way grids: pick one without the split.</t>
        </is>
      </c>
    </row>
    <row r="732">
      <c r="A732" t="inlineStr">
        <is>
          <t>S|FICO x CHANNEL|chip</t>
        </is>
      </c>
      <c r="B732" t="inlineStr">
        <is>
          <t>Holds FICO fixed</t>
        </is>
      </c>
      <c r="C732" t="n">
        <v>1</v>
      </c>
      <c r="D732" t="inlineStr">
        <is>
          <t>This grid holds FICO fixed (REV_DEBT's correlation with it: -0.53). It doesn't hold SHORT_HIST fixed (REV_DEBT's correlation with it: -0.01).</t>
        </is>
      </c>
    </row>
    <row r="733">
      <c r="A733" t="inlineStr">
        <is>
          <t>S|FICO x CHANNEL|rows</t>
        </is>
      </c>
      <c r="B733" t="inlineStr">
        <is>
          <t>496 - 653</t>
        </is>
      </c>
      <c r="C733" t="inlineStr">
        <is>
          <t>654 - 685</t>
        </is>
      </c>
      <c r="D733" t="inlineStr">
        <is>
          <t>686 - 711</t>
        </is>
      </c>
      <c r="E733" t="inlineStr">
        <is>
          <t>712 - 745</t>
        </is>
      </c>
      <c r="F733" t="inlineStr">
        <is>
          <t>746 - 921</t>
        </is>
      </c>
      <c r="G733" t="inlineStr">
        <is>
          <t>(blank)</t>
        </is>
      </c>
      <c r="H733" t="inlineStr">
        <is>
          <t>(marked missing)</t>
        </is>
      </c>
    </row>
    <row r="734">
      <c r="A734" t="inlineStr">
        <is>
          <t>S|FICO x CHANNEL|cols</t>
        </is>
      </c>
      <c r="B734" t="inlineStr">
        <is>
          <t>Branch</t>
        </is>
      </c>
      <c r="C734" t="inlineStr">
        <is>
          <t>Broker</t>
        </is>
      </c>
      <c r="D734" t="inlineStr">
        <is>
          <t>Online</t>
        </is>
      </c>
    </row>
    <row r="735">
      <c r="A735" t="inlineStr">
        <is>
          <t>S|FICO x CHANNEL|sum|1</t>
        </is>
      </c>
      <c r="B735" t="inlineStr">
        <is>
          <t>Bad loans</t>
        </is>
      </c>
      <c r="C735" t="n">
        <v>15</v>
      </c>
      <c r="D735" t="inlineStr">
        <is>
          <t>14 of 15</t>
        </is>
      </c>
      <c r="E735" t="n">
        <v>2.019464784591171</v>
      </c>
      <c r="F735" t="n">
        <v>0.1167472674597528</v>
      </c>
      <c r="G735" t="inlineStr">
        <is>
          <t>x</t>
        </is>
      </c>
      <c r="H735" t="n">
        <v>2.496847944332674e-18</v>
      </c>
      <c r="I735" t="n">
        <v>2.185966842963063</v>
      </c>
      <c r="J735" t="n">
        <v>1.049944497339189e-18</v>
      </c>
      <c r="K735" t="n">
        <v>0.1627518626521472</v>
      </c>
    </row>
    <row r="736">
      <c r="A736" t="inlineStr">
        <is>
          <t>S|FICO x CHANNEL|outcome_loans|meta</t>
        </is>
      </c>
      <c r="B736" t="inlineStr">
        <is>
          <t>x</t>
        </is>
      </c>
      <c r="C736" t="n">
        <v>3.2</v>
      </c>
    </row>
    <row r="737">
      <c r="A737" t="inlineStr">
        <is>
          <t>S|FICO x CHANNEL|outcome_loans|v|1</t>
        </is>
      </c>
      <c r="B737" t="n">
        <v>2.390438247011952</v>
      </c>
      <c r="C737" t="n">
        <v>2.667323481116584</v>
      </c>
      <c r="D737" t="n">
        <v>1.625157232704403</v>
      </c>
    </row>
    <row r="738">
      <c r="A738" t="inlineStr">
        <is>
          <t>S|FICO x CHANNEL|outcome_loans|p|1</t>
        </is>
      </c>
      <c r="B738" t="n">
        <v>0.007563794039478861</v>
      </c>
      <c r="C738" t="n">
        <v>4.717050704113425e-08</v>
      </c>
      <c r="D738" t="n">
        <v>0.1280141921229804</v>
      </c>
    </row>
    <row r="739">
      <c r="A739" t="inlineStr">
        <is>
          <t>S|FICO x CHANNEL|outcome_loans|se|1</t>
        </is>
      </c>
    </row>
    <row r="740">
      <c r="A740" t="inlineStr">
        <is>
          <t>S|FICO x CHANNEL|outcome_loans|v|2</t>
        </is>
      </c>
      <c r="B740" t="n">
        <v>1.37387292933529</v>
      </c>
      <c r="C740" t="n">
        <v>2.920068610634649</v>
      </c>
      <c r="D740" t="n">
        <v>2.239621489621489</v>
      </c>
    </row>
    <row r="741">
      <c r="A741" t="inlineStr">
        <is>
          <t>S|FICO x CHANNEL|outcome_loans|p|2</t>
        </is>
      </c>
      <c r="B741" t="n">
        <v>0.3350759515593689</v>
      </c>
      <c r="C741" t="n">
        <v>0.003990225632581774</v>
      </c>
      <c r="D741" t="n">
        <v>0.028641821567314</v>
      </c>
    </row>
    <row r="742">
      <c r="A742" t="inlineStr">
        <is>
          <t>S|FICO x CHANNEL|outcome_loans|se|2</t>
        </is>
      </c>
    </row>
    <row r="743">
      <c r="A743" t="inlineStr">
        <is>
          <t>S|FICO x CHANNEL|outcome_loans|v|3</t>
        </is>
      </c>
      <c r="B743" t="n">
        <v>2.119325551232166</v>
      </c>
      <c r="C743" t="n">
        <v>1.896444444444444</v>
      </c>
      <c r="D743" t="n">
        <v>3.2</v>
      </c>
    </row>
    <row r="744">
      <c r="A744" t="inlineStr">
        <is>
          <t>S|FICO x CHANNEL|outcome_loans|p|3</t>
        </is>
      </c>
      <c r="B744" t="n">
        <v>0.126764756456848</v>
      </c>
      <c r="C744" t="n">
        <v>0.1429861087179962</v>
      </c>
      <c r="D744" t="n">
        <v>0.003078183544636021</v>
      </c>
    </row>
    <row r="745">
      <c r="A745" t="inlineStr">
        <is>
          <t>S|FICO x CHANNEL|outcome_loans|se|3</t>
        </is>
      </c>
    </row>
    <row r="746">
      <c r="A746" t="inlineStr">
        <is>
          <t>S|FICO x CHANNEL|outcome_loans|v|4</t>
        </is>
      </c>
      <c r="B746" t="n">
        <v>2.142857142857143</v>
      </c>
      <c r="C746" t="n">
        <v>0.7808398950131233</v>
      </c>
      <c r="D746" t="n">
        <v>1.578947368421053</v>
      </c>
    </row>
    <row r="747">
      <c r="A747" t="inlineStr">
        <is>
          <t>S|FICO x CHANNEL|outcome_loans|p|4</t>
        </is>
      </c>
      <c r="B747" t="n">
        <v>0.1359681779072464</v>
      </c>
      <c r="C747" t="n">
        <v>0.6611030415229938</v>
      </c>
      <c r="D747" t="n">
        <v>0.1429861087179962</v>
      </c>
    </row>
    <row r="748">
      <c r="A748" t="inlineStr">
        <is>
          <t>S|FICO x CHANNEL|outcome_loans|se|4</t>
        </is>
      </c>
    </row>
    <row r="749">
      <c r="A749" t="inlineStr">
        <is>
          <t>S|FICO x CHANNEL|outcome_loans|v|5</t>
        </is>
      </c>
      <c r="B749" t="n">
        <v>1.3</v>
      </c>
      <c r="C749" t="n">
        <v>2.333333333333333</v>
      </c>
      <c r="D749" t="n">
        <v>1.11541774332472</v>
      </c>
    </row>
    <row r="750">
      <c r="A750" t="inlineStr">
        <is>
          <t>S|FICO x CHANNEL|outcome_loans|p|5</t>
        </is>
      </c>
      <c r="B750" t="n">
        <v>0.6025735643627224</v>
      </c>
      <c r="C750" t="n">
        <v>0.1280141921229804</v>
      </c>
      <c r="D750" t="n">
        <v>0.8085150982737671</v>
      </c>
    </row>
    <row r="751">
      <c r="A751" t="inlineStr">
        <is>
          <t>S|FICO x CHANNEL|outcome_loans|se|5</t>
        </is>
      </c>
    </row>
    <row r="752">
      <c r="A752" t="inlineStr">
        <is>
          <t>S|FICO x CHANNEL|outcome_loans|v|6</t>
        </is>
      </c>
    </row>
    <row r="753">
      <c r="A753" t="inlineStr">
        <is>
          <t>S|FICO x CHANNEL|outcome_loans|p|6</t>
        </is>
      </c>
    </row>
    <row r="754">
      <c r="A754" t="inlineStr">
        <is>
          <t>S|FICO x CHANNEL|outcome_loans|se|6</t>
        </is>
      </c>
    </row>
    <row r="755">
      <c r="A755" t="inlineStr">
        <is>
          <t>S|FICO x CHANNEL|outcome_loans|v|7</t>
        </is>
      </c>
    </row>
    <row r="756">
      <c r="A756" t="inlineStr">
        <is>
          <t>S|FICO x CHANNEL|outcome_loans|p|7</t>
        </is>
      </c>
    </row>
    <row r="757">
      <c r="A757" t="inlineStr">
        <is>
          <t>S|FICO x CHANNEL|outcome_loans|se|7</t>
        </is>
      </c>
    </row>
    <row r="758">
      <c r="A758" t="inlineStr">
        <is>
          <t>S|FICO x CHANNEL|sum|2</t>
        </is>
      </c>
      <c r="B758" t="inlineStr">
        <is>
          <t>Bad dollars</t>
        </is>
      </c>
      <c r="C758" t="n">
        <v>15</v>
      </c>
      <c r="D758" t="inlineStr">
        <is>
          <t>15 of 15</t>
        </is>
      </c>
      <c r="E758" t="n">
        <v>2.136595516286344</v>
      </c>
      <c r="F758" t="n">
        <v>0.135759539873089</v>
      </c>
      <c r="G758" t="inlineStr">
        <is>
          <t>x</t>
        </is>
      </c>
      <c r="H758" t="n">
        <v>9.999000099990002e-05</v>
      </c>
      <c r="L758" t="inlineStr">
        <is>
          <t>not tested: dollar rate</t>
        </is>
      </c>
      <c r="P758" t="n">
        <v>9.999000099990002e-05</v>
      </c>
    </row>
    <row r="759">
      <c r="A759" t="inlineStr">
        <is>
          <t>S|FICO x CHANNEL|outcome_booked|meta</t>
        </is>
      </c>
      <c r="B759" t="inlineStr">
        <is>
          <t>x</t>
        </is>
      </c>
      <c r="C759" t="n">
        <v>3.823393178758546</v>
      </c>
    </row>
    <row r="760">
      <c r="A760" t="inlineStr">
        <is>
          <t>S|FICO x CHANNEL|outcome_booked|v|1</t>
        </is>
      </c>
      <c r="B760" t="n">
        <v>2.837054044224876</v>
      </c>
      <c r="C760" t="n">
        <v>2.112711659091492</v>
      </c>
      <c r="D760" t="n">
        <v>2.046427315637201</v>
      </c>
    </row>
    <row r="761">
      <c r="A761" t="inlineStr">
        <is>
          <t>S|FICO x CHANNEL|outcome_booked|p|1</t>
        </is>
      </c>
      <c r="B761" t="n">
        <v>0.004999500049995001</v>
      </c>
      <c r="C761" t="n">
        <v>0.00224977502249775</v>
      </c>
      <c r="D761" t="n">
        <v>0.04074592540745926</v>
      </c>
    </row>
    <row r="762">
      <c r="A762" t="inlineStr">
        <is>
          <t>S|FICO x CHANNEL|outcome_booked|se|1</t>
        </is>
      </c>
      <c r="B762" t="n">
        <v>0.00158026913053521</v>
      </c>
      <c r="C762" t="n">
        <v>0.001298778317538496</v>
      </c>
      <c r="D762" t="n">
        <v>0.003165510749963391</v>
      </c>
    </row>
    <row r="763">
      <c r="A763" t="inlineStr">
        <is>
          <t>S|FICO x CHANNEL|outcome_booked|v|2</t>
        </is>
      </c>
      <c r="B763" t="n">
        <v>1.583578458661409</v>
      </c>
      <c r="C763" t="n">
        <v>3.823393178758546</v>
      </c>
      <c r="D763" t="n">
        <v>2.802319890180129</v>
      </c>
    </row>
    <row r="764">
      <c r="A764" t="inlineStr">
        <is>
          <t>S|FICO x CHANNEL|outcome_booked|p|2</t>
        </is>
      </c>
      <c r="B764" t="n">
        <v>0.1938556144385561</v>
      </c>
      <c r="C764" t="n">
        <v>0.00224977502249775</v>
      </c>
      <c r="D764" t="n">
        <v>0.0134986501349865</v>
      </c>
    </row>
    <row r="765">
      <c r="A765" t="inlineStr">
        <is>
          <t>S|FICO x CHANNEL|outcome_booked|se|2</t>
        </is>
      </c>
      <c r="B765" t="n">
        <v>0.004524815121072297</v>
      </c>
      <c r="C765" t="n">
        <v>0.001298778317538496</v>
      </c>
      <c r="D765" t="n">
        <v>0.002245834465198462</v>
      </c>
    </row>
    <row r="766">
      <c r="A766" t="inlineStr">
        <is>
          <t>S|FICO x CHANNEL|outcome_booked|v|3</t>
        </is>
      </c>
      <c r="B766" t="n">
        <v>2.392101283757253</v>
      </c>
      <c r="C766" t="n">
        <v>2.688638815287214</v>
      </c>
      <c r="D766" t="n">
        <v>2.6145159901931</v>
      </c>
    </row>
    <row r="767">
      <c r="A767" t="inlineStr">
        <is>
          <t>S|FICO x CHANNEL|outcome_booked|p|3</t>
        </is>
      </c>
      <c r="B767" t="n">
        <v>0.07079292070792921</v>
      </c>
      <c r="C767" t="n">
        <v>0.07079292070792921</v>
      </c>
      <c r="D767" t="n">
        <v>0.0245975402459754</v>
      </c>
    </row>
    <row r="768">
      <c r="A768" t="inlineStr">
        <is>
          <t>S|FICO x CHANNEL|outcome_booked|se|3</t>
        </is>
      </c>
      <c r="B768" t="n">
        <v>0.003180844910389921</v>
      </c>
      <c r="C768" t="n">
        <v>0.003180844910389921</v>
      </c>
      <c r="D768" t="n">
        <v>0.002705320346128603</v>
      </c>
    </row>
    <row r="769">
      <c r="A769" t="inlineStr">
        <is>
          <t>S|FICO x CHANNEL|outcome_booked|v|4</t>
        </is>
      </c>
      <c r="B769" t="n">
        <v>2.675269964025</v>
      </c>
      <c r="C769" t="n">
        <v>1.115345245475558</v>
      </c>
      <c r="D769" t="n">
        <v>1.71891167374926</v>
      </c>
    </row>
    <row r="770">
      <c r="A770" t="inlineStr">
        <is>
          <t>S|FICO x CHANNEL|outcome_booked|p|4</t>
        </is>
      </c>
      <c r="B770" t="n">
        <v>0.07079292070792921</v>
      </c>
      <c r="C770" t="n">
        <v>0.9023740483094548</v>
      </c>
      <c r="D770" t="n">
        <v>0.1160338511603385</v>
      </c>
    </row>
    <row r="771">
      <c r="A771" t="inlineStr">
        <is>
          <t>S|FICO x CHANNEL|outcome_booked|se|4</t>
        </is>
      </c>
      <c r="B771" t="n">
        <v>0.003180844910389921</v>
      </c>
      <c r="C771" t="n">
        <v>0.003905770275016461</v>
      </c>
      <c r="D771" t="n">
        <v>0.003804788091864086</v>
      </c>
    </row>
    <row r="772">
      <c r="A772" t="inlineStr">
        <is>
          <t>S|FICO x CHANNEL|outcome_booked|v|5</t>
        </is>
      </c>
      <c r="B772" t="n">
        <v>1.170565266063442</v>
      </c>
      <c r="C772" t="n">
        <v>2.82435954850734</v>
      </c>
      <c r="D772" t="n">
        <v>1.007527736380514</v>
      </c>
    </row>
    <row r="773">
      <c r="A773" t="inlineStr">
        <is>
          <t>S|FICO x CHANNEL|outcome_booked|p|5</t>
        </is>
      </c>
      <c r="B773" t="n">
        <v>0.8505303315822264</v>
      </c>
      <c r="C773" t="n">
        <v>0.07079292070792921</v>
      </c>
      <c r="D773" t="n">
        <v>0.9901009899010099</v>
      </c>
    </row>
    <row r="774">
      <c r="A774" t="inlineStr">
        <is>
          <t>S|FICO x CHANNEL|outcome_booked|se|5</t>
        </is>
      </c>
      <c r="B774" t="n">
        <v>0.00507916633793651</v>
      </c>
      <c r="C774" t="n">
        <v>0.003180844910389921</v>
      </c>
      <c r="D774" t="n">
        <v>0.000990000994850519</v>
      </c>
    </row>
    <row r="775">
      <c r="A775" t="inlineStr">
        <is>
          <t>S|FICO x CHANNEL|outcome_booked|v|6</t>
        </is>
      </c>
    </row>
    <row r="776">
      <c r="A776" t="inlineStr">
        <is>
          <t>S|FICO x CHANNEL|outcome_booked|p|6</t>
        </is>
      </c>
    </row>
    <row r="777">
      <c r="A777" t="inlineStr">
        <is>
          <t>S|FICO x CHANNEL|outcome_booked|se|6</t>
        </is>
      </c>
    </row>
    <row r="778">
      <c r="A778" t="inlineStr">
        <is>
          <t>S|FICO x CHANNEL|outcome_booked|v|7</t>
        </is>
      </c>
    </row>
    <row r="779">
      <c r="A779" t="inlineStr">
        <is>
          <t>S|FICO x CHANNEL|outcome_booked|p|7</t>
        </is>
      </c>
    </row>
    <row r="780">
      <c r="A780" t="inlineStr">
        <is>
          <t>S|FICO x CHANNEL|outcome_booked|se|7</t>
        </is>
      </c>
    </row>
    <row r="781">
      <c r="A781" t="inlineStr">
        <is>
          <t>S|FICO x CHANNEL|sum|3</t>
        </is>
      </c>
      <c r="B781" t="inlineStr">
        <is>
          <t>Charge-offs</t>
        </is>
      </c>
      <c r="C781" t="n">
        <v>15</v>
      </c>
      <c r="D781" t="inlineStr">
        <is>
          <t>14 of 15</t>
        </is>
      </c>
      <c r="E781" t="n">
        <v>2.134844569447182</v>
      </c>
      <c r="F781" t="n">
        <v>0.1401084240703813</v>
      </c>
      <c r="G781" t="inlineStr">
        <is>
          <t>x</t>
        </is>
      </c>
      <c r="H781" t="n">
        <v>9.999000099990002e-05</v>
      </c>
      <c r="L781" t="inlineStr">
        <is>
          <t>not tested: dollar rate</t>
        </is>
      </c>
      <c r="P781" t="n">
        <v>9.999000099990002e-05</v>
      </c>
    </row>
    <row r="782">
      <c r="A782" t="inlineStr">
        <is>
          <t>S|FICO x CHANNEL|gco_rate|meta</t>
        </is>
      </c>
      <c r="B782" t="inlineStr">
        <is>
          <t>x</t>
        </is>
      </c>
      <c r="C782" t="n">
        <v>3.39004368795525</v>
      </c>
    </row>
    <row r="783">
      <c r="A783" t="inlineStr">
        <is>
          <t>S|FICO x CHANNEL|gco_rate|v|1</t>
        </is>
      </c>
      <c r="B783" t="n">
        <v>3.021260818887773</v>
      </c>
      <c r="C783" t="n">
        <v>2.056146620443203</v>
      </c>
      <c r="D783" t="n">
        <v>2.040242491854293</v>
      </c>
    </row>
    <row r="784">
      <c r="A784" t="inlineStr">
        <is>
          <t>S|FICO x CHANNEL|gco_rate|p|1</t>
        </is>
      </c>
      <c r="B784" t="n">
        <v>0.002999700029997001</v>
      </c>
      <c r="C784" t="n">
        <v>0.002999700029997001</v>
      </c>
      <c r="D784" t="n">
        <v>0.05420886482780294</v>
      </c>
    </row>
    <row r="785">
      <c r="A785" t="inlineStr">
        <is>
          <t>S|FICO x CHANNEL|gco_rate|se|1</t>
        </is>
      </c>
      <c r="B785" t="n">
        <v>0.001499625020620406</v>
      </c>
      <c r="C785" t="n">
        <v>0.001499625020620406</v>
      </c>
      <c r="D785" t="n">
        <v>0.003364866300115294</v>
      </c>
    </row>
    <row r="786">
      <c r="A786" t="inlineStr">
        <is>
          <t>S|FICO x CHANNEL|gco_rate|v|2</t>
        </is>
      </c>
      <c r="B786" t="n">
        <v>1.395250705684369</v>
      </c>
      <c r="C786" t="n">
        <v>3.39004368795525</v>
      </c>
      <c r="D786" t="n">
        <v>3.010582188823962</v>
      </c>
    </row>
    <row r="787">
      <c r="A787" t="inlineStr">
        <is>
          <t>S|FICO x CHANNEL|gco_rate|p|2</t>
        </is>
      </c>
      <c r="B787" t="n">
        <v>0.4122087791220878</v>
      </c>
      <c r="C787" t="n">
        <v>0.007999200079992002</v>
      </c>
      <c r="D787" t="n">
        <v>0.008699130086991299</v>
      </c>
    </row>
    <row r="788">
      <c r="A788" t="inlineStr">
        <is>
          <t>S|FICO x CHANNEL|gco_rate|se|2</t>
        </is>
      </c>
      <c r="B788" t="n">
        <v>0.005876605281259645</v>
      </c>
      <c r="C788" t="n">
        <v>0.001998299607117018</v>
      </c>
      <c r="D788" t="n">
        <v>0.001613124774984983</v>
      </c>
    </row>
    <row r="789">
      <c r="A789" t="inlineStr">
        <is>
          <t>S|FICO x CHANNEL|gco_rate|v|3</t>
        </is>
      </c>
      <c r="B789" t="n">
        <v>2.266364578586636</v>
      </c>
      <c r="C789" t="n">
        <v>3.060904029054909</v>
      </c>
      <c r="D789" t="n">
        <v>3.316818139216518</v>
      </c>
    </row>
    <row r="790">
      <c r="A790" t="inlineStr">
        <is>
          <t>S|FICO x CHANNEL|gco_rate|p|3</t>
        </is>
      </c>
      <c r="B790" t="n">
        <v>0.1070892910708929</v>
      </c>
      <c r="C790" t="n">
        <v>0.05420886482780294</v>
      </c>
      <c r="D790" t="n">
        <v>0.008699130086991299</v>
      </c>
    </row>
    <row r="791">
      <c r="A791" t="inlineStr">
        <is>
          <t>S|FICO x CHANNEL|gco_rate|se|3</t>
        </is>
      </c>
      <c r="B791" t="n">
        <v>0.003862199118951183</v>
      </c>
      <c r="C791" t="n">
        <v>0.003364866300115294</v>
      </c>
      <c r="D791" t="n">
        <v>0.001613124774984983</v>
      </c>
    </row>
    <row r="792">
      <c r="A792" t="inlineStr">
        <is>
          <t>S|FICO x CHANNEL|gco_rate|v|4</t>
        </is>
      </c>
      <c r="B792" t="n">
        <v>2.753611238467011</v>
      </c>
      <c r="C792" t="n">
        <v>1.021212979186134</v>
      </c>
      <c r="D792" t="n">
        <v>1.638338104855639</v>
      </c>
    </row>
    <row r="793">
      <c r="A793" t="inlineStr">
        <is>
          <t>S|FICO x CHANNEL|gco_rate|p|4</t>
        </is>
      </c>
      <c r="B793" t="n">
        <v>0.0761590507615905</v>
      </c>
      <c r="C793" t="n">
        <v>0.9702029797020298</v>
      </c>
      <c r="D793" t="n">
        <v>0.1760278517602785</v>
      </c>
    </row>
    <row r="794">
      <c r="A794" t="inlineStr">
        <is>
          <t>S|FICO x CHANNEL|gco_rate|se|4</t>
        </is>
      </c>
      <c r="B794" t="n">
        <v>0.003480395814507468</v>
      </c>
      <c r="C794" t="n">
        <v>0.001700269328057544</v>
      </c>
      <c r="D794" t="n">
        <v>0.00457222238170639</v>
      </c>
    </row>
    <row r="795">
      <c r="A795" t="inlineStr">
        <is>
          <t>S|FICO x CHANNEL|gco_rate|v|5</t>
        </is>
      </c>
      <c r="B795" t="n">
        <v>1.30114580901923</v>
      </c>
      <c r="C795" t="n">
        <v>3.092860133214165</v>
      </c>
      <c r="D795" t="n">
        <v>0.8884801295143825</v>
      </c>
    </row>
    <row r="796">
      <c r="A796" t="inlineStr">
        <is>
          <t>S|FICO x CHANNEL|gco_rate|p|5</t>
        </is>
      </c>
      <c r="B796" t="n">
        <v>0.6697407182358688</v>
      </c>
      <c r="C796" t="n">
        <v>0.05868163183681632</v>
      </c>
      <c r="D796" t="n">
        <v>0.8845901124173298</v>
      </c>
    </row>
    <row r="797">
      <c r="A797" t="inlineStr">
        <is>
          <t>S|FICO x CHANNEL|gco_rate|se|5</t>
        </is>
      </c>
      <c r="B797" t="n">
        <v>0.005694076941414828</v>
      </c>
      <c r="C797" t="n">
        <v>0.003264728561136423</v>
      </c>
      <c r="D797" t="n">
        <v>0.004065408386135826</v>
      </c>
    </row>
    <row r="798">
      <c r="A798" t="inlineStr">
        <is>
          <t>S|FICO x CHANNEL|gco_rate|v|6</t>
        </is>
      </c>
    </row>
    <row r="799">
      <c r="A799" t="inlineStr">
        <is>
          <t>S|FICO x CHANNEL|gco_rate|p|6</t>
        </is>
      </c>
    </row>
    <row r="800">
      <c r="A800" t="inlineStr">
        <is>
          <t>S|FICO x CHANNEL|gco_rate|se|6</t>
        </is>
      </c>
    </row>
    <row r="801">
      <c r="A801" t="inlineStr">
        <is>
          <t>S|FICO x CHANNEL|gco_rate|v|7</t>
        </is>
      </c>
    </row>
    <row r="802">
      <c r="A802" t="inlineStr">
        <is>
          <t>S|FICO x CHANNEL|gco_rate|p|7</t>
        </is>
      </c>
    </row>
    <row r="803">
      <c r="A803" t="inlineStr">
        <is>
          <t>S|FICO x CHANNEL|gco_rate|se|7</t>
        </is>
      </c>
    </row>
    <row r="804">
      <c r="A804" t="inlineStr">
        <is>
          <t>S|FICO x CHANNEL|sum|4</t>
        </is>
      </c>
      <c r="B804" t="inlineStr">
        <is>
          <t>Kept after losses</t>
        </is>
      </c>
      <c r="C804" t="n">
        <v>15</v>
      </c>
      <c r="D804" t="inlineStr">
        <is>
          <t>13 of 15</t>
        </is>
      </c>
      <c r="E804" t="n">
        <v>-2.781770558287653</v>
      </c>
      <c r="F804" t="n">
        <v>0.4417531077406432</v>
      </c>
      <c r="G804" t="inlineStr">
        <is>
          <t>pts</t>
        </is>
      </c>
      <c r="H804" t="n">
        <v>9.999000099990002e-05</v>
      </c>
      <c r="L804" t="inlineStr">
        <is>
          <t>not tested: dollar rate</t>
        </is>
      </c>
      <c r="P804" t="n">
        <v>9.999000099990002e-05</v>
      </c>
    </row>
    <row r="805">
      <c r="A805" t="inlineStr">
        <is>
          <t>S|FICO x CHANNEL|ranr_rate|meta</t>
        </is>
      </c>
      <c r="B805" t="inlineStr">
        <is>
          <t>pts</t>
        </is>
      </c>
      <c r="C805" t="n">
        <v>9.654670725000001</v>
      </c>
    </row>
    <row r="806">
      <c r="A806" t="inlineStr">
        <is>
          <t>S|FICO x CHANNEL|ranr_rate|v|1</t>
        </is>
      </c>
      <c r="B806" t="n">
        <v>-3.140547396</v>
      </c>
      <c r="C806" t="n">
        <v>-9.654670725000001</v>
      </c>
      <c r="D806" t="n">
        <v>-4.533645194</v>
      </c>
    </row>
    <row r="807">
      <c r="A807" t="inlineStr">
        <is>
          <t>S|FICO x CHANNEL|ranr_rate|p|1</t>
        </is>
      </c>
      <c r="B807" t="n">
        <v>0.2694730526947305</v>
      </c>
      <c r="C807" t="n">
        <v>0.0014998500149985</v>
      </c>
      <c r="D807" t="n">
        <v>0.09074092590740925</v>
      </c>
    </row>
    <row r="808">
      <c r="A808" t="inlineStr">
        <is>
          <t>S|FICO x CHANNEL|ranr_rate|se|1</t>
        </is>
      </c>
      <c r="B808" t="n">
        <v>0.006136008705686462</v>
      </c>
      <c r="C808" t="n">
        <v>0.0014998500149985</v>
      </c>
      <c r="D808" t="n">
        <v>0.004675664649373276</v>
      </c>
    </row>
    <row r="809">
      <c r="A809" t="inlineStr">
        <is>
          <t>S|FICO x CHANNEL|ranr_rate|v|2</t>
        </is>
      </c>
      <c r="B809" t="n">
        <v>-1.506011091</v>
      </c>
      <c r="C809" t="n">
        <v>-4.549511681</v>
      </c>
      <c r="D809" t="n">
        <v>-4.519098576</v>
      </c>
    </row>
    <row r="810">
      <c r="A810" t="inlineStr">
        <is>
          <t>S|FICO x CHANNEL|ranr_rate|p|2</t>
        </is>
      </c>
      <c r="B810" t="n">
        <v>0.5929407059294071</v>
      </c>
      <c r="C810" t="n">
        <v>0.050994900509949</v>
      </c>
      <c r="D810" t="n">
        <v>0.050994900509949</v>
      </c>
    </row>
    <row r="811">
      <c r="A811" t="inlineStr">
        <is>
          <t>S|FICO x CHANNEL|ranr_rate|se|2</t>
        </is>
      </c>
      <c r="B811" t="n">
        <v>0.006241772197570938</v>
      </c>
      <c r="C811" t="n">
        <v>0.004343160105663723</v>
      </c>
      <c r="D811" t="n">
        <v>0.004343160105663723</v>
      </c>
    </row>
    <row r="812">
      <c r="A812" t="inlineStr">
        <is>
          <t>S|FICO x CHANNEL|ranr_rate|v|3</t>
        </is>
      </c>
      <c r="B812" t="n">
        <v>-0.713976086</v>
      </c>
      <c r="C812" t="n">
        <v>-2.187977163</v>
      </c>
      <c r="D812" t="n">
        <v>-5.540988095</v>
      </c>
    </row>
    <row r="813">
      <c r="A813" t="inlineStr">
        <is>
          <t>S|FICO x CHANNEL|ranr_rate|p|3</t>
        </is>
      </c>
      <c r="B813" t="n">
        <v>0.6722789259535584</v>
      </c>
      <c r="C813" t="n">
        <v>0.2575456740040282</v>
      </c>
      <c r="D813" t="n">
        <v>0.0224977502249775</v>
      </c>
    </row>
    <row r="814">
      <c r="A814" t="inlineStr">
        <is>
          <t>S|FICO x CHANNEL|ranr_rate|se|3</t>
        </is>
      </c>
      <c r="B814" t="n">
        <v>0.005689881358535225</v>
      </c>
      <c r="C814" t="n">
        <v>0.006968169149448798</v>
      </c>
      <c r="D814" t="n">
        <v>0.004101548218930819</v>
      </c>
    </row>
    <row r="815">
      <c r="A815" t="inlineStr">
        <is>
          <t>S|FICO x CHANNEL|ranr_rate|v|4</t>
        </is>
      </c>
      <c r="B815" t="n">
        <v>-2.876077008</v>
      </c>
      <c r="C815" t="n">
        <v>0.982658734</v>
      </c>
      <c r="D815" t="n">
        <v>-2.312847343</v>
      </c>
    </row>
    <row r="816">
      <c r="A816" t="inlineStr">
        <is>
          <t>S|FICO x CHANNEL|ranr_rate|p|4</t>
        </is>
      </c>
      <c r="B816" t="n">
        <v>0.05729427057294271</v>
      </c>
      <c r="C816" t="n">
        <v>0.5929407059294071</v>
      </c>
      <c r="D816" t="n">
        <v>0.2694730526947305</v>
      </c>
    </row>
    <row r="817">
      <c r="A817" t="inlineStr">
        <is>
          <t>S|FICO x CHANNEL|ranr_rate|se|4</t>
        </is>
      </c>
      <c r="B817" t="n">
        <v>0.004106095204428931</v>
      </c>
      <c r="C817" t="n">
        <v>0.006241772197570938</v>
      </c>
      <c r="D817" t="n">
        <v>0.006136008705686462</v>
      </c>
    </row>
    <row r="818">
      <c r="A818" t="inlineStr">
        <is>
          <t>S|FICO x CHANNEL|ranr_rate|v|5</t>
        </is>
      </c>
      <c r="B818" t="n">
        <v>-0.423783898</v>
      </c>
      <c r="C818" t="n">
        <v>-1.004623283</v>
      </c>
      <c r="D818" t="n">
        <v>0.468203304</v>
      </c>
    </row>
    <row r="819">
      <c r="A819" t="inlineStr">
        <is>
          <t>S|FICO x CHANNEL|ranr_rate|p|5</t>
        </is>
      </c>
      <c r="B819" t="n">
        <v>0.6970302969703029</v>
      </c>
      <c r="C819" t="n">
        <v>0.4415558444155584</v>
      </c>
      <c r="D819" t="n">
        <v>0.6749325067493251</v>
      </c>
    </row>
    <row r="820">
      <c r="A820" t="inlineStr">
        <is>
          <t>S|FICO x CHANNEL|ranr_rate|se|5</t>
        </is>
      </c>
      <c r="B820" t="n">
        <v>0.004595422310036307</v>
      </c>
      <c r="C820" t="n">
        <v>0.006836389419026689</v>
      </c>
      <c r="D820" t="n">
        <v>0.005173084987221902</v>
      </c>
    </row>
    <row r="821">
      <c r="A821" t="inlineStr">
        <is>
          <t>S|FICO x CHANNEL|ranr_rate|v|6</t>
        </is>
      </c>
    </row>
    <row r="822">
      <c r="A822" t="inlineStr">
        <is>
          <t>S|FICO x CHANNEL|ranr_rate|p|6</t>
        </is>
      </c>
    </row>
    <row r="823">
      <c r="A823" t="inlineStr">
        <is>
          <t>S|FICO x CHANNEL|ranr_rate|se|6</t>
        </is>
      </c>
    </row>
    <row r="824">
      <c r="A824" t="inlineStr">
        <is>
          <t>S|FICO x CHANNEL|ranr_rate|v|7</t>
        </is>
      </c>
    </row>
    <row r="825">
      <c r="A825" t="inlineStr">
        <is>
          <t>S|FICO x CHANNEL|ranr_rate|p|7</t>
        </is>
      </c>
    </row>
    <row r="826">
      <c r="A826" t="inlineStr">
        <is>
          <t>S|FICO x CHANNEL|ranr_rate|se|7</t>
        </is>
      </c>
    </row>
    <row r="827">
      <c r="A827" t="inlineStr">
        <is>
          <t>S|FICO x CHANNEL|sum|5</t>
        </is>
      </c>
      <c r="B827" t="inlineStr">
        <is>
          <t>Earned before losses</t>
        </is>
      </c>
      <c r="C827" t="n">
        <v>15</v>
      </c>
      <c r="D827" t="inlineStr">
        <is>
          <t>5 of 15</t>
        </is>
      </c>
      <c r="E827" t="n">
        <v>0.25526352085259</v>
      </c>
      <c r="F827" t="n">
        <v>0.2380200493567914</v>
      </c>
      <c r="G827" t="inlineStr">
        <is>
          <t>pts</t>
        </is>
      </c>
      <c r="H827" t="n">
        <v>0.2923707629237076</v>
      </c>
      <c r="L827" t="inlineStr">
        <is>
          <t>not tested: dollar rate</t>
        </is>
      </c>
      <c r="P827" t="n">
        <v>0.004548517339871497</v>
      </c>
    </row>
    <row r="828">
      <c r="A828" t="inlineStr">
        <is>
          <t>S|FICO x CHANNEL|contribution_rate|meta</t>
        </is>
      </c>
      <c r="B828" t="inlineStr">
        <is>
          <t>pts</t>
        </is>
      </c>
      <c r="C828" t="n">
        <v>2.311910949</v>
      </c>
    </row>
    <row r="829">
      <c r="A829" t="inlineStr">
        <is>
          <t>S|FICO x CHANNEL|contribution_rate|v|1</t>
        </is>
      </c>
      <c r="B829" t="n">
        <v>2.311910949</v>
      </c>
      <c r="C829" t="n">
        <v>0.231501303</v>
      </c>
      <c r="D829" t="n">
        <v>-0.793525319</v>
      </c>
    </row>
    <row r="830">
      <c r="A830" t="inlineStr">
        <is>
          <t>S|FICO x CHANNEL|contribution_rate|p|1</t>
        </is>
      </c>
      <c r="B830" t="n">
        <v>0.4788271172882712</v>
      </c>
      <c r="C830" t="n">
        <v>0.9564043595640436</v>
      </c>
      <c r="D830" t="n">
        <v>0.8643635636436355</v>
      </c>
    </row>
    <row r="831">
      <c r="A831" t="inlineStr">
        <is>
          <t>S|FICO x CHANNEL|contribution_rate|se|1</t>
        </is>
      </c>
      <c r="B831" t="n">
        <v>0.01251529576790106</v>
      </c>
      <c r="C831" t="n">
        <v>0.002041936839643558</v>
      </c>
      <c r="D831" t="n">
        <v>0.007412293675447082</v>
      </c>
    </row>
    <row r="832">
      <c r="A832" t="inlineStr">
        <is>
          <t>S|FICO x CHANNEL|contribution_rate|v|2</t>
        </is>
      </c>
      <c r="B832" t="n">
        <v>0.159009923</v>
      </c>
      <c r="C832" t="n">
        <v>0.054325048</v>
      </c>
      <c r="D832" t="n">
        <v>-0.073279254</v>
      </c>
    </row>
    <row r="833">
      <c r="A833" t="inlineStr">
        <is>
          <t>S|FICO x CHANNEL|contribution_rate|p|2</t>
        </is>
      </c>
      <c r="B833" t="n">
        <v>0.9564043595640436</v>
      </c>
      <c r="C833" t="n">
        <v>0.9564043595640436</v>
      </c>
      <c r="D833" t="n">
        <v>0.9564043595640436</v>
      </c>
    </row>
    <row r="834">
      <c r="A834" t="inlineStr">
        <is>
          <t>S|FICO x CHANNEL|contribution_rate|se|2</t>
        </is>
      </c>
      <c r="B834" t="n">
        <v>0.002041936839643558</v>
      </c>
      <c r="C834" t="n">
        <v>0.002041936839643558</v>
      </c>
      <c r="D834" t="n">
        <v>0.002041936839643558</v>
      </c>
    </row>
    <row r="835">
      <c r="A835" t="inlineStr">
        <is>
          <t>S|FICO x CHANNEL|contribution_rate|v|3</t>
        </is>
      </c>
      <c r="B835" t="n">
        <v>1.172585838</v>
      </c>
      <c r="C835" t="n">
        <v>0.482896272</v>
      </c>
      <c r="D835" t="n">
        <v>-0.944149688</v>
      </c>
    </row>
    <row r="836">
      <c r="A836" t="inlineStr">
        <is>
          <t>S|FICO x CHANNEL|contribution_rate|p|3</t>
        </is>
      </c>
      <c r="B836" t="n">
        <v>0.4788271172882712</v>
      </c>
      <c r="C836" t="n">
        <v>0.8643635636436355</v>
      </c>
      <c r="D836" t="n">
        <v>0.7816718328167184</v>
      </c>
    </row>
    <row r="837">
      <c r="A837" t="inlineStr">
        <is>
          <t>S|FICO x CHANNEL|contribution_rate|se|3</t>
        </is>
      </c>
      <c r="B837" t="n">
        <v>0.01251529576790106</v>
      </c>
      <c r="C837" t="n">
        <v>0.007412293675447082</v>
      </c>
      <c r="D837" t="n">
        <v>0.01158951564053799</v>
      </c>
    </row>
    <row r="838">
      <c r="A838" t="inlineStr">
        <is>
          <t>S|FICO x CHANNEL|contribution_rate|v|4</t>
        </is>
      </c>
      <c r="B838" t="n">
        <v>-0.732797417</v>
      </c>
      <c r="C838" t="n">
        <v>1.026238704</v>
      </c>
      <c r="D838" t="n">
        <v>-0.121014007</v>
      </c>
    </row>
    <row r="839">
      <c r="A839" t="inlineStr">
        <is>
          <t>S|FICO x CHANNEL|contribution_rate|p|4</t>
        </is>
      </c>
      <c r="B839" t="n">
        <v>0.5579442055794421</v>
      </c>
      <c r="C839" t="n">
        <v>0.4788271172882712</v>
      </c>
      <c r="D839" t="n">
        <v>0.9564043595640436</v>
      </c>
    </row>
    <row r="840">
      <c r="A840" t="inlineStr">
        <is>
          <t>S|FICO x CHANNEL|contribution_rate|se|4</t>
        </is>
      </c>
      <c r="B840" t="n">
        <v>0.01167274980541711</v>
      </c>
      <c r="C840" t="n">
        <v>0.01251529576790106</v>
      </c>
      <c r="D840" t="n">
        <v>0.002041936839643558</v>
      </c>
    </row>
    <row r="841">
      <c r="A841" t="inlineStr">
        <is>
          <t>S|FICO x CHANNEL|contribution_rate|v|5</t>
        </is>
      </c>
      <c r="B841" t="n">
        <v>0.166768863</v>
      </c>
      <c r="C841" t="n">
        <v>0.892181244</v>
      </c>
      <c r="D841" t="n">
        <v>0.258504672</v>
      </c>
    </row>
    <row r="842">
      <c r="A842" t="inlineStr">
        <is>
          <t>S|FICO x CHANNEL|contribution_rate|p|5</t>
        </is>
      </c>
      <c r="B842" t="n">
        <v>0.8643635636436355</v>
      </c>
      <c r="C842" t="n">
        <v>0.05249475052494751</v>
      </c>
      <c r="D842" t="n">
        <v>0.8294170582941706</v>
      </c>
    </row>
    <row r="843">
      <c r="A843" t="inlineStr">
        <is>
          <t>S|FICO x CHANNEL|contribution_rate|se|5</t>
        </is>
      </c>
      <c r="B843" t="n">
        <v>0.007412293675447082</v>
      </c>
      <c r="C843" t="n">
        <v>0.008858135012752606</v>
      </c>
      <c r="D843" t="n">
        <v>0.01043738286728942</v>
      </c>
    </row>
    <row r="844">
      <c r="A844" t="inlineStr">
        <is>
          <t>S|FICO x CHANNEL|contribution_rate|v|6</t>
        </is>
      </c>
    </row>
    <row r="845">
      <c r="A845" t="inlineStr">
        <is>
          <t>S|FICO x CHANNEL|contribution_rate|p|6</t>
        </is>
      </c>
    </row>
    <row r="846">
      <c r="A846" t="inlineStr">
        <is>
          <t>S|FICO x CHANNEL|contribution_rate|se|6</t>
        </is>
      </c>
    </row>
    <row r="847">
      <c r="A847" t="inlineStr">
        <is>
          <t>S|FICO x CHANNEL|contribution_rate|v|7</t>
        </is>
      </c>
    </row>
    <row r="848">
      <c r="A848" t="inlineStr">
        <is>
          <t>S|FICO x CHANNEL|contribution_rate|p|7</t>
        </is>
      </c>
    </row>
    <row r="849">
      <c r="A849" t="inlineStr">
        <is>
          <t>S|FICO x CHANNEL|contribution_rate|se|7</t>
        </is>
      </c>
    </row>
    <row r="850">
      <c r="A850" t="inlineStr">
        <is>
          <t>S|SHORT_HIST x CHANNEL|chip</t>
        </is>
      </c>
      <c r="B850" t="inlineStr">
        <is>
          <t>Doesn't hold FICO fixed</t>
        </is>
      </c>
      <c r="C850" t="n">
        <v>0</v>
      </c>
      <c r="D850" t="inlineStr">
        <is>
          <t>This grid holds SHORT_HIST fixed (REV_DEBT's correlation with it: -0.01). It doesn't hold FICO fixed (REV_DEBT's correlation with it: -0.53).</t>
        </is>
      </c>
    </row>
    <row r="851">
      <c r="A851" t="inlineStr">
        <is>
          <t>S|SHORT_HIST x CHANNEL|rows</t>
        </is>
      </c>
      <c r="B851" t="inlineStr">
        <is>
          <t>0.0 - 88.9</t>
        </is>
      </c>
      <c r="C851" t="inlineStr">
        <is>
          <t>89.0 - 171.9</t>
        </is>
      </c>
      <c r="D851" t="inlineStr">
        <is>
          <t>172.0 - 256.3</t>
        </is>
      </c>
      <c r="E851" t="inlineStr">
        <is>
          <t>256.4 - 345.9</t>
        </is>
      </c>
      <c r="F851" t="inlineStr">
        <is>
          <t>346.0 - 435.0</t>
        </is>
      </c>
      <c r="G851" t="inlineStr">
        <is>
          <t>(marked missing)</t>
        </is>
      </c>
    </row>
    <row r="852">
      <c r="A852" t="inlineStr">
        <is>
          <t>S|SHORT_HIST x CHANNEL|cols</t>
        </is>
      </c>
      <c r="B852" t="inlineStr">
        <is>
          <t>Branch</t>
        </is>
      </c>
      <c r="C852" t="inlineStr">
        <is>
          <t>Broker</t>
        </is>
      </c>
      <c r="D852" t="inlineStr">
        <is>
          <t>Online</t>
        </is>
      </c>
    </row>
    <row r="853">
      <c r="A853" t="inlineStr">
        <is>
          <t>S|SHORT_HIST x CHANNEL|sum|1</t>
        </is>
      </c>
      <c r="B853" t="inlineStr">
        <is>
          <t>Bad loans</t>
        </is>
      </c>
      <c r="C853" t="n">
        <v>15</v>
      </c>
      <c r="D853" t="inlineStr">
        <is>
          <t>15 of 15</t>
        </is>
      </c>
      <c r="E853" t="n">
        <v>2.549512916604631</v>
      </c>
      <c r="F853" t="n">
        <v>0.1397757639268885</v>
      </c>
      <c r="G853" t="inlineStr">
        <is>
          <t>x</t>
        </is>
      </c>
      <c r="H853" t="n">
        <v>1.471859685410438e-28</v>
      </c>
      <c r="I853" t="n">
        <v>2.747487218072696</v>
      </c>
      <c r="J853" t="n">
        <v>4.010733155038781e-29</v>
      </c>
      <c r="K853" t="n">
        <v>0.8312493543561784</v>
      </c>
    </row>
    <row r="854">
      <c r="A854" t="inlineStr">
        <is>
          <t>S|SHORT_HIST x CHANNEL|outcome_loans|meta</t>
        </is>
      </c>
      <c r="B854" t="inlineStr">
        <is>
          <t>x</t>
        </is>
      </c>
      <c r="C854" t="n">
        <v>4.265740740740741</v>
      </c>
    </row>
    <row r="855">
      <c r="A855" t="inlineStr">
        <is>
          <t>S|SHORT_HIST x CHANNEL|outcome_loans|v|1</t>
        </is>
      </c>
      <c r="B855" t="n">
        <v>1.783216783216783</v>
      </c>
      <c r="C855" t="n">
        <v>3.888888888888889</v>
      </c>
      <c r="D855" t="n">
        <v>1.866666666666667</v>
      </c>
    </row>
    <row r="856">
      <c r="A856" t="inlineStr">
        <is>
          <t>S|SHORT_HIST x CHANNEL|outcome_loans|p|1</t>
        </is>
      </c>
      <c r="B856" t="n">
        <v>0.08518159865232369</v>
      </c>
      <c r="C856" t="n">
        <v>0.0003081475414040166</v>
      </c>
      <c r="D856" t="n">
        <v>0.04824146093450062</v>
      </c>
    </row>
    <row r="857">
      <c r="A857" t="inlineStr">
        <is>
          <t>S|SHORT_HIST x CHANNEL|outcome_loans|se|1</t>
        </is>
      </c>
    </row>
    <row r="858">
      <c r="A858" t="inlineStr">
        <is>
          <t>S|SHORT_HIST x CHANNEL|outcome_loans|v|2</t>
        </is>
      </c>
      <c r="B858" t="n">
        <v>2.272727272727273</v>
      </c>
      <c r="C858" t="n">
        <v>2.733333333333333</v>
      </c>
      <c r="D858" t="n">
        <v>2.372326203208556</v>
      </c>
    </row>
    <row r="859">
      <c r="A859" t="inlineStr">
        <is>
          <t>S|SHORT_HIST x CHANNEL|outcome_loans|p|2</t>
        </is>
      </c>
      <c r="B859" t="n">
        <v>0.02302085385520081</v>
      </c>
      <c r="C859" t="n">
        <v>0.0008841521770594156</v>
      </c>
      <c r="D859" t="n">
        <v>0.01715755798851698</v>
      </c>
    </row>
    <row r="860">
      <c r="A860" t="inlineStr">
        <is>
          <t>S|SHORT_HIST x CHANNEL|outcome_loans|se|2</t>
        </is>
      </c>
    </row>
    <row r="861">
      <c r="A861" t="inlineStr">
        <is>
          <t>S|SHORT_HIST x CHANNEL|outcome_loans|v|3</t>
        </is>
      </c>
      <c r="B861" t="n">
        <v>2.125</v>
      </c>
      <c r="C861" t="n">
        <v>4.265740740740741</v>
      </c>
      <c r="D861" t="n">
        <v>2.175064599483204</v>
      </c>
    </row>
    <row r="862">
      <c r="A862" t="inlineStr">
        <is>
          <t>S|SHORT_HIST x CHANNEL|outcome_loans|p|3</t>
        </is>
      </c>
      <c r="B862" t="n">
        <v>0.07506099389426205</v>
      </c>
      <c r="C862" t="n">
        <v>0.0003081475414040166</v>
      </c>
      <c r="D862" t="n">
        <v>0.02413485487172753</v>
      </c>
    </row>
    <row r="863">
      <c r="A863" t="inlineStr">
        <is>
          <t>S|SHORT_HIST x CHANNEL|outcome_loans|se|3</t>
        </is>
      </c>
    </row>
    <row r="864">
      <c r="A864" t="inlineStr">
        <is>
          <t>S|SHORT_HIST x CHANNEL|outcome_loans|v|4</t>
        </is>
      </c>
      <c r="B864" t="n">
        <v>3.235059760956176</v>
      </c>
      <c r="C864" t="n">
        <v>3.102982954545455</v>
      </c>
      <c r="D864" t="n">
        <v>2.4</v>
      </c>
    </row>
    <row r="865">
      <c r="A865" t="inlineStr">
        <is>
          <t>S|SHORT_HIST x CHANNEL|outcome_loans|p|4</t>
        </is>
      </c>
      <c r="B865" t="n">
        <v>0.001765592808425406</v>
      </c>
      <c r="C865" t="n">
        <v>0.0009422784423993247</v>
      </c>
      <c r="D865" t="n">
        <v>0.004269863749218659</v>
      </c>
    </row>
    <row r="866">
      <c r="A866" t="inlineStr">
        <is>
          <t>S|SHORT_HIST x CHANNEL|outcome_loans|se|4</t>
        </is>
      </c>
    </row>
    <row r="867">
      <c r="A867" t="inlineStr">
        <is>
          <t>S|SHORT_HIST x CHANNEL|outcome_loans|v|5</t>
        </is>
      </c>
      <c r="B867" t="n">
        <v>1.642515379357485</v>
      </c>
      <c r="C867" t="n">
        <v>3.083333333333333</v>
      </c>
      <c r="D867" t="n">
        <v>2.372555746140652</v>
      </c>
    </row>
    <row r="868">
      <c r="A868" t="inlineStr">
        <is>
          <t>S|SHORT_HIST x CHANNEL|outcome_loans|p|5</t>
        </is>
      </c>
      <c r="B868" t="n">
        <v>0.1779371392606693</v>
      </c>
      <c r="C868" t="n">
        <v>0.0008535826990476093</v>
      </c>
      <c r="D868" t="n">
        <v>0.01715755798851698</v>
      </c>
    </row>
    <row r="869">
      <c r="A869" t="inlineStr">
        <is>
          <t>S|SHORT_HIST x CHANNEL|outcome_loans|se|5</t>
        </is>
      </c>
    </row>
    <row r="870">
      <c r="A870" t="inlineStr">
        <is>
          <t>S|SHORT_HIST x CHANNEL|outcome_loans|v|6</t>
        </is>
      </c>
    </row>
    <row r="871">
      <c r="A871" t="inlineStr">
        <is>
          <t>S|SHORT_HIST x CHANNEL|outcome_loans|p|6</t>
        </is>
      </c>
    </row>
    <row r="872">
      <c r="A872" t="inlineStr">
        <is>
          <t>S|SHORT_HIST x CHANNEL|outcome_loans|se|6</t>
        </is>
      </c>
    </row>
    <row r="873">
      <c r="A873" t="inlineStr">
        <is>
          <t>S|SHORT_HIST x CHANNEL|sum|2</t>
        </is>
      </c>
      <c r="B873" t="inlineStr">
        <is>
          <t>Bad dollars</t>
        </is>
      </c>
      <c r="C873" t="n">
        <v>15</v>
      </c>
      <c r="D873" t="inlineStr">
        <is>
          <t>15 of 15</t>
        </is>
      </c>
      <c r="E873" t="n">
        <v>2.628030418745121</v>
      </c>
      <c r="F873" t="n">
        <v>0.1604754615681788</v>
      </c>
      <c r="G873" t="inlineStr">
        <is>
          <t>x</t>
        </is>
      </c>
      <c r="H873" t="n">
        <v>9.999000099990002e-05</v>
      </c>
      <c r="L873" t="inlineStr">
        <is>
          <t>not tested: dollar rate</t>
        </is>
      </c>
      <c r="P873" t="n">
        <v>9.999000099990002e-05</v>
      </c>
    </row>
    <row r="874">
      <c r="A874" t="inlineStr">
        <is>
          <t>S|SHORT_HIST x CHANNEL|outcome_booked|meta</t>
        </is>
      </c>
      <c r="B874" t="inlineStr">
        <is>
          <t>x</t>
        </is>
      </c>
      <c r="C874" t="n">
        <v>5.029257132991883</v>
      </c>
    </row>
    <row r="875">
      <c r="A875" t="inlineStr">
        <is>
          <t>S|SHORT_HIST x CHANNEL|outcome_booked|v|1</t>
        </is>
      </c>
      <c r="B875" t="n">
        <v>1.936673367450467</v>
      </c>
      <c r="C875" t="n">
        <v>3.454951380055191</v>
      </c>
      <c r="D875" t="n">
        <v>1.477231427108876</v>
      </c>
    </row>
    <row r="876">
      <c r="A876" t="inlineStr">
        <is>
          <t>S|SHORT_HIST x CHANNEL|outcome_booked|p|1</t>
        </is>
      </c>
      <c r="B876" t="n">
        <v>0.08791428549452747</v>
      </c>
      <c r="C876" t="n">
        <v>0.003299670032996701</v>
      </c>
      <c r="D876" t="n">
        <v>0.2421757824217578</v>
      </c>
    </row>
    <row r="877">
      <c r="A877" t="inlineStr">
        <is>
          <t>S|SHORT_HIST x CHANNEL|outcome_booked|se|1</t>
        </is>
      </c>
      <c r="B877" t="n">
        <v>0.003061219341895969</v>
      </c>
      <c r="C877" t="n">
        <v>0.0009943903799144202</v>
      </c>
      <c r="D877" t="n">
        <v>0.0042840013168785</v>
      </c>
    </row>
    <row r="878">
      <c r="A878" t="inlineStr">
        <is>
          <t>S|SHORT_HIST x CHANNEL|outcome_booked|v|2</t>
        </is>
      </c>
      <c r="B878" t="n">
        <v>2.605757836631204</v>
      </c>
      <c r="C878" t="n">
        <v>2.377509581658959</v>
      </c>
      <c r="D878" t="n">
        <v>2.08457511733353</v>
      </c>
    </row>
    <row r="879">
      <c r="A879" t="inlineStr">
        <is>
          <t>S|SHORT_HIST x CHANNEL|outcome_booked|p|2</t>
        </is>
      </c>
      <c r="B879" t="n">
        <v>0.018664800186648</v>
      </c>
      <c r="C879" t="n">
        <v>0.008624137586241375</v>
      </c>
      <c r="D879" t="n">
        <v>0.05836916308369163</v>
      </c>
    </row>
    <row r="880">
      <c r="A880" t="inlineStr">
        <is>
          <t>S|SHORT_HIST x CHANNEL|outcome_booked|se|2</t>
        </is>
      </c>
      <c r="B880" t="n">
        <v>0.001753842226229956</v>
      </c>
      <c r="C880" t="n">
        <v>0.001268695480605813</v>
      </c>
      <c r="D880" t="n">
        <v>0.002637318612824851</v>
      </c>
    </row>
    <row r="881">
      <c r="A881" t="inlineStr">
        <is>
          <t>S|SHORT_HIST x CHANNEL|outcome_booked|v|3</t>
        </is>
      </c>
      <c r="B881" t="n">
        <v>3.240767995662035</v>
      </c>
      <c r="C881" t="n">
        <v>5.029257132991883</v>
      </c>
      <c r="D881" t="n">
        <v>2.165556542803623</v>
      </c>
    </row>
    <row r="882">
      <c r="A882" t="inlineStr">
        <is>
          <t>S|SHORT_HIST x CHANNEL|outcome_booked|p|3</t>
        </is>
      </c>
      <c r="B882" t="n">
        <v>0.0200979902009799</v>
      </c>
      <c r="C882" t="n">
        <v>0.0014998500149985</v>
      </c>
      <c r="D882" t="n">
        <v>0.0519493505194935</v>
      </c>
    </row>
    <row r="883">
      <c r="A883" t="inlineStr">
        <is>
          <t>S|SHORT_HIST x CHANNEL|outcome_booked|se|3</t>
        </is>
      </c>
      <c r="B883" t="n">
        <v>0.001724617525463289</v>
      </c>
      <c r="C883" t="n">
        <v>0.0014998500149985</v>
      </c>
      <c r="D883" t="n">
        <v>0.002610388638043687</v>
      </c>
    </row>
    <row r="884">
      <c r="A884" t="inlineStr">
        <is>
          <t>S|SHORT_HIST x CHANNEL|outcome_booked|v|4</t>
        </is>
      </c>
      <c r="B884" t="n">
        <v>3.79009148079771</v>
      </c>
      <c r="C884" t="n">
        <v>3.010516330381973</v>
      </c>
      <c r="D884" t="n">
        <v>2.756083818021093</v>
      </c>
    </row>
    <row r="885">
      <c r="A885" t="inlineStr">
        <is>
          <t>S|SHORT_HIST x CHANNEL|outcome_booked|p|4</t>
        </is>
      </c>
      <c r="B885" t="n">
        <v>0.003299670032996701</v>
      </c>
      <c r="C885" t="n">
        <v>0.003299670032996701</v>
      </c>
      <c r="D885" t="n">
        <v>0.003999600039996001</v>
      </c>
    </row>
    <row r="886">
      <c r="A886" t="inlineStr">
        <is>
          <t>S|SHORT_HIST x CHANNEL|outcome_booked|se|4</t>
        </is>
      </c>
      <c r="B886" t="n">
        <v>0.0009943903799144202</v>
      </c>
      <c r="C886" t="n">
        <v>0.0009943903799144202</v>
      </c>
      <c r="D886" t="n">
        <v>0.0009991498035585088</v>
      </c>
    </row>
    <row r="887">
      <c r="A887" t="inlineStr">
        <is>
          <t>S|SHORT_HIST x CHANNEL|outcome_booked|v|5</t>
        </is>
      </c>
      <c r="B887" t="n">
        <v>1.685567361067386</v>
      </c>
      <c r="C887" t="n">
        <v>3.370083038257187</v>
      </c>
      <c r="D887" t="n">
        <v>2.955504818290358</v>
      </c>
    </row>
    <row r="888">
      <c r="A888" t="inlineStr">
        <is>
          <t>S|SHORT_HIST x CHANNEL|outcome_booked|p|5</t>
        </is>
      </c>
      <c r="B888" t="n">
        <v>0.2060151127744368</v>
      </c>
      <c r="C888" t="n">
        <v>0.002999700029997001</v>
      </c>
      <c r="D888" t="n">
        <v>0.008624137586241375</v>
      </c>
    </row>
    <row r="889">
      <c r="A889" t="inlineStr">
        <is>
          <t>S|SHORT_HIST x CHANNEL|outcome_booked|se|5</t>
        </is>
      </c>
      <c r="B889" t="n">
        <v>0.004222419345365249</v>
      </c>
      <c r="C889" t="n">
        <v>0.001499625020620406</v>
      </c>
      <c r="D889" t="n">
        <v>0.001268695480605813</v>
      </c>
    </row>
    <row r="890">
      <c r="A890" t="inlineStr">
        <is>
          <t>S|SHORT_HIST x CHANNEL|outcome_booked|v|6</t>
        </is>
      </c>
    </row>
    <row r="891">
      <c r="A891" t="inlineStr">
        <is>
          <t>S|SHORT_HIST x CHANNEL|outcome_booked|p|6</t>
        </is>
      </c>
    </row>
    <row r="892">
      <c r="A892" t="inlineStr">
        <is>
          <t>S|SHORT_HIST x CHANNEL|outcome_booked|se|6</t>
        </is>
      </c>
    </row>
    <row r="893">
      <c r="A893" t="inlineStr">
        <is>
          <t>S|SHORT_HIST x CHANNEL|sum|3</t>
        </is>
      </c>
      <c r="B893" t="inlineStr">
        <is>
          <t>Charge-offs</t>
        </is>
      </c>
      <c r="C893" t="n">
        <v>15</v>
      </c>
      <c r="D893" t="inlineStr">
        <is>
          <t>15 of 15</t>
        </is>
      </c>
      <c r="E893" t="n">
        <v>2.619354167608894</v>
      </c>
      <c r="F893" t="n">
        <v>0.1656231071459476</v>
      </c>
      <c r="G893" t="inlineStr">
        <is>
          <t>x</t>
        </is>
      </c>
      <c r="H893" t="n">
        <v>9.999000099990002e-05</v>
      </c>
      <c r="L893" t="inlineStr">
        <is>
          <t>not tested: dollar rate</t>
        </is>
      </c>
      <c r="P893" t="n">
        <v>9.999000099990002e-05</v>
      </c>
    </row>
    <row r="894">
      <c r="A894" t="inlineStr">
        <is>
          <t>S|SHORT_HIST x CHANNEL|gco_rate|meta</t>
        </is>
      </c>
      <c r="B894" t="inlineStr">
        <is>
          <t>x</t>
        </is>
      </c>
      <c r="C894" t="n">
        <v>4.896217709671653</v>
      </c>
    </row>
    <row r="895">
      <c r="A895" t="inlineStr">
        <is>
          <t>S|SHORT_HIST x CHANNEL|gco_rate|v|1</t>
        </is>
      </c>
      <c r="B895" t="n">
        <v>1.658178132184488</v>
      </c>
      <c r="C895" t="n">
        <v>3.408637211540901</v>
      </c>
      <c r="D895" t="n">
        <v>1.5630014066358</v>
      </c>
    </row>
    <row r="896">
      <c r="A896" t="inlineStr">
        <is>
          <t>S|SHORT_HIST x CHANNEL|gco_rate|p|1</t>
        </is>
      </c>
      <c r="B896" t="n">
        <v>0.2064436413501507</v>
      </c>
      <c r="C896" t="n">
        <v>0.004124587541245876</v>
      </c>
      <c r="D896" t="n">
        <v>0.2064436413501507</v>
      </c>
    </row>
    <row r="897">
      <c r="A897" t="inlineStr">
        <is>
          <t>S|SHORT_HIST x CHANNEL|gco_rate|se|1</t>
        </is>
      </c>
      <c r="B897" t="n">
        <v>0.00422576192749183</v>
      </c>
      <c r="C897" t="n">
        <v>0.001242987974893025</v>
      </c>
      <c r="D897" t="n">
        <v>0.00422576192749183</v>
      </c>
    </row>
    <row r="898">
      <c r="A898" t="inlineStr">
        <is>
          <t>S|SHORT_HIST x CHANNEL|gco_rate|v|2</t>
        </is>
      </c>
      <c r="B898" t="n">
        <v>3.092639761706495</v>
      </c>
      <c r="C898" t="n">
        <v>2.210189243018807</v>
      </c>
      <c r="D898" t="n">
        <v>2.521967831237812</v>
      </c>
    </row>
    <row r="899">
      <c r="A899" t="inlineStr">
        <is>
          <t>S|SHORT_HIST x CHANNEL|gco_rate|p|2</t>
        </is>
      </c>
      <c r="B899" t="n">
        <v>0.007927778650706358</v>
      </c>
      <c r="C899" t="n">
        <v>0.0168316501683165</v>
      </c>
      <c r="D899" t="n">
        <v>0.02358855023588551</v>
      </c>
    </row>
    <row r="900">
      <c r="A900" t="inlineStr">
        <is>
          <t>S|SHORT_HIST x CHANNEL|gco_rate|se|2</t>
        </is>
      </c>
      <c r="B900" t="n">
        <v>0.001300970692764518</v>
      </c>
      <c r="C900" t="n">
        <v>0.001666416689580938</v>
      </c>
      <c r="D900" t="n">
        <v>0.001777914091425278</v>
      </c>
    </row>
    <row r="901">
      <c r="A901" t="inlineStr">
        <is>
          <t>S|SHORT_HIST x CHANNEL|gco_rate|v|3</t>
        </is>
      </c>
      <c r="B901" t="n">
        <v>3.128856252672723</v>
      </c>
      <c r="C901" t="n">
        <v>4.896217709671653</v>
      </c>
      <c r="D901" t="n">
        <v>1.96912106867877</v>
      </c>
    </row>
    <row r="902">
      <c r="A902" t="inlineStr">
        <is>
          <t>S|SHORT_HIST x CHANNEL|gco_rate|p|3</t>
        </is>
      </c>
      <c r="B902" t="n">
        <v>0.02358855023588551</v>
      </c>
      <c r="C902" t="n">
        <v>0.0014998500149985</v>
      </c>
      <c r="D902" t="n">
        <v>0.09436556344365564</v>
      </c>
    </row>
    <row r="903">
      <c r="A903" t="inlineStr">
        <is>
          <t>S|SHORT_HIST x CHANNEL|gco_rate|se|3</t>
        </is>
      </c>
      <c r="B903" t="n">
        <v>0.001777914091425278</v>
      </c>
      <c r="C903" t="n">
        <v>0.0014998500149985</v>
      </c>
      <c r="D903" t="n">
        <v>0.003302303661696346</v>
      </c>
    </row>
    <row r="904">
      <c r="A904" t="inlineStr">
        <is>
          <t>S|SHORT_HIST x CHANNEL|gco_rate|v|4</t>
        </is>
      </c>
      <c r="B904" t="n">
        <v>3.234876646788931</v>
      </c>
      <c r="C904" t="n">
        <v>2.589781860303138</v>
      </c>
      <c r="D904" t="n">
        <v>3.034834538309056</v>
      </c>
    </row>
    <row r="905">
      <c r="A905" t="inlineStr">
        <is>
          <t>S|SHORT_HIST x CHANNEL|gco_rate|p|4</t>
        </is>
      </c>
      <c r="B905" t="n">
        <v>0.007927778650706358</v>
      </c>
      <c r="C905" t="n">
        <v>0.01012398760123988</v>
      </c>
      <c r="D905" t="n">
        <v>0.004124587541245876</v>
      </c>
    </row>
    <row r="906">
      <c r="A906" t="inlineStr">
        <is>
          <t>S|SHORT_HIST x CHANNEL|gco_rate|se|4</t>
        </is>
      </c>
      <c r="B906" t="n">
        <v>0.001300970692764518</v>
      </c>
      <c r="C906" t="n">
        <v>0.0013740444544255</v>
      </c>
      <c r="D906" t="n">
        <v>0.001242987974893025</v>
      </c>
    </row>
    <row r="907">
      <c r="A907" t="inlineStr">
        <is>
          <t>S|SHORT_HIST x CHANNEL|gco_rate|v|5</t>
        </is>
      </c>
      <c r="B907" t="n">
        <v>1.484018835804336</v>
      </c>
      <c r="C907" t="n">
        <v>3.529757070076986</v>
      </c>
      <c r="D907" t="n">
        <v>3.404365322725733</v>
      </c>
    </row>
    <row r="908">
      <c r="A908" t="inlineStr">
        <is>
          <t>S|SHORT_HIST x CHANNEL|gco_rate|p|5</t>
        </is>
      </c>
      <c r="B908" t="n">
        <v>0.3363663633636637</v>
      </c>
      <c r="C908" t="n">
        <v>0.002999700029997001</v>
      </c>
      <c r="D908" t="n">
        <v>0.007927778650706358</v>
      </c>
    </row>
    <row r="909">
      <c r="A909" t="inlineStr">
        <is>
          <t>S|SHORT_HIST x CHANNEL|gco_rate|se|5</t>
        </is>
      </c>
      <c r="B909" t="n">
        <v>0.004724659066654095</v>
      </c>
      <c r="C909" t="n">
        <v>0.001499625020620406</v>
      </c>
      <c r="D909" t="n">
        <v>0.001300970692764518</v>
      </c>
    </row>
    <row r="910">
      <c r="A910" t="inlineStr">
        <is>
          <t>S|SHORT_HIST x CHANNEL|gco_rate|v|6</t>
        </is>
      </c>
    </row>
    <row r="911">
      <c r="A911" t="inlineStr">
        <is>
          <t>S|SHORT_HIST x CHANNEL|gco_rate|p|6</t>
        </is>
      </c>
    </row>
    <row r="912">
      <c r="A912" t="inlineStr">
        <is>
          <t>S|SHORT_HIST x CHANNEL|gco_rate|se|6</t>
        </is>
      </c>
    </row>
    <row r="913">
      <c r="A913" t="inlineStr">
        <is>
          <t>S|SHORT_HIST x CHANNEL|sum|4</t>
        </is>
      </c>
      <c r="B913" t="inlineStr">
        <is>
          <t>Kept after losses</t>
        </is>
      </c>
      <c r="C913" t="n">
        <v>15</v>
      </c>
      <c r="D913" t="inlineStr">
        <is>
          <t>1 of 15</t>
        </is>
      </c>
      <c r="E913" t="n">
        <v>2.786477751980631</v>
      </c>
      <c r="F913" t="n">
        <v>0.4617788745412887</v>
      </c>
      <c r="G913" t="inlineStr">
        <is>
          <t>pts</t>
        </is>
      </c>
      <c r="H913" t="n">
        <v>9.999000099990002e-05</v>
      </c>
      <c r="L913" t="inlineStr">
        <is>
          <t>not tested: dollar rate</t>
        </is>
      </c>
      <c r="P913" t="n">
        <v>9.999000099990002e-05</v>
      </c>
    </row>
    <row r="914">
      <c r="A914" t="inlineStr">
        <is>
          <t>S|SHORT_HIST x CHANNEL|ranr_rate|meta</t>
        </is>
      </c>
      <c r="B914" t="inlineStr">
        <is>
          <t>pts</t>
        </is>
      </c>
      <c r="C914" t="n">
        <v>5.334663961</v>
      </c>
    </row>
    <row r="915">
      <c r="A915" t="inlineStr">
        <is>
          <t>S|SHORT_HIST x CHANNEL|ranr_rate|v|1</t>
        </is>
      </c>
      <c r="B915" t="n">
        <v>4.371299529</v>
      </c>
      <c r="C915" t="n">
        <v>3.109676265</v>
      </c>
      <c r="D915" t="n">
        <v>4.47604168</v>
      </c>
    </row>
    <row r="916">
      <c r="A916" t="inlineStr">
        <is>
          <t>S|SHORT_HIST x CHANNEL|ranr_rate|p|1</t>
        </is>
      </c>
      <c r="B916" t="n">
        <v>0.04837016298370163</v>
      </c>
      <c r="C916" t="n">
        <v>0.116988301169883</v>
      </c>
      <c r="D916" t="n">
        <v>0.06029397060293971</v>
      </c>
    </row>
    <row r="917">
      <c r="A917" t="inlineStr">
        <is>
          <t>S|SHORT_HIST x CHANNEL|ranr_rate|se|1</t>
        </is>
      </c>
      <c r="B917" t="n">
        <v>0.004231411567335553</v>
      </c>
      <c r="C917" t="n">
        <v>0.004535050188067552</v>
      </c>
      <c r="D917" t="n">
        <v>0.004210065901120207</v>
      </c>
    </row>
    <row r="918">
      <c r="A918" t="inlineStr">
        <is>
          <t>S|SHORT_HIST x CHANNEL|ranr_rate|v|2</t>
        </is>
      </c>
      <c r="B918" t="n">
        <v>3.442703977</v>
      </c>
      <c r="C918" t="n">
        <v>2.390526344</v>
      </c>
      <c r="D918" t="n">
        <v>1.388174222</v>
      </c>
    </row>
    <row r="919">
      <c r="A919" t="inlineStr">
        <is>
          <t>S|SHORT_HIST x CHANNEL|ranr_rate|p|2</t>
        </is>
      </c>
      <c r="B919" t="n">
        <v>0.116988301169883</v>
      </c>
      <c r="C919" t="n">
        <v>0.3019198080191981</v>
      </c>
      <c r="D919" t="n">
        <v>0.5359079476667717</v>
      </c>
    </row>
    <row r="920">
      <c r="A920" t="inlineStr">
        <is>
          <t>S|SHORT_HIST x CHANNEL|ranr_rate|se|2</t>
        </is>
      </c>
      <c r="B920" t="n">
        <v>0.004535050188067552</v>
      </c>
      <c r="C920" t="n">
        <v>0.006014350684441736</v>
      </c>
      <c r="D920" t="n">
        <v>0.005754632880197303</v>
      </c>
    </row>
    <row r="921">
      <c r="A921" t="inlineStr">
        <is>
          <t>S|SHORT_HIST x CHANNEL|ranr_rate|v|3</t>
        </is>
      </c>
      <c r="B921" t="n">
        <v>4.520410872</v>
      </c>
      <c r="C921" t="n">
        <v>0.093240963</v>
      </c>
      <c r="D921" t="n">
        <v>1.389349103</v>
      </c>
    </row>
    <row r="922">
      <c r="A922" t="inlineStr">
        <is>
          <t>S|SHORT_HIST x CHANNEL|ranr_rate|p|3</t>
        </is>
      </c>
      <c r="B922" t="n">
        <v>0.0164983501649835</v>
      </c>
      <c r="C922" t="n">
        <v>0.9635036496350365</v>
      </c>
      <c r="D922" t="n">
        <v>0.5359079476667717</v>
      </c>
    </row>
    <row r="923">
      <c r="A923" t="inlineStr">
        <is>
          <t>S|SHORT_HIST x CHANNEL|ranr_rate|se|3</t>
        </is>
      </c>
      <c r="B923" t="n">
        <v>0.002867395251212346</v>
      </c>
      <c r="C923" t="n">
        <v>0.001875216434841624</v>
      </c>
      <c r="D923" t="n">
        <v>0.005754632880197303</v>
      </c>
    </row>
    <row r="924">
      <c r="A924" t="inlineStr">
        <is>
          <t>S|SHORT_HIST x CHANNEL|ranr_rate|v|4</t>
        </is>
      </c>
      <c r="B924" t="n">
        <v>4.868954293</v>
      </c>
      <c r="C924" t="n">
        <v>3.606190091</v>
      </c>
      <c r="D924" t="n">
        <v>1.30671947</v>
      </c>
    </row>
    <row r="925">
      <c r="A925" t="inlineStr">
        <is>
          <t>S|SHORT_HIST x CHANNEL|ranr_rate|p|4</t>
        </is>
      </c>
      <c r="B925" t="n">
        <v>0.0164983501649835</v>
      </c>
      <c r="C925" t="n">
        <v>0.08699130086991301</v>
      </c>
      <c r="D925" t="n">
        <v>0.5700501378433585</v>
      </c>
    </row>
    <row r="926">
      <c r="A926" t="inlineStr">
        <is>
          <t>S|SHORT_HIST x CHANNEL|ranr_rate|se|4</t>
        </is>
      </c>
      <c r="B926" t="n">
        <v>0.002867395251212346</v>
      </c>
      <c r="C926" t="n">
        <v>0.004581601965991183</v>
      </c>
      <c r="D926" t="n">
        <v>0.00534612799301455</v>
      </c>
    </row>
    <row r="927">
      <c r="A927" t="inlineStr">
        <is>
          <t>S|SHORT_HIST x CHANNEL|ranr_rate|v|5</t>
        </is>
      </c>
      <c r="B927" t="n">
        <v>5.334663961</v>
      </c>
      <c r="C927" t="n">
        <v>-1.455621084</v>
      </c>
      <c r="D927" t="n">
        <v>2.920411579</v>
      </c>
    </row>
    <row r="928">
      <c r="A928" t="inlineStr">
        <is>
          <t>S|SHORT_HIST x CHANNEL|ranr_rate|p|5</t>
        </is>
      </c>
      <c r="B928" t="n">
        <v>0.0164983501649835</v>
      </c>
      <c r="C928" t="n">
        <v>0.5359079476667717</v>
      </c>
      <c r="D928" t="n">
        <v>0.11998800119988</v>
      </c>
    </row>
    <row r="929">
      <c r="A929" t="inlineStr">
        <is>
          <t>S|SHORT_HIST x CHANNEL|ranr_rate|se|5</t>
        </is>
      </c>
      <c r="B929" t="n">
        <v>0.002867395251212346</v>
      </c>
      <c r="C929" t="n">
        <v>0.005754632880197303</v>
      </c>
      <c r="D929" t="n">
        <v>0.00430793316531092</v>
      </c>
    </row>
    <row r="930">
      <c r="A930" t="inlineStr">
        <is>
          <t>S|SHORT_HIST x CHANNEL|ranr_rate|v|6</t>
        </is>
      </c>
    </row>
    <row r="931">
      <c r="A931" t="inlineStr">
        <is>
          <t>S|SHORT_HIST x CHANNEL|ranr_rate|p|6</t>
        </is>
      </c>
    </row>
    <row r="932">
      <c r="A932" t="inlineStr">
        <is>
          <t>S|SHORT_HIST x CHANNEL|ranr_rate|se|6</t>
        </is>
      </c>
    </row>
    <row r="933">
      <c r="A933" t="inlineStr">
        <is>
          <t>S|SHORT_HIST x CHANNEL|sum|5</t>
        </is>
      </c>
      <c r="B933" t="inlineStr">
        <is>
          <t>Earned before losses</t>
        </is>
      </c>
      <c r="C933" t="n">
        <v>15</v>
      </c>
      <c r="D933" t="inlineStr">
        <is>
          <t>0 of 15</t>
        </is>
      </c>
      <c r="E933" t="n">
        <v>6.52681416877821</v>
      </c>
      <c r="F933" t="n">
        <v>0.3118265442622928</v>
      </c>
      <c r="G933" t="inlineStr">
        <is>
          <t>pts</t>
        </is>
      </c>
      <c r="H933" t="n">
        <v>9.999000099990002e-05</v>
      </c>
      <c r="L933" t="inlineStr">
        <is>
          <t>not tested: dollar rate</t>
        </is>
      </c>
      <c r="P933" t="n">
        <v>9.999000099990002e-05</v>
      </c>
    </row>
    <row r="934">
      <c r="A934" t="inlineStr">
        <is>
          <t>S|SHORT_HIST x CHANNEL|contribution_rate|meta</t>
        </is>
      </c>
      <c r="B934" t="inlineStr">
        <is>
          <t>pts</t>
        </is>
      </c>
      <c r="C934" t="n">
        <v>8.415974532</v>
      </c>
    </row>
    <row r="935">
      <c r="A935" t="inlineStr">
        <is>
          <t>S|SHORT_HIST x CHANNEL|contribution_rate|v|1</t>
        </is>
      </c>
      <c r="B935" t="n">
        <v>6.405499452</v>
      </c>
      <c r="C935" t="n">
        <v>8.167077945999999</v>
      </c>
      <c r="D935" t="n">
        <v>6.331222603</v>
      </c>
    </row>
    <row r="936">
      <c r="A936" t="inlineStr">
        <is>
          <t>S|SHORT_HIST x CHANNEL|contribution_rate|p|1</t>
        </is>
      </c>
      <c r="B936" t="n">
        <v>0.0001153730780768077</v>
      </c>
      <c r="C936" t="n">
        <v>0.0001153730780768077</v>
      </c>
      <c r="D936" t="n">
        <v>0.0001153730780768077</v>
      </c>
    </row>
    <row r="937">
      <c r="A937" t="inlineStr">
        <is>
          <t>S|SHORT_HIST x CHANNEL|contribution_rate|se|1</t>
        </is>
      </c>
      <c r="B937" t="n">
        <v>0.0001153730780768077</v>
      </c>
      <c r="C937" t="n">
        <v>0.0001153730780768077</v>
      </c>
      <c r="D937" t="n">
        <v>0.0001153730780768077</v>
      </c>
    </row>
    <row r="938">
      <c r="A938" t="inlineStr">
        <is>
          <t>S|SHORT_HIST x CHANNEL|contribution_rate|v|2</t>
        </is>
      </c>
      <c r="B938" t="n">
        <v>7.632631595</v>
      </c>
      <c r="C938" t="n">
        <v>6.6574373</v>
      </c>
      <c r="D938" t="n">
        <v>4.717128674</v>
      </c>
    </row>
    <row r="939">
      <c r="A939" t="inlineStr">
        <is>
          <t>S|SHORT_HIST x CHANNEL|contribution_rate|p|2</t>
        </is>
      </c>
      <c r="B939" t="n">
        <v>0.0001153730780768077</v>
      </c>
      <c r="C939" t="n">
        <v>0.0001153730780768077</v>
      </c>
      <c r="D939" t="n">
        <v>0.0002142642878569286</v>
      </c>
    </row>
    <row r="940">
      <c r="A940" t="inlineStr">
        <is>
          <t>S|SHORT_HIST x CHANNEL|contribution_rate|se|2</t>
        </is>
      </c>
      <c r="B940" t="n">
        <v>0.0001153730780768077</v>
      </c>
      <c r="C940" t="n">
        <v>0.0001153730780768077</v>
      </c>
      <c r="D940" t="n">
        <v>0.000151500155333801</v>
      </c>
    </row>
    <row r="941">
      <c r="A941" t="inlineStr">
        <is>
          <t>S|SHORT_HIST x CHANNEL|contribution_rate|v|3</t>
        </is>
      </c>
      <c r="B941" t="n">
        <v>7.04869364</v>
      </c>
      <c r="C941" t="n">
        <v>6.500554492</v>
      </c>
      <c r="D941" t="n">
        <v>3.548034472</v>
      </c>
    </row>
    <row r="942">
      <c r="A942" t="inlineStr">
        <is>
          <t>S|SHORT_HIST x CHANNEL|contribution_rate|p|3</t>
        </is>
      </c>
      <c r="B942" t="n">
        <v>0.0001153730780768077</v>
      </c>
      <c r="C942" t="n">
        <v>0.0001153730780768077</v>
      </c>
      <c r="D942" t="n">
        <v>0.0024997500249975</v>
      </c>
    </row>
    <row r="943">
      <c r="A943" t="inlineStr">
        <is>
          <t>S|SHORT_HIST x CHANNEL|contribution_rate|se|3</t>
        </is>
      </c>
      <c r="B943" t="n">
        <v>0.0001153730780768077</v>
      </c>
      <c r="C943" t="n">
        <v>0.0001153730780768077</v>
      </c>
      <c r="D943" t="n">
        <v>0.0004993497045968913</v>
      </c>
    </row>
    <row r="944">
      <c r="A944" t="inlineStr">
        <is>
          <t>S|SHORT_HIST x CHANNEL|contribution_rate|v|4</t>
        </is>
      </c>
      <c r="B944" t="n">
        <v>8.415974532</v>
      </c>
      <c r="C944" t="n">
        <v>7.598239542</v>
      </c>
      <c r="D944" t="n">
        <v>6.953442527</v>
      </c>
    </row>
    <row r="945">
      <c r="A945" t="inlineStr">
        <is>
          <t>S|SHORT_HIST x CHANNEL|contribution_rate|p|4</t>
        </is>
      </c>
      <c r="B945" t="n">
        <v>0.0001153730780768077</v>
      </c>
      <c r="C945" t="n">
        <v>0.0001153730780768077</v>
      </c>
      <c r="D945" t="n">
        <v>0.0001153730780768077</v>
      </c>
    </row>
    <row r="946">
      <c r="A946" t="inlineStr">
        <is>
          <t>S|SHORT_HIST x CHANNEL|contribution_rate|se|4</t>
        </is>
      </c>
      <c r="B946" t="n">
        <v>0.0001153730780768077</v>
      </c>
      <c r="C946" t="n">
        <v>0.0001153730780768077</v>
      </c>
      <c r="D946" t="n">
        <v>0.0001153730780768077</v>
      </c>
    </row>
    <row r="947">
      <c r="A947" t="inlineStr">
        <is>
          <t>S|SHORT_HIST x CHANNEL|contribution_rate|v|5</t>
        </is>
      </c>
      <c r="B947" t="n">
        <v>6.422710408</v>
      </c>
      <c r="C947" t="n">
        <v>5.099593331</v>
      </c>
      <c r="D947" t="n">
        <v>6.678801072</v>
      </c>
    </row>
    <row r="948">
      <c r="A948" t="inlineStr">
        <is>
          <t>S|SHORT_HIST x CHANNEL|contribution_rate|p|5</t>
        </is>
      </c>
      <c r="B948" t="n">
        <v>0.0001153730780768077</v>
      </c>
      <c r="C948" t="n">
        <v>0.0001153730780768077</v>
      </c>
      <c r="D948" t="n">
        <v>0.0001153730780768077</v>
      </c>
    </row>
    <row r="949">
      <c r="A949" t="inlineStr">
        <is>
          <t>S|SHORT_HIST x CHANNEL|contribution_rate|se|5</t>
        </is>
      </c>
      <c r="B949" t="n">
        <v>0.0001153730780768077</v>
      </c>
      <c r="C949" t="n">
        <v>0.0001153730780768077</v>
      </c>
      <c r="D949" t="n">
        <v>0.0001153730780768077</v>
      </c>
    </row>
    <row r="950">
      <c r="A950" t="inlineStr">
        <is>
          <t>S|SHORT_HIST x CHANNEL|contribution_rate|v|6</t>
        </is>
      </c>
    </row>
    <row r="951">
      <c r="A951" t="inlineStr">
        <is>
          <t>S|SHORT_HIST x CHANNEL|contribution_rate|p|6</t>
        </is>
      </c>
    </row>
    <row r="952">
      <c r="A952" t="inlineStr">
        <is>
          <t>S|SHORT_HIST x CHANNEL|contribution_rate|se|6</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M27"/>
  <sheetViews>
    <sheetView tabSelected="0" workbookViewId="0">
      <selection activeCell="A1" sqref="A1"/>
    </sheetView>
  </sheetViews>
  <sheetFormatPr baseColWidth="8" defaultRowHeight="15"/>
  <cols>
    <col width="60" customWidth="1" min="2" max="2"/>
    <col width="22" customWidth="1" min="3" max="3"/>
    <col width="22" customWidth="1" min="4" max="4"/>
    <col width="40" customWidth="1" min="5" max="5"/>
    <col width="50" customWidth="1" min="11" max="11"/>
  </cols>
  <sheetData>
    <row r="1">
      <c r="B1" s="141" t="inlineStr">
        <is>
          <t>The lines in use: what the formulas on the result tabs read</t>
        </is>
      </c>
    </row>
    <row r="2">
      <c r="B2" s="142" t="inlineStr">
        <is>
          <t>Column C reads Control: your own value where one is typed, otherwise the option picked. Change Control, not this sheet. Column D is what the last Run used. The result tabs refer to column C by name (worse_at, better_at, confidence, significance_bar, judged_band, materiality_gco, profit_kind, profit_line).</t>
        </is>
      </c>
    </row>
    <row r="4">
      <c r="B4" s="143" t="inlineStr">
        <is>
          <t>Setting</t>
        </is>
      </c>
      <c r="C4" s="143" t="inlineStr">
        <is>
          <t>In use now</t>
        </is>
      </c>
      <c r="D4" s="143" t="inlineStr">
        <is>
          <t>The last Run used</t>
        </is>
      </c>
      <c r="E4" s="143" t="inlineStr">
        <is>
          <t>In words now</t>
        </is>
      </c>
      <c r="F4" s="143" t="inlineStr">
        <is>
          <t>In words at the last Run</t>
        </is>
      </c>
      <c r="K4" s="143" t="inlineStr">
        <is>
          <t>Option (setting|label)</t>
        </is>
      </c>
      <c r="L4" s="143" t="inlineStr">
        <is>
          <t>Kind</t>
        </is>
      </c>
      <c r="M4" s="143" t="inlineStr">
        <is>
          <t>Value</t>
        </is>
      </c>
    </row>
    <row r="5">
      <c r="B5" t="inlineStr">
        <is>
          <t>Worse at (a multiple)</t>
        </is>
      </c>
      <c r="C5">
        <f>IF(AND(Control!$D$15&lt;&gt;"",Control!$D$15&lt;&gt;"n/a"),Control!$D$15,IFERROR(INDEX($M$5:$M$400,MATCH("worse_at|"&amp;Control!$C$15,$K$5:$K$400,0)),IF(ISNUMBER(Control!$C$15),Control!$C$15,VALUE(Control!$C$15))))</f>
        <v/>
      </c>
      <c r="D5" t="n">
        <v>1.31</v>
      </c>
      <c r="E5">
        <f>IFERROR("worse at "&amp;TEXT(C5,"0.00")&amp;"x","no usable answer on Control")</f>
        <v/>
      </c>
      <c r="F5" t="inlineStr">
        <is>
          <t>worse at 1.31x</t>
        </is>
      </c>
      <c r="K5" t="inlineStr">
        <is>
          <t>materiality|0.5% of the book's total losses</t>
        </is>
      </c>
      <c r="L5" t="inlineStr">
        <is>
          <t>share</t>
        </is>
      </c>
      <c r="M5" t="n">
        <v>0.005</v>
      </c>
    </row>
    <row r="6">
      <c r="B6" t="inlineStr">
        <is>
          <t>Better at (a multiple)</t>
        </is>
      </c>
      <c r="C6">
        <f>IF(AND(Control!$D$16&lt;&gt;"",Control!$D$16&lt;&gt;"n/a"),Control!$D$16,IFERROR(INDEX($M$5:$M$400,MATCH("better_at|"&amp;Control!$C$16,$K$5:$K$400,0)),IF(ISNUMBER(Control!$C$16),Control!$C$16,VALUE(Control!$C$16))))</f>
        <v/>
      </c>
      <c r="D6" t="n">
        <v>0.76</v>
      </c>
      <c r="E6">
        <f>IFERROR("better at "&amp;TEXT(C6,"0.00")&amp;"x","no usable answer on Control")</f>
        <v/>
      </c>
      <c r="F6" t="inlineStr">
        <is>
          <t>better at 0.76x</t>
        </is>
      </c>
      <c r="K6" t="inlineStr">
        <is>
          <t>materiality|1% of the book's total losses</t>
        </is>
      </c>
      <c r="L6" t="inlineStr">
        <is>
          <t>share</t>
        </is>
      </c>
      <c r="M6" t="n">
        <v>0.01</v>
      </c>
    </row>
    <row r="7">
      <c r="B7" t="inlineStr">
        <is>
          <t>Confidence</t>
        </is>
      </c>
      <c r="C7">
        <f>IF(AND(Control!$D$18&lt;&gt;"",Control!$D$18&lt;&gt;"n/a"),Control!$D$18,IFERROR(INDEX($M$5:$M$400,MATCH("confidence|"&amp;Control!$C$18,$K$5:$K$400,0)),IF(ISNUMBER(Control!$C$18),Control!$C$18,VALUE(Control!$C$18))))</f>
        <v/>
      </c>
      <c r="D7" t="n">
        <v>0.95</v>
      </c>
      <c r="E7">
        <f>IFERROR(IF(ROUND(C7*100,9)=ROUND(C7*100,0),TEXT(C7*100,"0"),TEXT(C7*100,"0.0"))&amp;"% sure","no usable answer on Control")</f>
        <v/>
      </c>
      <c r="F7" t="inlineStr">
        <is>
          <t>95% sure</t>
        </is>
      </c>
      <c r="K7" t="inlineStr">
        <is>
          <t>materiality|2% of the book's total losses</t>
        </is>
      </c>
      <c r="L7" t="inlineStr">
        <is>
          <t>share</t>
        </is>
      </c>
      <c r="M7" t="n">
        <v>0.02</v>
      </c>
    </row>
    <row r="8">
      <c r="B8" t="inlineStr">
        <is>
          <t>Significance bar: ROUND(1 - confidence, 12). A p-value below it is significant</t>
        </is>
      </c>
      <c r="C8">
        <f>ROUND(1-C7,12)</f>
        <v/>
      </c>
      <c r="D8" t="n">
        <v>0.05</v>
      </c>
      <c r="K8" t="inlineStr">
        <is>
          <t>materiality|5% of the book's total losses</t>
        </is>
      </c>
      <c r="L8" t="inlineStr">
        <is>
          <t>share</t>
        </is>
      </c>
      <c r="M8" t="n">
        <v>0.05</v>
      </c>
    </row>
    <row r="9">
      <c r="B9" t="inlineStr">
        <is>
          <t>Judged against the rest of its band? (FALSE: the rest of the book)</t>
        </is>
      </c>
      <c r="C9">
        <f>IFERROR(INDEX($M$5:$M$400,MATCH("compare_to|"&amp;Control!$C$20,$K$5:$K$400,0))="peers",NA())</f>
        <v/>
      </c>
      <c r="D9" t="b">
        <v>1</v>
      </c>
      <c r="E9">
        <f>IFERROR(IF(C9,"the rest of its band","the rest of the book"),"no usable answer on Control")</f>
        <v/>
      </c>
      <c r="F9" t="inlineStr">
        <is>
          <t>the rest of its band</t>
        </is>
      </c>
      <c r="K9" t="inlineStr">
        <is>
          <t>materiality|10% of the book's total losses</t>
        </is>
      </c>
      <c r="L9" t="inlineStr">
        <is>
          <t>share</t>
        </is>
      </c>
      <c r="M9" t="n">
        <v>0.1</v>
      </c>
    </row>
    <row r="10">
      <c r="B10" t="inlineStr">
        <is>
          <t>Materiality: a share, a dollar amount or none</t>
        </is>
      </c>
      <c r="C10">
        <f>IF(AND(Control!$D$19&lt;&gt;"",Control!$D$19&lt;&gt;"n/a"),"dollars",IFERROR(INDEX($L$5:$L$400,MATCH("materiality|"&amp;Control!$C$19,$K$5:$K$400,0)),NA()))</f>
        <v/>
      </c>
      <c r="D10" t="inlineStr">
        <is>
          <t>share</t>
        </is>
      </c>
      <c r="E10">
        <f>IFERROR(IF(C10="none","no floor",IF(C10="share",TEXT(C11*100,"0.0")&amp;"% of the book's GCO, $"&amp;TEXT(C12,"#,##0"),"$"&amp;TEXT(C12,"#,##0")&amp;" of GCO")),"no usable answer on Control")</f>
        <v/>
      </c>
      <c r="F10" t="inlineStr">
        <is>
          <t>1.0% of the book's GCO, $107,354</t>
        </is>
      </c>
      <c r="K10" t="inlineStr">
        <is>
          <t>materiality|No floor</t>
        </is>
      </c>
      <c r="L10" t="inlineStr">
        <is>
          <t>none</t>
        </is>
      </c>
      <c r="M10" t="n">
        <v>0</v>
      </c>
    </row>
    <row r="11">
      <c r="B11" t="inlineStr">
        <is>
          <t>Materiality as a share of the book's GCO</t>
        </is>
      </c>
      <c r="C11">
        <f>IF(C10="share",INDEX($M$5:$M$400,MATCH("materiality|"&amp;Control!$C$19,$K$5:$K$400,0)),0)</f>
        <v/>
      </c>
      <c r="D11" t="n">
        <v>0.01</v>
      </c>
      <c r="K11" t="inlineStr">
        <is>
          <t>compare_to|The rest of its band</t>
        </is>
      </c>
      <c r="M11" t="inlineStr">
        <is>
          <t>peers</t>
        </is>
      </c>
    </row>
    <row r="12">
      <c r="B12" t="inlineStr">
        <is>
          <t>Materiality line in GCO dollars</t>
        </is>
      </c>
      <c r="C12">
        <f>IF(C10="none",0,IF(C10="share",C11*C15,Control!$D$19))</f>
        <v/>
      </c>
      <c r="D12" t="n">
        <v>107353.5509</v>
      </c>
      <c r="K12" t="inlineStr">
        <is>
          <t>compare_to|The rest of the book</t>
        </is>
      </c>
      <c r="M12" t="inlineStr">
        <is>
          <t>topline</t>
        </is>
      </c>
    </row>
    <row r="13">
      <c r="B13" t="inlineStr">
        <is>
          <t>Profit line: each pocket's own test, points or dollars</t>
        </is>
      </c>
      <c r="C13">
        <f>IF(AND(Control!$D$17&lt;&gt;"",Control!$D$17&lt;&gt;"n/a"),"points",IFERROR(INDEX($L$5:$L$400,MATCH("revenue_line|"&amp;Control!$C$17,$K$5:$K$400,0)),IFERROR(IF(VALUE(Control!$C$17)&gt;0,"points",NA()),NA())))</f>
        <v/>
      </c>
      <c r="D13" t="inlineStr">
        <is>
          <t>test</t>
        </is>
      </c>
      <c r="E13">
        <f>IFERROR(IF(C13="test","each pocket's own test",IF(C13="points",TEXT(C14*100,"0.00")&amp;" points either way","a gap of $"&amp;TEXT(C14,"#,##0")&amp;" either way (the materiality line)")),"no usable answer on Control")</f>
        <v/>
      </c>
      <c r="F13" t="inlineStr">
        <is>
          <t>each pocket's own test</t>
        </is>
      </c>
      <c r="K13" t="inlineStr">
        <is>
          <t>worse_at|The smallest significant gap in a typical pocket (suggested)</t>
        </is>
      </c>
      <c r="M13" t="n">
        <v>1.31</v>
      </c>
    </row>
    <row r="14">
      <c r="B14" t="inlineStr">
        <is>
          <t>Profit line (0.0025 = 0.25 points; dollars for the materiality line)</t>
        </is>
      </c>
      <c r="C14">
        <f>IF(C13="points",IF(AND(Control!$D$17&lt;&gt;"",Control!$D$17&lt;&gt;"n/a"),Control!$D$17,IFERROR(INDEX($M$5:$M$400,MATCH("revenue_line|"&amp;Control!$C$17,$K$5:$K$400,0)),VALUE(Control!$C$17)))/100,IF(C13="dollars",C12,0))</f>
        <v/>
      </c>
      <c r="D14" t="n">
        <v>0</v>
      </c>
      <c r="K14" t="inlineStr">
        <is>
          <t>worse_at|1.25 times</t>
        </is>
      </c>
      <c r="M14" t="n">
        <v>1.25</v>
      </c>
    </row>
    <row r="15">
      <c r="B15" t="inlineStr">
        <is>
          <t>The book's GCO (from the Run)</t>
        </is>
      </c>
      <c r="C15" t="n">
        <v>10735355.09</v>
      </c>
      <c r="D15" t="n">
        <v>10735355.09</v>
      </c>
      <c r="K15" t="inlineStr">
        <is>
          <t>worse_at|1.5 times</t>
        </is>
      </c>
      <c r="M15" t="n">
        <v>1.5</v>
      </c>
    </row>
    <row r="16">
      <c r="K16" t="inlineStr">
        <is>
          <t>worse_at|2 times</t>
        </is>
      </c>
      <c r="M16" t="n">
        <v>2</v>
      </c>
    </row>
    <row r="17">
      <c r="B17" t="inlineStr">
        <is>
          <t>In use now, in one sentence (the result tabs show it at the top)</t>
        </is>
      </c>
      <c r="C17">
        <f>"Lines in use now, from Control: "&amp;E5&amp;" and "&amp;E6&amp;" (the loss line); profit line "&amp;E13&amp;"; "&amp;E7&amp;"; materiality "&amp;E10&amp;"; judged against "&amp;E9&amp;"."</f>
        <v/>
      </c>
      <c r="D17" t="inlineStr">
        <is>
          <t>Lines the last Run used: worse at 1.31x and better at 0.76x (the loss line); profit line each pocket's own test; 95% sure; materiality 1.0% of the book's GCO, $107,354; judged against the rest of its band.</t>
        </is>
      </c>
      <c r="K17" t="inlineStr">
        <is>
          <t>better_at|The smallest significant gap in a typical pocket (suggested)</t>
        </is>
      </c>
      <c r="M17" t="n">
        <v>0.76</v>
      </c>
    </row>
    <row r="18">
      <c r="K18" t="inlineStr">
        <is>
          <t>better_at|0.8 times</t>
        </is>
      </c>
      <c r="M18" t="n">
        <v>0.8</v>
      </c>
    </row>
    <row r="19">
      <c r="B19" s="143" t="inlineStr">
        <is>
          <t>Each rate's materiality line</t>
        </is>
      </c>
      <c r="C19" s="143" t="inlineStr">
        <is>
          <t>In use now</t>
        </is>
      </c>
      <c r="D19" s="143" t="inlineStr">
        <is>
          <t>The last Run used</t>
        </is>
      </c>
      <c r="E19" s="143" t="inlineStr">
        <is>
          <t>The rate's book total, for a share</t>
        </is>
      </c>
      <c r="G19" s="143" t="inlineStr">
        <is>
          <t>Rate (key)</t>
        </is>
      </c>
      <c r="K19" t="inlineStr">
        <is>
          <t>better_at|0.67 times</t>
        </is>
      </c>
      <c r="M19" t="n">
        <v>0.67</v>
      </c>
    </row>
    <row r="20">
      <c r="B20" t="inlineStr">
        <is>
          <t>Outcome, share of loans</t>
        </is>
      </c>
      <c r="C20">
        <f>IF(C10="share",C11*E20,IF(C10="none",0,""))</f>
        <v/>
      </c>
      <c r="D20" t="n">
        <v>6.19</v>
      </c>
      <c r="E20" t="n">
        <v>619</v>
      </c>
      <c r="G20" t="inlineStr">
        <is>
          <t>outcome_loans</t>
        </is>
      </c>
      <c r="K20" t="inlineStr">
        <is>
          <t>better_at|0.5 times</t>
        </is>
      </c>
      <c r="M20" t="n">
        <v>0.5</v>
      </c>
    </row>
    <row r="21">
      <c r="B21" t="inlineStr">
        <is>
          <t>Outcome, share of booked dollars</t>
        </is>
      </c>
      <c r="C21">
        <f>IF(C10="share",C11*E21,IF(C10="none",0,""))</f>
        <v/>
      </c>
      <c r="D21" t="n">
        <v>193082.0206000001</v>
      </c>
      <c r="E21" t="n">
        <v>19308202.06000001</v>
      </c>
      <c r="G21" t="inlineStr">
        <is>
          <t>outcome_booked</t>
        </is>
      </c>
      <c r="K21" t="inlineStr">
        <is>
          <t>revenue_line|Each pocket's own test (suggested)</t>
        </is>
      </c>
      <c r="L21" t="inlineStr">
        <is>
          <t>test</t>
        </is>
      </c>
      <c r="M21" t="n">
        <v>0</v>
      </c>
    </row>
    <row r="22">
      <c r="B22" t="inlineStr">
        <is>
          <t>GCO per booked dollar</t>
        </is>
      </c>
      <c r="C22">
        <f>C12</f>
        <v/>
      </c>
      <c r="D22" t="n">
        <v>107353.5509</v>
      </c>
      <c r="E22" t="n">
        <v>10735355.09</v>
      </c>
      <c r="G22" t="inlineStr">
        <is>
          <t>gco_rate</t>
        </is>
      </c>
      <c r="K22" t="inlineStr">
        <is>
          <t>revenue_line|0.25 points either way</t>
        </is>
      </c>
      <c r="L22" t="inlineStr">
        <is>
          <t>points</t>
        </is>
      </c>
      <c r="M22" t="n">
        <v>0.25</v>
      </c>
    </row>
    <row r="23">
      <c r="B23" t="inlineStr">
        <is>
          <t>Profit after losses: RANR per booked dollar</t>
        </is>
      </c>
      <c r="C23">
        <f>C12</f>
        <v/>
      </c>
      <c r="D23" t="n">
        <v>107353.5509</v>
      </c>
      <c r="E23" t="n">
        <v>33030193.2200001</v>
      </c>
      <c r="G23" t="inlineStr">
        <is>
          <t>ranr_rate</t>
        </is>
      </c>
      <c r="K23" t="inlineStr">
        <is>
          <t>revenue_line|0.5 points either way</t>
        </is>
      </c>
      <c r="L23" t="inlineStr">
        <is>
          <t>points</t>
        </is>
      </c>
      <c r="M23" t="n">
        <v>0.5</v>
      </c>
    </row>
    <row r="24">
      <c r="B24" t="inlineStr">
        <is>
          <t>Contribution before losses per booked dollar</t>
        </is>
      </c>
      <c r="C24">
        <f>C12</f>
        <v/>
      </c>
      <c r="D24" t="n">
        <v>107353.5509</v>
      </c>
      <c r="E24" t="n">
        <v>43759731.33000007</v>
      </c>
      <c r="G24" t="inlineStr">
        <is>
          <t>contribution_rate</t>
        </is>
      </c>
      <c r="K24" t="inlineStr">
        <is>
          <t>revenue_line|A gap as big as the materiality line</t>
        </is>
      </c>
      <c r="L24" t="inlineStr">
        <is>
          <t>dollars</t>
        </is>
      </c>
      <c r="M24" t="n">
        <v>0</v>
      </c>
    </row>
    <row r="25">
      <c r="K25" t="inlineStr">
        <is>
          <t>confidence|90% sure</t>
        </is>
      </c>
      <c r="M25" t="n">
        <v>0.9</v>
      </c>
    </row>
    <row r="26">
      <c r="K26" t="inlineStr">
        <is>
          <t>confidence|95% sure</t>
        </is>
      </c>
      <c r="M26" t="n">
        <v>0.95</v>
      </c>
    </row>
    <row r="27">
      <c r="K27" t="inlineStr">
        <is>
          <t>confidence|99% sure</t>
        </is>
      </c>
      <c r="M27" t="n">
        <v>0.99</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O553"/>
  <sheetViews>
    <sheetView tabSelected="0" workbookViewId="0">
      <pane ySplit="3" topLeftCell="A4" activePane="bottomLeft" state="frozen"/>
      <selection pane="bottomLeft" activeCell="A1" sqref="A1"/>
    </sheetView>
  </sheetViews>
  <sheetFormatPr baseColWidth="8" defaultRowHeight="15"/>
  <sheetData>
    <row r="1">
      <c r="A1" s="143" t="inlineStr">
        <is>
          <t>Every pocket's numbers from the last Run (columns A to U, AH, AK and AL), and the formulas that read them with the lines on Control (the rest). The result tabs point here, so one set of formulas decides for every tab.</t>
        </is>
      </c>
    </row>
    <row r="2">
      <c r="A2" t="inlineStr">
        <is>
          <t>A p-value doesn't depend on the confidence level: the lines only decide what it is compared with. The gaps, p-values and dollars are as of the last Run; change band edges, segments, the floors or the allowance for many tests and Run again.</t>
        </is>
      </c>
    </row>
    <row r="3">
      <c r="A3" s="144" t="inlineStr">
        <is>
          <t>Grids or three-way</t>
        </is>
      </c>
      <c r="B3" s="144" t="inlineStr">
        <is>
          <t>Grid</t>
        </is>
      </c>
      <c r="C3" s="144" t="inlineStr">
        <is>
          <t>Band</t>
        </is>
      </c>
      <c r="D3" s="144" t="inlineStr">
        <is>
          <t>Segment</t>
        </is>
      </c>
      <c r="E3" s="144" t="inlineStr">
        <is>
          <t>Rate (key)</t>
        </is>
      </c>
      <c r="F3" s="144" t="inlineStr">
        <is>
          <t>Rate</t>
        </is>
      </c>
      <c r="G3" s="144" t="inlineStr">
        <is>
          <t>Loans</t>
        </is>
      </c>
      <c r="H3" s="144" t="inlineStr">
        <is>
          <t>Booked dollars (the rate's bottom)</t>
        </is>
      </c>
      <c r="I3" s="144" t="inlineStr">
        <is>
          <t>Too few losses to test (fewest losses is a Run setting)</t>
        </is>
      </c>
      <c r="J3" s="144" t="inlineStr">
        <is>
          <t>Alone in its band</t>
        </is>
      </c>
      <c r="K3" s="144" t="inlineStr">
        <is>
          <t>Vs rest of book (a multiple; profit: the gap, 0.01 = 1 point)</t>
        </is>
      </c>
      <c r="L3" s="144" t="inlineStr">
        <is>
          <t>p-value vs book, after the allowance</t>
        </is>
      </c>
      <c r="M3" s="144" t="inlineStr">
        <is>
          <t>Vs rest of band</t>
        </is>
      </c>
      <c r="N3" s="144" t="inlineStr">
        <is>
          <t>p-value vs band, after the allowance</t>
        </is>
      </c>
      <c r="O3" s="144" t="inlineStr">
        <is>
          <t>Excess over the rest of the book ($)</t>
        </is>
      </c>
      <c r="P3" s="144" t="inlineStr">
        <is>
          <t>Excess over its band ($)</t>
        </is>
      </c>
      <c r="Q3" s="144" t="inlineStr">
        <is>
          <t>Materiality line in use (from _live)</t>
        </is>
      </c>
      <c r="R3" s="144" t="inlineStr">
        <is>
          <t>Test vs book</t>
        </is>
      </c>
      <c r="S3" s="144" t="inlineStr">
        <is>
          <t>Test vs band</t>
        </is>
      </c>
      <c r="T3" s="144" t="inlineStr">
        <is>
          <t>Rest of book's rate</t>
        </is>
      </c>
      <c r="U3" s="144" t="inlineStr">
        <is>
          <t>Rest of band's rate</t>
        </is>
      </c>
      <c r="V3" s="145" t="inlineStr">
        <is>
          <t>Judged against its band?</t>
        </is>
      </c>
      <c r="W3" s="145" t="inlineStr">
        <is>
          <t>Reading vs book</t>
        </is>
      </c>
      <c r="X3" s="145" t="inlineStr">
        <is>
          <t>Reading vs band</t>
        </is>
      </c>
      <c r="Y3" s="145" t="inlineStr">
        <is>
          <t>Flag</t>
        </is>
      </c>
      <c r="Z3" s="145" t="inlineStr">
        <is>
          <t>Dollars that decide</t>
        </is>
      </c>
      <c r="AA3" s="145" t="inlineStr">
        <is>
          <t>Material</t>
        </is>
      </c>
      <c r="AB3" s="145" t="inlineStr">
        <is>
          <t>Gap that decides</t>
        </is>
      </c>
      <c r="AC3" s="145" t="inlineStr">
        <is>
          <t>p-value that decides</t>
        </is>
      </c>
      <c r="AD3" s="145" t="inlineStr">
        <is>
          <t>Flag as the tabs print it</t>
        </is>
      </c>
      <c r="AE3" s="145" t="inlineStr">
        <is>
          <t>Test, as printed</t>
        </is>
      </c>
      <c r="AF3" s="145" t="inlineStr">
        <is>
          <t>Rest's rate that decides</t>
        </is>
      </c>
      <c r="AG3" s="145" t="inlineStr">
        <is>
          <t>The other dollars, for reference</t>
        </is>
      </c>
      <c r="AH3" s="145" t="inlineStr">
        <is>
          <t>This pocket's rate</t>
        </is>
      </c>
      <c r="AI3" s="145" t="inlineStr">
        <is>
          <t>Worse?</t>
        </is>
      </c>
      <c r="AJ3" s="145" t="inlineStr">
        <is>
          <t>Material?</t>
        </is>
      </c>
      <c r="AK3" s="145" t="inlineStr">
        <is>
          <t>Shuffle's standard error of the p-value vs book, after the allowance</t>
        </is>
      </c>
      <c r="AL3" s="145" t="inlineStr">
        <is>
          <t>Shuffle's standard error of the p-value vs band, after the allowance</t>
        </is>
      </c>
      <c r="AM3" s="145" t="inlineStr">
        <is>
          <t>Borderline: the p-value that decides, when the flag turns on it and it is within 2 standard errors of the bar</t>
        </is>
      </c>
      <c r="AN3" s="145" t="inlineStr">
        <is>
          <t>Borderline, for Worse?</t>
        </is>
      </c>
      <c r="AO3" s="145" t="inlineStr">
        <is>
          <t>Worse? as the tabs print it</t>
        </is>
      </c>
    </row>
    <row r="4">
      <c r="A4" t="inlineStr">
        <is>
          <t>grids</t>
        </is>
      </c>
      <c r="B4" t="inlineStr">
        <is>
          <t>FICO x CHANNEL</t>
        </is>
      </c>
      <c r="C4" t="inlineStr">
        <is>
          <t>(marked missing)</t>
        </is>
      </c>
      <c r="D4" t="inlineStr">
        <is>
          <t>Online</t>
        </is>
      </c>
      <c r="E4" t="inlineStr">
        <is>
          <t>outcome_loans</t>
        </is>
      </c>
      <c r="F4" t="inlineStr">
        <is>
          <t>Outcome, share of loans</t>
        </is>
      </c>
      <c r="G4" t="n">
        <v>55</v>
      </c>
      <c r="H4" t="n">
        <v>55</v>
      </c>
      <c r="I4" t="b">
        <v>1</v>
      </c>
      <c r="J4" t="b">
        <v>0</v>
      </c>
      <c r="K4" t="n">
        <v>0.4681891852070134</v>
      </c>
      <c r="M4" t="n">
        <v>0.4772727272727272</v>
      </c>
      <c r="O4" t="n">
        <v>-2.271777442094662</v>
      </c>
      <c r="P4" t="n">
        <v>-2.190476190476191</v>
      </c>
      <c r="Q4">
        <f>'_live'!$C$20</f>
        <v/>
      </c>
      <c r="T4" t="n">
        <v>0.0776686807653575</v>
      </c>
      <c r="U4" t="n">
        <v>0.0761904761904762</v>
      </c>
      <c r="V4">
        <f>AND(judged_band,NOT($J4))</f>
        <v/>
      </c>
      <c r="W4">
        <f>IF($K4="","",IF($I4,"too few losses to test",IF(AND($K4&gt;better_at,$K4&lt;worse_at),"in line",IF($K4&gt;=worse_at,IF(AND(ISNUMBER($L4),$L4&lt;significance_bar),"worse","worse, not significant"),IF(AND(ISNUMBER($L4),$L4&lt;significance_bar),"better","better, not significant")))))</f>
        <v/>
      </c>
      <c r="X4">
        <f>IF($M4="","",IF($I4,"too few losses to test",IF(AND($M4&gt;better_at,$M4&lt;worse_at),"in line",IF($M4&gt;=worse_at,IF(AND(ISNUMBER($N4),$N4&lt;significance_bar),"worse","worse, not significant"),IF(AND(ISNUMBER($N4),$N4&lt;significance_bar),"better","better, not significant")))))</f>
        <v/>
      </c>
      <c r="Y4">
        <f>IF($V4,$X4,$W4)</f>
        <v/>
      </c>
      <c r="Z4">
        <f>IF($V4,IF($P4="","",$P4),IF($O4="","",$O4))</f>
        <v/>
      </c>
      <c r="AA4">
        <f>IF(OR($Q4="",$Z4=""),"",IF(AND($Z4&gt;0,$Z4&gt;=$Q4),"yes","below the line"))</f>
        <v/>
      </c>
      <c r="AB4">
        <f>IF($V4,IF($M4="","",$M4),IF($K4="","",$K4))</f>
        <v/>
      </c>
      <c r="AC4">
        <f>IF($V4,IF($N4="","",$N4),IF($L4="","",$L4))</f>
        <v/>
      </c>
      <c r="AD4">
        <f>$Y4</f>
        <v/>
      </c>
      <c r="AE4">
        <f>IF($V4,IF($S4="","",$S4),IF($R4="","",$R4))</f>
        <v/>
      </c>
      <c r="AF4">
        <f>IF($V4,IF($U4="","",$U4),IF($T4="","",$T4))</f>
        <v/>
      </c>
      <c r="AG4">
        <f>IF($V4,IF($O4="","",$O4),IF($P4="","",$P4))</f>
        <v/>
      </c>
      <c r="AH4" t="n">
        <v>0.03636363636363636</v>
      </c>
      <c r="AI4">
        <f>IF($Y4="worse","Yes",IF($Y4="worse, not significant","Not sure",IF(OR($Y4="too few losses to test",$Y4="too few loans to test"),"Too few losses",IF($Y4="","","No"))))</f>
        <v/>
      </c>
      <c r="AJ4">
        <f>IF($AA4="yes","Yes",IF($AA4="","","No"))</f>
        <v/>
      </c>
      <c r="AM4">
        <f>IF(AND(ISNUMBER($AC4),ISNUMBER(IF($V4,IF($AL4="","",$AL4),IF($AK4="","",$AK4)))),IF(AND(ABS($AC4-significance_bar)&lt;=2.0*IF($V4,IF($AL4="","",$AL4),IF($AK4="","",$AK4)),OR($Y4="worse",$Y4="better",$Y4="worse, not significant",$Y4="better, not significant")),IF(ROUND($AC4,3)=ROUND(significance_bar,3),TEXT($AC4,"0.0000"),TEXT($AC4,"0.000")),""),"")</f>
        <v/>
      </c>
      <c r="AN4">
        <f>IF(AND(ISNUMBER($AC4),ISNUMBER(IF($V4,IF($AL4="","",$AL4),IF($AK4="","",$AK4)))),IF(AND(ABS($AC4-significance_bar)&lt;=2.0*IF($V4,IF($AL4="","",$AL4),IF($AK4="","",$AK4)),OR($Y4="worse",$Y4="worse, not significant")),IF(ROUND($AC4,3)=ROUND(significance_bar,3),TEXT($AC4,"0.0000"),TEXT($AC4,"0.000")),""),"")</f>
        <v/>
      </c>
      <c r="AO4">
        <f>IF(OR($AI4="",$AN4=""),$AI4,$AI4&amp;" · borderline (p "&amp;$AN4&amp;")")</f>
        <v/>
      </c>
    </row>
    <row r="5">
      <c r="A5" t="inlineStr">
        <is>
          <t>grids</t>
        </is>
      </c>
      <c r="B5" t="inlineStr">
        <is>
          <t>FICO x CHANNEL</t>
        </is>
      </c>
      <c r="C5" t="inlineStr">
        <is>
          <t>(marked missing)</t>
        </is>
      </c>
      <c r="D5" t="inlineStr">
        <is>
          <t>Online</t>
        </is>
      </c>
      <c r="E5" t="inlineStr">
        <is>
          <t>outcome_booked</t>
        </is>
      </c>
      <c r="F5" t="inlineStr">
        <is>
          <t>Outcome, share of booked dollars</t>
        </is>
      </c>
      <c r="G5" t="n">
        <v>55</v>
      </c>
      <c r="H5" t="n">
        <v>1848729.24</v>
      </c>
      <c r="I5" t="b">
        <v>1</v>
      </c>
      <c r="J5" t="b">
        <v>0</v>
      </c>
      <c r="K5" t="n">
        <v>0.3894539005046767</v>
      </c>
      <c r="M5" t="n">
        <v>0.5020804867348562</v>
      </c>
      <c r="O5" t="n">
        <v>-84833.01412374644</v>
      </c>
      <c r="P5" t="n">
        <v>-53664.6496016724</v>
      </c>
      <c r="Q5">
        <f>'_live'!$C$21</f>
        <v/>
      </c>
      <c r="T5" t="n">
        <v>0.07515763861870137</v>
      </c>
      <c r="U5" t="n">
        <v>0.05829829337349172</v>
      </c>
      <c r="V5">
        <f>AND(judged_band,NOT($J5))</f>
        <v/>
      </c>
      <c r="W5">
        <f>IF($K5="","",IF($I5,"too few losses to test",IF(AND($K5&gt;better_at,$K5&lt;worse_at),"in line",IF($K5&gt;=worse_at,IF(AND(ISNUMBER($L5),$L5&lt;significance_bar),"worse","worse, not significant"),IF(AND(ISNUMBER($L5),$L5&lt;significance_bar),"better","better, not significant")))))</f>
        <v/>
      </c>
      <c r="X5">
        <f>IF($M5="","",IF($I5,"too few losses to test",IF(AND($M5&gt;better_at,$M5&lt;worse_at),"in line",IF($M5&gt;=worse_at,IF(AND(ISNUMBER($N5),$N5&lt;significance_bar),"worse","worse, not significant"),IF(AND(ISNUMBER($N5),$N5&lt;significance_bar),"better","better, not significant")))))</f>
        <v/>
      </c>
      <c r="Y5">
        <f>IF($V5,$X5,$W5)</f>
        <v/>
      </c>
      <c r="Z5">
        <f>IF($V5,IF($P5="","",$P5),IF($O5="","",$O5))</f>
        <v/>
      </c>
      <c r="AA5">
        <f>IF(OR($Q5="",$Z5=""),"",IF(AND($Z5&gt;0,$Z5&gt;=$Q5),"yes","below the line"))</f>
        <v/>
      </c>
      <c r="AB5">
        <f>IF($V5,IF($M5="","",$M5),IF($K5="","",$K5))</f>
        <v/>
      </c>
      <c r="AC5">
        <f>IF($V5,IF($N5="","",$N5),IF($L5="","",$L5))</f>
        <v/>
      </c>
      <c r="AD5">
        <f>$Y5</f>
        <v/>
      </c>
      <c r="AE5">
        <f>IF($V5,IF($S5="","",$S5),IF($R5="","",$R5))</f>
        <v/>
      </c>
      <c r="AF5">
        <f>IF($V5,IF($U5="","",$U5),IF($T5="","",$T5))</f>
        <v/>
      </c>
      <c r="AG5">
        <f>IF($V5,IF($O5="","",$O5),IF($P5="","",$P5))</f>
        <v/>
      </c>
      <c r="AH5" t="n">
        <v>0.02927043551277416</v>
      </c>
      <c r="AI5">
        <f>IF($Y5="worse","Yes",IF($Y5="worse, not significant","Not sure",IF(OR($Y5="too few losses to test",$Y5="too few loans to test"),"Too few losses",IF($Y5="","","No"))))</f>
        <v/>
      </c>
      <c r="AJ5">
        <f>IF($AA5="yes","Yes",IF($AA5="","","No"))</f>
        <v/>
      </c>
      <c r="AM5">
        <f>IF(AND(ISNUMBER($AC5),ISNUMBER(IF($V5,IF($AL5="","",$AL5),IF($AK5="","",$AK5)))),IF(AND(ABS($AC5-significance_bar)&lt;=2.0*IF($V5,IF($AL5="","",$AL5),IF($AK5="","",$AK5)),OR($Y5="worse",$Y5="better",$Y5="worse, not significant",$Y5="better, not significant")),IF(ROUND($AC5,3)=ROUND(significance_bar,3),TEXT($AC5,"0.0000"),TEXT($AC5,"0.000")),""),"")</f>
        <v/>
      </c>
      <c r="AN5">
        <f>IF(AND(ISNUMBER($AC5),ISNUMBER(IF($V5,IF($AL5="","",$AL5),IF($AK5="","",$AK5)))),IF(AND(ABS($AC5-significance_bar)&lt;=2.0*IF($V5,IF($AL5="","",$AL5),IF($AK5="","",$AK5)),OR($Y5="worse",$Y5="worse, not significant")),IF(ROUND($AC5,3)=ROUND(significance_bar,3),TEXT($AC5,"0.0000"),TEXT($AC5,"0.000")),""),"")</f>
        <v/>
      </c>
      <c r="AO5">
        <f>IF(OR($AI5="",$AN5=""),$AI5,$AI5&amp;" · borderline (p "&amp;$AN5&amp;")")</f>
        <v/>
      </c>
    </row>
    <row r="6">
      <c r="A6" t="inlineStr">
        <is>
          <t>grids</t>
        </is>
      </c>
      <c r="B6" t="inlineStr">
        <is>
          <t>FICO x CHANNEL</t>
        </is>
      </c>
      <c r="C6" t="inlineStr">
        <is>
          <t>(marked missing)</t>
        </is>
      </c>
      <c r="D6" t="inlineStr">
        <is>
          <t>Online</t>
        </is>
      </c>
      <c r="E6" t="inlineStr">
        <is>
          <t>gco_rate</t>
        </is>
      </c>
      <c r="F6" t="inlineStr">
        <is>
          <t>GCO per booked dollar</t>
        </is>
      </c>
      <c r="G6" t="n">
        <v>55</v>
      </c>
      <c r="H6" t="n">
        <v>1848729.24</v>
      </c>
      <c r="I6" t="b">
        <v>1</v>
      </c>
      <c r="J6" t="b">
        <v>0</v>
      </c>
      <c r="K6" t="n">
        <v>0.4430395970601176</v>
      </c>
      <c r="M6" t="n">
        <v>0.6320770103080136</v>
      </c>
      <c r="O6" t="n">
        <v>-43011.28863544598</v>
      </c>
      <c r="P6" t="n">
        <v>-19915.33465588316</v>
      </c>
      <c r="Q6">
        <f>'_live'!$C$22</f>
        <v/>
      </c>
      <c r="T6" t="n">
        <v>0.04177195717175219</v>
      </c>
      <c r="U6" t="n">
        <v>0.02927907639730043</v>
      </c>
      <c r="V6">
        <f>AND(judged_band,NOT($J6))</f>
        <v/>
      </c>
      <c r="W6">
        <f>IF($K6="","",IF($I6,"too few losses to test",IF(AND($K6&gt;better_at,$K6&lt;worse_at),"in line",IF($K6&gt;=worse_at,IF(AND(ISNUMBER($L6),$L6&lt;significance_bar),"worse","worse, not significant"),IF(AND(ISNUMBER($L6),$L6&lt;significance_bar),"better","better, not significant")))))</f>
        <v/>
      </c>
      <c r="X6">
        <f>IF($M6="","",IF($I6,"too few losses to test",IF(AND($M6&gt;better_at,$M6&lt;worse_at),"in line",IF($M6&gt;=worse_at,IF(AND(ISNUMBER($N6),$N6&lt;significance_bar),"worse","worse, not significant"),IF(AND(ISNUMBER($N6),$N6&lt;significance_bar),"better","better, not significant")))))</f>
        <v/>
      </c>
      <c r="Y6">
        <f>IF($V6,$X6,$W6)</f>
        <v/>
      </c>
      <c r="Z6">
        <f>IF($V6,IF($P6="","",$P6),IF($O6="","",$O6))</f>
        <v/>
      </c>
      <c r="AA6">
        <f>IF(OR($Q6="",$Z6=""),"",IF(AND($Z6&gt;0,$Z6&gt;=$Q6),"yes","below the line"))</f>
        <v/>
      </c>
      <c r="AB6">
        <f>IF($V6,IF($M6="","",$M6),IF($K6="","",$K6))</f>
        <v/>
      </c>
      <c r="AC6">
        <f>IF($V6,IF($N6="","",$N6),IF($L6="","",$L6))</f>
        <v/>
      </c>
      <c r="AD6">
        <f>$Y6</f>
        <v/>
      </c>
      <c r="AE6">
        <f>IF($V6,IF($S6="","",$S6),IF($R6="","",$R6))</f>
        <v/>
      </c>
      <c r="AF6">
        <f>IF($V6,IF($U6="","",$U6),IF($T6="","",$T6))</f>
        <v/>
      </c>
      <c r="AG6">
        <f>IF($V6,IF($O6="","",$O6),IF($P6="","",$P6))</f>
        <v/>
      </c>
      <c r="AH6" t="n">
        <v>0.01850663107378558</v>
      </c>
      <c r="AI6">
        <f>IF($Y6="worse","Yes",IF($Y6="worse, not significant","Not sure",IF(OR($Y6="too few losses to test",$Y6="too few loans to test"),"Too few losses",IF($Y6="","","No"))))</f>
        <v/>
      </c>
      <c r="AJ6">
        <f>IF($AA6="yes","Yes",IF($AA6="","","No"))</f>
        <v/>
      </c>
      <c r="AM6">
        <f>IF(AND(ISNUMBER($AC6),ISNUMBER(IF($V6,IF($AL6="","",$AL6),IF($AK6="","",$AK6)))),IF(AND(ABS($AC6-significance_bar)&lt;=2.0*IF($V6,IF($AL6="","",$AL6),IF($AK6="","",$AK6)),OR($Y6="worse",$Y6="better",$Y6="worse, not significant",$Y6="better, not significant")),IF(ROUND($AC6,3)=ROUND(significance_bar,3),TEXT($AC6,"0.0000"),TEXT($AC6,"0.000")),""),"")</f>
        <v/>
      </c>
      <c r="AN6">
        <f>IF(AND(ISNUMBER($AC6),ISNUMBER(IF($V6,IF($AL6="","",$AL6),IF($AK6="","",$AK6)))),IF(AND(ABS($AC6-significance_bar)&lt;=2.0*IF($V6,IF($AL6="","",$AL6),IF($AK6="","",$AK6)),OR($Y6="worse",$Y6="worse, not significant")),IF(ROUND($AC6,3)=ROUND(significance_bar,3),TEXT($AC6,"0.0000"),TEXT($AC6,"0.000")),""),"")</f>
        <v/>
      </c>
      <c r="AO6">
        <f>IF(OR($AI6="",$AN6=""),$AI6,$AI6&amp;" · borderline (p "&amp;$AN6&amp;")")</f>
        <v/>
      </c>
    </row>
    <row r="7">
      <c r="A7" t="inlineStr">
        <is>
          <t>grids</t>
        </is>
      </c>
      <c r="B7" t="inlineStr">
        <is>
          <t>FICO x CHANNEL</t>
        </is>
      </c>
      <c r="C7" t="inlineStr">
        <is>
          <t>(marked missing)</t>
        </is>
      </c>
      <c r="D7" t="inlineStr">
        <is>
          <t>Online</t>
        </is>
      </c>
      <c r="E7" t="inlineStr">
        <is>
          <t>ranr_rate</t>
        </is>
      </c>
      <c r="F7" t="inlineStr">
        <is>
          <t>Profit after losses: RANR per booked dollar</t>
        </is>
      </c>
      <c r="G7" t="n">
        <v>55</v>
      </c>
      <c r="H7" t="n">
        <v>1848729.24</v>
      </c>
      <c r="I7" t="b">
        <v>0</v>
      </c>
      <c r="J7" t="b">
        <v>0</v>
      </c>
      <c r="K7" t="n">
        <v>0.06212037349722599</v>
      </c>
      <c r="L7" t="n">
        <v>0.03872689654111512</v>
      </c>
      <c r="M7" t="n">
        <v>0.05303168205113509</v>
      </c>
      <c r="N7" t="n">
        <v>0.1167633236676332</v>
      </c>
      <c r="O7" t="n">
        <v>-114843.7508840428</v>
      </c>
      <c r="P7" t="n">
        <v>-98041.22125431665</v>
      </c>
      <c r="Q7">
        <f>'_live'!$C$23</f>
        <v/>
      </c>
      <c r="R7" t="inlineStr">
        <is>
          <t>shuffled: 264 of 10,000</t>
        </is>
      </c>
      <c r="S7" t="inlineStr">
        <is>
          <t>shuffled: 518 of 10,000</t>
        </is>
      </c>
      <c r="T7" t="n">
        <v>0.1275450368902897</v>
      </c>
      <c r="U7" t="n">
        <v>0.1366337283363806</v>
      </c>
      <c r="V7">
        <f>AND(judged_band,NOT($J7))</f>
        <v/>
      </c>
      <c r="W7">
        <f>IF($K7="","",IF(profit_kind="test",IF(OR(NOT(AND(ISNUMBER($L7),$L7&lt;significance_bar)),$K7=0),"in line",IF($K7&lt;0,"worse","better")),IF(OR($K7=0,IF(profit_kind="points",ABS($K7),ABS($K7*$H7))&lt;profit_line*(1-1E-9)),"in line",IF(AND(ISNUMBER($L7),$L7&lt;significance_bar),IF($K7&lt;0,"worse","better"),IF($K7&lt;0,"worse, not significant","better, not significant")))))</f>
        <v/>
      </c>
      <c r="X7">
        <f>IF($M7="","",IF(profit_kind="test",IF(OR(NOT(AND(ISNUMBER($N7),$N7&lt;significance_bar)),$M7=0),"in line",IF($M7&lt;0,"worse","better")),IF(OR($M7=0,IF(profit_kind="points",ABS($M7),ABS($M7*$H7))&lt;profit_line*(1-1E-9)),"in line",IF(AND(ISNUMBER($N7),$N7&lt;significance_bar),IF($M7&lt;0,"worse","better"),IF($M7&lt;0,"worse, not significant","better, not significant")))))</f>
        <v/>
      </c>
      <c r="Y7">
        <f>IF($V7,$X7,$W7)</f>
        <v/>
      </c>
      <c r="Z7">
        <f>IF($V7,IF($P7="","",$P7),IF($O7="","",$O7))</f>
        <v/>
      </c>
      <c r="AA7">
        <f>IF(OR($Q7="",$Z7=""),"",IF(AND($Z7&gt;0,$Z7&gt;=$Q7),"yes","below the line"))</f>
        <v/>
      </c>
      <c r="AB7">
        <f>IF($V7,IF($M7="","",$M7),IF($K7="","",$K7))</f>
        <v/>
      </c>
      <c r="AC7">
        <f>IF($V7,IF($N7="","",$N7),IF($L7="","",$L7))</f>
        <v/>
      </c>
      <c r="AD7">
        <f>IF($Y7="","",IF($Y7="in line",IF(profit_kind="test",IF(ROUND($AB7*100,2)=0,"0.00",TEXT($AB7*100,"+0.00;-0.00"))&amp;" points against "&amp;IF($V7,"its band","the book")&amp;", "&amp;IF($AC7="","not tested","not significant"),IF(profit_kind="points","within "&amp;TEXT(profit_line*100,"0.00")&amp;" points of "&amp;IF($V7,"its band","the book")&amp;" ("&amp;IF(ROUND($AB7*100,2)=0,"0.00",TEXT($AB7*100,"+0.00;-0.00"))&amp;")","within $"&amp;TEXT(profit_line,"#,##0")&amp;" of "&amp;IF($V7,"its band","the book")&amp;" ("&amp;IF(ROUND($AB7*100,2)=0,"0.00",TEXT($AB7*100,"+0.00;-0.00"))&amp;" points)")),IF(LEFT($Y7,5)="worse","short of ","ahead of ")&amp;IF($V7,"its band","the book")&amp;" by "&amp;TEXT(ABS($AB7)*100,"0.00")&amp;" points"&amp;IF($Z7="",""," ($"&amp;TEXT(ABS($Z7),"#,##0")&amp;")")&amp;IF(RIGHT($Y7,15)="not significant"," (not significant)","")))</f>
        <v/>
      </c>
      <c r="AE7">
        <f>IF($V7,IF($S7="","",$S7),IF($R7="","",$R7))</f>
        <v/>
      </c>
      <c r="AF7">
        <f>IF($V7,IF($U7="","",$U7),IF($T7="","",$T7))</f>
        <v/>
      </c>
      <c r="AG7">
        <f>IF($V7,IF($O7="","",$O7),IF($P7="","",$P7))</f>
        <v/>
      </c>
      <c r="AH7" t="n">
        <v>0.1896654103875157</v>
      </c>
      <c r="AI7">
        <f>IF($Y7="worse","Yes",IF($Y7="worse, not significant","Not sure",IF(OR($Y7="too few losses to test",$Y7="too few loans to test"),"Too few losses",IF($Y7="","","No"))))</f>
        <v/>
      </c>
      <c r="AJ7">
        <f>IF($AA7="yes","Yes",IF($AA7="","","No"))</f>
        <v/>
      </c>
      <c r="AK7" t="n">
        <v>0.002347361844180703</v>
      </c>
      <c r="AL7" t="n">
        <v>0.004990829635423977</v>
      </c>
      <c r="AM7">
        <f>IF(AND(ISNUMBER($AC7),ISNUMBER(IF($V7,IF($AL7="","",$AL7),IF($AK7="","",$AK7)))),IF(AND(ABS($AC7-significance_bar)&lt;=2.0*IF($V7,IF($AL7="","",$AL7),IF($AK7="","",$AK7)),OR($Y7="worse",$Y7="better",$Y7="worse, not significant",$Y7="better, not significant",AND(profit_kind="test",$Y7="in line",ISNUMBER($AB7),$AB7&lt;&gt;0))),IF(ROUND($AC7,3)=ROUND(significance_bar,3),TEXT($AC7,"0.0000"),TEXT($AC7,"0.000")),""),"")</f>
        <v/>
      </c>
      <c r="AN7">
        <f>IF(AND(ISNUMBER($AC7),ISNUMBER(IF($V7,IF($AL7="","",$AL7),IF($AK7="","",$AK7)))),IF(AND(ABS($AC7-significance_bar)&lt;=2.0*IF($V7,IF($AL7="","",$AL7),IF($AK7="","",$AK7)),OR($Y7="worse",$Y7="worse, not significant",AND(profit_kind="test",$Y7="in line",ISNUMBER($AB7),$AB7&lt;0))),IF(ROUND($AC7,3)=ROUND(significance_bar,3),TEXT($AC7,"0.0000"),TEXT($AC7,"0.000")),""),"")</f>
        <v/>
      </c>
      <c r="AO7">
        <f>IF(OR($AI7="",$AN7=""),$AI7,$AI7&amp;" · borderline (p "&amp;$AN7&amp;")")</f>
        <v/>
      </c>
    </row>
    <row r="8">
      <c r="A8" t="inlineStr">
        <is>
          <t>grids</t>
        </is>
      </c>
      <c r="B8" t="inlineStr">
        <is>
          <t>FICO x CHANNEL</t>
        </is>
      </c>
      <c r="C8" t="inlineStr">
        <is>
          <t>(marked missing)</t>
        </is>
      </c>
      <c r="D8" t="inlineStr">
        <is>
          <t>Online</t>
        </is>
      </c>
      <c r="E8" t="inlineStr">
        <is>
          <t>contribution_rate</t>
        </is>
      </c>
      <c r="F8" t="inlineStr">
        <is>
          <t>Contribution before losses per booked dollar</t>
        </is>
      </c>
      <c r="G8" t="n">
        <v>55</v>
      </c>
      <c r="H8" t="n">
        <v>1848729.24</v>
      </c>
      <c r="I8" t="b">
        <v>0</v>
      </c>
      <c r="J8" t="b">
        <v>0</v>
      </c>
      <c r="K8" t="n">
        <v>0.03885799621578018</v>
      </c>
      <c r="L8" t="n">
        <v>0.03906484351564844</v>
      </c>
      <c r="M8" t="n">
        <v>0.04225923672762022</v>
      </c>
      <c r="N8" t="n">
        <v>0.1166283371662834</v>
      </c>
      <c r="O8" t="n">
        <v>-71837.91381192219</v>
      </c>
      <c r="P8" t="n">
        <v>-78125.88659843343</v>
      </c>
      <c r="Q8">
        <f>'_live'!$C$24</f>
        <v/>
      </c>
      <c r="R8" t="inlineStr">
        <is>
          <t>shuffled: 328 of 10,000</t>
        </is>
      </c>
      <c r="S8" t="inlineStr">
        <is>
          <t>shuffled: 628 of 10,000</t>
        </is>
      </c>
      <c r="T8" t="n">
        <v>0.1693140452455211</v>
      </c>
      <c r="U8" t="n">
        <v>0.165912804733681</v>
      </c>
      <c r="V8">
        <f>AND(judged_band,NOT($J8))</f>
        <v/>
      </c>
      <c r="W8">
        <f>IF($K8="","",IF(profit_kind="test",IF(OR(NOT(AND(ISNUMBER($L8),$L8&lt;significance_bar)),$K8=0),"in line",IF($K8&lt;0,"worse","better")),IF(OR($K8=0,IF(profit_kind="points",ABS($K8),ABS($K8*$H8))&lt;profit_line*(1-1E-9)),"in line",IF(AND(ISNUMBER($L8),$L8&lt;significance_bar),IF($K8&lt;0,"worse","better"),IF($K8&lt;0,"worse, not significant","better, not significant")))))</f>
        <v/>
      </c>
      <c r="X8">
        <f>IF($M8="","",IF(profit_kind="test",IF(OR(NOT(AND(ISNUMBER($N8),$N8&lt;significance_bar)),$M8=0),"in line",IF($M8&lt;0,"worse","better")),IF(OR($M8=0,IF(profit_kind="points",ABS($M8),ABS($M8*$H8))&lt;profit_line*(1-1E-9)),"in line",IF(AND(ISNUMBER($N8),$N8&lt;significance_bar),IF($M8&lt;0,"worse","better"),IF($M8&lt;0,"worse, not significant","better, not significant")))))</f>
        <v/>
      </c>
      <c r="Y8">
        <f>IF($V8,$X8,$W8)</f>
        <v/>
      </c>
      <c r="Z8">
        <f>IF($V8,IF($P8="","",$P8),IF($O8="","",$O8))</f>
        <v/>
      </c>
      <c r="AA8">
        <f>IF(OR($Q8="",$Z8=""),"",IF(AND($Z8&gt;0,$Z8&gt;=$Q8),"yes","below the line"))</f>
        <v/>
      </c>
      <c r="AB8">
        <f>IF($V8,IF($M8="","",$M8),IF($K8="","",$K8))</f>
        <v/>
      </c>
      <c r="AC8">
        <f>IF($V8,IF($N8="","",$N8),IF($L8="","",$L8))</f>
        <v/>
      </c>
      <c r="AD8">
        <f>IF($Y8="","",IF($Y8="in line",IF(profit_kind="test",IF(ROUND($AB8*100,2)=0,"0.00",TEXT($AB8*100,"+0.00;-0.00"))&amp;" points against "&amp;IF($V8,"its band","the book")&amp;", "&amp;IF($AC8="","not tested","not significant"),IF(profit_kind="points","within "&amp;TEXT(profit_line*100,"0.00")&amp;" points of "&amp;IF($V8,"its band","the book")&amp;" ("&amp;IF(ROUND($AB8*100,2)=0,"0.00",TEXT($AB8*100,"+0.00;-0.00"))&amp;")","within $"&amp;TEXT(profit_line,"#,##0")&amp;" of "&amp;IF($V8,"its band","the book")&amp;" ("&amp;IF(ROUND($AB8*100,2)=0,"0.00",TEXT($AB8*100,"+0.00;-0.00"))&amp;" points)")),IF(LEFT($Y8,5)="worse","short of ","ahead of ")&amp;IF($V8,"its band","the book")&amp;" by "&amp;TEXT(ABS($AB8)*100,"0.00")&amp;" points"&amp;IF($Z8="",""," ($"&amp;TEXT(ABS($Z8),"#,##0")&amp;")")&amp;IF(RIGHT($Y8,15)="not significant"," (not significant)","")))</f>
        <v/>
      </c>
      <c r="AE8">
        <f>IF($V8,IF($S8="","",$S8),IF($R8="","",$R8))</f>
        <v/>
      </c>
      <c r="AF8">
        <f>IF($V8,IF($U8="","",$U8),IF($T8="","",$T8))</f>
        <v/>
      </c>
      <c r="AG8">
        <f>IF($V8,IF($O8="","",$O8),IF($P8="","",$P8))</f>
        <v/>
      </c>
      <c r="AH8" t="n">
        <v>0.2081720414613012</v>
      </c>
      <c r="AI8">
        <f>IF($Y8="worse","Yes",IF($Y8="worse, not significant","Not sure",IF(OR($Y8="too few losses to test",$Y8="too few loans to test"),"Too few losses",IF($Y8="","","No"))))</f>
        <v/>
      </c>
      <c r="AJ8">
        <f>IF($AA8="yes","Yes",IF($AA8="","","No"))</f>
        <v/>
      </c>
      <c r="AK8" t="n">
        <v>0.002118099140170979</v>
      </c>
      <c r="AL8" t="n">
        <v>0.004430901012989771</v>
      </c>
      <c r="AM8">
        <f>IF(AND(ISNUMBER($AC8),ISNUMBER(IF($V8,IF($AL8="","",$AL8),IF($AK8="","",$AK8)))),IF(AND(ABS($AC8-significance_bar)&lt;=2.0*IF($V8,IF($AL8="","",$AL8),IF($AK8="","",$AK8)),OR($Y8="worse",$Y8="better",$Y8="worse, not significant",$Y8="better, not significant",AND(profit_kind="test",$Y8="in line",ISNUMBER($AB8),$AB8&lt;&gt;0))),IF(ROUND($AC8,3)=ROUND(significance_bar,3),TEXT($AC8,"0.0000"),TEXT($AC8,"0.000")),""),"")</f>
        <v/>
      </c>
      <c r="AN8">
        <f>IF(AND(ISNUMBER($AC8),ISNUMBER(IF($V8,IF($AL8="","",$AL8),IF($AK8="","",$AK8)))),IF(AND(ABS($AC8-significance_bar)&lt;=2.0*IF($V8,IF($AL8="","",$AL8),IF($AK8="","",$AK8)),OR($Y8="worse",$Y8="worse, not significant",AND(profit_kind="test",$Y8="in line",ISNUMBER($AB8),$AB8&lt;0))),IF(ROUND($AC8,3)=ROUND(significance_bar,3),TEXT($AC8,"0.0000"),TEXT($AC8,"0.000")),""),"")</f>
        <v/>
      </c>
      <c r="AO8">
        <f>IF(OR($AI8="",$AN8=""),$AI8,$AI8&amp;" · borderline (p "&amp;$AN8&amp;")")</f>
        <v/>
      </c>
    </row>
    <row r="9">
      <c r="A9" t="inlineStr">
        <is>
          <t>grids</t>
        </is>
      </c>
      <c r="B9" t="inlineStr">
        <is>
          <t>FICO x CHANNEL</t>
        </is>
      </c>
      <c r="C9" t="inlineStr">
        <is>
          <t>(blank)</t>
        </is>
      </c>
      <c r="D9" t="inlineStr">
        <is>
          <t>Broker</t>
        </is>
      </c>
      <c r="E9" t="inlineStr">
        <is>
          <t>outcome_loans</t>
        </is>
      </c>
      <c r="F9" t="inlineStr">
        <is>
          <t>Outcome, share of loans</t>
        </is>
      </c>
      <c r="G9" t="n">
        <v>1</v>
      </c>
      <c r="H9" t="n">
        <v>1</v>
      </c>
      <c r="I9" t="b">
        <v>1</v>
      </c>
      <c r="J9" t="b">
        <v>1</v>
      </c>
      <c r="K9" t="n">
        <v>0</v>
      </c>
      <c r="O9" t="n">
        <v>-0.07739434858714679</v>
      </c>
      <c r="Q9">
        <f>'_live'!$C$20</f>
        <v/>
      </c>
      <c r="T9" t="n">
        <v>0.07739434858714679</v>
      </c>
      <c r="V9">
        <f>AND(judged_band,NOT($J9))</f>
        <v/>
      </c>
      <c r="W9">
        <f>IF($K9="","",IF($I9,"too few losses to test",IF(AND($K9&gt;better_at,$K9&lt;worse_at),"in line",IF($K9&gt;=worse_at,IF(AND(ISNUMBER($L9),$L9&lt;significance_bar),"worse","worse, not significant"),IF(AND(ISNUMBER($L9),$L9&lt;significance_bar),"better","better, not significant")))))</f>
        <v/>
      </c>
      <c r="X9">
        <f>IF($M9="","",IF($I9,"too few losses to test",IF(AND($M9&gt;better_at,$M9&lt;worse_at),"in line",IF($M9&gt;=worse_at,IF(AND(ISNUMBER($N9),$N9&lt;significance_bar),"worse","worse, not significant"),IF(AND(ISNUMBER($N9),$N9&lt;significance_bar),"better","better, not significant")))))</f>
        <v/>
      </c>
      <c r="Y9">
        <f>IF($V9,$X9,$W9)</f>
        <v/>
      </c>
      <c r="Z9">
        <f>IF($V9,IF($P9="","",$P9),IF($O9="","",$O9))</f>
        <v/>
      </c>
      <c r="AA9">
        <f>IF(OR($Q9="",$Z9=""),"",IF(AND($Z9&gt;0,$Z9&gt;=$Q9),"yes","below the line"))</f>
        <v/>
      </c>
      <c r="AB9">
        <f>IF($V9,IF($M9="","",$M9),IF($K9="","",$K9))</f>
        <v/>
      </c>
      <c r="AC9">
        <f>IF($V9,IF($N9="","",$N9),IF($L9="","",$L9))</f>
        <v/>
      </c>
      <c r="AD9">
        <f>$Y9</f>
        <v/>
      </c>
      <c r="AE9">
        <f>IF($V9,IF($S9="","",$S9),IF($R9="","",$R9))</f>
        <v/>
      </c>
      <c r="AF9">
        <f>IF($V9,IF($U9="","",$U9),IF($T9="","",$T9))</f>
        <v/>
      </c>
      <c r="AG9">
        <f>IF($V9,IF($O9="","",$O9),IF($P9="","",$P9))</f>
        <v/>
      </c>
      <c r="AH9" t="n">
        <v>0</v>
      </c>
      <c r="AI9">
        <f>IF($Y9="worse","Yes",IF($Y9="worse, not significant","Not sure",IF(OR($Y9="too few losses to test",$Y9="too few loans to test"),"Too few losses",IF($Y9="","","No"))))</f>
        <v/>
      </c>
      <c r="AJ9">
        <f>IF($AA9="yes","Yes",IF($AA9="","","No"))</f>
        <v/>
      </c>
      <c r="AM9">
        <f>IF(AND(ISNUMBER($AC9),ISNUMBER(IF($V9,IF($AL9="","",$AL9),IF($AK9="","",$AK9)))),IF(AND(ABS($AC9-significance_bar)&lt;=2.0*IF($V9,IF($AL9="","",$AL9),IF($AK9="","",$AK9)),OR($Y9="worse",$Y9="better",$Y9="worse, not significant",$Y9="better, not significant")),IF(ROUND($AC9,3)=ROUND(significance_bar,3),TEXT($AC9,"0.0000"),TEXT($AC9,"0.000")),""),"")</f>
        <v/>
      </c>
      <c r="AN9">
        <f>IF(AND(ISNUMBER($AC9),ISNUMBER(IF($V9,IF($AL9="","",$AL9),IF($AK9="","",$AK9)))),IF(AND(ABS($AC9-significance_bar)&lt;=2.0*IF($V9,IF($AL9="","",$AL9),IF($AK9="","",$AK9)),OR($Y9="worse",$Y9="worse, not significant")),IF(ROUND($AC9,3)=ROUND(significance_bar,3),TEXT($AC9,"0.0000"),TEXT($AC9,"0.000")),""),"")</f>
        <v/>
      </c>
      <c r="AO9">
        <f>IF(OR($AI9="",$AN9=""),$AI9,$AI9&amp;" · borderline (p "&amp;$AN9&amp;")")</f>
        <v/>
      </c>
    </row>
    <row r="10">
      <c r="A10" t="inlineStr">
        <is>
          <t>grids</t>
        </is>
      </c>
      <c r="B10" t="inlineStr">
        <is>
          <t>FICO x CHANNEL</t>
        </is>
      </c>
      <c r="C10" t="inlineStr">
        <is>
          <t>(blank)</t>
        </is>
      </c>
      <c r="D10" t="inlineStr">
        <is>
          <t>Broker</t>
        </is>
      </c>
      <c r="E10" t="inlineStr">
        <is>
          <t>outcome_booked</t>
        </is>
      </c>
      <c r="F10" t="inlineStr">
        <is>
          <t>Outcome, share of booked dollars</t>
        </is>
      </c>
      <c r="G10" t="n">
        <v>1</v>
      </c>
      <c r="H10" t="n">
        <v>27999.47</v>
      </c>
      <c r="I10" t="b">
        <v>1</v>
      </c>
      <c r="J10" t="b">
        <v>1</v>
      </c>
      <c r="K10" t="n">
        <v>0</v>
      </c>
      <c r="O10" t="n">
        <v>-2095.396036050188</v>
      </c>
      <c r="Q10">
        <f>'_live'!$C$21</f>
        <v/>
      </c>
      <c r="T10" t="n">
        <v>0.07483698927337509</v>
      </c>
      <c r="V10">
        <f>AND(judged_band,NOT($J10))</f>
        <v/>
      </c>
      <c r="W10">
        <f>IF($K10="","",IF($I10,"too few losses to test",IF(AND($K10&gt;better_at,$K10&lt;worse_at),"in line",IF($K10&gt;=worse_at,IF(AND(ISNUMBER($L10),$L10&lt;significance_bar),"worse","worse, not significant"),IF(AND(ISNUMBER($L10),$L10&lt;significance_bar),"better","better, not significant")))))</f>
        <v/>
      </c>
      <c r="X10">
        <f>IF($M10="","",IF($I10,"too few losses to test",IF(AND($M10&gt;better_at,$M10&lt;worse_at),"in line",IF($M10&gt;=worse_at,IF(AND(ISNUMBER($N10),$N10&lt;significance_bar),"worse","worse, not significant"),IF(AND(ISNUMBER($N10),$N10&lt;significance_bar),"better","better, not significant")))))</f>
        <v/>
      </c>
      <c r="Y10">
        <f>IF($V10,$X10,$W10)</f>
        <v/>
      </c>
      <c r="Z10">
        <f>IF($V10,IF($P10="","",$P10),IF($O10="","",$O10))</f>
        <v/>
      </c>
      <c r="AA10">
        <f>IF(OR($Q10="",$Z10=""),"",IF(AND($Z10&gt;0,$Z10&gt;=$Q10),"yes","below the line"))</f>
        <v/>
      </c>
      <c r="AB10">
        <f>IF($V10,IF($M10="","",$M10),IF($K10="","",$K10))</f>
        <v/>
      </c>
      <c r="AC10">
        <f>IF($V10,IF($N10="","",$N10),IF($L10="","",$L10))</f>
        <v/>
      </c>
      <c r="AD10">
        <f>$Y10</f>
        <v/>
      </c>
      <c r="AE10">
        <f>IF($V10,IF($S10="","",$S10),IF($R10="","",$R10))</f>
        <v/>
      </c>
      <c r="AF10">
        <f>IF($V10,IF($U10="","",$U10),IF($T10="","",$T10))</f>
        <v/>
      </c>
      <c r="AG10">
        <f>IF($V10,IF($O10="","",$O10),IF($P10="","",$P10))</f>
        <v/>
      </c>
      <c r="AH10" t="n">
        <v>0</v>
      </c>
      <c r="AI10">
        <f>IF($Y10="worse","Yes",IF($Y10="worse, not significant","Not sure",IF(OR($Y10="too few losses to test",$Y10="too few loans to test"),"Too few losses",IF($Y10="","","No"))))</f>
        <v/>
      </c>
      <c r="AJ10">
        <f>IF($AA10="yes","Yes",IF($AA10="","","No"))</f>
        <v/>
      </c>
      <c r="AM10">
        <f>IF(AND(ISNUMBER($AC10),ISNUMBER(IF($V10,IF($AL10="","",$AL10),IF($AK10="","",$AK10)))),IF(AND(ABS($AC10-significance_bar)&lt;=2.0*IF($V10,IF($AL10="","",$AL10),IF($AK10="","",$AK10)),OR($Y10="worse",$Y10="better",$Y10="worse, not significant",$Y10="better, not significant")),IF(ROUND($AC10,3)=ROUND(significance_bar,3),TEXT($AC10,"0.0000"),TEXT($AC10,"0.000")),""),"")</f>
        <v/>
      </c>
      <c r="AN10">
        <f>IF(AND(ISNUMBER($AC10),ISNUMBER(IF($V10,IF($AL10="","",$AL10),IF($AK10="","",$AK10)))),IF(AND(ABS($AC10-significance_bar)&lt;=2.0*IF($V10,IF($AL10="","",$AL10),IF($AK10="","",$AK10)),OR($Y10="worse",$Y10="worse, not significant")),IF(ROUND($AC10,3)=ROUND(significance_bar,3),TEXT($AC10,"0.0000"),TEXT($AC10,"0.000")),""),"")</f>
        <v/>
      </c>
      <c r="AO10">
        <f>IF(OR($AI10="",$AN10=""),$AI10,$AI10&amp;" · borderline (p "&amp;$AN10&amp;")")</f>
        <v/>
      </c>
    </row>
    <row r="11">
      <c r="A11" t="inlineStr">
        <is>
          <t>grids</t>
        </is>
      </c>
      <c r="B11" t="inlineStr">
        <is>
          <t>FICO x CHANNEL</t>
        </is>
      </c>
      <c r="C11" t="inlineStr">
        <is>
          <t>(blank)</t>
        </is>
      </c>
      <c r="D11" t="inlineStr">
        <is>
          <t>Broker</t>
        </is>
      </c>
      <c r="E11" t="inlineStr">
        <is>
          <t>gco_rate</t>
        </is>
      </c>
      <c r="F11" t="inlineStr">
        <is>
          <t>GCO per booked dollar</t>
        </is>
      </c>
      <c r="G11" t="n">
        <v>1</v>
      </c>
      <c r="H11" t="n">
        <v>27999.47</v>
      </c>
      <c r="I11" t="b">
        <v>1</v>
      </c>
      <c r="J11" t="b">
        <v>1</v>
      </c>
      <c r="K11" t="n">
        <v>0</v>
      </c>
      <c r="O11" t="n">
        <v>-1165.051801786329</v>
      </c>
      <c r="Q11">
        <f>'_live'!$C$22</f>
        <v/>
      </c>
      <c r="T11" t="n">
        <v>0.04160978053464329</v>
      </c>
      <c r="V11">
        <f>AND(judged_band,NOT($J11))</f>
        <v/>
      </c>
      <c r="W11">
        <f>IF($K11="","",IF($I11,"too few losses to test",IF(AND($K11&gt;better_at,$K11&lt;worse_at),"in line",IF($K11&gt;=worse_at,IF(AND(ISNUMBER($L11),$L11&lt;significance_bar),"worse","worse, not significant"),IF(AND(ISNUMBER($L11),$L11&lt;significance_bar),"better","better, not significant")))))</f>
        <v/>
      </c>
      <c r="X11">
        <f>IF($M11="","",IF($I11,"too few losses to test",IF(AND($M11&gt;better_at,$M11&lt;worse_at),"in line",IF($M11&gt;=worse_at,IF(AND(ISNUMBER($N11),$N11&lt;significance_bar),"worse","worse, not significant"),IF(AND(ISNUMBER($N11),$N11&lt;significance_bar),"better","better, not significant")))))</f>
        <v/>
      </c>
      <c r="Y11">
        <f>IF($V11,$X11,$W11)</f>
        <v/>
      </c>
      <c r="Z11">
        <f>IF($V11,IF($P11="","",$P11),IF($O11="","",$O11))</f>
        <v/>
      </c>
      <c r="AA11">
        <f>IF(OR($Q11="",$Z11=""),"",IF(AND($Z11&gt;0,$Z11&gt;=$Q11),"yes","below the line"))</f>
        <v/>
      </c>
      <c r="AB11">
        <f>IF($V11,IF($M11="","",$M11),IF($K11="","",$K11))</f>
        <v/>
      </c>
      <c r="AC11">
        <f>IF($V11,IF($N11="","",$N11),IF($L11="","",$L11))</f>
        <v/>
      </c>
      <c r="AD11">
        <f>$Y11</f>
        <v/>
      </c>
      <c r="AE11">
        <f>IF($V11,IF($S11="","",$S11),IF($R11="","",$R11))</f>
        <v/>
      </c>
      <c r="AF11">
        <f>IF($V11,IF($U11="","",$U11),IF($T11="","",$T11))</f>
        <v/>
      </c>
      <c r="AG11">
        <f>IF($V11,IF($O11="","",$O11),IF($P11="","",$P11))</f>
        <v/>
      </c>
      <c r="AH11" t="n">
        <v>0</v>
      </c>
      <c r="AI11">
        <f>IF($Y11="worse","Yes",IF($Y11="worse, not significant","Not sure",IF(OR($Y11="too few losses to test",$Y11="too few loans to test"),"Too few losses",IF($Y11="","","No"))))</f>
        <v/>
      </c>
      <c r="AJ11">
        <f>IF($AA11="yes","Yes",IF($AA11="","","No"))</f>
        <v/>
      </c>
      <c r="AM11">
        <f>IF(AND(ISNUMBER($AC11),ISNUMBER(IF($V11,IF($AL11="","",$AL11),IF($AK11="","",$AK11)))),IF(AND(ABS($AC11-significance_bar)&lt;=2.0*IF($V11,IF($AL11="","",$AL11),IF($AK11="","",$AK11)),OR($Y11="worse",$Y11="better",$Y11="worse, not significant",$Y11="better, not significant")),IF(ROUND($AC11,3)=ROUND(significance_bar,3),TEXT($AC11,"0.0000"),TEXT($AC11,"0.000")),""),"")</f>
        <v/>
      </c>
      <c r="AN11">
        <f>IF(AND(ISNUMBER($AC11),ISNUMBER(IF($V11,IF($AL11="","",$AL11),IF($AK11="","",$AK11)))),IF(AND(ABS($AC11-significance_bar)&lt;=2.0*IF($V11,IF($AL11="","",$AL11),IF($AK11="","",$AK11)),OR($Y11="worse",$Y11="worse, not significant")),IF(ROUND($AC11,3)=ROUND(significance_bar,3),TEXT($AC11,"0.0000"),TEXT($AC11,"0.000")),""),"")</f>
        <v/>
      </c>
      <c r="AO11">
        <f>IF(OR($AI11="",$AN11=""),$AI11,$AI11&amp;" · borderline (p "&amp;$AN11&amp;")")</f>
        <v/>
      </c>
    </row>
    <row r="12">
      <c r="A12" t="inlineStr">
        <is>
          <t>grids</t>
        </is>
      </c>
      <c r="B12" t="inlineStr">
        <is>
          <t>FICO x CHANNEL</t>
        </is>
      </c>
      <c r="C12" t="inlineStr">
        <is>
          <t>(blank)</t>
        </is>
      </c>
      <c r="D12" t="inlineStr">
        <is>
          <t>Broker</t>
        </is>
      </c>
      <c r="E12" t="inlineStr">
        <is>
          <t>ranr_rate</t>
        </is>
      </c>
      <c r="F12" t="inlineStr">
        <is>
          <t>Profit after losses: RANR per booked dollar</t>
        </is>
      </c>
      <c r="G12" t="n">
        <v>1</v>
      </c>
      <c r="H12" t="n">
        <v>27999.47</v>
      </c>
      <c r="I12" t="b">
        <v>0</v>
      </c>
      <c r="J12" t="b">
        <v>1</v>
      </c>
      <c r="K12" t="n">
        <v>0.01230822708383753</v>
      </c>
      <c r="L12" t="n">
        <v>0.9303069693030698</v>
      </c>
      <c r="O12" t="n">
        <v>-344.6238349870969</v>
      </c>
      <c r="Q12">
        <f>'_live'!$C$23</f>
        <v/>
      </c>
      <c r="R12" t="inlineStr">
        <is>
          <t>shuffled: 9,243 of 10,000</t>
        </is>
      </c>
      <c r="S12" t="inlineStr">
        <is>
          <t>10,000 shuffles</t>
        </is>
      </c>
      <c r="T12" t="n">
        <v>0.1279887142511234</v>
      </c>
      <c r="V12">
        <f>AND(judged_band,NOT($J12))</f>
        <v/>
      </c>
      <c r="W12">
        <f>IF($K12="","",IF(profit_kind="test",IF(OR(NOT(AND(ISNUMBER($L12),$L12&lt;significance_bar)),$K12=0),"in line",IF($K12&lt;0,"worse","better")),IF(OR($K12=0,IF(profit_kind="points",ABS($K12),ABS($K12*$H12))&lt;profit_line*(1-1E-9)),"in line",IF(AND(ISNUMBER($L12),$L12&lt;significance_bar),IF($K12&lt;0,"worse","better"),IF($K12&lt;0,"worse, not significant","better, not significant")))))</f>
        <v/>
      </c>
      <c r="X12">
        <f>IF($M12="","",IF(profit_kind="test",IF(OR(NOT(AND(ISNUMBER($N12),$N12&lt;significance_bar)),$M12=0),"in line",IF($M12&lt;0,"worse","better")),IF(OR($M12=0,IF(profit_kind="points",ABS($M12),ABS($M12*$H12))&lt;profit_line*(1-1E-9)),"in line",IF(AND(ISNUMBER($N12),$N12&lt;significance_bar),IF($M12&lt;0,"worse","better"),IF($M12&lt;0,"worse, not significant","better, not significant")))))</f>
        <v/>
      </c>
      <c r="Y12">
        <f>IF($V12,$X12,$W12)</f>
        <v/>
      </c>
      <c r="Z12">
        <f>IF($V12,IF($P12="","",$P12),IF($O12="","",$O12))</f>
        <v/>
      </c>
      <c r="AA12">
        <f>IF(OR($Q12="",$Z12=""),"",IF(AND($Z12&gt;0,$Z12&gt;=$Q12),"yes","below the line"))</f>
        <v/>
      </c>
      <c r="AB12">
        <f>IF($V12,IF($M12="","",$M12),IF($K12="","",$K12))</f>
        <v/>
      </c>
      <c r="AC12">
        <f>IF($V12,IF($N12="","",$N12),IF($L12="","",$L12))</f>
        <v/>
      </c>
      <c r="AD12">
        <f>IF($Y12="","",IF($Y12="in line",IF(profit_kind="test",IF(ROUND($AB12*100,2)=0,"0.00",TEXT($AB12*100,"+0.00;-0.00"))&amp;" points against "&amp;IF($V12,"its band","the book")&amp;", "&amp;IF($AC12="","not tested","not significant"),IF(profit_kind="points","within "&amp;TEXT(profit_line*100,"0.00")&amp;" points of "&amp;IF($V12,"its band","the book")&amp;" ("&amp;IF(ROUND($AB12*100,2)=0,"0.00",TEXT($AB12*100,"+0.00;-0.00"))&amp;")","within $"&amp;TEXT(profit_line,"#,##0")&amp;" of "&amp;IF($V12,"its band","the book")&amp;" ("&amp;IF(ROUND($AB12*100,2)=0,"0.00",TEXT($AB12*100,"+0.00;-0.00"))&amp;" points)")),IF(LEFT($Y12,5)="worse","short of ","ahead of ")&amp;IF($V12,"its band","the book")&amp;" by "&amp;TEXT(ABS($AB12)*100,"0.00")&amp;" points"&amp;IF($Z12="",""," ($"&amp;TEXT(ABS($Z12),"#,##0")&amp;")")&amp;IF(RIGHT($Y12,15)="not significant"," (not significant)","")))</f>
        <v/>
      </c>
      <c r="AE12">
        <f>IF($V12,IF($S12="","",$S12),IF($R12="","",$R12))</f>
        <v/>
      </c>
      <c r="AF12">
        <f>IF($V12,IF($U12="","",$U12),IF($T12="","",$T12))</f>
        <v/>
      </c>
      <c r="AG12">
        <f>IF($V12,IF($O12="","",$O12),IF($P12="","",$P12))</f>
        <v/>
      </c>
      <c r="AH12" t="n">
        <v>0.140296941334961</v>
      </c>
      <c r="AI12">
        <f>IF($Y12="worse","Yes",IF($Y12="worse, not significant","Not sure",IF(OR($Y12="too few losses to test",$Y12="too few loans to test"),"Too few losses",IF($Y12="","","No"))))</f>
        <v/>
      </c>
      <c r="AJ12">
        <f>IF($AA12="yes","Yes",IF($AA12="","","No"))</f>
        <v/>
      </c>
      <c r="AK12" t="n">
        <v>0.002546289696189478</v>
      </c>
      <c r="AM12">
        <f>IF(AND(ISNUMBER($AC12),ISNUMBER(IF($V12,IF($AL12="","",$AL12),IF($AK12="","",$AK12)))),IF(AND(ABS($AC12-significance_bar)&lt;=2.0*IF($V12,IF($AL12="","",$AL12),IF($AK12="","",$AK12)),OR($Y12="worse",$Y12="better",$Y12="worse, not significant",$Y12="better, not significant",AND(profit_kind="test",$Y12="in line",ISNUMBER($AB12),$AB12&lt;&gt;0))),IF(ROUND($AC12,3)=ROUND(significance_bar,3),TEXT($AC12,"0.0000"),TEXT($AC12,"0.000")),""),"")</f>
        <v/>
      </c>
      <c r="AN12">
        <f>IF(AND(ISNUMBER($AC12),ISNUMBER(IF($V12,IF($AL12="","",$AL12),IF($AK12="","",$AK12)))),IF(AND(ABS($AC12-significance_bar)&lt;=2.0*IF($V12,IF($AL12="","",$AL12),IF($AK12="","",$AK12)),OR($Y12="worse",$Y12="worse, not significant",AND(profit_kind="test",$Y12="in line",ISNUMBER($AB12),$AB12&lt;0))),IF(ROUND($AC12,3)=ROUND(significance_bar,3),TEXT($AC12,"0.0000"),TEXT($AC12,"0.000")),""),"")</f>
        <v/>
      </c>
      <c r="AO12">
        <f>IF(OR($AI12="",$AN12=""),$AI12,$AI12&amp;" · borderline (p "&amp;$AN12&amp;")")</f>
        <v/>
      </c>
    </row>
    <row r="13">
      <c r="A13" t="inlineStr">
        <is>
          <t>grids</t>
        </is>
      </c>
      <c r="B13" t="inlineStr">
        <is>
          <t>FICO x CHANNEL</t>
        </is>
      </c>
      <c r="C13" t="inlineStr">
        <is>
          <t>(blank)</t>
        </is>
      </c>
      <c r="D13" t="inlineStr">
        <is>
          <t>Broker</t>
        </is>
      </c>
      <c r="E13" t="inlineStr">
        <is>
          <t>contribution_rate</t>
        </is>
      </c>
      <c r="F13" t="inlineStr">
        <is>
          <t>Contribution before losses per booked dollar</t>
        </is>
      </c>
      <c r="G13" t="n">
        <v>1</v>
      </c>
      <c r="H13" t="n">
        <v>27999.47</v>
      </c>
      <c r="I13" t="b">
        <v>0</v>
      </c>
      <c r="J13" t="b">
        <v>1</v>
      </c>
      <c r="K13" t="n">
        <v>-0.02929869368860016</v>
      </c>
      <c r="L13" t="n">
        <v>0.8512148785121487</v>
      </c>
      <c r="O13" t="n">
        <v>820.3478949731489</v>
      </c>
      <c r="Q13">
        <f>'_live'!$C$24</f>
        <v/>
      </c>
      <c r="R13" t="inlineStr">
        <is>
          <t>shuffled: 8,512 of 10,000</t>
        </is>
      </c>
      <c r="S13" t="inlineStr">
        <is>
          <t>10,000 shuffles</t>
        </is>
      </c>
      <c r="T13" t="n">
        <v>0.1695956350235611</v>
      </c>
      <c r="V13">
        <f>AND(judged_band,NOT($J13))</f>
        <v/>
      </c>
      <c r="W13">
        <f>IF($K13="","",IF(profit_kind="test",IF(OR(NOT(AND(ISNUMBER($L13),$L13&lt;significance_bar)),$K13=0),"in line",IF($K13&lt;0,"worse","better")),IF(OR($K13=0,IF(profit_kind="points",ABS($K13),ABS($K13*$H13))&lt;profit_line*(1-1E-9)),"in line",IF(AND(ISNUMBER($L13),$L13&lt;significance_bar),IF($K13&lt;0,"worse","better"),IF($K13&lt;0,"worse, not significant","better, not significant")))))</f>
        <v/>
      </c>
      <c r="X13">
        <f>IF($M13="","",IF(profit_kind="test",IF(OR(NOT(AND(ISNUMBER($N13),$N13&lt;significance_bar)),$M13=0),"in line",IF($M13&lt;0,"worse","better")),IF(OR($M13=0,IF(profit_kind="points",ABS($M13),ABS($M13*$H13))&lt;profit_line*(1-1E-9)),"in line",IF(AND(ISNUMBER($N13),$N13&lt;significance_bar),IF($M13&lt;0,"worse","better"),IF($M13&lt;0,"worse, not significant","better, not significant")))))</f>
        <v/>
      </c>
      <c r="Y13">
        <f>IF($V13,$X13,$W13)</f>
        <v/>
      </c>
      <c r="Z13">
        <f>IF($V13,IF($P13="","",$P13),IF($O13="","",$O13))</f>
        <v/>
      </c>
      <c r="AA13">
        <f>IF(OR($Q13="",$Z13=""),"",IF(AND($Z13&gt;0,$Z13&gt;=$Q13),"yes","below the line"))</f>
        <v/>
      </c>
      <c r="AB13">
        <f>IF($V13,IF($M13="","",$M13),IF($K13="","",$K13))</f>
        <v/>
      </c>
      <c r="AC13">
        <f>IF($V13,IF($N13="","",$N13),IF($L13="","",$L13))</f>
        <v/>
      </c>
      <c r="AD13">
        <f>IF($Y13="","",IF($Y13="in line",IF(profit_kind="test",IF(ROUND($AB13*100,2)=0,"0.00",TEXT($AB13*100,"+0.00;-0.00"))&amp;" points against "&amp;IF($V13,"its band","the book")&amp;", "&amp;IF($AC13="","not tested","not significant"),IF(profit_kind="points","within "&amp;TEXT(profit_line*100,"0.00")&amp;" points of "&amp;IF($V13,"its band","the book")&amp;" ("&amp;IF(ROUND($AB13*100,2)=0,"0.00",TEXT($AB13*100,"+0.00;-0.00"))&amp;")","within $"&amp;TEXT(profit_line,"#,##0")&amp;" of "&amp;IF($V13,"its band","the book")&amp;" ("&amp;IF(ROUND($AB13*100,2)=0,"0.00",TEXT($AB13*100,"+0.00;-0.00"))&amp;" points)")),IF(LEFT($Y13,5)="worse","short of ","ahead of ")&amp;IF($V13,"its band","the book")&amp;" by "&amp;TEXT(ABS($AB13)*100,"0.00")&amp;" points"&amp;IF($Z13="",""," ($"&amp;TEXT(ABS($Z13),"#,##0")&amp;")")&amp;IF(RIGHT($Y13,15)="not significant"," (not significant)","")))</f>
        <v/>
      </c>
      <c r="AE13">
        <f>IF($V13,IF($S13="","",$S13),IF($R13="","",$R13))</f>
        <v/>
      </c>
      <c r="AF13">
        <f>IF($V13,IF($U13="","",$U13),IF($T13="","",$T13))</f>
        <v/>
      </c>
      <c r="AG13">
        <f>IF($V13,IF($O13="","",$O13),IF($P13="","",$P13))</f>
        <v/>
      </c>
      <c r="AH13" t="n">
        <v>0.140296941334961</v>
      </c>
      <c r="AI13">
        <f>IF($Y13="worse","Yes",IF($Y13="worse, not significant","Not sure",IF(OR($Y13="too few losses to test",$Y13="too few loans to test"),"Too few losses",IF($Y13="","","No"))))</f>
        <v/>
      </c>
      <c r="AJ13">
        <f>IF($AA13="yes","Yes",IF($AA13="","","No"))</f>
        <v/>
      </c>
      <c r="AK13" t="n">
        <v>0.003558765363320495</v>
      </c>
      <c r="AM13">
        <f>IF(AND(ISNUMBER($AC13),ISNUMBER(IF($V13,IF($AL13="","",$AL13),IF($AK13="","",$AK13)))),IF(AND(ABS($AC13-significance_bar)&lt;=2.0*IF($V13,IF($AL13="","",$AL13),IF($AK13="","",$AK13)),OR($Y13="worse",$Y13="better",$Y13="worse, not significant",$Y13="better, not significant",AND(profit_kind="test",$Y13="in line",ISNUMBER($AB13),$AB13&lt;&gt;0))),IF(ROUND($AC13,3)=ROUND(significance_bar,3),TEXT($AC13,"0.0000"),TEXT($AC13,"0.000")),""),"")</f>
        <v/>
      </c>
      <c r="AN13">
        <f>IF(AND(ISNUMBER($AC13),ISNUMBER(IF($V13,IF($AL13="","",$AL13),IF($AK13="","",$AK13)))),IF(AND(ABS($AC13-significance_bar)&lt;=2.0*IF($V13,IF($AL13="","",$AL13),IF($AK13="","",$AK13)),OR($Y13="worse",$Y13="worse, not significant",AND(profit_kind="test",$Y13="in line",ISNUMBER($AB13),$AB13&lt;0))),IF(ROUND($AC13,3)=ROUND(significance_bar,3),TEXT($AC13,"0.0000"),TEXT($AC13,"0.000")),""),"")</f>
        <v/>
      </c>
      <c r="AO13">
        <f>IF(OR($AI13="",$AN13=""),$AI13,$AI13&amp;" · borderline (p "&amp;$AN13&amp;")")</f>
        <v/>
      </c>
    </row>
    <row r="14">
      <c r="A14" t="inlineStr">
        <is>
          <t>grids</t>
        </is>
      </c>
      <c r="B14" t="inlineStr">
        <is>
          <t>FICO x CHANNEL</t>
        </is>
      </c>
      <c r="C14" t="inlineStr">
        <is>
          <t>712 - 745</t>
        </is>
      </c>
      <c r="D14" t="inlineStr">
        <is>
          <t>Branch</t>
        </is>
      </c>
      <c r="E14" t="inlineStr">
        <is>
          <t>outcome_loans</t>
        </is>
      </c>
      <c r="F14" t="inlineStr">
        <is>
          <t>Outcome, share of loans</t>
        </is>
      </c>
      <c r="G14" t="n">
        <v>538</v>
      </c>
      <c r="H14" t="n">
        <v>538</v>
      </c>
      <c r="I14" t="b">
        <v>0</v>
      </c>
      <c r="J14" t="b">
        <v>0</v>
      </c>
      <c r="K14" t="n">
        <v>0.5110496721525845</v>
      </c>
      <c r="L14" t="n">
        <v>0.003114030038984809</v>
      </c>
      <c r="M14" t="n">
        <v>0.6750357449242208</v>
      </c>
      <c r="N14" t="n">
        <v>0.212600540160617</v>
      </c>
      <c r="O14" t="n">
        <v>-21.048652995577</v>
      </c>
      <c r="P14" t="n">
        <v>-10.59086672879776</v>
      </c>
      <c r="Q14">
        <f>'_live'!$C$20</f>
        <v/>
      </c>
      <c r="R14" t="inlineStr">
        <is>
          <t>z test</t>
        </is>
      </c>
      <c r="S14" t="inlineStr">
        <is>
          <t>z test</t>
        </is>
      </c>
      <c r="T14" t="n">
        <v>0.08001608363490149</v>
      </c>
      <c r="U14" t="n">
        <v>0.06057781919850885</v>
      </c>
      <c r="V14">
        <f>AND(judged_band,NOT($J14))</f>
        <v/>
      </c>
      <c r="W14">
        <f>IF($K14="","",IF($I14,"too few losses to test",IF(AND($K14&gt;better_at,$K14&lt;worse_at),"in line",IF($K14&gt;=worse_at,IF(AND(ISNUMBER($L14),$L14&lt;significance_bar),"worse","worse, not significant"),IF(AND(ISNUMBER($L14),$L14&lt;significance_bar),"better","better, not significant")))))</f>
        <v/>
      </c>
      <c r="X14">
        <f>IF($M14="","",IF($I14,"too few losses to test",IF(AND($M14&gt;better_at,$M14&lt;worse_at),"in line",IF($M14&gt;=worse_at,IF(AND(ISNUMBER($N14),$N14&lt;significance_bar),"worse","worse, not significant"),IF(AND(ISNUMBER($N14),$N14&lt;significance_bar),"better","better, not significant")))))</f>
        <v/>
      </c>
      <c r="Y14">
        <f>IF($V14,$X14,$W14)</f>
        <v/>
      </c>
      <c r="Z14">
        <f>IF($V14,IF($P14="","",$P14),IF($O14="","",$O14))</f>
        <v/>
      </c>
      <c r="AA14">
        <f>IF(OR($Q14="",$Z14=""),"",IF(AND($Z14&gt;0,$Z14&gt;=$Q14),"yes","below the line"))</f>
        <v/>
      </c>
      <c r="AB14">
        <f>IF($V14,IF($M14="","",$M14),IF($K14="","",$K14))</f>
        <v/>
      </c>
      <c r="AC14">
        <f>IF($V14,IF($N14="","",$N14),IF($L14="","",$L14))</f>
        <v/>
      </c>
      <c r="AD14">
        <f>$Y14</f>
        <v/>
      </c>
      <c r="AE14">
        <f>IF($V14,IF($S14="","",$S14),IF($R14="","",$R14))</f>
        <v/>
      </c>
      <c r="AF14">
        <f>IF($V14,IF($U14="","",$U14),IF($T14="","",$T14))</f>
        <v/>
      </c>
      <c r="AG14">
        <f>IF($V14,IF($O14="","",$O14),IF($P14="","",$P14))</f>
        <v/>
      </c>
      <c r="AH14" t="n">
        <v>0.04089219330855019</v>
      </c>
      <c r="AI14">
        <f>IF($Y14="worse","Yes",IF($Y14="worse, not significant","Not sure",IF(OR($Y14="too few losses to test",$Y14="too few loans to test"),"Too few losses",IF($Y14="","","No"))))</f>
        <v/>
      </c>
      <c r="AJ14">
        <f>IF($AA14="yes","Yes",IF($AA14="","","No"))</f>
        <v/>
      </c>
      <c r="AM14">
        <f>IF(AND(ISNUMBER($AC14),ISNUMBER(IF($V14,IF($AL14="","",$AL14),IF($AK14="","",$AK14)))),IF(AND(ABS($AC14-significance_bar)&lt;=2.0*IF($V14,IF($AL14="","",$AL14),IF($AK14="","",$AK14)),OR($Y14="worse",$Y14="better",$Y14="worse, not significant",$Y14="better, not significant")),IF(ROUND($AC14,3)=ROUND(significance_bar,3),TEXT($AC14,"0.0000"),TEXT($AC14,"0.000")),""),"")</f>
        <v/>
      </c>
      <c r="AN14">
        <f>IF(AND(ISNUMBER($AC14),ISNUMBER(IF($V14,IF($AL14="","",$AL14),IF($AK14="","",$AK14)))),IF(AND(ABS($AC14-significance_bar)&lt;=2.0*IF($V14,IF($AL14="","",$AL14),IF($AK14="","",$AK14)),OR($Y14="worse",$Y14="worse, not significant")),IF(ROUND($AC14,3)=ROUND(significance_bar,3),TEXT($AC14,"0.0000"),TEXT($AC14,"0.000")),""),"")</f>
        <v/>
      </c>
      <c r="AO14">
        <f>IF(OR($AI14="",$AN14=""),$AI14,$AI14&amp;" · borderline (p "&amp;$AN14&amp;")")</f>
        <v/>
      </c>
    </row>
    <row r="15">
      <c r="A15" t="inlineStr">
        <is>
          <t>grids</t>
        </is>
      </c>
      <c r="B15" t="inlineStr">
        <is>
          <t>FICO x CHANNEL</t>
        </is>
      </c>
      <c r="C15" t="inlineStr">
        <is>
          <t>712 - 745</t>
        </is>
      </c>
      <c r="D15" t="inlineStr">
        <is>
          <t>Branch</t>
        </is>
      </c>
      <c r="E15" t="inlineStr">
        <is>
          <t>outcome_booked</t>
        </is>
      </c>
      <c r="F15" t="inlineStr">
        <is>
          <t>Outcome, share of booked dollars</t>
        </is>
      </c>
      <c r="G15" t="n">
        <v>537</v>
      </c>
      <c r="H15" t="n">
        <v>16513064.03</v>
      </c>
      <c r="I15" t="b">
        <v>0</v>
      </c>
      <c r="J15" t="b">
        <v>0</v>
      </c>
      <c r="K15" t="n">
        <v>0.5343631730517466</v>
      </c>
      <c r="L15" t="n">
        <v>0.014998500149985</v>
      </c>
      <c r="M15" t="n">
        <v>0.6771166315286687</v>
      </c>
      <c r="N15" t="n">
        <v>0.3207536389218221</v>
      </c>
      <c r="O15" t="n">
        <v>-593037.9233898538</v>
      </c>
      <c r="P15" t="n">
        <v>-324529.25997703</v>
      </c>
      <c r="Q15">
        <f>'_live'!$C$21</f>
        <v/>
      </c>
      <c r="R15" t="inlineStr">
        <is>
          <t>shuffled: 57 of 10,000</t>
        </is>
      </c>
      <c r="S15" t="inlineStr">
        <is>
          <t>shuffled: 1,496 of 10,000</t>
        </is>
      </c>
      <c r="T15" t="n">
        <v>0.07712718494133122</v>
      </c>
      <c r="U15" t="n">
        <v>0.06086680692032842</v>
      </c>
      <c r="V15">
        <f>AND(judged_band,NOT($J15))</f>
        <v/>
      </c>
      <c r="W15">
        <f>IF($K15="","",IF($I15,"too few losses to test",IF(AND($K15&gt;better_at,$K15&lt;worse_at),"in line",IF($K15&gt;=worse_at,IF(AND(ISNUMBER($L15),$L15&lt;significance_bar),"worse","worse, not significant"),IF(AND(ISNUMBER($L15),$L15&lt;significance_bar),"better","better, not significant")))))</f>
        <v/>
      </c>
      <c r="X15">
        <f>IF($M15="","",IF($I15,"too few losses to test",IF(AND($M15&gt;better_at,$M15&lt;worse_at),"in line",IF($M15&gt;=worse_at,IF(AND(ISNUMBER($N15),$N15&lt;significance_bar),"worse","worse, not significant"),IF(AND(ISNUMBER($N15),$N15&lt;significance_bar),"better","better, not significant")))))</f>
        <v/>
      </c>
      <c r="Y15">
        <f>IF($V15,$X15,$W15)</f>
        <v/>
      </c>
      <c r="Z15">
        <f>IF($V15,IF($P15="","",$P15),IF($O15="","",$O15))</f>
        <v/>
      </c>
      <c r="AA15">
        <f>IF(OR($Q15="",$Z15=""),"",IF(AND($Z15&gt;0,$Z15&gt;=$Q15),"yes","below the line"))</f>
        <v/>
      </c>
      <c r="AB15">
        <f>IF($V15,IF($M15="","",$M15),IF($K15="","",$K15))</f>
        <v/>
      </c>
      <c r="AC15">
        <f>IF($V15,IF($N15="","",$N15),IF($L15="","",$L15))</f>
        <v/>
      </c>
      <c r="AD15">
        <f>$Y15</f>
        <v/>
      </c>
      <c r="AE15">
        <f>IF($V15,IF($S15="","",$S15),IF($R15="","",$R15))</f>
        <v/>
      </c>
      <c r="AF15">
        <f>IF($V15,IF($U15="","",$U15),IF($T15="","",$T15))</f>
        <v/>
      </c>
      <c r="AG15">
        <f>IF($V15,IF($O15="","",$O15),IF($P15="","",$P15))</f>
        <v/>
      </c>
      <c r="AH15" t="n">
        <v>0.04121392727379864</v>
      </c>
      <c r="AI15">
        <f>IF($Y15="worse","Yes",IF($Y15="worse, not significant","Not sure",IF(OR($Y15="too few losses to test",$Y15="too few loans to test"),"Too few losses",IF($Y15="","","No"))))</f>
        <v/>
      </c>
      <c r="AJ15">
        <f>IF($AA15="yes","Yes",IF($AA15="","","No"))</f>
        <v/>
      </c>
      <c r="AK15" t="n">
        <v>0.001930577513808068</v>
      </c>
      <c r="AL15" t="n">
        <v>0.007644908955504027</v>
      </c>
      <c r="AM15">
        <f>IF(AND(ISNUMBER($AC15),ISNUMBER(IF($V15,IF($AL15="","",$AL15),IF($AK15="","",$AK15)))),IF(AND(ABS($AC15-significance_bar)&lt;=2.0*IF($V15,IF($AL15="","",$AL15),IF($AK15="","",$AK15)),OR($Y15="worse",$Y15="better",$Y15="worse, not significant",$Y15="better, not significant")),IF(ROUND($AC15,3)=ROUND(significance_bar,3),TEXT($AC15,"0.0000"),TEXT($AC15,"0.000")),""),"")</f>
        <v/>
      </c>
      <c r="AN15">
        <f>IF(AND(ISNUMBER($AC15),ISNUMBER(IF($V15,IF($AL15="","",$AL15),IF($AK15="","",$AK15)))),IF(AND(ABS($AC15-significance_bar)&lt;=2.0*IF($V15,IF($AL15="","",$AL15),IF($AK15="","",$AK15)),OR($Y15="worse",$Y15="worse, not significant")),IF(ROUND($AC15,3)=ROUND(significance_bar,3),TEXT($AC15,"0.0000"),TEXT($AC15,"0.000")),""),"")</f>
        <v/>
      </c>
      <c r="AO15">
        <f>IF(OR($AI15="",$AN15=""),$AI15,$AI15&amp;" · borderline (p "&amp;$AN15&amp;")")</f>
        <v/>
      </c>
    </row>
    <row r="16">
      <c r="A16" t="inlineStr">
        <is>
          <t>grids</t>
        </is>
      </c>
      <c r="B16" t="inlineStr">
        <is>
          <t>FICO x CHANNEL</t>
        </is>
      </c>
      <c r="C16" t="inlineStr">
        <is>
          <t>712 - 745</t>
        </is>
      </c>
      <c r="D16" t="inlineStr">
        <is>
          <t>Branch</t>
        </is>
      </c>
      <c r="E16" t="inlineStr">
        <is>
          <t>gco_rate</t>
        </is>
      </c>
      <c r="F16" t="inlineStr">
        <is>
          <t>GCO per booked dollar</t>
        </is>
      </c>
      <c r="G16" t="n">
        <v>536</v>
      </c>
      <c r="H16" t="n">
        <v>16473379.6</v>
      </c>
      <c r="I16" t="b">
        <v>0</v>
      </c>
      <c r="J16" t="b">
        <v>0</v>
      </c>
      <c r="K16" t="n">
        <v>0.5363499394739212</v>
      </c>
      <c r="L16" t="n">
        <v>0.01924807519248075</v>
      </c>
      <c r="M16" t="n">
        <v>0.6818678243913163</v>
      </c>
      <c r="N16" t="n">
        <v>0.3190930906909309</v>
      </c>
      <c r="O16" t="n">
        <v>-327469.5610407831</v>
      </c>
      <c r="P16" t="n">
        <v>-176740.569721237</v>
      </c>
      <c r="Q16">
        <f>'_live'!$C$22</f>
        <v/>
      </c>
      <c r="R16" t="inlineStr">
        <is>
          <t>shuffled: 76 of 10,000</t>
        </is>
      </c>
      <c r="S16" t="inlineStr">
        <is>
          <t>shuffled: 1,701 of 10,000</t>
        </is>
      </c>
      <c r="T16" t="n">
        <v>0.04287438571747496</v>
      </c>
      <c r="U16" t="n">
        <v>0.03372453335083939</v>
      </c>
      <c r="V16">
        <f>AND(judged_band,NOT($J16))</f>
        <v/>
      </c>
      <c r="W16">
        <f>IF($K16="","",IF($I16,"too few losses to test",IF(AND($K16&gt;better_at,$K16&lt;worse_at),"in line",IF($K16&gt;=worse_at,IF(AND(ISNUMBER($L16),$L16&lt;significance_bar),"worse","worse, not significant"),IF(AND(ISNUMBER($L16),$L16&lt;significance_bar),"better","better, not significant")))))</f>
        <v/>
      </c>
      <c r="X16">
        <f>IF($M16="","",IF($I16,"too few losses to test",IF(AND($M16&gt;better_at,$M16&lt;worse_at),"in line",IF($M16&gt;=worse_at,IF(AND(ISNUMBER($N16),$N16&lt;significance_bar),"worse","worse, not significant"),IF(AND(ISNUMBER($N16),$N16&lt;significance_bar),"better","better, not significant")))))</f>
        <v/>
      </c>
      <c r="Y16">
        <f>IF($V16,$X16,$W16)</f>
        <v/>
      </c>
      <c r="Z16">
        <f>IF($V16,IF($P16="","",$P16),IF($O16="","",$O16))</f>
        <v/>
      </c>
      <c r="AA16">
        <f>IF(OR($Q16="",$Z16=""),"",IF(AND($Z16&gt;0,$Z16&gt;=$Q16),"yes","below the line"))</f>
        <v/>
      </c>
      <c r="AB16">
        <f>IF($V16,IF($M16="","",$M16),IF($K16="","",$K16))</f>
        <v/>
      </c>
      <c r="AC16">
        <f>IF($V16,IF($N16="","",$N16),IF($L16="","",$L16))</f>
        <v/>
      </c>
      <c r="AD16">
        <f>$Y16</f>
        <v/>
      </c>
      <c r="AE16">
        <f>IF($V16,IF($S16="","",$S16),IF($R16="","",$R16))</f>
        <v/>
      </c>
      <c r="AF16">
        <f>IF($V16,IF($U16="","",$U16),IF($T16="","",$T16))</f>
        <v/>
      </c>
      <c r="AG16">
        <f>IF($V16,IF($O16="","",$O16),IF($P16="","",$P16))</f>
        <v/>
      </c>
      <c r="AH16" t="n">
        <v>0.02299567418454924</v>
      </c>
      <c r="AI16">
        <f>IF($Y16="worse","Yes",IF($Y16="worse, not significant","Not sure",IF(OR($Y16="too few losses to test",$Y16="too few loans to test"),"Too few losses",IF($Y16="","","No"))))</f>
        <v/>
      </c>
      <c r="AJ16">
        <f>IF($AA16="yes","Yes",IF($AA16="","","No"))</f>
        <v/>
      </c>
      <c r="AK16" t="n">
        <v>0.002185170464347953</v>
      </c>
      <c r="AL16" t="n">
        <v>0.007046127621032738</v>
      </c>
      <c r="AM16">
        <f>IF(AND(ISNUMBER($AC16),ISNUMBER(IF($V16,IF($AL16="","",$AL16),IF($AK16="","",$AK16)))),IF(AND(ABS($AC16-significance_bar)&lt;=2.0*IF($V16,IF($AL16="","",$AL16),IF($AK16="","",$AK16)),OR($Y16="worse",$Y16="better",$Y16="worse, not significant",$Y16="better, not significant")),IF(ROUND($AC16,3)=ROUND(significance_bar,3),TEXT($AC16,"0.0000"),TEXT($AC16,"0.000")),""),"")</f>
        <v/>
      </c>
      <c r="AN16">
        <f>IF(AND(ISNUMBER($AC16),ISNUMBER(IF($V16,IF($AL16="","",$AL16),IF($AK16="","",$AK16)))),IF(AND(ABS($AC16-significance_bar)&lt;=2.0*IF($V16,IF($AL16="","",$AL16),IF($AK16="","",$AK16)),OR($Y16="worse",$Y16="worse, not significant")),IF(ROUND($AC16,3)=ROUND(significance_bar,3),TEXT($AC16,"0.0000"),TEXT($AC16,"0.000")),""),"")</f>
        <v/>
      </c>
      <c r="AO16">
        <f>IF(OR($AI16="",$AN16=""),$AI16,$AI16&amp;" · borderline (p "&amp;$AN16&amp;")")</f>
        <v/>
      </c>
    </row>
    <row r="17">
      <c r="A17" t="inlineStr">
        <is>
          <t>grids</t>
        </is>
      </c>
      <c r="B17" t="inlineStr">
        <is>
          <t>FICO x CHANNEL</t>
        </is>
      </c>
      <c r="C17" t="inlineStr">
        <is>
          <t>712 - 745</t>
        </is>
      </c>
      <c r="D17" t="inlineStr">
        <is>
          <t>Branch</t>
        </is>
      </c>
      <c r="E17" t="inlineStr">
        <is>
          <t>ranr_rate</t>
        </is>
      </c>
      <c r="F17" t="inlineStr">
        <is>
          <t>Profit after losses: RANR per booked dollar</t>
        </is>
      </c>
      <c r="G17" t="n">
        <v>537</v>
      </c>
      <c r="H17" t="n">
        <v>16513064.03</v>
      </c>
      <c r="I17" t="b">
        <v>0</v>
      </c>
      <c r="J17" t="b">
        <v>0</v>
      </c>
      <c r="K17" t="n">
        <v>-0.04515561399833806</v>
      </c>
      <c r="L17" t="n">
        <v>0.0002110900021109</v>
      </c>
      <c r="M17" t="n">
        <v>-0.01513520528551406</v>
      </c>
      <c r="N17" t="n">
        <v>0.1531646835316469</v>
      </c>
      <c r="O17" t="n">
        <v>745657.5452685207</v>
      </c>
      <c r="P17" t="n">
        <v>249928.613986888</v>
      </c>
      <c r="Q17">
        <f>'_live'!$C$23</f>
        <v/>
      </c>
      <c r="R17" t="inlineStr">
        <is>
          <t>shuffled: 0 of 10,000</t>
        </is>
      </c>
      <c r="S17" t="inlineStr">
        <is>
          <t>shuffled: 850 of 10,000</t>
        </is>
      </c>
      <c r="T17" t="n">
        <v>0.1308794286355421</v>
      </c>
      <c r="U17" t="n">
        <v>0.1008590199227181</v>
      </c>
      <c r="V17">
        <f>AND(judged_band,NOT($J17))</f>
        <v/>
      </c>
      <c r="W17">
        <f>IF($K17="","",IF(profit_kind="test",IF(OR(NOT(AND(ISNUMBER($L17),$L17&lt;significance_bar)),$K17=0),"in line",IF($K17&lt;0,"worse","better")),IF(OR($K17=0,IF(profit_kind="points",ABS($K17),ABS($K17*$H17))&lt;profit_line*(1-1E-9)),"in line",IF(AND(ISNUMBER($L17),$L17&lt;significance_bar),IF($K17&lt;0,"worse","better"),IF($K17&lt;0,"worse, not significant","better, not significant")))))</f>
        <v/>
      </c>
      <c r="X17">
        <f>IF($M17="","",IF(profit_kind="test",IF(OR(NOT(AND(ISNUMBER($N17),$N17&lt;significance_bar)),$M17=0),"in line",IF($M17&lt;0,"worse","better")),IF(OR($M17=0,IF(profit_kind="points",ABS($M17),ABS($M17*$H17))&lt;profit_line*(1-1E-9)),"in line",IF(AND(ISNUMBER($N17),$N17&lt;significance_bar),IF($M17&lt;0,"worse","better"),IF($M17&lt;0,"worse, not significant","better, not significant")))))</f>
        <v/>
      </c>
      <c r="Y17">
        <f>IF($V17,$X17,$W17)</f>
        <v/>
      </c>
      <c r="Z17">
        <f>IF($V17,IF($P17="","",$P17),IF($O17="","",$O17))</f>
        <v/>
      </c>
      <c r="AA17">
        <f>IF(OR($Q17="",$Z17=""),"",IF(AND($Z17&gt;0,$Z17&gt;=$Q17),"yes","below the line"))</f>
        <v/>
      </c>
      <c r="AB17">
        <f>IF($V17,IF($M17="","",$M17),IF($K17="","",$K17))</f>
        <v/>
      </c>
      <c r="AC17">
        <f>IF($V17,IF($N17="","",$N17),IF($L17="","",$L17))</f>
        <v/>
      </c>
      <c r="AD17">
        <f>IF($Y17="","",IF($Y17="in line",IF(profit_kind="test",IF(ROUND($AB17*100,2)=0,"0.00",TEXT($AB17*100,"+0.00;-0.00"))&amp;" points against "&amp;IF($V17,"its band","the book")&amp;", "&amp;IF($AC17="","not tested","not significant"),IF(profit_kind="points","within "&amp;TEXT(profit_line*100,"0.00")&amp;" points of "&amp;IF($V17,"its band","the book")&amp;" ("&amp;IF(ROUND($AB17*100,2)=0,"0.00",TEXT($AB17*100,"+0.00;-0.00"))&amp;")","within $"&amp;TEXT(profit_line,"#,##0")&amp;" of "&amp;IF($V17,"its band","the book")&amp;" ("&amp;IF(ROUND($AB17*100,2)=0,"0.00",TEXT($AB17*100,"+0.00;-0.00"))&amp;" points)")),IF(LEFT($Y17,5)="worse","short of ","ahead of ")&amp;IF($V17,"its band","the book")&amp;" by "&amp;TEXT(ABS($AB17)*100,"0.00")&amp;" points"&amp;IF($Z17="",""," ($"&amp;TEXT(ABS($Z17),"#,##0")&amp;")")&amp;IF(RIGHT($Y17,15)="not significant"," (not significant)","")))</f>
        <v/>
      </c>
      <c r="AE17">
        <f>IF($V17,IF($S17="","",$S17),IF($R17="","",$R17))</f>
        <v/>
      </c>
      <c r="AF17">
        <f>IF($V17,IF($U17="","",$U17),IF($T17="","",$T17))</f>
        <v/>
      </c>
      <c r="AG17">
        <f>IF($V17,IF($O17="","",$O17),IF($P17="","",$P17))</f>
        <v/>
      </c>
      <c r="AH17" t="n">
        <v>0.08572381463720408</v>
      </c>
      <c r="AI17">
        <f>IF($Y17="worse","Yes",IF($Y17="worse, not significant","Not sure",IF(OR($Y17="too few losses to test",$Y17="too few loans to test"),"Too few losses",IF($Y17="","","No"))))</f>
        <v/>
      </c>
      <c r="AJ17">
        <f>IF($AA17="yes","Yes",IF($AA17="","","No"))</f>
        <v/>
      </c>
      <c r="AK17" t="n">
        <v>0.0002110900021109</v>
      </c>
      <c r="AL17" t="n">
        <v>0.005022320281260593</v>
      </c>
      <c r="AM17">
        <f>IF(AND(ISNUMBER($AC17),ISNUMBER(IF($V17,IF($AL17="","",$AL17),IF($AK17="","",$AK17)))),IF(AND(ABS($AC17-significance_bar)&lt;=2.0*IF($V17,IF($AL17="","",$AL17),IF($AK17="","",$AK17)),OR($Y17="worse",$Y17="better",$Y17="worse, not significant",$Y17="better, not significant",AND(profit_kind="test",$Y17="in line",ISNUMBER($AB17),$AB17&lt;&gt;0))),IF(ROUND($AC17,3)=ROUND(significance_bar,3),TEXT($AC17,"0.0000"),TEXT($AC17,"0.000")),""),"")</f>
        <v/>
      </c>
      <c r="AN17">
        <f>IF(AND(ISNUMBER($AC17),ISNUMBER(IF($V17,IF($AL17="","",$AL17),IF($AK17="","",$AK17)))),IF(AND(ABS($AC17-significance_bar)&lt;=2.0*IF($V17,IF($AL17="","",$AL17),IF($AK17="","",$AK17)),OR($Y17="worse",$Y17="worse, not significant",AND(profit_kind="test",$Y17="in line",ISNUMBER($AB17),$AB17&lt;0))),IF(ROUND($AC17,3)=ROUND(significance_bar,3),TEXT($AC17,"0.0000"),TEXT($AC17,"0.000")),""),"")</f>
        <v/>
      </c>
      <c r="AO17">
        <f>IF(OR($AI17="",$AN17=""),$AI17,$AI17&amp;" · borderline (p "&amp;$AN17&amp;")")</f>
        <v/>
      </c>
    </row>
    <row r="18">
      <c r="A18" t="inlineStr">
        <is>
          <t>grids</t>
        </is>
      </c>
      <c r="B18" t="inlineStr">
        <is>
          <t>FICO x CHANNEL</t>
        </is>
      </c>
      <c r="C18" t="inlineStr">
        <is>
          <t>712 - 745</t>
        </is>
      </c>
      <c r="D18" t="inlineStr">
        <is>
          <t>Branch</t>
        </is>
      </c>
      <c r="E18" t="inlineStr">
        <is>
          <t>contribution_rate</t>
        </is>
      </c>
      <c r="F18" t="inlineStr">
        <is>
          <t>Contribution before losses per booked dollar</t>
        </is>
      </c>
      <c r="G18" t="n">
        <v>536</v>
      </c>
      <c r="H18" t="n">
        <v>16473379.6</v>
      </c>
      <c r="I18" t="b">
        <v>0</v>
      </c>
      <c r="J18" t="b">
        <v>0</v>
      </c>
      <c r="K18" t="n">
        <v>-0.06518093049863156</v>
      </c>
      <c r="L18" t="n">
        <v>0.000158317501583175</v>
      </c>
      <c r="M18" t="n">
        <v>-0.02601066941917214</v>
      </c>
      <c r="N18" t="n">
        <v>0.0002571171454283143</v>
      </c>
      <c r="O18" t="n">
        <v>1073750.210785175</v>
      </c>
      <c r="P18" t="n">
        <v>428483.6309921339</v>
      </c>
      <c r="Q18">
        <f>'_live'!$C$24</f>
        <v/>
      </c>
      <c r="R18" t="inlineStr">
        <is>
          <t>shuffled: 0 of 10,000</t>
        </is>
      </c>
      <c r="S18" t="inlineStr">
        <is>
          <t>shuffled: 0 of 10,000</t>
        </is>
      </c>
      <c r="T18" t="n">
        <v>0.173753814353017</v>
      </c>
      <c r="U18" t="n">
        <v>0.1345835532735575</v>
      </c>
      <c r="V18">
        <f>AND(judged_band,NOT($J18))</f>
        <v/>
      </c>
      <c r="W18">
        <f>IF($K18="","",IF(profit_kind="test",IF(OR(NOT(AND(ISNUMBER($L18),$L18&lt;significance_bar)),$K18=0),"in line",IF($K18&lt;0,"worse","better")),IF(OR($K18=0,IF(profit_kind="points",ABS($K18),ABS($K18*$H18))&lt;profit_line*(1-1E-9)),"in line",IF(AND(ISNUMBER($L18),$L18&lt;significance_bar),IF($K18&lt;0,"worse","better"),IF($K18&lt;0,"worse, not significant","better, not significant")))))</f>
        <v/>
      </c>
      <c r="X18">
        <f>IF($M18="","",IF(profit_kind="test",IF(OR(NOT(AND(ISNUMBER($N18),$N18&lt;significance_bar)),$M18=0),"in line",IF($M18&lt;0,"worse","better")),IF(OR($M18=0,IF(profit_kind="points",ABS($M18),ABS($M18*$H18))&lt;profit_line*(1-1E-9)),"in line",IF(AND(ISNUMBER($N18),$N18&lt;significance_bar),IF($M18&lt;0,"worse","better"),IF($M18&lt;0,"worse, not significant","better, not significant")))))</f>
        <v/>
      </c>
      <c r="Y18">
        <f>IF($V18,$X18,$W18)</f>
        <v/>
      </c>
      <c r="Z18">
        <f>IF($V18,IF($P18="","",$P18),IF($O18="","",$O18))</f>
        <v/>
      </c>
      <c r="AA18">
        <f>IF(OR($Q18="",$Z18=""),"",IF(AND($Z18&gt;0,$Z18&gt;=$Q18),"yes","below the line"))</f>
        <v/>
      </c>
      <c r="AB18">
        <f>IF($V18,IF($M18="","",$M18),IF($K18="","",$K18))</f>
        <v/>
      </c>
      <c r="AC18">
        <f>IF($V18,IF($N18="","",$N18),IF($L18="","",$L18))</f>
        <v/>
      </c>
      <c r="AD18">
        <f>IF($Y18="","",IF($Y18="in line",IF(profit_kind="test",IF(ROUND($AB18*100,2)=0,"0.00",TEXT($AB18*100,"+0.00;-0.00"))&amp;" points against "&amp;IF($V18,"its band","the book")&amp;", "&amp;IF($AC18="","not tested","not significant"),IF(profit_kind="points","within "&amp;TEXT(profit_line*100,"0.00")&amp;" points of "&amp;IF($V18,"its band","the book")&amp;" ("&amp;IF(ROUND($AB18*100,2)=0,"0.00",TEXT($AB18*100,"+0.00;-0.00"))&amp;")","within $"&amp;TEXT(profit_line,"#,##0")&amp;" of "&amp;IF($V18,"its band","the book")&amp;" ("&amp;IF(ROUND($AB18*100,2)=0,"0.00",TEXT($AB18*100,"+0.00;-0.00"))&amp;" points)")),IF(LEFT($Y18,5)="worse","short of ","ahead of ")&amp;IF($V18,"its band","the book")&amp;" by "&amp;TEXT(ABS($AB18)*100,"0.00")&amp;" points"&amp;IF($Z18="",""," ($"&amp;TEXT(ABS($Z18),"#,##0")&amp;")")&amp;IF(RIGHT($Y18,15)="not significant"," (not significant)","")))</f>
        <v/>
      </c>
      <c r="AE18">
        <f>IF($V18,IF($S18="","",$S18),IF($R18="","",$R18))</f>
        <v/>
      </c>
      <c r="AF18">
        <f>IF($V18,IF($U18="","",$U18),IF($T18="","",$T18))</f>
        <v/>
      </c>
      <c r="AG18">
        <f>IF($V18,IF($O18="","",$O18),IF($P18="","",$P18))</f>
        <v/>
      </c>
      <c r="AH18" t="n">
        <v>0.1085728838543854</v>
      </c>
      <c r="AI18">
        <f>IF($Y18="worse","Yes",IF($Y18="worse, not significant","Not sure",IF(OR($Y18="too few losses to test",$Y18="too few loans to test"),"Too few losses",IF($Y18="","","No"))))</f>
        <v/>
      </c>
      <c r="AJ18">
        <f>IF($AA18="yes","Yes",IF($AA18="","","No"))</f>
        <v/>
      </c>
      <c r="AK18" t="n">
        <v>0.000158317501583175</v>
      </c>
      <c r="AL18" t="n">
        <v>0.0002571171454283143</v>
      </c>
      <c r="AM18">
        <f>IF(AND(ISNUMBER($AC18),ISNUMBER(IF($V18,IF($AL18="","",$AL18),IF($AK18="","",$AK18)))),IF(AND(ABS($AC18-significance_bar)&lt;=2.0*IF($V18,IF($AL18="","",$AL18),IF($AK18="","",$AK18)),OR($Y18="worse",$Y18="better",$Y18="worse, not significant",$Y18="better, not significant",AND(profit_kind="test",$Y18="in line",ISNUMBER($AB18),$AB18&lt;&gt;0))),IF(ROUND($AC18,3)=ROUND(significance_bar,3),TEXT($AC18,"0.0000"),TEXT($AC18,"0.000")),""),"")</f>
        <v/>
      </c>
      <c r="AN18">
        <f>IF(AND(ISNUMBER($AC18),ISNUMBER(IF($V18,IF($AL18="","",$AL18),IF($AK18="","",$AK18)))),IF(AND(ABS($AC18-significance_bar)&lt;=2.0*IF($V18,IF($AL18="","",$AL18),IF($AK18="","",$AK18)),OR($Y18="worse",$Y18="worse, not significant",AND(profit_kind="test",$Y18="in line",ISNUMBER($AB18),$AB18&lt;0))),IF(ROUND($AC18,3)=ROUND(significance_bar,3),TEXT($AC18,"0.0000"),TEXT($AC18,"0.000")),""),"")</f>
        <v/>
      </c>
      <c r="AO18">
        <f>IF(OR($AI18="",$AN18=""),$AI18,$AI18&amp;" · borderline (p "&amp;$AN18&amp;")")</f>
        <v/>
      </c>
    </row>
    <row r="19">
      <c r="A19" t="inlineStr">
        <is>
          <t>grids</t>
        </is>
      </c>
      <c r="B19" t="inlineStr">
        <is>
          <t>FICO x CHANNEL</t>
        </is>
      </c>
      <c r="C19" t="inlineStr">
        <is>
          <t>496 - 653</t>
        </is>
      </c>
      <c r="D19" t="inlineStr">
        <is>
          <t>Branch</t>
        </is>
      </c>
      <c r="E19" t="inlineStr">
        <is>
          <t>outcome_loans</t>
        </is>
      </c>
      <c r="F19" t="inlineStr">
        <is>
          <t>Outcome, share of loans</t>
        </is>
      </c>
      <c r="G19" t="n">
        <v>501</v>
      </c>
      <c r="H19" t="n">
        <v>501</v>
      </c>
      <c r="I19" t="b">
        <v>0</v>
      </c>
      <c r="J19" t="b">
        <v>0</v>
      </c>
      <c r="K19" t="n">
        <v>1.343784262460993</v>
      </c>
      <c r="L19" t="n">
        <v>0.05778926894344564</v>
      </c>
      <c r="M19" t="n">
        <v>0.5863028042276104</v>
      </c>
      <c r="N19" t="n">
        <v>0.0008021048282253793</v>
      </c>
      <c r="O19" t="n">
        <v>13.04747932782075</v>
      </c>
      <c r="P19" t="n">
        <v>-35.98576850094877</v>
      </c>
      <c r="Q19">
        <f>'_live'!$C$20</f>
        <v/>
      </c>
      <c r="R19" t="inlineStr">
        <is>
          <t>z test</t>
        </is>
      </c>
      <c r="S19" t="inlineStr">
        <is>
          <t>z test</t>
        </is>
      </c>
      <c r="T19" t="n">
        <v>0.07575353427580689</v>
      </c>
      <c r="U19" t="n">
        <v>0.1736242884250474</v>
      </c>
      <c r="V19">
        <f>AND(judged_band,NOT($J19))</f>
        <v/>
      </c>
      <c r="W19">
        <f>IF($K19="","",IF($I19,"too few losses to test",IF(AND($K19&gt;better_at,$K19&lt;worse_at),"in line",IF($K19&gt;=worse_at,IF(AND(ISNUMBER($L19),$L19&lt;significance_bar),"worse","worse, not significant"),IF(AND(ISNUMBER($L19),$L19&lt;significance_bar),"better","better, not significant")))))</f>
        <v/>
      </c>
      <c r="X19">
        <f>IF($M19="","",IF($I19,"too few losses to test",IF(AND($M19&gt;better_at,$M19&lt;worse_at),"in line",IF($M19&gt;=worse_at,IF(AND(ISNUMBER($N19),$N19&lt;significance_bar),"worse","worse, not significant"),IF(AND(ISNUMBER($N19),$N19&lt;significance_bar),"better","better, not significant")))))</f>
        <v/>
      </c>
      <c r="Y19">
        <f>IF($V19,$X19,$W19)</f>
        <v/>
      </c>
      <c r="Z19">
        <f>IF($V19,IF($P19="","",$P19),IF($O19="","",$O19))</f>
        <v/>
      </c>
      <c r="AA19">
        <f>IF(OR($Q19="",$Z19=""),"",IF(AND($Z19&gt;0,$Z19&gt;=$Q19),"yes","below the line"))</f>
        <v/>
      </c>
      <c r="AB19">
        <f>IF($V19,IF($M19="","",$M19),IF($K19="","",$K19))</f>
        <v/>
      </c>
      <c r="AC19">
        <f>IF($V19,IF($N19="","",$N19),IF($L19="","",$L19))</f>
        <v/>
      </c>
      <c r="AD19">
        <f>$Y19</f>
        <v/>
      </c>
      <c r="AE19">
        <f>IF($V19,IF($S19="","",$S19),IF($R19="","",$R19))</f>
        <v/>
      </c>
      <c r="AF19">
        <f>IF($V19,IF($U19="","",$U19),IF($T19="","",$T19))</f>
        <v/>
      </c>
      <c r="AG19">
        <f>IF($V19,IF($O19="","",$O19),IF($P19="","",$P19))</f>
        <v/>
      </c>
      <c r="AH19" t="n">
        <v>0.1017964071856287</v>
      </c>
      <c r="AI19">
        <f>IF($Y19="worse","Yes",IF($Y19="worse, not significant","Not sure",IF(OR($Y19="too few losses to test",$Y19="too few loans to test"),"Too few losses",IF($Y19="","","No"))))</f>
        <v/>
      </c>
      <c r="AJ19">
        <f>IF($AA19="yes","Yes",IF($AA19="","","No"))</f>
        <v/>
      </c>
      <c r="AM19">
        <f>IF(AND(ISNUMBER($AC19),ISNUMBER(IF($V19,IF($AL19="","",$AL19),IF($AK19="","",$AK19)))),IF(AND(ABS($AC19-significance_bar)&lt;=2.0*IF($V19,IF($AL19="","",$AL19),IF($AK19="","",$AK19)),OR($Y19="worse",$Y19="better",$Y19="worse, not significant",$Y19="better, not significant")),IF(ROUND($AC19,3)=ROUND(significance_bar,3),TEXT($AC19,"0.0000"),TEXT($AC19,"0.000")),""),"")</f>
        <v/>
      </c>
      <c r="AN19">
        <f>IF(AND(ISNUMBER($AC19),ISNUMBER(IF($V19,IF($AL19="","",$AL19),IF($AK19="","",$AK19)))),IF(AND(ABS($AC19-significance_bar)&lt;=2.0*IF($V19,IF($AL19="","",$AL19),IF($AK19="","",$AK19)),OR($Y19="worse",$Y19="worse, not significant")),IF(ROUND($AC19,3)=ROUND(significance_bar,3),TEXT($AC19,"0.0000"),TEXT($AC19,"0.000")),""),"")</f>
        <v/>
      </c>
      <c r="AO19">
        <f>IF(OR($AI19="",$AN19=""),$AI19,$AI19&amp;" · borderline (p "&amp;$AN19&amp;")")</f>
        <v/>
      </c>
    </row>
    <row r="20">
      <c r="A20" t="inlineStr">
        <is>
          <t>grids</t>
        </is>
      </c>
      <c r="B20" t="inlineStr">
        <is>
          <t>FICO x CHANNEL</t>
        </is>
      </c>
      <c r="C20" t="inlineStr">
        <is>
          <t>496 - 653</t>
        </is>
      </c>
      <c r="D20" t="inlineStr">
        <is>
          <t>Branch</t>
        </is>
      </c>
      <c r="E20" t="inlineStr">
        <is>
          <t>outcome_booked</t>
        </is>
      </c>
      <c r="F20" t="inlineStr">
        <is>
          <t>Outcome, share of booked dollars</t>
        </is>
      </c>
      <c r="G20" t="n">
        <v>501</v>
      </c>
      <c r="H20" t="n">
        <v>16302718.78</v>
      </c>
      <c r="I20" t="b">
        <v>0</v>
      </c>
      <c r="J20" t="b">
        <v>0</v>
      </c>
      <c r="K20" t="n">
        <v>1.415887845092618</v>
      </c>
      <c r="L20" t="n">
        <v>0.037662900376629</v>
      </c>
      <c r="M20" t="n">
        <v>0.6039812851062788</v>
      </c>
      <c r="N20" t="n">
        <v>0.00674932506749325</v>
      </c>
      <c r="O20" t="n">
        <v>494357.5361808725</v>
      </c>
      <c r="P20" t="n">
        <v>-1103534.749210148</v>
      </c>
      <c r="Q20">
        <f>'_live'!$C$21</f>
        <v/>
      </c>
      <c r="R20" t="inlineStr">
        <is>
          <t>shuffled: 222 of 10,000</t>
        </is>
      </c>
      <c r="S20" t="inlineStr">
        <is>
          <t>shuffled: 17 of 10,000</t>
        </is>
      </c>
      <c r="T20" t="n">
        <v>0.07291298769610059</v>
      </c>
      <c r="U20" t="n">
        <v>0.170926840903904</v>
      </c>
      <c r="V20">
        <f>AND(judged_band,NOT($J20))</f>
        <v/>
      </c>
      <c r="W20">
        <f>IF($K20="","",IF($I20,"too few losses to test",IF(AND($K20&gt;better_at,$K20&lt;worse_at),"in line",IF($K20&gt;=worse_at,IF(AND(ISNUMBER($L20),$L20&lt;significance_bar),"worse","worse, not significant"),IF(AND(ISNUMBER($L20),$L20&lt;significance_bar),"better","better, not significant")))))</f>
        <v/>
      </c>
      <c r="X20">
        <f>IF($M20="","",IF($I20,"too few losses to test",IF(AND($M20&gt;better_at,$M20&lt;worse_at),"in line",IF($M20&gt;=worse_at,IF(AND(ISNUMBER($N20),$N20&lt;significance_bar),"worse","worse, not significant"),IF(AND(ISNUMBER($N20),$N20&lt;significance_bar),"better","better, not significant")))))</f>
        <v/>
      </c>
      <c r="Y20">
        <f>IF($V20,$X20,$W20)</f>
        <v/>
      </c>
      <c r="Z20">
        <f>IF($V20,IF($P20="","",$P20),IF($O20="","",$O20))</f>
        <v/>
      </c>
      <c r="AA20">
        <f>IF(OR($Q20="",$Z20=""),"",IF(AND($Z20&gt;0,$Z20&gt;=$Q20),"yes","below the line"))</f>
        <v/>
      </c>
      <c r="AB20">
        <f>IF($V20,IF($M20="","",$M20),IF($K20="","",$K20))</f>
        <v/>
      </c>
      <c r="AC20">
        <f>IF($V20,IF($N20="","",$N20),IF($L20="","",$L20))</f>
        <v/>
      </c>
      <c r="AD20">
        <f>$Y20</f>
        <v/>
      </c>
      <c r="AE20">
        <f>IF($V20,IF($S20="","",$S20),IF($R20="","",$R20))</f>
        <v/>
      </c>
      <c r="AF20">
        <f>IF($V20,IF($U20="","",$U20),IF($T20="","",$T20))</f>
        <v/>
      </c>
      <c r="AG20">
        <f>IF($V20,IF($O20="","",$O20),IF($P20="","",$P20))</f>
        <v/>
      </c>
      <c r="AH20" t="n">
        <v>0.1032366130282964</v>
      </c>
      <c r="AI20">
        <f>IF($Y20="worse","Yes",IF($Y20="worse, not significant","Not sure",IF(OR($Y20="too few losses to test",$Y20="too few loans to test"),"Too few losses",IF($Y20="","","No"))))</f>
        <v/>
      </c>
      <c r="AJ20">
        <f>IF($AA20="yes","Yes",IF($AA20="","","No"))</f>
        <v/>
      </c>
      <c r="AK20" t="n">
        <v>0.002476953906776126</v>
      </c>
      <c r="AL20" t="n">
        <v>0.001589478392877141</v>
      </c>
      <c r="AM20">
        <f>IF(AND(ISNUMBER($AC20),ISNUMBER(IF($V20,IF($AL20="","",$AL20),IF($AK20="","",$AK20)))),IF(AND(ABS($AC20-significance_bar)&lt;=2.0*IF($V20,IF($AL20="","",$AL20),IF($AK20="","",$AK20)),OR($Y20="worse",$Y20="better",$Y20="worse, not significant",$Y20="better, not significant")),IF(ROUND($AC20,3)=ROUND(significance_bar,3),TEXT($AC20,"0.0000"),TEXT($AC20,"0.000")),""),"")</f>
        <v/>
      </c>
      <c r="AN20">
        <f>IF(AND(ISNUMBER($AC20),ISNUMBER(IF($V20,IF($AL20="","",$AL20),IF($AK20="","",$AK20)))),IF(AND(ABS($AC20-significance_bar)&lt;=2.0*IF($V20,IF($AL20="","",$AL20),IF($AK20="","",$AK20)),OR($Y20="worse",$Y20="worse, not significant")),IF(ROUND($AC20,3)=ROUND(significance_bar,3),TEXT($AC20,"0.0000"),TEXT($AC20,"0.000")),""),"")</f>
        <v/>
      </c>
      <c r="AO20">
        <f>IF(OR($AI20="",$AN20=""),$AI20,$AI20&amp;" · borderline (p "&amp;$AN20&amp;")")</f>
        <v/>
      </c>
    </row>
    <row r="21">
      <c r="A21" t="inlineStr">
        <is>
          <t>grids</t>
        </is>
      </c>
      <c r="B21" t="inlineStr">
        <is>
          <t>FICO x CHANNEL</t>
        </is>
      </c>
      <c r="C21" t="inlineStr">
        <is>
          <t>496 - 653</t>
        </is>
      </c>
      <c r="D21" t="inlineStr">
        <is>
          <t>Branch</t>
        </is>
      </c>
      <c r="E21" t="inlineStr">
        <is>
          <t>gco_rate</t>
        </is>
      </c>
      <c r="F21" t="inlineStr">
        <is>
          <t>GCO per booked dollar</t>
        </is>
      </c>
      <c r="G21" t="n">
        <v>502</v>
      </c>
      <c r="H21" t="n">
        <v>16339706.79</v>
      </c>
      <c r="I21" t="b">
        <v>0</v>
      </c>
      <c r="J21" t="b">
        <v>0</v>
      </c>
      <c r="K21" t="n">
        <v>1.319848697701079</v>
      </c>
      <c r="L21" t="n">
        <v>0.1357364263573643</v>
      </c>
      <c r="M21" t="n">
        <v>0.5518943693761096</v>
      </c>
      <c r="N21" t="n">
        <v>0.002999700029997</v>
      </c>
      <c r="O21" t="n">
        <v>213122.1745249684</v>
      </c>
      <c r="P21" t="n">
        <v>-714056.6004070712</v>
      </c>
      <c r="Q21">
        <f>'_live'!$C$22</f>
        <v/>
      </c>
      <c r="R21" t="inlineStr">
        <is>
          <t>shuffled: 904 of 10,000</t>
        </is>
      </c>
      <c r="S21" t="inlineStr">
        <is>
          <t>shuffled: 5 of 10,000</t>
        </is>
      </c>
      <c r="T21" t="n">
        <v>0.04077930247088796</v>
      </c>
      <c r="U21" t="n">
        <v>0.09752320778377145</v>
      </c>
      <c r="V21">
        <f>AND(judged_band,NOT($J21))</f>
        <v/>
      </c>
      <c r="W21">
        <f>IF($K21="","",IF($I21,"too few losses to test",IF(AND($K21&gt;better_at,$K21&lt;worse_at),"in line",IF($K21&gt;=worse_at,IF(AND(ISNUMBER($L21),$L21&lt;significance_bar),"worse","worse, not significant"),IF(AND(ISNUMBER($L21),$L21&lt;significance_bar),"better","better, not significant")))))</f>
        <v/>
      </c>
      <c r="X21">
        <f>IF($M21="","",IF($I21,"too few losses to test",IF(AND($M21&gt;better_at,$M21&lt;worse_at),"in line",IF($M21&gt;=worse_at,IF(AND(ISNUMBER($N21),$N21&lt;significance_bar),"worse","worse, not significant"),IF(AND(ISNUMBER($N21),$N21&lt;significance_bar),"better","better, not significant")))))</f>
        <v/>
      </c>
      <c r="Y21">
        <f>IF($V21,$X21,$W21)</f>
        <v/>
      </c>
      <c r="Z21">
        <f>IF($V21,IF($P21="","",$P21),IF($O21="","",$O21))</f>
        <v/>
      </c>
      <c r="AA21">
        <f>IF(OR($Q21="",$Z21=""),"",IF(AND($Z21&gt;0,$Z21&gt;=$Q21),"yes","below the line"))</f>
        <v/>
      </c>
      <c r="AB21">
        <f>IF($V21,IF($M21="","",$M21),IF($K21="","",$K21))</f>
        <v/>
      </c>
      <c r="AC21">
        <f>IF($V21,IF($N21="","",$N21),IF($L21="","",$L21))</f>
        <v/>
      </c>
      <c r="AD21">
        <f>$Y21</f>
        <v/>
      </c>
      <c r="AE21">
        <f>IF($V21,IF($S21="","",$S21),IF($R21="","",$R21))</f>
        <v/>
      </c>
      <c r="AF21">
        <f>IF($V21,IF($U21="","",$U21),IF($T21="","",$T21))</f>
        <v/>
      </c>
      <c r="AG21">
        <f>IF($V21,IF($O21="","",$O21),IF($P21="","",$P21))</f>
        <v/>
      </c>
      <c r="AH21" t="n">
        <v>0.05382250925935985</v>
      </c>
      <c r="AI21">
        <f>IF($Y21="worse","Yes",IF($Y21="worse, not significant","Not sure",IF(OR($Y21="too few losses to test",$Y21="too few loans to test"),"Too few losses",IF($Y21="","","No"))))</f>
        <v/>
      </c>
      <c r="AJ21">
        <f>IF($AA21="yes","Yes",IF($AA21="","","No"))</f>
        <v/>
      </c>
      <c r="AK21" t="n">
        <v>0.004303257627609323</v>
      </c>
      <c r="AL21" t="n">
        <v>0.001224316215269366</v>
      </c>
      <c r="AM21">
        <f>IF(AND(ISNUMBER($AC21),ISNUMBER(IF($V21,IF($AL21="","",$AL21),IF($AK21="","",$AK21)))),IF(AND(ABS($AC21-significance_bar)&lt;=2.0*IF($V21,IF($AL21="","",$AL21),IF($AK21="","",$AK21)),OR($Y21="worse",$Y21="better",$Y21="worse, not significant",$Y21="better, not significant")),IF(ROUND($AC21,3)=ROUND(significance_bar,3),TEXT($AC21,"0.0000"),TEXT($AC21,"0.000")),""),"")</f>
        <v/>
      </c>
      <c r="AN21">
        <f>IF(AND(ISNUMBER($AC21),ISNUMBER(IF($V21,IF($AL21="","",$AL21),IF($AK21="","",$AK21)))),IF(AND(ABS($AC21-significance_bar)&lt;=2.0*IF($V21,IF($AL21="","",$AL21),IF($AK21="","",$AK21)),OR($Y21="worse",$Y21="worse, not significant")),IF(ROUND($AC21,3)=ROUND(significance_bar,3),TEXT($AC21,"0.0000"),TEXT($AC21,"0.000")),""),"")</f>
        <v/>
      </c>
      <c r="AO21">
        <f>IF(OR($AI21="",$AN21=""),$AI21,$AI21&amp;" · borderline (p "&amp;$AN21&amp;")")</f>
        <v/>
      </c>
    </row>
    <row r="22">
      <c r="A22" t="inlineStr">
        <is>
          <t>grids</t>
        </is>
      </c>
      <c r="B22" t="inlineStr">
        <is>
          <t>FICO x CHANNEL</t>
        </is>
      </c>
      <c r="C22" t="inlineStr">
        <is>
          <t>496 - 653</t>
        </is>
      </c>
      <c r="D22" t="inlineStr">
        <is>
          <t>Branch</t>
        </is>
      </c>
      <c r="E22" t="inlineStr">
        <is>
          <t>ranr_rate</t>
        </is>
      </c>
      <c r="F22" t="inlineStr">
        <is>
          <t>Profit after losses: RANR per booked dollar</t>
        </is>
      </c>
      <c r="G22" t="n">
        <v>502</v>
      </c>
      <c r="H22" t="n">
        <v>16339706.79</v>
      </c>
      <c r="I22" t="b">
        <v>0</v>
      </c>
      <c r="J22" t="b">
        <v>0</v>
      </c>
      <c r="K22" t="n">
        <v>0.09510504063437188</v>
      </c>
      <c r="L22" t="n">
        <v>0.0002110900021109</v>
      </c>
      <c r="M22" t="n">
        <v>0.03967676561685449</v>
      </c>
      <c r="N22" t="n">
        <v>0.0323967603239676</v>
      </c>
      <c r="O22" t="n">
        <v>-1553988.478216672</v>
      </c>
      <c r="P22" t="n">
        <v>-648306.716554956</v>
      </c>
      <c r="Q22">
        <f>'_live'!$C$23</f>
        <v/>
      </c>
      <c r="R22" t="inlineStr">
        <is>
          <t>shuffled: 0 of 10,000</t>
        </is>
      </c>
      <c r="S22" t="inlineStr">
        <is>
          <t>shuffled: 71 of 10,000</t>
        </is>
      </c>
      <c r="T22" t="n">
        <v>0.1219684359943966</v>
      </c>
      <c r="U22" t="n">
        <v>0.177396711011914</v>
      </c>
      <c r="V22">
        <f>AND(judged_band,NOT($J22))</f>
        <v/>
      </c>
      <c r="W22">
        <f>IF($K22="","",IF(profit_kind="test",IF(OR(NOT(AND(ISNUMBER($L22),$L22&lt;significance_bar)),$K22=0),"in line",IF($K22&lt;0,"worse","better")),IF(OR($K22=0,IF(profit_kind="points",ABS($K22),ABS($K22*$H22))&lt;profit_line*(1-1E-9)),"in line",IF(AND(ISNUMBER($L22),$L22&lt;significance_bar),IF($K22&lt;0,"worse","better"),IF($K22&lt;0,"worse, not significant","better, not significant")))))</f>
        <v/>
      </c>
      <c r="X22">
        <f>IF($M22="","",IF(profit_kind="test",IF(OR(NOT(AND(ISNUMBER($N22),$N22&lt;significance_bar)),$M22=0),"in line",IF($M22&lt;0,"worse","better")),IF(OR($M22=0,IF(profit_kind="points",ABS($M22),ABS($M22*$H22))&lt;profit_line*(1-1E-9)),"in line",IF(AND(ISNUMBER($N22),$N22&lt;significance_bar),IF($M22&lt;0,"worse","better"),IF($M22&lt;0,"worse, not significant","better, not significant")))))</f>
        <v/>
      </c>
      <c r="Y22">
        <f>IF($V22,$X22,$W22)</f>
        <v/>
      </c>
      <c r="Z22">
        <f>IF($V22,IF($P22="","",$P22),IF($O22="","",$O22))</f>
        <v/>
      </c>
      <c r="AA22">
        <f>IF(OR($Q22="",$Z22=""),"",IF(AND($Z22&gt;0,$Z22&gt;=$Q22),"yes","below the line"))</f>
        <v/>
      </c>
      <c r="AB22">
        <f>IF($V22,IF($M22="","",$M22),IF($K22="","",$K22))</f>
        <v/>
      </c>
      <c r="AC22">
        <f>IF($V22,IF($N22="","",$N22),IF($L22="","",$L22))</f>
        <v/>
      </c>
      <c r="AD22">
        <f>IF($Y22="","",IF($Y22="in line",IF(profit_kind="test",IF(ROUND($AB22*100,2)=0,"0.00",TEXT($AB22*100,"+0.00;-0.00"))&amp;" points against "&amp;IF($V22,"its band","the book")&amp;", "&amp;IF($AC22="","not tested","not significant"),IF(profit_kind="points","within "&amp;TEXT(profit_line*100,"0.00")&amp;" points of "&amp;IF($V22,"its band","the book")&amp;" ("&amp;IF(ROUND($AB22*100,2)=0,"0.00",TEXT($AB22*100,"+0.00;-0.00"))&amp;")","within $"&amp;TEXT(profit_line,"#,##0")&amp;" of "&amp;IF($V22,"its band","the book")&amp;" ("&amp;IF(ROUND($AB22*100,2)=0,"0.00",TEXT($AB22*100,"+0.00;-0.00"))&amp;" points)")),IF(LEFT($Y22,5)="worse","short of ","ahead of ")&amp;IF($V22,"its band","the book")&amp;" by "&amp;TEXT(ABS($AB22)*100,"0.00")&amp;" points"&amp;IF($Z22="",""," ($"&amp;TEXT(ABS($Z22),"#,##0")&amp;")")&amp;IF(RIGHT($Y22,15)="not significant"," (not significant)","")))</f>
        <v/>
      </c>
      <c r="AE22">
        <f>IF($V22,IF($S22="","",$S22),IF($R22="","",$R22))</f>
        <v/>
      </c>
      <c r="AF22">
        <f>IF($V22,IF($U22="","",$U22),IF($T22="","",$T22))</f>
        <v/>
      </c>
      <c r="AG22">
        <f>IF($V22,IF($O22="","",$O22),IF($P22="","",$P22))</f>
        <v/>
      </c>
      <c r="AH22" t="n">
        <v>0.2170734766287685</v>
      </c>
      <c r="AI22">
        <f>IF($Y22="worse","Yes",IF($Y22="worse, not significant","Not sure",IF(OR($Y22="too few losses to test",$Y22="too few loans to test"),"Too few losses",IF($Y22="","","No"))))</f>
        <v/>
      </c>
      <c r="AJ22">
        <f>IF($AA22="yes","Yes",IF($AA22="","","No"))</f>
        <v/>
      </c>
      <c r="AK22" t="n">
        <v>0.0002110900021109</v>
      </c>
      <c r="AL22" t="n">
        <v>0.003804416793391145</v>
      </c>
      <c r="AM22">
        <f>IF(AND(ISNUMBER($AC22),ISNUMBER(IF($V22,IF($AL22="","",$AL22),IF($AK22="","",$AK22)))),IF(AND(ABS($AC22-significance_bar)&lt;=2.0*IF($V22,IF($AL22="","",$AL22),IF($AK22="","",$AK22)),OR($Y22="worse",$Y22="better",$Y22="worse, not significant",$Y22="better, not significant",AND(profit_kind="test",$Y22="in line",ISNUMBER($AB22),$AB22&lt;&gt;0))),IF(ROUND($AC22,3)=ROUND(significance_bar,3),TEXT($AC22,"0.0000"),TEXT($AC22,"0.000")),""),"")</f>
        <v/>
      </c>
      <c r="AN22">
        <f>IF(AND(ISNUMBER($AC22),ISNUMBER(IF($V22,IF($AL22="","",$AL22),IF($AK22="","",$AK22)))),IF(AND(ABS($AC22-significance_bar)&lt;=2.0*IF($V22,IF($AL22="","",$AL22),IF($AK22="","",$AK22)),OR($Y22="worse",$Y22="worse, not significant",AND(profit_kind="test",$Y22="in line",ISNUMBER($AB22),$AB22&lt;0))),IF(ROUND($AC22,3)=ROUND(significance_bar,3),TEXT($AC22,"0.0000"),TEXT($AC22,"0.000")),""),"")</f>
        <v/>
      </c>
      <c r="AO22">
        <f>IF(OR($AI22="",$AN22=""),$AI22,$AI22&amp;" · borderline (p "&amp;$AN22&amp;")")</f>
        <v/>
      </c>
    </row>
    <row r="23">
      <c r="A23" t="inlineStr">
        <is>
          <t>grids</t>
        </is>
      </c>
      <c r="B23" t="inlineStr">
        <is>
          <t>FICO x CHANNEL</t>
        </is>
      </c>
      <c r="C23" t="inlineStr">
        <is>
          <t>496 - 653</t>
        </is>
      </c>
      <c r="D23" t="inlineStr">
        <is>
          <t>Branch</t>
        </is>
      </c>
      <c r="E23" t="inlineStr">
        <is>
          <t>contribution_rate</t>
        </is>
      </c>
      <c r="F23" t="inlineStr">
        <is>
          <t>Contribution before losses per booked dollar</t>
        </is>
      </c>
      <c r="G23" t="n">
        <v>502</v>
      </c>
      <c r="H23" t="n">
        <v>16339706.79</v>
      </c>
      <c r="I23" t="b">
        <v>0</v>
      </c>
      <c r="J23" t="b">
        <v>0</v>
      </c>
      <c r="K23" t="n">
        <v>0.1081522886986904</v>
      </c>
      <c r="L23" t="n">
        <v>0.000158317501583175</v>
      </c>
      <c r="M23" t="n">
        <v>-0.004023932907556982</v>
      </c>
      <c r="N23" t="n">
        <v>0.6793791209114383</v>
      </c>
      <c r="O23" t="n">
        <v>-1767176.686004032</v>
      </c>
      <c r="P23" t="n">
        <v>65749.88385211304</v>
      </c>
      <c r="Q23">
        <f>'_live'!$C$24</f>
        <v/>
      </c>
      <c r="R23" t="inlineStr">
        <is>
          <t>shuffled: 0 of 10,000</t>
        </is>
      </c>
      <c r="S23" t="inlineStr">
        <is>
          <t>shuffled: 6,416 of 10,000</t>
        </is>
      </c>
      <c r="T23" t="n">
        <v>0.1627436971894379</v>
      </c>
      <c r="U23" t="n">
        <v>0.2749199187956853</v>
      </c>
      <c r="V23">
        <f>AND(judged_band,NOT($J23))</f>
        <v/>
      </c>
      <c r="W23">
        <f>IF($K23="","",IF(profit_kind="test",IF(OR(NOT(AND(ISNUMBER($L23),$L23&lt;significance_bar)),$K23=0),"in line",IF($K23&lt;0,"worse","better")),IF(OR($K23=0,IF(profit_kind="points",ABS($K23),ABS($K23*$H23))&lt;profit_line*(1-1E-9)),"in line",IF(AND(ISNUMBER($L23),$L23&lt;significance_bar),IF($K23&lt;0,"worse","better"),IF($K23&lt;0,"worse, not significant","better, not significant")))))</f>
        <v/>
      </c>
      <c r="X23">
        <f>IF($M23="","",IF(profit_kind="test",IF(OR(NOT(AND(ISNUMBER($N23),$N23&lt;significance_bar)),$M23=0),"in line",IF($M23&lt;0,"worse","better")),IF(OR($M23=0,IF(profit_kind="points",ABS($M23),ABS($M23*$H23))&lt;profit_line*(1-1E-9)),"in line",IF(AND(ISNUMBER($N23),$N23&lt;significance_bar),IF($M23&lt;0,"worse","better"),IF($M23&lt;0,"worse, not significant","better, not significant")))))</f>
        <v/>
      </c>
      <c r="Y23">
        <f>IF($V23,$X23,$W23)</f>
        <v/>
      </c>
      <c r="Z23">
        <f>IF($V23,IF($P23="","",$P23),IF($O23="","",$O23))</f>
        <v/>
      </c>
      <c r="AA23">
        <f>IF(OR($Q23="",$Z23=""),"",IF(AND($Z23&gt;0,$Z23&gt;=$Q23),"yes","below the line"))</f>
        <v/>
      </c>
      <c r="AB23">
        <f>IF($V23,IF($M23="","",$M23),IF($K23="","",$K23))</f>
        <v/>
      </c>
      <c r="AC23">
        <f>IF($V23,IF($N23="","",$N23),IF($L23="","",$L23))</f>
        <v/>
      </c>
      <c r="AD23">
        <f>IF($Y23="","",IF($Y23="in line",IF(profit_kind="test",IF(ROUND($AB23*100,2)=0,"0.00",TEXT($AB23*100,"+0.00;-0.00"))&amp;" points against "&amp;IF($V23,"its band","the book")&amp;", "&amp;IF($AC23="","not tested","not significant"),IF(profit_kind="points","within "&amp;TEXT(profit_line*100,"0.00")&amp;" points of "&amp;IF($V23,"its band","the book")&amp;" ("&amp;IF(ROUND($AB23*100,2)=0,"0.00",TEXT($AB23*100,"+0.00;-0.00"))&amp;")","within $"&amp;TEXT(profit_line,"#,##0")&amp;" of "&amp;IF($V23,"its band","the book")&amp;" ("&amp;IF(ROUND($AB23*100,2)=0,"0.00",TEXT($AB23*100,"+0.00;-0.00"))&amp;" points)")),IF(LEFT($Y23,5)="worse","short of ","ahead of ")&amp;IF($V23,"its band","the book")&amp;" by "&amp;TEXT(ABS($AB23)*100,"0.00")&amp;" points"&amp;IF($Z23="",""," ($"&amp;TEXT(ABS($Z23),"#,##0")&amp;")")&amp;IF(RIGHT($Y23,15)="not significant"," (not significant)","")))</f>
        <v/>
      </c>
      <c r="AE23">
        <f>IF($V23,IF($S23="","",$S23),IF($R23="","",$R23))</f>
        <v/>
      </c>
      <c r="AF23">
        <f>IF($V23,IF($U23="","",$U23),IF($T23="","",$T23))</f>
        <v/>
      </c>
      <c r="AG23">
        <f>IF($V23,IF($O23="","",$O23),IF($P23="","",$P23))</f>
        <v/>
      </c>
      <c r="AH23" t="n">
        <v>0.2708959858881283</v>
      </c>
      <c r="AI23">
        <f>IF($Y23="worse","Yes",IF($Y23="worse, not significant","Not sure",IF(OR($Y23="too few losses to test",$Y23="too few loans to test"),"Too few losses",IF($Y23="","","No"))))</f>
        <v/>
      </c>
      <c r="AJ23">
        <f>IF($AA23="yes","Yes",IF($AA23="","","No"))</f>
        <v/>
      </c>
      <c r="AK23" t="n">
        <v>0.000158317501583175</v>
      </c>
      <c r="AL23" t="n">
        <v>0.005077269036418224</v>
      </c>
      <c r="AM23">
        <f>IF(AND(ISNUMBER($AC23),ISNUMBER(IF($V23,IF($AL23="","",$AL23),IF($AK23="","",$AK23)))),IF(AND(ABS($AC23-significance_bar)&lt;=2.0*IF($V23,IF($AL23="","",$AL23),IF($AK23="","",$AK23)),OR($Y23="worse",$Y23="better",$Y23="worse, not significant",$Y23="better, not significant",AND(profit_kind="test",$Y23="in line",ISNUMBER($AB23),$AB23&lt;&gt;0))),IF(ROUND($AC23,3)=ROUND(significance_bar,3),TEXT($AC23,"0.0000"),TEXT($AC23,"0.000")),""),"")</f>
        <v/>
      </c>
      <c r="AN23">
        <f>IF(AND(ISNUMBER($AC23),ISNUMBER(IF($V23,IF($AL23="","",$AL23),IF($AK23="","",$AK23)))),IF(AND(ABS($AC23-significance_bar)&lt;=2.0*IF($V23,IF($AL23="","",$AL23),IF($AK23="","",$AK23)),OR($Y23="worse",$Y23="worse, not significant",AND(profit_kind="test",$Y23="in line",ISNUMBER($AB23),$AB23&lt;0))),IF(ROUND($AC23,3)=ROUND(significance_bar,3),TEXT($AC23,"0.0000"),TEXT($AC23,"0.000")),""),"")</f>
        <v/>
      </c>
      <c r="AO23">
        <f>IF(OR($AI23="",$AN23=""),$AI23,$AI23&amp;" · borderline (p "&amp;$AN23&amp;")")</f>
        <v/>
      </c>
    </row>
    <row r="24">
      <c r="A24" t="inlineStr">
        <is>
          <t>grids</t>
        </is>
      </c>
      <c r="B24" t="inlineStr">
        <is>
          <t>FICO x CHANNEL</t>
        </is>
      </c>
      <c r="C24" t="inlineStr">
        <is>
          <t>746 - 921</t>
        </is>
      </c>
      <c r="D24" t="inlineStr">
        <is>
          <t>Branch</t>
        </is>
      </c>
      <c r="E24" t="inlineStr">
        <is>
          <t>outcome_loans</t>
        </is>
      </c>
      <c r="F24" t="inlineStr">
        <is>
          <t>Outcome, share of loans</t>
        </is>
      </c>
      <c r="G24" t="n">
        <v>518</v>
      </c>
      <c r="H24" t="n">
        <v>518</v>
      </c>
      <c r="I24" t="b">
        <v>0</v>
      </c>
      <c r="J24" t="b">
        <v>0</v>
      </c>
      <c r="K24" t="n">
        <v>0.5573287813220699</v>
      </c>
      <c r="L24" t="n">
        <v>0.009179207664643392</v>
      </c>
      <c r="M24" t="n">
        <v>1.198841698841699</v>
      </c>
      <c r="N24" t="n">
        <v>0.7213952466964266</v>
      </c>
      <c r="O24" t="n">
        <v>-18.26827964175912</v>
      </c>
      <c r="P24" t="n">
        <v>3.814814814814817</v>
      </c>
      <c r="Q24">
        <f>'_live'!$C$20</f>
        <v/>
      </c>
      <c r="R24" t="inlineStr">
        <is>
          <t>z test</t>
        </is>
      </c>
      <c r="S24" t="inlineStr">
        <is>
          <t>z test</t>
        </is>
      </c>
      <c r="T24" t="n">
        <v>0.07966849351690951</v>
      </c>
      <c r="U24" t="n">
        <v>0.03703703703703703</v>
      </c>
      <c r="V24">
        <f>AND(judged_band,NOT($J24))</f>
        <v/>
      </c>
      <c r="W24">
        <f>IF($K24="","",IF($I24,"too few losses to test",IF(AND($K24&gt;better_at,$K24&lt;worse_at),"in line",IF($K24&gt;=worse_at,IF(AND(ISNUMBER($L24),$L24&lt;significance_bar),"worse","worse, not significant"),IF(AND(ISNUMBER($L24),$L24&lt;significance_bar),"better","better, not significant")))))</f>
        <v/>
      </c>
      <c r="X24">
        <f>IF($M24="","",IF($I24,"too few losses to test",IF(AND($M24&gt;better_at,$M24&lt;worse_at),"in line",IF($M24&gt;=worse_at,IF(AND(ISNUMBER($N24),$N24&lt;significance_bar),"worse","worse, not significant"),IF(AND(ISNUMBER($N24),$N24&lt;significance_bar),"better","better, not significant")))))</f>
        <v/>
      </c>
      <c r="Y24">
        <f>IF($V24,$X24,$W24)</f>
        <v/>
      </c>
      <c r="Z24">
        <f>IF($V24,IF($P24="","",$P24),IF($O24="","",$O24))</f>
        <v/>
      </c>
      <c r="AA24">
        <f>IF(OR($Q24="",$Z24=""),"",IF(AND($Z24&gt;0,$Z24&gt;=$Q24),"yes","below the line"))</f>
        <v/>
      </c>
      <c r="AB24">
        <f>IF($V24,IF($M24="","",$M24),IF($K24="","",$K24))</f>
        <v/>
      </c>
      <c r="AC24">
        <f>IF($V24,IF($N24="","",$N24),IF($L24="","",$L24))</f>
        <v/>
      </c>
      <c r="AD24">
        <f>$Y24</f>
        <v/>
      </c>
      <c r="AE24">
        <f>IF($V24,IF($S24="","",$S24),IF($R24="","",$R24))</f>
        <v/>
      </c>
      <c r="AF24">
        <f>IF($V24,IF($U24="","",$U24),IF($T24="","",$T24))</f>
        <v/>
      </c>
      <c r="AG24">
        <f>IF($V24,IF($O24="","",$O24),IF($P24="","",$P24))</f>
        <v/>
      </c>
      <c r="AH24" t="n">
        <v>0.0444015444015444</v>
      </c>
      <c r="AI24">
        <f>IF($Y24="worse","Yes",IF($Y24="worse, not significant","Not sure",IF(OR($Y24="too few losses to test",$Y24="too few loans to test"),"Too few losses",IF($Y24="","","No"))))</f>
        <v/>
      </c>
      <c r="AJ24">
        <f>IF($AA24="yes","Yes",IF($AA24="","","No"))</f>
        <v/>
      </c>
      <c r="AM24">
        <f>IF(AND(ISNUMBER($AC24),ISNUMBER(IF($V24,IF($AL24="","",$AL24),IF($AK24="","",$AK24)))),IF(AND(ABS($AC24-significance_bar)&lt;=2.0*IF($V24,IF($AL24="","",$AL24),IF($AK24="","",$AK24)),OR($Y24="worse",$Y24="better",$Y24="worse, not significant",$Y24="better, not significant")),IF(ROUND($AC24,3)=ROUND(significance_bar,3),TEXT($AC24,"0.0000"),TEXT($AC24,"0.000")),""),"")</f>
        <v/>
      </c>
      <c r="AN24">
        <f>IF(AND(ISNUMBER($AC24),ISNUMBER(IF($V24,IF($AL24="","",$AL24),IF($AK24="","",$AK24)))),IF(AND(ABS($AC24-significance_bar)&lt;=2.0*IF($V24,IF($AL24="","",$AL24),IF($AK24="","",$AK24)),OR($Y24="worse",$Y24="worse, not significant")),IF(ROUND($AC24,3)=ROUND(significance_bar,3),TEXT($AC24,"0.0000"),TEXT($AC24,"0.000")),""),"")</f>
        <v/>
      </c>
      <c r="AO24">
        <f>IF(OR($AI24="",$AN24=""),$AI24,$AI24&amp;" · borderline (p "&amp;$AN24&amp;")")</f>
        <v/>
      </c>
    </row>
    <row r="25">
      <c r="A25" t="inlineStr">
        <is>
          <t>grids</t>
        </is>
      </c>
      <c r="B25" t="inlineStr">
        <is>
          <t>FICO x CHANNEL</t>
        </is>
      </c>
      <c r="C25" t="inlineStr">
        <is>
          <t>746 - 921</t>
        </is>
      </c>
      <c r="D25" t="inlineStr">
        <is>
          <t>Branch</t>
        </is>
      </c>
      <c r="E25" t="inlineStr">
        <is>
          <t>outcome_booked</t>
        </is>
      </c>
      <c r="F25" t="inlineStr">
        <is>
          <t>Outcome, share of booked dollars</t>
        </is>
      </c>
      <c r="G25" t="n">
        <v>518</v>
      </c>
      <c r="H25" t="n">
        <v>16450329.83000001</v>
      </c>
      <c r="I25" t="b">
        <v>0</v>
      </c>
      <c r="J25" t="b">
        <v>0</v>
      </c>
      <c r="K25" t="n">
        <v>0.530865292683231</v>
      </c>
      <c r="L25" t="n">
        <v>0.014998500149985</v>
      </c>
      <c r="M25" t="n">
        <v>1.175288487477193</v>
      </c>
      <c r="N25" t="n">
        <v>0.7831944078319442</v>
      </c>
      <c r="O25" t="n">
        <v>-595290.2971687946</v>
      </c>
      <c r="P25" t="n">
        <v>100467.242903178</v>
      </c>
      <c r="Q25">
        <f>'_live'!$C$21</f>
        <v/>
      </c>
      <c r="R25" t="inlineStr">
        <is>
          <t>shuffled: 59 of 10,000</t>
        </is>
      </c>
      <c r="S25" t="inlineStr">
        <is>
          <t>shuffled: 5,743 of 10,000</t>
        </is>
      </c>
      <c r="T25" t="n">
        <v>0.07713591400791954</v>
      </c>
      <c r="U25" t="n">
        <v>0.03484147084100268</v>
      </c>
      <c r="V25">
        <f>AND(judged_band,NOT($J25))</f>
        <v/>
      </c>
      <c r="W25">
        <f>IF($K25="","",IF($I25,"too few losses to test",IF(AND($K25&gt;better_at,$K25&lt;worse_at),"in line",IF($K25&gt;=worse_at,IF(AND(ISNUMBER($L25),$L25&lt;significance_bar),"worse","worse, not significant"),IF(AND(ISNUMBER($L25),$L25&lt;significance_bar),"better","better, not significant")))))</f>
        <v/>
      </c>
      <c r="X25">
        <f>IF($M25="","",IF($I25,"too few losses to test",IF(AND($M25&gt;better_at,$M25&lt;worse_at),"in line",IF($M25&gt;=worse_at,IF(AND(ISNUMBER($N25),$N25&lt;significance_bar),"worse","worse, not significant"),IF(AND(ISNUMBER($N25),$N25&lt;significance_bar),"better","better, not significant")))))</f>
        <v/>
      </c>
      <c r="Y25">
        <f>IF($V25,$X25,$W25)</f>
        <v/>
      </c>
      <c r="Z25">
        <f>IF($V25,IF($P25="","",$P25),IF($O25="","",$O25))</f>
        <v/>
      </c>
      <c r="AA25">
        <f>IF(OR($Q25="",$Z25=""),"",IF(AND($Z25&gt;0,$Z25&gt;=$Q25),"yes","below the line"))</f>
        <v/>
      </c>
      <c r="AB25">
        <f>IF($V25,IF($M25="","",$M25),IF($K25="","",$K25))</f>
        <v/>
      </c>
      <c r="AC25">
        <f>IF($V25,IF($N25="","",$N25),IF($L25="","",$L25))</f>
        <v/>
      </c>
      <c r="AD25">
        <f>$Y25</f>
        <v/>
      </c>
      <c r="AE25">
        <f>IF($V25,IF($S25="","",$S25),IF($R25="","",$R25))</f>
        <v/>
      </c>
      <c r="AF25">
        <f>IF($V25,IF($U25="","",$U25),IF($T25="","",$T25))</f>
        <v/>
      </c>
      <c r="AG25">
        <f>IF($V25,IF($O25="","",$O25),IF($P25="","",$P25))</f>
        <v/>
      </c>
      <c r="AH25" t="n">
        <v>0.04094877956620275</v>
      </c>
      <c r="AI25">
        <f>IF($Y25="worse","Yes",IF($Y25="worse, not significant","Not sure",IF(OR($Y25="too few losses to test",$Y25="too few loans to test"),"Too few losses",IF($Y25="","","No"))))</f>
        <v/>
      </c>
      <c r="AJ25">
        <f>IF($AA25="yes","Yes",IF($AA25="","","No"))</f>
        <v/>
      </c>
      <c r="AK25" t="n">
        <v>0.001930577513808068</v>
      </c>
      <c r="AL25" t="n">
        <v>0.006742394929526583</v>
      </c>
      <c r="AM25">
        <f>IF(AND(ISNUMBER($AC25),ISNUMBER(IF($V25,IF($AL25="","",$AL25),IF($AK25="","",$AK25)))),IF(AND(ABS($AC25-significance_bar)&lt;=2.0*IF($V25,IF($AL25="","",$AL25),IF($AK25="","",$AK25)),OR($Y25="worse",$Y25="better",$Y25="worse, not significant",$Y25="better, not significant")),IF(ROUND($AC25,3)=ROUND(significance_bar,3),TEXT($AC25,"0.0000"),TEXT($AC25,"0.000")),""),"")</f>
        <v/>
      </c>
      <c r="AN25">
        <f>IF(AND(ISNUMBER($AC25),ISNUMBER(IF($V25,IF($AL25="","",$AL25),IF($AK25="","",$AK25)))),IF(AND(ABS($AC25-significance_bar)&lt;=2.0*IF($V25,IF($AL25="","",$AL25),IF($AK25="","",$AK25)),OR($Y25="worse",$Y25="worse, not significant")),IF(ROUND($AC25,3)=ROUND(significance_bar,3),TEXT($AC25,"0.0000"),TEXT($AC25,"0.000")),""),"")</f>
        <v/>
      </c>
      <c r="AO25">
        <f>IF(OR($AI25="",$AN25=""),$AI25,$AI25&amp;" · borderline (p "&amp;$AN25&amp;")")</f>
        <v/>
      </c>
    </row>
    <row r="26">
      <c r="A26" t="inlineStr">
        <is>
          <t>grids</t>
        </is>
      </c>
      <c r="B26" t="inlineStr">
        <is>
          <t>FICO x CHANNEL</t>
        </is>
      </c>
      <c r="C26" t="inlineStr">
        <is>
          <t>746 - 921</t>
        </is>
      </c>
      <c r="D26" t="inlineStr">
        <is>
          <t>Branch</t>
        </is>
      </c>
      <c r="E26" t="inlineStr">
        <is>
          <t>gco_rate</t>
        </is>
      </c>
      <c r="F26" t="inlineStr">
        <is>
          <t>GCO per booked dollar</t>
        </is>
      </c>
      <c r="G26" t="n">
        <v>518</v>
      </c>
      <c r="H26" t="n">
        <v>16450329.83000001</v>
      </c>
      <c r="I26" t="b">
        <v>0</v>
      </c>
      <c r="J26" t="b">
        <v>0</v>
      </c>
      <c r="K26" t="n">
        <v>0.5266966495227127</v>
      </c>
      <c r="L26" t="n">
        <v>0.01924807519248075</v>
      </c>
      <c r="M26" t="n">
        <v>1.264427615577086</v>
      </c>
      <c r="N26" t="n">
        <v>0.6053940060539401</v>
      </c>
      <c r="O26" t="n">
        <v>-334017.3853956094</v>
      </c>
      <c r="P26" t="n">
        <v>77732.54473390407</v>
      </c>
      <c r="Q26">
        <f>'_live'!$C$22</f>
        <v/>
      </c>
      <c r="R26" t="inlineStr">
        <is>
          <t>shuffled: 64 of 10,000</t>
        </is>
      </c>
      <c r="S26" t="inlineStr">
        <is>
          <t>shuffled: 4,164 of 10,000</t>
        </is>
      </c>
      <c r="T26" t="n">
        <v>0.04289976205271071</v>
      </c>
      <c r="U26" t="n">
        <v>0.01786987302406542</v>
      </c>
      <c r="V26">
        <f>AND(judged_band,NOT($J26))</f>
        <v/>
      </c>
      <c r="W26">
        <f>IF($K26="","",IF($I26,"too few losses to test",IF(AND($K26&gt;better_at,$K26&lt;worse_at),"in line",IF($K26&gt;=worse_at,IF(AND(ISNUMBER($L26),$L26&lt;significance_bar),"worse","worse, not significant"),IF(AND(ISNUMBER($L26),$L26&lt;significance_bar),"better","better, not significant")))))</f>
        <v/>
      </c>
      <c r="X26">
        <f>IF($M26="","",IF($I26,"too few losses to test",IF(AND($M26&gt;better_at,$M26&lt;worse_at),"in line",IF($M26&gt;=worse_at,IF(AND(ISNUMBER($N26),$N26&lt;significance_bar),"worse","worse, not significant"),IF(AND(ISNUMBER($N26),$N26&lt;significance_bar),"better","better, not significant")))))</f>
        <v/>
      </c>
      <c r="Y26">
        <f>IF($V26,$X26,$W26)</f>
        <v/>
      </c>
      <c r="Z26">
        <f>IF($V26,IF($P26="","",$P26),IF($O26="","",$O26))</f>
        <v/>
      </c>
      <c r="AA26">
        <f>IF(OR($Q26="",$Z26=""),"",IF(AND($Z26&gt;0,$Z26&gt;=$Q26),"yes","below the line"))</f>
        <v/>
      </c>
      <c r="AB26">
        <f>IF($V26,IF($M26="","",$M26),IF($K26="","",$K26))</f>
        <v/>
      </c>
      <c r="AC26">
        <f>IF($V26,IF($N26="","",$N26),IF($L26="","",$L26))</f>
        <v/>
      </c>
      <c r="AD26">
        <f>$Y26</f>
        <v/>
      </c>
      <c r="AE26">
        <f>IF($V26,IF($S26="","",$S26),IF($R26="","",$R26))</f>
        <v/>
      </c>
      <c r="AF26">
        <f>IF($V26,IF($U26="","",$U26),IF($T26="","",$T26))</f>
        <v/>
      </c>
      <c r="AG26">
        <f>IF($V26,IF($O26="","",$O26),IF($P26="","",$P26))</f>
        <v/>
      </c>
      <c r="AH26" t="n">
        <v>0.02259516093848434</v>
      </c>
      <c r="AI26">
        <f>IF($Y26="worse","Yes",IF($Y26="worse, not significant","Not sure",IF(OR($Y26="too few losses to test",$Y26="too few loans to test"),"Too few losses",IF($Y26="","","No"))))</f>
        <v/>
      </c>
      <c r="AJ26">
        <f>IF($AA26="yes","Yes",IF($AA26="","","No"))</f>
        <v/>
      </c>
      <c r="AK26" t="n">
        <v>0.002185170464347953</v>
      </c>
      <c r="AL26" t="n">
        <v>0.006775214966453888</v>
      </c>
      <c r="AM26">
        <f>IF(AND(ISNUMBER($AC26),ISNUMBER(IF($V26,IF($AL26="","",$AL26),IF($AK26="","",$AK26)))),IF(AND(ABS($AC26-significance_bar)&lt;=2.0*IF($V26,IF($AL26="","",$AL26),IF($AK26="","",$AK26)),OR($Y26="worse",$Y26="better",$Y26="worse, not significant",$Y26="better, not significant")),IF(ROUND($AC26,3)=ROUND(significance_bar,3),TEXT($AC26,"0.0000"),TEXT($AC26,"0.000")),""),"")</f>
        <v/>
      </c>
      <c r="AN26">
        <f>IF(AND(ISNUMBER($AC26),ISNUMBER(IF($V26,IF($AL26="","",$AL26),IF($AK26="","",$AK26)))),IF(AND(ABS($AC26-significance_bar)&lt;=2.0*IF($V26,IF($AL26="","",$AL26),IF($AK26="","",$AK26)),OR($Y26="worse",$Y26="worse, not significant")),IF(ROUND($AC26,3)=ROUND(significance_bar,3),TEXT($AC26,"0.0000"),TEXT($AC26,"0.000")),""),"")</f>
        <v/>
      </c>
      <c r="AO26">
        <f>IF(OR($AI26="",$AN26=""),$AI26,$AI26&amp;" · borderline (p "&amp;$AN26&amp;")")</f>
        <v/>
      </c>
    </row>
    <row r="27">
      <c r="A27" t="inlineStr">
        <is>
          <t>grids</t>
        </is>
      </c>
      <c r="B27" t="inlineStr">
        <is>
          <t>FICO x CHANNEL</t>
        </is>
      </c>
      <c r="C27" t="inlineStr">
        <is>
          <t>746 - 921</t>
        </is>
      </c>
      <c r="D27" t="inlineStr">
        <is>
          <t>Branch</t>
        </is>
      </c>
      <c r="E27" t="inlineStr">
        <is>
          <t>ranr_rate</t>
        </is>
      </c>
      <c r="F27" t="inlineStr">
        <is>
          <t>Profit after losses: RANR per booked dollar</t>
        </is>
      </c>
      <c r="G27" t="n">
        <v>518</v>
      </c>
      <c r="H27" t="n">
        <v>16450329.83000001</v>
      </c>
      <c r="I27" t="b">
        <v>0</v>
      </c>
      <c r="J27" t="b">
        <v>0</v>
      </c>
      <c r="K27" t="n">
        <v>-0.08909269908056701</v>
      </c>
      <c r="L27" t="n">
        <v>0.0002110900021109</v>
      </c>
      <c r="M27" t="n">
        <v>-0.003213052463847316</v>
      </c>
      <c r="N27" t="n">
        <v>0.6815693430656935</v>
      </c>
      <c r="O27" t="n">
        <v>1465604.285320266</v>
      </c>
      <c r="P27" t="n">
        <v>52855.77279138251</v>
      </c>
      <c r="Q27">
        <f>'_live'!$C$23</f>
        <v/>
      </c>
      <c r="R27" t="inlineStr">
        <is>
          <t>shuffled: 0 of 10,000</t>
        </is>
      </c>
      <c r="S27" t="inlineStr">
        <is>
          <t>shuffled: 6,058 of 10,000</t>
        </is>
      </c>
      <c r="T27" t="n">
        <v>0.1336691797698907</v>
      </c>
      <c r="U27" t="n">
        <v>0.04778953315317096</v>
      </c>
      <c r="V27">
        <f>AND(judged_band,NOT($J27))</f>
        <v/>
      </c>
      <c r="W27">
        <f>IF($K27="","",IF(profit_kind="test",IF(OR(NOT(AND(ISNUMBER($L27),$L27&lt;significance_bar)),$K27=0),"in line",IF($K27&lt;0,"worse","better")),IF(OR($K27=0,IF(profit_kind="points",ABS($K27),ABS($K27*$H27))&lt;profit_line*(1-1E-9)),"in line",IF(AND(ISNUMBER($L27),$L27&lt;significance_bar),IF($K27&lt;0,"worse","better"),IF($K27&lt;0,"worse, not significant","better, not significant")))))</f>
        <v/>
      </c>
      <c r="X27">
        <f>IF($M27="","",IF(profit_kind="test",IF(OR(NOT(AND(ISNUMBER($N27),$N27&lt;significance_bar)),$M27=0),"in line",IF($M27&lt;0,"worse","better")),IF(OR($M27=0,IF(profit_kind="points",ABS($M27),ABS($M27*$H27))&lt;profit_line*(1-1E-9)),"in line",IF(AND(ISNUMBER($N27),$N27&lt;significance_bar),IF($M27&lt;0,"worse","better"),IF($M27&lt;0,"worse, not significant","better, not significant")))))</f>
        <v/>
      </c>
      <c r="Y27">
        <f>IF($V27,$X27,$W27)</f>
        <v/>
      </c>
      <c r="Z27">
        <f>IF($V27,IF($P27="","",$P27),IF($O27="","",$O27))</f>
        <v/>
      </c>
      <c r="AA27">
        <f>IF(OR($Q27="",$Z27=""),"",IF(AND($Z27&gt;0,$Z27&gt;=$Q27),"yes","below the line"))</f>
        <v/>
      </c>
      <c r="AB27">
        <f>IF($V27,IF($M27="","",$M27),IF($K27="","",$K27))</f>
        <v/>
      </c>
      <c r="AC27">
        <f>IF($V27,IF($N27="","",$N27),IF($L27="","",$L27))</f>
        <v/>
      </c>
      <c r="AD27">
        <f>IF($Y27="","",IF($Y27="in line",IF(profit_kind="test",IF(ROUND($AB27*100,2)=0,"0.00",TEXT($AB27*100,"+0.00;-0.00"))&amp;" points against "&amp;IF($V27,"its band","the book")&amp;", "&amp;IF($AC27="","not tested","not significant"),IF(profit_kind="points","within "&amp;TEXT(profit_line*100,"0.00")&amp;" points of "&amp;IF($V27,"its band","the book")&amp;" ("&amp;IF(ROUND($AB27*100,2)=0,"0.00",TEXT($AB27*100,"+0.00;-0.00"))&amp;")","within $"&amp;TEXT(profit_line,"#,##0")&amp;" of "&amp;IF($V27,"its band","the book")&amp;" ("&amp;IF(ROUND($AB27*100,2)=0,"0.00",TEXT($AB27*100,"+0.00;-0.00"))&amp;" points)")),IF(LEFT($Y27,5)="worse","short of ","ahead of ")&amp;IF($V27,"its band","the book")&amp;" by "&amp;TEXT(ABS($AB27)*100,"0.00")&amp;" points"&amp;IF($Z27="",""," ($"&amp;TEXT(ABS($Z27),"#,##0")&amp;")")&amp;IF(RIGHT($Y27,15)="not significant"," (not significant)","")))</f>
        <v/>
      </c>
      <c r="AE27">
        <f>IF($V27,IF($S27="","",$S27),IF($R27="","",$R27))</f>
        <v/>
      </c>
      <c r="AF27">
        <f>IF($V27,IF($U27="","",$U27),IF($T27="","",$T27))</f>
        <v/>
      </c>
      <c r="AG27">
        <f>IF($V27,IF($O27="","",$O27),IF($P27="","",$P27))</f>
        <v/>
      </c>
      <c r="AH27" t="n">
        <v>0.04457648068932364</v>
      </c>
      <c r="AI27">
        <f>IF($Y27="worse","Yes",IF($Y27="worse, not significant","Not sure",IF(OR($Y27="too few losses to test",$Y27="too few loans to test"),"Too few losses",IF($Y27="","","No"))))</f>
        <v/>
      </c>
      <c r="AJ27">
        <f>IF($AA27="yes","Yes",IF($AA27="","","No"))</f>
        <v/>
      </c>
      <c r="AK27" t="n">
        <v>0.0002110900021109</v>
      </c>
      <c r="AL27" t="n">
        <v>0.005497533460943227</v>
      </c>
      <c r="AM27">
        <f>IF(AND(ISNUMBER($AC27),ISNUMBER(IF($V27,IF($AL27="","",$AL27),IF($AK27="","",$AK27)))),IF(AND(ABS($AC27-significance_bar)&lt;=2.0*IF($V27,IF($AL27="","",$AL27),IF($AK27="","",$AK27)),OR($Y27="worse",$Y27="better",$Y27="worse, not significant",$Y27="better, not significant",AND(profit_kind="test",$Y27="in line",ISNUMBER($AB27),$AB27&lt;&gt;0))),IF(ROUND($AC27,3)=ROUND(significance_bar,3),TEXT($AC27,"0.0000"),TEXT($AC27,"0.000")),""),"")</f>
        <v/>
      </c>
      <c r="AN27">
        <f>IF(AND(ISNUMBER($AC27),ISNUMBER(IF($V27,IF($AL27="","",$AL27),IF($AK27="","",$AK27)))),IF(AND(ABS($AC27-significance_bar)&lt;=2.0*IF($V27,IF($AL27="","",$AL27),IF($AK27="","",$AK27)),OR($Y27="worse",$Y27="worse, not significant",AND(profit_kind="test",$Y27="in line",ISNUMBER($AB27),$AB27&lt;0))),IF(ROUND($AC27,3)=ROUND(significance_bar,3),TEXT($AC27,"0.0000"),TEXT($AC27,"0.000")),""),"")</f>
        <v/>
      </c>
      <c r="AO27">
        <f>IF(OR($AI27="",$AN27=""),$AI27,$AI27&amp;" · borderline (p "&amp;$AN27&amp;")")</f>
        <v/>
      </c>
    </row>
    <row r="28">
      <c r="A28" t="inlineStr">
        <is>
          <t>grids</t>
        </is>
      </c>
      <c r="B28" t="inlineStr">
        <is>
          <t>FICO x CHANNEL</t>
        </is>
      </c>
      <c r="C28" t="inlineStr">
        <is>
          <t>746 - 921</t>
        </is>
      </c>
      <c r="D28" t="inlineStr">
        <is>
          <t>Branch</t>
        </is>
      </c>
      <c r="E28" t="inlineStr">
        <is>
          <t>contribution_rate</t>
        </is>
      </c>
      <c r="F28" t="inlineStr">
        <is>
          <t>Contribution before losses per booked dollar</t>
        </is>
      </c>
      <c r="G28" t="n">
        <v>518</v>
      </c>
      <c r="H28" t="n">
        <v>16450329.83000001</v>
      </c>
      <c r="I28" t="b">
        <v>0</v>
      </c>
      <c r="J28" t="b">
        <v>0</v>
      </c>
      <c r="K28" t="n">
        <v>-0.1093951791660717</v>
      </c>
      <c r="L28" t="n">
        <v>0.000158317501583175</v>
      </c>
      <c r="M28" t="n">
        <v>0.00151223545057165</v>
      </c>
      <c r="N28" t="n">
        <v>0.5290185267187567</v>
      </c>
      <c r="O28" t="n">
        <v>1799586.779093825</v>
      </c>
      <c r="P28" t="n">
        <v>-24876.77194252238</v>
      </c>
      <c r="Q28">
        <f>'_live'!$C$24</f>
        <v/>
      </c>
      <c r="R28" t="inlineStr">
        <is>
          <t>shuffled: 0 of 10,000</t>
        </is>
      </c>
      <c r="S28" t="inlineStr">
        <is>
          <t>shuffled: 4,114 of 10,000</t>
        </is>
      </c>
      <c r="T28" t="n">
        <v>0.1765668207938797</v>
      </c>
      <c r="U28" t="n">
        <v>0.06565940617723635</v>
      </c>
      <c r="V28">
        <f>AND(judged_band,NOT($J28))</f>
        <v/>
      </c>
      <c r="W28">
        <f>IF($K28="","",IF(profit_kind="test",IF(OR(NOT(AND(ISNUMBER($L28),$L28&lt;significance_bar)),$K28=0),"in line",IF($K28&lt;0,"worse","better")),IF(OR($K28=0,IF(profit_kind="points",ABS($K28),ABS($K28*$H28))&lt;profit_line*(1-1E-9)),"in line",IF(AND(ISNUMBER($L28),$L28&lt;significance_bar),IF($K28&lt;0,"worse","better"),IF($K28&lt;0,"worse, not significant","better, not significant")))))</f>
        <v/>
      </c>
      <c r="X28">
        <f>IF($M28="","",IF(profit_kind="test",IF(OR(NOT(AND(ISNUMBER($N28),$N28&lt;significance_bar)),$M28=0),"in line",IF($M28&lt;0,"worse","better")),IF(OR($M28=0,IF(profit_kind="points",ABS($M28),ABS($M28*$H28))&lt;profit_line*(1-1E-9)),"in line",IF(AND(ISNUMBER($N28),$N28&lt;significance_bar),IF($M28&lt;0,"worse","better"),IF($M28&lt;0,"worse, not significant","better, not significant")))))</f>
        <v/>
      </c>
      <c r="Y28">
        <f>IF($V28,$X28,$W28)</f>
        <v/>
      </c>
      <c r="Z28">
        <f>IF($V28,IF($P28="","",$P28),IF($O28="","",$O28))</f>
        <v/>
      </c>
      <c r="AA28">
        <f>IF(OR($Q28="",$Z28=""),"",IF(AND($Z28&gt;0,$Z28&gt;=$Q28),"yes","below the line"))</f>
        <v/>
      </c>
      <c r="AB28">
        <f>IF($V28,IF($M28="","",$M28),IF($K28="","",$K28))</f>
        <v/>
      </c>
      <c r="AC28">
        <f>IF($V28,IF($N28="","",$N28),IF($L28="","",$L28))</f>
        <v/>
      </c>
      <c r="AD28">
        <f>IF($Y28="","",IF($Y28="in line",IF(profit_kind="test",IF(ROUND($AB28*100,2)=0,"0.00",TEXT($AB28*100,"+0.00;-0.00"))&amp;" points against "&amp;IF($V28,"its band","the book")&amp;", "&amp;IF($AC28="","not tested","not significant"),IF(profit_kind="points","within "&amp;TEXT(profit_line*100,"0.00")&amp;" points of "&amp;IF($V28,"its band","the book")&amp;" ("&amp;IF(ROUND($AB28*100,2)=0,"0.00",TEXT($AB28*100,"+0.00;-0.00"))&amp;")","within $"&amp;TEXT(profit_line,"#,##0")&amp;" of "&amp;IF($V28,"its band","the book")&amp;" ("&amp;IF(ROUND($AB28*100,2)=0,"0.00",TEXT($AB28*100,"+0.00;-0.00"))&amp;" points)")),IF(LEFT($Y28,5)="worse","short of ","ahead of ")&amp;IF($V28,"its band","the book")&amp;" by "&amp;TEXT(ABS($AB28)*100,"0.00")&amp;" points"&amp;IF($Z28="",""," ($"&amp;TEXT(ABS($Z28),"#,##0")&amp;")")&amp;IF(RIGHT($Y28,15)="not significant"," (not significant)","")))</f>
        <v/>
      </c>
      <c r="AE28">
        <f>IF($V28,IF($S28="","",$S28),IF($R28="","",$R28))</f>
        <v/>
      </c>
      <c r="AF28">
        <f>IF($V28,IF($U28="","",$U28),IF($T28="","",$T28))</f>
        <v/>
      </c>
      <c r="AG28">
        <f>IF($V28,IF($O28="","",$O28),IF($P28="","",$P28))</f>
        <v/>
      </c>
      <c r="AH28" t="n">
        <v>0.067171641627808</v>
      </c>
      <c r="AI28">
        <f>IF($Y28="worse","Yes",IF($Y28="worse, not significant","Not sure",IF(OR($Y28="too few losses to test",$Y28="too few loans to test"),"Too few losses",IF($Y28="","","No"))))</f>
        <v/>
      </c>
      <c r="AJ28">
        <f>IF($AA28="yes","Yes",IF($AA28="","","No"))</f>
        <v/>
      </c>
      <c r="AK28" t="n">
        <v>0.000158317501583175</v>
      </c>
      <c r="AL28" t="n">
        <v>0.006326974597690007</v>
      </c>
      <c r="AM28">
        <f>IF(AND(ISNUMBER($AC28),ISNUMBER(IF($V28,IF($AL28="","",$AL28),IF($AK28="","",$AK28)))),IF(AND(ABS($AC28-significance_bar)&lt;=2.0*IF($V28,IF($AL28="","",$AL28),IF($AK28="","",$AK28)),OR($Y28="worse",$Y28="better",$Y28="worse, not significant",$Y28="better, not significant",AND(profit_kind="test",$Y28="in line",ISNUMBER($AB28),$AB28&lt;&gt;0))),IF(ROUND($AC28,3)=ROUND(significance_bar,3),TEXT($AC28,"0.0000"),TEXT($AC28,"0.000")),""),"")</f>
        <v/>
      </c>
      <c r="AN28">
        <f>IF(AND(ISNUMBER($AC28),ISNUMBER(IF($V28,IF($AL28="","",$AL28),IF($AK28="","",$AK28)))),IF(AND(ABS($AC28-significance_bar)&lt;=2.0*IF($V28,IF($AL28="","",$AL28),IF($AK28="","",$AK28)),OR($Y28="worse",$Y28="worse, not significant",AND(profit_kind="test",$Y28="in line",ISNUMBER($AB28),$AB28&lt;0))),IF(ROUND($AC28,3)=ROUND(significance_bar,3),TEXT($AC28,"0.0000"),TEXT($AC28,"0.000")),""),"")</f>
        <v/>
      </c>
      <c r="AO28">
        <f>IF(OR($AI28="",$AN28=""),$AI28,$AI28&amp;" · borderline (p "&amp;$AN28&amp;")")</f>
        <v/>
      </c>
    </row>
    <row r="29">
      <c r="A29" t="inlineStr">
        <is>
          <t>grids</t>
        </is>
      </c>
      <c r="B29" t="inlineStr">
        <is>
          <t>FICO x CHANNEL</t>
        </is>
      </c>
      <c r="C29" t="inlineStr">
        <is>
          <t>496 - 653</t>
        </is>
      </c>
      <c r="D29" t="inlineStr">
        <is>
          <t>Broker</t>
        </is>
      </c>
      <c r="E29" t="inlineStr">
        <is>
          <t>outcome_loans</t>
        </is>
      </c>
      <c r="F29" t="inlineStr">
        <is>
          <t>Outcome, share of loans</t>
        </is>
      </c>
      <c r="G29" t="n">
        <v>523</v>
      </c>
      <c r="H29" t="n">
        <v>523</v>
      </c>
      <c r="I29" t="b">
        <v>0</v>
      </c>
      <c r="J29" t="b">
        <v>0</v>
      </c>
      <c r="K29" t="n">
        <v>3.726456718056956</v>
      </c>
      <c r="L29" t="n">
        <v>1.723388122920422e-48</v>
      </c>
      <c r="M29" t="n">
        <v>2.38276994119557</v>
      </c>
      <c r="N29" t="n">
        <v>2.032065948705747e-12</v>
      </c>
      <c r="O29" t="n">
        <v>93.65101658640984</v>
      </c>
      <c r="P29" t="n">
        <v>74.28100775193798</v>
      </c>
      <c r="Q29">
        <f>'_live'!$C$20</f>
        <v/>
      </c>
      <c r="R29" t="inlineStr">
        <is>
          <t>z test</t>
        </is>
      </c>
      <c r="S29" t="inlineStr">
        <is>
          <t>z test</t>
        </is>
      </c>
      <c r="T29" t="n">
        <v>0.06567683253076512</v>
      </c>
      <c r="U29" t="n">
        <v>0.1027131782945736</v>
      </c>
      <c r="V29">
        <f>AND(judged_band,NOT($J29))</f>
        <v/>
      </c>
      <c r="W29">
        <f>IF($K29="","",IF($I29,"too few losses to test",IF(AND($K29&gt;better_at,$K29&lt;worse_at),"in line",IF($K29&gt;=worse_at,IF(AND(ISNUMBER($L29),$L29&lt;significance_bar),"worse","worse, not significant"),IF(AND(ISNUMBER($L29),$L29&lt;significance_bar),"better","better, not significant")))))</f>
        <v/>
      </c>
      <c r="X29">
        <f>IF($M29="","",IF($I29,"too few losses to test",IF(AND($M29&gt;better_at,$M29&lt;worse_at),"in line",IF($M29&gt;=worse_at,IF(AND(ISNUMBER($N29),$N29&lt;significance_bar),"worse","worse, not significant"),IF(AND(ISNUMBER($N29),$N29&lt;significance_bar),"better","better, not significant")))))</f>
        <v/>
      </c>
      <c r="Y29">
        <f>IF($V29,$X29,$W29)</f>
        <v/>
      </c>
      <c r="Z29">
        <f>IF($V29,IF($P29="","",$P29),IF($O29="","",$O29))</f>
        <v/>
      </c>
      <c r="AA29">
        <f>IF(OR($Q29="",$Z29=""),"",IF(AND($Z29&gt;0,$Z29&gt;=$Q29),"yes","below the line"))</f>
        <v/>
      </c>
      <c r="AB29">
        <f>IF($V29,IF($M29="","",$M29),IF($K29="","",$K29))</f>
        <v/>
      </c>
      <c r="AC29">
        <f>IF($V29,IF($N29="","",$N29),IF($L29="","",$L29))</f>
        <v/>
      </c>
      <c r="AD29">
        <f>$Y29</f>
        <v/>
      </c>
      <c r="AE29">
        <f>IF($V29,IF($S29="","",$S29),IF($R29="","",$R29))</f>
        <v/>
      </c>
      <c r="AF29">
        <f>IF($V29,IF($U29="","",$U29),IF($T29="","",$T29))</f>
        <v/>
      </c>
      <c r="AG29">
        <f>IF($V29,IF($O29="","",$O29),IF($P29="","",$P29))</f>
        <v/>
      </c>
      <c r="AH29" t="n">
        <v>0.2447418738049713</v>
      </c>
      <c r="AI29">
        <f>IF($Y29="worse","Yes",IF($Y29="worse, not significant","Not sure",IF(OR($Y29="too few losses to test",$Y29="too few loans to test"),"Too few losses",IF($Y29="","","No"))))</f>
        <v/>
      </c>
      <c r="AJ29">
        <f>IF($AA29="yes","Yes",IF($AA29="","","No"))</f>
        <v/>
      </c>
      <c r="AM29">
        <f>IF(AND(ISNUMBER($AC29),ISNUMBER(IF($V29,IF($AL29="","",$AL29),IF($AK29="","",$AK29)))),IF(AND(ABS($AC29-significance_bar)&lt;=2.0*IF($V29,IF($AL29="","",$AL29),IF($AK29="","",$AK29)),OR($Y29="worse",$Y29="better",$Y29="worse, not significant",$Y29="better, not significant")),IF(ROUND($AC29,3)=ROUND(significance_bar,3),TEXT($AC29,"0.0000"),TEXT($AC29,"0.000")),""),"")</f>
        <v/>
      </c>
      <c r="AN29">
        <f>IF(AND(ISNUMBER($AC29),ISNUMBER(IF($V29,IF($AL29="","",$AL29),IF($AK29="","",$AK29)))),IF(AND(ABS($AC29-significance_bar)&lt;=2.0*IF($V29,IF($AL29="","",$AL29),IF($AK29="","",$AK29)),OR($Y29="worse",$Y29="worse, not significant")),IF(ROUND($AC29,3)=ROUND(significance_bar,3),TEXT($AC29,"0.0000"),TEXT($AC29,"0.000")),""),"")</f>
        <v/>
      </c>
      <c r="AO29">
        <f>IF(OR($AI29="",$AN29=""),$AI29,$AI29&amp;" · borderline (p "&amp;$AN29&amp;")")</f>
        <v/>
      </c>
    </row>
    <row r="30">
      <c r="A30" t="inlineStr">
        <is>
          <t>grids</t>
        </is>
      </c>
      <c r="B30" t="inlineStr">
        <is>
          <t>FICO x CHANNEL</t>
        </is>
      </c>
      <c r="C30" t="inlineStr">
        <is>
          <t>496 - 653</t>
        </is>
      </c>
      <c r="D30" t="inlineStr">
        <is>
          <t>Broker</t>
        </is>
      </c>
      <c r="E30" t="inlineStr">
        <is>
          <t>outcome_booked</t>
        </is>
      </c>
      <c r="F30" t="inlineStr">
        <is>
          <t>Outcome, share of booked dollars</t>
        </is>
      </c>
      <c r="G30" t="n">
        <v>523</v>
      </c>
      <c r="H30" t="n">
        <v>17041067.38000004</v>
      </c>
      <c r="I30" t="b">
        <v>0</v>
      </c>
      <c r="J30" t="b">
        <v>0</v>
      </c>
      <c r="K30" t="n">
        <v>3.905708177400983</v>
      </c>
      <c r="L30" t="n">
        <v>0.0014998500149985</v>
      </c>
      <c r="M30" t="n">
        <v>2.438440600661326</v>
      </c>
      <c r="N30" t="n">
        <v>0.0007499250074992502</v>
      </c>
      <c r="O30" t="n">
        <v>3108693.904828939</v>
      </c>
      <c r="P30" t="n">
        <v>2464935.212756606</v>
      </c>
      <c r="Q30">
        <f>'_live'!$C$21</f>
        <v/>
      </c>
      <c r="R30" t="inlineStr">
        <is>
          <t>shuffled: 0 of 10,000</t>
        </is>
      </c>
      <c r="S30" t="inlineStr">
        <is>
          <t>shuffled: 0 of 10,000</t>
        </is>
      </c>
      <c r="T30" t="n">
        <v>0.06278113637568743</v>
      </c>
      <c r="U30" t="n">
        <v>0.1005580360097954</v>
      </c>
      <c r="V30">
        <f>AND(judged_band,NOT($J30))</f>
        <v/>
      </c>
      <c r="W30">
        <f>IF($K30="","",IF($I30,"too few losses to test",IF(AND($K30&gt;better_at,$K30&lt;worse_at),"in line",IF($K30&gt;=worse_at,IF(AND(ISNUMBER($L30),$L30&lt;significance_bar),"worse","worse, not significant"),IF(AND(ISNUMBER($L30),$L30&lt;significance_bar),"better","better, not significant")))))</f>
        <v/>
      </c>
      <c r="X30">
        <f>IF($M30="","",IF($I30,"too few losses to test",IF(AND($M30&gt;better_at,$M30&lt;worse_at),"in line",IF($M30&gt;=worse_at,IF(AND(ISNUMBER($N30),$N30&lt;significance_bar),"worse","worse, not significant"),IF(AND(ISNUMBER($N30),$N30&lt;significance_bar),"better","better, not significant")))))</f>
        <v/>
      </c>
      <c r="Y30">
        <f>IF($V30,$X30,$W30)</f>
        <v/>
      </c>
      <c r="Z30">
        <f>IF($V30,IF($P30="","",$P30),IF($O30="","",$O30))</f>
        <v/>
      </c>
      <c r="AA30">
        <f>IF(OR($Q30="",$Z30=""),"",IF(AND($Z30&gt;0,$Z30&gt;=$Q30),"yes","below the line"))</f>
        <v/>
      </c>
      <c r="AB30">
        <f>IF($V30,IF($M30="","",$M30),IF($K30="","",$K30))</f>
        <v/>
      </c>
      <c r="AC30">
        <f>IF($V30,IF($N30="","",$N30),IF($L30="","",$L30))</f>
        <v/>
      </c>
      <c r="AD30">
        <f>$Y30</f>
        <v/>
      </c>
      <c r="AE30">
        <f>IF($V30,IF($S30="","",$S30),IF($R30="","",$R30))</f>
        <v/>
      </c>
      <c r="AF30">
        <f>IF($V30,IF($U30="","",$U30),IF($T30="","",$T30))</f>
        <v/>
      </c>
      <c r="AG30">
        <f>IF($V30,IF($O30="","",$O30),IF($P30="","",$P30))</f>
        <v/>
      </c>
      <c r="AH30" t="n">
        <v>0.2452047977290487</v>
      </c>
      <c r="AI30">
        <f>IF($Y30="worse","Yes",IF($Y30="worse, not significant","Not sure",IF(OR($Y30="too few losses to test",$Y30="too few loans to test"),"Too few losses",IF($Y30="","","No"))))</f>
        <v/>
      </c>
      <c r="AJ30">
        <f>IF($AA30="yes","Yes",IF($AA30="","","No"))</f>
        <v/>
      </c>
      <c r="AK30" t="n">
        <v>0.0014998500149985</v>
      </c>
      <c r="AL30" t="n">
        <v>0.0007499250074992502</v>
      </c>
      <c r="AM30">
        <f>IF(AND(ISNUMBER($AC30),ISNUMBER(IF($V30,IF($AL30="","",$AL30),IF($AK30="","",$AK30)))),IF(AND(ABS($AC30-significance_bar)&lt;=2.0*IF($V30,IF($AL30="","",$AL30),IF($AK30="","",$AK30)),OR($Y30="worse",$Y30="better",$Y30="worse, not significant",$Y30="better, not significant")),IF(ROUND($AC30,3)=ROUND(significance_bar,3),TEXT($AC30,"0.0000"),TEXT($AC30,"0.000")),""),"")</f>
        <v/>
      </c>
      <c r="AN30">
        <f>IF(AND(ISNUMBER($AC30),ISNUMBER(IF($V30,IF($AL30="","",$AL30),IF($AK30="","",$AK30)))),IF(AND(ABS($AC30-significance_bar)&lt;=2.0*IF($V30,IF($AL30="","",$AL30),IF($AK30="","",$AK30)),OR($Y30="worse",$Y30="worse, not significant")),IF(ROUND($AC30,3)=ROUND(significance_bar,3),TEXT($AC30,"0.0000"),TEXT($AC30,"0.000")),""),"")</f>
        <v/>
      </c>
      <c r="AO30">
        <f>IF(OR($AI30="",$AN30=""),$AI30,$AI30&amp;" · borderline (p "&amp;$AN30&amp;")")</f>
        <v/>
      </c>
    </row>
    <row r="31">
      <c r="A31" t="inlineStr">
        <is>
          <t>grids</t>
        </is>
      </c>
      <c r="B31" t="inlineStr">
        <is>
          <t>FICO x CHANNEL</t>
        </is>
      </c>
      <c r="C31" t="inlineStr">
        <is>
          <t>496 - 653</t>
        </is>
      </c>
      <c r="D31" t="inlineStr">
        <is>
          <t>Broker</t>
        </is>
      </c>
      <c r="E31" t="inlineStr">
        <is>
          <t>gco_rate</t>
        </is>
      </c>
      <c r="F31" t="inlineStr">
        <is>
          <t>GCO per booked dollar</t>
        </is>
      </c>
      <c r="G31" t="n">
        <v>523</v>
      </c>
      <c r="H31" t="n">
        <v>17041067.38000004</v>
      </c>
      <c r="I31" t="b">
        <v>0</v>
      </c>
      <c r="J31" t="b">
        <v>0</v>
      </c>
      <c r="K31" t="n">
        <v>4.103579213801332</v>
      </c>
      <c r="L31" t="n">
        <v>0.0014998500149985</v>
      </c>
      <c r="M31" t="n">
        <v>2.623355637889496</v>
      </c>
      <c r="N31" t="n">
        <v>0.0014998500149985</v>
      </c>
      <c r="O31" t="n">
        <v>1826129.129008131</v>
      </c>
      <c r="P31" t="n">
        <v>1494128.584156671</v>
      </c>
      <c r="Q31">
        <f>'_live'!$C$22</f>
        <v/>
      </c>
      <c r="R31" t="inlineStr">
        <is>
          <t>shuffled: 0 of 10,000</t>
        </is>
      </c>
      <c r="S31" t="inlineStr">
        <is>
          <t>shuffled: 0 of 10,000</t>
        </is>
      </c>
      <c r="T31" t="n">
        <v>0.0345280344165783</v>
      </c>
      <c r="U31" t="n">
        <v>0.05401041409668608</v>
      </c>
      <c r="V31">
        <f>AND(judged_band,NOT($J31))</f>
        <v/>
      </c>
      <c r="W31">
        <f>IF($K31="","",IF($I31,"too few losses to test",IF(AND($K31&gt;better_at,$K31&lt;worse_at),"in line",IF($K31&gt;=worse_at,IF(AND(ISNUMBER($L31),$L31&lt;significance_bar),"worse","worse, not significant"),IF(AND(ISNUMBER($L31),$L31&lt;significance_bar),"better","better, not significant")))))</f>
        <v/>
      </c>
      <c r="X31">
        <f>IF($M31="","",IF($I31,"too few losses to test",IF(AND($M31&gt;better_at,$M31&lt;worse_at),"in line",IF($M31&gt;=worse_at,IF(AND(ISNUMBER($N31),$N31&lt;significance_bar),"worse","worse, not significant"),IF(AND(ISNUMBER($N31),$N31&lt;significance_bar),"better","better, not significant")))))</f>
        <v/>
      </c>
      <c r="Y31">
        <f>IF($V31,$X31,$W31)</f>
        <v/>
      </c>
      <c r="Z31">
        <f>IF($V31,IF($P31="","",$P31),IF($O31="","",$O31))</f>
        <v/>
      </c>
      <c r="AA31">
        <f>IF(OR($Q31="",$Z31=""),"",IF(AND($Z31&gt;0,$Z31&gt;=$Q31),"yes","below the line"))</f>
        <v/>
      </c>
      <c r="AB31">
        <f>IF($V31,IF($M31="","",$M31),IF($K31="","",$K31))</f>
        <v/>
      </c>
      <c r="AC31">
        <f>IF($V31,IF($N31="","",$N31),IF($L31="","",$L31))</f>
        <v/>
      </c>
      <c r="AD31">
        <f>$Y31</f>
        <v/>
      </c>
      <c r="AE31">
        <f>IF($V31,IF($S31="","",$S31),IF($R31="","",$R31))</f>
        <v/>
      </c>
      <c r="AF31">
        <f>IF($V31,IF($U31="","",$U31),IF($T31="","",$T31))</f>
        <v/>
      </c>
      <c r="AG31">
        <f>IF($V31,IF($O31="","",$O31),IF($P31="","",$P31))</f>
        <v/>
      </c>
      <c r="AH31" t="n">
        <v>0.1416885243252877</v>
      </c>
      <c r="AI31">
        <f>IF($Y31="worse","Yes",IF($Y31="worse, not significant","Not sure",IF(OR($Y31="too few losses to test",$Y31="too few loans to test"),"Too few losses",IF($Y31="","","No"))))</f>
        <v/>
      </c>
      <c r="AJ31">
        <f>IF($AA31="yes","Yes",IF($AA31="","","No"))</f>
        <v/>
      </c>
      <c r="AK31" t="n">
        <v>0.0014998500149985</v>
      </c>
      <c r="AL31" t="n">
        <v>0.0014998500149985</v>
      </c>
      <c r="AM31">
        <f>IF(AND(ISNUMBER($AC31),ISNUMBER(IF($V31,IF($AL31="","",$AL31),IF($AK31="","",$AK31)))),IF(AND(ABS($AC31-significance_bar)&lt;=2.0*IF($V31,IF($AL31="","",$AL31),IF($AK31="","",$AK31)),OR($Y31="worse",$Y31="better",$Y31="worse, not significant",$Y31="better, not significant")),IF(ROUND($AC31,3)=ROUND(significance_bar,3),TEXT($AC31,"0.0000"),TEXT($AC31,"0.000")),""),"")</f>
        <v/>
      </c>
      <c r="AN31">
        <f>IF(AND(ISNUMBER($AC31),ISNUMBER(IF($V31,IF($AL31="","",$AL31),IF($AK31="","",$AK31)))),IF(AND(ABS($AC31-significance_bar)&lt;=2.0*IF($V31,IF($AL31="","",$AL31),IF($AK31="","",$AK31)),OR($Y31="worse",$Y31="worse, not significant")),IF(ROUND($AC31,3)=ROUND(significance_bar,3),TEXT($AC31,"0.0000"),TEXT($AC31,"0.000")),""),"")</f>
        <v/>
      </c>
      <c r="AO31">
        <f>IF(OR($AI31="",$AN31=""),$AI31,$AI31&amp;" · borderline (p "&amp;$AN31&amp;")")</f>
        <v/>
      </c>
    </row>
    <row r="32">
      <c r="A32" t="inlineStr">
        <is>
          <t>grids</t>
        </is>
      </c>
      <c r="B32" t="inlineStr">
        <is>
          <t>FICO x CHANNEL</t>
        </is>
      </c>
      <c r="C32" t="inlineStr">
        <is>
          <t>496 - 653</t>
        </is>
      </c>
      <c r="D32" t="inlineStr">
        <is>
          <t>Broker</t>
        </is>
      </c>
      <c r="E32" t="inlineStr">
        <is>
          <t>ranr_rate</t>
        </is>
      </c>
      <c r="F32" t="inlineStr">
        <is>
          <t>Profit after losses: RANR per booked dollar</t>
        </is>
      </c>
      <c r="G32" t="n">
        <v>523</v>
      </c>
      <c r="H32" t="n">
        <v>17041067.38000004</v>
      </c>
      <c r="I32" t="b">
        <v>0</v>
      </c>
      <c r="J32" t="b">
        <v>0</v>
      </c>
      <c r="K32" t="n">
        <v>0.01066289294351233</v>
      </c>
      <c r="L32" t="n">
        <v>0.3393874898224464</v>
      </c>
      <c r="M32" t="n">
        <v>-0.07862504872532058</v>
      </c>
      <c r="N32" t="n">
        <v>0.0017998200179982</v>
      </c>
      <c r="O32" t="n">
        <v>-181707.0771161206</v>
      </c>
      <c r="P32" t="n">
        <v>1339854.753083974</v>
      </c>
      <c r="Q32">
        <f>'_live'!$C$23</f>
        <v/>
      </c>
      <c r="R32" t="inlineStr">
        <is>
          <t>shuffled: 2,500 of 10,000</t>
        </is>
      </c>
      <c r="S32" t="inlineStr">
        <is>
          <t>shuffled: 0 of 10,000</t>
        </is>
      </c>
      <c r="T32" t="n">
        <v>0.1272859454466798</v>
      </c>
      <c r="U32" t="n">
        <v>0.2165738871155127</v>
      </c>
      <c r="V32">
        <f>AND(judged_band,NOT($J32))</f>
        <v/>
      </c>
      <c r="W32">
        <f>IF($K32="","",IF(profit_kind="test",IF(OR(NOT(AND(ISNUMBER($L32),$L32&lt;significance_bar)),$K32=0),"in line",IF($K32&lt;0,"worse","better")),IF(OR($K32=0,IF(profit_kind="points",ABS($K32),ABS($K32*$H32))&lt;profit_line*(1-1E-9)),"in line",IF(AND(ISNUMBER($L32),$L32&lt;significance_bar),IF($K32&lt;0,"worse","better"),IF($K32&lt;0,"worse, not significant","better, not significant")))))</f>
        <v/>
      </c>
      <c r="X32">
        <f>IF($M32="","",IF(profit_kind="test",IF(OR(NOT(AND(ISNUMBER($N32),$N32&lt;significance_bar)),$M32=0),"in line",IF($M32&lt;0,"worse","better")),IF(OR($M32=0,IF(profit_kind="points",ABS($M32),ABS($M32*$H32))&lt;profit_line*(1-1E-9)),"in line",IF(AND(ISNUMBER($N32),$N32&lt;significance_bar),IF($M32&lt;0,"worse","better"),IF($M32&lt;0,"worse, not significant","better, not significant")))))</f>
        <v/>
      </c>
      <c r="Y32">
        <f>IF($V32,$X32,$W32)</f>
        <v/>
      </c>
      <c r="Z32">
        <f>IF($V32,IF($P32="","",$P32),IF($O32="","",$O32))</f>
        <v/>
      </c>
      <c r="AA32">
        <f>IF(OR($Q32="",$Z32=""),"",IF(AND($Z32&gt;0,$Z32&gt;=$Q32),"yes","below the line"))</f>
        <v/>
      </c>
      <c r="AB32">
        <f>IF($V32,IF($M32="","",$M32),IF($K32="","",$K32))</f>
        <v/>
      </c>
      <c r="AC32">
        <f>IF($V32,IF($N32="","",$N32),IF($L32="","",$L32))</f>
        <v/>
      </c>
      <c r="AD32">
        <f>IF($Y32="","",IF($Y32="in line",IF(profit_kind="test",IF(ROUND($AB32*100,2)=0,"0.00",TEXT($AB32*100,"+0.00;-0.00"))&amp;" points against "&amp;IF($V32,"its band","the book")&amp;", "&amp;IF($AC32="","not tested","not significant"),IF(profit_kind="points","within "&amp;TEXT(profit_line*100,"0.00")&amp;" points of "&amp;IF($V32,"its band","the book")&amp;" ("&amp;IF(ROUND($AB32*100,2)=0,"0.00",TEXT($AB32*100,"+0.00;-0.00"))&amp;")","within $"&amp;TEXT(profit_line,"#,##0")&amp;" of "&amp;IF($V32,"its band","the book")&amp;" ("&amp;IF(ROUND($AB32*100,2)=0,"0.00",TEXT($AB32*100,"+0.00;-0.00"))&amp;" points)")),IF(LEFT($Y32,5)="worse","short of ","ahead of ")&amp;IF($V32,"its band","the book")&amp;" by "&amp;TEXT(ABS($AB32)*100,"0.00")&amp;" points"&amp;IF($Z32="",""," ($"&amp;TEXT(ABS($Z32),"#,##0")&amp;")")&amp;IF(RIGHT($Y32,15)="not significant"," (not significant)","")))</f>
        <v/>
      </c>
      <c r="AE32">
        <f>IF($V32,IF($S32="","",$S32),IF($R32="","",$R32))</f>
        <v/>
      </c>
      <c r="AF32">
        <f>IF($V32,IF($U32="","",$U32),IF($T32="","",$T32))</f>
        <v/>
      </c>
      <c r="AG32">
        <f>IF($V32,IF($O32="","",$O32),IF($P32="","",$P32))</f>
        <v/>
      </c>
      <c r="AH32" t="n">
        <v>0.1379488383901921</v>
      </c>
      <c r="AI32">
        <f>IF($Y32="worse","Yes",IF($Y32="worse, not significant","Not sure",IF(OR($Y32="too few losses to test",$Y32="too few loans to test"),"Too few losses",IF($Y32="","","No"))))</f>
        <v/>
      </c>
      <c r="AJ32">
        <f>IF($AA32="yes","Yes",IF($AA32="","","No"))</f>
        <v/>
      </c>
      <c r="AK32" t="n">
        <v>0.005877188438090071</v>
      </c>
      <c r="AL32" t="n">
        <v>0.001272601304803929</v>
      </c>
      <c r="AM32">
        <f>IF(AND(ISNUMBER($AC32),ISNUMBER(IF($V32,IF($AL32="","",$AL32),IF($AK32="","",$AK32)))),IF(AND(ABS($AC32-significance_bar)&lt;=2.0*IF($V32,IF($AL32="","",$AL32),IF($AK32="","",$AK32)),OR($Y32="worse",$Y32="better",$Y32="worse, not significant",$Y32="better, not significant",AND(profit_kind="test",$Y32="in line",ISNUMBER($AB32),$AB32&lt;&gt;0))),IF(ROUND($AC32,3)=ROUND(significance_bar,3),TEXT($AC32,"0.0000"),TEXT($AC32,"0.000")),""),"")</f>
        <v/>
      </c>
      <c r="AN32">
        <f>IF(AND(ISNUMBER($AC32),ISNUMBER(IF($V32,IF($AL32="","",$AL32),IF($AK32="","",$AK32)))),IF(AND(ABS($AC32-significance_bar)&lt;=2.0*IF($V32,IF($AL32="","",$AL32),IF($AK32="","",$AK32)),OR($Y32="worse",$Y32="worse, not significant",AND(profit_kind="test",$Y32="in line",ISNUMBER($AB32),$AB32&lt;0))),IF(ROUND($AC32,3)=ROUND(significance_bar,3),TEXT($AC32,"0.0000"),TEXT($AC32,"0.000")),""),"")</f>
        <v/>
      </c>
      <c r="AO32">
        <f>IF(OR($AI32="",$AN32=""),$AI32,$AI32&amp;" · borderline (p "&amp;$AN32&amp;")")</f>
        <v/>
      </c>
    </row>
    <row r="33">
      <c r="A33" t="inlineStr">
        <is>
          <t>grids</t>
        </is>
      </c>
      <c r="B33" t="inlineStr">
        <is>
          <t>FICO x CHANNEL</t>
        </is>
      </c>
      <c r="C33" t="inlineStr">
        <is>
          <t>496 - 653</t>
        </is>
      </c>
      <c r="D33" t="inlineStr">
        <is>
          <t>Broker</t>
        </is>
      </c>
      <c r="E33" t="inlineStr">
        <is>
          <t>contribution_rate</t>
        </is>
      </c>
      <c r="F33" t="inlineStr">
        <is>
          <t>Contribution before losses per booked dollar</t>
        </is>
      </c>
      <c r="G33" t="n">
        <v>523</v>
      </c>
      <c r="H33" t="n">
        <v>17041067.38000004</v>
      </c>
      <c r="I33" t="b">
        <v>0</v>
      </c>
      <c r="J33" t="b">
        <v>0</v>
      </c>
      <c r="K33" t="n">
        <v>0.117826560233583</v>
      </c>
      <c r="L33" t="n">
        <v>0.000158317501583175</v>
      </c>
      <c r="M33" t="n">
        <v>0.009053061503280946</v>
      </c>
      <c r="N33" t="n">
        <v>0.4146508426080469</v>
      </c>
      <c r="O33" t="n">
        <v>-2007890.352094121</v>
      </c>
      <c r="P33" t="n">
        <v>-154273.8310726946</v>
      </c>
      <c r="Q33">
        <f>'_live'!$C$24</f>
        <v/>
      </c>
      <c r="R33" t="inlineStr">
        <is>
          <t>shuffled: 0 of 10,000</t>
        </is>
      </c>
      <c r="S33" t="inlineStr">
        <is>
          <t>shuffled: 2,994 of 10,000</t>
        </is>
      </c>
      <c r="T33" t="n">
        <v>0.1618108024818966</v>
      </c>
      <c r="U33" t="n">
        <v>0.2705843012121986</v>
      </c>
      <c r="V33">
        <f>AND(judged_band,NOT($J33))</f>
        <v/>
      </c>
      <c r="W33">
        <f>IF($K33="","",IF(profit_kind="test",IF(OR(NOT(AND(ISNUMBER($L33),$L33&lt;significance_bar)),$K33=0),"in line",IF($K33&lt;0,"worse","better")),IF(OR($K33=0,IF(profit_kind="points",ABS($K33),ABS($K33*$H33))&lt;profit_line*(1-1E-9)),"in line",IF(AND(ISNUMBER($L33),$L33&lt;significance_bar),IF($K33&lt;0,"worse","better"),IF($K33&lt;0,"worse, not significant","better, not significant")))))</f>
        <v/>
      </c>
      <c r="X33">
        <f>IF($M33="","",IF(profit_kind="test",IF(OR(NOT(AND(ISNUMBER($N33),$N33&lt;significance_bar)),$M33=0),"in line",IF($M33&lt;0,"worse","better")),IF(OR($M33=0,IF(profit_kind="points",ABS($M33),ABS($M33*$H33))&lt;profit_line*(1-1E-9)),"in line",IF(AND(ISNUMBER($N33),$N33&lt;significance_bar),IF($M33&lt;0,"worse","better"),IF($M33&lt;0,"worse, not significant","better, not significant")))))</f>
        <v/>
      </c>
      <c r="Y33">
        <f>IF($V33,$X33,$W33)</f>
        <v/>
      </c>
      <c r="Z33">
        <f>IF($V33,IF($P33="","",$P33),IF($O33="","",$O33))</f>
        <v/>
      </c>
      <c r="AA33">
        <f>IF(OR($Q33="",$Z33=""),"",IF(AND($Z33&gt;0,$Z33&gt;=$Q33),"yes","below the line"))</f>
        <v/>
      </c>
      <c r="AB33">
        <f>IF($V33,IF($M33="","",$M33),IF($K33="","",$K33))</f>
        <v/>
      </c>
      <c r="AC33">
        <f>IF($V33,IF($N33="","",$N33),IF($L33="","",$L33))</f>
        <v/>
      </c>
      <c r="AD33">
        <f>IF($Y33="","",IF($Y33="in line",IF(profit_kind="test",IF(ROUND($AB33*100,2)=0,"0.00",TEXT($AB33*100,"+0.00;-0.00"))&amp;" points against "&amp;IF($V33,"its band","the book")&amp;", "&amp;IF($AC33="","not tested","not significant"),IF(profit_kind="points","within "&amp;TEXT(profit_line*100,"0.00")&amp;" points of "&amp;IF($V33,"its band","the book")&amp;" ("&amp;IF(ROUND($AB33*100,2)=0,"0.00",TEXT($AB33*100,"+0.00;-0.00"))&amp;")","within $"&amp;TEXT(profit_line,"#,##0")&amp;" of "&amp;IF($V33,"its band","the book")&amp;" ("&amp;IF(ROUND($AB33*100,2)=0,"0.00",TEXT($AB33*100,"+0.00;-0.00"))&amp;" points)")),IF(LEFT($Y33,5)="worse","short of ","ahead of ")&amp;IF($V33,"its band","the book")&amp;" by "&amp;TEXT(ABS($AB33)*100,"0.00")&amp;" points"&amp;IF($Z33="",""," ($"&amp;TEXT(ABS($Z33),"#,##0")&amp;")")&amp;IF(RIGHT($Y33,15)="not significant"," (not significant)","")))</f>
        <v/>
      </c>
      <c r="AE33">
        <f>IF($V33,IF($S33="","",$S33),IF($R33="","",$R33))</f>
        <v/>
      </c>
      <c r="AF33">
        <f>IF($V33,IF($U33="","",$U33),IF($T33="","",$T33))</f>
        <v/>
      </c>
      <c r="AG33">
        <f>IF($V33,IF($O33="","",$O33),IF($P33="","",$P33))</f>
        <v/>
      </c>
      <c r="AH33" t="n">
        <v>0.2796373627154796</v>
      </c>
      <c r="AI33">
        <f>IF($Y33="worse","Yes",IF($Y33="worse, not significant","Not sure",IF(OR($Y33="too few losses to test",$Y33="too few loans to test"),"Too few losses",IF($Y33="","","No"))))</f>
        <v/>
      </c>
      <c r="AJ33">
        <f>IF($AA33="yes","Yes",IF($AA33="","","No"))</f>
        <v/>
      </c>
      <c r="AK33" t="n">
        <v>0.000158317501583175</v>
      </c>
      <c r="AL33" t="n">
        <v>0.006341897307929788</v>
      </c>
      <c r="AM33">
        <f>IF(AND(ISNUMBER($AC33),ISNUMBER(IF($V33,IF($AL33="","",$AL33),IF($AK33="","",$AK33)))),IF(AND(ABS($AC33-significance_bar)&lt;=2.0*IF($V33,IF($AL33="","",$AL33),IF($AK33="","",$AK33)),OR($Y33="worse",$Y33="better",$Y33="worse, not significant",$Y33="better, not significant",AND(profit_kind="test",$Y33="in line",ISNUMBER($AB33),$AB33&lt;&gt;0))),IF(ROUND($AC33,3)=ROUND(significance_bar,3),TEXT($AC33,"0.0000"),TEXT($AC33,"0.000")),""),"")</f>
        <v/>
      </c>
      <c r="AN33">
        <f>IF(AND(ISNUMBER($AC33),ISNUMBER(IF($V33,IF($AL33="","",$AL33),IF($AK33="","",$AK33)))),IF(AND(ABS($AC33-significance_bar)&lt;=2.0*IF($V33,IF($AL33="","",$AL33),IF($AK33="","",$AK33)),OR($Y33="worse",$Y33="worse, not significant",AND(profit_kind="test",$Y33="in line",ISNUMBER($AB33),$AB33&lt;0))),IF(ROUND($AC33,3)=ROUND(significance_bar,3),TEXT($AC33,"0.0000"),TEXT($AC33,"0.000")),""),"")</f>
        <v/>
      </c>
      <c r="AO33">
        <f>IF(OR($AI33="",$AN33=""),$AI33,$AI33&amp;" · borderline (p "&amp;$AN33&amp;")")</f>
        <v/>
      </c>
    </row>
    <row r="34">
      <c r="A34" t="inlineStr">
        <is>
          <t>grids</t>
        </is>
      </c>
      <c r="B34" t="inlineStr">
        <is>
          <t>FICO x CHANNEL</t>
        </is>
      </c>
      <c r="C34" t="inlineStr">
        <is>
          <t>686 - 711</t>
        </is>
      </c>
      <c r="D34" t="inlineStr">
        <is>
          <t>Broker</t>
        </is>
      </c>
      <c r="E34" t="inlineStr">
        <is>
          <t>outcome_loans</t>
        </is>
      </c>
      <c r="F34" t="inlineStr">
        <is>
          <t>Outcome, share of loans</t>
        </is>
      </c>
      <c r="G34" t="n">
        <v>501</v>
      </c>
      <c r="H34" t="n">
        <v>501</v>
      </c>
      <c r="I34" t="b">
        <v>0</v>
      </c>
      <c r="J34" t="b">
        <v>0</v>
      </c>
      <c r="K34" t="n">
        <v>0.6561851002884618</v>
      </c>
      <c r="L34" t="n">
        <v>0.05143550141880118</v>
      </c>
      <c r="M34" t="n">
        <v>0.7865982321072141</v>
      </c>
      <c r="N34" t="n">
        <v>0.5240803312867395</v>
      </c>
      <c r="O34" t="n">
        <v>-13.62296612429981</v>
      </c>
      <c r="P34" t="n">
        <v>-7.05372290292177</v>
      </c>
      <c r="Q34">
        <f>'_live'!$C$20</f>
        <v/>
      </c>
      <c r="R34" t="inlineStr">
        <is>
          <t>z test</t>
        </is>
      </c>
      <c r="S34" t="inlineStr">
        <is>
          <t>z test</t>
        </is>
      </c>
      <c r="T34" t="n">
        <v>0.07908775673512937</v>
      </c>
      <c r="U34" t="n">
        <v>0.06597549481621112</v>
      </c>
      <c r="V34">
        <f>AND(judged_band,NOT($J34))</f>
        <v/>
      </c>
      <c r="W34">
        <f>IF($K34="","",IF($I34,"too few losses to test",IF(AND($K34&gt;better_at,$K34&lt;worse_at),"in line",IF($K34&gt;=worse_at,IF(AND(ISNUMBER($L34),$L34&lt;significance_bar),"worse","worse, not significant"),IF(AND(ISNUMBER($L34),$L34&lt;significance_bar),"better","better, not significant")))))</f>
        <v/>
      </c>
      <c r="X34">
        <f>IF($M34="","",IF($I34,"too few losses to test",IF(AND($M34&gt;better_at,$M34&lt;worse_at),"in line",IF($M34&gt;=worse_at,IF(AND(ISNUMBER($N34),$N34&lt;significance_bar),"worse","worse, not significant"),IF(AND(ISNUMBER($N34),$N34&lt;significance_bar),"better","better, not significant")))))</f>
        <v/>
      </c>
      <c r="Y34">
        <f>IF($V34,$X34,$W34)</f>
        <v/>
      </c>
      <c r="Z34">
        <f>IF($V34,IF($P34="","",$P34),IF($O34="","",$O34))</f>
        <v/>
      </c>
      <c r="AA34">
        <f>IF(OR($Q34="",$Z34=""),"",IF(AND($Z34&gt;0,$Z34&gt;=$Q34),"yes","below the line"))</f>
        <v/>
      </c>
      <c r="AB34">
        <f>IF($V34,IF($M34="","",$M34),IF($K34="","",$K34))</f>
        <v/>
      </c>
      <c r="AC34">
        <f>IF($V34,IF($N34="","",$N34),IF($L34="","",$L34))</f>
        <v/>
      </c>
      <c r="AD34">
        <f>$Y34</f>
        <v/>
      </c>
      <c r="AE34">
        <f>IF($V34,IF($S34="","",$S34),IF($R34="","",$R34))</f>
        <v/>
      </c>
      <c r="AF34">
        <f>IF($V34,IF($U34="","",$U34),IF($T34="","",$T34))</f>
        <v/>
      </c>
      <c r="AG34">
        <f>IF($V34,IF($O34="","",$O34),IF($P34="","",$P34))</f>
        <v/>
      </c>
      <c r="AH34" t="n">
        <v>0.05189620758483034</v>
      </c>
      <c r="AI34">
        <f>IF($Y34="worse","Yes",IF($Y34="worse, not significant","Not sure",IF(OR($Y34="too few losses to test",$Y34="too few loans to test"),"Too few losses",IF($Y34="","","No"))))</f>
        <v/>
      </c>
      <c r="AJ34">
        <f>IF($AA34="yes","Yes",IF($AA34="","","No"))</f>
        <v/>
      </c>
      <c r="AM34">
        <f>IF(AND(ISNUMBER($AC34),ISNUMBER(IF($V34,IF($AL34="","",$AL34),IF($AK34="","",$AK34)))),IF(AND(ABS($AC34-significance_bar)&lt;=2.0*IF($V34,IF($AL34="","",$AL34),IF($AK34="","",$AK34)),OR($Y34="worse",$Y34="better",$Y34="worse, not significant",$Y34="better, not significant")),IF(ROUND($AC34,3)=ROUND(significance_bar,3),TEXT($AC34,"0.0000"),TEXT($AC34,"0.000")),""),"")</f>
        <v/>
      </c>
      <c r="AN34">
        <f>IF(AND(ISNUMBER($AC34),ISNUMBER(IF($V34,IF($AL34="","",$AL34),IF($AK34="","",$AK34)))),IF(AND(ABS($AC34-significance_bar)&lt;=2.0*IF($V34,IF($AL34="","",$AL34),IF($AK34="","",$AK34)),OR($Y34="worse",$Y34="worse, not significant")),IF(ROUND($AC34,3)=ROUND(significance_bar,3),TEXT($AC34,"0.0000"),TEXT($AC34,"0.000")),""),"")</f>
        <v/>
      </c>
      <c r="AO34">
        <f>IF(OR($AI34="",$AN34=""),$AI34,$AI34&amp;" · borderline (p "&amp;$AN34&amp;")")</f>
        <v/>
      </c>
    </row>
    <row r="35">
      <c r="A35" t="inlineStr">
        <is>
          <t>grids</t>
        </is>
      </c>
      <c r="B35" t="inlineStr">
        <is>
          <t>FICO x CHANNEL</t>
        </is>
      </c>
      <c r="C35" t="inlineStr">
        <is>
          <t>686 - 711</t>
        </is>
      </c>
      <c r="D35" t="inlineStr">
        <is>
          <t>Broker</t>
        </is>
      </c>
      <c r="E35" t="inlineStr">
        <is>
          <t>outcome_booked</t>
        </is>
      </c>
      <c r="F35" t="inlineStr">
        <is>
          <t>Outcome, share of booked dollars</t>
        </is>
      </c>
      <c r="G35" t="n">
        <v>501</v>
      </c>
      <c r="H35" t="n">
        <v>16516467.50999999</v>
      </c>
      <c r="I35" t="b">
        <v>0</v>
      </c>
      <c r="J35" t="b">
        <v>0</v>
      </c>
      <c r="K35" t="n">
        <v>0.6023596496723526</v>
      </c>
      <c r="L35" t="n">
        <v>0.037662900376629</v>
      </c>
      <c r="M35" t="n">
        <v>0.7466818259615715</v>
      </c>
      <c r="N35" t="n">
        <v>0.4134586541345866</v>
      </c>
      <c r="O35" t="n">
        <v>-504282.5031528106</v>
      </c>
      <c r="P35" t="n">
        <v>-259161.2656752625</v>
      </c>
      <c r="Q35">
        <f>'_live'!$C$21</f>
        <v/>
      </c>
      <c r="R35" t="inlineStr">
        <is>
          <t>shuffled: 225 of 10,000</t>
        </is>
      </c>
      <c r="S35" t="inlineStr">
        <is>
          <t>shuffled: 2,480 of 10,000</t>
        </is>
      </c>
      <c r="T35" t="n">
        <v>0.07678321362512773</v>
      </c>
      <c r="U35" t="n">
        <v>0.06194219284818872</v>
      </c>
      <c r="V35">
        <f>AND(judged_band,NOT($J35))</f>
        <v/>
      </c>
      <c r="W35">
        <f>IF($K35="","",IF($I35,"too few losses to test",IF(AND($K35&gt;better_at,$K35&lt;worse_at),"in line",IF($K35&gt;=worse_at,IF(AND(ISNUMBER($L35),$L35&lt;significance_bar),"worse","worse, not significant"),IF(AND(ISNUMBER($L35),$L35&lt;significance_bar),"better","better, not significant")))))</f>
        <v/>
      </c>
      <c r="X35">
        <f>IF($M35="","",IF($I35,"too few losses to test",IF(AND($M35&gt;better_at,$M35&lt;worse_at),"in line",IF($M35&gt;=worse_at,IF(AND(ISNUMBER($N35),$N35&lt;significance_bar),"worse","worse, not significant"),IF(AND(ISNUMBER($N35),$N35&lt;significance_bar),"better","better, not significant")))))</f>
        <v/>
      </c>
      <c r="Y35">
        <f>IF($V35,$X35,$W35)</f>
        <v/>
      </c>
      <c r="Z35">
        <f>IF($V35,IF($P35="","",$P35),IF($O35="","",$O35))</f>
        <v/>
      </c>
      <c r="AA35">
        <f>IF(OR($Q35="",$Z35=""),"",IF(AND($Z35&gt;0,$Z35&gt;=$Q35),"yes","below the line"))</f>
        <v/>
      </c>
      <c r="AB35">
        <f>IF($V35,IF($M35="","",$M35),IF($K35="","",$K35))</f>
        <v/>
      </c>
      <c r="AC35">
        <f>IF($V35,IF($N35="","",$N35),IF($L35="","",$L35))</f>
        <v/>
      </c>
      <c r="AD35">
        <f>$Y35</f>
        <v/>
      </c>
      <c r="AE35">
        <f>IF($V35,IF($S35="","",$S35),IF($R35="","",$R35))</f>
        <v/>
      </c>
      <c r="AF35">
        <f>IF($V35,IF($U35="","",$U35),IF($T35="","",$T35))</f>
        <v/>
      </c>
      <c r="AG35">
        <f>IF($V35,IF($O35="","",$O35),IF($P35="","",$P35))</f>
        <v/>
      </c>
      <c r="AH35" t="n">
        <v>0.04625110965994935</v>
      </c>
      <c r="AI35">
        <f>IF($Y35="worse","Yes",IF($Y35="worse, not significant","Not sure",IF(OR($Y35="too few losses to test",$Y35="too few loans to test"),"Too few losses",IF($Y35="","","No"))))</f>
        <v/>
      </c>
      <c r="AJ35">
        <f>IF($AA35="yes","Yes",IF($AA35="","","No"))</f>
        <v/>
      </c>
      <c r="AK35" t="n">
        <v>0.002476953906776126</v>
      </c>
      <c r="AL35" t="n">
        <v>0.007198261583272687</v>
      </c>
      <c r="AM35">
        <f>IF(AND(ISNUMBER($AC35),ISNUMBER(IF($V35,IF($AL35="","",$AL35),IF($AK35="","",$AK35)))),IF(AND(ABS($AC35-significance_bar)&lt;=2.0*IF($V35,IF($AL35="","",$AL35),IF($AK35="","",$AK35)),OR($Y35="worse",$Y35="better",$Y35="worse, not significant",$Y35="better, not significant")),IF(ROUND($AC35,3)=ROUND(significance_bar,3),TEXT($AC35,"0.0000"),TEXT($AC35,"0.000")),""),"")</f>
        <v/>
      </c>
      <c r="AN35">
        <f>IF(AND(ISNUMBER($AC35),ISNUMBER(IF($V35,IF($AL35="","",$AL35),IF($AK35="","",$AK35)))),IF(AND(ABS($AC35-significance_bar)&lt;=2.0*IF($V35,IF($AL35="","",$AL35),IF($AK35="","",$AK35)),OR($Y35="worse",$Y35="worse, not significant")),IF(ROUND($AC35,3)=ROUND(significance_bar,3),TEXT($AC35,"0.0000"),TEXT($AC35,"0.000")),""),"")</f>
        <v/>
      </c>
      <c r="AO35">
        <f>IF(OR($AI35="",$AN35=""),$AI35,$AI35&amp;" · borderline (p "&amp;$AN35&amp;")")</f>
        <v/>
      </c>
    </row>
    <row r="36">
      <c r="A36" t="inlineStr">
        <is>
          <t>grids</t>
        </is>
      </c>
      <c r="B36" t="inlineStr">
        <is>
          <t>FICO x CHANNEL</t>
        </is>
      </c>
      <c r="C36" t="inlineStr">
        <is>
          <t>686 - 711</t>
        </is>
      </c>
      <c r="D36" t="inlineStr">
        <is>
          <t>Broker</t>
        </is>
      </c>
      <c r="E36" t="inlineStr">
        <is>
          <t>gco_rate</t>
        </is>
      </c>
      <c r="F36" t="inlineStr">
        <is>
          <t>GCO per booked dollar</t>
        </is>
      </c>
      <c r="G36" t="n">
        <v>501</v>
      </c>
      <c r="H36" t="n">
        <v>16516467.50999999</v>
      </c>
      <c r="I36" t="b">
        <v>0</v>
      </c>
      <c r="J36" t="b">
        <v>0</v>
      </c>
      <c r="K36" t="n">
        <v>0.6191799430350436</v>
      </c>
      <c r="L36" t="n">
        <v>0.06824317568243175</v>
      </c>
      <c r="M36" t="n">
        <v>0.7774930635253152</v>
      </c>
      <c r="N36" t="n">
        <v>0.5541112555411125</v>
      </c>
      <c r="O36" t="n">
        <v>-268227.2902916291</v>
      </c>
      <c r="P36" t="n">
        <v>-124809.3322578705</v>
      </c>
      <c r="Q36">
        <f>'_live'!$C$22</f>
        <v/>
      </c>
      <c r="R36" t="inlineStr">
        <is>
          <t>shuffled: 363 of 10,000</t>
        </is>
      </c>
      <c r="S36" t="inlineStr">
        <is>
          <t>shuffled: 3,324 of 10,000</t>
        </is>
      </c>
      <c r="T36" t="n">
        <v>0.04264479010812583</v>
      </c>
      <c r="U36" t="n">
        <v>0.03396145888448946</v>
      </c>
      <c r="V36">
        <f>AND(judged_band,NOT($J36))</f>
        <v/>
      </c>
      <c r="W36">
        <f>IF($K36="","",IF($I36,"too few losses to test",IF(AND($K36&gt;better_at,$K36&lt;worse_at),"in line",IF($K36&gt;=worse_at,IF(AND(ISNUMBER($L36),$L36&lt;significance_bar),"worse","worse, not significant"),IF(AND(ISNUMBER($L36),$L36&lt;significance_bar),"better","better, not significant")))))</f>
        <v/>
      </c>
      <c r="X36">
        <f>IF($M36="","",IF($I36,"too few losses to test",IF(AND($M36&gt;better_at,$M36&lt;worse_at),"in line",IF($M36&gt;=worse_at,IF(AND(ISNUMBER($N36),$N36&lt;significance_bar),"worse","worse, not significant"),IF(AND(ISNUMBER($N36),$N36&lt;significance_bar),"better","better, not significant")))))</f>
        <v/>
      </c>
      <c r="Y36">
        <f>IF($V36,$X36,$W36)</f>
        <v/>
      </c>
      <c r="Z36">
        <f>IF($V36,IF($P36="","",$P36),IF($O36="","",$O36))</f>
        <v/>
      </c>
      <c r="AA36">
        <f>IF(OR($Q36="",$Z36=""),"",IF(AND($Z36&gt;0,$Z36&gt;=$Q36),"yes","below the line"))</f>
        <v/>
      </c>
      <c r="AB36">
        <f>IF($V36,IF($M36="","",$M36),IF($K36="","",$K36))</f>
        <v/>
      </c>
      <c r="AC36">
        <f>IF($V36,IF($N36="","",$N36),IF($L36="","",$L36))</f>
        <v/>
      </c>
      <c r="AD36">
        <f>$Y36</f>
        <v/>
      </c>
      <c r="AE36">
        <f>IF($V36,IF($S36="","",$S36),IF($R36="","",$R36))</f>
        <v/>
      </c>
      <c r="AF36">
        <f>IF($V36,IF($U36="","",$U36),IF($T36="","",$T36))</f>
        <v/>
      </c>
      <c r="AG36">
        <f>IF($V36,IF($O36="","",$O36),IF($P36="","",$P36))</f>
        <v/>
      </c>
      <c r="AH36" t="n">
        <v>0.02640479870989074</v>
      </c>
      <c r="AI36">
        <f>IF($Y36="worse","Yes",IF($Y36="worse, not significant","Not sure",IF(OR($Y36="too few losses to test",$Y36="too few loans to test"),"Too few losses",IF($Y36="","","No"))))</f>
        <v/>
      </c>
      <c r="AJ36">
        <f>IF($AA36="yes","Yes",IF($AA36="","","No"))</f>
        <v/>
      </c>
      <c r="AK36" t="n">
        <v>0.003511393218899534</v>
      </c>
      <c r="AL36" t="n">
        <v>0.007851620697141702</v>
      </c>
      <c r="AM36">
        <f>IF(AND(ISNUMBER($AC36),ISNUMBER(IF($V36,IF($AL36="","",$AL36),IF($AK36="","",$AK36)))),IF(AND(ABS($AC36-significance_bar)&lt;=2.0*IF($V36,IF($AL36="","",$AL36),IF($AK36="","",$AK36)),OR($Y36="worse",$Y36="better",$Y36="worse, not significant",$Y36="better, not significant")),IF(ROUND($AC36,3)=ROUND(significance_bar,3),TEXT($AC36,"0.0000"),TEXT($AC36,"0.000")),""),"")</f>
        <v/>
      </c>
      <c r="AN36">
        <f>IF(AND(ISNUMBER($AC36),ISNUMBER(IF($V36,IF($AL36="","",$AL36),IF($AK36="","",$AK36)))),IF(AND(ABS($AC36-significance_bar)&lt;=2.0*IF($V36,IF($AL36="","",$AL36),IF($AK36="","",$AK36)),OR($Y36="worse",$Y36="worse, not significant")),IF(ROUND($AC36,3)=ROUND(significance_bar,3),TEXT($AC36,"0.0000"),TEXT($AC36,"0.000")),""),"")</f>
        <v/>
      </c>
      <c r="AO36">
        <f>IF(OR($AI36="",$AN36=""),$AI36,$AI36&amp;" · borderline (p "&amp;$AN36&amp;")")</f>
        <v/>
      </c>
    </row>
    <row r="37">
      <c r="A37" t="inlineStr">
        <is>
          <t>grids</t>
        </is>
      </c>
      <c r="B37" t="inlineStr">
        <is>
          <t>FICO x CHANNEL</t>
        </is>
      </c>
      <c r="C37" t="inlineStr">
        <is>
          <t>686 - 711</t>
        </is>
      </c>
      <c r="D37" t="inlineStr">
        <is>
          <t>Broker</t>
        </is>
      </c>
      <c r="E37" t="inlineStr">
        <is>
          <t>ranr_rate</t>
        </is>
      </c>
      <c r="F37" t="inlineStr">
        <is>
          <t>Profit after losses: RANR per booked dollar</t>
        </is>
      </c>
      <c r="G37" t="n">
        <v>501</v>
      </c>
      <c r="H37" t="n">
        <v>16516467.50999999</v>
      </c>
      <c r="I37" t="b">
        <v>0</v>
      </c>
      <c r="J37" t="b">
        <v>0</v>
      </c>
      <c r="K37" t="n">
        <v>-0.00119248593405033</v>
      </c>
      <c r="L37" t="n">
        <v>0.9303069693030698</v>
      </c>
      <c r="M37" t="n">
        <v>-0.02224678397985932</v>
      </c>
      <c r="N37" t="n">
        <v>0.05708000628508577</v>
      </c>
      <c r="O37" t="n">
        <v>19695.65518587432</v>
      </c>
      <c r="P37" t="n">
        <v>367438.2848053349</v>
      </c>
      <c r="Q37">
        <f>'_live'!$C$23</f>
        <v/>
      </c>
      <c r="R37" t="inlineStr">
        <is>
          <t>shuffled: 8,985 of 10,000</t>
        </is>
      </c>
      <c r="S37" t="inlineStr">
        <is>
          <t>shuffled: 221 of 10,000</t>
        </is>
      </c>
      <c r="T37" t="n">
        <v>0.128066369149772</v>
      </c>
      <c r="U37" t="n">
        <v>0.149120667195581</v>
      </c>
      <c r="V37">
        <f>AND(judged_band,NOT($J37))</f>
        <v/>
      </c>
      <c r="W37">
        <f>IF($K37="","",IF(profit_kind="test",IF(OR(NOT(AND(ISNUMBER($L37),$L37&lt;significance_bar)),$K37=0),"in line",IF($K37&lt;0,"worse","better")),IF(OR($K37=0,IF(profit_kind="points",ABS($K37),ABS($K37*$H37))&lt;profit_line*(1-1E-9)),"in line",IF(AND(ISNUMBER($L37),$L37&lt;significance_bar),IF($K37&lt;0,"worse","better"),IF($K37&lt;0,"worse, not significant","better, not significant")))))</f>
        <v/>
      </c>
      <c r="X37">
        <f>IF($M37="","",IF(profit_kind="test",IF(OR(NOT(AND(ISNUMBER($N37),$N37&lt;significance_bar)),$M37=0),"in line",IF($M37&lt;0,"worse","better")),IF(OR($M37=0,IF(profit_kind="points",ABS($M37),ABS($M37*$H37))&lt;profit_line*(1-1E-9)),"in line",IF(AND(ISNUMBER($N37),$N37&lt;significance_bar),IF($M37&lt;0,"worse","better"),IF($M37&lt;0,"worse, not significant","better, not significant")))))</f>
        <v/>
      </c>
      <c r="Y37">
        <f>IF($V37,$X37,$W37)</f>
        <v/>
      </c>
      <c r="Z37">
        <f>IF($V37,IF($P37="","",$P37),IF($O37="","",$O37))</f>
        <v/>
      </c>
      <c r="AA37">
        <f>IF(OR($Q37="",$Z37=""),"",IF(AND($Z37&gt;0,$Z37&gt;=$Q37),"yes","below the line"))</f>
        <v/>
      </c>
      <c r="AB37">
        <f>IF($V37,IF($M37="","",$M37),IF($K37="","",$K37))</f>
        <v/>
      </c>
      <c r="AC37">
        <f>IF($V37,IF($N37="","",$N37),IF($L37="","",$L37))</f>
        <v/>
      </c>
      <c r="AD37">
        <f>IF($Y37="","",IF($Y37="in line",IF(profit_kind="test",IF(ROUND($AB37*100,2)=0,"0.00",TEXT($AB37*100,"+0.00;-0.00"))&amp;" points against "&amp;IF($V37,"its band","the book")&amp;", "&amp;IF($AC37="","not tested","not significant"),IF(profit_kind="points","within "&amp;TEXT(profit_line*100,"0.00")&amp;" points of "&amp;IF($V37,"its band","the book")&amp;" ("&amp;IF(ROUND($AB37*100,2)=0,"0.00",TEXT($AB37*100,"+0.00;-0.00"))&amp;")","within $"&amp;TEXT(profit_line,"#,##0")&amp;" of "&amp;IF($V37,"its band","the book")&amp;" ("&amp;IF(ROUND($AB37*100,2)=0,"0.00",TEXT($AB37*100,"+0.00;-0.00"))&amp;" points)")),IF(LEFT($Y37,5)="worse","short of ","ahead of ")&amp;IF($V37,"its band","the book")&amp;" by "&amp;TEXT(ABS($AB37)*100,"0.00")&amp;" points"&amp;IF($Z37="",""," ($"&amp;TEXT(ABS($Z37),"#,##0")&amp;")")&amp;IF(RIGHT($Y37,15)="not significant"," (not significant)","")))</f>
        <v/>
      </c>
      <c r="AE37">
        <f>IF($V37,IF($S37="","",$S37),IF($R37="","",$R37))</f>
        <v/>
      </c>
      <c r="AF37">
        <f>IF($V37,IF($U37="","",$U37),IF($T37="","",$T37))</f>
        <v/>
      </c>
      <c r="AG37">
        <f>IF($V37,IF($O37="","",$O37),IF($P37="","",$P37))</f>
        <v/>
      </c>
      <c r="AH37" t="n">
        <v>0.1268738832157217</v>
      </c>
      <c r="AI37">
        <f>IF($Y37="worse","Yes",IF($Y37="worse, not significant","Not sure",IF(OR($Y37="too few losses to test",$Y37="too few loans to test"),"Too few losses",IF($Y37="","","No"))))</f>
        <v/>
      </c>
      <c r="AJ37">
        <f>IF($AA37="yes","Yes",IF($AA37="","","No"))</f>
        <v/>
      </c>
      <c r="AK37" t="n">
        <v>0.002546289696189478</v>
      </c>
      <c r="AL37" t="n">
        <v>0.003788390580461399</v>
      </c>
      <c r="AM37">
        <f>IF(AND(ISNUMBER($AC37),ISNUMBER(IF($V37,IF($AL37="","",$AL37),IF($AK37="","",$AK37)))),IF(AND(ABS($AC37-significance_bar)&lt;=2.0*IF($V37,IF($AL37="","",$AL37),IF($AK37="","",$AK37)),OR($Y37="worse",$Y37="better",$Y37="worse, not significant",$Y37="better, not significant",AND(profit_kind="test",$Y37="in line",ISNUMBER($AB37),$AB37&lt;&gt;0))),IF(ROUND($AC37,3)=ROUND(significance_bar,3),TEXT($AC37,"0.0000"),TEXT($AC37,"0.000")),""),"")</f>
        <v/>
      </c>
      <c r="AN37">
        <f>IF(AND(ISNUMBER($AC37),ISNUMBER(IF($V37,IF($AL37="","",$AL37),IF($AK37="","",$AK37)))),IF(AND(ABS($AC37-significance_bar)&lt;=2.0*IF($V37,IF($AL37="","",$AL37),IF($AK37="","",$AK37)),OR($Y37="worse",$Y37="worse, not significant",AND(profit_kind="test",$Y37="in line",ISNUMBER($AB37),$AB37&lt;0))),IF(ROUND($AC37,3)=ROUND(significance_bar,3),TEXT($AC37,"0.0000"),TEXT($AC37,"0.000")),""),"")</f>
        <v/>
      </c>
      <c r="AO37">
        <f>IF(OR($AI37="",$AN37=""),$AI37,$AI37&amp;" · borderline (p "&amp;$AN37&amp;")")</f>
        <v/>
      </c>
    </row>
    <row r="38">
      <c r="A38" t="inlineStr">
        <is>
          <t>grids</t>
        </is>
      </c>
      <c r="B38" t="inlineStr">
        <is>
          <t>FICO x CHANNEL</t>
        </is>
      </c>
      <c r="C38" t="inlineStr">
        <is>
          <t>686 - 711</t>
        </is>
      </c>
      <c r="D38" t="inlineStr">
        <is>
          <t>Broker</t>
        </is>
      </c>
      <c r="E38" t="inlineStr">
        <is>
          <t>contribution_rate</t>
        </is>
      </c>
      <c r="F38" t="inlineStr">
        <is>
          <t>Contribution before losses per booked dollar</t>
        </is>
      </c>
      <c r="G38" t="n">
        <v>501</v>
      </c>
      <c r="H38" t="n">
        <v>16516467.50999999</v>
      </c>
      <c r="I38" t="b">
        <v>0</v>
      </c>
      <c r="J38" t="b">
        <v>0</v>
      </c>
      <c r="K38" t="n">
        <v>-0.01742943508906991</v>
      </c>
      <c r="L38" t="n">
        <v>0.00721927807219278</v>
      </c>
      <c r="M38" t="n">
        <v>-0.0298034441544581</v>
      </c>
      <c r="N38" t="n">
        <v>0.0002571171454283143</v>
      </c>
      <c r="O38" t="n">
        <v>287872.6983662769</v>
      </c>
      <c r="P38" t="n">
        <v>492247.6170632062</v>
      </c>
      <c r="Q38">
        <f>'_live'!$C$24</f>
        <v/>
      </c>
      <c r="R38" t="inlineStr">
        <is>
          <t>shuffled: 50 of 10,000</t>
        </is>
      </c>
      <c r="S38" t="inlineStr">
        <is>
          <t>shuffled: 0 of 10,000</t>
        </is>
      </c>
      <c r="T38" t="n">
        <v>0.1707081170146823</v>
      </c>
      <c r="U38" t="n">
        <v>0.1830821260800705</v>
      </c>
      <c r="V38">
        <f>AND(judged_band,NOT($J38))</f>
        <v/>
      </c>
      <c r="W38">
        <f>IF($K38="","",IF(profit_kind="test",IF(OR(NOT(AND(ISNUMBER($L38),$L38&lt;significance_bar)),$K38=0),"in line",IF($K38&lt;0,"worse","better")),IF(OR($K38=0,IF(profit_kind="points",ABS($K38),ABS($K38*$H38))&lt;profit_line*(1-1E-9)),"in line",IF(AND(ISNUMBER($L38),$L38&lt;significance_bar),IF($K38&lt;0,"worse","better"),IF($K38&lt;0,"worse, not significant","better, not significant")))))</f>
        <v/>
      </c>
      <c r="X38">
        <f>IF($M38="","",IF(profit_kind="test",IF(OR(NOT(AND(ISNUMBER($N38),$N38&lt;significance_bar)),$M38=0),"in line",IF($M38&lt;0,"worse","better")),IF(OR($M38=0,IF(profit_kind="points",ABS($M38),ABS($M38*$H38))&lt;profit_line*(1-1E-9)),"in line",IF(AND(ISNUMBER($N38),$N38&lt;significance_bar),IF($M38&lt;0,"worse","better"),IF($M38&lt;0,"worse, not significant","better, not significant")))))</f>
        <v/>
      </c>
      <c r="Y38">
        <f>IF($V38,$X38,$W38)</f>
        <v/>
      </c>
      <c r="Z38">
        <f>IF($V38,IF($P38="","",$P38),IF($O38="","",$O38))</f>
        <v/>
      </c>
      <c r="AA38">
        <f>IF(OR($Q38="",$Z38=""),"",IF(AND($Z38&gt;0,$Z38&gt;=$Q38),"yes","below the line"))</f>
        <v/>
      </c>
      <c r="AB38">
        <f>IF($V38,IF($M38="","",$M38),IF($K38="","",$K38))</f>
        <v/>
      </c>
      <c r="AC38">
        <f>IF($V38,IF($N38="","",$N38),IF($L38="","",$L38))</f>
        <v/>
      </c>
      <c r="AD38">
        <f>IF($Y38="","",IF($Y38="in line",IF(profit_kind="test",IF(ROUND($AB38*100,2)=0,"0.00",TEXT($AB38*100,"+0.00;-0.00"))&amp;" points against "&amp;IF($V38,"its band","the book")&amp;", "&amp;IF($AC38="","not tested","not significant"),IF(profit_kind="points","within "&amp;TEXT(profit_line*100,"0.00")&amp;" points of "&amp;IF($V38,"its band","the book")&amp;" ("&amp;IF(ROUND($AB38*100,2)=0,"0.00",TEXT($AB38*100,"+0.00;-0.00"))&amp;")","within $"&amp;TEXT(profit_line,"#,##0")&amp;" of "&amp;IF($V38,"its band","the book")&amp;" ("&amp;IF(ROUND($AB38*100,2)=0,"0.00",TEXT($AB38*100,"+0.00;-0.00"))&amp;" points)")),IF(LEFT($Y38,5)="worse","short of ","ahead of ")&amp;IF($V38,"its band","the book")&amp;" by "&amp;TEXT(ABS($AB38)*100,"0.00")&amp;" points"&amp;IF($Z38="",""," ($"&amp;TEXT(ABS($Z38),"#,##0")&amp;")")&amp;IF(RIGHT($Y38,15)="not significant"," (not significant)","")))</f>
        <v/>
      </c>
      <c r="AE38">
        <f>IF($V38,IF($S38="","",$S38),IF($R38="","",$R38))</f>
        <v/>
      </c>
      <c r="AF38">
        <f>IF($V38,IF($U38="","",$U38),IF($T38="","",$T38))</f>
        <v/>
      </c>
      <c r="AG38">
        <f>IF($V38,IF($O38="","",$O38),IF($P38="","",$P38))</f>
        <v/>
      </c>
      <c r="AH38" t="n">
        <v>0.1532786819256124</v>
      </c>
      <c r="AI38">
        <f>IF($Y38="worse","Yes",IF($Y38="worse, not significant","Not sure",IF(OR($Y38="too few losses to test",$Y38="too few loans to test"),"Too few losses",IF($Y38="","","No"))))</f>
        <v/>
      </c>
      <c r="AJ38">
        <f>IF($AA38="yes","Yes",IF($AA38="","","No"))</f>
        <v/>
      </c>
      <c r="AK38" t="n">
        <v>0.0009535355743526588</v>
      </c>
      <c r="AL38" t="n">
        <v>0.0002571171454283143</v>
      </c>
      <c r="AM38">
        <f>IF(AND(ISNUMBER($AC38),ISNUMBER(IF($V38,IF($AL38="","",$AL38),IF($AK38="","",$AK38)))),IF(AND(ABS($AC38-significance_bar)&lt;=2.0*IF($V38,IF($AL38="","",$AL38),IF($AK38="","",$AK38)),OR($Y38="worse",$Y38="better",$Y38="worse, not significant",$Y38="better, not significant",AND(profit_kind="test",$Y38="in line",ISNUMBER($AB38),$AB38&lt;&gt;0))),IF(ROUND($AC38,3)=ROUND(significance_bar,3),TEXT($AC38,"0.0000"),TEXT($AC38,"0.000")),""),"")</f>
        <v/>
      </c>
      <c r="AN38">
        <f>IF(AND(ISNUMBER($AC38),ISNUMBER(IF($V38,IF($AL38="","",$AL38),IF($AK38="","",$AK38)))),IF(AND(ABS($AC38-significance_bar)&lt;=2.0*IF($V38,IF($AL38="","",$AL38),IF($AK38="","",$AK38)),OR($Y38="worse",$Y38="worse, not significant",AND(profit_kind="test",$Y38="in line",ISNUMBER($AB38),$AB38&lt;0))),IF(ROUND($AC38,3)=ROUND(significance_bar,3),TEXT($AC38,"0.0000"),TEXT($AC38,"0.000")),""),"")</f>
        <v/>
      </c>
      <c r="AO38">
        <f>IF(OR($AI38="",$AN38=""),$AI38,$AI38&amp;" · borderline (p "&amp;$AN38&amp;")")</f>
        <v/>
      </c>
    </row>
    <row r="39">
      <c r="A39" t="inlineStr">
        <is>
          <t>grids</t>
        </is>
      </c>
      <c r="B39" t="inlineStr">
        <is>
          <t>FICO x CHANNEL</t>
        </is>
      </c>
      <c r="C39" t="inlineStr">
        <is>
          <t>712 - 745</t>
        </is>
      </c>
      <c r="D39" t="inlineStr">
        <is>
          <t>Online</t>
        </is>
      </c>
      <c r="E39" t="inlineStr">
        <is>
          <t>outcome_loans</t>
        </is>
      </c>
      <c r="F39" t="inlineStr">
        <is>
          <t>Outcome, share of loans</t>
        </is>
      </c>
      <c r="G39" t="n">
        <v>564</v>
      </c>
      <c r="H39" t="n">
        <v>564</v>
      </c>
      <c r="I39" t="b">
        <v>0</v>
      </c>
      <c r="J39" t="b">
        <v>0</v>
      </c>
      <c r="K39" t="n">
        <v>1.133243125544357</v>
      </c>
      <c r="L39" t="n">
        <v>0.4767549432059792</v>
      </c>
      <c r="M39" t="n">
        <v>2.393756998880179</v>
      </c>
      <c r="N39" t="n">
        <v>0.0001371657214717494</v>
      </c>
      <c r="O39" t="n">
        <v>5.761264290517815</v>
      </c>
      <c r="P39" t="n">
        <v>28.53008595988539</v>
      </c>
      <c r="Q39">
        <f>'_live'!$C$20</f>
        <v/>
      </c>
      <c r="R39" t="inlineStr">
        <is>
          <t>z test</t>
        </is>
      </c>
      <c r="S39" t="inlineStr">
        <is>
          <t>z test</t>
        </is>
      </c>
      <c r="T39" t="n">
        <v>0.07666442501681238</v>
      </c>
      <c r="U39" t="n">
        <v>0.03629417382999045</v>
      </c>
      <c r="V39">
        <f>AND(judged_band,NOT($J39))</f>
        <v/>
      </c>
      <c r="W39">
        <f>IF($K39="","",IF($I39,"too few losses to test",IF(AND($K39&gt;better_at,$K39&lt;worse_at),"in line",IF($K39&gt;=worse_at,IF(AND(ISNUMBER($L39),$L39&lt;significance_bar),"worse","worse, not significant"),IF(AND(ISNUMBER($L39),$L39&lt;significance_bar),"better","better, not significant")))))</f>
        <v/>
      </c>
      <c r="X39">
        <f>IF($M39="","",IF($I39,"too few losses to test",IF(AND($M39&gt;better_at,$M39&lt;worse_at),"in line",IF($M39&gt;=worse_at,IF(AND(ISNUMBER($N39),$N39&lt;significance_bar),"worse","worse, not significant"),IF(AND(ISNUMBER($N39),$N39&lt;significance_bar),"better","better, not significant")))))</f>
        <v/>
      </c>
      <c r="Y39">
        <f>IF($V39,$X39,$W39)</f>
        <v/>
      </c>
      <c r="Z39">
        <f>IF($V39,IF($P39="","",$P39),IF($O39="","",$O39))</f>
        <v/>
      </c>
      <c r="AA39">
        <f>IF(OR($Q39="",$Z39=""),"",IF(AND($Z39&gt;0,$Z39&gt;=$Q39),"yes","below the line"))</f>
        <v/>
      </c>
      <c r="AB39">
        <f>IF($V39,IF($M39="","",$M39),IF($K39="","",$K39))</f>
        <v/>
      </c>
      <c r="AC39">
        <f>IF($V39,IF($N39="","",$N39),IF($L39="","",$L39))</f>
        <v/>
      </c>
      <c r="AD39">
        <f>$Y39</f>
        <v/>
      </c>
      <c r="AE39">
        <f>IF($V39,IF($S39="","",$S39),IF($R39="","",$R39))</f>
        <v/>
      </c>
      <c r="AF39">
        <f>IF($V39,IF($U39="","",$U39),IF($T39="","",$T39))</f>
        <v/>
      </c>
      <c r="AG39">
        <f>IF($V39,IF($O39="","",$O39),IF($P39="","",$P39))</f>
        <v/>
      </c>
      <c r="AH39" t="n">
        <v>0.08687943262411348</v>
      </c>
      <c r="AI39">
        <f>IF($Y39="worse","Yes",IF($Y39="worse, not significant","Not sure",IF(OR($Y39="too few losses to test",$Y39="too few loans to test"),"Too few losses",IF($Y39="","","No"))))</f>
        <v/>
      </c>
      <c r="AJ39">
        <f>IF($AA39="yes","Yes",IF($AA39="","","No"))</f>
        <v/>
      </c>
      <c r="AM39">
        <f>IF(AND(ISNUMBER($AC39),ISNUMBER(IF($V39,IF($AL39="","",$AL39),IF($AK39="","",$AK39)))),IF(AND(ABS($AC39-significance_bar)&lt;=2.0*IF($V39,IF($AL39="","",$AL39),IF($AK39="","",$AK39)),OR($Y39="worse",$Y39="better",$Y39="worse, not significant",$Y39="better, not significant")),IF(ROUND($AC39,3)=ROUND(significance_bar,3),TEXT($AC39,"0.0000"),TEXT($AC39,"0.000")),""),"")</f>
        <v/>
      </c>
      <c r="AN39">
        <f>IF(AND(ISNUMBER($AC39),ISNUMBER(IF($V39,IF($AL39="","",$AL39),IF($AK39="","",$AK39)))),IF(AND(ABS($AC39-significance_bar)&lt;=2.0*IF($V39,IF($AL39="","",$AL39),IF($AK39="","",$AK39)),OR($Y39="worse",$Y39="worse, not significant")),IF(ROUND($AC39,3)=ROUND(significance_bar,3),TEXT($AC39,"0.0000"),TEXT($AC39,"0.000")),""),"")</f>
        <v/>
      </c>
      <c r="AO39">
        <f>IF(OR($AI39="",$AN39=""),$AI39,$AI39&amp;" · borderline (p "&amp;$AN39&amp;")")</f>
        <v/>
      </c>
    </row>
    <row r="40">
      <c r="A40" t="inlineStr">
        <is>
          <t>grids</t>
        </is>
      </c>
      <c r="B40" t="inlineStr">
        <is>
          <t>FICO x CHANNEL</t>
        </is>
      </c>
      <c r="C40" t="inlineStr">
        <is>
          <t>712 - 745</t>
        </is>
      </c>
      <c r="D40" t="inlineStr">
        <is>
          <t>Online</t>
        </is>
      </c>
      <c r="E40" t="inlineStr">
        <is>
          <t>outcome_booked</t>
        </is>
      </c>
      <c r="F40" t="inlineStr">
        <is>
          <t>Outcome, share of booked dollars</t>
        </is>
      </c>
      <c r="G40" t="n">
        <v>564</v>
      </c>
      <c r="H40" t="n">
        <v>18368910.48999999</v>
      </c>
      <c r="I40" t="b">
        <v>0</v>
      </c>
      <c r="J40" t="b">
        <v>0</v>
      </c>
      <c r="K40" t="n">
        <v>1.123299957362862</v>
      </c>
      <c r="L40" t="n">
        <v>0.5871912808719127</v>
      </c>
      <c r="M40" t="n">
        <v>2.172307734022388</v>
      </c>
      <c r="N40" t="n">
        <v>0.003999600039996001</v>
      </c>
      <c r="O40" t="n">
        <v>168004.1815526905</v>
      </c>
      <c r="P40" t="n">
        <v>825986.9559946364</v>
      </c>
      <c r="Q40">
        <f>'_live'!$C$21</f>
        <v/>
      </c>
      <c r="R40" t="inlineStr">
        <is>
          <t>shuffled: 4,697 of 10,000</t>
        </is>
      </c>
      <c r="S40" t="inlineStr">
        <is>
          <t>shuffled: 7 of 10,000</t>
        </is>
      </c>
      <c r="T40" t="n">
        <v>0.07417776896398337</v>
      </c>
      <c r="U40" t="n">
        <v>0.03835731163200657</v>
      </c>
      <c r="V40">
        <f>AND(judged_band,NOT($J40))</f>
        <v/>
      </c>
      <c r="W40">
        <f>IF($K40="","",IF($I40,"too few losses to test",IF(AND($K40&gt;better_at,$K40&lt;worse_at),"in line",IF($K40&gt;=worse_at,IF(AND(ISNUMBER($L40),$L40&lt;significance_bar),"worse","worse, not significant"),IF(AND(ISNUMBER($L40),$L40&lt;significance_bar),"better","better, not significant")))))</f>
        <v/>
      </c>
      <c r="X40">
        <f>IF($M40="","",IF($I40,"too few losses to test",IF(AND($M40&gt;better_at,$M40&lt;worse_at),"in line",IF($M40&gt;=worse_at,IF(AND(ISNUMBER($N40),$N40&lt;significance_bar),"worse","worse, not significant"),IF(AND(ISNUMBER($N40),$N40&lt;significance_bar),"better","better, not significant")))))</f>
        <v/>
      </c>
      <c r="Y40">
        <f>IF($V40,$X40,$W40)</f>
        <v/>
      </c>
      <c r="Z40">
        <f>IF($V40,IF($P40="","",$P40),IF($O40="","",$O40))</f>
        <v/>
      </c>
      <c r="AA40">
        <f>IF(OR($Q40="",$Z40=""),"",IF(AND($Z40&gt;0,$Z40&gt;=$Q40),"yes","below the line"))</f>
        <v/>
      </c>
      <c r="AB40">
        <f>IF($V40,IF($M40="","",$M40),IF($K40="","",$K40))</f>
        <v/>
      </c>
      <c r="AC40">
        <f>IF($V40,IF($N40="","",$N40),IF($L40="","",$L40))</f>
        <v/>
      </c>
      <c r="AD40">
        <f>$Y40</f>
        <v/>
      </c>
      <c r="AE40">
        <f>IF($V40,IF($S40="","",$S40),IF($R40="","",$R40))</f>
        <v/>
      </c>
      <c r="AF40">
        <f>IF($V40,IF($U40="","",$U40),IF($T40="","",$T40))</f>
        <v/>
      </c>
      <c r="AG40">
        <f>IF($V40,IF($O40="","",$O40),IF($P40="","",$P40))</f>
        <v/>
      </c>
      <c r="AH40" t="n">
        <v>0.08332388471451478</v>
      </c>
      <c r="AI40">
        <f>IF($Y40="worse","Yes",IF($Y40="worse, not significant","Not sure",IF(OR($Y40="too few losses to test",$Y40="too few loans to test"),"Too few losses",IF($Y40="","","No"))))</f>
        <v/>
      </c>
      <c r="AJ40">
        <f>IF($AA40="yes","Yes",IF($AA40="","","No"))</f>
        <v/>
      </c>
      <c r="AK40" t="n">
        <v>0.006238553524318705</v>
      </c>
      <c r="AL40" t="n">
        <v>0.001413577143261027</v>
      </c>
      <c r="AM40">
        <f>IF(AND(ISNUMBER($AC40),ISNUMBER(IF($V40,IF($AL40="","",$AL40),IF($AK40="","",$AK40)))),IF(AND(ABS($AC40-significance_bar)&lt;=2.0*IF($V40,IF($AL40="","",$AL40),IF($AK40="","",$AK40)),OR($Y40="worse",$Y40="better",$Y40="worse, not significant",$Y40="better, not significant")),IF(ROUND($AC40,3)=ROUND(significance_bar,3),TEXT($AC40,"0.0000"),TEXT($AC40,"0.000")),""),"")</f>
        <v/>
      </c>
      <c r="AN40">
        <f>IF(AND(ISNUMBER($AC40),ISNUMBER(IF($V40,IF($AL40="","",$AL40),IF($AK40="","",$AK40)))),IF(AND(ABS($AC40-significance_bar)&lt;=2.0*IF($V40,IF($AL40="","",$AL40),IF($AK40="","",$AK40)),OR($Y40="worse",$Y40="worse, not significant")),IF(ROUND($AC40,3)=ROUND(significance_bar,3),TEXT($AC40,"0.0000"),TEXT($AC40,"0.000")),""),"")</f>
        <v/>
      </c>
      <c r="AO40">
        <f>IF(OR($AI40="",$AN40=""),$AI40,$AI40&amp;" · borderline (p "&amp;$AN40&amp;")")</f>
        <v/>
      </c>
    </row>
    <row r="41">
      <c r="A41" t="inlineStr">
        <is>
          <t>grids</t>
        </is>
      </c>
      <c r="B41" t="inlineStr">
        <is>
          <t>FICO x CHANNEL</t>
        </is>
      </c>
      <c r="C41" t="inlineStr">
        <is>
          <t>712 - 745</t>
        </is>
      </c>
      <c r="D41" t="inlineStr">
        <is>
          <t>Online</t>
        </is>
      </c>
      <c r="E41" t="inlineStr">
        <is>
          <t>gco_rate</t>
        </is>
      </c>
      <c r="F41" t="inlineStr">
        <is>
          <t>GCO per booked dollar</t>
        </is>
      </c>
      <c r="G41" t="n">
        <v>564</v>
      </c>
      <c r="H41" t="n">
        <v>18368910.48999999</v>
      </c>
      <c r="I41" t="b">
        <v>0</v>
      </c>
      <c r="J41" t="b">
        <v>0</v>
      </c>
      <c r="K41" t="n">
        <v>1.0931294943132</v>
      </c>
      <c r="L41" t="n">
        <v>0.7464253574642536</v>
      </c>
      <c r="M41" t="n">
        <v>2.06437015854151</v>
      </c>
      <c r="N41" t="n">
        <v>0.00674932506749325</v>
      </c>
      <c r="O41" t="n">
        <v>70704.8396819632</v>
      </c>
      <c r="P41" t="n">
        <v>427896.3942571366</v>
      </c>
      <c r="Q41">
        <f>'_live'!$C$22</f>
        <v/>
      </c>
      <c r="R41" t="inlineStr">
        <is>
          <t>shuffled: 5,971 of 10,000</t>
        </is>
      </c>
      <c r="S41" t="inlineStr">
        <is>
          <t>shuffled: 17 of 10,000</t>
        </is>
      </c>
      <c r="T41" t="n">
        <v>0.0413312461145341</v>
      </c>
      <c r="U41" t="n">
        <v>0.02188580569118248</v>
      </c>
      <c r="V41">
        <f>AND(judged_band,NOT($J41))</f>
        <v/>
      </c>
      <c r="W41">
        <f>IF($K41="","",IF($I41,"too few losses to test",IF(AND($K41&gt;better_at,$K41&lt;worse_at),"in line",IF($K41&gt;=worse_at,IF(AND(ISNUMBER($L41),$L41&lt;significance_bar),"worse","worse, not significant"),IF(AND(ISNUMBER($L41),$L41&lt;significance_bar),"better","better, not significant")))))</f>
        <v/>
      </c>
      <c r="X41">
        <f>IF($M41="","",IF($I41,"too few losses to test",IF(AND($M41&gt;better_at,$M41&lt;worse_at),"in line",IF($M41&gt;=worse_at,IF(AND(ISNUMBER($N41),$N41&lt;significance_bar),"worse","worse, not significant"),IF(AND(ISNUMBER($N41),$N41&lt;significance_bar),"better","better, not significant")))))</f>
        <v/>
      </c>
      <c r="Y41">
        <f>IF($V41,$X41,$W41)</f>
        <v/>
      </c>
      <c r="Z41">
        <f>IF($V41,IF($P41="","",$P41),IF($O41="","",$O41))</f>
        <v/>
      </c>
      <c r="AA41">
        <f>IF(OR($Q41="",$Z41=""),"",IF(AND($Z41&gt;0,$Z41&gt;=$Q41),"yes","below the line"))</f>
        <v/>
      </c>
      <c r="AB41">
        <f>IF($V41,IF($M41="","",$M41),IF($K41="","",$K41))</f>
        <v/>
      </c>
      <c r="AC41">
        <f>IF($V41,IF($N41="","",$N41),IF($L41="","",$L41))</f>
        <v/>
      </c>
      <c r="AD41">
        <f>$Y41</f>
        <v/>
      </c>
      <c r="AE41">
        <f>IF($V41,IF($S41="","",$S41),IF($R41="","",$R41))</f>
        <v/>
      </c>
      <c r="AF41">
        <f>IF($V41,IF($U41="","",$U41),IF($T41="","",$T41))</f>
        <v/>
      </c>
      <c r="AG41">
        <f>IF($V41,IF($O41="","",$O41),IF($P41="","",$P41))</f>
        <v/>
      </c>
      <c r="AH41" t="n">
        <v>0.04518040416451506</v>
      </c>
      <c r="AI41">
        <f>IF($Y41="worse","Yes",IF($Y41="worse, not significant","Not sure",IF(OR($Y41="too few losses to test",$Y41="too few loans to test"),"Too few losses",IF($Y41="","","No"))))</f>
        <v/>
      </c>
      <c r="AJ41">
        <f>IF($AA41="yes","Yes",IF($AA41="","","No"))</f>
        <v/>
      </c>
      <c r="AK41" t="n">
        <v>0.006130912514175017</v>
      </c>
      <c r="AL41" t="n">
        <v>0.001589478392877141</v>
      </c>
      <c r="AM41">
        <f>IF(AND(ISNUMBER($AC41),ISNUMBER(IF($V41,IF($AL41="","",$AL41),IF($AK41="","",$AK41)))),IF(AND(ABS($AC41-significance_bar)&lt;=2.0*IF($V41,IF($AL41="","",$AL41),IF($AK41="","",$AK41)),OR($Y41="worse",$Y41="better",$Y41="worse, not significant",$Y41="better, not significant")),IF(ROUND($AC41,3)=ROUND(significance_bar,3),TEXT($AC41,"0.0000"),TEXT($AC41,"0.000")),""),"")</f>
        <v/>
      </c>
      <c r="AN41">
        <f>IF(AND(ISNUMBER($AC41),ISNUMBER(IF($V41,IF($AL41="","",$AL41),IF($AK41="","",$AK41)))),IF(AND(ABS($AC41-significance_bar)&lt;=2.0*IF($V41,IF($AL41="","",$AL41),IF($AK41="","",$AK41)),OR($Y41="worse",$Y41="worse, not significant")),IF(ROUND($AC41,3)=ROUND(significance_bar,3),TEXT($AC41,"0.0000"),TEXT($AC41,"0.000")),""),"")</f>
        <v/>
      </c>
      <c r="AO41">
        <f>IF(OR($AI41="",$AN41=""),$AI41,$AI41&amp;" · borderline (p "&amp;$AN41&amp;")")</f>
        <v/>
      </c>
    </row>
    <row r="42">
      <c r="A42" t="inlineStr">
        <is>
          <t>grids</t>
        </is>
      </c>
      <c r="B42" t="inlineStr">
        <is>
          <t>FICO x CHANNEL</t>
        </is>
      </c>
      <c r="C42" t="inlineStr">
        <is>
          <t>712 - 745</t>
        </is>
      </c>
      <c r="D42" t="inlineStr">
        <is>
          <t>Online</t>
        </is>
      </c>
      <c r="E42" t="inlineStr">
        <is>
          <t>ranr_rate</t>
        </is>
      </c>
      <c r="F42" t="inlineStr">
        <is>
          <t>Profit after losses: RANR per booked dollar</t>
        </is>
      </c>
      <c r="G42" t="n">
        <v>564</v>
      </c>
      <c r="H42" t="n">
        <v>18368910.48999999</v>
      </c>
      <c r="I42" t="b">
        <v>0</v>
      </c>
      <c r="J42" t="b">
        <v>0</v>
      </c>
      <c r="K42" t="n">
        <v>-0.01997924590250309</v>
      </c>
      <c r="L42" t="n">
        <v>0.03720461287204613</v>
      </c>
      <c r="M42" t="n">
        <v>0.02101666414595046</v>
      </c>
      <c r="N42" t="n">
        <v>0.05009499050094991</v>
      </c>
      <c r="O42" t="n">
        <v>366996.9796407784</v>
      </c>
      <c r="P42" t="n">
        <v>-386053.2224953561</v>
      </c>
      <c r="Q42">
        <f>'_live'!$C$23</f>
        <v/>
      </c>
      <c r="R42" t="inlineStr">
        <is>
          <t>shuffled: 234 of 10,000</t>
        </is>
      </c>
      <c r="S42" t="inlineStr">
        <is>
          <t>shuffled: 150 of 10,000</t>
        </is>
      </c>
      <c r="T42" t="n">
        <v>0.1294121412881238</v>
      </c>
      <c r="U42" t="n">
        <v>0.08841623123967023</v>
      </c>
      <c r="V42">
        <f>AND(judged_band,NOT($J42))</f>
        <v/>
      </c>
      <c r="W42">
        <f>IF($K42="","",IF(profit_kind="test",IF(OR(NOT(AND(ISNUMBER($L42),$L42&lt;significance_bar)),$K42=0),"in line",IF($K42&lt;0,"worse","better")),IF(OR($K42=0,IF(profit_kind="points",ABS($K42),ABS($K42*$H42))&lt;profit_line*(1-1E-9)),"in line",IF(AND(ISNUMBER($L42),$L42&lt;significance_bar),IF($K42&lt;0,"worse","better"),IF($K42&lt;0,"worse, not significant","better, not significant")))))</f>
        <v/>
      </c>
      <c r="X42">
        <f>IF($M42="","",IF(profit_kind="test",IF(OR(NOT(AND(ISNUMBER($N42),$N42&lt;significance_bar)),$M42=0),"in line",IF($M42&lt;0,"worse","better")),IF(OR($M42=0,IF(profit_kind="points",ABS($M42),ABS($M42*$H42))&lt;profit_line*(1-1E-9)),"in line",IF(AND(ISNUMBER($N42),$N42&lt;significance_bar),IF($M42&lt;0,"worse","better"),IF($M42&lt;0,"worse, not significant","better, not significant")))))</f>
        <v/>
      </c>
      <c r="Y42">
        <f>IF($V42,$X42,$W42)</f>
        <v/>
      </c>
      <c r="Z42">
        <f>IF($V42,IF($P42="","",$P42),IF($O42="","",$O42))</f>
        <v/>
      </c>
      <c r="AA42">
        <f>IF(OR($Q42="",$Z42=""),"",IF(AND($Z42&gt;0,$Z42&gt;=$Q42),"yes","below the line"))</f>
        <v/>
      </c>
      <c r="AB42">
        <f>IF($V42,IF($M42="","",$M42),IF($K42="","",$K42))</f>
        <v/>
      </c>
      <c r="AC42">
        <f>IF($V42,IF($N42="","",$N42),IF($L42="","",$L42))</f>
        <v/>
      </c>
      <c r="AD42">
        <f>IF($Y42="","",IF($Y42="in line",IF(profit_kind="test",IF(ROUND($AB42*100,2)=0,"0.00",TEXT($AB42*100,"+0.00;-0.00"))&amp;" points against "&amp;IF($V42,"its band","the book")&amp;", "&amp;IF($AC42="","not tested","not significant"),IF(profit_kind="points","within "&amp;TEXT(profit_line*100,"0.00")&amp;" points of "&amp;IF($V42,"its band","the book")&amp;" ("&amp;IF(ROUND($AB42*100,2)=0,"0.00",TEXT($AB42*100,"+0.00;-0.00"))&amp;")","within $"&amp;TEXT(profit_line,"#,##0")&amp;" of "&amp;IF($V42,"its band","the book")&amp;" ("&amp;IF(ROUND($AB42*100,2)=0,"0.00",TEXT($AB42*100,"+0.00;-0.00"))&amp;" points)")),IF(LEFT($Y42,5)="worse","short of ","ahead of ")&amp;IF($V42,"its band","the book")&amp;" by "&amp;TEXT(ABS($AB42)*100,"0.00")&amp;" points"&amp;IF($Z42="",""," ($"&amp;TEXT(ABS($Z42),"#,##0")&amp;")")&amp;IF(RIGHT($Y42,15)="not significant"," (not significant)","")))</f>
        <v/>
      </c>
      <c r="AE42">
        <f>IF($V42,IF($S42="","",$S42),IF($R42="","",$R42))</f>
        <v/>
      </c>
      <c r="AF42">
        <f>IF($V42,IF($U42="","",$U42),IF($T42="","",$T42))</f>
        <v/>
      </c>
      <c r="AG42">
        <f>IF($V42,IF($O42="","",$O42),IF($P42="","",$P42))</f>
        <v/>
      </c>
      <c r="AH42" t="n">
        <v>0.1094328953856207</v>
      </c>
      <c r="AI42">
        <f>IF($Y42="worse","Yes",IF($Y42="worse, not significant","Not sure",IF(OR($Y42="too few losses to test",$Y42="too few loans to test"),"Too few losses",IF($Y42="","","No"))))</f>
        <v/>
      </c>
      <c r="AJ42">
        <f>IF($AA42="yes","Yes",IF($AA42="","","No"))</f>
        <v/>
      </c>
      <c r="AK42" t="n">
        <v>0.002398397808853115</v>
      </c>
      <c r="AL42" t="n">
        <v>0.003844157429522879</v>
      </c>
      <c r="AM42">
        <f>IF(AND(ISNUMBER($AC42),ISNUMBER(IF($V42,IF($AL42="","",$AL42),IF($AK42="","",$AK42)))),IF(AND(ABS($AC42-significance_bar)&lt;=2.0*IF($V42,IF($AL42="","",$AL42),IF($AK42="","",$AK42)),OR($Y42="worse",$Y42="better",$Y42="worse, not significant",$Y42="better, not significant",AND(profit_kind="test",$Y42="in line",ISNUMBER($AB42),$AB42&lt;&gt;0))),IF(ROUND($AC42,3)=ROUND(significance_bar,3),TEXT($AC42,"0.0000"),TEXT($AC42,"0.000")),""),"")</f>
        <v/>
      </c>
      <c r="AN42">
        <f>IF(AND(ISNUMBER($AC42),ISNUMBER(IF($V42,IF($AL42="","",$AL42),IF($AK42="","",$AK42)))),IF(AND(ABS($AC42-significance_bar)&lt;=2.0*IF($V42,IF($AL42="","",$AL42),IF($AK42="","",$AK42)),OR($Y42="worse",$Y42="worse, not significant",AND(profit_kind="test",$Y42="in line",ISNUMBER($AB42),$AB42&lt;0))),IF(ROUND($AC42,3)=ROUND(significance_bar,3),TEXT($AC42,"0.0000"),TEXT($AC42,"0.000")),""),"")</f>
        <v/>
      </c>
      <c r="AO42">
        <f>IF(OR($AI42="",$AN42=""),$AI42,$AI42&amp;" · borderline (p "&amp;$AN42&amp;")")</f>
        <v/>
      </c>
    </row>
    <row r="43">
      <c r="A43" t="inlineStr">
        <is>
          <t>grids</t>
        </is>
      </c>
      <c r="B43" t="inlineStr">
        <is>
          <t>FICO x CHANNEL</t>
        </is>
      </c>
      <c r="C43" t="inlineStr">
        <is>
          <t>712 - 745</t>
        </is>
      </c>
      <c r="D43" t="inlineStr">
        <is>
          <t>Online</t>
        </is>
      </c>
      <c r="E43" t="inlineStr">
        <is>
          <t>contribution_rate</t>
        </is>
      </c>
      <c r="F43" t="inlineStr">
        <is>
          <t>Contribution before losses per booked dollar</t>
        </is>
      </c>
      <c r="G43" t="n">
        <v>564</v>
      </c>
      <c r="H43" t="n">
        <v>18368910.48999999</v>
      </c>
      <c r="I43" t="b">
        <v>0</v>
      </c>
      <c r="J43" t="b">
        <v>0</v>
      </c>
      <c r="K43" t="n">
        <v>-0.01612724493605203</v>
      </c>
      <c r="L43" t="n">
        <v>0.00721927807219278</v>
      </c>
      <c r="M43" t="n">
        <v>0.04438184236778041</v>
      </c>
      <c r="N43" t="n">
        <v>0.0002571171454283143</v>
      </c>
      <c r="O43" t="n">
        <v>296239.9186806455</v>
      </c>
      <c r="P43" t="n">
        <v>-815246.0898350475</v>
      </c>
      <c r="Q43">
        <f>'_live'!$C$24</f>
        <v/>
      </c>
      <c r="R43" t="inlineStr">
        <is>
          <t>shuffled: 55 of 10,000</t>
        </is>
      </c>
      <c r="S43" t="inlineStr">
        <is>
          <t>shuffled: 0 of 10,000</t>
        </is>
      </c>
      <c r="T43" t="n">
        <v>0.1707405444861878</v>
      </c>
      <c r="U43" t="n">
        <v>0.1102314571823553</v>
      </c>
      <c r="V43">
        <f>AND(judged_band,NOT($J43))</f>
        <v/>
      </c>
      <c r="W43">
        <f>IF($K43="","",IF(profit_kind="test",IF(OR(NOT(AND(ISNUMBER($L43),$L43&lt;significance_bar)),$K43=0),"in line",IF($K43&lt;0,"worse","better")),IF(OR($K43=0,IF(profit_kind="points",ABS($K43),ABS($K43*$H43))&lt;profit_line*(1-1E-9)),"in line",IF(AND(ISNUMBER($L43),$L43&lt;significance_bar),IF($K43&lt;0,"worse","better"),IF($K43&lt;0,"worse, not significant","better, not significant")))))</f>
        <v/>
      </c>
      <c r="X43">
        <f>IF($M43="","",IF(profit_kind="test",IF(OR(NOT(AND(ISNUMBER($N43),$N43&lt;significance_bar)),$M43=0),"in line",IF($M43&lt;0,"worse","better")),IF(OR($M43=0,IF(profit_kind="points",ABS($M43),ABS($M43*$H43))&lt;profit_line*(1-1E-9)),"in line",IF(AND(ISNUMBER($N43),$N43&lt;significance_bar),IF($M43&lt;0,"worse","better"),IF($M43&lt;0,"worse, not significant","better, not significant")))))</f>
        <v/>
      </c>
      <c r="Y43">
        <f>IF($V43,$X43,$W43)</f>
        <v/>
      </c>
      <c r="Z43">
        <f>IF($V43,IF($P43="","",$P43),IF($O43="","",$O43))</f>
        <v/>
      </c>
      <c r="AA43">
        <f>IF(OR($Q43="",$Z43=""),"",IF(AND($Z43&gt;0,$Z43&gt;=$Q43),"yes","below the line"))</f>
        <v/>
      </c>
      <c r="AB43">
        <f>IF($V43,IF($M43="","",$M43),IF($K43="","",$K43))</f>
        <v/>
      </c>
      <c r="AC43">
        <f>IF($V43,IF($N43="","",$N43),IF($L43="","",$L43))</f>
        <v/>
      </c>
      <c r="AD43">
        <f>IF($Y43="","",IF($Y43="in line",IF(profit_kind="test",IF(ROUND($AB43*100,2)=0,"0.00",TEXT($AB43*100,"+0.00;-0.00"))&amp;" points against "&amp;IF($V43,"its band","the book")&amp;", "&amp;IF($AC43="","not tested","not significant"),IF(profit_kind="points","within "&amp;TEXT(profit_line*100,"0.00")&amp;" points of "&amp;IF($V43,"its band","the book")&amp;" ("&amp;IF(ROUND($AB43*100,2)=0,"0.00",TEXT($AB43*100,"+0.00;-0.00"))&amp;")","within $"&amp;TEXT(profit_line,"#,##0")&amp;" of "&amp;IF($V43,"its band","the book")&amp;" ("&amp;IF(ROUND($AB43*100,2)=0,"0.00",TEXT($AB43*100,"+0.00;-0.00"))&amp;" points)")),IF(LEFT($Y43,5)="worse","short of ","ahead of ")&amp;IF($V43,"its band","the book")&amp;" by "&amp;TEXT(ABS($AB43)*100,"0.00")&amp;" points"&amp;IF($Z43="",""," ($"&amp;TEXT(ABS($Z43),"#,##0")&amp;")")&amp;IF(RIGHT($Y43,15)="not significant"," (not significant)","")))</f>
        <v/>
      </c>
      <c r="AE43">
        <f>IF($V43,IF($S43="","",$S43),IF($R43="","",$R43))</f>
        <v/>
      </c>
      <c r="AF43">
        <f>IF($V43,IF($U43="","",$U43),IF($T43="","",$T43))</f>
        <v/>
      </c>
      <c r="AG43">
        <f>IF($V43,IF($O43="","",$O43),IF($P43="","",$P43))</f>
        <v/>
      </c>
      <c r="AH43" t="n">
        <v>0.1546132995501358</v>
      </c>
      <c r="AI43">
        <f>IF($Y43="worse","Yes",IF($Y43="worse, not significant","Not sure",IF(OR($Y43="too few losses to test",$Y43="too few loans to test"),"Too few losses",IF($Y43="","","No"))))</f>
        <v/>
      </c>
      <c r="AJ43">
        <f>IF($AA43="yes","Yes",IF($AA43="","","No"))</f>
        <v/>
      </c>
      <c r="AK43" t="n">
        <v>0.0009535355743526588</v>
      </c>
      <c r="AL43" t="n">
        <v>0.0002571171454283143</v>
      </c>
      <c r="AM43">
        <f>IF(AND(ISNUMBER($AC43),ISNUMBER(IF($V43,IF($AL43="","",$AL43),IF($AK43="","",$AK43)))),IF(AND(ABS($AC43-significance_bar)&lt;=2.0*IF($V43,IF($AL43="","",$AL43),IF($AK43="","",$AK43)),OR($Y43="worse",$Y43="better",$Y43="worse, not significant",$Y43="better, not significant",AND(profit_kind="test",$Y43="in line",ISNUMBER($AB43),$AB43&lt;&gt;0))),IF(ROUND($AC43,3)=ROUND(significance_bar,3),TEXT($AC43,"0.0000"),TEXT($AC43,"0.000")),""),"")</f>
        <v/>
      </c>
      <c r="AN43">
        <f>IF(AND(ISNUMBER($AC43),ISNUMBER(IF($V43,IF($AL43="","",$AL43),IF($AK43="","",$AK43)))),IF(AND(ABS($AC43-significance_bar)&lt;=2.0*IF($V43,IF($AL43="","",$AL43),IF($AK43="","",$AK43)),OR($Y43="worse",$Y43="worse, not significant",AND(profit_kind="test",$Y43="in line",ISNUMBER($AB43),$AB43&lt;0))),IF(ROUND($AC43,3)=ROUND(significance_bar,3),TEXT($AC43,"0.0000"),TEXT($AC43,"0.000")),""),"")</f>
        <v/>
      </c>
      <c r="AO43">
        <f>IF(OR($AI43="",$AN43=""),$AI43,$AI43&amp;" · borderline (p "&amp;$AN43&amp;")")</f>
        <v/>
      </c>
    </row>
    <row r="44">
      <c r="A44" t="inlineStr">
        <is>
          <t>grids</t>
        </is>
      </c>
      <c r="B44" t="inlineStr">
        <is>
          <t>FICO x CHANNEL</t>
        </is>
      </c>
      <c r="C44" t="inlineStr">
        <is>
          <t>746 - 921</t>
        </is>
      </c>
      <c r="D44" t="inlineStr">
        <is>
          <t>Broker</t>
        </is>
      </c>
      <c r="E44" t="inlineStr">
        <is>
          <t>outcome_loans</t>
        </is>
      </c>
      <c r="F44" t="inlineStr">
        <is>
          <t>Outcome, share of loans</t>
        </is>
      </c>
      <c r="G44" t="n">
        <v>536</v>
      </c>
      <c r="H44" t="n">
        <v>536</v>
      </c>
      <c r="I44" t="b">
        <v>0</v>
      </c>
      <c r="J44" t="b">
        <v>0</v>
      </c>
      <c r="K44" t="n">
        <v>0.4648917349811875</v>
      </c>
      <c r="L44" t="n">
        <v>0.00131203224236217</v>
      </c>
      <c r="M44" t="n">
        <v>0.9195095948827292</v>
      </c>
      <c r="N44" t="n">
        <v>0.8063280654421801</v>
      </c>
      <c r="O44" t="n">
        <v>-23.02076912769664</v>
      </c>
      <c r="P44" t="n">
        <v>-1.750724637681159</v>
      </c>
      <c r="Q44">
        <f>'_live'!$C$20</f>
        <v/>
      </c>
      <c r="R44" t="inlineStr">
        <is>
          <t>z test</t>
        </is>
      </c>
      <c r="S44" t="inlineStr">
        <is>
          <t>z test</t>
        </is>
      </c>
      <c r="T44" t="n">
        <v>0.08026262896958328</v>
      </c>
      <c r="U44" t="n">
        <v>0.04057971014492753</v>
      </c>
      <c r="V44">
        <f>AND(judged_band,NOT($J44))</f>
        <v/>
      </c>
      <c r="W44">
        <f>IF($K44="","",IF($I44,"too few losses to test",IF(AND($K44&gt;better_at,$K44&lt;worse_at),"in line",IF($K44&gt;=worse_at,IF(AND(ISNUMBER($L44),$L44&lt;significance_bar),"worse","worse, not significant"),IF(AND(ISNUMBER($L44),$L44&lt;significance_bar),"better","better, not significant")))))</f>
        <v/>
      </c>
      <c r="X44">
        <f>IF($M44="","",IF($I44,"too few losses to test",IF(AND($M44&gt;better_at,$M44&lt;worse_at),"in line",IF($M44&gt;=worse_at,IF(AND(ISNUMBER($N44),$N44&lt;significance_bar),"worse","worse, not significant"),IF(AND(ISNUMBER($N44),$N44&lt;significance_bar),"better","better, not significant")))))</f>
        <v/>
      </c>
      <c r="Y44">
        <f>IF($V44,$X44,$W44)</f>
        <v/>
      </c>
      <c r="Z44">
        <f>IF($V44,IF($P44="","",$P44),IF($O44="","",$O44))</f>
        <v/>
      </c>
      <c r="AA44">
        <f>IF(OR($Q44="",$Z44=""),"",IF(AND($Z44&gt;0,$Z44&gt;=$Q44),"yes","below the line"))</f>
        <v/>
      </c>
      <c r="AB44">
        <f>IF($V44,IF($M44="","",$M44),IF($K44="","",$K44))</f>
        <v/>
      </c>
      <c r="AC44">
        <f>IF($V44,IF($N44="","",$N44),IF($L44="","",$L44))</f>
        <v/>
      </c>
      <c r="AD44">
        <f>$Y44</f>
        <v/>
      </c>
      <c r="AE44">
        <f>IF($V44,IF($S44="","",$S44),IF($R44="","",$R44))</f>
        <v/>
      </c>
      <c r="AF44">
        <f>IF($V44,IF($U44="","",$U44),IF($T44="","",$T44))</f>
        <v/>
      </c>
      <c r="AG44">
        <f>IF($V44,IF($O44="","",$O44),IF($P44="","",$P44))</f>
        <v/>
      </c>
      <c r="AH44" t="n">
        <v>0.03731343283582089</v>
      </c>
      <c r="AI44">
        <f>IF($Y44="worse","Yes",IF($Y44="worse, not significant","Not sure",IF(OR($Y44="too few losses to test",$Y44="too few loans to test"),"Too few losses",IF($Y44="","","No"))))</f>
        <v/>
      </c>
      <c r="AJ44">
        <f>IF($AA44="yes","Yes",IF($AA44="","","No"))</f>
        <v/>
      </c>
      <c r="AM44">
        <f>IF(AND(ISNUMBER($AC44),ISNUMBER(IF($V44,IF($AL44="","",$AL44),IF($AK44="","",$AK44)))),IF(AND(ABS($AC44-significance_bar)&lt;=2.0*IF($V44,IF($AL44="","",$AL44),IF($AK44="","",$AK44)),OR($Y44="worse",$Y44="better",$Y44="worse, not significant",$Y44="better, not significant")),IF(ROUND($AC44,3)=ROUND(significance_bar,3),TEXT($AC44,"0.0000"),TEXT($AC44,"0.000")),""),"")</f>
        <v/>
      </c>
      <c r="AN44">
        <f>IF(AND(ISNUMBER($AC44),ISNUMBER(IF($V44,IF($AL44="","",$AL44),IF($AK44="","",$AK44)))),IF(AND(ABS($AC44-significance_bar)&lt;=2.0*IF($V44,IF($AL44="","",$AL44),IF($AK44="","",$AK44)),OR($Y44="worse",$Y44="worse, not significant")),IF(ROUND($AC44,3)=ROUND(significance_bar,3),TEXT($AC44,"0.0000"),TEXT($AC44,"0.000")),""),"")</f>
        <v/>
      </c>
      <c r="AO44">
        <f>IF(OR($AI44="",$AN44=""),$AI44,$AI44&amp;" · borderline (p "&amp;$AN44&amp;")")</f>
        <v/>
      </c>
    </row>
    <row r="45">
      <c r="A45" t="inlineStr">
        <is>
          <t>grids</t>
        </is>
      </c>
      <c r="B45" t="inlineStr">
        <is>
          <t>FICO x CHANNEL</t>
        </is>
      </c>
      <c r="C45" t="inlineStr">
        <is>
          <t>746 - 921</t>
        </is>
      </c>
      <c r="D45" t="inlineStr">
        <is>
          <t>Broker</t>
        </is>
      </c>
      <c r="E45" t="inlineStr">
        <is>
          <t>outcome_booked</t>
        </is>
      </c>
      <c r="F45" t="inlineStr">
        <is>
          <t>Outcome, share of booked dollars</t>
        </is>
      </c>
      <c r="G45" t="n">
        <v>536</v>
      </c>
      <c r="H45" t="n">
        <v>17135666.27999998</v>
      </c>
      <c r="I45" t="b">
        <v>0</v>
      </c>
      <c r="J45" t="b">
        <v>0</v>
      </c>
      <c r="K45" t="n">
        <v>0.4334876976108042</v>
      </c>
      <c r="L45" t="n">
        <v>0.002999700029997001</v>
      </c>
      <c r="M45" t="n">
        <v>0.8769839649578951</v>
      </c>
      <c r="N45" t="n">
        <v>0.8316668333166684</v>
      </c>
      <c r="O45" t="n">
        <v>-754803.0898030138</v>
      </c>
      <c r="P45" t="n">
        <v>-81016.07013701263</v>
      </c>
      <c r="Q45">
        <f>'_live'!$C$21</f>
        <v/>
      </c>
      <c r="R45" t="inlineStr">
        <is>
          <t>shuffled: 3 of 10,000</t>
        </is>
      </c>
      <c r="S45" t="inlineStr">
        <is>
          <t>shuffled: 6,653 of 10,000</t>
        </is>
      </c>
      <c r="T45" t="n">
        <v>0.07775410526978442</v>
      </c>
      <c r="U45" t="n">
        <v>0.03843336870452949</v>
      </c>
      <c r="V45">
        <f>AND(judged_band,NOT($J45))</f>
        <v/>
      </c>
      <c r="W45">
        <f>IF($K45="","",IF($I45,"too few losses to test",IF(AND($K45&gt;better_at,$K45&lt;worse_at),"in line",IF($K45&gt;=worse_at,IF(AND(ISNUMBER($L45),$L45&lt;significance_bar),"worse","worse, not significant"),IF(AND(ISNUMBER($L45),$L45&lt;significance_bar),"better","better, not significant")))))</f>
        <v/>
      </c>
      <c r="X45">
        <f>IF($M45="","",IF($I45,"too few losses to test",IF(AND($M45&gt;better_at,$M45&lt;worse_at),"in line",IF($M45&gt;=worse_at,IF(AND(ISNUMBER($N45),$N45&lt;significance_bar),"worse","worse, not significant"),IF(AND(ISNUMBER($N45),$N45&lt;significance_bar),"better","better, not significant")))))</f>
        <v/>
      </c>
      <c r="Y45">
        <f>IF($V45,$X45,$W45)</f>
        <v/>
      </c>
      <c r="Z45">
        <f>IF($V45,IF($P45="","",$P45),IF($O45="","",$O45))</f>
        <v/>
      </c>
      <c r="AA45">
        <f>IF(OR($Q45="",$Z45=""),"",IF(AND($Z45&gt;0,$Z45&gt;=$Q45),"yes","below the line"))</f>
        <v/>
      </c>
      <c r="AB45">
        <f>IF($V45,IF($M45="","",$M45),IF($K45="","",$K45))</f>
        <v/>
      </c>
      <c r="AC45">
        <f>IF($V45,IF($N45="","",$N45),IF($L45="","",$L45))</f>
        <v/>
      </c>
      <c r="AD45">
        <f>$Y45</f>
        <v/>
      </c>
      <c r="AE45">
        <f>IF($V45,IF($S45="","",$S45),IF($R45="","",$R45))</f>
        <v/>
      </c>
      <c r="AF45">
        <f>IF($V45,IF($U45="","",$U45),IF($T45="","",$T45))</f>
        <v/>
      </c>
      <c r="AG45">
        <f>IF($V45,IF($O45="","",$O45),IF($P45="","",$P45))</f>
        <v/>
      </c>
      <c r="AH45" t="n">
        <v>0.03370544807318695</v>
      </c>
      <c r="AI45">
        <f>IF($Y45="worse","Yes",IF($Y45="worse, not significant","Not sure",IF(OR($Y45="too few losses to test",$Y45="too few loans to test"),"Too few losses",IF($Y45="","","No"))))</f>
        <v/>
      </c>
      <c r="AJ45">
        <f>IF($AA45="yes","Yes",IF($AA45="","","No"))</f>
        <v/>
      </c>
      <c r="AK45" t="n">
        <v>0.001499625020620406</v>
      </c>
      <c r="AL45" t="n">
        <v>0.005898421992421875</v>
      </c>
      <c r="AM45">
        <f>IF(AND(ISNUMBER($AC45),ISNUMBER(IF($V45,IF($AL45="","",$AL45),IF($AK45="","",$AK45)))),IF(AND(ABS($AC45-significance_bar)&lt;=2.0*IF($V45,IF($AL45="","",$AL45),IF($AK45="","",$AK45)),OR($Y45="worse",$Y45="better",$Y45="worse, not significant",$Y45="better, not significant")),IF(ROUND($AC45,3)=ROUND(significance_bar,3),TEXT($AC45,"0.0000"),TEXT($AC45,"0.000")),""),"")</f>
        <v/>
      </c>
      <c r="AN45">
        <f>IF(AND(ISNUMBER($AC45),ISNUMBER(IF($V45,IF($AL45="","",$AL45),IF($AK45="","",$AK45)))),IF(AND(ABS($AC45-significance_bar)&lt;=2.0*IF($V45,IF($AL45="","",$AL45),IF($AK45="","",$AK45)),OR($Y45="worse",$Y45="worse, not significant")),IF(ROUND($AC45,3)=ROUND(significance_bar,3),TEXT($AC45,"0.0000"),TEXT($AC45,"0.000")),""),"")</f>
        <v/>
      </c>
      <c r="AO45">
        <f>IF(OR($AI45="",$AN45=""),$AI45,$AI45&amp;" · borderline (p "&amp;$AN45&amp;")")</f>
        <v/>
      </c>
    </row>
    <row r="46">
      <c r="A46" t="inlineStr">
        <is>
          <t>grids</t>
        </is>
      </c>
      <c r="B46" t="inlineStr">
        <is>
          <t>FICO x CHANNEL</t>
        </is>
      </c>
      <c r="C46" t="inlineStr">
        <is>
          <t>746 - 921</t>
        </is>
      </c>
      <c r="D46" t="inlineStr">
        <is>
          <t>Broker</t>
        </is>
      </c>
      <c r="E46" t="inlineStr">
        <is>
          <t>gco_rate</t>
        </is>
      </c>
      <c r="F46" t="inlineStr">
        <is>
          <t>GCO per booked dollar</t>
        </is>
      </c>
      <c r="G46" t="n">
        <v>536</v>
      </c>
      <c r="H46" t="n">
        <v>17135666.27999998</v>
      </c>
      <c r="I46" t="b">
        <v>0</v>
      </c>
      <c r="J46" t="b">
        <v>0</v>
      </c>
      <c r="K46" t="n">
        <v>0.4163943595457726</v>
      </c>
      <c r="L46" t="n">
        <v>0.00374962503749625</v>
      </c>
      <c r="M46" t="n">
        <v>0.8957851944368566</v>
      </c>
      <c r="N46" t="n">
        <v>0.7650306397931635</v>
      </c>
      <c r="O46" t="n">
        <v>-432848.2549674665</v>
      </c>
      <c r="P46" t="n">
        <v>-35929.11921097885</v>
      </c>
      <c r="Q46">
        <f>'_live'!$C$22</f>
        <v/>
      </c>
      <c r="R46" t="inlineStr">
        <is>
          <t>shuffled: 4 of 10,000</t>
        </is>
      </c>
      <c r="S46" t="inlineStr">
        <is>
          <t>shuffled: 7,140 of 10,000</t>
        </is>
      </c>
      <c r="T46" t="n">
        <v>0.0432827847396353</v>
      </c>
      <c r="U46" t="n">
        <v>0.02011945223357718</v>
      </c>
      <c r="V46">
        <f>AND(judged_band,NOT($J46))</f>
        <v/>
      </c>
      <c r="W46">
        <f>IF($K46="","",IF($I46,"too few losses to test",IF(AND($K46&gt;better_at,$K46&lt;worse_at),"in line",IF($K46&gt;=worse_at,IF(AND(ISNUMBER($L46),$L46&lt;significance_bar),"worse","worse, not significant"),IF(AND(ISNUMBER($L46),$L46&lt;significance_bar),"better","better, not significant")))))</f>
        <v/>
      </c>
      <c r="X46">
        <f>IF($M46="","",IF($I46,"too few losses to test",IF(AND($M46&gt;better_at,$M46&lt;worse_at),"in line",IF($M46&gt;=worse_at,IF(AND(ISNUMBER($N46),$N46&lt;significance_bar),"worse","worse, not significant"),IF(AND(ISNUMBER($N46),$N46&lt;significance_bar),"better","better, not significant")))))</f>
        <v/>
      </c>
      <c r="Y46">
        <f>IF($V46,$X46,$W46)</f>
        <v/>
      </c>
      <c r="Z46">
        <f>IF($V46,IF($P46="","",$P46),IF($O46="","",$O46))</f>
        <v/>
      </c>
      <c r="AA46">
        <f>IF(OR($Q46="",$Z46=""),"",IF(AND($Z46&gt;0,$Z46&gt;=$Q46),"yes","below the line"))</f>
        <v/>
      </c>
      <c r="AB46">
        <f>IF($V46,IF($M46="","",$M46),IF($K46="","",$K46))</f>
        <v/>
      </c>
      <c r="AC46">
        <f>IF($V46,IF($N46="","",$N46),IF($L46="","",$L46))</f>
        <v/>
      </c>
      <c r="AD46">
        <f>$Y46</f>
        <v/>
      </c>
      <c r="AE46">
        <f>IF($V46,IF($S46="","",$S46),IF($R46="","",$R46))</f>
        <v/>
      </c>
      <c r="AF46">
        <f>IF($V46,IF($U46="","",$U46),IF($T46="","",$T46))</f>
        <v/>
      </c>
      <c r="AG46">
        <f>IF($V46,IF($O46="","",$O46),IF($P46="","",$P46))</f>
        <v/>
      </c>
      <c r="AH46" t="n">
        <v>0.01802270743101798</v>
      </c>
      <c r="AI46">
        <f>IF($Y46="worse","Yes",IF($Y46="worse, not significant","Not sure",IF(OR($Y46="too few losses to test",$Y46="too few loans to test"),"Too few losses",IF($Y46="","","No"))))</f>
        <v/>
      </c>
      <c r="AJ46">
        <f>IF($AA46="yes","Yes",IF($AA46="","","No"))</f>
        <v/>
      </c>
      <c r="AK46" t="n">
        <v>0.001676547884592029</v>
      </c>
      <c r="AL46" t="n">
        <v>0.004841526677302708</v>
      </c>
      <c r="AM46">
        <f>IF(AND(ISNUMBER($AC46),ISNUMBER(IF($V46,IF($AL46="","",$AL46),IF($AK46="","",$AK46)))),IF(AND(ABS($AC46-significance_bar)&lt;=2.0*IF($V46,IF($AL46="","",$AL46),IF($AK46="","",$AK46)),OR($Y46="worse",$Y46="better",$Y46="worse, not significant",$Y46="better, not significant")),IF(ROUND($AC46,3)=ROUND(significance_bar,3),TEXT($AC46,"0.0000"),TEXT($AC46,"0.000")),""),"")</f>
        <v/>
      </c>
      <c r="AN46">
        <f>IF(AND(ISNUMBER($AC46),ISNUMBER(IF($V46,IF($AL46="","",$AL46),IF($AK46="","",$AK46)))),IF(AND(ABS($AC46-significance_bar)&lt;=2.0*IF($V46,IF($AL46="","",$AL46),IF($AK46="","",$AK46)),OR($Y46="worse",$Y46="worse, not significant")),IF(ROUND($AC46,3)=ROUND(significance_bar,3),TEXT($AC46,"0.0000"),TEXT($AC46,"0.000")),""),"")</f>
        <v/>
      </c>
      <c r="AO46">
        <f>IF(OR($AI46="",$AN46=""),$AI46,$AI46&amp;" · borderline (p "&amp;$AN46&amp;")")</f>
        <v/>
      </c>
    </row>
    <row r="47">
      <c r="A47" t="inlineStr">
        <is>
          <t>grids</t>
        </is>
      </c>
      <c r="B47" t="inlineStr">
        <is>
          <t>FICO x CHANNEL</t>
        </is>
      </c>
      <c r="C47" t="inlineStr">
        <is>
          <t>746 - 921</t>
        </is>
      </c>
      <c r="D47" t="inlineStr">
        <is>
          <t>Broker</t>
        </is>
      </c>
      <c r="E47" t="inlineStr">
        <is>
          <t>ranr_rate</t>
        </is>
      </c>
      <c r="F47" t="inlineStr">
        <is>
          <t>Profit after losses: RANR per booked dollar</t>
        </is>
      </c>
      <c r="G47" t="n">
        <v>536</v>
      </c>
      <c r="H47" t="n">
        <v>17135666.27999998</v>
      </c>
      <c r="I47" t="b">
        <v>0</v>
      </c>
      <c r="J47" t="b">
        <v>0</v>
      </c>
      <c r="K47" t="n">
        <v>-0.08462719967366061</v>
      </c>
      <c r="L47" t="n">
        <v>0.0002110900021109</v>
      </c>
      <c r="M47" t="n">
        <v>0.003387521244378633</v>
      </c>
      <c r="N47" t="n">
        <v>0.6815693430656935</v>
      </c>
      <c r="O47" t="n">
        <v>1450143.451818772</v>
      </c>
      <c r="P47" t="n">
        <v>-58047.43356008246</v>
      </c>
      <c r="Q47">
        <f>'_live'!$C$23</f>
        <v/>
      </c>
      <c r="R47" t="inlineStr">
        <is>
          <t>shuffled: 0 of 10,000</t>
        </is>
      </c>
      <c r="S47" t="inlineStr">
        <is>
          <t>shuffled: 5,824 of 10,000</t>
        </is>
      </c>
      <c r="T47" t="n">
        <v>0.133609269952401</v>
      </c>
      <c r="U47" t="n">
        <v>0.04559454903436174</v>
      </c>
      <c r="V47">
        <f>AND(judged_band,NOT($J47))</f>
        <v/>
      </c>
      <c r="W47">
        <f>IF($K47="","",IF(profit_kind="test",IF(OR(NOT(AND(ISNUMBER($L47),$L47&lt;significance_bar)),$K47=0),"in line",IF($K47&lt;0,"worse","better")),IF(OR($K47=0,IF(profit_kind="points",ABS($K47),ABS($K47*$H47))&lt;profit_line*(1-1E-9)),"in line",IF(AND(ISNUMBER($L47),$L47&lt;significance_bar),IF($K47&lt;0,"worse","better"),IF($K47&lt;0,"worse, not significant","better, not significant")))))</f>
        <v/>
      </c>
      <c r="X47">
        <f>IF($M47="","",IF(profit_kind="test",IF(OR(NOT(AND(ISNUMBER($N47),$N47&lt;significance_bar)),$M47=0),"in line",IF($M47&lt;0,"worse","better")),IF(OR($M47=0,IF(profit_kind="points",ABS($M47),ABS($M47*$H47))&lt;profit_line*(1-1E-9)),"in line",IF(AND(ISNUMBER($N47),$N47&lt;significance_bar),IF($M47&lt;0,"worse","better"),IF($M47&lt;0,"worse, not significant","better, not significant")))))</f>
        <v/>
      </c>
      <c r="Y47">
        <f>IF($V47,$X47,$W47)</f>
        <v/>
      </c>
      <c r="Z47">
        <f>IF($V47,IF($P47="","",$P47),IF($O47="","",$O47))</f>
        <v/>
      </c>
      <c r="AA47">
        <f>IF(OR($Q47="",$Z47=""),"",IF(AND($Z47&gt;0,$Z47&gt;=$Q47),"yes","below the line"))</f>
        <v/>
      </c>
      <c r="AB47">
        <f>IF($V47,IF($M47="","",$M47),IF($K47="","",$K47))</f>
        <v/>
      </c>
      <c r="AC47">
        <f>IF($V47,IF($N47="","",$N47),IF($L47="","",$L47))</f>
        <v/>
      </c>
      <c r="AD47">
        <f>IF($Y47="","",IF($Y47="in line",IF(profit_kind="test",IF(ROUND($AB47*100,2)=0,"0.00",TEXT($AB47*100,"+0.00;-0.00"))&amp;" points against "&amp;IF($V47,"its band","the book")&amp;", "&amp;IF($AC47="","not tested","not significant"),IF(profit_kind="points","within "&amp;TEXT(profit_line*100,"0.00")&amp;" points of "&amp;IF($V47,"its band","the book")&amp;" ("&amp;IF(ROUND($AB47*100,2)=0,"0.00",TEXT($AB47*100,"+0.00;-0.00"))&amp;")","within $"&amp;TEXT(profit_line,"#,##0")&amp;" of "&amp;IF($V47,"its band","the book")&amp;" ("&amp;IF(ROUND($AB47*100,2)=0,"0.00",TEXT($AB47*100,"+0.00;-0.00"))&amp;" points)")),IF(LEFT($Y47,5)="worse","short of ","ahead of ")&amp;IF($V47,"its band","the book")&amp;" by "&amp;TEXT(ABS($AB47)*100,"0.00")&amp;" points"&amp;IF($Z47="",""," ($"&amp;TEXT(ABS($Z47),"#,##0")&amp;")")&amp;IF(RIGHT($Y47,15)="not significant"," (not significant)","")))</f>
        <v/>
      </c>
      <c r="AE47">
        <f>IF($V47,IF($S47="","",$S47),IF($R47="","",$R47))</f>
        <v/>
      </c>
      <c r="AF47">
        <f>IF($V47,IF($U47="","",$U47),IF($T47="","",$T47))</f>
        <v/>
      </c>
      <c r="AG47">
        <f>IF($V47,IF($O47="","",$O47),IF($P47="","",$P47))</f>
        <v/>
      </c>
      <c r="AH47" t="n">
        <v>0.04898207027874037</v>
      </c>
      <c r="AI47">
        <f>IF($Y47="worse","Yes",IF($Y47="worse, not significant","Not sure",IF(OR($Y47="too few losses to test",$Y47="too few loans to test"),"Too few losses",IF($Y47="","","No"))))</f>
        <v/>
      </c>
      <c r="AJ47">
        <f>IF($AA47="yes","Yes",IF($AA47="","","No"))</f>
        <v/>
      </c>
      <c r="AK47" t="n">
        <v>0.0002110900021109</v>
      </c>
      <c r="AL47" t="n">
        <v>0.005497533460943227</v>
      </c>
      <c r="AM47">
        <f>IF(AND(ISNUMBER($AC47),ISNUMBER(IF($V47,IF($AL47="","",$AL47),IF($AK47="","",$AK47)))),IF(AND(ABS($AC47-significance_bar)&lt;=2.0*IF($V47,IF($AL47="","",$AL47),IF($AK47="","",$AK47)),OR($Y47="worse",$Y47="better",$Y47="worse, not significant",$Y47="better, not significant",AND(profit_kind="test",$Y47="in line",ISNUMBER($AB47),$AB47&lt;&gt;0))),IF(ROUND($AC47,3)=ROUND(significance_bar,3),TEXT($AC47,"0.0000"),TEXT($AC47,"0.000")),""),"")</f>
        <v/>
      </c>
      <c r="AN47">
        <f>IF(AND(ISNUMBER($AC47),ISNUMBER(IF($V47,IF($AL47="","",$AL47),IF($AK47="","",$AK47)))),IF(AND(ABS($AC47-significance_bar)&lt;=2.0*IF($V47,IF($AL47="","",$AL47),IF($AK47="","",$AK47)),OR($Y47="worse",$Y47="worse, not significant",AND(profit_kind="test",$Y47="in line",ISNUMBER($AB47),$AB47&lt;0))),IF(ROUND($AC47,3)=ROUND(significance_bar,3),TEXT($AC47,"0.0000"),TEXT($AC47,"0.000")),""),"")</f>
        <v/>
      </c>
      <c r="AO47">
        <f>IF(OR($AI47="",$AN47=""),$AI47,$AI47&amp;" · borderline (p "&amp;$AN47&amp;")")</f>
        <v/>
      </c>
    </row>
    <row r="48">
      <c r="A48" t="inlineStr">
        <is>
          <t>grids</t>
        </is>
      </c>
      <c r="B48" t="inlineStr">
        <is>
          <t>FICO x CHANNEL</t>
        </is>
      </c>
      <c r="C48" t="inlineStr">
        <is>
          <t>746 - 921</t>
        </is>
      </c>
      <c r="D48" t="inlineStr">
        <is>
          <t>Broker</t>
        </is>
      </c>
      <c r="E48" t="inlineStr">
        <is>
          <t>contribution_rate</t>
        </is>
      </c>
      <c r="F48" t="inlineStr">
        <is>
          <t>Contribution before losses per booked dollar</t>
        </is>
      </c>
      <c r="G48" t="n">
        <v>536</v>
      </c>
      <c r="H48" t="n">
        <v>17135666.27999998</v>
      </c>
      <c r="I48" t="b">
        <v>0</v>
      </c>
      <c r="J48" t="b">
        <v>0</v>
      </c>
      <c r="K48" t="n">
        <v>-0.1098851400497994</v>
      </c>
      <c r="L48" t="n">
        <v>0.000158317501583175</v>
      </c>
      <c r="M48" t="n">
        <v>0.001290776441819352</v>
      </c>
      <c r="N48" t="n">
        <v>0.5734226577342266</v>
      </c>
      <c r="O48" t="n">
        <v>1882955.089024423</v>
      </c>
      <c r="P48" t="n">
        <v>-22118.31434910232</v>
      </c>
      <c r="Q48">
        <f>'_live'!$C$24</f>
        <v/>
      </c>
      <c r="R48" t="inlineStr">
        <is>
          <t>shuffled: 0 of 10,000</t>
        </is>
      </c>
      <c r="S48" t="inlineStr">
        <is>
          <t>shuffled: 4,778 of 10,000</t>
        </is>
      </c>
      <c r="T48" t="n">
        <v>0.1768899177595577</v>
      </c>
      <c r="U48" t="n">
        <v>0.06571400126793893</v>
      </c>
      <c r="V48">
        <f>AND(judged_band,NOT($J48))</f>
        <v/>
      </c>
      <c r="W48">
        <f>IF($K48="","",IF(profit_kind="test",IF(OR(NOT(AND(ISNUMBER($L48),$L48&lt;significance_bar)),$K48=0),"in line",IF($K48&lt;0,"worse","better")),IF(OR($K48=0,IF(profit_kind="points",ABS($K48),ABS($K48*$H48))&lt;profit_line*(1-1E-9)),"in line",IF(AND(ISNUMBER($L48),$L48&lt;significance_bar),IF($K48&lt;0,"worse","better"),IF($K48&lt;0,"worse, not significant","better, not significant")))))</f>
        <v/>
      </c>
      <c r="X48">
        <f>IF($M48="","",IF(profit_kind="test",IF(OR(NOT(AND(ISNUMBER($N48),$N48&lt;significance_bar)),$M48=0),"in line",IF($M48&lt;0,"worse","better")),IF(OR($M48=0,IF(profit_kind="points",ABS($M48),ABS($M48*$H48))&lt;profit_line*(1-1E-9)),"in line",IF(AND(ISNUMBER($N48),$N48&lt;significance_bar),IF($M48&lt;0,"worse","better"),IF($M48&lt;0,"worse, not significant","better, not significant")))))</f>
        <v/>
      </c>
      <c r="Y48">
        <f>IF($V48,$X48,$W48)</f>
        <v/>
      </c>
      <c r="Z48">
        <f>IF($V48,IF($P48="","",$P48),IF($O48="","",$O48))</f>
        <v/>
      </c>
      <c r="AA48">
        <f>IF(OR($Q48="",$Z48=""),"",IF(AND($Z48&gt;0,$Z48&gt;=$Q48),"yes","below the line"))</f>
        <v/>
      </c>
      <c r="AB48">
        <f>IF($V48,IF($M48="","",$M48),IF($K48="","",$K48))</f>
        <v/>
      </c>
      <c r="AC48">
        <f>IF($V48,IF($N48="","",$N48),IF($L48="","",$L48))</f>
        <v/>
      </c>
      <c r="AD48">
        <f>IF($Y48="","",IF($Y48="in line",IF(profit_kind="test",IF(ROUND($AB48*100,2)=0,"0.00",TEXT($AB48*100,"+0.00;-0.00"))&amp;" points against "&amp;IF($V48,"its band","the book")&amp;", "&amp;IF($AC48="","not tested","not significant"),IF(profit_kind="points","within "&amp;TEXT(profit_line*100,"0.00")&amp;" points of "&amp;IF($V48,"its band","the book")&amp;" ("&amp;IF(ROUND($AB48*100,2)=0,"0.00",TEXT($AB48*100,"+0.00;-0.00"))&amp;")","within $"&amp;TEXT(profit_line,"#,##0")&amp;" of "&amp;IF($V48,"its band","the book")&amp;" ("&amp;IF(ROUND($AB48*100,2)=0,"0.00",TEXT($AB48*100,"+0.00;-0.00"))&amp;" points)")),IF(LEFT($Y48,5)="worse","short of ","ahead of ")&amp;IF($V48,"its band","the book")&amp;" by "&amp;TEXT(ABS($AB48)*100,"0.00")&amp;" points"&amp;IF($Z48="",""," ($"&amp;TEXT(ABS($Z48),"#,##0")&amp;")")&amp;IF(RIGHT($Y48,15)="not significant"," (not significant)","")))</f>
        <v/>
      </c>
      <c r="AE48">
        <f>IF($V48,IF($S48="","",$S48),IF($R48="","",$R48))</f>
        <v/>
      </c>
      <c r="AF48">
        <f>IF($V48,IF($U48="","",$U48),IF($T48="","",$T48))</f>
        <v/>
      </c>
      <c r="AG48">
        <f>IF($V48,IF($O48="","",$O48),IF($P48="","",$P48))</f>
        <v/>
      </c>
      <c r="AH48" t="n">
        <v>0.06700477770975828</v>
      </c>
      <c r="AI48">
        <f>IF($Y48="worse","Yes",IF($Y48="worse, not significant","Not sure",IF(OR($Y48="too few losses to test",$Y48="too few loans to test"),"Too few losses",IF($Y48="","","No"))))</f>
        <v/>
      </c>
      <c r="AJ48">
        <f>IF($AA48="yes","Yes",IF($AA48="","","No"))</f>
        <v/>
      </c>
      <c r="AK48" t="n">
        <v>0.000158317501583175</v>
      </c>
      <c r="AL48" t="n">
        <v>0.00599411081711114</v>
      </c>
      <c r="AM48">
        <f>IF(AND(ISNUMBER($AC48),ISNUMBER(IF($V48,IF($AL48="","",$AL48),IF($AK48="","",$AK48)))),IF(AND(ABS($AC48-significance_bar)&lt;=2.0*IF($V48,IF($AL48="","",$AL48),IF($AK48="","",$AK48)),OR($Y48="worse",$Y48="better",$Y48="worse, not significant",$Y48="better, not significant",AND(profit_kind="test",$Y48="in line",ISNUMBER($AB48),$AB48&lt;&gt;0))),IF(ROUND($AC48,3)=ROUND(significance_bar,3),TEXT($AC48,"0.0000"),TEXT($AC48,"0.000")),""),"")</f>
        <v/>
      </c>
      <c r="AN48">
        <f>IF(AND(ISNUMBER($AC48),ISNUMBER(IF($V48,IF($AL48="","",$AL48),IF($AK48="","",$AK48)))),IF(AND(ABS($AC48-significance_bar)&lt;=2.0*IF($V48,IF($AL48="","",$AL48),IF($AK48="","",$AK48)),OR($Y48="worse",$Y48="worse, not significant",AND(profit_kind="test",$Y48="in line",ISNUMBER($AB48),$AB48&lt;0))),IF(ROUND($AC48,3)=ROUND(significance_bar,3),TEXT($AC48,"0.0000"),TEXT($AC48,"0.000")),""),"")</f>
        <v/>
      </c>
      <c r="AO48">
        <f>IF(OR($AI48="",$AN48=""),$AI48,$AI48&amp;" · borderline (p "&amp;$AN48&amp;")")</f>
        <v/>
      </c>
    </row>
    <row r="49">
      <c r="A49" t="inlineStr">
        <is>
          <t>grids</t>
        </is>
      </c>
      <c r="B49" t="inlineStr">
        <is>
          <t>FICO x CHANNEL</t>
        </is>
      </c>
      <c r="C49" t="inlineStr">
        <is>
          <t>746 - 921</t>
        </is>
      </c>
      <c r="D49" t="inlineStr">
        <is>
          <t>Online</t>
        </is>
      </c>
      <c r="E49" t="inlineStr">
        <is>
          <t>outcome_loans</t>
        </is>
      </c>
      <c r="F49" t="inlineStr">
        <is>
          <t>Outcome, share of loans</t>
        </is>
      </c>
      <c r="G49" t="n">
        <v>517</v>
      </c>
      <c r="H49" t="n">
        <v>517</v>
      </c>
      <c r="I49" t="b">
        <v>0</v>
      </c>
      <c r="J49" t="b">
        <v>0</v>
      </c>
      <c r="K49" t="n">
        <v>0.4582785299806577</v>
      </c>
      <c r="L49" t="n">
        <v>0.00131203224236217</v>
      </c>
      <c r="M49" t="n">
        <v>0.9008141783995323</v>
      </c>
      <c r="N49" t="n">
        <v>0.8063280654421801</v>
      </c>
      <c r="O49" t="n">
        <v>-22.45950280673617</v>
      </c>
      <c r="P49" t="n">
        <v>-2.092030360531307</v>
      </c>
      <c r="Q49">
        <f>'_live'!$C$20</f>
        <v/>
      </c>
      <c r="R49" t="inlineStr">
        <is>
          <t>z test</t>
        </is>
      </c>
      <c r="S49" t="inlineStr">
        <is>
          <t>z test</t>
        </is>
      </c>
      <c r="T49" t="n">
        <v>0.08019246190858059</v>
      </c>
      <c r="U49" t="n">
        <v>0.04079696394686907</v>
      </c>
      <c r="V49">
        <f>AND(judged_band,NOT($J49))</f>
        <v/>
      </c>
      <c r="W49">
        <f>IF($K49="","",IF($I49,"too few losses to test",IF(AND($K49&gt;better_at,$K49&lt;worse_at),"in line",IF($K49&gt;=worse_at,IF(AND(ISNUMBER($L49),$L49&lt;significance_bar),"worse","worse, not significant"),IF(AND(ISNUMBER($L49),$L49&lt;significance_bar),"better","better, not significant")))))</f>
        <v/>
      </c>
      <c r="X49">
        <f>IF($M49="","",IF($I49,"too few losses to test",IF(AND($M49&gt;better_at,$M49&lt;worse_at),"in line",IF($M49&gt;=worse_at,IF(AND(ISNUMBER($N49),$N49&lt;significance_bar),"worse","worse, not significant"),IF(AND(ISNUMBER($N49),$N49&lt;significance_bar),"better","better, not significant")))))</f>
        <v/>
      </c>
      <c r="Y49">
        <f>IF($V49,$X49,$W49)</f>
        <v/>
      </c>
      <c r="Z49">
        <f>IF($V49,IF($P49="","",$P49),IF($O49="","",$O49))</f>
        <v/>
      </c>
      <c r="AA49">
        <f>IF(OR($Q49="",$Z49=""),"",IF(AND($Z49&gt;0,$Z49&gt;=$Q49),"yes","below the line"))</f>
        <v/>
      </c>
      <c r="AB49">
        <f>IF($V49,IF($M49="","",$M49),IF($K49="","",$K49))</f>
        <v/>
      </c>
      <c r="AC49">
        <f>IF($V49,IF($N49="","",$N49),IF($L49="","",$L49))</f>
        <v/>
      </c>
      <c r="AD49">
        <f>$Y49</f>
        <v/>
      </c>
      <c r="AE49">
        <f>IF($V49,IF($S49="","",$S49),IF($R49="","",$R49))</f>
        <v/>
      </c>
      <c r="AF49">
        <f>IF($V49,IF($U49="","",$U49),IF($T49="","",$T49))</f>
        <v/>
      </c>
      <c r="AG49">
        <f>IF($V49,IF($O49="","",$O49),IF($P49="","",$P49))</f>
        <v/>
      </c>
      <c r="AH49" t="n">
        <v>0.0367504835589942</v>
      </c>
      <c r="AI49">
        <f>IF($Y49="worse","Yes",IF($Y49="worse, not significant","Not sure",IF(OR($Y49="too few losses to test",$Y49="too few loans to test"),"Too few losses",IF($Y49="","","No"))))</f>
        <v/>
      </c>
      <c r="AJ49">
        <f>IF($AA49="yes","Yes",IF($AA49="","","No"))</f>
        <v/>
      </c>
      <c r="AM49">
        <f>IF(AND(ISNUMBER($AC49),ISNUMBER(IF($V49,IF($AL49="","",$AL49),IF($AK49="","",$AK49)))),IF(AND(ABS($AC49-significance_bar)&lt;=2.0*IF($V49,IF($AL49="","",$AL49),IF($AK49="","",$AK49)),OR($Y49="worse",$Y49="better",$Y49="worse, not significant",$Y49="better, not significant")),IF(ROUND($AC49,3)=ROUND(significance_bar,3),TEXT($AC49,"0.0000"),TEXT($AC49,"0.000")),""),"")</f>
        <v/>
      </c>
      <c r="AN49">
        <f>IF(AND(ISNUMBER($AC49),ISNUMBER(IF($V49,IF($AL49="","",$AL49),IF($AK49="","",$AK49)))),IF(AND(ABS($AC49-significance_bar)&lt;=2.0*IF($V49,IF($AL49="","",$AL49),IF($AK49="","",$AK49)),OR($Y49="worse",$Y49="worse, not significant")),IF(ROUND($AC49,3)=ROUND(significance_bar,3),TEXT($AC49,"0.0000"),TEXT($AC49,"0.000")),""),"")</f>
        <v/>
      </c>
      <c r="AO49">
        <f>IF(OR($AI49="",$AN49=""),$AI49,$AI49&amp;" · borderline (p "&amp;$AN49&amp;")")</f>
        <v/>
      </c>
    </row>
    <row r="50">
      <c r="A50" t="inlineStr">
        <is>
          <t>grids</t>
        </is>
      </c>
      <c r="B50" t="inlineStr">
        <is>
          <t>FICO x CHANNEL</t>
        </is>
      </c>
      <c r="C50" t="inlineStr">
        <is>
          <t>746 - 921</t>
        </is>
      </c>
      <c r="D50" t="inlineStr">
        <is>
          <t>Online</t>
        </is>
      </c>
      <c r="E50" t="inlineStr">
        <is>
          <t>outcome_booked</t>
        </is>
      </c>
      <c r="F50" t="inlineStr">
        <is>
          <t>Outcome, share of booked dollars</t>
        </is>
      </c>
      <c r="G50" t="n">
        <v>517</v>
      </c>
      <c r="H50" t="n">
        <v>16939748.19999999</v>
      </c>
      <c r="I50" t="b">
        <v>0</v>
      </c>
      <c r="J50" t="b">
        <v>0</v>
      </c>
      <c r="K50" t="n">
        <v>0.4640494833061994</v>
      </c>
      <c r="L50" t="n">
        <v>0.008249175082491752</v>
      </c>
      <c r="M50" t="n">
        <v>0.9661081622512918</v>
      </c>
      <c r="N50" t="n">
        <v>0.9056094390560944</v>
      </c>
      <c r="O50" t="n">
        <v>-704136.4534518097</v>
      </c>
      <c r="P50" t="n">
        <v>-21387.78429191583</v>
      </c>
      <c r="Q50">
        <f>'_live'!$C$21</f>
        <v/>
      </c>
      <c r="R50" t="inlineStr">
        <is>
          <t>shuffled: 16 of 10,000</t>
        </is>
      </c>
      <c r="S50" t="inlineStr">
        <is>
          <t>shuffled: 9,056 of 10,000</t>
        </is>
      </c>
      <c r="T50" t="n">
        <v>0.07755774690038252</v>
      </c>
      <c r="U50" t="n">
        <v>0.03725321219898158</v>
      </c>
      <c r="V50">
        <f>AND(judged_band,NOT($J50))</f>
        <v/>
      </c>
      <c r="W50">
        <f>IF($K50="","",IF($I50,"too few losses to test",IF(AND($K50&gt;better_at,$K50&lt;worse_at),"in line",IF($K50&gt;=worse_at,IF(AND(ISNUMBER($L50),$L50&lt;significance_bar),"worse","worse, not significant"),IF(AND(ISNUMBER($L50),$L50&lt;significance_bar),"better","better, not significant")))))</f>
        <v/>
      </c>
      <c r="X50">
        <f>IF($M50="","",IF($I50,"too few losses to test",IF(AND($M50&gt;better_at,$M50&lt;worse_at),"in line",IF($M50&gt;=worse_at,IF(AND(ISNUMBER($N50),$N50&lt;significance_bar),"worse","worse, not significant"),IF(AND(ISNUMBER($N50),$N50&lt;significance_bar),"better","better, not significant")))))</f>
        <v/>
      </c>
      <c r="Y50">
        <f>IF($V50,$X50,$W50)</f>
        <v/>
      </c>
      <c r="Z50">
        <f>IF($V50,IF($P50="","",$P50),IF($O50="","",$O50))</f>
        <v/>
      </c>
      <c r="AA50">
        <f>IF(OR($Q50="",$Z50=""),"",IF(AND($Z50&gt;0,$Z50&gt;=$Q50),"yes","below the line"))</f>
        <v/>
      </c>
      <c r="AB50">
        <f>IF($V50,IF($M50="","",$M50),IF($K50="","",$K50))</f>
        <v/>
      </c>
      <c r="AC50">
        <f>IF($V50,IF($N50="","",$N50),IF($L50="","",$L50))</f>
        <v/>
      </c>
      <c r="AD50">
        <f>$Y50</f>
        <v/>
      </c>
      <c r="AE50">
        <f>IF($V50,IF($S50="","",$S50),IF($R50="","",$R50))</f>
        <v/>
      </c>
      <c r="AF50">
        <f>IF($V50,IF($U50="","",$U50),IF($T50="","",$T50))</f>
        <v/>
      </c>
      <c r="AG50">
        <f>IF($V50,IF($O50="","",$O50),IF($P50="","",$P50))</f>
        <v/>
      </c>
      <c r="AH50" t="n">
        <v>0.0359906323755155</v>
      </c>
      <c r="AI50">
        <f>IF($Y50="worse","Yes",IF($Y50="worse, not significant","Not sure",IF(OR($Y50="too few losses to test",$Y50="too few loans to test"),"Too few losses",IF($Y50="","","No"))))</f>
        <v/>
      </c>
      <c r="AJ50">
        <f>IF($AA50="yes","Yes",IF($AA50="","","No"))</f>
        <v/>
      </c>
      <c r="AK50" t="n">
        <v>0.001756882399872071</v>
      </c>
      <c r="AL50" t="n">
        <v>0.002923713100641041</v>
      </c>
      <c r="AM50">
        <f>IF(AND(ISNUMBER($AC50),ISNUMBER(IF($V50,IF($AL50="","",$AL50),IF($AK50="","",$AK50)))),IF(AND(ABS($AC50-significance_bar)&lt;=2.0*IF($V50,IF($AL50="","",$AL50),IF($AK50="","",$AK50)),OR($Y50="worse",$Y50="better",$Y50="worse, not significant",$Y50="better, not significant")),IF(ROUND($AC50,3)=ROUND(significance_bar,3),TEXT($AC50,"0.0000"),TEXT($AC50,"0.000")),""),"")</f>
        <v/>
      </c>
      <c r="AN50">
        <f>IF(AND(ISNUMBER($AC50),ISNUMBER(IF($V50,IF($AL50="","",$AL50),IF($AK50="","",$AK50)))),IF(AND(ABS($AC50-significance_bar)&lt;=2.0*IF($V50,IF($AL50="","",$AL50),IF($AK50="","",$AK50)),OR($Y50="worse",$Y50="worse, not significant")),IF(ROUND($AC50,3)=ROUND(significance_bar,3),TEXT($AC50,"0.0000"),TEXT($AC50,"0.000")),""),"")</f>
        <v/>
      </c>
      <c r="AO50">
        <f>IF(OR($AI50="",$AN50=""),$AI50,$AI50&amp;" · borderline (p "&amp;$AN50&amp;")")</f>
        <v/>
      </c>
    </row>
    <row r="51">
      <c r="A51" t="inlineStr">
        <is>
          <t>grids</t>
        </is>
      </c>
      <c r="B51" t="inlineStr">
        <is>
          <t>FICO x CHANNEL</t>
        </is>
      </c>
      <c r="C51" t="inlineStr">
        <is>
          <t>746 - 921</t>
        </is>
      </c>
      <c r="D51" t="inlineStr">
        <is>
          <t>Online</t>
        </is>
      </c>
      <c r="E51" t="inlineStr">
        <is>
          <t>gco_rate</t>
        </is>
      </c>
      <c r="F51" t="inlineStr">
        <is>
          <t>GCO per booked dollar</t>
        </is>
      </c>
      <c r="G51" t="n">
        <v>517</v>
      </c>
      <c r="H51" t="n">
        <v>16939748.19999999</v>
      </c>
      <c r="I51" t="b">
        <v>0</v>
      </c>
      <c r="J51" t="b">
        <v>0</v>
      </c>
      <c r="K51" t="n">
        <v>0.4092812288783006</v>
      </c>
      <c r="L51" t="n">
        <v>0.0044995500449955</v>
      </c>
      <c r="M51" t="n">
        <v>0.8742978867022101</v>
      </c>
      <c r="N51" t="n">
        <v>0.762616046087699</v>
      </c>
      <c r="O51" t="n">
        <v>-433125.4424118275</v>
      </c>
      <c r="P51" t="n">
        <v>-43145.7379332484</v>
      </c>
      <c r="Q51">
        <f>'_live'!$C$22</f>
        <v/>
      </c>
      <c r="R51" t="inlineStr">
        <is>
          <t>shuffled: 8 of 10,000</t>
        </is>
      </c>
      <c r="S51" t="inlineStr">
        <is>
          <t>shuffled: 6,609 of 10,000</t>
        </is>
      </c>
      <c r="T51" t="n">
        <v>0.04328385898981827</v>
      </c>
      <c r="U51" t="n">
        <v>0.02026228276127791</v>
      </c>
      <c r="V51">
        <f>AND(judged_band,NOT($J51))</f>
        <v/>
      </c>
      <c r="W51">
        <f>IF($K51="","",IF($I51,"too few losses to test",IF(AND($K51&gt;better_at,$K51&lt;worse_at),"in line",IF($K51&gt;=worse_at,IF(AND(ISNUMBER($L51),$L51&lt;significance_bar),"worse","worse, not significant"),IF(AND(ISNUMBER($L51),$L51&lt;significance_bar),"better","better, not significant")))))</f>
        <v/>
      </c>
      <c r="X51">
        <f>IF($M51="","",IF($I51,"too few losses to test",IF(AND($M51&gt;better_at,$M51&lt;worse_at),"in line",IF($M51&gt;=worse_at,IF(AND(ISNUMBER($N51),$N51&lt;significance_bar),"worse","worse, not significant"),IF(AND(ISNUMBER($N51),$N51&lt;significance_bar),"better","better, not significant")))))</f>
        <v/>
      </c>
      <c r="Y51">
        <f>IF($V51,$X51,$W51)</f>
        <v/>
      </c>
      <c r="Z51">
        <f>IF($V51,IF($P51="","",$P51),IF($O51="","",$O51))</f>
        <v/>
      </c>
      <c r="AA51">
        <f>IF(OR($Q51="",$Z51=""),"",IF(AND($Z51&gt;0,$Z51&gt;=$Q51),"yes","below the line"))</f>
        <v/>
      </c>
      <c r="AB51">
        <f>IF($V51,IF($M51="","",$M51),IF($K51="","",$K51))</f>
        <v/>
      </c>
      <c r="AC51">
        <f>IF($V51,IF($N51="","",$N51),IF($L51="","",$L51))</f>
        <v/>
      </c>
      <c r="AD51">
        <f>$Y51</f>
        <v/>
      </c>
      <c r="AE51">
        <f>IF($V51,IF($S51="","",$S51),IF($R51="","",$R51))</f>
        <v/>
      </c>
      <c r="AF51">
        <f>IF($V51,IF($U51="","",$U51),IF($T51="","",$T51))</f>
        <v/>
      </c>
      <c r="AG51">
        <f>IF($V51,IF($O51="","",$O51),IF($P51="","",$P51))</f>
        <v/>
      </c>
      <c r="AH51" t="n">
        <v>0.0177152709979479</v>
      </c>
      <c r="AI51">
        <f>IF($Y51="worse","Yes",IF($Y51="worse, not significant","Not sure",IF(OR($Y51="too few losses to test",$Y51="too few loans to test"),"Too few losses",IF($Y51="","","No"))))</f>
        <v/>
      </c>
      <c r="AJ51">
        <f>IF($AA51="yes","Yes",IF($AA51="","","No"))</f>
        <v/>
      </c>
      <c r="AK51" t="n">
        <v>0.00149924995495648</v>
      </c>
      <c r="AL51" t="n">
        <v>0.005462218943700602</v>
      </c>
      <c r="AM51">
        <f>IF(AND(ISNUMBER($AC51),ISNUMBER(IF($V51,IF($AL51="","",$AL51),IF($AK51="","",$AK51)))),IF(AND(ABS($AC51-significance_bar)&lt;=2.0*IF($V51,IF($AL51="","",$AL51),IF($AK51="","",$AK51)),OR($Y51="worse",$Y51="better",$Y51="worse, not significant",$Y51="better, not significant")),IF(ROUND($AC51,3)=ROUND(significance_bar,3),TEXT($AC51,"0.0000"),TEXT($AC51,"0.000")),""),"")</f>
        <v/>
      </c>
      <c r="AN51">
        <f>IF(AND(ISNUMBER($AC51),ISNUMBER(IF($V51,IF($AL51="","",$AL51),IF($AK51="","",$AK51)))),IF(AND(ABS($AC51-significance_bar)&lt;=2.0*IF($V51,IF($AL51="","",$AL51),IF($AK51="","",$AK51)),OR($Y51="worse",$Y51="worse, not significant")),IF(ROUND($AC51,3)=ROUND(significance_bar,3),TEXT($AC51,"0.0000"),TEXT($AC51,"0.000")),""),"")</f>
        <v/>
      </c>
      <c r="AO51">
        <f>IF(OR($AI51="",$AN51=""),$AI51,$AI51&amp;" · borderline (p "&amp;$AN51&amp;")")</f>
        <v/>
      </c>
    </row>
    <row r="52">
      <c r="A52" t="inlineStr">
        <is>
          <t>grids</t>
        </is>
      </c>
      <c r="B52" t="inlineStr">
        <is>
          <t>FICO x CHANNEL</t>
        </is>
      </c>
      <c r="C52" t="inlineStr">
        <is>
          <t>746 - 921</t>
        </is>
      </c>
      <c r="D52" t="inlineStr">
        <is>
          <t>Online</t>
        </is>
      </c>
      <c r="E52" t="inlineStr">
        <is>
          <t>ranr_rate</t>
        </is>
      </c>
      <c r="F52" t="inlineStr">
        <is>
          <t>Profit after losses: RANR per booked dollar</t>
        </is>
      </c>
      <c r="G52" t="n">
        <v>517</v>
      </c>
      <c r="H52" t="n">
        <v>16939748.19999999</v>
      </c>
      <c r="I52" t="b">
        <v>0</v>
      </c>
      <c r="J52" t="b">
        <v>0</v>
      </c>
      <c r="K52" t="n">
        <v>-0.08712583128742349</v>
      </c>
      <c r="L52" t="n">
        <v>0.0002110900021109</v>
      </c>
      <c r="M52" t="n">
        <v>-0.0002410208037530795</v>
      </c>
      <c r="N52" t="n">
        <v>0.9686031396860313</v>
      </c>
      <c r="O52" t="n">
        <v>1475889.643724635</v>
      </c>
      <c r="P52" t="n">
        <v>4082.831726538832</v>
      </c>
      <c r="Q52">
        <f>'_live'!$C$23</f>
        <v/>
      </c>
      <c r="R52" t="inlineStr">
        <is>
          <t>shuffled: 0 of 10,000</t>
        </is>
      </c>
      <c r="S52" t="inlineStr">
        <is>
          <t>shuffled: 9,686 of 10,000</t>
        </is>
      </c>
      <c r="T52" t="n">
        <v>0.1337090349267787</v>
      </c>
      <c r="U52" t="n">
        <v>0.04682422444310826</v>
      </c>
      <c r="V52">
        <f>AND(judged_band,NOT($J52))</f>
        <v/>
      </c>
      <c r="W52">
        <f>IF($K52="","",IF(profit_kind="test",IF(OR(NOT(AND(ISNUMBER($L52),$L52&lt;significance_bar)),$K52=0),"in line",IF($K52&lt;0,"worse","better")),IF(OR($K52=0,IF(profit_kind="points",ABS($K52),ABS($K52*$H52))&lt;profit_line*(1-1E-9)),"in line",IF(AND(ISNUMBER($L52),$L52&lt;significance_bar),IF($K52&lt;0,"worse","better"),IF($K52&lt;0,"worse, not significant","better, not significant")))))</f>
        <v/>
      </c>
      <c r="X52">
        <f>IF($M52="","",IF(profit_kind="test",IF(OR(NOT(AND(ISNUMBER($N52),$N52&lt;significance_bar)),$M52=0),"in line",IF($M52&lt;0,"worse","better")),IF(OR($M52=0,IF(profit_kind="points",ABS($M52),ABS($M52*$H52))&lt;profit_line*(1-1E-9)),"in line",IF(AND(ISNUMBER($N52),$N52&lt;significance_bar),IF($M52&lt;0,"worse","better"),IF($M52&lt;0,"worse, not significant","better, not significant")))))</f>
        <v/>
      </c>
      <c r="Y52">
        <f>IF($V52,$X52,$W52)</f>
        <v/>
      </c>
      <c r="Z52">
        <f>IF($V52,IF($P52="","",$P52),IF($O52="","",$O52))</f>
        <v/>
      </c>
      <c r="AA52">
        <f>IF(OR($Q52="",$Z52=""),"",IF(AND($Z52&gt;0,$Z52&gt;=$Q52),"yes","below the line"))</f>
        <v/>
      </c>
      <c r="AB52">
        <f>IF($V52,IF($M52="","",$M52),IF($K52="","",$K52))</f>
        <v/>
      </c>
      <c r="AC52">
        <f>IF($V52,IF($N52="","",$N52),IF($L52="","",$L52))</f>
        <v/>
      </c>
      <c r="AD52">
        <f>IF($Y52="","",IF($Y52="in line",IF(profit_kind="test",IF(ROUND($AB52*100,2)=0,"0.00",TEXT($AB52*100,"+0.00;-0.00"))&amp;" points against "&amp;IF($V52,"its band","the book")&amp;", "&amp;IF($AC52="","not tested","not significant"),IF(profit_kind="points","within "&amp;TEXT(profit_line*100,"0.00")&amp;" points of "&amp;IF($V52,"its band","the book")&amp;" ("&amp;IF(ROUND($AB52*100,2)=0,"0.00",TEXT($AB52*100,"+0.00;-0.00"))&amp;")","within $"&amp;TEXT(profit_line,"#,##0")&amp;" of "&amp;IF($V52,"its band","the book")&amp;" ("&amp;IF(ROUND($AB52*100,2)=0,"0.00",TEXT($AB52*100,"+0.00;-0.00"))&amp;" points)")),IF(LEFT($Y52,5)="worse","short of ","ahead of ")&amp;IF($V52,"its band","the book")&amp;" by "&amp;TEXT(ABS($AB52)*100,"0.00")&amp;" points"&amp;IF($Z52="",""," ($"&amp;TEXT(ABS($Z52),"#,##0")&amp;")")&amp;IF(RIGHT($Y52,15)="not significant"," (not significant)","")))</f>
        <v/>
      </c>
      <c r="AE52">
        <f>IF($V52,IF($S52="","",$S52),IF($R52="","",$R52))</f>
        <v/>
      </c>
      <c r="AF52">
        <f>IF($V52,IF($U52="","",$U52),IF($T52="","",$T52))</f>
        <v/>
      </c>
      <c r="AG52">
        <f>IF($V52,IF($O52="","",$O52),IF($P52="","",$P52))</f>
        <v/>
      </c>
      <c r="AH52" t="n">
        <v>0.04658320363935518</v>
      </c>
      <c r="AI52">
        <f>IF($Y52="worse","Yes",IF($Y52="worse, not significant","Not sure",IF(OR($Y52="too few losses to test",$Y52="too few loans to test"),"Too few losses",IF($Y52="","","No"))))</f>
        <v/>
      </c>
      <c r="AJ52">
        <f>IF($AA52="yes","Yes",IF($AA52="","","No"))</f>
        <v/>
      </c>
      <c r="AK52" t="n">
        <v>0.0002110900021109</v>
      </c>
      <c r="AL52" t="n">
        <v>0.001743877790339499</v>
      </c>
      <c r="AM52">
        <f>IF(AND(ISNUMBER($AC52),ISNUMBER(IF($V52,IF($AL52="","",$AL52),IF($AK52="","",$AK52)))),IF(AND(ABS($AC52-significance_bar)&lt;=2.0*IF($V52,IF($AL52="","",$AL52),IF($AK52="","",$AK52)),OR($Y52="worse",$Y52="better",$Y52="worse, not significant",$Y52="better, not significant",AND(profit_kind="test",$Y52="in line",ISNUMBER($AB52),$AB52&lt;&gt;0))),IF(ROUND($AC52,3)=ROUND(significance_bar,3),TEXT($AC52,"0.0000"),TEXT($AC52,"0.000")),""),"")</f>
        <v/>
      </c>
      <c r="AN52">
        <f>IF(AND(ISNUMBER($AC52),ISNUMBER(IF($V52,IF($AL52="","",$AL52),IF($AK52="","",$AK52)))),IF(AND(ABS($AC52-significance_bar)&lt;=2.0*IF($V52,IF($AL52="","",$AL52),IF($AK52="","",$AK52)),OR($Y52="worse",$Y52="worse, not significant",AND(profit_kind="test",$Y52="in line",ISNUMBER($AB52),$AB52&lt;0))),IF(ROUND($AC52,3)=ROUND(significance_bar,3),TEXT($AC52,"0.0000"),TEXT($AC52,"0.000")),""),"")</f>
        <v/>
      </c>
      <c r="AO52">
        <f>IF(OR($AI52="",$AN52=""),$AI52,$AI52&amp;" · borderline (p "&amp;$AN52&amp;")")</f>
        <v/>
      </c>
    </row>
    <row r="53">
      <c r="A53" t="inlineStr">
        <is>
          <t>grids</t>
        </is>
      </c>
      <c r="B53" t="inlineStr">
        <is>
          <t>FICO x CHANNEL</t>
        </is>
      </c>
      <c r="C53" t="inlineStr">
        <is>
          <t>746 - 921</t>
        </is>
      </c>
      <c r="D53" t="inlineStr">
        <is>
          <t>Online</t>
        </is>
      </c>
      <c r="E53" t="inlineStr">
        <is>
          <t>contribution_rate</t>
        </is>
      </c>
      <c r="F53" t="inlineStr">
        <is>
          <t>Contribution before losses per booked dollar</t>
        </is>
      </c>
      <c r="G53" t="n">
        <v>517</v>
      </c>
      <c r="H53" t="n">
        <v>16939748.19999999</v>
      </c>
      <c r="I53" t="b">
        <v>0</v>
      </c>
      <c r="J53" t="b">
        <v>0</v>
      </c>
      <c r="K53" t="n">
        <v>-0.1126923005051701</v>
      </c>
      <c r="L53" t="n">
        <v>0.000158317501583175</v>
      </c>
      <c r="M53" t="n">
        <v>-0.002788032567083085</v>
      </c>
      <c r="N53" t="n">
        <v>0.1912308769123088</v>
      </c>
      <c r="O53" t="n">
        <v>1908979.194636313</v>
      </c>
      <c r="P53" t="n">
        <v>47228.569659787</v>
      </c>
      <c r="Q53">
        <f>'_live'!$C$24</f>
        <v/>
      </c>
      <c r="R53" t="inlineStr">
        <is>
          <t>shuffled: 0 of 10,000</t>
        </is>
      </c>
      <c r="S53" t="inlineStr">
        <is>
          <t>shuffled: 1,274 of 10,000</t>
        </is>
      </c>
      <c r="T53" t="n">
        <v>0.1769907751424731</v>
      </c>
      <c r="U53" t="n">
        <v>0.06708650720438614</v>
      </c>
      <c r="V53">
        <f>AND(judged_band,NOT($J53))</f>
        <v/>
      </c>
      <c r="W53">
        <f>IF($K53="","",IF(profit_kind="test",IF(OR(NOT(AND(ISNUMBER($L53),$L53&lt;significance_bar)),$K53=0),"in line",IF($K53&lt;0,"worse","better")),IF(OR($K53=0,IF(profit_kind="points",ABS($K53),ABS($K53*$H53))&lt;profit_line*(1-1E-9)),"in line",IF(AND(ISNUMBER($L53),$L53&lt;significance_bar),IF($K53&lt;0,"worse","better"),IF($K53&lt;0,"worse, not significant","better, not significant")))))</f>
        <v/>
      </c>
      <c r="X53">
        <f>IF($M53="","",IF(profit_kind="test",IF(OR(NOT(AND(ISNUMBER($N53),$N53&lt;significance_bar)),$M53=0),"in line",IF($M53&lt;0,"worse","better")),IF(OR($M53=0,IF(profit_kind="points",ABS($M53),ABS($M53*$H53))&lt;profit_line*(1-1E-9)),"in line",IF(AND(ISNUMBER($N53),$N53&lt;significance_bar),IF($M53&lt;0,"worse","better"),IF($M53&lt;0,"worse, not significant","better, not significant")))))</f>
        <v/>
      </c>
      <c r="Y53">
        <f>IF($V53,$X53,$W53)</f>
        <v/>
      </c>
      <c r="Z53">
        <f>IF($V53,IF($P53="","",$P53),IF($O53="","",$O53))</f>
        <v/>
      </c>
      <c r="AA53">
        <f>IF(OR($Q53="",$Z53=""),"",IF(AND($Z53&gt;0,$Z53&gt;=$Q53),"yes","below the line"))</f>
        <v/>
      </c>
      <c r="AB53">
        <f>IF($V53,IF($M53="","",$M53),IF($K53="","",$K53))</f>
        <v/>
      </c>
      <c r="AC53">
        <f>IF($V53,IF($N53="","",$N53),IF($L53="","",$L53))</f>
        <v/>
      </c>
      <c r="AD53">
        <f>IF($Y53="","",IF($Y53="in line",IF(profit_kind="test",IF(ROUND($AB53*100,2)=0,"0.00",TEXT($AB53*100,"+0.00;-0.00"))&amp;" points against "&amp;IF($V53,"its band","the book")&amp;", "&amp;IF($AC53="","not tested","not significant"),IF(profit_kind="points","within "&amp;TEXT(profit_line*100,"0.00")&amp;" points of "&amp;IF($V53,"its band","the book")&amp;" ("&amp;IF(ROUND($AB53*100,2)=0,"0.00",TEXT($AB53*100,"+0.00;-0.00"))&amp;")","within $"&amp;TEXT(profit_line,"#,##0")&amp;" of "&amp;IF($V53,"its band","the book")&amp;" ("&amp;IF(ROUND($AB53*100,2)=0,"0.00",TEXT($AB53*100,"+0.00;-0.00"))&amp;" points)")),IF(LEFT($Y53,5)="worse","short of ","ahead of ")&amp;IF($V53,"its band","the book")&amp;" by "&amp;TEXT(ABS($AB53)*100,"0.00")&amp;" points"&amp;IF($Z53="",""," ($"&amp;TEXT(ABS($Z53),"#,##0")&amp;")")&amp;IF(RIGHT($Y53,15)="not significant"," (not significant)","")))</f>
        <v/>
      </c>
      <c r="AE53">
        <f>IF($V53,IF($S53="","",$S53),IF($R53="","",$R53))</f>
        <v/>
      </c>
      <c r="AF53">
        <f>IF($V53,IF($U53="","",$U53),IF($T53="","",$T53))</f>
        <v/>
      </c>
      <c r="AG53">
        <f>IF($V53,IF($O53="","",$O53),IF($P53="","",$P53))</f>
        <v/>
      </c>
      <c r="AH53" t="n">
        <v>0.06429847463730305</v>
      </c>
      <c r="AI53">
        <f>IF($Y53="worse","Yes",IF($Y53="worse, not significant","Not sure",IF(OR($Y53="too few losses to test",$Y53="too few loans to test"),"Too few losses",IF($Y53="","","No"))))</f>
        <v/>
      </c>
      <c r="AJ53">
        <f>IF($AA53="yes","Yes",IF($AA53="","","No"))</f>
        <v/>
      </c>
      <c r="AK53" t="n">
        <v>0.000158317501583175</v>
      </c>
      <c r="AL53" t="n">
        <v>0.005002769903601529</v>
      </c>
      <c r="AM53">
        <f>IF(AND(ISNUMBER($AC53),ISNUMBER(IF($V53,IF($AL53="","",$AL53),IF($AK53="","",$AK53)))),IF(AND(ABS($AC53-significance_bar)&lt;=2.0*IF($V53,IF($AL53="","",$AL53),IF($AK53="","",$AK53)),OR($Y53="worse",$Y53="better",$Y53="worse, not significant",$Y53="better, not significant",AND(profit_kind="test",$Y53="in line",ISNUMBER($AB53),$AB53&lt;&gt;0))),IF(ROUND($AC53,3)=ROUND(significance_bar,3),TEXT($AC53,"0.0000"),TEXT($AC53,"0.000")),""),"")</f>
        <v/>
      </c>
      <c r="AN53">
        <f>IF(AND(ISNUMBER($AC53),ISNUMBER(IF($V53,IF($AL53="","",$AL53),IF($AK53="","",$AK53)))),IF(AND(ABS($AC53-significance_bar)&lt;=2.0*IF($V53,IF($AL53="","",$AL53),IF($AK53="","",$AK53)),OR($Y53="worse",$Y53="worse, not significant",AND(profit_kind="test",$Y53="in line",ISNUMBER($AB53),$AB53&lt;0))),IF(ROUND($AC53,3)=ROUND(significance_bar,3),TEXT($AC53,"0.0000"),TEXT($AC53,"0.000")),""),"")</f>
        <v/>
      </c>
      <c r="AO53">
        <f>IF(OR($AI53="",$AN53=""),$AI53,$AI53&amp;" · borderline (p "&amp;$AN53&amp;")")</f>
        <v/>
      </c>
    </row>
    <row r="54">
      <c r="A54" t="inlineStr">
        <is>
          <t>grids</t>
        </is>
      </c>
      <c r="B54" t="inlineStr">
        <is>
          <t>FICO x CHANNEL</t>
        </is>
      </c>
      <c r="C54" t="inlineStr">
        <is>
          <t>654 - 685</t>
        </is>
      </c>
      <c r="D54" t="inlineStr">
        <is>
          <t>Branch</t>
        </is>
      </c>
      <c r="E54" t="inlineStr">
        <is>
          <t>outcome_loans</t>
        </is>
      </c>
      <c r="F54" t="inlineStr">
        <is>
          <t>Outcome, share of loans</t>
        </is>
      </c>
      <c r="G54" t="n">
        <v>503</v>
      </c>
      <c r="H54" t="n">
        <v>503</v>
      </c>
      <c r="I54" t="b">
        <v>0</v>
      </c>
      <c r="J54" t="b">
        <v>0</v>
      </c>
      <c r="K54" t="n">
        <v>1.168321083949266</v>
      </c>
      <c r="L54" t="n">
        <v>0.4022307010148998</v>
      </c>
      <c r="M54" t="n">
        <v>1.09039878376798</v>
      </c>
      <c r="N54" t="n">
        <v>0.8063280654421801</v>
      </c>
      <c r="O54" t="n">
        <v>6.48319103521878</v>
      </c>
      <c r="P54" t="n">
        <v>3.730694980694977</v>
      </c>
      <c r="Q54">
        <f>'_live'!$C$20</f>
        <v/>
      </c>
      <c r="R54" t="inlineStr">
        <is>
          <t>z test</t>
        </is>
      </c>
      <c r="S54" t="inlineStr">
        <is>
          <t>z test</t>
        </is>
      </c>
      <c r="T54" t="n">
        <v>0.07657417289220918</v>
      </c>
      <c r="U54" t="n">
        <v>0.08204633204633205</v>
      </c>
      <c r="V54">
        <f>AND(judged_band,NOT($J54))</f>
        <v/>
      </c>
      <c r="W54">
        <f>IF($K54="","",IF($I54,"too few losses to test",IF(AND($K54&gt;better_at,$K54&lt;worse_at),"in line",IF($K54&gt;=worse_at,IF(AND(ISNUMBER($L54),$L54&lt;significance_bar),"worse","worse, not significant"),IF(AND(ISNUMBER($L54),$L54&lt;significance_bar),"better","better, not significant")))))</f>
        <v/>
      </c>
      <c r="X54">
        <f>IF($M54="","",IF($I54,"too few losses to test",IF(AND($M54&gt;better_at,$M54&lt;worse_at),"in line",IF($M54&gt;=worse_at,IF(AND(ISNUMBER($N54),$N54&lt;significance_bar),"worse","worse, not significant"),IF(AND(ISNUMBER($N54),$N54&lt;significance_bar),"better","better, not significant")))))</f>
        <v/>
      </c>
      <c r="Y54">
        <f>IF($V54,$X54,$W54)</f>
        <v/>
      </c>
      <c r="Z54">
        <f>IF($V54,IF($P54="","",$P54),IF($O54="","",$O54))</f>
        <v/>
      </c>
      <c r="AA54">
        <f>IF(OR($Q54="",$Z54=""),"",IF(AND($Z54&gt;0,$Z54&gt;=$Q54),"yes","below the line"))</f>
        <v/>
      </c>
      <c r="AB54">
        <f>IF($V54,IF($M54="","",$M54),IF($K54="","",$K54))</f>
        <v/>
      </c>
      <c r="AC54">
        <f>IF($V54,IF($N54="","",$N54),IF($L54="","",$L54))</f>
        <v/>
      </c>
      <c r="AD54">
        <f>$Y54</f>
        <v/>
      </c>
      <c r="AE54">
        <f>IF($V54,IF($S54="","",$S54),IF($R54="","",$R54))</f>
        <v/>
      </c>
      <c r="AF54">
        <f>IF($V54,IF($U54="","",$U54),IF($T54="","",$T54))</f>
        <v/>
      </c>
      <c r="AG54">
        <f>IF($V54,IF($O54="","",$O54),IF($P54="","",$P54))</f>
        <v/>
      </c>
      <c r="AH54" t="n">
        <v>0.08946322067594434</v>
      </c>
      <c r="AI54">
        <f>IF($Y54="worse","Yes",IF($Y54="worse, not significant","Not sure",IF(OR($Y54="too few losses to test",$Y54="too few loans to test"),"Too few losses",IF($Y54="","","No"))))</f>
        <v/>
      </c>
      <c r="AJ54">
        <f>IF($AA54="yes","Yes",IF($AA54="","","No"))</f>
        <v/>
      </c>
      <c r="AM54">
        <f>IF(AND(ISNUMBER($AC54),ISNUMBER(IF($V54,IF($AL54="","",$AL54),IF($AK54="","",$AK54)))),IF(AND(ABS($AC54-significance_bar)&lt;=2.0*IF($V54,IF($AL54="","",$AL54),IF($AK54="","",$AK54)),OR($Y54="worse",$Y54="better",$Y54="worse, not significant",$Y54="better, not significant")),IF(ROUND($AC54,3)=ROUND(significance_bar,3),TEXT($AC54,"0.0000"),TEXT($AC54,"0.000")),""),"")</f>
        <v/>
      </c>
      <c r="AN54">
        <f>IF(AND(ISNUMBER($AC54),ISNUMBER(IF($V54,IF($AL54="","",$AL54),IF($AK54="","",$AK54)))),IF(AND(ABS($AC54-significance_bar)&lt;=2.0*IF($V54,IF($AL54="","",$AL54),IF($AK54="","",$AK54)),OR($Y54="worse",$Y54="worse, not significant")),IF(ROUND($AC54,3)=ROUND(significance_bar,3),TEXT($AC54,"0.0000"),TEXT($AC54,"0.000")),""),"")</f>
        <v/>
      </c>
      <c r="AO54">
        <f>IF(OR($AI54="",$AN54=""),$AI54,$AI54&amp;" · borderline (p "&amp;$AN54&amp;")")</f>
        <v/>
      </c>
    </row>
    <row r="55">
      <c r="A55" t="inlineStr">
        <is>
          <t>grids</t>
        </is>
      </c>
      <c r="B55" t="inlineStr">
        <is>
          <t>FICO x CHANNEL</t>
        </is>
      </c>
      <c r="C55" t="inlineStr">
        <is>
          <t>654 - 685</t>
        </is>
      </c>
      <c r="D55" t="inlineStr">
        <is>
          <t>Branch</t>
        </is>
      </c>
      <c r="E55" t="inlineStr">
        <is>
          <t>outcome_booked</t>
        </is>
      </c>
      <c r="F55" t="inlineStr">
        <is>
          <t>Outcome, share of booked dollars</t>
        </is>
      </c>
      <c r="G55" t="n">
        <v>503</v>
      </c>
      <c r="H55" t="n">
        <v>16176090.76</v>
      </c>
      <c r="I55" t="b">
        <v>0</v>
      </c>
      <c r="J55" t="b">
        <v>0</v>
      </c>
      <c r="K55" t="n">
        <v>1.16473647407521</v>
      </c>
      <c r="L55" t="n">
        <v>0.49904100499041</v>
      </c>
      <c r="M55" t="n">
        <v>1.124215883183804</v>
      </c>
      <c r="N55" t="n">
        <v>0.7831944078319442</v>
      </c>
      <c r="O55" t="n">
        <v>197365.1150086168</v>
      </c>
      <c r="P55" t="n">
        <v>154182.7246834799</v>
      </c>
      <c r="Q55">
        <f>'_live'!$C$21</f>
        <v/>
      </c>
      <c r="R55" t="inlineStr">
        <is>
          <t>shuffled: 3,659 of 10,000</t>
        </is>
      </c>
      <c r="S55" t="inlineStr">
        <is>
          <t>shuffled: 5,464 of 10,000</t>
        </is>
      </c>
      <c r="T55" t="n">
        <v>0.07406398077055446</v>
      </c>
      <c r="U55" t="n">
        <v>0.0767335003081128</v>
      </c>
      <c r="V55">
        <f>AND(judged_band,NOT($J55))</f>
        <v/>
      </c>
      <c r="W55">
        <f>IF($K55="","",IF($I55,"too few losses to test",IF(AND($K55&gt;better_at,$K55&lt;worse_at),"in line",IF($K55&gt;=worse_at,IF(AND(ISNUMBER($L55),$L55&lt;significance_bar),"worse","worse, not significant"),IF(AND(ISNUMBER($L55),$L55&lt;significance_bar),"better","better, not significant")))))</f>
        <v/>
      </c>
      <c r="X55">
        <f>IF($M55="","",IF($I55,"too few losses to test",IF(AND($M55&gt;better_at,$M55&lt;worse_at),"in line",IF($M55&gt;=worse_at,IF(AND(ISNUMBER($N55),$N55&lt;significance_bar),"worse","worse, not significant"),IF(AND(ISNUMBER($N55),$N55&lt;significance_bar),"better","better, not significant")))))</f>
        <v/>
      </c>
      <c r="Y55">
        <f>IF($V55,$X55,$W55)</f>
        <v/>
      </c>
      <c r="Z55">
        <f>IF($V55,IF($P55="","",$P55),IF($O55="","",$O55))</f>
        <v/>
      </c>
      <c r="AA55">
        <f>IF(OR($Q55="",$Z55=""),"",IF(AND($Z55&gt;0,$Z55&gt;=$Q55),"yes","below the line"))</f>
        <v/>
      </c>
      <c r="AB55">
        <f>IF($V55,IF($M55="","",$M55),IF($K55="","",$K55))</f>
        <v/>
      </c>
      <c r="AC55">
        <f>IF($V55,IF($N55="","",$N55),IF($L55="","",$L55))</f>
        <v/>
      </c>
      <c r="AD55">
        <f>$Y55</f>
        <v/>
      </c>
      <c r="AE55">
        <f>IF($V55,IF($S55="","",$S55),IF($R55="","",$R55))</f>
        <v/>
      </c>
      <c r="AF55">
        <f>IF($V55,IF($U55="","",$U55),IF($T55="","",$T55))</f>
        <v/>
      </c>
      <c r="AG55">
        <f>IF($V55,IF($O55="","",$O55),IF($P55="","",$P55))</f>
        <v/>
      </c>
      <c r="AH55" t="n">
        <v>0.08626501981866973</v>
      </c>
      <c r="AI55">
        <f>IF($Y55="worse","Yes",IF($Y55="worse, not significant","Not sure",IF(OR($Y55="too few losses to test",$Y55="too few loans to test"),"Too few losses",IF($Y55="","","No"))))</f>
        <v/>
      </c>
      <c r="AJ55">
        <f>IF($AA55="yes","Yes",IF($AA55="","","No"))</f>
        <v/>
      </c>
      <c r="AK55" t="n">
        <v>0.006568626467449041</v>
      </c>
      <c r="AL55" t="n">
        <v>0.006742394929526583</v>
      </c>
      <c r="AM55">
        <f>IF(AND(ISNUMBER($AC55),ISNUMBER(IF($V55,IF($AL55="","",$AL55),IF($AK55="","",$AK55)))),IF(AND(ABS($AC55-significance_bar)&lt;=2.0*IF($V55,IF($AL55="","",$AL55),IF($AK55="","",$AK55)),OR($Y55="worse",$Y55="better",$Y55="worse, not significant",$Y55="better, not significant")),IF(ROUND($AC55,3)=ROUND(significance_bar,3),TEXT($AC55,"0.0000"),TEXT($AC55,"0.000")),""),"")</f>
        <v/>
      </c>
      <c r="AN55">
        <f>IF(AND(ISNUMBER($AC55),ISNUMBER(IF($V55,IF($AL55="","",$AL55),IF($AK55="","",$AK55)))),IF(AND(ABS($AC55-significance_bar)&lt;=2.0*IF($V55,IF($AL55="","",$AL55),IF($AK55="","",$AK55)),OR($Y55="worse",$Y55="worse, not significant")),IF(ROUND($AC55,3)=ROUND(significance_bar,3),TEXT($AC55,"0.0000"),TEXT($AC55,"0.000")),""),"")</f>
        <v/>
      </c>
      <c r="AO55">
        <f>IF(OR($AI55="",$AN55=""),$AI55,$AI55&amp;" · borderline (p "&amp;$AN55&amp;")")</f>
        <v/>
      </c>
    </row>
    <row r="56">
      <c r="A56" t="inlineStr">
        <is>
          <t>grids</t>
        </is>
      </c>
      <c r="B56" t="inlineStr">
        <is>
          <t>FICO x CHANNEL</t>
        </is>
      </c>
      <c r="C56" t="inlineStr">
        <is>
          <t>654 - 685</t>
        </is>
      </c>
      <c r="D56" t="inlineStr">
        <is>
          <t>Branch</t>
        </is>
      </c>
      <c r="E56" t="inlineStr">
        <is>
          <t>gco_rate</t>
        </is>
      </c>
      <c r="F56" t="inlineStr">
        <is>
          <t>GCO per booked dollar</t>
        </is>
      </c>
      <c r="G56" t="n">
        <v>503</v>
      </c>
      <c r="H56" t="n">
        <v>16176090.76</v>
      </c>
      <c r="I56" t="b">
        <v>0</v>
      </c>
      <c r="J56" t="b">
        <v>0</v>
      </c>
      <c r="K56" t="n">
        <v>1.21967870088331</v>
      </c>
      <c r="L56" t="n">
        <v>0.342511203425112</v>
      </c>
      <c r="M56" t="n">
        <v>1.168054905981109</v>
      </c>
      <c r="N56" t="n">
        <v>0.6053940060539401</v>
      </c>
      <c r="O56" t="n">
        <v>145837.6238119949</v>
      </c>
      <c r="P56" t="n">
        <v>116497.0706906916</v>
      </c>
      <c r="Q56">
        <f>'_live'!$C$22</f>
        <v/>
      </c>
      <c r="R56" t="inlineStr">
        <is>
          <t>shuffled: 2,511 of 10,000</t>
        </is>
      </c>
      <c r="S56" t="inlineStr">
        <is>
          <t>shuffled: 4,439 of 10,000</t>
        </is>
      </c>
      <c r="T56" t="n">
        <v>0.04104006623340711</v>
      </c>
      <c r="U56" t="n">
        <v>0.04285388846997963</v>
      </c>
      <c r="V56">
        <f>AND(judged_band,NOT($J56))</f>
        <v/>
      </c>
      <c r="W56">
        <f>IF($K56="","",IF($I56,"too few losses to test",IF(AND($K56&gt;better_at,$K56&lt;worse_at),"in line",IF($K56&gt;=worse_at,IF(AND(ISNUMBER($L56),$L56&lt;significance_bar),"worse","worse, not significant"),IF(AND(ISNUMBER($L56),$L56&lt;significance_bar),"better","better, not significant")))))</f>
        <v/>
      </c>
      <c r="X56">
        <f>IF($M56="","",IF($I56,"too few losses to test",IF(AND($M56&gt;better_at,$M56&lt;worse_at),"in line",IF($M56&gt;=worse_at,IF(AND(ISNUMBER($N56),$N56&lt;significance_bar),"worse","worse, not significant"),IF(AND(ISNUMBER($N56),$N56&lt;significance_bar),"better","better, not significant")))))</f>
        <v/>
      </c>
      <c r="Y56">
        <f>IF($V56,$X56,$W56)</f>
        <v/>
      </c>
      <c r="Z56">
        <f>IF($V56,IF($P56="","",$P56),IF($O56="","",$O56))</f>
        <v/>
      </c>
      <c r="AA56">
        <f>IF(OR($Q56="",$Z56=""),"",IF(AND($Z56&gt;0,$Z56&gt;=$Q56),"yes","below the line"))</f>
        <v/>
      </c>
      <c r="AB56">
        <f>IF($V56,IF($M56="","",$M56),IF($K56="","",$K56))</f>
        <v/>
      </c>
      <c r="AC56">
        <f>IF($V56,IF($N56="","",$N56),IF($L56="","",$L56))</f>
        <v/>
      </c>
      <c r="AD56">
        <f>$Y56</f>
        <v/>
      </c>
      <c r="AE56">
        <f>IF($V56,IF($S56="","",$S56),IF($R56="","",$R56))</f>
        <v/>
      </c>
      <c r="AF56">
        <f>IF($V56,IF($U56="","",$U56),IF($T56="","",$T56))</f>
        <v/>
      </c>
      <c r="AG56">
        <f>IF($V56,IF($O56="","",$O56),IF($P56="","",$P56))</f>
        <v/>
      </c>
      <c r="AH56" t="n">
        <v>0.05005569466772698</v>
      </c>
      <c r="AI56">
        <f>IF($Y56="worse","Yes",IF($Y56="worse, not significant","Not sure",IF(OR($Y56="too few losses to test",$Y56="too few loans to test"),"Too few losses",IF($Y56="","","No"))))</f>
        <v/>
      </c>
      <c r="AJ56">
        <f>IF($AA56="yes","Yes",IF($AA56="","","No"))</f>
        <v/>
      </c>
      <c r="AK56" t="n">
        <v>0.005913939528534393</v>
      </c>
      <c r="AL56" t="n">
        <v>0.006775214966453888</v>
      </c>
      <c r="AM56">
        <f>IF(AND(ISNUMBER($AC56),ISNUMBER(IF($V56,IF($AL56="","",$AL56),IF($AK56="","",$AK56)))),IF(AND(ABS($AC56-significance_bar)&lt;=2.0*IF($V56,IF($AL56="","",$AL56),IF($AK56="","",$AK56)),OR($Y56="worse",$Y56="better",$Y56="worse, not significant",$Y56="better, not significant")),IF(ROUND($AC56,3)=ROUND(significance_bar,3),TEXT($AC56,"0.0000"),TEXT($AC56,"0.000")),""),"")</f>
        <v/>
      </c>
      <c r="AN56">
        <f>IF(AND(ISNUMBER($AC56),ISNUMBER(IF($V56,IF($AL56="","",$AL56),IF($AK56="","",$AK56)))),IF(AND(ABS($AC56-significance_bar)&lt;=2.0*IF($V56,IF($AL56="","",$AL56),IF($AK56="","",$AK56)),OR($Y56="worse",$Y56="worse, not significant")),IF(ROUND($AC56,3)=ROUND(significance_bar,3),TEXT($AC56,"0.0000"),TEXT($AC56,"0.000")),""),"")</f>
        <v/>
      </c>
      <c r="AO56">
        <f>IF(OR($AI56="",$AN56=""),$AI56,$AI56&amp;" · borderline (p "&amp;$AN56&amp;")")</f>
        <v/>
      </c>
    </row>
    <row r="57">
      <c r="A57" t="inlineStr">
        <is>
          <t>grids</t>
        </is>
      </c>
      <c r="B57" t="inlineStr">
        <is>
          <t>FICO x CHANNEL</t>
        </is>
      </c>
      <c r="C57" t="inlineStr">
        <is>
          <t>654 - 685</t>
        </is>
      </c>
      <c r="D57" t="inlineStr">
        <is>
          <t>Branch</t>
        </is>
      </c>
      <c r="E57" t="inlineStr">
        <is>
          <t>ranr_rate</t>
        </is>
      </c>
      <c r="F57" t="inlineStr">
        <is>
          <t>Profit after losses: RANR per booked dollar</t>
        </is>
      </c>
      <c r="G57" t="n">
        <v>503</v>
      </c>
      <c r="H57" t="n">
        <v>16176090.76</v>
      </c>
      <c r="I57" t="b">
        <v>0</v>
      </c>
      <c r="J57" t="b">
        <v>0</v>
      </c>
      <c r="K57" t="n">
        <v>0.02383720063905323</v>
      </c>
      <c r="L57" t="n">
        <v>0.0227977202279772</v>
      </c>
      <c r="M57" t="n">
        <v>-0.01895576930046797</v>
      </c>
      <c r="N57" t="n">
        <v>0.154620901546209</v>
      </c>
      <c r="O57" t="n">
        <v>-385592.7210016551</v>
      </c>
      <c r="P57" t="n">
        <v>306630.2446299917</v>
      </c>
      <c r="Q57">
        <f>'_live'!$C$23</f>
        <v/>
      </c>
      <c r="R57" t="inlineStr">
        <is>
          <t>shuffled: 131 of 10,000</t>
        </is>
      </c>
      <c r="S57" t="inlineStr">
        <is>
          <t>shuffled: 944 of 10,000</t>
        </is>
      </c>
      <c r="T57" t="n">
        <v>0.1264959006077155</v>
      </c>
      <c r="U57" t="n">
        <v>0.1692888705472367</v>
      </c>
      <c r="V57">
        <f>AND(judged_band,NOT($J57))</f>
        <v/>
      </c>
      <c r="W57">
        <f>IF($K57="","",IF(profit_kind="test",IF(OR(NOT(AND(ISNUMBER($L57),$L57&lt;significance_bar)),$K57=0),"in line",IF($K57&lt;0,"worse","better")),IF(OR($K57=0,IF(profit_kind="points",ABS($K57),ABS($K57*$H57))&lt;profit_line*(1-1E-9)),"in line",IF(AND(ISNUMBER($L57),$L57&lt;significance_bar),IF($K57&lt;0,"worse","better"),IF($K57&lt;0,"worse, not significant","better, not significant")))))</f>
        <v/>
      </c>
      <c r="X57">
        <f>IF($M57="","",IF(profit_kind="test",IF(OR(NOT(AND(ISNUMBER($N57),$N57&lt;significance_bar)),$M57=0),"in line",IF($M57&lt;0,"worse","better")),IF(OR($M57=0,IF(profit_kind="points",ABS($M57),ABS($M57*$H57))&lt;profit_line*(1-1E-9)),"in line",IF(AND(ISNUMBER($N57),$N57&lt;significance_bar),IF($M57&lt;0,"worse","better"),IF($M57&lt;0,"worse, not significant","better, not significant")))))</f>
        <v/>
      </c>
      <c r="Y57">
        <f>IF($V57,$X57,$W57)</f>
        <v/>
      </c>
      <c r="Z57">
        <f>IF($V57,IF($P57="","",$P57),IF($O57="","",$O57))</f>
        <v/>
      </c>
      <c r="AA57">
        <f>IF(OR($Q57="",$Z57=""),"",IF(AND($Z57&gt;0,$Z57&gt;=$Q57),"yes","below the line"))</f>
        <v/>
      </c>
      <c r="AB57">
        <f>IF($V57,IF($M57="","",$M57),IF($K57="","",$K57))</f>
        <v/>
      </c>
      <c r="AC57">
        <f>IF($V57,IF($N57="","",$N57),IF($L57="","",$L57))</f>
        <v/>
      </c>
      <c r="AD57">
        <f>IF($Y57="","",IF($Y57="in line",IF(profit_kind="test",IF(ROUND($AB57*100,2)=0,"0.00",TEXT($AB57*100,"+0.00;-0.00"))&amp;" points against "&amp;IF($V57,"its band","the book")&amp;", "&amp;IF($AC57="","not tested","not significant"),IF(profit_kind="points","within "&amp;TEXT(profit_line*100,"0.00")&amp;" points of "&amp;IF($V57,"its band","the book")&amp;" ("&amp;IF(ROUND($AB57*100,2)=0,"0.00",TEXT($AB57*100,"+0.00;-0.00"))&amp;")","within $"&amp;TEXT(profit_line,"#,##0")&amp;" of "&amp;IF($V57,"its band","the book")&amp;" ("&amp;IF(ROUND($AB57*100,2)=0,"0.00",TEXT($AB57*100,"+0.00;-0.00"))&amp;" points)")),IF(LEFT($Y57,5)="worse","short of ","ahead of ")&amp;IF($V57,"its band","the book")&amp;" by "&amp;TEXT(ABS($AB57)*100,"0.00")&amp;" points"&amp;IF($Z57="",""," ($"&amp;TEXT(ABS($Z57),"#,##0")&amp;")")&amp;IF(RIGHT($Y57,15)="not significant"," (not significant)","")))</f>
        <v/>
      </c>
      <c r="AE57">
        <f>IF($V57,IF($S57="","",$S57),IF($R57="","",$R57))</f>
        <v/>
      </c>
      <c r="AF57">
        <f>IF($V57,IF($U57="","",$U57),IF($T57="","",$T57))</f>
        <v/>
      </c>
      <c r="AG57">
        <f>IF($V57,IF($O57="","",$O57),IF($P57="","",$P57))</f>
        <v/>
      </c>
      <c r="AH57" t="n">
        <v>0.1503331012467687</v>
      </c>
      <c r="AI57">
        <f>IF($Y57="worse","Yes",IF($Y57="worse, not significant","Not sure",IF(OR($Y57="too few losses to test",$Y57="too few loans to test"),"Too few losses",IF($Y57="","","No"))))</f>
        <v/>
      </c>
      <c r="AJ57">
        <f>IF($AA57="yes","Yes",IF($AA57="","","No"))</f>
        <v/>
      </c>
      <c r="AK57" t="n">
        <v>0.001971246923807002</v>
      </c>
      <c r="AL57" t="n">
        <v>0.00478652689867106</v>
      </c>
      <c r="AM57">
        <f>IF(AND(ISNUMBER($AC57),ISNUMBER(IF($V57,IF($AL57="","",$AL57),IF($AK57="","",$AK57)))),IF(AND(ABS($AC57-significance_bar)&lt;=2.0*IF($V57,IF($AL57="","",$AL57),IF($AK57="","",$AK57)),OR($Y57="worse",$Y57="better",$Y57="worse, not significant",$Y57="better, not significant",AND(profit_kind="test",$Y57="in line",ISNUMBER($AB57),$AB57&lt;&gt;0))),IF(ROUND($AC57,3)=ROUND(significance_bar,3),TEXT($AC57,"0.0000"),TEXT($AC57,"0.000")),""),"")</f>
        <v/>
      </c>
      <c r="AN57">
        <f>IF(AND(ISNUMBER($AC57),ISNUMBER(IF($V57,IF($AL57="","",$AL57),IF($AK57="","",$AK57)))),IF(AND(ABS($AC57-significance_bar)&lt;=2.0*IF($V57,IF($AL57="","",$AL57),IF($AK57="","",$AK57)),OR($Y57="worse",$Y57="worse, not significant",AND(profit_kind="test",$Y57="in line",ISNUMBER($AB57),$AB57&lt;0))),IF(ROUND($AC57,3)=ROUND(significance_bar,3),TEXT($AC57,"0.0000"),TEXT($AC57,"0.000")),""),"")</f>
        <v/>
      </c>
      <c r="AO57">
        <f>IF(OR($AI57="",$AN57=""),$AI57,$AI57&amp;" · borderline (p "&amp;$AN57&amp;")")</f>
        <v/>
      </c>
    </row>
    <row r="58">
      <c r="A58" t="inlineStr">
        <is>
          <t>grids</t>
        </is>
      </c>
      <c r="B58" t="inlineStr">
        <is>
          <t>FICO x CHANNEL</t>
        </is>
      </c>
      <c r="C58" t="inlineStr">
        <is>
          <t>654 - 685</t>
        </is>
      </c>
      <c r="D58" t="inlineStr">
        <is>
          <t>Branch</t>
        </is>
      </c>
      <c r="E58" t="inlineStr">
        <is>
          <t>contribution_rate</t>
        </is>
      </c>
      <c r="F58" t="inlineStr">
        <is>
          <t>Contribution before losses per booked dollar</t>
        </is>
      </c>
      <c r="G58" t="n">
        <v>503</v>
      </c>
      <c r="H58" t="n">
        <v>16176090.76</v>
      </c>
      <c r="I58" t="b">
        <v>0</v>
      </c>
      <c r="J58" t="b">
        <v>0</v>
      </c>
      <c r="K58" t="n">
        <v>0.03285612472557464</v>
      </c>
      <c r="L58" t="n">
        <v>0.000158317501583175</v>
      </c>
      <c r="M58" t="n">
        <v>-0.0117539631027207</v>
      </c>
      <c r="N58" t="n">
        <v>0.1166283371662834</v>
      </c>
      <c r="O58" t="n">
        <v>-531483.6555827754</v>
      </c>
      <c r="P58" t="n">
        <v>190133.1739393012</v>
      </c>
      <c r="Q58">
        <f>'_live'!$C$24</f>
        <v/>
      </c>
      <c r="R58" t="inlineStr">
        <is>
          <t>shuffled: 0 of 10,000</t>
        </is>
      </c>
      <c r="S58" t="inlineStr">
        <is>
          <t>shuffled: 647 of 10,000</t>
        </is>
      </c>
      <c r="T58" t="n">
        <v>0.1675326711889211</v>
      </c>
      <c r="U58" t="n">
        <v>0.2121427590172164</v>
      </c>
      <c r="V58">
        <f>AND(judged_band,NOT($J58))</f>
        <v/>
      </c>
      <c r="W58">
        <f>IF($K58="","",IF(profit_kind="test",IF(OR(NOT(AND(ISNUMBER($L58),$L58&lt;significance_bar)),$K58=0),"in line",IF($K58&lt;0,"worse","better")),IF(OR($K58=0,IF(profit_kind="points",ABS($K58),ABS($K58*$H58))&lt;profit_line*(1-1E-9)),"in line",IF(AND(ISNUMBER($L58),$L58&lt;significance_bar),IF($K58&lt;0,"worse","better"),IF($K58&lt;0,"worse, not significant","better, not significant")))))</f>
        <v/>
      </c>
      <c r="X58">
        <f>IF($M58="","",IF(profit_kind="test",IF(OR(NOT(AND(ISNUMBER($N58),$N58&lt;significance_bar)),$M58=0),"in line",IF($M58&lt;0,"worse","better")),IF(OR($M58=0,IF(profit_kind="points",ABS($M58),ABS($M58*$H58))&lt;profit_line*(1-1E-9)),"in line",IF(AND(ISNUMBER($N58),$N58&lt;significance_bar),IF($M58&lt;0,"worse","better"),IF($M58&lt;0,"worse, not significant","better, not significant")))))</f>
        <v/>
      </c>
      <c r="Y58">
        <f>IF($V58,$X58,$W58)</f>
        <v/>
      </c>
      <c r="Z58">
        <f>IF($V58,IF($P58="","",$P58),IF($O58="","",$O58))</f>
        <v/>
      </c>
      <c r="AA58">
        <f>IF(OR($Q58="",$Z58=""),"",IF(AND($Z58&gt;0,$Z58&gt;=$Q58),"yes","below the line"))</f>
        <v/>
      </c>
      <c r="AB58">
        <f>IF($V58,IF($M58="","",$M58),IF($K58="","",$K58))</f>
        <v/>
      </c>
      <c r="AC58">
        <f>IF($V58,IF($N58="","",$N58),IF($L58="","",$L58))</f>
        <v/>
      </c>
      <c r="AD58">
        <f>IF($Y58="","",IF($Y58="in line",IF(profit_kind="test",IF(ROUND($AB58*100,2)=0,"0.00",TEXT($AB58*100,"+0.00;-0.00"))&amp;" points against "&amp;IF($V58,"its band","the book")&amp;", "&amp;IF($AC58="","not tested","not significant"),IF(profit_kind="points","within "&amp;TEXT(profit_line*100,"0.00")&amp;" points of "&amp;IF($V58,"its band","the book")&amp;" ("&amp;IF(ROUND($AB58*100,2)=0,"0.00",TEXT($AB58*100,"+0.00;-0.00"))&amp;")","within $"&amp;TEXT(profit_line,"#,##0")&amp;" of "&amp;IF($V58,"its band","the book")&amp;" ("&amp;IF(ROUND($AB58*100,2)=0,"0.00",TEXT($AB58*100,"+0.00;-0.00"))&amp;" points)")),IF(LEFT($Y58,5)="worse","short of ","ahead of ")&amp;IF($V58,"its band","the book")&amp;" by "&amp;TEXT(ABS($AB58)*100,"0.00")&amp;" points"&amp;IF($Z58="",""," ($"&amp;TEXT(ABS($Z58),"#,##0")&amp;")")&amp;IF(RIGHT($Y58,15)="not significant"," (not significant)","")))</f>
        <v/>
      </c>
      <c r="AE58">
        <f>IF($V58,IF($S58="","",$S58),IF($R58="","",$R58))</f>
        <v/>
      </c>
      <c r="AF58">
        <f>IF($V58,IF($U58="","",$U58),IF($T58="","",$T58))</f>
        <v/>
      </c>
      <c r="AG58">
        <f>IF($V58,IF($O58="","",$O58),IF($P58="","",$P58))</f>
        <v/>
      </c>
      <c r="AH58" t="n">
        <v>0.2003887959144957</v>
      </c>
      <c r="AI58">
        <f>IF($Y58="worse","Yes",IF($Y58="worse, not significant","Not sure",IF(OR($Y58="too few losses to test",$Y58="too few loans to test"),"Too few losses",IF($Y58="","","No"))))</f>
        <v/>
      </c>
      <c r="AJ58">
        <f>IF($AA58="yes","Yes",IF($AA58="","","No"))</f>
        <v/>
      </c>
      <c r="AK58" t="n">
        <v>0.000158317501583175</v>
      </c>
      <c r="AL58" t="n">
        <v>0.004430901012989771</v>
      </c>
      <c r="AM58">
        <f>IF(AND(ISNUMBER($AC58),ISNUMBER(IF($V58,IF($AL58="","",$AL58),IF($AK58="","",$AK58)))),IF(AND(ABS($AC58-significance_bar)&lt;=2.0*IF($V58,IF($AL58="","",$AL58),IF($AK58="","",$AK58)),OR($Y58="worse",$Y58="better",$Y58="worse, not significant",$Y58="better, not significant",AND(profit_kind="test",$Y58="in line",ISNUMBER($AB58),$AB58&lt;&gt;0))),IF(ROUND($AC58,3)=ROUND(significance_bar,3),TEXT($AC58,"0.0000"),TEXT($AC58,"0.000")),""),"")</f>
        <v/>
      </c>
      <c r="AN58">
        <f>IF(AND(ISNUMBER($AC58),ISNUMBER(IF($V58,IF($AL58="","",$AL58),IF($AK58="","",$AK58)))),IF(AND(ABS($AC58-significance_bar)&lt;=2.0*IF($V58,IF($AL58="","",$AL58),IF($AK58="","",$AK58)),OR($Y58="worse",$Y58="worse, not significant",AND(profit_kind="test",$Y58="in line",ISNUMBER($AB58),$AB58&lt;0))),IF(ROUND($AC58,3)=ROUND(significance_bar,3),TEXT($AC58,"0.0000"),TEXT($AC58,"0.000")),""),"")</f>
        <v/>
      </c>
      <c r="AO58">
        <f>IF(OR($AI58="",$AN58=""),$AI58,$AI58&amp;" · borderline (p "&amp;$AN58&amp;")")</f>
        <v/>
      </c>
    </row>
    <row r="59">
      <c r="A59" t="inlineStr">
        <is>
          <t>grids</t>
        </is>
      </c>
      <c r="B59" t="inlineStr">
        <is>
          <t>FICO x CHANNEL</t>
        </is>
      </c>
      <c r="C59" t="inlineStr">
        <is>
          <t>712 - 745</t>
        </is>
      </c>
      <c r="D59" t="inlineStr">
        <is>
          <t>Broker</t>
        </is>
      </c>
      <c r="E59" t="inlineStr">
        <is>
          <t>outcome_loans</t>
        </is>
      </c>
      <c r="F59" t="inlineStr">
        <is>
          <t>Outcome, share of loans</t>
        </is>
      </c>
      <c r="G59" t="n">
        <v>509</v>
      </c>
      <c r="H59" t="n">
        <v>509</v>
      </c>
      <c r="I59" t="b">
        <v>0</v>
      </c>
      <c r="J59" t="b">
        <v>0</v>
      </c>
      <c r="K59" t="n">
        <v>0.3904511496218971</v>
      </c>
      <c r="L59" t="n">
        <v>0.0004563927215480011</v>
      </c>
      <c r="M59" t="n">
        <v>0.4878939649685934</v>
      </c>
      <c r="N59" t="n">
        <v>0.01935817929232487</v>
      </c>
      <c r="O59" t="n">
        <v>-24.97823765020026</v>
      </c>
      <c r="P59" t="n">
        <v>-16.7940108892922</v>
      </c>
      <c r="Q59">
        <f>'_live'!$C$20</f>
        <v/>
      </c>
      <c r="R59" t="inlineStr">
        <is>
          <t>z test</t>
        </is>
      </c>
      <c r="S59" t="inlineStr">
        <is>
          <t>z test</t>
        </is>
      </c>
      <c r="T59" t="n">
        <v>0.08050734312416555</v>
      </c>
      <c r="U59" t="n">
        <v>0.06442831215970962</v>
      </c>
      <c r="V59">
        <f>AND(judged_band,NOT($J59))</f>
        <v/>
      </c>
      <c r="W59">
        <f>IF($K59="","",IF($I59,"too few losses to test",IF(AND($K59&gt;better_at,$K59&lt;worse_at),"in line",IF($K59&gt;=worse_at,IF(AND(ISNUMBER($L59),$L59&lt;significance_bar),"worse","worse, not significant"),IF(AND(ISNUMBER($L59),$L59&lt;significance_bar),"better","better, not significant")))))</f>
        <v/>
      </c>
      <c r="X59">
        <f>IF($M59="","",IF($I59,"too few losses to test",IF(AND($M59&gt;better_at,$M59&lt;worse_at),"in line",IF($M59&gt;=worse_at,IF(AND(ISNUMBER($N59),$N59&lt;significance_bar),"worse","worse, not significant"),IF(AND(ISNUMBER($N59),$N59&lt;significance_bar),"better","better, not significant")))))</f>
        <v/>
      </c>
      <c r="Y59">
        <f>IF($V59,$X59,$W59)</f>
        <v/>
      </c>
      <c r="Z59">
        <f>IF($V59,IF($P59="","",$P59),IF($O59="","",$O59))</f>
        <v/>
      </c>
      <c r="AA59">
        <f>IF(OR($Q59="",$Z59=""),"",IF(AND($Z59&gt;0,$Z59&gt;=$Q59),"yes","below the line"))</f>
        <v/>
      </c>
      <c r="AB59">
        <f>IF($V59,IF($M59="","",$M59),IF($K59="","",$K59))</f>
        <v/>
      </c>
      <c r="AC59">
        <f>IF($V59,IF($N59="","",$N59),IF($L59="","",$L59))</f>
        <v/>
      </c>
      <c r="AD59">
        <f>$Y59</f>
        <v/>
      </c>
      <c r="AE59">
        <f>IF($V59,IF($S59="","",$S59),IF($R59="","",$R59))</f>
        <v/>
      </c>
      <c r="AF59">
        <f>IF($V59,IF($U59="","",$U59),IF($T59="","",$T59))</f>
        <v/>
      </c>
      <c r="AG59">
        <f>IF($V59,IF($O59="","",$O59),IF($P59="","",$P59))</f>
        <v/>
      </c>
      <c r="AH59" t="n">
        <v>0.03143418467583497</v>
      </c>
      <c r="AI59">
        <f>IF($Y59="worse","Yes",IF($Y59="worse, not significant","Not sure",IF(OR($Y59="too few losses to test",$Y59="too few loans to test"),"Too few losses",IF($Y59="","","No"))))</f>
        <v/>
      </c>
      <c r="AJ59">
        <f>IF($AA59="yes","Yes",IF($AA59="","","No"))</f>
        <v/>
      </c>
      <c r="AM59">
        <f>IF(AND(ISNUMBER($AC59),ISNUMBER(IF($V59,IF($AL59="","",$AL59),IF($AK59="","",$AK59)))),IF(AND(ABS($AC59-significance_bar)&lt;=2.0*IF($V59,IF($AL59="","",$AL59),IF($AK59="","",$AK59)),OR($Y59="worse",$Y59="better",$Y59="worse, not significant",$Y59="better, not significant")),IF(ROUND($AC59,3)=ROUND(significance_bar,3),TEXT($AC59,"0.0000"),TEXT($AC59,"0.000")),""),"")</f>
        <v/>
      </c>
      <c r="AN59">
        <f>IF(AND(ISNUMBER($AC59),ISNUMBER(IF($V59,IF($AL59="","",$AL59),IF($AK59="","",$AK59)))),IF(AND(ABS($AC59-significance_bar)&lt;=2.0*IF($V59,IF($AL59="","",$AL59),IF($AK59="","",$AK59)),OR($Y59="worse",$Y59="worse, not significant")),IF(ROUND($AC59,3)=ROUND(significance_bar,3),TEXT($AC59,"0.0000"),TEXT($AC59,"0.000")),""),"")</f>
        <v/>
      </c>
      <c r="AO59">
        <f>IF(OR($AI59="",$AN59=""),$AI59,$AI59&amp;" · borderline (p "&amp;$AN59&amp;")")</f>
        <v/>
      </c>
    </row>
    <row r="60">
      <c r="A60" t="inlineStr">
        <is>
          <t>grids</t>
        </is>
      </c>
      <c r="B60" t="inlineStr">
        <is>
          <t>FICO x CHANNEL</t>
        </is>
      </c>
      <c r="C60" t="inlineStr">
        <is>
          <t>712 - 745</t>
        </is>
      </c>
      <c r="D60" t="inlineStr">
        <is>
          <t>Broker</t>
        </is>
      </c>
      <c r="E60" t="inlineStr">
        <is>
          <t>outcome_booked</t>
        </is>
      </c>
      <c r="F60" t="inlineStr">
        <is>
          <t>Outcome, share of booked dollars</t>
        </is>
      </c>
      <c r="G60" t="n">
        <v>509</v>
      </c>
      <c r="H60" t="n">
        <v>16230509.4</v>
      </c>
      <c r="I60" t="b">
        <v>0</v>
      </c>
      <c r="J60" t="b">
        <v>0</v>
      </c>
      <c r="K60" t="n">
        <v>0.4575968525424571</v>
      </c>
      <c r="L60" t="n">
        <v>0.008249175082491752</v>
      </c>
      <c r="M60" t="n">
        <v>0.5592595872783042</v>
      </c>
      <c r="N60" t="n">
        <v>0.1067393260673933</v>
      </c>
      <c r="O60" t="n">
        <v>-682023.5821659642</v>
      </c>
      <c r="P60" t="n">
        <v>-453450.2599394799</v>
      </c>
      <c r="Q60">
        <f>'_live'!$C$21</f>
        <v/>
      </c>
      <c r="R60" t="inlineStr">
        <is>
          <t>shuffled: 21 of 10,000</t>
        </is>
      </c>
      <c r="S60" t="inlineStr">
        <is>
          <t>shuffled: 426 of 10,000</t>
        </is>
      </c>
      <c r="T60" t="n">
        <v>0.07747204854617591</v>
      </c>
      <c r="U60" t="n">
        <v>0.06338910656368432</v>
      </c>
      <c r="V60">
        <f>AND(judged_band,NOT($J60))</f>
        <v/>
      </c>
      <c r="W60">
        <f>IF($K60="","",IF($I60,"too few losses to test",IF(AND($K60&gt;better_at,$K60&lt;worse_at),"in line",IF($K60&gt;=worse_at,IF(AND(ISNUMBER($L60),$L60&lt;significance_bar),"worse","worse, not significant"),IF(AND(ISNUMBER($L60),$L60&lt;significance_bar),"better","better, not significant")))))</f>
        <v/>
      </c>
      <c r="X60">
        <f>IF($M60="","",IF($I60,"too few losses to test",IF(AND($M60&gt;better_at,$M60&lt;worse_at),"in line",IF($M60&gt;=worse_at,IF(AND(ISNUMBER($N60),$N60&lt;significance_bar),"worse","worse, not significant"),IF(AND(ISNUMBER($N60),$N60&lt;significance_bar),"better","better, not significant")))))</f>
        <v/>
      </c>
      <c r="Y60">
        <f>IF($V60,$X60,$W60)</f>
        <v/>
      </c>
      <c r="Z60">
        <f>IF($V60,IF($P60="","",$P60),IF($O60="","",$O60))</f>
        <v/>
      </c>
      <c r="AA60">
        <f>IF(OR($Q60="",$Z60=""),"",IF(AND($Z60&gt;0,$Z60&gt;=$Q60),"yes","below the line"))</f>
        <v/>
      </c>
      <c r="AB60">
        <f>IF($V60,IF($M60="","",$M60),IF($K60="","",$K60))</f>
        <v/>
      </c>
      <c r="AC60">
        <f>IF($V60,IF($N60="","",$N60),IF($L60="","",$L60))</f>
        <v/>
      </c>
      <c r="AD60">
        <f>$Y60</f>
        <v/>
      </c>
      <c r="AE60">
        <f>IF($V60,IF($S60="","",$S60),IF($R60="","",$R60))</f>
        <v/>
      </c>
      <c r="AF60">
        <f>IF($V60,IF($U60="","",$U60),IF($T60="","",$T60))</f>
        <v/>
      </c>
      <c r="AG60">
        <f>IF($V60,IF($O60="","",$O60),IF($P60="","",$P60))</f>
        <v/>
      </c>
      <c r="AH60" t="n">
        <v>0.03545096557474654</v>
      </c>
      <c r="AI60">
        <f>IF($Y60="worse","Yes",IF($Y60="worse, not significant","Not sure",IF(OR($Y60="too few losses to test",$Y60="too few loans to test"),"Too few losses",IF($Y60="","","No"))))</f>
        <v/>
      </c>
      <c r="AJ60">
        <f>IF($AA60="yes","Yes",IF($AA60="","","No"))</f>
        <v/>
      </c>
      <c r="AK60" t="n">
        <v>0.001756882399872071</v>
      </c>
      <c r="AL60" t="n">
        <v>0.00505425594364949</v>
      </c>
      <c r="AM60">
        <f>IF(AND(ISNUMBER($AC60),ISNUMBER(IF($V60,IF($AL60="","",$AL60),IF($AK60="","",$AK60)))),IF(AND(ABS($AC60-significance_bar)&lt;=2.0*IF($V60,IF($AL60="","",$AL60),IF($AK60="","",$AK60)),OR($Y60="worse",$Y60="better",$Y60="worse, not significant",$Y60="better, not significant")),IF(ROUND($AC60,3)=ROUND(significance_bar,3),TEXT($AC60,"0.0000"),TEXT($AC60,"0.000")),""),"")</f>
        <v/>
      </c>
      <c r="AN60">
        <f>IF(AND(ISNUMBER($AC60),ISNUMBER(IF($V60,IF($AL60="","",$AL60),IF($AK60="","",$AK60)))),IF(AND(ABS($AC60-significance_bar)&lt;=2.0*IF($V60,IF($AL60="","",$AL60),IF($AK60="","",$AK60)),OR($Y60="worse",$Y60="worse, not significant")),IF(ROUND($AC60,3)=ROUND(significance_bar,3),TEXT($AC60,"0.0000"),TEXT($AC60,"0.000")),""),"")</f>
        <v/>
      </c>
      <c r="AO60">
        <f>IF(OR($AI60="",$AN60=""),$AI60,$AI60&amp;" · borderline (p "&amp;$AN60&amp;")")</f>
        <v/>
      </c>
    </row>
    <row r="61">
      <c r="A61" t="inlineStr">
        <is>
          <t>grids</t>
        </is>
      </c>
      <c r="B61" t="inlineStr">
        <is>
          <t>FICO x CHANNEL</t>
        </is>
      </c>
      <c r="C61" t="inlineStr">
        <is>
          <t>712 - 745</t>
        </is>
      </c>
      <c r="D61" t="inlineStr">
        <is>
          <t>Broker</t>
        </is>
      </c>
      <c r="E61" t="inlineStr">
        <is>
          <t>gco_rate</t>
        </is>
      </c>
      <c r="F61" t="inlineStr">
        <is>
          <t>GCO per booked dollar</t>
        </is>
      </c>
      <c r="G61" t="n">
        <v>509</v>
      </c>
      <c r="H61" t="n">
        <v>16230509.4</v>
      </c>
      <c r="I61" t="b">
        <v>0</v>
      </c>
      <c r="J61" t="b">
        <v>0</v>
      </c>
      <c r="K61" t="n">
        <v>0.4827242275040043</v>
      </c>
      <c r="L61" t="n">
        <v>0.01312368763123688</v>
      </c>
      <c r="M61" t="n">
        <v>0.5983981658374574</v>
      </c>
      <c r="N61" t="n">
        <v>0.1947305269473053</v>
      </c>
      <c r="O61" t="n">
        <v>-361050.9658826862</v>
      </c>
      <c r="P61" t="n">
        <v>-226126.2097741389</v>
      </c>
      <c r="Q61">
        <f>'_live'!$C$22</f>
        <v/>
      </c>
      <c r="R61" t="inlineStr">
        <is>
          <t>shuffled: 34 of 10,000</t>
        </is>
      </c>
      <c r="S61" t="inlineStr">
        <is>
          <t>shuffled: 778 of 10,000</t>
        </is>
      </c>
      <c r="T61" t="n">
        <v>0.04300453169280604</v>
      </c>
      <c r="U61" t="n">
        <v>0.03469149894790973</v>
      </c>
      <c r="V61">
        <f>AND(judged_band,NOT($J61))</f>
        <v/>
      </c>
      <c r="W61">
        <f>IF($K61="","",IF($I61,"too few losses to test",IF(AND($K61&gt;better_at,$K61&lt;worse_at),"in line",IF($K61&gt;=worse_at,IF(AND(ISNUMBER($L61),$L61&lt;significance_bar),"worse","worse, not significant"),IF(AND(ISNUMBER($L61),$L61&lt;significance_bar),"better","better, not significant")))))</f>
        <v/>
      </c>
      <c r="X61">
        <f>IF($M61="","",IF($I61,"too few losses to test",IF(AND($M61&gt;better_at,$M61&lt;worse_at),"in line",IF($M61&gt;=worse_at,IF(AND(ISNUMBER($N61),$N61&lt;significance_bar),"worse","worse, not significant"),IF(AND(ISNUMBER($N61),$N61&lt;significance_bar),"better","better, not significant")))))</f>
        <v/>
      </c>
      <c r="Y61">
        <f>IF($V61,$X61,$W61)</f>
        <v/>
      </c>
      <c r="Z61">
        <f>IF($V61,IF($P61="","",$P61),IF($O61="","",$O61))</f>
        <v/>
      </c>
      <c r="AA61">
        <f>IF(OR($Q61="",$Z61=""),"",IF(AND($Z61&gt;0,$Z61&gt;=$Q61),"yes","below the line"))</f>
        <v/>
      </c>
      <c r="AB61">
        <f>IF($V61,IF($M61="","",$M61),IF($K61="","",$K61))</f>
        <v/>
      </c>
      <c r="AC61">
        <f>IF($V61,IF($N61="","",$N61),IF($L61="","",$L61))</f>
        <v/>
      </c>
      <c r="AD61">
        <f>$Y61</f>
        <v/>
      </c>
      <c r="AE61">
        <f>IF($V61,IF($S61="","",$S61),IF($R61="","",$R61))</f>
        <v/>
      </c>
      <c r="AF61">
        <f>IF($V61,IF($U61="","",$U61),IF($T61="","",$T61))</f>
        <v/>
      </c>
      <c r="AG61">
        <f>IF($V61,IF($O61="","",$O61),IF($P61="","",$P61))</f>
        <v/>
      </c>
      <c r="AH61" t="n">
        <v>0.02075932934058127</v>
      </c>
      <c r="AI61">
        <f>IF($Y61="worse","Yes",IF($Y61="worse, not significant","Not sure",IF(OR($Y61="too few losses to test",$Y61="too few loans to test"),"Too few losses",IF($Y61="","","No"))))</f>
        <v/>
      </c>
      <c r="AJ61">
        <f>IF($AA61="yes","Yes",IF($AA61="","","No"))</f>
        <v/>
      </c>
      <c r="AK61" t="n">
        <v>0.002214533753188151</v>
      </c>
      <c r="AL61" t="n">
        <v>0.006700047307617223</v>
      </c>
      <c r="AM61">
        <f>IF(AND(ISNUMBER($AC61),ISNUMBER(IF($V61,IF($AL61="","",$AL61),IF($AK61="","",$AK61)))),IF(AND(ABS($AC61-significance_bar)&lt;=2.0*IF($V61,IF($AL61="","",$AL61),IF($AK61="","",$AK61)),OR($Y61="worse",$Y61="better",$Y61="worse, not significant",$Y61="better, not significant")),IF(ROUND($AC61,3)=ROUND(significance_bar,3),TEXT($AC61,"0.0000"),TEXT($AC61,"0.000")),""),"")</f>
        <v/>
      </c>
      <c r="AN61">
        <f>IF(AND(ISNUMBER($AC61),ISNUMBER(IF($V61,IF($AL61="","",$AL61),IF($AK61="","",$AK61)))),IF(AND(ABS($AC61-significance_bar)&lt;=2.0*IF($V61,IF($AL61="","",$AL61),IF($AK61="","",$AK61)),OR($Y61="worse",$Y61="worse, not significant")),IF(ROUND($AC61,3)=ROUND(significance_bar,3),TEXT($AC61,"0.0000"),TEXT($AC61,"0.000")),""),"")</f>
        <v/>
      </c>
      <c r="AO61">
        <f>IF(OR($AI61="",$AN61=""),$AI61,$AI61&amp;" · borderline (p "&amp;$AN61&amp;")")</f>
        <v/>
      </c>
    </row>
    <row r="62">
      <c r="A62" t="inlineStr">
        <is>
          <t>grids</t>
        </is>
      </c>
      <c r="B62" t="inlineStr">
        <is>
          <t>FICO x CHANNEL</t>
        </is>
      </c>
      <c r="C62" t="inlineStr">
        <is>
          <t>712 - 745</t>
        </is>
      </c>
      <c r="D62" t="inlineStr">
        <is>
          <t>Broker</t>
        </is>
      </c>
      <c r="E62" t="inlineStr">
        <is>
          <t>ranr_rate</t>
        </is>
      </c>
      <c r="F62" t="inlineStr">
        <is>
          <t>Profit after losses: RANR per booked dollar</t>
        </is>
      </c>
      <c r="G62" t="n">
        <v>509</v>
      </c>
      <c r="H62" t="n">
        <v>16230509.4</v>
      </c>
      <c r="I62" t="b">
        <v>0</v>
      </c>
      <c r="J62" t="b">
        <v>0</v>
      </c>
      <c r="K62" t="n">
        <v>-0.03930661180018204</v>
      </c>
      <c r="L62" t="n">
        <v>0.0002110900021109</v>
      </c>
      <c r="M62" t="n">
        <v>-0.007053539441555928</v>
      </c>
      <c r="N62" t="n">
        <v>0.6029397060293971</v>
      </c>
      <c r="O62" t="n">
        <v>637966.3323050055</v>
      </c>
      <c r="P62" t="n">
        <v>114482.5382094444</v>
      </c>
      <c r="Q62">
        <f>'_live'!$C$23</f>
        <v/>
      </c>
      <c r="R62" t="inlineStr">
        <is>
          <t>shuffled: 0 of 10,000</t>
        </is>
      </c>
      <c r="S62" t="inlineStr">
        <is>
          <t>shuffled: 4,354 of 10,000</t>
        </is>
      </c>
      <c r="T62" t="n">
        <v>0.1304621315400615</v>
      </c>
      <c r="U62" t="n">
        <v>0.09820905918143542</v>
      </c>
      <c r="V62">
        <f>AND(judged_band,NOT($J62))</f>
        <v/>
      </c>
      <c r="W62">
        <f>IF($K62="","",IF(profit_kind="test",IF(OR(NOT(AND(ISNUMBER($L62),$L62&lt;significance_bar)),$K62=0),"in line",IF($K62&lt;0,"worse","better")),IF(OR($K62=0,IF(profit_kind="points",ABS($K62),ABS($K62*$H62))&lt;profit_line*(1-1E-9)),"in line",IF(AND(ISNUMBER($L62),$L62&lt;significance_bar),IF($K62&lt;0,"worse","better"),IF($K62&lt;0,"worse, not significant","better, not significant")))))</f>
        <v/>
      </c>
      <c r="X62">
        <f>IF($M62="","",IF(profit_kind="test",IF(OR(NOT(AND(ISNUMBER($N62),$N62&lt;significance_bar)),$M62=0),"in line",IF($M62&lt;0,"worse","better")),IF(OR($M62=0,IF(profit_kind="points",ABS($M62),ABS($M62*$H62))&lt;profit_line*(1-1E-9)),"in line",IF(AND(ISNUMBER($N62),$N62&lt;significance_bar),IF($M62&lt;0,"worse","better"),IF($M62&lt;0,"worse, not significant","better, not significant")))))</f>
        <v/>
      </c>
      <c r="Y62">
        <f>IF($V62,$X62,$W62)</f>
        <v/>
      </c>
      <c r="Z62">
        <f>IF($V62,IF($P62="","",$P62),IF($O62="","",$O62))</f>
        <v/>
      </c>
      <c r="AA62">
        <f>IF(OR($Q62="",$Z62=""),"",IF(AND($Z62&gt;0,$Z62&gt;=$Q62),"yes","below the line"))</f>
        <v/>
      </c>
      <c r="AB62">
        <f>IF($V62,IF($M62="","",$M62),IF($K62="","",$K62))</f>
        <v/>
      </c>
      <c r="AC62">
        <f>IF($V62,IF($N62="","",$N62),IF($L62="","",$L62))</f>
        <v/>
      </c>
      <c r="AD62">
        <f>IF($Y62="","",IF($Y62="in line",IF(profit_kind="test",IF(ROUND($AB62*100,2)=0,"0.00",TEXT($AB62*100,"+0.00;-0.00"))&amp;" points against "&amp;IF($V62,"its band","the book")&amp;", "&amp;IF($AC62="","not tested","not significant"),IF(profit_kind="points","within "&amp;TEXT(profit_line*100,"0.00")&amp;" points of "&amp;IF($V62,"its band","the book")&amp;" ("&amp;IF(ROUND($AB62*100,2)=0,"0.00",TEXT($AB62*100,"+0.00;-0.00"))&amp;")","within $"&amp;TEXT(profit_line,"#,##0")&amp;" of "&amp;IF($V62,"its band","the book")&amp;" ("&amp;IF(ROUND($AB62*100,2)=0,"0.00",TEXT($AB62*100,"+0.00;-0.00"))&amp;" points)")),IF(LEFT($Y62,5)="worse","short of ","ahead of ")&amp;IF($V62,"its band","the book")&amp;" by "&amp;TEXT(ABS($AB62)*100,"0.00")&amp;" points"&amp;IF($Z62="",""," ($"&amp;TEXT(ABS($Z62),"#,##0")&amp;")")&amp;IF(RIGHT($Y62,15)="not significant"," (not significant)","")))</f>
        <v/>
      </c>
      <c r="AE62">
        <f>IF($V62,IF($S62="","",$S62),IF($R62="","",$R62))</f>
        <v/>
      </c>
      <c r="AF62">
        <f>IF($V62,IF($U62="","",$U62),IF($T62="","",$T62))</f>
        <v/>
      </c>
      <c r="AG62">
        <f>IF($V62,IF($O62="","",$O62),IF($P62="","",$P62))</f>
        <v/>
      </c>
      <c r="AH62" t="n">
        <v>0.0911555197398795</v>
      </c>
      <c r="AI62">
        <f>IF($Y62="worse","Yes",IF($Y62="worse, not significant","Not sure",IF(OR($Y62="too few losses to test",$Y62="too few loans to test"),"Too few losses",IF($Y62="","","No"))))</f>
        <v/>
      </c>
      <c r="AJ62">
        <f>IF($AA62="yes","Yes",IF($AA62="","","No"))</f>
        <v/>
      </c>
      <c r="AK62" t="n">
        <v>0.0002110900021109</v>
      </c>
      <c r="AL62" t="n">
        <v>0.006865153340290113</v>
      </c>
      <c r="AM62">
        <f>IF(AND(ISNUMBER($AC62),ISNUMBER(IF($V62,IF($AL62="","",$AL62),IF($AK62="","",$AK62)))),IF(AND(ABS($AC62-significance_bar)&lt;=2.0*IF($V62,IF($AL62="","",$AL62),IF($AK62="","",$AK62)),OR($Y62="worse",$Y62="better",$Y62="worse, not significant",$Y62="better, not significant",AND(profit_kind="test",$Y62="in line",ISNUMBER($AB62),$AB62&lt;&gt;0))),IF(ROUND($AC62,3)=ROUND(significance_bar,3),TEXT($AC62,"0.0000"),TEXT($AC62,"0.000")),""),"")</f>
        <v/>
      </c>
      <c r="AN62">
        <f>IF(AND(ISNUMBER($AC62),ISNUMBER(IF($V62,IF($AL62="","",$AL62),IF($AK62="","",$AK62)))),IF(AND(ABS($AC62-significance_bar)&lt;=2.0*IF($V62,IF($AL62="","",$AL62),IF($AK62="","",$AK62)),OR($Y62="worse",$Y62="worse, not significant",AND(profit_kind="test",$Y62="in line",ISNUMBER($AB62),$AB62&lt;0))),IF(ROUND($AC62,3)=ROUND(significance_bar,3),TEXT($AC62,"0.0000"),TEXT($AC62,"0.000")),""),"")</f>
        <v/>
      </c>
      <c r="AO62">
        <f>IF(OR($AI62="",$AN62=""),$AI62,$AI62&amp;" · borderline (p "&amp;$AN62&amp;")")</f>
        <v/>
      </c>
    </row>
    <row r="63">
      <c r="A63" t="inlineStr">
        <is>
          <t>grids</t>
        </is>
      </c>
      <c r="B63" t="inlineStr">
        <is>
          <t>FICO x CHANNEL</t>
        </is>
      </c>
      <c r="C63" t="inlineStr">
        <is>
          <t>712 - 745</t>
        </is>
      </c>
      <c r="D63" t="inlineStr">
        <is>
          <t>Broker</t>
        </is>
      </c>
      <c r="E63" t="inlineStr">
        <is>
          <t>contribution_rate</t>
        </is>
      </c>
      <c r="F63" t="inlineStr">
        <is>
          <t>Contribution before losses per booked dollar</t>
        </is>
      </c>
      <c r="G63" t="n">
        <v>509</v>
      </c>
      <c r="H63" t="n">
        <v>16230509.4</v>
      </c>
      <c r="I63" t="b">
        <v>0</v>
      </c>
      <c r="J63" t="b">
        <v>0</v>
      </c>
      <c r="K63" t="n">
        <v>-0.06154916870452837</v>
      </c>
      <c r="L63" t="n">
        <v>0.000158317501583175</v>
      </c>
      <c r="M63" t="n">
        <v>-0.02093061480965411</v>
      </c>
      <c r="N63" t="n">
        <v>0.0002571171454283143</v>
      </c>
      <c r="O63" t="n">
        <v>998974.3612210331</v>
      </c>
      <c r="P63" t="n">
        <v>339714.54041587</v>
      </c>
      <c r="Q63">
        <f>'_live'!$C$24</f>
        <v/>
      </c>
      <c r="R63" t="inlineStr">
        <is>
          <t>shuffled: 0 of 10,000</t>
        </is>
      </c>
      <c r="S63" t="inlineStr">
        <is>
          <t>shuffled: 0 of 10,000</t>
        </is>
      </c>
      <c r="T63" t="n">
        <v>0.1734640177849892</v>
      </c>
      <c r="U63" t="n">
        <v>0.1328454638901149</v>
      </c>
      <c r="V63">
        <f>AND(judged_band,NOT($J63))</f>
        <v/>
      </c>
      <c r="W63">
        <f>IF($K63="","",IF(profit_kind="test",IF(OR(NOT(AND(ISNUMBER($L63),$L63&lt;significance_bar)),$K63=0),"in line",IF($K63&lt;0,"worse","better")),IF(OR($K63=0,IF(profit_kind="points",ABS($K63),ABS($K63*$H63))&lt;profit_line*(1-1E-9)),"in line",IF(AND(ISNUMBER($L63),$L63&lt;significance_bar),IF($K63&lt;0,"worse","better"),IF($K63&lt;0,"worse, not significant","better, not significant")))))</f>
        <v/>
      </c>
      <c r="X63">
        <f>IF($M63="","",IF(profit_kind="test",IF(OR(NOT(AND(ISNUMBER($N63),$N63&lt;significance_bar)),$M63=0),"in line",IF($M63&lt;0,"worse","better")),IF(OR($M63=0,IF(profit_kind="points",ABS($M63),ABS($M63*$H63))&lt;profit_line*(1-1E-9)),"in line",IF(AND(ISNUMBER($N63),$N63&lt;significance_bar),IF($M63&lt;0,"worse","better"),IF($M63&lt;0,"worse, not significant","better, not significant")))))</f>
        <v/>
      </c>
      <c r="Y63">
        <f>IF($V63,$X63,$W63)</f>
        <v/>
      </c>
      <c r="Z63">
        <f>IF($V63,IF($P63="","",$P63),IF($O63="","",$O63))</f>
        <v/>
      </c>
      <c r="AA63">
        <f>IF(OR($Q63="",$Z63=""),"",IF(AND($Z63&gt;0,$Z63&gt;=$Q63),"yes","below the line"))</f>
        <v/>
      </c>
      <c r="AB63">
        <f>IF($V63,IF($M63="","",$M63),IF($K63="","",$K63))</f>
        <v/>
      </c>
      <c r="AC63">
        <f>IF($V63,IF($N63="","",$N63),IF($L63="","",$L63))</f>
        <v/>
      </c>
      <c r="AD63">
        <f>IF($Y63="","",IF($Y63="in line",IF(profit_kind="test",IF(ROUND($AB63*100,2)=0,"0.00",TEXT($AB63*100,"+0.00;-0.00"))&amp;" points against "&amp;IF($V63,"its band","the book")&amp;", "&amp;IF($AC63="","not tested","not significant"),IF(profit_kind="points","within "&amp;TEXT(profit_line*100,"0.00")&amp;" points of "&amp;IF($V63,"its band","the book")&amp;" ("&amp;IF(ROUND($AB63*100,2)=0,"0.00",TEXT($AB63*100,"+0.00;-0.00"))&amp;")","within $"&amp;TEXT(profit_line,"#,##0")&amp;" of "&amp;IF($V63,"its band","the book")&amp;" ("&amp;IF(ROUND($AB63*100,2)=0,"0.00",TEXT($AB63*100,"+0.00;-0.00"))&amp;" points)")),IF(LEFT($Y63,5)="worse","short of ","ahead of ")&amp;IF($V63,"its band","the book")&amp;" by "&amp;TEXT(ABS($AB63)*100,"0.00")&amp;" points"&amp;IF($Z63="",""," ($"&amp;TEXT(ABS($Z63),"#,##0")&amp;")")&amp;IF(RIGHT($Y63,15)="not significant"," (not significant)","")))</f>
        <v/>
      </c>
      <c r="AE63">
        <f>IF($V63,IF($S63="","",$S63),IF($R63="","",$R63))</f>
        <v/>
      </c>
      <c r="AF63">
        <f>IF($V63,IF($U63="","",$U63),IF($T63="","",$T63))</f>
        <v/>
      </c>
      <c r="AG63">
        <f>IF($V63,IF($O63="","",$O63),IF($P63="","",$P63))</f>
        <v/>
      </c>
      <c r="AH63" t="n">
        <v>0.1119148490804608</v>
      </c>
      <c r="AI63">
        <f>IF($Y63="worse","Yes",IF($Y63="worse, not significant","Not sure",IF(OR($Y63="too few losses to test",$Y63="too few loans to test"),"Too few losses",IF($Y63="","","No"))))</f>
        <v/>
      </c>
      <c r="AJ63">
        <f>IF($AA63="yes","Yes",IF($AA63="","","No"))</f>
        <v/>
      </c>
      <c r="AK63" t="n">
        <v>0.000158317501583175</v>
      </c>
      <c r="AL63" t="n">
        <v>0.0002571171454283143</v>
      </c>
      <c r="AM63">
        <f>IF(AND(ISNUMBER($AC63),ISNUMBER(IF($V63,IF($AL63="","",$AL63),IF($AK63="","",$AK63)))),IF(AND(ABS($AC63-significance_bar)&lt;=2.0*IF($V63,IF($AL63="","",$AL63),IF($AK63="","",$AK63)),OR($Y63="worse",$Y63="better",$Y63="worse, not significant",$Y63="better, not significant",AND(profit_kind="test",$Y63="in line",ISNUMBER($AB63),$AB63&lt;&gt;0))),IF(ROUND($AC63,3)=ROUND(significance_bar,3),TEXT($AC63,"0.0000"),TEXT($AC63,"0.000")),""),"")</f>
        <v/>
      </c>
      <c r="AN63">
        <f>IF(AND(ISNUMBER($AC63),ISNUMBER(IF($V63,IF($AL63="","",$AL63),IF($AK63="","",$AK63)))),IF(AND(ABS($AC63-significance_bar)&lt;=2.0*IF($V63,IF($AL63="","",$AL63),IF($AK63="","",$AK63)),OR($Y63="worse",$Y63="worse, not significant",AND(profit_kind="test",$Y63="in line",ISNUMBER($AB63),$AB63&lt;0))),IF(ROUND($AC63,3)=ROUND(significance_bar,3),TEXT($AC63,"0.0000"),TEXT($AC63,"0.000")),""),"")</f>
        <v/>
      </c>
      <c r="AO63">
        <f>IF(OR($AI63="",$AN63=""),$AI63,$AI63&amp;" · borderline (p "&amp;$AN63&amp;")")</f>
        <v/>
      </c>
    </row>
    <row r="64">
      <c r="A64" t="inlineStr">
        <is>
          <t>grids</t>
        </is>
      </c>
      <c r="B64" t="inlineStr">
        <is>
          <t>FICO x CHANNEL</t>
        </is>
      </c>
      <c r="C64" t="inlineStr">
        <is>
          <t>686 - 711</t>
        </is>
      </c>
      <c r="D64" t="inlineStr">
        <is>
          <t>Online</t>
        </is>
      </c>
      <c r="E64" t="inlineStr">
        <is>
          <t>outcome_loans</t>
        </is>
      </c>
      <c r="F64" t="inlineStr">
        <is>
          <t>Outcome, share of loans</t>
        </is>
      </c>
      <c r="G64" t="n">
        <v>546</v>
      </c>
      <c r="H64" t="n">
        <v>546</v>
      </c>
      <c r="I64" t="b">
        <v>0</v>
      </c>
      <c r="J64" t="b">
        <v>0</v>
      </c>
      <c r="K64" t="n">
        <v>0.9936008532195708</v>
      </c>
      <c r="L64" t="n">
        <v>0.9666430387104495</v>
      </c>
      <c r="M64" t="n">
        <v>1.447293447293447</v>
      </c>
      <c r="N64" t="n">
        <v>0.1553108308529606</v>
      </c>
      <c r="O64" t="n">
        <v>-0.2704951026432241</v>
      </c>
      <c r="P64" t="n">
        <v>12.98031496062992</v>
      </c>
      <c r="Q64">
        <f>'_live'!$C$20</f>
        <v/>
      </c>
      <c r="R64" t="inlineStr">
        <is>
          <t>z test</t>
        </is>
      </c>
      <c r="S64" t="inlineStr">
        <is>
          <t>z test</t>
        </is>
      </c>
      <c r="T64" t="n">
        <v>0.07741848919898027</v>
      </c>
      <c r="U64" t="n">
        <v>0.0531496062992126</v>
      </c>
      <c r="V64">
        <f>AND(judged_band,NOT($J64))</f>
        <v/>
      </c>
      <c r="W64">
        <f>IF($K64="","",IF($I64,"too few losses to test",IF(AND($K64&gt;better_at,$K64&lt;worse_at),"in line",IF($K64&gt;=worse_at,IF(AND(ISNUMBER($L64),$L64&lt;significance_bar),"worse","worse, not significant"),IF(AND(ISNUMBER($L64),$L64&lt;significance_bar),"better","better, not significant")))))</f>
        <v/>
      </c>
      <c r="X64">
        <f>IF($M64="","",IF($I64,"too few losses to test",IF(AND($M64&gt;better_at,$M64&lt;worse_at),"in line",IF($M64&gt;=worse_at,IF(AND(ISNUMBER($N64),$N64&lt;significance_bar),"worse","worse, not significant"),IF(AND(ISNUMBER($N64),$N64&lt;significance_bar),"better","better, not significant")))))</f>
        <v/>
      </c>
      <c r="Y64">
        <f>IF($V64,$X64,$W64)</f>
        <v/>
      </c>
      <c r="Z64">
        <f>IF($V64,IF($P64="","",$P64),IF($O64="","",$O64))</f>
        <v/>
      </c>
      <c r="AA64">
        <f>IF(OR($Q64="",$Z64=""),"",IF(AND($Z64&gt;0,$Z64&gt;=$Q64),"yes","below the line"))</f>
        <v/>
      </c>
      <c r="AB64">
        <f>IF($V64,IF($M64="","",$M64),IF($K64="","",$K64))</f>
        <v/>
      </c>
      <c r="AC64">
        <f>IF($V64,IF($N64="","",$N64),IF($L64="","",$L64))</f>
        <v/>
      </c>
      <c r="AD64">
        <f>$Y64</f>
        <v/>
      </c>
      <c r="AE64">
        <f>IF($V64,IF($S64="","",$S64),IF($R64="","",$R64))</f>
        <v/>
      </c>
      <c r="AF64">
        <f>IF($V64,IF($U64="","",$U64),IF($T64="","",$T64))</f>
        <v/>
      </c>
      <c r="AG64">
        <f>IF($V64,IF($O64="","",$O64),IF($P64="","",$P64))</f>
        <v/>
      </c>
      <c r="AH64" t="n">
        <v>0.07692307692307693</v>
      </c>
      <c r="AI64">
        <f>IF($Y64="worse","Yes",IF($Y64="worse, not significant","Not sure",IF(OR($Y64="too few losses to test",$Y64="too few loans to test"),"Too few losses",IF($Y64="","","No"))))</f>
        <v/>
      </c>
      <c r="AJ64">
        <f>IF($AA64="yes","Yes",IF($AA64="","","No"))</f>
        <v/>
      </c>
      <c r="AM64">
        <f>IF(AND(ISNUMBER($AC64),ISNUMBER(IF($V64,IF($AL64="","",$AL64),IF($AK64="","",$AK64)))),IF(AND(ABS($AC64-significance_bar)&lt;=2.0*IF($V64,IF($AL64="","",$AL64),IF($AK64="","",$AK64)),OR($Y64="worse",$Y64="better",$Y64="worse, not significant",$Y64="better, not significant")),IF(ROUND($AC64,3)=ROUND(significance_bar,3),TEXT($AC64,"0.0000"),TEXT($AC64,"0.000")),""),"")</f>
        <v/>
      </c>
      <c r="AN64">
        <f>IF(AND(ISNUMBER($AC64),ISNUMBER(IF($V64,IF($AL64="","",$AL64),IF($AK64="","",$AK64)))),IF(AND(ABS($AC64-significance_bar)&lt;=2.0*IF($V64,IF($AL64="","",$AL64),IF($AK64="","",$AK64)),OR($Y64="worse",$Y64="worse, not significant")),IF(ROUND($AC64,3)=ROUND(significance_bar,3),TEXT($AC64,"0.0000"),TEXT($AC64,"0.000")),""),"")</f>
        <v/>
      </c>
      <c r="AO64">
        <f>IF(OR($AI64="",$AN64=""),$AI64,$AI64&amp;" · borderline (p "&amp;$AN64&amp;")")</f>
        <v/>
      </c>
    </row>
    <row r="65">
      <c r="A65" t="inlineStr">
        <is>
          <t>grids</t>
        </is>
      </c>
      <c r="B65" t="inlineStr">
        <is>
          <t>FICO x CHANNEL</t>
        </is>
      </c>
      <c r="C65" t="inlineStr">
        <is>
          <t>686 - 711</t>
        </is>
      </c>
      <c r="D65" t="inlineStr">
        <is>
          <t>Online</t>
        </is>
      </c>
      <c r="E65" t="inlineStr">
        <is>
          <t>outcome_booked</t>
        </is>
      </c>
      <c r="F65" t="inlineStr">
        <is>
          <t>Outcome, share of booked dollars</t>
        </is>
      </c>
      <c r="G65" t="n">
        <v>546</v>
      </c>
      <c r="H65" t="n">
        <v>17660164.64000002</v>
      </c>
      <c r="I65" t="b">
        <v>0</v>
      </c>
      <c r="J65" t="b">
        <v>0</v>
      </c>
      <c r="K65" t="n">
        <v>1.046714791308219</v>
      </c>
      <c r="L65" t="n">
        <v>0.8905109489051095</v>
      </c>
      <c r="M65" t="n">
        <v>1.710989447132353</v>
      </c>
      <c r="N65" t="n">
        <v>0.04259574042595741</v>
      </c>
      <c r="O65" t="n">
        <v>61536.38887348515</v>
      </c>
      <c r="P65" t="n">
        <v>572956.6694010361</v>
      </c>
      <c r="Q65">
        <f>'_live'!$C$21</f>
        <v/>
      </c>
      <c r="R65" t="inlineStr">
        <is>
          <t>shuffled: 7,874 of 10,000</t>
        </is>
      </c>
      <c r="S65" t="inlineStr">
        <is>
          <t>shuffled: 141 of 10,000</t>
        </is>
      </c>
      <c r="T65" t="n">
        <v>0.07459038451673879</v>
      </c>
      <c r="U65" t="n">
        <v>0.04563140871142882</v>
      </c>
      <c r="V65">
        <f>AND(judged_band,NOT($J65))</f>
        <v/>
      </c>
      <c r="W65">
        <f>IF($K65="","",IF($I65,"too few losses to test",IF(AND($K65&gt;better_at,$K65&lt;worse_at),"in line",IF($K65&gt;=worse_at,IF(AND(ISNUMBER($L65),$L65&lt;significance_bar),"worse","worse, not significant"),IF(AND(ISNUMBER($L65),$L65&lt;significance_bar),"better","better, not significant")))))</f>
        <v/>
      </c>
      <c r="X65">
        <f>IF($M65="","",IF($I65,"too few losses to test",IF(AND($M65&gt;better_at,$M65&lt;worse_at),"in line",IF($M65&gt;=worse_at,IF(AND(ISNUMBER($N65),$N65&lt;significance_bar),"worse","worse, not significant"),IF(AND(ISNUMBER($N65),$N65&lt;significance_bar),"better","better, not significant")))))</f>
        <v/>
      </c>
      <c r="Y65">
        <f>IF($V65,$X65,$W65)</f>
        <v/>
      </c>
      <c r="Z65">
        <f>IF($V65,IF($P65="","",$P65),IF($O65="","",$O65))</f>
        <v/>
      </c>
      <c r="AA65">
        <f>IF(OR($Q65="",$Z65=""),"",IF(AND($Z65&gt;0,$Z65&gt;=$Q65),"yes","below the line"))</f>
        <v/>
      </c>
      <c r="AB65">
        <f>IF($V65,IF($M65="","",$M65),IF($K65="","",$K65))</f>
        <v/>
      </c>
      <c r="AC65">
        <f>IF($V65,IF($N65="","",$N65),IF($L65="","",$L65))</f>
        <v/>
      </c>
      <c r="AD65">
        <f>$Y65</f>
        <v/>
      </c>
      <c r="AE65">
        <f>IF($V65,IF($S65="","",$S65),IF($R65="","",$R65))</f>
        <v/>
      </c>
      <c r="AF65">
        <f>IF($V65,IF($U65="","",$U65),IF($T65="","",$T65))</f>
        <v/>
      </c>
      <c r="AG65">
        <f>IF($V65,IF($O65="","",$O65),IF($P65="","",$P65))</f>
        <v/>
      </c>
      <c r="AH65" t="n">
        <v>0.07807485876303806</v>
      </c>
      <c r="AI65">
        <f>IF($Y65="worse","Yes",IF($Y65="worse, not significant","Not sure",IF(OR($Y65="too few losses to test",$Y65="too few loans to test"),"Too few losses",IF($Y65="","","No"))))</f>
        <v/>
      </c>
      <c r="AJ65">
        <f>IF($AA65="yes","Yes",IF($AA65="","","No"))</f>
        <v/>
      </c>
      <c r="AK65" t="n">
        <v>0.003122518195066779</v>
      </c>
      <c r="AL65" t="n">
        <v>0.003549265053154479</v>
      </c>
      <c r="AM65">
        <f>IF(AND(ISNUMBER($AC65),ISNUMBER(IF($V65,IF($AL65="","",$AL65),IF($AK65="","",$AK65)))),IF(AND(ABS($AC65-significance_bar)&lt;=2.0*IF($V65,IF($AL65="","",$AL65),IF($AK65="","",$AK65)),OR($Y65="worse",$Y65="better",$Y65="worse, not significant",$Y65="better, not significant")),IF(ROUND($AC65,3)=ROUND(significance_bar,3),TEXT($AC65,"0.0000"),TEXT($AC65,"0.000")),""),"")</f>
        <v/>
      </c>
      <c r="AN65">
        <f>IF(AND(ISNUMBER($AC65),ISNUMBER(IF($V65,IF($AL65="","",$AL65),IF($AK65="","",$AK65)))),IF(AND(ABS($AC65-significance_bar)&lt;=2.0*IF($V65,IF($AL65="","",$AL65),IF($AK65="","",$AK65)),OR($Y65="worse",$Y65="worse, not significant")),IF(ROUND($AC65,3)=ROUND(significance_bar,3),TEXT($AC65,"0.0000"),TEXT($AC65,"0.000")),""),"")</f>
        <v/>
      </c>
      <c r="AO65">
        <f>IF(OR($AI65="",$AN65=""),$AI65,$AI65&amp;" · borderline (p "&amp;$AN65&amp;")")</f>
        <v/>
      </c>
    </row>
    <row r="66">
      <c r="A66" t="inlineStr">
        <is>
          <t>grids</t>
        </is>
      </c>
      <c r="B66" t="inlineStr">
        <is>
          <t>FICO x CHANNEL</t>
        </is>
      </c>
      <c r="C66" t="inlineStr">
        <is>
          <t>686 - 711</t>
        </is>
      </c>
      <c r="D66" t="inlineStr">
        <is>
          <t>Online</t>
        </is>
      </c>
      <c r="E66" t="inlineStr">
        <is>
          <t>gco_rate</t>
        </is>
      </c>
      <c r="F66" t="inlineStr">
        <is>
          <t>GCO per booked dollar</t>
        </is>
      </c>
      <c r="G66" t="n">
        <v>546</v>
      </c>
      <c r="H66" t="n">
        <v>17660164.64000002</v>
      </c>
      <c r="I66" t="b">
        <v>0</v>
      </c>
      <c r="J66" t="b">
        <v>0</v>
      </c>
      <c r="K66" t="n">
        <v>1.043831826434182</v>
      </c>
      <c r="L66" t="n">
        <v>0.8654134586541345</v>
      </c>
      <c r="M66" t="n">
        <v>1.713043008488713</v>
      </c>
      <c r="N66" t="n">
        <v>0.0605939406059394</v>
      </c>
      <c r="O66" t="n">
        <v>32109.36329269351</v>
      </c>
      <c r="P66" t="n">
        <v>318287.8933242416</v>
      </c>
      <c r="Q66">
        <f>'_live'!$C$22</f>
        <v/>
      </c>
      <c r="R66" t="inlineStr">
        <is>
          <t>shuffled: 8,077 of 10,000</t>
        </is>
      </c>
      <c r="S66" t="inlineStr">
        <is>
          <t>shuffled: 201 of 10,000</t>
        </is>
      </c>
      <c r="T66" t="n">
        <v>0.04148082430942193</v>
      </c>
      <c r="U66" t="n">
        <v>0.0252760756071727</v>
      </c>
      <c r="V66">
        <f>AND(judged_band,NOT($J66))</f>
        <v/>
      </c>
      <c r="W66">
        <f>IF($K66="","",IF($I66,"too few losses to test",IF(AND($K66&gt;better_at,$K66&lt;worse_at),"in line",IF($K66&gt;=worse_at,IF(AND(ISNUMBER($L66),$L66&lt;significance_bar),"worse","worse, not significant"),IF(AND(ISNUMBER($L66),$L66&lt;significance_bar),"better","better, not significant")))))</f>
        <v/>
      </c>
      <c r="X66">
        <f>IF($M66="","",IF($I66,"too few losses to test",IF(AND($M66&gt;better_at,$M66&lt;worse_at),"in line",IF($M66&gt;=worse_at,IF(AND(ISNUMBER($N66),$N66&lt;significance_bar),"worse","worse, not significant"),IF(AND(ISNUMBER($N66),$N66&lt;significance_bar),"better","better, not significant")))))</f>
        <v/>
      </c>
      <c r="Y66">
        <f>IF($V66,$X66,$W66)</f>
        <v/>
      </c>
      <c r="Z66">
        <f>IF($V66,IF($P66="","",$P66),IF($O66="","",$O66))</f>
        <v/>
      </c>
      <c r="AA66">
        <f>IF(OR($Q66="",$Z66=""),"",IF(AND($Z66&gt;0,$Z66&gt;=$Q66),"yes","below the line"))</f>
        <v/>
      </c>
      <c r="AB66">
        <f>IF($V66,IF($M66="","",$M66),IF($K66="","",$K66))</f>
        <v/>
      </c>
      <c r="AC66">
        <f>IF($V66,IF($N66="","",$N66),IF($L66="","",$L66))</f>
        <v/>
      </c>
      <c r="AD66">
        <f>$Y66</f>
        <v/>
      </c>
      <c r="AE66">
        <f>IF($V66,IF($S66="","",$S66),IF($R66="","",$R66))</f>
        <v/>
      </c>
      <c r="AF66">
        <f>IF($V66,IF($U66="","",$U66),IF($T66="","",$T66))</f>
        <v/>
      </c>
      <c r="AG66">
        <f>IF($V66,IF($O66="","",$O66),IF($P66="","",$P66))</f>
        <v/>
      </c>
      <c r="AH66" t="n">
        <v>0.0432990046008993</v>
      </c>
      <c r="AI66">
        <f>IF($Y66="worse","Yes",IF($Y66="worse, not significant","Not sure",IF(OR($Y66="too few losses to test",$Y66="too few loans to test"),"Too few losses",IF($Y66="","","No"))))</f>
        <v/>
      </c>
      <c r="AJ66">
        <f>IF($AA66="yes","Yes",IF($AA66="","","No"))</f>
        <v/>
      </c>
      <c r="AK66" t="n">
        <v>0.004222419345365249</v>
      </c>
      <c r="AL66" t="n">
        <v>0.004220310369862175</v>
      </c>
      <c r="AM66">
        <f>IF(AND(ISNUMBER($AC66),ISNUMBER(IF($V66,IF($AL66="","",$AL66),IF($AK66="","",$AK66)))),IF(AND(ABS($AC66-significance_bar)&lt;=2.0*IF($V66,IF($AL66="","",$AL66),IF($AK66="","",$AK66)),OR($Y66="worse",$Y66="better",$Y66="worse, not significant",$Y66="better, not significant")),IF(ROUND($AC66,3)=ROUND(significance_bar,3),TEXT($AC66,"0.0000"),TEXT($AC66,"0.000")),""),"")</f>
        <v/>
      </c>
      <c r="AN66">
        <f>IF(AND(ISNUMBER($AC66),ISNUMBER(IF($V66,IF($AL66="","",$AL66),IF($AK66="","",$AK66)))),IF(AND(ABS($AC66-significance_bar)&lt;=2.0*IF($V66,IF($AL66="","",$AL66),IF($AK66="","",$AK66)),OR($Y66="worse",$Y66="worse, not significant")),IF(ROUND($AC66,3)=ROUND(significance_bar,3),TEXT($AC66,"0.0000"),TEXT($AC66,"0.000")),""),"")</f>
        <v/>
      </c>
      <c r="AO66">
        <f>IF(OR($AI66="",$AN66=""),$AI66,$AI66&amp;" · borderline (p "&amp;$AN66&amp;")")</f>
        <v/>
      </c>
    </row>
    <row r="67">
      <c r="A67" t="inlineStr">
        <is>
          <t>grids</t>
        </is>
      </c>
      <c r="B67" t="inlineStr">
        <is>
          <t>FICO x CHANNEL</t>
        </is>
      </c>
      <c r="C67" t="inlineStr">
        <is>
          <t>686 - 711</t>
        </is>
      </c>
      <c r="D67" t="inlineStr">
        <is>
          <t>Online</t>
        </is>
      </c>
      <c r="E67" t="inlineStr">
        <is>
          <t>ranr_rate</t>
        </is>
      </c>
      <c r="F67" t="inlineStr">
        <is>
          <t>Profit after losses: RANR per booked dollar</t>
        </is>
      </c>
      <c r="G67" t="n">
        <v>546</v>
      </c>
      <c r="H67" t="n">
        <v>17660164.64000002</v>
      </c>
      <c r="I67" t="b">
        <v>0</v>
      </c>
      <c r="J67" t="b">
        <v>0</v>
      </c>
      <c r="K67" t="n">
        <v>0.04245591395349185</v>
      </c>
      <c r="L67" t="n">
        <v>0.0002110900021109</v>
      </c>
      <c r="M67" t="n">
        <v>0.03918779200494793</v>
      </c>
      <c r="N67" t="n">
        <v>0.0017998200179982</v>
      </c>
      <c r="O67" t="n">
        <v>-749778.43036034</v>
      </c>
      <c r="P67" t="n">
        <v>-692062.8586854567</v>
      </c>
      <c r="Q67">
        <f>'_live'!$C$23</f>
        <v/>
      </c>
      <c r="R67" t="inlineStr">
        <is>
          <t>shuffled: 0 of 10,000</t>
        </is>
      </c>
      <c r="S67" t="inlineStr">
        <is>
          <t>shuffled: 1 of 10,000</t>
        </is>
      </c>
      <c r="T67" t="n">
        <v>0.1250847024741926</v>
      </c>
      <c r="U67" t="n">
        <v>0.1283528244227365</v>
      </c>
      <c r="V67">
        <f>AND(judged_band,NOT($J67))</f>
        <v/>
      </c>
      <c r="W67">
        <f>IF($K67="","",IF(profit_kind="test",IF(OR(NOT(AND(ISNUMBER($L67),$L67&lt;significance_bar)),$K67=0),"in line",IF($K67&lt;0,"worse","better")),IF(OR($K67=0,IF(profit_kind="points",ABS($K67),ABS($K67*$H67))&lt;profit_line*(1-1E-9)),"in line",IF(AND(ISNUMBER($L67),$L67&lt;significance_bar),IF($K67&lt;0,"worse","better"),IF($K67&lt;0,"worse, not significant","better, not significant")))))</f>
        <v/>
      </c>
      <c r="X67">
        <f>IF($M67="","",IF(profit_kind="test",IF(OR(NOT(AND(ISNUMBER($N67),$N67&lt;significance_bar)),$M67=0),"in line",IF($M67&lt;0,"worse","better")),IF(OR($M67=0,IF(profit_kind="points",ABS($M67),ABS($M67*$H67))&lt;profit_line*(1-1E-9)),"in line",IF(AND(ISNUMBER($N67),$N67&lt;significance_bar),IF($M67&lt;0,"worse","better"),IF($M67&lt;0,"worse, not significant","better, not significant")))))</f>
        <v/>
      </c>
      <c r="Y67">
        <f>IF($V67,$X67,$W67)</f>
        <v/>
      </c>
      <c r="Z67">
        <f>IF($V67,IF($P67="","",$P67),IF($O67="","",$O67))</f>
        <v/>
      </c>
      <c r="AA67">
        <f>IF(OR($Q67="",$Z67=""),"",IF(AND($Z67&gt;0,$Z67&gt;=$Q67),"yes","below the line"))</f>
        <v/>
      </c>
      <c r="AB67">
        <f>IF($V67,IF($M67="","",$M67),IF($K67="","",$K67))</f>
        <v/>
      </c>
      <c r="AC67">
        <f>IF($V67,IF($N67="","",$N67),IF($L67="","",$L67))</f>
        <v/>
      </c>
      <c r="AD67">
        <f>IF($Y67="","",IF($Y67="in line",IF(profit_kind="test",IF(ROUND($AB67*100,2)=0,"0.00",TEXT($AB67*100,"+0.00;-0.00"))&amp;" points against "&amp;IF($V67,"its band","the book")&amp;", "&amp;IF($AC67="","not tested","not significant"),IF(profit_kind="points","within "&amp;TEXT(profit_line*100,"0.00")&amp;" points of "&amp;IF($V67,"its band","the book")&amp;" ("&amp;IF(ROUND($AB67*100,2)=0,"0.00",TEXT($AB67*100,"+0.00;-0.00"))&amp;")","within $"&amp;TEXT(profit_line,"#,##0")&amp;" of "&amp;IF($V67,"its band","the book")&amp;" ("&amp;IF(ROUND($AB67*100,2)=0,"0.00",TEXT($AB67*100,"+0.00;-0.00"))&amp;" points)")),IF(LEFT($Y67,5)="worse","short of ","ahead of ")&amp;IF($V67,"its band","the book")&amp;" by "&amp;TEXT(ABS($AB67)*100,"0.00")&amp;" points"&amp;IF($Z67="",""," ($"&amp;TEXT(ABS($Z67),"#,##0")&amp;")")&amp;IF(RIGHT($Y67,15)="not significant"," (not significant)","")))</f>
        <v/>
      </c>
      <c r="AE67">
        <f>IF($V67,IF($S67="","",$S67),IF($R67="","",$R67))</f>
        <v/>
      </c>
      <c r="AF67">
        <f>IF($V67,IF($U67="","",$U67),IF($T67="","",$T67))</f>
        <v/>
      </c>
      <c r="AG67">
        <f>IF($V67,IF($O67="","",$O67),IF($P67="","",$P67))</f>
        <v/>
      </c>
      <c r="AH67" t="n">
        <v>0.1675406164276845</v>
      </c>
      <c r="AI67">
        <f>IF($Y67="worse","Yes",IF($Y67="worse, not significant","Not sure",IF(OR($Y67="too few losses to test",$Y67="too few loans to test"),"Too few losses",IF($Y67="","","No"))))</f>
        <v/>
      </c>
      <c r="AJ67">
        <f>IF($AA67="yes","Yes",IF($AA67="","","No"))</f>
        <v/>
      </c>
      <c r="AK67" t="n">
        <v>0.0002110900021109</v>
      </c>
      <c r="AL67" t="n">
        <v>0.001272601304803929</v>
      </c>
      <c r="AM67">
        <f>IF(AND(ISNUMBER($AC67),ISNUMBER(IF($V67,IF($AL67="","",$AL67),IF($AK67="","",$AK67)))),IF(AND(ABS($AC67-significance_bar)&lt;=2.0*IF($V67,IF($AL67="","",$AL67),IF($AK67="","",$AK67)),OR($Y67="worse",$Y67="better",$Y67="worse, not significant",$Y67="better, not significant",AND(profit_kind="test",$Y67="in line",ISNUMBER($AB67),$AB67&lt;&gt;0))),IF(ROUND($AC67,3)=ROUND(significance_bar,3),TEXT($AC67,"0.0000"),TEXT($AC67,"0.000")),""),"")</f>
        <v/>
      </c>
      <c r="AN67">
        <f>IF(AND(ISNUMBER($AC67),ISNUMBER(IF($V67,IF($AL67="","",$AL67),IF($AK67="","",$AK67)))),IF(AND(ABS($AC67-significance_bar)&lt;=2.0*IF($V67,IF($AL67="","",$AL67),IF($AK67="","",$AK67)),OR($Y67="worse",$Y67="worse, not significant",AND(profit_kind="test",$Y67="in line",ISNUMBER($AB67),$AB67&lt;0))),IF(ROUND($AC67,3)=ROUND(significance_bar,3),TEXT($AC67,"0.0000"),TEXT($AC67,"0.000")),""),"")</f>
        <v/>
      </c>
      <c r="AO67">
        <f>IF(OR($AI67="",$AN67=""),$AI67,$AI67&amp;" · borderline (p "&amp;$AN67&amp;")")</f>
        <v/>
      </c>
    </row>
    <row r="68">
      <c r="A68" t="inlineStr">
        <is>
          <t>grids</t>
        </is>
      </c>
      <c r="B68" t="inlineStr">
        <is>
          <t>FICO x CHANNEL</t>
        </is>
      </c>
      <c r="C68" t="inlineStr">
        <is>
          <t>686 - 711</t>
        </is>
      </c>
      <c r="D68" t="inlineStr">
        <is>
          <t>Online</t>
        </is>
      </c>
      <c r="E68" t="inlineStr">
        <is>
          <t>contribution_rate</t>
        </is>
      </c>
      <c r="F68" t="inlineStr">
        <is>
          <t>Contribution before losses per booked dollar</t>
        </is>
      </c>
      <c r="G68" t="n">
        <v>546</v>
      </c>
      <c r="H68" t="n">
        <v>17660164.64000002</v>
      </c>
      <c r="I68" t="b">
        <v>0</v>
      </c>
      <c r="J68" t="b">
        <v>0</v>
      </c>
      <c r="K68" t="n">
        <v>0.04427764323136515</v>
      </c>
      <c r="L68" t="n">
        <v>0.000158317501583175</v>
      </c>
      <c r="M68" t="n">
        <v>0.05721072099867444</v>
      </c>
      <c r="N68" t="n">
        <v>0.0002571171454283143</v>
      </c>
      <c r="O68" t="n">
        <v>-781950.4693370908</v>
      </c>
      <c r="P68" t="n">
        <v>-1010350.752009697</v>
      </c>
      <c r="Q68">
        <f>'_live'!$C$24</f>
        <v/>
      </c>
      <c r="R68" t="inlineStr">
        <is>
          <t>shuffled: 0 of 10,000</t>
        </is>
      </c>
      <c r="S68" t="inlineStr">
        <is>
          <t>shuffled: 0 of 10,000</t>
        </is>
      </c>
      <c r="T68" t="n">
        <v>0.1665619777972186</v>
      </c>
      <c r="U68" t="n">
        <v>0.1536289000299093</v>
      </c>
      <c r="V68">
        <f>AND(judged_band,NOT($J68))</f>
        <v/>
      </c>
      <c r="W68">
        <f>IF($K68="","",IF(profit_kind="test",IF(OR(NOT(AND(ISNUMBER($L68),$L68&lt;significance_bar)),$K68=0),"in line",IF($K68&lt;0,"worse","better")),IF(OR($K68=0,IF(profit_kind="points",ABS($K68),ABS($K68*$H68))&lt;profit_line*(1-1E-9)),"in line",IF(AND(ISNUMBER($L68),$L68&lt;significance_bar),IF($K68&lt;0,"worse","better"),IF($K68&lt;0,"worse, not significant","better, not significant")))))</f>
        <v/>
      </c>
      <c r="X68">
        <f>IF($M68="","",IF(profit_kind="test",IF(OR(NOT(AND(ISNUMBER($N68),$N68&lt;significance_bar)),$M68=0),"in line",IF($M68&lt;0,"worse","better")),IF(OR($M68=0,IF(profit_kind="points",ABS($M68),ABS($M68*$H68))&lt;profit_line*(1-1E-9)),"in line",IF(AND(ISNUMBER($N68),$N68&lt;significance_bar),IF($M68&lt;0,"worse","better"),IF($M68&lt;0,"worse, not significant","better, not significant")))))</f>
        <v/>
      </c>
      <c r="Y68">
        <f>IF($V68,$X68,$W68)</f>
        <v/>
      </c>
      <c r="Z68">
        <f>IF($V68,IF($P68="","",$P68),IF($O68="","",$O68))</f>
        <v/>
      </c>
      <c r="AA68">
        <f>IF(OR($Q68="",$Z68=""),"",IF(AND($Z68&gt;0,$Z68&gt;=$Q68),"yes","below the line"))</f>
        <v/>
      </c>
      <c r="AB68">
        <f>IF($V68,IF($M68="","",$M68),IF($K68="","",$K68))</f>
        <v/>
      </c>
      <c r="AC68">
        <f>IF($V68,IF($N68="","",$N68),IF($L68="","",$L68))</f>
        <v/>
      </c>
      <c r="AD68">
        <f>IF($Y68="","",IF($Y68="in line",IF(profit_kind="test",IF(ROUND($AB68*100,2)=0,"0.00",TEXT($AB68*100,"+0.00;-0.00"))&amp;" points against "&amp;IF($V68,"its band","the book")&amp;", "&amp;IF($AC68="","not tested","not significant"),IF(profit_kind="points","within "&amp;TEXT(profit_line*100,"0.00")&amp;" points of "&amp;IF($V68,"its band","the book")&amp;" ("&amp;IF(ROUND($AB68*100,2)=0,"0.00",TEXT($AB68*100,"+0.00;-0.00"))&amp;")","within $"&amp;TEXT(profit_line,"#,##0")&amp;" of "&amp;IF($V68,"its band","the book")&amp;" ("&amp;IF(ROUND($AB68*100,2)=0,"0.00",TEXT($AB68*100,"+0.00;-0.00"))&amp;" points)")),IF(LEFT($Y68,5)="worse","short of ","ahead of ")&amp;IF($V68,"its band","the book")&amp;" by "&amp;TEXT(ABS($AB68)*100,"0.00")&amp;" points"&amp;IF($Z68="",""," ($"&amp;TEXT(ABS($Z68),"#,##0")&amp;")")&amp;IF(RIGHT($Y68,15)="not significant"," (not significant)","")))</f>
        <v/>
      </c>
      <c r="AE68">
        <f>IF($V68,IF($S68="","",$S68),IF($R68="","",$R68))</f>
        <v/>
      </c>
      <c r="AF68">
        <f>IF($V68,IF($U68="","",$U68),IF($T68="","",$T68))</f>
        <v/>
      </c>
      <c r="AG68">
        <f>IF($V68,IF($O68="","",$O68),IF($P68="","",$P68))</f>
        <v/>
      </c>
      <c r="AH68" t="n">
        <v>0.2108396210285837</v>
      </c>
      <c r="AI68">
        <f>IF($Y68="worse","Yes",IF($Y68="worse, not significant","Not sure",IF(OR($Y68="too few losses to test",$Y68="too few loans to test"),"Too few losses",IF($Y68="","","No"))))</f>
        <v/>
      </c>
      <c r="AJ68">
        <f>IF($AA68="yes","Yes",IF($AA68="","","No"))</f>
        <v/>
      </c>
      <c r="AK68" t="n">
        <v>0.000158317501583175</v>
      </c>
      <c r="AL68" t="n">
        <v>0.0002571171454283143</v>
      </c>
      <c r="AM68">
        <f>IF(AND(ISNUMBER($AC68),ISNUMBER(IF($V68,IF($AL68="","",$AL68),IF($AK68="","",$AK68)))),IF(AND(ABS($AC68-significance_bar)&lt;=2.0*IF($V68,IF($AL68="","",$AL68),IF($AK68="","",$AK68)),OR($Y68="worse",$Y68="better",$Y68="worse, not significant",$Y68="better, not significant",AND(profit_kind="test",$Y68="in line",ISNUMBER($AB68),$AB68&lt;&gt;0))),IF(ROUND($AC68,3)=ROUND(significance_bar,3),TEXT($AC68,"0.0000"),TEXT($AC68,"0.000")),""),"")</f>
        <v/>
      </c>
      <c r="AN68">
        <f>IF(AND(ISNUMBER($AC68),ISNUMBER(IF($V68,IF($AL68="","",$AL68),IF($AK68="","",$AK68)))),IF(AND(ABS($AC68-significance_bar)&lt;=2.0*IF($V68,IF($AL68="","",$AL68),IF($AK68="","",$AK68)),OR($Y68="worse",$Y68="worse, not significant",AND(profit_kind="test",$Y68="in line",ISNUMBER($AB68),$AB68&lt;0))),IF(ROUND($AC68,3)=ROUND(significance_bar,3),TEXT($AC68,"0.0000"),TEXT($AC68,"0.000")),""),"")</f>
        <v/>
      </c>
      <c r="AO68">
        <f>IF(OR($AI68="",$AN68=""),$AI68,$AI68&amp;" · borderline (p "&amp;$AN68&amp;")")</f>
        <v/>
      </c>
    </row>
    <row r="69">
      <c r="A69" t="inlineStr">
        <is>
          <t>grids</t>
        </is>
      </c>
      <c r="B69" t="inlineStr">
        <is>
          <t>FICO x CHANNEL</t>
        </is>
      </c>
      <c r="C69" t="inlineStr">
        <is>
          <t>654 - 685</t>
        </is>
      </c>
      <c r="D69" t="inlineStr">
        <is>
          <t>Online</t>
        </is>
      </c>
      <c r="E69" t="inlineStr">
        <is>
          <t>outcome_loans</t>
        </is>
      </c>
      <c r="F69" t="inlineStr">
        <is>
          <t>Outcome, share of loans</t>
        </is>
      </c>
      <c r="G69" t="n">
        <v>505</v>
      </c>
      <c r="H69" t="n">
        <v>505</v>
      </c>
      <c r="I69" t="b">
        <v>0</v>
      </c>
      <c r="J69" t="b">
        <v>0</v>
      </c>
      <c r="K69" t="n">
        <v>1.080179144430908</v>
      </c>
      <c r="L69" t="n">
        <v>0.7099475760368447</v>
      </c>
      <c r="M69" t="n">
        <v>0.9772277227722773</v>
      </c>
      <c r="N69" t="n">
        <v>0.8978554344132285</v>
      </c>
      <c r="O69" t="n">
        <v>3.117560715238859</v>
      </c>
      <c r="P69" t="n">
        <v>-0.9787234042553195</v>
      </c>
      <c r="Q69">
        <f>'_live'!$C$20</f>
        <v/>
      </c>
      <c r="R69" t="inlineStr">
        <is>
          <t>z test</t>
        </is>
      </c>
      <c r="S69" t="inlineStr">
        <is>
          <t>z test</t>
        </is>
      </c>
      <c r="T69" t="n">
        <v>0.07699492927675473</v>
      </c>
      <c r="U69" t="n">
        <v>0.0851063829787234</v>
      </c>
      <c r="V69">
        <f>AND(judged_band,NOT($J69))</f>
        <v/>
      </c>
      <c r="W69">
        <f>IF($K69="","",IF($I69,"too few losses to test",IF(AND($K69&gt;better_at,$K69&lt;worse_at),"in line",IF($K69&gt;=worse_at,IF(AND(ISNUMBER($L69),$L69&lt;significance_bar),"worse","worse, not significant"),IF(AND(ISNUMBER($L69),$L69&lt;significance_bar),"better","better, not significant")))))</f>
        <v/>
      </c>
      <c r="X69">
        <f>IF($M69="","",IF($I69,"too few losses to test",IF(AND($M69&gt;better_at,$M69&lt;worse_at),"in line",IF($M69&gt;=worse_at,IF(AND(ISNUMBER($N69),$N69&lt;significance_bar),"worse","worse, not significant"),IF(AND(ISNUMBER($N69),$N69&lt;significance_bar),"better","better, not significant")))))</f>
        <v/>
      </c>
      <c r="Y69">
        <f>IF($V69,$X69,$W69)</f>
        <v/>
      </c>
      <c r="Z69">
        <f>IF($V69,IF($P69="","",$P69),IF($O69="","",$O69))</f>
        <v/>
      </c>
      <c r="AA69">
        <f>IF(OR($Q69="",$Z69=""),"",IF(AND($Z69&gt;0,$Z69&gt;=$Q69),"yes","below the line"))</f>
        <v/>
      </c>
      <c r="AB69">
        <f>IF($V69,IF($M69="","",$M69),IF($K69="","",$K69))</f>
        <v/>
      </c>
      <c r="AC69">
        <f>IF($V69,IF($N69="","",$N69),IF($L69="","",$L69))</f>
        <v/>
      </c>
      <c r="AD69">
        <f>$Y69</f>
        <v/>
      </c>
      <c r="AE69">
        <f>IF($V69,IF($S69="","",$S69),IF($R69="","",$R69))</f>
        <v/>
      </c>
      <c r="AF69">
        <f>IF($V69,IF($U69="","",$U69),IF($T69="","",$T69))</f>
        <v/>
      </c>
      <c r="AG69">
        <f>IF($V69,IF($O69="","",$O69),IF($P69="","",$P69))</f>
        <v/>
      </c>
      <c r="AH69" t="n">
        <v>0.08316831683168317</v>
      </c>
      <c r="AI69">
        <f>IF($Y69="worse","Yes",IF($Y69="worse, not significant","Not sure",IF(OR($Y69="too few losses to test",$Y69="too few loans to test"),"Too few losses",IF($Y69="","","No"))))</f>
        <v/>
      </c>
      <c r="AJ69">
        <f>IF($AA69="yes","Yes",IF($AA69="","","No"))</f>
        <v/>
      </c>
      <c r="AM69">
        <f>IF(AND(ISNUMBER($AC69),ISNUMBER(IF($V69,IF($AL69="","",$AL69),IF($AK69="","",$AK69)))),IF(AND(ABS($AC69-significance_bar)&lt;=2.0*IF($V69,IF($AL69="","",$AL69),IF($AK69="","",$AK69)),OR($Y69="worse",$Y69="better",$Y69="worse, not significant",$Y69="better, not significant")),IF(ROUND($AC69,3)=ROUND(significance_bar,3),TEXT($AC69,"0.0000"),TEXT($AC69,"0.000")),""),"")</f>
        <v/>
      </c>
      <c r="AN69">
        <f>IF(AND(ISNUMBER($AC69),ISNUMBER(IF($V69,IF($AL69="","",$AL69),IF($AK69="","",$AK69)))),IF(AND(ABS($AC69-significance_bar)&lt;=2.0*IF($V69,IF($AL69="","",$AL69),IF($AK69="","",$AK69)),OR($Y69="worse",$Y69="worse, not significant")),IF(ROUND($AC69,3)=ROUND(significance_bar,3),TEXT($AC69,"0.0000"),TEXT($AC69,"0.000")),""),"")</f>
        <v/>
      </c>
      <c r="AO69">
        <f>IF(OR($AI69="",$AN69=""),$AI69,$AI69&amp;" · borderline (p "&amp;$AN69&amp;")")</f>
        <v/>
      </c>
    </row>
    <row r="70">
      <c r="A70" t="inlineStr">
        <is>
          <t>grids</t>
        </is>
      </c>
      <c r="B70" t="inlineStr">
        <is>
          <t>FICO x CHANNEL</t>
        </is>
      </c>
      <c r="C70" t="inlineStr">
        <is>
          <t>654 - 685</t>
        </is>
      </c>
      <c r="D70" t="inlineStr">
        <is>
          <t>Online</t>
        </is>
      </c>
      <c r="E70" t="inlineStr">
        <is>
          <t>outcome_booked</t>
        </is>
      </c>
      <c r="F70" t="inlineStr">
        <is>
          <t>Outcome, share of booked dollars</t>
        </is>
      </c>
      <c r="G70" t="n">
        <v>505</v>
      </c>
      <c r="H70" t="n">
        <v>15851602.49999998</v>
      </c>
      <c r="I70" t="b">
        <v>0</v>
      </c>
      <c r="J70" t="b">
        <v>0</v>
      </c>
      <c r="K70" t="n">
        <v>1.030589840970626</v>
      </c>
      <c r="L70" t="n">
        <v>0.8905109489051095</v>
      </c>
      <c r="M70" t="n">
        <v>0.9476799112696344</v>
      </c>
      <c r="N70" t="n">
        <v>0.844522690588084</v>
      </c>
      <c r="O70" t="n">
        <v>36216.31025212537</v>
      </c>
      <c r="P70" t="n">
        <v>-67362.72342539555</v>
      </c>
      <c r="Q70">
        <f>'_live'!$C$21</f>
        <v/>
      </c>
      <c r="R70" t="inlineStr">
        <is>
          <t>shuffled: 8,626 of 10,000</t>
        </is>
      </c>
      <c r="S70" t="inlineStr">
        <is>
          <t>shuffled: 7,882 of 10,000</t>
        </is>
      </c>
      <c r="T70" t="n">
        <v>0.07468851239159424</v>
      </c>
      <c r="U70" t="n">
        <v>0.08122280655381039</v>
      </c>
      <c r="V70">
        <f>AND(judged_band,NOT($J70))</f>
        <v/>
      </c>
      <c r="W70">
        <f>IF($K70="","",IF($I70,"too few losses to test",IF(AND($K70&gt;better_at,$K70&lt;worse_at),"in line",IF($K70&gt;=worse_at,IF(AND(ISNUMBER($L70),$L70&lt;significance_bar),"worse","worse, not significant"),IF(AND(ISNUMBER($L70),$L70&lt;significance_bar),"better","better, not significant")))))</f>
        <v/>
      </c>
      <c r="X70">
        <f>IF($M70="","",IF($I70,"too few losses to test",IF(AND($M70&gt;better_at,$M70&lt;worse_at),"in line",IF($M70&gt;=worse_at,IF(AND(ISNUMBER($N70),$N70&lt;significance_bar),"worse","worse, not significant"),IF(AND(ISNUMBER($N70),$N70&lt;significance_bar),"better","better, not significant")))))</f>
        <v/>
      </c>
      <c r="Y70">
        <f>IF($V70,$X70,$W70)</f>
        <v/>
      </c>
      <c r="Z70">
        <f>IF($V70,IF($P70="","",$P70),IF($O70="","",$O70))</f>
        <v/>
      </c>
      <c r="AA70">
        <f>IF(OR($Q70="",$Z70=""),"",IF(AND($Z70&gt;0,$Z70&gt;=$Q70),"yes","below the line"))</f>
        <v/>
      </c>
      <c r="AB70">
        <f>IF($V70,IF($M70="","",$M70),IF($K70="","",$K70))</f>
        <v/>
      </c>
      <c r="AC70">
        <f>IF($V70,IF($N70="","",$N70),IF($L70="","",$L70))</f>
        <v/>
      </c>
      <c r="AD70">
        <f>$Y70</f>
        <v/>
      </c>
      <c r="AE70">
        <f>IF($V70,IF($S70="","",$S70),IF($R70="","",$R70))</f>
        <v/>
      </c>
      <c r="AF70">
        <f>IF($V70,IF($U70="","",$U70),IF($T70="","",$T70))</f>
        <v/>
      </c>
      <c r="AG70">
        <f>IF($V70,IF($O70="","",$O70),IF($P70="","",$P70))</f>
        <v/>
      </c>
      <c r="AH70" t="n">
        <v>0.07697322210798571</v>
      </c>
      <c r="AI70">
        <f>IF($Y70="worse","Yes",IF($Y70="worse, not significant","Not sure",IF(OR($Y70="too few losses to test",$Y70="too few loans to test"),"Too few losses",IF($Y70="","","No"))))</f>
        <v/>
      </c>
      <c r="AJ70">
        <f>IF($AA70="yes","Yes",IF($AA70="","","No"))</f>
        <v/>
      </c>
      <c r="AK70" t="n">
        <v>0.003122518195066779</v>
      </c>
      <c r="AL70" t="n">
        <v>0.004377524014756145</v>
      </c>
      <c r="AM70">
        <f>IF(AND(ISNUMBER($AC70),ISNUMBER(IF($V70,IF($AL70="","",$AL70),IF($AK70="","",$AK70)))),IF(AND(ABS($AC70-significance_bar)&lt;=2.0*IF($V70,IF($AL70="","",$AL70),IF($AK70="","",$AK70)),OR($Y70="worse",$Y70="better",$Y70="worse, not significant",$Y70="better, not significant")),IF(ROUND($AC70,3)=ROUND(significance_bar,3),TEXT($AC70,"0.0000"),TEXT($AC70,"0.000")),""),"")</f>
        <v/>
      </c>
      <c r="AN70">
        <f>IF(AND(ISNUMBER($AC70),ISNUMBER(IF($V70,IF($AL70="","",$AL70),IF($AK70="","",$AK70)))),IF(AND(ABS($AC70-significance_bar)&lt;=2.0*IF($V70,IF($AL70="","",$AL70),IF($AK70="","",$AK70)),OR($Y70="worse",$Y70="worse, not significant")),IF(ROUND($AC70,3)=ROUND(significance_bar,3),TEXT($AC70,"0.0000"),TEXT($AC70,"0.000")),""),"")</f>
        <v/>
      </c>
      <c r="AO70">
        <f>IF(OR($AI70="",$AN70=""),$AI70,$AI70&amp;" · borderline (p "&amp;$AN70&amp;")")</f>
        <v/>
      </c>
    </row>
    <row r="71">
      <c r="A71" t="inlineStr">
        <is>
          <t>grids</t>
        </is>
      </c>
      <c r="B71" t="inlineStr">
        <is>
          <t>FICO x CHANNEL</t>
        </is>
      </c>
      <c r="C71" t="inlineStr">
        <is>
          <t>654 - 685</t>
        </is>
      </c>
      <c r="D71" t="inlineStr">
        <is>
          <t>Online</t>
        </is>
      </c>
      <c r="E71" t="inlineStr">
        <is>
          <t>gco_rate</t>
        </is>
      </c>
      <c r="F71" t="inlineStr">
        <is>
          <t>GCO per booked dollar</t>
        </is>
      </c>
      <c r="G71" t="n">
        <v>505</v>
      </c>
      <c r="H71" t="n">
        <v>15851602.49999998</v>
      </c>
      <c r="I71" t="b">
        <v>0</v>
      </c>
      <c r="J71" t="b">
        <v>0</v>
      </c>
      <c r="K71" t="n">
        <v>1.04877101684204</v>
      </c>
      <c r="L71" t="n">
        <v>0.8654134586541345</v>
      </c>
      <c r="M71" t="n">
        <v>0.9452479312942789</v>
      </c>
      <c r="N71" t="n">
        <v>0.7933206679332067</v>
      </c>
      <c r="O71" t="n">
        <v>32068.89560412639</v>
      </c>
      <c r="P71" t="n">
        <v>-39944.56239244947</v>
      </c>
      <c r="Q71">
        <f>'_live'!$C$22</f>
        <v/>
      </c>
      <c r="R71" t="inlineStr">
        <is>
          <t>shuffled: 7,853 of 10,000</t>
        </is>
      </c>
      <c r="S71" t="inlineStr">
        <is>
          <t>shuffled: 7,933 of 10,000</t>
        </is>
      </c>
      <c r="T71" t="n">
        <v>0.04148098114344428</v>
      </c>
      <c r="U71" t="n">
        <v>0.0460239576656335</v>
      </c>
      <c r="V71">
        <f>AND(judged_band,NOT($J71))</f>
        <v/>
      </c>
      <c r="W71">
        <f>IF($K71="","",IF($I71,"too few losses to test",IF(AND($K71&gt;better_at,$K71&lt;worse_at),"in line",IF($K71&gt;=worse_at,IF(AND(ISNUMBER($L71),$L71&lt;significance_bar),"worse","worse, not significant"),IF(AND(ISNUMBER($L71),$L71&lt;significance_bar),"better","better, not significant")))))</f>
        <v/>
      </c>
      <c r="X71">
        <f>IF($M71="","",IF($I71,"too few losses to test",IF(AND($M71&gt;better_at,$M71&lt;worse_at),"in line",IF($M71&gt;=worse_at,IF(AND(ISNUMBER($N71),$N71&lt;significance_bar),"worse","worse, not significant"),IF(AND(ISNUMBER($N71),$N71&lt;significance_bar),"better","better, not significant")))))</f>
        <v/>
      </c>
      <c r="Y71">
        <f>IF($V71,$X71,$W71)</f>
        <v/>
      </c>
      <c r="Z71">
        <f>IF($V71,IF($P71="","",$P71),IF($O71="","",$O71))</f>
        <v/>
      </c>
      <c r="AA71">
        <f>IF(OR($Q71="",$Z71=""),"",IF(AND($Z71&gt;0,$Z71&gt;=$Q71),"yes","below the line"))</f>
        <v/>
      </c>
      <c r="AB71">
        <f>IF($V71,IF($M71="","",$M71),IF($K71="","",$K71))</f>
        <v/>
      </c>
      <c r="AC71">
        <f>IF($V71,IF($N71="","",$N71),IF($L71="","",$L71))</f>
        <v/>
      </c>
      <c r="AD71">
        <f>$Y71</f>
        <v/>
      </c>
      <c r="AE71">
        <f>IF($V71,IF($S71="","",$S71),IF($R71="","",$R71))</f>
        <v/>
      </c>
      <c r="AF71">
        <f>IF($V71,IF($U71="","",$U71),IF($T71="","",$T71))</f>
        <v/>
      </c>
      <c r="AG71">
        <f>IF($V71,IF($O71="","",$O71),IF($P71="","",$P71))</f>
        <v/>
      </c>
      <c r="AH71" t="n">
        <v>0.04350405077341554</v>
      </c>
      <c r="AI71">
        <f>IF($Y71="worse","Yes",IF($Y71="worse, not significant","Not sure",IF(OR($Y71="too few losses to test",$Y71="too few loans to test"),"Too few losses",IF($Y71="","","No"))))</f>
        <v/>
      </c>
      <c r="AJ71">
        <f>IF($AA71="yes","Yes",IF($AA71="","","No"))</f>
        <v/>
      </c>
      <c r="AK71" t="n">
        <v>0.004222419345365249</v>
      </c>
      <c r="AL71" t="n">
        <v>0.004049234319759941</v>
      </c>
      <c r="AM71">
        <f>IF(AND(ISNUMBER($AC71),ISNUMBER(IF($V71,IF($AL71="","",$AL71),IF($AK71="","",$AK71)))),IF(AND(ABS($AC71-significance_bar)&lt;=2.0*IF($V71,IF($AL71="","",$AL71),IF($AK71="","",$AK71)),OR($Y71="worse",$Y71="better",$Y71="worse, not significant",$Y71="better, not significant")),IF(ROUND($AC71,3)=ROUND(significance_bar,3),TEXT($AC71,"0.0000"),TEXT($AC71,"0.000")),""),"")</f>
        <v/>
      </c>
      <c r="AN71">
        <f>IF(AND(ISNUMBER($AC71),ISNUMBER(IF($V71,IF($AL71="","",$AL71),IF($AK71="","",$AK71)))),IF(AND(ABS($AC71-significance_bar)&lt;=2.0*IF($V71,IF($AL71="","",$AL71),IF($AK71="","",$AK71)),OR($Y71="worse",$Y71="worse, not significant")),IF(ROUND($AC71,3)=ROUND(significance_bar,3),TEXT($AC71,"0.0000"),TEXT($AC71,"0.000")),""),"")</f>
        <v/>
      </c>
      <c r="AO71">
        <f>IF(OR($AI71="",$AN71=""),$AI71,$AI71&amp;" · borderline (p "&amp;$AN71&amp;")")</f>
        <v/>
      </c>
    </row>
    <row r="72">
      <c r="A72" t="inlineStr">
        <is>
          <t>grids</t>
        </is>
      </c>
      <c r="B72" t="inlineStr">
        <is>
          <t>FICO x CHANNEL</t>
        </is>
      </c>
      <c r="C72" t="inlineStr">
        <is>
          <t>654 - 685</t>
        </is>
      </c>
      <c r="D72" t="inlineStr">
        <is>
          <t>Online</t>
        </is>
      </c>
      <c r="E72" t="inlineStr">
        <is>
          <t>ranr_rate</t>
        </is>
      </c>
      <c r="F72" t="inlineStr">
        <is>
          <t>Profit after losses: RANR per booked dollar</t>
        </is>
      </c>
      <c r="G72" t="n">
        <v>505</v>
      </c>
      <c r="H72" t="n">
        <v>15851602.49999998</v>
      </c>
      <c r="I72" t="b">
        <v>0</v>
      </c>
      <c r="J72" t="b">
        <v>0</v>
      </c>
      <c r="K72" t="n">
        <v>0.05723357558028858</v>
      </c>
      <c r="L72" t="n">
        <v>0.0002110900021109</v>
      </c>
      <c r="M72" t="n">
        <v>0.0274498421666097</v>
      </c>
      <c r="N72" t="n">
        <v>0.05009499050094991</v>
      </c>
      <c r="O72" t="n">
        <v>-907243.8897524406</v>
      </c>
      <c r="P72" t="n">
        <v>-435123.9867128353</v>
      </c>
      <c r="Q72">
        <f>'_live'!$C$23</f>
        <v/>
      </c>
      <c r="R72" t="inlineStr">
        <is>
          <t>shuffled: 0 of 10,000</t>
        </is>
      </c>
      <c r="S72" t="inlineStr">
        <is>
          <t>shuffled: 166 of 10,000</t>
        </is>
      </c>
      <c r="T72" t="n">
        <v>0.1244745331109308</v>
      </c>
      <c r="U72" t="n">
        <v>0.1542582665246096</v>
      </c>
      <c r="V72">
        <f>AND(judged_band,NOT($J72))</f>
        <v/>
      </c>
      <c r="W72">
        <f>IF($K72="","",IF(profit_kind="test",IF(OR(NOT(AND(ISNUMBER($L72),$L72&lt;significance_bar)),$K72=0),"in line",IF($K72&lt;0,"worse","better")),IF(OR($K72=0,IF(profit_kind="points",ABS($K72),ABS($K72*$H72))&lt;profit_line*(1-1E-9)),"in line",IF(AND(ISNUMBER($L72),$L72&lt;significance_bar),IF($K72&lt;0,"worse","better"),IF($K72&lt;0,"worse, not significant","better, not significant")))))</f>
        <v/>
      </c>
      <c r="X72">
        <f>IF($M72="","",IF(profit_kind="test",IF(OR(NOT(AND(ISNUMBER($N72),$N72&lt;significance_bar)),$M72=0),"in line",IF($M72&lt;0,"worse","better")),IF(OR($M72=0,IF(profit_kind="points",ABS($M72),ABS($M72*$H72))&lt;profit_line*(1-1E-9)),"in line",IF(AND(ISNUMBER($N72),$N72&lt;significance_bar),IF($M72&lt;0,"worse","better"),IF($M72&lt;0,"worse, not significant","better, not significant")))))</f>
        <v/>
      </c>
      <c r="Y72">
        <f>IF($V72,$X72,$W72)</f>
        <v/>
      </c>
      <c r="Z72">
        <f>IF($V72,IF($P72="","",$P72),IF($O72="","",$O72))</f>
        <v/>
      </c>
      <c r="AA72">
        <f>IF(OR($Q72="",$Z72=""),"",IF(AND($Z72&gt;0,$Z72&gt;=$Q72),"yes","below the line"))</f>
        <v/>
      </c>
      <c r="AB72">
        <f>IF($V72,IF($M72="","",$M72),IF($K72="","",$K72))</f>
        <v/>
      </c>
      <c r="AC72">
        <f>IF($V72,IF($N72="","",$N72),IF($L72="","",$L72))</f>
        <v/>
      </c>
      <c r="AD72">
        <f>IF($Y72="","",IF($Y72="in line",IF(profit_kind="test",IF(ROUND($AB72*100,2)=0,"0.00",TEXT($AB72*100,"+0.00;-0.00"))&amp;" points against "&amp;IF($V72,"its band","the book")&amp;", "&amp;IF($AC72="","not tested","not significant"),IF(profit_kind="points","within "&amp;TEXT(profit_line*100,"0.00")&amp;" points of "&amp;IF($V72,"its band","the book")&amp;" ("&amp;IF(ROUND($AB72*100,2)=0,"0.00",TEXT($AB72*100,"+0.00;-0.00"))&amp;")","within $"&amp;TEXT(profit_line,"#,##0")&amp;" of "&amp;IF($V72,"its band","the book")&amp;" ("&amp;IF(ROUND($AB72*100,2)=0,"0.00",TEXT($AB72*100,"+0.00;-0.00"))&amp;" points)")),IF(LEFT($Y72,5)="worse","short of ","ahead of ")&amp;IF($V72,"its band","the book")&amp;" by "&amp;TEXT(ABS($AB72)*100,"0.00")&amp;" points"&amp;IF($Z72="",""," ($"&amp;TEXT(ABS($Z72),"#,##0")&amp;")")&amp;IF(RIGHT($Y72,15)="not significant"," (not significant)","")))</f>
        <v/>
      </c>
      <c r="AE72">
        <f>IF($V72,IF($S72="","",$S72),IF($R72="","",$R72))</f>
        <v/>
      </c>
      <c r="AF72">
        <f>IF($V72,IF($U72="","",$U72),IF($T72="","",$T72))</f>
        <v/>
      </c>
      <c r="AG72">
        <f>IF($V72,IF($O72="","",$O72),IF($P72="","",$P72))</f>
        <v/>
      </c>
      <c r="AH72" t="n">
        <v>0.1817081086912193</v>
      </c>
      <c r="AI72">
        <f>IF($Y72="worse","Yes",IF($Y72="worse, not significant","Not sure",IF(OR($Y72="too few losses to test",$Y72="too few loans to test"),"Too few losses",IF($Y72="","","No"))))</f>
        <v/>
      </c>
      <c r="AJ72">
        <f>IF($AA72="yes","Yes",IF($AA72="","","No"))</f>
        <v/>
      </c>
      <c r="AK72" t="n">
        <v>0.0002110900021109</v>
      </c>
      <c r="AL72" t="n">
        <v>0.003844157429522879</v>
      </c>
      <c r="AM72">
        <f>IF(AND(ISNUMBER($AC72),ISNUMBER(IF($V72,IF($AL72="","",$AL72),IF($AK72="","",$AK72)))),IF(AND(ABS($AC72-significance_bar)&lt;=2.0*IF($V72,IF($AL72="","",$AL72),IF($AK72="","",$AK72)),OR($Y72="worse",$Y72="better",$Y72="worse, not significant",$Y72="better, not significant",AND(profit_kind="test",$Y72="in line",ISNUMBER($AB72),$AB72&lt;&gt;0))),IF(ROUND($AC72,3)=ROUND(significance_bar,3),TEXT($AC72,"0.0000"),TEXT($AC72,"0.000")),""),"")</f>
        <v/>
      </c>
      <c r="AN72">
        <f>IF(AND(ISNUMBER($AC72),ISNUMBER(IF($V72,IF($AL72="","",$AL72),IF($AK72="","",$AK72)))),IF(AND(ABS($AC72-significance_bar)&lt;=2.0*IF($V72,IF($AL72="","",$AL72),IF($AK72="","",$AK72)),OR($Y72="worse",$Y72="worse, not significant",AND(profit_kind="test",$Y72="in line",ISNUMBER($AB72),$AB72&lt;0))),IF(ROUND($AC72,3)=ROUND(significance_bar,3),TEXT($AC72,"0.0000"),TEXT($AC72,"0.000")),""),"")</f>
        <v/>
      </c>
      <c r="AO72">
        <f>IF(OR($AI72="",$AN72=""),$AI72,$AI72&amp;" · borderline (p "&amp;$AN72&amp;")")</f>
        <v/>
      </c>
    </row>
    <row r="73">
      <c r="A73" t="inlineStr">
        <is>
          <t>grids</t>
        </is>
      </c>
      <c r="B73" t="inlineStr">
        <is>
          <t>FICO x CHANNEL</t>
        </is>
      </c>
      <c r="C73" t="inlineStr">
        <is>
          <t>654 - 685</t>
        </is>
      </c>
      <c r="D73" t="inlineStr">
        <is>
          <t>Online</t>
        </is>
      </c>
      <c r="E73" t="inlineStr">
        <is>
          <t>contribution_rate</t>
        </is>
      </c>
      <c r="F73" t="inlineStr">
        <is>
          <t>Contribution before losses per booked dollar</t>
        </is>
      </c>
      <c r="G73" t="n">
        <v>505</v>
      </c>
      <c r="H73" t="n">
        <v>15851602.49999998</v>
      </c>
      <c r="I73" t="b">
        <v>0</v>
      </c>
      <c r="J73" t="b">
        <v>0</v>
      </c>
      <c r="K73" t="n">
        <v>0.05926026767865153</v>
      </c>
      <c r="L73" t="n">
        <v>0.000158317501583175</v>
      </c>
      <c r="M73" t="n">
        <v>0.02492993527439166</v>
      </c>
      <c r="N73" t="n">
        <v>0.0002571171454283143</v>
      </c>
      <c r="O73" t="n">
        <v>-939370.2072855812</v>
      </c>
      <c r="P73" t="n">
        <v>-395179.4243203849</v>
      </c>
      <c r="Q73">
        <f>'_live'!$C$24</f>
        <v/>
      </c>
      <c r="R73" t="inlineStr">
        <is>
          <t>shuffled: 0 of 10,000</t>
        </is>
      </c>
      <c r="S73" t="inlineStr">
        <is>
          <t>shuffled: 0 of 10,000</t>
        </is>
      </c>
      <c r="T73" t="n">
        <v>0.1659518917859834</v>
      </c>
      <c r="U73" t="n">
        <v>0.2002822241902432</v>
      </c>
      <c r="V73">
        <f>AND(judged_band,NOT($J73))</f>
        <v/>
      </c>
      <c r="W73">
        <f>IF($K73="","",IF(profit_kind="test",IF(OR(NOT(AND(ISNUMBER($L73),$L73&lt;significance_bar)),$K73=0),"in line",IF($K73&lt;0,"worse","better")),IF(OR($K73=0,IF(profit_kind="points",ABS($K73),ABS($K73*$H73))&lt;profit_line*(1-1E-9)),"in line",IF(AND(ISNUMBER($L73),$L73&lt;significance_bar),IF($K73&lt;0,"worse","better"),IF($K73&lt;0,"worse, not significant","better, not significant")))))</f>
        <v/>
      </c>
      <c r="X73">
        <f>IF($M73="","",IF(profit_kind="test",IF(OR(NOT(AND(ISNUMBER($N73),$N73&lt;significance_bar)),$M73=0),"in line",IF($M73&lt;0,"worse","better")),IF(OR($M73=0,IF(profit_kind="points",ABS($M73),ABS($M73*$H73))&lt;profit_line*(1-1E-9)),"in line",IF(AND(ISNUMBER($N73),$N73&lt;significance_bar),IF($M73&lt;0,"worse","better"),IF($M73&lt;0,"worse, not significant","better, not significant")))))</f>
        <v/>
      </c>
      <c r="Y73">
        <f>IF($V73,$X73,$W73)</f>
        <v/>
      </c>
      <c r="Z73">
        <f>IF($V73,IF($P73="","",$P73),IF($O73="","",$O73))</f>
        <v/>
      </c>
      <c r="AA73">
        <f>IF(OR($Q73="",$Z73=""),"",IF(AND($Z73&gt;0,$Z73&gt;=$Q73),"yes","below the line"))</f>
        <v/>
      </c>
      <c r="AB73">
        <f>IF($V73,IF($M73="","",$M73),IF($K73="","",$K73))</f>
        <v/>
      </c>
      <c r="AC73">
        <f>IF($V73,IF($N73="","",$N73),IF($L73="","",$L73))</f>
        <v/>
      </c>
      <c r="AD73">
        <f>IF($Y73="","",IF($Y73="in line",IF(profit_kind="test",IF(ROUND($AB73*100,2)=0,"0.00",TEXT($AB73*100,"+0.00;-0.00"))&amp;" points against "&amp;IF($V73,"its band","the book")&amp;", "&amp;IF($AC73="","not tested","not significant"),IF(profit_kind="points","within "&amp;TEXT(profit_line*100,"0.00")&amp;" points of "&amp;IF($V73,"its band","the book")&amp;" ("&amp;IF(ROUND($AB73*100,2)=0,"0.00",TEXT($AB73*100,"+0.00;-0.00"))&amp;")","within $"&amp;TEXT(profit_line,"#,##0")&amp;" of "&amp;IF($V73,"its band","the book")&amp;" ("&amp;IF(ROUND($AB73*100,2)=0,"0.00",TEXT($AB73*100,"+0.00;-0.00"))&amp;" points)")),IF(LEFT($Y73,5)="worse","short of ","ahead of ")&amp;IF($V73,"its band","the book")&amp;" by "&amp;TEXT(ABS($AB73)*100,"0.00")&amp;" points"&amp;IF($Z73="",""," ($"&amp;TEXT(ABS($Z73),"#,##0")&amp;")")&amp;IF(RIGHT($Y73,15)="not significant"," (not significant)","")))</f>
        <v/>
      </c>
      <c r="AE73">
        <f>IF($V73,IF($S73="","",$S73),IF($R73="","",$R73))</f>
        <v/>
      </c>
      <c r="AF73">
        <f>IF($V73,IF($U73="","",$U73),IF($T73="","",$T73))</f>
        <v/>
      </c>
      <c r="AG73">
        <f>IF($V73,IF($O73="","",$O73),IF($P73="","",$P73))</f>
        <v/>
      </c>
      <c r="AH73" t="n">
        <v>0.2252121594646349</v>
      </c>
      <c r="AI73">
        <f>IF($Y73="worse","Yes",IF($Y73="worse, not significant","Not sure",IF(OR($Y73="too few losses to test",$Y73="too few loans to test"),"Too few losses",IF($Y73="","","No"))))</f>
        <v/>
      </c>
      <c r="AJ73">
        <f>IF($AA73="yes","Yes",IF($AA73="","","No"))</f>
        <v/>
      </c>
      <c r="AK73" t="n">
        <v>0.000158317501583175</v>
      </c>
      <c r="AL73" t="n">
        <v>0.0002571171454283143</v>
      </c>
      <c r="AM73">
        <f>IF(AND(ISNUMBER($AC73),ISNUMBER(IF($V73,IF($AL73="","",$AL73),IF($AK73="","",$AK73)))),IF(AND(ABS($AC73-significance_bar)&lt;=2.0*IF($V73,IF($AL73="","",$AL73),IF($AK73="","",$AK73)),OR($Y73="worse",$Y73="better",$Y73="worse, not significant",$Y73="better, not significant",AND(profit_kind="test",$Y73="in line",ISNUMBER($AB73),$AB73&lt;&gt;0))),IF(ROUND($AC73,3)=ROUND(significance_bar,3),TEXT($AC73,"0.0000"),TEXT($AC73,"0.000")),""),"")</f>
        <v/>
      </c>
      <c r="AN73">
        <f>IF(AND(ISNUMBER($AC73),ISNUMBER(IF($V73,IF($AL73="","",$AL73),IF($AK73="","",$AK73)))),IF(AND(ABS($AC73-significance_bar)&lt;=2.0*IF($V73,IF($AL73="","",$AL73),IF($AK73="","",$AK73)),OR($Y73="worse",$Y73="worse, not significant",AND(profit_kind="test",$Y73="in line",ISNUMBER($AB73),$AB73&lt;0))),IF(ROUND($AC73,3)=ROUND(significance_bar,3),TEXT($AC73,"0.0000"),TEXT($AC73,"0.000")),""),"")</f>
        <v/>
      </c>
      <c r="AO73">
        <f>IF(OR($AI73="",$AN73=""),$AI73,$AI73&amp;" · borderline (p "&amp;$AN73&amp;")")</f>
        <v/>
      </c>
    </row>
    <row r="74">
      <c r="A74" t="inlineStr">
        <is>
          <t>grids</t>
        </is>
      </c>
      <c r="B74" t="inlineStr">
        <is>
          <t>FICO x CHANNEL</t>
        </is>
      </c>
      <c r="C74" t="inlineStr">
        <is>
          <t>654 - 685</t>
        </is>
      </c>
      <c r="D74" t="inlineStr">
        <is>
          <t>Broker</t>
        </is>
      </c>
      <c r="E74" t="inlineStr">
        <is>
          <t>outcome_loans</t>
        </is>
      </c>
      <c r="F74" t="inlineStr">
        <is>
          <t>Outcome, share of loans</t>
        </is>
      </c>
      <c r="G74" t="n">
        <v>531</v>
      </c>
      <c r="H74" t="n">
        <v>531</v>
      </c>
      <c r="I74" t="b">
        <v>0</v>
      </c>
      <c r="J74" t="b">
        <v>0</v>
      </c>
      <c r="K74" t="n">
        <v>1.049918916091233</v>
      </c>
      <c r="L74" t="n">
        <v>0.8017907608235507</v>
      </c>
      <c r="M74" t="n">
        <v>0.938242743035262</v>
      </c>
      <c r="N74" t="n">
        <v>0.8063280654421801</v>
      </c>
      <c r="O74" t="n">
        <v>2.044456347080882</v>
      </c>
      <c r="P74" t="n">
        <v>-2.830357142857139</v>
      </c>
      <c r="Q74">
        <f>'_live'!$C$20</f>
        <v/>
      </c>
      <c r="R74" t="inlineStr">
        <is>
          <t>z test</t>
        </is>
      </c>
      <c r="S74" t="inlineStr">
        <is>
          <t>z test</t>
        </is>
      </c>
      <c r="T74" t="n">
        <v>0.0771290840921264</v>
      </c>
      <c r="U74" t="n">
        <v>0.08630952380952381</v>
      </c>
      <c r="V74">
        <f>AND(judged_band,NOT($J74))</f>
        <v/>
      </c>
      <c r="W74">
        <f>IF($K74="","",IF($I74,"too few losses to test",IF(AND($K74&gt;better_at,$K74&lt;worse_at),"in line",IF($K74&gt;=worse_at,IF(AND(ISNUMBER($L74),$L74&lt;significance_bar),"worse","worse, not significant"),IF(AND(ISNUMBER($L74),$L74&lt;significance_bar),"better","better, not significant")))))</f>
        <v/>
      </c>
      <c r="X74">
        <f>IF($M74="","",IF($I74,"too few losses to test",IF(AND($M74&gt;better_at,$M74&lt;worse_at),"in line",IF($M74&gt;=worse_at,IF(AND(ISNUMBER($N74),$N74&lt;significance_bar),"worse","worse, not significant"),IF(AND(ISNUMBER($N74),$N74&lt;significance_bar),"better","better, not significant")))))</f>
        <v/>
      </c>
      <c r="Y74">
        <f>IF($V74,$X74,$W74)</f>
        <v/>
      </c>
      <c r="Z74">
        <f>IF($V74,IF($P74="","",$P74),IF($O74="","",$O74))</f>
        <v/>
      </c>
      <c r="AA74">
        <f>IF(OR($Q74="",$Z74=""),"",IF(AND($Z74&gt;0,$Z74&gt;=$Q74),"yes","below the line"))</f>
        <v/>
      </c>
      <c r="AB74">
        <f>IF($V74,IF($M74="","",$M74),IF($K74="","",$K74))</f>
        <v/>
      </c>
      <c r="AC74">
        <f>IF($V74,IF($N74="","",$N74),IF($L74="","",$L74))</f>
        <v/>
      </c>
      <c r="AD74">
        <f>$Y74</f>
        <v/>
      </c>
      <c r="AE74">
        <f>IF($V74,IF($S74="","",$S74),IF($R74="","",$R74))</f>
        <v/>
      </c>
      <c r="AF74">
        <f>IF($V74,IF($U74="","",$U74),IF($T74="","",$T74))</f>
        <v/>
      </c>
      <c r="AG74">
        <f>IF($V74,IF($O74="","",$O74),IF($P74="","",$P74))</f>
        <v/>
      </c>
      <c r="AH74" t="n">
        <v>0.08097928436911488</v>
      </c>
      <c r="AI74">
        <f>IF($Y74="worse","Yes",IF($Y74="worse, not significant","Not sure",IF(OR($Y74="too few losses to test",$Y74="too few loans to test"),"Too few losses",IF($Y74="","","No"))))</f>
        <v/>
      </c>
      <c r="AJ74">
        <f>IF($AA74="yes","Yes",IF($AA74="","","No"))</f>
        <v/>
      </c>
      <c r="AM74">
        <f>IF(AND(ISNUMBER($AC74),ISNUMBER(IF($V74,IF($AL74="","",$AL74),IF($AK74="","",$AK74)))),IF(AND(ABS($AC74-significance_bar)&lt;=2.0*IF($V74,IF($AL74="","",$AL74),IF($AK74="","",$AK74)),OR($Y74="worse",$Y74="better",$Y74="worse, not significant",$Y74="better, not significant")),IF(ROUND($AC74,3)=ROUND(significance_bar,3),TEXT($AC74,"0.0000"),TEXT($AC74,"0.000")),""),"")</f>
        <v/>
      </c>
      <c r="AN74">
        <f>IF(AND(ISNUMBER($AC74),ISNUMBER(IF($V74,IF($AL74="","",$AL74),IF($AK74="","",$AK74)))),IF(AND(ABS($AC74-significance_bar)&lt;=2.0*IF($V74,IF($AL74="","",$AL74),IF($AK74="","",$AK74)),OR($Y74="worse",$Y74="worse, not significant")),IF(ROUND($AC74,3)=ROUND(significance_bar,3),TEXT($AC74,"0.0000"),TEXT($AC74,"0.000")),""),"")</f>
        <v/>
      </c>
      <c r="AO74">
        <f>IF(OR($AI74="",$AN74=""),$AI74,$AI74&amp;" · borderline (p "&amp;$AN74&amp;")")</f>
        <v/>
      </c>
    </row>
    <row r="75">
      <c r="A75" t="inlineStr">
        <is>
          <t>grids</t>
        </is>
      </c>
      <c r="B75" t="inlineStr">
        <is>
          <t>FICO x CHANNEL</t>
        </is>
      </c>
      <c r="C75" t="inlineStr">
        <is>
          <t>654 - 685</t>
        </is>
      </c>
      <c r="D75" t="inlineStr">
        <is>
          <t>Broker</t>
        </is>
      </c>
      <c r="E75" t="inlineStr">
        <is>
          <t>outcome_booked</t>
        </is>
      </c>
      <c r="F75" t="inlineStr">
        <is>
          <t>Outcome, share of booked dollars</t>
        </is>
      </c>
      <c r="G75" t="n">
        <v>531</v>
      </c>
      <c r="H75" t="n">
        <v>17321902.42</v>
      </c>
      <c r="I75" t="b">
        <v>0</v>
      </c>
      <c r="J75" t="b">
        <v>0</v>
      </c>
      <c r="K75" t="n">
        <v>1.024181370296632</v>
      </c>
      <c r="L75" t="n">
        <v>0.8905109489051095</v>
      </c>
      <c r="M75" t="n">
        <v>0.9369131281724594</v>
      </c>
      <c r="N75" t="n">
        <v>0.844522690588084</v>
      </c>
      <c r="O75" t="n">
        <v>31292.5710633453</v>
      </c>
      <c r="P75" t="n">
        <v>-89243.55877811671</v>
      </c>
      <c r="Q75">
        <f>'_live'!$C$21</f>
        <v/>
      </c>
      <c r="R75" t="inlineStr">
        <is>
          <t>shuffled: 8,905 of 10,000</t>
        </is>
      </c>
      <c r="S75" t="inlineStr">
        <is>
          <t>shuffled: 7,453 of 10,000</t>
        </is>
      </c>
      <c r="T75" t="n">
        <v>0.07470759432534976</v>
      </c>
      <c r="U75" t="n">
        <v>0.08166619084199392</v>
      </c>
      <c r="V75">
        <f>AND(judged_band,NOT($J75))</f>
        <v/>
      </c>
      <c r="W75">
        <f>IF($K75="","",IF($I75,"too few losses to test",IF(AND($K75&gt;better_at,$K75&lt;worse_at),"in line",IF($K75&gt;=worse_at,IF(AND(ISNUMBER($L75),$L75&lt;significance_bar),"worse","worse, not significant"),IF(AND(ISNUMBER($L75),$L75&lt;significance_bar),"better","better, not significant")))))</f>
        <v/>
      </c>
      <c r="X75">
        <f>IF($M75="","",IF($I75,"too few losses to test",IF(AND($M75&gt;better_at,$M75&lt;worse_at),"in line",IF($M75&gt;=worse_at,IF(AND(ISNUMBER($N75),$N75&lt;significance_bar),"worse","worse, not significant"),IF(AND(ISNUMBER($N75),$N75&lt;significance_bar),"better","better, not significant")))))</f>
        <v/>
      </c>
      <c r="Y75">
        <f>IF($V75,$X75,$W75)</f>
        <v/>
      </c>
      <c r="Z75">
        <f>IF($V75,IF($P75="","",$P75),IF($O75="","",$O75))</f>
        <v/>
      </c>
      <c r="AA75">
        <f>IF(OR($Q75="",$Z75=""),"",IF(AND($Z75&gt;0,$Z75&gt;=$Q75),"yes","below the line"))</f>
        <v/>
      </c>
      <c r="AB75">
        <f>IF($V75,IF($M75="","",$M75),IF($K75="","",$K75))</f>
        <v/>
      </c>
      <c r="AC75">
        <f>IF($V75,IF($N75="","",$N75),IF($L75="","",$L75))</f>
        <v/>
      </c>
      <c r="AD75">
        <f>$Y75</f>
        <v/>
      </c>
      <c r="AE75">
        <f>IF($V75,IF($S75="","",$S75),IF($R75="","",$R75))</f>
        <v/>
      </c>
      <c r="AF75">
        <f>IF($V75,IF($U75="","",$U75),IF($T75="","",$T75))</f>
        <v/>
      </c>
      <c r="AG75">
        <f>IF($V75,IF($O75="","",$O75),IF($P75="","",$P75))</f>
        <v/>
      </c>
      <c r="AH75" t="n">
        <v>0.07651412632770158</v>
      </c>
      <c r="AI75">
        <f>IF($Y75="worse","Yes",IF($Y75="worse, not significant","Not sure",IF(OR($Y75="too few losses to test",$Y75="too few loans to test"),"Too few losses",IF($Y75="","","No"))))</f>
        <v/>
      </c>
      <c r="AJ75">
        <f>IF($AA75="yes","Yes",IF($AA75="","","No"))</f>
        <v/>
      </c>
      <c r="AK75" t="n">
        <v>0.003122518195066779</v>
      </c>
      <c r="AL75" t="n">
        <v>0.004377524014756145</v>
      </c>
      <c r="AM75">
        <f>IF(AND(ISNUMBER($AC75),ISNUMBER(IF($V75,IF($AL75="","",$AL75),IF($AK75="","",$AK75)))),IF(AND(ABS($AC75-significance_bar)&lt;=2.0*IF($V75,IF($AL75="","",$AL75),IF($AK75="","",$AK75)),OR($Y75="worse",$Y75="better",$Y75="worse, not significant",$Y75="better, not significant")),IF(ROUND($AC75,3)=ROUND(significance_bar,3),TEXT($AC75,"0.0000"),TEXT($AC75,"0.000")),""),"")</f>
        <v/>
      </c>
      <c r="AN75">
        <f>IF(AND(ISNUMBER($AC75),ISNUMBER(IF($V75,IF($AL75="","",$AL75),IF($AK75="","",$AK75)))),IF(AND(ABS($AC75-significance_bar)&lt;=2.0*IF($V75,IF($AL75="","",$AL75),IF($AK75="","",$AK75)),OR($Y75="worse",$Y75="worse, not significant")),IF(ROUND($AC75,3)=ROUND(significance_bar,3),TEXT($AC75,"0.0000"),TEXT($AC75,"0.000")),""),"")</f>
        <v/>
      </c>
      <c r="AO75">
        <f>IF(OR($AI75="",$AN75=""),$AI75,$AI75&amp;" · borderline (p "&amp;$AN75&amp;")")</f>
        <v/>
      </c>
    </row>
    <row r="76">
      <c r="A76" t="inlineStr">
        <is>
          <t>grids</t>
        </is>
      </c>
      <c r="B76" t="inlineStr">
        <is>
          <t>FICO x CHANNEL</t>
        </is>
      </c>
      <c r="C76" t="inlineStr">
        <is>
          <t>654 - 685</t>
        </is>
      </c>
      <c r="D76" t="inlineStr">
        <is>
          <t>Broker</t>
        </is>
      </c>
      <c r="E76" t="inlineStr">
        <is>
          <t>gco_rate</t>
        </is>
      </c>
      <c r="F76" t="inlineStr">
        <is>
          <t>GCO per booked dollar</t>
        </is>
      </c>
      <c r="G76" t="n">
        <v>531</v>
      </c>
      <c r="H76" t="n">
        <v>17321902.42</v>
      </c>
      <c r="I76" t="b">
        <v>0</v>
      </c>
      <c r="J76" t="b">
        <v>0</v>
      </c>
      <c r="K76" t="n">
        <v>1.016860330062832</v>
      </c>
      <c r="L76" t="n">
        <v>0.9238076192380762</v>
      </c>
      <c r="M76" t="n">
        <v>0.9027162731903188</v>
      </c>
      <c r="N76" t="n">
        <v>0.762616046087699</v>
      </c>
      <c r="O76" t="n">
        <v>12137.20458580717</v>
      </c>
      <c r="P76" t="n">
        <v>-78886.52637617034</v>
      </c>
      <c r="Q76">
        <f>'_live'!$C$22</f>
        <v/>
      </c>
      <c r="R76" t="inlineStr">
        <is>
          <t>shuffled: 9,238 of 10,000</t>
        </is>
      </c>
      <c r="S76" t="inlineStr">
        <is>
          <t>shuffled: 6,275 of 10,000</t>
        </is>
      </c>
      <c r="T76" t="n">
        <v>0.04155822714848158</v>
      </c>
      <c r="U76" t="n">
        <v>0.04681306167848568</v>
      </c>
      <c r="V76">
        <f>AND(judged_band,NOT($J76))</f>
        <v/>
      </c>
      <c r="W76">
        <f>IF($K76="","",IF($I76,"too few losses to test",IF(AND($K76&gt;better_at,$K76&lt;worse_at),"in line",IF($K76&gt;=worse_at,IF(AND(ISNUMBER($L76),$L76&lt;significance_bar),"worse","worse, not significant"),IF(AND(ISNUMBER($L76),$L76&lt;significance_bar),"better","better, not significant")))))</f>
        <v/>
      </c>
      <c r="X76">
        <f>IF($M76="","",IF($I76,"too few losses to test",IF(AND($M76&gt;better_at,$M76&lt;worse_at),"in line",IF($M76&gt;=worse_at,IF(AND(ISNUMBER($N76),$N76&lt;significance_bar),"worse","worse, not significant"),IF(AND(ISNUMBER($N76),$N76&lt;significance_bar),"better","better, not significant")))))</f>
        <v/>
      </c>
      <c r="Y76">
        <f>IF($V76,$X76,$W76)</f>
        <v/>
      </c>
      <c r="Z76">
        <f>IF($V76,IF($P76="","",$P76),IF($O76="","",$O76))</f>
        <v/>
      </c>
      <c r="AA76">
        <f>IF(OR($Q76="",$Z76=""),"",IF(AND($Z76&gt;0,$Z76&gt;=$Q76),"yes","below the line"))</f>
        <v/>
      </c>
      <c r="AB76">
        <f>IF($V76,IF($M76="","",$M76),IF($K76="","",$K76))</f>
        <v/>
      </c>
      <c r="AC76">
        <f>IF($V76,IF($N76="","",$N76),IF($L76="","",$L76))</f>
        <v/>
      </c>
      <c r="AD76">
        <f>$Y76</f>
        <v/>
      </c>
      <c r="AE76">
        <f>IF($V76,IF($S76="","",$S76),IF($R76="","",$R76))</f>
        <v/>
      </c>
      <c r="AF76">
        <f>IF($V76,IF($U76="","",$U76),IF($T76="","",$T76))</f>
        <v/>
      </c>
      <c r="AG76">
        <f>IF($V76,IF($O76="","",$O76),IF($P76="","",$P76))</f>
        <v/>
      </c>
      <c r="AH76" t="n">
        <v>0.04225891257503112</v>
      </c>
      <c r="AI76">
        <f>IF($Y76="worse","Yes",IF($Y76="worse, not significant","Not sure",IF(OR($Y76="too few losses to test",$Y76="too few loans to test"),"Too few losses",IF($Y76="","","No"))))</f>
        <v/>
      </c>
      <c r="AJ76">
        <f>IF($AA76="yes","Yes",IF($AA76="","","No"))</f>
        <v/>
      </c>
      <c r="AK76" t="n">
        <v>0.002653056762976507</v>
      </c>
      <c r="AL76" t="n">
        <v>0.005462218943700602</v>
      </c>
      <c r="AM76">
        <f>IF(AND(ISNUMBER($AC76),ISNUMBER(IF($V76,IF($AL76="","",$AL76),IF($AK76="","",$AK76)))),IF(AND(ABS($AC76-significance_bar)&lt;=2.0*IF($V76,IF($AL76="","",$AL76),IF($AK76="","",$AK76)),OR($Y76="worse",$Y76="better",$Y76="worse, not significant",$Y76="better, not significant")),IF(ROUND($AC76,3)=ROUND(significance_bar,3),TEXT($AC76,"0.0000"),TEXT($AC76,"0.000")),""),"")</f>
        <v/>
      </c>
      <c r="AN76">
        <f>IF(AND(ISNUMBER($AC76),ISNUMBER(IF($V76,IF($AL76="","",$AL76),IF($AK76="","",$AK76)))),IF(AND(ABS($AC76-significance_bar)&lt;=2.0*IF($V76,IF($AL76="","",$AL76),IF($AK76="","",$AK76)),OR($Y76="worse",$Y76="worse, not significant")),IF(ROUND($AC76,3)=ROUND(significance_bar,3),TEXT($AC76,"0.0000"),TEXT($AC76,"0.000")),""),"")</f>
        <v/>
      </c>
      <c r="AO76">
        <f>IF(OR($AI76="",$AN76=""),$AI76,$AI76&amp;" · borderline (p "&amp;$AN76&amp;")")</f>
        <v/>
      </c>
    </row>
    <row r="77">
      <c r="A77" t="inlineStr">
        <is>
          <t>grids</t>
        </is>
      </c>
      <c r="B77" t="inlineStr">
        <is>
          <t>FICO x CHANNEL</t>
        </is>
      </c>
      <c r="C77" t="inlineStr">
        <is>
          <t>654 - 685</t>
        </is>
      </c>
      <c r="D77" t="inlineStr">
        <is>
          <t>Broker</t>
        </is>
      </c>
      <c r="E77" t="inlineStr">
        <is>
          <t>ranr_rate</t>
        </is>
      </c>
      <c r="F77" t="inlineStr">
        <is>
          <t>Profit after losses: RANR per booked dollar</t>
        </is>
      </c>
      <c r="G77" t="n">
        <v>531</v>
      </c>
      <c r="H77" t="n">
        <v>17321902.42</v>
      </c>
      <c r="I77" t="b">
        <v>0</v>
      </c>
      <c r="J77" t="b">
        <v>0</v>
      </c>
      <c r="K77" t="n">
        <v>0.03208749579128933</v>
      </c>
      <c r="L77" t="n">
        <v>0.00037996200379962</v>
      </c>
      <c r="M77" t="n">
        <v>-0.007937877766459628</v>
      </c>
      <c r="N77" t="n">
        <v>0.6256945733998028</v>
      </c>
      <c r="O77" t="n">
        <v>-555816.4709988744</v>
      </c>
      <c r="P77" t="n">
        <v>137499.1440925011</v>
      </c>
      <c r="Q77">
        <f>'_live'!$C$23</f>
        <v/>
      </c>
      <c r="R77" t="inlineStr">
        <is>
          <t>shuffled: 1 of 10,000</t>
        </is>
      </c>
      <c r="S77" t="inlineStr">
        <is>
          <t>shuffled: 4,866 of 10,000</t>
        </is>
      </c>
      <c r="T77" t="n">
        <v>0.125836293621213</v>
      </c>
      <c r="U77" t="n">
        <v>0.165861667178962</v>
      </c>
      <c r="V77">
        <f>AND(judged_band,NOT($J77))</f>
        <v/>
      </c>
      <c r="W77">
        <f>IF($K77="","",IF(profit_kind="test",IF(OR(NOT(AND(ISNUMBER($L77),$L77&lt;significance_bar)),$K77=0),"in line",IF($K77&lt;0,"worse","better")),IF(OR($K77=0,IF(profit_kind="points",ABS($K77),ABS($K77*$H77))&lt;profit_line*(1-1E-9)),"in line",IF(AND(ISNUMBER($L77),$L77&lt;significance_bar),IF($K77&lt;0,"worse","better"),IF($K77&lt;0,"worse, not significant","better, not significant")))))</f>
        <v/>
      </c>
      <c r="X77">
        <f>IF($M77="","",IF(profit_kind="test",IF(OR(NOT(AND(ISNUMBER($N77),$N77&lt;significance_bar)),$M77=0),"in line",IF($M77&lt;0,"worse","better")),IF(OR($M77=0,IF(profit_kind="points",ABS($M77),ABS($M77*$H77))&lt;profit_line*(1-1E-9)),"in line",IF(AND(ISNUMBER($N77),$N77&lt;significance_bar),IF($M77&lt;0,"worse","better"),IF($M77&lt;0,"worse, not significant","better, not significant")))))</f>
        <v/>
      </c>
      <c r="Y77">
        <f>IF($V77,$X77,$W77)</f>
        <v/>
      </c>
      <c r="Z77">
        <f>IF($V77,IF($P77="","",$P77),IF($O77="","",$O77))</f>
        <v/>
      </c>
      <c r="AA77">
        <f>IF(OR($Q77="",$Z77=""),"",IF(AND($Z77&gt;0,$Z77&gt;=$Q77),"yes","below the line"))</f>
        <v/>
      </c>
      <c r="AB77">
        <f>IF($V77,IF($M77="","",$M77),IF($K77="","",$K77))</f>
        <v/>
      </c>
      <c r="AC77">
        <f>IF($V77,IF($N77="","",$N77),IF($L77="","",$L77))</f>
        <v/>
      </c>
      <c r="AD77">
        <f>IF($Y77="","",IF($Y77="in line",IF(profit_kind="test",IF(ROUND($AB77*100,2)=0,"0.00",TEXT($AB77*100,"+0.00;-0.00"))&amp;" points against "&amp;IF($V77,"its band","the book")&amp;", "&amp;IF($AC77="","not tested","not significant"),IF(profit_kind="points","within "&amp;TEXT(profit_line*100,"0.00")&amp;" points of "&amp;IF($V77,"its band","the book")&amp;" ("&amp;IF(ROUND($AB77*100,2)=0,"0.00",TEXT($AB77*100,"+0.00;-0.00"))&amp;")","within $"&amp;TEXT(profit_line,"#,##0")&amp;" of "&amp;IF($V77,"its band","the book")&amp;" ("&amp;IF(ROUND($AB77*100,2)=0,"0.00",TEXT($AB77*100,"+0.00;-0.00"))&amp;" points)")),IF(LEFT($Y77,5)="worse","short of ","ahead of ")&amp;IF($V77,"its band","the book")&amp;" by "&amp;TEXT(ABS($AB77)*100,"0.00")&amp;" points"&amp;IF($Z77="",""," ($"&amp;TEXT(ABS($Z77),"#,##0")&amp;")")&amp;IF(RIGHT($Y77,15)="not significant"," (not significant)","")))</f>
        <v/>
      </c>
      <c r="AE77">
        <f>IF($V77,IF($S77="","",$S77),IF($R77="","",$R77))</f>
        <v/>
      </c>
      <c r="AF77">
        <f>IF($V77,IF($U77="","",$U77),IF($T77="","",$T77))</f>
        <v/>
      </c>
      <c r="AG77">
        <f>IF($V77,IF($O77="","",$O77),IF($P77="","",$P77))</f>
        <v/>
      </c>
      <c r="AH77" t="n">
        <v>0.1579237894125024</v>
      </c>
      <c r="AI77">
        <f>IF($Y77="worse","Yes",IF($Y77="worse, not significant","Not sure",IF(OR($Y77="too few losses to test",$Y77="too few loans to test"),"Too few losses",IF($Y77="","","No"))))</f>
        <v/>
      </c>
      <c r="AJ77">
        <f>IF($AA77="yes","Yes",IF($AA77="","","No"))</f>
        <v/>
      </c>
      <c r="AK77" t="n">
        <v>0.0002686602754586072</v>
      </c>
      <c r="AL77" t="n">
        <v>0.00642628004627927</v>
      </c>
      <c r="AM77">
        <f>IF(AND(ISNUMBER($AC77),ISNUMBER(IF($V77,IF($AL77="","",$AL77),IF($AK77="","",$AK77)))),IF(AND(ABS($AC77-significance_bar)&lt;=2.0*IF($V77,IF($AL77="","",$AL77),IF($AK77="","",$AK77)),OR($Y77="worse",$Y77="better",$Y77="worse, not significant",$Y77="better, not significant",AND(profit_kind="test",$Y77="in line",ISNUMBER($AB77),$AB77&lt;&gt;0))),IF(ROUND($AC77,3)=ROUND(significance_bar,3),TEXT($AC77,"0.0000"),TEXT($AC77,"0.000")),""),"")</f>
        <v/>
      </c>
      <c r="AN77">
        <f>IF(AND(ISNUMBER($AC77),ISNUMBER(IF($V77,IF($AL77="","",$AL77),IF($AK77="","",$AK77)))),IF(AND(ABS($AC77-significance_bar)&lt;=2.0*IF($V77,IF($AL77="","",$AL77),IF($AK77="","",$AK77)),OR($Y77="worse",$Y77="worse, not significant",AND(profit_kind="test",$Y77="in line",ISNUMBER($AB77),$AB77&lt;0))),IF(ROUND($AC77,3)=ROUND(significance_bar,3),TEXT($AC77,"0.0000"),TEXT($AC77,"0.000")),""),"")</f>
        <v/>
      </c>
      <c r="AO77">
        <f>IF(OR($AI77="",$AN77=""),$AI77,$AI77&amp;" · borderline (p "&amp;$AN77&amp;")")</f>
        <v/>
      </c>
    </row>
    <row r="78">
      <c r="A78" t="inlineStr">
        <is>
          <t>grids</t>
        </is>
      </c>
      <c r="B78" t="inlineStr">
        <is>
          <t>FICO x CHANNEL</t>
        </is>
      </c>
      <c r="C78" t="inlineStr">
        <is>
          <t>654 - 685</t>
        </is>
      </c>
      <c r="D78" t="inlineStr">
        <is>
          <t>Broker</t>
        </is>
      </c>
      <c r="E78" t="inlineStr">
        <is>
          <t>contribution_rate</t>
        </is>
      </c>
      <c r="F78" t="inlineStr">
        <is>
          <t>Contribution before losses per booked dollar</t>
        </is>
      </c>
      <c r="G78" t="n">
        <v>531</v>
      </c>
      <c r="H78" t="n">
        <v>17321902.42</v>
      </c>
      <c r="I78" t="b">
        <v>0</v>
      </c>
      <c r="J78" t="b">
        <v>0</v>
      </c>
      <c r="K78" t="n">
        <v>0.03279160130489919</v>
      </c>
      <c r="L78" t="n">
        <v>0.000158317501583175</v>
      </c>
      <c r="M78" t="n">
        <v>-0.01249202686991407</v>
      </c>
      <c r="N78" t="n">
        <v>0.1122637736226377</v>
      </c>
      <c r="O78" t="n">
        <v>-568012.9179990087</v>
      </c>
      <c r="P78" t="n">
        <v>216385.6704686694</v>
      </c>
      <c r="Q78">
        <f>'_live'!$C$24</f>
        <v/>
      </c>
      <c r="R78" t="inlineStr">
        <is>
          <t>shuffled: 0 of 10,000</t>
        </is>
      </c>
      <c r="S78" t="inlineStr">
        <is>
          <t>shuffled: 498 of 10,000</t>
        </is>
      </c>
      <c r="T78" t="n">
        <v>0.1673911006826345</v>
      </c>
      <c r="U78" t="n">
        <v>0.2126747288574477</v>
      </c>
      <c r="V78">
        <f>AND(judged_band,NOT($J78))</f>
        <v/>
      </c>
      <c r="W78">
        <f>IF($K78="","",IF(profit_kind="test",IF(OR(NOT(AND(ISNUMBER($L78),$L78&lt;significance_bar)),$K78=0),"in line",IF($K78&lt;0,"worse","better")),IF(OR($K78=0,IF(profit_kind="points",ABS($K78),ABS($K78*$H78))&lt;profit_line*(1-1E-9)),"in line",IF(AND(ISNUMBER($L78),$L78&lt;significance_bar),IF($K78&lt;0,"worse","better"),IF($K78&lt;0,"worse, not significant","better, not significant")))))</f>
        <v/>
      </c>
      <c r="X78">
        <f>IF($M78="","",IF(profit_kind="test",IF(OR(NOT(AND(ISNUMBER($N78),$N78&lt;significance_bar)),$M78=0),"in line",IF($M78&lt;0,"worse","better")),IF(OR($M78=0,IF(profit_kind="points",ABS($M78),ABS($M78*$H78))&lt;profit_line*(1-1E-9)),"in line",IF(AND(ISNUMBER($N78),$N78&lt;significance_bar),IF($M78&lt;0,"worse","better"),IF($M78&lt;0,"worse, not significant","better, not significant")))))</f>
        <v/>
      </c>
      <c r="Y78">
        <f>IF($V78,$X78,$W78)</f>
        <v/>
      </c>
      <c r="Z78">
        <f>IF($V78,IF($P78="","",$P78),IF($O78="","",$O78))</f>
        <v/>
      </c>
      <c r="AA78">
        <f>IF(OR($Q78="",$Z78=""),"",IF(AND($Z78&gt;0,$Z78&gt;=$Q78),"yes","below the line"))</f>
        <v/>
      </c>
      <c r="AB78">
        <f>IF($V78,IF($M78="","",$M78),IF($K78="","",$K78))</f>
        <v/>
      </c>
      <c r="AC78">
        <f>IF($V78,IF($N78="","",$N78),IF($L78="","",$L78))</f>
        <v/>
      </c>
      <c r="AD78">
        <f>IF($Y78="","",IF($Y78="in line",IF(profit_kind="test",IF(ROUND($AB78*100,2)=0,"0.00",TEXT($AB78*100,"+0.00;-0.00"))&amp;" points against "&amp;IF($V78,"its band","the book")&amp;", "&amp;IF($AC78="","not tested","not significant"),IF(profit_kind="points","within "&amp;TEXT(profit_line*100,"0.00")&amp;" points of "&amp;IF($V78,"its band","the book")&amp;" ("&amp;IF(ROUND($AB78*100,2)=0,"0.00",TEXT($AB78*100,"+0.00;-0.00"))&amp;")","within $"&amp;TEXT(profit_line,"#,##0")&amp;" of "&amp;IF($V78,"its band","the book")&amp;" ("&amp;IF(ROUND($AB78*100,2)=0,"0.00",TEXT($AB78*100,"+0.00;-0.00"))&amp;" points)")),IF(LEFT($Y78,5)="worse","short of ","ahead of ")&amp;IF($V78,"its band","the book")&amp;" by "&amp;TEXT(ABS($AB78)*100,"0.00")&amp;" points"&amp;IF($Z78="",""," ($"&amp;TEXT(ABS($Z78),"#,##0")&amp;")")&amp;IF(RIGHT($Y78,15)="not significant"," (not significant)","")))</f>
        <v/>
      </c>
      <c r="AE78">
        <f>IF($V78,IF($S78="","",$S78),IF($R78="","",$R78))</f>
        <v/>
      </c>
      <c r="AF78">
        <f>IF($V78,IF($U78="","",$U78),IF($T78="","",$T78))</f>
        <v/>
      </c>
      <c r="AG78">
        <f>IF($V78,IF($O78="","",$O78),IF($P78="","",$P78))</f>
        <v/>
      </c>
      <c r="AH78" t="n">
        <v>0.2001827019875337</v>
      </c>
      <c r="AI78">
        <f>IF($Y78="worse","Yes",IF($Y78="worse, not significant","Not sure",IF(OR($Y78="too few losses to test",$Y78="too few loans to test"),"Too few losses",IF($Y78="","","No"))))</f>
        <v/>
      </c>
      <c r="AJ78">
        <f>IF($AA78="yes","Yes",IF($AA78="","","No"))</f>
        <v/>
      </c>
      <c r="AK78" t="n">
        <v>0.000158317501583175</v>
      </c>
      <c r="AL78" t="n">
        <v>0.004898880849571054</v>
      </c>
      <c r="AM78">
        <f>IF(AND(ISNUMBER($AC78),ISNUMBER(IF($V78,IF($AL78="","",$AL78),IF($AK78="","",$AK78)))),IF(AND(ABS($AC78-significance_bar)&lt;=2.0*IF($V78,IF($AL78="","",$AL78),IF($AK78="","",$AK78)),OR($Y78="worse",$Y78="better",$Y78="worse, not significant",$Y78="better, not significant",AND(profit_kind="test",$Y78="in line",ISNUMBER($AB78),$AB78&lt;&gt;0))),IF(ROUND($AC78,3)=ROUND(significance_bar,3),TEXT($AC78,"0.0000"),TEXT($AC78,"0.000")),""),"")</f>
        <v/>
      </c>
      <c r="AN78">
        <f>IF(AND(ISNUMBER($AC78),ISNUMBER(IF($V78,IF($AL78="","",$AL78),IF($AK78="","",$AK78)))),IF(AND(ABS($AC78-significance_bar)&lt;=2.0*IF($V78,IF($AL78="","",$AL78),IF($AK78="","",$AK78)),OR($Y78="worse",$Y78="worse, not significant",AND(profit_kind="test",$Y78="in line",ISNUMBER($AB78),$AB78&lt;0))),IF(ROUND($AC78,3)=ROUND(significance_bar,3),TEXT($AC78,"0.0000"),TEXT($AC78,"0.000")),""),"")</f>
        <v/>
      </c>
      <c r="AO78">
        <f>IF(OR($AI78="",$AN78=""),$AI78,$AI78&amp;" · borderline (p "&amp;$AN78&amp;")")</f>
        <v/>
      </c>
    </row>
    <row r="79">
      <c r="A79" t="inlineStr">
        <is>
          <t>grids</t>
        </is>
      </c>
      <c r="B79" t="inlineStr">
        <is>
          <t>FICO x CHANNEL</t>
        </is>
      </c>
      <c r="C79" t="inlineStr">
        <is>
          <t>496 - 653</t>
        </is>
      </c>
      <c r="D79" t="inlineStr">
        <is>
          <t>Online</t>
        </is>
      </c>
      <c r="E79" t="inlineStr">
        <is>
          <t>outcome_loans</t>
        </is>
      </c>
      <c r="F79" t="inlineStr">
        <is>
          <t>Outcome, share of loans</t>
        </is>
      </c>
      <c r="G79" t="n">
        <v>531</v>
      </c>
      <c r="H79" t="n">
        <v>531</v>
      </c>
      <c r="I79" t="b">
        <v>0</v>
      </c>
      <c r="J79" t="b">
        <v>0</v>
      </c>
      <c r="K79" t="n">
        <v>1.371492300089487</v>
      </c>
      <c r="L79" t="n">
        <v>0.04155974667616561</v>
      </c>
      <c r="M79" t="n">
        <v>0.5925364811833896</v>
      </c>
      <c r="N79" t="n">
        <v>0.0008021048282253793</v>
      </c>
      <c r="O79" t="n">
        <v>14.89769683985003</v>
      </c>
      <c r="P79" t="n">
        <v>-37.8212890625</v>
      </c>
      <c r="Q79">
        <f>'_live'!$C$20</f>
        <v/>
      </c>
      <c r="R79" t="inlineStr">
        <is>
          <t>z test</t>
        </is>
      </c>
      <c r="S79" t="inlineStr">
        <is>
          <t>z test</t>
        </is>
      </c>
      <c r="T79" t="n">
        <v>0.07552222817354044</v>
      </c>
      <c r="U79" t="n">
        <v>0.1748046875</v>
      </c>
      <c r="V79">
        <f>AND(judged_band,NOT($J79))</f>
        <v/>
      </c>
      <c r="W79">
        <f>IF($K79="","",IF($I79,"too few losses to test",IF(AND($K79&gt;better_at,$K79&lt;worse_at),"in line",IF($K79&gt;=worse_at,IF(AND(ISNUMBER($L79),$L79&lt;significance_bar),"worse","worse, not significant"),IF(AND(ISNUMBER($L79),$L79&lt;significance_bar),"better","better, not significant")))))</f>
        <v/>
      </c>
      <c r="X79">
        <f>IF($M79="","",IF($I79,"too few losses to test",IF(AND($M79&gt;better_at,$M79&lt;worse_at),"in line",IF($M79&gt;=worse_at,IF(AND(ISNUMBER($N79),$N79&lt;significance_bar),"worse","worse, not significant"),IF(AND(ISNUMBER($N79),$N79&lt;significance_bar),"better","better, not significant")))))</f>
        <v/>
      </c>
      <c r="Y79">
        <f>IF($V79,$X79,$W79)</f>
        <v/>
      </c>
      <c r="Z79">
        <f>IF($V79,IF($P79="","",$P79),IF($O79="","",$O79))</f>
        <v/>
      </c>
      <c r="AA79">
        <f>IF(OR($Q79="",$Z79=""),"",IF(AND($Z79&gt;0,$Z79&gt;=$Q79),"yes","below the line"))</f>
        <v/>
      </c>
      <c r="AB79">
        <f>IF($V79,IF($M79="","",$M79),IF($K79="","",$K79))</f>
        <v/>
      </c>
      <c r="AC79">
        <f>IF($V79,IF($N79="","",$N79),IF($L79="","",$L79))</f>
        <v/>
      </c>
      <c r="AD79">
        <f>$Y79</f>
        <v/>
      </c>
      <c r="AE79">
        <f>IF($V79,IF($S79="","",$S79),IF($R79="","",$R79))</f>
        <v/>
      </c>
      <c r="AF79">
        <f>IF($V79,IF($U79="","",$U79),IF($T79="","",$T79))</f>
        <v/>
      </c>
      <c r="AG79">
        <f>IF($V79,IF($O79="","",$O79),IF($P79="","",$P79))</f>
        <v/>
      </c>
      <c r="AH79" t="n">
        <v>0.1035781544256121</v>
      </c>
      <c r="AI79">
        <f>IF($Y79="worse","Yes",IF($Y79="worse, not significant","Not sure",IF(OR($Y79="too few losses to test",$Y79="too few loans to test"),"Too few losses",IF($Y79="","","No"))))</f>
        <v/>
      </c>
      <c r="AJ79">
        <f>IF($AA79="yes","Yes",IF($AA79="","","No"))</f>
        <v/>
      </c>
      <c r="AM79">
        <f>IF(AND(ISNUMBER($AC79),ISNUMBER(IF($V79,IF($AL79="","",$AL79),IF($AK79="","",$AK79)))),IF(AND(ABS($AC79-significance_bar)&lt;=2.0*IF($V79,IF($AL79="","",$AL79),IF($AK79="","",$AK79)),OR($Y79="worse",$Y79="better",$Y79="worse, not significant",$Y79="better, not significant")),IF(ROUND($AC79,3)=ROUND(significance_bar,3),TEXT($AC79,"0.0000"),TEXT($AC79,"0.000")),""),"")</f>
        <v/>
      </c>
      <c r="AN79">
        <f>IF(AND(ISNUMBER($AC79),ISNUMBER(IF($V79,IF($AL79="","",$AL79),IF($AK79="","",$AK79)))),IF(AND(ABS($AC79-significance_bar)&lt;=2.0*IF($V79,IF($AL79="","",$AL79),IF($AK79="","",$AK79)),OR($Y79="worse",$Y79="worse, not significant")),IF(ROUND($AC79,3)=ROUND(significance_bar,3),TEXT($AC79,"0.0000"),TEXT($AC79,"0.000")),""),"")</f>
        <v/>
      </c>
      <c r="AO79">
        <f>IF(OR($AI79="",$AN79=""),$AI79,$AI79&amp;" · borderline (p "&amp;$AN79&amp;")")</f>
        <v/>
      </c>
    </row>
    <row r="80">
      <c r="A80" t="inlineStr">
        <is>
          <t>grids</t>
        </is>
      </c>
      <c r="B80" t="inlineStr">
        <is>
          <t>FICO x CHANNEL</t>
        </is>
      </c>
      <c r="C80" t="inlineStr">
        <is>
          <t>496 - 653</t>
        </is>
      </c>
      <c r="D80" t="inlineStr">
        <is>
          <t>Online</t>
        </is>
      </c>
      <c r="E80" t="inlineStr">
        <is>
          <t>outcome_booked</t>
        </is>
      </c>
      <c r="F80" t="inlineStr">
        <is>
          <t>Outcome, share of booked dollars</t>
        </is>
      </c>
      <c r="G80" t="n">
        <v>531</v>
      </c>
      <c r="H80" t="n">
        <v>17367178.26999998</v>
      </c>
      <c r="I80" t="b">
        <v>0</v>
      </c>
      <c r="J80" t="b">
        <v>0</v>
      </c>
      <c r="K80" t="n">
        <v>1.340243265389965</v>
      </c>
      <c r="L80" t="n">
        <v>0.08279172082791722</v>
      </c>
      <c r="M80" t="n">
        <v>0.5577235040008647</v>
      </c>
      <c r="N80" t="n">
        <v>0.0007499250074992502</v>
      </c>
      <c r="O80" t="n">
        <v>432269.467771301</v>
      </c>
      <c r="P80" t="n">
        <v>-1350279.176403547</v>
      </c>
      <c r="Q80">
        <f>'_live'!$C$21</f>
        <v/>
      </c>
      <c r="R80" t="inlineStr">
        <is>
          <t>shuffled: 551 of 10,000</t>
        </is>
      </c>
      <c r="S80" t="inlineStr">
        <is>
          <t>shuffled: 0 of 10,000</t>
        </is>
      </c>
      <c r="T80" t="n">
        <v>0.07315360978491875</v>
      </c>
      <c r="U80" t="n">
        <v>0.1757925426306775</v>
      </c>
      <c r="V80">
        <f>AND(judged_band,NOT($J80))</f>
        <v/>
      </c>
      <c r="W80">
        <f>IF($K80="","",IF($I80,"too few losses to test",IF(AND($K80&gt;better_at,$K80&lt;worse_at),"in line",IF($K80&gt;=worse_at,IF(AND(ISNUMBER($L80),$L80&lt;significance_bar),"worse","worse, not significant"),IF(AND(ISNUMBER($L80),$L80&lt;significance_bar),"better","better, not significant")))))</f>
        <v/>
      </c>
      <c r="X80">
        <f>IF($M80="","",IF($I80,"too few losses to test",IF(AND($M80&gt;better_at,$M80&lt;worse_at),"in line",IF($M80&gt;=worse_at,IF(AND(ISNUMBER($N80),$N80&lt;significance_bar),"worse","worse, not significant"),IF(AND(ISNUMBER($N80),$N80&lt;significance_bar),"better","better, not significant")))))</f>
        <v/>
      </c>
      <c r="Y80">
        <f>IF($V80,$X80,$W80)</f>
        <v/>
      </c>
      <c r="Z80">
        <f>IF($V80,IF($P80="","",$P80),IF($O80="","",$O80))</f>
        <v/>
      </c>
      <c r="AA80">
        <f>IF(OR($Q80="",$Z80=""),"",IF(AND($Z80&gt;0,$Z80&gt;=$Q80),"yes","below the line"))</f>
        <v/>
      </c>
      <c r="AB80">
        <f>IF($V80,IF($M80="","",$M80),IF($K80="","",$K80))</f>
        <v/>
      </c>
      <c r="AC80">
        <f>IF($V80,IF($N80="","",$N80),IF($L80="","",$L80))</f>
        <v/>
      </c>
      <c r="AD80">
        <f>$Y80</f>
        <v/>
      </c>
      <c r="AE80">
        <f>IF($V80,IF($S80="","",$S80),IF($R80="","",$R80))</f>
        <v/>
      </c>
      <c r="AF80">
        <f>IF($V80,IF($U80="","",$U80),IF($T80="","",$T80))</f>
        <v/>
      </c>
      <c r="AG80">
        <f>IF($V80,IF($O80="","",$O80),IF($P80="","",$P80))</f>
        <v/>
      </c>
      <c r="AH80" t="n">
        <v>0.09804363285320282</v>
      </c>
      <c r="AI80">
        <f>IF($Y80="worse","Yes",IF($Y80="worse, not significant","Not sure",IF(OR($Y80="too few losses to test",$Y80="too few loans to test"),"Too few losses",IF($Y80="","","No"))))</f>
        <v/>
      </c>
      <c r="AJ80">
        <f>IF($AA80="yes","Yes",IF($AA80="","","No"))</f>
        <v/>
      </c>
      <c r="AK80" t="n">
        <v>0.003425392126519649</v>
      </c>
      <c r="AL80" t="n">
        <v>0.0007499250074992502</v>
      </c>
      <c r="AM80">
        <f>IF(AND(ISNUMBER($AC80),ISNUMBER(IF($V80,IF($AL80="","",$AL80),IF($AK80="","",$AK80)))),IF(AND(ABS($AC80-significance_bar)&lt;=2.0*IF($V80,IF($AL80="","",$AL80),IF($AK80="","",$AK80)),OR($Y80="worse",$Y80="better",$Y80="worse, not significant",$Y80="better, not significant")),IF(ROUND($AC80,3)=ROUND(significance_bar,3),TEXT($AC80,"0.0000"),TEXT($AC80,"0.000")),""),"")</f>
        <v/>
      </c>
      <c r="AN80">
        <f>IF(AND(ISNUMBER($AC80),ISNUMBER(IF($V80,IF($AL80="","",$AL80),IF($AK80="","",$AK80)))),IF(AND(ABS($AC80-significance_bar)&lt;=2.0*IF($V80,IF($AL80="","",$AL80),IF($AK80="","",$AK80)),OR($Y80="worse",$Y80="worse, not significant")),IF(ROUND($AC80,3)=ROUND(significance_bar,3),TEXT($AC80,"0.0000"),TEXT($AC80,"0.000")),""),"")</f>
        <v/>
      </c>
      <c r="AO80">
        <f>IF(OR($AI80="",$AN80=""),$AI80,$AI80&amp;" · borderline (p "&amp;$AN80&amp;")")</f>
        <v/>
      </c>
    </row>
    <row r="81">
      <c r="A81" t="inlineStr">
        <is>
          <t>grids</t>
        </is>
      </c>
      <c r="B81" t="inlineStr">
        <is>
          <t>FICO x CHANNEL</t>
        </is>
      </c>
      <c r="C81" t="inlineStr">
        <is>
          <t>496 - 653</t>
        </is>
      </c>
      <c r="D81" t="inlineStr">
        <is>
          <t>Online</t>
        </is>
      </c>
      <c r="E81" t="inlineStr">
        <is>
          <t>gco_rate</t>
        </is>
      </c>
      <c r="F81" t="inlineStr">
        <is>
          <t>GCO per booked dollar</t>
        </is>
      </c>
      <c r="G81" t="n">
        <v>531</v>
      </c>
      <c r="H81" t="n">
        <v>17367178.26999998</v>
      </c>
      <c r="I81" t="b">
        <v>0</v>
      </c>
      <c r="J81" t="b">
        <v>0</v>
      </c>
      <c r="K81" t="n">
        <v>1.331469266721665</v>
      </c>
      <c r="L81" t="n">
        <v>0.1084891510848915</v>
      </c>
      <c r="M81" t="n">
        <v>0.5491282604182235</v>
      </c>
      <c r="N81" t="n">
        <v>0.00224977502249775</v>
      </c>
      <c r="O81" t="n">
        <v>234281.5621507792</v>
      </c>
      <c r="P81" t="n">
        <v>-772689.8544911416</v>
      </c>
      <c r="Q81">
        <f>'_live'!$C$22</f>
        <v/>
      </c>
      <c r="R81" t="inlineStr">
        <is>
          <t>shuffled: 650 of 10,000</t>
        </is>
      </c>
      <c r="S81" t="inlineStr">
        <is>
          <t>shuffled: 2 of 10,000</t>
        </is>
      </c>
      <c r="T81" t="n">
        <v>0.04069729848228372</v>
      </c>
      <c r="U81" t="n">
        <v>0.09867858945465549</v>
      </c>
      <c r="V81">
        <f>AND(judged_band,NOT($J81))</f>
        <v/>
      </c>
      <c r="W81">
        <f>IF($K81="","",IF($I81,"too few losses to test",IF(AND($K81&gt;better_at,$K81&lt;worse_at),"in line",IF($K81&gt;=worse_at,IF(AND(ISNUMBER($L81),$L81&lt;significance_bar),"worse","worse, not significant"),IF(AND(ISNUMBER($L81),$L81&lt;significance_bar),"better","better, not significant")))))</f>
        <v/>
      </c>
      <c r="X81">
        <f>IF($M81="","",IF($I81,"too few losses to test",IF(AND($M81&gt;better_at,$M81&lt;worse_at),"in line",IF($M81&gt;=worse_at,IF(AND(ISNUMBER($N81),$N81&lt;significance_bar),"worse","worse, not significant"),IF(AND(ISNUMBER($N81),$N81&lt;significance_bar),"better","better, not significant")))))</f>
        <v/>
      </c>
      <c r="Y81">
        <f>IF($V81,$X81,$W81)</f>
        <v/>
      </c>
      <c r="Z81">
        <f>IF($V81,IF($P81="","",$P81),IF($O81="","",$O81))</f>
        <v/>
      </c>
      <c r="AA81">
        <f>IF(OR($Q81="",$Z81=""),"",IF(AND($Z81&gt;0,$Z81&gt;=$Q81),"yes","below the line"))</f>
        <v/>
      </c>
      <c r="AB81">
        <f>IF($V81,IF($M81="","",$M81),IF($K81="","",$K81))</f>
        <v/>
      </c>
      <c r="AC81">
        <f>IF($V81,IF($N81="","",$N81),IF($L81="","",$L81))</f>
        <v/>
      </c>
      <c r="AD81">
        <f>$Y81</f>
        <v/>
      </c>
      <c r="AE81">
        <f>IF($V81,IF($S81="","",$S81),IF($R81="","",$R81))</f>
        <v/>
      </c>
      <c r="AF81">
        <f>IF($V81,IF($U81="","",$U81),IF($T81="","",$T81))</f>
        <v/>
      </c>
      <c r="AG81">
        <f>IF($V81,IF($O81="","",$O81),IF($P81="","",$P81))</f>
        <v/>
      </c>
      <c r="AH81" t="n">
        <v>0.05418720216775902</v>
      </c>
      <c r="AI81">
        <f>IF($Y81="worse","Yes",IF($Y81="worse, not significant","Not sure",IF(OR($Y81="too few losses to test",$Y81="too few loans to test"),"Too few losses",IF($Y81="","","No"))))</f>
        <v/>
      </c>
      <c r="AJ81">
        <f>IF($AA81="yes","Yes",IF($AA81="","","No"))</f>
        <v/>
      </c>
      <c r="AK81" t="n">
        <v>0.00411151256723158</v>
      </c>
      <c r="AL81" t="n">
        <v>0.001298778317538496</v>
      </c>
      <c r="AM81">
        <f>IF(AND(ISNUMBER($AC81),ISNUMBER(IF($V81,IF($AL81="","",$AL81),IF($AK81="","",$AK81)))),IF(AND(ABS($AC81-significance_bar)&lt;=2.0*IF($V81,IF($AL81="","",$AL81),IF($AK81="","",$AK81)),OR($Y81="worse",$Y81="better",$Y81="worse, not significant",$Y81="better, not significant")),IF(ROUND($AC81,3)=ROUND(significance_bar,3),TEXT($AC81,"0.0000"),TEXT($AC81,"0.000")),""),"")</f>
        <v/>
      </c>
      <c r="AN81">
        <f>IF(AND(ISNUMBER($AC81),ISNUMBER(IF($V81,IF($AL81="","",$AL81),IF($AK81="","",$AK81)))),IF(AND(ABS($AC81-significance_bar)&lt;=2.0*IF($V81,IF($AL81="","",$AL81),IF($AK81="","",$AK81)),OR($Y81="worse",$Y81="worse, not significant")),IF(ROUND($AC81,3)=ROUND(significance_bar,3),TEXT($AC81,"0.0000"),TEXT($AC81,"0.000")),""),"")</f>
        <v/>
      </c>
      <c r="AO81">
        <f>IF(OR($AI81="",$AN81=""),$AI81,$AI81&amp;" · borderline (p "&amp;$AN81&amp;")")</f>
        <v/>
      </c>
    </row>
    <row r="82">
      <c r="A82" t="inlineStr">
        <is>
          <t>grids</t>
        </is>
      </c>
      <c r="B82" t="inlineStr">
        <is>
          <t>FICO x CHANNEL</t>
        </is>
      </c>
      <c r="C82" t="inlineStr">
        <is>
          <t>496 - 653</t>
        </is>
      </c>
      <c r="D82" t="inlineStr">
        <is>
          <t>Online</t>
        </is>
      </c>
      <c r="E82" t="inlineStr">
        <is>
          <t>ranr_rate</t>
        </is>
      </c>
      <c r="F82" t="inlineStr">
        <is>
          <t>Profit after losses: RANR per booked dollar</t>
        </is>
      </c>
      <c r="G82" t="n">
        <v>531</v>
      </c>
      <c r="H82" t="n">
        <v>17367178.26999998</v>
      </c>
      <c r="I82" t="b">
        <v>0</v>
      </c>
      <c r="J82" t="b">
        <v>0</v>
      </c>
      <c r="K82" t="n">
        <v>0.09447142848611979</v>
      </c>
      <c r="L82" t="n">
        <v>0.0002110900021109</v>
      </c>
      <c r="M82" t="n">
        <v>0.03942393715077805</v>
      </c>
      <c r="N82" t="n">
        <v>0.0323967603239676</v>
      </c>
      <c r="O82" t="n">
        <v>-1640702.139939996</v>
      </c>
      <c r="P82" t="n">
        <v>-684682.5446028374</v>
      </c>
      <c r="Q82">
        <f>'_live'!$C$23</f>
        <v/>
      </c>
      <c r="R82" t="inlineStr">
        <is>
          <t>shuffled: 0 of 10,000</t>
        </is>
      </c>
      <c r="S82" t="inlineStr">
        <is>
          <t>shuffled: 62 of 10,000</t>
        </is>
      </c>
      <c r="T82" t="n">
        <v>0.121632425672107</v>
      </c>
      <c r="U82" t="n">
        <v>0.1766799170074487</v>
      </c>
      <c r="V82">
        <f>AND(judged_band,NOT($J82))</f>
        <v/>
      </c>
      <c r="W82">
        <f>IF($K82="","",IF(profit_kind="test",IF(OR(NOT(AND(ISNUMBER($L82),$L82&lt;significance_bar)),$K82=0),"in line",IF($K82&lt;0,"worse","better")),IF(OR($K82=0,IF(profit_kind="points",ABS($K82),ABS($K82*$H82))&lt;profit_line*(1-1E-9)),"in line",IF(AND(ISNUMBER($L82),$L82&lt;significance_bar),IF($K82&lt;0,"worse","better"),IF($K82&lt;0,"worse, not significant","better, not significant")))))</f>
        <v/>
      </c>
      <c r="X82">
        <f>IF($M82="","",IF(profit_kind="test",IF(OR(NOT(AND(ISNUMBER($N82),$N82&lt;significance_bar)),$M82=0),"in line",IF($M82&lt;0,"worse","better")),IF(OR($M82=0,IF(profit_kind="points",ABS($M82),ABS($M82*$H82))&lt;profit_line*(1-1E-9)),"in line",IF(AND(ISNUMBER($N82),$N82&lt;significance_bar),IF($M82&lt;0,"worse","better"),IF($M82&lt;0,"worse, not significant","better, not significant")))))</f>
        <v/>
      </c>
      <c r="Y82">
        <f>IF($V82,$X82,$W82)</f>
        <v/>
      </c>
      <c r="Z82">
        <f>IF($V82,IF($P82="","",$P82),IF($O82="","",$O82))</f>
        <v/>
      </c>
      <c r="AA82">
        <f>IF(OR($Q82="",$Z82=""),"",IF(AND($Z82&gt;0,$Z82&gt;=$Q82),"yes","below the line"))</f>
        <v/>
      </c>
      <c r="AB82">
        <f>IF($V82,IF($M82="","",$M82),IF($K82="","",$K82))</f>
        <v/>
      </c>
      <c r="AC82">
        <f>IF($V82,IF($N82="","",$N82),IF($L82="","",$L82))</f>
        <v/>
      </c>
      <c r="AD82">
        <f>IF($Y82="","",IF($Y82="in line",IF(profit_kind="test",IF(ROUND($AB82*100,2)=0,"0.00",TEXT($AB82*100,"+0.00;-0.00"))&amp;" points against "&amp;IF($V82,"its band","the book")&amp;", "&amp;IF($AC82="","not tested","not significant"),IF(profit_kind="points","within "&amp;TEXT(profit_line*100,"0.00")&amp;" points of "&amp;IF($V82,"its band","the book")&amp;" ("&amp;IF(ROUND($AB82*100,2)=0,"0.00",TEXT($AB82*100,"+0.00;-0.00"))&amp;")","within $"&amp;TEXT(profit_line,"#,##0")&amp;" of "&amp;IF($V82,"its band","the book")&amp;" ("&amp;IF(ROUND($AB82*100,2)=0,"0.00",TEXT($AB82*100,"+0.00;-0.00"))&amp;" points)")),IF(LEFT($Y82,5)="worse","short of ","ahead of ")&amp;IF($V82,"its band","the book")&amp;" by "&amp;TEXT(ABS($AB82)*100,"0.00")&amp;" points"&amp;IF($Z82="",""," ($"&amp;TEXT(ABS($Z82),"#,##0")&amp;")")&amp;IF(RIGHT($Y82,15)="not significant"," (not significant)","")))</f>
        <v/>
      </c>
      <c r="AE82">
        <f>IF($V82,IF($S82="","",$S82),IF($R82="","",$R82))</f>
        <v/>
      </c>
      <c r="AF82">
        <f>IF($V82,IF($U82="","",$U82),IF($T82="","",$T82))</f>
        <v/>
      </c>
      <c r="AG82">
        <f>IF($V82,IF($O82="","",$O82),IF($P82="","",$P82))</f>
        <v/>
      </c>
      <c r="AH82" t="n">
        <v>0.2161038541582268</v>
      </c>
      <c r="AI82">
        <f>IF($Y82="worse","Yes",IF($Y82="worse, not significant","Not sure",IF(OR($Y82="too few losses to test",$Y82="too few loans to test"),"Too few losses",IF($Y82="","","No"))))</f>
        <v/>
      </c>
      <c r="AJ82">
        <f>IF($AA82="yes","Yes",IF($AA82="","","No"))</f>
        <v/>
      </c>
      <c r="AK82" t="n">
        <v>0.0002110900021109</v>
      </c>
      <c r="AL82" t="n">
        <v>0.003804416793391145</v>
      </c>
      <c r="AM82">
        <f>IF(AND(ISNUMBER($AC82),ISNUMBER(IF($V82,IF($AL82="","",$AL82),IF($AK82="","",$AK82)))),IF(AND(ABS($AC82-significance_bar)&lt;=2.0*IF($V82,IF($AL82="","",$AL82),IF($AK82="","",$AK82)),OR($Y82="worse",$Y82="better",$Y82="worse, not significant",$Y82="better, not significant",AND(profit_kind="test",$Y82="in line",ISNUMBER($AB82),$AB82&lt;&gt;0))),IF(ROUND($AC82,3)=ROUND(significance_bar,3),TEXT($AC82,"0.0000"),TEXT($AC82,"0.000")),""),"")</f>
        <v/>
      </c>
      <c r="AN82">
        <f>IF(AND(ISNUMBER($AC82),ISNUMBER(IF($V82,IF($AL82="","",$AL82),IF($AK82="","",$AK82)))),IF(AND(ABS($AC82-significance_bar)&lt;=2.0*IF($V82,IF($AL82="","",$AL82),IF($AK82="","",$AK82)),OR($Y82="worse",$Y82="worse, not significant",AND(profit_kind="test",$Y82="in line",ISNUMBER($AB82),$AB82&lt;0))),IF(ROUND($AC82,3)=ROUND(significance_bar,3),TEXT($AC82,"0.0000"),TEXT($AC82,"0.000")),""),"")</f>
        <v/>
      </c>
      <c r="AO82">
        <f>IF(OR($AI82="",$AN82=""),$AI82,$AI82&amp;" · borderline (p "&amp;$AN82&amp;")")</f>
        <v/>
      </c>
    </row>
    <row r="83">
      <c r="A83" t="inlineStr">
        <is>
          <t>grids</t>
        </is>
      </c>
      <c r="B83" t="inlineStr">
        <is>
          <t>FICO x CHANNEL</t>
        </is>
      </c>
      <c r="C83" t="inlineStr">
        <is>
          <t>496 - 653</t>
        </is>
      </c>
      <c r="D83" t="inlineStr">
        <is>
          <t>Online</t>
        </is>
      </c>
      <c r="E83" t="inlineStr">
        <is>
          <t>contribution_rate</t>
        </is>
      </c>
      <c r="F83" t="inlineStr">
        <is>
          <t>Contribution before losses per booked dollar</t>
        </is>
      </c>
      <c r="G83" t="n">
        <v>531</v>
      </c>
      <c r="H83" t="n">
        <v>17367178.26999998</v>
      </c>
      <c r="I83" t="b">
        <v>0</v>
      </c>
      <c r="J83" t="b">
        <v>0</v>
      </c>
      <c r="K83" t="n">
        <v>0.1079654461082857</v>
      </c>
      <c r="L83" t="n">
        <v>0.000158317501583175</v>
      </c>
      <c r="M83" t="n">
        <v>-0.005067450136118423</v>
      </c>
      <c r="N83" t="n">
        <v>0.6245375462453755</v>
      </c>
      <c r="O83" t="n">
        <v>-1875055.149562673</v>
      </c>
      <c r="P83" t="n">
        <v>88007.30988830421</v>
      </c>
      <c r="Q83">
        <f>'_live'!$C$24</f>
        <v/>
      </c>
      <c r="R83" t="inlineStr">
        <is>
          <t>shuffled: 0 of 10,000</t>
        </is>
      </c>
      <c r="S83" t="inlineStr">
        <is>
          <t>shuffled: 5,551 of 10,000</t>
        </is>
      </c>
      <c r="T83" t="n">
        <v>0.1623256102176999</v>
      </c>
      <c r="U83" t="n">
        <v>0.275358506462104</v>
      </c>
      <c r="V83">
        <f>AND(judged_band,NOT($J83))</f>
        <v/>
      </c>
      <c r="W83">
        <f>IF($K83="","",IF(profit_kind="test",IF(OR(NOT(AND(ISNUMBER($L83),$L83&lt;significance_bar)),$K83=0),"in line",IF($K83&lt;0,"worse","better")),IF(OR($K83=0,IF(profit_kind="points",ABS($K83),ABS($K83*$H83))&lt;profit_line*(1-1E-9)),"in line",IF(AND(ISNUMBER($L83),$L83&lt;significance_bar),IF($K83&lt;0,"worse","better"),IF($K83&lt;0,"worse, not significant","better, not significant")))))</f>
        <v/>
      </c>
      <c r="X83">
        <f>IF($M83="","",IF(profit_kind="test",IF(OR(NOT(AND(ISNUMBER($N83),$N83&lt;significance_bar)),$M83=0),"in line",IF($M83&lt;0,"worse","better")),IF(OR($M83=0,IF(profit_kind="points",ABS($M83),ABS($M83*$H83))&lt;profit_line*(1-1E-9)),"in line",IF(AND(ISNUMBER($N83),$N83&lt;significance_bar),IF($M83&lt;0,"worse","better"),IF($M83&lt;0,"worse, not significant","better, not significant")))))</f>
        <v/>
      </c>
      <c r="Y83">
        <f>IF($V83,$X83,$W83)</f>
        <v/>
      </c>
      <c r="Z83">
        <f>IF($V83,IF($P83="","",$P83),IF($O83="","",$O83))</f>
        <v/>
      </c>
      <c r="AA83">
        <f>IF(OR($Q83="",$Z83=""),"",IF(AND($Z83&gt;0,$Z83&gt;=$Q83),"yes","below the line"))</f>
        <v/>
      </c>
      <c r="AB83">
        <f>IF($V83,IF($M83="","",$M83),IF($K83="","",$K83))</f>
        <v/>
      </c>
      <c r="AC83">
        <f>IF($V83,IF($N83="","",$N83),IF($L83="","",$L83))</f>
        <v/>
      </c>
      <c r="AD83">
        <f>IF($Y83="","",IF($Y83="in line",IF(profit_kind="test",IF(ROUND($AB83*100,2)=0,"0.00",TEXT($AB83*100,"+0.00;-0.00"))&amp;" points against "&amp;IF($V83,"its band","the book")&amp;", "&amp;IF($AC83="","not tested","not significant"),IF(profit_kind="points","within "&amp;TEXT(profit_line*100,"0.00")&amp;" points of "&amp;IF($V83,"its band","the book")&amp;" ("&amp;IF(ROUND($AB83*100,2)=0,"0.00",TEXT($AB83*100,"+0.00;-0.00"))&amp;")","within $"&amp;TEXT(profit_line,"#,##0")&amp;" of "&amp;IF($V83,"its band","the book")&amp;" ("&amp;IF(ROUND($AB83*100,2)=0,"0.00",TEXT($AB83*100,"+0.00;-0.00"))&amp;" points)")),IF(LEFT($Y83,5)="worse","short of ","ahead of ")&amp;IF($V83,"its band","the book")&amp;" by "&amp;TEXT(ABS($AB83)*100,"0.00")&amp;" points"&amp;IF($Z83="",""," ($"&amp;TEXT(ABS($Z83),"#,##0")&amp;")")&amp;IF(RIGHT($Y83,15)="not significant"," (not significant)","")))</f>
        <v/>
      </c>
      <c r="AE83">
        <f>IF($V83,IF($S83="","",$S83),IF($R83="","",$R83))</f>
        <v/>
      </c>
      <c r="AF83">
        <f>IF($V83,IF($U83="","",$U83),IF($T83="","",$T83))</f>
        <v/>
      </c>
      <c r="AG83">
        <f>IF($V83,IF($O83="","",$O83),IF($P83="","",$P83))</f>
        <v/>
      </c>
      <c r="AH83" t="n">
        <v>0.2702910563259856</v>
      </c>
      <c r="AI83">
        <f>IF($Y83="worse","Yes",IF($Y83="worse, not significant","Not sure",IF(OR($Y83="too few losses to test",$Y83="too few loans to test"),"Too few losses",IF($Y83="","","No"))))</f>
        <v/>
      </c>
      <c r="AJ83">
        <f>IF($AA83="yes","Yes",IF($AA83="","","No"))</f>
        <v/>
      </c>
      <c r="AK83" t="n">
        <v>0.000158317501583175</v>
      </c>
      <c r="AL83" t="n">
        <v>0.005590685046180414</v>
      </c>
      <c r="AM83">
        <f>IF(AND(ISNUMBER($AC83),ISNUMBER(IF($V83,IF($AL83="","",$AL83),IF($AK83="","",$AK83)))),IF(AND(ABS($AC83-significance_bar)&lt;=2.0*IF($V83,IF($AL83="","",$AL83),IF($AK83="","",$AK83)),OR($Y83="worse",$Y83="better",$Y83="worse, not significant",$Y83="better, not significant",AND(profit_kind="test",$Y83="in line",ISNUMBER($AB83),$AB83&lt;&gt;0))),IF(ROUND($AC83,3)=ROUND(significance_bar,3),TEXT($AC83,"0.0000"),TEXT($AC83,"0.000")),""),"")</f>
        <v/>
      </c>
      <c r="AN83">
        <f>IF(AND(ISNUMBER($AC83),ISNUMBER(IF($V83,IF($AL83="","",$AL83),IF($AK83="","",$AK83)))),IF(AND(ABS($AC83-significance_bar)&lt;=2.0*IF($V83,IF($AL83="","",$AL83),IF($AK83="","",$AK83)),OR($Y83="worse",$Y83="worse, not significant",AND(profit_kind="test",$Y83="in line",ISNUMBER($AB83),$AB83&lt;0))),IF(ROUND($AC83,3)=ROUND(significance_bar,3),TEXT($AC83,"0.0000"),TEXT($AC83,"0.000")),""),"")</f>
        <v/>
      </c>
      <c r="AO83">
        <f>IF(OR($AI83="",$AN83=""),$AI83,$AI83&amp;" · borderline (p "&amp;$AN83&amp;")")</f>
        <v/>
      </c>
    </row>
    <row r="84">
      <c r="A84" t="inlineStr">
        <is>
          <t>grids</t>
        </is>
      </c>
      <c r="B84" t="inlineStr">
        <is>
          <t>FICO x CHANNEL</t>
        </is>
      </c>
      <c r="C84" t="inlineStr">
        <is>
          <t>686 - 711</t>
        </is>
      </c>
      <c r="D84" t="inlineStr">
        <is>
          <t>Branch</t>
        </is>
      </c>
      <c r="E84" t="inlineStr">
        <is>
          <t>outcome_loans</t>
        </is>
      </c>
      <c r="F84" t="inlineStr">
        <is>
          <t>Outcome, share of loans</t>
        </is>
      </c>
      <c r="G84" t="n">
        <v>515</v>
      </c>
      <c r="H84" t="n">
        <v>515</v>
      </c>
      <c r="I84" t="b">
        <v>0</v>
      </c>
      <c r="J84" t="b">
        <v>0</v>
      </c>
      <c r="K84" t="n">
        <v>0.6884891495408473</v>
      </c>
      <c r="L84" t="n">
        <v>0.06493741468820462</v>
      </c>
      <c r="M84" t="n">
        <v>0.8371216447744146</v>
      </c>
      <c r="N84" t="n">
        <v>0.6885931175310831</v>
      </c>
      <c r="O84" t="n">
        <v>-12.66876002137894</v>
      </c>
      <c r="P84" t="n">
        <v>-5.447946513849089</v>
      </c>
      <c r="Q84">
        <f>'_live'!$C$20</f>
        <v/>
      </c>
      <c r="R84" t="inlineStr">
        <is>
          <t>z test</t>
        </is>
      </c>
      <c r="S84" t="inlineStr">
        <is>
          <t>z test</t>
        </is>
      </c>
      <c r="T84" t="n">
        <v>0.07896846606092998</v>
      </c>
      <c r="U84" t="n">
        <v>0.06494746895893028</v>
      </c>
      <c r="V84">
        <f>AND(judged_band,NOT($J84))</f>
        <v/>
      </c>
      <c r="W84">
        <f>IF($K84="","",IF($I84,"too few losses to test",IF(AND($K84&gt;better_at,$K84&lt;worse_at),"in line",IF($K84&gt;=worse_at,IF(AND(ISNUMBER($L84),$L84&lt;significance_bar),"worse","worse, not significant"),IF(AND(ISNUMBER($L84),$L84&lt;significance_bar),"better","better, not significant")))))</f>
        <v/>
      </c>
      <c r="X84">
        <f>IF($M84="","",IF($I84,"too few losses to test",IF(AND($M84&gt;better_at,$M84&lt;worse_at),"in line",IF($M84&gt;=worse_at,IF(AND(ISNUMBER($N84),$N84&lt;significance_bar),"worse","worse, not significant"),IF(AND(ISNUMBER($N84),$N84&lt;significance_bar),"better","better, not significant")))))</f>
        <v/>
      </c>
      <c r="Y84">
        <f>IF($V84,$X84,$W84)</f>
        <v/>
      </c>
      <c r="Z84">
        <f>IF($V84,IF($P84="","",$P84),IF($O84="","",$O84))</f>
        <v/>
      </c>
      <c r="AA84">
        <f>IF(OR($Q84="",$Z84=""),"",IF(AND($Z84&gt;0,$Z84&gt;=$Q84),"yes","below the line"))</f>
        <v/>
      </c>
      <c r="AB84">
        <f>IF($V84,IF($M84="","",$M84),IF($K84="","",$K84))</f>
        <v/>
      </c>
      <c r="AC84">
        <f>IF($V84,IF($N84="","",$N84),IF($L84="","",$L84))</f>
        <v/>
      </c>
      <c r="AD84">
        <f>$Y84</f>
        <v/>
      </c>
      <c r="AE84">
        <f>IF($V84,IF($S84="","",$S84),IF($R84="","",$R84))</f>
        <v/>
      </c>
      <c r="AF84">
        <f>IF($V84,IF($U84="","",$U84),IF($T84="","",$T84))</f>
        <v/>
      </c>
      <c r="AG84">
        <f>IF($V84,IF($O84="","",$O84),IF($P84="","",$P84))</f>
        <v/>
      </c>
      <c r="AH84" t="n">
        <v>0.05436893203883495</v>
      </c>
      <c r="AI84">
        <f>IF($Y84="worse","Yes",IF($Y84="worse, not significant","Not sure",IF(OR($Y84="too few losses to test",$Y84="too few loans to test"),"Too few losses",IF($Y84="","","No"))))</f>
        <v/>
      </c>
      <c r="AJ84">
        <f>IF($AA84="yes","Yes",IF($AA84="","","No"))</f>
        <v/>
      </c>
      <c r="AM84">
        <f>IF(AND(ISNUMBER($AC84),ISNUMBER(IF($V84,IF($AL84="","",$AL84),IF($AK84="","",$AK84)))),IF(AND(ABS($AC84-significance_bar)&lt;=2.0*IF($V84,IF($AL84="","",$AL84),IF($AK84="","",$AK84)),OR($Y84="worse",$Y84="better",$Y84="worse, not significant",$Y84="better, not significant")),IF(ROUND($AC84,3)=ROUND(significance_bar,3),TEXT($AC84,"0.0000"),TEXT($AC84,"0.000")),""),"")</f>
        <v/>
      </c>
      <c r="AN84">
        <f>IF(AND(ISNUMBER($AC84),ISNUMBER(IF($V84,IF($AL84="","",$AL84),IF($AK84="","",$AK84)))),IF(AND(ABS($AC84-significance_bar)&lt;=2.0*IF($V84,IF($AL84="","",$AL84),IF($AK84="","",$AK84)),OR($Y84="worse",$Y84="worse, not significant")),IF(ROUND($AC84,3)=ROUND(significance_bar,3),TEXT($AC84,"0.0000"),TEXT($AC84,"0.000")),""),"")</f>
        <v/>
      </c>
      <c r="AO84">
        <f>IF(OR($AI84="",$AN84=""),$AI84,$AI84&amp;" · borderline (p "&amp;$AN84&amp;")")</f>
        <v/>
      </c>
    </row>
    <row r="85">
      <c r="A85" t="inlineStr">
        <is>
          <t>grids</t>
        </is>
      </c>
      <c r="B85" t="inlineStr">
        <is>
          <t>FICO x CHANNEL</t>
        </is>
      </c>
      <c r="C85" t="inlineStr">
        <is>
          <t>686 - 711</t>
        </is>
      </c>
      <c r="D85" t="inlineStr">
        <is>
          <t>Branch</t>
        </is>
      </c>
      <c r="E85" t="inlineStr">
        <is>
          <t>outcome_booked</t>
        </is>
      </c>
      <c r="F85" t="inlineStr">
        <is>
          <t>Outcome, share of booked dollars</t>
        </is>
      </c>
      <c r="G85" t="n">
        <v>515</v>
      </c>
      <c r="H85" t="n">
        <v>16839795.26999999</v>
      </c>
      <c r="I85" t="b">
        <v>0</v>
      </c>
      <c r="J85" t="b">
        <v>0</v>
      </c>
      <c r="K85" t="n">
        <v>0.5854075677972884</v>
      </c>
      <c r="L85" t="n">
        <v>0.03578213607210708</v>
      </c>
      <c r="M85" t="n">
        <v>0.718131796099021</v>
      </c>
      <c r="N85" t="n">
        <v>0.3592140785921408</v>
      </c>
      <c r="O85" t="n">
        <v>-536957.7586660291</v>
      </c>
      <c r="P85" t="n">
        <v>-297590.467821245</v>
      </c>
      <c r="Q85">
        <f>'_live'!$C$21</f>
        <v/>
      </c>
      <c r="R85" t="inlineStr">
        <is>
          <t>shuffled: 166 of 10,000</t>
        </is>
      </c>
      <c r="S85" t="inlineStr">
        <is>
          <t>shuffled: 1,915 of 10,000</t>
        </is>
      </c>
      <c r="T85" t="n">
        <v>0.07690984646192969</v>
      </c>
      <c r="U85" t="n">
        <v>0.06269546398239827</v>
      </c>
      <c r="V85">
        <f>AND(judged_band,NOT($J85))</f>
        <v/>
      </c>
      <c r="W85">
        <f>IF($K85="","",IF($I85,"too few losses to test",IF(AND($K85&gt;better_at,$K85&lt;worse_at),"in line",IF($K85&gt;=worse_at,IF(AND(ISNUMBER($L85),$L85&lt;significance_bar),"worse","worse, not significant"),IF(AND(ISNUMBER($L85),$L85&lt;significance_bar),"better","better, not significant")))))</f>
        <v/>
      </c>
      <c r="X85">
        <f>IF($M85="","",IF($I85,"too few losses to test",IF(AND($M85&gt;better_at,$M85&lt;worse_at),"in line",IF($M85&gt;=worse_at,IF(AND(ISNUMBER($N85),$N85&lt;significance_bar),"worse","worse, not significant"),IF(AND(ISNUMBER($N85),$N85&lt;significance_bar),"better","better, not significant")))))</f>
        <v/>
      </c>
      <c r="Y85">
        <f>IF($V85,$X85,$W85)</f>
        <v/>
      </c>
      <c r="Z85">
        <f>IF($V85,IF($P85="","",$P85),IF($O85="","",$O85))</f>
        <v/>
      </c>
      <c r="AA85">
        <f>IF(OR($Q85="",$Z85=""),"",IF(AND($Z85&gt;0,$Z85&gt;=$Q85),"yes","below the line"))</f>
        <v/>
      </c>
      <c r="AB85">
        <f>IF($V85,IF($M85="","",$M85),IF($K85="","",$K85))</f>
        <v/>
      </c>
      <c r="AC85">
        <f>IF($V85,IF($N85="","",$N85),IF($L85="","",$L85))</f>
        <v/>
      </c>
      <c r="AD85">
        <f>$Y85</f>
        <v/>
      </c>
      <c r="AE85">
        <f>IF($V85,IF($S85="","",$S85),IF($R85="","",$R85))</f>
        <v/>
      </c>
      <c r="AF85">
        <f>IF($V85,IF($U85="","",$U85),IF($T85="","",$T85))</f>
        <v/>
      </c>
      <c r="AG85">
        <f>IF($V85,IF($O85="","",$O85),IF($P85="","",$P85))</f>
        <v/>
      </c>
      <c r="AH85" t="n">
        <v>0.04502360615694115</v>
      </c>
      <c r="AI85">
        <f>IF($Y85="worse","Yes",IF($Y85="worse, not significant","Not sure",IF(OR($Y85="too few losses to test",$Y85="too few loans to test"),"Too few losses",IF($Y85="","","No"))))</f>
        <v/>
      </c>
      <c r="AJ85">
        <f>IF($AA85="yes","Yes",IF($AA85="","","No"))</f>
        <v/>
      </c>
      <c r="AK85" t="n">
        <v>0.002745826735373485</v>
      </c>
      <c r="AL85" t="n">
        <v>0.007378967699492006</v>
      </c>
      <c r="AM85">
        <f>IF(AND(ISNUMBER($AC85),ISNUMBER(IF($V85,IF($AL85="","",$AL85),IF($AK85="","",$AK85)))),IF(AND(ABS($AC85-significance_bar)&lt;=2.0*IF($V85,IF($AL85="","",$AL85),IF($AK85="","",$AK85)),OR($Y85="worse",$Y85="better",$Y85="worse, not significant",$Y85="better, not significant")),IF(ROUND($AC85,3)=ROUND(significance_bar,3),TEXT($AC85,"0.0000"),TEXT($AC85,"0.000")),""),"")</f>
        <v/>
      </c>
      <c r="AN85">
        <f>IF(AND(ISNUMBER($AC85),ISNUMBER(IF($V85,IF($AL85="","",$AL85),IF($AK85="","",$AK85)))),IF(AND(ABS($AC85-significance_bar)&lt;=2.0*IF($V85,IF($AL85="","",$AL85),IF($AK85="","",$AK85)),OR($Y85="worse",$Y85="worse, not significant")),IF(ROUND($AC85,3)=ROUND(significance_bar,3),TEXT($AC85,"0.0000"),TEXT($AC85,"0.000")),""),"")</f>
        <v/>
      </c>
      <c r="AO85">
        <f>IF(OR($AI85="",$AN85=""),$AI85,$AI85&amp;" · borderline (p "&amp;$AN85&amp;")")</f>
        <v/>
      </c>
    </row>
    <row r="86">
      <c r="A86" t="inlineStr">
        <is>
          <t>grids</t>
        </is>
      </c>
      <c r="B86" t="inlineStr">
        <is>
          <t>FICO x CHANNEL</t>
        </is>
      </c>
      <c r="C86" t="inlineStr">
        <is>
          <t>686 - 711</t>
        </is>
      </c>
      <c r="D86" t="inlineStr">
        <is>
          <t>Branch</t>
        </is>
      </c>
      <c r="E86" t="inlineStr">
        <is>
          <t>gco_rate</t>
        </is>
      </c>
      <c r="F86" t="inlineStr">
        <is>
          <t>GCO per booked dollar</t>
        </is>
      </c>
      <c r="G86" t="n">
        <v>515</v>
      </c>
      <c r="H86" t="n">
        <v>16839795.26999999</v>
      </c>
      <c r="I86" t="b">
        <v>0</v>
      </c>
      <c r="J86" t="b">
        <v>0</v>
      </c>
      <c r="K86" t="n">
        <v>0.564397982369212</v>
      </c>
      <c r="L86" t="n">
        <v>0.02892567886068536</v>
      </c>
      <c r="M86" t="n">
        <v>0.6878985196916947</v>
      </c>
      <c r="N86" t="n">
        <v>0.3190930906909309</v>
      </c>
      <c r="O86" t="n">
        <v>-314123.4470512646</v>
      </c>
      <c r="P86" t="n">
        <v>-184657.6813779352</v>
      </c>
      <c r="Q86">
        <f>'_live'!$C$22</f>
        <v/>
      </c>
      <c r="R86" t="inlineStr">
        <is>
          <t>shuffled: 134 of 10,000</t>
        </is>
      </c>
      <c r="S86" t="inlineStr">
        <is>
          <t>shuffled: 1,578 of 10,000</t>
        </is>
      </c>
      <c r="T86" t="n">
        <v>0.0428226623595564</v>
      </c>
      <c r="U86" t="n">
        <v>0.03513457805701314</v>
      </c>
      <c r="V86">
        <f>AND(judged_band,NOT($J86))</f>
        <v/>
      </c>
      <c r="W86">
        <f>IF($K86="","",IF($I86,"too few losses to test",IF(AND($K86&gt;better_at,$K86&lt;worse_at),"in line",IF($K86&gt;=worse_at,IF(AND(ISNUMBER($L86),$L86&lt;significance_bar),"worse","worse, not significant"),IF(AND(ISNUMBER($L86),$L86&lt;significance_bar),"better","better, not significant")))))</f>
        <v/>
      </c>
      <c r="X86">
        <f>IF($M86="","",IF($I86,"too few losses to test",IF(AND($M86&gt;better_at,$M86&lt;worse_at),"in line",IF($M86&gt;=worse_at,IF(AND(ISNUMBER($N86),$N86&lt;significance_bar),"worse","worse, not significant"),IF(AND(ISNUMBER($N86),$N86&lt;significance_bar),"better","better, not significant")))))</f>
        <v/>
      </c>
      <c r="Y86">
        <f>IF($V86,$X86,$W86)</f>
        <v/>
      </c>
      <c r="Z86">
        <f>IF($V86,IF($P86="","",$P86),IF($O86="","",$O86))</f>
        <v/>
      </c>
      <c r="AA86">
        <f>IF(OR($Q86="",$Z86=""),"",IF(AND($Z86&gt;0,$Z86&gt;=$Q86),"yes","below the line"))</f>
        <v/>
      </c>
      <c r="AB86">
        <f>IF($V86,IF($M86="","",$M86),IF($K86="","",$K86))</f>
        <v/>
      </c>
      <c r="AC86">
        <f>IF($V86,IF($N86="","",$N86),IF($L86="","",$L86))</f>
        <v/>
      </c>
      <c r="AD86">
        <f>$Y86</f>
        <v/>
      </c>
      <c r="AE86">
        <f>IF($V86,IF($S86="","",$S86),IF($R86="","",$R86))</f>
        <v/>
      </c>
      <c r="AF86">
        <f>IF($V86,IF($U86="","",$U86),IF($T86="","",$T86))</f>
        <v/>
      </c>
      <c r="AG86">
        <f>IF($V86,IF($O86="","",$O86),IF($P86="","",$P86))</f>
        <v/>
      </c>
      <c r="AH86" t="n">
        <v>0.02416902423541164</v>
      </c>
      <c r="AI86">
        <f>IF($Y86="worse","Yes",IF($Y86="worse, not significant","Not sure",IF(OR($Y86="too few losses to test",$Y86="too few loans to test"),"Too few losses",IF($Y86="","","No"))))</f>
        <v/>
      </c>
      <c r="AJ86">
        <f>IF($AA86="yes","Yes",IF($AA86="","","No"))</f>
        <v/>
      </c>
      <c r="AK86" t="n">
        <v>0.002472789976141524</v>
      </c>
      <c r="AL86" t="n">
        <v>0.007046127621032738</v>
      </c>
      <c r="AM86">
        <f>IF(AND(ISNUMBER($AC86),ISNUMBER(IF($V86,IF($AL86="","",$AL86),IF($AK86="","",$AK86)))),IF(AND(ABS($AC86-significance_bar)&lt;=2.0*IF($V86,IF($AL86="","",$AL86),IF($AK86="","",$AK86)),OR($Y86="worse",$Y86="better",$Y86="worse, not significant",$Y86="better, not significant")),IF(ROUND($AC86,3)=ROUND(significance_bar,3),TEXT($AC86,"0.0000"),TEXT($AC86,"0.000")),""),"")</f>
        <v/>
      </c>
      <c r="AN86">
        <f>IF(AND(ISNUMBER($AC86),ISNUMBER(IF($V86,IF($AL86="","",$AL86),IF($AK86="","",$AK86)))),IF(AND(ABS($AC86-significance_bar)&lt;=2.0*IF($V86,IF($AL86="","",$AL86),IF($AK86="","",$AK86)),OR($Y86="worse",$Y86="worse, not significant")),IF(ROUND($AC86,3)=ROUND(significance_bar,3),TEXT($AC86,"0.0000"),TEXT($AC86,"0.000")),""),"")</f>
        <v/>
      </c>
      <c r="AO86">
        <f>IF(OR($AI86="",$AN86=""),$AI86,$AI86&amp;" · borderline (p "&amp;$AN86&amp;")")</f>
        <v/>
      </c>
    </row>
    <row r="87">
      <c r="A87" t="inlineStr">
        <is>
          <t>grids</t>
        </is>
      </c>
      <c r="B87" t="inlineStr">
        <is>
          <t>FICO x CHANNEL</t>
        </is>
      </c>
      <c r="C87" t="inlineStr">
        <is>
          <t>686 - 711</t>
        </is>
      </c>
      <c r="D87" t="inlineStr">
        <is>
          <t>Branch</t>
        </is>
      </c>
      <c r="E87" t="inlineStr">
        <is>
          <t>ranr_rate</t>
        </is>
      </c>
      <c r="F87" t="inlineStr">
        <is>
          <t>Profit after losses: RANR per booked dollar</t>
        </is>
      </c>
      <c r="G87" t="n">
        <v>515</v>
      </c>
      <c r="H87" t="n">
        <v>16839795.26999999</v>
      </c>
      <c r="I87" t="b">
        <v>0</v>
      </c>
      <c r="J87" t="b">
        <v>0</v>
      </c>
      <c r="K87" t="n">
        <v>0.001939905021818844</v>
      </c>
      <c r="L87" t="n">
        <v>0.9303069693030698</v>
      </c>
      <c r="M87" t="n">
        <v>-0.01808432210233071</v>
      </c>
      <c r="N87" t="n">
        <v>0.117988201179882</v>
      </c>
      <c r="O87" t="n">
        <v>-32667.60341067426</v>
      </c>
      <c r="P87" t="n">
        <v>304536.2817999851</v>
      </c>
      <c r="Q87">
        <f>'_live'!$C$23</f>
        <v/>
      </c>
      <c r="R87" t="inlineStr">
        <is>
          <t>shuffled: 8,261 of 10,000</t>
        </is>
      </c>
      <c r="S87" t="inlineStr">
        <is>
          <t>shuffled: 589 of 10,000</t>
        </is>
      </c>
      <c r="T87" t="n">
        <v>0.127863464612615</v>
      </c>
      <c r="U87" t="n">
        <v>0.1478876917367646</v>
      </c>
      <c r="V87">
        <f>AND(judged_band,NOT($J87))</f>
        <v/>
      </c>
      <c r="W87">
        <f>IF($K87="","",IF(profit_kind="test",IF(OR(NOT(AND(ISNUMBER($L87),$L87&lt;significance_bar)),$K87=0),"in line",IF($K87&lt;0,"worse","better")),IF(OR($K87=0,IF(profit_kind="points",ABS($K87),ABS($K87*$H87))&lt;profit_line*(1-1E-9)),"in line",IF(AND(ISNUMBER($L87),$L87&lt;significance_bar),IF($K87&lt;0,"worse","better"),IF($K87&lt;0,"worse, not significant","better, not significant")))))</f>
        <v/>
      </c>
      <c r="X87">
        <f>IF($M87="","",IF(profit_kind="test",IF(OR(NOT(AND(ISNUMBER($N87),$N87&lt;significance_bar)),$M87=0),"in line",IF($M87&lt;0,"worse","better")),IF(OR($M87=0,IF(profit_kind="points",ABS($M87),ABS($M87*$H87))&lt;profit_line*(1-1E-9)),"in line",IF(AND(ISNUMBER($N87),$N87&lt;significance_bar),IF($M87&lt;0,"worse","better"),IF($M87&lt;0,"worse, not significant","better, not significant")))))</f>
        <v/>
      </c>
      <c r="Y87">
        <f>IF($V87,$X87,$W87)</f>
        <v/>
      </c>
      <c r="Z87">
        <f>IF($V87,IF($P87="","",$P87),IF($O87="","",$O87))</f>
        <v/>
      </c>
      <c r="AA87">
        <f>IF(OR($Q87="",$Z87=""),"",IF(AND($Z87&gt;0,$Z87&gt;=$Q87),"yes","below the line"))</f>
        <v/>
      </c>
      <c r="AB87">
        <f>IF($V87,IF($M87="","",$M87),IF($K87="","",$K87))</f>
        <v/>
      </c>
      <c r="AC87">
        <f>IF($V87,IF($N87="","",$N87),IF($L87="","",$L87))</f>
        <v/>
      </c>
      <c r="AD87">
        <f>IF($Y87="","",IF($Y87="in line",IF(profit_kind="test",IF(ROUND($AB87*100,2)=0,"0.00",TEXT($AB87*100,"+0.00;-0.00"))&amp;" points against "&amp;IF($V87,"its band","the book")&amp;", "&amp;IF($AC87="","not tested","not significant"),IF(profit_kind="points","within "&amp;TEXT(profit_line*100,"0.00")&amp;" points of "&amp;IF($V87,"its band","the book")&amp;" ("&amp;IF(ROUND($AB87*100,2)=0,"0.00",TEXT($AB87*100,"+0.00;-0.00"))&amp;")","within $"&amp;TEXT(profit_line,"#,##0")&amp;" of "&amp;IF($V87,"its band","the book")&amp;" ("&amp;IF(ROUND($AB87*100,2)=0,"0.00",TEXT($AB87*100,"+0.00;-0.00"))&amp;" points)")),IF(LEFT($Y87,5)="worse","short of ","ahead of ")&amp;IF($V87,"its band","the book")&amp;" by "&amp;TEXT(ABS($AB87)*100,"0.00")&amp;" points"&amp;IF($Z87="",""," ($"&amp;TEXT(ABS($Z87),"#,##0")&amp;")")&amp;IF(RIGHT($Y87,15)="not significant"," (not significant)","")))</f>
        <v/>
      </c>
      <c r="AE87">
        <f>IF($V87,IF($S87="","",$S87),IF($R87="","",$R87))</f>
        <v/>
      </c>
      <c r="AF87">
        <f>IF($V87,IF($U87="","",$U87),IF($T87="","",$T87))</f>
        <v/>
      </c>
      <c r="AG87">
        <f>IF($V87,IF($O87="","",$O87),IF($P87="","",$P87))</f>
        <v/>
      </c>
      <c r="AH87" t="n">
        <v>0.1298033696344339</v>
      </c>
      <c r="AI87">
        <f>IF($Y87="worse","Yes",IF($Y87="worse, not significant","Not sure",IF(OR($Y87="too few losses to test",$Y87="too few loans to test"),"Too few losses",IF($Y87="","","No"))))</f>
        <v/>
      </c>
      <c r="AJ87">
        <f>IF($AA87="yes","Yes",IF($AA87="","","No"))</f>
        <v/>
      </c>
      <c r="AK87" t="n">
        <v>0.002546289696189478</v>
      </c>
      <c r="AL87" t="n">
        <v>0.004712273196049861</v>
      </c>
      <c r="AM87">
        <f>IF(AND(ISNUMBER($AC87),ISNUMBER(IF($V87,IF($AL87="","",$AL87),IF($AK87="","",$AK87)))),IF(AND(ABS($AC87-significance_bar)&lt;=2.0*IF($V87,IF($AL87="","",$AL87),IF($AK87="","",$AK87)),OR($Y87="worse",$Y87="better",$Y87="worse, not significant",$Y87="better, not significant",AND(profit_kind="test",$Y87="in line",ISNUMBER($AB87),$AB87&lt;&gt;0))),IF(ROUND($AC87,3)=ROUND(significance_bar,3),TEXT($AC87,"0.0000"),TEXT($AC87,"0.000")),""),"")</f>
        <v/>
      </c>
      <c r="AN87">
        <f>IF(AND(ISNUMBER($AC87),ISNUMBER(IF($V87,IF($AL87="","",$AL87),IF($AK87="","",$AK87)))),IF(AND(ABS($AC87-significance_bar)&lt;=2.0*IF($V87,IF($AL87="","",$AL87),IF($AK87="","",$AK87)),OR($Y87="worse",$Y87="worse, not significant",AND(profit_kind="test",$Y87="in line",ISNUMBER($AB87),$AB87&lt;0))),IF(ROUND($AC87,3)=ROUND(significance_bar,3),TEXT($AC87,"0.0000"),TEXT($AC87,"0.000")),""),"")</f>
        <v/>
      </c>
      <c r="AO87">
        <f>IF(OR($AI87="",$AN87=""),$AI87,$AI87&amp;" · borderline (p "&amp;$AN87&amp;")")</f>
        <v/>
      </c>
    </row>
    <row r="88">
      <c r="A88" t="inlineStr">
        <is>
          <t>grids</t>
        </is>
      </c>
      <c r="B88" t="inlineStr">
        <is>
          <t>FICO x CHANNEL</t>
        </is>
      </c>
      <c r="C88" t="inlineStr">
        <is>
          <t>686 - 711</t>
        </is>
      </c>
      <c r="D88" t="inlineStr">
        <is>
          <t>Branch</t>
        </is>
      </c>
      <c r="E88" t="inlineStr">
        <is>
          <t>contribution_rate</t>
        </is>
      </c>
      <c r="F88" t="inlineStr">
        <is>
          <t>Contribution before losses per booked dollar</t>
        </is>
      </c>
      <c r="G88" t="n">
        <v>515</v>
      </c>
      <c r="H88" t="n">
        <v>16839795.26999999</v>
      </c>
      <c r="I88" t="b">
        <v>0</v>
      </c>
      <c r="J88" t="b">
        <v>0</v>
      </c>
      <c r="K88" t="n">
        <v>-0.01671065339556996</v>
      </c>
      <c r="L88" t="n">
        <v>0.00721927807219278</v>
      </c>
      <c r="M88" t="n">
        <v>-0.02904987592393221</v>
      </c>
      <c r="N88" t="n">
        <v>0.0002571171454283143</v>
      </c>
      <c r="O88" t="n">
        <v>281403.982009328</v>
      </c>
      <c r="P88" t="n">
        <v>489193.9631779199</v>
      </c>
      <c r="Q88">
        <f>'_live'!$C$24</f>
        <v/>
      </c>
      <c r="R88" t="inlineStr">
        <is>
          <t>shuffled: 56 of 10,000</t>
        </is>
      </c>
      <c r="S88" t="inlineStr">
        <is>
          <t>shuffled: 0 of 10,000</t>
        </is>
      </c>
      <c r="T88" t="n">
        <v>0.1706830472654155</v>
      </c>
      <c r="U88" t="n">
        <v>0.1830222697937777</v>
      </c>
      <c r="V88">
        <f>AND(judged_band,NOT($J88))</f>
        <v/>
      </c>
      <c r="W88">
        <f>IF($K88="","",IF(profit_kind="test",IF(OR(NOT(AND(ISNUMBER($L88),$L88&lt;significance_bar)),$K88=0),"in line",IF($K88&lt;0,"worse","better")),IF(OR($K88=0,IF(profit_kind="points",ABS($K88),ABS($K88*$H88))&lt;profit_line*(1-1E-9)),"in line",IF(AND(ISNUMBER($L88),$L88&lt;significance_bar),IF($K88&lt;0,"worse","better"),IF($K88&lt;0,"worse, not significant","better, not significant")))))</f>
        <v/>
      </c>
      <c r="X88">
        <f>IF($M88="","",IF(profit_kind="test",IF(OR(NOT(AND(ISNUMBER($N88),$N88&lt;significance_bar)),$M88=0),"in line",IF($M88&lt;0,"worse","better")),IF(OR($M88=0,IF(profit_kind="points",ABS($M88),ABS($M88*$H88))&lt;profit_line*(1-1E-9)),"in line",IF(AND(ISNUMBER($N88),$N88&lt;significance_bar),IF($M88&lt;0,"worse","better"),IF($M88&lt;0,"worse, not significant","better, not significant")))))</f>
        <v/>
      </c>
      <c r="Y88">
        <f>IF($V88,$X88,$W88)</f>
        <v/>
      </c>
      <c r="Z88">
        <f>IF($V88,IF($P88="","",$P88),IF($O88="","",$O88))</f>
        <v/>
      </c>
      <c r="AA88">
        <f>IF(OR($Q88="",$Z88=""),"",IF(AND($Z88&gt;0,$Z88&gt;=$Q88),"yes","below the line"))</f>
        <v/>
      </c>
      <c r="AB88">
        <f>IF($V88,IF($M88="","",$M88),IF($K88="","",$K88))</f>
        <v/>
      </c>
      <c r="AC88">
        <f>IF($V88,IF($N88="","",$N88),IF($L88="","",$L88))</f>
        <v/>
      </c>
      <c r="AD88">
        <f>IF($Y88="","",IF($Y88="in line",IF(profit_kind="test",IF(ROUND($AB88*100,2)=0,"0.00",TEXT($AB88*100,"+0.00;-0.00"))&amp;" points against "&amp;IF($V88,"its band","the book")&amp;", "&amp;IF($AC88="","not tested","not significant"),IF(profit_kind="points","within "&amp;TEXT(profit_line*100,"0.00")&amp;" points of "&amp;IF($V88,"its band","the book")&amp;" ("&amp;IF(ROUND($AB88*100,2)=0,"0.00",TEXT($AB88*100,"+0.00;-0.00"))&amp;")","within $"&amp;TEXT(profit_line,"#,##0")&amp;" of "&amp;IF($V88,"its band","the book")&amp;" ("&amp;IF(ROUND($AB88*100,2)=0,"0.00",TEXT($AB88*100,"+0.00;-0.00"))&amp;" points)")),IF(LEFT($Y88,5)="worse","short of ","ahead of ")&amp;IF($V88,"its band","the book")&amp;" by "&amp;TEXT(ABS($AB88)*100,"0.00")&amp;" points"&amp;IF($Z88="",""," ($"&amp;TEXT(ABS($Z88),"#,##0")&amp;")")&amp;IF(RIGHT($Y88,15)="not significant"," (not significant)","")))</f>
        <v/>
      </c>
      <c r="AE88">
        <f>IF($V88,IF($S88="","",$S88),IF($R88="","",$R88))</f>
        <v/>
      </c>
      <c r="AF88">
        <f>IF($V88,IF($U88="","",$U88),IF($T88="","",$T88))</f>
        <v/>
      </c>
      <c r="AG88">
        <f>IF($V88,IF($O88="","",$O88),IF($P88="","",$P88))</f>
        <v/>
      </c>
      <c r="AH88" t="n">
        <v>0.1539723938698455</v>
      </c>
      <c r="AI88">
        <f>IF($Y88="worse","Yes",IF($Y88="worse, not significant","Not sure",IF(OR($Y88="too few losses to test",$Y88="too few loans to test"),"Too few losses",IF($Y88="","","No"))))</f>
        <v/>
      </c>
      <c r="AJ88">
        <f>IF($AA88="yes","Yes",IF($AA88="","","No"))</f>
        <v/>
      </c>
      <c r="AK88" t="n">
        <v>0.0009535355743526588</v>
      </c>
      <c r="AL88" t="n">
        <v>0.0002571171454283143</v>
      </c>
      <c r="AM88">
        <f>IF(AND(ISNUMBER($AC88),ISNUMBER(IF($V88,IF($AL88="","",$AL88),IF($AK88="","",$AK88)))),IF(AND(ABS($AC88-significance_bar)&lt;=2.0*IF($V88,IF($AL88="","",$AL88),IF($AK88="","",$AK88)),OR($Y88="worse",$Y88="better",$Y88="worse, not significant",$Y88="better, not significant",AND(profit_kind="test",$Y88="in line",ISNUMBER($AB88),$AB88&lt;&gt;0))),IF(ROUND($AC88,3)=ROUND(significance_bar,3),TEXT($AC88,"0.0000"),TEXT($AC88,"0.000")),""),"")</f>
        <v/>
      </c>
      <c r="AN88">
        <f>IF(AND(ISNUMBER($AC88),ISNUMBER(IF($V88,IF($AL88="","",$AL88),IF($AK88="","",$AK88)))),IF(AND(ABS($AC88-significance_bar)&lt;=2.0*IF($V88,IF($AL88="","",$AL88),IF($AK88="","",$AK88)),OR($Y88="worse",$Y88="worse, not significant",AND(profit_kind="test",$Y88="in line",ISNUMBER($AB88),$AB88&lt;0))),IF(ROUND($AC88,3)=ROUND(significance_bar,3),TEXT($AC88,"0.0000"),TEXT($AC88,"0.000")),""),"")</f>
        <v/>
      </c>
      <c r="AO88">
        <f>IF(OR($AI88="",$AN88=""),$AI88,$AI88&amp;" · borderline (p "&amp;$AN88&amp;")")</f>
        <v/>
      </c>
    </row>
    <row r="89">
      <c r="A89" t="inlineStr">
        <is>
          <t>grids</t>
        </is>
      </c>
      <c r="B89" t="inlineStr">
        <is>
          <t>FICO x CHANNEL</t>
        </is>
      </c>
      <c r="C89" t="inlineStr">
        <is>
          <t>(marked missing)</t>
        </is>
      </c>
      <c r="D89" t="inlineStr">
        <is>
          <t>Branch</t>
        </is>
      </c>
      <c r="E89" t="inlineStr">
        <is>
          <t>outcome_loans</t>
        </is>
      </c>
      <c r="F89" t="inlineStr">
        <is>
          <t>Outcome, share of loans</t>
        </is>
      </c>
      <c r="G89" t="n">
        <v>51</v>
      </c>
      <c r="H89" t="n">
        <v>51</v>
      </c>
      <c r="I89" t="b">
        <v>1</v>
      </c>
      <c r="J89" t="b">
        <v>0</v>
      </c>
      <c r="K89" t="n">
        <v>0.2521733612538867</v>
      </c>
      <c r="M89" t="n">
        <v>0.2374727668845316</v>
      </c>
      <c r="O89" t="n">
        <v>-2.965525918470056</v>
      </c>
      <c r="P89" t="n">
        <v>-3.211009174311926</v>
      </c>
      <c r="Q89">
        <f>'_live'!$C$20</f>
        <v/>
      </c>
      <c r="T89" t="n">
        <v>0.07775541016607952</v>
      </c>
      <c r="U89" t="n">
        <v>0.08256880733944955</v>
      </c>
      <c r="V89">
        <f>AND(judged_band,NOT($J89))</f>
        <v/>
      </c>
      <c r="W89">
        <f>IF($K89="","",IF($I89,"too few losses to test",IF(AND($K89&gt;better_at,$K89&lt;worse_at),"in line",IF($K89&gt;=worse_at,IF(AND(ISNUMBER($L89),$L89&lt;significance_bar),"worse","worse, not significant"),IF(AND(ISNUMBER($L89),$L89&lt;significance_bar),"better","better, not significant")))))</f>
        <v/>
      </c>
      <c r="X89">
        <f>IF($M89="","",IF($I89,"too few losses to test",IF(AND($M89&gt;better_at,$M89&lt;worse_at),"in line",IF($M89&gt;=worse_at,IF(AND(ISNUMBER($N89),$N89&lt;significance_bar),"worse","worse, not significant"),IF(AND(ISNUMBER($N89),$N89&lt;significance_bar),"better","better, not significant")))))</f>
        <v/>
      </c>
      <c r="Y89">
        <f>IF($V89,$X89,$W89)</f>
        <v/>
      </c>
      <c r="Z89">
        <f>IF($V89,IF($P89="","",$P89),IF($O89="","",$O89))</f>
        <v/>
      </c>
      <c r="AA89">
        <f>IF(OR($Q89="",$Z89=""),"",IF(AND($Z89&gt;0,$Z89&gt;=$Q89),"yes","below the line"))</f>
        <v/>
      </c>
      <c r="AB89">
        <f>IF($V89,IF($M89="","",$M89),IF($K89="","",$K89))</f>
        <v/>
      </c>
      <c r="AC89">
        <f>IF($V89,IF($N89="","",$N89),IF($L89="","",$L89))</f>
        <v/>
      </c>
      <c r="AD89">
        <f>$Y89</f>
        <v/>
      </c>
      <c r="AE89">
        <f>IF($V89,IF($S89="","",$S89),IF($R89="","",$R89))</f>
        <v/>
      </c>
      <c r="AF89">
        <f>IF($V89,IF($U89="","",$U89),IF($T89="","",$T89))</f>
        <v/>
      </c>
      <c r="AG89">
        <f>IF($V89,IF($O89="","",$O89),IF($P89="","",$P89))</f>
        <v/>
      </c>
      <c r="AH89" t="n">
        <v>0.0196078431372549</v>
      </c>
      <c r="AI89">
        <f>IF($Y89="worse","Yes",IF($Y89="worse, not significant","Not sure",IF(OR($Y89="too few losses to test",$Y89="too few loans to test"),"Too few losses",IF($Y89="","","No"))))</f>
        <v/>
      </c>
      <c r="AJ89">
        <f>IF($AA89="yes","Yes",IF($AA89="","","No"))</f>
        <v/>
      </c>
      <c r="AM89">
        <f>IF(AND(ISNUMBER($AC89),ISNUMBER(IF($V89,IF($AL89="","",$AL89),IF($AK89="","",$AK89)))),IF(AND(ABS($AC89-significance_bar)&lt;=2.0*IF($V89,IF($AL89="","",$AL89),IF($AK89="","",$AK89)),OR($Y89="worse",$Y89="better",$Y89="worse, not significant",$Y89="better, not significant")),IF(ROUND($AC89,3)=ROUND(significance_bar,3),TEXT($AC89,"0.0000"),TEXT($AC89,"0.000")),""),"")</f>
        <v/>
      </c>
      <c r="AN89">
        <f>IF(AND(ISNUMBER($AC89),ISNUMBER(IF($V89,IF($AL89="","",$AL89),IF($AK89="","",$AK89)))),IF(AND(ABS($AC89-significance_bar)&lt;=2.0*IF($V89,IF($AL89="","",$AL89),IF($AK89="","",$AK89)),OR($Y89="worse",$Y89="worse, not significant")),IF(ROUND($AC89,3)=ROUND(significance_bar,3),TEXT($AC89,"0.0000"),TEXT($AC89,"0.000")),""),"")</f>
        <v/>
      </c>
      <c r="AO89">
        <f>IF(OR($AI89="",$AN89=""),$AI89,$AI89&amp;" · borderline (p "&amp;$AN89&amp;")")</f>
        <v/>
      </c>
    </row>
    <row r="90">
      <c r="A90" t="inlineStr">
        <is>
          <t>grids</t>
        </is>
      </c>
      <c r="B90" t="inlineStr">
        <is>
          <t>FICO x CHANNEL</t>
        </is>
      </c>
      <c r="C90" t="inlineStr">
        <is>
          <t>(marked missing)</t>
        </is>
      </c>
      <c r="D90" t="inlineStr">
        <is>
          <t>Branch</t>
        </is>
      </c>
      <c r="E90" t="inlineStr">
        <is>
          <t>outcome_booked</t>
        </is>
      </c>
      <c r="F90" t="inlineStr">
        <is>
          <t>Outcome, share of booked dollars</t>
        </is>
      </c>
      <c r="G90" t="n">
        <v>51</v>
      </c>
      <c r="H90" t="n">
        <v>1771003.54</v>
      </c>
      <c r="I90" t="b">
        <v>1</v>
      </c>
      <c r="J90" t="b">
        <v>0</v>
      </c>
      <c r="K90" t="n">
        <v>0.2127232043448544</v>
      </c>
      <c r="M90" t="n">
        <v>0.2487591556274611</v>
      </c>
      <c r="O90" t="n">
        <v>-104898.4636242883</v>
      </c>
      <c r="P90" t="n">
        <v>-85596.62886350202</v>
      </c>
      <c r="Q90">
        <f>'_live'!$C$21</f>
        <v/>
      </c>
      <c r="T90" t="n">
        <v>0.07523540219704376</v>
      </c>
      <c r="U90" t="n">
        <v>0.06433659012533764</v>
      </c>
      <c r="V90">
        <f>AND(judged_band,NOT($J90))</f>
        <v/>
      </c>
      <c r="W90">
        <f>IF($K90="","",IF($I90,"too few losses to test",IF(AND($K90&gt;better_at,$K90&lt;worse_at),"in line",IF($K90&gt;=worse_at,IF(AND(ISNUMBER($L90),$L90&lt;significance_bar),"worse","worse, not significant"),IF(AND(ISNUMBER($L90),$L90&lt;significance_bar),"better","better, not significant")))))</f>
        <v/>
      </c>
      <c r="X90">
        <f>IF($M90="","",IF($I90,"too few losses to test",IF(AND($M90&gt;better_at,$M90&lt;worse_at),"in line",IF($M90&gt;=worse_at,IF(AND(ISNUMBER($N90),$N90&lt;significance_bar),"worse","worse, not significant"),IF(AND(ISNUMBER($N90),$N90&lt;significance_bar),"better","better, not significant")))))</f>
        <v/>
      </c>
      <c r="Y90">
        <f>IF($V90,$X90,$W90)</f>
        <v/>
      </c>
      <c r="Z90">
        <f>IF($V90,IF($P90="","",$P90),IF($O90="","",$O90))</f>
        <v/>
      </c>
      <c r="AA90">
        <f>IF(OR($Q90="",$Z90=""),"",IF(AND($Z90&gt;0,$Z90&gt;=$Q90),"yes","below the line"))</f>
        <v/>
      </c>
      <c r="AB90">
        <f>IF($V90,IF($M90="","",$M90),IF($K90="","",$K90))</f>
        <v/>
      </c>
      <c r="AC90">
        <f>IF($V90,IF($N90="","",$N90),IF($L90="","",$L90))</f>
        <v/>
      </c>
      <c r="AD90">
        <f>$Y90</f>
        <v/>
      </c>
      <c r="AE90">
        <f>IF($V90,IF($S90="","",$S90),IF($R90="","",$R90))</f>
        <v/>
      </c>
      <c r="AF90">
        <f>IF($V90,IF($U90="","",$U90),IF($T90="","",$T90))</f>
        <v/>
      </c>
      <c r="AG90">
        <f>IF($V90,IF($O90="","",$O90),IF($P90="","",$P90))</f>
        <v/>
      </c>
      <c r="AH90" t="n">
        <v>0.01600431583552905</v>
      </c>
      <c r="AI90">
        <f>IF($Y90="worse","Yes",IF($Y90="worse, not significant","Not sure",IF(OR($Y90="too few losses to test",$Y90="too few loans to test"),"Too few losses",IF($Y90="","","No"))))</f>
        <v/>
      </c>
      <c r="AJ90">
        <f>IF($AA90="yes","Yes",IF($AA90="","","No"))</f>
        <v/>
      </c>
      <c r="AM90">
        <f>IF(AND(ISNUMBER($AC90),ISNUMBER(IF($V90,IF($AL90="","",$AL90),IF($AK90="","",$AK90)))),IF(AND(ABS($AC90-significance_bar)&lt;=2.0*IF($V90,IF($AL90="","",$AL90),IF($AK90="","",$AK90)),OR($Y90="worse",$Y90="better",$Y90="worse, not significant",$Y90="better, not significant")),IF(ROUND($AC90,3)=ROUND(significance_bar,3),TEXT($AC90,"0.0000"),TEXT($AC90,"0.000")),""),"")</f>
        <v/>
      </c>
      <c r="AN90">
        <f>IF(AND(ISNUMBER($AC90),ISNUMBER(IF($V90,IF($AL90="","",$AL90),IF($AK90="","",$AK90)))),IF(AND(ABS($AC90-significance_bar)&lt;=2.0*IF($V90,IF($AL90="","",$AL90),IF($AK90="","",$AK90)),OR($Y90="worse",$Y90="worse, not significant")),IF(ROUND($AC90,3)=ROUND(significance_bar,3),TEXT($AC90,"0.0000"),TEXT($AC90,"0.000")),""),"")</f>
        <v/>
      </c>
      <c r="AO90">
        <f>IF(OR($AI90="",$AN90=""),$AI90,$AI90&amp;" · borderline (p "&amp;$AN90&amp;")")</f>
        <v/>
      </c>
    </row>
    <row r="91">
      <c r="A91" t="inlineStr">
        <is>
          <t>grids</t>
        </is>
      </c>
      <c r="B91" t="inlineStr">
        <is>
          <t>FICO x CHANNEL</t>
        </is>
      </c>
      <c r="C91" t="inlineStr">
        <is>
          <t>(marked missing)</t>
        </is>
      </c>
      <c r="D91" t="inlineStr">
        <is>
          <t>Branch</t>
        </is>
      </c>
      <c r="E91" t="inlineStr">
        <is>
          <t>gco_rate</t>
        </is>
      </c>
      <c r="F91" t="inlineStr">
        <is>
          <t>GCO per booked dollar</t>
        </is>
      </c>
      <c r="G91" t="n">
        <v>51</v>
      </c>
      <c r="H91" t="n">
        <v>1771003.54</v>
      </c>
      <c r="I91" t="b">
        <v>1</v>
      </c>
      <c r="J91" t="b">
        <v>0</v>
      </c>
      <c r="K91" t="n">
        <v>0.1858993104822754</v>
      </c>
      <c r="M91" t="n">
        <v>0.2258167925955009</v>
      </c>
      <c r="O91" t="n">
        <v>-60322.50108264946</v>
      </c>
      <c r="P91" t="n">
        <v>-47224.40650291339</v>
      </c>
      <c r="Q91">
        <f>'_live'!$C$22</f>
        <v/>
      </c>
      <c r="T91" t="n">
        <v>0.04183904741525783</v>
      </c>
      <c r="U91" t="n">
        <v>0.03444318722418442</v>
      </c>
      <c r="V91">
        <f>AND(judged_band,NOT($J91))</f>
        <v/>
      </c>
      <c r="W91">
        <f>IF($K91="","",IF($I91,"too few losses to test",IF(AND($K91&gt;better_at,$K91&lt;worse_at),"in line",IF($K91&gt;=worse_at,IF(AND(ISNUMBER($L91),$L91&lt;significance_bar),"worse","worse, not significant"),IF(AND(ISNUMBER($L91),$L91&lt;significance_bar),"better","better, not significant")))))</f>
        <v/>
      </c>
      <c r="X91">
        <f>IF($M91="","",IF($I91,"too few losses to test",IF(AND($M91&gt;better_at,$M91&lt;worse_at),"in line",IF($M91&gt;=worse_at,IF(AND(ISNUMBER($N91),$N91&lt;significance_bar),"worse","worse, not significant"),IF(AND(ISNUMBER($N91),$N91&lt;significance_bar),"better","better, not significant")))))</f>
        <v/>
      </c>
      <c r="Y91">
        <f>IF($V91,$X91,$W91)</f>
        <v/>
      </c>
      <c r="Z91">
        <f>IF($V91,IF($P91="","",$P91),IF($O91="","",$O91))</f>
        <v/>
      </c>
      <c r="AA91">
        <f>IF(OR($Q91="",$Z91=""),"",IF(AND($Z91&gt;0,$Z91&gt;=$Q91),"yes","below the line"))</f>
        <v/>
      </c>
      <c r="AB91">
        <f>IF($V91,IF($M91="","",$M91),IF($K91="","",$K91))</f>
        <v/>
      </c>
      <c r="AC91">
        <f>IF($V91,IF($N91="","",$N91),IF($L91="","",$L91))</f>
        <v/>
      </c>
      <c r="AD91">
        <f>$Y91</f>
        <v/>
      </c>
      <c r="AE91">
        <f>IF($V91,IF($S91="","",$S91),IF($R91="","",$R91))</f>
        <v/>
      </c>
      <c r="AF91">
        <f>IF($V91,IF($U91="","",$U91),IF($T91="","",$T91))</f>
        <v/>
      </c>
      <c r="AG91">
        <f>IF($V91,IF($O91="","",$O91),IF($P91="","",$P91))</f>
        <v/>
      </c>
      <c r="AH91" t="n">
        <v>0.007777850065731658</v>
      </c>
      <c r="AI91">
        <f>IF($Y91="worse","Yes",IF($Y91="worse, not significant","Not sure",IF(OR($Y91="too few losses to test",$Y91="too few loans to test"),"Too few losses",IF($Y91="","","No"))))</f>
        <v/>
      </c>
      <c r="AJ91">
        <f>IF($AA91="yes","Yes",IF($AA91="","","No"))</f>
        <v/>
      </c>
      <c r="AM91">
        <f>IF(AND(ISNUMBER($AC91),ISNUMBER(IF($V91,IF($AL91="","",$AL91),IF($AK91="","",$AK91)))),IF(AND(ABS($AC91-significance_bar)&lt;=2.0*IF($V91,IF($AL91="","",$AL91),IF($AK91="","",$AK91)),OR($Y91="worse",$Y91="better",$Y91="worse, not significant",$Y91="better, not significant")),IF(ROUND($AC91,3)=ROUND(significance_bar,3),TEXT($AC91,"0.0000"),TEXT($AC91,"0.000")),""),"")</f>
        <v/>
      </c>
      <c r="AN91">
        <f>IF(AND(ISNUMBER($AC91),ISNUMBER(IF($V91,IF($AL91="","",$AL91),IF($AK91="","",$AK91)))),IF(AND(ABS($AC91-significance_bar)&lt;=2.0*IF($V91,IF($AL91="","",$AL91),IF($AK91="","",$AK91)),OR($Y91="worse",$Y91="worse, not significant")),IF(ROUND($AC91,3)=ROUND(significance_bar,3),TEXT($AC91,"0.0000"),TEXT($AC91,"0.000")),""),"")</f>
        <v/>
      </c>
      <c r="AO91">
        <f>IF(OR($AI91="",$AN91=""),$AI91,$AI91&amp;" · borderline (p "&amp;$AN91&amp;")")</f>
        <v/>
      </c>
    </row>
    <row r="92">
      <c r="A92" t="inlineStr">
        <is>
          <t>grids</t>
        </is>
      </c>
      <c r="B92" t="inlineStr">
        <is>
          <t>FICO x CHANNEL</t>
        </is>
      </c>
      <c r="C92" t="inlineStr">
        <is>
          <t>(marked missing)</t>
        </is>
      </c>
      <c r="D92" t="inlineStr">
        <is>
          <t>Branch</t>
        </is>
      </c>
      <c r="E92" t="inlineStr">
        <is>
          <t>ranr_rate</t>
        </is>
      </c>
      <c r="F92" t="inlineStr">
        <is>
          <t>Profit after losses: RANR per booked dollar</t>
        </is>
      </c>
      <c r="G92" t="n">
        <v>51</v>
      </c>
      <c r="H92" t="n">
        <v>1771003.54</v>
      </c>
      <c r="I92" t="b">
        <v>0</v>
      </c>
      <c r="J92" t="b">
        <v>0</v>
      </c>
      <c r="K92" t="n">
        <v>0.01908638008155075</v>
      </c>
      <c r="L92" t="n">
        <v>0.6398560143985601</v>
      </c>
      <c r="M92" t="n">
        <v>-0.0123705943219497</v>
      </c>
      <c r="N92" t="n">
        <v>0.7071175235417635</v>
      </c>
      <c r="O92" t="n">
        <v>-33802.04669021186</v>
      </c>
      <c r="P92" t="n">
        <v>21908.36633607684</v>
      </c>
      <c r="Q92">
        <f>'_live'!$C$23</f>
        <v/>
      </c>
      <c r="R92" t="inlineStr">
        <is>
          <t>shuffled: 5,051 of 10,000</t>
        </is>
      </c>
      <c r="S92" t="inlineStr">
        <is>
          <t>shuffled: 6,678 of 10,000</t>
        </is>
      </c>
      <c r="T92" t="n">
        <v>0.1278590687118492</v>
      </c>
      <c r="U92" t="n">
        <v>0.1593160431153496</v>
      </c>
      <c r="V92">
        <f>AND(judged_band,NOT($J92))</f>
        <v/>
      </c>
      <c r="W92">
        <f>IF($K92="","",IF(profit_kind="test",IF(OR(NOT(AND(ISNUMBER($L92),$L92&lt;significance_bar)),$K92=0),"in line",IF($K92&lt;0,"worse","better")),IF(OR($K92=0,IF(profit_kind="points",ABS($K92),ABS($K92*$H92))&lt;profit_line*(1-1E-9)),"in line",IF(AND(ISNUMBER($L92),$L92&lt;significance_bar),IF($K92&lt;0,"worse","better"),IF($K92&lt;0,"worse, not significant","better, not significant")))))</f>
        <v/>
      </c>
      <c r="X92">
        <f>IF($M92="","",IF(profit_kind="test",IF(OR(NOT(AND(ISNUMBER($N92),$N92&lt;significance_bar)),$M92=0),"in line",IF($M92&lt;0,"worse","better")),IF(OR($M92=0,IF(profit_kind="points",ABS($M92),ABS($M92*$H92))&lt;profit_line*(1-1E-9)),"in line",IF(AND(ISNUMBER($N92),$N92&lt;significance_bar),IF($M92&lt;0,"worse","better"),IF($M92&lt;0,"worse, not significant","better, not significant")))))</f>
        <v/>
      </c>
      <c r="Y92">
        <f>IF($V92,$X92,$W92)</f>
        <v/>
      </c>
      <c r="Z92">
        <f>IF($V92,IF($P92="","",$P92),IF($O92="","",$O92))</f>
        <v/>
      </c>
      <c r="AA92">
        <f>IF(OR($Q92="",$Z92=""),"",IF(AND($Z92&gt;0,$Z92&gt;=$Q92),"yes","below the line"))</f>
        <v/>
      </c>
      <c r="AB92">
        <f>IF($V92,IF($M92="","",$M92),IF($K92="","",$K92))</f>
        <v/>
      </c>
      <c r="AC92">
        <f>IF($V92,IF($N92="","",$N92),IF($L92="","",$L92))</f>
        <v/>
      </c>
      <c r="AD92">
        <f>IF($Y92="","",IF($Y92="in line",IF(profit_kind="test",IF(ROUND($AB92*100,2)=0,"0.00",TEXT($AB92*100,"+0.00;-0.00"))&amp;" points against "&amp;IF($V92,"its band","the book")&amp;", "&amp;IF($AC92="","not tested","not significant"),IF(profit_kind="points","within "&amp;TEXT(profit_line*100,"0.00")&amp;" points of "&amp;IF($V92,"its band","the book")&amp;" ("&amp;IF(ROUND($AB92*100,2)=0,"0.00",TEXT($AB92*100,"+0.00;-0.00"))&amp;")","within $"&amp;TEXT(profit_line,"#,##0")&amp;" of "&amp;IF($V92,"its band","the book")&amp;" ("&amp;IF(ROUND($AB92*100,2)=0,"0.00",TEXT($AB92*100,"+0.00;-0.00"))&amp;" points)")),IF(LEFT($Y92,5)="worse","short of ","ahead of ")&amp;IF($V92,"its band","the book")&amp;" by "&amp;TEXT(ABS($AB92)*100,"0.00")&amp;" points"&amp;IF($Z92="",""," ($"&amp;TEXT(ABS($Z92),"#,##0")&amp;")")&amp;IF(RIGHT($Y92,15)="not significant"," (not significant)","")))</f>
        <v/>
      </c>
      <c r="AE92">
        <f>IF($V92,IF($S92="","",$S92),IF($R92="","",$R92))</f>
        <v/>
      </c>
      <c r="AF92">
        <f>IF($V92,IF($U92="","",$U92),IF($T92="","",$T92))</f>
        <v/>
      </c>
      <c r="AG92">
        <f>IF($V92,IF($O92="","",$O92),IF($P92="","",$P92))</f>
        <v/>
      </c>
      <c r="AH92" t="n">
        <v>0.1469454487933999</v>
      </c>
      <c r="AI92">
        <f>IF($Y92="worse","Yes",IF($Y92="worse, not significant","Not sure",IF(OR($Y92="too few losses to test",$Y92="too few loans to test"),"Too few losses",IF($Y92="","","No"))))</f>
        <v/>
      </c>
      <c r="AJ92">
        <f>IF($AA92="yes","Yes",IF($AA92="","","No"))</f>
        <v/>
      </c>
      <c r="AK92" t="n">
        <v>0.006332997439939736</v>
      </c>
      <c r="AL92" t="n">
        <v>0.004986957788928639</v>
      </c>
      <c r="AM92">
        <f>IF(AND(ISNUMBER($AC92),ISNUMBER(IF($V92,IF($AL92="","",$AL92),IF($AK92="","",$AK92)))),IF(AND(ABS($AC92-significance_bar)&lt;=2.0*IF($V92,IF($AL92="","",$AL92),IF($AK92="","",$AK92)),OR($Y92="worse",$Y92="better",$Y92="worse, not significant",$Y92="better, not significant",AND(profit_kind="test",$Y92="in line",ISNUMBER($AB92),$AB92&lt;&gt;0))),IF(ROUND($AC92,3)=ROUND(significance_bar,3),TEXT($AC92,"0.0000"),TEXT($AC92,"0.000")),""),"")</f>
        <v/>
      </c>
      <c r="AN92">
        <f>IF(AND(ISNUMBER($AC92),ISNUMBER(IF($V92,IF($AL92="","",$AL92),IF($AK92="","",$AK92)))),IF(AND(ABS($AC92-significance_bar)&lt;=2.0*IF($V92,IF($AL92="","",$AL92),IF($AK92="","",$AK92)),OR($Y92="worse",$Y92="worse, not significant",AND(profit_kind="test",$Y92="in line",ISNUMBER($AB92),$AB92&lt;0))),IF(ROUND($AC92,3)=ROUND(significance_bar,3),TEXT($AC92,"0.0000"),TEXT($AC92,"0.000")),""),"")</f>
        <v/>
      </c>
      <c r="AO92">
        <f>IF(OR($AI92="",$AN92=""),$AI92,$AI92&amp;" · borderline (p "&amp;$AN92&amp;")")</f>
        <v/>
      </c>
    </row>
    <row r="93">
      <c r="A93" t="inlineStr">
        <is>
          <t>grids</t>
        </is>
      </c>
      <c r="B93" t="inlineStr">
        <is>
          <t>FICO x CHANNEL</t>
        </is>
      </c>
      <c r="C93" t="inlineStr">
        <is>
          <t>(marked missing)</t>
        </is>
      </c>
      <c r="D93" t="inlineStr">
        <is>
          <t>Branch</t>
        </is>
      </c>
      <c r="E93" t="inlineStr">
        <is>
          <t>contribution_rate</t>
        </is>
      </c>
      <c r="F93" t="inlineStr">
        <is>
          <t>Contribution before losses per booked dollar</t>
        </is>
      </c>
      <c r="G93" t="n">
        <v>51</v>
      </c>
      <c r="H93" t="n">
        <v>1771003.54</v>
      </c>
      <c r="I93" t="b">
        <v>0</v>
      </c>
      <c r="J93" t="b">
        <v>0</v>
      </c>
      <c r="K93" t="n">
        <v>-0.01497191797726319</v>
      </c>
      <c r="L93" t="n">
        <v>0.4762935471158767</v>
      </c>
      <c r="M93" t="n">
        <v>-0.03903593148040246</v>
      </c>
      <c r="N93" t="n">
        <v>0.1549481415494814</v>
      </c>
      <c r="O93" t="n">
        <v>26515.31973832275</v>
      </c>
      <c r="P93" t="n">
        <v>69132.7728389902</v>
      </c>
      <c r="Q93">
        <f>'_live'!$C$24</f>
        <v/>
      </c>
      <c r="R93" t="inlineStr">
        <is>
          <t>shuffled: 4,261 of 10,000</t>
        </is>
      </c>
      <c r="S93" t="inlineStr">
        <is>
          <t>shuffled: 946 of 10,000</t>
        </is>
      </c>
      <c r="T93" t="n">
        <v>0.1696952168363948</v>
      </c>
      <c r="U93" t="n">
        <v>0.193759230339534</v>
      </c>
      <c r="V93">
        <f>AND(judged_band,NOT($J93))</f>
        <v/>
      </c>
      <c r="W93">
        <f>IF($K93="","",IF(profit_kind="test",IF(OR(NOT(AND(ISNUMBER($L93),$L93&lt;significance_bar)),$K93=0),"in line",IF($K93&lt;0,"worse","better")),IF(OR($K93=0,IF(profit_kind="points",ABS($K93),ABS($K93*$H93))&lt;profit_line*(1-1E-9)),"in line",IF(AND(ISNUMBER($L93),$L93&lt;significance_bar),IF($K93&lt;0,"worse","better"),IF($K93&lt;0,"worse, not significant","better, not significant")))))</f>
        <v/>
      </c>
      <c r="X93">
        <f>IF($M93="","",IF(profit_kind="test",IF(OR(NOT(AND(ISNUMBER($N93),$N93&lt;significance_bar)),$M93=0),"in line",IF($M93&lt;0,"worse","better")),IF(OR($M93=0,IF(profit_kind="points",ABS($M93),ABS($M93*$H93))&lt;profit_line*(1-1E-9)),"in line",IF(AND(ISNUMBER($N93),$N93&lt;significance_bar),IF($M93&lt;0,"worse","better"),IF($M93&lt;0,"worse, not significant","better, not significant")))))</f>
        <v/>
      </c>
      <c r="Y93">
        <f>IF($V93,$X93,$W93)</f>
        <v/>
      </c>
      <c r="Z93">
        <f>IF($V93,IF($P93="","",$P93),IF($O93="","",$O93))</f>
        <v/>
      </c>
      <c r="AA93">
        <f>IF(OR($Q93="",$Z93=""),"",IF(AND($Z93&gt;0,$Z93&gt;=$Q93),"yes","below the line"))</f>
        <v/>
      </c>
      <c r="AB93">
        <f>IF($V93,IF($M93="","",$M93),IF($K93="","",$K93))</f>
        <v/>
      </c>
      <c r="AC93">
        <f>IF($V93,IF($N93="","",$N93),IF($L93="","",$L93))</f>
        <v/>
      </c>
      <c r="AD93">
        <f>IF($Y93="","",IF($Y93="in line",IF(profit_kind="test",IF(ROUND($AB93*100,2)=0,"0.00",TEXT($AB93*100,"+0.00;-0.00"))&amp;" points against "&amp;IF($V93,"its band","the book")&amp;", "&amp;IF($AC93="","not tested","not significant"),IF(profit_kind="points","within "&amp;TEXT(profit_line*100,"0.00")&amp;" points of "&amp;IF($V93,"its band","the book")&amp;" ("&amp;IF(ROUND($AB93*100,2)=0,"0.00",TEXT($AB93*100,"+0.00;-0.00"))&amp;")","within $"&amp;TEXT(profit_line,"#,##0")&amp;" of "&amp;IF($V93,"its band","the book")&amp;" ("&amp;IF(ROUND($AB93*100,2)=0,"0.00",TEXT($AB93*100,"+0.00;-0.00"))&amp;" points)")),IF(LEFT($Y93,5)="worse","short of ","ahead of ")&amp;IF($V93,"its band","the book")&amp;" by "&amp;TEXT(ABS($AB93)*100,"0.00")&amp;" points"&amp;IF($Z93="",""," ($"&amp;TEXT(ABS($Z93),"#,##0")&amp;")")&amp;IF(RIGHT($Y93,15)="not significant"," (not significant)","")))</f>
        <v/>
      </c>
      <c r="AE93">
        <f>IF($V93,IF($S93="","",$S93),IF($R93="","",$R93))</f>
        <v/>
      </c>
      <c r="AF93">
        <f>IF($V93,IF($U93="","",$U93),IF($T93="","",$T93))</f>
        <v/>
      </c>
      <c r="AG93">
        <f>IF($V93,IF($O93="","",$O93),IF($P93="","",$P93))</f>
        <v/>
      </c>
      <c r="AH93" t="n">
        <v>0.1547232988591316</v>
      </c>
      <c r="AI93">
        <f>IF($Y93="worse","Yes",IF($Y93="worse, not significant","Not sure",IF(OR($Y93="too few losses to test",$Y93="too few loans to test"),"Too few losses",IF($Y93="","","No"))))</f>
        <v/>
      </c>
      <c r="AJ93">
        <f>IF($AA93="yes","Yes",IF($AA93="","","No"))</f>
        <v/>
      </c>
      <c r="AK93" t="n">
        <v>0.005526957020336434</v>
      </c>
      <c r="AL93" t="n">
        <v>0.004791060193569465</v>
      </c>
      <c r="AM93">
        <f>IF(AND(ISNUMBER($AC93),ISNUMBER(IF($V93,IF($AL93="","",$AL93),IF($AK93="","",$AK93)))),IF(AND(ABS($AC93-significance_bar)&lt;=2.0*IF($V93,IF($AL93="","",$AL93),IF($AK93="","",$AK93)),OR($Y93="worse",$Y93="better",$Y93="worse, not significant",$Y93="better, not significant",AND(profit_kind="test",$Y93="in line",ISNUMBER($AB93),$AB93&lt;&gt;0))),IF(ROUND($AC93,3)=ROUND(significance_bar,3),TEXT($AC93,"0.0000"),TEXT($AC93,"0.000")),""),"")</f>
        <v/>
      </c>
      <c r="AN93">
        <f>IF(AND(ISNUMBER($AC93),ISNUMBER(IF($V93,IF($AL93="","",$AL93),IF($AK93="","",$AK93)))),IF(AND(ABS($AC93-significance_bar)&lt;=2.0*IF($V93,IF($AL93="","",$AL93),IF($AK93="","",$AK93)),OR($Y93="worse",$Y93="worse, not significant",AND(profit_kind="test",$Y93="in line",ISNUMBER($AB93),$AB93&lt;0))),IF(ROUND($AC93,3)=ROUND(significance_bar,3),TEXT($AC93,"0.0000"),TEXT($AC93,"0.000")),""),"")</f>
        <v/>
      </c>
      <c r="AO93">
        <f>IF(OR($AI93="",$AN93=""),$AI93,$AI93&amp;" · borderline (p "&amp;$AN93&amp;")")</f>
        <v/>
      </c>
    </row>
    <row r="94">
      <c r="A94" t="inlineStr">
        <is>
          <t>grids</t>
        </is>
      </c>
      <c r="B94" t="inlineStr">
        <is>
          <t>FICO x CHANNEL</t>
        </is>
      </c>
      <c r="C94" t="inlineStr">
        <is>
          <t>(marked missing)</t>
        </is>
      </c>
      <c r="D94" t="inlineStr">
        <is>
          <t>Broker</t>
        </is>
      </c>
      <c r="E94" t="inlineStr">
        <is>
          <t>outcome_loans</t>
        </is>
      </c>
      <c r="F94" t="inlineStr">
        <is>
          <t>Outcome, share of loans</t>
        </is>
      </c>
      <c r="G94" t="n">
        <v>54</v>
      </c>
      <c r="H94" t="n">
        <v>54</v>
      </c>
      <c r="I94" t="b">
        <v>1</v>
      </c>
      <c r="J94" t="b">
        <v>0</v>
      </c>
      <c r="K94" t="n">
        <v>1.682855240861777</v>
      </c>
      <c r="M94" t="n">
        <v>4.580246913580247</v>
      </c>
      <c r="O94" t="n">
        <v>2.84040276903713</v>
      </c>
      <c r="P94" t="n">
        <v>5.471698113207547</v>
      </c>
      <c r="Q94">
        <f>'_live'!$C$20</f>
        <v/>
      </c>
      <c r="T94" t="n">
        <v>0.07702957835116425</v>
      </c>
      <c r="U94" t="n">
        <v>0.02830188679245283</v>
      </c>
      <c r="V94">
        <f>AND(judged_band,NOT($J94))</f>
        <v/>
      </c>
      <c r="W94">
        <f>IF($K94="","",IF($I94,"too few losses to test",IF(AND($K94&gt;better_at,$K94&lt;worse_at),"in line",IF($K94&gt;=worse_at,IF(AND(ISNUMBER($L94),$L94&lt;significance_bar),"worse","worse, not significant"),IF(AND(ISNUMBER($L94),$L94&lt;significance_bar),"better","better, not significant")))))</f>
        <v/>
      </c>
      <c r="X94">
        <f>IF($M94="","",IF($I94,"too few losses to test",IF(AND($M94&gt;better_at,$M94&lt;worse_at),"in line",IF($M94&gt;=worse_at,IF(AND(ISNUMBER($N94),$N94&lt;significance_bar),"worse","worse, not significant"),IF(AND(ISNUMBER($N94),$N94&lt;significance_bar),"better","better, not significant")))))</f>
        <v/>
      </c>
      <c r="Y94">
        <f>IF($V94,$X94,$W94)</f>
        <v/>
      </c>
      <c r="Z94">
        <f>IF($V94,IF($P94="","",$P94),IF($O94="","",$O94))</f>
        <v/>
      </c>
      <c r="AA94">
        <f>IF(OR($Q94="",$Z94=""),"",IF(AND($Z94&gt;0,$Z94&gt;=$Q94),"yes","below the line"))</f>
        <v/>
      </c>
      <c r="AB94">
        <f>IF($V94,IF($M94="","",$M94),IF($K94="","",$K94))</f>
        <v/>
      </c>
      <c r="AC94">
        <f>IF($V94,IF($N94="","",$N94),IF($L94="","",$L94))</f>
        <v/>
      </c>
      <c r="AD94">
        <f>$Y94</f>
        <v/>
      </c>
      <c r="AE94">
        <f>IF($V94,IF($S94="","",$S94),IF($R94="","",$R94))</f>
        <v/>
      </c>
      <c r="AF94">
        <f>IF($V94,IF($U94="","",$U94),IF($T94="","",$T94))</f>
        <v/>
      </c>
      <c r="AG94">
        <f>IF($V94,IF($O94="","",$O94),IF($P94="","",$P94))</f>
        <v/>
      </c>
      <c r="AH94" t="n">
        <v>0.1296296296296296</v>
      </c>
      <c r="AI94">
        <f>IF($Y94="worse","Yes",IF($Y94="worse, not significant","Not sure",IF(OR($Y94="too few losses to test",$Y94="too few loans to test"),"Too few losses",IF($Y94="","","No"))))</f>
        <v/>
      </c>
      <c r="AJ94">
        <f>IF($AA94="yes","Yes",IF($AA94="","","No"))</f>
        <v/>
      </c>
      <c r="AM94">
        <f>IF(AND(ISNUMBER($AC94),ISNUMBER(IF($V94,IF($AL94="","",$AL94),IF($AK94="","",$AK94)))),IF(AND(ABS($AC94-significance_bar)&lt;=2.0*IF($V94,IF($AL94="","",$AL94),IF($AK94="","",$AK94)),OR($Y94="worse",$Y94="better",$Y94="worse, not significant",$Y94="better, not significant")),IF(ROUND($AC94,3)=ROUND(significance_bar,3),TEXT($AC94,"0.0000"),TEXT($AC94,"0.000")),""),"")</f>
        <v/>
      </c>
      <c r="AN94">
        <f>IF(AND(ISNUMBER($AC94),ISNUMBER(IF($V94,IF($AL94="","",$AL94),IF($AK94="","",$AK94)))),IF(AND(ABS($AC94-significance_bar)&lt;=2.0*IF($V94,IF($AL94="","",$AL94),IF($AK94="","",$AK94)),OR($Y94="worse",$Y94="worse, not significant")),IF(ROUND($AC94,3)=ROUND(significance_bar,3),TEXT($AC94,"0.0000"),TEXT($AC94,"0.000")),""),"")</f>
        <v/>
      </c>
      <c r="AO94">
        <f>IF(OR($AI94="",$AN94=""),$AI94,$AI94&amp;" · borderline (p "&amp;$AN94&amp;")")</f>
        <v/>
      </c>
    </row>
    <row r="95">
      <c r="A95" t="inlineStr">
        <is>
          <t>grids</t>
        </is>
      </c>
      <c r="B95" t="inlineStr">
        <is>
          <t>FICO x CHANNEL</t>
        </is>
      </c>
      <c r="C95" t="inlineStr">
        <is>
          <t>(marked missing)</t>
        </is>
      </c>
      <c r="D95" t="inlineStr">
        <is>
          <t>Broker</t>
        </is>
      </c>
      <c r="E95" t="inlineStr">
        <is>
          <t>outcome_booked</t>
        </is>
      </c>
      <c r="F95" t="inlineStr">
        <is>
          <t>Outcome, share of booked dollars</t>
        </is>
      </c>
      <c r="G95" t="n">
        <v>54</v>
      </c>
      <c r="H95" t="n">
        <v>1668510.01</v>
      </c>
      <c r="I95" t="b">
        <v>1</v>
      </c>
      <c r="J95" t="b">
        <v>0</v>
      </c>
      <c r="K95" t="n">
        <v>1.382427577635682</v>
      </c>
      <c r="M95" t="n">
        <v>4.529903087007024</v>
      </c>
      <c r="O95" t="n">
        <v>47629.33956684174</v>
      </c>
      <c r="P95" t="n">
        <v>134165.7358937271</v>
      </c>
      <c r="Q95">
        <f>'_live'!$C$21</f>
        <v/>
      </c>
      <c r="T95" t="n">
        <v>0.07464428123698118</v>
      </c>
      <c r="U95" t="n">
        <v>0.02277980586180176</v>
      </c>
      <c r="V95">
        <f>AND(judged_band,NOT($J95))</f>
        <v/>
      </c>
      <c r="W95">
        <f>IF($K95="","",IF($I95,"too few losses to test",IF(AND($K95&gt;better_at,$K95&lt;worse_at),"in line",IF($K95&gt;=worse_at,IF(AND(ISNUMBER($L95),$L95&lt;significance_bar),"worse","worse, not significant"),IF(AND(ISNUMBER($L95),$L95&lt;significance_bar),"better","better, not significant")))))</f>
        <v/>
      </c>
      <c r="X95">
        <f>IF($M95="","",IF($I95,"too few losses to test",IF(AND($M95&gt;better_at,$M95&lt;worse_at),"in line",IF($M95&gt;=worse_at,IF(AND(ISNUMBER($N95),$N95&lt;significance_bar),"worse","worse, not significant"),IF(AND(ISNUMBER($N95),$N95&lt;significance_bar),"better","better, not significant")))))</f>
        <v/>
      </c>
      <c r="Y95">
        <f>IF($V95,$X95,$W95)</f>
        <v/>
      </c>
      <c r="Z95">
        <f>IF($V95,IF($P95="","",$P95),IF($O95="","",$O95))</f>
        <v/>
      </c>
      <c r="AA95">
        <f>IF(OR($Q95="",$Z95=""),"",IF(AND($Z95&gt;0,$Z95&gt;=$Q95),"yes","below the line"))</f>
        <v/>
      </c>
      <c r="AB95">
        <f>IF($V95,IF($M95="","",$M95),IF($K95="","",$K95))</f>
        <v/>
      </c>
      <c r="AC95">
        <f>IF($V95,IF($N95="","",$N95),IF($L95="","",$L95))</f>
        <v/>
      </c>
      <c r="AD95">
        <f>$Y95</f>
        <v/>
      </c>
      <c r="AE95">
        <f>IF($V95,IF($S95="","",$S95),IF($R95="","",$R95))</f>
        <v/>
      </c>
      <c r="AF95">
        <f>IF($V95,IF($U95="","",$U95),IF($T95="","",$T95))</f>
        <v/>
      </c>
      <c r="AG95">
        <f>IF($V95,IF($O95="","",$O95),IF($P95="","",$P95))</f>
        <v/>
      </c>
      <c r="AH95" t="n">
        <v>0.1031903128947965</v>
      </c>
      <c r="AI95">
        <f>IF($Y95="worse","Yes",IF($Y95="worse, not significant","Not sure",IF(OR($Y95="too few losses to test",$Y95="too few loans to test"),"Too few losses",IF($Y95="","","No"))))</f>
        <v/>
      </c>
      <c r="AJ95">
        <f>IF($AA95="yes","Yes",IF($AA95="","","No"))</f>
        <v/>
      </c>
      <c r="AM95">
        <f>IF(AND(ISNUMBER($AC95),ISNUMBER(IF($V95,IF($AL95="","",$AL95),IF($AK95="","",$AK95)))),IF(AND(ABS($AC95-significance_bar)&lt;=2.0*IF($V95,IF($AL95="","",$AL95),IF($AK95="","",$AK95)),OR($Y95="worse",$Y95="better",$Y95="worse, not significant",$Y95="better, not significant")),IF(ROUND($AC95,3)=ROUND(significance_bar,3),TEXT($AC95,"0.0000"),TEXT($AC95,"0.000")),""),"")</f>
        <v/>
      </c>
      <c r="AN95">
        <f>IF(AND(ISNUMBER($AC95),ISNUMBER(IF($V95,IF($AL95="","",$AL95),IF($AK95="","",$AK95)))),IF(AND(ABS($AC95-significance_bar)&lt;=2.0*IF($V95,IF($AL95="","",$AL95),IF($AK95="","",$AK95)),OR($Y95="worse",$Y95="worse, not significant")),IF(ROUND($AC95,3)=ROUND(significance_bar,3),TEXT($AC95,"0.0000"),TEXT($AC95,"0.000")),""),"")</f>
        <v/>
      </c>
      <c r="AO95">
        <f>IF(OR($AI95="",$AN95=""),$AI95,$AI95&amp;" · borderline (p "&amp;$AN95&amp;")")</f>
        <v/>
      </c>
    </row>
    <row r="96">
      <c r="A96" t="inlineStr">
        <is>
          <t>grids</t>
        </is>
      </c>
      <c r="B96" t="inlineStr">
        <is>
          <t>FICO x CHANNEL</t>
        </is>
      </c>
      <c r="C96" t="inlineStr">
        <is>
          <t>(marked missing)</t>
        </is>
      </c>
      <c r="D96" t="inlineStr">
        <is>
          <t>Broker</t>
        </is>
      </c>
      <c r="E96" t="inlineStr">
        <is>
          <t>gco_rate</t>
        </is>
      </c>
      <c r="F96" t="inlineStr">
        <is>
          <t>GCO per booked dollar</t>
        </is>
      </c>
      <c r="G96" t="n">
        <v>54</v>
      </c>
      <c r="H96" t="n">
        <v>1668510.01</v>
      </c>
      <c r="I96" t="b">
        <v>1</v>
      </c>
      <c r="J96" t="b">
        <v>0</v>
      </c>
      <c r="K96" t="n">
        <v>1.254330883770802</v>
      </c>
      <c r="M96" t="n">
        <v>3.929953858074747</v>
      </c>
      <c r="O96" t="n">
        <v>17626.35690685791</v>
      </c>
      <c r="P96" t="n">
        <v>64811.02715866691</v>
      </c>
      <c r="Q96">
        <f>'_live'!$C$22</f>
        <v/>
      </c>
      <c r="T96" t="n">
        <v>0.04153695373583171</v>
      </c>
      <c r="U96" t="n">
        <v>0.01325742890888205</v>
      </c>
      <c r="V96">
        <f>AND(judged_band,NOT($J96))</f>
        <v/>
      </c>
      <c r="W96">
        <f>IF($K96="","",IF($I96,"too few losses to test",IF(AND($K96&gt;better_at,$K96&lt;worse_at),"in line",IF($K96&gt;=worse_at,IF(AND(ISNUMBER($L96),$L96&lt;significance_bar),"worse","worse, not significant"),IF(AND(ISNUMBER($L96),$L96&lt;significance_bar),"better","better, not significant")))))</f>
        <v/>
      </c>
      <c r="X96">
        <f>IF($M96="","",IF($I96,"too few losses to test",IF(AND($M96&gt;better_at,$M96&lt;worse_at),"in line",IF($M96&gt;=worse_at,IF(AND(ISNUMBER($N96),$N96&lt;significance_bar),"worse","worse, not significant"),IF(AND(ISNUMBER($N96),$N96&lt;significance_bar),"better","better, not significant")))))</f>
        <v/>
      </c>
      <c r="Y96">
        <f>IF($V96,$X96,$W96)</f>
        <v/>
      </c>
      <c r="Z96">
        <f>IF($V96,IF($P96="","",$P96),IF($O96="","",$O96))</f>
        <v/>
      </c>
      <c r="AA96">
        <f>IF(OR($Q96="",$Z96=""),"",IF(AND($Z96&gt;0,$Z96&gt;=$Q96),"yes","below the line"))</f>
        <v/>
      </c>
      <c r="AB96">
        <f>IF($V96,IF($M96="","",$M96),IF($K96="","",$K96))</f>
        <v/>
      </c>
      <c r="AC96">
        <f>IF($V96,IF($N96="","",$N96),IF($L96="","",$L96))</f>
        <v/>
      </c>
      <c r="AD96">
        <f>$Y96</f>
        <v/>
      </c>
      <c r="AE96">
        <f>IF($V96,IF($S96="","",$S96),IF($R96="","",$R96))</f>
        <v/>
      </c>
      <c r="AF96">
        <f>IF($V96,IF($U96="","",$U96),IF($T96="","",$T96))</f>
        <v/>
      </c>
      <c r="AG96">
        <f>IF($V96,IF($O96="","",$O96),IF($P96="","",$P96))</f>
        <v/>
      </c>
      <c r="AH96" t="n">
        <v>0.0521010838886127</v>
      </c>
      <c r="AI96">
        <f>IF($Y96="worse","Yes",IF($Y96="worse, not significant","Not sure",IF(OR($Y96="too few losses to test",$Y96="too few loans to test"),"Too few losses",IF($Y96="","","No"))))</f>
        <v/>
      </c>
      <c r="AJ96">
        <f>IF($AA96="yes","Yes",IF($AA96="","","No"))</f>
        <v/>
      </c>
      <c r="AM96">
        <f>IF(AND(ISNUMBER($AC96),ISNUMBER(IF($V96,IF($AL96="","",$AL96),IF($AK96="","",$AK96)))),IF(AND(ABS($AC96-significance_bar)&lt;=2.0*IF($V96,IF($AL96="","",$AL96),IF($AK96="","",$AK96)),OR($Y96="worse",$Y96="better",$Y96="worse, not significant",$Y96="better, not significant")),IF(ROUND($AC96,3)=ROUND(significance_bar,3),TEXT($AC96,"0.0000"),TEXT($AC96,"0.000")),""),"")</f>
        <v/>
      </c>
      <c r="AN96">
        <f>IF(AND(ISNUMBER($AC96),ISNUMBER(IF($V96,IF($AL96="","",$AL96),IF($AK96="","",$AK96)))),IF(AND(ABS($AC96-significance_bar)&lt;=2.0*IF($V96,IF($AL96="","",$AL96),IF($AK96="","",$AK96)),OR($Y96="worse",$Y96="worse, not significant")),IF(ROUND($AC96,3)=ROUND(significance_bar,3),TEXT($AC96,"0.0000"),TEXT($AC96,"0.000")),""),"")</f>
        <v/>
      </c>
      <c r="AO96">
        <f>IF(OR($AI96="",$AN96=""),$AI96,$AI96&amp;" · borderline (p "&amp;$AN96&amp;")")</f>
        <v/>
      </c>
    </row>
    <row r="97">
      <c r="A97" t="inlineStr">
        <is>
          <t>grids</t>
        </is>
      </c>
      <c r="B97" t="inlineStr">
        <is>
          <t>FICO x CHANNEL</t>
        </is>
      </c>
      <c r="C97" t="inlineStr">
        <is>
          <t>(marked missing)</t>
        </is>
      </c>
      <c r="D97" t="inlineStr">
        <is>
          <t>Broker</t>
        </is>
      </c>
      <c r="E97" t="inlineStr">
        <is>
          <t>ranr_rate</t>
        </is>
      </c>
      <c r="F97" t="inlineStr">
        <is>
          <t>Profit after losses: RANR per booked dollar</t>
        </is>
      </c>
      <c r="G97" t="n">
        <v>54</v>
      </c>
      <c r="H97" t="n">
        <v>1668510.01</v>
      </c>
      <c r="I97" t="b">
        <v>0</v>
      </c>
      <c r="J97" t="b">
        <v>0</v>
      </c>
      <c r="K97" t="n">
        <v>-0.002316448685169586</v>
      </c>
      <c r="L97" t="n">
        <v>0.9303069693030698</v>
      </c>
      <c r="M97" t="n">
        <v>-0.0430755099286384</v>
      </c>
      <c r="N97" t="n">
        <v>0.1844815518448155</v>
      </c>
      <c r="O97" t="n">
        <v>3865.017818856781</v>
      </c>
      <c r="P97" t="n">
        <v>71871.91950178755</v>
      </c>
      <c r="Q97">
        <f>'_live'!$C$23</f>
        <v/>
      </c>
      <c r="R97" t="inlineStr">
        <is>
          <t>shuffled: 9,303 of 10,000</t>
        </is>
      </c>
      <c r="S97" t="inlineStr">
        <is>
          <t>shuffled: 1,229 of 10,000</t>
        </is>
      </c>
      <c r="T97" t="n">
        <v>0.1280050263641253</v>
      </c>
      <c r="U97" t="n">
        <v>0.1687640876075941</v>
      </c>
      <c r="V97">
        <f>AND(judged_band,NOT($J97))</f>
        <v/>
      </c>
      <c r="W97">
        <f>IF($K97="","",IF(profit_kind="test",IF(OR(NOT(AND(ISNUMBER($L97),$L97&lt;significance_bar)),$K97=0),"in line",IF($K97&lt;0,"worse","better")),IF(OR($K97=0,IF(profit_kind="points",ABS($K97),ABS($K97*$H97))&lt;profit_line*(1-1E-9)),"in line",IF(AND(ISNUMBER($L97),$L97&lt;significance_bar),IF($K97&lt;0,"worse","better"),IF($K97&lt;0,"worse, not significant","better, not significant")))))</f>
        <v/>
      </c>
      <c r="X97">
        <f>IF($M97="","",IF(profit_kind="test",IF(OR(NOT(AND(ISNUMBER($N97),$N97&lt;significance_bar)),$M97=0),"in line",IF($M97&lt;0,"worse","better")),IF(OR($M97=0,IF(profit_kind="points",ABS($M97),ABS($M97*$H97))&lt;profit_line*(1-1E-9)),"in line",IF(AND(ISNUMBER($N97),$N97&lt;significance_bar),IF($M97&lt;0,"worse","better"),IF($M97&lt;0,"worse, not significant","better, not significant")))))</f>
        <v/>
      </c>
      <c r="Y97">
        <f>IF($V97,$X97,$W97)</f>
        <v/>
      </c>
      <c r="Z97">
        <f>IF($V97,IF($P97="","",$P97),IF($O97="","",$O97))</f>
        <v/>
      </c>
      <c r="AA97">
        <f>IF(OR($Q97="",$Z97=""),"",IF(AND($Z97&gt;0,$Z97&gt;=$Q97),"yes","below the line"))</f>
        <v/>
      </c>
      <c r="AB97">
        <f>IF($V97,IF($M97="","",$M97),IF($K97="","",$K97))</f>
        <v/>
      </c>
      <c r="AC97">
        <f>IF($V97,IF($N97="","",$N97),IF($L97="","",$L97))</f>
        <v/>
      </c>
      <c r="AD97">
        <f>IF($Y97="","",IF($Y97="in line",IF(profit_kind="test",IF(ROUND($AB97*100,2)=0,"0.00",TEXT($AB97*100,"+0.00;-0.00"))&amp;" points against "&amp;IF($V97,"its band","the book")&amp;", "&amp;IF($AC97="","not tested","not significant"),IF(profit_kind="points","within "&amp;TEXT(profit_line*100,"0.00")&amp;" points of "&amp;IF($V97,"its band","the book")&amp;" ("&amp;IF(ROUND($AB97*100,2)=0,"0.00",TEXT($AB97*100,"+0.00;-0.00"))&amp;")","within $"&amp;TEXT(profit_line,"#,##0")&amp;" of "&amp;IF($V97,"its band","the book")&amp;" ("&amp;IF(ROUND($AB97*100,2)=0,"0.00",TEXT($AB97*100,"+0.00;-0.00"))&amp;" points)")),IF(LEFT($Y97,5)="worse","short of ","ahead of ")&amp;IF($V97,"its band","the book")&amp;" by "&amp;TEXT(ABS($AB97)*100,"0.00")&amp;" points"&amp;IF($Z97="",""," ($"&amp;TEXT(ABS($Z97),"#,##0")&amp;")")&amp;IF(RIGHT($Y97,15)="not significant"," (not significant)","")))</f>
        <v/>
      </c>
      <c r="AE97">
        <f>IF($V97,IF($S97="","",$S97),IF($R97="","",$R97))</f>
        <v/>
      </c>
      <c r="AF97">
        <f>IF($V97,IF($U97="","",$U97),IF($T97="","",$T97))</f>
        <v/>
      </c>
      <c r="AG97">
        <f>IF($V97,IF($O97="","",$O97),IF($P97="","",$P97))</f>
        <v/>
      </c>
      <c r="AH97" t="n">
        <v>0.1256885776789557</v>
      </c>
      <c r="AI97">
        <f>IF($Y97="worse","Yes",IF($Y97="worse, not significant","Not sure",IF(OR($Y97="too few losses to test",$Y97="too few loans to test"),"Too few losses",IF($Y97="","","No"))))</f>
        <v/>
      </c>
      <c r="AJ97">
        <f>IF($AA97="yes","Yes",IF($AA97="","","No"))</f>
        <v/>
      </c>
      <c r="AK97" t="n">
        <v>0.002546289696189478</v>
      </c>
      <c r="AL97" t="n">
        <v>0.004926346362124286</v>
      </c>
      <c r="AM97">
        <f>IF(AND(ISNUMBER($AC97),ISNUMBER(IF($V97,IF($AL97="","",$AL97),IF($AK97="","",$AK97)))),IF(AND(ABS($AC97-significance_bar)&lt;=2.0*IF($V97,IF($AL97="","",$AL97),IF($AK97="","",$AK97)),OR($Y97="worse",$Y97="better",$Y97="worse, not significant",$Y97="better, not significant",AND(profit_kind="test",$Y97="in line",ISNUMBER($AB97),$AB97&lt;&gt;0))),IF(ROUND($AC97,3)=ROUND(significance_bar,3),TEXT($AC97,"0.0000"),TEXT($AC97,"0.000")),""),"")</f>
        <v/>
      </c>
      <c r="AN97">
        <f>IF(AND(ISNUMBER($AC97),ISNUMBER(IF($V97,IF($AL97="","",$AL97),IF($AK97="","",$AK97)))),IF(AND(ABS($AC97-significance_bar)&lt;=2.0*IF($V97,IF($AL97="","",$AL97),IF($AK97="","",$AK97)),OR($Y97="worse",$Y97="worse, not significant",AND(profit_kind="test",$Y97="in line",ISNUMBER($AB97),$AB97&lt;0))),IF(ROUND($AC97,3)=ROUND(significance_bar,3),TEXT($AC97,"0.0000"),TEXT($AC97,"0.000")),""),"")</f>
        <v/>
      </c>
      <c r="AO97">
        <f>IF(OR($AI97="",$AN97=""),$AI97,$AI97&amp;" · borderline (p "&amp;$AN97&amp;")")</f>
        <v/>
      </c>
    </row>
    <row r="98">
      <c r="A98" t="inlineStr">
        <is>
          <t>grids</t>
        </is>
      </c>
      <c r="B98" t="inlineStr">
        <is>
          <t>FICO x CHANNEL</t>
        </is>
      </c>
      <c r="C98" t="inlineStr">
        <is>
          <t>(marked missing)</t>
        </is>
      </c>
      <c r="D98" t="inlineStr">
        <is>
          <t>Broker</t>
        </is>
      </c>
      <c r="E98" t="inlineStr">
        <is>
          <t>contribution_rate</t>
        </is>
      </c>
      <c r="F98" t="inlineStr">
        <is>
          <t>Contribution before losses per booked dollar</t>
        </is>
      </c>
      <c r="G98" t="n">
        <v>54</v>
      </c>
      <c r="H98" t="n">
        <v>1668510.01</v>
      </c>
      <c r="I98" t="b">
        <v>0</v>
      </c>
      <c r="J98" t="b">
        <v>0</v>
      </c>
      <c r="K98" t="n">
        <v>0.008250557005012621</v>
      </c>
      <c r="L98" t="n">
        <v>0.6849870568498706</v>
      </c>
      <c r="M98" t="n">
        <v>-0.004231854948907793</v>
      </c>
      <c r="N98" t="n">
        <v>0.8534146585341466</v>
      </c>
      <c r="O98" t="n">
        <v>-13766.1369509392</v>
      </c>
      <c r="P98" t="n">
        <v>7060.892343120649</v>
      </c>
      <c r="Q98">
        <f>'_live'!$C$24</f>
        <v/>
      </c>
      <c r="R98" t="inlineStr">
        <is>
          <t>shuffled: 6,489 of 10,000</t>
        </is>
      </c>
      <c r="S98" t="inlineStr">
        <is>
          <t>shuffled: 8,534 of 10,000</t>
        </is>
      </c>
      <c r="T98" t="n">
        <v>0.1695391045625557</v>
      </c>
      <c r="U98" t="n">
        <v>0.1820215165164761</v>
      </c>
      <c r="V98">
        <f>AND(judged_band,NOT($J98))</f>
        <v/>
      </c>
      <c r="W98">
        <f>IF($K98="","",IF(profit_kind="test",IF(OR(NOT(AND(ISNUMBER($L98),$L98&lt;significance_bar)),$K98=0),"in line",IF($K98&lt;0,"worse","better")),IF(OR($K98=0,IF(profit_kind="points",ABS($K98),ABS($K98*$H98))&lt;profit_line*(1-1E-9)),"in line",IF(AND(ISNUMBER($L98),$L98&lt;significance_bar),IF($K98&lt;0,"worse","better"),IF($K98&lt;0,"worse, not significant","better, not significant")))))</f>
        <v/>
      </c>
      <c r="X98">
        <f>IF($M98="","",IF(profit_kind="test",IF(OR(NOT(AND(ISNUMBER($N98),$N98&lt;significance_bar)),$M98=0),"in line",IF($M98&lt;0,"worse","better")),IF(OR($M98=0,IF(profit_kind="points",ABS($M98),ABS($M98*$H98))&lt;profit_line*(1-1E-9)),"in line",IF(AND(ISNUMBER($N98),$N98&lt;significance_bar),IF($M98&lt;0,"worse","better"),IF($M98&lt;0,"worse, not significant","better, not significant")))))</f>
        <v/>
      </c>
      <c r="Y98">
        <f>IF($V98,$X98,$W98)</f>
        <v/>
      </c>
      <c r="Z98">
        <f>IF($V98,IF($P98="","",$P98),IF($O98="","",$O98))</f>
        <v/>
      </c>
      <c r="AA98">
        <f>IF(OR($Q98="",$Z98=""),"",IF(AND($Z98&gt;0,$Z98&gt;=$Q98),"yes","below the line"))</f>
        <v/>
      </c>
      <c r="AB98">
        <f>IF($V98,IF($M98="","",$M98),IF($K98="","",$K98))</f>
        <v/>
      </c>
      <c r="AC98">
        <f>IF($V98,IF($N98="","",$N98),IF($L98="","",$L98))</f>
        <v/>
      </c>
      <c r="AD98">
        <f>IF($Y98="","",IF($Y98="in line",IF(profit_kind="test",IF(ROUND($AB98*100,2)=0,"0.00",TEXT($AB98*100,"+0.00;-0.00"))&amp;" points against "&amp;IF($V98,"its band","the book")&amp;", "&amp;IF($AC98="","not tested","not significant"),IF(profit_kind="points","within "&amp;TEXT(profit_line*100,"0.00")&amp;" points of "&amp;IF($V98,"its band","the book")&amp;" ("&amp;IF(ROUND($AB98*100,2)=0,"0.00",TEXT($AB98*100,"+0.00;-0.00"))&amp;")","within $"&amp;TEXT(profit_line,"#,##0")&amp;" of "&amp;IF($V98,"its band","the book")&amp;" ("&amp;IF(ROUND($AB98*100,2)=0,"0.00",TEXT($AB98*100,"+0.00;-0.00"))&amp;" points)")),IF(LEFT($Y98,5)="worse","short of ","ahead of ")&amp;IF($V98,"its band","the book")&amp;" by "&amp;TEXT(ABS($AB98)*100,"0.00")&amp;" points"&amp;IF($Z98="",""," ($"&amp;TEXT(ABS($Z98),"#,##0")&amp;")")&amp;IF(RIGHT($Y98,15)="not significant"," (not significant)","")))</f>
        <v/>
      </c>
      <c r="AE98">
        <f>IF($V98,IF($S98="","",$S98),IF($R98="","",$R98))</f>
        <v/>
      </c>
      <c r="AF98">
        <f>IF($V98,IF($U98="","",$U98),IF($T98="","",$T98))</f>
        <v/>
      </c>
      <c r="AG98">
        <f>IF($V98,IF($O98="","",$O98),IF($P98="","",$P98))</f>
        <v/>
      </c>
      <c r="AH98" t="n">
        <v>0.1777896615675683</v>
      </c>
      <c r="AI98">
        <f>IF($Y98="worse","Yes",IF($Y98="worse, not significant","Not sure",IF(OR($Y98="too few losses to test",$Y98="too few loans to test"),"Too few losses",IF($Y98="","","No"))))</f>
        <v/>
      </c>
      <c r="AJ98">
        <f>IF($AA98="yes","Yes",IF($AA98="","","No"))</f>
        <v/>
      </c>
      <c r="AK98" t="n">
        <v>0.005038200326403092</v>
      </c>
      <c r="AL98" t="n">
        <v>0.003536920682361885</v>
      </c>
      <c r="AM98">
        <f>IF(AND(ISNUMBER($AC98),ISNUMBER(IF($V98,IF($AL98="","",$AL98),IF($AK98="","",$AK98)))),IF(AND(ABS($AC98-significance_bar)&lt;=2.0*IF($V98,IF($AL98="","",$AL98),IF($AK98="","",$AK98)),OR($Y98="worse",$Y98="better",$Y98="worse, not significant",$Y98="better, not significant",AND(profit_kind="test",$Y98="in line",ISNUMBER($AB98),$AB98&lt;&gt;0))),IF(ROUND($AC98,3)=ROUND(significance_bar,3),TEXT($AC98,"0.0000"),TEXT($AC98,"0.000")),""),"")</f>
        <v/>
      </c>
      <c r="AN98">
        <f>IF(AND(ISNUMBER($AC98),ISNUMBER(IF($V98,IF($AL98="","",$AL98),IF($AK98="","",$AK98)))),IF(AND(ABS($AC98-significance_bar)&lt;=2.0*IF($V98,IF($AL98="","",$AL98),IF($AK98="","",$AK98)),OR($Y98="worse",$Y98="worse, not significant",AND(profit_kind="test",$Y98="in line",ISNUMBER($AB98),$AB98&lt;0))),IF(ROUND($AC98,3)=ROUND(significance_bar,3),TEXT($AC98,"0.0000"),TEXT($AC98,"0.000")),""),"")</f>
        <v/>
      </c>
      <c r="AO98">
        <f>IF(OR($AI98="",$AN98=""),$AI98,$AI98&amp;" · borderline (p "&amp;$AN98&amp;")")</f>
        <v/>
      </c>
    </row>
    <row r="99">
      <c r="A99" t="inlineStr">
        <is>
          <t>grids</t>
        </is>
      </c>
      <c r="B99" t="inlineStr">
        <is>
          <t>SHORT_HIST x CHANNEL</t>
        </is>
      </c>
      <c r="C99" t="inlineStr">
        <is>
          <t>(marked missing)</t>
        </is>
      </c>
      <c r="D99" t="inlineStr">
        <is>
          <t>Online</t>
        </is>
      </c>
      <c r="E99" t="inlineStr">
        <is>
          <t>outcome_loans</t>
        </is>
      </c>
      <c r="F99" t="inlineStr">
        <is>
          <t>Outcome, share of loans</t>
        </is>
      </c>
      <c r="G99" t="n">
        <v>61</v>
      </c>
      <c r="H99" t="n">
        <v>61</v>
      </c>
      <c r="I99" t="b">
        <v>1</v>
      </c>
      <c r="J99" t="b">
        <v>0</v>
      </c>
      <c r="K99" t="n">
        <v>0.6337555886736215</v>
      </c>
      <c r="M99" t="n">
        <v>0.6836065573770492</v>
      </c>
      <c r="O99" t="n">
        <v>-1.7336860670194</v>
      </c>
      <c r="P99" t="n">
        <v>-1.388489208633093</v>
      </c>
      <c r="Q99">
        <f>'_live'!$C$20</f>
        <v/>
      </c>
      <c r="T99" t="n">
        <v>0.07760141093474426</v>
      </c>
      <c r="U99" t="n">
        <v>0.07194244604316546</v>
      </c>
      <c r="V99">
        <f>AND(judged_band,NOT($J99))</f>
        <v/>
      </c>
      <c r="W99">
        <f>IF($K99="","",IF($I99,"too few losses to test",IF(AND($K99&gt;better_at,$K99&lt;worse_at),"in line",IF($K99&gt;=worse_at,IF(AND(ISNUMBER($L99),$L99&lt;significance_bar),"worse","worse, not significant"),IF(AND(ISNUMBER($L99),$L99&lt;significance_bar),"better","better, not significant")))))</f>
        <v/>
      </c>
      <c r="X99">
        <f>IF($M99="","",IF($I99,"too few losses to test",IF(AND($M99&gt;better_at,$M99&lt;worse_at),"in line",IF($M99&gt;=worse_at,IF(AND(ISNUMBER($N99),$N99&lt;significance_bar),"worse","worse, not significant"),IF(AND(ISNUMBER($N99),$N99&lt;significance_bar),"better","better, not significant")))))</f>
        <v/>
      </c>
      <c r="Y99">
        <f>IF($V99,$X99,$W99)</f>
        <v/>
      </c>
      <c r="Z99">
        <f>IF($V99,IF($P99="","",$P99),IF($O99="","",$O99))</f>
        <v/>
      </c>
      <c r="AA99">
        <f>IF(OR($Q99="",$Z99=""),"",IF(AND($Z99&gt;0,$Z99&gt;=$Q99),"yes","below the line"))</f>
        <v/>
      </c>
      <c r="AB99">
        <f>IF($V99,IF($M99="","",$M99),IF($K99="","",$K99))</f>
        <v/>
      </c>
      <c r="AC99">
        <f>IF($V99,IF($N99="","",$N99),IF($L99="","",$L99))</f>
        <v/>
      </c>
      <c r="AD99">
        <f>$Y99</f>
        <v/>
      </c>
      <c r="AE99">
        <f>IF($V99,IF($S99="","",$S99),IF($R99="","",$R99))</f>
        <v/>
      </c>
      <c r="AF99">
        <f>IF($V99,IF($U99="","",$U99),IF($T99="","",$T99))</f>
        <v/>
      </c>
      <c r="AG99">
        <f>IF($V99,IF($O99="","",$O99),IF($P99="","",$P99))</f>
        <v/>
      </c>
      <c r="AH99" t="n">
        <v>0.04918032786885246</v>
      </c>
      <c r="AI99">
        <f>IF($Y99="worse","Yes",IF($Y99="worse, not significant","Not sure",IF(OR($Y99="too few losses to test",$Y99="too few loans to test"),"Too few losses",IF($Y99="","","No"))))</f>
        <v/>
      </c>
      <c r="AJ99">
        <f>IF($AA99="yes","Yes",IF($AA99="","","No"))</f>
        <v/>
      </c>
      <c r="AM99">
        <f>IF(AND(ISNUMBER($AC99),ISNUMBER(IF($V99,IF($AL99="","",$AL99),IF($AK99="","",$AK99)))),IF(AND(ABS($AC99-significance_bar)&lt;=2.0*IF($V99,IF($AL99="","",$AL99),IF($AK99="","",$AK99)),OR($Y99="worse",$Y99="better",$Y99="worse, not significant",$Y99="better, not significant")),IF(ROUND($AC99,3)=ROUND(significance_bar,3),TEXT($AC99,"0.0000"),TEXT($AC99,"0.000")),""),"")</f>
        <v/>
      </c>
      <c r="AN99">
        <f>IF(AND(ISNUMBER($AC99),ISNUMBER(IF($V99,IF($AL99="","",$AL99),IF($AK99="","",$AK99)))),IF(AND(ABS($AC99-significance_bar)&lt;=2.0*IF($V99,IF($AL99="","",$AL99),IF($AK99="","",$AK99)),OR($Y99="worse",$Y99="worse, not significant")),IF(ROUND($AC99,3)=ROUND(significance_bar,3),TEXT($AC99,"0.0000"),TEXT($AC99,"0.000")),""),"")</f>
        <v/>
      </c>
      <c r="AO99">
        <f>IF(OR($AI99="",$AN99=""),$AI99,$AI99&amp;" · borderline (p "&amp;$AN99&amp;")")</f>
        <v/>
      </c>
    </row>
    <row r="100">
      <c r="A100" t="inlineStr">
        <is>
          <t>grids</t>
        </is>
      </c>
      <c r="B100" t="inlineStr">
        <is>
          <t>SHORT_HIST x CHANNEL</t>
        </is>
      </c>
      <c r="C100" t="inlineStr">
        <is>
          <t>(marked missing)</t>
        </is>
      </c>
      <c r="D100" t="inlineStr">
        <is>
          <t>Online</t>
        </is>
      </c>
      <c r="E100" t="inlineStr">
        <is>
          <t>outcome_booked</t>
        </is>
      </c>
      <c r="F100" t="inlineStr">
        <is>
          <t>Outcome, share of booked dollars</t>
        </is>
      </c>
      <c r="G100" t="n">
        <v>61</v>
      </c>
      <c r="H100" t="n">
        <v>1848963.95</v>
      </c>
      <c r="I100" t="b">
        <v>1</v>
      </c>
      <c r="J100" t="b">
        <v>0</v>
      </c>
      <c r="K100" t="n">
        <v>0.8651770640856435</v>
      </c>
      <c r="M100" t="n">
        <v>0.8884312811349596</v>
      </c>
      <c r="O100" t="n">
        <v>-18671.58451145844</v>
      </c>
      <c r="P100" t="n">
        <v>-15046.69081561235</v>
      </c>
      <c r="Q100">
        <f>'_live'!$C$21</f>
        <v/>
      </c>
      <c r="T100" t="n">
        <v>0.0749012302329953</v>
      </c>
      <c r="U100" t="n">
        <v>0.07294073030229298</v>
      </c>
      <c r="V100">
        <f>AND(judged_band,NOT($J100))</f>
        <v/>
      </c>
      <c r="W100">
        <f>IF($K100="","",IF($I100,"too few losses to test",IF(AND($K100&gt;better_at,$K100&lt;worse_at),"in line",IF($K100&gt;=worse_at,IF(AND(ISNUMBER($L100),$L100&lt;significance_bar),"worse","worse, not significant"),IF(AND(ISNUMBER($L100),$L100&lt;significance_bar),"better","better, not significant")))))</f>
        <v/>
      </c>
      <c r="X100">
        <f>IF($M100="","",IF($I100,"too few losses to test",IF(AND($M100&gt;better_at,$M100&lt;worse_at),"in line",IF($M100&gt;=worse_at,IF(AND(ISNUMBER($N100),$N100&lt;significance_bar),"worse","worse, not significant"),IF(AND(ISNUMBER($N100),$N100&lt;significance_bar),"better","better, not significant")))))</f>
        <v/>
      </c>
      <c r="Y100">
        <f>IF($V100,$X100,$W100)</f>
        <v/>
      </c>
      <c r="Z100">
        <f>IF($V100,IF($P100="","",$P100),IF($O100="","",$O100))</f>
        <v/>
      </c>
      <c r="AA100">
        <f>IF(OR($Q100="",$Z100=""),"",IF(AND($Z100&gt;0,$Z100&gt;=$Q100),"yes","below the line"))</f>
        <v/>
      </c>
      <c r="AB100">
        <f>IF($V100,IF($M100="","",$M100),IF($K100="","",$K100))</f>
        <v/>
      </c>
      <c r="AC100">
        <f>IF($V100,IF($N100="","",$N100),IF($L100="","",$L100))</f>
        <v/>
      </c>
      <c r="AD100">
        <f>$Y100</f>
        <v/>
      </c>
      <c r="AE100">
        <f>IF($V100,IF($S100="","",$S100),IF($R100="","",$R100))</f>
        <v/>
      </c>
      <c r="AF100">
        <f>IF($V100,IF($U100="","",$U100),IF($T100="","",$T100))</f>
        <v/>
      </c>
      <c r="AG100">
        <f>IF($V100,IF($O100="","",$O100),IF($P100="","",$P100))</f>
        <v/>
      </c>
      <c r="AH100" t="n">
        <v>0.06480282646938572</v>
      </c>
      <c r="AI100">
        <f>IF($Y100="worse","Yes",IF($Y100="worse, not significant","Not sure",IF(OR($Y100="too few losses to test",$Y100="too few loans to test"),"Too few losses",IF($Y100="","","No"))))</f>
        <v/>
      </c>
      <c r="AJ100">
        <f>IF($AA100="yes","Yes",IF($AA100="","","No"))</f>
        <v/>
      </c>
      <c r="AM100">
        <f>IF(AND(ISNUMBER($AC100),ISNUMBER(IF($V100,IF($AL100="","",$AL100),IF($AK100="","",$AK100)))),IF(AND(ABS($AC100-significance_bar)&lt;=2.0*IF($V100,IF($AL100="","",$AL100),IF($AK100="","",$AK100)),OR($Y100="worse",$Y100="better",$Y100="worse, not significant",$Y100="better, not significant")),IF(ROUND($AC100,3)=ROUND(significance_bar,3),TEXT($AC100,"0.0000"),TEXT($AC100,"0.000")),""),"")</f>
        <v/>
      </c>
      <c r="AN100">
        <f>IF(AND(ISNUMBER($AC100),ISNUMBER(IF($V100,IF($AL100="","",$AL100),IF($AK100="","",$AK100)))),IF(AND(ABS($AC100-significance_bar)&lt;=2.0*IF($V100,IF($AL100="","",$AL100),IF($AK100="","",$AK100)),OR($Y100="worse",$Y100="worse, not significant")),IF(ROUND($AC100,3)=ROUND(significance_bar,3),TEXT($AC100,"0.0000"),TEXT($AC100,"0.000")),""),"")</f>
        <v/>
      </c>
      <c r="AO100">
        <f>IF(OR($AI100="",$AN100=""),$AI100,$AI100&amp;" · borderline (p "&amp;$AN100&amp;")")</f>
        <v/>
      </c>
    </row>
    <row r="101">
      <c r="A101" t="inlineStr">
        <is>
          <t>grids</t>
        </is>
      </c>
      <c r="B101" t="inlineStr">
        <is>
          <t>SHORT_HIST x CHANNEL</t>
        </is>
      </c>
      <c r="C101" t="inlineStr">
        <is>
          <t>(marked missing)</t>
        </is>
      </c>
      <c r="D101" t="inlineStr">
        <is>
          <t>Online</t>
        </is>
      </c>
      <c r="E101" t="inlineStr">
        <is>
          <t>gco_rate</t>
        </is>
      </c>
      <c r="F101" t="inlineStr">
        <is>
          <t>GCO per booked dollar</t>
        </is>
      </c>
      <c r="G101" t="n">
        <v>61</v>
      </c>
      <c r="H101" t="n">
        <v>1848963.95</v>
      </c>
      <c r="I101" t="b">
        <v>1</v>
      </c>
      <c r="J101" t="b">
        <v>0</v>
      </c>
      <c r="K101" t="n">
        <v>0.8439133907808954</v>
      </c>
      <c r="M101" t="n">
        <v>0.8406475688023844</v>
      </c>
      <c r="O101" t="n">
        <v>-12020.6625309123</v>
      </c>
      <c r="P101" t="n">
        <v>-12319.84855665176</v>
      </c>
      <c r="Q101">
        <f>'_live'!$C$22</f>
        <v/>
      </c>
      <c r="T101" t="n">
        <v>0.04165185185514963</v>
      </c>
      <c r="U101" t="n">
        <v>0.04181366465076387</v>
      </c>
      <c r="V101">
        <f>AND(judged_band,NOT($J101))</f>
        <v/>
      </c>
      <c r="W101">
        <f>IF($K101="","",IF($I101,"too few losses to test",IF(AND($K101&gt;better_at,$K101&lt;worse_at),"in line",IF($K101&gt;=worse_at,IF(AND(ISNUMBER($L101),$L101&lt;significance_bar),"worse","worse, not significant"),IF(AND(ISNUMBER($L101),$L101&lt;significance_bar),"better","better, not significant")))))</f>
        <v/>
      </c>
      <c r="X101">
        <f>IF($M101="","",IF($I101,"too few losses to test",IF(AND($M101&gt;better_at,$M101&lt;worse_at),"in line",IF($M101&gt;=worse_at,IF(AND(ISNUMBER($N101),$N101&lt;significance_bar),"worse","worse, not significant"),IF(AND(ISNUMBER($N101),$N101&lt;significance_bar),"better","better, not significant")))))</f>
        <v/>
      </c>
      <c r="Y101">
        <f>IF($V101,$X101,$W101)</f>
        <v/>
      </c>
      <c r="Z101">
        <f>IF($V101,IF($P101="","",$P101),IF($O101="","",$O101))</f>
        <v/>
      </c>
      <c r="AA101">
        <f>IF(OR($Q101="",$Z101=""),"",IF(AND($Z101&gt;0,$Z101&gt;=$Q101),"yes","below the line"))</f>
        <v/>
      </c>
      <c r="AB101">
        <f>IF($V101,IF($M101="","",$M101),IF($K101="","",$K101))</f>
        <v/>
      </c>
      <c r="AC101">
        <f>IF($V101,IF($N101="","",$N101),IF($L101="","",$L101))</f>
        <v/>
      </c>
      <c r="AD101">
        <f>$Y101</f>
        <v/>
      </c>
      <c r="AE101">
        <f>IF($V101,IF($S101="","",$S101),IF($R101="","",$R101))</f>
        <v/>
      </c>
      <c r="AF101">
        <f>IF($V101,IF($U101="","",$U101),IF($T101="","",$T101))</f>
        <v/>
      </c>
      <c r="AG101">
        <f>IF($V101,IF($O101="","",$O101),IF($P101="","",$P101))</f>
        <v/>
      </c>
      <c r="AH101" t="n">
        <v>0.03515055553138285</v>
      </c>
      <c r="AI101">
        <f>IF($Y101="worse","Yes",IF($Y101="worse, not significant","Not sure",IF(OR($Y101="too few losses to test",$Y101="too few loans to test"),"Too few losses",IF($Y101="","","No"))))</f>
        <v/>
      </c>
      <c r="AJ101">
        <f>IF($AA101="yes","Yes",IF($AA101="","","No"))</f>
        <v/>
      </c>
      <c r="AM101">
        <f>IF(AND(ISNUMBER($AC101),ISNUMBER(IF($V101,IF($AL101="","",$AL101),IF($AK101="","",$AK101)))),IF(AND(ABS($AC101-significance_bar)&lt;=2.0*IF($V101,IF($AL101="","",$AL101),IF($AK101="","",$AK101)),OR($Y101="worse",$Y101="better",$Y101="worse, not significant",$Y101="better, not significant")),IF(ROUND($AC101,3)=ROUND(significance_bar,3),TEXT($AC101,"0.0000"),TEXT($AC101,"0.000")),""),"")</f>
        <v/>
      </c>
      <c r="AN101">
        <f>IF(AND(ISNUMBER($AC101),ISNUMBER(IF($V101,IF($AL101="","",$AL101),IF($AK101="","",$AK101)))),IF(AND(ABS($AC101-significance_bar)&lt;=2.0*IF($V101,IF($AL101="","",$AL101),IF($AK101="","",$AK101)),OR($Y101="worse",$Y101="worse, not significant")),IF(ROUND($AC101,3)=ROUND(significance_bar,3),TEXT($AC101,"0.0000"),TEXT($AC101,"0.000")),""),"")</f>
        <v/>
      </c>
      <c r="AO101">
        <f>IF(OR($AI101="",$AN101=""),$AI101,$AI101&amp;" · borderline (p "&amp;$AN101&amp;")")</f>
        <v/>
      </c>
    </row>
    <row r="102">
      <c r="A102" t="inlineStr">
        <is>
          <t>grids</t>
        </is>
      </c>
      <c r="B102" t="inlineStr">
        <is>
          <t>SHORT_HIST x CHANNEL</t>
        </is>
      </c>
      <c r="C102" t="inlineStr">
        <is>
          <t>(marked missing)</t>
        </is>
      </c>
      <c r="D102" t="inlineStr">
        <is>
          <t>Online</t>
        </is>
      </c>
      <c r="E102" t="inlineStr">
        <is>
          <t>ranr_rate</t>
        </is>
      </c>
      <c r="F102" t="inlineStr">
        <is>
          <t>Profit after losses: RANR per booked dollar</t>
        </is>
      </c>
      <c r="G102" t="n">
        <v>61</v>
      </c>
      <c r="H102" t="n">
        <v>1848963.95</v>
      </c>
      <c r="I102" t="b">
        <v>0</v>
      </c>
      <c r="J102" t="b">
        <v>0</v>
      </c>
      <c r="K102" t="n">
        <v>0.05245234530972781</v>
      </c>
      <c r="L102" t="n">
        <v>0.2245275472452755</v>
      </c>
      <c r="M102" t="n">
        <v>0.06856188853324162</v>
      </c>
      <c r="N102" t="n">
        <v>0.1265873412658734</v>
      </c>
      <c r="O102" t="n">
        <v>-96982.4955706383</v>
      </c>
      <c r="P102" t="n">
        <v>-126768.4602418822</v>
      </c>
      <c r="Q102">
        <f>'_live'!$C$23</f>
        <v/>
      </c>
      <c r="R102" t="inlineStr">
        <is>
          <t>shuffled: 498 of 10,000</t>
        </is>
      </c>
      <c r="S102" t="inlineStr">
        <is>
          <t>shuffled: 421 of 10,000</t>
        </is>
      </c>
      <c r="T102" t="n">
        <v>0.1276142482006539</v>
      </c>
      <c r="U102" t="n">
        <v>0.1115047049771401</v>
      </c>
      <c r="V102">
        <f>AND(judged_band,NOT($J102))</f>
        <v/>
      </c>
      <c r="W102">
        <f>IF($K102="","",IF(profit_kind="test",IF(OR(NOT(AND(ISNUMBER($L102),$L102&lt;significance_bar)),$K102=0),"in line",IF($K102&lt;0,"worse","better")),IF(OR($K102=0,IF(profit_kind="points",ABS($K102),ABS($K102*$H102))&lt;profit_line*(1-1E-9)),"in line",IF(AND(ISNUMBER($L102),$L102&lt;significance_bar),IF($K102&lt;0,"worse","better"),IF($K102&lt;0,"worse, not significant","better, not significant")))))</f>
        <v/>
      </c>
      <c r="X102">
        <f>IF($M102="","",IF(profit_kind="test",IF(OR(NOT(AND(ISNUMBER($N102),$N102&lt;significance_bar)),$M102=0),"in line",IF($M102&lt;0,"worse","better")),IF(OR($M102=0,IF(profit_kind="points",ABS($M102),ABS($M102*$H102))&lt;profit_line*(1-1E-9)),"in line",IF(AND(ISNUMBER($N102),$N102&lt;significance_bar),IF($M102&lt;0,"worse","better"),IF($M102&lt;0,"worse, not significant","better, not significant")))))</f>
        <v/>
      </c>
      <c r="Y102">
        <f>IF($V102,$X102,$W102)</f>
        <v/>
      </c>
      <c r="Z102">
        <f>IF($V102,IF($P102="","",$P102),IF($O102="","",$O102))</f>
        <v/>
      </c>
      <c r="AA102">
        <f>IF(OR($Q102="",$Z102=""),"",IF(AND($Z102&gt;0,$Z102&gt;=$Q102),"yes","below the line"))</f>
        <v/>
      </c>
      <c r="AB102">
        <f>IF($V102,IF($M102="","",$M102),IF($K102="","",$K102))</f>
        <v/>
      </c>
      <c r="AC102">
        <f>IF($V102,IF($N102="","",$N102),IF($L102="","",$L102))</f>
        <v/>
      </c>
      <c r="AD102">
        <f>IF($Y102="","",IF($Y102="in line",IF(profit_kind="test",IF(ROUND($AB102*100,2)=0,"0.00",TEXT($AB102*100,"+0.00;-0.00"))&amp;" points against "&amp;IF($V102,"its band","the book")&amp;", "&amp;IF($AC102="","not tested","not significant"),IF(profit_kind="points","within "&amp;TEXT(profit_line*100,"0.00")&amp;" points of "&amp;IF($V102,"its band","the book")&amp;" ("&amp;IF(ROUND($AB102*100,2)=0,"0.00",TEXT($AB102*100,"+0.00;-0.00"))&amp;")","within $"&amp;TEXT(profit_line,"#,##0")&amp;" of "&amp;IF($V102,"its band","the book")&amp;" ("&amp;IF(ROUND($AB102*100,2)=0,"0.00",TEXT($AB102*100,"+0.00;-0.00"))&amp;" points)")),IF(LEFT($Y102,5)="worse","short of ","ahead of ")&amp;IF($V102,"its band","the book")&amp;" by "&amp;TEXT(ABS($AB102)*100,"0.00")&amp;" points"&amp;IF($Z102="",""," ($"&amp;TEXT(ABS($Z102),"#,##0")&amp;")")&amp;IF(RIGHT($Y102,15)="not significant"," (not significant)","")))</f>
        <v/>
      </c>
      <c r="AE102">
        <f>IF($V102,IF($S102="","",$S102),IF($R102="","",$R102))</f>
        <v/>
      </c>
      <c r="AF102">
        <f>IF($V102,IF($U102="","",$U102),IF($T102="","",$T102))</f>
        <v/>
      </c>
      <c r="AG102">
        <f>IF($V102,IF($O102="","",$O102),IF($P102="","",$P102))</f>
        <v/>
      </c>
      <c r="AH102" t="n">
        <v>0.1800665935103817</v>
      </c>
      <c r="AI102">
        <f>IF($Y102="worse","Yes",IF($Y102="worse, not significant","Not sure",IF(OR($Y102="too few losses to test",$Y102="too few loans to test"),"Too few losses",IF($Y102="","","No"))))</f>
        <v/>
      </c>
      <c r="AJ102">
        <f>IF($AA102="yes","Yes",IF($AA102="","","No"))</f>
        <v/>
      </c>
      <c r="AK102" t="n">
        <v>0.009797761699142107</v>
      </c>
      <c r="AL102" t="n">
        <v>0.006031066811343226</v>
      </c>
      <c r="AM102">
        <f>IF(AND(ISNUMBER($AC102),ISNUMBER(IF($V102,IF($AL102="","",$AL102),IF($AK102="","",$AK102)))),IF(AND(ABS($AC102-significance_bar)&lt;=2.0*IF($V102,IF($AL102="","",$AL102),IF($AK102="","",$AK102)),OR($Y102="worse",$Y102="better",$Y102="worse, not significant",$Y102="better, not significant",AND(profit_kind="test",$Y102="in line",ISNUMBER($AB102),$AB102&lt;&gt;0))),IF(ROUND($AC102,3)=ROUND(significance_bar,3),TEXT($AC102,"0.0000"),TEXT($AC102,"0.000")),""),"")</f>
        <v/>
      </c>
      <c r="AN102">
        <f>IF(AND(ISNUMBER($AC102),ISNUMBER(IF($V102,IF($AL102="","",$AL102),IF($AK102="","",$AK102)))),IF(AND(ABS($AC102-significance_bar)&lt;=2.0*IF($V102,IF($AL102="","",$AL102),IF($AK102="","",$AK102)),OR($Y102="worse",$Y102="worse, not significant",AND(profit_kind="test",$Y102="in line",ISNUMBER($AB102),$AB102&lt;0))),IF(ROUND($AC102,3)=ROUND(significance_bar,3),TEXT($AC102,"0.0000"),TEXT($AC102,"0.000")),""),"")</f>
        <v/>
      </c>
      <c r="AO102">
        <f>IF(OR($AI102="",$AN102=""),$AI102,$AI102&amp;" · borderline (p "&amp;$AN102&amp;")")</f>
        <v/>
      </c>
    </row>
    <row r="103">
      <c r="A103" t="inlineStr">
        <is>
          <t>grids</t>
        </is>
      </c>
      <c r="B103" t="inlineStr">
        <is>
          <t>SHORT_HIST x CHANNEL</t>
        </is>
      </c>
      <c r="C103" t="inlineStr">
        <is>
          <t>(marked missing)</t>
        </is>
      </c>
      <c r="D103" t="inlineStr">
        <is>
          <t>Online</t>
        </is>
      </c>
      <c r="E103" t="inlineStr">
        <is>
          <t>contribution_rate</t>
        </is>
      </c>
      <c r="F103" t="inlineStr">
        <is>
          <t>Contribution before losses per booked dollar</t>
        </is>
      </c>
      <c r="G103" t="n">
        <v>61</v>
      </c>
      <c r="H103" t="n">
        <v>1848963.95</v>
      </c>
      <c r="I103" t="b">
        <v>0</v>
      </c>
      <c r="J103" t="b">
        <v>0</v>
      </c>
      <c r="K103" t="n">
        <v>0.0459539870837628</v>
      </c>
      <c r="L103" t="n">
        <v>0.0251974802519748</v>
      </c>
      <c r="M103" t="n">
        <v>0.06189877941386068</v>
      </c>
      <c r="N103" t="n">
        <v>0.01367863213678632</v>
      </c>
      <c r="O103" t="n">
        <v>-84967.26547664305</v>
      </c>
      <c r="P103" t="n">
        <v>-114448.6116852305</v>
      </c>
      <c r="Q103">
        <f>'_live'!$C$24</f>
        <v/>
      </c>
      <c r="R103" t="inlineStr">
        <is>
          <t>shuffled: 69 of 10,000</t>
        </is>
      </c>
      <c r="S103" t="inlineStr">
        <is>
          <t>shuffled: 37 of 10,000</t>
        </is>
      </c>
      <c r="T103" t="n">
        <v>0.1692631619580018</v>
      </c>
      <c r="U103" t="n">
        <v>0.153318369627904</v>
      </c>
      <c r="V103">
        <f>AND(judged_band,NOT($J103))</f>
        <v/>
      </c>
      <c r="W103">
        <f>IF($K103="","",IF(profit_kind="test",IF(OR(NOT(AND(ISNUMBER($L103),$L103&lt;significance_bar)),$K103=0),"in line",IF($K103&lt;0,"worse","better")),IF(OR($K103=0,IF(profit_kind="points",ABS($K103),ABS($K103*$H103))&lt;profit_line*(1-1E-9)),"in line",IF(AND(ISNUMBER($L103),$L103&lt;significance_bar),IF($K103&lt;0,"worse","better"),IF($K103&lt;0,"worse, not significant","better, not significant")))))</f>
        <v/>
      </c>
      <c r="X103">
        <f>IF($M103="","",IF(profit_kind="test",IF(OR(NOT(AND(ISNUMBER($N103),$N103&lt;significance_bar)),$M103=0),"in line",IF($M103&lt;0,"worse","better")),IF(OR($M103=0,IF(profit_kind="points",ABS($M103),ABS($M103*$H103))&lt;profit_line*(1-1E-9)),"in line",IF(AND(ISNUMBER($N103),$N103&lt;significance_bar),IF($M103&lt;0,"worse","better"),IF($M103&lt;0,"worse, not significant","better, not significant")))))</f>
        <v/>
      </c>
      <c r="Y103">
        <f>IF($V103,$X103,$W103)</f>
        <v/>
      </c>
      <c r="Z103">
        <f>IF($V103,IF($P103="","",$P103),IF($O103="","",$O103))</f>
        <v/>
      </c>
      <c r="AA103">
        <f>IF(OR($Q103="",$Z103=""),"",IF(AND($Z103&gt;0,$Z103&gt;=$Q103),"yes","below the line"))</f>
        <v/>
      </c>
      <c r="AB103">
        <f>IF($V103,IF($M103="","",$M103),IF($K103="","",$K103))</f>
        <v/>
      </c>
      <c r="AC103">
        <f>IF($V103,IF($N103="","",$N103),IF($L103="","",$L103))</f>
        <v/>
      </c>
      <c r="AD103">
        <f>IF($Y103="","",IF($Y103="in line",IF(profit_kind="test",IF(ROUND($AB103*100,2)=0,"0.00",TEXT($AB103*100,"+0.00;-0.00"))&amp;" points against "&amp;IF($V103,"its band","the book")&amp;", "&amp;IF($AC103="","not tested","not significant"),IF(profit_kind="points","within "&amp;TEXT(profit_line*100,"0.00")&amp;" points of "&amp;IF($V103,"its band","the book")&amp;" ("&amp;IF(ROUND($AB103*100,2)=0,"0.00",TEXT($AB103*100,"+0.00;-0.00"))&amp;")","within $"&amp;TEXT(profit_line,"#,##0")&amp;" of "&amp;IF($V103,"its band","the book")&amp;" ("&amp;IF(ROUND($AB103*100,2)=0,"0.00",TEXT($AB103*100,"+0.00;-0.00"))&amp;" points)")),IF(LEFT($Y103,5)="worse","short of ","ahead of ")&amp;IF($V103,"its band","the book")&amp;" by "&amp;TEXT(ABS($AB103)*100,"0.00")&amp;" points"&amp;IF($Z103="",""," ($"&amp;TEXT(ABS($Z103),"#,##0")&amp;")")&amp;IF(RIGHT($Y103,15)="not significant"," (not significant)","")))</f>
        <v/>
      </c>
      <c r="AE103">
        <f>IF($V103,IF($S103="","",$S103),IF($R103="","",$R103))</f>
        <v/>
      </c>
      <c r="AF103">
        <f>IF($V103,IF($U103="","",$U103),IF($T103="","",$T103))</f>
        <v/>
      </c>
      <c r="AG103">
        <f>IF($V103,IF($O103="","",$O103),IF($P103="","",$P103))</f>
        <v/>
      </c>
      <c r="AH103" t="n">
        <v>0.2152171490417646</v>
      </c>
      <c r="AI103">
        <f>IF($Y103="worse","Yes",IF($Y103="worse, not significant","Not sure",IF(OR($Y103="too few losses to test",$Y103="too few loans to test"),"Too few losses",IF($Y103="","","No"))))</f>
        <v/>
      </c>
      <c r="AJ103">
        <f>IF($AA103="yes","Yes",IF($AA103="","","No"))</f>
        <v/>
      </c>
      <c r="AK103" t="n">
        <v>0.003001266664194647</v>
      </c>
      <c r="AL103" t="n">
        <v>0.002214858250888694</v>
      </c>
      <c r="AM103">
        <f>IF(AND(ISNUMBER($AC103),ISNUMBER(IF($V103,IF($AL103="","",$AL103),IF($AK103="","",$AK103)))),IF(AND(ABS($AC103-significance_bar)&lt;=2.0*IF($V103,IF($AL103="","",$AL103),IF($AK103="","",$AK103)),OR($Y103="worse",$Y103="better",$Y103="worse, not significant",$Y103="better, not significant",AND(profit_kind="test",$Y103="in line",ISNUMBER($AB103),$AB103&lt;&gt;0))),IF(ROUND($AC103,3)=ROUND(significance_bar,3),TEXT($AC103,"0.0000"),TEXT($AC103,"0.000")),""),"")</f>
        <v/>
      </c>
      <c r="AN103">
        <f>IF(AND(ISNUMBER($AC103),ISNUMBER(IF($V103,IF($AL103="","",$AL103),IF($AK103="","",$AK103)))),IF(AND(ABS($AC103-significance_bar)&lt;=2.0*IF($V103,IF($AL103="","",$AL103),IF($AK103="","",$AK103)),OR($Y103="worse",$Y103="worse, not significant",AND(profit_kind="test",$Y103="in line",ISNUMBER($AB103),$AB103&lt;0))),IF(ROUND($AC103,3)=ROUND(significance_bar,3),TEXT($AC103,"0.0000"),TEXT($AC103,"0.000")),""),"")</f>
        <v/>
      </c>
      <c r="AO103">
        <f>IF(OR($AI103="",$AN103=""),$AI103,$AI103&amp;" · borderline (p "&amp;$AN103&amp;")")</f>
        <v/>
      </c>
    </row>
    <row r="104">
      <c r="A104" t="inlineStr">
        <is>
          <t>grids</t>
        </is>
      </c>
      <c r="B104" t="inlineStr">
        <is>
          <t>SHORT_HIST x CHANNEL</t>
        </is>
      </c>
      <c r="C104" t="inlineStr">
        <is>
          <t>89.0 - 171.9</t>
        </is>
      </c>
      <c r="D104" t="inlineStr">
        <is>
          <t>Broker</t>
        </is>
      </c>
      <c r="E104" t="inlineStr">
        <is>
          <t>outcome_loans</t>
        </is>
      </c>
      <c r="F104" t="inlineStr">
        <is>
          <t>Outcome, share of loans</t>
        </is>
      </c>
      <c r="G104" t="n">
        <v>522</v>
      </c>
      <c r="H104" t="n">
        <v>522</v>
      </c>
      <c r="I104" t="b">
        <v>0</v>
      </c>
      <c r="J104" t="b">
        <v>0</v>
      </c>
      <c r="K104" t="n">
        <v>1.424742927529722</v>
      </c>
      <c r="L104" t="n">
        <v>0.07267950997072337</v>
      </c>
      <c r="M104" t="n">
        <v>1.521020311761927</v>
      </c>
      <c r="N104" t="n">
        <v>0.09763051543228074</v>
      </c>
      <c r="O104" t="n">
        <v>16.69466363514778</v>
      </c>
      <c r="P104" t="n">
        <v>19.18260869565218</v>
      </c>
      <c r="Q104">
        <f>'_live'!$C$20</f>
        <v/>
      </c>
      <c r="R104" t="inlineStr">
        <is>
          <t>z test</t>
        </is>
      </c>
      <c r="S104" t="inlineStr">
        <is>
          <t>z test</t>
        </is>
      </c>
      <c r="T104" t="n">
        <v>0.07529757924301191</v>
      </c>
      <c r="U104" t="n">
        <v>0.07053140096618357</v>
      </c>
      <c r="V104">
        <f>AND(judged_band,NOT($J104))</f>
        <v/>
      </c>
      <c r="W104">
        <f>IF($K104="","",IF($I104,"too few losses to test",IF(AND($K104&gt;better_at,$K104&lt;worse_at),"in line",IF($K104&gt;=worse_at,IF(AND(ISNUMBER($L104),$L104&lt;significance_bar),"worse","worse, not significant"),IF(AND(ISNUMBER($L104),$L104&lt;significance_bar),"better","better, not significant")))))</f>
        <v/>
      </c>
      <c r="X104">
        <f>IF($M104="","",IF($I104,"too few losses to test",IF(AND($M104&gt;better_at,$M104&lt;worse_at),"in line",IF($M104&gt;=worse_at,IF(AND(ISNUMBER($N104),$N104&lt;significance_bar),"worse","worse, not significant"),IF(AND(ISNUMBER($N104),$N104&lt;significance_bar),"better","better, not significant")))))</f>
        <v/>
      </c>
      <c r="Y104">
        <f>IF($V104,$X104,$W104)</f>
        <v/>
      </c>
      <c r="Z104">
        <f>IF($V104,IF($P104="","",$P104),IF($O104="","",$O104))</f>
        <v/>
      </c>
      <c r="AA104">
        <f>IF(OR($Q104="",$Z104=""),"",IF(AND($Z104&gt;0,$Z104&gt;=$Q104),"yes","below the line"))</f>
        <v/>
      </c>
      <c r="AB104">
        <f>IF($V104,IF($M104="","",$M104),IF($K104="","",$K104))</f>
        <v/>
      </c>
      <c r="AC104">
        <f>IF($V104,IF($N104="","",$N104),IF($L104="","",$L104))</f>
        <v/>
      </c>
      <c r="AD104">
        <f>$Y104</f>
        <v/>
      </c>
      <c r="AE104">
        <f>IF($V104,IF($S104="","",$S104),IF($R104="","",$R104))</f>
        <v/>
      </c>
      <c r="AF104">
        <f>IF($V104,IF($U104="","",$U104),IF($T104="","",$T104))</f>
        <v/>
      </c>
      <c r="AG104">
        <f>IF($V104,IF($O104="","",$O104),IF($P104="","",$P104))</f>
        <v/>
      </c>
      <c r="AH104" t="n">
        <v>0.10727969348659</v>
      </c>
      <c r="AI104">
        <f>IF($Y104="worse","Yes",IF($Y104="worse, not significant","Not sure",IF(OR($Y104="too few losses to test",$Y104="too few loans to test"),"Too few losses",IF($Y104="","","No"))))</f>
        <v/>
      </c>
      <c r="AJ104">
        <f>IF($AA104="yes","Yes",IF($AA104="","","No"))</f>
        <v/>
      </c>
      <c r="AM104">
        <f>IF(AND(ISNUMBER($AC104),ISNUMBER(IF($V104,IF($AL104="","",$AL104),IF($AK104="","",$AK104)))),IF(AND(ABS($AC104-significance_bar)&lt;=2.0*IF($V104,IF($AL104="","",$AL104),IF($AK104="","",$AK104)),OR($Y104="worse",$Y104="better",$Y104="worse, not significant",$Y104="better, not significant")),IF(ROUND($AC104,3)=ROUND(significance_bar,3),TEXT($AC104,"0.0000"),TEXT($AC104,"0.000")),""),"")</f>
        <v/>
      </c>
      <c r="AN104">
        <f>IF(AND(ISNUMBER($AC104),ISNUMBER(IF($V104,IF($AL104="","",$AL104),IF($AK104="","",$AK104)))),IF(AND(ABS($AC104-significance_bar)&lt;=2.0*IF($V104,IF($AL104="","",$AL104),IF($AK104="","",$AK104)),OR($Y104="worse",$Y104="worse, not significant")),IF(ROUND($AC104,3)=ROUND(significance_bar,3),TEXT($AC104,"0.0000"),TEXT($AC104,"0.000")),""),"")</f>
        <v/>
      </c>
      <c r="AO104">
        <f>IF(OR($AI104="",$AN104=""),$AI104,$AI104&amp;" · borderline (p "&amp;$AN104&amp;")")</f>
        <v/>
      </c>
    </row>
    <row r="105">
      <c r="A105" t="inlineStr">
        <is>
          <t>grids</t>
        </is>
      </c>
      <c r="B105" t="inlineStr">
        <is>
          <t>SHORT_HIST x CHANNEL</t>
        </is>
      </c>
      <c r="C105" t="inlineStr">
        <is>
          <t>89.0 - 171.9</t>
        </is>
      </c>
      <c r="D105" t="inlineStr">
        <is>
          <t>Broker</t>
        </is>
      </c>
      <c r="E105" t="inlineStr">
        <is>
          <t>outcome_booked</t>
        </is>
      </c>
      <c r="F105" t="inlineStr">
        <is>
          <t>Outcome, share of booked dollars</t>
        </is>
      </c>
      <c r="G105" t="n">
        <v>522</v>
      </c>
      <c r="H105" t="n">
        <v>17451121.63</v>
      </c>
      <c r="I105" t="b">
        <v>0</v>
      </c>
      <c r="J105" t="b">
        <v>0</v>
      </c>
      <c r="K105" t="n">
        <v>1.366327814510867</v>
      </c>
      <c r="L105" t="n">
        <v>0.1517848215178482</v>
      </c>
      <c r="M105" t="n">
        <v>1.377594160596277</v>
      </c>
      <c r="N105" t="n">
        <v>0.2897710228977102</v>
      </c>
      <c r="O105" t="n">
        <v>466803.0981714712</v>
      </c>
      <c r="P105" t="n">
        <v>477224.4877097902</v>
      </c>
      <c r="Q105">
        <f>'_live'!$C$21</f>
        <v/>
      </c>
      <c r="R105" t="inlineStr">
        <is>
          <t>shuffled: 384 of 10,000</t>
        </is>
      </c>
      <c r="S105" t="inlineStr">
        <is>
          <t>shuffled: 965 of 10,000</t>
        </is>
      </c>
      <c r="T105" t="n">
        <v>0.07301977482283636</v>
      </c>
      <c r="U105" t="n">
        <v>0.07242259890719757</v>
      </c>
      <c r="V105">
        <f>AND(judged_band,NOT($J105))</f>
        <v/>
      </c>
      <c r="W105">
        <f>IF($K105="","",IF($I105,"too few losses to test",IF(AND($K105&gt;better_at,$K105&lt;worse_at),"in line",IF($K105&gt;=worse_at,IF(AND(ISNUMBER($L105),$L105&lt;significance_bar),"worse","worse, not significant"),IF(AND(ISNUMBER($L105),$L105&lt;significance_bar),"better","better, not significant")))))</f>
        <v/>
      </c>
      <c r="X105">
        <f>IF($M105="","",IF($I105,"too few losses to test",IF(AND($M105&gt;better_at,$M105&lt;worse_at),"in line",IF($M105&gt;=worse_at,IF(AND(ISNUMBER($N105),$N105&lt;significance_bar),"worse","worse, not significant"),IF(AND(ISNUMBER($N105),$N105&lt;significance_bar),"better","better, not significant")))))</f>
        <v/>
      </c>
      <c r="Y105">
        <f>IF($V105,$X105,$W105)</f>
        <v/>
      </c>
      <c r="Z105">
        <f>IF($V105,IF($P105="","",$P105),IF($O105="","",$O105))</f>
        <v/>
      </c>
      <c r="AA105">
        <f>IF(OR($Q105="",$Z105=""),"",IF(AND($Z105&gt;0,$Z105&gt;=$Q105),"yes","below the line"))</f>
        <v/>
      </c>
      <c r="AB105">
        <f>IF($V105,IF($M105="","",$M105),IF($K105="","",$K105))</f>
        <v/>
      </c>
      <c r="AC105">
        <f>IF($V105,IF($N105="","",$N105),IF($L105="","",$L105))</f>
        <v/>
      </c>
      <c r="AD105">
        <f>$Y105</f>
        <v/>
      </c>
      <c r="AE105">
        <f>IF($V105,IF($S105="","",$S105),IF($R105="","",$R105))</f>
        <v/>
      </c>
      <c r="AF105">
        <f>IF($V105,IF($U105="","",$U105),IF($T105="","",$T105))</f>
        <v/>
      </c>
      <c r="AG105">
        <f>IF($V105,IF($O105="","",$O105),IF($P105="","",$P105))</f>
        <v/>
      </c>
      <c r="AH105" t="n">
        <v>0.09976894934976167</v>
      </c>
      <c r="AI105">
        <f>IF($Y105="worse","Yes",IF($Y105="worse, not significant","Not sure",IF(OR($Y105="too few losses to test",$Y105="too few loans to test"),"Too few losses",IF($Y105="","","No"))))</f>
        <v/>
      </c>
      <c r="AJ105">
        <f>IF($AA105="yes","Yes",IF($AA105="","","No"))</f>
        <v/>
      </c>
      <c r="AK105" t="n">
        <v>0.006575072870397253</v>
      </c>
      <c r="AL105" t="n">
        <v>0.00886197395043534</v>
      </c>
      <c r="AM105">
        <f>IF(AND(ISNUMBER($AC105),ISNUMBER(IF($V105,IF($AL105="","",$AL105),IF($AK105="","",$AK105)))),IF(AND(ABS($AC105-significance_bar)&lt;=2.0*IF($V105,IF($AL105="","",$AL105),IF($AK105="","",$AK105)),OR($Y105="worse",$Y105="better",$Y105="worse, not significant",$Y105="better, not significant")),IF(ROUND($AC105,3)=ROUND(significance_bar,3),TEXT($AC105,"0.0000"),TEXT($AC105,"0.000")),""),"")</f>
        <v/>
      </c>
      <c r="AN105">
        <f>IF(AND(ISNUMBER($AC105),ISNUMBER(IF($V105,IF($AL105="","",$AL105),IF($AK105="","",$AK105)))),IF(AND(ABS($AC105-significance_bar)&lt;=2.0*IF($V105,IF($AL105="","",$AL105),IF($AK105="","",$AK105)),OR($Y105="worse",$Y105="worse, not significant")),IF(ROUND($AC105,3)=ROUND(significance_bar,3),TEXT($AC105,"0.0000"),TEXT($AC105,"0.000")),""),"")</f>
        <v/>
      </c>
      <c r="AO105">
        <f>IF(OR($AI105="",$AN105=""),$AI105,$AI105&amp;" · borderline (p "&amp;$AN105&amp;")")</f>
        <v/>
      </c>
    </row>
    <row r="106">
      <c r="A106" t="inlineStr">
        <is>
          <t>grids</t>
        </is>
      </c>
      <c r="B106" t="inlineStr">
        <is>
          <t>SHORT_HIST x CHANNEL</t>
        </is>
      </c>
      <c r="C106" t="inlineStr">
        <is>
          <t>89.0 - 171.9</t>
        </is>
      </c>
      <c r="D106" t="inlineStr">
        <is>
          <t>Broker</t>
        </is>
      </c>
      <c r="E106" t="inlineStr">
        <is>
          <t>gco_rate</t>
        </is>
      </c>
      <c r="F106" t="inlineStr">
        <is>
          <t>GCO per booked dollar</t>
        </is>
      </c>
      <c r="G106" t="n">
        <v>522</v>
      </c>
      <c r="H106" t="n">
        <v>17451121.63</v>
      </c>
      <c r="I106" t="b">
        <v>0</v>
      </c>
      <c r="J106" t="b">
        <v>0</v>
      </c>
      <c r="K106" t="n">
        <v>1.399883053292649</v>
      </c>
      <c r="L106" t="n">
        <v>0.140985901409859</v>
      </c>
      <c r="M106" t="n">
        <v>1.451472241133468</v>
      </c>
      <c r="N106" t="n">
        <v>0.1778822117788221</v>
      </c>
      <c r="O106" t="n">
        <v>282693.0526961031</v>
      </c>
      <c r="P106" t="n">
        <v>307819.5581840561</v>
      </c>
      <c r="Q106">
        <f>'_live'!$C$22</f>
        <v/>
      </c>
      <c r="R106" t="inlineStr">
        <is>
          <t>shuffled: 281 of 10,000</t>
        </is>
      </c>
      <c r="S106" t="inlineStr">
        <is>
          <t>shuffled: 592 of 10,000</t>
        </is>
      </c>
      <c r="T106" t="n">
        <v>0.04050967796182263</v>
      </c>
      <c r="U106" t="n">
        <v>0.0390698561543373</v>
      </c>
      <c r="V106">
        <f>AND(judged_band,NOT($J106))</f>
        <v/>
      </c>
      <c r="W106">
        <f>IF($K106="","",IF($I106,"too few losses to test",IF(AND($K106&gt;better_at,$K106&lt;worse_at),"in line",IF($K106&gt;=worse_at,IF(AND(ISNUMBER($L106),$L106&lt;significance_bar),"worse","worse, not significant"),IF(AND(ISNUMBER($L106),$L106&lt;significance_bar),"better","better, not significant")))))</f>
        <v/>
      </c>
      <c r="X106">
        <f>IF($M106="","",IF($I106,"too few losses to test",IF(AND($M106&gt;better_at,$M106&lt;worse_at),"in line",IF($M106&gt;=worse_at,IF(AND(ISNUMBER($N106),$N106&lt;significance_bar),"worse","worse, not significant"),IF(AND(ISNUMBER($N106),$N106&lt;significance_bar),"better","better, not significant")))))</f>
        <v/>
      </c>
      <c r="Y106">
        <f>IF($V106,$X106,$W106)</f>
        <v/>
      </c>
      <c r="Z106">
        <f>IF($V106,IF($P106="","",$P106),IF($O106="","",$O106))</f>
        <v/>
      </c>
      <c r="AA106">
        <f>IF(OR($Q106="",$Z106=""),"",IF(AND($Z106&gt;0,$Z106&gt;=$Q106),"yes","below the line"))</f>
        <v/>
      </c>
      <c r="AB106">
        <f>IF($V106,IF($M106="","",$M106),IF($K106="","",$K106))</f>
        <v/>
      </c>
      <c r="AC106">
        <f>IF($V106,IF($N106="","",$N106),IF($L106="","",$L106))</f>
        <v/>
      </c>
      <c r="AD106">
        <f>$Y106</f>
        <v/>
      </c>
      <c r="AE106">
        <f>IF($V106,IF($S106="","",$S106),IF($R106="","",$R106))</f>
        <v/>
      </c>
      <c r="AF106">
        <f>IF($V106,IF($U106="","",$U106),IF($T106="","",$T106))</f>
        <v/>
      </c>
      <c r="AG106">
        <f>IF($V106,IF($O106="","",$O106),IF($P106="","",$P106))</f>
        <v/>
      </c>
      <c r="AH106" t="n">
        <v>0.05670881167309819</v>
      </c>
      <c r="AI106">
        <f>IF($Y106="worse","Yes",IF($Y106="worse, not significant","Not sure",IF(OR($Y106="too few losses to test",$Y106="too few loans to test"),"Too few losses",IF($Y106="","","No"))))</f>
        <v/>
      </c>
      <c r="AJ106">
        <f>IF($AA106="yes","Yes",IF($AA106="","","No"))</f>
        <v/>
      </c>
      <c r="AK106" t="n">
        <v>0.008276789731852226</v>
      </c>
      <c r="AL106" t="n">
        <v>0.007085227971414474</v>
      </c>
      <c r="AM106">
        <f>IF(AND(ISNUMBER($AC106),ISNUMBER(IF($V106,IF($AL106="","",$AL106),IF($AK106="","",$AK106)))),IF(AND(ABS($AC106-significance_bar)&lt;=2.0*IF($V106,IF($AL106="","",$AL106),IF($AK106="","",$AK106)),OR($Y106="worse",$Y106="better",$Y106="worse, not significant",$Y106="better, not significant")),IF(ROUND($AC106,3)=ROUND(significance_bar,3),TEXT($AC106,"0.0000"),TEXT($AC106,"0.000")),""),"")</f>
        <v/>
      </c>
      <c r="AN106">
        <f>IF(AND(ISNUMBER($AC106),ISNUMBER(IF($V106,IF($AL106="","",$AL106),IF($AK106="","",$AK106)))),IF(AND(ABS($AC106-significance_bar)&lt;=2.0*IF($V106,IF($AL106="","",$AL106),IF($AK106="","",$AK106)),OR($Y106="worse",$Y106="worse, not significant")),IF(ROUND($AC106,3)=ROUND(significance_bar,3),TEXT($AC106,"0.0000"),TEXT($AC106,"0.000")),""),"")</f>
        <v/>
      </c>
      <c r="AO106">
        <f>IF(OR($AI106="",$AN106=""),$AI106,$AI106&amp;" · borderline (p "&amp;$AN106&amp;")")</f>
        <v/>
      </c>
    </row>
    <row r="107">
      <c r="A107" t="inlineStr">
        <is>
          <t>grids</t>
        </is>
      </c>
      <c r="B107" t="inlineStr">
        <is>
          <t>SHORT_HIST x CHANNEL</t>
        </is>
      </c>
      <c r="C107" t="inlineStr">
        <is>
          <t>89.0 - 171.9</t>
        </is>
      </c>
      <c r="D107" t="inlineStr">
        <is>
          <t>Broker</t>
        </is>
      </c>
      <c r="E107" t="inlineStr">
        <is>
          <t>ranr_rate</t>
        </is>
      </c>
      <c r="F107" t="inlineStr">
        <is>
          <t>Profit after losses: RANR per booked dollar</t>
        </is>
      </c>
      <c r="G107" t="n">
        <v>522</v>
      </c>
      <c r="H107" t="n">
        <v>17451121.63</v>
      </c>
      <c r="I107" t="b">
        <v>0</v>
      </c>
      <c r="J107" t="b">
        <v>0</v>
      </c>
      <c r="K107" t="n">
        <v>-0.01709331742162999</v>
      </c>
      <c r="L107" t="n">
        <v>0.2256974302569743</v>
      </c>
      <c r="M107" t="n">
        <v>-0.01934610153369011</v>
      </c>
      <c r="N107" t="n">
        <v>0.2280629079949148</v>
      </c>
      <c r="O107" t="n">
        <v>298297.5613850628</v>
      </c>
      <c r="P107" t="n">
        <v>337611.1709307556</v>
      </c>
      <c r="Q107">
        <f>'_live'!$C$23</f>
        <v/>
      </c>
      <c r="R107" t="inlineStr">
        <is>
          <t>shuffled: 626 of 10,000</t>
        </is>
      </c>
      <c r="S107" t="inlineStr">
        <is>
          <t>shuffled: 886 of 10,000</t>
        </is>
      </c>
      <c r="T107" t="n">
        <v>0.1291459350962683</v>
      </c>
      <c r="U107" t="n">
        <v>0.1313987192083284</v>
      </c>
      <c r="V107">
        <f>AND(judged_band,NOT($J107))</f>
        <v/>
      </c>
      <c r="W107">
        <f>IF($K107="","",IF(profit_kind="test",IF(OR(NOT(AND(ISNUMBER($L107),$L107&lt;significance_bar)),$K107=0),"in line",IF($K107&lt;0,"worse","better")),IF(OR($K107=0,IF(profit_kind="points",ABS($K107),ABS($K107*$H107))&lt;profit_line*(1-1E-9)),"in line",IF(AND(ISNUMBER($L107),$L107&lt;significance_bar),IF($K107&lt;0,"worse","better"),IF($K107&lt;0,"worse, not significant","better, not significant")))))</f>
        <v/>
      </c>
      <c r="X107">
        <f>IF($M107="","",IF(profit_kind="test",IF(OR(NOT(AND(ISNUMBER($N107),$N107&lt;significance_bar)),$M107=0),"in line",IF($M107&lt;0,"worse","better")),IF(OR($M107=0,IF(profit_kind="points",ABS($M107),ABS($M107*$H107))&lt;profit_line*(1-1E-9)),"in line",IF(AND(ISNUMBER($N107),$N107&lt;significance_bar),IF($M107&lt;0,"worse","better"),IF($M107&lt;0,"worse, not significant","better, not significant")))))</f>
        <v/>
      </c>
      <c r="Y107">
        <f>IF($V107,$X107,$W107)</f>
        <v/>
      </c>
      <c r="Z107">
        <f>IF($V107,IF($P107="","",$P107),IF($O107="","",$O107))</f>
        <v/>
      </c>
      <c r="AA107">
        <f>IF(OR($Q107="",$Z107=""),"",IF(AND($Z107&gt;0,$Z107&gt;=$Q107),"yes","below the line"))</f>
        <v/>
      </c>
      <c r="AB107">
        <f>IF($V107,IF($M107="","",$M107),IF($K107="","",$K107))</f>
        <v/>
      </c>
      <c r="AC107">
        <f>IF($V107,IF($N107="","",$N107),IF($L107="","",$L107))</f>
        <v/>
      </c>
      <c r="AD107">
        <f>IF($Y107="","",IF($Y107="in line",IF(profit_kind="test",IF(ROUND($AB107*100,2)=0,"0.00",TEXT($AB107*100,"+0.00;-0.00"))&amp;" points against "&amp;IF($V107,"its band","the book")&amp;", "&amp;IF($AC107="","not tested","not significant"),IF(profit_kind="points","within "&amp;TEXT(profit_line*100,"0.00")&amp;" points of "&amp;IF($V107,"its band","the book")&amp;" ("&amp;IF(ROUND($AB107*100,2)=0,"0.00",TEXT($AB107*100,"+0.00;-0.00"))&amp;")","within $"&amp;TEXT(profit_line,"#,##0")&amp;" of "&amp;IF($V107,"its band","the book")&amp;" ("&amp;IF(ROUND($AB107*100,2)=0,"0.00",TEXT($AB107*100,"+0.00;-0.00"))&amp;" points)")),IF(LEFT($Y107,5)="worse","short of ","ahead of ")&amp;IF($V107,"its band","the book")&amp;" by "&amp;TEXT(ABS($AB107)*100,"0.00")&amp;" points"&amp;IF($Z107="",""," ($"&amp;TEXT(ABS($Z107),"#,##0")&amp;")")&amp;IF(RIGHT($Y107,15)="not significant"," (not significant)","")))</f>
        <v/>
      </c>
      <c r="AE107">
        <f>IF($V107,IF($S107="","",$S107),IF($R107="","",$R107))</f>
        <v/>
      </c>
      <c r="AF107">
        <f>IF($V107,IF($U107="","",$U107),IF($T107="","",$T107))</f>
        <v/>
      </c>
      <c r="AG107">
        <f>IF($V107,IF($O107="","",$O107),IF($P107="","",$P107))</f>
        <v/>
      </c>
      <c r="AH107" t="n">
        <v>0.1120526176746383</v>
      </c>
      <c r="AI107">
        <f>IF($Y107="worse","Yes",IF($Y107="worse, not significant","Not sure",IF(OR($Y107="too few losses to test",$Y107="too few loans to test"),"Too few losses",IF($Y107="","","No"))))</f>
        <v/>
      </c>
      <c r="AJ107">
        <f>IF($AA107="yes","Yes",IF($AA107="","","No"))</f>
        <v/>
      </c>
      <c r="AK107" t="n">
        <v>0.008726805938603801</v>
      </c>
      <c r="AL107" t="n">
        <v>0.007310504686395547</v>
      </c>
      <c r="AM107">
        <f>IF(AND(ISNUMBER($AC107),ISNUMBER(IF($V107,IF($AL107="","",$AL107),IF($AK107="","",$AK107)))),IF(AND(ABS($AC107-significance_bar)&lt;=2.0*IF($V107,IF($AL107="","",$AL107),IF($AK107="","",$AK107)),OR($Y107="worse",$Y107="better",$Y107="worse, not significant",$Y107="better, not significant",AND(profit_kind="test",$Y107="in line",ISNUMBER($AB107),$AB107&lt;&gt;0))),IF(ROUND($AC107,3)=ROUND(significance_bar,3),TEXT($AC107,"0.0000"),TEXT($AC107,"0.000")),""),"")</f>
        <v/>
      </c>
      <c r="AN107">
        <f>IF(AND(ISNUMBER($AC107),ISNUMBER(IF($V107,IF($AL107="","",$AL107),IF($AK107="","",$AK107)))),IF(AND(ABS($AC107-significance_bar)&lt;=2.0*IF($V107,IF($AL107="","",$AL107),IF($AK107="","",$AK107)),OR($Y107="worse",$Y107="worse, not significant",AND(profit_kind="test",$Y107="in line",ISNUMBER($AB107),$AB107&lt;0))),IF(ROUND($AC107,3)=ROUND(significance_bar,3),TEXT($AC107,"0.0000"),TEXT($AC107,"0.000")),""),"")</f>
        <v/>
      </c>
      <c r="AO107">
        <f>IF(OR($AI107="",$AN107=""),$AI107,$AI107&amp;" · borderline (p "&amp;$AN107&amp;")")</f>
        <v/>
      </c>
    </row>
    <row r="108">
      <c r="A108" t="inlineStr">
        <is>
          <t>grids</t>
        </is>
      </c>
      <c r="B108" t="inlineStr">
        <is>
          <t>SHORT_HIST x CHANNEL</t>
        </is>
      </c>
      <c r="C108" t="inlineStr">
        <is>
          <t>89.0 - 171.9</t>
        </is>
      </c>
      <c r="D108" t="inlineStr">
        <is>
          <t>Broker</t>
        </is>
      </c>
      <c r="E108" t="inlineStr">
        <is>
          <t>contribution_rate</t>
        </is>
      </c>
      <c r="F108" t="inlineStr">
        <is>
          <t>Contribution before losses per booked dollar</t>
        </is>
      </c>
      <c r="G108" t="n">
        <v>522</v>
      </c>
      <c r="H108" t="n">
        <v>17451121.63</v>
      </c>
      <c r="I108" t="b">
        <v>0</v>
      </c>
      <c r="J108" t="b">
        <v>0</v>
      </c>
      <c r="K108" t="n">
        <v>-0.0008913077274532444</v>
      </c>
      <c r="L108" t="n">
        <v>0.8780121987801219</v>
      </c>
      <c r="M108" t="n">
        <v>-0.001707146014928967</v>
      </c>
      <c r="N108" t="n">
        <v>0.8628548909814902</v>
      </c>
      <c r="O108" t="n">
        <v>15554.31956154527</v>
      </c>
      <c r="P108" t="n">
        <v>29791.61274669506</v>
      </c>
      <c r="Q108">
        <f>'_live'!$C$24</f>
        <v/>
      </c>
      <c r="R108" t="inlineStr">
        <is>
          <t>shuffled: 8,780 of 10,000</t>
        </is>
      </c>
      <c r="S108" t="inlineStr">
        <is>
          <t>shuffled: 8,149 of 10,000</t>
        </is>
      </c>
      <c r="T108" t="n">
        <v>0.1696527370751898</v>
      </c>
      <c r="U108" t="n">
        <v>0.1704685753626655</v>
      </c>
      <c r="V108">
        <f>AND(judged_band,NOT($J108))</f>
        <v/>
      </c>
      <c r="W108">
        <f>IF($K108="","",IF(profit_kind="test",IF(OR(NOT(AND(ISNUMBER($L108),$L108&lt;significance_bar)),$K108=0),"in line",IF($K108&lt;0,"worse","better")),IF(OR($K108=0,IF(profit_kind="points",ABS($K108),ABS($K108*$H108))&lt;profit_line*(1-1E-9)),"in line",IF(AND(ISNUMBER($L108),$L108&lt;significance_bar),IF($K108&lt;0,"worse","better"),IF($K108&lt;0,"worse, not significant","better, not significant")))))</f>
        <v/>
      </c>
      <c r="X108">
        <f>IF($M108="","",IF(profit_kind="test",IF(OR(NOT(AND(ISNUMBER($N108),$N108&lt;significance_bar)),$M108=0),"in line",IF($M108&lt;0,"worse","better")),IF(OR($M108=0,IF(profit_kind="points",ABS($M108),ABS($M108*$H108))&lt;profit_line*(1-1E-9)),"in line",IF(AND(ISNUMBER($N108),$N108&lt;significance_bar),IF($M108&lt;0,"worse","better"),IF($M108&lt;0,"worse, not significant","better, not significant")))))</f>
        <v/>
      </c>
      <c r="Y108">
        <f>IF($V108,$X108,$W108)</f>
        <v/>
      </c>
      <c r="Z108">
        <f>IF($V108,IF($P108="","",$P108),IF($O108="","",$O108))</f>
        <v/>
      </c>
      <c r="AA108">
        <f>IF(OR($Q108="",$Z108=""),"",IF(AND($Z108&gt;0,$Z108&gt;=$Q108),"yes","below the line"))</f>
        <v/>
      </c>
      <c r="AB108">
        <f>IF($V108,IF($M108="","",$M108),IF($K108="","",$K108))</f>
        <v/>
      </c>
      <c r="AC108">
        <f>IF($V108,IF($N108="","",$N108),IF($L108="","",$L108))</f>
        <v/>
      </c>
      <c r="AD108">
        <f>IF($Y108="","",IF($Y108="in line",IF(profit_kind="test",IF(ROUND($AB108*100,2)=0,"0.00",TEXT($AB108*100,"+0.00;-0.00"))&amp;" points against "&amp;IF($V108,"its band","the book")&amp;", "&amp;IF($AC108="","not tested","not significant"),IF(profit_kind="points","within "&amp;TEXT(profit_line*100,"0.00")&amp;" points of "&amp;IF($V108,"its band","the book")&amp;" ("&amp;IF(ROUND($AB108*100,2)=0,"0.00",TEXT($AB108*100,"+0.00;-0.00"))&amp;")","within $"&amp;TEXT(profit_line,"#,##0")&amp;" of "&amp;IF($V108,"its band","the book")&amp;" ("&amp;IF(ROUND($AB108*100,2)=0,"0.00",TEXT($AB108*100,"+0.00;-0.00"))&amp;" points)")),IF(LEFT($Y108,5)="worse","short of ","ahead of ")&amp;IF($V108,"its band","the book")&amp;" by "&amp;TEXT(ABS($AB108)*100,"0.00")&amp;" points"&amp;IF($Z108="",""," ($"&amp;TEXT(ABS($Z108),"#,##0")&amp;")")&amp;IF(RIGHT($Y108,15)="not significant"," (not significant)","")))</f>
        <v/>
      </c>
      <c r="AE108">
        <f>IF($V108,IF($S108="","",$S108),IF($R108="","",$R108))</f>
        <v/>
      </c>
      <c r="AF108">
        <f>IF($V108,IF($U108="","",$U108),IF($T108="","",$T108))</f>
        <v/>
      </c>
      <c r="AG108">
        <f>IF($V108,IF($O108="","",$O108),IF($P108="","",$P108))</f>
        <v/>
      </c>
      <c r="AH108" t="n">
        <v>0.1687614293477366</v>
      </c>
      <c r="AI108">
        <f>IF($Y108="worse","Yes",IF($Y108="worse, not significant","Not sure",IF(OR($Y108="too few losses to test",$Y108="too few loans to test"),"Too few losses",IF($Y108="","","No"))))</f>
        <v/>
      </c>
      <c r="AJ108">
        <f>IF($AA108="yes","Yes",IF($AA108="","","No"))</f>
        <v/>
      </c>
      <c r="AK108" t="n">
        <v>0.003272717182608628</v>
      </c>
      <c r="AL108" t="n">
        <v>0.004112085822895063</v>
      </c>
      <c r="AM108">
        <f>IF(AND(ISNUMBER($AC108),ISNUMBER(IF($V108,IF($AL108="","",$AL108),IF($AK108="","",$AK108)))),IF(AND(ABS($AC108-significance_bar)&lt;=2.0*IF($V108,IF($AL108="","",$AL108),IF($AK108="","",$AK108)),OR($Y108="worse",$Y108="better",$Y108="worse, not significant",$Y108="better, not significant",AND(profit_kind="test",$Y108="in line",ISNUMBER($AB108),$AB108&lt;&gt;0))),IF(ROUND($AC108,3)=ROUND(significance_bar,3),TEXT($AC108,"0.0000"),TEXT($AC108,"0.000")),""),"")</f>
        <v/>
      </c>
      <c r="AN108">
        <f>IF(AND(ISNUMBER($AC108),ISNUMBER(IF($V108,IF($AL108="","",$AL108),IF($AK108="","",$AK108)))),IF(AND(ABS($AC108-significance_bar)&lt;=2.0*IF($V108,IF($AL108="","",$AL108),IF($AK108="","",$AK108)),OR($Y108="worse",$Y108="worse, not significant",AND(profit_kind="test",$Y108="in line",ISNUMBER($AB108),$AB108&lt;0))),IF(ROUND($AC108,3)=ROUND(significance_bar,3),TEXT($AC108,"0.0000"),TEXT($AC108,"0.000")),""),"")</f>
        <v/>
      </c>
      <c r="AO108">
        <f>IF(OR($AI108="",$AN108=""),$AI108,$AI108&amp;" · borderline (p "&amp;$AN108&amp;")")</f>
        <v/>
      </c>
    </row>
    <row r="109">
      <c r="A109" t="inlineStr">
        <is>
          <t>grids</t>
        </is>
      </c>
      <c r="B109" t="inlineStr">
        <is>
          <t>SHORT_HIST x CHANNEL</t>
        </is>
      </c>
      <c r="C109" t="inlineStr">
        <is>
          <t>256.4 - 345.9</t>
        </is>
      </c>
      <c r="D109" t="inlineStr">
        <is>
          <t>Branch</t>
        </is>
      </c>
      <c r="E109" t="inlineStr">
        <is>
          <t>outcome_loans</t>
        </is>
      </c>
      <c r="F109" t="inlineStr">
        <is>
          <t>Outcome, share of loans</t>
        </is>
      </c>
      <c r="G109" t="n">
        <v>503</v>
      </c>
      <c r="H109" t="n">
        <v>503</v>
      </c>
      <c r="I109" t="b">
        <v>0</v>
      </c>
      <c r="J109" t="b">
        <v>0</v>
      </c>
      <c r="K109" t="n">
        <v>0.9746957155517838</v>
      </c>
      <c r="L109" t="n">
        <v>0.9357685436901996</v>
      </c>
      <c r="M109" t="n">
        <v>0.8255053015241881</v>
      </c>
      <c r="N109" t="n">
        <v>0.5570259701087055</v>
      </c>
      <c r="O109" t="n">
        <v>-0.9865261472785534</v>
      </c>
      <c r="P109" t="n">
        <v>-8.032411820781697</v>
      </c>
      <c r="Q109">
        <f>'_live'!$C$20</f>
        <v/>
      </c>
      <c r="R109" t="inlineStr">
        <is>
          <t>z test</t>
        </is>
      </c>
      <c r="S109" t="inlineStr">
        <is>
          <t>z test</t>
        </is>
      </c>
      <c r="T109" t="n">
        <v>0.07750800426894344</v>
      </c>
      <c r="U109" t="n">
        <v>0.09151572926596759</v>
      </c>
      <c r="V109">
        <f>AND(judged_band,NOT($J109))</f>
        <v/>
      </c>
      <c r="W109">
        <f>IF($K109="","",IF($I109,"too few losses to test",IF(AND($K109&gt;better_at,$K109&lt;worse_at),"in line",IF($K109&gt;=worse_at,IF(AND(ISNUMBER($L109),$L109&lt;significance_bar),"worse","worse, not significant"),IF(AND(ISNUMBER($L109),$L109&lt;significance_bar),"better","better, not significant")))))</f>
        <v/>
      </c>
      <c r="X109">
        <f>IF($M109="","",IF($I109,"too few losses to test",IF(AND($M109&gt;better_at,$M109&lt;worse_at),"in line",IF($M109&gt;=worse_at,IF(AND(ISNUMBER($N109),$N109&lt;significance_bar),"worse","worse, not significant"),IF(AND(ISNUMBER($N109),$N109&lt;significance_bar),"better","better, not significant")))))</f>
        <v/>
      </c>
      <c r="Y109">
        <f>IF($V109,$X109,$W109)</f>
        <v/>
      </c>
      <c r="Z109">
        <f>IF($V109,IF($P109="","",$P109),IF($O109="","",$O109))</f>
        <v/>
      </c>
      <c r="AA109">
        <f>IF(OR($Q109="",$Z109=""),"",IF(AND($Z109&gt;0,$Z109&gt;=$Q109),"yes","below the line"))</f>
        <v/>
      </c>
      <c r="AB109">
        <f>IF($V109,IF($M109="","",$M109),IF($K109="","",$K109))</f>
        <v/>
      </c>
      <c r="AC109">
        <f>IF($V109,IF($N109="","",$N109),IF($L109="","",$L109))</f>
        <v/>
      </c>
      <c r="AD109">
        <f>$Y109</f>
        <v/>
      </c>
      <c r="AE109">
        <f>IF($V109,IF($S109="","",$S109),IF($R109="","",$R109))</f>
        <v/>
      </c>
      <c r="AF109">
        <f>IF($V109,IF($U109="","",$U109),IF($T109="","",$T109))</f>
        <v/>
      </c>
      <c r="AG109">
        <f>IF($V109,IF($O109="","",$O109),IF($P109="","",$P109))</f>
        <v/>
      </c>
      <c r="AH109" t="n">
        <v>0.07554671968190854</v>
      </c>
      <c r="AI109">
        <f>IF($Y109="worse","Yes",IF($Y109="worse, not significant","Not sure",IF(OR($Y109="too few losses to test",$Y109="too few loans to test"),"Too few losses",IF($Y109="","","No"))))</f>
        <v/>
      </c>
      <c r="AJ109">
        <f>IF($AA109="yes","Yes",IF($AA109="","","No"))</f>
        <v/>
      </c>
      <c r="AM109">
        <f>IF(AND(ISNUMBER($AC109),ISNUMBER(IF($V109,IF($AL109="","",$AL109),IF($AK109="","",$AK109)))),IF(AND(ABS($AC109-significance_bar)&lt;=2.0*IF($V109,IF($AL109="","",$AL109),IF($AK109="","",$AK109)),OR($Y109="worse",$Y109="better",$Y109="worse, not significant",$Y109="better, not significant")),IF(ROUND($AC109,3)=ROUND(significance_bar,3),TEXT($AC109,"0.0000"),TEXT($AC109,"0.000")),""),"")</f>
        <v/>
      </c>
      <c r="AN109">
        <f>IF(AND(ISNUMBER($AC109),ISNUMBER(IF($V109,IF($AL109="","",$AL109),IF($AK109="","",$AK109)))),IF(AND(ABS($AC109-significance_bar)&lt;=2.0*IF($V109,IF($AL109="","",$AL109),IF($AK109="","",$AK109)),OR($Y109="worse",$Y109="worse, not significant")),IF(ROUND($AC109,3)=ROUND(significance_bar,3),TEXT($AC109,"0.0000"),TEXT($AC109,"0.000")),""),"")</f>
        <v/>
      </c>
      <c r="AO109">
        <f>IF(OR($AI109="",$AN109=""),$AI109,$AI109&amp;" · borderline (p "&amp;$AN109&amp;")")</f>
        <v/>
      </c>
    </row>
    <row r="110">
      <c r="A110" t="inlineStr">
        <is>
          <t>grids</t>
        </is>
      </c>
      <c r="B110" t="inlineStr">
        <is>
          <t>SHORT_HIST x CHANNEL</t>
        </is>
      </c>
      <c r="C110" t="inlineStr">
        <is>
          <t>256.4 - 345.9</t>
        </is>
      </c>
      <c r="D110" t="inlineStr">
        <is>
          <t>Branch</t>
        </is>
      </c>
      <c r="E110" t="inlineStr">
        <is>
          <t>outcome_booked</t>
        </is>
      </c>
      <c r="F110" t="inlineStr">
        <is>
          <t>Outcome, share of booked dollars</t>
        </is>
      </c>
      <c r="G110" t="n">
        <v>502</v>
      </c>
      <c r="H110" t="n">
        <v>15384540.08000001</v>
      </c>
      <c r="I110" t="b">
        <v>0</v>
      </c>
      <c r="J110" t="b">
        <v>0</v>
      </c>
      <c r="K110" t="n">
        <v>0.8871276864800983</v>
      </c>
      <c r="L110" t="n">
        <v>0.7186424214721386</v>
      </c>
      <c r="M110" t="n">
        <v>0.744179643257966</v>
      </c>
      <c r="N110" t="n">
        <v>0.3507506392217921</v>
      </c>
      <c r="O110" t="n">
        <v>-130819.8652802503</v>
      </c>
      <c r="P110" t="n">
        <v>-353451.4100120214</v>
      </c>
      <c r="Q110">
        <f>'_live'!$C$21</f>
        <v/>
      </c>
      <c r="R110" t="inlineStr">
        <is>
          <t>shuffled: 5,315 of 10,000</t>
        </is>
      </c>
      <c r="S110" t="inlineStr">
        <is>
          <t>shuffled: 1,636 of 10,000</t>
        </is>
      </c>
      <c r="T110" t="n">
        <v>0.0753358604971862</v>
      </c>
      <c r="U110" t="n">
        <v>0.08980698173799558</v>
      </c>
      <c r="V110">
        <f>AND(judged_band,NOT($J110))</f>
        <v/>
      </c>
      <c r="W110">
        <f>IF($K110="","",IF($I110,"too few losses to test",IF(AND($K110&gt;better_at,$K110&lt;worse_at),"in line",IF($K110&gt;=worse_at,IF(AND(ISNUMBER($L110),$L110&lt;significance_bar),"worse","worse, not significant"),IF(AND(ISNUMBER($L110),$L110&lt;significance_bar),"better","better, not significant")))))</f>
        <v/>
      </c>
      <c r="X110">
        <f>IF($M110="","",IF($I110,"too few losses to test",IF(AND($M110&gt;better_at,$M110&lt;worse_at),"in line",IF($M110&gt;=worse_at,IF(AND(ISNUMBER($N110),$N110&lt;significance_bar),"worse","worse, not significant"),IF(AND(ISNUMBER($N110),$N110&lt;significance_bar),"better","better, not significant")))))</f>
        <v/>
      </c>
      <c r="Y110">
        <f>IF($V110,$X110,$W110)</f>
        <v/>
      </c>
      <c r="Z110">
        <f>IF($V110,IF($P110="","",$P110),IF($O110="","",$O110))</f>
        <v/>
      </c>
      <c r="AA110">
        <f>IF(OR($Q110="",$Z110=""),"",IF(AND($Z110&gt;0,$Z110&gt;=$Q110),"yes","below the line"))</f>
        <v/>
      </c>
      <c r="AB110">
        <f>IF($V110,IF($M110="","",$M110),IF($K110="","",$K110))</f>
        <v/>
      </c>
      <c r="AC110">
        <f>IF($V110,IF($N110="","",$N110),IF($L110="","",$L110))</f>
        <v/>
      </c>
      <c r="AD110">
        <f>$Y110</f>
        <v/>
      </c>
      <c r="AE110">
        <f>IF($V110,IF($S110="","",$S110),IF($R110="","",$R110))</f>
        <v/>
      </c>
      <c r="AF110">
        <f>IF($V110,IF($U110="","",$U110),IF($T110="","",$T110))</f>
        <v/>
      </c>
      <c r="AG110">
        <f>IF($V110,IF($O110="","",$O110),IF($P110="","",$P110))</f>
        <v/>
      </c>
      <c r="AH110" t="n">
        <v>0.06683252763185622</v>
      </c>
      <c r="AI110">
        <f>IF($Y110="worse","Yes",IF($Y110="worse, not significant","Not sure",IF(OR($Y110="too few losses to test",$Y110="too few loans to test"),"Too few losses",IF($Y110="","","No"))))</f>
        <v/>
      </c>
      <c r="AJ110">
        <f>IF($AA110="yes","Yes",IF($AA110="","","No"))</f>
        <v/>
      </c>
      <c r="AK110" t="n">
        <v>0.00503514739671565</v>
      </c>
      <c r="AL110" t="n">
        <v>0.007928319504810778</v>
      </c>
      <c r="AM110">
        <f>IF(AND(ISNUMBER($AC110),ISNUMBER(IF($V110,IF($AL110="","",$AL110),IF($AK110="","",$AK110)))),IF(AND(ABS($AC110-significance_bar)&lt;=2.0*IF($V110,IF($AL110="","",$AL110),IF($AK110="","",$AK110)),OR($Y110="worse",$Y110="better",$Y110="worse, not significant",$Y110="better, not significant")),IF(ROUND($AC110,3)=ROUND(significance_bar,3),TEXT($AC110,"0.0000"),TEXT($AC110,"0.000")),""),"")</f>
        <v/>
      </c>
      <c r="AN110">
        <f>IF(AND(ISNUMBER($AC110),ISNUMBER(IF($V110,IF($AL110="","",$AL110),IF($AK110="","",$AK110)))),IF(AND(ABS($AC110-significance_bar)&lt;=2.0*IF($V110,IF($AL110="","",$AL110),IF($AK110="","",$AK110)),OR($Y110="worse",$Y110="worse, not significant")),IF(ROUND($AC110,3)=ROUND(significance_bar,3),TEXT($AC110,"0.0000"),TEXT($AC110,"0.000")),""),"")</f>
        <v/>
      </c>
      <c r="AO110">
        <f>IF(OR($AI110="",$AN110=""),$AI110,$AI110&amp;" · borderline (p "&amp;$AN110&amp;")")</f>
        <v/>
      </c>
    </row>
    <row r="111">
      <c r="A111" t="inlineStr">
        <is>
          <t>grids</t>
        </is>
      </c>
      <c r="B111" t="inlineStr">
        <is>
          <t>SHORT_HIST x CHANNEL</t>
        </is>
      </c>
      <c r="C111" t="inlineStr">
        <is>
          <t>256.4 - 345.9</t>
        </is>
      </c>
      <c r="D111" t="inlineStr">
        <is>
          <t>Branch</t>
        </is>
      </c>
      <c r="E111" t="inlineStr">
        <is>
          <t>gco_rate</t>
        </is>
      </c>
      <c r="F111" t="inlineStr">
        <is>
          <t>GCO per booked dollar</t>
        </is>
      </c>
      <c r="G111" t="n">
        <v>501</v>
      </c>
      <c r="H111" t="n">
        <v>15344855.65000001</v>
      </c>
      <c r="I111" t="b">
        <v>0</v>
      </c>
      <c r="J111" t="b">
        <v>0</v>
      </c>
      <c r="K111" t="n">
        <v>0.805974013936554</v>
      </c>
      <c r="L111" t="n">
        <v>0.5485701429857015</v>
      </c>
      <c r="M111" t="n">
        <v>0.6703063599139613</v>
      </c>
      <c r="N111" t="n">
        <v>0.1806247946633908</v>
      </c>
      <c r="O111" t="n">
        <v>-125317.3796302952</v>
      </c>
      <c r="P111" t="n">
        <v>-256041.094550595</v>
      </c>
      <c r="Q111">
        <f>'_live'!$C$22</f>
        <v/>
      </c>
      <c r="R111" t="inlineStr">
        <is>
          <t>shuffled: 2,925 of 10,000</t>
        </is>
      </c>
      <c r="S111" t="inlineStr">
        <is>
          <t>shuffled: 751 of 10,000</t>
        </is>
      </c>
      <c r="T111" t="n">
        <v>0.04209093746869459</v>
      </c>
      <c r="U111" t="n">
        <v>0.05060999544499427</v>
      </c>
      <c r="V111">
        <f>AND(judged_band,NOT($J111))</f>
        <v/>
      </c>
      <c r="W111">
        <f>IF($K111="","",IF($I111,"too few losses to test",IF(AND($K111&gt;better_at,$K111&lt;worse_at),"in line",IF($K111&gt;=worse_at,IF(AND(ISNUMBER($L111),$L111&lt;significance_bar),"worse","worse, not significant"),IF(AND(ISNUMBER($L111),$L111&lt;significance_bar),"better","better, not significant")))))</f>
        <v/>
      </c>
      <c r="X111">
        <f>IF($M111="","",IF($I111,"too few losses to test",IF(AND($M111&gt;better_at,$M111&lt;worse_at),"in line",IF($M111&gt;=worse_at,IF(AND(ISNUMBER($N111),$N111&lt;significance_bar),"worse","worse, not significant"),IF(AND(ISNUMBER($N111),$N111&lt;significance_bar),"better","better, not significant")))))</f>
        <v/>
      </c>
      <c r="Y111">
        <f>IF($V111,$X111,$W111)</f>
        <v/>
      </c>
      <c r="Z111">
        <f>IF($V111,IF($P111="","",$P111),IF($O111="","",$O111))</f>
        <v/>
      </c>
      <c r="AA111">
        <f>IF(OR($Q111="",$Z111=""),"",IF(AND($Z111&gt;0,$Z111&gt;=$Q111),"yes","below the line"))</f>
        <v/>
      </c>
      <c r="AB111">
        <f>IF($V111,IF($M111="","",$M111),IF($K111="","",$K111))</f>
        <v/>
      </c>
      <c r="AC111">
        <f>IF($V111,IF($N111="","",$N111),IF($L111="","",$L111))</f>
        <v/>
      </c>
      <c r="AD111">
        <f>$Y111</f>
        <v/>
      </c>
      <c r="AE111">
        <f>IF($V111,IF($S111="","",$S111),IF($R111="","",$R111))</f>
        <v/>
      </c>
      <c r="AF111">
        <f>IF($V111,IF($U111="","",$U111),IF($T111="","",$T111))</f>
        <v/>
      </c>
      <c r="AG111">
        <f>IF($V111,IF($O111="","",$O111),IF($P111="","",$P111))</f>
        <v/>
      </c>
      <c r="AH111" t="n">
        <v>0.03392420182199627</v>
      </c>
      <c r="AI111">
        <f>IF($Y111="worse","Yes",IF($Y111="worse, not significant","Not sure",IF(OR($Y111="too few losses to test",$Y111="too few loans to test"),"Too few losses",IF($Y111="","","No"))))</f>
        <v/>
      </c>
      <c r="AJ111">
        <f>IF($AA111="yes","Yes",IF($AA111="","","No"))</f>
        <v/>
      </c>
      <c r="AK111" t="n">
        <v>0.008530180633039591</v>
      </c>
      <c r="AL111" t="n">
        <v>0.005953384037456004</v>
      </c>
      <c r="AM111">
        <f>IF(AND(ISNUMBER($AC111),ISNUMBER(IF($V111,IF($AL111="","",$AL111),IF($AK111="","",$AK111)))),IF(AND(ABS($AC111-significance_bar)&lt;=2.0*IF($V111,IF($AL111="","",$AL111),IF($AK111="","",$AK111)),OR($Y111="worse",$Y111="better",$Y111="worse, not significant",$Y111="better, not significant")),IF(ROUND($AC111,3)=ROUND(significance_bar,3),TEXT($AC111,"0.0000"),TEXT($AC111,"0.000")),""),"")</f>
        <v/>
      </c>
      <c r="AN111">
        <f>IF(AND(ISNUMBER($AC111),ISNUMBER(IF($V111,IF($AL111="","",$AL111),IF($AK111="","",$AK111)))),IF(AND(ABS($AC111-significance_bar)&lt;=2.0*IF($V111,IF($AL111="","",$AL111),IF($AK111="","",$AK111)),OR($Y111="worse",$Y111="worse, not significant")),IF(ROUND($AC111,3)=ROUND(significance_bar,3),TEXT($AC111,"0.0000"),TEXT($AC111,"0.000")),""),"")</f>
        <v/>
      </c>
      <c r="AO111">
        <f>IF(OR($AI111="",$AN111=""),$AI111,$AI111&amp;" · borderline (p "&amp;$AN111&amp;")")</f>
        <v/>
      </c>
    </row>
    <row r="112">
      <c r="A112" t="inlineStr">
        <is>
          <t>grids</t>
        </is>
      </c>
      <c r="B112" t="inlineStr">
        <is>
          <t>SHORT_HIST x CHANNEL</t>
        </is>
      </c>
      <c r="C112" t="inlineStr">
        <is>
          <t>256.4 - 345.9</t>
        </is>
      </c>
      <c r="D112" t="inlineStr">
        <is>
          <t>Branch</t>
        </is>
      </c>
      <c r="E112" t="inlineStr">
        <is>
          <t>ranr_rate</t>
        </is>
      </c>
      <c r="F112" t="inlineStr">
        <is>
          <t>Profit after losses: RANR per booked dollar</t>
        </is>
      </c>
      <c r="G112" t="n">
        <v>502</v>
      </c>
      <c r="H112" t="n">
        <v>15384540.08000001</v>
      </c>
      <c r="I112" t="b">
        <v>0</v>
      </c>
      <c r="J112" t="b">
        <v>0</v>
      </c>
      <c r="K112" t="n">
        <v>0.004919881616549521</v>
      </c>
      <c r="L112" t="n">
        <v>0.6745950404959504</v>
      </c>
      <c r="M112" t="n">
        <v>0.002112427182538457</v>
      </c>
      <c r="N112" t="n">
        <v>0.8520147985201479</v>
      </c>
      <c r="O112" t="n">
        <v>-75690.11591866123</v>
      </c>
      <c r="P112" t="n">
        <v>-32498.72065584431</v>
      </c>
      <c r="Q112">
        <f>'_live'!$C$23</f>
        <v/>
      </c>
      <c r="R112" t="inlineStr">
        <is>
          <t>shuffled: 5,996 of 10,000</t>
        </is>
      </c>
      <c r="S112" t="inlineStr">
        <is>
          <t>shuffled: 8,520 of 10,000</t>
        </is>
      </c>
      <c r="T112" t="n">
        <v>0.1276967549153629</v>
      </c>
      <c r="U112" t="n">
        <v>0.130504209349374</v>
      </c>
      <c r="V112">
        <f>AND(judged_band,NOT($J112))</f>
        <v/>
      </c>
      <c r="W112">
        <f>IF($K112="","",IF(profit_kind="test",IF(OR(NOT(AND(ISNUMBER($L112),$L112&lt;significance_bar)),$K112=0),"in line",IF($K112&lt;0,"worse","better")),IF(OR($K112=0,IF(profit_kind="points",ABS($K112),ABS($K112*$H112))&lt;profit_line*(1-1E-9)),"in line",IF(AND(ISNUMBER($L112),$L112&lt;significance_bar),IF($K112&lt;0,"worse","better"),IF($K112&lt;0,"worse, not significant","better, not significant")))))</f>
        <v/>
      </c>
      <c r="X112">
        <f>IF($M112="","",IF(profit_kind="test",IF(OR(NOT(AND(ISNUMBER($N112),$N112&lt;significance_bar)),$M112=0),"in line",IF($M112&lt;0,"worse","better")),IF(OR($M112=0,IF(profit_kind="points",ABS($M112),ABS($M112*$H112))&lt;profit_line*(1-1E-9)),"in line",IF(AND(ISNUMBER($N112),$N112&lt;significance_bar),IF($M112&lt;0,"worse","better"),IF($M112&lt;0,"worse, not significant","better, not significant")))))</f>
        <v/>
      </c>
      <c r="Y112">
        <f>IF($V112,$X112,$W112)</f>
        <v/>
      </c>
      <c r="Z112">
        <f>IF($V112,IF($P112="","",$P112),IF($O112="","",$O112))</f>
        <v/>
      </c>
      <c r="AA112">
        <f>IF(OR($Q112="",$Z112=""),"",IF(AND($Z112&gt;0,$Z112&gt;=$Q112),"yes","below the line"))</f>
        <v/>
      </c>
      <c r="AB112">
        <f>IF($V112,IF($M112="","",$M112),IF($K112="","",$K112))</f>
        <v/>
      </c>
      <c r="AC112">
        <f>IF($V112,IF($N112="","",$N112),IF($L112="","",$L112))</f>
        <v/>
      </c>
      <c r="AD112">
        <f>IF($Y112="","",IF($Y112="in line",IF(profit_kind="test",IF(ROUND($AB112*100,2)=0,"0.00",TEXT($AB112*100,"+0.00;-0.00"))&amp;" points against "&amp;IF($V112,"its band","the book")&amp;", "&amp;IF($AC112="","not tested","not significant"),IF(profit_kind="points","within "&amp;TEXT(profit_line*100,"0.00")&amp;" points of "&amp;IF($V112,"its band","the book")&amp;" ("&amp;IF(ROUND($AB112*100,2)=0,"0.00",TEXT($AB112*100,"+0.00;-0.00"))&amp;")","within $"&amp;TEXT(profit_line,"#,##0")&amp;" of "&amp;IF($V112,"its band","the book")&amp;" ("&amp;IF(ROUND($AB112*100,2)=0,"0.00",TEXT($AB112*100,"+0.00;-0.00"))&amp;" points)")),IF(LEFT($Y112,5)="worse","short of ","ahead of ")&amp;IF($V112,"its band","the book")&amp;" by "&amp;TEXT(ABS($AB112)*100,"0.00")&amp;" points"&amp;IF($Z112="",""," ($"&amp;TEXT(ABS($Z112),"#,##0")&amp;")")&amp;IF(RIGHT($Y112,15)="not significant"," (not significant)","")))</f>
        <v/>
      </c>
      <c r="AE112">
        <f>IF($V112,IF($S112="","",$S112),IF($R112="","",$R112))</f>
        <v/>
      </c>
      <c r="AF112">
        <f>IF($V112,IF($U112="","",$U112),IF($T112="","",$T112))</f>
        <v/>
      </c>
      <c r="AG112">
        <f>IF($V112,IF($O112="","",$O112),IF($P112="","",$P112))</f>
        <v/>
      </c>
      <c r="AH112" t="n">
        <v>0.1326166365319124</v>
      </c>
      <c r="AI112">
        <f>IF($Y112="worse","Yes",IF($Y112="worse, not significant","Not sure",IF(OR($Y112="too few losses to test",$Y112="too few loans to test"),"Too few losses",IF($Y112="","","No"))))</f>
        <v/>
      </c>
      <c r="AJ112">
        <f>IF($AA112="yes","Yes",IF($AA112="","","No"))</f>
        <v/>
      </c>
      <c r="AK112" t="n">
        <v>0.005512176991862755</v>
      </c>
      <c r="AL112" t="n">
        <v>0.003550853159774699</v>
      </c>
      <c r="AM112">
        <f>IF(AND(ISNUMBER($AC112),ISNUMBER(IF($V112,IF($AL112="","",$AL112),IF($AK112="","",$AK112)))),IF(AND(ABS($AC112-significance_bar)&lt;=2.0*IF($V112,IF($AL112="","",$AL112),IF($AK112="","",$AK112)),OR($Y112="worse",$Y112="better",$Y112="worse, not significant",$Y112="better, not significant",AND(profit_kind="test",$Y112="in line",ISNUMBER($AB112),$AB112&lt;&gt;0))),IF(ROUND($AC112,3)=ROUND(significance_bar,3),TEXT($AC112,"0.0000"),TEXT($AC112,"0.000")),""),"")</f>
        <v/>
      </c>
      <c r="AN112">
        <f>IF(AND(ISNUMBER($AC112),ISNUMBER(IF($V112,IF($AL112="","",$AL112),IF($AK112="","",$AK112)))),IF(AND(ABS($AC112-significance_bar)&lt;=2.0*IF($V112,IF($AL112="","",$AL112),IF($AK112="","",$AK112)),OR($Y112="worse",$Y112="worse, not significant",AND(profit_kind="test",$Y112="in line",ISNUMBER($AB112),$AB112&lt;0))),IF(ROUND($AC112,3)=ROUND(significance_bar,3),TEXT($AC112,"0.0000"),TEXT($AC112,"0.000")),""),"")</f>
        <v/>
      </c>
      <c r="AO112">
        <f>IF(OR($AI112="",$AN112=""),$AI112,$AI112&amp;" · borderline (p "&amp;$AN112&amp;")")</f>
        <v/>
      </c>
    </row>
    <row r="113">
      <c r="A113" t="inlineStr">
        <is>
          <t>grids</t>
        </is>
      </c>
      <c r="B113" t="inlineStr">
        <is>
          <t>SHORT_HIST x CHANNEL</t>
        </is>
      </c>
      <c r="C113" t="inlineStr">
        <is>
          <t>256.4 - 345.9</t>
        </is>
      </c>
      <c r="D113" t="inlineStr">
        <is>
          <t>Branch</t>
        </is>
      </c>
      <c r="E113" t="inlineStr">
        <is>
          <t>contribution_rate</t>
        </is>
      </c>
      <c r="F113" t="inlineStr">
        <is>
          <t>Contribution before losses per booked dollar</t>
        </is>
      </c>
      <c r="G113" t="n">
        <v>501</v>
      </c>
      <c r="H113" t="n">
        <v>15344855.65000001</v>
      </c>
      <c r="I113" t="b">
        <v>0</v>
      </c>
      <c r="J113" t="b">
        <v>0</v>
      </c>
      <c r="K113" t="n">
        <v>-0.003282968046686485</v>
      </c>
      <c r="L113" t="n">
        <v>0.7152484751524848</v>
      </c>
      <c r="M113" t="n">
        <v>-0.01460948045699748</v>
      </c>
      <c r="N113" t="n">
        <v>0.08786394087863941</v>
      </c>
      <c r="O113" t="n">
        <v>50376.67077996675</v>
      </c>
      <c r="P113" t="n">
        <v>224180.3687341223</v>
      </c>
      <c r="Q113">
        <f>'_live'!$C$24</f>
        <v/>
      </c>
      <c r="R113" t="inlineStr">
        <is>
          <t>shuffled: 5,960 of 10,000</t>
        </is>
      </c>
      <c r="S113" t="inlineStr">
        <is>
          <t>shuffled: 536 of 10,000</t>
        </is>
      </c>
      <c r="T113" t="n">
        <v>0.1697876923840573</v>
      </c>
      <c r="U113" t="n">
        <v>0.1811142047943683</v>
      </c>
      <c r="V113">
        <f>AND(judged_band,NOT($J113))</f>
        <v/>
      </c>
      <c r="W113">
        <f>IF($K113="","",IF(profit_kind="test",IF(OR(NOT(AND(ISNUMBER($L113),$L113&lt;significance_bar)),$K113=0),"in line",IF($K113&lt;0,"worse","better")),IF(OR($K113=0,IF(profit_kind="points",ABS($K113),ABS($K113*$H113))&lt;profit_line*(1-1E-9)),"in line",IF(AND(ISNUMBER($L113),$L113&lt;significance_bar),IF($K113&lt;0,"worse","better"),IF($K113&lt;0,"worse, not significant","better, not significant")))))</f>
        <v/>
      </c>
      <c r="X113">
        <f>IF($M113="","",IF(profit_kind="test",IF(OR(NOT(AND(ISNUMBER($N113),$N113&lt;significance_bar)),$M113=0),"in line",IF($M113&lt;0,"worse","better")),IF(OR($M113=0,IF(profit_kind="points",ABS($M113),ABS($M113*$H113))&lt;profit_line*(1-1E-9)),"in line",IF(AND(ISNUMBER($N113),$N113&lt;significance_bar),IF($M113&lt;0,"worse","better"),IF($M113&lt;0,"worse, not significant","better, not significant")))))</f>
        <v/>
      </c>
      <c r="Y113">
        <f>IF($V113,$X113,$W113)</f>
        <v/>
      </c>
      <c r="Z113">
        <f>IF($V113,IF($P113="","",$P113),IF($O113="","",$O113))</f>
        <v/>
      </c>
      <c r="AA113">
        <f>IF(OR($Q113="",$Z113=""),"",IF(AND($Z113&gt;0,$Z113&gt;=$Q113),"yes","below the line"))</f>
        <v/>
      </c>
      <c r="AB113">
        <f>IF($V113,IF($M113="","",$M113),IF($K113="","",$K113))</f>
        <v/>
      </c>
      <c r="AC113">
        <f>IF($V113,IF($N113="","",$N113),IF($L113="","",$L113))</f>
        <v/>
      </c>
      <c r="AD113">
        <f>IF($Y113="","",IF($Y113="in line",IF(profit_kind="test",IF(ROUND($AB113*100,2)=0,"0.00",TEXT($AB113*100,"+0.00;-0.00"))&amp;" points against "&amp;IF($V113,"its band","the book")&amp;", "&amp;IF($AC113="","not tested","not significant"),IF(profit_kind="points","within "&amp;TEXT(profit_line*100,"0.00")&amp;" points of "&amp;IF($V113,"its band","the book")&amp;" ("&amp;IF(ROUND($AB113*100,2)=0,"0.00",TEXT($AB113*100,"+0.00;-0.00"))&amp;")","within $"&amp;TEXT(profit_line,"#,##0")&amp;" of "&amp;IF($V113,"its band","the book")&amp;" ("&amp;IF(ROUND($AB113*100,2)=0,"0.00",TEXT($AB113*100,"+0.00;-0.00"))&amp;" points)")),IF(LEFT($Y113,5)="worse","short of ","ahead of ")&amp;IF($V113,"its band","the book")&amp;" by "&amp;TEXT(ABS($AB113)*100,"0.00")&amp;" points"&amp;IF($Z113="",""," ($"&amp;TEXT(ABS($Z113),"#,##0")&amp;")")&amp;IF(RIGHT($Y113,15)="not significant"," (not significant)","")))</f>
        <v/>
      </c>
      <c r="AE113">
        <f>IF($V113,IF($S113="","",$S113),IF($R113="","",$R113))</f>
        <v/>
      </c>
      <c r="AF113">
        <f>IF($V113,IF($U113="","",$U113),IF($T113="","",$T113))</f>
        <v/>
      </c>
      <c r="AG113">
        <f>IF($V113,IF($O113="","",$O113),IF($P113="","",$P113))</f>
        <v/>
      </c>
      <c r="AH113" t="n">
        <v>0.1665047243373708</v>
      </c>
      <c r="AI113">
        <f>IF($Y113="worse","Yes",IF($Y113="worse, not significant","Not sure",IF(OR($Y113="too few losses to test",$Y113="too few loans to test"),"Too few losses",IF($Y113="","","No"))))</f>
        <v/>
      </c>
      <c r="AJ113">
        <f>IF($AA113="yes","Yes",IF($AA113="","","No"))</f>
        <v/>
      </c>
      <c r="AK113" t="n">
        <v>0.005888274696165484</v>
      </c>
      <c r="AL113" t="n">
        <v>0.003688594389393945</v>
      </c>
      <c r="AM113">
        <f>IF(AND(ISNUMBER($AC113),ISNUMBER(IF($V113,IF($AL113="","",$AL113),IF($AK113="","",$AK113)))),IF(AND(ABS($AC113-significance_bar)&lt;=2.0*IF($V113,IF($AL113="","",$AL113),IF($AK113="","",$AK113)),OR($Y113="worse",$Y113="better",$Y113="worse, not significant",$Y113="better, not significant",AND(profit_kind="test",$Y113="in line",ISNUMBER($AB113),$AB113&lt;&gt;0))),IF(ROUND($AC113,3)=ROUND(significance_bar,3),TEXT($AC113,"0.0000"),TEXT($AC113,"0.000")),""),"")</f>
        <v/>
      </c>
      <c r="AN113">
        <f>IF(AND(ISNUMBER($AC113),ISNUMBER(IF($V113,IF($AL113="","",$AL113),IF($AK113="","",$AK113)))),IF(AND(ABS($AC113-significance_bar)&lt;=2.0*IF($V113,IF($AL113="","",$AL113),IF($AK113="","",$AK113)),OR($Y113="worse",$Y113="worse, not significant",AND(profit_kind="test",$Y113="in line",ISNUMBER($AB113),$AB113&lt;0))),IF(ROUND($AC113,3)=ROUND(significance_bar,3),TEXT($AC113,"0.0000"),TEXT($AC113,"0.000")),""),"")</f>
        <v/>
      </c>
      <c r="AO113">
        <f>IF(OR($AI113="",$AN113=""),$AI113,$AI113&amp;" · borderline (p "&amp;$AN113&amp;")")</f>
        <v/>
      </c>
    </row>
    <row r="114">
      <c r="A114" t="inlineStr">
        <is>
          <t>grids</t>
        </is>
      </c>
      <c r="B114" t="inlineStr">
        <is>
          <t>SHORT_HIST x CHANNEL</t>
        </is>
      </c>
      <c r="C114" t="inlineStr">
        <is>
          <t>0.0 - 88.9</t>
        </is>
      </c>
      <c r="D114" t="inlineStr">
        <is>
          <t>Branch</t>
        </is>
      </c>
      <c r="E114" t="inlineStr">
        <is>
          <t>outcome_loans</t>
        </is>
      </c>
      <c r="F114" t="inlineStr">
        <is>
          <t>Outcome, share of loans</t>
        </is>
      </c>
      <c r="G114" t="n">
        <v>508</v>
      </c>
      <c r="H114" t="n">
        <v>508</v>
      </c>
      <c r="I114" t="b">
        <v>0</v>
      </c>
      <c r="J114" t="b">
        <v>0</v>
      </c>
      <c r="K114" t="n">
        <v>0.9105630664091517</v>
      </c>
      <c r="L114" t="n">
        <v>0.851303443149268</v>
      </c>
      <c r="M114" t="n">
        <v>0.8438772739614445</v>
      </c>
      <c r="N114" t="n">
        <v>0.5570259701087055</v>
      </c>
      <c r="O114" t="n">
        <v>-3.535976505139494</v>
      </c>
      <c r="P114" t="n">
        <v>-6.660231660231659</v>
      </c>
      <c r="Q114">
        <f>'_live'!$C$20</f>
        <v/>
      </c>
      <c r="R114" t="inlineStr">
        <is>
          <t>z test</t>
        </is>
      </c>
      <c r="S114" t="inlineStr">
        <is>
          <t>z test</t>
        </is>
      </c>
      <c r="T114" t="n">
        <v>0.07782672540381791</v>
      </c>
      <c r="U114" t="n">
        <v>0.08397683397683398</v>
      </c>
      <c r="V114">
        <f>AND(judged_band,NOT($J114))</f>
        <v/>
      </c>
      <c r="W114">
        <f>IF($K114="","",IF($I114,"too few losses to test",IF(AND($K114&gt;better_at,$K114&lt;worse_at),"in line",IF($K114&gt;=worse_at,IF(AND(ISNUMBER($L114),$L114&lt;significance_bar),"worse","worse, not significant"),IF(AND(ISNUMBER($L114),$L114&lt;significance_bar),"better","better, not significant")))))</f>
        <v/>
      </c>
      <c r="X114">
        <f>IF($M114="","",IF($I114,"too few losses to test",IF(AND($M114&gt;better_at,$M114&lt;worse_at),"in line",IF($M114&gt;=worse_at,IF(AND(ISNUMBER($N114),$N114&lt;significance_bar),"worse","worse, not significant"),IF(AND(ISNUMBER($N114),$N114&lt;significance_bar),"better","better, not significant")))))</f>
        <v/>
      </c>
      <c r="Y114">
        <f>IF($V114,$X114,$W114)</f>
        <v/>
      </c>
      <c r="Z114">
        <f>IF($V114,IF($P114="","",$P114),IF($O114="","",$O114))</f>
        <v/>
      </c>
      <c r="AA114">
        <f>IF(OR($Q114="",$Z114=""),"",IF(AND($Z114&gt;0,$Z114&gt;=$Q114),"yes","below the line"))</f>
        <v/>
      </c>
      <c r="AB114">
        <f>IF($V114,IF($M114="","",$M114),IF($K114="","",$K114))</f>
        <v/>
      </c>
      <c r="AC114">
        <f>IF($V114,IF($N114="","",$N114),IF($L114="","",$L114))</f>
        <v/>
      </c>
      <c r="AD114">
        <f>$Y114</f>
        <v/>
      </c>
      <c r="AE114">
        <f>IF($V114,IF($S114="","",$S114),IF($R114="","",$R114))</f>
        <v/>
      </c>
      <c r="AF114">
        <f>IF($V114,IF($U114="","",$U114),IF($T114="","",$T114))</f>
        <v/>
      </c>
      <c r="AG114">
        <f>IF($V114,IF($O114="","",$O114),IF($P114="","",$P114))</f>
        <v/>
      </c>
      <c r="AH114" t="n">
        <v>0.07086614173228346</v>
      </c>
      <c r="AI114">
        <f>IF($Y114="worse","Yes",IF($Y114="worse, not significant","Not sure",IF(OR($Y114="too few losses to test",$Y114="too few loans to test"),"Too few losses",IF($Y114="","","No"))))</f>
        <v/>
      </c>
      <c r="AJ114">
        <f>IF($AA114="yes","Yes",IF($AA114="","","No"))</f>
        <v/>
      </c>
      <c r="AM114">
        <f>IF(AND(ISNUMBER($AC114),ISNUMBER(IF($V114,IF($AL114="","",$AL114),IF($AK114="","",$AK114)))),IF(AND(ABS($AC114-significance_bar)&lt;=2.0*IF($V114,IF($AL114="","",$AL114),IF($AK114="","",$AK114)),OR($Y114="worse",$Y114="better",$Y114="worse, not significant",$Y114="better, not significant")),IF(ROUND($AC114,3)=ROUND(significance_bar,3),TEXT($AC114,"0.0000"),TEXT($AC114,"0.000")),""),"")</f>
        <v/>
      </c>
      <c r="AN114">
        <f>IF(AND(ISNUMBER($AC114),ISNUMBER(IF($V114,IF($AL114="","",$AL114),IF($AK114="","",$AK114)))),IF(AND(ABS($AC114-significance_bar)&lt;=2.0*IF($V114,IF($AL114="","",$AL114),IF($AK114="","",$AK114)),OR($Y114="worse",$Y114="worse, not significant")),IF(ROUND($AC114,3)=ROUND(significance_bar,3),TEXT($AC114,"0.0000"),TEXT($AC114,"0.000")),""),"")</f>
        <v/>
      </c>
      <c r="AO114">
        <f>IF(OR($AI114="",$AN114=""),$AI114,$AI114&amp;" · borderline (p "&amp;$AN114&amp;")")</f>
        <v/>
      </c>
    </row>
    <row r="115">
      <c r="A115" t="inlineStr">
        <is>
          <t>grids</t>
        </is>
      </c>
      <c r="B115" t="inlineStr">
        <is>
          <t>SHORT_HIST x CHANNEL</t>
        </is>
      </c>
      <c r="C115" t="inlineStr">
        <is>
          <t>0.0 - 88.9</t>
        </is>
      </c>
      <c r="D115" t="inlineStr">
        <is>
          <t>Branch</t>
        </is>
      </c>
      <c r="E115" t="inlineStr">
        <is>
          <t>outcome_booked</t>
        </is>
      </c>
      <c r="F115" t="inlineStr">
        <is>
          <t>Outcome, share of booked dollars</t>
        </is>
      </c>
      <c r="G115" t="n">
        <v>508</v>
      </c>
      <c r="H115" t="n">
        <v>16276072.24999999</v>
      </c>
      <c r="I115" t="b">
        <v>0</v>
      </c>
      <c r="J115" t="b">
        <v>0</v>
      </c>
      <c r="K115" t="n">
        <v>0.925695317727865</v>
      </c>
      <c r="L115" t="n">
        <v>0.7186424214721386</v>
      </c>
      <c r="M115" t="n">
        <v>0.8454279810133203</v>
      </c>
      <c r="N115" t="n">
        <v>0.6473352664733527</v>
      </c>
      <c r="O115" t="n">
        <v>-90923.31974420068</v>
      </c>
      <c r="P115" t="n">
        <v>-207100.6355869137</v>
      </c>
      <c r="Q115">
        <f>'_live'!$C$21</f>
        <v/>
      </c>
      <c r="R115" t="inlineStr">
        <is>
          <t>shuffled: 6,707 of 10,000</t>
        </is>
      </c>
      <c r="S115" t="inlineStr">
        <is>
          <t>shuffled: 4,315 of 10,000</t>
        </is>
      </c>
      <c r="T115" t="n">
        <v>0.07518124157652359</v>
      </c>
      <c r="U115" t="n">
        <v>0.08231916244946104</v>
      </c>
      <c r="V115">
        <f>AND(judged_band,NOT($J115))</f>
        <v/>
      </c>
      <c r="W115">
        <f>IF($K115="","",IF($I115,"too few losses to test",IF(AND($K115&gt;better_at,$K115&lt;worse_at),"in line",IF($K115&gt;=worse_at,IF(AND(ISNUMBER($L115),$L115&lt;significance_bar),"worse","worse, not significant"),IF(AND(ISNUMBER($L115),$L115&lt;significance_bar),"better","better, not significant")))))</f>
        <v/>
      </c>
      <c r="X115">
        <f>IF($M115="","",IF($I115,"too few losses to test",IF(AND($M115&gt;better_at,$M115&lt;worse_at),"in line",IF($M115&gt;=worse_at,IF(AND(ISNUMBER($N115),$N115&lt;significance_bar),"worse","worse, not significant"),IF(AND(ISNUMBER($N115),$N115&lt;significance_bar),"better","better, not significant")))))</f>
        <v/>
      </c>
      <c r="Y115">
        <f>IF($V115,$X115,$W115)</f>
        <v/>
      </c>
      <c r="Z115">
        <f>IF($V115,IF($P115="","",$P115),IF($O115="","",$O115))</f>
        <v/>
      </c>
      <c r="AA115">
        <f>IF(OR($Q115="",$Z115=""),"",IF(AND($Z115&gt;0,$Z115&gt;=$Q115),"yes","below the line"))</f>
        <v/>
      </c>
      <c r="AB115">
        <f>IF($V115,IF($M115="","",$M115),IF($K115="","",$K115))</f>
        <v/>
      </c>
      <c r="AC115">
        <f>IF($V115,IF($N115="","",$N115),IF($L115="","",$L115))</f>
        <v/>
      </c>
      <c r="AD115">
        <f>$Y115</f>
        <v/>
      </c>
      <c r="AE115">
        <f>IF($V115,IF($S115="","",$S115),IF($R115="","",$R115))</f>
        <v/>
      </c>
      <c r="AF115">
        <f>IF($V115,IF($U115="","",$U115),IF($T115="","",$T115))</f>
        <v/>
      </c>
      <c r="AG115">
        <f>IF($V115,IF($O115="","",$O115),IF($P115="","",$P115))</f>
        <v/>
      </c>
      <c r="AH115" t="n">
        <v>0.06959492330835537</v>
      </c>
      <c r="AI115">
        <f>IF($Y115="worse","Yes",IF($Y115="worse, not significant","Not sure",IF(OR($Y115="too few losses to test",$Y115="too few loans to test"),"Too few losses",IF($Y115="","","No"))))</f>
        <v/>
      </c>
      <c r="AJ115">
        <f>IF($AA115="yes","Yes",IF($AA115="","","No"))</f>
        <v/>
      </c>
      <c r="AK115" t="n">
        <v>0.00503514739671565</v>
      </c>
      <c r="AL115" t="n">
        <v>0.00742940073283103</v>
      </c>
      <c r="AM115">
        <f>IF(AND(ISNUMBER($AC115),ISNUMBER(IF($V115,IF($AL115="","",$AL115),IF($AK115="","",$AK115)))),IF(AND(ABS($AC115-significance_bar)&lt;=2.0*IF($V115,IF($AL115="","",$AL115),IF($AK115="","",$AK115)),OR($Y115="worse",$Y115="better",$Y115="worse, not significant",$Y115="better, not significant")),IF(ROUND($AC115,3)=ROUND(significance_bar,3),TEXT($AC115,"0.0000"),TEXT($AC115,"0.000")),""),"")</f>
        <v/>
      </c>
      <c r="AN115">
        <f>IF(AND(ISNUMBER($AC115),ISNUMBER(IF($V115,IF($AL115="","",$AL115),IF($AK115="","",$AK115)))),IF(AND(ABS($AC115-significance_bar)&lt;=2.0*IF($V115,IF($AL115="","",$AL115),IF($AK115="","",$AK115)),OR($Y115="worse",$Y115="worse, not significant")),IF(ROUND($AC115,3)=ROUND(significance_bar,3),TEXT($AC115,"0.0000"),TEXT($AC115,"0.000")),""),"")</f>
        <v/>
      </c>
      <c r="AO115">
        <f>IF(OR($AI115="",$AN115=""),$AI115,$AI115&amp;" · borderline (p "&amp;$AN115&amp;")")</f>
        <v/>
      </c>
    </row>
    <row r="116">
      <c r="A116" t="inlineStr">
        <is>
          <t>grids</t>
        </is>
      </c>
      <c r="B116" t="inlineStr">
        <is>
          <t>SHORT_HIST x CHANNEL</t>
        </is>
      </c>
      <c r="C116" t="inlineStr">
        <is>
          <t>0.0 - 88.9</t>
        </is>
      </c>
      <c r="D116" t="inlineStr">
        <is>
          <t>Branch</t>
        </is>
      </c>
      <c r="E116" t="inlineStr">
        <is>
          <t>gco_rate</t>
        </is>
      </c>
      <c r="F116" t="inlineStr">
        <is>
          <t>GCO per booked dollar</t>
        </is>
      </c>
      <c r="G116" t="n">
        <v>509</v>
      </c>
      <c r="H116" t="n">
        <v>16313060.25999998</v>
      </c>
      <c r="I116" t="b">
        <v>0</v>
      </c>
      <c r="J116" t="b">
        <v>0</v>
      </c>
      <c r="K116" t="n">
        <v>0.9916960399420688</v>
      </c>
      <c r="L116" t="n">
        <v>0.9617038296170383</v>
      </c>
      <c r="M116" t="n">
        <v>0.9346555414326541</v>
      </c>
      <c r="N116" t="n">
        <v>0.860337043218755</v>
      </c>
      <c r="O116" t="n">
        <v>-5638.934486769023</v>
      </c>
      <c r="P116" t="n">
        <v>-47081.20341634681</v>
      </c>
      <c r="Q116">
        <f>'_live'!$C$22</f>
        <v/>
      </c>
      <c r="R116" t="inlineStr">
        <is>
          <t>shuffled: 9,617 of 10,000</t>
        </is>
      </c>
      <c r="S116" t="inlineStr">
        <is>
          <t>shuffled: 7,456 of 10,000</t>
        </is>
      </c>
      <c r="T116" t="n">
        <v>0.04162711923230335</v>
      </c>
      <c r="U116" t="n">
        <v>0.04416755421317541</v>
      </c>
      <c r="V116">
        <f>AND(judged_band,NOT($J116))</f>
        <v/>
      </c>
      <c r="W116">
        <f>IF($K116="","",IF($I116,"too few losses to test",IF(AND($K116&gt;better_at,$K116&lt;worse_at),"in line",IF($K116&gt;=worse_at,IF(AND(ISNUMBER($L116),$L116&lt;significance_bar),"worse","worse, not significant"),IF(AND(ISNUMBER($L116),$L116&lt;significance_bar),"better","better, not significant")))))</f>
        <v/>
      </c>
      <c r="X116">
        <f>IF($M116="","",IF($I116,"too few losses to test",IF(AND($M116&gt;better_at,$M116&lt;worse_at),"in line",IF($M116&gt;=worse_at,IF(AND(ISNUMBER($N116),$N116&lt;significance_bar),"worse","worse, not significant"),IF(AND(ISNUMBER($N116),$N116&lt;significance_bar),"better","better, not significant")))))</f>
        <v/>
      </c>
      <c r="Y116">
        <f>IF($V116,$X116,$W116)</f>
        <v/>
      </c>
      <c r="Z116">
        <f>IF($V116,IF($P116="","",$P116),IF($O116="","",$O116))</f>
        <v/>
      </c>
      <c r="AA116">
        <f>IF(OR($Q116="",$Z116=""),"",IF(AND($Z116&gt;0,$Z116&gt;=$Q116),"yes","below the line"))</f>
        <v/>
      </c>
      <c r="AB116">
        <f>IF($V116,IF($M116="","",$M116),IF($K116="","",$K116))</f>
        <v/>
      </c>
      <c r="AC116">
        <f>IF($V116,IF($N116="","",$N116),IF($L116="","",$L116))</f>
        <v/>
      </c>
      <c r="AD116">
        <f>$Y116</f>
        <v/>
      </c>
      <c r="AE116">
        <f>IF($V116,IF($S116="","",$S116),IF($R116="","",$R116))</f>
        <v/>
      </c>
      <c r="AF116">
        <f>IF($V116,IF($U116="","",$U116),IF($T116="","",$T116))</f>
        <v/>
      </c>
      <c r="AG116">
        <f>IF($V116,IF($O116="","",$O116),IF($P116="","",$P116))</f>
        <v/>
      </c>
      <c r="AH116" t="n">
        <v>0.04128144929687157</v>
      </c>
      <c r="AI116">
        <f>IF($Y116="worse","Yes",IF($Y116="worse, not significant","Not sure",IF(OR($Y116="too few losses to test",$Y116="too few loans to test"),"Too few losses",IF($Y116="","","No"))))</f>
        <v/>
      </c>
      <c r="AJ116">
        <f>IF($AA116="yes","Yes",IF($AA116="","","No"))</f>
        <v/>
      </c>
      <c r="AK116" t="n">
        <v>0.001919103272806362</v>
      </c>
      <c r="AL116" t="n">
        <v>0.005025104579955951</v>
      </c>
      <c r="AM116">
        <f>IF(AND(ISNUMBER($AC116),ISNUMBER(IF($V116,IF($AL116="","",$AL116),IF($AK116="","",$AK116)))),IF(AND(ABS($AC116-significance_bar)&lt;=2.0*IF($V116,IF($AL116="","",$AL116),IF($AK116="","",$AK116)),OR($Y116="worse",$Y116="better",$Y116="worse, not significant",$Y116="better, not significant")),IF(ROUND($AC116,3)=ROUND(significance_bar,3),TEXT($AC116,"0.0000"),TEXT($AC116,"0.000")),""),"")</f>
        <v/>
      </c>
      <c r="AN116">
        <f>IF(AND(ISNUMBER($AC116),ISNUMBER(IF($V116,IF($AL116="","",$AL116),IF($AK116="","",$AK116)))),IF(AND(ABS($AC116-significance_bar)&lt;=2.0*IF($V116,IF($AL116="","",$AL116),IF($AK116="","",$AK116)),OR($Y116="worse",$Y116="worse, not significant")),IF(ROUND($AC116,3)=ROUND(significance_bar,3),TEXT($AC116,"0.0000"),TEXT($AC116,"0.000")),""),"")</f>
        <v/>
      </c>
      <c r="AO116">
        <f>IF(OR($AI116="",$AN116=""),$AI116,$AI116&amp;" · borderline (p "&amp;$AN116&amp;")")</f>
        <v/>
      </c>
    </row>
    <row r="117">
      <c r="A117" t="inlineStr">
        <is>
          <t>grids</t>
        </is>
      </c>
      <c r="B117" t="inlineStr">
        <is>
          <t>SHORT_HIST x CHANNEL</t>
        </is>
      </c>
      <c r="C117" t="inlineStr">
        <is>
          <t>0.0 - 88.9</t>
        </is>
      </c>
      <c r="D117" t="inlineStr">
        <is>
          <t>Branch</t>
        </is>
      </c>
      <c r="E117" t="inlineStr">
        <is>
          <t>ranr_rate</t>
        </is>
      </c>
      <c r="F117" t="inlineStr">
        <is>
          <t>Profit after losses: RANR per booked dollar</t>
        </is>
      </c>
      <c r="G117" t="n">
        <v>509</v>
      </c>
      <c r="H117" t="n">
        <v>16313060.25999998</v>
      </c>
      <c r="I117" t="b">
        <v>0</v>
      </c>
      <c r="J117" t="b">
        <v>0</v>
      </c>
      <c r="K117" t="n">
        <v>-0.0118041858310716</v>
      </c>
      <c r="L117" t="n">
        <v>0.3530919635309197</v>
      </c>
      <c r="M117" t="n">
        <v>-0.01321281133716626</v>
      </c>
      <c r="N117" t="n">
        <v>0.3068693130686931</v>
      </c>
      <c r="O117" t="n">
        <v>192562.3947825087</v>
      </c>
      <c r="P117" t="n">
        <v>215541.3875472043</v>
      </c>
      <c r="Q117">
        <f>'_live'!$C$23</f>
        <v/>
      </c>
      <c r="R117" t="inlineStr">
        <is>
          <t>shuffled: 2,015 of 10,000</t>
        </is>
      </c>
      <c r="S117" t="inlineStr">
        <is>
          <t>shuffled: 2,280 of 10,000</t>
        </is>
      </c>
      <c r="T117" t="n">
        <v>0.128736217565012</v>
      </c>
      <c r="U117" t="n">
        <v>0.1301448430711067</v>
      </c>
      <c r="V117">
        <f>AND(judged_band,NOT($J117))</f>
        <v/>
      </c>
      <c r="W117">
        <f>IF($K117="","",IF(profit_kind="test",IF(OR(NOT(AND(ISNUMBER($L117),$L117&lt;significance_bar)),$K117=0),"in line",IF($K117&lt;0,"worse","better")),IF(OR($K117=0,IF(profit_kind="points",ABS($K117),ABS($K117*$H117))&lt;profit_line*(1-1E-9)),"in line",IF(AND(ISNUMBER($L117),$L117&lt;significance_bar),IF($K117&lt;0,"worse","better"),IF($K117&lt;0,"worse, not significant","better, not significant")))))</f>
        <v/>
      </c>
      <c r="X117">
        <f>IF($M117="","",IF(profit_kind="test",IF(OR(NOT(AND(ISNUMBER($N117),$N117&lt;significance_bar)),$M117=0),"in line",IF($M117&lt;0,"worse","better")),IF(OR($M117=0,IF(profit_kind="points",ABS($M117),ABS($M117*$H117))&lt;profit_line*(1-1E-9)),"in line",IF(AND(ISNUMBER($N117),$N117&lt;significance_bar),IF($M117&lt;0,"worse","better"),IF($M117&lt;0,"worse, not significant","better, not significant")))))</f>
        <v/>
      </c>
      <c r="Y117">
        <f>IF($V117,$X117,$W117)</f>
        <v/>
      </c>
      <c r="Z117">
        <f>IF($V117,IF($P117="","",$P117),IF($O117="","",$O117))</f>
        <v/>
      </c>
      <c r="AA117">
        <f>IF(OR($Q117="",$Z117=""),"",IF(AND($Z117&gt;0,$Z117&gt;=$Q117),"yes","below the line"))</f>
        <v/>
      </c>
      <c r="AB117">
        <f>IF($V117,IF($M117="","",$M117),IF($K117="","",$K117))</f>
        <v/>
      </c>
      <c r="AC117">
        <f>IF($V117,IF($N117="","",$N117),IF($L117="","",$L117))</f>
        <v/>
      </c>
      <c r="AD117">
        <f>IF($Y117="","",IF($Y117="in line",IF(profit_kind="test",IF(ROUND($AB117*100,2)=0,"0.00",TEXT($AB117*100,"+0.00;-0.00"))&amp;" points against "&amp;IF($V117,"its band","the book")&amp;", "&amp;IF($AC117="","not tested","not significant"),IF(profit_kind="points","within "&amp;TEXT(profit_line*100,"0.00")&amp;" points of "&amp;IF($V117,"its band","the book")&amp;" ("&amp;IF(ROUND($AB117*100,2)=0,"0.00",TEXT($AB117*100,"+0.00;-0.00"))&amp;")","within $"&amp;TEXT(profit_line,"#,##0")&amp;" of "&amp;IF($V117,"its band","the book")&amp;" ("&amp;IF(ROUND($AB117*100,2)=0,"0.00",TEXT($AB117*100,"+0.00;-0.00"))&amp;" points)")),IF(LEFT($Y117,5)="worse","short of ","ahead of ")&amp;IF($V117,"its band","the book")&amp;" by "&amp;TEXT(ABS($AB117)*100,"0.00")&amp;" points"&amp;IF($Z117="",""," ($"&amp;TEXT(ABS($Z117),"#,##0")&amp;")")&amp;IF(RIGHT($Y117,15)="not significant"," (not significant)","")))</f>
        <v/>
      </c>
      <c r="AE117">
        <f>IF($V117,IF($S117="","",$S117),IF($R117="","",$R117))</f>
        <v/>
      </c>
      <c r="AF117">
        <f>IF($V117,IF($U117="","",$U117),IF($T117="","",$T117))</f>
        <v/>
      </c>
      <c r="AG117">
        <f>IF($V117,IF($O117="","",$O117),IF($P117="","",$P117))</f>
        <v/>
      </c>
      <c r="AH117" t="n">
        <v>0.1169320317339404</v>
      </c>
      <c r="AI117">
        <f>IF($Y117="worse","Yes",IF($Y117="worse, not significant","Not sure",IF(OR($Y117="too few losses to test",$Y117="too few loans to test"),"Too few losses",IF($Y117="","","No"))))</f>
        <v/>
      </c>
      <c r="AJ117">
        <f>IF($AA117="yes","Yes",IF($AA117="","","No"))</f>
        <v/>
      </c>
      <c r="AK117" t="n">
        <v>0.006731366240995301</v>
      </c>
      <c r="AL117" t="n">
        <v>0.005480670436693824</v>
      </c>
      <c r="AM117">
        <f>IF(AND(ISNUMBER($AC117),ISNUMBER(IF($V117,IF($AL117="","",$AL117),IF($AK117="","",$AK117)))),IF(AND(ABS($AC117-significance_bar)&lt;=2.0*IF($V117,IF($AL117="","",$AL117),IF($AK117="","",$AK117)),OR($Y117="worse",$Y117="better",$Y117="worse, not significant",$Y117="better, not significant",AND(profit_kind="test",$Y117="in line",ISNUMBER($AB117),$AB117&lt;&gt;0))),IF(ROUND($AC117,3)=ROUND(significance_bar,3),TEXT($AC117,"0.0000"),TEXT($AC117,"0.000")),""),"")</f>
        <v/>
      </c>
      <c r="AN117">
        <f>IF(AND(ISNUMBER($AC117),ISNUMBER(IF($V117,IF($AL117="","",$AL117),IF($AK117="","",$AK117)))),IF(AND(ABS($AC117-significance_bar)&lt;=2.0*IF($V117,IF($AL117="","",$AL117),IF($AK117="","",$AK117)),OR($Y117="worse",$Y117="worse, not significant",AND(profit_kind="test",$Y117="in line",ISNUMBER($AB117),$AB117&lt;0))),IF(ROUND($AC117,3)=ROUND(significance_bar,3),TEXT($AC117,"0.0000"),TEXT($AC117,"0.000")),""),"")</f>
        <v/>
      </c>
      <c r="AO117">
        <f>IF(OR($AI117="",$AN117=""),$AI117,$AI117&amp;" · borderline (p "&amp;$AN117&amp;")")</f>
        <v/>
      </c>
    </row>
    <row r="118">
      <c r="A118" t="inlineStr">
        <is>
          <t>grids</t>
        </is>
      </c>
      <c r="B118" t="inlineStr">
        <is>
          <t>SHORT_HIST x CHANNEL</t>
        </is>
      </c>
      <c r="C118" t="inlineStr">
        <is>
          <t>0.0 - 88.9</t>
        </is>
      </c>
      <c r="D118" t="inlineStr">
        <is>
          <t>Branch</t>
        </is>
      </c>
      <c r="E118" t="inlineStr">
        <is>
          <t>contribution_rate</t>
        </is>
      </c>
      <c r="F118" t="inlineStr">
        <is>
          <t>Contribution before losses per booked dollar</t>
        </is>
      </c>
      <c r="G118" t="n">
        <v>509</v>
      </c>
      <c r="H118" t="n">
        <v>16313060.25999998</v>
      </c>
      <c r="I118" t="b">
        <v>0</v>
      </c>
      <c r="J118" t="b">
        <v>0</v>
      </c>
      <c r="K118" t="n">
        <v>-0.01214692605783452</v>
      </c>
      <c r="L118" t="n">
        <v>0.09499050094990501</v>
      </c>
      <c r="M118" t="n">
        <v>-0.01609891625347024</v>
      </c>
      <c r="N118" t="n">
        <v>0.03869613038696131</v>
      </c>
      <c r="O118" t="n">
        <v>198153.5367552186</v>
      </c>
      <c r="P118" t="n">
        <v>262622.5909635532</v>
      </c>
      <c r="Q118">
        <f>'_live'!$C$24</f>
        <v/>
      </c>
      <c r="R118" t="inlineStr">
        <is>
          <t>shuffled: 474 of 10,000</t>
        </is>
      </c>
      <c r="S118" t="inlineStr">
        <is>
          <t>shuffled: 214 of 10,000</t>
        </is>
      </c>
      <c r="T118" t="n">
        <v>0.1703604070886465</v>
      </c>
      <c r="U118" t="n">
        <v>0.1743123972842822</v>
      </c>
      <c r="V118">
        <f>AND(judged_band,NOT($J118))</f>
        <v/>
      </c>
      <c r="W118">
        <f>IF($K118="","",IF(profit_kind="test",IF(OR(NOT(AND(ISNUMBER($L118),$L118&lt;significance_bar)),$K118=0),"in line",IF($K118&lt;0,"worse","better")),IF(OR($K118=0,IF(profit_kind="points",ABS($K118),ABS($K118*$H118))&lt;profit_line*(1-1E-9)),"in line",IF(AND(ISNUMBER($L118),$L118&lt;significance_bar),IF($K118&lt;0,"worse","better"),IF($K118&lt;0,"worse, not significant","better, not significant")))))</f>
        <v/>
      </c>
      <c r="X118">
        <f>IF($M118="","",IF(profit_kind="test",IF(OR(NOT(AND(ISNUMBER($N118),$N118&lt;significance_bar)),$M118=0),"in line",IF($M118&lt;0,"worse","better")),IF(OR($M118=0,IF(profit_kind="points",ABS($M118),ABS($M118*$H118))&lt;profit_line*(1-1E-9)),"in line",IF(AND(ISNUMBER($N118),$N118&lt;significance_bar),IF($M118&lt;0,"worse","better"),IF($M118&lt;0,"worse, not significant","better, not significant")))))</f>
        <v/>
      </c>
      <c r="Y118">
        <f>IF($V118,$X118,$W118)</f>
        <v/>
      </c>
      <c r="Z118">
        <f>IF($V118,IF($P118="","",$P118),IF($O118="","",$O118))</f>
        <v/>
      </c>
      <c r="AA118">
        <f>IF(OR($Q118="",$Z118=""),"",IF(AND($Z118&gt;0,$Z118&gt;=$Q118),"yes","below the line"))</f>
        <v/>
      </c>
      <c r="AB118">
        <f>IF($V118,IF($M118="","",$M118),IF($K118="","",$K118))</f>
        <v/>
      </c>
      <c r="AC118">
        <f>IF($V118,IF($N118="","",$N118),IF($L118="","",$L118))</f>
        <v/>
      </c>
      <c r="AD118">
        <f>IF($Y118="","",IF($Y118="in line",IF(profit_kind="test",IF(ROUND($AB118*100,2)=0,"0.00",TEXT($AB118*100,"+0.00;-0.00"))&amp;" points against "&amp;IF($V118,"its band","the book")&amp;", "&amp;IF($AC118="","not tested","not significant"),IF(profit_kind="points","within "&amp;TEXT(profit_line*100,"0.00")&amp;" points of "&amp;IF($V118,"its band","the book")&amp;" ("&amp;IF(ROUND($AB118*100,2)=0,"0.00",TEXT($AB118*100,"+0.00;-0.00"))&amp;")","within $"&amp;TEXT(profit_line,"#,##0")&amp;" of "&amp;IF($V118,"its band","the book")&amp;" ("&amp;IF(ROUND($AB118*100,2)=0,"0.00",TEXT($AB118*100,"+0.00;-0.00"))&amp;" points)")),IF(LEFT($Y118,5)="worse","short of ","ahead of ")&amp;IF($V118,"its band","the book")&amp;" by "&amp;TEXT(ABS($AB118)*100,"0.00")&amp;" points"&amp;IF($Z118="",""," ($"&amp;TEXT(ABS($Z118),"#,##0")&amp;")")&amp;IF(RIGHT($Y118,15)="not significant"," (not significant)","")))</f>
        <v/>
      </c>
      <c r="AE118">
        <f>IF($V118,IF($S118="","",$S118),IF($R118="","",$R118))</f>
        <v/>
      </c>
      <c r="AF118">
        <f>IF($V118,IF($U118="","",$U118),IF($T118="","",$T118))</f>
        <v/>
      </c>
      <c r="AG118">
        <f>IF($V118,IF($O118="","",$O118),IF($P118="","",$P118))</f>
        <v/>
      </c>
      <c r="AH118" t="n">
        <v>0.158213481030812</v>
      </c>
      <c r="AI118">
        <f>IF($Y118="worse","Yes",IF($Y118="worse, not significant","Not sure",IF(OR($Y118="too few losses to test",$Y118="too few loans to test"),"Too few losses",IF($Y118="","","No"))))</f>
        <v/>
      </c>
      <c r="AJ118">
        <f>IF($AA118="yes","Yes",IF($AA118="","","No"))</f>
        <v/>
      </c>
      <c r="AK118" t="n">
        <v>0.00425391357022091</v>
      </c>
      <c r="AL118" t="n">
        <v>0.00261066359743276</v>
      </c>
      <c r="AM118">
        <f>IF(AND(ISNUMBER($AC118),ISNUMBER(IF($V118,IF($AL118="","",$AL118),IF($AK118="","",$AK118)))),IF(AND(ABS($AC118-significance_bar)&lt;=2.0*IF($V118,IF($AL118="","",$AL118),IF($AK118="","",$AK118)),OR($Y118="worse",$Y118="better",$Y118="worse, not significant",$Y118="better, not significant",AND(profit_kind="test",$Y118="in line",ISNUMBER($AB118),$AB118&lt;&gt;0))),IF(ROUND($AC118,3)=ROUND(significance_bar,3),TEXT($AC118,"0.0000"),TEXT($AC118,"0.000")),""),"")</f>
        <v/>
      </c>
      <c r="AN118">
        <f>IF(AND(ISNUMBER($AC118),ISNUMBER(IF($V118,IF($AL118="","",$AL118),IF($AK118="","",$AK118)))),IF(AND(ABS($AC118-significance_bar)&lt;=2.0*IF($V118,IF($AL118="","",$AL118),IF($AK118="","",$AK118)),OR($Y118="worse",$Y118="worse, not significant",AND(profit_kind="test",$Y118="in line",ISNUMBER($AB118),$AB118&lt;0))),IF(ROUND($AC118,3)=ROUND(significance_bar,3),TEXT($AC118,"0.0000"),TEXT($AC118,"0.000")),""),"")</f>
        <v/>
      </c>
      <c r="AO118">
        <f>IF(OR($AI118="",$AN118=""),$AI118,$AI118&amp;" · borderline (p "&amp;$AN118&amp;")")</f>
        <v/>
      </c>
    </row>
    <row r="119">
      <c r="A119" t="inlineStr">
        <is>
          <t>grids</t>
        </is>
      </c>
      <c r="B119" t="inlineStr">
        <is>
          <t>SHORT_HIST x CHANNEL</t>
        </is>
      </c>
      <c r="C119" t="inlineStr">
        <is>
          <t>172.0 - 256.3</t>
        </is>
      </c>
      <c r="D119" t="inlineStr">
        <is>
          <t>Branch</t>
        </is>
      </c>
      <c r="E119" t="inlineStr">
        <is>
          <t>outcome_loans</t>
        </is>
      </c>
      <c r="F119" t="inlineStr">
        <is>
          <t>Outcome, share of loans</t>
        </is>
      </c>
      <c r="G119" t="n">
        <v>520</v>
      </c>
      <c r="H119" t="n">
        <v>520</v>
      </c>
      <c r="I119" t="b">
        <v>0</v>
      </c>
      <c r="J119" t="b">
        <v>0</v>
      </c>
      <c r="K119" t="n">
        <v>0.6053321678321678</v>
      </c>
      <c r="L119" t="n">
        <v>0.07267950997072337</v>
      </c>
      <c r="M119" t="n">
        <v>0.6358173076923077</v>
      </c>
      <c r="N119" t="n">
        <v>0.1466277207245463</v>
      </c>
      <c r="O119" t="n">
        <v>-16.29963898916968</v>
      </c>
      <c r="P119" t="n">
        <v>-14.31947069943289</v>
      </c>
      <c r="Q119">
        <f>'_live'!$C$20</f>
        <v/>
      </c>
      <c r="R119" t="inlineStr">
        <is>
          <t>z test</t>
        </is>
      </c>
      <c r="S119" t="inlineStr">
        <is>
          <t>z test</t>
        </is>
      </c>
      <c r="T119" t="n">
        <v>0.07942238267148015</v>
      </c>
      <c r="U119" t="n">
        <v>0.07561436672967864</v>
      </c>
      <c r="V119">
        <f>AND(judged_band,NOT($J119))</f>
        <v/>
      </c>
      <c r="W119">
        <f>IF($K119="","",IF($I119,"too few losses to test",IF(AND($K119&gt;better_at,$K119&lt;worse_at),"in line",IF($K119&gt;=worse_at,IF(AND(ISNUMBER($L119),$L119&lt;significance_bar),"worse","worse, not significant"),IF(AND(ISNUMBER($L119),$L119&lt;significance_bar),"better","better, not significant")))))</f>
        <v/>
      </c>
      <c r="X119">
        <f>IF($M119="","",IF($I119,"too few losses to test",IF(AND($M119&gt;better_at,$M119&lt;worse_at),"in line",IF($M119&gt;=worse_at,IF(AND(ISNUMBER($N119),$N119&lt;significance_bar),"worse","worse, not significant"),IF(AND(ISNUMBER($N119),$N119&lt;significance_bar),"better","better, not significant")))))</f>
        <v/>
      </c>
      <c r="Y119">
        <f>IF($V119,$X119,$W119)</f>
        <v/>
      </c>
      <c r="Z119">
        <f>IF($V119,IF($P119="","",$P119),IF($O119="","",$O119))</f>
        <v/>
      </c>
      <c r="AA119">
        <f>IF(OR($Q119="",$Z119=""),"",IF(AND($Z119&gt;0,$Z119&gt;=$Q119),"yes","below the line"))</f>
        <v/>
      </c>
      <c r="AB119">
        <f>IF($V119,IF($M119="","",$M119),IF($K119="","",$K119))</f>
        <v/>
      </c>
      <c r="AC119">
        <f>IF($V119,IF($N119="","",$N119),IF($L119="","",$L119))</f>
        <v/>
      </c>
      <c r="AD119">
        <f>$Y119</f>
        <v/>
      </c>
      <c r="AE119">
        <f>IF($V119,IF($S119="","",$S119),IF($R119="","",$R119))</f>
        <v/>
      </c>
      <c r="AF119">
        <f>IF($V119,IF($U119="","",$U119),IF($T119="","",$T119))</f>
        <v/>
      </c>
      <c r="AG119">
        <f>IF($V119,IF($O119="","",$O119),IF($P119="","",$P119))</f>
        <v/>
      </c>
      <c r="AH119" t="n">
        <v>0.04807692307692308</v>
      </c>
      <c r="AI119">
        <f>IF($Y119="worse","Yes",IF($Y119="worse, not significant","Not sure",IF(OR($Y119="too few losses to test",$Y119="too few loans to test"),"Too few losses",IF($Y119="","","No"))))</f>
        <v/>
      </c>
      <c r="AJ119">
        <f>IF($AA119="yes","Yes",IF($AA119="","","No"))</f>
        <v/>
      </c>
      <c r="AM119">
        <f>IF(AND(ISNUMBER($AC119),ISNUMBER(IF($V119,IF($AL119="","",$AL119),IF($AK119="","",$AK119)))),IF(AND(ABS($AC119-significance_bar)&lt;=2.0*IF($V119,IF($AL119="","",$AL119),IF($AK119="","",$AK119)),OR($Y119="worse",$Y119="better",$Y119="worse, not significant",$Y119="better, not significant")),IF(ROUND($AC119,3)=ROUND(significance_bar,3),TEXT($AC119,"0.0000"),TEXT($AC119,"0.000")),""),"")</f>
        <v/>
      </c>
      <c r="AN119">
        <f>IF(AND(ISNUMBER($AC119),ISNUMBER(IF($V119,IF($AL119="","",$AL119),IF($AK119="","",$AK119)))),IF(AND(ABS($AC119-significance_bar)&lt;=2.0*IF($V119,IF($AL119="","",$AL119),IF($AK119="","",$AK119)),OR($Y119="worse",$Y119="worse, not significant")),IF(ROUND($AC119,3)=ROUND(significance_bar,3),TEXT($AC119,"0.0000"),TEXT($AC119,"0.000")),""),"")</f>
        <v/>
      </c>
      <c r="AO119">
        <f>IF(OR($AI119="",$AN119=""),$AI119,$AI119&amp;" · borderline (p "&amp;$AN119&amp;")")</f>
        <v/>
      </c>
    </row>
    <row r="120">
      <c r="A120" t="inlineStr">
        <is>
          <t>grids</t>
        </is>
      </c>
      <c r="B120" t="inlineStr">
        <is>
          <t>SHORT_HIST x CHANNEL</t>
        </is>
      </c>
      <c r="C120" t="inlineStr">
        <is>
          <t>172.0 - 256.3</t>
        </is>
      </c>
      <c r="D120" t="inlineStr">
        <is>
          <t>Branch</t>
        </is>
      </c>
      <c r="E120" t="inlineStr">
        <is>
          <t>outcome_booked</t>
        </is>
      </c>
      <c r="F120" t="inlineStr">
        <is>
          <t>Outcome, share of booked dollars</t>
        </is>
      </c>
      <c r="G120" t="n">
        <v>520</v>
      </c>
      <c r="H120" t="n">
        <v>16802786.48999999</v>
      </c>
      <c r="I120" t="b">
        <v>0</v>
      </c>
      <c r="J120" t="b">
        <v>0</v>
      </c>
      <c r="K120" t="n">
        <v>0.5828447860986349</v>
      </c>
      <c r="L120" t="n">
        <v>0.1517848215178482</v>
      </c>
      <c r="M120" t="n">
        <v>0.6183389315700936</v>
      </c>
      <c r="N120" t="n">
        <v>0.2504749525047495</v>
      </c>
      <c r="O120" t="n">
        <v>-539149.0971550745</v>
      </c>
      <c r="P120" t="n">
        <v>-464959.7857907665</v>
      </c>
      <c r="Q120">
        <f>'_live'!$C$21</f>
        <v/>
      </c>
      <c r="R120" t="inlineStr">
        <is>
          <t>shuffled: 168 of 10,000</t>
        </is>
      </c>
      <c r="S120" t="inlineStr">
        <is>
          <t>shuffled: 546 of 10,000</t>
        </is>
      </c>
      <c r="T120" t="n">
        <v>0.0769183389864686</v>
      </c>
      <c r="U120" t="n">
        <v>0.07250304088049903</v>
      </c>
      <c r="V120">
        <f>AND(judged_band,NOT($J120))</f>
        <v/>
      </c>
      <c r="W120">
        <f>IF($K120="","",IF($I120,"too few losses to test",IF(AND($K120&gt;better_at,$K120&lt;worse_at),"in line",IF($K120&gt;=worse_at,IF(AND(ISNUMBER($L120),$L120&lt;significance_bar),"worse","worse, not significant"),IF(AND(ISNUMBER($L120),$L120&lt;significance_bar),"better","better, not significant")))))</f>
        <v/>
      </c>
      <c r="X120">
        <f>IF($M120="","",IF($I120,"too few losses to test",IF(AND($M120&gt;better_at,$M120&lt;worse_at),"in line",IF($M120&gt;=worse_at,IF(AND(ISNUMBER($N120),$N120&lt;significance_bar),"worse","worse, not significant"),IF(AND(ISNUMBER($N120),$N120&lt;significance_bar),"better","better, not significant")))))</f>
        <v/>
      </c>
      <c r="Y120">
        <f>IF($V120,$X120,$W120)</f>
        <v/>
      </c>
      <c r="Z120">
        <f>IF($V120,IF($P120="","",$P120),IF($O120="","",$O120))</f>
        <v/>
      </c>
      <c r="AA120">
        <f>IF(OR($Q120="",$Z120=""),"",IF(AND($Z120&gt;0,$Z120&gt;=$Q120),"yes","below the line"))</f>
        <v/>
      </c>
      <c r="AB120">
        <f>IF($V120,IF($M120="","",$M120),IF($K120="","",$K120))</f>
        <v/>
      </c>
      <c r="AC120">
        <f>IF($V120,IF($N120="","",$N120),IF($L120="","",$L120))</f>
        <v/>
      </c>
      <c r="AD120">
        <f>$Y120</f>
        <v/>
      </c>
      <c r="AE120">
        <f>IF($V120,IF($S120="","",$S120),IF($R120="","",$R120))</f>
        <v/>
      </c>
      <c r="AF120">
        <f>IF($V120,IF($U120="","",$U120),IF($T120="","",$T120))</f>
        <v/>
      </c>
      <c r="AG120">
        <f>IF($V120,IF($O120="","",$O120),IF($P120="","",$P120))</f>
        <v/>
      </c>
      <c r="AH120" t="n">
        <v>0.04483145283363058</v>
      </c>
      <c r="AI120">
        <f>IF($Y120="worse","Yes",IF($Y120="worse, not significant","Not sure",IF(OR($Y120="too few losses to test",$Y120="too few loans to test"),"Too few losses",IF($Y120="","","No"))))</f>
        <v/>
      </c>
      <c r="AJ120">
        <f>IF($AA120="yes","Yes",IF($AA120="","","No"))</f>
        <v/>
      </c>
      <c r="AK120" t="n">
        <v>0.006575072870397253</v>
      </c>
      <c r="AL120" t="n">
        <v>0.00936238949232809</v>
      </c>
      <c r="AM120">
        <f>IF(AND(ISNUMBER($AC120),ISNUMBER(IF($V120,IF($AL120="","",$AL120),IF($AK120="","",$AK120)))),IF(AND(ABS($AC120-significance_bar)&lt;=2.0*IF($V120,IF($AL120="","",$AL120),IF($AK120="","",$AK120)),OR($Y120="worse",$Y120="better",$Y120="worse, not significant",$Y120="better, not significant")),IF(ROUND($AC120,3)=ROUND(significance_bar,3),TEXT($AC120,"0.0000"),TEXT($AC120,"0.000")),""),"")</f>
        <v/>
      </c>
      <c r="AN120">
        <f>IF(AND(ISNUMBER($AC120),ISNUMBER(IF($V120,IF($AL120="","",$AL120),IF($AK120="","",$AK120)))),IF(AND(ABS($AC120-significance_bar)&lt;=2.0*IF($V120,IF($AL120="","",$AL120),IF($AK120="","",$AK120)),OR($Y120="worse",$Y120="worse, not significant")),IF(ROUND($AC120,3)=ROUND(significance_bar,3),TEXT($AC120,"0.0000"),TEXT($AC120,"0.000")),""),"")</f>
        <v/>
      </c>
      <c r="AO120">
        <f>IF(OR($AI120="",$AN120=""),$AI120,$AI120&amp;" · borderline (p "&amp;$AN120&amp;")")</f>
        <v/>
      </c>
    </row>
    <row r="121">
      <c r="A121" t="inlineStr">
        <is>
          <t>grids</t>
        </is>
      </c>
      <c r="B121" t="inlineStr">
        <is>
          <t>SHORT_HIST x CHANNEL</t>
        </is>
      </c>
      <c r="C121" t="inlineStr">
        <is>
          <t>172.0 - 256.3</t>
        </is>
      </c>
      <c r="D121" t="inlineStr">
        <is>
          <t>Branch</t>
        </is>
      </c>
      <c r="E121" t="inlineStr">
        <is>
          <t>gco_rate</t>
        </is>
      </c>
      <c r="F121" t="inlineStr">
        <is>
          <t>GCO per booked dollar</t>
        </is>
      </c>
      <c r="G121" t="n">
        <v>520</v>
      </c>
      <c r="H121" t="n">
        <v>16802786.48999999</v>
      </c>
      <c r="I121" t="b">
        <v>0</v>
      </c>
      <c r="J121" t="b">
        <v>0</v>
      </c>
      <c r="K121" t="n">
        <v>0.57064797453023</v>
      </c>
      <c r="L121" t="n">
        <v>0.1387361263873612</v>
      </c>
      <c r="M121" t="n">
        <v>0.6023421812004696</v>
      </c>
      <c r="N121" t="n">
        <v>0.1778822117788221</v>
      </c>
      <c r="O121" t="n">
        <v>-308786.7690506027</v>
      </c>
      <c r="P121" t="n">
        <v>-270944.0986170077</v>
      </c>
      <c r="Q121">
        <f>'_live'!$C$22</f>
        <v/>
      </c>
      <c r="R121" t="inlineStr">
        <is>
          <t>shuffled: 163 of 10,000</t>
        </is>
      </c>
      <c r="S121" t="inlineStr">
        <is>
          <t>shuffled: 520 of 10,000</t>
        </is>
      </c>
      <c r="T121" t="n">
        <v>0.04280197986676929</v>
      </c>
      <c r="U121" t="n">
        <v>0.04054981350995004</v>
      </c>
      <c r="V121">
        <f>AND(judged_band,NOT($J121))</f>
        <v/>
      </c>
      <c r="W121">
        <f>IF($K121="","",IF($I121,"too few losses to test",IF(AND($K121&gt;better_at,$K121&lt;worse_at),"in line",IF($K121&gt;=worse_at,IF(AND(ISNUMBER($L121),$L121&lt;significance_bar),"worse","worse, not significant"),IF(AND(ISNUMBER($L121),$L121&lt;significance_bar),"better","better, not significant")))))</f>
        <v/>
      </c>
      <c r="X121">
        <f>IF($M121="","",IF($I121,"too few losses to test",IF(AND($M121&gt;better_at,$M121&lt;worse_at),"in line",IF($M121&gt;=worse_at,IF(AND(ISNUMBER($N121),$N121&lt;significance_bar),"worse","worse, not significant"),IF(AND(ISNUMBER($N121),$N121&lt;significance_bar),"better","better, not significant")))))</f>
        <v/>
      </c>
      <c r="Y121">
        <f>IF($V121,$X121,$W121)</f>
        <v/>
      </c>
      <c r="Z121">
        <f>IF($V121,IF($P121="","",$P121),IF($O121="","",$O121))</f>
        <v/>
      </c>
      <c r="AA121">
        <f>IF(OR($Q121="",$Z121=""),"",IF(AND($Z121&gt;0,$Z121&gt;=$Q121),"yes","below the line"))</f>
        <v/>
      </c>
      <c r="AB121">
        <f>IF($V121,IF($M121="","",$M121),IF($K121="","",$K121))</f>
        <v/>
      </c>
      <c r="AC121">
        <f>IF($V121,IF($N121="","",$N121),IF($L121="","",$L121))</f>
        <v/>
      </c>
      <c r="AD121">
        <f>$Y121</f>
        <v/>
      </c>
      <c r="AE121">
        <f>IF($V121,IF($S121="","",$S121),IF($R121="","",$R121))</f>
        <v/>
      </c>
      <c r="AF121">
        <f>IF($V121,IF($U121="","",$U121),IF($T121="","",$T121))</f>
        <v/>
      </c>
      <c r="AG121">
        <f>IF($V121,IF($O121="","",$O121),IF($P121="","",$P121))</f>
        <v/>
      </c>
      <c r="AH121" t="n">
        <v>0.02442486311685558</v>
      </c>
      <c r="AI121">
        <f>IF($Y121="worse","Yes",IF($Y121="worse, not significant","Not sure",IF(OR($Y121="too few losses to test",$Y121="too few loans to test"),"Too few losses",IF($Y121="","","No"))))</f>
        <v/>
      </c>
      <c r="AJ121">
        <f>IF($AA121="yes","Yes",IF($AA121="","","No"))</f>
        <v/>
      </c>
      <c r="AK121" t="n">
        <v>0.01010580642571507</v>
      </c>
      <c r="AL121" t="n">
        <v>0.007085227971414474</v>
      </c>
      <c r="AM121">
        <f>IF(AND(ISNUMBER($AC121),ISNUMBER(IF($V121,IF($AL121="","",$AL121),IF($AK121="","",$AK121)))),IF(AND(ABS($AC121-significance_bar)&lt;=2.0*IF($V121,IF($AL121="","",$AL121),IF($AK121="","",$AK121)),OR($Y121="worse",$Y121="better",$Y121="worse, not significant",$Y121="better, not significant")),IF(ROUND($AC121,3)=ROUND(significance_bar,3),TEXT($AC121,"0.0000"),TEXT($AC121,"0.000")),""),"")</f>
        <v/>
      </c>
      <c r="AN121">
        <f>IF(AND(ISNUMBER($AC121),ISNUMBER(IF($V121,IF($AL121="","",$AL121),IF($AK121="","",$AK121)))),IF(AND(ABS($AC121-significance_bar)&lt;=2.0*IF($V121,IF($AL121="","",$AL121),IF($AK121="","",$AK121)),OR($Y121="worse",$Y121="worse, not significant")),IF(ROUND($AC121,3)=ROUND(significance_bar,3),TEXT($AC121,"0.0000"),TEXT($AC121,"0.000")),""),"")</f>
        <v/>
      </c>
      <c r="AO121">
        <f>IF(OR($AI121="",$AN121=""),$AI121,$AI121&amp;" · borderline (p "&amp;$AN121&amp;")")</f>
        <v/>
      </c>
    </row>
    <row r="122">
      <c r="A122" t="inlineStr">
        <is>
          <t>grids</t>
        </is>
      </c>
      <c r="B122" t="inlineStr">
        <is>
          <t>SHORT_HIST x CHANNEL</t>
        </is>
      </c>
      <c r="C122" t="inlineStr">
        <is>
          <t>172.0 - 256.3</t>
        </is>
      </c>
      <c r="D122" t="inlineStr">
        <is>
          <t>Branch</t>
        </is>
      </c>
      <c r="E122" t="inlineStr">
        <is>
          <t>ranr_rate</t>
        </is>
      </c>
      <c r="F122" t="inlineStr">
        <is>
          <t>Profit after losses: RANR per booked dollar</t>
        </is>
      </c>
      <c r="G122" t="n">
        <v>520</v>
      </c>
      <c r="H122" t="n">
        <v>16802786.48999999</v>
      </c>
      <c r="I122" t="b">
        <v>0</v>
      </c>
      <c r="J122" t="b">
        <v>0</v>
      </c>
      <c r="K122" t="n">
        <v>-9.701001551820632e-05</v>
      </c>
      <c r="L122" t="n">
        <v>0.9918008199180082</v>
      </c>
      <c r="M122" t="n">
        <v>-0.006338907782608205</v>
      </c>
      <c r="N122" t="n">
        <v>0.5790126869665975</v>
      </c>
      <c r="O122" t="n">
        <v>1630.038578143809</v>
      </c>
      <c r="P122" t="n">
        <v>106511.314050965</v>
      </c>
      <c r="Q122">
        <f>'_live'!$C$23</f>
        <v/>
      </c>
      <c r="R122" t="inlineStr">
        <is>
          <t>shuffled: 9,918 of 10,000</t>
        </is>
      </c>
      <c r="S122" t="inlineStr">
        <is>
          <t>shuffled: 5,468 of 10,000</t>
        </is>
      </c>
      <c r="T122" t="n">
        <v>0.1279963659514514</v>
      </c>
      <c r="U122" t="n">
        <v>0.1342382637185414</v>
      </c>
      <c r="V122">
        <f>AND(judged_band,NOT($J122))</f>
        <v/>
      </c>
      <c r="W122">
        <f>IF($K122="","",IF(profit_kind="test",IF(OR(NOT(AND(ISNUMBER($L122),$L122&lt;significance_bar)),$K122=0),"in line",IF($K122&lt;0,"worse","better")),IF(OR($K122=0,IF(profit_kind="points",ABS($K122),ABS($K122*$H122))&lt;profit_line*(1-1E-9)),"in line",IF(AND(ISNUMBER($L122),$L122&lt;significance_bar),IF($K122&lt;0,"worse","better"),IF($K122&lt;0,"worse, not significant","better, not significant")))))</f>
        <v/>
      </c>
      <c r="X122">
        <f>IF($M122="","",IF(profit_kind="test",IF(OR(NOT(AND(ISNUMBER($N122),$N122&lt;significance_bar)),$M122=0),"in line",IF($M122&lt;0,"worse","better")),IF(OR($M122=0,IF(profit_kind="points",ABS($M122),ABS($M122*$H122))&lt;profit_line*(1-1E-9)),"in line",IF(AND(ISNUMBER($N122),$N122&lt;significance_bar),IF($M122&lt;0,"worse","better"),IF($M122&lt;0,"worse, not significant","better, not significant")))))</f>
        <v/>
      </c>
      <c r="Y122">
        <f>IF($V122,$X122,$W122)</f>
        <v/>
      </c>
      <c r="Z122">
        <f>IF($V122,IF($P122="","",$P122),IF($O122="","",$O122))</f>
        <v/>
      </c>
      <c r="AA122">
        <f>IF(OR($Q122="",$Z122=""),"",IF(AND($Z122&gt;0,$Z122&gt;=$Q122),"yes","below the line"))</f>
        <v/>
      </c>
      <c r="AB122">
        <f>IF($V122,IF($M122="","",$M122),IF($K122="","",$K122))</f>
        <v/>
      </c>
      <c r="AC122">
        <f>IF($V122,IF($N122="","",$N122),IF($L122="","",$L122))</f>
        <v/>
      </c>
      <c r="AD122">
        <f>IF($Y122="","",IF($Y122="in line",IF(profit_kind="test",IF(ROUND($AB122*100,2)=0,"0.00",TEXT($AB122*100,"+0.00;-0.00"))&amp;" points against "&amp;IF($V122,"its band","the book")&amp;", "&amp;IF($AC122="","not tested","not significant"),IF(profit_kind="points","within "&amp;TEXT(profit_line*100,"0.00")&amp;" points of "&amp;IF($V122,"its band","the book")&amp;" ("&amp;IF(ROUND($AB122*100,2)=0,"0.00",TEXT($AB122*100,"+0.00;-0.00"))&amp;")","within $"&amp;TEXT(profit_line,"#,##0")&amp;" of "&amp;IF($V122,"its band","the book")&amp;" ("&amp;IF(ROUND($AB122*100,2)=0,"0.00",TEXT($AB122*100,"+0.00;-0.00"))&amp;" points)")),IF(LEFT($Y122,5)="worse","short of ","ahead of ")&amp;IF($V122,"its band","the book")&amp;" by "&amp;TEXT(ABS($AB122)*100,"0.00")&amp;" points"&amp;IF($Z122="",""," ($"&amp;TEXT(ABS($Z122),"#,##0")&amp;")")&amp;IF(RIGHT($Y122,15)="not significant"," (not significant)","")))</f>
        <v/>
      </c>
      <c r="AE122">
        <f>IF($V122,IF($S122="","",$S122),IF($R122="","",$R122))</f>
        <v/>
      </c>
      <c r="AF122">
        <f>IF($V122,IF($U122="","",$U122),IF($T122="","",$T122))</f>
        <v/>
      </c>
      <c r="AG122">
        <f>IF($V122,IF($O122="","",$O122),IF($P122="","",$P122))</f>
        <v/>
      </c>
      <c r="AH122" t="n">
        <v>0.1278993559359332</v>
      </c>
      <c r="AI122">
        <f>IF($Y122="worse","Yes",IF($Y122="worse, not significant","Not sure",IF(OR($Y122="too few losses to test",$Y122="too few loans to test"),"Too few losses",IF($Y122="","","No"))))</f>
        <v/>
      </c>
      <c r="AJ122">
        <f>IF($AA122="yes","Yes",IF($AA122="","","No"))</f>
        <v/>
      </c>
      <c r="AK122" t="n">
        <v>0.0009017734487095358</v>
      </c>
      <c r="AL122" t="n">
        <v>0.005270830723139219</v>
      </c>
      <c r="AM122">
        <f>IF(AND(ISNUMBER($AC122),ISNUMBER(IF($V122,IF($AL122="","",$AL122),IF($AK122="","",$AK122)))),IF(AND(ABS($AC122-significance_bar)&lt;=2.0*IF($V122,IF($AL122="","",$AL122),IF($AK122="","",$AK122)),OR($Y122="worse",$Y122="better",$Y122="worse, not significant",$Y122="better, not significant",AND(profit_kind="test",$Y122="in line",ISNUMBER($AB122),$AB122&lt;&gt;0))),IF(ROUND($AC122,3)=ROUND(significance_bar,3),TEXT($AC122,"0.0000"),TEXT($AC122,"0.000")),""),"")</f>
        <v/>
      </c>
      <c r="AN122">
        <f>IF(AND(ISNUMBER($AC122),ISNUMBER(IF($V122,IF($AL122="","",$AL122),IF($AK122="","",$AK122)))),IF(AND(ABS($AC122-significance_bar)&lt;=2.0*IF($V122,IF($AL122="","",$AL122),IF($AK122="","",$AK122)),OR($Y122="worse",$Y122="worse, not significant",AND(profit_kind="test",$Y122="in line",ISNUMBER($AB122),$AB122&lt;0))),IF(ROUND($AC122,3)=ROUND(significance_bar,3),TEXT($AC122,"0.0000"),TEXT($AC122,"0.000")),""),"")</f>
        <v/>
      </c>
      <c r="AO122">
        <f>IF(OR($AI122="",$AN122=""),$AI122,$AI122&amp;" · borderline (p "&amp;$AN122&amp;")")</f>
        <v/>
      </c>
    </row>
    <row r="123">
      <c r="A123" t="inlineStr">
        <is>
          <t>grids</t>
        </is>
      </c>
      <c r="B123" t="inlineStr">
        <is>
          <t>SHORT_HIST x CHANNEL</t>
        </is>
      </c>
      <c r="C123" t="inlineStr">
        <is>
          <t>172.0 - 256.3</t>
        </is>
      </c>
      <c r="D123" t="inlineStr">
        <is>
          <t>Branch</t>
        </is>
      </c>
      <c r="E123" t="inlineStr">
        <is>
          <t>contribution_rate</t>
        </is>
      </c>
      <c r="F123" t="inlineStr">
        <is>
          <t>Contribution before losses per booked dollar</t>
        </is>
      </c>
      <c r="G123" t="n">
        <v>520</v>
      </c>
      <c r="H123" t="n">
        <v>16802786.48999999</v>
      </c>
      <c r="I123" t="b">
        <v>0</v>
      </c>
      <c r="J123" t="b">
        <v>0</v>
      </c>
      <c r="K123" t="n">
        <v>-0.01847106939495233</v>
      </c>
      <c r="L123" t="n">
        <v>0.0185981401859814</v>
      </c>
      <c r="M123" t="n">
        <v>-0.02246385817570254</v>
      </c>
      <c r="N123" t="n">
        <v>0.00404959504049595</v>
      </c>
      <c r="O123" t="n">
        <v>310365.4352853573</v>
      </c>
      <c r="P123" t="n">
        <v>377455.4126679706</v>
      </c>
      <c r="Q123">
        <f>'_live'!$C$24</f>
        <v/>
      </c>
      <c r="R123" t="inlineStr">
        <is>
          <t>shuffled: 30 of 10,000</t>
        </is>
      </c>
      <c r="S123" t="inlineStr">
        <is>
          <t>shuffled: 8 of 10,000</t>
        </is>
      </c>
      <c r="T123" t="n">
        <v>0.1707952884477412</v>
      </c>
      <c r="U123" t="n">
        <v>0.1747880772284914</v>
      </c>
      <c r="V123">
        <f>AND(judged_band,NOT($J123))</f>
        <v/>
      </c>
      <c r="W123">
        <f>IF($K123="","",IF(profit_kind="test",IF(OR(NOT(AND(ISNUMBER($L123),$L123&lt;significance_bar)),$K123=0),"in line",IF($K123&lt;0,"worse","better")),IF(OR($K123=0,IF(profit_kind="points",ABS($K123),ABS($K123*$H123))&lt;profit_line*(1-1E-9)),"in line",IF(AND(ISNUMBER($L123),$L123&lt;significance_bar),IF($K123&lt;0,"worse","better"),IF($K123&lt;0,"worse, not significant","better, not significant")))))</f>
        <v/>
      </c>
      <c r="X123">
        <f>IF($M123="","",IF(profit_kind="test",IF(OR(NOT(AND(ISNUMBER($N123),$N123&lt;significance_bar)),$M123=0),"in line",IF($M123&lt;0,"worse","better")),IF(OR($M123=0,IF(profit_kind="points",ABS($M123),ABS($M123*$H123))&lt;profit_line*(1-1E-9)),"in line",IF(AND(ISNUMBER($N123),$N123&lt;significance_bar),IF($M123&lt;0,"worse","better"),IF($M123&lt;0,"worse, not significant","better, not significant")))))</f>
        <v/>
      </c>
      <c r="Y123">
        <f>IF($V123,$X123,$W123)</f>
        <v/>
      </c>
      <c r="Z123">
        <f>IF($V123,IF($P123="","",$P123),IF($O123="","",$O123))</f>
        <v/>
      </c>
      <c r="AA123">
        <f>IF(OR($Q123="",$Z123=""),"",IF(AND($Z123&gt;0,$Z123&gt;=$Q123),"yes","below the line"))</f>
        <v/>
      </c>
      <c r="AB123">
        <f>IF($V123,IF($M123="","",$M123),IF($K123="","",$K123))</f>
        <v/>
      </c>
      <c r="AC123">
        <f>IF($V123,IF($N123="","",$N123),IF($L123="","",$L123))</f>
        <v/>
      </c>
      <c r="AD123">
        <f>IF($Y123="","",IF($Y123="in line",IF(profit_kind="test",IF(ROUND($AB123*100,2)=0,"0.00",TEXT($AB123*100,"+0.00;-0.00"))&amp;" points against "&amp;IF($V123,"its band","the book")&amp;", "&amp;IF($AC123="","not tested","not significant"),IF(profit_kind="points","within "&amp;TEXT(profit_line*100,"0.00")&amp;" points of "&amp;IF($V123,"its band","the book")&amp;" ("&amp;IF(ROUND($AB123*100,2)=0,"0.00",TEXT($AB123*100,"+0.00;-0.00"))&amp;")","within $"&amp;TEXT(profit_line,"#,##0")&amp;" of "&amp;IF($V123,"its band","the book")&amp;" ("&amp;IF(ROUND($AB123*100,2)=0,"0.00",TEXT($AB123*100,"+0.00;-0.00"))&amp;" points)")),IF(LEFT($Y123,5)="worse","short of ","ahead of ")&amp;IF($V123,"its band","the book")&amp;" by "&amp;TEXT(ABS($AB123)*100,"0.00")&amp;" points"&amp;IF($Z123="",""," ($"&amp;TEXT(ABS($Z123),"#,##0")&amp;")")&amp;IF(RIGHT($Y123,15)="not significant"," (not significant)","")))</f>
        <v/>
      </c>
      <c r="AE123">
        <f>IF($V123,IF($S123="","",$S123),IF($R123="","",$R123))</f>
        <v/>
      </c>
      <c r="AF123">
        <f>IF($V123,IF($U123="","",$U123),IF($T123="","",$T123))</f>
        <v/>
      </c>
      <c r="AG123">
        <f>IF($V123,IF($O123="","",$O123),IF($P123="","",$P123))</f>
        <v/>
      </c>
      <c r="AH123" t="n">
        <v>0.1523242190527889</v>
      </c>
      <c r="AI123">
        <f>IF($Y123="worse","Yes",IF($Y123="worse, not significant","Not sure",IF(OR($Y123="too few losses to test",$Y123="too few loans to test"),"Too few losses",IF($Y123="","","No"))))</f>
        <v/>
      </c>
      <c r="AJ123">
        <f>IF($AA123="yes","Yes",IF($AA123="","","No"))</f>
        <v/>
      </c>
      <c r="AK123" t="n">
        <v>0.003335310334849082</v>
      </c>
      <c r="AL123" t="n">
        <v>0.001349324959460832</v>
      </c>
      <c r="AM123">
        <f>IF(AND(ISNUMBER($AC123),ISNUMBER(IF($V123,IF($AL123="","",$AL123),IF($AK123="","",$AK123)))),IF(AND(ABS($AC123-significance_bar)&lt;=2.0*IF($V123,IF($AL123="","",$AL123),IF($AK123="","",$AK123)),OR($Y123="worse",$Y123="better",$Y123="worse, not significant",$Y123="better, not significant",AND(profit_kind="test",$Y123="in line",ISNUMBER($AB123),$AB123&lt;&gt;0))),IF(ROUND($AC123,3)=ROUND(significance_bar,3),TEXT($AC123,"0.0000"),TEXT($AC123,"0.000")),""),"")</f>
        <v/>
      </c>
      <c r="AN123">
        <f>IF(AND(ISNUMBER($AC123),ISNUMBER(IF($V123,IF($AL123="","",$AL123),IF($AK123="","",$AK123)))),IF(AND(ABS($AC123-significance_bar)&lt;=2.0*IF($V123,IF($AL123="","",$AL123),IF($AK123="","",$AK123)),OR($Y123="worse",$Y123="worse, not significant",AND(profit_kind="test",$Y123="in line",ISNUMBER($AB123),$AB123&lt;0))),IF(ROUND($AC123,3)=ROUND(significance_bar,3),TEXT($AC123,"0.0000"),TEXT($AC123,"0.000")),""),"")</f>
        <v/>
      </c>
      <c r="AO123">
        <f>IF(OR($AI123="",$AN123=""),$AI123,$AI123&amp;" · borderline (p "&amp;$AN123&amp;")")</f>
        <v/>
      </c>
    </row>
    <row r="124">
      <c r="A124" t="inlineStr">
        <is>
          <t>grids</t>
        </is>
      </c>
      <c r="B124" t="inlineStr">
        <is>
          <t>SHORT_HIST x CHANNEL</t>
        </is>
      </c>
      <c r="C124" t="inlineStr">
        <is>
          <t>172.0 - 256.3</t>
        </is>
      </c>
      <c r="D124" t="inlineStr">
        <is>
          <t>Broker</t>
        </is>
      </c>
      <c r="E124" t="inlineStr">
        <is>
          <t>outcome_loans</t>
        </is>
      </c>
      <c r="F124" t="inlineStr">
        <is>
          <t>Outcome, share of loans</t>
        </is>
      </c>
      <c r="G124" t="n">
        <v>541</v>
      </c>
      <c r="H124" t="n">
        <v>541</v>
      </c>
      <c r="I124" t="b">
        <v>0</v>
      </c>
      <c r="J124" t="b">
        <v>0</v>
      </c>
      <c r="K124" t="n">
        <v>1.003456593957528</v>
      </c>
      <c r="L124" t="n">
        <v>0.9820667312623514</v>
      </c>
      <c r="M124" t="n">
        <v>1.277880468268638</v>
      </c>
      <c r="N124" t="n">
        <v>0.5038125291789334</v>
      </c>
      <c r="O124" t="n">
        <v>0.1446768570662371</v>
      </c>
      <c r="P124" t="n">
        <v>9.133076181292189</v>
      </c>
      <c r="Q124">
        <f>'_live'!$C$20</f>
        <v/>
      </c>
      <c r="R124" t="inlineStr">
        <is>
          <t>z test</t>
        </is>
      </c>
      <c r="S124" t="inlineStr">
        <is>
          <t>z test</t>
        </is>
      </c>
      <c r="T124" t="n">
        <v>0.07736658621614374</v>
      </c>
      <c r="U124" t="n">
        <v>0.06075216972034716</v>
      </c>
      <c r="V124">
        <f>AND(judged_band,NOT($J124))</f>
        <v/>
      </c>
      <c r="W124">
        <f>IF($K124="","",IF($I124,"too few losses to test",IF(AND($K124&gt;better_at,$K124&lt;worse_at),"in line",IF($K124&gt;=worse_at,IF(AND(ISNUMBER($L124),$L124&lt;significance_bar),"worse","worse, not significant"),IF(AND(ISNUMBER($L124),$L124&lt;significance_bar),"better","better, not significant")))))</f>
        <v/>
      </c>
      <c r="X124">
        <f>IF($M124="","",IF($I124,"too few losses to test",IF(AND($M124&gt;better_at,$M124&lt;worse_at),"in line",IF($M124&gt;=worse_at,IF(AND(ISNUMBER($N124),$N124&lt;significance_bar),"worse","worse, not significant"),IF(AND(ISNUMBER($N124),$N124&lt;significance_bar),"better","better, not significant")))))</f>
        <v/>
      </c>
      <c r="Y124">
        <f>IF($V124,$X124,$W124)</f>
        <v/>
      </c>
      <c r="Z124">
        <f>IF($V124,IF($P124="","",$P124),IF($O124="","",$O124))</f>
        <v/>
      </c>
      <c r="AA124">
        <f>IF(OR($Q124="",$Z124=""),"",IF(AND($Z124&gt;0,$Z124&gt;=$Q124),"yes","below the line"))</f>
        <v/>
      </c>
      <c r="AB124">
        <f>IF($V124,IF($M124="","",$M124),IF($K124="","",$K124))</f>
        <v/>
      </c>
      <c r="AC124">
        <f>IF($V124,IF($N124="","",$N124),IF($L124="","",$L124))</f>
        <v/>
      </c>
      <c r="AD124">
        <f>$Y124</f>
        <v/>
      </c>
      <c r="AE124">
        <f>IF($V124,IF($S124="","",$S124),IF($R124="","",$R124))</f>
        <v/>
      </c>
      <c r="AF124">
        <f>IF($V124,IF($U124="","",$U124),IF($T124="","",$T124))</f>
        <v/>
      </c>
      <c r="AG124">
        <f>IF($V124,IF($O124="","",$O124),IF($P124="","",$P124))</f>
        <v/>
      </c>
      <c r="AH124" t="n">
        <v>0.07763401109057301</v>
      </c>
      <c r="AI124">
        <f>IF($Y124="worse","Yes",IF($Y124="worse, not significant","Not sure",IF(OR($Y124="too few losses to test",$Y124="too few loans to test"),"Too few losses",IF($Y124="","","No"))))</f>
        <v/>
      </c>
      <c r="AJ124">
        <f>IF($AA124="yes","Yes",IF($AA124="","","No"))</f>
        <v/>
      </c>
      <c r="AM124">
        <f>IF(AND(ISNUMBER($AC124),ISNUMBER(IF($V124,IF($AL124="","",$AL124),IF($AK124="","",$AK124)))),IF(AND(ABS($AC124-significance_bar)&lt;=2.0*IF($V124,IF($AL124="","",$AL124),IF($AK124="","",$AK124)),OR($Y124="worse",$Y124="better",$Y124="worse, not significant",$Y124="better, not significant")),IF(ROUND($AC124,3)=ROUND(significance_bar,3),TEXT($AC124,"0.0000"),TEXT($AC124,"0.000")),""),"")</f>
        <v/>
      </c>
      <c r="AN124">
        <f>IF(AND(ISNUMBER($AC124),ISNUMBER(IF($V124,IF($AL124="","",$AL124),IF($AK124="","",$AK124)))),IF(AND(ABS($AC124-significance_bar)&lt;=2.0*IF($V124,IF($AL124="","",$AL124),IF($AK124="","",$AK124)),OR($Y124="worse",$Y124="worse, not significant")),IF(ROUND($AC124,3)=ROUND(significance_bar,3),TEXT($AC124,"0.0000"),TEXT($AC124,"0.000")),""),"")</f>
        <v/>
      </c>
      <c r="AO124">
        <f>IF(OR($AI124="",$AN124=""),$AI124,$AI124&amp;" · borderline (p "&amp;$AN124&amp;")")</f>
        <v/>
      </c>
    </row>
    <row r="125">
      <c r="A125" t="inlineStr">
        <is>
          <t>grids</t>
        </is>
      </c>
      <c r="B125" t="inlineStr">
        <is>
          <t>SHORT_HIST x CHANNEL</t>
        </is>
      </c>
      <c r="C125" t="inlineStr">
        <is>
          <t>172.0 - 256.3</t>
        </is>
      </c>
      <c r="D125" t="inlineStr">
        <is>
          <t>Broker</t>
        </is>
      </c>
      <c r="E125" t="inlineStr">
        <is>
          <t>outcome_booked</t>
        </is>
      </c>
      <c r="F125" t="inlineStr">
        <is>
          <t>Outcome, share of booked dollars</t>
        </is>
      </c>
      <c r="G125" t="n">
        <v>541</v>
      </c>
      <c r="H125" t="n">
        <v>17858028.68999999</v>
      </c>
      <c r="I125" t="b">
        <v>0</v>
      </c>
      <c r="J125" t="b">
        <v>0</v>
      </c>
      <c r="K125" t="n">
        <v>1.116978780671255</v>
      </c>
      <c r="L125" t="n">
        <v>0.7186424214721386</v>
      </c>
      <c r="M125" t="n">
        <v>1.555782886546119</v>
      </c>
      <c r="N125" t="n">
        <v>0.2504749525047495</v>
      </c>
      <c r="O125" t="n">
        <v>155062.9043632408</v>
      </c>
      <c r="P125" t="n">
        <v>528934.5388058652</v>
      </c>
      <c r="Q125">
        <f>'_live'!$C$21</f>
        <v/>
      </c>
      <c r="R125" t="inlineStr">
        <is>
          <t>shuffled: 4,989 of 10,000</t>
        </is>
      </c>
      <c r="S125" t="inlineStr">
        <is>
          <t>shuffled: 352 of 10,000</t>
        </is>
      </c>
      <c r="T125" t="n">
        <v>0.07422792283781238</v>
      </c>
      <c r="U125" t="n">
        <v>0.05329214986237852</v>
      </c>
      <c r="V125">
        <f>AND(judged_band,NOT($J125))</f>
        <v/>
      </c>
      <c r="W125">
        <f>IF($K125="","",IF($I125,"too few losses to test",IF(AND($K125&gt;better_at,$K125&lt;worse_at),"in line",IF($K125&gt;=worse_at,IF(AND(ISNUMBER($L125),$L125&lt;significance_bar),"worse","worse, not significant"),IF(AND(ISNUMBER($L125),$L125&lt;significance_bar),"better","better, not significant")))))</f>
        <v/>
      </c>
      <c r="X125">
        <f>IF($M125="","",IF($I125,"too few losses to test",IF(AND($M125&gt;better_at,$M125&lt;worse_at),"in line",IF($M125&gt;=worse_at,IF(AND(ISNUMBER($N125),$N125&lt;significance_bar),"worse","worse, not significant"),IF(AND(ISNUMBER($N125),$N125&lt;significance_bar),"better","better, not significant")))))</f>
        <v/>
      </c>
      <c r="Y125">
        <f>IF($V125,$X125,$W125)</f>
        <v/>
      </c>
      <c r="Z125">
        <f>IF($V125,IF($P125="","",$P125),IF($O125="","",$O125))</f>
        <v/>
      </c>
      <c r="AA125">
        <f>IF(OR($Q125="",$Z125=""),"",IF(AND($Z125&gt;0,$Z125&gt;=$Q125),"yes","below the line"))</f>
        <v/>
      </c>
      <c r="AB125">
        <f>IF($V125,IF($M125="","",$M125),IF($K125="","",$K125))</f>
        <v/>
      </c>
      <c r="AC125">
        <f>IF($V125,IF($N125="","",$N125),IF($L125="","",$L125))</f>
        <v/>
      </c>
      <c r="AD125">
        <f>$Y125</f>
        <v/>
      </c>
      <c r="AE125">
        <f>IF($V125,IF($S125="","",$S125),IF($R125="","",$R125))</f>
        <v/>
      </c>
      <c r="AF125">
        <f>IF($V125,IF($U125="","",$U125),IF($T125="","",$T125))</f>
        <v/>
      </c>
      <c r="AG125">
        <f>IF($V125,IF($O125="","",$O125),IF($P125="","",$P125))</f>
        <v/>
      </c>
      <c r="AH125" t="n">
        <v>0.08291101474313964</v>
      </c>
      <c r="AI125">
        <f>IF($Y125="worse","Yes",IF($Y125="worse, not significant","Not sure",IF(OR($Y125="too few losses to test",$Y125="too few loans to test"),"Too few losses",IF($Y125="","","No"))))</f>
        <v/>
      </c>
      <c r="AJ125">
        <f>IF($AA125="yes","Yes",IF($AA125="","","No"))</f>
        <v/>
      </c>
      <c r="AK125" t="n">
        <v>0.00503514739671565</v>
      </c>
      <c r="AL125" t="n">
        <v>0.00936238949232809</v>
      </c>
      <c r="AM125">
        <f>IF(AND(ISNUMBER($AC125),ISNUMBER(IF($V125,IF($AL125="","",$AL125),IF($AK125="","",$AK125)))),IF(AND(ABS($AC125-significance_bar)&lt;=2.0*IF($V125,IF($AL125="","",$AL125),IF($AK125="","",$AK125)),OR($Y125="worse",$Y125="better",$Y125="worse, not significant",$Y125="better, not significant")),IF(ROUND($AC125,3)=ROUND(significance_bar,3),TEXT($AC125,"0.0000"),TEXT($AC125,"0.000")),""),"")</f>
        <v/>
      </c>
      <c r="AN125">
        <f>IF(AND(ISNUMBER($AC125),ISNUMBER(IF($V125,IF($AL125="","",$AL125),IF($AK125="","",$AK125)))),IF(AND(ABS($AC125-significance_bar)&lt;=2.0*IF($V125,IF($AL125="","",$AL125),IF($AK125="","",$AK125)),OR($Y125="worse",$Y125="worse, not significant")),IF(ROUND($AC125,3)=ROUND(significance_bar,3),TEXT($AC125,"0.0000"),TEXT($AC125,"0.000")),""),"")</f>
        <v/>
      </c>
      <c r="AO125">
        <f>IF(OR($AI125="",$AN125=""),$AI125,$AI125&amp;" · borderline (p "&amp;$AN125&amp;")")</f>
        <v/>
      </c>
    </row>
    <row r="126">
      <c r="A126" t="inlineStr">
        <is>
          <t>grids</t>
        </is>
      </c>
      <c r="B126" t="inlineStr">
        <is>
          <t>SHORT_HIST x CHANNEL</t>
        </is>
      </c>
      <c r="C126" t="inlineStr">
        <is>
          <t>172.0 - 256.3</t>
        </is>
      </c>
      <c r="D126" t="inlineStr">
        <is>
          <t>Broker</t>
        </is>
      </c>
      <c r="E126" t="inlineStr">
        <is>
          <t>gco_rate</t>
        </is>
      </c>
      <c r="F126" t="inlineStr">
        <is>
          <t>GCO per booked dollar</t>
        </is>
      </c>
      <c r="G126" t="n">
        <v>541</v>
      </c>
      <c r="H126" t="n">
        <v>17858028.68999999</v>
      </c>
      <c r="I126" t="b">
        <v>0</v>
      </c>
      <c r="J126" t="b">
        <v>0</v>
      </c>
      <c r="K126" t="n">
        <v>1.156503372395479</v>
      </c>
      <c r="L126" t="n">
        <v>0.6302703063027031</v>
      </c>
      <c r="M126" t="n">
        <v>1.650792710694454</v>
      </c>
      <c r="N126" t="n">
        <v>0.14998500149985</v>
      </c>
      <c r="O126" t="n">
        <v>115034.1374105404</v>
      </c>
      <c r="P126" t="n">
        <v>335119.7943459702</v>
      </c>
      <c r="Q126">
        <f>'_live'!$C$22</f>
        <v/>
      </c>
      <c r="R126" t="inlineStr">
        <is>
          <t>shuffled: 3,781 of 10,000</t>
        </is>
      </c>
      <c r="S126" t="inlineStr">
        <is>
          <t>shuffled: 199 of 10,000</t>
        </is>
      </c>
      <c r="T126" t="n">
        <v>0.04115944628317539</v>
      </c>
      <c r="U126" t="n">
        <v>0.02883526085622108</v>
      </c>
      <c r="V126">
        <f>AND(judged_band,NOT($J126))</f>
        <v/>
      </c>
      <c r="W126">
        <f>IF($K126="","",IF($I126,"too few losses to test",IF(AND($K126&gt;better_at,$K126&lt;worse_at),"in line",IF($K126&gt;=worse_at,IF(AND(ISNUMBER($L126),$L126&lt;significance_bar),"worse","worse, not significant"),IF(AND(ISNUMBER($L126),$L126&lt;significance_bar),"better","better, not significant")))))</f>
        <v/>
      </c>
      <c r="X126">
        <f>IF($M126="","",IF($I126,"too few losses to test",IF(AND($M126&gt;better_at,$M126&lt;worse_at),"in line",IF($M126&gt;=worse_at,IF(AND(ISNUMBER($N126),$N126&lt;significance_bar),"worse","worse, not significant"),IF(AND(ISNUMBER($N126),$N126&lt;significance_bar),"better","better, not significant")))))</f>
        <v/>
      </c>
      <c r="Y126">
        <f>IF($V126,$X126,$W126)</f>
        <v/>
      </c>
      <c r="Z126">
        <f>IF($V126,IF($P126="","",$P126),IF($O126="","",$O126))</f>
        <v/>
      </c>
      <c r="AA126">
        <f>IF(OR($Q126="",$Z126=""),"",IF(AND($Z126&gt;0,$Z126&gt;=$Q126),"yes","below the line"))</f>
        <v/>
      </c>
      <c r="AB126">
        <f>IF($V126,IF($M126="","",$M126),IF($K126="","",$K126))</f>
        <v/>
      </c>
      <c r="AC126">
        <f>IF($V126,IF($N126="","",$N126),IF($L126="","",$L126))</f>
        <v/>
      </c>
      <c r="AD126">
        <f>$Y126</f>
        <v/>
      </c>
      <c r="AE126">
        <f>IF($V126,IF($S126="","",$S126),IF($R126="","",$R126))</f>
        <v/>
      </c>
      <c r="AF126">
        <f>IF($V126,IF($U126="","",$U126),IF($T126="","",$T126))</f>
        <v/>
      </c>
      <c r="AG126">
        <f>IF($V126,IF($O126="","",$O126),IF($P126="","",$P126))</f>
        <v/>
      </c>
      <c r="AH126" t="n">
        <v>0.04760103843242288</v>
      </c>
      <c r="AI126">
        <f>IF($Y126="worse","Yes",IF($Y126="worse, not significant","Not sure",IF(OR($Y126="too few losses to test",$Y126="too few loans to test"),"Too few losses",IF($Y126="","","No"))))</f>
        <v/>
      </c>
      <c r="AJ126">
        <f>IF($AA126="yes","Yes",IF($AA126="","","No"))</f>
        <v/>
      </c>
      <c r="AK126" t="n">
        <v>0.00808213988679732</v>
      </c>
      <c r="AL126" t="n">
        <v>0.01049948575204503</v>
      </c>
      <c r="AM126">
        <f>IF(AND(ISNUMBER($AC126),ISNUMBER(IF($V126,IF($AL126="","",$AL126),IF($AK126="","",$AK126)))),IF(AND(ABS($AC126-significance_bar)&lt;=2.0*IF($V126,IF($AL126="","",$AL126),IF($AK126="","",$AK126)),OR($Y126="worse",$Y126="better",$Y126="worse, not significant",$Y126="better, not significant")),IF(ROUND($AC126,3)=ROUND(significance_bar,3),TEXT($AC126,"0.0000"),TEXT($AC126,"0.000")),""),"")</f>
        <v/>
      </c>
      <c r="AN126">
        <f>IF(AND(ISNUMBER($AC126),ISNUMBER(IF($V126,IF($AL126="","",$AL126),IF($AK126="","",$AK126)))),IF(AND(ABS($AC126-significance_bar)&lt;=2.0*IF($V126,IF($AL126="","",$AL126),IF($AK126="","",$AK126)),OR($Y126="worse",$Y126="worse, not significant")),IF(ROUND($AC126,3)=ROUND(significance_bar,3),TEXT($AC126,"0.0000"),TEXT($AC126,"0.000")),""),"")</f>
        <v/>
      </c>
      <c r="AO126">
        <f>IF(OR($AI126="",$AN126=""),$AI126,$AI126&amp;" · borderline (p "&amp;$AN126&amp;")")</f>
        <v/>
      </c>
    </row>
    <row r="127">
      <c r="A127" t="inlineStr">
        <is>
          <t>grids</t>
        </is>
      </c>
      <c r="B127" t="inlineStr">
        <is>
          <t>SHORT_HIST x CHANNEL</t>
        </is>
      </c>
      <c r="C127" t="inlineStr">
        <is>
          <t>172.0 - 256.3</t>
        </is>
      </c>
      <c r="D127" t="inlineStr">
        <is>
          <t>Broker</t>
        </is>
      </c>
      <c r="E127" t="inlineStr">
        <is>
          <t>ranr_rate</t>
        </is>
      </c>
      <c r="F127" t="inlineStr">
        <is>
          <t>Profit after losses: RANR per booked dollar</t>
        </is>
      </c>
      <c r="G127" t="n">
        <v>541</v>
      </c>
      <c r="H127" t="n">
        <v>17858028.68999999</v>
      </c>
      <c r="I127" t="b">
        <v>0</v>
      </c>
      <c r="J127" t="b">
        <v>0</v>
      </c>
      <c r="K127" t="n">
        <v>-0.01442731739631732</v>
      </c>
      <c r="L127" t="n">
        <v>0.2623237676232377</v>
      </c>
      <c r="M127" t="n">
        <v>-0.02690560482346822</v>
      </c>
      <c r="N127" t="n">
        <v>0.0404959504049595</v>
      </c>
      <c r="O127" t="n">
        <v>257643.4479831706</v>
      </c>
      <c r="P127" t="n">
        <v>480481.062859298</v>
      </c>
      <c r="Q127">
        <f>'_live'!$C$23</f>
        <v/>
      </c>
      <c r="R127" t="inlineStr">
        <is>
          <t>shuffled: 1,143 of 10,000</t>
        </is>
      </c>
      <c r="S127" t="inlineStr">
        <is>
          <t>shuffled: 86 of 10,000</t>
        </is>
      </c>
      <c r="T127" t="n">
        <v>0.1289884028057953</v>
      </c>
      <c r="U127" t="n">
        <v>0.1414666902329463</v>
      </c>
      <c r="V127">
        <f>AND(judged_band,NOT($J127))</f>
        <v/>
      </c>
      <c r="W127">
        <f>IF($K127="","",IF(profit_kind="test",IF(OR(NOT(AND(ISNUMBER($L127),$L127&lt;significance_bar)),$K127=0),"in line",IF($K127&lt;0,"worse","better")),IF(OR($K127=0,IF(profit_kind="points",ABS($K127),ABS($K127*$H127))&lt;profit_line*(1-1E-9)),"in line",IF(AND(ISNUMBER($L127),$L127&lt;significance_bar),IF($K127&lt;0,"worse","better"),IF($K127&lt;0,"worse, not significant","better, not significant")))))</f>
        <v/>
      </c>
      <c r="X127">
        <f>IF($M127="","",IF(profit_kind="test",IF(OR(NOT(AND(ISNUMBER($N127),$N127&lt;significance_bar)),$M127=0),"in line",IF($M127&lt;0,"worse","better")),IF(OR($M127=0,IF(profit_kind="points",ABS($M127),ABS($M127*$H127))&lt;profit_line*(1-1E-9)),"in line",IF(AND(ISNUMBER($N127),$N127&lt;significance_bar),IF($M127&lt;0,"worse","better"),IF($M127&lt;0,"worse, not significant","better, not significant")))))</f>
        <v/>
      </c>
      <c r="Y127">
        <f>IF($V127,$X127,$W127)</f>
        <v/>
      </c>
      <c r="Z127">
        <f>IF($V127,IF($P127="","",$P127),IF($O127="","",$O127))</f>
        <v/>
      </c>
      <c r="AA127">
        <f>IF(OR($Q127="",$Z127=""),"",IF(AND($Z127&gt;0,$Z127&gt;=$Q127),"yes","below the line"))</f>
        <v/>
      </c>
      <c r="AB127">
        <f>IF($V127,IF($M127="","",$M127),IF($K127="","",$K127))</f>
        <v/>
      </c>
      <c r="AC127">
        <f>IF($V127,IF($N127="","",$N127),IF($L127="","",$L127))</f>
        <v/>
      </c>
      <c r="AD127">
        <f>IF($Y127="","",IF($Y127="in line",IF(profit_kind="test",IF(ROUND($AB127*100,2)=0,"0.00",TEXT($AB127*100,"+0.00;-0.00"))&amp;" points against "&amp;IF($V127,"its band","the book")&amp;", "&amp;IF($AC127="","not tested","not significant"),IF(profit_kind="points","within "&amp;TEXT(profit_line*100,"0.00")&amp;" points of "&amp;IF($V127,"its band","the book")&amp;" ("&amp;IF(ROUND($AB127*100,2)=0,"0.00",TEXT($AB127*100,"+0.00;-0.00"))&amp;")","within $"&amp;TEXT(profit_line,"#,##0")&amp;" of "&amp;IF($V127,"its band","the book")&amp;" ("&amp;IF(ROUND($AB127*100,2)=0,"0.00",TEXT($AB127*100,"+0.00;-0.00"))&amp;" points)")),IF(LEFT($Y127,5)="worse","short of ","ahead of ")&amp;IF($V127,"its band","the book")&amp;" by "&amp;TEXT(ABS($AB127)*100,"0.00")&amp;" points"&amp;IF($Z127="",""," ($"&amp;TEXT(ABS($Z127),"#,##0")&amp;")")&amp;IF(RIGHT($Y127,15)="not significant"," (not significant)","")))</f>
        <v/>
      </c>
      <c r="AE127">
        <f>IF($V127,IF($S127="","",$S127),IF($R127="","",$R127))</f>
        <v/>
      </c>
      <c r="AF127">
        <f>IF($V127,IF($U127="","",$U127),IF($T127="","",$T127))</f>
        <v/>
      </c>
      <c r="AG127">
        <f>IF($V127,IF($O127="","",$O127),IF($P127="","",$P127))</f>
        <v/>
      </c>
      <c r="AH127" t="n">
        <v>0.114561085409478</v>
      </c>
      <c r="AI127">
        <f>IF($Y127="worse","Yes",IF($Y127="worse, not significant","Not sure",IF(OR($Y127="too few losses to test",$Y127="too few loans to test"),"Too few losses",IF($Y127="","","No"))))</f>
        <v/>
      </c>
      <c r="AJ127">
        <f>IF($AA127="yes","Yes",IF($AA127="","","No"))</f>
        <v/>
      </c>
      <c r="AK127" t="n">
        <v>0.007220905193202819</v>
      </c>
      <c r="AL127" t="n">
        <v>0.004249610038851998</v>
      </c>
      <c r="AM127">
        <f>IF(AND(ISNUMBER($AC127),ISNUMBER(IF($V127,IF($AL127="","",$AL127),IF($AK127="","",$AK127)))),IF(AND(ABS($AC127-significance_bar)&lt;=2.0*IF($V127,IF($AL127="","",$AL127),IF($AK127="","",$AK127)),OR($Y127="worse",$Y127="better",$Y127="worse, not significant",$Y127="better, not significant",AND(profit_kind="test",$Y127="in line",ISNUMBER($AB127),$AB127&lt;&gt;0))),IF(ROUND($AC127,3)=ROUND(significance_bar,3),TEXT($AC127,"0.0000"),TEXT($AC127,"0.000")),""),"")</f>
        <v/>
      </c>
      <c r="AN127">
        <f>IF(AND(ISNUMBER($AC127),ISNUMBER(IF($V127,IF($AL127="","",$AL127),IF($AK127="","",$AK127)))),IF(AND(ABS($AC127-significance_bar)&lt;=2.0*IF($V127,IF($AL127="","",$AL127),IF($AK127="","",$AK127)),OR($Y127="worse",$Y127="worse, not significant",AND(profit_kind="test",$Y127="in line",ISNUMBER($AB127),$AB127&lt;0))),IF(ROUND($AC127,3)=ROUND(significance_bar,3),TEXT($AC127,"0.0000"),TEXT($AC127,"0.000")),""),"")</f>
        <v/>
      </c>
      <c r="AO127">
        <f>IF(OR($AI127="",$AN127=""),$AI127,$AI127&amp;" · borderline (p "&amp;$AN127&amp;")")</f>
        <v/>
      </c>
    </row>
    <row r="128">
      <c r="A128" t="inlineStr">
        <is>
          <t>grids</t>
        </is>
      </c>
      <c r="B128" t="inlineStr">
        <is>
          <t>SHORT_HIST x CHANNEL</t>
        </is>
      </c>
      <c r="C128" t="inlineStr">
        <is>
          <t>172.0 - 256.3</t>
        </is>
      </c>
      <c r="D128" t="inlineStr">
        <is>
          <t>Broker</t>
        </is>
      </c>
      <c r="E128" t="inlineStr">
        <is>
          <t>contribution_rate</t>
        </is>
      </c>
      <c r="F128" t="inlineStr">
        <is>
          <t>Contribution before losses per booked dollar</t>
        </is>
      </c>
      <c r="G128" t="n">
        <v>541</v>
      </c>
      <c r="H128" t="n">
        <v>17858028.68999999</v>
      </c>
      <c r="I128" t="b">
        <v>0</v>
      </c>
      <c r="J128" t="b">
        <v>0</v>
      </c>
      <c r="K128" t="n">
        <v>-0.0079828183618319</v>
      </c>
      <c r="L128" t="n">
        <v>0.3062462984470783</v>
      </c>
      <c r="M128" t="n">
        <v>-0.008139827247266501</v>
      </c>
      <c r="N128" t="n">
        <v>0.3188252603311097</v>
      </c>
      <c r="O128" t="n">
        <v>142557.3993326528</v>
      </c>
      <c r="P128" t="n">
        <v>145361.2685133289</v>
      </c>
      <c r="Q128">
        <f>'_live'!$C$24</f>
        <v/>
      </c>
      <c r="R128" t="inlineStr">
        <is>
          <t>shuffled: 1,887 of 10,000</t>
        </is>
      </c>
      <c r="S128" t="inlineStr">
        <is>
          <t>shuffled: 2,479 of 10,000</t>
        </is>
      </c>
      <c r="T128" t="n">
        <v>0.1701449422037328</v>
      </c>
      <c r="U128" t="n">
        <v>0.1703019510891674</v>
      </c>
      <c r="V128">
        <f>AND(judged_band,NOT($J128))</f>
        <v/>
      </c>
      <c r="W128">
        <f>IF($K128="","",IF(profit_kind="test",IF(OR(NOT(AND(ISNUMBER($L128),$L128&lt;significance_bar)),$K128=0),"in line",IF($K128&lt;0,"worse","better")),IF(OR($K128=0,IF(profit_kind="points",ABS($K128),ABS($K128*$H128))&lt;profit_line*(1-1E-9)),"in line",IF(AND(ISNUMBER($L128),$L128&lt;significance_bar),IF($K128&lt;0,"worse","better"),IF($K128&lt;0,"worse, not significant","better, not significant")))))</f>
        <v/>
      </c>
      <c r="X128">
        <f>IF($M128="","",IF(profit_kind="test",IF(OR(NOT(AND(ISNUMBER($N128),$N128&lt;significance_bar)),$M128=0),"in line",IF($M128&lt;0,"worse","better")),IF(OR($M128=0,IF(profit_kind="points",ABS($M128),ABS($M128*$H128))&lt;profit_line*(1-1E-9)),"in line",IF(AND(ISNUMBER($N128),$N128&lt;significance_bar),IF($M128&lt;0,"worse","better"),IF($M128&lt;0,"worse, not significant","better, not significant")))))</f>
        <v/>
      </c>
      <c r="Y128">
        <f>IF($V128,$X128,$W128)</f>
        <v/>
      </c>
      <c r="Z128">
        <f>IF($V128,IF($P128="","",$P128),IF($O128="","",$O128))</f>
        <v/>
      </c>
      <c r="AA128">
        <f>IF(OR($Q128="",$Z128=""),"",IF(AND($Z128&gt;0,$Z128&gt;=$Q128),"yes","below the line"))</f>
        <v/>
      </c>
      <c r="AB128">
        <f>IF($V128,IF($M128="","",$M128),IF($K128="","",$K128))</f>
        <v/>
      </c>
      <c r="AC128">
        <f>IF($V128,IF($N128="","",$N128),IF($L128="","",$L128))</f>
        <v/>
      </c>
      <c r="AD128">
        <f>IF($Y128="","",IF($Y128="in line",IF(profit_kind="test",IF(ROUND($AB128*100,2)=0,"0.00",TEXT($AB128*100,"+0.00;-0.00"))&amp;" points against "&amp;IF($V128,"its band","the book")&amp;", "&amp;IF($AC128="","not tested","not significant"),IF(profit_kind="points","within "&amp;TEXT(profit_line*100,"0.00")&amp;" points of "&amp;IF($V128,"its band","the book")&amp;" ("&amp;IF(ROUND($AB128*100,2)=0,"0.00",TEXT($AB128*100,"+0.00;-0.00"))&amp;")","within $"&amp;TEXT(profit_line,"#,##0")&amp;" of "&amp;IF($V128,"its band","the book")&amp;" ("&amp;IF(ROUND($AB128*100,2)=0,"0.00",TEXT($AB128*100,"+0.00;-0.00"))&amp;" points)")),IF(LEFT($Y128,5)="worse","short of ","ahead of ")&amp;IF($V128,"its band","the book")&amp;" by "&amp;TEXT(ABS($AB128)*100,"0.00")&amp;" points"&amp;IF($Z128="",""," ($"&amp;TEXT(ABS($Z128),"#,##0")&amp;")")&amp;IF(RIGHT($Y128,15)="not significant"," (not significant)","")))</f>
        <v/>
      </c>
      <c r="AE128">
        <f>IF($V128,IF($S128="","",$S128),IF($R128="","",$R128))</f>
        <v/>
      </c>
      <c r="AF128">
        <f>IF($V128,IF($U128="","",$U128),IF($T128="","",$T128))</f>
        <v/>
      </c>
      <c r="AG128">
        <f>IF($V128,IF($O128="","",$O128),IF($P128="","",$P128))</f>
        <v/>
      </c>
      <c r="AH128" t="n">
        <v>0.1621621238419009</v>
      </c>
      <c r="AI128">
        <f>IF($Y128="worse","Yes",IF($Y128="worse, not significant","Not sure",IF(OR($Y128="too few losses to test",$Y128="too few loans to test"),"Too few losses",IF($Y128="","","No"))))</f>
        <v/>
      </c>
      <c r="AJ128">
        <f>IF($AA128="yes","Yes",IF($AA128="","","No"))</f>
        <v/>
      </c>
      <c r="AK128" t="n">
        <v>0.00574670810985561</v>
      </c>
      <c r="AL128" t="n">
        <v>0.005552194568178281</v>
      </c>
      <c r="AM128">
        <f>IF(AND(ISNUMBER($AC128),ISNUMBER(IF($V128,IF($AL128="","",$AL128),IF($AK128="","",$AK128)))),IF(AND(ABS($AC128-significance_bar)&lt;=2.0*IF($V128,IF($AL128="","",$AL128),IF($AK128="","",$AK128)),OR($Y128="worse",$Y128="better",$Y128="worse, not significant",$Y128="better, not significant",AND(profit_kind="test",$Y128="in line",ISNUMBER($AB128),$AB128&lt;&gt;0))),IF(ROUND($AC128,3)=ROUND(significance_bar,3),TEXT($AC128,"0.0000"),TEXT($AC128,"0.000")),""),"")</f>
        <v/>
      </c>
      <c r="AN128">
        <f>IF(AND(ISNUMBER($AC128),ISNUMBER(IF($V128,IF($AL128="","",$AL128),IF($AK128="","",$AK128)))),IF(AND(ABS($AC128-significance_bar)&lt;=2.0*IF($V128,IF($AL128="","",$AL128),IF($AK128="","",$AK128)),OR($Y128="worse",$Y128="worse, not significant",AND(profit_kind="test",$Y128="in line",ISNUMBER($AB128),$AB128&lt;0))),IF(ROUND($AC128,3)=ROUND(significance_bar,3),TEXT($AC128,"0.0000"),TEXT($AC128,"0.000")),""),"")</f>
        <v/>
      </c>
      <c r="AO128">
        <f>IF(OR($AI128="",$AN128=""),$AI128,$AI128&amp;" · borderline (p "&amp;$AN128&amp;")")</f>
        <v/>
      </c>
    </row>
    <row r="129">
      <c r="A129" t="inlineStr">
        <is>
          <t>grids</t>
        </is>
      </c>
      <c r="B129" t="inlineStr">
        <is>
          <t>SHORT_HIST x CHANNEL</t>
        </is>
      </c>
      <c r="C129" t="inlineStr">
        <is>
          <t>256.4 - 345.9</t>
        </is>
      </c>
      <c r="D129" t="inlineStr">
        <is>
          <t>Broker</t>
        </is>
      </c>
      <c r="E129" t="inlineStr">
        <is>
          <t>outcome_loans</t>
        </is>
      </c>
      <c r="F129" t="inlineStr">
        <is>
          <t>Outcome, share of loans</t>
        </is>
      </c>
      <c r="G129" t="n">
        <v>513</v>
      </c>
      <c r="H129" t="n">
        <v>513</v>
      </c>
      <c r="I129" t="b">
        <v>0</v>
      </c>
      <c r="J129" t="b">
        <v>0</v>
      </c>
      <c r="K129" t="n">
        <v>1.144018583042973</v>
      </c>
      <c r="L129" t="n">
        <v>0.7895897753396635</v>
      </c>
      <c r="M129" t="n">
        <v>1.024048886260595</v>
      </c>
      <c r="N129" t="n">
        <v>0.891882579343229</v>
      </c>
      <c r="O129" t="n">
        <v>5.664974619289339</v>
      </c>
      <c r="P129" t="n">
        <v>1.056785370548603</v>
      </c>
      <c r="Q129">
        <f>'_live'!$C$20</f>
        <v/>
      </c>
      <c r="R129" t="inlineStr">
        <is>
          <t>z test</t>
        </is>
      </c>
      <c r="S129" t="inlineStr">
        <is>
          <t>z test</t>
        </is>
      </c>
      <c r="T129" t="n">
        <v>0.07667646273043013</v>
      </c>
      <c r="U129" t="n">
        <v>0.08565928777670838</v>
      </c>
      <c r="V129">
        <f>AND(judged_band,NOT($J129))</f>
        <v/>
      </c>
      <c r="W129">
        <f>IF($K129="","",IF($I129,"too few losses to test",IF(AND($K129&gt;better_at,$K129&lt;worse_at),"in line",IF($K129&gt;=worse_at,IF(AND(ISNUMBER($L129),$L129&lt;significance_bar),"worse","worse, not significant"),IF(AND(ISNUMBER($L129),$L129&lt;significance_bar),"better","better, not significant")))))</f>
        <v/>
      </c>
      <c r="X129">
        <f>IF($M129="","",IF($I129,"too few losses to test",IF(AND($M129&gt;better_at,$M129&lt;worse_at),"in line",IF($M129&gt;=worse_at,IF(AND(ISNUMBER($N129),$N129&lt;significance_bar),"worse","worse, not significant"),IF(AND(ISNUMBER($N129),$N129&lt;significance_bar),"better","better, not significant")))))</f>
        <v/>
      </c>
      <c r="Y129">
        <f>IF($V129,$X129,$W129)</f>
        <v/>
      </c>
      <c r="Z129">
        <f>IF($V129,IF($P129="","",$P129),IF($O129="","",$O129))</f>
        <v/>
      </c>
      <c r="AA129">
        <f>IF(OR($Q129="",$Z129=""),"",IF(AND($Z129&gt;0,$Z129&gt;=$Q129),"yes","below the line"))</f>
        <v/>
      </c>
      <c r="AB129">
        <f>IF($V129,IF($M129="","",$M129),IF($K129="","",$K129))</f>
        <v/>
      </c>
      <c r="AC129">
        <f>IF($V129,IF($N129="","",$N129),IF($L129="","",$L129))</f>
        <v/>
      </c>
      <c r="AD129">
        <f>$Y129</f>
        <v/>
      </c>
      <c r="AE129">
        <f>IF($V129,IF($S129="","",$S129),IF($R129="","",$R129))</f>
        <v/>
      </c>
      <c r="AF129">
        <f>IF($V129,IF($U129="","",$U129),IF($T129="","",$T129))</f>
        <v/>
      </c>
      <c r="AG129">
        <f>IF($V129,IF($O129="","",$O129),IF($P129="","",$P129))</f>
        <v/>
      </c>
      <c r="AH129" t="n">
        <v>0.08771929824561403</v>
      </c>
      <c r="AI129">
        <f>IF($Y129="worse","Yes",IF($Y129="worse, not significant","Not sure",IF(OR($Y129="too few losses to test",$Y129="too few loans to test"),"Too few losses",IF($Y129="","","No"))))</f>
        <v/>
      </c>
      <c r="AJ129">
        <f>IF($AA129="yes","Yes",IF($AA129="","","No"))</f>
        <v/>
      </c>
      <c r="AM129">
        <f>IF(AND(ISNUMBER($AC129),ISNUMBER(IF($V129,IF($AL129="","",$AL129),IF($AK129="","",$AK129)))),IF(AND(ABS($AC129-significance_bar)&lt;=2.0*IF($V129,IF($AL129="","",$AL129),IF($AK129="","",$AK129)),OR($Y129="worse",$Y129="better",$Y129="worse, not significant",$Y129="better, not significant")),IF(ROUND($AC129,3)=ROUND(significance_bar,3),TEXT($AC129,"0.0000"),TEXT($AC129,"0.000")),""),"")</f>
        <v/>
      </c>
      <c r="AN129">
        <f>IF(AND(ISNUMBER($AC129),ISNUMBER(IF($V129,IF($AL129="","",$AL129),IF($AK129="","",$AK129)))),IF(AND(ABS($AC129-significance_bar)&lt;=2.0*IF($V129,IF($AL129="","",$AL129),IF($AK129="","",$AK129)),OR($Y129="worse",$Y129="worse, not significant")),IF(ROUND($AC129,3)=ROUND(significance_bar,3),TEXT($AC129,"0.0000"),TEXT($AC129,"0.000")),""),"")</f>
        <v/>
      </c>
      <c r="AO129">
        <f>IF(OR($AI129="",$AN129=""),$AI129,$AI129&amp;" · borderline (p "&amp;$AN129&amp;")")</f>
        <v/>
      </c>
    </row>
    <row r="130">
      <c r="A130" t="inlineStr">
        <is>
          <t>grids</t>
        </is>
      </c>
      <c r="B130" t="inlineStr">
        <is>
          <t>SHORT_HIST x CHANNEL</t>
        </is>
      </c>
      <c r="C130" t="inlineStr">
        <is>
          <t>256.4 - 345.9</t>
        </is>
      </c>
      <c r="D130" t="inlineStr">
        <is>
          <t>Broker</t>
        </is>
      </c>
      <c r="E130" t="inlineStr">
        <is>
          <t>outcome_booked</t>
        </is>
      </c>
      <c r="F130" t="inlineStr">
        <is>
          <t>Outcome, share of booked dollars</t>
        </is>
      </c>
      <c r="G130" t="n">
        <v>513</v>
      </c>
      <c r="H130" t="n">
        <v>16721500.81999999</v>
      </c>
      <c r="I130" t="b">
        <v>0</v>
      </c>
      <c r="J130" t="b">
        <v>0</v>
      </c>
      <c r="K130" t="n">
        <v>1.092386902193736</v>
      </c>
      <c r="L130" t="n">
        <v>0.7186424214721386</v>
      </c>
      <c r="M130" t="n">
        <v>0.9751360283316158</v>
      </c>
      <c r="N130" t="n">
        <v>0.8987101289871013</v>
      </c>
      <c r="O130" t="n">
        <v>114911.223149654</v>
      </c>
      <c r="P130" t="n">
        <v>-34644.46237983322</v>
      </c>
      <c r="Q130">
        <f>'_live'!$C$21</f>
        <v/>
      </c>
      <c r="R130" t="inlineStr">
        <is>
          <t>shuffled: 6,042 of 10,000</t>
        </is>
      </c>
      <c r="S130" t="inlineStr">
        <is>
          <t>shuffled: 8,987 of 10,000</t>
        </is>
      </c>
      <c r="T130" t="n">
        <v>0.074383530535888</v>
      </c>
      <c r="U130" t="n">
        <v>0.08332744574657346</v>
      </c>
      <c r="V130">
        <f>AND(judged_band,NOT($J130))</f>
        <v/>
      </c>
      <c r="W130">
        <f>IF($K130="","",IF($I130,"too few losses to test",IF(AND($K130&gt;better_at,$K130&lt;worse_at),"in line",IF($K130&gt;=worse_at,IF(AND(ISNUMBER($L130),$L130&lt;significance_bar),"worse","worse, not significant"),IF(AND(ISNUMBER($L130),$L130&lt;significance_bar),"better","better, not significant")))))</f>
        <v/>
      </c>
      <c r="X130">
        <f>IF($M130="","",IF($I130,"too few losses to test",IF(AND($M130&gt;better_at,$M130&lt;worse_at),"in line",IF($M130&gt;=worse_at,IF(AND(ISNUMBER($N130),$N130&lt;significance_bar),"worse","worse, not significant"),IF(AND(ISNUMBER($N130),$N130&lt;significance_bar),"better","better, not significant")))))</f>
        <v/>
      </c>
      <c r="Y130">
        <f>IF($V130,$X130,$W130)</f>
        <v/>
      </c>
      <c r="Z130">
        <f>IF($V130,IF($P130="","",$P130),IF($O130="","",$O130))</f>
        <v/>
      </c>
      <c r="AA130">
        <f>IF(OR($Q130="",$Z130=""),"",IF(AND($Z130&gt;0,$Z130&gt;=$Q130),"yes","below the line"))</f>
        <v/>
      </c>
      <c r="AB130">
        <f>IF($V130,IF($M130="","",$M130),IF($K130="","",$K130))</f>
        <v/>
      </c>
      <c r="AC130">
        <f>IF($V130,IF($N130="","",$N130),IF($L130="","",$L130))</f>
        <v/>
      </c>
      <c r="AD130">
        <f>$Y130</f>
        <v/>
      </c>
      <c r="AE130">
        <f>IF($V130,IF($S130="","",$S130),IF($R130="","",$R130))</f>
        <v/>
      </c>
      <c r="AF130">
        <f>IF($V130,IF($U130="","",$U130),IF($T130="","",$T130))</f>
        <v/>
      </c>
      <c r="AG130">
        <f>IF($V130,IF($O130="","",$O130),IF($P130="","",$P130))</f>
        <v/>
      </c>
      <c r="AH130" t="n">
        <v>0.08125559449633184</v>
      </c>
      <c r="AI130">
        <f>IF($Y130="worse","Yes",IF($Y130="worse, not significant","Not sure",IF(OR($Y130="too few losses to test",$Y130="too few loans to test"),"Too few losses",IF($Y130="","","No"))))</f>
        <v/>
      </c>
      <c r="AJ130">
        <f>IF($AA130="yes","Yes",IF($AA130="","","No"))</f>
        <v/>
      </c>
      <c r="AK130" t="n">
        <v>0.00503514739671565</v>
      </c>
      <c r="AL130" t="n">
        <v>0.003017121691995353</v>
      </c>
      <c r="AM130">
        <f>IF(AND(ISNUMBER($AC130),ISNUMBER(IF($V130,IF($AL130="","",$AL130),IF($AK130="","",$AK130)))),IF(AND(ABS($AC130-significance_bar)&lt;=2.0*IF($V130,IF($AL130="","",$AL130),IF($AK130="","",$AK130)),OR($Y130="worse",$Y130="better",$Y130="worse, not significant",$Y130="better, not significant")),IF(ROUND($AC130,3)=ROUND(significance_bar,3),TEXT($AC130,"0.0000"),TEXT($AC130,"0.000")),""),"")</f>
        <v/>
      </c>
      <c r="AN130">
        <f>IF(AND(ISNUMBER($AC130),ISNUMBER(IF($V130,IF($AL130="","",$AL130),IF($AK130="","",$AK130)))),IF(AND(ABS($AC130-significance_bar)&lt;=2.0*IF($V130,IF($AL130="","",$AL130),IF($AK130="","",$AK130)),OR($Y130="worse",$Y130="worse, not significant")),IF(ROUND($AC130,3)=ROUND(significance_bar,3),TEXT($AC130,"0.0000"),TEXT($AC130,"0.000")),""),"")</f>
        <v/>
      </c>
      <c r="AO130">
        <f>IF(OR($AI130="",$AN130=""),$AI130,$AI130&amp;" · borderline (p "&amp;$AN130&amp;")")</f>
        <v/>
      </c>
    </row>
    <row r="131">
      <c r="A131" t="inlineStr">
        <is>
          <t>grids</t>
        </is>
      </c>
      <c r="B131" t="inlineStr">
        <is>
          <t>SHORT_HIST x CHANNEL</t>
        </is>
      </c>
      <c r="C131" t="inlineStr">
        <is>
          <t>256.4 - 345.9</t>
        </is>
      </c>
      <c r="D131" t="inlineStr">
        <is>
          <t>Broker</t>
        </is>
      </c>
      <c r="E131" t="inlineStr">
        <is>
          <t>gco_rate</t>
        </is>
      </c>
      <c r="F131" t="inlineStr">
        <is>
          <t>GCO per booked dollar</t>
        </is>
      </c>
      <c r="G131" t="n">
        <v>513</v>
      </c>
      <c r="H131" t="n">
        <v>16721500.81999999</v>
      </c>
      <c r="I131" t="b">
        <v>0</v>
      </c>
      <c r="J131" t="b">
        <v>0</v>
      </c>
      <c r="K131" t="n">
        <v>1.095930754584986</v>
      </c>
      <c r="L131" t="n">
        <v>0.753049695030497</v>
      </c>
      <c r="M131" t="n">
        <v>0.9970938039996746</v>
      </c>
      <c r="N131" t="n">
        <v>0.9885011498850115</v>
      </c>
      <c r="O131" t="n">
        <v>66326.92429827654</v>
      </c>
      <c r="P131" t="n">
        <v>-2208.53352343454</v>
      </c>
      <c r="Q131">
        <f>'_live'!$C$22</f>
        <v/>
      </c>
      <c r="R131" t="inlineStr">
        <is>
          <t>shuffled: 6,024 of 10,000</t>
        </is>
      </c>
      <c r="S131" t="inlineStr">
        <is>
          <t>shuffled: 9,885 of 10,000</t>
        </is>
      </c>
      <c r="T131" t="n">
        <v>0.0413482128873719</v>
      </c>
      <c r="U131" t="n">
        <v>0.04544685562042959</v>
      </c>
      <c r="V131">
        <f>AND(judged_band,NOT($J131))</f>
        <v/>
      </c>
      <c r="W131">
        <f>IF($K131="","",IF($I131,"too few losses to test",IF(AND($K131&gt;better_at,$K131&lt;worse_at),"in line",IF($K131&gt;=worse_at,IF(AND(ISNUMBER($L131),$L131&lt;significance_bar),"worse","worse, not significant"),IF(AND(ISNUMBER($L131),$L131&lt;significance_bar),"better","better, not significant")))))</f>
        <v/>
      </c>
      <c r="X131">
        <f>IF($M131="","",IF($I131,"too few losses to test",IF(AND($M131&gt;better_at,$M131&lt;worse_at),"in line",IF($M131&gt;=worse_at,IF(AND(ISNUMBER($N131),$N131&lt;significance_bar),"worse","worse, not significant"),IF(AND(ISNUMBER($N131),$N131&lt;significance_bar),"better","better, not significant")))))</f>
        <v/>
      </c>
      <c r="Y131">
        <f>IF($V131,$X131,$W131)</f>
        <v/>
      </c>
      <c r="Z131">
        <f>IF($V131,IF($P131="","",$P131),IF($O131="","",$O131))</f>
        <v/>
      </c>
      <c r="AA131">
        <f>IF(OR($Q131="",$Z131=""),"",IF(AND($Z131&gt;0,$Z131&gt;=$Q131),"yes","below the line"))</f>
        <v/>
      </c>
      <c r="AB131">
        <f>IF($V131,IF($M131="","",$M131),IF($K131="","",$K131))</f>
        <v/>
      </c>
      <c r="AC131">
        <f>IF($V131,IF($N131="","",$N131),IF($L131="","",$L131))</f>
        <v/>
      </c>
      <c r="AD131">
        <f>$Y131</f>
        <v/>
      </c>
      <c r="AE131">
        <f>IF($V131,IF($S131="","",$S131),IF($R131="","",$R131))</f>
        <v/>
      </c>
      <c r="AF131">
        <f>IF($V131,IF($U131="","",$U131),IF($T131="","",$T131))</f>
        <v/>
      </c>
      <c r="AG131">
        <f>IF($V131,IF($O131="","",$O131),IF($P131="","",$P131))</f>
        <v/>
      </c>
      <c r="AH131" t="n">
        <v>0.04531477815039813</v>
      </c>
      <c r="AI131">
        <f>IF($Y131="worse","Yes",IF($Y131="worse, not significant","Not sure",IF(OR($Y131="too few losses to test",$Y131="too few loans to test"),"Too few losses",IF($Y131="","","No"))))</f>
        <v/>
      </c>
      <c r="AJ131">
        <f>IF($AA131="yes","Yes",IF($AA131="","","No"))</f>
        <v/>
      </c>
      <c r="AK131" t="n">
        <v>0.006117420008488844</v>
      </c>
      <c r="AL131" t="n">
        <v>0.00106614382524224</v>
      </c>
      <c r="AM131">
        <f>IF(AND(ISNUMBER($AC131),ISNUMBER(IF($V131,IF($AL131="","",$AL131),IF($AK131="","",$AK131)))),IF(AND(ABS($AC131-significance_bar)&lt;=2.0*IF($V131,IF($AL131="","",$AL131),IF($AK131="","",$AK131)),OR($Y131="worse",$Y131="better",$Y131="worse, not significant",$Y131="better, not significant")),IF(ROUND($AC131,3)=ROUND(significance_bar,3),TEXT($AC131,"0.0000"),TEXT($AC131,"0.000")),""),"")</f>
        <v/>
      </c>
      <c r="AN131">
        <f>IF(AND(ISNUMBER($AC131),ISNUMBER(IF($V131,IF($AL131="","",$AL131),IF($AK131="","",$AK131)))),IF(AND(ABS($AC131-significance_bar)&lt;=2.0*IF($V131,IF($AL131="","",$AL131),IF($AK131="","",$AK131)),OR($Y131="worse",$Y131="worse, not significant")),IF(ROUND($AC131,3)=ROUND(significance_bar,3),TEXT($AC131,"0.0000"),TEXT($AC131,"0.000")),""),"")</f>
        <v/>
      </c>
      <c r="AO131">
        <f>IF(OR($AI131="",$AN131=""),$AI131,$AI131&amp;" · borderline (p "&amp;$AN131&amp;")")</f>
        <v/>
      </c>
    </row>
    <row r="132">
      <c r="A132" t="inlineStr">
        <is>
          <t>grids</t>
        </is>
      </c>
      <c r="B132" t="inlineStr">
        <is>
          <t>SHORT_HIST x CHANNEL</t>
        </is>
      </c>
      <c r="C132" t="inlineStr">
        <is>
          <t>256.4 - 345.9</t>
        </is>
      </c>
      <c r="D132" t="inlineStr">
        <is>
          <t>Broker</t>
        </is>
      </c>
      <c r="E132" t="inlineStr">
        <is>
          <t>ranr_rate</t>
        </is>
      </c>
      <c r="F132" t="inlineStr">
        <is>
          <t>Profit after losses: RANR per booked dollar</t>
        </is>
      </c>
      <c r="G132" t="n">
        <v>513</v>
      </c>
      <c r="H132" t="n">
        <v>16721500.81999999</v>
      </c>
      <c r="I132" t="b">
        <v>0</v>
      </c>
      <c r="J132" t="b">
        <v>0</v>
      </c>
      <c r="K132" t="n">
        <v>-0.009054783346260434</v>
      </c>
      <c r="L132" t="n">
        <v>0.4356850029282786</v>
      </c>
      <c r="M132" t="n">
        <v>-0.01763661468534124</v>
      </c>
      <c r="N132" t="n">
        <v>0.2395760423957604</v>
      </c>
      <c r="O132" t="n">
        <v>151409.5671494163</v>
      </c>
      <c r="P132" t="n">
        <v>294910.6669229574</v>
      </c>
      <c r="Q132">
        <f>'_live'!$C$23</f>
        <v/>
      </c>
      <c r="R132" t="inlineStr">
        <is>
          <t>shuffled: 3,334 of 10,000</t>
        </is>
      </c>
      <c r="S132" t="inlineStr">
        <is>
          <t>shuffled: 1,197 of 10,000</t>
        </is>
      </c>
      <c r="T132" t="n">
        <v>0.1285767527863218</v>
      </c>
      <c r="U132" t="n">
        <v>0.1371585841254026</v>
      </c>
      <c r="V132">
        <f>AND(judged_band,NOT($J132))</f>
        <v/>
      </c>
      <c r="W132">
        <f>IF($K132="","",IF(profit_kind="test",IF(OR(NOT(AND(ISNUMBER($L132),$L132&lt;significance_bar)),$K132=0),"in line",IF($K132&lt;0,"worse","better")),IF(OR($K132=0,IF(profit_kind="points",ABS($K132),ABS($K132*$H132))&lt;profit_line*(1-1E-9)),"in line",IF(AND(ISNUMBER($L132),$L132&lt;significance_bar),IF($K132&lt;0,"worse","better"),IF($K132&lt;0,"worse, not significant","better, not significant")))))</f>
        <v/>
      </c>
      <c r="X132">
        <f>IF($M132="","",IF(profit_kind="test",IF(OR(NOT(AND(ISNUMBER($N132),$N132&lt;significance_bar)),$M132=0),"in line",IF($M132&lt;0,"worse","better")),IF(OR($M132=0,IF(profit_kind="points",ABS($M132),ABS($M132*$H132))&lt;profit_line*(1-1E-9)),"in line",IF(AND(ISNUMBER($N132),$N132&lt;significance_bar),IF($M132&lt;0,"worse","better"),IF($M132&lt;0,"worse, not significant","better, not significant")))))</f>
        <v/>
      </c>
      <c r="Y132">
        <f>IF($V132,$X132,$W132)</f>
        <v/>
      </c>
      <c r="Z132">
        <f>IF($V132,IF($P132="","",$P132),IF($O132="","",$O132))</f>
        <v/>
      </c>
      <c r="AA132">
        <f>IF(OR($Q132="",$Z132=""),"",IF(AND($Z132&gt;0,$Z132&gt;=$Q132),"yes","below the line"))</f>
        <v/>
      </c>
      <c r="AB132">
        <f>IF($V132,IF($M132="","",$M132),IF($K132="","",$K132))</f>
        <v/>
      </c>
      <c r="AC132">
        <f>IF($V132,IF($N132="","",$N132),IF($L132="","",$L132))</f>
        <v/>
      </c>
      <c r="AD132">
        <f>IF($Y132="","",IF($Y132="in line",IF(profit_kind="test",IF(ROUND($AB132*100,2)=0,"0.00",TEXT($AB132*100,"+0.00;-0.00"))&amp;" points against "&amp;IF($V132,"its band","the book")&amp;", "&amp;IF($AC132="","not tested","not significant"),IF(profit_kind="points","within "&amp;TEXT(profit_line*100,"0.00")&amp;" points of "&amp;IF($V132,"its band","the book")&amp;" ("&amp;IF(ROUND($AB132*100,2)=0,"0.00",TEXT($AB132*100,"+0.00;-0.00"))&amp;")","within $"&amp;TEXT(profit_line,"#,##0")&amp;" of "&amp;IF($V132,"its band","the book")&amp;" ("&amp;IF(ROUND($AB132*100,2)=0,"0.00",TEXT($AB132*100,"+0.00;-0.00"))&amp;" points)")),IF(LEFT($Y132,5)="worse","short of ","ahead of ")&amp;IF($V132,"its band","the book")&amp;" by "&amp;TEXT(ABS($AB132)*100,"0.00")&amp;" points"&amp;IF($Z132="",""," ($"&amp;TEXT(ABS($Z132),"#,##0")&amp;")")&amp;IF(RIGHT($Y132,15)="not significant"," (not significant)","")))</f>
        <v/>
      </c>
      <c r="AE132">
        <f>IF($V132,IF($S132="","",$S132),IF($R132="","",$R132))</f>
        <v/>
      </c>
      <c r="AF132">
        <f>IF($V132,IF($U132="","",$U132),IF($T132="","",$T132))</f>
        <v/>
      </c>
      <c r="AG132">
        <f>IF($V132,IF($O132="","",$O132),IF($P132="","",$P132))</f>
        <v/>
      </c>
      <c r="AH132" t="n">
        <v>0.1195219694400614</v>
      </c>
      <c r="AI132">
        <f>IF($Y132="worse","Yes",IF($Y132="worse, not significant","Not sure",IF(OR($Y132="too few losses to test",$Y132="too few loans to test"),"Too few losses",IF($Y132="","","No"))))</f>
        <v/>
      </c>
      <c r="AJ132">
        <f>IF($AA132="yes","Yes",IF($AA132="","","No"))</f>
        <v/>
      </c>
      <c r="AK132" t="n">
        <v>0.006085597838830168</v>
      </c>
      <c r="AL132" t="n">
        <v>0.00649426981808968</v>
      </c>
      <c r="AM132">
        <f>IF(AND(ISNUMBER($AC132),ISNUMBER(IF($V132,IF($AL132="","",$AL132),IF($AK132="","",$AK132)))),IF(AND(ABS($AC132-significance_bar)&lt;=2.0*IF($V132,IF($AL132="","",$AL132),IF($AK132="","",$AK132)),OR($Y132="worse",$Y132="better",$Y132="worse, not significant",$Y132="better, not significant",AND(profit_kind="test",$Y132="in line",ISNUMBER($AB132),$AB132&lt;&gt;0))),IF(ROUND($AC132,3)=ROUND(significance_bar,3),TEXT($AC132,"0.0000"),TEXT($AC132,"0.000")),""),"")</f>
        <v/>
      </c>
      <c r="AN132">
        <f>IF(AND(ISNUMBER($AC132),ISNUMBER(IF($V132,IF($AL132="","",$AL132),IF($AK132="","",$AK132)))),IF(AND(ABS($AC132-significance_bar)&lt;=2.0*IF($V132,IF($AL132="","",$AL132),IF($AK132="","",$AK132)),OR($Y132="worse",$Y132="worse, not significant",AND(profit_kind="test",$Y132="in line",ISNUMBER($AB132),$AB132&lt;0))),IF(ROUND($AC132,3)=ROUND(significance_bar,3),TEXT($AC132,"0.0000"),TEXT($AC132,"0.000")),""),"")</f>
        <v/>
      </c>
      <c r="AO132">
        <f>IF(OR($AI132="",$AN132=""),$AI132,$AI132&amp;" · borderline (p "&amp;$AN132&amp;")")</f>
        <v/>
      </c>
    </row>
    <row r="133">
      <c r="A133" t="inlineStr">
        <is>
          <t>grids</t>
        </is>
      </c>
      <c r="B133" t="inlineStr">
        <is>
          <t>SHORT_HIST x CHANNEL</t>
        </is>
      </c>
      <c r="C133" t="inlineStr">
        <is>
          <t>256.4 - 345.9</t>
        </is>
      </c>
      <c r="D133" t="inlineStr">
        <is>
          <t>Broker</t>
        </is>
      </c>
      <c r="E133" t="inlineStr">
        <is>
          <t>contribution_rate</t>
        </is>
      </c>
      <c r="F133" t="inlineStr">
        <is>
          <t>Contribution before losses per booked dollar</t>
        </is>
      </c>
      <c r="G133" t="n">
        <v>513</v>
      </c>
      <c r="H133" t="n">
        <v>16721500.81999999</v>
      </c>
      <c r="I133" t="b">
        <v>0</v>
      </c>
      <c r="J133" t="b">
        <v>0</v>
      </c>
      <c r="K133" t="n">
        <v>-0.005085257190751397</v>
      </c>
      <c r="L133" t="n">
        <v>0.5265759138371877</v>
      </c>
      <c r="M133" t="n">
        <v>-0.01775716598633087</v>
      </c>
      <c r="N133" t="n">
        <v>0.03619638036196381</v>
      </c>
      <c r="O133" t="n">
        <v>85033.13228506036</v>
      </c>
      <c r="P133" t="n">
        <v>296926.4656013078</v>
      </c>
      <c r="Q133">
        <f>'_live'!$C$24</f>
        <v/>
      </c>
      <c r="R133" t="inlineStr">
        <is>
          <t>shuffled: 4,095 of 10,000</t>
        </is>
      </c>
      <c r="S133" t="inlineStr">
        <is>
          <t>shuffled: 180 of 10,000</t>
        </is>
      </c>
      <c r="T133" t="n">
        <v>0.169922004781211</v>
      </c>
      <c r="U133" t="n">
        <v>0.1825939135767905</v>
      </c>
      <c r="V133">
        <f>AND(judged_band,NOT($J133))</f>
        <v/>
      </c>
      <c r="W133">
        <f>IF($K133="","",IF(profit_kind="test",IF(OR(NOT(AND(ISNUMBER($L133),$L133&lt;significance_bar)),$K133=0),"in line",IF($K133&lt;0,"worse","better")),IF(OR($K133=0,IF(profit_kind="points",ABS($K133),ABS($K133*$H133))&lt;profit_line*(1-1E-9)),"in line",IF(AND(ISNUMBER($L133),$L133&lt;significance_bar),IF($K133&lt;0,"worse","better"),IF($K133&lt;0,"worse, not significant","better, not significant")))))</f>
        <v/>
      </c>
      <c r="X133">
        <f>IF($M133="","",IF(profit_kind="test",IF(OR(NOT(AND(ISNUMBER($N133),$N133&lt;significance_bar)),$M133=0),"in line",IF($M133&lt;0,"worse","better")),IF(OR($M133=0,IF(profit_kind="points",ABS($M133),ABS($M133*$H133))&lt;profit_line*(1-1E-9)),"in line",IF(AND(ISNUMBER($N133),$N133&lt;significance_bar),IF($M133&lt;0,"worse","better"),IF($M133&lt;0,"worse, not significant","better, not significant")))))</f>
        <v/>
      </c>
      <c r="Y133">
        <f>IF($V133,$X133,$W133)</f>
        <v/>
      </c>
      <c r="Z133">
        <f>IF($V133,IF($P133="","",$P133),IF($O133="","",$O133))</f>
        <v/>
      </c>
      <c r="AA133">
        <f>IF(OR($Q133="",$Z133=""),"",IF(AND($Z133&gt;0,$Z133&gt;=$Q133),"yes","below the line"))</f>
        <v/>
      </c>
      <c r="AB133">
        <f>IF($V133,IF($M133="","",$M133),IF($K133="","",$K133))</f>
        <v/>
      </c>
      <c r="AC133">
        <f>IF($V133,IF($N133="","",$N133),IF($L133="","",$L133))</f>
        <v/>
      </c>
      <c r="AD133">
        <f>IF($Y133="","",IF($Y133="in line",IF(profit_kind="test",IF(ROUND($AB133*100,2)=0,"0.00",TEXT($AB133*100,"+0.00;-0.00"))&amp;" points against "&amp;IF($V133,"its band","the book")&amp;", "&amp;IF($AC133="","not tested","not significant"),IF(profit_kind="points","within "&amp;TEXT(profit_line*100,"0.00")&amp;" points of "&amp;IF($V133,"its band","the book")&amp;" ("&amp;IF(ROUND($AB133*100,2)=0,"0.00",TEXT($AB133*100,"+0.00;-0.00"))&amp;")","within $"&amp;TEXT(profit_line,"#,##0")&amp;" of "&amp;IF($V133,"its band","the book")&amp;" ("&amp;IF(ROUND($AB133*100,2)=0,"0.00",TEXT($AB133*100,"+0.00;-0.00"))&amp;" points)")),IF(LEFT($Y133,5)="worse","short of ","ahead of ")&amp;IF($V133,"its band","the book")&amp;" by "&amp;TEXT(ABS($AB133)*100,"0.00")&amp;" points"&amp;IF($Z133="",""," ($"&amp;TEXT(ABS($Z133),"#,##0")&amp;")")&amp;IF(RIGHT($Y133,15)="not significant"," (not significant)","")))</f>
        <v/>
      </c>
      <c r="AE133">
        <f>IF($V133,IF($S133="","",$S133),IF($R133="","",$R133))</f>
        <v/>
      </c>
      <c r="AF133">
        <f>IF($V133,IF($U133="","",$U133),IF($T133="","",$T133))</f>
        <v/>
      </c>
      <c r="AG133">
        <f>IF($V133,IF($O133="","",$O133),IF($P133="","",$P133))</f>
        <v/>
      </c>
      <c r="AH133" t="n">
        <v>0.1648367475904596</v>
      </c>
      <c r="AI133">
        <f>IF($Y133="worse","Yes",IF($Y133="worse, not significant","Not sure",IF(OR($Y133="too few losses to test",$Y133="too few loans to test"),"Too few losses",IF($Y133="","","No"))))</f>
        <v/>
      </c>
      <c r="AJ133">
        <f>IF($AA133="yes","Yes",IF($AA133="","","No"))</f>
        <v/>
      </c>
      <c r="AK133" t="n">
        <v>0.006322530995574935</v>
      </c>
      <c r="AL133" t="n">
        <v>0.002666131706660788</v>
      </c>
      <c r="AM133">
        <f>IF(AND(ISNUMBER($AC133),ISNUMBER(IF($V133,IF($AL133="","",$AL133),IF($AK133="","",$AK133)))),IF(AND(ABS($AC133-significance_bar)&lt;=2.0*IF($V133,IF($AL133="","",$AL133),IF($AK133="","",$AK133)),OR($Y133="worse",$Y133="better",$Y133="worse, not significant",$Y133="better, not significant",AND(profit_kind="test",$Y133="in line",ISNUMBER($AB133),$AB133&lt;&gt;0))),IF(ROUND($AC133,3)=ROUND(significance_bar,3),TEXT($AC133,"0.0000"),TEXT($AC133,"0.000")),""),"")</f>
        <v/>
      </c>
      <c r="AN133">
        <f>IF(AND(ISNUMBER($AC133),ISNUMBER(IF($V133,IF($AL133="","",$AL133),IF($AK133="","",$AK133)))),IF(AND(ABS($AC133-significance_bar)&lt;=2.0*IF($V133,IF($AL133="","",$AL133),IF($AK133="","",$AK133)),OR($Y133="worse",$Y133="worse, not significant",AND(profit_kind="test",$Y133="in line",ISNUMBER($AB133),$AB133&lt;0))),IF(ROUND($AC133,3)=ROUND(significance_bar,3),TEXT($AC133,"0.0000"),TEXT($AC133,"0.000")),""),"")</f>
        <v/>
      </c>
      <c r="AO133">
        <f>IF(OR($AI133="",$AN133=""),$AI133,$AI133&amp;" · borderline (p "&amp;$AN133&amp;")")</f>
        <v/>
      </c>
    </row>
    <row r="134">
      <c r="A134" t="inlineStr">
        <is>
          <t>grids</t>
        </is>
      </c>
      <c r="B134" t="inlineStr">
        <is>
          <t>SHORT_HIST x CHANNEL</t>
        </is>
      </c>
      <c r="C134" t="inlineStr">
        <is>
          <t>256.4 - 345.9</t>
        </is>
      </c>
      <c r="D134" t="inlineStr">
        <is>
          <t>Online</t>
        </is>
      </c>
      <c r="E134" t="inlineStr">
        <is>
          <t>outcome_loans</t>
        </is>
      </c>
      <c r="F134" t="inlineStr">
        <is>
          <t>Outcome, share of loans</t>
        </is>
      </c>
      <c r="G134" t="n">
        <v>536</v>
      </c>
      <c r="H134" t="n">
        <v>536</v>
      </c>
      <c r="I134" t="b">
        <v>0</v>
      </c>
      <c r="J134" t="b">
        <v>0</v>
      </c>
      <c r="K134" t="n">
        <v>1.250174085558125</v>
      </c>
      <c r="L134" t="n">
        <v>0.3331229710364075</v>
      </c>
      <c r="M134" t="n">
        <v>1.16471857579572</v>
      </c>
      <c r="N134" t="n">
        <v>0.5570259701087055</v>
      </c>
      <c r="O134" t="n">
        <v>10.20568136138282</v>
      </c>
      <c r="P134" t="n">
        <v>7.212598425196852</v>
      </c>
      <c r="Q134">
        <f>'_live'!$C$20</f>
        <v/>
      </c>
      <c r="R134" t="inlineStr">
        <is>
          <t>z test</t>
        </is>
      </c>
      <c r="S134" t="inlineStr">
        <is>
          <t>z test</t>
        </is>
      </c>
      <c r="T134" t="n">
        <v>0.07610880343025593</v>
      </c>
      <c r="U134" t="n">
        <v>0.08169291338582677</v>
      </c>
      <c r="V134">
        <f>AND(judged_band,NOT($J134))</f>
        <v/>
      </c>
      <c r="W134">
        <f>IF($K134="","",IF($I134,"too few losses to test",IF(AND($K134&gt;better_at,$K134&lt;worse_at),"in line",IF($K134&gt;=worse_at,IF(AND(ISNUMBER($L134),$L134&lt;significance_bar),"worse","worse, not significant"),IF(AND(ISNUMBER($L134),$L134&lt;significance_bar),"better","better, not significant")))))</f>
        <v/>
      </c>
      <c r="X134">
        <f>IF($M134="","",IF($I134,"too few losses to test",IF(AND($M134&gt;better_at,$M134&lt;worse_at),"in line",IF($M134&gt;=worse_at,IF(AND(ISNUMBER($N134),$N134&lt;significance_bar),"worse","worse, not significant"),IF(AND(ISNUMBER($N134),$N134&lt;significance_bar),"better","better, not significant")))))</f>
        <v/>
      </c>
      <c r="Y134">
        <f>IF($V134,$X134,$W134)</f>
        <v/>
      </c>
      <c r="Z134">
        <f>IF($V134,IF($P134="","",$P134),IF($O134="","",$O134))</f>
        <v/>
      </c>
      <c r="AA134">
        <f>IF(OR($Q134="",$Z134=""),"",IF(AND($Z134&gt;0,$Z134&gt;=$Q134),"yes","below the line"))</f>
        <v/>
      </c>
      <c r="AB134">
        <f>IF($V134,IF($M134="","",$M134),IF($K134="","",$K134))</f>
        <v/>
      </c>
      <c r="AC134">
        <f>IF($V134,IF($N134="","",$N134),IF($L134="","",$L134))</f>
        <v/>
      </c>
      <c r="AD134">
        <f>$Y134</f>
        <v/>
      </c>
      <c r="AE134">
        <f>IF($V134,IF($S134="","",$S134),IF($R134="","",$R134))</f>
        <v/>
      </c>
      <c r="AF134">
        <f>IF($V134,IF($U134="","",$U134),IF($T134="","",$T134))</f>
        <v/>
      </c>
      <c r="AG134">
        <f>IF($V134,IF($O134="","",$O134),IF($P134="","",$P134))</f>
        <v/>
      </c>
      <c r="AH134" t="n">
        <v>0.09514925373134328</v>
      </c>
      <c r="AI134">
        <f>IF($Y134="worse","Yes",IF($Y134="worse, not significant","Not sure",IF(OR($Y134="too few losses to test",$Y134="too few loans to test"),"Too few losses",IF($Y134="","","No"))))</f>
        <v/>
      </c>
      <c r="AJ134">
        <f>IF($AA134="yes","Yes",IF($AA134="","","No"))</f>
        <v/>
      </c>
      <c r="AM134">
        <f>IF(AND(ISNUMBER($AC134),ISNUMBER(IF($V134,IF($AL134="","",$AL134),IF($AK134="","",$AK134)))),IF(AND(ABS($AC134-significance_bar)&lt;=2.0*IF($V134,IF($AL134="","",$AL134),IF($AK134="","",$AK134)),OR($Y134="worse",$Y134="better",$Y134="worse, not significant",$Y134="better, not significant")),IF(ROUND($AC134,3)=ROUND(significance_bar,3),TEXT($AC134,"0.0000"),TEXT($AC134,"0.000")),""),"")</f>
        <v/>
      </c>
      <c r="AN134">
        <f>IF(AND(ISNUMBER($AC134),ISNUMBER(IF($V134,IF($AL134="","",$AL134),IF($AK134="","",$AK134)))),IF(AND(ABS($AC134-significance_bar)&lt;=2.0*IF($V134,IF($AL134="","",$AL134),IF($AK134="","",$AK134)),OR($Y134="worse",$Y134="worse, not significant")),IF(ROUND($AC134,3)=ROUND(significance_bar,3),TEXT($AC134,"0.0000"),TEXT($AC134,"0.000")),""),"")</f>
        <v/>
      </c>
      <c r="AO134">
        <f>IF(OR($AI134="",$AN134=""),$AI134,$AI134&amp;" · borderline (p "&amp;$AN134&amp;")")</f>
        <v/>
      </c>
    </row>
    <row r="135">
      <c r="A135" t="inlineStr">
        <is>
          <t>grids</t>
        </is>
      </c>
      <c r="B135" t="inlineStr">
        <is>
          <t>SHORT_HIST x CHANNEL</t>
        </is>
      </c>
      <c r="C135" t="inlineStr">
        <is>
          <t>256.4 - 345.9</t>
        </is>
      </c>
      <c r="D135" t="inlineStr">
        <is>
          <t>Online</t>
        </is>
      </c>
      <c r="E135" t="inlineStr">
        <is>
          <t>outcome_booked</t>
        </is>
      </c>
      <c r="F135" t="inlineStr">
        <is>
          <t>Outcome, share of booked dollars</t>
        </is>
      </c>
      <c r="G135" t="n">
        <v>536</v>
      </c>
      <c r="H135" t="n">
        <v>17096085.30999998</v>
      </c>
      <c r="I135" t="b">
        <v>0</v>
      </c>
      <c r="J135" t="b">
        <v>0</v>
      </c>
      <c r="K135" t="n">
        <v>1.341636538306903</v>
      </c>
      <c r="L135" t="n">
        <v>0.1517848215178482</v>
      </c>
      <c r="M135" t="n">
        <v>1.320490192170121</v>
      </c>
      <c r="N135" t="n">
        <v>0.3427157284271573</v>
      </c>
      <c r="O135" t="n">
        <v>427375.2242765499</v>
      </c>
      <c r="P135" t="n">
        <v>407342.2614137635</v>
      </c>
      <c r="Q135">
        <f>'_live'!$C$21</f>
        <v/>
      </c>
      <c r="R135" t="inlineStr">
        <is>
          <t>shuffled: 479 of 10,000</t>
        </is>
      </c>
      <c r="S135" t="inlineStr">
        <is>
          <t>shuffled: 1,370 of 10,000</t>
        </is>
      </c>
      <c r="T135" t="n">
        <v>0.07317257740821673</v>
      </c>
      <c r="U135" t="n">
        <v>0.07434436396049068</v>
      </c>
      <c r="V135">
        <f>AND(judged_band,NOT($J135))</f>
        <v/>
      </c>
      <c r="W135">
        <f>IF($K135="","",IF($I135,"too few losses to test",IF(AND($K135&gt;better_at,$K135&lt;worse_at),"in line",IF($K135&gt;=worse_at,IF(AND(ISNUMBER($L135),$L135&lt;significance_bar),"worse","worse, not significant"),IF(AND(ISNUMBER($L135),$L135&lt;significance_bar),"better","better, not significant")))))</f>
        <v/>
      </c>
      <c r="X135">
        <f>IF($M135="","",IF($I135,"too few losses to test",IF(AND($M135&gt;better_at,$M135&lt;worse_at),"in line",IF($M135&gt;=worse_at,IF(AND(ISNUMBER($N135),$N135&lt;significance_bar),"worse","worse, not significant"),IF(AND(ISNUMBER($N135),$N135&lt;significance_bar),"better","better, not significant")))))</f>
        <v/>
      </c>
      <c r="Y135">
        <f>IF($V135,$X135,$W135)</f>
        <v/>
      </c>
      <c r="Z135">
        <f>IF($V135,IF($P135="","",$P135),IF($O135="","",$O135))</f>
        <v/>
      </c>
      <c r="AA135">
        <f>IF(OR($Q135="",$Z135=""),"",IF(AND($Z135&gt;0,$Z135&gt;=$Q135),"yes","below the line"))</f>
        <v/>
      </c>
      <c r="AB135">
        <f>IF($V135,IF($M135="","",$M135),IF($K135="","",$K135))</f>
        <v/>
      </c>
      <c r="AC135">
        <f>IF($V135,IF($N135="","",$N135),IF($L135="","",$L135))</f>
        <v/>
      </c>
      <c r="AD135">
        <f>$Y135</f>
        <v/>
      </c>
      <c r="AE135">
        <f>IF($V135,IF($S135="","",$S135),IF($R135="","",$R135))</f>
        <v/>
      </c>
      <c r="AF135">
        <f>IF($V135,IF($U135="","",$U135),IF($T135="","",$T135))</f>
        <v/>
      </c>
      <c r="AG135">
        <f>IF($V135,IF($O135="","",$O135),IF($P135="","",$P135))</f>
        <v/>
      </c>
      <c r="AH135" t="n">
        <v>0.09817100345295376</v>
      </c>
      <c r="AI135">
        <f>IF($Y135="worse","Yes",IF($Y135="worse, not significant","Not sure",IF(OR($Y135="too few losses to test",$Y135="too few loans to test"),"Too few losses",IF($Y135="","","No"))))</f>
        <v/>
      </c>
      <c r="AJ135">
        <f>IF($AA135="yes","Yes",IF($AA135="","","No"))</f>
        <v/>
      </c>
      <c r="AK135" t="n">
        <v>0.006575072870397253</v>
      </c>
      <c r="AL135" t="n">
        <v>0.008598460621277138</v>
      </c>
      <c r="AM135">
        <f>IF(AND(ISNUMBER($AC135),ISNUMBER(IF($V135,IF($AL135="","",$AL135),IF($AK135="","",$AK135)))),IF(AND(ABS($AC135-significance_bar)&lt;=2.0*IF($V135,IF($AL135="","",$AL135),IF($AK135="","",$AK135)),OR($Y135="worse",$Y135="better",$Y135="worse, not significant",$Y135="better, not significant")),IF(ROUND($AC135,3)=ROUND(significance_bar,3),TEXT($AC135,"0.0000"),TEXT($AC135,"0.000")),""),"")</f>
        <v/>
      </c>
      <c r="AN135">
        <f>IF(AND(ISNUMBER($AC135),ISNUMBER(IF($V135,IF($AL135="","",$AL135),IF($AK135="","",$AK135)))),IF(AND(ABS($AC135-significance_bar)&lt;=2.0*IF($V135,IF($AL135="","",$AL135),IF($AK135="","",$AK135)),OR($Y135="worse",$Y135="worse, not significant")),IF(ROUND($AC135,3)=ROUND(significance_bar,3),TEXT($AC135,"0.0000"),TEXT($AC135,"0.000")),""),"")</f>
        <v/>
      </c>
      <c r="AO135">
        <f>IF(OR($AI135="",$AN135=""),$AI135,$AI135&amp;" · borderline (p "&amp;$AN135&amp;")")</f>
        <v/>
      </c>
    </row>
    <row r="136">
      <c r="A136" t="inlineStr">
        <is>
          <t>grids</t>
        </is>
      </c>
      <c r="B136" t="inlineStr">
        <is>
          <t>SHORT_HIST x CHANNEL</t>
        </is>
      </c>
      <c r="C136" t="inlineStr">
        <is>
          <t>256.4 - 345.9</t>
        </is>
      </c>
      <c r="D136" t="inlineStr">
        <is>
          <t>Online</t>
        </is>
      </c>
      <c r="E136" t="inlineStr">
        <is>
          <t>gco_rate</t>
        </is>
      </c>
      <c r="F136" t="inlineStr">
        <is>
          <t>GCO per booked dollar</t>
        </is>
      </c>
      <c r="G136" t="n">
        <v>536</v>
      </c>
      <c r="H136" t="n">
        <v>17096085.30999998</v>
      </c>
      <c r="I136" t="b">
        <v>0</v>
      </c>
      <c r="J136" t="b">
        <v>0</v>
      </c>
      <c r="K136" t="n">
        <v>1.374158528284152</v>
      </c>
      <c r="L136" t="n">
        <v>0.1415858414158584</v>
      </c>
      <c r="M136" t="n">
        <v>1.399488219831032</v>
      </c>
      <c r="N136" t="n">
        <v>0.1806247946633908</v>
      </c>
      <c r="O136" t="n">
        <v>259696.1769483731</v>
      </c>
      <c r="P136" t="n">
        <v>272258.5174774654</v>
      </c>
      <c r="Q136">
        <f>'_live'!$C$22</f>
        <v/>
      </c>
      <c r="R136" t="inlineStr">
        <is>
          <t>shuffled: 391 of 10,000</t>
        </is>
      </c>
      <c r="S136" t="inlineStr">
        <is>
          <t>shuffled: 842 of 10,000</t>
        </is>
      </c>
      <c r="T136" t="n">
        <v>0.04059880320354037</v>
      </c>
      <c r="U136" t="n">
        <v>0.03986399518747694</v>
      </c>
      <c r="V136">
        <f>AND(judged_band,NOT($J136))</f>
        <v/>
      </c>
      <c r="W136">
        <f>IF($K136="","",IF($I136,"too few losses to test",IF(AND($K136&gt;better_at,$K136&lt;worse_at),"in line",IF($K136&gt;=worse_at,IF(AND(ISNUMBER($L136),$L136&lt;significance_bar),"worse","worse, not significant"),IF(AND(ISNUMBER($L136),$L136&lt;significance_bar),"better","better, not significant")))))</f>
        <v/>
      </c>
      <c r="X136">
        <f>IF($M136="","",IF($I136,"too few losses to test",IF(AND($M136&gt;better_at,$M136&lt;worse_at),"in line",IF($M136&gt;=worse_at,IF(AND(ISNUMBER($N136),$N136&lt;significance_bar),"worse","worse, not significant"),IF(AND(ISNUMBER($N136),$N136&lt;significance_bar),"better","better, not significant")))))</f>
        <v/>
      </c>
      <c r="Y136">
        <f>IF($V136,$X136,$W136)</f>
        <v/>
      </c>
      <c r="Z136">
        <f>IF($V136,IF($P136="","",$P136),IF($O136="","",$O136))</f>
        <v/>
      </c>
      <c r="AA136">
        <f>IF(OR($Q136="",$Z136=""),"",IF(AND($Z136&gt;0,$Z136&gt;=$Q136),"yes","below the line"))</f>
        <v/>
      </c>
      <c r="AB136">
        <f>IF($V136,IF($M136="","",$M136),IF($K136="","",$K136))</f>
        <v/>
      </c>
      <c r="AC136">
        <f>IF($V136,IF($N136="","",$N136),IF($L136="","",$L136))</f>
        <v/>
      </c>
      <c r="AD136">
        <f>$Y136</f>
        <v/>
      </c>
      <c r="AE136">
        <f>IF($V136,IF($S136="","",$S136),IF($R136="","",$R136))</f>
        <v/>
      </c>
      <c r="AF136">
        <f>IF($V136,IF($U136="","",$U136),IF($T136="","",$T136))</f>
        <v/>
      </c>
      <c r="AG136">
        <f>IF($V136,IF($O136="","",$O136),IF($P136="","",$P136))</f>
        <v/>
      </c>
      <c r="AH136" t="n">
        <v>0.05578919166027494</v>
      </c>
      <c r="AI136">
        <f>IF($Y136="worse","Yes",IF($Y136="worse, not significant","Not sure",IF(OR($Y136="too few losses to test",$Y136="too few loans to test"),"Too few losses",IF($Y136="","","No"))))</f>
        <v/>
      </c>
      <c r="AJ136">
        <f>IF($AA136="yes","Yes",IF($AA136="","","No"))</f>
        <v/>
      </c>
      <c r="AK136" t="n">
        <v>0.006361689820779842</v>
      </c>
      <c r="AL136" t="n">
        <v>0.005953384037456004</v>
      </c>
      <c r="AM136">
        <f>IF(AND(ISNUMBER($AC136),ISNUMBER(IF($V136,IF($AL136="","",$AL136),IF($AK136="","",$AK136)))),IF(AND(ABS($AC136-significance_bar)&lt;=2.0*IF($V136,IF($AL136="","",$AL136),IF($AK136="","",$AK136)),OR($Y136="worse",$Y136="better",$Y136="worse, not significant",$Y136="better, not significant")),IF(ROUND($AC136,3)=ROUND(significance_bar,3),TEXT($AC136,"0.0000"),TEXT($AC136,"0.000")),""),"")</f>
        <v/>
      </c>
      <c r="AN136">
        <f>IF(AND(ISNUMBER($AC136),ISNUMBER(IF($V136,IF($AL136="","",$AL136),IF($AK136="","",$AK136)))),IF(AND(ABS($AC136-significance_bar)&lt;=2.0*IF($V136,IF($AL136="","",$AL136),IF($AK136="","",$AK136)),OR($Y136="worse",$Y136="worse, not significant")),IF(ROUND($AC136,3)=ROUND(significance_bar,3),TEXT($AC136,"0.0000"),TEXT($AC136,"0.000")),""),"")</f>
        <v/>
      </c>
      <c r="AO136">
        <f>IF(OR($AI136="",$AN136=""),$AI136,$AI136&amp;" · borderline (p "&amp;$AN136&amp;")")</f>
        <v/>
      </c>
    </row>
    <row r="137">
      <c r="A137" t="inlineStr">
        <is>
          <t>grids</t>
        </is>
      </c>
      <c r="B137" t="inlineStr">
        <is>
          <t>SHORT_HIST x CHANNEL</t>
        </is>
      </c>
      <c r="C137" t="inlineStr">
        <is>
          <t>256.4 - 345.9</t>
        </is>
      </c>
      <c r="D137" t="inlineStr">
        <is>
          <t>Online</t>
        </is>
      </c>
      <c r="E137" t="inlineStr">
        <is>
          <t>ranr_rate</t>
        </is>
      </c>
      <c r="F137" t="inlineStr">
        <is>
          <t>Profit after losses: RANR per booked dollar</t>
        </is>
      </c>
      <c r="G137" t="n">
        <v>536</v>
      </c>
      <c r="H137" t="n">
        <v>17096085.30999998</v>
      </c>
      <c r="I137" t="b">
        <v>0</v>
      </c>
      <c r="J137" t="b">
        <v>0</v>
      </c>
      <c r="K137" t="n">
        <v>0.01419622015303945</v>
      </c>
      <c r="L137" t="n">
        <v>0.2623237676232377</v>
      </c>
      <c r="M137" t="n">
        <v>0.01544916371162267</v>
      </c>
      <c r="N137" t="n">
        <v>0.2962503749625037</v>
      </c>
      <c r="O137" t="n">
        <v>-242699.7908159033</v>
      </c>
      <c r="P137" t="n">
        <v>-264120.2207820569</v>
      </c>
      <c r="Q137">
        <f>'_live'!$C$23</f>
        <v/>
      </c>
      <c r="R137" t="inlineStr">
        <is>
          <t>shuffled: 1,165 of 10,000</t>
        </is>
      </c>
      <c r="S137" t="inlineStr">
        <is>
          <t>shuffled: 1,645 of 10,000</t>
        </is>
      </c>
      <c r="T137" t="n">
        <v>0.1270496022802134</v>
      </c>
      <c r="U137" t="n">
        <v>0.1257966587216302</v>
      </c>
      <c r="V137">
        <f>AND(judged_band,NOT($J137))</f>
        <v/>
      </c>
      <c r="W137">
        <f>IF($K137="","",IF(profit_kind="test",IF(OR(NOT(AND(ISNUMBER($L137),$L137&lt;significance_bar)),$K137=0),"in line",IF($K137&lt;0,"worse","better")),IF(OR($K137=0,IF(profit_kind="points",ABS($K137),ABS($K137*$H137))&lt;profit_line*(1-1E-9)),"in line",IF(AND(ISNUMBER($L137),$L137&lt;significance_bar),IF($K137&lt;0,"worse","better"),IF($K137&lt;0,"worse, not significant","better, not significant")))))</f>
        <v/>
      </c>
      <c r="X137">
        <f>IF($M137="","",IF(profit_kind="test",IF(OR(NOT(AND(ISNUMBER($N137),$N137&lt;significance_bar)),$M137=0),"in line",IF($M137&lt;0,"worse","better")),IF(OR($M137=0,IF(profit_kind="points",ABS($M137),ABS($M137*$H137))&lt;profit_line*(1-1E-9)),"in line",IF(AND(ISNUMBER($N137),$N137&lt;significance_bar),IF($M137&lt;0,"worse","better"),IF($M137&lt;0,"worse, not significant","better, not significant")))))</f>
        <v/>
      </c>
      <c r="Y137">
        <f>IF($V137,$X137,$W137)</f>
        <v/>
      </c>
      <c r="Z137">
        <f>IF($V137,IF($P137="","",$P137),IF($O137="","",$O137))</f>
        <v/>
      </c>
      <c r="AA137">
        <f>IF(OR($Q137="",$Z137=""),"",IF(AND($Z137&gt;0,$Z137&gt;=$Q137),"yes","below the line"))</f>
        <v/>
      </c>
      <c r="AB137">
        <f>IF($V137,IF($M137="","",$M137),IF($K137="","",$K137))</f>
        <v/>
      </c>
      <c r="AC137">
        <f>IF($V137,IF($N137="","",$N137),IF($L137="","",$L137))</f>
        <v/>
      </c>
      <c r="AD137">
        <f>IF($Y137="","",IF($Y137="in line",IF(profit_kind="test",IF(ROUND($AB137*100,2)=0,"0.00",TEXT($AB137*100,"+0.00;-0.00"))&amp;" points against "&amp;IF($V137,"its band","the book")&amp;", "&amp;IF($AC137="","not tested","not significant"),IF(profit_kind="points","within "&amp;TEXT(profit_line*100,"0.00")&amp;" points of "&amp;IF($V137,"its band","the book")&amp;" ("&amp;IF(ROUND($AB137*100,2)=0,"0.00",TEXT($AB137*100,"+0.00;-0.00"))&amp;")","within $"&amp;TEXT(profit_line,"#,##0")&amp;" of "&amp;IF($V137,"its band","the book")&amp;" ("&amp;IF(ROUND($AB137*100,2)=0,"0.00",TEXT($AB137*100,"+0.00;-0.00"))&amp;" points)")),IF(LEFT($Y137,5)="worse","short of ","ahead of ")&amp;IF($V137,"its band","the book")&amp;" by "&amp;TEXT(ABS($AB137)*100,"0.00")&amp;" points"&amp;IF($Z137="",""," ($"&amp;TEXT(ABS($Z137),"#,##0")&amp;")")&amp;IF(RIGHT($Y137,15)="not significant"," (not significant)","")))</f>
        <v/>
      </c>
      <c r="AE137">
        <f>IF($V137,IF($S137="","",$S137),IF($R137="","",$R137))</f>
        <v/>
      </c>
      <c r="AF137">
        <f>IF($V137,IF($U137="","",$U137),IF($T137="","",$T137))</f>
        <v/>
      </c>
      <c r="AG137">
        <f>IF($V137,IF($O137="","",$O137),IF($P137="","",$P137))</f>
        <v/>
      </c>
      <c r="AH137" t="n">
        <v>0.1412458224332529</v>
      </c>
      <c r="AI137">
        <f>IF($Y137="worse","Yes",IF($Y137="worse, not significant","Not sure",IF(OR($Y137="too few losses to test",$Y137="too few loans to test"),"Too few losses",IF($Y137="","","No"))))</f>
        <v/>
      </c>
      <c r="AJ137">
        <f>IF($AA137="yes","Yes",IF($AA137="","","No"))</f>
        <v/>
      </c>
      <c r="AK137" t="n">
        <v>0.007220905193202819</v>
      </c>
      <c r="AL137" t="n">
        <v>0.006674476685606766</v>
      </c>
      <c r="AM137">
        <f>IF(AND(ISNUMBER($AC137),ISNUMBER(IF($V137,IF($AL137="","",$AL137),IF($AK137="","",$AK137)))),IF(AND(ABS($AC137-significance_bar)&lt;=2.0*IF($V137,IF($AL137="","",$AL137),IF($AK137="","",$AK137)),OR($Y137="worse",$Y137="better",$Y137="worse, not significant",$Y137="better, not significant",AND(profit_kind="test",$Y137="in line",ISNUMBER($AB137),$AB137&lt;&gt;0))),IF(ROUND($AC137,3)=ROUND(significance_bar,3),TEXT($AC137,"0.0000"),TEXT($AC137,"0.000")),""),"")</f>
        <v/>
      </c>
      <c r="AN137">
        <f>IF(AND(ISNUMBER($AC137),ISNUMBER(IF($V137,IF($AL137="","",$AL137),IF($AK137="","",$AK137)))),IF(AND(ABS($AC137-significance_bar)&lt;=2.0*IF($V137,IF($AL137="","",$AL137),IF($AK137="","",$AK137)),OR($Y137="worse",$Y137="worse, not significant",AND(profit_kind="test",$Y137="in line",ISNUMBER($AB137),$AB137&lt;0))),IF(ROUND($AC137,3)=ROUND(significance_bar,3),TEXT($AC137,"0.0000"),TEXT($AC137,"0.000")),""),"")</f>
        <v/>
      </c>
      <c r="AO137">
        <f>IF(OR($AI137="",$AN137=""),$AI137,$AI137&amp;" · borderline (p "&amp;$AN137&amp;")")</f>
        <v/>
      </c>
    </row>
    <row r="138">
      <c r="A138" t="inlineStr">
        <is>
          <t>grids</t>
        </is>
      </c>
      <c r="B138" t="inlineStr">
        <is>
          <t>SHORT_HIST x CHANNEL</t>
        </is>
      </c>
      <c r="C138" t="inlineStr">
        <is>
          <t>256.4 - 345.9</t>
        </is>
      </c>
      <c r="D138" t="inlineStr">
        <is>
          <t>Online</t>
        </is>
      </c>
      <c r="E138" t="inlineStr">
        <is>
          <t>contribution_rate</t>
        </is>
      </c>
      <c r="F138" t="inlineStr">
        <is>
          <t>Contribution before losses per booked dollar</t>
        </is>
      </c>
      <c r="G138" t="n">
        <v>536</v>
      </c>
      <c r="H138" t="n">
        <v>17096085.30999998</v>
      </c>
      <c r="I138" t="b">
        <v>0</v>
      </c>
      <c r="J138" t="b">
        <v>0</v>
      </c>
      <c r="K138" t="n">
        <v>0.02938982564518738</v>
      </c>
      <c r="L138" t="n">
        <v>0.0017998200179982</v>
      </c>
      <c r="M138" t="n">
        <v>0.03140008219943988</v>
      </c>
      <c r="N138" t="n">
        <v>0.0017998200179982</v>
      </c>
      <c r="O138" t="n">
        <v>-502450.9664761489</v>
      </c>
      <c r="P138" t="n">
        <v>-536818.484022636</v>
      </c>
      <c r="Q138">
        <f>'_live'!$C$24</f>
        <v/>
      </c>
      <c r="R138" t="inlineStr">
        <is>
          <t>shuffled: 0 of 10,000</t>
        </is>
      </c>
      <c r="S138" t="inlineStr">
        <is>
          <t>shuffled: 0 of 10,000</t>
        </is>
      </c>
      <c r="T138" t="n">
        <v>0.1676451884483406</v>
      </c>
      <c r="U138" t="n">
        <v>0.1656349318940881</v>
      </c>
      <c r="V138">
        <f>AND(judged_band,NOT($J138))</f>
        <v/>
      </c>
      <c r="W138">
        <f>IF($K138="","",IF(profit_kind="test",IF(OR(NOT(AND(ISNUMBER($L138),$L138&lt;significance_bar)),$K138=0),"in line",IF($K138&lt;0,"worse","better")),IF(OR($K138=0,IF(profit_kind="points",ABS($K138),ABS($K138*$H138))&lt;profit_line*(1-1E-9)),"in line",IF(AND(ISNUMBER($L138),$L138&lt;significance_bar),IF($K138&lt;0,"worse","better"),IF($K138&lt;0,"worse, not significant","better, not significant")))))</f>
        <v/>
      </c>
      <c r="X138">
        <f>IF($M138="","",IF(profit_kind="test",IF(OR(NOT(AND(ISNUMBER($N138),$N138&lt;significance_bar)),$M138=0),"in line",IF($M138&lt;0,"worse","better")),IF(OR($M138=0,IF(profit_kind="points",ABS($M138),ABS($M138*$H138))&lt;profit_line*(1-1E-9)),"in line",IF(AND(ISNUMBER($N138),$N138&lt;significance_bar),IF($M138&lt;0,"worse","better"),IF($M138&lt;0,"worse, not significant","better, not significant")))))</f>
        <v/>
      </c>
      <c r="Y138">
        <f>IF($V138,$X138,$W138)</f>
        <v/>
      </c>
      <c r="Z138">
        <f>IF($V138,IF($P138="","",$P138),IF($O138="","",$O138))</f>
        <v/>
      </c>
      <c r="AA138">
        <f>IF(OR($Q138="",$Z138=""),"",IF(AND($Z138&gt;0,$Z138&gt;=$Q138),"yes","below the line"))</f>
        <v/>
      </c>
      <c r="AB138">
        <f>IF($V138,IF($M138="","",$M138),IF($K138="","",$K138))</f>
        <v/>
      </c>
      <c r="AC138">
        <f>IF($V138,IF($N138="","",$N138),IF($L138="","",$L138))</f>
        <v/>
      </c>
      <c r="AD138">
        <f>IF($Y138="","",IF($Y138="in line",IF(profit_kind="test",IF(ROUND($AB138*100,2)=0,"0.00",TEXT($AB138*100,"+0.00;-0.00"))&amp;" points against "&amp;IF($V138,"its band","the book")&amp;", "&amp;IF($AC138="","not tested","not significant"),IF(profit_kind="points","within "&amp;TEXT(profit_line*100,"0.00")&amp;" points of "&amp;IF($V138,"its band","the book")&amp;" ("&amp;IF(ROUND($AB138*100,2)=0,"0.00",TEXT($AB138*100,"+0.00;-0.00"))&amp;")","within $"&amp;TEXT(profit_line,"#,##0")&amp;" of "&amp;IF($V138,"its band","the book")&amp;" ("&amp;IF(ROUND($AB138*100,2)=0,"0.00",TEXT($AB138*100,"+0.00;-0.00"))&amp;" points)")),IF(LEFT($Y138,5)="worse","short of ","ahead of ")&amp;IF($V138,"its band","the book")&amp;" by "&amp;TEXT(ABS($AB138)*100,"0.00")&amp;" points"&amp;IF($Z138="",""," ($"&amp;TEXT(ABS($Z138),"#,##0")&amp;")")&amp;IF(RIGHT($Y138,15)="not significant"," (not significant)","")))</f>
        <v/>
      </c>
      <c r="AE138">
        <f>IF($V138,IF($S138="","",$S138),IF($R138="","",$R138))</f>
        <v/>
      </c>
      <c r="AF138">
        <f>IF($V138,IF($U138="","",$U138),IF($T138="","",$T138))</f>
        <v/>
      </c>
      <c r="AG138">
        <f>IF($V138,IF($O138="","",$O138),IF($P138="","",$P138))</f>
        <v/>
      </c>
      <c r="AH138" t="n">
        <v>0.1970350140935279</v>
      </c>
      <c r="AI138">
        <f>IF($Y138="worse","Yes",IF($Y138="worse, not significant","Not sure",IF(OR($Y138="too few losses to test",$Y138="too few loans to test"),"Too few losses",IF($Y138="","","No"))))</f>
        <v/>
      </c>
      <c r="AJ138">
        <f>IF($AA138="yes","Yes",IF($AA138="","","No"))</f>
        <v/>
      </c>
      <c r="AK138" t="n">
        <v>0.0017998200179982</v>
      </c>
      <c r="AL138" t="n">
        <v>0.001272601304803929</v>
      </c>
      <c r="AM138">
        <f>IF(AND(ISNUMBER($AC138),ISNUMBER(IF($V138,IF($AL138="","",$AL138),IF($AK138="","",$AK138)))),IF(AND(ABS($AC138-significance_bar)&lt;=2.0*IF($V138,IF($AL138="","",$AL138),IF($AK138="","",$AK138)),OR($Y138="worse",$Y138="better",$Y138="worse, not significant",$Y138="better, not significant",AND(profit_kind="test",$Y138="in line",ISNUMBER($AB138),$AB138&lt;&gt;0))),IF(ROUND($AC138,3)=ROUND(significance_bar,3),TEXT($AC138,"0.0000"),TEXT($AC138,"0.000")),""),"")</f>
        <v/>
      </c>
      <c r="AN138">
        <f>IF(AND(ISNUMBER($AC138),ISNUMBER(IF($V138,IF($AL138="","",$AL138),IF($AK138="","",$AK138)))),IF(AND(ABS($AC138-significance_bar)&lt;=2.0*IF($V138,IF($AL138="","",$AL138),IF($AK138="","",$AK138)),OR($Y138="worse",$Y138="worse, not significant",AND(profit_kind="test",$Y138="in line",ISNUMBER($AB138),$AB138&lt;0))),IF(ROUND($AC138,3)=ROUND(significance_bar,3),TEXT($AC138,"0.0000"),TEXT($AC138,"0.000")),""),"")</f>
        <v/>
      </c>
      <c r="AO138">
        <f>IF(OR($AI138="",$AN138=""),$AI138,$AI138&amp;" · borderline (p "&amp;$AN138&amp;")")</f>
        <v/>
      </c>
    </row>
    <row r="139">
      <c r="A139" t="inlineStr">
        <is>
          <t>grids</t>
        </is>
      </c>
      <c r="B139" t="inlineStr">
        <is>
          <t>SHORT_HIST x CHANNEL</t>
        </is>
      </c>
      <c r="C139" t="inlineStr">
        <is>
          <t>0.0 - 88.9</t>
        </is>
      </c>
      <c r="D139" t="inlineStr">
        <is>
          <t>Broker</t>
        </is>
      </c>
      <c r="E139" t="inlineStr">
        <is>
          <t>outcome_loans</t>
        </is>
      </c>
      <c r="F139" t="inlineStr">
        <is>
          <t>Outcome, share of loans</t>
        </is>
      </c>
      <c r="G139" t="n">
        <v>508</v>
      </c>
      <c r="H139" t="n">
        <v>508</v>
      </c>
      <c r="I139" t="b">
        <v>0</v>
      </c>
      <c r="J139" t="b">
        <v>0</v>
      </c>
      <c r="K139" t="n">
        <v>1.128394385484423</v>
      </c>
      <c r="L139" t="n">
        <v>0.7895897753396635</v>
      </c>
      <c r="M139" t="n">
        <v>1.135851689424898</v>
      </c>
      <c r="N139" t="n">
        <v>0.5999653867903223</v>
      </c>
      <c r="O139" t="n">
        <v>5.006541182752635</v>
      </c>
      <c r="P139" t="n">
        <v>5.262548262548265</v>
      </c>
      <c r="Q139">
        <f>'_live'!$C$20</f>
        <v/>
      </c>
      <c r="R139" t="inlineStr">
        <is>
          <t>z test</t>
        </is>
      </c>
      <c r="S139" t="inlineStr">
        <is>
          <t>z test</t>
        </is>
      </c>
      <c r="T139" t="n">
        <v>0.07675877719930584</v>
      </c>
      <c r="U139" t="n">
        <v>0.07625482625482626</v>
      </c>
      <c r="V139">
        <f>AND(judged_band,NOT($J139))</f>
        <v/>
      </c>
      <c r="W139">
        <f>IF($K139="","",IF($I139,"too few losses to test",IF(AND($K139&gt;better_at,$K139&lt;worse_at),"in line",IF($K139&gt;=worse_at,IF(AND(ISNUMBER($L139),$L139&lt;significance_bar),"worse","worse, not significant"),IF(AND(ISNUMBER($L139),$L139&lt;significance_bar),"better","better, not significant")))))</f>
        <v/>
      </c>
      <c r="X139">
        <f>IF($M139="","",IF($I139,"too few losses to test",IF(AND($M139&gt;better_at,$M139&lt;worse_at),"in line",IF($M139&gt;=worse_at,IF(AND(ISNUMBER($N139),$N139&lt;significance_bar),"worse","worse, not significant"),IF(AND(ISNUMBER($N139),$N139&lt;significance_bar),"better","better, not significant")))))</f>
        <v/>
      </c>
      <c r="Y139">
        <f>IF($V139,$X139,$W139)</f>
        <v/>
      </c>
      <c r="Z139">
        <f>IF($V139,IF($P139="","",$P139),IF($O139="","",$O139))</f>
        <v/>
      </c>
      <c r="AA139">
        <f>IF(OR($Q139="",$Z139=""),"",IF(AND($Z139&gt;0,$Z139&gt;=$Q139),"yes","below the line"))</f>
        <v/>
      </c>
      <c r="AB139">
        <f>IF($V139,IF($M139="","",$M139),IF($K139="","",$K139))</f>
        <v/>
      </c>
      <c r="AC139">
        <f>IF($V139,IF($N139="","",$N139),IF($L139="","",$L139))</f>
        <v/>
      </c>
      <c r="AD139">
        <f>$Y139</f>
        <v/>
      </c>
      <c r="AE139">
        <f>IF($V139,IF($S139="","",$S139),IF($R139="","",$R139))</f>
        <v/>
      </c>
      <c r="AF139">
        <f>IF($V139,IF($U139="","",$U139),IF($T139="","",$T139))</f>
        <v/>
      </c>
      <c r="AG139">
        <f>IF($V139,IF($O139="","",$O139),IF($P139="","",$P139))</f>
        <v/>
      </c>
      <c r="AH139" t="n">
        <v>0.08661417322834646</v>
      </c>
      <c r="AI139">
        <f>IF($Y139="worse","Yes",IF($Y139="worse, not significant","Not sure",IF(OR($Y139="too few losses to test",$Y139="too few loans to test"),"Too few losses",IF($Y139="","","No"))))</f>
        <v/>
      </c>
      <c r="AJ139">
        <f>IF($AA139="yes","Yes",IF($AA139="","","No"))</f>
        <v/>
      </c>
      <c r="AM139">
        <f>IF(AND(ISNUMBER($AC139),ISNUMBER(IF($V139,IF($AL139="","",$AL139),IF($AK139="","",$AK139)))),IF(AND(ABS($AC139-significance_bar)&lt;=2.0*IF($V139,IF($AL139="","",$AL139),IF($AK139="","",$AK139)),OR($Y139="worse",$Y139="better",$Y139="worse, not significant",$Y139="better, not significant")),IF(ROUND($AC139,3)=ROUND(significance_bar,3),TEXT($AC139,"0.0000"),TEXT($AC139,"0.000")),""),"")</f>
        <v/>
      </c>
      <c r="AN139">
        <f>IF(AND(ISNUMBER($AC139),ISNUMBER(IF($V139,IF($AL139="","",$AL139),IF($AK139="","",$AK139)))),IF(AND(ABS($AC139-significance_bar)&lt;=2.0*IF($V139,IF($AL139="","",$AL139),IF($AK139="","",$AK139)),OR($Y139="worse",$Y139="worse, not significant")),IF(ROUND($AC139,3)=ROUND(significance_bar,3),TEXT($AC139,"0.0000"),TEXT($AC139,"0.000")),""),"")</f>
        <v/>
      </c>
      <c r="AO139">
        <f>IF(OR($AI139="",$AN139=""),$AI139,$AI139&amp;" · borderline (p "&amp;$AN139&amp;")")</f>
        <v/>
      </c>
    </row>
    <row r="140">
      <c r="A140" t="inlineStr">
        <is>
          <t>grids</t>
        </is>
      </c>
      <c r="B140" t="inlineStr">
        <is>
          <t>SHORT_HIST x CHANNEL</t>
        </is>
      </c>
      <c r="C140" t="inlineStr">
        <is>
          <t>0.0 - 88.9</t>
        </is>
      </c>
      <c r="D140" t="inlineStr">
        <is>
          <t>Broker</t>
        </is>
      </c>
      <c r="E140" t="inlineStr">
        <is>
          <t>outcome_booked</t>
        </is>
      </c>
      <c r="F140" t="inlineStr">
        <is>
          <t>Outcome, share of booked dollars</t>
        </is>
      </c>
      <c r="G140" t="n">
        <v>508</v>
      </c>
      <c r="H140" t="n">
        <v>15888694.07</v>
      </c>
      <c r="I140" t="b">
        <v>0</v>
      </c>
      <c r="J140" t="b">
        <v>0</v>
      </c>
      <c r="K140" t="n">
        <v>1.127186091832951</v>
      </c>
      <c r="L140" t="n">
        <v>0.7186424214721386</v>
      </c>
      <c r="M140" t="n">
        <v>1.109001328865544</v>
      </c>
      <c r="N140" t="n">
        <v>0.7646735326467353</v>
      </c>
      <c r="O140" t="n">
        <v>150040.6706127131</v>
      </c>
      <c r="P140" t="n">
        <v>130696.729919042</v>
      </c>
      <c r="Q140">
        <f>'_live'!$C$21</f>
        <v/>
      </c>
      <c r="R140" t="inlineStr">
        <is>
          <t>shuffled: 4,774 of 10,000</t>
        </is>
      </c>
      <c r="S140" t="inlineStr">
        <is>
          <t>shuffled: 6,117 of 10,000</t>
        </is>
      </c>
      <c r="T140" t="n">
        <v>0.07424738648689248</v>
      </c>
      <c r="U140" t="n">
        <v>0.07546485222752847</v>
      </c>
      <c r="V140">
        <f>AND(judged_band,NOT($J140))</f>
        <v/>
      </c>
      <c r="W140">
        <f>IF($K140="","",IF($I140,"too few losses to test",IF(AND($K140&gt;better_at,$K140&lt;worse_at),"in line",IF($K140&gt;=worse_at,IF(AND(ISNUMBER($L140),$L140&lt;significance_bar),"worse","worse, not significant"),IF(AND(ISNUMBER($L140),$L140&lt;significance_bar),"better","better, not significant")))))</f>
        <v/>
      </c>
      <c r="X140">
        <f>IF($M140="","",IF($I140,"too few losses to test",IF(AND($M140&gt;better_at,$M140&lt;worse_at),"in line",IF($M140&gt;=worse_at,IF(AND(ISNUMBER($N140),$N140&lt;significance_bar),"worse","worse, not significant"),IF(AND(ISNUMBER($N140),$N140&lt;significance_bar),"better","better, not significant")))))</f>
        <v/>
      </c>
      <c r="Y140">
        <f>IF($V140,$X140,$W140)</f>
        <v/>
      </c>
      <c r="Z140">
        <f>IF($V140,IF($P140="","",$P140),IF($O140="","",$O140))</f>
        <v/>
      </c>
      <c r="AA140">
        <f>IF(OR($Q140="",$Z140=""),"",IF(AND($Z140&gt;0,$Z140&gt;=$Q140),"yes","below the line"))</f>
        <v/>
      </c>
      <c r="AB140">
        <f>IF($V140,IF($M140="","",$M140),IF($K140="","",$K140))</f>
        <v/>
      </c>
      <c r="AC140">
        <f>IF($V140,IF($N140="","",$N140),IF($L140="","",$L140))</f>
        <v/>
      </c>
      <c r="AD140">
        <f>$Y140</f>
        <v/>
      </c>
      <c r="AE140">
        <f>IF($V140,IF($S140="","",$S140),IF($R140="","",$R140))</f>
        <v/>
      </c>
      <c r="AF140">
        <f>IF($V140,IF($U140="","",$U140),IF($T140="","",$T140))</f>
        <v/>
      </c>
      <c r="AG140">
        <f>IF($V140,IF($O140="","",$O140),IF($P140="","",$P140))</f>
        <v/>
      </c>
      <c r="AH140" t="n">
        <v>0.08369062140297097</v>
      </c>
      <c r="AI140">
        <f>IF($Y140="worse","Yes",IF($Y140="worse, not significant","Not sure",IF(OR($Y140="too few losses to test",$Y140="too few loans to test"),"Too few losses",IF($Y140="","","No"))))</f>
        <v/>
      </c>
      <c r="AJ140">
        <f>IF($AA140="yes","Yes",IF($AA140="","","No"))</f>
        <v/>
      </c>
      <c r="AK140" t="n">
        <v>0.00503514739671565</v>
      </c>
      <c r="AL140" t="n">
        <v>0.00609193158430051</v>
      </c>
      <c r="AM140">
        <f>IF(AND(ISNUMBER($AC140),ISNUMBER(IF($V140,IF($AL140="","",$AL140),IF($AK140="","",$AK140)))),IF(AND(ABS($AC140-significance_bar)&lt;=2.0*IF($V140,IF($AL140="","",$AL140),IF($AK140="","",$AK140)),OR($Y140="worse",$Y140="better",$Y140="worse, not significant",$Y140="better, not significant")),IF(ROUND($AC140,3)=ROUND(significance_bar,3),TEXT($AC140,"0.0000"),TEXT($AC140,"0.000")),""),"")</f>
        <v/>
      </c>
      <c r="AN140">
        <f>IF(AND(ISNUMBER($AC140),ISNUMBER(IF($V140,IF($AL140="","",$AL140),IF($AK140="","",$AK140)))),IF(AND(ABS($AC140-significance_bar)&lt;=2.0*IF($V140,IF($AL140="","",$AL140),IF($AK140="","",$AK140)),OR($Y140="worse",$Y140="worse, not significant")),IF(ROUND($AC140,3)=ROUND(significance_bar,3),TEXT($AC140,"0.0000"),TEXT($AC140,"0.000")),""),"")</f>
        <v/>
      </c>
      <c r="AO140">
        <f>IF(OR($AI140="",$AN140=""),$AI140,$AI140&amp;" · borderline (p "&amp;$AN140&amp;")")</f>
        <v/>
      </c>
    </row>
    <row r="141">
      <c r="A141" t="inlineStr">
        <is>
          <t>grids</t>
        </is>
      </c>
      <c r="B141" t="inlineStr">
        <is>
          <t>SHORT_HIST x CHANNEL</t>
        </is>
      </c>
      <c r="C141" t="inlineStr">
        <is>
          <t>0.0 - 88.9</t>
        </is>
      </c>
      <c r="D141" t="inlineStr">
        <is>
          <t>Broker</t>
        </is>
      </c>
      <c r="E141" t="inlineStr">
        <is>
          <t>gco_rate</t>
        </is>
      </c>
      <c r="F141" t="inlineStr">
        <is>
          <t>GCO per booked dollar</t>
        </is>
      </c>
      <c r="G141" t="n">
        <v>508</v>
      </c>
      <c r="H141" t="n">
        <v>15888694.07</v>
      </c>
      <c r="I141" t="b">
        <v>0</v>
      </c>
      <c r="J141" t="b">
        <v>0</v>
      </c>
      <c r="K141" t="n">
        <v>1.120989575679732</v>
      </c>
      <c r="L141" t="n">
        <v>0.753049695030497</v>
      </c>
      <c r="M141" t="n">
        <v>1.108881767649975</v>
      </c>
      <c r="N141" t="n">
        <v>0.8478243084782431</v>
      </c>
      <c r="O141" t="n">
        <v>79389.09741147351</v>
      </c>
      <c r="P141" t="n">
        <v>72224.47685934021</v>
      </c>
      <c r="Q141">
        <f>'_live'!$C$22</f>
        <v/>
      </c>
      <c r="R141" t="inlineStr">
        <is>
          <t>shuffled: 5,126 of 10,000</t>
        </is>
      </c>
      <c r="S141" t="inlineStr">
        <is>
          <t>shuffled: 6,217 of 10,000</t>
        </is>
      </c>
      <c r="T141" t="n">
        <v>0.04129758995281143</v>
      </c>
      <c r="U141" t="n">
        <v>0.04174851565636947</v>
      </c>
      <c r="V141">
        <f>AND(judged_band,NOT($J141))</f>
        <v/>
      </c>
      <c r="W141">
        <f>IF($K141="","",IF($I141,"too few losses to test",IF(AND($K141&gt;better_at,$K141&lt;worse_at),"in line",IF($K141&gt;=worse_at,IF(AND(ISNUMBER($L141),$L141&lt;significance_bar),"worse","worse, not significant"),IF(AND(ISNUMBER($L141),$L141&lt;significance_bar),"better","better, not significant")))))</f>
        <v/>
      </c>
      <c r="X141">
        <f>IF($M141="","",IF($I141,"too few losses to test",IF(AND($M141&gt;better_at,$M141&lt;worse_at),"in line",IF($M141&gt;=worse_at,IF(AND(ISNUMBER($N141),$N141&lt;significance_bar),"worse","worse, not significant"),IF(AND(ISNUMBER($N141),$N141&lt;significance_bar),"better","better, not significant")))))</f>
        <v/>
      </c>
      <c r="Y141">
        <f>IF($V141,$X141,$W141)</f>
        <v/>
      </c>
      <c r="Z141">
        <f>IF($V141,IF($P141="","",$P141),IF($O141="","",$O141))</f>
        <v/>
      </c>
      <c r="AA141">
        <f>IF(OR($Q141="",$Z141=""),"",IF(AND($Z141&gt;0,$Z141&gt;=$Q141),"yes","below the line"))</f>
        <v/>
      </c>
      <c r="AB141">
        <f>IF($V141,IF($M141="","",$M141),IF($K141="","",$K141))</f>
        <v/>
      </c>
      <c r="AC141">
        <f>IF($V141,IF($N141="","",$N141),IF($L141="","",$L141))</f>
        <v/>
      </c>
      <c r="AD141">
        <f>$Y141</f>
        <v/>
      </c>
      <c r="AE141">
        <f>IF($V141,IF($S141="","",$S141),IF($R141="","",$R141))</f>
        <v/>
      </c>
      <c r="AF141">
        <f>IF($V141,IF($U141="","",$U141),IF($T141="","",$T141))</f>
        <v/>
      </c>
      <c r="AG141">
        <f>IF($V141,IF($O141="","",$O141),IF($P141="","",$P141))</f>
        <v/>
      </c>
      <c r="AH141" t="n">
        <v>0.04629416783779764</v>
      </c>
      <c r="AI141">
        <f>IF($Y141="worse","Yes",IF($Y141="worse, not significant","Not sure",IF(OR($Y141="too few losses to test",$Y141="too few loans to test"),"Too few losses",IF($Y141="","","No"))))</f>
        <v/>
      </c>
      <c r="AJ141">
        <f>IF($AA141="yes","Yes",IF($AA141="","","No"))</f>
        <v/>
      </c>
      <c r="AK141" t="n">
        <v>0.006117420008488844</v>
      </c>
      <c r="AL141" t="n">
        <v>0.006613002336073797</v>
      </c>
      <c r="AM141">
        <f>IF(AND(ISNUMBER($AC141),ISNUMBER(IF($V141,IF($AL141="","",$AL141),IF($AK141="","",$AK141)))),IF(AND(ABS($AC141-significance_bar)&lt;=2.0*IF($V141,IF($AL141="","",$AL141),IF($AK141="","",$AK141)),OR($Y141="worse",$Y141="better",$Y141="worse, not significant",$Y141="better, not significant")),IF(ROUND($AC141,3)=ROUND(significance_bar,3),TEXT($AC141,"0.0000"),TEXT($AC141,"0.000")),""),"")</f>
        <v/>
      </c>
      <c r="AN141">
        <f>IF(AND(ISNUMBER($AC141),ISNUMBER(IF($V141,IF($AL141="","",$AL141),IF($AK141="","",$AK141)))),IF(AND(ABS($AC141-significance_bar)&lt;=2.0*IF($V141,IF($AL141="","",$AL141),IF($AK141="","",$AK141)),OR($Y141="worse",$Y141="worse, not significant")),IF(ROUND($AC141,3)=ROUND(significance_bar,3),TEXT($AC141,"0.0000"),TEXT($AC141,"0.000")),""),"")</f>
        <v/>
      </c>
      <c r="AO141">
        <f>IF(OR($AI141="",$AN141=""),$AI141,$AI141&amp;" · borderline (p "&amp;$AN141&amp;")")</f>
        <v/>
      </c>
    </row>
    <row r="142">
      <c r="A142" t="inlineStr">
        <is>
          <t>grids</t>
        </is>
      </c>
      <c r="B142" t="inlineStr">
        <is>
          <t>SHORT_HIST x CHANNEL</t>
        </is>
      </c>
      <c r="C142" t="inlineStr">
        <is>
          <t>0.0 - 88.9</t>
        </is>
      </c>
      <c r="D142" t="inlineStr">
        <is>
          <t>Broker</t>
        </is>
      </c>
      <c r="E142" t="inlineStr">
        <is>
          <t>ranr_rate</t>
        </is>
      </c>
      <c r="F142" t="inlineStr">
        <is>
          <t>Profit after losses: RANR per booked dollar</t>
        </is>
      </c>
      <c r="G142" t="n">
        <v>508</v>
      </c>
      <c r="H142" t="n">
        <v>15888694.07</v>
      </c>
      <c r="I142" t="b">
        <v>0</v>
      </c>
      <c r="J142" t="b">
        <v>0</v>
      </c>
      <c r="K142" t="n">
        <v>-0.01254930542291795</v>
      </c>
      <c r="L142" t="n">
        <v>0.3530919635309197</v>
      </c>
      <c r="M142" t="n">
        <v>-0.01410530076158735</v>
      </c>
      <c r="N142" t="n">
        <v>0.3016198380161984</v>
      </c>
      <c r="O142" t="n">
        <v>199392.0746557352</v>
      </c>
      <c r="P142" t="n">
        <v>224114.8085661994</v>
      </c>
      <c r="Q142">
        <f>'_live'!$C$23</f>
        <v/>
      </c>
      <c r="R142" t="inlineStr">
        <is>
          <t>shuffled: 1,807 of 10,000</t>
        </is>
      </c>
      <c r="S142" t="inlineStr">
        <is>
          <t>shuffled: 2,010 of 10,000</t>
        </is>
      </c>
      <c r="T142" t="n">
        <v>0.128762682171508</v>
      </c>
      <c r="U142" t="n">
        <v>0.1303186775101774</v>
      </c>
      <c r="V142">
        <f>AND(judged_band,NOT($J142))</f>
        <v/>
      </c>
      <c r="W142">
        <f>IF($K142="","",IF(profit_kind="test",IF(OR(NOT(AND(ISNUMBER($L142),$L142&lt;significance_bar)),$K142=0),"in line",IF($K142&lt;0,"worse","better")),IF(OR($K142=0,IF(profit_kind="points",ABS($K142),ABS($K142*$H142))&lt;profit_line*(1-1E-9)),"in line",IF(AND(ISNUMBER($L142),$L142&lt;significance_bar),IF($K142&lt;0,"worse","better"),IF($K142&lt;0,"worse, not significant","better, not significant")))))</f>
        <v/>
      </c>
      <c r="X142">
        <f>IF($M142="","",IF(profit_kind="test",IF(OR(NOT(AND(ISNUMBER($N142),$N142&lt;significance_bar)),$M142=0),"in line",IF($M142&lt;0,"worse","better")),IF(OR($M142=0,IF(profit_kind="points",ABS($M142),ABS($M142*$H142))&lt;profit_line*(1-1E-9)),"in line",IF(AND(ISNUMBER($N142),$N142&lt;significance_bar),IF($M142&lt;0,"worse","better"),IF($M142&lt;0,"worse, not significant","better, not significant")))))</f>
        <v/>
      </c>
      <c r="Y142">
        <f>IF($V142,$X142,$W142)</f>
        <v/>
      </c>
      <c r="Z142">
        <f>IF($V142,IF($P142="","",$P142),IF($O142="","",$O142))</f>
        <v/>
      </c>
      <c r="AA142">
        <f>IF(OR($Q142="",$Z142=""),"",IF(AND($Z142&gt;0,$Z142&gt;=$Q142),"yes","below the line"))</f>
        <v/>
      </c>
      <c r="AB142">
        <f>IF($V142,IF($M142="","",$M142),IF($K142="","",$K142))</f>
        <v/>
      </c>
      <c r="AC142">
        <f>IF($V142,IF($N142="","",$N142),IF($L142="","",$L142))</f>
        <v/>
      </c>
      <c r="AD142">
        <f>IF($Y142="","",IF($Y142="in line",IF(profit_kind="test",IF(ROUND($AB142*100,2)=0,"0.00",TEXT($AB142*100,"+0.00;-0.00"))&amp;" points against "&amp;IF($V142,"its band","the book")&amp;", "&amp;IF($AC142="","not tested","not significant"),IF(profit_kind="points","within "&amp;TEXT(profit_line*100,"0.00")&amp;" points of "&amp;IF($V142,"its band","the book")&amp;" ("&amp;IF(ROUND($AB142*100,2)=0,"0.00",TEXT($AB142*100,"+0.00;-0.00"))&amp;")","within $"&amp;TEXT(profit_line,"#,##0")&amp;" of "&amp;IF($V142,"its band","the book")&amp;" ("&amp;IF(ROUND($AB142*100,2)=0,"0.00",TEXT($AB142*100,"+0.00;-0.00"))&amp;" points)")),IF(LEFT($Y142,5)="worse","short of ","ahead of ")&amp;IF($V142,"its band","the book")&amp;" by "&amp;TEXT(ABS($AB142)*100,"0.00")&amp;" points"&amp;IF($Z142="",""," ($"&amp;TEXT(ABS($Z142),"#,##0")&amp;")")&amp;IF(RIGHT($Y142,15)="not significant"," (not significant)","")))</f>
        <v/>
      </c>
      <c r="AE142">
        <f>IF($V142,IF($S142="","",$S142),IF($R142="","",$R142))</f>
        <v/>
      </c>
      <c r="AF142">
        <f>IF($V142,IF($U142="","",$U142),IF($T142="","",$T142))</f>
        <v/>
      </c>
      <c r="AG142">
        <f>IF($V142,IF($O142="","",$O142),IF($P142="","",$P142))</f>
        <v/>
      </c>
      <c r="AH142" t="n">
        <v>0.1162133767485901</v>
      </c>
      <c r="AI142">
        <f>IF($Y142="worse","Yes",IF($Y142="worse, not significant","Not sure",IF(OR($Y142="too few losses to test",$Y142="too few loans to test"),"Too few losses",IF($Y142="","","No"))))</f>
        <v/>
      </c>
      <c r="AJ142">
        <f>IF($AA142="yes","Yes",IF($AA142="","","No"))</f>
        <v/>
      </c>
      <c r="AK142" t="n">
        <v>0.006731366240995301</v>
      </c>
      <c r="AL142" t="n">
        <v>0.00601211468902066</v>
      </c>
      <c r="AM142">
        <f>IF(AND(ISNUMBER($AC142),ISNUMBER(IF($V142,IF($AL142="","",$AL142),IF($AK142="","",$AK142)))),IF(AND(ABS($AC142-significance_bar)&lt;=2.0*IF($V142,IF($AL142="","",$AL142),IF($AK142="","",$AK142)),OR($Y142="worse",$Y142="better",$Y142="worse, not significant",$Y142="better, not significant",AND(profit_kind="test",$Y142="in line",ISNUMBER($AB142),$AB142&lt;&gt;0))),IF(ROUND($AC142,3)=ROUND(significance_bar,3),TEXT($AC142,"0.0000"),TEXT($AC142,"0.000")),""),"")</f>
        <v/>
      </c>
      <c r="AN142">
        <f>IF(AND(ISNUMBER($AC142),ISNUMBER(IF($V142,IF($AL142="","",$AL142),IF($AK142="","",$AK142)))),IF(AND(ABS($AC142-significance_bar)&lt;=2.0*IF($V142,IF($AL142="","",$AL142),IF($AK142="","",$AK142)),OR($Y142="worse",$Y142="worse, not significant",AND(profit_kind="test",$Y142="in line",ISNUMBER($AB142),$AB142&lt;0))),IF(ROUND($AC142,3)=ROUND(significance_bar,3),TEXT($AC142,"0.0000"),TEXT($AC142,"0.000")),""),"")</f>
        <v/>
      </c>
      <c r="AO142">
        <f>IF(OR($AI142="",$AN142=""),$AI142,$AI142&amp;" · borderline (p "&amp;$AN142&amp;")")</f>
        <v/>
      </c>
    </row>
    <row r="143">
      <c r="A143" t="inlineStr">
        <is>
          <t>grids</t>
        </is>
      </c>
      <c r="B143" t="inlineStr">
        <is>
          <t>SHORT_HIST x CHANNEL</t>
        </is>
      </c>
      <c r="C143" t="inlineStr">
        <is>
          <t>0.0 - 88.9</t>
        </is>
      </c>
      <c r="D143" t="inlineStr">
        <is>
          <t>Broker</t>
        </is>
      </c>
      <c r="E143" t="inlineStr">
        <is>
          <t>contribution_rate</t>
        </is>
      </c>
      <c r="F143" t="inlineStr">
        <is>
          <t>Contribution before losses per booked dollar</t>
        </is>
      </c>
      <c r="G143" t="n">
        <v>508</v>
      </c>
      <c r="H143" t="n">
        <v>15888694.07</v>
      </c>
      <c r="I143" t="b">
        <v>0</v>
      </c>
      <c r="J143" t="b">
        <v>0</v>
      </c>
      <c r="K143" t="n">
        <v>-0.007549807301062139</v>
      </c>
      <c r="L143" t="n">
        <v>0.3062462984470783</v>
      </c>
      <c r="M143" t="n">
        <v>-0.00955964858015923</v>
      </c>
      <c r="N143" t="n">
        <v>0.2510748925107489</v>
      </c>
      <c r="O143" t="n">
        <v>119956.5784940287</v>
      </c>
      <c r="P143" t="n">
        <v>151890.3317068601</v>
      </c>
      <c r="Q143">
        <f>'_live'!$C$24</f>
        <v/>
      </c>
      <c r="R143" t="inlineStr">
        <is>
          <t>shuffled: 2,211 of 10,000</t>
        </is>
      </c>
      <c r="S143" t="inlineStr">
        <is>
          <t>shuffled: 1,673 of 10,000</t>
        </is>
      </c>
      <c r="T143" t="n">
        <v>0.1700573518874499</v>
      </c>
      <c r="U143" t="n">
        <v>0.172067193166547</v>
      </c>
      <c r="V143">
        <f>AND(judged_band,NOT($J143))</f>
        <v/>
      </c>
      <c r="W143">
        <f>IF($K143="","",IF(profit_kind="test",IF(OR(NOT(AND(ISNUMBER($L143),$L143&lt;significance_bar)),$K143=0),"in line",IF($K143&lt;0,"worse","better")),IF(OR($K143=0,IF(profit_kind="points",ABS($K143),ABS($K143*$H143))&lt;profit_line*(1-1E-9)),"in line",IF(AND(ISNUMBER($L143),$L143&lt;significance_bar),IF($K143&lt;0,"worse","better"),IF($K143&lt;0,"worse, not significant","better, not significant")))))</f>
        <v/>
      </c>
      <c r="X143">
        <f>IF($M143="","",IF(profit_kind="test",IF(OR(NOT(AND(ISNUMBER($N143),$N143&lt;significance_bar)),$M143=0),"in line",IF($M143&lt;0,"worse","better")),IF(OR($M143=0,IF(profit_kind="points",ABS($M143),ABS($M143*$H143))&lt;profit_line*(1-1E-9)),"in line",IF(AND(ISNUMBER($N143),$N143&lt;significance_bar),IF($M143&lt;0,"worse","better"),IF($M143&lt;0,"worse, not significant","better, not significant")))))</f>
        <v/>
      </c>
      <c r="Y143">
        <f>IF($V143,$X143,$W143)</f>
        <v/>
      </c>
      <c r="Z143">
        <f>IF($V143,IF($P143="","",$P143),IF($O143="","",$O143))</f>
        <v/>
      </c>
      <c r="AA143">
        <f>IF(OR($Q143="",$Z143=""),"",IF(AND($Z143&gt;0,$Z143&gt;=$Q143),"yes","below the line"))</f>
        <v/>
      </c>
      <c r="AB143">
        <f>IF($V143,IF($M143="","",$M143),IF($K143="","",$K143))</f>
        <v/>
      </c>
      <c r="AC143">
        <f>IF($V143,IF($N143="","",$N143),IF($L143="","",$L143))</f>
        <v/>
      </c>
      <c r="AD143">
        <f>IF($Y143="","",IF($Y143="in line",IF(profit_kind="test",IF(ROUND($AB143*100,2)=0,"0.00",TEXT($AB143*100,"+0.00;-0.00"))&amp;" points against "&amp;IF($V143,"its band","the book")&amp;", "&amp;IF($AC143="","not tested","not significant"),IF(profit_kind="points","within "&amp;TEXT(profit_line*100,"0.00")&amp;" points of "&amp;IF($V143,"its band","the book")&amp;" ("&amp;IF(ROUND($AB143*100,2)=0,"0.00",TEXT($AB143*100,"+0.00;-0.00"))&amp;")","within $"&amp;TEXT(profit_line,"#,##0")&amp;" of "&amp;IF($V143,"its band","the book")&amp;" ("&amp;IF(ROUND($AB143*100,2)=0,"0.00",TEXT($AB143*100,"+0.00;-0.00"))&amp;" points)")),IF(LEFT($Y143,5)="worse","short of ","ahead of ")&amp;IF($V143,"its band","the book")&amp;" by "&amp;TEXT(ABS($AB143)*100,"0.00")&amp;" points"&amp;IF($Z143="",""," ($"&amp;TEXT(ABS($Z143),"#,##0")&amp;")")&amp;IF(RIGHT($Y143,15)="not significant"," (not significant)","")))</f>
        <v/>
      </c>
      <c r="AE143">
        <f>IF($V143,IF($S143="","",$S143),IF($R143="","",$R143))</f>
        <v/>
      </c>
      <c r="AF143">
        <f>IF($V143,IF($U143="","",$U143),IF($T143="","",$T143))</f>
        <v/>
      </c>
      <c r="AG143">
        <f>IF($V143,IF($O143="","",$O143),IF($P143="","",$P143))</f>
        <v/>
      </c>
      <c r="AH143" t="n">
        <v>0.1625075445863878</v>
      </c>
      <c r="AI143">
        <f>IF($Y143="worse","Yes",IF($Y143="worse, not significant","Not sure",IF(OR($Y143="too few losses to test",$Y143="too few loans to test"),"Too few losses",IF($Y143="","","No"))))</f>
        <v/>
      </c>
      <c r="AJ143">
        <f>IF($AA143="yes","Yes",IF($AA143="","","No"))</f>
        <v/>
      </c>
      <c r="AK143" t="n">
        <v>0.00574670810985561</v>
      </c>
      <c r="AL143" t="n">
        <v>0.005599765505062147</v>
      </c>
      <c r="AM143">
        <f>IF(AND(ISNUMBER($AC143),ISNUMBER(IF($V143,IF($AL143="","",$AL143),IF($AK143="","",$AK143)))),IF(AND(ABS($AC143-significance_bar)&lt;=2.0*IF($V143,IF($AL143="","",$AL143),IF($AK143="","",$AK143)),OR($Y143="worse",$Y143="better",$Y143="worse, not significant",$Y143="better, not significant",AND(profit_kind="test",$Y143="in line",ISNUMBER($AB143),$AB143&lt;&gt;0))),IF(ROUND($AC143,3)=ROUND(significance_bar,3),TEXT($AC143,"0.0000"),TEXT($AC143,"0.000")),""),"")</f>
        <v/>
      </c>
      <c r="AN143">
        <f>IF(AND(ISNUMBER($AC143),ISNUMBER(IF($V143,IF($AL143="","",$AL143),IF($AK143="","",$AK143)))),IF(AND(ABS($AC143-significance_bar)&lt;=2.0*IF($V143,IF($AL143="","",$AL143),IF($AK143="","",$AK143)),OR($Y143="worse",$Y143="worse, not significant",AND(profit_kind="test",$Y143="in line",ISNUMBER($AB143),$AB143&lt;0))),IF(ROUND($AC143,3)=ROUND(significance_bar,3),TEXT($AC143,"0.0000"),TEXT($AC143,"0.000")),""),"")</f>
        <v/>
      </c>
      <c r="AO143">
        <f>IF(OR($AI143="",$AN143=""),$AI143,$AI143&amp;" · borderline (p "&amp;$AN143&amp;")")</f>
        <v/>
      </c>
    </row>
    <row r="144">
      <c r="A144" t="inlineStr">
        <is>
          <t>grids</t>
        </is>
      </c>
      <c r="B144" t="inlineStr">
        <is>
          <t>SHORT_HIST x CHANNEL</t>
        </is>
      </c>
      <c r="C144" t="inlineStr">
        <is>
          <t>0.0 - 88.9</t>
        </is>
      </c>
      <c r="D144" t="inlineStr">
        <is>
          <t>Online</t>
        </is>
      </c>
      <c r="E144" t="inlineStr">
        <is>
          <t>outcome_loans</t>
        </is>
      </c>
      <c r="F144" t="inlineStr">
        <is>
          <t>Outcome, share of loans</t>
        </is>
      </c>
      <c r="G144" t="n">
        <v>528</v>
      </c>
      <c r="H144" t="n">
        <v>528</v>
      </c>
      <c r="I144" t="b">
        <v>0</v>
      </c>
      <c r="J144" t="b">
        <v>0</v>
      </c>
      <c r="K144" t="n">
        <v>1.056308527988215</v>
      </c>
      <c r="L144" t="n">
        <v>0.851303443149268</v>
      </c>
      <c r="M144" t="n">
        <v>1.034280303030303</v>
      </c>
      <c r="N144" t="n">
        <v>0.891882579343229</v>
      </c>
      <c r="O144" t="n">
        <v>2.29219649310668</v>
      </c>
      <c r="P144" t="n">
        <v>1.425196850393704</v>
      </c>
      <c r="Q144">
        <f>'_live'!$C$20</f>
        <v/>
      </c>
      <c r="R144" t="inlineStr">
        <is>
          <t>z test</t>
        </is>
      </c>
      <c r="S144" t="inlineStr">
        <is>
          <t>z test</t>
        </is>
      </c>
      <c r="T144" t="n">
        <v>0.07709811270244947</v>
      </c>
      <c r="U144" t="n">
        <v>0.07874015748031496</v>
      </c>
      <c r="V144">
        <f>AND(judged_band,NOT($J144))</f>
        <v/>
      </c>
      <c r="W144">
        <f>IF($K144="","",IF($I144,"too few losses to test",IF(AND($K144&gt;better_at,$K144&lt;worse_at),"in line",IF($K144&gt;=worse_at,IF(AND(ISNUMBER($L144),$L144&lt;significance_bar),"worse","worse, not significant"),IF(AND(ISNUMBER($L144),$L144&lt;significance_bar),"better","better, not significant")))))</f>
        <v/>
      </c>
      <c r="X144">
        <f>IF($M144="","",IF($I144,"too few losses to test",IF(AND($M144&gt;better_at,$M144&lt;worse_at),"in line",IF($M144&gt;=worse_at,IF(AND(ISNUMBER($N144),$N144&lt;significance_bar),"worse","worse, not significant"),IF(AND(ISNUMBER($N144),$N144&lt;significance_bar),"better","better, not significant")))))</f>
        <v/>
      </c>
      <c r="Y144">
        <f>IF($V144,$X144,$W144)</f>
        <v/>
      </c>
      <c r="Z144">
        <f>IF($V144,IF($P144="","",$P144),IF($O144="","",$O144))</f>
        <v/>
      </c>
      <c r="AA144">
        <f>IF(OR($Q144="",$Z144=""),"",IF(AND($Z144&gt;0,$Z144&gt;=$Q144),"yes","below the line"))</f>
        <v/>
      </c>
      <c r="AB144">
        <f>IF($V144,IF($M144="","",$M144),IF($K144="","",$K144))</f>
        <v/>
      </c>
      <c r="AC144">
        <f>IF($V144,IF($N144="","",$N144),IF($L144="","",$L144))</f>
        <v/>
      </c>
      <c r="AD144">
        <f>$Y144</f>
        <v/>
      </c>
      <c r="AE144">
        <f>IF($V144,IF($S144="","",$S144),IF($R144="","",$R144))</f>
        <v/>
      </c>
      <c r="AF144">
        <f>IF($V144,IF($U144="","",$U144),IF($T144="","",$T144))</f>
        <v/>
      </c>
      <c r="AG144">
        <f>IF($V144,IF($O144="","",$O144),IF($P144="","",$P144))</f>
        <v/>
      </c>
      <c r="AH144" t="n">
        <v>0.08143939393939394</v>
      </c>
      <c r="AI144">
        <f>IF($Y144="worse","Yes",IF($Y144="worse, not significant","Not sure",IF(OR($Y144="too few losses to test",$Y144="too few loans to test"),"Too few losses",IF($Y144="","","No"))))</f>
        <v/>
      </c>
      <c r="AJ144">
        <f>IF($AA144="yes","Yes",IF($AA144="","","No"))</f>
        <v/>
      </c>
      <c r="AM144">
        <f>IF(AND(ISNUMBER($AC144),ISNUMBER(IF($V144,IF($AL144="","",$AL144),IF($AK144="","",$AK144)))),IF(AND(ABS($AC144-significance_bar)&lt;=2.0*IF($V144,IF($AL144="","",$AL144),IF($AK144="","",$AK144)),OR($Y144="worse",$Y144="better",$Y144="worse, not significant",$Y144="better, not significant")),IF(ROUND($AC144,3)=ROUND(significance_bar,3),TEXT($AC144,"0.0000"),TEXT($AC144,"0.000")),""),"")</f>
        <v/>
      </c>
      <c r="AN144">
        <f>IF(AND(ISNUMBER($AC144),ISNUMBER(IF($V144,IF($AL144="","",$AL144),IF($AK144="","",$AK144)))),IF(AND(ABS($AC144-significance_bar)&lt;=2.0*IF($V144,IF($AL144="","",$AL144),IF($AK144="","",$AK144)),OR($Y144="worse",$Y144="worse, not significant")),IF(ROUND($AC144,3)=ROUND(significance_bar,3),TEXT($AC144,"0.0000"),TEXT($AC144,"0.000")),""),"")</f>
        <v/>
      </c>
      <c r="AO144">
        <f>IF(OR($AI144="",$AN144=""),$AI144,$AI144&amp;" · borderline (p "&amp;$AN144&amp;")")</f>
        <v/>
      </c>
    </row>
    <row r="145">
      <c r="A145" t="inlineStr">
        <is>
          <t>grids</t>
        </is>
      </c>
      <c r="B145" t="inlineStr">
        <is>
          <t>SHORT_HIST x CHANNEL</t>
        </is>
      </c>
      <c r="C145" t="inlineStr">
        <is>
          <t>0.0 - 88.9</t>
        </is>
      </c>
      <c r="D145" t="inlineStr">
        <is>
          <t>Online</t>
        </is>
      </c>
      <c r="E145" t="inlineStr">
        <is>
          <t>outcome_booked</t>
        </is>
      </c>
      <c r="F145" t="inlineStr">
        <is>
          <t>Outcome, share of booked dollars</t>
        </is>
      </c>
      <c r="G145" t="n">
        <v>528</v>
      </c>
      <c r="H145" t="n">
        <v>17117707.71</v>
      </c>
      <c r="I145" t="b">
        <v>0</v>
      </c>
      <c r="J145" t="b">
        <v>0</v>
      </c>
      <c r="K145" t="n">
        <v>1.089519035957178</v>
      </c>
      <c r="L145" t="n">
        <v>0.7186424214721386</v>
      </c>
      <c r="M145" t="n">
        <v>1.058625962199761</v>
      </c>
      <c r="N145" t="n">
        <v>0.8951961946662477</v>
      </c>
      <c r="O145" t="n">
        <v>113987.8817343505</v>
      </c>
      <c r="P145" t="n">
        <v>76829.0657572858</v>
      </c>
      <c r="Q145">
        <f>'_live'!$C$21</f>
        <v/>
      </c>
      <c r="R145" t="inlineStr">
        <is>
          <t>shuffled: 6,143 of 10,000</t>
        </is>
      </c>
      <c r="S145" t="inlineStr">
        <is>
          <t>shuffled: 7,824 of 10,000</t>
        </is>
      </c>
      <c r="T145" t="n">
        <v>0.07438710894226677</v>
      </c>
      <c r="U145" t="n">
        <v>0.07655789118756454</v>
      </c>
      <c r="V145">
        <f>AND(judged_band,NOT($J145))</f>
        <v/>
      </c>
      <c r="W145">
        <f>IF($K145="","",IF($I145,"too few losses to test",IF(AND($K145&gt;better_at,$K145&lt;worse_at),"in line",IF($K145&gt;=worse_at,IF(AND(ISNUMBER($L145),$L145&lt;significance_bar),"worse","worse, not significant"),IF(AND(ISNUMBER($L145),$L145&lt;significance_bar),"better","better, not significant")))))</f>
        <v/>
      </c>
      <c r="X145">
        <f>IF($M145="","",IF($I145,"too few losses to test",IF(AND($M145&gt;better_at,$M145&lt;worse_at),"in line",IF($M145&gt;=worse_at,IF(AND(ISNUMBER($N145),$N145&lt;significance_bar),"worse","worse, not significant"),IF(AND(ISNUMBER($N145),$N145&lt;significance_bar),"better","better, not significant")))))</f>
        <v/>
      </c>
      <c r="Y145">
        <f>IF($V145,$X145,$W145)</f>
        <v/>
      </c>
      <c r="Z145">
        <f>IF($V145,IF($P145="","",$P145),IF($O145="","",$O145))</f>
        <v/>
      </c>
      <c r="AA145">
        <f>IF(OR($Q145="",$Z145=""),"",IF(AND($Z145&gt;0,$Z145&gt;=$Q145),"yes","below the line"))</f>
        <v/>
      </c>
      <c r="AB145">
        <f>IF($V145,IF($M145="","",$M145),IF($K145="","",$K145))</f>
        <v/>
      </c>
      <c r="AC145">
        <f>IF($V145,IF($N145="","",$N145),IF($L145="","",$L145))</f>
        <v/>
      </c>
      <c r="AD145">
        <f>$Y145</f>
        <v/>
      </c>
      <c r="AE145">
        <f>IF($V145,IF($S145="","",$S145),IF($R145="","",$R145))</f>
        <v/>
      </c>
      <c r="AF145">
        <f>IF($V145,IF($U145="","",$U145),IF($T145="","",$T145))</f>
        <v/>
      </c>
      <c r="AG145">
        <f>IF($V145,IF($O145="","",$O145),IF($P145="","",$P145))</f>
        <v/>
      </c>
      <c r="AH145" t="n">
        <v>0.08104617122242008</v>
      </c>
      <c r="AI145">
        <f>IF($Y145="worse","Yes",IF($Y145="worse, not significant","Not sure",IF(OR($Y145="too few losses to test",$Y145="too few loans to test"),"Too few losses",IF($Y145="","","No"))))</f>
        <v/>
      </c>
      <c r="AJ145">
        <f>IF($AA145="yes","Yes",IF($AA145="","","No"))</f>
        <v/>
      </c>
      <c r="AK145" t="n">
        <v>0.00503514739671565</v>
      </c>
      <c r="AL145" t="n">
        <v>0.003971933446756387</v>
      </c>
      <c r="AM145">
        <f>IF(AND(ISNUMBER($AC145),ISNUMBER(IF($V145,IF($AL145="","",$AL145),IF($AK145="","",$AK145)))),IF(AND(ABS($AC145-significance_bar)&lt;=2.0*IF($V145,IF($AL145="","",$AL145),IF($AK145="","",$AK145)),OR($Y145="worse",$Y145="better",$Y145="worse, not significant",$Y145="better, not significant")),IF(ROUND($AC145,3)=ROUND(significance_bar,3),TEXT($AC145,"0.0000"),TEXT($AC145,"0.000")),""),"")</f>
        <v/>
      </c>
      <c r="AN145">
        <f>IF(AND(ISNUMBER($AC145),ISNUMBER(IF($V145,IF($AL145="","",$AL145),IF($AK145="","",$AK145)))),IF(AND(ABS($AC145-significance_bar)&lt;=2.0*IF($V145,IF($AL145="","",$AL145),IF($AK145="","",$AK145)),OR($Y145="worse",$Y145="worse, not significant")),IF(ROUND($AC145,3)=ROUND(significance_bar,3),TEXT($AC145,"0.0000"),TEXT($AC145,"0.000")),""),"")</f>
        <v/>
      </c>
      <c r="AO145">
        <f>IF(OR($AI145="",$AN145=""),$AI145,$AI145&amp;" · borderline (p "&amp;$AN145&amp;")")</f>
        <v/>
      </c>
    </row>
    <row r="146">
      <c r="A146" t="inlineStr">
        <is>
          <t>grids</t>
        </is>
      </c>
      <c r="B146" t="inlineStr">
        <is>
          <t>SHORT_HIST x CHANNEL</t>
        </is>
      </c>
      <c r="C146" t="inlineStr">
        <is>
          <t>0.0 - 88.9</t>
        </is>
      </c>
      <c r="D146" t="inlineStr">
        <is>
          <t>Online</t>
        </is>
      </c>
      <c r="E146" t="inlineStr">
        <is>
          <t>gco_rate</t>
        </is>
      </c>
      <c r="F146" t="inlineStr">
        <is>
          <t>GCO per booked dollar</t>
        </is>
      </c>
      <c r="G146" t="n">
        <v>528</v>
      </c>
      <c r="H146" t="n">
        <v>17117707.71</v>
      </c>
      <c r="I146" t="b">
        <v>0</v>
      </c>
      <c r="J146" t="b">
        <v>0</v>
      </c>
      <c r="K146" t="n">
        <v>1.015161559901303</v>
      </c>
      <c r="L146" t="n">
        <v>0.9617038296170383</v>
      </c>
      <c r="M146" t="n">
        <v>0.9643204203461474</v>
      </c>
      <c r="N146" t="n">
        <v>0.9254074592540746</v>
      </c>
      <c r="O146" t="n">
        <v>10787.01257140294</v>
      </c>
      <c r="P146" t="n">
        <v>-26723.34564678266</v>
      </c>
      <c r="Q146">
        <f>'_live'!$C$22</f>
        <v/>
      </c>
      <c r="R146" t="inlineStr">
        <is>
          <t>shuffled: 9,350 of 10,000</t>
        </is>
      </c>
      <c r="S146" t="inlineStr">
        <is>
          <t>shuffled: 8,637 of 10,000</t>
        </is>
      </c>
      <c r="T146" t="n">
        <v>0.04156345986752434</v>
      </c>
      <c r="U146" t="n">
        <v>0.04375477887201186</v>
      </c>
      <c r="V146">
        <f>AND(judged_band,NOT($J146))</f>
        <v/>
      </c>
      <c r="W146">
        <f>IF($K146="","",IF($I146,"too few losses to test",IF(AND($K146&gt;better_at,$K146&lt;worse_at),"in line",IF($K146&gt;=worse_at,IF(AND(ISNUMBER($L146),$L146&lt;significance_bar),"worse","worse, not significant"),IF(AND(ISNUMBER($L146),$L146&lt;significance_bar),"better","better, not significant")))))</f>
        <v/>
      </c>
      <c r="X146">
        <f>IF($M146="","",IF($I146,"too few losses to test",IF(AND($M146&gt;better_at,$M146&lt;worse_at),"in line",IF($M146&gt;=worse_at,IF(AND(ISNUMBER($N146),$N146&lt;significance_bar),"worse","worse, not significant"),IF(AND(ISNUMBER($N146),$N146&lt;significance_bar),"better","better, not significant")))))</f>
        <v/>
      </c>
      <c r="Y146">
        <f>IF($V146,$X146,$W146)</f>
        <v/>
      </c>
      <c r="Z146">
        <f>IF($V146,IF($P146="","",$P146),IF($O146="","",$O146))</f>
        <v/>
      </c>
      <c r="AA146">
        <f>IF(OR($Q146="",$Z146=""),"",IF(AND($Z146&gt;0,$Z146&gt;=$Q146),"yes","below the line"))</f>
        <v/>
      </c>
      <c r="AB146">
        <f>IF($V146,IF($M146="","",$M146),IF($K146="","",$K146))</f>
        <v/>
      </c>
      <c r="AC146">
        <f>IF($V146,IF($N146="","",$N146),IF($L146="","",$L146))</f>
        <v/>
      </c>
      <c r="AD146">
        <f>$Y146</f>
        <v/>
      </c>
      <c r="AE146">
        <f>IF($V146,IF($S146="","",$S146),IF($R146="","",$R146))</f>
        <v/>
      </c>
      <c r="AF146">
        <f>IF($V146,IF($U146="","",$U146),IF($T146="","",$T146))</f>
        <v/>
      </c>
      <c r="AG146">
        <f>IF($V146,IF($O146="","",$O146),IF($P146="","",$P146))</f>
        <v/>
      </c>
      <c r="AH146" t="n">
        <v>0.04219362675401121</v>
      </c>
      <c r="AI146">
        <f>IF($Y146="worse","Yes",IF($Y146="worse, not significant","Not sure",IF(OR($Y146="too few losses to test",$Y146="too few loans to test"),"Too few losses",IF($Y146="","","No"))))</f>
        <v/>
      </c>
      <c r="AJ146">
        <f>IF($AA146="yes","Yes",IF($AA146="","","No"))</f>
        <v/>
      </c>
      <c r="AK146" t="n">
        <v>0.001919103272806362</v>
      </c>
      <c r="AL146" t="n">
        <v>0.003675990021951302</v>
      </c>
      <c r="AM146">
        <f>IF(AND(ISNUMBER($AC146),ISNUMBER(IF($V146,IF($AL146="","",$AL146),IF($AK146="","",$AK146)))),IF(AND(ABS($AC146-significance_bar)&lt;=2.0*IF($V146,IF($AL146="","",$AL146),IF($AK146="","",$AK146)),OR($Y146="worse",$Y146="better",$Y146="worse, not significant",$Y146="better, not significant")),IF(ROUND($AC146,3)=ROUND(significance_bar,3),TEXT($AC146,"0.0000"),TEXT($AC146,"0.000")),""),"")</f>
        <v/>
      </c>
      <c r="AN146">
        <f>IF(AND(ISNUMBER($AC146),ISNUMBER(IF($V146,IF($AL146="","",$AL146),IF($AK146="","",$AK146)))),IF(AND(ABS($AC146-significance_bar)&lt;=2.0*IF($V146,IF($AL146="","",$AL146),IF($AK146="","",$AK146)),OR($Y146="worse",$Y146="worse, not significant")),IF(ROUND($AC146,3)=ROUND(significance_bar,3),TEXT($AC146,"0.0000"),TEXT($AC146,"0.000")),""),"")</f>
        <v/>
      </c>
      <c r="AO146">
        <f>IF(OR($AI146="",$AN146=""),$AI146,$AI146&amp;" · borderline (p "&amp;$AN146&amp;")")</f>
        <v/>
      </c>
    </row>
    <row r="147">
      <c r="A147" t="inlineStr">
        <is>
          <t>grids</t>
        </is>
      </c>
      <c r="B147" t="inlineStr">
        <is>
          <t>SHORT_HIST x CHANNEL</t>
        </is>
      </c>
      <c r="C147" t="inlineStr">
        <is>
          <t>0.0 - 88.9</t>
        </is>
      </c>
      <c r="D147" t="inlineStr">
        <is>
          <t>Online</t>
        </is>
      </c>
      <c r="E147" t="inlineStr">
        <is>
          <t>ranr_rate</t>
        </is>
      </c>
      <c r="F147" t="inlineStr">
        <is>
          <t>Profit after losses: RANR per booked dollar</t>
        </is>
      </c>
      <c r="G147" t="n">
        <v>528</v>
      </c>
      <c r="H147" t="n">
        <v>17117707.71</v>
      </c>
      <c r="I147" t="b">
        <v>0</v>
      </c>
      <c r="J147" t="b">
        <v>0</v>
      </c>
      <c r="K147" t="n">
        <v>0.01615775695844057</v>
      </c>
      <c r="L147" t="n">
        <v>0.2486751324867513</v>
      </c>
      <c r="M147" t="n">
        <v>0.02649862126720899</v>
      </c>
      <c r="N147" t="n">
        <v>0.053994600539946</v>
      </c>
      <c r="O147" t="n">
        <v>-276583.7608638047</v>
      </c>
      <c r="P147" t="n">
        <v>-453595.6535700734</v>
      </c>
      <c r="Q147">
        <f>'_live'!$C$23</f>
        <v/>
      </c>
      <c r="R147" t="inlineStr">
        <is>
          <t>shuffled: 828 of 10,000</t>
        </is>
      </c>
      <c r="S147" t="inlineStr">
        <is>
          <t>shuffled: 149 of 10,000</t>
        </is>
      </c>
      <c r="T147" t="n">
        <v>0.1269183038957377</v>
      </c>
      <c r="U147" t="n">
        <v>0.1165774395869693</v>
      </c>
      <c r="V147">
        <f>AND(judged_band,NOT($J147))</f>
        <v/>
      </c>
      <c r="W147">
        <f>IF($K147="","",IF(profit_kind="test",IF(OR(NOT(AND(ISNUMBER($L147),$L147&lt;significance_bar)),$K147=0),"in line",IF($K147&lt;0,"worse","better")),IF(OR($K147=0,IF(profit_kind="points",ABS($K147),ABS($K147*$H147))&lt;profit_line*(1-1E-9)),"in line",IF(AND(ISNUMBER($L147),$L147&lt;significance_bar),IF($K147&lt;0,"worse","better"),IF($K147&lt;0,"worse, not significant","better, not significant")))))</f>
        <v/>
      </c>
      <c r="X147">
        <f>IF($M147="","",IF(profit_kind="test",IF(OR(NOT(AND(ISNUMBER($N147),$N147&lt;significance_bar)),$M147=0),"in line",IF($M147&lt;0,"worse","better")),IF(OR($M147=0,IF(profit_kind="points",ABS($M147),ABS($M147*$H147))&lt;profit_line*(1-1E-9)),"in line",IF(AND(ISNUMBER($N147),$N147&lt;significance_bar),IF($M147&lt;0,"worse","better"),IF($M147&lt;0,"worse, not significant","better, not significant")))))</f>
        <v/>
      </c>
      <c r="Y147">
        <f>IF($V147,$X147,$W147)</f>
        <v/>
      </c>
      <c r="Z147">
        <f>IF($V147,IF($P147="","",$P147),IF($O147="","",$O147))</f>
        <v/>
      </c>
      <c r="AA147">
        <f>IF(OR($Q147="",$Z147=""),"",IF(AND($Z147&gt;0,$Z147&gt;=$Q147),"yes","below the line"))</f>
        <v/>
      </c>
      <c r="AB147">
        <f>IF($V147,IF($M147="","",$M147),IF($K147="","",$K147))</f>
        <v/>
      </c>
      <c r="AC147">
        <f>IF($V147,IF($N147="","",$N147),IF($L147="","",$L147))</f>
        <v/>
      </c>
      <c r="AD147">
        <f>IF($Y147="","",IF($Y147="in line",IF(profit_kind="test",IF(ROUND($AB147*100,2)=0,"0.00",TEXT($AB147*100,"+0.00;-0.00"))&amp;" points against "&amp;IF($V147,"its band","the book")&amp;", "&amp;IF($AC147="","not tested","not significant"),IF(profit_kind="points","within "&amp;TEXT(profit_line*100,"0.00")&amp;" points of "&amp;IF($V147,"its band","the book")&amp;" ("&amp;IF(ROUND($AB147*100,2)=0,"0.00",TEXT($AB147*100,"+0.00;-0.00"))&amp;")","within $"&amp;TEXT(profit_line,"#,##0")&amp;" of "&amp;IF($V147,"its band","the book")&amp;" ("&amp;IF(ROUND($AB147*100,2)=0,"0.00",TEXT($AB147*100,"+0.00;-0.00"))&amp;" points)")),IF(LEFT($Y147,5)="worse","short of ","ahead of ")&amp;IF($V147,"its band","the book")&amp;" by "&amp;TEXT(ABS($AB147)*100,"0.00")&amp;" points"&amp;IF($Z147="",""," ($"&amp;TEXT(ABS($Z147),"#,##0")&amp;")")&amp;IF(RIGHT($Y147,15)="not significant"," (not significant)","")))</f>
        <v/>
      </c>
      <c r="AE147">
        <f>IF($V147,IF($S147="","",$S147),IF($R147="","",$R147))</f>
        <v/>
      </c>
      <c r="AF147">
        <f>IF($V147,IF($U147="","",$U147),IF($T147="","",$T147))</f>
        <v/>
      </c>
      <c r="AG147">
        <f>IF($V147,IF($O147="","",$O147),IF($P147="","",$P147))</f>
        <v/>
      </c>
      <c r="AH147" t="n">
        <v>0.1430760608541783</v>
      </c>
      <c r="AI147">
        <f>IF($Y147="worse","Yes",IF($Y147="worse, not significant","Not sure",IF(OR($Y147="too few losses to test",$Y147="too few loans to test"),"Too few losses",IF($Y147="","","No"))))</f>
        <v/>
      </c>
      <c r="AJ147">
        <f>IF($AA147="yes","Yes",IF($AA147="","","No"))</f>
        <v/>
      </c>
      <c r="AK147" t="n">
        <v>0.008271554122067695</v>
      </c>
      <c r="AL147" t="n">
        <v>0.004375673034589505</v>
      </c>
      <c r="AM147">
        <f>IF(AND(ISNUMBER($AC147),ISNUMBER(IF($V147,IF($AL147="","",$AL147),IF($AK147="","",$AK147)))),IF(AND(ABS($AC147-significance_bar)&lt;=2.0*IF($V147,IF($AL147="","",$AL147),IF($AK147="","",$AK147)),OR($Y147="worse",$Y147="better",$Y147="worse, not significant",$Y147="better, not significant",AND(profit_kind="test",$Y147="in line",ISNUMBER($AB147),$AB147&lt;&gt;0))),IF(ROUND($AC147,3)=ROUND(significance_bar,3),TEXT($AC147,"0.0000"),TEXT($AC147,"0.000")),""),"")</f>
        <v/>
      </c>
      <c r="AN147">
        <f>IF(AND(ISNUMBER($AC147),ISNUMBER(IF($V147,IF($AL147="","",$AL147),IF($AK147="","",$AK147)))),IF(AND(ABS($AC147-significance_bar)&lt;=2.0*IF($V147,IF($AL147="","",$AL147),IF($AK147="","",$AK147)),OR($Y147="worse",$Y147="worse, not significant",AND(profit_kind="test",$Y147="in line",ISNUMBER($AB147),$AB147&lt;0))),IF(ROUND($AC147,3)=ROUND(significance_bar,3),TEXT($AC147,"0.0000"),TEXT($AC147,"0.000")),""),"")</f>
        <v/>
      </c>
      <c r="AO147">
        <f>IF(OR($AI147="",$AN147=""),$AI147,$AI147&amp;" · borderline (p "&amp;$AN147&amp;")")</f>
        <v/>
      </c>
    </row>
    <row r="148">
      <c r="A148" t="inlineStr">
        <is>
          <t>grids</t>
        </is>
      </c>
      <c r="B148" t="inlineStr">
        <is>
          <t>SHORT_HIST x CHANNEL</t>
        </is>
      </c>
      <c r="C148" t="inlineStr">
        <is>
          <t>0.0 - 88.9</t>
        </is>
      </c>
      <c r="D148" t="inlineStr">
        <is>
          <t>Online</t>
        </is>
      </c>
      <c r="E148" t="inlineStr">
        <is>
          <t>contribution_rate</t>
        </is>
      </c>
      <c r="F148" t="inlineStr">
        <is>
          <t>Contribution before losses per booked dollar</t>
        </is>
      </c>
      <c r="G148" t="n">
        <v>528</v>
      </c>
      <c r="H148" t="n">
        <v>17117707.71</v>
      </c>
      <c r="I148" t="b">
        <v>0</v>
      </c>
      <c r="J148" t="b">
        <v>0</v>
      </c>
      <c r="K148" t="n">
        <v>0.01679116279739898</v>
      </c>
      <c r="L148" t="n">
        <v>0.0251974802519748</v>
      </c>
      <c r="M148" t="n">
        <v>0.02493746914920847</v>
      </c>
      <c r="N148" t="n">
        <v>0.0023997600239976</v>
      </c>
      <c r="O148" t="n">
        <v>-287426.2168769017</v>
      </c>
      <c r="P148" t="n">
        <v>-426872.3079232932</v>
      </c>
      <c r="Q148">
        <f>'_live'!$C$24</f>
        <v/>
      </c>
      <c r="R148" t="inlineStr">
        <is>
          <t>shuffled: 66 of 10,000</t>
        </is>
      </c>
      <c r="S148" t="inlineStr">
        <is>
          <t>shuffled: 3 of 10,000</t>
        </is>
      </c>
      <c r="T148" t="n">
        <v>0.1684785248107907</v>
      </c>
      <c r="U148" t="n">
        <v>0.1603322184589812</v>
      </c>
      <c r="V148">
        <f>AND(judged_band,NOT($J148))</f>
        <v/>
      </c>
      <c r="W148">
        <f>IF($K148="","",IF(profit_kind="test",IF(OR(NOT(AND(ISNUMBER($L148),$L148&lt;significance_bar)),$K148=0),"in line",IF($K148&lt;0,"worse","better")),IF(OR($K148=0,IF(profit_kind="points",ABS($K148),ABS($K148*$H148))&lt;profit_line*(1-1E-9)),"in line",IF(AND(ISNUMBER($L148),$L148&lt;significance_bar),IF($K148&lt;0,"worse","better"),IF($K148&lt;0,"worse, not significant","better, not significant")))))</f>
        <v/>
      </c>
      <c r="X148">
        <f>IF($M148="","",IF(profit_kind="test",IF(OR(NOT(AND(ISNUMBER($N148),$N148&lt;significance_bar)),$M148=0),"in line",IF($M148&lt;0,"worse","better")),IF(OR($M148=0,IF(profit_kind="points",ABS($M148),ABS($M148*$H148))&lt;profit_line*(1-1E-9)),"in line",IF(AND(ISNUMBER($N148),$N148&lt;significance_bar),IF($M148&lt;0,"worse","better"),IF($M148&lt;0,"worse, not significant","better, not significant")))))</f>
        <v/>
      </c>
      <c r="Y148">
        <f>IF($V148,$X148,$W148)</f>
        <v/>
      </c>
      <c r="Z148">
        <f>IF($V148,IF($P148="","",$P148),IF($O148="","",$O148))</f>
        <v/>
      </c>
      <c r="AA148">
        <f>IF(OR($Q148="",$Z148=""),"",IF(AND($Z148&gt;0,$Z148&gt;=$Q148),"yes","below the line"))</f>
        <v/>
      </c>
      <c r="AB148">
        <f>IF($V148,IF($M148="","",$M148),IF($K148="","",$K148))</f>
        <v/>
      </c>
      <c r="AC148">
        <f>IF($V148,IF($N148="","",$N148),IF($L148="","",$L148))</f>
        <v/>
      </c>
      <c r="AD148">
        <f>IF($Y148="","",IF($Y148="in line",IF(profit_kind="test",IF(ROUND($AB148*100,2)=0,"0.00",TEXT($AB148*100,"+0.00;-0.00"))&amp;" points against "&amp;IF($V148,"its band","the book")&amp;", "&amp;IF($AC148="","not tested","not significant"),IF(profit_kind="points","within "&amp;TEXT(profit_line*100,"0.00")&amp;" points of "&amp;IF($V148,"its band","the book")&amp;" ("&amp;IF(ROUND($AB148*100,2)=0,"0.00",TEXT($AB148*100,"+0.00;-0.00"))&amp;")","within $"&amp;TEXT(profit_line,"#,##0")&amp;" of "&amp;IF($V148,"its band","the book")&amp;" ("&amp;IF(ROUND($AB148*100,2)=0,"0.00",TEXT($AB148*100,"+0.00;-0.00"))&amp;" points)")),IF(LEFT($Y148,5)="worse","short of ","ahead of ")&amp;IF($V148,"its band","the book")&amp;" by "&amp;TEXT(ABS($AB148)*100,"0.00")&amp;" points"&amp;IF($Z148="",""," ($"&amp;TEXT(ABS($Z148),"#,##0")&amp;")")&amp;IF(RIGHT($Y148,15)="not significant"," (not significant)","")))</f>
        <v/>
      </c>
      <c r="AE148">
        <f>IF($V148,IF($S148="","",$S148),IF($R148="","",$R148))</f>
        <v/>
      </c>
      <c r="AF148">
        <f>IF($V148,IF($U148="","",$U148),IF($T148="","",$T148))</f>
        <v/>
      </c>
      <c r="AG148">
        <f>IF($V148,IF($O148="","",$O148),IF($P148="","",$P148))</f>
        <v/>
      </c>
      <c r="AH148" t="n">
        <v>0.1852696876081897</v>
      </c>
      <c r="AI148">
        <f>IF($Y148="worse","Yes",IF($Y148="worse, not significant","Not sure",IF(OR($Y148="too few losses to test",$Y148="too few loans to test"),"Too few losses",IF($Y148="","","No"))))</f>
        <v/>
      </c>
      <c r="AJ148">
        <f>IF($AA148="yes","Yes",IF($AA148="","","No"))</f>
        <v/>
      </c>
      <c r="AK148" t="n">
        <v>0.003001266664194647</v>
      </c>
      <c r="AL148" t="n">
        <v>0.001199700016496325</v>
      </c>
      <c r="AM148">
        <f>IF(AND(ISNUMBER($AC148),ISNUMBER(IF($V148,IF($AL148="","",$AL148),IF($AK148="","",$AK148)))),IF(AND(ABS($AC148-significance_bar)&lt;=2.0*IF($V148,IF($AL148="","",$AL148),IF($AK148="","",$AK148)),OR($Y148="worse",$Y148="better",$Y148="worse, not significant",$Y148="better, not significant",AND(profit_kind="test",$Y148="in line",ISNUMBER($AB148),$AB148&lt;&gt;0))),IF(ROUND($AC148,3)=ROUND(significance_bar,3),TEXT($AC148,"0.0000"),TEXT($AC148,"0.000")),""),"")</f>
        <v/>
      </c>
      <c r="AN148">
        <f>IF(AND(ISNUMBER($AC148),ISNUMBER(IF($V148,IF($AL148="","",$AL148),IF($AK148="","",$AK148)))),IF(AND(ABS($AC148-significance_bar)&lt;=2.0*IF($V148,IF($AL148="","",$AL148),IF($AK148="","",$AK148)),OR($Y148="worse",$Y148="worse, not significant",AND(profit_kind="test",$Y148="in line",ISNUMBER($AB148),$AB148&lt;0))),IF(ROUND($AC148,3)=ROUND(significance_bar,3),TEXT($AC148,"0.0000"),TEXT($AC148,"0.000")),""),"")</f>
        <v/>
      </c>
      <c r="AO148">
        <f>IF(OR($AI148="",$AN148=""),$AI148,$AI148&amp;" · borderline (p "&amp;$AN148&amp;")")</f>
        <v/>
      </c>
    </row>
    <row r="149">
      <c r="A149" t="inlineStr">
        <is>
          <t>grids</t>
        </is>
      </c>
      <c r="B149" t="inlineStr">
        <is>
          <t>SHORT_HIST x CHANNEL</t>
        </is>
      </c>
      <c r="C149" t="inlineStr">
        <is>
          <t>346.0 - 435.0</t>
        </is>
      </c>
      <c r="D149" t="inlineStr">
        <is>
          <t>Broker</t>
        </is>
      </c>
      <c r="E149" t="inlineStr">
        <is>
          <t>outcome_loans</t>
        </is>
      </c>
      <c r="F149" t="inlineStr">
        <is>
          <t>Outcome, share of loans</t>
        </is>
      </c>
      <c r="G149" t="n">
        <v>504</v>
      </c>
      <c r="H149" t="n">
        <v>504</v>
      </c>
      <c r="I149" t="b">
        <v>0</v>
      </c>
      <c r="J149" t="b">
        <v>0</v>
      </c>
      <c r="K149" t="n">
        <v>1.27838693957115</v>
      </c>
      <c r="L149" t="n">
        <v>0.3191067043594666</v>
      </c>
      <c r="M149" t="n">
        <v>1.567340067340067</v>
      </c>
      <c r="N149" t="n">
        <v>0.09763051543228074</v>
      </c>
      <c r="O149" t="n">
        <v>10.6704469646431</v>
      </c>
      <c r="P149" t="n">
        <v>17.73684210526316</v>
      </c>
      <c r="Q149">
        <f>'_live'!$C$20</f>
        <v/>
      </c>
      <c r="R149" t="inlineStr">
        <is>
          <t>z test</t>
        </is>
      </c>
      <c r="S149" t="inlineStr">
        <is>
          <t>z test</t>
        </is>
      </c>
      <c r="T149" t="n">
        <v>0.07605070046697798</v>
      </c>
      <c r="U149" t="n">
        <v>0.06203007518796992</v>
      </c>
      <c r="V149">
        <f>AND(judged_band,NOT($J149))</f>
        <v/>
      </c>
      <c r="W149">
        <f>IF($K149="","",IF($I149,"too few losses to test",IF(AND($K149&gt;better_at,$K149&lt;worse_at),"in line",IF($K149&gt;=worse_at,IF(AND(ISNUMBER($L149),$L149&lt;significance_bar),"worse","worse, not significant"),IF(AND(ISNUMBER($L149),$L149&lt;significance_bar),"better","better, not significant")))))</f>
        <v/>
      </c>
      <c r="X149">
        <f>IF($M149="","",IF($I149,"too few losses to test",IF(AND($M149&gt;better_at,$M149&lt;worse_at),"in line",IF($M149&gt;=worse_at,IF(AND(ISNUMBER($N149),$N149&lt;significance_bar),"worse","worse, not significant"),IF(AND(ISNUMBER($N149),$N149&lt;significance_bar),"better","better, not significant")))))</f>
        <v/>
      </c>
      <c r="Y149">
        <f>IF($V149,$X149,$W149)</f>
        <v/>
      </c>
      <c r="Z149">
        <f>IF($V149,IF($P149="","",$P149),IF($O149="","",$O149))</f>
        <v/>
      </c>
      <c r="AA149">
        <f>IF(OR($Q149="",$Z149=""),"",IF(AND($Z149&gt;0,$Z149&gt;=$Q149),"yes","below the line"))</f>
        <v/>
      </c>
      <c r="AB149">
        <f>IF($V149,IF($M149="","",$M149),IF($K149="","",$K149))</f>
        <v/>
      </c>
      <c r="AC149">
        <f>IF($V149,IF($N149="","",$N149),IF($L149="","",$L149))</f>
        <v/>
      </c>
      <c r="AD149">
        <f>$Y149</f>
        <v/>
      </c>
      <c r="AE149">
        <f>IF($V149,IF($S149="","",$S149),IF($R149="","",$R149))</f>
        <v/>
      </c>
      <c r="AF149">
        <f>IF($V149,IF($U149="","",$U149),IF($T149="","",$T149))</f>
        <v/>
      </c>
      <c r="AG149">
        <f>IF($V149,IF($O149="","",$O149),IF($P149="","",$P149))</f>
        <v/>
      </c>
      <c r="AH149" t="n">
        <v>0.09722222222222222</v>
      </c>
      <c r="AI149">
        <f>IF($Y149="worse","Yes",IF($Y149="worse, not significant","Not sure",IF(OR($Y149="too few losses to test",$Y149="too few loans to test"),"Too few losses",IF($Y149="","","No"))))</f>
        <v/>
      </c>
      <c r="AJ149">
        <f>IF($AA149="yes","Yes",IF($AA149="","","No"))</f>
        <v/>
      </c>
      <c r="AM149">
        <f>IF(AND(ISNUMBER($AC149),ISNUMBER(IF($V149,IF($AL149="","",$AL149),IF($AK149="","",$AK149)))),IF(AND(ABS($AC149-significance_bar)&lt;=2.0*IF($V149,IF($AL149="","",$AL149),IF($AK149="","",$AK149)),OR($Y149="worse",$Y149="better",$Y149="worse, not significant",$Y149="better, not significant")),IF(ROUND($AC149,3)=ROUND(significance_bar,3),TEXT($AC149,"0.0000"),TEXT($AC149,"0.000")),""),"")</f>
        <v/>
      </c>
      <c r="AN149">
        <f>IF(AND(ISNUMBER($AC149),ISNUMBER(IF($V149,IF($AL149="","",$AL149),IF($AK149="","",$AK149)))),IF(AND(ABS($AC149-significance_bar)&lt;=2.0*IF($V149,IF($AL149="","",$AL149),IF($AK149="","",$AK149)),OR($Y149="worse",$Y149="worse, not significant")),IF(ROUND($AC149,3)=ROUND(significance_bar,3),TEXT($AC149,"0.0000"),TEXT($AC149,"0.000")),""),"")</f>
        <v/>
      </c>
      <c r="AO149">
        <f>IF(OR($AI149="",$AN149=""),$AI149,$AI149&amp;" · borderline (p "&amp;$AN149&amp;")")</f>
        <v/>
      </c>
    </row>
    <row r="150">
      <c r="A150" t="inlineStr">
        <is>
          <t>grids</t>
        </is>
      </c>
      <c r="B150" t="inlineStr">
        <is>
          <t>SHORT_HIST x CHANNEL</t>
        </is>
      </c>
      <c r="C150" t="inlineStr">
        <is>
          <t>346.0 - 435.0</t>
        </is>
      </c>
      <c r="D150" t="inlineStr">
        <is>
          <t>Broker</t>
        </is>
      </c>
      <c r="E150" t="inlineStr">
        <is>
          <t>outcome_booked</t>
        </is>
      </c>
      <c r="F150" t="inlineStr">
        <is>
          <t>Outcome, share of booked dollars</t>
        </is>
      </c>
      <c r="G150" t="n">
        <v>504</v>
      </c>
      <c r="H150" t="n">
        <v>15827507.33000002</v>
      </c>
      <c r="I150" t="b">
        <v>0</v>
      </c>
      <c r="J150" t="b">
        <v>0</v>
      </c>
      <c r="K150" t="n">
        <v>1.348986126839185</v>
      </c>
      <c r="L150" t="n">
        <v>0.1517848215178482</v>
      </c>
      <c r="M150" t="n">
        <v>1.774856816489737</v>
      </c>
      <c r="N150" t="n">
        <v>0.0794920507949205</v>
      </c>
      <c r="O150" t="n">
        <v>404660.8580171282</v>
      </c>
      <c r="P150" t="n">
        <v>682886.6986631481</v>
      </c>
      <c r="Q150">
        <f>'_live'!$C$21</f>
        <v/>
      </c>
      <c r="R150" t="inlineStr">
        <is>
          <t>shuffled: 505 of 10,000</t>
        </is>
      </c>
      <c r="S150" t="inlineStr">
        <is>
          <t>shuffled: 52 of 10,000</t>
        </is>
      </c>
      <c r="T150" t="n">
        <v>0.07326060685405919</v>
      </c>
      <c r="U150" t="n">
        <v>0.05568198029934827</v>
      </c>
      <c r="V150">
        <f>AND(judged_band,NOT($J150))</f>
        <v/>
      </c>
      <c r="W150">
        <f>IF($K150="","",IF($I150,"too few losses to test",IF(AND($K150&gt;better_at,$K150&lt;worse_at),"in line",IF($K150&gt;=worse_at,IF(AND(ISNUMBER($L150),$L150&lt;significance_bar),"worse","worse, not significant"),IF(AND(ISNUMBER($L150),$L150&lt;significance_bar),"better","better, not significant")))))</f>
        <v/>
      </c>
      <c r="X150">
        <f>IF($M150="","",IF($I150,"too few losses to test",IF(AND($M150&gt;better_at,$M150&lt;worse_at),"in line",IF($M150&gt;=worse_at,IF(AND(ISNUMBER($N150),$N150&lt;significance_bar),"worse","worse, not significant"),IF(AND(ISNUMBER($N150),$N150&lt;significance_bar),"better","better, not significant")))))</f>
        <v/>
      </c>
      <c r="Y150">
        <f>IF($V150,$X150,$W150)</f>
        <v/>
      </c>
      <c r="Z150">
        <f>IF($V150,IF($P150="","",$P150),IF($O150="","",$O150))</f>
        <v/>
      </c>
      <c r="AA150">
        <f>IF(OR($Q150="",$Z150=""),"",IF(AND($Z150&gt;0,$Z150&gt;=$Q150),"yes","below the line"))</f>
        <v/>
      </c>
      <c r="AB150">
        <f>IF($V150,IF($M150="","",$M150),IF($K150="","",$K150))</f>
        <v/>
      </c>
      <c r="AC150">
        <f>IF($V150,IF($N150="","",$N150),IF($L150="","",$L150))</f>
        <v/>
      </c>
      <c r="AD150">
        <f>$Y150</f>
        <v/>
      </c>
      <c r="AE150">
        <f>IF($V150,IF($S150="","",$S150),IF($R150="","",$R150))</f>
        <v/>
      </c>
      <c r="AF150">
        <f>IF($V150,IF($U150="","",$U150),IF($T150="","",$T150))</f>
        <v/>
      </c>
      <c r="AG150">
        <f>IF($V150,IF($O150="","",$O150),IF($P150="","",$P150))</f>
        <v/>
      </c>
      <c r="AH150" t="n">
        <v>0.09882754228994553</v>
      </c>
      <c r="AI150">
        <f>IF($Y150="worse","Yes",IF($Y150="worse, not significant","Not sure",IF(OR($Y150="too few losses to test",$Y150="too few loans to test"),"Too few losses",IF($Y150="","","No"))))</f>
        <v/>
      </c>
      <c r="AJ150">
        <f>IF($AA150="yes","Yes",IF($AA150="","","No"))</f>
        <v/>
      </c>
      <c r="AK150" t="n">
        <v>0.006575072870397253</v>
      </c>
      <c r="AL150" t="n">
        <v>0.01089064633428258</v>
      </c>
      <c r="AM150">
        <f>IF(AND(ISNUMBER($AC150),ISNUMBER(IF($V150,IF($AL150="","",$AL150),IF($AK150="","",$AK150)))),IF(AND(ABS($AC150-significance_bar)&lt;=2.0*IF($V150,IF($AL150="","",$AL150),IF($AK150="","",$AK150)),OR($Y150="worse",$Y150="better",$Y150="worse, not significant",$Y150="better, not significant")),IF(ROUND($AC150,3)=ROUND(significance_bar,3),TEXT($AC150,"0.0000"),TEXT($AC150,"0.000")),""),"")</f>
        <v/>
      </c>
      <c r="AN150">
        <f>IF(AND(ISNUMBER($AC150),ISNUMBER(IF($V150,IF($AL150="","",$AL150),IF($AK150="","",$AK150)))),IF(AND(ABS($AC150-significance_bar)&lt;=2.0*IF($V150,IF($AL150="","",$AL150),IF($AK150="","",$AK150)),OR($Y150="worse",$Y150="worse, not significant")),IF(ROUND($AC150,3)=ROUND(significance_bar,3),TEXT($AC150,"0.0000"),TEXT($AC150,"0.000")),""),"")</f>
        <v/>
      </c>
      <c r="AO150">
        <f>IF(OR($AI150="",$AN150=""),$AI150,$AI150&amp;" · borderline (p "&amp;$AN150&amp;")")</f>
        <v/>
      </c>
    </row>
    <row r="151">
      <c r="A151" t="inlineStr">
        <is>
          <t>grids</t>
        </is>
      </c>
      <c r="B151" t="inlineStr">
        <is>
          <t>SHORT_HIST x CHANNEL</t>
        </is>
      </c>
      <c r="C151" t="inlineStr">
        <is>
          <t>346.0 - 435.0</t>
        </is>
      </c>
      <c r="D151" t="inlineStr">
        <is>
          <t>Broker</t>
        </is>
      </c>
      <c r="E151" t="inlineStr">
        <is>
          <t>gco_rate</t>
        </is>
      </c>
      <c r="F151" t="inlineStr">
        <is>
          <t>GCO per booked dollar</t>
        </is>
      </c>
      <c r="G151" t="n">
        <v>504</v>
      </c>
      <c r="H151" t="n">
        <v>15827507.33000002</v>
      </c>
      <c r="I151" t="b">
        <v>0</v>
      </c>
      <c r="J151" t="b">
        <v>0</v>
      </c>
      <c r="K151" t="n">
        <v>1.439546378600348</v>
      </c>
      <c r="L151" t="n">
        <v>0.1387361263873612</v>
      </c>
      <c r="M151" t="n">
        <v>1.887317658879006</v>
      </c>
      <c r="N151" t="n">
        <v>0.0314968503149685</v>
      </c>
      <c r="O151" t="n">
        <v>281845.581142357</v>
      </c>
      <c r="P151" t="n">
        <v>433976.593501979</v>
      </c>
      <c r="Q151">
        <f>'_live'!$C$22</f>
        <v/>
      </c>
      <c r="R151" t="inlineStr">
        <is>
          <t>shuffled: 184 of 10,000</t>
        </is>
      </c>
      <c r="S151" t="inlineStr">
        <is>
          <t>shuffled: 20 of 10,000</t>
        </is>
      </c>
      <c r="T151" t="n">
        <v>0.04051296236914409</v>
      </c>
      <c r="U151" t="n">
        <v>0.03090115116048538</v>
      </c>
      <c r="V151">
        <f>AND(judged_band,NOT($J151))</f>
        <v/>
      </c>
      <c r="W151">
        <f>IF($K151="","",IF($I151,"too few losses to test",IF(AND($K151&gt;better_at,$K151&lt;worse_at),"in line",IF($K151&gt;=worse_at,IF(AND(ISNUMBER($L151),$L151&lt;significance_bar),"worse","worse, not significant"),IF(AND(ISNUMBER($L151),$L151&lt;significance_bar),"better","better, not significant")))))</f>
        <v/>
      </c>
      <c r="X151">
        <f>IF($M151="","",IF($I151,"too few losses to test",IF(AND($M151&gt;better_at,$M151&lt;worse_at),"in line",IF($M151&gt;=worse_at,IF(AND(ISNUMBER($N151),$N151&lt;significance_bar),"worse","worse, not significant"),IF(AND(ISNUMBER($N151),$N151&lt;significance_bar),"better","better, not significant")))))</f>
        <v/>
      </c>
      <c r="Y151">
        <f>IF($V151,$X151,$W151)</f>
        <v/>
      </c>
      <c r="Z151">
        <f>IF($V151,IF($P151="","",$P151),IF($O151="","",$O151))</f>
        <v/>
      </c>
      <c r="AA151">
        <f>IF(OR($Q151="",$Z151=""),"",IF(AND($Z151&gt;0,$Z151&gt;=$Q151),"yes","below the line"))</f>
        <v/>
      </c>
      <c r="AB151">
        <f>IF($V151,IF($M151="","",$M151),IF($K151="","",$K151))</f>
        <v/>
      </c>
      <c r="AC151">
        <f>IF($V151,IF($N151="","",$N151),IF($L151="","",$L151))</f>
        <v/>
      </c>
      <c r="AD151">
        <f>$Y151</f>
        <v/>
      </c>
      <c r="AE151">
        <f>IF($V151,IF($S151="","",$S151),IF($R151="","",$R151))</f>
        <v/>
      </c>
      <c r="AF151">
        <f>IF($V151,IF($U151="","",$U151),IF($T151="","",$T151))</f>
        <v/>
      </c>
      <c r="AG151">
        <f>IF($V151,IF($O151="","",$O151),IF($P151="","",$P151))</f>
        <v/>
      </c>
      <c r="AH151" t="n">
        <v>0.05832028826487354</v>
      </c>
      <c r="AI151">
        <f>IF($Y151="worse","Yes",IF($Y151="worse, not significant","Not sure",IF(OR($Y151="too few losses to test",$Y151="too few loans to test"),"Too few losses",IF($Y151="","","No"))))</f>
        <v/>
      </c>
      <c r="AJ151">
        <f>IF($AA151="yes","Yes",IF($AA151="","","No"))</f>
        <v/>
      </c>
      <c r="AK151" t="n">
        <v>0.01010580642571507</v>
      </c>
      <c r="AL151" t="n">
        <v>0.006866299608557465</v>
      </c>
      <c r="AM151">
        <f>IF(AND(ISNUMBER($AC151),ISNUMBER(IF($V151,IF($AL151="","",$AL151),IF($AK151="","",$AK151)))),IF(AND(ABS($AC151-significance_bar)&lt;=2.0*IF($V151,IF($AL151="","",$AL151),IF($AK151="","",$AK151)),OR($Y151="worse",$Y151="better",$Y151="worse, not significant",$Y151="better, not significant")),IF(ROUND($AC151,3)=ROUND(significance_bar,3),TEXT($AC151,"0.0000"),TEXT($AC151,"0.000")),""),"")</f>
        <v/>
      </c>
      <c r="AN151">
        <f>IF(AND(ISNUMBER($AC151),ISNUMBER(IF($V151,IF($AL151="","",$AL151),IF($AK151="","",$AK151)))),IF(AND(ABS($AC151-significance_bar)&lt;=2.0*IF($V151,IF($AL151="","",$AL151),IF($AK151="","",$AK151)),OR($Y151="worse",$Y151="worse, not significant")),IF(ROUND($AC151,3)=ROUND(significance_bar,3),TEXT($AC151,"0.0000"),TEXT($AC151,"0.000")),""),"")</f>
        <v/>
      </c>
      <c r="AO151">
        <f>IF(OR($AI151="",$AN151=""),$AI151,$AI151&amp;" · borderline (p "&amp;$AN151&amp;")")</f>
        <v/>
      </c>
    </row>
    <row r="152">
      <c r="A152" t="inlineStr">
        <is>
          <t>grids</t>
        </is>
      </c>
      <c r="B152" t="inlineStr">
        <is>
          <t>SHORT_HIST x CHANNEL</t>
        </is>
      </c>
      <c r="C152" t="inlineStr">
        <is>
          <t>346.0 - 435.0</t>
        </is>
      </c>
      <c r="D152" t="inlineStr">
        <is>
          <t>Broker</t>
        </is>
      </c>
      <c r="E152" t="inlineStr">
        <is>
          <t>ranr_rate</t>
        </is>
      </c>
      <c r="F152" t="inlineStr">
        <is>
          <t>Profit after losses: RANR per booked dollar</t>
        </is>
      </c>
      <c r="G152" t="n">
        <v>504</v>
      </c>
      <c r="H152" t="n">
        <v>15827507.33000002</v>
      </c>
      <c r="I152" t="b">
        <v>0</v>
      </c>
      <c r="J152" t="b">
        <v>0</v>
      </c>
      <c r="K152" t="n">
        <v>-0.02608477368735539</v>
      </c>
      <c r="L152" t="n">
        <v>0.0431956804319568</v>
      </c>
      <c r="M152" t="n">
        <v>-0.0322148133852015</v>
      </c>
      <c r="N152" t="n">
        <v>0.035996400359964</v>
      </c>
      <c r="O152" t="n">
        <v>412856.9467380089</v>
      </c>
      <c r="P152" t="n">
        <v>509880.1949888596</v>
      </c>
      <c r="Q152">
        <f>'_live'!$C$23</f>
        <v/>
      </c>
      <c r="R152" t="inlineStr">
        <is>
          <t>shuffled: 47 of 10,000</t>
        </is>
      </c>
      <c r="S152" t="inlineStr">
        <is>
          <t>shuffled: 39 of 10,000</t>
        </is>
      </c>
      <c r="T152" t="n">
        <v>0.1295898459544738</v>
      </c>
      <c r="U152" t="n">
        <v>0.1357198856523199</v>
      </c>
      <c r="V152">
        <f>AND(judged_band,NOT($J152))</f>
        <v/>
      </c>
      <c r="W152">
        <f>IF($K152="","",IF(profit_kind="test",IF(OR(NOT(AND(ISNUMBER($L152),$L152&lt;significance_bar)),$K152=0),"in line",IF($K152&lt;0,"worse","better")),IF(OR($K152=0,IF(profit_kind="points",ABS($K152),ABS($K152*$H152))&lt;profit_line*(1-1E-9)),"in line",IF(AND(ISNUMBER($L152),$L152&lt;significance_bar),IF($K152&lt;0,"worse","better"),IF($K152&lt;0,"worse, not significant","better, not significant")))))</f>
        <v/>
      </c>
      <c r="X152">
        <f>IF($M152="","",IF(profit_kind="test",IF(OR(NOT(AND(ISNUMBER($N152),$N152&lt;significance_bar)),$M152=0),"in line",IF($M152&lt;0,"worse","better")),IF(OR($M152=0,IF(profit_kind="points",ABS($M152),ABS($M152*$H152))&lt;profit_line*(1-1E-9)),"in line",IF(AND(ISNUMBER($N152),$N152&lt;significance_bar),IF($M152&lt;0,"worse","better"),IF($M152&lt;0,"worse, not significant","better, not significant")))))</f>
        <v/>
      </c>
      <c r="Y152">
        <f>IF($V152,$X152,$W152)</f>
        <v/>
      </c>
      <c r="Z152">
        <f>IF($V152,IF($P152="","",$P152),IF($O152="","",$O152))</f>
        <v/>
      </c>
      <c r="AA152">
        <f>IF(OR($Q152="",$Z152=""),"",IF(AND($Z152&gt;0,$Z152&gt;=$Q152),"yes","below the line"))</f>
        <v/>
      </c>
      <c r="AB152">
        <f>IF($V152,IF($M152="","",$M152),IF($K152="","",$K152))</f>
        <v/>
      </c>
      <c r="AC152">
        <f>IF($V152,IF($N152="","",$N152),IF($L152="","",$L152))</f>
        <v/>
      </c>
      <c r="AD152">
        <f>IF($Y152="","",IF($Y152="in line",IF(profit_kind="test",IF(ROUND($AB152*100,2)=0,"0.00",TEXT($AB152*100,"+0.00;-0.00"))&amp;" points against "&amp;IF($V152,"its band","the book")&amp;", "&amp;IF($AC152="","not tested","not significant"),IF(profit_kind="points","within "&amp;TEXT(profit_line*100,"0.00")&amp;" points of "&amp;IF($V152,"its band","the book")&amp;" ("&amp;IF(ROUND($AB152*100,2)=0,"0.00",TEXT($AB152*100,"+0.00;-0.00"))&amp;")","within $"&amp;TEXT(profit_line,"#,##0")&amp;" of "&amp;IF($V152,"its band","the book")&amp;" ("&amp;IF(ROUND($AB152*100,2)=0,"0.00",TEXT($AB152*100,"+0.00;-0.00"))&amp;" points)")),IF(LEFT($Y152,5)="worse","short of ","ahead of ")&amp;IF($V152,"its band","the book")&amp;" by "&amp;TEXT(ABS($AB152)*100,"0.00")&amp;" points"&amp;IF($Z152="",""," ($"&amp;TEXT(ABS($Z152),"#,##0")&amp;")")&amp;IF(RIGHT($Y152,15)="not significant"," (not significant)","")))</f>
        <v/>
      </c>
      <c r="AE152">
        <f>IF($V152,IF($S152="","",$S152),IF($R152="","",$R152))</f>
        <v/>
      </c>
      <c r="AF152">
        <f>IF($V152,IF($U152="","",$U152),IF($T152="","",$T152))</f>
        <v/>
      </c>
      <c r="AG152">
        <f>IF($V152,IF($O152="","",$O152),IF($P152="","",$P152))</f>
        <v/>
      </c>
      <c r="AH152" t="n">
        <v>0.1035050722671184</v>
      </c>
      <c r="AI152">
        <f>IF($Y152="worse","Yes",IF($Y152="worse, not significant","Not sure",IF(OR($Y152="too few losses to test",$Y152="too few loans to test"),"Too few losses",IF($Y152="","","No"))))</f>
        <v/>
      </c>
      <c r="AJ152">
        <f>IF($AA152="yes","Yes",IF($AA152="","","No"))</f>
        <v/>
      </c>
      <c r="AK152" t="n">
        <v>0.006220090490335582</v>
      </c>
      <c r="AL152" t="n">
        <v>0.005680421308325653</v>
      </c>
      <c r="AM152">
        <f>IF(AND(ISNUMBER($AC152),ISNUMBER(IF($V152,IF($AL152="","",$AL152),IF($AK152="","",$AK152)))),IF(AND(ABS($AC152-significance_bar)&lt;=2.0*IF($V152,IF($AL152="","",$AL152),IF($AK152="","",$AK152)),OR($Y152="worse",$Y152="better",$Y152="worse, not significant",$Y152="better, not significant",AND(profit_kind="test",$Y152="in line",ISNUMBER($AB152),$AB152&lt;&gt;0))),IF(ROUND($AC152,3)=ROUND(significance_bar,3),TEXT($AC152,"0.0000"),TEXT($AC152,"0.000")),""),"")</f>
        <v/>
      </c>
      <c r="AN152">
        <f>IF(AND(ISNUMBER($AC152),ISNUMBER(IF($V152,IF($AL152="","",$AL152),IF($AK152="","",$AK152)))),IF(AND(ABS($AC152-significance_bar)&lt;=2.0*IF($V152,IF($AL152="","",$AL152),IF($AK152="","",$AK152)),OR($Y152="worse",$Y152="worse, not significant",AND(profit_kind="test",$Y152="in line",ISNUMBER($AB152),$AB152&lt;0))),IF(ROUND($AC152,3)=ROUND(significance_bar,3),TEXT($AC152,"0.0000"),TEXT($AC152,"0.000")),""),"")</f>
        <v/>
      </c>
      <c r="AO152">
        <f>IF(OR($AI152="",$AN152=""),$AI152,$AI152&amp;" · borderline (p "&amp;$AN152&amp;")")</f>
        <v/>
      </c>
    </row>
    <row r="153">
      <c r="A153" t="inlineStr">
        <is>
          <t>grids</t>
        </is>
      </c>
      <c r="B153" t="inlineStr">
        <is>
          <t>SHORT_HIST x CHANNEL</t>
        </is>
      </c>
      <c r="C153" t="inlineStr">
        <is>
          <t>346.0 - 435.0</t>
        </is>
      </c>
      <c r="D153" t="inlineStr">
        <is>
          <t>Broker</t>
        </is>
      </c>
      <c r="E153" t="inlineStr">
        <is>
          <t>contribution_rate</t>
        </is>
      </c>
      <c r="F153" t="inlineStr">
        <is>
          <t>Contribution before losses per booked dollar</t>
        </is>
      </c>
      <c r="G153" t="n">
        <v>504</v>
      </c>
      <c r="H153" t="n">
        <v>15827507.33000002</v>
      </c>
      <c r="I153" t="b">
        <v>0</v>
      </c>
      <c r="J153" t="b">
        <v>0</v>
      </c>
      <c r="K153" t="n">
        <v>-0.008274663822436468</v>
      </c>
      <c r="L153" t="n">
        <v>0.3062462984470783</v>
      </c>
      <c r="M153" t="n">
        <v>-0.00479567628081326</v>
      </c>
      <c r="N153" t="n">
        <v>0.5975402459754025</v>
      </c>
      <c r="O153" t="n">
        <v>130967.3023028988</v>
      </c>
      <c r="P153" t="n">
        <v>75903.60148687894</v>
      </c>
      <c r="Q153">
        <f>'_live'!$C$24</f>
        <v/>
      </c>
      <c r="R153" t="inlineStr">
        <is>
          <t>shuffled: 1,781 of 10,000</t>
        </is>
      </c>
      <c r="S153" t="inlineStr">
        <is>
          <t>shuffled: 4,979 of 10,000</t>
        </is>
      </c>
      <c r="T153" t="n">
        <v>0.1701000243544284</v>
      </c>
      <c r="U153" t="n">
        <v>0.1666210368128052</v>
      </c>
      <c r="V153">
        <f>AND(judged_band,NOT($J153))</f>
        <v/>
      </c>
      <c r="W153">
        <f>IF($K153="","",IF(profit_kind="test",IF(OR(NOT(AND(ISNUMBER($L153),$L153&lt;significance_bar)),$K153=0),"in line",IF($K153&lt;0,"worse","better")),IF(OR($K153=0,IF(profit_kind="points",ABS($K153),ABS($K153*$H153))&lt;profit_line*(1-1E-9)),"in line",IF(AND(ISNUMBER($L153),$L153&lt;significance_bar),IF($K153&lt;0,"worse","better"),IF($K153&lt;0,"worse, not significant","better, not significant")))))</f>
        <v/>
      </c>
      <c r="X153">
        <f>IF($M153="","",IF(profit_kind="test",IF(OR(NOT(AND(ISNUMBER($N153),$N153&lt;significance_bar)),$M153=0),"in line",IF($M153&lt;0,"worse","better")),IF(OR($M153=0,IF(profit_kind="points",ABS($M153),ABS($M153*$H153))&lt;profit_line*(1-1E-9)),"in line",IF(AND(ISNUMBER($N153),$N153&lt;significance_bar),IF($M153&lt;0,"worse","better"),IF($M153&lt;0,"worse, not significant","better, not significant")))))</f>
        <v/>
      </c>
      <c r="Y153">
        <f>IF($V153,$X153,$W153)</f>
        <v/>
      </c>
      <c r="Z153">
        <f>IF($V153,IF($P153="","",$P153),IF($O153="","",$O153))</f>
        <v/>
      </c>
      <c r="AA153">
        <f>IF(OR($Q153="",$Z153=""),"",IF(AND($Z153&gt;0,$Z153&gt;=$Q153),"yes","below the line"))</f>
        <v/>
      </c>
      <c r="AB153">
        <f>IF($V153,IF($M153="","",$M153),IF($K153="","",$K153))</f>
        <v/>
      </c>
      <c r="AC153">
        <f>IF($V153,IF($N153="","",$N153),IF($L153="","",$L153))</f>
        <v/>
      </c>
      <c r="AD153">
        <f>IF($Y153="","",IF($Y153="in line",IF(profit_kind="test",IF(ROUND($AB153*100,2)=0,"0.00",TEXT($AB153*100,"+0.00;-0.00"))&amp;" points against "&amp;IF($V153,"its band","the book")&amp;", "&amp;IF($AC153="","not tested","not significant"),IF(profit_kind="points","within "&amp;TEXT(profit_line*100,"0.00")&amp;" points of "&amp;IF($V153,"its band","the book")&amp;" ("&amp;IF(ROUND($AB153*100,2)=0,"0.00",TEXT($AB153*100,"+0.00;-0.00"))&amp;")","within $"&amp;TEXT(profit_line,"#,##0")&amp;" of "&amp;IF($V153,"its band","the book")&amp;" ("&amp;IF(ROUND($AB153*100,2)=0,"0.00",TEXT($AB153*100,"+0.00;-0.00"))&amp;" points)")),IF(LEFT($Y153,5)="worse","short of ","ahead of ")&amp;IF($V153,"its band","the book")&amp;" by "&amp;TEXT(ABS($AB153)*100,"0.00")&amp;" points"&amp;IF($Z153="",""," ($"&amp;TEXT(ABS($Z153),"#,##0")&amp;")")&amp;IF(RIGHT($Y153,15)="not significant"," (not significant)","")))</f>
        <v/>
      </c>
      <c r="AE153">
        <f>IF($V153,IF($S153="","",$S153),IF($R153="","",$R153))</f>
        <v/>
      </c>
      <c r="AF153">
        <f>IF($V153,IF($U153="","",$U153),IF($T153="","",$T153))</f>
        <v/>
      </c>
      <c r="AG153">
        <f>IF($V153,IF($O153="","",$O153),IF($P153="","",$P153))</f>
        <v/>
      </c>
      <c r="AH153" t="n">
        <v>0.1618253605319919</v>
      </c>
      <c r="AI153">
        <f>IF($Y153="worse","Yes",IF($Y153="worse, not significant","Not sure",IF(OR($Y153="too few losses to test",$Y153="too few loans to test"),"Too few losses",IF($Y153="","","No"))))</f>
        <v/>
      </c>
      <c r="AJ153">
        <f>IF($AA153="yes","Yes",IF($AA153="","","No"))</f>
        <v/>
      </c>
      <c r="AK153" t="n">
        <v>0.00574670810985561</v>
      </c>
      <c r="AL153" t="n">
        <v>0.005999949579872639</v>
      </c>
      <c r="AM153">
        <f>IF(AND(ISNUMBER($AC153),ISNUMBER(IF($V153,IF($AL153="","",$AL153),IF($AK153="","",$AK153)))),IF(AND(ABS($AC153-significance_bar)&lt;=2.0*IF($V153,IF($AL153="","",$AL153),IF($AK153="","",$AK153)),OR($Y153="worse",$Y153="better",$Y153="worse, not significant",$Y153="better, not significant",AND(profit_kind="test",$Y153="in line",ISNUMBER($AB153),$AB153&lt;&gt;0))),IF(ROUND($AC153,3)=ROUND(significance_bar,3),TEXT($AC153,"0.0000"),TEXT($AC153,"0.000")),""),"")</f>
        <v/>
      </c>
      <c r="AN153">
        <f>IF(AND(ISNUMBER($AC153),ISNUMBER(IF($V153,IF($AL153="","",$AL153),IF($AK153="","",$AK153)))),IF(AND(ABS($AC153-significance_bar)&lt;=2.0*IF($V153,IF($AL153="","",$AL153),IF($AK153="","",$AK153)),OR($Y153="worse",$Y153="worse, not significant",AND(profit_kind="test",$Y153="in line",ISNUMBER($AB153),$AB153&lt;0))),IF(ROUND($AC153,3)=ROUND(significance_bar,3),TEXT($AC153,"0.0000"),TEXT($AC153,"0.000")),""),"")</f>
        <v/>
      </c>
      <c r="AO153">
        <f>IF(OR($AI153="",$AN153=""),$AI153,$AI153&amp;" · borderline (p "&amp;$AN153&amp;")")</f>
        <v/>
      </c>
    </row>
    <row r="154">
      <c r="A154" t="inlineStr">
        <is>
          <t>grids</t>
        </is>
      </c>
      <c r="B154" t="inlineStr">
        <is>
          <t>SHORT_HIST x CHANNEL</t>
        </is>
      </c>
      <c r="C154" t="inlineStr">
        <is>
          <t>172.0 - 256.3</t>
        </is>
      </c>
      <c r="D154" t="inlineStr">
        <is>
          <t>Online</t>
        </is>
      </c>
      <c r="E154" t="inlineStr">
        <is>
          <t>outcome_loans</t>
        </is>
      </c>
      <c r="F154" t="inlineStr">
        <is>
          <t>Outcome, share of loans</t>
        </is>
      </c>
      <c r="G154" t="n">
        <v>517</v>
      </c>
      <c r="H154" t="n">
        <v>517</v>
      </c>
      <c r="I154" t="b">
        <v>0</v>
      </c>
      <c r="J154" t="b">
        <v>0</v>
      </c>
      <c r="K154" t="n">
        <v>0.9465305266381913</v>
      </c>
      <c r="L154" t="n">
        <v>0.851303443149268</v>
      </c>
      <c r="M154" t="n">
        <v>1.163948150928144</v>
      </c>
      <c r="N154" t="n">
        <v>0.5981317361198689</v>
      </c>
      <c r="O154" t="n">
        <v>-2.146618551189526</v>
      </c>
      <c r="P154" t="n">
        <v>5.352497643732328</v>
      </c>
      <c r="Q154">
        <f>'_live'!$C$20</f>
        <v/>
      </c>
      <c r="R154" t="inlineStr">
        <is>
          <t>z test</t>
        </is>
      </c>
      <c r="S154" t="inlineStr">
        <is>
          <t>z test</t>
        </is>
      </c>
      <c r="T154" t="n">
        <v>0.07765303394814221</v>
      </c>
      <c r="U154" t="n">
        <v>0.06314797360980208</v>
      </c>
      <c r="V154">
        <f>AND(judged_band,NOT($J154))</f>
        <v/>
      </c>
      <c r="W154">
        <f>IF($K154="","",IF($I154,"too few losses to test",IF(AND($K154&gt;better_at,$K154&lt;worse_at),"in line",IF($K154&gt;=worse_at,IF(AND(ISNUMBER($L154),$L154&lt;significance_bar),"worse","worse, not significant"),IF(AND(ISNUMBER($L154),$L154&lt;significance_bar),"better","better, not significant")))))</f>
        <v/>
      </c>
      <c r="X154">
        <f>IF($M154="","",IF($I154,"too few losses to test",IF(AND($M154&gt;better_at,$M154&lt;worse_at),"in line",IF($M154&gt;=worse_at,IF(AND(ISNUMBER($N154),$N154&lt;significance_bar),"worse","worse, not significant"),IF(AND(ISNUMBER($N154),$N154&lt;significance_bar),"better","better, not significant")))))</f>
        <v/>
      </c>
      <c r="Y154">
        <f>IF($V154,$X154,$W154)</f>
        <v/>
      </c>
      <c r="Z154">
        <f>IF($V154,IF($P154="","",$P154),IF($O154="","",$O154))</f>
        <v/>
      </c>
      <c r="AA154">
        <f>IF(OR($Q154="",$Z154=""),"",IF(AND($Z154&gt;0,$Z154&gt;=$Q154),"yes","below the line"))</f>
        <v/>
      </c>
      <c r="AB154">
        <f>IF($V154,IF($M154="","",$M154),IF($K154="","",$K154))</f>
        <v/>
      </c>
      <c r="AC154">
        <f>IF($V154,IF($N154="","",$N154),IF($L154="","",$L154))</f>
        <v/>
      </c>
      <c r="AD154">
        <f>$Y154</f>
        <v/>
      </c>
      <c r="AE154">
        <f>IF($V154,IF($S154="","",$S154),IF($R154="","",$R154))</f>
        <v/>
      </c>
      <c r="AF154">
        <f>IF($V154,IF($U154="","",$U154),IF($T154="","",$T154))</f>
        <v/>
      </c>
      <c r="AG154">
        <f>IF($V154,IF($O154="","",$O154),IF($P154="","",$P154))</f>
        <v/>
      </c>
      <c r="AH154" t="n">
        <v>0.0735009671179884</v>
      </c>
      <c r="AI154">
        <f>IF($Y154="worse","Yes",IF($Y154="worse, not significant","Not sure",IF(OR($Y154="too few losses to test",$Y154="too few loans to test"),"Too few losses",IF($Y154="","","No"))))</f>
        <v/>
      </c>
      <c r="AJ154">
        <f>IF($AA154="yes","Yes",IF($AA154="","","No"))</f>
        <v/>
      </c>
      <c r="AM154">
        <f>IF(AND(ISNUMBER($AC154),ISNUMBER(IF($V154,IF($AL154="","",$AL154),IF($AK154="","",$AK154)))),IF(AND(ABS($AC154-significance_bar)&lt;=2.0*IF($V154,IF($AL154="","",$AL154),IF($AK154="","",$AK154)),OR($Y154="worse",$Y154="better",$Y154="worse, not significant",$Y154="better, not significant")),IF(ROUND($AC154,3)=ROUND(significance_bar,3),TEXT($AC154,"0.0000"),TEXT($AC154,"0.000")),""),"")</f>
        <v/>
      </c>
      <c r="AN154">
        <f>IF(AND(ISNUMBER($AC154),ISNUMBER(IF($V154,IF($AL154="","",$AL154),IF($AK154="","",$AK154)))),IF(AND(ABS($AC154-significance_bar)&lt;=2.0*IF($V154,IF($AL154="","",$AL154),IF($AK154="","",$AK154)),OR($Y154="worse",$Y154="worse, not significant")),IF(ROUND($AC154,3)=ROUND(significance_bar,3),TEXT($AC154,"0.0000"),TEXT($AC154,"0.000")),""),"")</f>
        <v/>
      </c>
      <c r="AO154">
        <f>IF(OR($AI154="",$AN154=""),$AI154,$AI154&amp;" · borderline (p "&amp;$AN154&amp;")")</f>
        <v/>
      </c>
    </row>
    <row r="155">
      <c r="A155" t="inlineStr">
        <is>
          <t>grids</t>
        </is>
      </c>
      <c r="B155" t="inlineStr">
        <is>
          <t>SHORT_HIST x CHANNEL</t>
        </is>
      </c>
      <c r="C155" t="inlineStr">
        <is>
          <t>172.0 - 256.3</t>
        </is>
      </c>
      <c r="D155" t="inlineStr">
        <is>
          <t>Online</t>
        </is>
      </c>
      <c r="E155" t="inlineStr">
        <is>
          <t>outcome_booked</t>
        </is>
      </c>
      <c r="F155" t="inlineStr">
        <is>
          <t>Outcome, share of booked dollars</t>
        </is>
      </c>
      <c r="G155" t="n">
        <v>517</v>
      </c>
      <c r="H155" t="n">
        <v>17075167.47999998</v>
      </c>
      <c r="I155" t="b">
        <v>0</v>
      </c>
      <c r="J155" t="b">
        <v>0</v>
      </c>
      <c r="K155" t="n">
        <v>0.813275772194068</v>
      </c>
      <c r="L155" t="n">
        <v>0.6172954133158113</v>
      </c>
      <c r="M155" t="n">
        <v>0.956043845448179</v>
      </c>
      <c r="N155" t="n">
        <v>0.8951961946662477</v>
      </c>
      <c r="O155" t="n">
        <v>-241565.3179951692</v>
      </c>
      <c r="P155" t="n">
        <v>-48374.18110078759</v>
      </c>
      <c r="Q155">
        <f>'_live'!$C$21</f>
        <v/>
      </c>
      <c r="R155" t="inlineStr">
        <is>
          <t>shuffled: 2,880 of 10,000</t>
        </is>
      </c>
      <c r="S155" t="inlineStr">
        <is>
          <t>shuffled: 8,355 of 10,000</t>
        </is>
      </c>
      <c r="T155" t="n">
        <v>0.07576505410623187</v>
      </c>
      <c r="U155" t="n">
        <v>0.06445089644888151</v>
      </c>
      <c r="V155">
        <f>AND(judged_band,NOT($J155))</f>
        <v/>
      </c>
      <c r="W155">
        <f>IF($K155="","",IF($I155,"too few losses to test",IF(AND($K155&gt;better_at,$K155&lt;worse_at),"in line",IF($K155&gt;=worse_at,IF(AND(ISNUMBER($L155),$L155&lt;significance_bar),"worse","worse, not significant"),IF(AND(ISNUMBER($L155),$L155&lt;significance_bar),"better","better, not significant")))))</f>
        <v/>
      </c>
      <c r="X155">
        <f>IF($M155="","",IF($I155,"too few losses to test",IF(AND($M155&gt;better_at,$M155&lt;worse_at),"in line",IF($M155&gt;=worse_at,IF(AND(ISNUMBER($N155),$N155&lt;significance_bar),"worse","worse, not significant"),IF(AND(ISNUMBER($N155),$N155&lt;significance_bar),"better","better, not significant")))))</f>
        <v/>
      </c>
      <c r="Y155">
        <f>IF($V155,$X155,$W155)</f>
        <v/>
      </c>
      <c r="Z155">
        <f>IF($V155,IF($P155="","",$P155),IF($O155="","",$O155))</f>
        <v/>
      </c>
      <c r="AA155">
        <f>IF(OR($Q155="",$Z155=""),"",IF(AND($Z155&gt;0,$Z155&gt;=$Q155),"yes","below the line"))</f>
        <v/>
      </c>
      <c r="AB155">
        <f>IF($V155,IF($M155="","",$M155),IF($K155="","",$K155))</f>
        <v/>
      </c>
      <c r="AC155">
        <f>IF($V155,IF($N155="","",$N155),IF($L155="","",$L155))</f>
        <v/>
      </c>
      <c r="AD155">
        <f>$Y155</f>
        <v/>
      </c>
      <c r="AE155">
        <f>IF($V155,IF($S155="","",$S155),IF($R155="","",$R155))</f>
        <v/>
      </c>
      <c r="AF155">
        <f>IF($V155,IF($U155="","",$U155),IF($T155="","",$T155))</f>
        <v/>
      </c>
      <c r="AG155">
        <f>IF($V155,IF($O155="","",$O155),IF($P155="","",$P155))</f>
        <v/>
      </c>
      <c r="AH155" t="n">
        <v>0.06161788288357106</v>
      </c>
      <c r="AI155">
        <f>IF($Y155="worse","Yes",IF($Y155="worse, not significant","Not sure",IF(OR($Y155="too few losses to test",$Y155="too few loans to test"),"Too few losses",IF($Y155="","","No"))))</f>
        <v/>
      </c>
      <c r="AJ155">
        <f>IF($AA155="yes","Yes",IF($AA155="","","No"))</f>
        <v/>
      </c>
      <c r="AK155" t="n">
        <v>0.009704237519640583</v>
      </c>
      <c r="AL155" t="n">
        <v>0.003971933446756387</v>
      </c>
      <c r="AM155">
        <f>IF(AND(ISNUMBER($AC155),ISNUMBER(IF($V155,IF($AL155="","",$AL155),IF($AK155="","",$AK155)))),IF(AND(ABS($AC155-significance_bar)&lt;=2.0*IF($V155,IF($AL155="","",$AL155),IF($AK155="","",$AK155)),OR($Y155="worse",$Y155="better",$Y155="worse, not significant",$Y155="better, not significant")),IF(ROUND($AC155,3)=ROUND(significance_bar,3),TEXT($AC155,"0.0000"),TEXT($AC155,"0.000")),""),"")</f>
        <v/>
      </c>
      <c r="AN155">
        <f>IF(AND(ISNUMBER($AC155),ISNUMBER(IF($V155,IF($AL155="","",$AL155),IF($AK155="","",$AK155)))),IF(AND(ABS($AC155-significance_bar)&lt;=2.0*IF($V155,IF($AL155="","",$AL155),IF($AK155="","",$AK155)),OR($Y155="worse",$Y155="worse, not significant")),IF(ROUND($AC155,3)=ROUND(significance_bar,3),TEXT($AC155,"0.0000"),TEXT($AC155,"0.000")),""),"")</f>
        <v/>
      </c>
      <c r="AO155">
        <f>IF(OR($AI155="",$AN155=""),$AI155,$AI155&amp;" · borderline (p "&amp;$AN155&amp;")")</f>
        <v/>
      </c>
    </row>
    <row r="156">
      <c r="A156" t="inlineStr">
        <is>
          <t>grids</t>
        </is>
      </c>
      <c r="B156" t="inlineStr">
        <is>
          <t>SHORT_HIST x CHANNEL</t>
        </is>
      </c>
      <c r="C156" t="inlineStr">
        <is>
          <t>172.0 - 256.3</t>
        </is>
      </c>
      <c r="D156" t="inlineStr">
        <is>
          <t>Online</t>
        </is>
      </c>
      <c r="E156" t="inlineStr">
        <is>
          <t>gco_rate</t>
        </is>
      </c>
      <c r="F156" t="inlineStr">
        <is>
          <t>GCO per booked dollar</t>
        </is>
      </c>
      <c r="G156" t="n">
        <v>517</v>
      </c>
      <c r="H156" t="n">
        <v>17075167.47999998</v>
      </c>
      <c r="I156" t="b">
        <v>0</v>
      </c>
      <c r="J156" t="b">
        <v>0</v>
      </c>
      <c r="K156" t="n">
        <v>0.7860952136853212</v>
      </c>
      <c r="L156" t="n">
        <v>0.5485701429857015</v>
      </c>
      <c r="M156" t="n">
        <v>0.9122678977122326</v>
      </c>
      <c r="N156" t="n">
        <v>0.860337043218755</v>
      </c>
      <c r="O156" t="n">
        <v>-154143.5085022063</v>
      </c>
      <c r="P156" t="n">
        <v>-54477.35748253332</v>
      </c>
      <c r="Q156">
        <f>'_live'!$C$22</f>
        <v/>
      </c>
      <c r="R156" t="inlineStr">
        <is>
          <t>shuffled: 2,356 of 10,000</t>
        </is>
      </c>
      <c r="S156" t="inlineStr">
        <is>
          <t>shuffled: 6,933 of 10,000</t>
        </is>
      </c>
      <c r="T156" t="n">
        <v>0.04220265419629179</v>
      </c>
      <c r="U156" t="n">
        <v>0.03636574799104307</v>
      </c>
      <c r="V156">
        <f>AND(judged_band,NOT($J156))</f>
        <v/>
      </c>
      <c r="W156">
        <f>IF($K156="","",IF($I156,"too few losses to test",IF(AND($K156&gt;better_at,$K156&lt;worse_at),"in line",IF($K156&gt;=worse_at,IF(AND(ISNUMBER($L156),$L156&lt;significance_bar),"worse","worse, not significant"),IF(AND(ISNUMBER($L156),$L156&lt;significance_bar),"better","better, not significant")))))</f>
        <v/>
      </c>
      <c r="X156">
        <f>IF($M156="","",IF($I156,"too few losses to test",IF(AND($M156&gt;better_at,$M156&lt;worse_at),"in line",IF($M156&gt;=worse_at,IF(AND(ISNUMBER($N156),$N156&lt;significance_bar),"worse","worse, not significant"),IF(AND(ISNUMBER($N156),$N156&lt;significance_bar),"better","better, not significant")))))</f>
        <v/>
      </c>
      <c r="Y156">
        <f>IF($V156,$X156,$W156)</f>
        <v/>
      </c>
      <c r="Z156">
        <f>IF($V156,IF($P156="","",$P156),IF($O156="","",$O156))</f>
        <v/>
      </c>
      <c r="AA156">
        <f>IF(OR($Q156="",$Z156=""),"",IF(AND($Z156&gt;0,$Z156&gt;=$Q156),"yes","below the line"))</f>
        <v/>
      </c>
      <c r="AB156">
        <f>IF($V156,IF($M156="","",$M156),IF($K156="","",$K156))</f>
        <v/>
      </c>
      <c r="AC156">
        <f>IF($V156,IF($N156="","",$N156),IF($L156="","",$L156))</f>
        <v/>
      </c>
      <c r="AD156">
        <f>$Y156</f>
        <v/>
      </c>
      <c r="AE156">
        <f>IF($V156,IF($S156="","",$S156),IF($R156="","",$R156))</f>
        <v/>
      </c>
      <c r="AF156">
        <f>IF($V156,IF($U156="","",$U156),IF($T156="","",$T156))</f>
        <v/>
      </c>
      <c r="AG156">
        <f>IF($V156,IF($O156="","",$O156),IF($P156="","",$P156))</f>
        <v/>
      </c>
      <c r="AH156" t="n">
        <v>0.03317530446852171</v>
      </c>
      <c r="AI156">
        <f>IF($Y156="worse","Yes",IF($Y156="worse, not significant","Not sure",IF(OR($Y156="too few losses to test",$Y156="too few loans to test"),"Too few losses",IF($Y156="","","No"))))</f>
        <v/>
      </c>
      <c r="AJ156">
        <f>IF($AA156="yes","Yes",IF($AA156="","","No"))</f>
        <v/>
      </c>
      <c r="AK156" t="n">
        <v>0.008530180633039591</v>
      </c>
      <c r="AL156" t="n">
        <v>0.005025104579955951</v>
      </c>
      <c r="AM156">
        <f>IF(AND(ISNUMBER($AC156),ISNUMBER(IF($V156,IF($AL156="","",$AL156),IF($AK156="","",$AK156)))),IF(AND(ABS($AC156-significance_bar)&lt;=2.0*IF($V156,IF($AL156="","",$AL156),IF($AK156="","",$AK156)),OR($Y156="worse",$Y156="better",$Y156="worse, not significant",$Y156="better, not significant")),IF(ROUND($AC156,3)=ROUND(significance_bar,3),TEXT($AC156,"0.0000"),TEXT($AC156,"0.000")),""),"")</f>
        <v/>
      </c>
      <c r="AN156">
        <f>IF(AND(ISNUMBER($AC156),ISNUMBER(IF($V156,IF($AL156="","",$AL156),IF($AK156="","",$AK156)))),IF(AND(ABS($AC156-significance_bar)&lt;=2.0*IF($V156,IF($AL156="","",$AL156),IF($AK156="","",$AK156)),OR($Y156="worse",$Y156="worse, not significant")),IF(ROUND($AC156,3)=ROUND(significance_bar,3),TEXT($AC156,"0.0000"),TEXT($AC156,"0.000")),""),"")</f>
        <v/>
      </c>
      <c r="AO156">
        <f>IF(OR($AI156="",$AN156=""),$AI156,$AI156&amp;" · borderline (p "&amp;$AN156&amp;")")</f>
        <v/>
      </c>
    </row>
    <row r="157">
      <c r="A157" t="inlineStr">
        <is>
          <t>grids</t>
        </is>
      </c>
      <c r="B157" t="inlineStr">
        <is>
          <t>SHORT_HIST x CHANNEL</t>
        </is>
      </c>
      <c r="C157" t="inlineStr">
        <is>
          <t>172.0 - 256.3</t>
        </is>
      </c>
      <c r="D157" t="inlineStr">
        <is>
          <t>Online</t>
        </is>
      </c>
      <c r="E157" t="inlineStr">
        <is>
          <t>ranr_rate</t>
        </is>
      </c>
      <c r="F157" t="inlineStr">
        <is>
          <t>Profit after losses: RANR per booked dollar</t>
        </is>
      </c>
      <c r="G157" t="n">
        <v>517</v>
      </c>
      <c r="H157" t="n">
        <v>17075167.47999998</v>
      </c>
      <c r="I157" t="b">
        <v>0</v>
      </c>
      <c r="J157" t="b">
        <v>0</v>
      </c>
      <c r="K157" t="n">
        <v>0.02872837072098441</v>
      </c>
      <c r="L157" t="n">
        <v>0.03959604039596041</v>
      </c>
      <c r="M157" t="n">
        <v>0.03379042000195136</v>
      </c>
      <c r="N157" t="n">
        <v>0.0233976602339766</v>
      </c>
      <c r="O157" t="n">
        <v>-490541.7414883366</v>
      </c>
      <c r="P157" t="n">
        <v>-576977.0807528608</v>
      </c>
      <c r="Q157">
        <f>'_live'!$C$23</f>
        <v/>
      </c>
      <c r="R157" t="inlineStr">
        <is>
          <t>shuffled: 21 of 10,000</t>
        </is>
      </c>
      <c r="S157" t="inlineStr">
        <is>
          <t>shuffled: 12 of 10,000</t>
        </is>
      </c>
      <c r="T157" t="n">
        <v>0.1260892293462685</v>
      </c>
      <c r="U157" t="n">
        <v>0.1210271800653016</v>
      </c>
      <c r="V157">
        <f>AND(judged_band,NOT($J157))</f>
        <v/>
      </c>
      <c r="W157">
        <f>IF($K157="","",IF(profit_kind="test",IF(OR(NOT(AND(ISNUMBER($L157),$L157&lt;significance_bar)),$K157=0),"in line",IF($K157&lt;0,"worse","better")),IF(OR($K157=0,IF(profit_kind="points",ABS($K157),ABS($K157*$H157))&lt;profit_line*(1-1E-9)),"in line",IF(AND(ISNUMBER($L157),$L157&lt;significance_bar),IF($K157&lt;0,"worse","better"),IF($K157&lt;0,"worse, not significant","better, not significant")))))</f>
        <v/>
      </c>
      <c r="X157">
        <f>IF($M157="","",IF(profit_kind="test",IF(OR(NOT(AND(ISNUMBER($N157),$N157&lt;significance_bar)),$M157=0),"in line",IF($M157&lt;0,"worse","better")),IF(OR($M157=0,IF(profit_kind="points",ABS($M157),ABS($M157*$H157))&lt;profit_line*(1-1E-9)),"in line",IF(AND(ISNUMBER($N157),$N157&lt;significance_bar),IF($M157&lt;0,"worse","better"),IF($M157&lt;0,"worse, not significant","better, not significant")))))</f>
        <v/>
      </c>
      <c r="Y157">
        <f>IF($V157,$X157,$W157)</f>
        <v/>
      </c>
      <c r="Z157">
        <f>IF($V157,IF($P157="","",$P157),IF($O157="","",$O157))</f>
        <v/>
      </c>
      <c r="AA157">
        <f>IF(OR($Q157="",$Z157=""),"",IF(AND($Z157&gt;0,$Z157&gt;=$Q157),"yes","below the line"))</f>
        <v/>
      </c>
      <c r="AB157">
        <f>IF($V157,IF($M157="","",$M157),IF($K157="","",$K157))</f>
        <v/>
      </c>
      <c r="AC157">
        <f>IF($V157,IF($N157="","",$N157),IF($L157="","",$L157))</f>
        <v/>
      </c>
      <c r="AD157">
        <f>IF($Y157="","",IF($Y157="in line",IF(profit_kind="test",IF(ROUND($AB157*100,2)=0,"0.00",TEXT($AB157*100,"+0.00;-0.00"))&amp;" points against "&amp;IF($V157,"its band","the book")&amp;", "&amp;IF($AC157="","not tested","not significant"),IF(profit_kind="points","within "&amp;TEXT(profit_line*100,"0.00")&amp;" points of "&amp;IF($V157,"its band","the book")&amp;" ("&amp;IF(ROUND($AB157*100,2)=0,"0.00",TEXT($AB157*100,"+0.00;-0.00"))&amp;")","within $"&amp;TEXT(profit_line,"#,##0")&amp;" of "&amp;IF($V157,"its band","the book")&amp;" ("&amp;IF(ROUND($AB157*100,2)=0,"0.00",TEXT($AB157*100,"+0.00;-0.00"))&amp;" points)")),IF(LEFT($Y157,5)="worse","short of ","ahead of ")&amp;IF($V157,"its band","the book")&amp;" by "&amp;TEXT(ABS($AB157)*100,"0.00")&amp;" points"&amp;IF($Z157="",""," ($"&amp;TEXT(ABS($Z157),"#,##0")&amp;")")&amp;IF(RIGHT($Y157,15)="not significant"," (not significant)","")))</f>
        <v/>
      </c>
      <c r="AE157">
        <f>IF($V157,IF($S157="","",$S157),IF($R157="","",$R157))</f>
        <v/>
      </c>
      <c r="AF157">
        <f>IF($V157,IF($U157="","",$U157),IF($T157="","",$T157))</f>
        <v/>
      </c>
      <c r="AG157">
        <f>IF($V157,IF($O157="","",$O157),IF($P157="","",$P157))</f>
        <v/>
      </c>
      <c r="AH157" t="n">
        <v>0.1548176000672529</v>
      </c>
      <c r="AI157">
        <f>IF($Y157="worse","Yes",IF($Y157="worse, not significant","Not sure",IF(OR($Y157="too few losses to test",$Y157="too few loans to test"),"Too few losses",IF($Y157="","","No"))))</f>
        <v/>
      </c>
      <c r="AJ157">
        <f>IF($AA157="yes","Yes",IF($AA157="","","No"))</f>
        <v/>
      </c>
      <c r="AK157" t="n">
        <v>0.008433035519385939</v>
      </c>
      <c r="AL157" t="n">
        <v>0.006485448586698952</v>
      </c>
      <c r="AM157">
        <f>IF(AND(ISNUMBER($AC157),ISNUMBER(IF($V157,IF($AL157="","",$AL157),IF($AK157="","",$AK157)))),IF(AND(ABS($AC157-significance_bar)&lt;=2.0*IF($V157,IF($AL157="","",$AL157),IF($AK157="","",$AK157)),OR($Y157="worse",$Y157="better",$Y157="worse, not significant",$Y157="better, not significant",AND(profit_kind="test",$Y157="in line",ISNUMBER($AB157),$AB157&lt;&gt;0))),IF(ROUND($AC157,3)=ROUND(significance_bar,3),TEXT($AC157,"0.0000"),TEXT($AC157,"0.000")),""),"")</f>
        <v/>
      </c>
      <c r="AN157">
        <f>IF(AND(ISNUMBER($AC157),ISNUMBER(IF($V157,IF($AL157="","",$AL157),IF($AK157="","",$AK157)))),IF(AND(ABS($AC157-significance_bar)&lt;=2.0*IF($V157,IF($AL157="","",$AL157),IF($AK157="","",$AK157)),OR($Y157="worse",$Y157="worse, not significant",AND(profit_kind="test",$Y157="in line",ISNUMBER($AB157),$AB157&lt;0))),IF(ROUND($AC157,3)=ROUND(significance_bar,3),TEXT($AC157,"0.0000"),TEXT($AC157,"0.000")),""),"")</f>
        <v/>
      </c>
      <c r="AO157">
        <f>IF(OR($AI157="",$AN157=""),$AI157,$AI157&amp;" · borderline (p "&amp;$AN157&amp;")")</f>
        <v/>
      </c>
    </row>
    <row r="158">
      <c r="A158" t="inlineStr">
        <is>
          <t>grids</t>
        </is>
      </c>
      <c r="B158" t="inlineStr">
        <is>
          <t>SHORT_HIST x CHANNEL</t>
        </is>
      </c>
      <c r="C158" t="inlineStr">
        <is>
          <t>172.0 - 256.3</t>
        </is>
      </c>
      <c r="D158" t="inlineStr">
        <is>
          <t>Online</t>
        </is>
      </c>
      <c r="E158" t="inlineStr">
        <is>
          <t>contribution_rate</t>
        </is>
      </c>
      <c r="F158" t="inlineStr">
        <is>
          <t>Contribution before losses per booked dollar</t>
        </is>
      </c>
      <c r="G158" t="n">
        <v>517</v>
      </c>
      <c r="H158" t="n">
        <v>17075167.47999998</v>
      </c>
      <c r="I158" t="b">
        <v>0</v>
      </c>
      <c r="J158" t="b">
        <v>0</v>
      </c>
      <c r="K158" t="n">
        <v>0.01970439592027143</v>
      </c>
      <c r="L158" t="n">
        <v>0.0053994600539946</v>
      </c>
      <c r="M158" t="n">
        <v>0.03059997647943</v>
      </c>
      <c r="N158" t="n">
        <v>0.0017998200179982</v>
      </c>
      <c r="O158" t="n">
        <v>-336455.8604308632</v>
      </c>
      <c r="P158" t="n">
        <v>-522499.7232703273</v>
      </c>
      <c r="Q158">
        <f>'_live'!$C$24</f>
        <v/>
      </c>
      <c r="R158" t="inlineStr">
        <is>
          <t>shuffled: 5 of 10,000</t>
        </is>
      </c>
      <c r="S158" t="inlineStr">
        <is>
          <t>shuffled: 1 of 10,000</t>
        </is>
      </c>
      <c r="T158" t="n">
        <v>0.1682885086155032</v>
      </c>
      <c r="U158" t="n">
        <v>0.1573929280563447</v>
      </c>
      <c r="V158">
        <f>AND(judged_band,NOT($J158))</f>
        <v/>
      </c>
      <c r="W158">
        <f>IF($K158="","",IF(profit_kind="test",IF(OR(NOT(AND(ISNUMBER($L158),$L158&lt;significance_bar)),$K158=0),"in line",IF($K158&lt;0,"worse","better")),IF(OR($K158=0,IF(profit_kind="points",ABS($K158),ABS($K158*$H158))&lt;profit_line*(1-1E-9)),"in line",IF(AND(ISNUMBER($L158),$L158&lt;significance_bar),IF($K158&lt;0,"worse","better"),IF($K158&lt;0,"worse, not significant","better, not significant")))))</f>
        <v/>
      </c>
      <c r="X158">
        <f>IF($M158="","",IF(profit_kind="test",IF(OR(NOT(AND(ISNUMBER($N158),$N158&lt;significance_bar)),$M158=0),"in line",IF($M158&lt;0,"worse","better")),IF(OR($M158=0,IF(profit_kind="points",ABS($M158),ABS($M158*$H158))&lt;profit_line*(1-1E-9)),"in line",IF(AND(ISNUMBER($N158),$N158&lt;significance_bar),IF($M158&lt;0,"worse","better"),IF($M158&lt;0,"worse, not significant","better, not significant")))))</f>
        <v/>
      </c>
      <c r="Y158">
        <f>IF($V158,$X158,$W158)</f>
        <v/>
      </c>
      <c r="Z158">
        <f>IF($V158,IF($P158="","",$P158),IF($O158="","",$O158))</f>
        <v/>
      </c>
      <c r="AA158">
        <f>IF(OR($Q158="",$Z158=""),"",IF(AND($Z158&gt;0,$Z158&gt;=$Q158),"yes","below the line"))</f>
        <v/>
      </c>
      <c r="AB158">
        <f>IF($V158,IF($M158="","",$M158),IF($K158="","",$K158))</f>
        <v/>
      </c>
      <c r="AC158">
        <f>IF($V158,IF($N158="","",$N158),IF($L158="","",$L158))</f>
        <v/>
      </c>
      <c r="AD158">
        <f>IF($Y158="","",IF($Y158="in line",IF(profit_kind="test",IF(ROUND($AB158*100,2)=0,"0.00",TEXT($AB158*100,"+0.00;-0.00"))&amp;" points against "&amp;IF($V158,"its band","the book")&amp;", "&amp;IF($AC158="","not tested","not significant"),IF(profit_kind="points","within "&amp;TEXT(profit_line*100,"0.00")&amp;" points of "&amp;IF($V158,"its band","the book")&amp;" ("&amp;IF(ROUND($AB158*100,2)=0,"0.00",TEXT($AB158*100,"+0.00;-0.00"))&amp;")","within $"&amp;TEXT(profit_line,"#,##0")&amp;" of "&amp;IF($V158,"its band","the book")&amp;" ("&amp;IF(ROUND($AB158*100,2)=0,"0.00",TEXT($AB158*100,"+0.00;-0.00"))&amp;" points)")),IF(LEFT($Y158,5)="worse","short of ","ahead of ")&amp;IF($V158,"its band","the book")&amp;" by "&amp;TEXT(ABS($AB158)*100,"0.00")&amp;" points"&amp;IF($Z158="",""," ($"&amp;TEXT(ABS($Z158),"#,##0")&amp;")")&amp;IF(RIGHT($Y158,15)="not significant"," (not significant)","")))</f>
        <v/>
      </c>
      <c r="AE158">
        <f>IF($V158,IF($S158="","",$S158),IF($R158="","",$R158))</f>
        <v/>
      </c>
      <c r="AF158">
        <f>IF($V158,IF($U158="","",$U158),IF($T158="","",$T158))</f>
        <v/>
      </c>
      <c r="AG158">
        <f>IF($V158,IF($O158="","",$O158),IF($P158="","",$P158))</f>
        <v/>
      </c>
      <c r="AH158" t="n">
        <v>0.1879929045357747</v>
      </c>
      <c r="AI158">
        <f>IF($Y158="worse","Yes",IF($Y158="worse, not significant","Not sure",IF(OR($Y158="too few losses to test",$Y158="too few loans to test"),"Too few losses",IF($Y158="","","No"))))</f>
        <v/>
      </c>
      <c r="AJ158">
        <f>IF($AA158="yes","Yes",IF($AA158="","","No"))</f>
        <v/>
      </c>
      <c r="AK158" t="n">
        <v>0.002203769187484858</v>
      </c>
      <c r="AL158" t="n">
        <v>0.001272601304803929</v>
      </c>
      <c r="AM158">
        <f>IF(AND(ISNUMBER($AC158),ISNUMBER(IF($V158,IF($AL158="","",$AL158),IF($AK158="","",$AK158)))),IF(AND(ABS($AC158-significance_bar)&lt;=2.0*IF($V158,IF($AL158="","",$AL158),IF($AK158="","",$AK158)),OR($Y158="worse",$Y158="better",$Y158="worse, not significant",$Y158="better, not significant",AND(profit_kind="test",$Y158="in line",ISNUMBER($AB158),$AB158&lt;&gt;0))),IF(ROUND($AC158,3)=ROUND(significance_bar,3),TEXT($AC158,"0.0000"),TEXT($AC158,"0.000")),""),"")</f>
        <v/>
      </c>
      <c r="AN158">
        <f>IF(AND(ISNUMBER($AC158),ISNUMBER(IF($V158,IF($AL158="","",$AL158),IF($AK158="","",$AK158)))),IF(AND(ABS($AC158-significance_bar)&lt;=2.0*IF($V158,IF($AL158="","",$AL158),IF($AK158="","",$AK158)),OR($Y158="worse",$Y158="worse, not significant",AND(profit_kind="test",$Y158="in line",ISNUMBER($AB158),$AB158&lt;0))),IF(ROUND($AC158,3)=ROUND(significance_bar,3),TEXT($AC158,"0.0000"),TEXT($AC158,"0.000")),""),"")</f>
        <v/>
      </c>
      <c r="AO158">
        <f>IF(OR($AI158="",$AN158=""),$AI158,$AI158&amp;" · borderline (p "&amp;$AN158&amp;")")</f>
        <v/>
      </c>
    </row>
    <row r="159">
      <c r="A159" t="inlineStr">
        <is>
          <t>grids</t>
        </is>
      </c>
      <c r="B159" t="inlineStr">
        <is>
          <t>SHORT_HIST x CHANNEL</t>
        </is>
      </c>
      <c r="C159" t="inlineStr">
        <is>
          <t>89.0 - 171.9</t>
        </is>
      </c>
      <c r="D159" t="inlineStr">
        <is>
          <t>Branch</t>
        </is>
      </c>
      <c r="E159" t="inlineStr">
        <is>
          <t>outcome_loans</t>
        </is>
      </c>
      <c r="F159" t="inlineStr">
        <is>
          <t>Outcome, share of loans</t>
        </is>
      </c>
      <c r="G159" t="n">
        <v>490</v>
      </c>
      <c r="H159" t="n">
        <v>490</v>
      </c>
      <c r="I159" t="b">
        <v>0</v>
      </c>
      <c r="J159" t="b">
        <v>0</v>
      </c>
      <c r="K159" t="n">
        <v>0.9462806735043934</v>
      </c>
      <c r="L159" t="n">
        <v>0.851303443149268</v>
      </c>
      <c r="M159" t="n">
        <v>0.8429229756418697</v>
      </c>
      <c r="N159" t="n">
        <v>0.5570259701087055</v>
      </c>
      <c r="O159" t="n">
        <v>-2.043680916233846</v>
      </c>
      <c r="P159" t="n">
        <v>-6.708528584817245</v>
      </c>
      <c r="Q159">
        <f>'_live'!$C$20</f>
        <v/>
      </c>
      <c r="R159" t="inlineStr">
        <is>
          <t>z test</t>
        </is>
      </c>
      <c r="S159" t="inlineStr">
        <is>
          <t>z test</t>
        </is>
      </c>
      <c r="T159" t="n">
        <v>0.07764016513517112</v>
      </c>
      <c r="U159" t="n">
        <v>0.08716026241799438</v>
      </c>
      <c r="V159">
        <f>AND(judged_band,NOT($J159))</f>
        <v/>
      </c>
      <c r="W159">
        <f>IF($K159="","",IF($I159,"too few losses to test",IF(AND($K159&gt;better_at,$K159&lt;worse_at),"in line",IF($K159&gt;=worse_at,IF(AND(ISNUMBER($L159),$L159&lt;significance_bar),"worse","worse, not significant"),IF(AND(ISNUMBER($L159),$L159&lt;significance_bar),"better","better, not significant")))))</f>
        <v/>
      </c>
      <c r="X159">
        <f>IF($M159="","",IF($I159,"too few losses to test",IF(AND($M159&gt;better_at,$M159&lt;worse_at),"in line",IF($M159&gt;=worse_at,IF(AND(ISNUMBER($N159),$N159&lt;significance_bar),"worse","worse, not significant"),IF(AND(ISNUMBER($N159),$N159&lt;significance_bar),"better","better, not significant")))))</f>
        <v/>
      </c>
      <c r="Y159">
        <f>IF($V159,$X159,$W159)</f>
        <v/>
      </c>
      <c r="Z159">
        <f>IF($V159,IF($P159="","",$P159),IF($O159="","",$O159))</f>
        <v/>
      </c>
      <c r="AA159">
        <f>IF(OR($Q159="",$Z159=""),"",IF(AND($Z159&gt;0,$Z159&gt;=$Q159),"yes","below the line"))</f>
        <v/>
      </c>
      <c r="AB159">
        <f>IF($V159,IF($M159="","",$M159),IF($K159="","",$K159))</f>
        <v/>
      </c>
      <c r="AC159">
        <f>IF($V159,IF($N159="","",$N159),IF($L159="","",$L159))</f>
        <v/>
      </c>
      <c r="AD159">
        <f>$Y159</f>
        <v/>
      </c>
      <c r="AE159">
        <f>IF($V159,IF($S159="","",$S159),IF($R159="","",$R159))</f>
        <v/>
      </c>
      <c r="AF159">
        <f>IF($V159,IF($U159="","",$U159),IF($T159="","",$T159))</f>
        <v/>
      </c>
      <c r="AG159">
        <f>IF($V159,IF($O159="","",$O159),IF($P159="","",$P159))</f>
        <v/>
      </c>
      <c r="AH159" t="n">
        <v>0.07346938775510205</v>
      </c>
      <c r="AI159">
        <f>IF($Y159="worse","Yes",IF($Y159="worse, not significant","Not sure",IF(OR($Y159="too few losses to test",$Y159="too few loans to test"),"Too few losses",IF($Y159="","","No"))))</f>
        <v/>
      </c>
      <c r="AJ159">
        <f>IF($AA159="yes","Yes",IF($AA159="","","No"))</f>
        <v/>
      </c>
      <c r="AM159">
        <f>IF(AND(ISNUMBER($AC159),ISNUMBER(IF($V159,IF($AL159="","",$AL159),IF($AK159="","",$AK159)))),IF(AND(ABS($AC159-significance_bar)&lt;=2.0*IF($V159,IF($AL159="","",$AL159),IF($AK159="","",$AK159)),OR($Y159="worse",$Y159="better",$Y159="worse, not significant",$Y159="better, not significant")),IF(ROUND($AC159,3)=ROUND(significance_bar,3),TEXT($AC159,"0.0000"),TEXT($AC159,"0.000")),""),"")</f>
        <v/>
      </c>
      <c r="AN159">
        <f>IF(AND(ISNUMBER($AC159),ISNUMBER(IF($V159,IF($AL159="","",$AL159),IF($AK159="","",$AK159)))),IF(AND(ABS($AC159-significance_bar)&lt;=2.0*IF($V159,IF($AL159="","",$AL159),IF($AK159="","",$AK159)),OR($Y159="worse",$Y159="worse, not significant")),IF(ROUND($AC159,3)=ROUND(significance_bar,3),TEXT($AC159,"0.0000"),TEXT($AC159,"0.000")),""),"")</f>
        <v/>
      </c>
      <c r="AO159">
        <f>IF(OR($AI159="",$AN159=""),$AI159,$AI159&amp;" · borderline (p "&amp;$AN159&amp;")")</f>
        <v/>
      </c>
    </row>
    <row r="160">
      <c r="A160" t="inlineStr">
        <is>
          <t>grids</t>
        </is>
      </c>
      <c r="B160" t="inlineStr">
        <is>
          <t>SHORT_HIST x CHANNEL</t>
        </is>
      </c>
      <c r="C160" t="inlineStr">
        <is>
          <t>89.0 - 171.9</t>
        </is>
      </c>
      <c r="D160" t="inlineStr">
        <is>
          <t>Branch</t>
        </is>
      </c>
      <c r="E160" t="inlineStr">
        <is>
          <t>outcome_booked</t>
        </is>
      </c>
      <c r="F160" t="inlineStr">
        <is>
          <t>Outcome, share of booked dollars</t>
        </is>
      </c>
      <c r="G160" t="n">
        <v>490</v>
      </c>
      <c r="H160" t="n">
        <v>15633396.37000001</v>
      </c>
      <c r="I160" t="b">
        <v>0</v>
      </c>
      <c r="J160" t="b">
        <v>0</v>
      </c>
      <c r="K160" t="n">
        <v>1.011337275741547</v>
      </c>
      <c r="L160" t="n">
        <v>0.949005099490051</v>
      </c>
      <c r="M160" t="n">
        <v>0.8933656161891005</v>
      </c>
      <c r="N160" t="n">
        <v>0.7646735326467353</v>
      </c>
      <c r="O160" t="n">
        <v>13253.57425756077</v>
      </c>
      <c r="P160" t="n">
        <v>-141119.9296338281</v>
      </c>
      <c r="Q160">
        <f>'_live'!$C$21</f>
        <v/>
      </c>
      <c r="R160" t="inlineStr">
        <is>
          <t>shuffled: 9,490 of 10,000</t>
        </is>
      </c>
      <c r="S160" t="inlineStr">
        <is>
          <t>shuffled: 5,945 of 10,000</t>
        </is>
      </c>
      <c r="T160" t="n">
        <v>0.07477750439346396</v>
      </c>
      <c r="U160" t="n">
        <v>0.08465210235271656</v>
      </c>
      <c r="V160">
        <f>AND(judged_band,NOT($J160))</f>
        <v/>
      </c>
      <c r="W160">
        <f>IF($K160="","",IF($I160,"too few losses to test",IF(AND($K160&gt;better_at,$K160&lt;worse_at),"in line",IF($K160&gt;=worse_at,IF(AND(ISNUMBER($L160),$L160&lt;significance_bar),"worse","worse, not significant"),IF(AND(ISNUMBER($L160),$L160&lt;significance_bar),"better","better, not significant")))))</f>
        <v/>
      </c>
      <c r="X160">
        <f>IF($M160="","",IF($I160,"too few losses to test",IF(AND($M160&gt;better_at,$M160&lt;worse_at),"in line",IF($M160&gt;=worse_at,IF(AND(ISNUMBER($N160),$N160&lt;significance_bar),"worse","worse, not significant"),IF(AND(ISNUMBER($N160),$N160&lt;significance_bar),"better","better, not significant")))))</f>
        <v/>
      </c>
      <c r="Y160">
        <f>IF($V160,$X160,$W160)</f>
        <v/>
      </c>
      <c r="Z160">
        <f>IF($V160,IF($P160="","",$P160),IF($O160="","",$O160))</f>
        <v/>
      </c>
      <c r="AA160">
        <f>IF(OR($Q160="",$Z160=""),"",IF(AND($Z160&gt;0,$Z160&gt;=$Q160),"yes","below the line"))</f>
        <v/>
      </c>
      <c r="AB160">
        <f>IF($V160,IF($M160="","",$M160),IF($K160="","",$K160))</f>
        <v/>
      </c>
      <c r="AC160">
        <f>IF($V160,IF($N160="","",$N160),IF($L160="","",$L160))</f>
        <v/>
      </c>
      <c r="AD160">
        <f>$Y160</f>
        <v/>
      </c>
      <c r="AE160">
        <f>IF($V160,IF($S160="","",$S160),IF($R160="","",$R160))</f>
        <v/>
      </c>
      <c r="AF160">
        <f>IF($V160,IF($U160="","",$U160),IF($T160="","",$T160))</f>
        <v/>
      </c>
      <c r="AG160">
        <f>IF($V160,IF($O160="","",$O160),IF($P160="","",$P160))</f>
        <v/>
      </c>
      <c r="AH160" t="n">
        <v>0.07562527758003743</v>
      </c>
      <c r="AI160">
        <f>IF($Y160="worse","Yes",IF($Y160="worse, not significant","Not sure",IF(OR($Y160="too few losses to test",$Y160="too few loans to test"),"Too few losses",IF($Y160="","","No"))))</f>
        <v/>
      </c>
      <c r="AJ160">
        <f>IF($AA160="yes","Yes",IF($AA160="","","No"))</f>
        <v/>
      </c>
      <c r="AK160" t="n">
        <v>0.002199873192525638</v>
      </c>
      <c r="AL160" t="n">
        <v>0.00609193158430051</v>
      </c>
      <c r="AM160">
        <f>IF(AND(ISNUMBER($AC160),ISNUMBER(IF($V160,IF($AL160="","",$AL160),IF($AK160="","",$AK160)))),IF(AND(ABS($AC160-significance_bar)&lt;=2.0*IF($V160,IF($AL160="","",$AL160),IF($AK160="","",$AK160)),OR($Y160="worse",$Y160="better",$Y160="worse, not significant",$Y160="better, not significant")),IF(ROUND($AC160,3)=ROUND(significance_bar,3),TEXT($AC160,"0.0000"),TEXT($AC160,"0.000")),""),"")</f>
        <v/>
      </c>
      <c r="AN160">
        <f>IF(AND(ISNUMBER($AC160),ISNUMBER(IF($V160,IF($AL160="","",$AL160),IF($AK160="","",$AK160)))),IF(AND(ABS($AC160-significance_bar)&lt;=2.0*IF($V160,IF($AL160="","",$AL160),IF($AK160="","",$AK160)),OR($Y160="worse",$Y160="worse, not significant")),IF(ROUND($AC160,3)=ROUND(significance_bar,3),TEXT($AC160,"0.0000"),TEXT($AC160,"0.000")),""),"")</f>
        <v/>
      </c>
      <c r="AO160">
        <f>IF(OR($AI160="",$AN160=""),$AI160,$AI160&amp;" · borderline (p "&amp;$AN160&amp;")")</f>
        <v/>
      </c>
    </row>
    <row r="161">
      <c r="A161" t="inlineStr">
        <is>
          <t>grids</t>
        </is>
      </c>
      <c r="B161" t="inlineStr">
        <is>
          <t>SHORT_HIST x CHANNEL</t>
        </is>
      </c>
      <c r="C161" t="inlineStr">
        <is>
          <t>89.0 - 171.9</t>
        </is>
      </c>
      <c r="D161" t="inlineStr">
        <is>
          <t>Branch</t>
        </is>
      </c>
      <c r="E161" t="inlineStr">
        <is>
          <t>gco_rate</t>
        </is>
      </c>
      <c r="F161" t="inlineStr">
        <is>
          <t>GCO per booked dollar</t>
        </is>
      </c>
      <c r="G161" t="n">
        <v>490</v>
      </c>
      <c r="H161" t="n">
        <v>15633396.37000001</v>
      </c>
      <c r="I161" t="b">
        <v>0</v>
      </c>
      <c r="J161" t="b">
        <v>0</v>
      </c>
      <c r="K161" t="n">
        <v>0.9700181925225065</v>
      </c>
      <c r="L161" t="n">
        <v>0.9617038296170383</v>
      </c>
      <c r="M161" t="n">
        <v>0.855265727238113</v>
      </c>
      <c r="N161" t="n">
        <v>0.7244275572442755</v>
      </c>
      <c r="O161" t="n">
        <v>-19536.60399410338</v>
      </c>
      <c r="P161" t="n">
        <v>-106964.9410289344</v>
      </c>
      <c r="Q161">
        <f>'_live'!$C$22</f>
        <v/>
      </c>
      <c r="R161" t="inlineStr">
        <is>
          <t>shuffled: 8,733 of 10,000</t>
        </is>
      </c>
      <c r="S161" t="inlineStr">
        <is>
          <t>shuffled: 4,829 of 10,000</t>
        </is>
      </c>
      <c r="T161" t="n">
        <v>0.04168098016401173</v>
      </c>
      <c r="U161" t="n">
        <v>0.04727338855471838</v>
      </c>
      <c r="V161">
        <f>AND(judged_band,NOT($J161))</f>
        <v/>
      </c>
      <c r="W161">
        <f>IF($K161="","",IF($I161,"too few losses to test",IF(AND($K161&gt;better_at,$K161&lt;worse_at),"in line",IF($K161&gt;=worse_at,IF(AND(ISNUMBER($L161),$L161&lt;significance_bar),"worse","worse, not significant"),IF(AND(ISNUMBER($L161),$L161&lt;significance_bar),"better","better, not significant")))))</f>
        <v/>
      </c>
      <c r="X161">
        <f>IF($M161="","",IF($I161,"too few losses to test",IF(AND($M161&gt;better_at,$M161&lt;worse_at),"in line",IF($M161&gt;=worse_at,IF(AND(ISNUMBER($N161),$N161&lt;significance_bar),"worse","worse, not significant"),IF(AND(ISNUMBER($N161),$N161&lt;significance_bar),"better","better, not significant")))))</f>
        <v/>
      </c>
      <c r="Y161">
        <f>IF($V161,$X161,$W161)</f>
        <v/>
      </c>
      <c r="Z161">
        <f>IF($V161,IF($P161="","",$P161),IF($O161="","",$O161))</f>
        <v/>
      </c>
      <c r="AA161">
        <f>IF(OR($Q161="",$Z161=""),"",IF(AND($Z161&gt;0,$Z161&gt;=$Q161),"yes","below the line"))</f>
        <v/>
      </c>
      <c r="AB161">
        <f>IF($V161,IF($M161="","",$M161),IF($K161="","",$K161))</f>
        <v/>
      </c>
      <c r="AC161">
        <f>IF($V161,IF($N161="","",$N161),IF($L161="","",$L161))</f>
        <v/>
      </c>
      <c r="AD161">
        <f>$Y161</f>
        <v/>
      </c>
      <c r="AE161">
        <f>IF($V161,IF($S161="","",$S161),IF($R161="","",$R161))</f>
        <v/>
      </c>
      <c r="AF161">
        <f>IF($V161,IF($U161="","",$U161),IF($T161="","",$T161))</f>
        <v/>
      </c>
      <c r="AG161">
        <f>IF($V161,IF($O161="","",$O161),IF($P161="","",$P161))</f>
        <v/>
      </c>
      <c r="AH161" t="n">
        <v>0.0404313090412611</v>
      </c>
      <c r="AI161">
        <f>IF($Y161="worse","Yes",IF($Y161="worse, not significant","Not sure",IF(OR($Y161="too few losses to test",$Y161="too few loans to test"),"Too few losses",IF($Y161="","","No"))))</f>
        <v/>
      </c>
      <c r="AJ161">
        <f>IF($AA161="yes","Yes",IF($AA161="","","No"))</f>
        <v/>
      </c>
      <c r="AK161" t="n">
        <v>0.001919103272806362</v>
      </c>
      <c r="AL161" t="n">
        <v>0.007495639066627376</v>
      </c>
      <c r="AM161">
        <f>IF(AND(ISNUMBER($AC161),ISNUMBER(IF($V161,IF($AL161="","",$AL161),IF($AK161="","",$AK161)))),IF(AND(ABS($AC161-significance_bar)&lt;=2.0*IF($V161,IF($AL161="","",$AL161),IF($AK161="","",$AK161)),OR($Y161="worse",$Y161="better",$Y161="worse, not significant",$Y161="better, not significant")),IF(ROUND($AC161,3)=ROUND(significance_bar,3),TEXT($AC161,"0.0000"),TEXT($AC161,"0.000")),""),"")</f>
        <v/>
      </c>
      <c r="AN161">
        <f>IF(AND(ISNUMBER($AC161),ISNUMBER(IF($V161,IF($AL161="","",$AL161),IF($AK161="","",$AK161)))),IF(AND(ABS($AC161-significance_bar)&lt;=2.0*IF($V161,IF($AL161="","",$AL161),IF($AK161="","",$AK161)),OR($Y161="worse",$Y161="worse, not significant")),IF(ROUND($AC161,3)=ROUND(significance_bar,3),TEXT($AC161,"0.0000"),TEXT($AC161,"0.000")),""),"")</f>
        <v/>
      </c>
      <c r="AO161">
        <f>IF(OR($AI161="",$AN161=""),$AI161,$AI161&amp;" · borderline (p "&amp;$AN161&amp;")")</f>
        <v/>
      </c>
    </row>
    <row r="162">
      <c r="A162" t="inlineStr">
        <is>
          <t>grids</t>
        </is>
      </c>
      <c r="B162" t="inlineStr">
        <is>
          <t>SHORT_HIST x CHANNEL</t>
        </is>
      </c>
      <c r="C162" t="inlineStr">
        <is>
          <t>89.0 - 171.9</t>
        </is>
      </c>
      <c r="D162" t="inlineStr">
        <is>
          <t>Branch</t>
        </is>
      </c>
      <c r="E162" t="inlineStr">
        <is>
          <t>ranr_rate</t>
        </is>
      </c>
      <c r="F162" t="inlineStr">
        <is>
          <t>Profit after losses: RANR per booked dollar</t>
        </is>
      </c>
      <c r="G162" t="n">
        <v>490</v>
      </c>
      <c r="H162" t="n">
        <v>15633396.37000001</v>
      </c>
      <c r="I162" t="b">
        <v>0</v>
      </c>
      <c r="J162" t="b">
        <v>0</v>
      </c>
      <c r="K162" t="n">
        <v>-0.01155713236221119</v>
      </c>
      <c r="L162" t="n">
        <v>0.3530919635309197</v>
      </c>
      <c r="M162" t="n">
        <v>-0.01098496703276954</v>
      </c>
      <c r="N162" t="n">
        <v>0.4170782921707829</v>
      </c>
      <c r="O162" t="n">
        <v>180677.2311190022</v>
      </c>
      <c r="P162" t="n">
        <v>171732.343734669</v>
      </c>
      <c r="Q162">
        <f>'_live'!$C$23</f>
        <v/>
      </c>
      <c r="R162" t="inlineStr">
        <is>
          <t>shuffled: 2,157 of 10,000</t>
        </is>
      </c>
      <c r="S162" t="inlineStr">
        <is>
          <t>shuffled: 3,475 of 10,000</t>
        </is>
      </c>
      <c r="T162" t="n">
        <v>0.1286901632571478</v>
      </c>
      <c r="U162" t="n">
        <v>0.1281179979277061</v>
      </c>
      <c r="V162">
        <f>AND(judged_band,NOT($J162))</f>
        <v/>
      </c>
      <c r="W162">
        <f>IF($K162="","",IF(profit_kind="test",IF(OR(NOT(AND(ISNUMBER($L162),$L162&lt;significance_bar)),$K162=0),"in line",IF($K162&lt;0,"worse","better")),IF(OR($K162=0,IF(profit_kind="points",ABS($K162),ABS($K162*$H162))&lt;profit_line*(1-1E-9)),"in line",IF(AND(ISNUMBER($L162),$L162&lt;significance_bar),IF($K162&lt;0,"worse","better"),IF($K162&lt;0,"worse, not significant","better, not significant")))))</f>
        <v/>
      </c>
      <c r="X162">
        <f>IF($M162="","",IF(profit_kind="test",IF(OR(NOT(AND(ISNUMBER($N162),$N162&lt;significance_bar)),$M162=0),"in line",IF($M162&lt;0,"worse","better")),IF(OR($M162=0,IF(profit_kind="points",ABS($M162),ABS($M162*$H162))&lt;profit_line*(1-1E-9)),"in line",IF(AND(ISNUMBER($N162),$N162&lt;significance_bar),IF($M162&lt;0,"worse","better"),IF($M162&lt;0,"worse, not significant","better, not significant")))))</f>
        <v/>
      </c>
      <c r="Y162">
        <f>IF($V162,$X162,$W162)</f>
        <v/>
      </c>
      <c r="Z162">
        <f>IF($V162,IF($P162="","",$P162),IF($O162="","",$O162))</f>
        <v/>
      </c>
      <c r="AA162">
        <f>IF(OR($Q162="",$Z162=""),"",IF(AND($Z162&gt;0,$Z162&gt;=$Q162),"yes","below the line"))</f>
        <v/>
      </c>
      <c r="AB162">
        <f>IF($V162,IF($M162="","",$M162),IF($K162="","",$K162))</f>
        <v/>
      </c>
      <c r="AC162">
        <f>IF($V162,IF($N162="","",$N162),IF($L162="","",$L162))</f>
        <v/>
      </c>
      <c r="AD162">
        <f>IF($Y162="","",IF($Y162="in line",IF(profit_kind="test",IF(ROUND($AB162*100,2)=0,"0.00",TEXT($AB162*100,"+0.00;-0.00"))&amp;" points against "&amp;IF($V162,"its band","the book")&amp;", "&amp;IF($AC162="","not tested","not significant"),IF(profit_kind="points","within "&amp;TEXT(profit_line*100,"0.00")&amp;" points of "&amp;IF($V162,"its band","the book")&amp;" ("&amp;IF(ROUND($AB162*100,2)=0,"0.00",TEXT($AB162*100,"+0.00;-0.00"))&amp;")","within $"&amp;TEXT(profit_line,"#,##0")&amp;" of "&amp;IF($V162,"its band","the book")&amp;" ("&amp;IF(ROUND($AB162*100,2)=0,"0.00",TEXT($AB162*100,"+0.00;-0.00"))&amp;" points)")),IF(LEFT($Y162,5)="worse","short of ","ahead of ")&amp;IF($V162,"its band","the book")&amp;" by "&amp;TEXT(ABS($AB162)*100,"0.00")&amp;" points"&amp;IF($Z162="",""," ($"&amp;TEXT(ABS($Z162),"#,##0")&amp;")")&amp;IF(RIGHT($Y162,15)="not significant"," (not significant)","")))</f>
        <v/>
      </c>
      <c r="AE162">
        <f>IF($V162,IF($S162="","",$S162),IF($R162="","",$R162))</f>
        <v/>
      </c>
      <c r="AF162">
        <f>IF($V162,IF($U162="","",$U162),IF($T162="","",$T162))</f>
        <v/>
      </c>
      <c r="AG162">
        <f>IF($V162,IF($O162="","",$O162),IF($P162="","",$P162))</f>
        <v/>
      </c>
      <c r="AH162" t="n">
        <v>0.1171330308949366</v>
      </c>
      <c r="AI162">
        <f>IF($Y162="worse","Yes",IF($Y162="worse, not significant","Not sure",IF(OR($Y162="too few losses to test",$Y162="too few loans to test"),"Too few losses",IF($Y162="","","No"))))</f>
        <v/>
      </c>
      <c r="AJ162">
        <f>IF($AA162="yes","Yes",IF($AA162="","","No"))</f>
        <v/>
      </c>
      <c r="AK162" t="n">
        <v>0.006731366240995301</v>
      </c>
      <c r="AL162" t="n">
        <v>0.005714364783638183</v>
      </c>
      <c r="AM162">
        <f>IF(AND(ISNUMBER($AC162),ISNUMBER(IF($V162,IF($AL162="","",$AL162),IF($AK162="","",$AK162)))),IF(AND(ABS($AC162-significance_bar)&lt;=2.0*IF($V162,IF($AL162="","",$AL162),IF($AK162="","",$AK162)),OR($Y162="worse",$Y162="better",$Y162="worse, not significant",$Y162="better, not significant",AND(profit_kind="test",$Y162="in line",ISNUMBER($AB162),$AB162&lt;&gt;0))),IF(ROUND($AC162,3)=ROUND(significance_bar,3),TEXT($AC162,"0.0000"),TEXT($AC162,"0.000")),""),"")</f>
        <v/>
      </c>
      <c r="AN162">
        <f>IF(AND(ISNUMBER($AC162),ISNUMBER(IF($V162,IF($AL162="","",$AL162),IF($AK162="","",$AK162)))),IF(AND(ABS($AC162-significance_bar)&lt;=2.0*IF($V162,IF($AL162="","",$AL162),IF($AK162="","",$AK162)),OR($Y162="worse",$Y162="worse, not significant",AND(profit_kind="test",$Y162="in line",ISNUMBER($AB162),$AB162&lt;0))),IF(ROUND($AC162,3)=ROUND(significance_bar,3),TEXT($AC162,"0.0000"),TEXT($AC162,"0.000")),""),"")</f>
        <v/>
      </c>
      <c r="AO162">
        <f>IF(OR($AI162="",$AN162=""),$AI162,$AI162&amp;" · borderline (p "&amp;$AN162&amp;")")</f>
        <v/>
      </c>
    </row>
    <row r="163">
      <c r="A163" t="inlineStr">
        <is>
          <t>grids</t>
        </is>
      </c>
      <c r="B163" t="inlineStr">
        <is>
          <t>SHORT_HIST x CHANNEL</t>
        </is>
      </c>
      <c r="C163" t="inlineStr">
        <is>
          <t>89.0 - 171.9</t>
        </is>
      </c>
      <c r="D163" t="inlineStr">
        <is>
          <t>Branch</t>
        </is>
      </c>
      <c r="E163" t="inlineStr">
        <is>
          <t>contribution_rate</t>
        </is>
      </c>
      <c r="F163" t="inlineStr">
        <is>
          <t>Contribution before losses per booked dollar</t>
        </is>
      </c>
      <c r="G163" t="n">
        <v>490</v>
      </c>
      <c r="H163" t="n">
        <v>15633396.37000001</v>
      </c>
      <c r="I163" t="b">
        <v>0</v>
      </c>
      <c r="J163" t="b">
        <v>0</v>
      </c>
      <c r="K163" t="n">
        <v>-0.01280387445113346</v>
      </c>
      <c r="L163" t="n">
        <v>0.09314068593140686</v>
      </c>
      <c r="M163" t="n">
        <v>-0.01782704654622666</v>
      </c>
      <c r="N163" t="n">
        <v>0.03619638036196381</v>
      </c>
      <c r="O163" t="n">
        <v>200168.0443662857</v>
      </c>
      <c r="P163" t="n">
        <v>278697.2847636011</v>
      </c>
      <c r="Q163">
        <f>'_live'!$C$24</f>
        <v/>
      </c>
      <c r="R163" t="inlineStr">
        <is>
          <t>shuffled: 413 of 10,000</t>
        </is>
      </c>
      <c r="S163" t="inlineStr">
        <is>
          <t>shuffled: 180 of 10,000</t>
        </is>
      </c>
      <c r="T163" t="n">
        <v>0.1703682143873312</v>
      </c>
      <c r="U163" t="n">
        <v>0.1753913864824244</v>
      </c>
      <c r="V163">
        <f>AND(judged_band,NOT($J163))</f>
        <v/>
      </c>
      <c r="W163">
        <f>IF($K163="","",IF(profit_kind="test",IF(OR(NOT(AND(ISNUMBER($L163),$L163&lt;significance_bar)),$K163=0),"in line",IF($K163&lt;0,"worse","better")),IF(OR($K163=0,IF(profit_kind="points",ABS($K163),ABS($K163*$H163))&lt;profit_line*(1-1E-9)),"in line",IF(AND(ISNUMBER($L163),$L163&lt;significance_bar),IF($K163&lt;0,"worse","better"),IF($K163&lt;0,"worse, not significant","better, not significant")))))</f>
        <v/>
      </c>
      <c r="X163">
        <f>IF($M163="","",IF(profit_kind="test",IF(OR(NOT(AND(ISNUMBER($N163),$N163&lt;significance_bar)),$M163=0),"in line",IF($M163&lt;0,"worse","better")),IF(OR($M163=0,IF(profit_kind="points",ABS($M163),ABS($M163*$H163))&lt;profit_line*(1-1E-9)),"in line",IF(AND(ISNUMBER($N163),$N163&lt;significance_bar),IF($M163&lt;0,"worse","better"),IF($M163&lt;0,"worse, not significant","better, not significant")))))</f>
        <v/>
      </c>
      <c r="Y163">
        <f>IF($V163,$X163,$W163)</f>
        <v/>
      </c>
      <c r="Z163">
        <f>IF($V163,IF($P163="","",$P163),IF($O163="","",$O163))</f>
        <v/>
      </c>
      <c r="AA163">
        <f>IF(OR($Q163="",$Z163=""),"",IF(AND($Z163&gt;0,$Z163&gt;=$Q163),"yes","below the line"))</f>
        <v/>
      </c>
      <c r="AB163">
        <f>IF($V163,IF($M163="","",$M163),IF($K163="","",$K163))</f>
        <v/>
      </c>
      <c r="AC163">
        <f>IF($V163,IF($N163="","",$N163),IF($L163="","",$L163))</f>
        <v/>
      </c>
      <c r="AD163">
        <f>IF($Y163="","",IF($Y163="in line",IF(profit_kind="test",IF(ROUND($AB163*100,2)=0,"0.00",TEXT($AB163*100,"+0.00;-0.00"))&amp;" points against "&amp;IF($V163,"its band","the book")&amp;", "&amp;IF($AC163="","not tested","not significant"),IF(profit_kind="points","within "&amp;TEXT(profit_line*100,"0.00")&amp;" points of "&amp;IF($V163,"its band","the book")&amp;" ("&amp;IF(ROUND($AB163*100,2)=0,"0.00",TEXT($AB163*100,"+0.00;-0.00"))&amp;")","within $"&amp;TEXT(profit_line,"#,##0")&amp;" of "&amp;IF($V163,"its band","the book")&amp;" ("&amp;IF(ROUND($AB163*100,2)=0,"0.00",TEXT($AB163*100,"+0.00;-0.00"))&amp;" points)")),IF(LEFT($Y163,5)="worse","short of ","ahead of ")&amp;IF($V163,"its band","the book")&amp;" by "&amp;TEXT(ABS($AB163)*100,"0.00")&amp;" points"&amp;IF($Z163="",""," ($"&amp;TEXT(ABS($Z163),"#,##0")&amp;")")&amp;IF(RIGHT($Y163,15)="not significant"," (not significant)","")))</f>
        <v/>
      </c>
      <c r="AE163">
        <f>IF($V163,IF($S163="","",$S163),IF($R163="","",$R163))</f>
        <v/>
      </c>
      <c r="AF163">
        <f>IF($V163,IF($U163="","",$U163),IF($T163="","",$T163))</f>
        <v/>
      </c>
      <c r="AG163">
        <f>IF($V163,IF($O163="","",$O163),IF($P163="","",$P163))</f>
        <v/>
      </c>
      <c r="AH163" t="n">
        <v>0.1575643399361978</v>
      </c>
      <c r="AI163">
        <f>IF($Y163="worse","Yes",IF($Y163="worse, not significant","Not sure",IF(OR($Y163="too few losses to test",$Y163="too few loans to test"),"Too few losses",IF($Y163="","","No"))))</f>
        <v/>
      </c>
      <c r="AJ163">
        <f>IF($AA163="yes","Yes",IF($AA163="","","No"))</f>
        <v/>
      </c>
      <c r="AK163" t="n">
        <v>0.004482090538687192</v>
      </c>
      <c r="AL163" t="n">
        <v>0.002666131706660788</v>
      </c>
      <c r="AM163">
        <f>IF(AND(ISNUMBER($AC163),ISNUMBER(IF($V163,IF($AL163="","",$AL163),IF($AK163="","",$AK163)))),IF(AND(ABS($AC163-significance_bar)&lt;=2.0*IF($V163,IF($AL163="","",$AL163),IF($AK163="","",$AK163)),OR($Y163="worse",$Y163="better",$Y163="worse, not significant",$Y163="better, not significant",AND(profit_kind="test",$Y163="in line",ISNUMBER($AB163),$AB163&lt;&gt;0))),IF(ROUND($AC163,3)=ROUND(significance_bar,3),TEXT($AC163,"0.0000"),TEXT($AC163,"0.000")),""),"")</f>
        <v/>
      </c>
      <c r="AN163">
        <f>IF(AND(ISNUMBER($AC163),ISNUMBER(IF($V163,IF($AL163="","",$AL163),IF($AK163="","",$AK163)))),IF(AND(ABS($AC163-significance_bar)&lt;=2.0*IF($V163,IF($AL163="","",$AL163),IF($AK163="","",$AK163)),OR($Y163="worse",$Y163="worse, not significant",AND(profit_kind="test",$Y163="in line",ISNUMBER($AB163),$AB163&lt;0))),IF(ROUND($AC163,3)=ROUND(significance_bar,3),TEXT($AC163,"0.0000"),TEXT($AC163,"0.000")),""),"")</f>
        <v/>
      </c>
      <c r="AO163">
        <f>IF(OR($AI163="",$AN163=""),$AI163,$AI163&amp;" · borderline (p "&amp;$AN163&amp;")")</f>
        <v/>
      </c>
    </row>
    <row r="164">
      <c r="A164" t="inlineStr">
        <is>
          <t>grids</t>
        </is>
      </c>
      <c r="B164" t="inlineStr">
        <is>
          <t>SHORT_HIST x CHANNEL</t>
        </is>
      </c>
      <c r="C164" t="inlineStr">
        <is>
          <t>89.0 - 171.9</t>
        </is>
      </c>
      <c r="D164" t="inlineStr">
        <is>
          <t>Online</t>
        </is>
      </c>
      <c r="E164" t="inlineStr">
        <is>
          <t>outcome_loans</t>
        </is>
      </c>
      <c r="F164" t="inlineStr">
        <is>
          <t>Outcome, share of loans</t>
        </is>
      </c>
      <c r="G164" t="n">
        <v>545</v>
      </c>
      <c r="H164" t="n">
        <v>545</v>
      </c>
      <c r="I164" t="b">
        <v>0</v>
      </c>
      <c r="J164" t="b">
        <v>0</v>
      </c>
      <c r="K164" t="n">
        <v>0.8695040827264416</v>
      </c>
      <c r="L164" t="n">
        <v>0.7895897753396635</v>
      </c>
      <c r="M164" t="n">
        <v>0.7467889908256881</v>
      </c>
      <c r="N164" t="n">
        <v>0.3480752877362755</v>
      </c>
      <c r="O164" t="n">
        <v>-5.552991682318215</v>
      </c>
      <c r="P164" t="n">
        <v>-12.54545454545455</v>
      </c>
      <c r="Q164">
        <f>'_live'!$C$20</f>
        <v/>
      </c>
      <c r="R164" t="inlineStr">
        <is>
          <t>z test</t>
        </is>
      </c>
      <c r="S164" t="inlineStr">
        <is>
          <t>z test</t>
        </is>
      </c>
      <c r="T164" t="n">
        <v>0.07807888382076737</v>
      </c>
      <c r="U164" t="n">
        <v>0.09090909090909091</v>
      </c>
      <c r="V164">
        <f>AND(judged_band,NOT($J164))</f>
        <v/>
      </c>
      <c r="W164">
        <f>IF($K164="","",IF($I164,"too few losses to test",IF(AND($K164&gt;better_at,$K164&lt;worse_at),"in line",IF($K164&gt;=worse_at,IF(AND(ISNUMBER($L164),$L164&lt;significance_bar),"worse","worse, not significant"),IF(AND(ISNUMBER($L164),$L164&lt;significance_bar),"better","better, not significant")))))</f>
        <v/>
      </c>
      <c r="X164">
        <f>IF($M164="","",IF($I164,"too few losses to test",IF(AND($M164&gt;better_at,$M164&lt;worse_at),"in line",IF($M164&gt;=worse_at,IF(AND(ISNUMBER($N164),$N164&lt;significance_bar),"worse","worse, not significant"),IF(AND(ISNUMBER($N164),$N164&lt;significance_bar),"better","better, not significant")))))</f>
        <v/>
      </c>
      <c r="Y164">
        <f>IF($V164,$X164,$W164)</f>
        <v/>
      </c>
      <c r="Z164">
        <f>IF($V164,IF($P164="","",$P164),IF($O164="","",$O164))</f>
        <v/>
      </c>
      <c r="AA164">
        <f>IF(OR($Q164="",$Z164=""),"",IF(AND($Z164&gt;0,$Z164&gt;=$Q164),"yes","below the line"))</f>
        <v/>
      </c>
      <c r="AB164">
        <f>IF($V164,IF($M164="","",$M164),IF($K164="","",$K164))</f>
        <v/>
      </c>
      <c r="AC164">
        <f>IF($V164,IF($N164="","",$N164),IF($L164="","",$L164))</f>
        <v/>
      </c>
      <c r="AD164">
        <f>$Y164</f>
        <v/>
      </c>
      <c r="AE164">
        <f>IF($V164,IF($S164="","",$S164),IF($R164="","",$R164))</f>
        <v/>
      </c>
      <c r="AF164">
        <f>IF($V164,IF($U164="","",$U164),IF($T164="","",$T164))</f>
        <v/>
      </c>
      <c r="AG164">
        <f>IF($V164,IF($O164="","",$O164),IF($P164="","",$P164))</f>
        <v/>
      </c>
      <c r="AH164" t="n">
        <v>0.06788990825688074</v>
      </c>
      <c r="AI164">
        <f>IF($Y164="worse","Yes",IF($Y164="worse, not significant","Not sure",IF(OR($Y164="too few losses to test",$Y164="too few loans to test"),"Too few losses",IF($Y164="","","No"))))</f>
        <v/>
      </c>
      <c r="AJ164">
        <f>IF($AA164="yes","Yes",IF($AA164="","","No"))</f>
        <v/>
      </c>
      <c r="AM164">
        <f>IF(AND(ISNUMBER($AC164),ISNUMBER(IF($V164,IF($AL164="","",$AL164),IF($AK164="","",$AK164)))),IF(AND(ABS($AC164-significance_bar)&lt;=2.0*IF($V164,IF($AL164="","",$AL164),IF($AK164="","",$AK164)),OR($Y164="worse",$Y164="better",$Y164="worse, not significant",$Y164="better, not significant")),IF(ROUND($AC164,3)=ROUND(significance_bar,3),TEXT($AC164,"0.0000"),TEXT($AC164,"0.000")),""),"")</f>
        <v/>
      </c>
      <c r="AN164">
        <f>IF(AND(ISNUMBER($AC164),ISNUMBER(IF($V164,IF($AL164="","",$AL164),IF($AK164="","",$AK164)))),IF(AND(ABS($AC164-significance_bar)&lt;=2.0*IF($V164,IF($AL164="","",$AL164),IF($AK164="","",$AK164)),OR($Y164="worse",$Y164="worse, not significant")),IF(ROUND($AC164,3)=ROUND(significance_bar,3),TEXT($AC164,"0.0000"),TEXT($AC164,"0.000")),""),"")</f>
        <v/>
      </c>
      <c r="AO164">
        <f>IF(OR($AI164="",$AN164=""),$AI164,$AI164&amp;" · borderline (p "&amp;$AN164&amp;")")</f>
        <v/>
      </c>
    </row>
    <row r="165">
      <c r="A165" t="inlineStr">
        <is>
          <t>grids</t>
        </is>
      </c>
      <c r="B165" t="inlineStr">
        <is>
          <t>SHORT_HIST x CHANNEL</t>
        </is>
      </c>
      <c r="C165" t="inlineStr">
        <is>
          <t>89.0 - 171.9</t>
        </is>
      </c>
      <c r="D165" t="inlineStr">
        <is>
          <t>Online</t>
        </is>
      </c>
      <c r="E165" t="inlineStr">
        <is>
          <t>outcome_booked</t>
        </is>
      </c>
      <c r="F165" t="inlineStr">
        <is>
          <t>Outcome, share of booked dollars</t>
        </is>
      </c>
      <c r="G165" t="n">
        <v>545</v>
      </c>
      <c r="H165" t="n">
        <v>17477176.51999999</v>
      </c>
      <c r="I165" t="b">
        <v>0</v>
      </c>
      <c r="J165" t="b">
        <v>0</v>
      </c>
      <c r="K165" t="n">
        <v>0.9248251162706568</v>
      </c>
      <c r="L165" t="n">
        <v>0.7186424214721386</v>
      </c>
      <c r="M165" t="n">
        <v>0.7872058167032515</v>
      </c>
      <c r="N165" t="n">
        <v>0.4660783921607839</v>
      </c>
      <c r="O165" t="n">
        <v>-98816.66810297081</v>
      </c>
      <c r="P165" t="n">
        <v>-328615.856155152</v>
      </c>
      <c r="Q165">
        <f>'_live'!$C$21</f>
        <v/>
      </c>
      <c r="R165" t="inlineStr">
        <is>
          <t>shuffled: 6,606 of 10,000</t>
        </is>
      </c>
      <c r="S165" t="inlineStr">
        <is>
          <t>shuffled: 2,485 of 10,000</t>
        </is>
      </c>
      <c r="T165" t="n">
        <v>0.07521183222008054</v>
      </c>
      <c r="U165" t="n">
        <v>0.08836036269290667</v>
      </c>
      <c r="V165">
        <f>AND(judged_band,NOT($J165))</f>
        <v/>
      </c>
      <c r="W165">
        <f>IF($K165="","",IF($I165,"too few losses to test",IF(AND($K165&gt;better_at,$K165&lt;worse_at),"in line",IF($K165&gt;=worse_at,IF(AND(ISNUMBER($L165),$L165&lt;significance_bar),"worse","worse, not significant"),IF(AND(ISNUMBER($L165),$L165&lt;significance_bar),"better","better, not significant")))))</f>
        <v/>
      </c>
      <c r="X165">
        <f>IF($M165="","",IF($I165,"too few losses to test",IF(AND($M165&gt;better_at,$M165&lt;worse_at),"in line",IF($M165&gt;=worse_at,IF(AND(ISNUMBER($N165),$N165&lt;significance_bar),"worse","worse, not significant"),IF(AND(ISNUMBER($N165),$N165&lt;significance_bar),"better","better, not significant")))))</f>
        <v/>
      </c>
      <c r="Y165">
        <f>IF($V165,$X165,$W165)</f>
        <v/>
      </c>
      <c r="Z165">
        <f>IF($V165,IF($P165="","",$P165),IF($O165="","",$O165))</f>
        <v/>
      </c>
      <c r="AA165">
        <f>IF(OR($Q165="",$Z165=""),"",IF(AND($Z165&gt;0,$Z165&gt;=$Q165),"yes","below the line"))</f>
        <v/>
      </c>
      <c r="AB165">
        <f>IF($V165,IF($M165="","",$M165),IF($K165="","",$K165))</f>
        <v/>
      </c>
      <c r="AC165">
        <f>IF($V165,IF($N165="","",$N165),IF($L165="","",$L165))</f>
        <v/>
      </c>
      <c r="AD165">
        <f>$Y165</f>
        <v/>
      </c>
      <c r="AE165">
        <f>IF($V165,IF($S165="","",$S165),IF($R165="","",$R165))</f>
        <v/>
      </c>
      <c r="AF165">
        <f>IF($V165,IF($U165="","",$U165),IF($T165="","",$T165))</f>
        <v/>
      </c>
      <c r="AG165">
        <f>IF($V165,IF($O165="","",$O165),IF($P165="","",$P165))</f>
        <v/>
      </c>
      <c r="AH165" t="n">
        <v>0.06955779147786512</v>
      </c>
      <c r="AI165">
        <f>IF($Y165="worse","Yes",IF($Y165="worse, not significant","Not sure",IF(OR($Y165="too few losses to test",$Y165="too few loans to test"),"Too few losses",IF($Y165="","","No"))))</f>
        <v/>
      </c>
      <c r="AJ165">
        <f>IF($AA165="yes","Yes",IF($AA165="","","No"))</f>
        <v/>
      </c>
      <c r="AK165" t="n">
        <v>0.00503514739671565</v>
      </c>
      <c r="AL165" t="n">
        <v>0.0081035049062877</v>
      </c>
      <c r="AM165">
        <f>IF(AND(ISNUMBER($AC165),ISNUMBER(IF($V165,IF($AL165="","",$AL165),IF($AK165="","",$AK165)))),IF(AND(ABS($AC165-significance_bar)&lt;=2.0*IF($V165,IF($AL165="","",$AL165),IF($AK165="","",$AK165)),OR($Y165="worse",$Y165="better",$Y165="worse, not significant",$Y165="better, not significant")),IF(ROUND($AC165,3)=ROUND(significance_bar,3),TEXT($AC165,"0.0000"),TEXT($AC165,"0.000")),""),"")</f>
        <v/>
      </c>
      <c r="AN165">
        <f>IF(AND(ISNUMBER($AC165),ISNUMBER(IF($V165,IF($AL165="","",$AL165),IF($AK165="","",$AK165)))),IF(AND(ABS($AC165-significance_bar)&lt;=2.0*IF($V165,IF($AL165="","",$AL165),IF($AK165="","",$AK165)),OR($Y165="worse",$Y165="worse, not significant")),IF(ROUND($AC165,3)=ROUND(significance_bar,3),TEXT($AC165,"0.0000"),TEXT($AC165,"0.000")),""),"")</f>
        <v/>
      </c>
      <c r="AO165">
        <f>IF(OR($AI165="",$AN165=""),$AI165,$AI165&amp;" · borderline (p "&amp;$AN165&amp;")")</f>
        <v/>
      </c>
    </row>
    <row r="166">
      <c r="A166" t="inlineStr">
        <is>
          <t>grids</t>
        </is>
      </c>
      <c r="B166" t="inlineStr">
        <is>
          <t>SHORT_HIST x CHANNEL</t>
        </is>
      </c>
      <c r="C166" t="inlineStr">
        <is>
          <t>89.0 - 171.9</t>
        </is>
      </c>
      <c r="D166" t="inlineStr">
        <is>
          <t>Online</t>
        </is>
      </c>
      <c r="E166" t="inlineStr">
        <is>
          <t>gco_rate</t>
        </is>
      </c>
      <c r="F166" t="inlineStr">
        <is>
          <t>GCO per booked dollar</t>
        </is>
      </c>
      <c r="G166" t="n">
        <v>545</v>
      </c>
      <c r="H166" t="n">
        <v>17477176.51999999</v>
      </c>
      <c r="I166" t="b">
        <v>0</v>
      </c>
      <c r="J166" t="b">
        <v>0</v>
      </c>
      <c r="K166" t="n">
        <v>0.9038653329359214</v>
      </c>
      <c r="L166" t="n">
        <v>0.753049695030497</v>
      </c>
      <c r="M166" t="n">
        <v>0.7722190859807847</v>
      </c>
      <c r="N166" t="n">
        <v>0.4244575542445755</v>
      </c>
      <c r="O166" t="n">
        <v>-70361.77145679796</v>
      </c>
      <c r="P166" t="n">
        <v>-195135.9414202441</v>
      </c>
      <c r="Q166">
        <f>'_live'!$C$22</f>
        <v/>
      </c>
      <c r="R166" t="inlineStr">
        <is>
          <t>shuffled: 5,813 of 10,000</t>
        </is>
      </c>
      <c r="S166" t="inlineStr">
        <is>
          <t>shuffled: 2,263 of 10,000</t>
        </is>
      </c>
      <c r="T166" t="n">
        <v>0.04187795497855385</v>
      </c>
      <c r="U166" t="n">
        <v>0.04901721856730692</v>
      </c>
      <c r="V166">
        <f>AND(judged_band,NOT($J166))</f>
        <v/>
      </c>
      <c r="W166">
        <f>IF($K166="","",IF($I166,"too few losses to test",IF(AND($K166&gt;better_at,$K166&lt;worse_at),"in line",IF($K166&gt;=worse_at,IF(AND(ISNUMBER($L166),$L166&lt;significance_bar),"worse","worse, not significant"),IF(AND(ISNUMBER($L166),$L166&lt;significance_bar),"better","better, not significant")))))</f>
        <v/>
      </c>
      <c r="X166">
        <f>IF($M166="","",IF($I166,"too few losses to test",IF(AND($M166&gt;better_at,$M166&lt;worse_at),"in line",IF($M166&gt;=worse_at,IF(AND(ISNUMBER($N166),$N166&lt;significance_bar),"worse","worse, not significant"),IF(AND(ISNUMBER($N166),$N166&lt;significance_bar),"better","better, not significant")))))</f>
        <v/>
      </c>
      <c r="Y166">
        <f>IF($V166,$X166,$W166)</f>
        <v/>
      </c>
      <c r="Z166">
        <f>IF($V166,IF($P166="","",$P166),IF($O166="","",$O166))</f>
        <v/>
      </c>
      <c r="AA166">
        <f>IF(OR($Q166="",$Z166=""),"",IF(AND($Z166&gt;0,$Z166&gt;=$Q166),"yes","below the line"))</f>
        <v/>
      </c>
      <c r="AB166">
        <f>IF($V166,IF($M166="","",$M166),IF($K166="","",$K166))</f>
        <v/>
      </c>
      <c r="AC166">
        <f>IF($V166,IF($N166="","",$N166),IF($L166="","",$L166))</f>
        <v/>
      </c>
      <c r="AD166">
        <f>$Y166</f>
        <v/>
      </c>
      <c r="AE166">
        <f>IF($V166,IF($S166="","",$S166),IF($R166="","",$R166))</f>
        <v/>
      </c>
      <c r="AF166">
        <f>IF($V166,IF($U166="","",$U166),IF($T166="","",$T166))</f>
        <v/>
      </c>
      <c r="AG166">
        <f>IF($V166,IF($O166="","",$O166),IF($P166="","",$P166))</f>
        <v/>
      </c>
      <c r="AH166" t="n">
        <v>0.0378520317193661</v>
      </c>
      <c r="AI166">
        <f>IF($Y166="worse","Yes",IF($Y166="worse, not significant","Not sure",IF(OR($Y166="too few losses to test",$Y166="too few loans to test"),"Too few losses",IF($Y166="","","No"))))</f>
        <v/>
      </c>
      <c r="AJ166">
        <f>IF($AA166="yes","Yes",IF($AA166="","","No"))</f>
        <v/>
      </c>
      <c r="AK166" t="n">
        <v>0.006117420008488844</v>
      </c>
      <c r="AL166" t="n">
        <v>0.007846615186520188</v>
      </c>
      <c r="AM166">
        <f>IF(AND(ISNUMBER($AC166),ISNUMBER(IF($V166,IF($AL166="","",$AL166),IF($AK166="","",$AK166)))),IF(AND(ABS($AC166-significance_bar)&lt;=2.0*IF($V166,IF($AL166="","",$AL166),IF($AK166="","",$AK166)),OR($Y166="worse",$Y166="better",$Y166="worse, not significant",$Y166="better, not significant")),IF(ROUND($AC166,3)=ROUND(significance_bar,3),TEXT($AC166,"0.0000"),TEXT($AC166,"0.000")),""),"")</f>
        <v/>
      </c>
      <c r="AN166">
        <f>IF(AND(ISNUMBER($AC166),ISNUMBER(IF($V166,IF($AL166="","",$AL166),IF($AK166="","",$AK166)))),IF(AND(ABS($AC166-significance_bar)&lt;=2.0*IF($V166,IF($AL166="","",$AL166),IF($AK166="","",$AK166)),OR($Y166="worse",$Y166="worse, not significant")),IF(ROUND($AC166,3)=ROUND(significance_bar,3),TEXT($AC166,"0.0000"),TEXT($AC166,"0.000")),""),"")</f>
        <v/>
      </c>
      <c r="AO166">
        <f>IF(OR($AI166="",$AN166=""),$AI166,$AI166&amp;" · borderline (p "&amp;$AN166&amp;")")</f>
        <v/>
      </c>
    </row>
    <row r="167">
      <c r="A167" t="inlineStr">
        <is>
          <t>grids</t>
        </is>
      </c>
      <c r="B167" t="inlineStr">
        <is>
          <t>SHORT_HIST x CHANNEL</t>
        </is>
      </c>
      <c r="C167" t="inlineStr">
        <is>
          <t>89.0 - 171.9</t>
        </is>
      </c>
      <c r="D167" t="inlineStr">
        <is>
          <t>Online</t>
        </is>
      </c>
      <c r="E167" t="inlineStr">
        <is>
          <t>ranr_rate</t>
        </is>
      </c>
      <c r="F167" t="inlineStr">
        <is>
          <t>Profit after losses: RANR per booked dollar</t>
        </is>
      </c>
      <c r="G167" t="n">
        <v>545</v>
      </c>
      <c r="H167" t="n">
        <v>17477176.51999999</v>
      </c>
      <c r="I167" t="b">
        <v>0</v>
      </c>
      <c r="J167" t="b">
        <v>0</v>
      </c>
      <c r="K167" t="n">
        <v>0.01734396410310457</v>
      </c>
      <c r="L167" t="n">
        <v>0.2245275472452755</v>
      </c>
      <c r="M167" t="n">
        <v>0.02970616740429204</v>
      </c>
      <c r="N167" t="n">
        <v>0.0404959504049595</v>
      </c>
      <c r="O167" t="n">
        <v>-303123.5221865019</v>
      </c>
      <c r="P167" t="n">
        <v>-519179.9314574818</v>
      </c>
      <c r="Q167">
        <f>'_live'!$C$23</f>
        <v/>
      </c>
      <c r="R167" t="inlineStr">
        <is>
          <t>shuffled: 484 of 10,000</t>
        </is>
      </c>
      <c r="S167" t="inlineStr">
        <is>
          <t>shuffled: 89 of 10,000</t>
        </is>
      </c>
      <c r="T167" t="n">
        <v>0.1268154638866976</v>
      </c>
      <c r="U167" t="n">
        <v>0.1144532605855101</v>
      </c>
      <c r="V167">
        <f>AND(judged_band,NOT($J167))</f>
        <v/>
      </c>
      <c r="W167">
        <f>IF($K167="","",IF(profit_kind="test",IF(OR(NOT(AND(ISNUMBER($L167),$L167&lt;significance_bar)),$K167=0),"in line",IF($K167&lt;0,"worse","better")),IF(OR($K167=0,IF(profit_kind="points",ABS($K167),ABS($K167*$H167))&lt;profit_line*(1-1E-9)),"in line",IF(AND(ISNUMBER($L167),$L167&lt;significance_bar),IF($K167&lt;0,"worse","better"),IF($K167&lt;0,"worse, not significant","better, not significant")))))</f>
        <v/>
      </c>
      <c r="X167">
        <f>IF($M167="","",IF(profit_kind="test",IF(OR(NOT(AND(ISNUMBER($N167),$N167&lt;significance_bar)),$M167=0),"in line",IF($M167&lt;0,"worse","better")),IF(OR($M167=0,IF(profit_kind="points",ABS($M167),ABS($M167*$H167))&lt;profit_line*(1-1E-9)),"in line",IF(AND(ISNUMBER($N167),$N167&lt;significance_bar),IF($M167&lt;0,"worse","better"),IF($M167&lt;0,"worse, not significant","better, not significant")))))</f>
        <v/>
      </c>
      <c r="Y167">
        <f>IF($V167,$X167,$W167)</f>
        <v/>
      </c>
      <c r="Z167">
        <f>IF($V167,IF($P167="","",$P167),IF($O167="","",$O167))</f>
        <v/>
      </c>
      <c r="AA167">
        <f>IF(OR($Q167="",$Z167=""),"",IF(AND($Z167&gt;0,$Z167&gt;=$Q167),"yes","below the line"))</f>
        <v/>
      </c>
      <c r="AB167">
        <f>IF($V167,IF($M167="","",$M167),IF($K167="","",$K167))</f>
        <v/>
      </c>
      <c r="AC167">
        <f>IF($V167,IF($N167="","",$N167),IF($L167="","",$L167))</f>
        <v/>
      </c>
      <c r="AD167">
        <f>IF($Y167="","",IF($Y167="in line",IF(profit_kind="test",IF(ROUND($AB167*100,2)=0,"0.00",TEXT($AB167*100,"+0.00;-0.00"))&amp;" points against "&amp;IF($V167,"its band","the book")&amp;", "&amp;IF($AC167="","not tested","not significant"),IF(profit_kind="points","within "&amp;TEXT(profit_line*100,"0.00")&amp;" points of "&amp;IF($V167,"its band","the book")&amp;" ("&amp;IF(ROUND($AB167*100,2)=0,"0.00",TEXT($AB167*100,"+0.00;-0.00"))&amp;")","within $"&amp;TEXT(profit_line,"#,##0")&amp;" of "&amp;IF($V167,"its band","the book")&amp;" ("&amp;IF(ROUND($AB167*100,2)=0,"0.00",TEXT($AB167*100,"+0.00;-0.00"))&amp;" points)")),IF(LEFT($Y167,5)="worse","short of ","ahead of ")&amp;IF($V167,"its band","the book")&amp;" by "&amp;TEXT(ABS($AB167)*100,"0.00")&amp;" points"&amp;IF($Z167="",""," ($"&amp;TEXT(ABS($Z167),"#,##0")&amp;")")&amp;IF(RIGHT($Y167,15)="not significant"," (not significant)","")))</f>
        <v/>
      </c>
      <c r="AE167">
        <f>IF($V167,IF($S167="","",$S167),IF($R167="","",$R167))</f>
        <v/>
      </c>
      <c r="AF167">
        <f>IF($V167,IF($U167="","",$U167),IF($T167="","",$T167))</f>
        <v/>
      </c>
      <c r="AG167">
        <f>IF($V167,IF($O167="","",$O167),IF($P167="","",$P167))</f>
        <v/>
      </c>
      <c r="AH167" t="n">
        <v>0.1441594279898021</v>
      </c>
      <c r="AI167">
        <f>IF($Y167="worse","Yes",IF($Y167="worse, not significant","Not sure",IF(OR($Y167="too few losses to test",$Y167="too few loans to test"),"Too few losses",IF($Y167="","","No"))))</f>
        <v/>
      </c>
      <c r="AJ167">
        <f>IF($AA167="yes","Yes",IF($AA167="","","No"))</f>
        <v/>
      </c>
      <c r="AK167" t="n">
        <v>0.009797761699142107</v>
      </c>
      <c r="AL167" t="n">
        <v>0.004249610038851998</v>
      </c>
      <c r="AM167">
        <f>IF(AND(ISNUMBER($AC167),ISNUMBER(IF($V167,IF($AL167="","",$AL167),IF($AK167="","",$AK167)))),IF(AND(ABS($AC167-significance_bar)&lt;=2.0*IF($V167,IF($AL167="","",$AL167),IF($AK167="","",$AK167)),OR($Y167="worse",$Y167="better",$Y167="worse, not significant",$Y167="better, not significant",AND(profit_kind="test",$Y167="in line",ISNUMBER($AB167),$AB167&lt;&gt;0))),IF(ROUND($AC167,3)=ROUND(significance_bar,3),TEXT($AC167,"0.0000"),TEXT($AC167,"0.000")),""),"")</f>
        <v/>
      </c>
      <c r="AN167">
        <f>IF(AND(ISNUMBER($AC167),ISNUMBER(IF($V167,IF($AL167="","",$AL167),IF($AK167="","",$AK167)))),IF(AND(ABS($AC167-significance_bar)&lt;=2.0*IF($V167,IF($AL167="","",$AL167),IF($AK167="","",$AK167)),OR($Y167="worse",$Y167="worse, not significant",AND(profit_kind="test",$Y167="in line",ISNUMBER($AB167),$AB167&lt;0))),IF(ROUND($AC167,3)=ROUND(significance_bar,3),TEXT($AC167,"0.0000"),TEXT($AC167,"0.000")),""),"")</f>
        <v/>
      </c>
      <c r="AO167">
        <f>IF(OR($AI167="",$AN167=""),$AI167,$AI167&amp;" · borderline (p "&amp;$AN167&amp;")")</f>
        <v/>
      </c>
    </row>
    <row r="168">
      <c r="A168" t="inlineStr">
        <is>
          <t>grids</t>
        </is>
      </c>
      <c r="B168" t="inlineStr">
        <is>
          <t>SHORT_HIST x CHANNEL</t>
        </is>
      </c>
      <c r="C168" t="inlineStr">
        <is>
          <t>89.0 - 171.9</t>
        </is>
      </c>
      <c r="D168" t="inlineStr">
        <is>
          <t>Online</t>
        </is>
      </c>
      <c r="E168" t="inlineStr">
        <is>
          <t>contribution_rate</t>
        </is>
      </c>
      <c r="F168" t="inlineStr">
        <is>
          <t>Contribution before losses per booked dollar</t>
        </is>
      </c>
      <c r="G168" t="n">
        <v>545</v>
      </c>
      <c r="H168" t="n">
        <v>17477176.51999999</v>
      </c>
      <c r="I168" t="b">
        <v>0</v>
      </c>
      <c r="J168" t="b">
        <v>0</v>
      </c>
      <c r="K168" t="n">
        <v>0.01332130160231165</v>
      </c>
      <c r="L168" t="n">
        <v>0.06016541203022555</v>
      </c>
      <c r="M168" t="n">
        <v>0.01854098055635081</v>
      </c>
      <c r="N168" t="n">
        <v>0.02905423743339952</v>
      </c>
      <c r="O168" t="n">
        <v>-232818.7395797595</v>
      </c>
      <c r="P168" t="n">
        <v>-324043.9900372308</v>
      </c>
      <c r="Q168">
        <f>'_live'!$C$24</f>
        <v/>
      </c>
      <c r="R168" t="inlineStr">
        <is>
          <t>shuffled: 233 of 10,000</t>
        </is>
      </c>
      <c r="S168" t="inlineStr">
        <is>
          <t>shuffled: 112 of 10,000</t>
        </is>
      </c>
      <c r="T168" t="n">
        <v>0.1686901581068563</v>
      </c>
      <c r="U168" t="n">
        <v>0.1634704791528171</v>
      </c>
      <c r="V168">
        <f>AND(judged_band,NOT($J168))</f>
        <v/>
      </c>
      <c r="W168">
        <f>IF($K168="","",IF(profit_kind="test",IF(OR(NOT(AND(ISNUMBER($L168),$L168&lt;significance_bar)),$K168=0),"in line",IF($K168&lt;0,"worse","better")),IF(OR($K168=0,IF(profit_kind="points",ABS($K168),ABS($K168*$H168))&lt;profit_line*(1-1E-9)),"in line",IF(AND(ISNUMBER($L168),$L168&lt;significance_bar),IF($K168&lt;0,"worse","better"),IF($K168&lt;0,"worse, not significant","better, not significant")))))</f>
        <v/>
      </c>
      <c r="X168">
        <f>IF($M168="","",IF(profit_kind="test",IF(OR(NOT(AND(ISNUMBER($N168),$N168&lt;significance_bar)),$M168=0),"in line",IF($M168&lt;0,"worse","better")),IF(OR($M168=0,IF(profit_kind="points",ABS($M168),ABS($M168*$H168))&lt;profit_line*(1-1E-9)),"in line",IF(AND(ISNUMBER($N168),$N168&lt;significance_bar),IF($M168&lt;0,"worse","better"),IF($M168&lt;0,"worse, not significant","better, not significant")))))</f>
        <v/>
      </c>
      <c r="Y168">
        <f>IF($V168,$X168,$W168)</f>
        <v/>
      </c>
      <c r="Z168">
        <f>IF($V168,IF($P168="","",$P168),IF($O168="","",$O168))</f>
        <v/>
      </c>
      <c r="AA168">
        <f>IF(OR($Q168="",$Z168=""),"",IF(AND($Z168&gt;0,$Z168&gt;=$Q168),"yes","below the line"))</f>
        <v/>
      </c>
      <c r="AB168">
        <f>IF($V168,IF($M168="","",$M168),IF($K168="","",$K168))</f>
        <v/>
      </c>
      <c r="AC168">
        <f>IF($V168,IF($N168="","",$N168),IF($L168="","",$L168))</f>
        <v/>
      </c>
      <c r="AD168">
        <f>IF($Y168="","",IF($Y168="in line",IF(profit_kind="test",IF(ROUND($AB168*100,2)=0,"0.00",TEXT($AB168*100,"+0.00;-0.00"))&amp;" points against "&amp;IF($V168,"its band","the book")&amp;", "&amp;IF($AC168="","not tested","not significant"),IF(profit_kind="points","within "&amp;TEXT(profit_line*100,"0.00")&amp;" points of "&amp;IF($V168,"its band","the book")&amp;" ("&amp;IF(ROUND($AB168*100,2)=0,"0.00",TEXT($AB168*100,"+0.00;-0.00"))&amp;")","within $"&amp;TEXT(profit_line,"#,##0")&amp;" of "&amp;IF($V168,"its band","the book")&amp;" ("&amp;IF(ROUND($AB168*100,2)=0,"0.00",TEXT($AB168*100,"+0.00;-0.00"))&amp;" points)")),IF(LEFT($Y168,5)="worse","short of ","ahead of ")&amp;IF($V168,"its band","the book")&amp;" by "&amp;TEXT(ABS($AB168)*100,"0.00")&amp;" points"&amp;IF($Z168="",""," ($"&amp;TEXT(ABS($Z168),"#,##0")&amp;")")&amp;IF(RIGHT($Y168,15)="not significant"," (not significant)","")))</f>
        <v/>
      </c>
      <c r="AE168">
        <f>IF($V168,IF($S168="","",$S168),IF($R168="","",$R168))</f>
        <v/>
      </c>
      <c r="AF168">
        <f>IF($V168,IF($U168="","",$U168),IF($T168="","",$T168))</f>
        <v/>
      </c>
      <c r="AG168">
        <f>IF($V168,IF($O168="","",$O168),IF($P168="","",$P168))</f>
        <v/>
      </c>
      <c r="AH168" t="n">
        <v>0.1820114597091679</v>
      </c>
      <c r="AI168">
        <f>IF($Y168="worse","Yes",IF($Y168="worse, not significant","Not sure",IF(OR($Y168="too few losses to test",$Y168="too few loans to test"),"Too few losses",IF($Y168="","","No"))))</f>
        <v/>
      </c>
      <c r="AJ168">
        <f>IF($AA168="yes","Yes",IF($AA168="","","No"))</f>
        <v/>
      </c>
      <c r="AK168" t="n">
        <v>0.003887044927725012</v>
      </c>
      <c r="AL168" t="n">
        <v>0.002717843769322967</v>
      </c>
      <c r="AM168">
        <f>IF(AND(ISNUMBER($AC168),ISNUMBER(IF($V168,IF($AL168="","",$AL168),IF($AK168="","",$AK168)))),IF(AND(ABS($AC168-significance_bar)&lt;=2.0*IF($V168,IF($AL168="","",$AL168),IF($AK168="","",$AK168)),OR($Y168="worse",$Y168="better",$Y168="worse, not significant",$Y168="better, not significant",AND(profit_kind="test",$Y168="in line",ISNUMBER($AB168),$AB168&lt;&gt;0))),IF(ROUND($AC168,3)=ROUND(significance_bar,3),TEXT($AC168,"0.0000"),TEXT($AC168,"0.000")),""),"")</f>
        <v/>
      </c>
      <c r="AN168">
        <f>IF(AND(ISNUMBER($AC168),ISNUMBER(IF($V168,IF($AL168="","",$AL168),IF($AK168="","",$AK168)))),IF(AND(ABS($AC168-significance_bar)&lt;=2.0*IF($V168,IF($AL168="","",$AL168),IF($AK168="","",$AK168)),OR($Y168="worse",$Y168="worse, not significant",AND(profit_kind="test",$Y168="in line",ISNUMBER($AB168),$AB168&lt;0))),IF(ROUND($AC168,3)=ROUND(significance_bar,3),TEXT($AC168,"0.0000"),TEXT($AC168,"0.000")),""),"")</f>
        <v/>
      </c>
      <c r="AO168">
        <f>IF(OR($AI168="",$AN168=""),$AI168,$AI168&amp;" · borderline (p "&amp;$AN168&amp;")")</f>
        <v/>
      </c>
    </row>
    <row r="169">
      <c r="A169" t="inlineStr">
        <is>
          <t>grids</t>
        </is>
      </c>
      <c r="B169" t="inlineStr">
        <is>
          <t>SHORT_HIST x CHANNEL</t>
        </is>
      </c>
      <c r="C169" t="inlineStr">
        <is>
          <t>346.0 - 435.0</t>
        </is>
      </c>
      <c r="D169" t="inlineStr">
        <is>
          <t>Branch</t>
        </is>
      </c>
      <c r="E169" t="inlineStr">
        <is>
          <t>outcome_loans</t>
        </is>
      </c>
      <c r="F169" t="inlineStr">
        <is>
          <t>Outcome, share of loans</t>
        </is>
      </c>
      <c r="G169" t="n">
        <v>533</v>
      </c>
      <c r="H169" t="n">
        <v>533</v>
      </c>
      <c r="I169" t="b">
        <v>0</v>
      </c>
      <c r="J169" t="b">
        <v>0</v>
      </c>
      <c r="K169" t="n">
        <v>0.6885044678347696</v>
      </c>
      <c r="L169" t="n">
        <v>0.1994956745185959</v>
      </c>
      <c r="M169" t="n">
        <v>0.6548060561106506</v>
      </c>
      <c r="N169" t="n">
        <v>0.1466277207245463</v>
      </c>
      <c r="O169" t="n">
        <v>-13.12027859630324</v>
      </c>
      <c r="P169" t="n">
        <v>-15.28792270531401</v>
      </c>
      <c r="Q169">
        <f>'_live'!$C$20</f>
        <v/>
      </c>
      <c r="R169" t="inlineStr">
        <is>
          <t>z test</t>
        </is>
      </c>
      <c r="S169" t="inlineStr">
        <is>
          <t>z test</t>
        </is>
      </c>
      <c r="T169" t="n">
        <v>0.07902491293865524</v>
      </c>
      <c r="U169" t="n">
        <v>0.08309178743961353</v>
      </c>
      <c r="V169">
        <f>AND(judged_band,NOT($J169))</f>
        <v/>
      </c>
      <c r="W169">
        <f>IF($K169="","",IF($I169,"too few losses to test",IF(AND($K169&gt;better_at,$K169&lt;worse_at),"in line",IF($K169&gt;=worse_at,IF(AND(ISNUMBER($L169),$L169&lt;significance_bar),"worse","worse, not significant"),IF(AND(ISNUMBER($L169),$L169&lt;significance_bar),"better","better, not significant")))))</f>
        <v/>
      </c>
      <c r="X169">
        <f>IF($M169="","",IF($I169,"too few losses to test",IF(AND($M169&gt;better_at,$M169&lt;worse_at),"in line",IF($M169&gt;=worse_at,IF(AND(ISNUMBER($N169),$N169&lt;significance_bar),"worse","worse, not significant"),IF(AND(ISNUMBER($N169),$N169&lt;significance_bar),"better","better, not significant")))))</f>
        <v/>
      </c>
      <c r="Y169">
        <f>IF($V169,$X169,$W169)</f>
        <v/>
      </c>
      <c r="Z169">
        <f>IF($V169,IF($P169="","",$P169),IF($O169="","",$O169))</f>
        <v/>
      </c>
      <c r="AA169">
        <f>IF(OR($Q169="",$Z169=""),"",IF(AND($Z169&gt;0,$Z169&gt;=$Q169),"yes","below the line"))</f>
        <v/>
      </c>
      <c r="AB169">
        <f>IF($V169,IF($M169="","",$M169),IF($K169="","",$K169))</f>
        <v/>
      </c>
      <c r="AC169">
        <f>IF($V169,IF($N169="","",$N169),IF($L169="","",$L169))</f>
        <v/>
      </c>
      <c r="AD169">
        <f>$Y169</f>
        <v/>
      </c>
      <c r="AE169">
        <f>IF($V169,IF($S169="","",$S169),IF($R169="","",$R169))</f>
        <v/>
      </c>
      <c r="AF169">
        <f>IF($V169,IF($U169="","",$U169),IF($T169="","",$T169))</f>
        <v/>
      </c>
      <c r="AG169">
        <f>IF($V169,IF($O169="","",$O169),IF($P169="","",$P169))</f>
        <v/>
      </c>
      <c r="AH169" t="n">
        <v>0.05440900562851782</v>
      </c>
      <c r="AI169">
        <f>IF($Y169="worse","Yes",IF($Y169="worse, not significant","Not sure",IF(OR($Y169="too few losses to test",$Y169="too few loans to test"),"Too few losses",IF($Y169="","","No"))))</f>
        <v/>
      </c>
      <c r="AJ169">
        <f>IF($AA169="yes","Yes",IF($AA169="","","No"))</f>
        <v/>
      </c>
      <c r="AM169">
        <f>IF(AND(ISNUMBER($AC169),ISNUMBER(IF($V169,IF($AL169="","",$AL169),IF($AK169="","",$AK169)))),IF(AND(ABS($AC169-significance_bar)&lt;=2.0*IF($V169,IF($AL169="","",$AL169),IF($AK169="","",$AK169)),OR($Y169="worse",$Y169="better",$Y169="worse, not significant",$Y169="better, not significant")),IF(ROUND($AC169,3)=ROUND(significance_bar,3),TEXT($AC169,"0.0000"),TEXT($AC169,"0.000")),""),"")</f>
        <v/>
      </c>
      <c r="AN169">
        <f>IF(AND(ISNUMBER($AC169),ISNUMBER(IF($V169,IF($AL169="","",$AL169),IF($AK169="","",$AK169)))),IF(AND(ABS($AC169-significance_bar)&lt;=2.0*IF($V169,IF($AL169="","",$AL169),IF($AK169="","",$AK169)),OR($Y169="worse",$Y169="worse, not significant")),IF(ROUND($AC169,3)=ROUND(significance_bar,3),TEXT($AC169,"0.0000"),TEXT($AC169,"0.000")),""),"")</f>
        <v/>
      </c>
      <c r="AO169">
        <f>IF(OR($AI169="",$AN169=""),$AI169,$AI169&amp;" · borderline (p "&amp;$AN169&amp;")")</f>
        <v/>
      </c>
    </row>
    <row r="170">
      <c r="A170" t="inlineStr">
        <is>
          <t>grids</t>
        </is>
      </c>
      <c r="B170" t="inlineStr">
        <is>
          <t>SHORT_HIST x CHANNEL</t>
        </is>
      </c>
      <c r="C170" t="inlineStr">
        <is>
          <t>346.0 - 435.0</t>
        </is>
      </c>
      <c r="D170" t="inlineStr">
        <is>
          <t>Branch</t>
        </is>
      </c>
      <c r="E170" t="inlineStr">
        <is>
          <t>outcome_booked</t>
        </is>
      </c>
      <c r="F170" t="inlineStr">
        <is>
          <t>Outcome, share of booked dollars</t>
        </is>
      </c>
      <c r="G170" t="n">
        <v>533</v>
      </c>
      <c r="H170" t="n">
        <v>17482597.73</v>
      </c>
      <c r="I170" t="b">
        <v>0</v>
      </c>
      <c r="J170" t="b">
        <v>0</v>
      </c>
      <c r="K170" t="n">
        <v>0.6732966597109947</v>
      </c>
      <c r="L170" t="n">
        <v>0.1517848215178482</v>
      </c>
      <c r="M170" t="n">
        <v>0.6571092289422741</v>
      </c>
      <c r="N170" t="n">
        <v>0.2504749525047495</v>
      </c>
      <c r="O170" t="n">
        <v>-437068.9781602608</v>
      </c>
      <c r="P170" t="n">
        <v>-470025.1504841297</v>
      </c>
      <c r="Q170">
        <f>'_live'!$C$21</f>
        <v/>
      </c>
      <c r="R170" t="inlineStr">
        <is>
          <t>shuffled: 499 of 10,000</t>
        </is>
      </c>
      <c r="S170" t="inlineStr">
        <is>
          <t>shuffled: 667 of 10,000</t>
        </is>
      </c>
      <c r="T170" t="n">
        <v>0.07652272784750855</v>
      </c>
      <c r="U170" t="n">
        <v>0.07840781225160236</v>
      </c>
      <c r="V170">
        <f>AND(judged_band,NOT($J170))</f>
        <v/>
      </c>
      <c r="W170">
        <f>IF($K170="","",IF($I170,"too few losses to test",IF(AND($K170&gt;better_at,$K170&lt;worse_at),"in line",IF($K170&gt;=worse_at,IF(AND(ISNUMBER($L170),$L170&lt;significance_bar),"worse","worse, not significant"),IF(AND(ISNUMBER($L170),$L170&lt;significance_bar),"better","better, not significant")))))</f>
        <v/>
      </c>
      <c r="X170">
        <f>IF($M170="","",IF($I170,"too few losses to test",IF(AND($M170&gt;better_at,$M170&lt;worse_at),"in line",IF($M170&gt;=worse_at,IF(AND(ISNUMBER($N170),$N170&lt;significance_bar),"worse","worse, not significant"),IF(AND(ISNUMBER($N170),$N170&lt;significance_bar),"better","better, not significant")))))</f>
        <v/>
      </c>
      <c r="Y170">
        <f>IF($V170,$X170,$W170)</f>
        <v/>
      </c>
      <c r="Z170">
        <f>IF($V170,IF($P170="","",$P170),IF($O170="","",$O170))</f>
        <v/>
      </c>
      <c r="AA170">
        <f>IF(OR($Q170="",$Z170=""),"",IF(AND($Z170&gt;0,$Z170&gt;=$Q170),"yes","below the line"))</f>
        <v/>
      </c>
      <c r="AB170">
        <f>IF($V170,IF($M170="","",$M170),IF($K170="","",$K170))</f>
        <v/>
      </c>
      <c r="AC170">
        <f>IF($V170,IF($N170="","",$N170),IF($L170="","",$L170))</f>
        <v/>
      </c>
      <c r="AD170">
        <f>$Y170</f>
        <v/>
      </c>
      <c r="AE170">
        <f>IF($V170,IF($S170="","",$S170),IF($R170="","",$R170))</f>
        <v/>
      </c>
      <c r="AF170">
        <f>IF($V170,IF($U170="","",$U170),IF($T170="","",$T170))</f>
        <v/>
      </c>
      <c r="AG170">
        <f>IF($V170,IF($O170="","",$O170),IF($P170="","",$P170))</f>
        <v/>
      </c>
      <c r="AH170" t="n">
        <v>0.05152249705170102</v>
      </c>
      <c r="AI170">
        <f>IF($Y170="worse","Yes",IF($Y170="worse, not significant","Not sure",IF(OR($Y170="too few losses to test",$Y170="too few loans to test"),"Too few losses",IF($Y170="","","No"))))</f>
        <v/>
      </c>
      <c r="AJ170">
        <f>IF($AA170="yes","Yes",IF($AA170="","","No"))</f>
        <v/>
      </c>
      <c r="AK170" t="n">
        <v>0.006575072870397253</v>
      </c>
      <c r="AL170" t="n">
        <v>0.00936238949232809</v>
      </c>
      <c r="AM170">
        <f>IF(AND(ISNUMBER($AC170),ISNUMBER(IF($V170,IF($AL170="","",$AL170),IF($AK170="","",$AK170)))),IF(AND(ABS($AC170-significance_bar)&lt;=2.0*IF($V170,IF($AL170="","",$AL170),IF($AK170="","",$AK170)),OR($Y170="worse",$Y170="better",$Y170="worse, not significant",$Y170="better, not significant")),IF(ROUND($AC170,3)=ROUND(significance_bar,3),TEXT($AC170,"0.0000"),TEXT($AC170,"0.000")),""),"")</f>
        <v/>
      </c>
      <c r="AN170">
        <f>IF(AND(ISNUMBER($AC170),ISNUMBER(IF($V170,IF($AL170="","",$AL170),IF($AK170="","",$AK170)))),IF(AND(ABS($AC170-significance_bar)&lt;=2.0*IF($V170,IF($AL170="","",$AL170),IF($AK170="","",$AK170)),OR($Y170="worse",$Y170="worse, not significant")),IF(ROUND($AC170,3)=ROUND(significance_bar,3),TEXT($AC170,"0.0000"),TEXT($AC170,"0.000")),""),"")</f>
        <v/>
      </c>
      <c r="AO170">
        <f>IF(OR($AI170="",$AN170=""),$AI170,$AI170&amp;" · borderline (p "&amp;$AN170&amp;")")</f>
        <v/>
      </c>
    </row>
    <row r="171">
      <c r="A171" t="inlineStr">
        <is>
          <t>grids</t>
        </is>
      </c>
      <c r="B171" t="inlineStr">
        <is>
          <t>SHORT_HIST x CHANNEL</t>
        </is>
      </c>
      <c r="C171" t="inlineStr">
        <is>
          <t>346.0 - 435.0</t>
        </is>
      </c>
      <c r="D171" t="inlineStr">
        <is>
          <t>Branch</t>
        </is>
      </c>
      <c r="E171" t="inlineStr">
        <is>
          <t>gco_rate</t>
        </is>
      </c>
      <c r="F171" t="inlineStr">
        <is>
          <t>GCO per booked dollar</t>
        </is>
      </c>
      <c r="G171" t="n">
        <v>533</v>
      </c>
      <c r="H171" t="n">
        <v>17482597.73</v>
      </c>
      <c r="I171" t="b">
        <v>0</v>
      </c>
      <c r="J171" t="b">
        <v>0</v>
      </c>
      <c r="K171" t="n">
        <v>0.6552965096013837</v>
      </c>
      <c r="L171" t="n">
        <v>0.1415858414158584</v>
      </c>
      <c r="M171" t="n">
        <v>0.6132188691820135</v>
      </c>
      <c r="N171" t="n">
        <v>0.1778822117788221</v>
      </c>
      <c r="O171" t="n">
        <v>-256722.1245214379</v>
      </c>
      <c r="P171" t="n">
        <v>-307825.9586875979</v>
      </c>
      <c r="Q171">
        <f>'_live'!$C$22</f>
        <v/>
      </c>
      <c r="R171" t="inlineStr">
        <is>
          <t>shuffled: 471 of 10,000</t>
        </is>
      </c>
      <c r="S171" t="inlineStr">
        <is>
          <t>shuffled: 404 of 10,000</t>
        </is>
      </c>
      <c r="T171" t="n">
        <v>0.04260020141305614</v>
      </c>
      <c r="U171" t="n">
        <v>0.04552332730975661</v>
      </c>
      <c r="V171">
        <f>AND(judged_band,NOT($J171))</f>
        <v/>
      </c>
      <c r="W171">
        <f>IF($K171="","",IF($I171,"too few losses to test",IF(AND($K171&gt;better_at,$K171&lt;worse_at),"in line",IF($K171&gt;=worse_at,IF(AND(ISNUMBER($L171),$L171&lt;significance_bar),"worse","worse, not significant"),IF(AND(ISNUMBER($L171),$L171&lt;significance_bar),"better","better, not significant")))))</f>
        <v/>
      </c>
      <c r="X171">
        <f>IF($M171="","",IF($I171,"too few losses to test",IF(AND($M171&gt;better_at,$M171&lt;worse_at),"in line",IF($M171&gt;=worse_at,IF(AND(ISNUMBER($N171),$N171&lt;significance_bar),"worse","worse, not significant"),IF(AND(ISNUMBER($N171),$N171&lt;significance_bar),"better","better, not significant")))))</f>
        <v/>
      </c>
      <c r="Y171">
        <f>IF($V171,$X171,$W171)</f>
        <v/>
      </c>
      <c r="Z171">
        <f>IF($V171,IF($P171="","",$P171),IF($O171="","",$O171))</f>
        <v/>
      </c>
      <c r="AA171">
        <f>IF(OR($Q171="",$Z171=""),"",IF(AND($Z171&gt;0,$Z171&gt;=$Q171),"yes","below the line"))</f>
        <v/>
      </c>
      <c r="AB171">
        <f>IF($V171,IF($M171="","",$M171),IF($K171="","",$K171))</f>
        <v/>
      </c>
      <c r="AC171">
        <f>IF($V171,IF($N171="","",$N171),IF($L171="","",$L171))</f>
        <v/>
      </c>
      <c r="AD171">
        <f>$Y171</f>
        <v/>
      </c>
      <c r="AE171">
        <f>IF($V171,IF($S171="","",$S171),IF($R171="","",$R171))</f>
        <v/>
      </c>
      <c r="AF171">
        <f>IF($V171,IF($U171="","",$U171),IF($T171="","",$T171))</f>
        <v/>
      </c>
      <c r="AG171">
        <f>IF($V171,IF($O171="","",$O171),IF($P171="","",$P171))</f>
        <v/>
      </c>
      <c r="AH171" t="n">
        <v>0.02791576329429162</v>
      </c>
      <c r="AI171">
        <f>IF($Y171="worse","Yes",IF($Y171="worse, not significant","Not sure",IF(OR($Y171="too few losses to test",$Y171="too few loans to test"),"Too few losses",IF($Y171="","","No"))))</f>
        <v/>
      </c>
      <c r="AJ171">
        <f>IF($AA171="yes","Yes",IF($AA171="","","No"))</f>
        <v/>
      </c>
      <c r="AK171" t="n">
        <v>0.006361689820779842</v>
      </c>
      <c r="AL171" t="n">
        <v>0.007085227971414474</v>
      </c>
      <c r="AM171">
        <f>IF(AND(ISNUMBER($AC171),ISNUMBER(IF($V171,IF($AL171="","",$AL171),IF($AK171="","",$AK171)))),IF(AND(ABS($AC171-significance_bar)&lt;=2.0*IF($V171,IF($AL171="","",$AL171),IF($AK171="","",$AK171)),OR($Y171="worse",$Y171="better",$Y171="worse, not significant",$Y171="better, not significant")),IF(ROUND($AC171,3)=ROUND(significance_bar,3),TEXT($AC171,"0.0000"),TEXT($AC171,"0.000")),""),"")</f>
        <v/>
      </c>
      <c r="AN171">
        <f>IF(AND(ISNUMBER($AC171),ISNUMBER(IF($V171,IF($AL171="","",$AL171),IF($AK171="","",$AK171)))),IF(AND(ABS($AC171-significance_bar)&lt;=2.0*IF($V171,IF($AL171="","",$AL171),IF($AK171="","",$AK171)),OR($Y171="worse",$Y171="worse, not significant")),IF(ROUND($AC171,3)=ROUND(significance_bar,3),TEXT($AC171,"0.0000"),TEXT($AC171,"0.000")),""),"")</f>
        <v/>
      </c>
      <c r="AO171">
        <f>IF(OR($AI171="",$AN171=""),$AI171,$AI171&amp;" · borderline (p "&amp;$AN171&amp;")")</f>
        <v/>
      </c>
    </row>
    <row r="172">
      <c r="A172" t="inlineStr">
        <is>
          <t>grids</t>
        </is>
      </c>
      <c r="B172" t="inlineStr">
        <is>
          <t>SHORT_HIST x CHANNEL</t>
        </is>
      </c>
      <c r="C172" t="inlineStr">
        <is>
          <t>346.0 - 435.0</t>
        </is>
      </c>
      <c r="D172" t="inlineStr">
        <is>
          <t>Branch</t>
        </is>
      </c>
      <c r="E172" t="inlineStr">
        <is>
          <t>ranr_rate</t>
        </is>
      </c>
      <c r="F172" t="inlineStr">
        <is>
          <t>Profit after losses: RANR per booked dollar</t>
        </is>
      </c>
      <c r="G172" t="n">
        <v>533</v>
      </c>
      <c r="H172" t="n">
        <v>17482597.73</v>
      </c>
      <c r="I172" t="b">
        <v>0</v>
      </c>
      <c r="J172" t="b">
        <v>0</v>
      </c>
      <c r="K172" t="n">
        <v>0.00719208413337033</v>
      </c>
      <c r="L172" t="n">
        <v>0.5203879612038796</v>
      </c>
      <c r="M172" t="n">
        <v>0.01377140802614012</v>
      </c>
      <c r="N172" t="n">
        <v>0.3016198380161984</v>
      </c>
      <c r="O172" t="n">
        <v>-125736.313744029</v>
      </c>
      <c r="P172" t="n">
        <v>-240759.986696701</v>
      </c>
      <c r="Q172">
        <f>'_live'!$C$23</f>
        <v/>
      </c>
      <c r="R172" t="inlineStr">
        <is>
          <t>shuffled: 4,336 of 10,000</t>
        </is>
      </c>
      <c r="S172" t="inlineStr">
        <is>
          <t>shuffled: 1,875 of 10,000</t>
        </is>
      </c>
      <c r="T172" t="n">
        <v>0.1275028288519667</v>
      </c>
      <c r="U172" t="n">
        <v>0.1209235049591969</v>
      </c>
      <c r="V172">
        <f>AND(judged_band,NOT($J172))</f>
        <v/>
      </c>
      <c r="W172">
        <f>IF($K172="","",IF(profit_kind="test",IF(OR(NOT(AND(ISNUMBER($L172),$L172&lt;significance_bar)),$K172=0),"in line",IF($K172&lt;0,"worse","better")),IF(OR($K172=0,IF(profit_kind="points",ABS($K172),ABS($K172*$H172))&lt;profit_line*(1-1E-9)),"in line",IF(AND(ISNUMBER($L172),$L172&lt;significance_bar),IF($K172&lt;0,"worse","better"),IF($K172&lt;0,"worse, not significant","better, not significant")))))</f>
        <v/>
      </c>
      <c r="X172">
        <f>IF($M172="","",IF(profit_kind="test",IF(OR(NOT(AND(ISNUMBER($N172),$N172&lt;significance_bar)),$M172=0),"in line",IF($M172&lt;0,"worse","better")),IF(OR($M172=0,IF(profit_kind="points",ABS($M172),ABS($M172*$H172))&lt;profit_line*(1-1E-9)),"in line",IF(AND(ISNUMBER($N172),$N172&lt;significance_bar),IF($M172&lt;0,"worse","better"),IF($M172&lt;0,"worse, not significant","better, not significant")))))</f>
        <v/>
      </c>
      <c r="Y172">
        <f>IF($V172,$X172,$W172)</f>
        <v/>
      </c>
      <c r="Z172">
        <f>IF($V172,IF($P172="","",$P172),IF($O172="","",$O172))</f>
        <v/>
      </c>
      <c r="AA172">
        <f>IF(OR($Q172="",$Z172=""),"",IF(AND($Z172&gt;0,$Z172&gt;=$Q172),"yes","below the line"))</f>
        <v/>
      </c>
      <c r="AB172">
        <f>IF($V172,IF($M172="","",$M172),IF($K172="","",$K172))</f>
        <v/>
      </c>
      <c r="AC172">
        <f>IF($V172,IF($N172="","",$N172),IF($L172="","",$L172))</f>
        <v/>
      </c>
      <c r="AD172">
        <f>IF($Y172="","",IF($Y172="in line",IF(profit_kind="test",IF(ROUND($AB172*100,2)=0,"0.00",TEXT($AB172*100,"+0.00;-0.00"))&amp;" points against "&amp;IF($V172,"its band","the book")&amp;", "&amp;IF($AC172="","not tested","not significant"),IF(profit_kind="points","within "&amp;TEXT(profit_line*100,"0.00")&amp;" points of "&amp;IF($V172,"its band","the book")&amp;" ("&amp;IF(ROUND($AB172*100,2)=0,"0.00",TEXT($AB172*100,"+0.00;-0.00"))&amp;")","within $"&amp;TEXT(profit_line,"#,##0")&amp;" of "&amp;IF($V172,"its band","the book")&amp;" ("&amp;IF(ROUND($AB172*100,2)=0,"0.00",TEXT($AB172*100,"+0.00;-0.00"))&amp;" points)")),IF(LEFT($Y172,5)="worse","short of ","ahead of ")&amp;IF($V172,"its band","the book")&amp;" by "&amp;TEXT(ABS($AB172)*100,"0.00")&amp;" points"&amp;IF($Z172="",""," ($"&amp;TEXT(ABS($Z172),"#,##0")&amp;")")&amp;IF(RIGHT($Y172,15)="not significant"," (not significant)","")))</f>
        <v/>
      </c>
      <c r="AE172">
        <f>IF($V172,IF($S172="","",$S172),IF($R172="","",$R172))</f>
        <v/>
      </c>
      <c r="AF172">
        <f>IF($V172,IF($U172="","",$U172),IF($T172="","",$T172))</f>
        <v/>
      </c>
      <c r="AG172">
        <f>IF($V172,IF($O172="","",$O172),IF($P172="","",$P172))</f>
        <v/>
      </c>
      <c r="AH172" t="n">
        <v>0.134694912985337</v>
      </c>
      <c r="AI172">
        <f>IF($Y172="worse","Yes",IF($Y172="worse, not significant","Not sure",IF(OR($Y172="too few losses to test",$Y172="too few loans to test"),"Too few losses",IF($Y172="","","No"))))</f>
        <v/>
      </c>
      <c r="AJ172">
        <f>IF($AA172="yes","Yes",IF($AA172="","","No"))</f>
        <v/>
      </c>
      <c r="AK172" t="n">
        <v>0.005946948152445295</v>
      </c>
      <c r="AL172" t="n">
        <v>0.00601211468902066</v>
      </c>
      <c r="AM172">
        <f>IF(AND(ISNUMBER($AC172),ISNUMBER(IF($V172,IF($AL172="","",$AL172),IF($AK172="","",$AK172)))),IF(AND(ABS($AC172-significance_bar)&lt;=2.0*IF($V172,IF($AL172="","",$AL172),IF($AK172="","",$AK172)),OR($Y172="worse",$Y172="better",$Y172="worse, not significant",$Y172="better, not significant",AND(profit_kind="test",$Y172="in line",ISNUMBER($AB172),$AB172&lt;&gt;0))),IF(ROUND($AC172,3)=ROUND(significance_bar,3),TEXT($AC172,"0.0000"),TEXT($AC172,"0.000")),""),"")</f>
        <v/>
      </c>
      <c r="AN172">
        <f>IF(AND(ISNUMBER($AC172),ISNUMBER(IF($V172,IF($AL172="","",$AL172),IF($AK172="","",$AK172)))),IF(AND(ABS($AC172-significance_bar)&lt;=2.0*IF($V172,IF($AL172="","",$AL172),IF($AK172="","",$AK172)),OR($Y172="worse",$Y172="worse, not significant",AND(profit_kind="test",$Y172="in line",ISNUMBER($AB172),$AB172&lt;0))),IF(ROUND($AC172,3)=ROUND(significance_bar,3),TEXT($AC172,"0.0000"),TEXT($AC172,"0.000")),""),"")</f>
        <v/>
      </c>
      <c r="AO172">
        <f>IF(OR($AI172="",$AN172=""),$AI172,$AI172&amp;" · borderline (p "&amp;$AN172&amp;")")</f>
        <v/>
      </c>
    </row>
    <row r="173">
      <c r="A173" t="inlineStr">
        <is>
          <t>grids</t>
        </is>
      </c>
      <c r="B173" t="inlineStr">
        <is>
          <t>SHORT_HIST x CHANNEL</t>
        </is>
      </c>
      <c r="C173" t="inlineStr">
        <is>
          <t>346.0 - 435.0</t>
        </is>
      </c>
      <c r="D173" t="inlineStr">
        <is>
          <t>Branch</t>
        </is>
      </c>
      <c r="E173" t="inlineStr">
        <is>
          <t>contribution_rate</t>
        </is>
      </c>
      <c r="F173" t="inlineStr">
        <is>
          <t>Contribution before losses per booked dollar</t>
        </is>
      </c>
      <c r="G173" t="n">
        <v>533</v>
      </c>
      <c r="H173" t="n">
        <v>17482597.73</v>
      </c>
      <c r="I173" t="b">
        <v>0</v>
      </c>
      <c r="J173" t="b">
        <v>0</v>
      </c>
      <c r="K173" t="n">
        <v>-0.007489206552479644</v>
      </c>
      <c r="L173" t="n">
        <v>0.3062462984470783</v>
      </c>
      <c r="M173" t="n">
        <v>-0.003836155989324908</v>
      </c>
      <c r="N173" t="n">
        <v>0.6514223577642236</v>
      </c>
      <c r="O173" t="n">
        <v>130930.7854738818</v>
      </c>
      <c r="P173" t="n">
        <v>67065.97199089732</v>
      </c>
      <c r="Q173">
        <f>'_live'!$C$24</f>
        <v/>
      </c>
      <c r="R173" t="inlineStr">
        <is>
          <t>shuffled: 2,157 of 10,000</t>
        </is>
      </c>
      <c r="S173" t="inlineStr">
        <is>
          <t>shuffled: 5,790 of 10,000</t>
        </is>
      </c>
      <c r="T173" t="n">
        <v>0.1700998828321082</v>
      </c>
      <c r="U173" t="n">
        <v>0.1664468322689534</v>
      </c>
      <c r="V173">
        <f>AND(judged_band,NOT($J173))</f>
        <v/>
      </c>
      <c r="W173">
        <f>IF($K173="","",IF(profit_kind="test",IF(OR(NOT(AND(ISNUMBER($L173),$L173&lt;significance_bar)),$K173=0),"in line",IF($K173&lt;0,"worse","better")),IF(OR($K173=0,IF(profit_kind="points",ABS($K173),ABS($K173*$H173))&lt;profit_line*(1-1E-9)),"in line",IF(AND(ISNUMBER($L173),$L173&lt;significance_bar),IF($K173&lt;0,"worse","better"),IF($K173&lt;0,"worse, not significant","better, not significant")))))</f>
        <v/>
      </c>
      <c r="X173">
        <f>IF($M173="","",IF(profit_kind="test",IF(OR(NOT(AND(ISNUMBER($N173),$N173&lt;significance_bar)),$M173=0),"in line",IF($M173&lt;0,"worse","better")),IF(OR($M173=0,IF(profit_kind="points",ABS($M173),ABS($M173*$H173))&lt;profit_line*(1-1E-9)),"in line",IF(AND(ISNUMBER($N173),$N173&lt;significance_bar),IF($M173&lt;0,"worse","better"),IF($M173&lt;0,"worse, not significant","better, not significant")))))</f>
        <v/>
      </c>
      <c r="Y173">
        <f>IF($V173,$X173,$W173)</f>
        <v/>
      </c>
      <c r="Z173">
        <f>IF($V173,IF($P173="","",$P173),IF($O173="","",$O173))</f>
        <v/>
      </c>
      <c r="AA173">
        <f>IF(OR($Q173="",$Z173=""),"",IF(AND($Z173&gt;0,$Z173&gt;=$Q173),"yes","below the line"))</f>
        <v/>
      </c>
      <c r="AB173">
        <f>IF($V173,IF($M173="","",$M173),IF($K173="","",$K173))</f>
        <v/>
      </c>
      <c r="AC173">
        <f>IF($V173,IF($N173="","",$N173),IF($L173="","",$L173))</f>
        <v/>
      </c>
      <c r="AD173">
        <f>IF($Y173="","",IF($Y173="in line",IF(profit_kind="test",IF(ROUND($AB173*100,2)=0,"0.00",TEXT($AB173*100,"+0.00;-0.00"))&amp;" points against "&amp;IF($V173,"its band","the book")&amp;", "&amp;IF($AC173="","not tested","not significant"),IF(profit_kind="points","within "&amp;TEXT(profit_line*100,"0.00")&amp;" points of "&amp;IF($V173,"its band","the book")&amp;" ("&amp;IF(ROUND($AB173*100,2)=0,"0.00",TEXT($AB173*100,"+0.00;-0.00"))&amp;")","within $"&amp;TEXT(profit_line,"#,##0")&amp;" of "&amp;IF($V173,"its band","the book")&amp;" ("&amp;IF(ROUND($AB173*100,2)=0,"0.00",TEXT($AB173*100,"+0.00;-0.00"))&amp;" points)")),IF(LEFT($Y173,5)="worse","short of ","ahead of ")&amp;IF($V173,"its band","the book")&amp;" by "&amp;TEXT(ABS($AB173)*100,"0.00")&amp;" points"&amp;IF($Z173="",""," ($"&amp;TEXT(ABS($Z173),"#,##0")&amp;")")&amp;IF(RIGHT($Y173,15)="not significant"," (not significant)","")))</f>
        <v/>
      </c>
      <c r="AE173">
        <f>IF($V173,IF($S173="","",$S173),IF($R173="","",$R173))</f>
        <v/>
      </c>
      <c r="AF173">
        <f>IF($V173,IF($U173="","",$U173),IF($T173="","",$T173))</f>
        <v/>
      </c>
      <c r="AG173">
        <f>IF($V173,IF($O173="","",$O173),IF($P173="","",$P173))</f>
        <v/>
      </c>
      <c r="AH173" t="n">
        <v>0.1626106762796285</v>
      </c>
      <c r="AI173">
        <f>IF($Y173="worse","Yes",IF($Y173="worse, not significant","Not sure",IF(OR($Y173="too few losses to test",$Y173="too few loans to test"),"Too few losses",IF($Y173="","","No"))))</f>
        <v/>
      </c>
      <c r="AJ173">
        <f>IF($AA173="yes","Yes",IF($AA173="","","No"))</f>
        <v/>
      </c>
      <c r="AK173" t="n">
        <v>0.00574670810985561</v>
      </c>
      <c r="AL173" t="n">
        <v>0.005554269207462413</v>
      </c>
      <c r="AM173">
        <f>IF(AND(ISNUMBER($AC173),ISNUMBER(IF($V173,IF($AL173="","",$AL173),IF($AK173="","",$AK173)))),IF(AND(ABS($AC173-significance_bar)&lt;=2.0*IF($V173,IF($AL173="","",$AL173),IF($AK173="","",$AK173)),OR($Y173="worse",$Y173="better",$Y173="worse, not significant",$Y173="better, not significant",AND(profit_kind="test",$Y173="in line",ISNUMBER($AB173),$AB173&lt;&gt;0))),IF(ROUND($AC173,3)=ROUND(significance_bar,3),TEXT($AC173,"0.0000"),TEXT($AC173,"0.000")),""),"")</f>
        <v/>
      </c>
      <c r="AN173">
        <f>IF(AND(ISNUMBER($AC173),ISNUMBER(IF($V173,IF($AL173="","",$AL173),IF($AK173="","",$AK173)))),IF(AND(ABS($AC173-significance_bar)&lt;=2.0*IF($V173,IF($AL173="","",$AL173),IF($AK173="","",$AK173)),OR($Y173="worse",$Y173="worse, not significant",AND(profit_kind="test",$Y173="in line",ISNUMBER($AB173),$AB173&lt;0))),IF(ROUND($AC173,3)=ROUND(significance_bar,3),TEXT($AC173,"0.0000"),TEXT($AC173,"0.000")),""),"")</f>
        <v/>
      </c>
      <c r="AO173">
        <f>IF(OR($AI173="",$AN173=""),$AI173,$AI173&amp;" · borderline (p "&amp;$AN173&amp;")")</f>
        <v/>
      </c>
    </row>
    <row r="174">
      <c r="A174" t="inlineStr">
        <is>
          <t>grids</t>
        </is>
      </c>
      <c r="B174" t="inlineStr">
        <is>
          <t>SHORT_HIST x CHANNEL</t>
        </is>
      </c>
      <c r="C174" t="inlineStr">
        <is>
          <t>346.0 - 435.0</t>
        </is>
      </c>
      <c r="D174" t="inlineStr">
        <is>
          <t>Online</t>
        </is>
      </c>
      <c r="E174" t="inlineStr">
        <is>
          <t>outcome_loans</t>
        </is>
      </c>
      <c r="F174" t="inlineStr">
        <is>
          <t>Outcome, share of loans</t>
        </is>
      </c>
      <c r="G174" t="n">
        <v>531</v>
      </c>
      <c r="H174" t="n">
        <v>531</v>
      </c>
      <c r="I174" t="b">
        <v>0</v>
      </c>
      <c r="J174" t="b">
        <v>0</v>
      </c>
      <c r="K174" t="n">
        <v>0.8941050083807379</v>
      </c>
      <c r="L174" t="n">
        <v>0.8194214352049405</v>
      </c>
      <c r="M174" t="n">
        <v>0.9263846636727993</v>
      </c>
      <c r="N174" t="n">
        <v>0.7968583667845929</v>
      </c>
      <c r="O174" t="n">
        <v>-4.382163899303698</v>
      </c>
      <c r="P174" t="n">
        <v>-2.940212150433943</v>
      </c>
      <c r="Q174">
        <f>'_live'!$C$20</f>
        <v/>
      </c>
      <c r="R174" t="inlineStr">
        <is>
          <t>z test</t>
        </is>
      </c>
      <c r="S174" t="inlineStr">
        <is>
          <t>z test</t>
        </is>
      </c>
      <c r="T174" t="n">
        <v>0.07793251205141939</v>
      </c>
      <c r="U174" t="n">
        <v>0.07521697203471553</v>
      </c>
      <c r="V174">
        <f>AND(judged_band,NOT($J174))</f>
        <v/>
      </c>
      <c r="W174">
        <f>IF($K174="","",IF($I174,"too few losses to test",IF(AND($K174&gt;better_at,$K174&lt;worse_at),"in line",IF($K174&gt;=worse_at,IF(AND(ISNUMBER($L174),$L174&lt;significance_bar),"worse","worse, not significant"),IF(AND(ISNUMBER($L174),$L174&lt;significance_bar),"better","better, not significant")))))</f>
        <v/>
      </c>
      <c r="X174">
        <f>IF($M174="","",IF($I174,"too few losses to test",IF(AND($M174&gt;better_at,$M174&lt;worse_at),"in line",IF($M174&gt;=worse_at,IF(AND(ISNUMBER($N174),$N174&lt;significance_bar),"worse","worse, not significant"),IF(AND(ISNUMBER($N174),$N174&lt;significance_bar),"better","better, not significant")))))</f>
        <v/>
      </c>
      <c r="Y174">
        <f>IF($V174,$X174,$W174)</f>
        <v/>
      </c>
      <c r="Z174">
        <f>IF($V174,IF($P174="","",$P174),IF($O174="","",$O174))</f>
        <v/>
      </c>
      <c r="AA174">
        <f>IF(OR($Q174="",$Z174=""),"",IF(AND($Z174&gt;0,$Z174&gt;=$Q174),"yes","below the line"))</f>
        <v/>
      </c>
      <c r="AB174">
        <f>IF($V174,IF($M174="","",$M174),IF($K174="","",$K174))</f>
        <v/>
      </c>
      <c r="AC174">
        <f>IF($V174,IF($N174="","",$N174),IF($L174="","",$L174))</f>
        <v/>
      </c>
      <c r="AD174">
        <f>$Y174</f>
        <v/>
      </c>
      <c r="AE174">
        <f>IF($V174,IF($S174="","",$S174),IF($R174="","",$R174))</f>
        <v/>
      </c>
      <c r="AF174">
        <f>IF($V174,IF($U174="","",$U174),IF($T174="","",$T174))</f>
        <v/>
      </c>
      <c r="AG174">
        <f>IF($V174,IF($O174="","",$O174),IF($P174="","",$P174))</f>
        <v/>
      </c>
      <c r="AH174" t="n">
        <v>0.0696798493408663</v>
      </c>
      <c r="AI174">
        <f>IF($Y174="worse","Yes",IF($Y174="worse, not significant","Not sure",IF(OR($Y174="too few losses to test",$Y174="too few loans to test"),"Too few losses",IF($Y174="","","No"))))</f>
        <v/>
      </c>
      <c r="AJ174">
        <f>IF($AA174="yes","Yes",IF($AA174="","","No"))</f>
        <v/>
      </c>
      <c r="AM174">
        <f>IF(AND(ISNUMBER($AC174),ISNUMBER(IF($V174,IF($AL174="","",$AL174),IF($AK174="","",$AK174)))),IF(AND(ABS($AC174-significance_bar)&lt;=2.0*IF($V174,IF($AL174="","",$AL174),IF($AK174="","",$AK174)),OR($Y174="worse",$Y174="better",$Y174="worse, not significant",$Y174="better, not significant")),IF(ROUND($AC174,3)=ROUND(significance_bar,3),TEXT($AC174,"0.0000"),TEXT($AC174,"0.000")),""),"")</f>
        <v/>
      </c>
      <c r="AN174">
        <f>IF(AND(ISNUMBER($AC174),ISNUMBER(IF($V174,IF($AL174="","",$AL174),IF($AK174="","",$AK174)))),IF(AND(ABS($AC174-significance_bar)&lt;=2.0*IF($V174,IF($AL174="","",$AL174),IF($AK174="","",$AK174)),OR($Y174="worse",$Y174="worse, not significant")),IF(ROUND($AC174,3)=ROUND(significance_bar,3),TEXT($AC174,"0.0000"),TEXT($AC174,"0.000")),""),"")</f>
        <v/>
      </c>
      <c r="AO174">
        <f>IF(OR($AI174="",$AN174=""),$AI174,$AI174&amp;" · borderline (p "&amp;$AN174&amp;")")</f>
        <v/>
      </c>
    </row>
    <row r="175">
      <c r="A175" t="inlineStr">
        <is>
          <t>grids</t>
        </is>
      </c>
      <c r="B175" t="inlineStr">
        <is>
          <t>SHORT_HIST x CHANNEL</t>
        </is>
      </c>
      <c r="C175" t="inlineStr">
        <is>
          <t>346.0 - 435.0</t>
        </is>
      </c>
      <c r="D175" t="inlineStr">
        <is>
          <t>Online</t>
        </is>
      </c>
      <c r="E175" t="inlineStr">
        <is>
          <t>outcome_booked</t>
        </is>
      </c>
      <c r="F175" t="inlineStr">
        <is>
          <t>Outcome, share of booked dollars</t>
        </is>
      </c>
      <c r="G175" t="n">
        <v>531</v>
      </c>
      <c r="H175" t="n">
        <v>17421232.37000001</v>
      </c>
      <c r="I175" t="b">
        <v>0</v>
      </c>
      <c r="J175" t="b">
        <v>0</v>
      </c>
      <c r="K175" t="n">
        <v>0.7884834685384723</v>
      </c>
      <c r="L175" t="n">
        <v>0.541945805419458</v>
      </c>
      <c r="M175" t="n">
        <v>0.8088687286707388</v>
      </c>
      <c r="N175" t="n">
        <v>0.5741092557410925</v>
      </c>
      <c r="O175" t="n">
        <v>-279730.0502839588</v>
      </c>
      <c r="P175" t="n">
        <v>-246400.226357865</v>
      </c>
      <c r="Q175">
        <f>'_live'!$C$21</f>
        <v/>
      </c>
      <c r="R175" t="inlineStr">
        <is>
          <t>shuffled: 2,167 of 10,000</t>
        </is>
      </c>
      <c r="S175" t="inlineStr">
        <is>
          <t>shuffled: 3,444 of 10,000</t>
        </is>
      </c>
      <c r="T175" t="n">
        <v>0.07591296139079959</v>
      </c>
      <c r="U175" t="n">
        <v>0.0739997888196393</v>
      </c>
      <c r="V175">
        <f>AND(judged_band,NOT($J175))</f>
        <v/>
      </c>
      <c r="W175">
        <f>IF($K175="","",IF($I175,"too few losses to test",IF(AND($K175&gt;better_at,$K175&lt;worse_at),"in line",IF($K175&gt;=worse_at,IF(AND(ISNUMBER($L175),$L175&lt;significance_bar),"worse","worse, not significant"),IF(AND(ISNUMBER($L175),$L175&lt;significance_bar),"better","better, not significant")))))</f>
        <v/>
      </c>
      <c r="X175">
        <f>IF($M175="","",IF($I175,"too few losses to test",IF(AND($M175&gt;better_at,$M175&lt;worse_at),"in line",IF($M175&gt;=worse_at,IF(AND(ISNUMBER($N175),$N175&lt;significance_bar),"worse","worse, not significant"),IF(AND(ISNUMBER($N175),$N175&lt;significance_bar),"better","better, not significant")))))</f>
        <v/>
      </c>
      <c r="Y175">
        <f>IF($V175,$X175,$W175)</f>
        <v/>
      </c>
      <c r="Z175">
        <f>IF($V175,IF($P175="","",$P175),IF($O175="","",$O175))</f>
        <v/>
      </c>
      <c r="AA175">
        <f>IF(OR($Q175="",$Z175=""),"",IF(AND($Z175&gt;0,$Z175&gt;=$Q175),"yes","below the line"))</f>
        <v/>
      </c>
      <c r="AB175">
        <f>IF($V175,IF($M175="","",$M175),IF($K175="","",$K175))</f>
        <v/>
      </c>
      <c r="AC175">
        <f>IF($V175,IF($N175="","",$N175),IF($L175="","",$L175))</f>
        <v/>
      </c>
      <c r="AD175">
        <f>$Y175</f>
        <v/>
      </c>
      <c r="AE175">
        <f>IF($V175,IF($S175="","",$S175),IF($R175="","",$R175))</f>
        <v/>
      </c>
      <c r="AF175">
        <f>IF($V175,IF($U175="","",$U175),IF($T175="","",$T175))</f>
        <v/>
      </c>
      <c r="AG175">
        <f>IF($V175,IF($O175="","",$O175),IF($P175="","",$P175))</f>
        <v/>
      </c>
      <c r="AH175" t="n">
        <v>0.05985611510444479</v>
      </c>
      <c r="AI175">
        <f>IF($Y175="worse","Yes",IF($Y175="worse, not significant","Not sure",IF(OR($Y175="too few losses to test",$Y175="too few loans to test"),"Too few losses",IF($Y175="","","No"))))</f>
        <v/>
      </c>
      <c r="AJ175">
        <f>IF($AA175="yes","Yes",IF($AA175="","","No"))</f>
        <v/>
      </c>
      <c r="AK175" t="n">
        <v>0.01030125845485346</v>
      </c>
      <c r="AL175" t="n">
        <v>0.00791989470915426</v>
      </c>
      <c r="AM175">
        <f>IF(AND(ISNUMBER($AC175),ISNUMBER(IF($V175,IF($AL175="","",$AL175),IF($AK175="","",$AK175)))),IF(AND(ABS($AC175-significance_bar)&lt;=2.0*IF($V175,IF($AL175="","",$AL175),IF($AK175="","",$AK175)),OR($Y175="worse",$Y175="better",$Y175="worse, not significant",$Y175="better, not significant")),IF(ROUND($AC175,3)=ROUND(significance_bar,3),TEXT($AC175,"0.0000"),TEXT($AC175,"0.000")),""),"")</f>
        <v/>
      </c>
      <c r="AN175">
        <f>IF(AND(ISNUMBER($AC175),ISNUMBER(IF($V175,IF($AL175="","",$AL175),IF($AK175="","",$AK175)))),IF(AND(ABS($AC175-significance_bar)&lt;=2.0*IF($V175,IF($AL175="","",$AL175),IF($AK175="","",$AK175)),OR($Y175="worse",$Y175="worse, not significant")),IF(ROUND($AC175,3)=ROUND(significance_bar,3),TEXT($AC175,"0.0000"),TEXT($AC175,"0.000")),""),"")</f>
        <v/>
      </c>
      <c r="AO175">
        <f>IF(OR($AI175="",$AN175=""),$AI175,$AI175&amp;" · borderline (p "&amp;$AN175&amp;")")</f>
        <v/>
      </c>
    </row>
    <row r="176">
      <c r="A176" t="inlineStr">
        <is>
          <t>grids</t>
        </is>
      </c>
      <c r="B176" t="inlineStr">
        <is>
          <t>SHORT_HIST x CHANNEL</t>
        </is>
      </c>
      <c r="C176" t="inlineStr">
        <is>
          <t>346.0 - 435.0</t>
        </is>
      </c>
      <c r="D176" t="inlineStr">
        <is>
          <t>Online</t>
        </is>
      </c>
      <c r="E176" t="inlineStr">
        <is>
          <t>gco_rate</t>
        </is>
      </c>
      <c r="F176" t="inlineStr">
        <is>
          <t>GCO per booked dollar</t>
        </is>
      </c>
      <c r="G176" t="n">
        <v>531</v>
      </c>
      <c r="H176" t="n">
        <v>17421232.37000001</v>
      </c>
      <c r="I176" t="b">
        <v>0</v>
      </c>
      <c r="J176" t="b">
        <v>0</v>
      </c>
      <c r="K176" t="n">
        <v>0.8039453932702602</v>
      </c>
      <c r="L176" t="n">
        <v>0.5485701429857015</v>
      </c>
      <c r="M176" t="n">
        <v>0.800163403737707</v>
      </c>
      <c r="N176" t="n">
        <v>0.5576109055761092</v>
      </c>
      <c r="O176" t="n">
        <v>-144009.5657213933</v>
      </c>
      <c r="P176" t="n">
        <v>-147481.3755409676</v>
      </c>
      <c r="Q176">
        <f>'_live'!$C$22</f>
        <v/>
      </c>
      <c r="R176" t="inlineStr">
        <is>
          <t>shuffled: 2,705 of 10,000</t>
        </is>
      </c>
      <c r="S176" t="inlineStr">
        <is>
          <t>shuffled: 3,345 of 10,000</t>
        </is>
      </c>
      <c r="T176" t="n">
        <v>0.04216337972658549</v>
      </c>
      <c r="U176" t="n">
        <v>0.04236266584744298</v>
      </c>
      <c r="V176">
        <f>AND(judged_band,NOT($J176))</f>
        <v/>
      </c>
      <c r="W176">
        <f>IF($K176="","",IF($I176,"too few losses to test",IF(AND($K176&gt;better_at,$K176&lt;worse_at),"in line",IF($K176&gt;=worse_at,IF(AND(ISNUMBER($L176),$L176&lt;significance_bar),"worse","worse, not significant"),IF(AND(ISNUMBER($L176),$L176&lt;significance_bar),"better","better, not significant")))))</f>
        <v/>
      </c>
      <c r="X176">
        <f>IF($M176="","",IF($I176,"too few losses to test",IF(AND($M176&gt;better_at,$M176&lt;worse_at),"in line",IF($M176&gt;=worse_at,IF(AND(ISNUMBER($N176),$N176&lt;significance_bar),"worse","worse, not significant"),IF(AND(ISNUMBER($N176),$N176&lt;significance_bar),"better","better, not significant")))))</f>
        <v/>
      </c>
      <c r="Y176">
        <f>IF($V176,$X176,$W176)</f>
        <v/>
      </c>
      <c r="Z176">
        <f>IF($V176,IF($P176="","",$P176),IF($O176="","",$O176))</f>
        <v/>
      </c>
      <c r="AA176">
        <f>IF(OR($Q176="",$Z176=""),"",IF(AND($Z176&gt;0,$Z176&gt;=$Q176),"yes","below the line"))</f>
        <v/>
      </c>
      <c r="AB176">
        <f>IF($V176,IF($M176="","",$M176),IF($K176="","",$K176))</f>
        <v/>
      </c>
      <c r="AC176">
        <f>IF($V176,IF($N176="","",$N176),IF($L176="","",$L176))</f>
        <v/>
      </c>
      <c r="AD176">
        <f>$Y176</f>
        <v/>
      </c>
      <c r="AE176">
        <f>IF($V176,IF($S176="","",$S176),IF($R176="","",$R176))</f>
        <v/>
      </c>
      <c r="AF176">
        <f>IF($V176,IF($U176="","",$U176),IF($T176="","",$T176))</f>
        <v/>
      </c>
      <c r="AG176">
        <f>IF($V176,IF($O176="","",$O176),IF($P176="","",$P176))</f>
        <v/>
      </c>
      <c r="AH176" t="n">
        <v>0.03389705489589308</v>
      </c>
      <c r="AI176">
        <f>IF($Y176="worse","Yes",IF($Y176="worse, not significant","Not sure",IF(OR($Y176="too few losses to test",$Y176="too few loans to test"),"Too few losses",IF($Y176="","","No"))))</f>
        <v/>
      </c>
      <c r="AJ176">
        <f>IF($AA176="yes","Yes",IF($AA176="","","No"))</f>
        <v/>
      </c>
      <c r="AK176" t="n">
        <v>0.008530180633039591</v>
      </c>
      <c r="AL176" t="n">
        <v>0.007863978555897176</v>
      </c>
      <c r="AM176">
        <f>IF(AND(ISNUMBER($AC176),ISNUMBER(IF($V176,IF($AL176="","",$AL176),IF($AK176="","",$AK176)))),IF(AND(ABS($AC176-significance_bar)&lt;=2.0*IF($V176,IF($AL176="","",$AL176),IF($AK176="","",$AK176)),OR($Y176="worse",$Y176="better",$Y176="worse, not significant",$Y176="better, not significant")),IF(ROUND($AC176,3)=ROUND(significance_bar,3),TEXT($AC176,"0.0000"),TEXT($AC176,"0.000")),""),"")</f>
        <v/>
      </c>
      <c r="AN176">
        <f>IF(AND(ISNUMBER($AC176),ISNUMBER(IF($V176,IF($AL176="","",$AL176),IF($AK176="","",$AK176)))),IF(AND(ABS($AC176-significance_bar)&lt;=2.0*IF($V176,IF($AL176="","",$AL176),IF($AK176="","",$AK176)),OR($Y176="worse",$Y176="worse, not significant")),IF(ROUND($AC176,3)=ROUND(significance_bar,3),TEXT($AC176,"0.0000"),TEXT($AC176,"0.000")),""),"")</f>
        <v/>
      </c>
      <c r="AO176">
        <f>IF(OR($AI176="",$AN176=""),$AI176,$AI176&amp;" · borderline (p "&amp;$AN176&amp;")")</f>
        <v/>
      </c>
    </row>
    <row r="177">
      <c r="A177" t="inlineStr">
        <is>
          <t>grids</t>
        </is>
      </c>
      <c r="B177" t="inlineStr">
        <is>
          <t>SHORT_HIST x CHANNEL</t>
        </is>
      </c>
      <c r="C177" t="inlineStr">
        <is>
          <t>346.0 - 435.0</t>
        </is>
      </c>
      <c r="D177" t="inlineStr">
        <is>
          <t>Online</t>
        </is>
      </c>
      <c r="E177" t="inlineStr">
        <is>
          <t>ranr_rate</t>
        </is>
      </c>
      <c r="F177" t="inlineStr">
        <is>
          <t>Profit after losses: RANR per booked dollar</t>
        </is>
      </c>
      <c r="G177" t="n">
        <v>531</v>
      </c>
      <c r="H177" t="n">
        <v>17421232.37000001</v>
      </c>
      <c r="I177" t="b">
        <v>0</v>
      </c>
      <c r="J177" t="b">
        <v>0</v>
      </c>
      <c r="K177" t="n">
        <v>0.009392469449153562</v>
      </c>
      <c r="L177" t="n">
        <v>0.4356850029282786</v>
      </c>
      <c r="M177" t="n">
        <v>0.01687360604846043</v>
      </c>
      <c r="N177" t="n">
        <v>0.2351014898510149</v>
      </c>
      <c r="O177" t="n">
        <v>-163628.3928018301</v>
      </c>
      <c r="P177" t="n">
        <v>-293959.0118900668</v>
      </c>
      <c r="Q177">
        <f>'_live'!$C$23</f>
        <v/>
      </c>
      <c r="R177" t="inlineStr">
        <is>
          <t>shuffled: 3,051 of 10,000</t>
        </is>
      </c>
      <c r="S177" t="inlineStr">
        <is>
          <t>shuffled: 1,044 of 10,000</t>
        </is>
      </c>
      <c r="T177" t="n">
        <v>0.1273559992815922</v>
      </c>
      <c r="U177" t="n">
        <v>0.1198748626822853</v>
      </c>
      <c r="V177">
        <f>AND(judged_band,NOT($J177))</f>
        <v/>
      </c>
      <c r="W177">
        <f>IF($K177="","",IF(profit_kind="test",IF(OR(NOT(AND(ISNUMBER($L177),$L177&lt;significance_bar)),$K177=0),"in line",IF($K177&lt;0,"worse","better")),IF(OR($K177=0,IF(profit_kind="points",ABS($K177),ABS($K177*$H177))&lt;profit_line*(1-1E-9)),"in line",IF(AND(ISNUMBER($L177),$L177&lt;significance_bar),IF($K177&lt;0,"worse","better"),IF($K177&lt;0,"worse, not significant","better, not significant")))))</f>
        <v/>
      </c>
      <c r="X177">
        <f>IF($M177="","",IF(profit_kind="test",IF(OR(NOT(AND(ISNUMBER($N177),$N177&lt;significance_bar)),$M177=0),"in line",IF($M177&lt;0,"worse","better")),IF(OR($M177=0,IF(profit_kind="points",ABS($M177),ABS($M177*$H177))&lt;profit_line*(1-1E-9)),"in line",IF(AND(ISNUMBER($N177),$N177&lt;significance_bar),IF($M177&lt;0,"worse","better"),IF($M177&lt;0,"worse, not significant","better, not significant")))))</f>
        <v/>
      </c>
      <c r="Y177">
        <f>IF($V177,$X177,$W177)</f>
        <v/>
      </c>
      <c r="Z177">
        <f>IF($V177,IF($P177="","",$P177),IF($O177="","",$O177))</f>
        <v/>
      </c>
      <c r="AA177">
        <f>IF(OR($Q177="",$Z177=""),"",IF(AND($Z177&gt;0,$Z177&gt;=$Q177),"yes","below the line"))</f>
        <v/>
      </c>
      <c r="AB177">
        <f>IF($V177,IF($M177="","",$M177),IF($K177="","",$K177))</f>
        <v/>
      </c>
      <c r="AC177">
        <f>IF($V177,IF($N177="","",$N177),IF($L177="","",$L177))</f>
        <v/>
      </c>
      <c r="AD177">
        <f>IF($Y177="","",IF($Y177="in line",IF(profit_kind="test",IF(ROUND($AB177*100,2)=0,"0.00",TEXT($AB177*100,"+0.00;-0.00"))&amp;" points against "&amp;IF($V177,"its band","the book")&amp;", "&amp;IF($AC177="","not tested","not significant"),IF(profit_kind="points","within "&amp;TEXT(profit_line*100,"0.00")&amp;" points of "&amp;IF($V177,"its band","the book")&amp;" ("&amp;IF(ROUND($AB177*100,2)=0,"0.00",TEXT($AB177*100,"+0.00;-0.00"))&amp;")","within $"&amp;TEXT(profit_line,"#,##0")&amp;" of "&amp;IF($V177,"its band","the book")&amp;" ("&amp;IF(ROUND($AB177*100,2)=0,"0.00",TEXT($AB177*100,"+0.00;-0.00"))&amp;" points)")),IF(LEFT($Y177,5)="worse","short of ","ahead of ")&amp;IF($V177,"its band","the book")&amp;" by "&amp;TEXT(ABS($AB177)*100,"0.00")&amp;" points"&amp;IF($Z177="",""," ($"&amp;TEXT(ABS($Z177),"#,##0")&amp;")")&amp;IF(RIGHT($Y177,15)="not significant"," (not significant)","")))</f>
        <v/>
      </c>
      <c r="AE177">
        <f>IF($V177,IF($S177="","",$S177),IF($R177="","",$R177))</f>
        <v/>
      </c>
      <c r="AF177">
        <f>IF($V177,IF($U177="","",$U177),IF($T177="","",$T177))</f>
        <v/>
      </c>
      <c r="AG177">
        <f>IF($V177,IF($O177="","",$O177),IF($P177="","",$P177))</f>
        <v/>
      </c>
      <c r="AH177" t="n">
        <v>0.1367484687307458</v>
      </c>
      <c r="AI177">
        <f>IF($Y177="worse","Yes",IF($Y177="worse, not significant","Not sure",IF(OR($Y177="too few losses to test",$Y177="too few loans to test"),"Too few losses",IF($Y177="","","No"))))</f>
        <v/>
      </c>
      <c r="AJ177">
        <f>IF($AA177="yes","Yes",IF($AA177="","","No"))</f>
        <v/>
      </c>
      <c r="AK177" t="n">
        <v>0.006085597838830168</v>
      </c>
      <c r="AL177" t="n">
        <v>0.006882627707748086</v>
      </c>
      <c r="AM177">
        <f>IF(AND(ISNUMBER($AC177),ISNUMBER(IF($V177,IF($AL177="","",$AL177),IF($AK177="","",$AK177)))),IF(AND(ABS($AC177-significance_bar)&lt;=2.0*IF($V177,IF($AL177="","",$AL177),IF($AK177="","",$AK177)),OR($Y177="worse",$Y177="better",$Y177="worse, not significant",$Y177="better, not significant",AND(profit_kind="test",$Y177="in line",ISNUMBER($AB177),$AB177&lt;&gt;0))),IF(ROUND($AC177,3)=ROUND(significance_bar,3),TEXT($AC177,"0.0000"),TEXT($AC177,"0.000")),""),"")</f>
        <v/>
      </c>
      <c r="AN177">
        <f>IF(AND(ISNUMBER($AC177),ISNUMBER(IF($V177,IF($AL177="","",$AL177),IF($AK177="","",$AK177)))),IF(AND(ABS($AC177-significance_bar)&lt;=2.0*IF($V177,IF($AL177="","",$AL177),IF($AK177="","",$AK177)),OR($Y177="worse",$Y177="worse, not significant",AND(profit_kind="test",$Y177="in line",ISNUMBER($AB177),$AB177&lt;0))),IF(ROUND($AC177,3)=ROUND(significance_bar,3),TEXT($AC177,"0.0000"),TEXT($AC177,"0.000")),""),"")</f>
        <v/>
      </c>
      <c r="AO177">
        <f>IF(OR($AI177="",$AN177=""),$AI177,$AI177&amp;" · borderline (p "&amp;$AN177&amp;")")</f>
        <v/>
      </c>
    </row>
    <row r="178">
      <c r="A178" t="inlineStr">
        <is>
          <t>grids</t>
        </is>
      </c>
      <c r="B178" t="inlineStr">
        <is>
          <t>SHORT_HIST x CHANNEL</t>
        </is>
      </c>
      <c r="C178" t="inlineStr">
        <is>
          <t>346.0 - 435.0</t>
        </is>
      </c>
      <c r="D178" t="inlineStr">
        <is>
          <t>Online</t>
        </is>
      </c>
      <c r="E178" t="inlineStr">
        <is>
          <t>contribution_rate</t>
        </is>
      </c>
      <c r="F178" t="inlineStr">
        <is>
          <t>Contribution before losses per booked dollar</t>
        </is>
      </c>
      <c r="G178" t="n">
        <v>531</v>
      </c>
      <c r="H178" t="n">
        <v>17421232.37000001</v>
      </c>
      <c r="I178" t="b">
        <v>0</v>
      </c>
      <c r="J178" t="b">
        <v>0</v>
      </c>
      <c r="K178" t="n">
        <v>0.001129315465873526</v>
      </c>
      <c r="L178" t="n">
        <v>0.8780121987801219</v>
      </c>
      <c r="M178" t="n">
        <v>0.008407995096910592</v>
      </c>
      <c r="N178" t="n">
        <v>0.3188252603311097</v>
      </c>
      <c r="O178" t="n">
        <v>-19674.06715001725</v>
      </c>
      <c r="P178" t="n">
        <v>-146477.6363491002</v>
      </c>
      <c r="Q178">
        <f>'_live'!$C$24</f>
        <v/>
      </c>
      <c r="R178" t="inlineStr">
        <is>
          <t>shuffled: 8,530 of 10,000</t>
        </is>
      </c>
      <c r="S178" t="inlineStr">
        <is>
          <t>shuffled: 2,346 of 10,000</t>
        </is>
      </c>
      <c r="T178" t="n">
        <v>0.1695162081607653</v>
      </c>
      <c r="U178" t="n">
        <v>0.1622375285297282</v>
      </c>
      <c r="V178">
        <f>AND(judged_band,NOT($J178))</f>
        <v/>
      </c>
      <c r="W178">
        <f>IF($K178="","",IF(profit_kind="test",IF(OR(NOT(AND(ISNUMBER($L178),$L178&lt;significance_bar)),$K178=0),"in line",IF($K178&lt;0,"worse","better")),IF(OR($K178=0,IF(profit_kind="points",ABS($K178),ABS($K178*$H178))&lt;profit_line*(1-1E-9)),"in line",IF(AND(ISNUMBER($L178),$L178&lt;significance_bar),IF($K178&lt;0,"worse","better"),IF($K178&lt;0,"worse, not significant","better, not significant")))))</f>
        <v/>
      </c>
      <c r="X178">
        <f>IF($M178="","",IF(profit_kind="test",IF(OR(NOT(AND(ISNUMBER($N178),$N178&lt;significance_bar)),$M178=0),"in line",IF($M178&lt;0,"worse","better")),IF(OR($M178=0,IF(profit_kind="points",ABS($M178),ABS($M178*$H178))&lt;profit_line*(1-1E-9)),"in line",IF(AND(ISNUMBER($N178),$N178&lt;significance_bar),IF($M178&lt;0,"worse","better"),IF($M178&lt;0,"worse, not significant","better, not significant")))))</f>
        <v/>
      </c>
      <c r="Y178">
        <f>IF($V178,$X178,$W178)</f>
        <v/>
      </c>
      <c r="Z178">
        <f>IF($V178,IF($P178="","",$P178),IF($O178="","",$O178))</f>
        <v/>
      </c>
      <c r="AA178">
        <f>IF(OR($Q178="",$Z178=""),"",IF(AND($Z178&gt;0,$Z178&gt;=$Q178),"yes","below the line"))</f>
        <v/>
      </c>
      <c r="AB178">
        <f>IF($V178,IF($M178="","",$M178),IF($K178="","",$K178))</f>
        <v/>
      </c>
      <c r="AC178">
        <f>IF($V178,IF($N178="","",$N178),IF($L178="","",$L178))</f>
        <v/>
      </c>
      <c r="AD178">
        <f>IF($Y178="","",IF($Y178="in line",IF(profit_kind="test",IF(ROUND($AB178*100,2)=0,"0.00",TEXT($AB178*100,"+0.00;-0.00"))&amp;" points against "&amp;IF($V178,"its band","the book")&amp;", "&amp;IF($AC178="","not tested","not significant"),IF(profit_kind="points","within "&amp;TEXT(profit_line*100,"0.00")&amp;" points of "&amp;IF($V178,"its band","the book")&amp;" ("&amp;IF(ROUND($AB178*100,2)=0,"0.00",TEXT($AB178*100,"+0.00;-0.00"))&amp;")","within $"&amp;TEXT(profit_line,"#,##0")&amp;" of "&amp;IF($V178,"its band","the book")&amp;" ("&amp;IF(ROUND($AB178*100,2)=0,"0.00",TEXT($AB178*100,"+0.00;-0.00"))&amp;" points)")),IF(LEFT($Y178,5)="worse","short of ","ahead of ")&amp;IF($V178,"its band","the book")&amp;" by "&amp;TEXT(ABS($AB178)*100,"0.00")&amp;" points"&amp;IF($Z178="",""," ($"&amp;TEXT(ABS($Z178),"#,##0")&amp;")")&amp;IF(RIGHT($Y178,15)="not significant"," (not significant)","")))</f>
        <v/>
      </c>
      <c r="AE178">
        <f>IF($V178,IF($S178="","",$S178),IF($R178="","",$R178))</f>
        <v/>
      </c>
      <c r="AF178">
        <f>IF($V178,IF($U178="","",$U178),IF($T178="","",$T178))</f>
        <v/>
      </c>
      <c r="AG178">
        <f>IF($V178,IF($O178="","",$O178),IF($P178="","",$P178))</f>
        <v/>
      </c>
      <c r="AH178" t="n">
        <v>0.1706455236266388</v>
      </c>
      <c r="AI178">
        <f>IF($Y178="worse","Yes",IF($Y178="worse, not significant","Not sure",IF(OR($Y178="too few losses to test",$Y178="too few loans to test"),"Too few losses",IF($Y178="","","No"))))</f>
        <v/>
      </c>
      <c r="AJ178">
        <f>IF($AA178="yes","Yes",IF($AA178="","","No"))</f>
        <v/>
      </c>
      <c r="AK178" t="n">
        <v>0.003272717182608628</v>
      </c>
      <c r="AL178" t="n">
        <v>0.005552194568178281</v>
      </c>
      <c r="AM178">
        <f>IF(AND(ISNUMBER($AC178),ISNUMBER(IF($V178,IF($AL178="","",$AL178),IF($AK178="","",$AK178)))),IF(AND(ABS($AC178-significance_bar)&lt;=2.0*IF($V178,IF($AL178="","",$AL178),IF($AK178="","",$AK178)),OR($Y178="worse",$Y178="better",$Y178="worse, not significant",$Y178="better, not significant",AND(profit_kind="test",$Y178="in line",ISNUMBER($AB178),$AB178&lt;&gt;0))),IF(ROUND($AC178,3)=ROUND(significance_bar,3),TEXT($AC178,"0.0000"),TEXT($AC178,"0.000")),""),"")</f>
        <v/>
      </c>
      <c r="AN178">
        <f>IF(AND(ISNUMBER($AC178),ISNUMBER(IF($V178,IF($AL178="","",$AL178),IF($AK178="","",$AK178)))),IF(AND(ABS($AC178-significance_bar)&lt;=2.0*IF($V178,IF($AL178="","",$AL178),IF($AK178="","",$AK178)),OR($Y178="worse",$Y178="worse, not significant",AND(profit_kind="test",$Y178="in line",ISNUMBER($AB178),$AB178&lt;0))),IF(ROUND($AC178,3)=ROUND(significance_bar,3),TEXT($AC178,"0.0000"),TEXT($AC178,"0.000")),""),"")</f>
        <v/>
      </c>
      <c r="AO178">
        <f>IF(OR($AI178="",$AN178=""),$AI178,$AI178&amp;" · borderline (p "&amp;$AN178&amp;")")</f>
        <v/>
      </c>
    </row>
    <row r="179">
      <c r="A179" t="inlineStr">
        <is>
          <t>grids</t>
        </is>
      </c>
      <c r="B179" t="inlineStr">
        <is>
          <t>SHORT_HIST x CHANNEL</t>
        </is>
      </c>
      <c r="C179" t="inlineStr">
        <is>
          <t>(marked missing)</t>
        </is>
      </c>
      <c r="D179" t="inlineStr">
        <is>
          <t>Broker</t>
        </is>
      </c>
      <c r="E179" t="inlineStr">
        <is>
          <t>outcome_loans</t>
        </is>
      </c>
      <c r="F179" t="inlineStr">
        <is>
          <t>Outcome, share of loans</t>
        </is>
      </c>
      <c r="G179" t="n">
        <v>67</v>
      </c>
      <c r="H179" t="n">
        <v>67</v>
      </c>
      <c r="I179" t="b">
        <v>1</v>
      </c>
      <c r="J179" t="b">
        <v>0</v>
      </c>
      <c r="K179" t="n">
        <v>0.7700036403349109</v>
      </c>
      <c r="M179" t="n">
        <v>0.8822553897180763</v>
      </c>
      <c r="O179" t="n">
        <v>-1.194780635400908</v>
      </c>
      <c r="P179" t="n">
        <v>-0.5338345864661651</v>
      </c>
      <c r="Q179">
        <f>'_live'!$C$20</f>
        <v/>
      </c>
      <c r="T179" t="n">
        <v>0.0775340393343419</v>
      </c>
      <c r="U179" t="n">
        <v>0.06766917293233082</v>
      </c>
      <c r="V179">
        <f>AND(judged_band,NOT($J179))</f>
        <v/>
      </c>
      <c r="W179">
        <f>IF($K179="","",IF($I179,"too few losses to test",IF(AND($K179&gt;better_at,$K179&lt;worse_at),"in line",IF($K179&gt;=worse_at,IF(AND(ISNUMBER($L179),$L179&lt;significance_bar),"worse","worse, not significant"),IF(AND(ISNUMBER($L179),$L179&lt;significance_bar),"better","better, not significant")))))</f>
        <v/>
      </c>
      <c r="X179">
        <f>IF($M179="","",IF($I179,"too few losses to test",IF(AND($M179&gt;better_at,$M179&lt;worse_at),"in line",IF($M179&gt;=worse_at,IF(AND(ISNUMBER($N179),$N179&lt;significance_bar),"worse","worse, not significant"),IF(AND(ISNUMBER($N179),$N179&lt;significance_bar),"better","better, not significant")))))</f>
        <v/>
      </c>
      <c r="Y179">
        <f>IF($V179,$X179,$W179)</f>
        <v/>
      </c>
      <c r="Z179">
        <f>IF($V179,IF($P179="","",$P179),IF($O179="","",$O179))</f>
        <v/>
      </c>
      <c r="AA179">
        <f>IF(OR($Q179="",$Z179=""),"",IF(AND($Z179&gt;0,$Z179&gt;=$Q179),"yes","below the line"))</f>
        <v/>
      </c>
      <c r="AB179">
        <f>IF($V179,IF($M179="","",$M179),IF($K179="","",$K179))</f>
        <v/>
      </c>
      <c r="AC179">
        <f>IF($V179,IF($N179="","",$N179),IF($L179="","",$L179))</f>
        <v/>
      </c>
      <c r="AD179">
        <f>$Y179</f>
        <v/>
      </c>
      <c r="AE179">
        <f>IF($V179,IF($S179="","",$S179),IF($R179="","",$R179))</f>
        <v/>
      </c>
      <c r="AF179">
        <f>IF($V179,IF($U179="","",$U179),IF($T179="","",$T179))</f>
        <v/>
      </c>
      <c r="AG179">
        <f>IF($V179,IF($O179="","",$O179),IF($P179="","",$P179))</f>
        <v/>
      </c>
      <c r="AH179" t="n">
        <v>0.05970149253731343</v>
      </c>
      <c r="AI179">
        <f>IF($Y179="worse","Yes",IF($Y179="worse, not significant","Not sure",IF(OR($Y179="too few losses to test",$Y179="too few loans to test"),"Too few losses",IF($Y179="","","No"))))</f>
        <v/>
      </c>
      <c r="AJ179">
        <f>IF($AA179="yes","Yes",IF($AA179="","","No"))</f>
        <v/>
      </c>
      <c r="AM179">
        <f>IF(AND(ISNUMBER($AC179),ISNUMBER(IF($V179,IF($AL179="","",$AL179),IF($AK179="","",$AK179)))),IF(AND(ABS($AC179-significance_bar)&lt;=2.0*IF($V179,IF($AL179="","",$AL179),IF($AK179="","",$AK179)),OR($Y179="worse",$Y179="better",$Y179="worse, not significant",$Y179="better, not significant")),IF(ROUND($AC179,3)=ROUND(significance_bar,3),TEXT($AC179,"0.0000"),TEXT($AC179,"0.000")),""),"")</f>
        <v/>
      </c>
      <c r="AN179">
        <f>IF(AND(ISNUMBER($AC179),ISNUMBER(IF($V179,IF($AL179="","",$AL179),IF($AK179="","",$AK179)))),IF(AND(ABS($AC179-significance_bar)&lt;=2.0*IF($V179,IF($AL179="","",$AL179),IF($AK179="","",$AK179)),OR($Y179="worse",$Y179="worse, not significant")),IF(ROUND($AC179,3)=ROUND(significance_bar,3),TEXT($AC179,"0.0000"),TEXT($AC179,"0.000")),""),"")</f>
        <v/>
      </c>
      <c r="AO179">
        <f>IF(OR($AI179="",$AN179=""),$AI179,$AI179&amp;" · borderline (p "&amp;$AN179&amp;")")</f>
        <v/>
      </c>
    </row>
    <row r="180">
      <c r="A180" t="inlineStr">
        <is>
          <t>grids</t>
        </is>
      </c>
      <c r="B180" t="inlineStr">
        <is>
          <t>SHORT_HIST x CHANNEL</t>
        </is>
      </c>
      <c r="C180" t="inlineStr">
        <is>
          <t>(marked missing)</t>
        </is>
      </c>
      <c r="D180" t="inlineStr">
        <is>
          <t>Broker</t>
        </is>
      </c>
      <c r="E180" t="inlineStr">
        <is>
          <t>outcome_booked</t>
        </is>
      </c>
      <c r="F180" t="inlineStr">
        <is>
          <t>Outcome, share of booked dollars</t>
        </is>
      </c>
      <c r="G180" t="n">
        <v>67</v>
      </c>
      <c r="H180" t="n">
        <v>2195269.93</v>
      </c>
      <c r="I180" t="b">
        <v>1</v>
      </c>
      <c r="J180" t="b">
        <v>0</v>
      </c>
      <c r="K180" t="n">
        <v>0.7202785879887054</v>
      </c>
      <c r="M180" t="n">
        <v>0.6833073821275776</v>
      </c>
      <c r="O180" t="n">
        <v>-46059.32681151004</v>
      </c>
      <c r="P180" t="n">
        <v>-54968.54053766695</v>
      </c>
      <c r="Q180">
        <f>'_live'!$C$21</f>
        <v/>
      </c>
      <c r="T180" t="n">
        <v>0.07500737133110098</v>
      </c>
      <c r="U180" t="n">
        <v>0.07906573955471023</v>
      </c>
      <c r="V180">
        <f>AND(judged_band,NOT($J180))</f>
        <v/>
      </c>
      <c r="W180">
        <f>IF($K180="","",IF($I180,"too few losses to test",IF(AND($K180&gt;better_at,$K180&lt;worse_at),"in line",IF($K180&gt;=worse_at,IF(AND(ISNUMBER($L180),$L180&lt;significance_bar),"worse","worse, not significant"),IF(AND(ISNUMBER($L180),$L180&lt;significance_bar),"better","better, not significant")))))</f>
        <v/>
      </c>
      <c r="X180">
        <f>IF($M180="","",IF($I180,"too few losses to test",IF(AND($M180&gt;better_at,$M180&lt;worse_at),"in line",IF($M180&gt;=worse_at,IF(AND(ISNUMBER($N180),$N180&lt;significance_bar),"worse","worse, not significant"),IF(AND(ISNUMBER($N180),$N180&lt;significance_bar),"better","better, not significant")))))</f>
        <v/>
      </c>
      <c r="Y180">
        <f>IF($V180,$X180,$W180)</f>
        <v/>
      </c>
      <c r="Z180">
        <f>IF($V180,IF($P180="","",$P180),IF($O180="","",$O180))</f>
        <v/>
      </c>
      <c r="AA180">
        <f>IF(OR($Q180="",$Z180=""),"",IF(AND($Z180&gt;0,$Z180&gt;=$Q180),"yes","below the line"))</f>
        <v/>
      </c>
      <c r="AB180">
        <f>IF($V180,IF($M180="","",$M180),IF($K180="","",$K180))</f>
        <v/>
      </c>
      <c r="AC180">
        <f>IF($V180,IF($N180="","",$N180),IF($L180="","",$L180))</f>
        <v/>
      </c>
      <c r="AD180">
        <f>$Y180</f>
        <v/>
      </c>
      <c r="AE180">
        <f>IF($V180,IF($S180="","",$S180),IF($R180="","",$R180))</f>
        <v/>
      </c>
      <c r="AF180">
        <f>IF($V180,IF($U180="","",$U180),IF($T180="","",$T180))</f>
        <v/>
      </c>
      <c r="AG180">
        <f>IF($V180,IF($O180="","",$O180),IF($P180="","",$P180))</f>
        <v/>
      </c>
      <c r="AH180" t="n">
        <v>0.05402620351110991</v>
      </c>
      <c r="AI180">
        <f>IF($Y180="worse","Yes",IF($Y180="worse, not significant","Not sure",IF(OR($Y180="too few losses to test",$Y180="too few loans to test"),"Too few losses",IF($Y180="","","No"))))</f>
        <v/>
      </c>
      <c r="AJ180">
        <f>IF($AA180="yes","Yes",IF($AA180="","","No"))</f>
        <v/>
      </c>
      <c r="AM180">
        <f>IF(AND(ISNUMBER($AC180),ISNUMBER(IF($V180,IF($AL180="","",$AL180),IF($AK180="","",$AK180)))),IF(AND(ABS($AC180-significance_bar)&lt;=2.0*IF($V180,IF($AL180="","",$AL180),IF($AK180="","",$AK180)),OR($Y180="worse",$Y180="better",$Y180="worse, not significant",$Y180="better, not significant")),IF(ROUND($AC180,3)=ROUND(significance_bar,3),TEXT($AC180,"0.0000"),TEXT($AC180,"0.000")),""),"")</f>
        <v/>
      </c>
      <c r="AN180">
        <f>IF(AND(ISNUMBER($AC180),ISNUMBER(IF($V180,IF($AL180="","",$AL180),IF($AK180="","",$AK180)))),IF(AND(ABS($AC180-significance_bar)&lt;=2.0*IF($V180,IF($AL180="","",$AL180),IF($AK180="","",$AK180)),OR($Y180="worse",$Y180="worse, not significant")),IF(ROUND($AC180,3)=ROUND(significance_bar,3),TEXT($AC180,"0.0000"),TEXT($AC180,"0.000")),""),"")</f>
        <v/>
      </c>
      <c r="AO180">
        <f>IF(OR($AI180="",$AN180=""),$AI180,$AI180&amp;" · borderline (p "&amp;$AN180&amp;")")</f>
        <v/>
      </c>
    </row>
    <row r="181">
      <c r="A181" t="inlineStr">
        <is>
          <t>grids</t>
        </is>
      </c>
      <c r="B181" t="inlineStr">
        <is>
          <t>SHORT_HIST x CHANNEL</t>
        </is>
      </c>
      <c r="C181" t="inlineStr">
        <is>
          <t>(marked missing)</t>
        </is>
      </c>
      <c r="D181" t="inlineStr">
        <is>
          <t>Broker</t>
        </is>
      </c>
      <c r="E181" t="inlineStr">
        <is>
          <t>gco_rate</t>
        </is>
      </c>
      <c r="F181" t="inlineStr">
        <is>
          <t>GCO per booked dollar</t>
        </is>
      </c>
      <c r="G181" t="n">
        <v>67</v>
      </c>
      <c r="H181" t="n">
        <v>2195269.93</v>
      </c>
      <c r="I181" t="b">
        <v>1</v>
      </c>
      <c r="J181" t="b">
        <v>0</v>
      </c>
      <c r="K181" t="n">
        <v>0.6472718159216952</v>
      </c>
      <c r="M181" t="n">
        <v>0.581115281881307</v>
      </c>
      <c r="O181" t="n">
        <v>-32313.32482789175</v>
      </c>
      <c r="P181" t="n">
        <v>-42742.54729861352</v>
      </c>
      <c r="Q181">
        <f>'_live'!$C$22</f>
        <v/>
      </c>
      <c r="T181" t="n">
        <v>0.04173049681771561</v>
      </c>
      <c r="U181" t="n">
        <v>0.04648126679283287</v>
      </c>
      <c r="V181">
        <f>AND(judged_band,NOT($J181))</f>
        <v/>
      </c>
      <c r="W181">
        <f>IF($K181="","",IF($I181,"too few losses to test",IF(AND($K181&gt;better_at,$K181&lt;worse_at),"in line",IF($K181&gt;=worse_at,IF(AND(ISNUMBER($L181),$L181&lt;significance_bar),"worse","worse, not significant"),IF(AND(ISNUMBER($L181),$L181&lt;significance_bar),"better","better, not significant")))))</f>
        <v/>
      </c>
      <c r="X181">
        <f>IF($M181="","",IF($I181,"too few losses to test",IF(AND($M181&gt;better_at,$M181&lt;worse_at),"in line",IF($M181&gt;=worse_at,IF(AND(ISNUMBER($N181),$N181&lt;significance_bar),"worse","worse, not significant"),IF(AND(ISNUMBER($N181),$N181&lt;significance_bar),"better","better, not significant")))))</f>
        <v/>
      </c>
      <c r="Y181">
        <f>IF($V181,$X181,$W181)</f>
        <v/>
      </c>
      <c r="Z181">
        <f>IF($V181,IF($P181="","",$P181),IF($O181="","",$O181))</f>
        <v/>
      </c>
      <c r="AA181">
        <f>IF(OR($Q181="",$Z181=""),"",IF(AND($Z181&gt;0,$Z181&gt;=$Q181),"yes","below the line"))</f>
        <v/>
      </c>
      <c r="AB181">
        <f>IF($V181,IF($M181="","",$M181),IF($K181="","",$K181))</f>
        <v/>
      </c>
      <c r="AC181">
        <f>IF($V181,IF($N181="","",$N181),IF($L181="","",$L181))</f>
        <v/>
      </c>
      <c r="AD181">
        <f>$Y181</f>
        <v/>
      </c>
      <c r="AE181">
        <f>IF($V181,IF($S181="","",$S181),IF($R181="","",$R181))</f>
        <v/>
      </c>
      <c r="AF181">
        <f>IF($V181,IF($U181="","",$U181),IF($T181="","",$T181))</f>
        <v/>
      </c>
      <c r="AG181">
        <f>IF($V181,IF($O181="","",$O181),IF($P181="","",$P181))</f>
        <v/>
      </c>
      <c r="AH181" t="n">
        <v>0.02701097445451731</v>
      </c>
      <c r="AI181">
        <f>IF($Y181="worse","Yes",IF($Y181="worse, not significant","Not sure",IF(OR($Y181="too few losses to test",$Y181="too few loans to test"),"Too few losses",IF($Y181="","","No"))))</f>
        <v/>
      </c>
      <c r="AJ181">
        <f>IF($AA181="yes","Yes",IF($AA181="","","No"))</f>
        <v/>
      </c>
      <c r="AM181">
        <f>IF(AND(ISNUMBER($AC181),ISNUMBER(IF($V181,IF($AL181="","",$AL181),IF($AK181="","",$AK181)))),IF(AND(ABS($AC181-significance_bar)&lt;=2.0*IF($V181,IF($AL181="","",$AL181),IF($AK181="","",$AK181)),OR($Y181="worse",$Y181="better",$Y181="worse, not significant",$Y181="better, not significant")),IF(ROUND($AC181,3)=ROUND(significance_bar,3),TEXT($AC181,"0.0000"),TEXT($AC181,"0.000")),""),"")</f>
        <v/>
      </c>
      <c r="AN181">
        <f>IF(AND(ISNUMBER($AC181),ISNUMBER(IF($V181,IF($AL181="","",$AL181),IF($AK181="","",$AK181)))),IF(AND(ABS($AC181-significance_bar)&lt;=2.0*IF($V181,IF($AL181="","",$AL181),IF($AK181="","",$AK181)),OR($Y181="worse",$Y181="worse, not significant")),IF(ROUND($AC181,3)=ROUND(significance_bar,3),TEXT($AC181,"0.0000"),TEXT($AC181,"0.000")),""),"")</f>
        <v/>
      </c>
      <c r="AO181">
        <f>IF(OR($AI181="",$AN181=""),$AI181,$AI181&amp;" · borderline (p "&amp;$AN181&amp;")")</f>
        <v/>
      </c>
    </row>
    <row r="182">
      <c r="A182" t="inlineStr">
        <is>
          <t>grids</t>
        </is>
      </c>
      <c r="B182" t="inlineStr">
        <is>
          <t>SHORT_HIST x CHANNEL</t>
        </is>
      </c>
      <c r="C182" t="inlineStr">
        <is>
          <t>(marked missing)</t>
        </is>
      </c>
      <c r="D182" t="inlineStr">
        <is>
          <t>Broker</t>
        </is>
      </c>
      <c r="E182" t="inlineStr">
        <is>
          <t>ranr_rate</t>
        </is>
      </c>
      <c r="F182" t="inlineStr">
        <is>
          <t>Profit after losses: RANR per booked dollar</t>
        </is>
      </c>
      <c r="G182" t="n">
        <v>67</v>
      </c>
      <c r="H182" t="n">
        <v>2195269.93</v>
      </c>
      <c r="I182" t="b">
        <v>0</v>
      </c>
      <c r="J182" t="b">
        <v>0</v>
      </c>
      <c r="K182" t="n">
        <v>-0.02353142366226166</v>
      </c>
      <c r="L182" t="n">
        <v>0.4356850029282786</v>
      </c>
      <c r="M182" t="n">
        <v>-0.03964976535284065</v>
      </c>
      <c r="N182" t="n">
        <v>0.3068693130686931</v>
      </c>
      <c r="O182" t="n">
        <v>51657.82677585346</v>
      </c>
      <c r="P182" t="n">
        <v>87041.93761064688</v>
      </c>
      <c r="Q182">
        <f>'_live'!$C$23</f>
        <v/>
      </c>
      <c r="R182" t="inlineStr">
        <is>
          <t>shuffled: 3,388 of 10,000</t>
        </is>
      </c>
      <c r="S182" t="inlineStr">
        <is>
          <t>shuffled: 2,386 of 10,000</t>
        </is>
      </c>
      <c r="T182" t="n">
        <v>0.1281902206786268</v>
      </c>
      <c r="U182" t="n">
        <v>0.1443085623692058</v>
      </c>
      <c r="V182">
        <f>AND(judged_band,NOT($J182))</f>
        <v/>
      </c>
      <c r="W182">
        <f>IF($K182="","",IF(profit_kind="test",IF(OR(NOT(AND(ISNUMBER($L182),$L182&lt;significance_bar)),$K182=0),"in line",IF($K182&lt;0,"worse","better")),IF(OR($K182=0,IF(profit_kind="points",ABS($K182),ABS($K182*$H182))&lt;profit_line*(1-1E-9)),"in line",IF(AND(ISNUMBER($L182),$L182&lt;significance_bar),IF($K182&lt;0,"worse","better"),IF($K182&lt;0,"worse, not significant","better, not significant")))))</f>
        <v/>
      </c>
      <c r="X182">
        <f>IF($M182="","",IF(profit_kind="test",IF(OR(NOT(AND(ISNUMBER($N182),$N182&lt;significance_bar)),$M182=0),"in line",IF($M182&lt;0,"worse","better")),IF(OR($M182=0,IF(profit_kind="points",ABS($M182),ABS($M182*$H182))&lt;profit_line*(1-1E-9)),"in line",IF(AND(ISNUMBER($N182),$N182&lt;significance_bar),IF($M182&lt;0,"worse","better"),IF($M182&lt;0,"worse, not significant","better, not significant")))))</f>
        <v/>
      </c>
      <c r="Y182">
        <f>IF($V182,$X182,$W182)</f>
        <v/>
      </c>
      <c r="Z182">
        <f>IF($V182,IF($P182="","",$P182),IF($O182="","",$O182))</f>
        <v/>
      </c>
      <c r="AA182">
        <f>IF(OR($Q182="",$Z182=""),"",IF(AND($Z182&gt;0,$Z182&gt;=$Q182),"yes","below the line"))</f>
        <v/>
      </c>
      <c r="AB182">
        <f>IF($V182,IF($M182="","",$M182),IF($K182="","",$K182))</f>
        <v/>
      </c>
      <c r="AC182">
        <f>IF($V182,IF($N182="","",$N182),IF($L182="","",$L182))</f>
        <v/>
      </c>
      <c r="AD182">
        <f>IF($Y182="","",IF($Y182="in line",IF(profit_kind="test",IF(ROUND($AB182*100,2)=0,"0.00",TEXT($AB182*100,"+0.00;-0.00"))&amp;" points against "&amp;IF($V182,"its band","the book")&amp;", "&amp;IF($AC182="","not tested","not significant"),IF(profit_kind="points","within "&amp;TEXT(profit_line*100,"0.00")&amp;" points of "&amp;IF($V182,"its band","the book")&amp;" ("&amp;IF(ROUND($AB182*100,2)=0,"0.00",TEXT($AB182*100,"+0.00;-0.00"))&amp;")","within $"&amp;TEXT(profit_line,"#,##0")&amp;" of "&amp;IF($V182,"its band","the book")&amp;" ("&amp;IF(ROUND($AB182*100,2)=0,"0.00",TEXT($AB182*100,"+0.00;-0.00"))&amp;" points)")),IF(LEFT($Y182,5)="worse","short of ","ahead of ")&amp;IF($V182,"its band","the book")&amp;" by "&amp;TEXT(ABS($AB182)*100,"0.00")&amp;" points"&amp;IF($Z182="",""," ($"&amp;TEXT(ABS($Z182),"#,##0")&amp;")")&amp;IF(RIGHT($Y182,15)="not significant"," (not significant)","")))</f>
        <v/>
      </c>
      <c r="AE182">
        <f>IF($V182,IF($S182="","",$S182),IF($R182="","",$R182))</f>
        <v/>
      </c>
      <c r="AF182">
        <f>IF($V182,IF($U182="","",$U182),IF($T182="","",$T182))</f>
        <v/>
      </c>
      <c r="AG182">
        <f>IF($V182,IF($O182="","",$O182),IF($P182="","",$P182))</f>
        <v/>
      </c>
      <c r="AH182" t="n">
        <v>0.1046587970163651</v>
      </c>
      <c r="AI182">
        <f>IF($Y182="worse","Yes",IF($Y182="worse, not significant","Not sure",IF(OR($Y182="too few losses to test",$Y182="too few loans to test"),"Too few losses",IF($Y182="","","No"))))</f>
        <v/>
      </c>
      <c r="AJ182">
        <f>IF($AA182="yes","Yes",IF($AA182="","","No"))</f>
        <v/>
      </c>
      <c r="AK182" t="n">
        <v>0.006085597838830168</v>
      </c>
      <c r="AL182" t="n">
        <v>0.005480670436693824</v>
      </c>
      <c r="AM182">
        <f>IF(AND(ISNUMBER($AC182),ISNUMBER(IF($V182,IF($AL182="","",$AL182),IF($AK182="","",$AK182)))),IF(AND(ABS($AC182-significance_bar)&lt;=2.0*IF($V182,IF($AL182="","",$AL182),IF($AK182="","",$AK182)),OR($Y182="worse",$Y182="better",$Y182="worse, not significant",$Y182="better, not significant",AND(profit_kind="test",$Y182="in line",ISNUMBER($AB182),$AB182&lt;&gt;0))),IF(ROUND($AC182,3)=ROUND(significance_bar,3),TEXT($AC182,"0.0000"),TEXT($AC182,"0.000")),""),"")</f>
        <v/>
      </c>
      <c r="AN182">
        <f>IF(AND(ISNUMBER($AC182),ISNUMBER(IF($V182,IF($AL182="","",$AL182),IF($AK182="","",$AK182)))),IF(AND(ABS($AC182-significance_bar)&lt;=2.0*IF($V182,IF($AL182="","",$AL182),IF($AK182="","",$AK182)),OR($Y182="worse",$Y182="worse, not significant",AND(profit_kind="test",$Y182="in line",ISNUMBER($AB182),$AB182&lt;0))),IF(ROUND($AC182,3)=ROUND(significance_bar,3),TEXT($AC182,"0.0000"),TEXT($AC182,"0.000")),""),"")</f>
        <v/>
      </c>
      <c r="AO182">
        <f>IF(OR($AI182="",$AN182=""),$AI182,$AI182&amp;" · borderline (p "&amp;$AN182&amp;")")</f>
        <v/>
      </c>
    </row>
    <row r="183">
      <c r="A183" t="inlineStr">
        <is>
          <t>grids</t>
        </is>
      </c>
      <c r="B183" t="inlineStr">
        <is>
          <t>SHORT_HIST x CHANNEL</t>
        </is>
      </c>
      <c r="C183" t="inlineStr">
        <is>
          <t>(marked missing)</t>
        </is>
      </c>
      <c r="D183" t="inlineStr">
        <is>
          <t>Broker</t>
        </is>
      </c>
      <c r="E183" t="inlineStr">
        <is>
          <t>contribution_rate</t>
        </is>
      </c>
      <c r="F183" t="inlineStr">
        <is>
          <t>Contribution before losses per booked dollar</t>
        </is>
      </c>
      <c r="G183" t="n">
        <v>67</v>
      </c>
      <c r="H183" t="n">
        <v>2195269.93</v>
      </c>
      <c r="I183" t="b">
        <v>0</v>
      </c>
      <c r="J183" t="b">
        <v>0</v>
      </c>
      <c r="K183" t="n">
        <v>-0.03824809329434931</v>
      </c>
      <c r="L183" t="n">
        <v>0.0554944505549445</v>
      </c>
      <c r="M183" t="n">
        <v>-0.05912005769115625</v>
      </c>
      <c r="N183" t="n">
        <v>0.0188981101889811</v>
      </c>
      <c r="O183" t="n">
        <v>83964.88908891962</v>
      </c>
      <c r="P183" t="n">
        <v>129784.4849092605</v>
      </c>
      <c r="Q183">
        <f>'_live'!$C$24</f>
        <v/>
      </c>
      <c r="R183" t="inlineStr">
        <is>
          <t>shuffled: 184 of 10,000</t>
        </is>
      </c>
      <c r="S183" t="inlineStr">
        <is>
          <t>shuffled: 62 of 10,000</t>
        </is>
      </c>
      <c r="T183" t="n">
        <v>0.1699178647652317</v>
      </c>
      <c r="U183" t="n">
        <v>0.1907898291620387</v>
      </c>
      <c r="V183">
        <f>AND(judged_band,NOT($J183))</f>
        <v/>
      </c>
      <c r="W183">
        <f>IF($K183="","",IF(profit_kind="test",IF(OR(NOT(AND(ISNUMBER($L183),$L183&lt;significance_bar)),$K183=0),"in line",IF($K183&lt;0,"worse","better")),IF(OR($K183=0,IF(profit_kind="points",ABS($K183),ABS($K183*$H183))&lt;profit_line*(1-1E-9)),"in line",IF(AND(ISNUMBER($L183),$L183&lt;significance_bar),IF($K183&lt;0,"worse","better"),IF($K183&lt;0,"worse, not significant","better, not significant")))))</f>
        <v/>
      </c>
      <c r="X183">
        <f>IF($M183="","",IF(profit_kind="test",IF(OR(NOT(AND(ISNUMBER($N183),$N183&lt;significance_bar)),$M183=0),"in line",IF($M183&lt;0,"worse","better")),IF(OR($M183=0,IF(profit_kind="points",ABS($M183),ABS($M183*$H183))&lt;profit_line*(1-1E-9)),"in line",IF(AND(ISNUMBER($N183),$N183&lt;significance_bar),IF($M183&lt;0,"worse","better"),IF($M183&lt;0,"worse, not significant","better, not significant")))))</f>
        <v/>
      </c>
      <c r="Y183">
        <f>IF($V183,$X183,$W183)</f>
        <v/>
      </c>
      <c r="Z183">
        <f>IF($V183,IF($P183="","",$P183),IF($O183="","",$O183))</f>
        <v/>
      </c>
      <c r="AA183">
        <f>IF(OR($Q183="",$Z183=""),"",IF(AND($Z183&gt;0,$Z183&gt;=$Q183),"yes","below the line"))</f>
        <v/>
      </c>
      <c r="AB183">
        <f>IF($V183,IF($M183="","",$M183),IF($K183="","",$K183))</f>
        <v/>
      </c>
      <c r="AC183">
        <f>IF($V183,IF($N183="","",$N183),IF($L183="","",$L183))</f>
        <v/>
      </c>
      <c r="AD183">
        <f>IF($Y183="","",IF($Y183="in line",IF(profit_kind="test",IF(ROUND($AB183*100,2)=0,"0.00",TEXT($AB183*100,"+0.00;-0.00"))&amp;" points against "&amp;IF($V183,"its band","the book")&amp;", "&amp;IF($AC183="","not tested","not significant"),IF(profit_kind="points","within "&amp;TEXT(profit_line*100,"0.00")&amp;" points of "&amp;IF($V183,"its band","the book")&amp;" ("&amp;IF(ROUND($AB183*100,2)=0,"0.00",TEXT($AB183*100,"+0.00;-0.00"))&amp;")","within $"&amp;TEXT(profit_line,"#,##0")&amp;" of "&amp;IF($V183,"its band","the book")&amp;" ("&amp;IF(ROUND($AB183*100,2)=0,"0.00",TEXT($AB183*100,"+0.00;-0.00"))&amp;" points)")),IF(LEFT($Y183,5)="worse","short of ","ahead of ")&amp;IF($V183,"its band","the book")&amp;" by "&amp;TEXT(ABS($AB183)*100,"0.00")&amp;" points"&amp;IF($Z183="",""," ($"&amp;TEXT(ABS($Z183),"#,##0")&amp;")")&amp;IF(RIGHT($Y183,15)="not significant"," (not significant)","")))</f>
        <v/>
      </c>
      <c r="AE183">
        <f>IF($V183,IF($S183="","",$S183),IF($R183="","",$R183))</f>
        <v/>
      </c>
      <c r="AF183">
        <f>IF($V183,IF($U183="","",$U183),IF($T183="","",$T183))</f>
        <v/>
      </c>
      <c r="AG183">
        <f>IF($V183,IF($O183="","",$O183),IF($P183="","",$P183))</f>
        <v/>
      </c>
      <c r="AH183" t="n">
        <v>0.1316697714708824</v>
      </c>
      <c r="AI183">
        <f>IF($Y183="worse","Yes",IF($Y183="worse, not significant","Not sure",IF(OR($Y183="too few losses to test",$Y183="too few loans to test"),"Too few losses",IF($Y183="","","No"))))</f>
        <v/>
      </c>
      <c r="AJ183">
        <f>IF($AA183="yes","Yes",IF($AA183="","","No"))</f>
        <v/>
      </c>
      <c r="AK183" t="n">
        <v>0.004042322570286027</v>
      </c>
      <c r="AL183" t="n">
        <v>0.002373545702071659</v>
      </c>
      <c r="AM183">
        <f>IF(AND(ISNUMBER($AC183),ISNUMBER(IF($V183,IF($AL183="","",$AL183),IF($AK183="","",$AK183)))),IF(AND(ABS($AC183-significance_bar)&lt;=2.0*IF($V183,IF($AL183="","",$AL183),IF($AK183="","",$AK183)),OR($Y183="worse",$Y183="better",$Y183="worse, not significant",$Y183="better, not significant",AND(profit_kind="test",$Y183="in line",ISNUMBER($AB183),$AB183&lt;&gt;0))),IF(ROUND($AC183,3)=ROUND(significance_bar,3),TEXT($AC183,"0.0000"),TEXT($AC183,"0.000")),""),"")</f>
        <v/>
      </c>
      <c r="AN183">
        <f>IF(AND(ISNUMBER($AC183),ISNUMBER(IF($V183,IF($AL183="","",$AL183),IF($AK183="","",$AK183)))),IF(AND(ABS($AC183-significance_bar)&lt;=2.0*IF($V183,IF($AL183="","",$AL183),IF($AK183="","",$AK183)),OR($Y183="worse",$Y183="worse, not significant",AND(profit_kind="test",$Y183="in line",ISNUMBER($AB183),$AB183&lt;0))),IF(ROUND($AC183,3)=ROUND(significance_bar,3),TEXT($AC183,"0.0000"),TEXT($AC183,"0.000")),""),"")</f>
        <v/>
      </c>
      <c r="AO183">
        <f>IF(OR($AI183="",$AN183=""),$AI183,$AI183&amp;" · borderline (p "&amp;$AN183&amp;")")</f>
        <v/>
      </c>
    </row>
    <row r="184">
      <c r="A184" t="inlineStr">
        <is>
          <t>grids</t>
        </is>
      </c>
      <c r="B184" t="inlineStr">
        <is>
          <t>SHORT_HIST x CHANNEL</t>
        </is>
      </c>
      <c r="C184" t="inlineStr">
        <is>
          <t>(marked missing)</t>
        </is>
      </c>
      <c r="D184" t="inlineStr">
        <is>
          <t>Branch</t>
        </is>
      </c>
      <c r="E184" t="inlineStr">
        <is>
          <t>outcome_loans</t>
        </is>
      </c>
      <c r="F184" t="inlineStr">
        <is>
          <t>Outcome, share of loans</t>
        </is>
      </c>
      <c r="G184" t="n">
        <v>72</v>
      </c>
      <c r="H184" t="n">
        <v>72</v>
      </c>
      <c r="I184" t="b">
        <v>1</v>
      </c>
      <c r="J184" t="b">
        <v>0</v>
      </c>
      <c r="K184" t="n">
        <v>1.077623708537248</v>
      </c>
      <c r="M184" t="n">
        <v>1.523809523809524</v>
      </c>
      <c r="O184" t="n">
        <v>0.4321937681342245</v>
      </c>
      <c r="P184" t="n">
        <v>2.0625</v>
      </c>
      <c r="Q184">
        <f>'_live'!$C$20</f>
        <v/>
      </c>
      <c r="T184" t="n">
        <v>0.07733064210924688</v>
      </c>
      <c r="U184" t="n">
        <v>0.0546875</v>
      </c>
      <c r="V184">
        <f>AND(judged_band,NOT($J184))</f>
        <v/>
      </c>
      <c r="W184">
        <f>IF($K184="","",IF($I184,"too few losses to test",IF(AND($K184&gt;better_at,$K184&lt;worse_at),"in line",IF($K184&gt;=worse_at,IF(AND(ISNUMBER($L184),$L184&lt;significance_bar),"worse","worse, not significant"),IF(AND(ISNUMBER($L184),$L184&lt;significance_bar),"better","better, not significant")))))</f>
        <v/>
      </c>
      <c r="X184">
        <f>IF($M184="","",IF($I184,"too few losses to test",IF(AND($M184&gt;better_at,$M184&lt;worse_at),"in line",IF($M184&gt;=worse_at,IF(AND(ISNUMBER($N184),$N184&lt;significance_bar),"worse","worse, not significant"),IF(AND(ISNUMBER($N184),$N184&lt;significance_bar),"better","better, not significant")))))</f>
        <v/>
      </c>
      <c r="Y184">
        <f>IF($V184,$X184,$W184)</f>
        <v/>
      </c>
      <c r="Z184">
        <f>IF($V184,IF($P184="","",$P184),IF($O184="","",$O184))</f>
        <v/>
      </c>
      <c r="AA184">
        <f>IF(OR($Q184="",$Z184=""),"",IF(AND($Z184&gt;0,$Z184&gt;=$Q184),"yes","below the line"))</f>
        <v/>
      </c>
      <c r="AB184">
        <f>IF($V184,IF($M184="","",$M184),IF($K184="","",$K184))</f>
        <v/>
      </c>
      <c r="AC184">
        <f>IF($V184,IF($N184="","",$N184),IF($L184="","",$L184))</f>
        <v/>
      </c>
      <c r="AD184">
        <f>$Y184</f>
        <v/>
      </c>
      <c r="AE184">
        <f>IF($V184,IF($S184="","",$S184),IF($R184="","",$R184))</f>
        <v/>
      </c>
      <c r="AF184">
        <f>IF($V184,IF($U184="","",$U184),IF($T184="","",$T184))</f>
        <v/>
      </c>
      <c r="AG184">
        <f>IF($V184,IF($O184="","",$O184),IF($P184="","",$P184))</f>
        <v/>
      </c>
      <c r="AH184" t="n">
        <v>0.08333333333333333</v>
      </c>
      <c r="AI184">
        <f>IF($Y184="worse","Yes",IF($Y184="worse, not significant","Not sure",IF(OR($Y184="too few losses to test",$Y184="too few loans to test"),"Too few losses",IF($Y184="","","No"))))</f>
        <v/>
      </c>
      <c r="AJ184">
        <f>IF($AA184="yes","Yes",IF($AA184="","","No"))</f>
        <v/>
      </c>
      <c r="AM184">
        <f>IF(AND(ISNUMBER($AC184),ISNUMBER(IF($V184,IF($AL184="","",$AL184),IF($AK184="","",$AK184)))),IF(AND(ABS($AC184-significance_bar)&lt;=2.0*IF($V184,IF($AL184="","",$AL184),IF($AK184="","",$AK184)),OR($Y184="worse",$Y184="better",$Y184="worse, not significant",$Y184="better, not significant")),IF(ROUND($AC184,3)=ROUND(significance_bar,3),TEXT($AC184,"0.0000"),TEXT($AC184,"0.000")),""),"")</f>
        <v/>
      </c>
      <c r="AN184">
        <f>IF(AND(ISNUMBER($AC184),ISNUMBER(IF($V184,IF($AL184="","",$AL184),IF($AK184="","",$AK184)))),IF(AND(ABS($AC184-significance_bar)&lt;=2.0*IF($V184,IF($AL184="","",$AL184),IF($AK184="","",$AK184)),OR($Y184="worse",$Y184="worse, not significant")),IF(ROUND($AC184,3)=ROUND(significance_bar,3),TEXT($AC184,"0.0000"),TEXT($AC184,"0.000")),""),"")</f>
        <v/>
      </c>
      <c r="AO184">
        <f>IF(OR($AI184="",$AN184=""),$AI184,$AI184&amp;" · borderline (p "&amp;$AN184&amp;")")</f>
        <v/>
      </c>
    </row>
    <row r="185">
      <c r="A185" t="inlineStr">
        <is>
          <t>grids</t>
        </is>
      </c>
      <c r="B185" t="inlineStr">
        <is>
          <t>SHORT_HIST x CHANNEL</t>
        </is>
      </c>
      <c r="C185" t="inlineStr">
        <is>
          <t>(marked missing)</t>
        </is>
      </c>
      <c r="D185" t="inlineStr">
        <is>
          <t>Branch</t>
        </is>
      </c>
      <c r="E185" t="inlineStr">
        <is>
          <t>outcome_booked</t>
        </is>
      </c>
      <c r="F185" t="inlineStr">
        <is>
          <t>Outcome, share of booked dollars</t>
        </is>
      </c>
      <c r="G185" t="n">
        <v>72</v>
      </c>
      <c r="H185" t="n">
        <v>2473609.29</v>
      </c>
      <c r="I185" t="b">
        <v>1</v>
      </c>
      <c r="J185" t="b">
        <v>0</v>
      </c>
      <c r="K185" t="n">
        <v>1.201410291377299</v>
      </c>
      <c r="M185" t="n">
        <v>1.522004817672826</v>
      </c>
      <c r="O185" t="n">
        <v>37208.67516238568</v>
      </c>
      <c r="P185" t="n">
        <v>76122.38401225989</v>
      </c>
      <c r="Q185">
        <f>'_live'!$C$21</f>
        <v/>
      </c>
      <c r="T185" t="n">
        <v>0.07468466648490568</v>
      </c>
      <c r="U185" t="n">
        <v>0.0589531162327338</v>
      </c>
      <c r="V185">
        <f>AND(judged_band,NOT($J185))</f>
        <v/>
      </c>
      <c r="W185">
        <f>IF($K185="","",IF($I185,"too few losses to test",IF(AND($K185&gt;better_at,$K185&lt;worse_at),"in line",IF($K185&gt;=worse_at,IF(AND(ISNUMBER($L185),$L185&lt;significance_bar),"worse","worse, not significant"),IF(AND(ISNUMBER($L185),$L185&lt;significance_bar),"better","better, not significant")))))</f>
        <v/>
      </c>
      <c r="X185">
        <f>IF($M185="","",IF($I185,"too few losses to test",IF(AND($M185&gt;better_at,$M185&lt;worse_at),"in line",IF($M185&gt;=worse_at,IF(AND(ISNUMBER($N185),$N185&lt;significance_bar),"worse","worse, not significant"),IF(AND(ISNUMBER($N185),$N185&lt;significance_bar),"better","better, not significant")))))</f>
        <v/>
      </c>
      <c r="Y185">
        <f>IF($V185,$X185,$W185)</f>
        <v/>
      </c>
      <c r="Z185">
        <f>IF($V185,IF($P185="","",$P185),IF($O185="","",$O185))</f>
        <v/>
      </c>
      <c r="AA185">
        <f>IF(OR($Q185="",$Z185=""),"",IF(AND($Z185&gt;0,$Z185&gt;=$Q185),"yes","below the line"))</f>
        <v/>
      </c>
      <c r="AB185">
        <f>IF($V185,IF($M185="","",$M185),IF($K185="","",$K185))</f>
        <v/>
      </c>
      <c r="AC185">
        <f>IF($V185,IF($N185="","",$N185),IF($L185="","",$L185))</f>
        <v/>
      </c>
      <c r="AD185">
        <f>$Y185</f>
        <v/>
      </c>
      <c r="AE185">
        <f>IF($V185,IF($S185="","",$S185),IF($R185="","",$R185))</f>
        <v/>
      </c>
      <c r="AF185">
        <f>IF($V185,IF($U185="","",$U185),IF($T185="","",$T185))</f>
        <v/>
      </c>
      <c r="AG185">
        <f>IF($V185,IF($O185="","",$O185),IF($P185="","",$P185))</f>
        <v/>
      </c>
      <c r="AH185" t="n">
        <v>0.08972692692304694</v>
      </c>
      <c r="AI185">
        <f>IF($Y185="worse","Yes",IF($Y185="worse, not significant","Not sure",IF(OR($Y185="too few losses to test",$Y185="too few loans to test"),"Too few losses",IF($Y185="","","No"))))</f>
        <v/>
      </c>
      <c r="AJ185">
        <f>IF($AA185="yes","Yes",IF($AA185="","","No"))</f>
        <v/>
      </c>
      <c r="AM185">
        <f>IF(AND(ISNUMBER($AC185),ISNUMBER(IF($V185,IF($AL185="","",$AL185),IF($AK185="","",$AK185)))),IF(AND(ABS($AC185-significance_bar)&lt;=2.0*IF($V185,IF($AL185="","",$AL185),IF($AK185="","",$AK185)),OR($Y185="worse",$Y185="better",$Y185="worse, not significant",$Y185="better, not significant")),IF(ROUND($AC185,3)=ROUND(significance_bar,3),TEXT($AC185,"0.0000"),TEXT($AC185,"0.000")),""),"")</f>
        <v/>
      </c>
      <c r="AN185">
        <f>IF(AND(ISNUMBER($AC185),ISNUMBER(IF($V185,IF($AL185="","",$AL185),IF($AK185="","",$AK185)))),IF(AND(ABS($AC185-significance_bar)&lt;=2.0*IF($V185,IF($AL185="","",$AL185),IF($AK185="","",$AK185)),OR($Y185="worse",$Y185="worse, not significant")),IF(ROUND($AC185,3)=ROUND(significance_bar,3),TEXT($AC185,"0.0000"),TEXT($AC185,"0.000")),""),"")</f>
        <v/>
      </c>
      <c r="AO185">
        <f>IF(OR($AI185="",$AN185=""),$AI185,$AI185&amp;" · borderline (p "&amp;$AN185&amp;")")</f>
        <v/>
      </c>
    </row>
    <row r="186">
      <c r="A186" t="inlineStr">
        <is>
          <t>grids</t>
        </is>
      </c>
      <c r="B186" t="inlineStr">
        <is>
          <t>SHORT_HIST x CHANNEL</t>
        </is>
      </c>
      <c r="C186" t="inlineStr">
        <is>
          <t>(marked missing)</t>
        </is>
      </c>
      <c r="D186" t="inlineStr">
        <is>
          <t>Branch</t>
        </is>
      </c>
      <c r="E186" t="inlineStr">
        <is>
          <t>gco_rate</t>
        </is>
      </c>
      <c r="F186" t="inlineStr">
        <is>
          <t>GCO per booked dollar</t>
        </is>
      </c>
      <c r="G186" t="n">
        <v>72</v>
      </c>
      <c r="H186" t="n">
        <v>2473609.29</v>
      </c>
      <c r="I186" t="b">
        <v>1</v>
      </c>
      <c r="J186" t="b">
        <v>0</v>
      </c>
      <c r="K186" t="n">
        <v>1.324876648472584</v>
      </c>
      <c r="M186" t="n">
        <v>1.788045664805424</v>
      </c>
      <c r="O186" t="n">
        <v>33330.92824217578</v>
      </c>
      <c r="P186" t="n">
        <v>59906.93992260398</v>
      </c>
      <c r="Q186">
        <f>'_live'!$C$22</f>
        <v/>
      </c>
      <c r="T186" t="n">
        <v>0.04147609008932217</v>
      </c>
      <c r="U186" t="n">
        <v>0.03073227060745557</v>
      </c>
      <c r="V186">
        <f>AND(judged_band,NOT($J186))</f>
        <v/>
      </c>
      <c r="W186">
        <f>IF($K186="","",IF($I186,"too few losses to test",IF(AND($K186&gt;better_at,$K186&lt;worse_at),"in line",IF($K186&gt;=worse_at,IF(AND(ISNUMBER($L186),$L186&lt;significance_bar),"worse","worse, not significant"),IF(AND(ISNUMBER($L186),$L186&lt;significance_bar),"better","better, not significant")))))</f>
        <v/>
      </c>
      <c r="X186">
        <f>IF($M186="","",IF($I186,"too few losses to test",IF(AND($M186&gt;better_at,$M186&lt;worse_at),"in line",IF($M186&gt;=worse_at,IF(AND(ISNUMBER($N186),$N186&lt;significance_bar),"worse","worse, not significant"),IF(AND(ISNUMBER($N186),$N186&lt;significance_bar),"better","better, not significant")))))</f>
        <v/>
      </c>
      <c r="Y186">
        <f>IF($V186,$X186,$W186)</f>
        <v/>
      </c>
      <c r="Z186">
        <f>IF($V186,IF($P186="","",$P186),IF($O186="","",$O186))</f>
        <v/>
      </c>
      <c r="AA186">
        <f>IF(OR($Q186="",$Z186=""),"",IF(AND($Z186&gt;0,$Z186&gt;=$Q186),"yes","below the line"))</f>
        <v/>
      </c>
      <c r="AB186">
        <f>IF($V186,IF($M186="","",$M186),IF($K186="","",$K186))</f>
        <v/>
      </c>
      <c r="AC186">
        <f>IF($V186,IF($N186="","",$N186),IF($L186="","",$L186))</f>
        <v/>
      </c>
      <c r="AD186">
        <f>$Y186</f>
        <v/>
      </c>
      <c r="AE186">
        <f>IF($V186,IF($S186="","",$S186),IF($R186="","",$R186))</f>
        <v/>
      </c>
      <c r="AF186">
        <f>IF($V186,IF($U186="","",$U186),IF($T186="","",$T186))</f>
        <v/>
      </c>
      <c r="AG186">
        <f>IF($V186,IF($O186="","",$O186),IF($P186="","",$P186))</f>
        <v/>
      </c>
      <c r="AH186" t="n">
        <v>0.05495070322928809</v>
      </c>
      <c r="AI186">
        <f>IF($Y186="worse","Yes",IF($Y186="worse, not significant","Not sure",IF(OR($Y186="too few losses to test",$Y186="too few loans to test"),"Too few losses",IF($Y186="","","No"))))</f>
        <v/>
      </c>
      <c r="AJ186">
        <f>IF($AA186="yes","Yes",IF($AA186="","","No"))</f>
        <v/>
      </c>
      <c r="AM186">
        <f>IF(AND(ISNUMBER($AC186),ISNUMBER(IF($V186,IF($AL186="","",$AL186),IF($AK186="","",$AK186)))),IF(AND(ABS($AC186-significance_bar)&lt;=2.0*IF($V186,IF($AL186="","",$AL186),IF($AK186="","",$AK186)),OR($Y186="worse",$Y186="better",$Y186="worse, not significant",$Y186="better, not significant")),IF(ROUND($AC186,3)=ROUND(significance_bar,3),TEXT($AC186,"0.0000"),TEXT($AC186,"0.000")),""),"")</f>
        <v/>
      </c>
      <c r="AN186">
        <f>IF(AND(ISNUMBER($AC186),ISNUMBER(IF($V186,IF($AL186="","",$AL186),IF($AK186="","",$AK186)))),IF(AND(ABS($AC186-significance_bar)&lt;=2.0*IF($V186,IF($AL186="","",$AL186),IF($AK186="","",$AK186)),OR($Y186="worse",$Y186="worse, not significant")),IF(ROUND($AC186,3)=ROUND(significance_bar,3),TEXT($AC186,"0.0000"),TEXT($AC186,"0.000")),""),"")</f>
        <v/>
      </c>
      <c r="AO186">
        <f>IF(OR($AI186="",$AN186=""),$AI186,$AI186&amp;" · borderline (p "&amp;$AN186&amp;")")</f>
        <v/>
      </c>
    </row>
    <row r="187">
      <c r="A187" t="inlineStr">
        <is>
          <t>grids</t>
        </is>
      </c>
      <c r="B187" t="inlineStr">
        <is>
          <t>SHORT_HIST x CHANNEL</t>
        </is>
      </c>
      <c r="C187" t="inlineStr">
        <is>
          <t>(marked missing)</t>
        </is>
      </c>
      <c r="D187" t="inlineStr">
        <is>
          <t>Branch</t>
        </is>
      </c>
      <c r="E187" t="inlineStr">
        <is>
          <t>ranr_rate</t>
        </is>
      </c>
      <c r="F187" t="inlineStr">
        <is>
          <t>Profit after losses: RANR per booked dollar</t>
        </is>
      </c>
      <c r="G187" t="n">
        <v>72</v>
      </c>
      <c r="H187" t="n">
        <v>2473609.29</v>
      </c>
      <c r="I187" t="b">
        <v>0</v>
      </c>
      <c r="J187" t="b">
        <v>0</v>
      </c>
      <c r="K187" t="n">
        <v>-0.01051050690176714</v>
      </c>
      <c r="L187" t="n">
        <v>0.698224295217537</v>
      </c>
      <c r="M187" t="n">
        <v>-0.02155384003002139</v>
      </c>
      <c r="N187" t="n">
        <v>0.5790126869665975</v>
      </c>
      <c r="O187" t="n">
        <v>25998.88751482032</v>
      </c>
      <c r="P187" t="n">
        <v>53315.77893343481</v>
      </c>
      <c r="Q187">
        <f>'_live'!$C$23</f>
        <v/>
      </c>
      <c r="R187" t="inlineStr">
        <is>
          <t>shuffled: 6,594 of 10,000</t>
        </is>
      </c>
      <c r="S187" t="inlineStr">
        <is>
          <t>shuffled: 5,201 of 10,000</t>
        </is>
      </c>
      <c r="T187" t="n">
        <v>0.1280907938030991</v>
      </c>
      <c r="U187" t="n">
        <v>0.1391341269313534</v>
      </c>
      <c r="V187">
        <f>AND(judged_band,NOT($J187))</f>
        <v/>
      </c>
      <c r="W187">
        <f>IF($K187="","",IF(profit_kind="test",IF(OR(NOT(AND(ISNUMBER($L187),$L187&lt;significance_bar)),$K187=0),"in line",IF($K187&lt;0,"worse","better")),IF(OR($K187=0,IF(profit_kind="points",ABS($K187),ABS($K187*$H187))&lt;profit_line*(1-1E-9)),"in line",IF(AND(ISNUMBER($L187),$L187&lt;significance_bar),IF($K187&lt;0,"worse","better"),IF($K187&lt;0,"worse, not significant","better, not significant")))))</f>
        <v/>
      </c>
      <c r="X187">
        <f>IF($M187="","",IF(profit_kind="test",IF(OR(NOT(AND(ISNUMBER($N187),$N187&lt;significance_bar)),$M187=0),"in line",IF($M187&lt;0,"worse","better")),IF(OR($M187=0,IF(profit_kind="points",ABS($M187),ABS($M187*$H187))&lt;profit_line*(1-1E-9)),"in line",IF(AND(ISNUMBER($N187),$N187&lt;significance_bar),IF($M187&lt;0,"worse","better"),IF($M187&lt;0,"worse, not significant","better, not significant")))))</f>
        <v/>
      </c>
      <c r="Y187">
        <f>IF($V187,$X187,$W187)</f>
        <v/>
      </c>
      <c r="Z187">
        <f>IF($V187,IF($P187="","",$P187),IF($O187="","",$O187))</f>
        <v/>
      </c>
      <c r="AA187">
        <f>IF(OR($Q187="",$Z187=""),"",IF(AND($Z187&gt;0,$Z187&gt;=$Q187),"yes","below the line"))</f>
        <v/>
      </c>
      <c r="AB187">
        <f>IF($V187,IF($M187="","",$M187),IF($K187="","",$K187))</f>
        <v/>
      </c>
      <c r="AC187">
        <f>IF($V187,IF($N187="","",$N187),IF($L187="","",$L187))</f>
        <v/>
      </c>
      <c r="AD187">
        <f>IF($Y187="","",IF($Y187="in line",IF(profit_kind="test",IF(ROUND($AB187*100,2)=0,"0.00",TEXT($AB187*100,"+0.00;-0.00"))&amp;" points against "&amp;IF($V187,"its band","the book")&amp;", "&amp;IF($AC187="","not tested","not significant"),IF(profit_kind="points","within "&amp;TEXT(profit_line*100,"0.00")&amp;" points of "&amp;IF($V187,"its band","the book")&amp;" ("&amp;IF(ROUND($AB187*100,2)=0,"0.00",TEXT($AB187*100,"+0.00;-0.00"))&amp;")","within $"&amp;TEXT(profit_line,"#,##0")&amp;" of "&amp;IF($V187,"its band","the book")&amp;" ("&amp;IF(ROUND($AB187*100,2)=0,"0.00",TEXT($AB187*100,"+0.00;-0.00"))&amp;" points)")),IF(LEFT($Y187,5)="worse","short of ","ahead of ")&amp;IF($V187,"its band","the book")&amp;" by "&amp;TEXT(ABS($AB187)*100,"0.00")&amp;" points"&amp;IF($Z187="",""," ($"&amp;TEXT(ABS($Z187),"#,##0")&amp;")")&amp;IF(RIGHT($Y187,15)="not significant"," (not significant)","")))</f>
        <v/>
      </c>
      <c r="AE187">
        <f>IF($V187,IF($S187="","",$S187),IF($R187="","",$R187))</f>
        <v/>
      </c>
      <c r="AF187">
        <f>IF($V187,IF($U187="","",$U187),IF($T187="","",$T187))</f>
        <v/>
      </c>
      <c r="AG187">
        <f>IF($V187,IF($O187="","",$O187),IF($P187="","",$P187))</f>
        <v/>
      </c>
      <c r="AH187" t="n">
        <v>0.117580286901332</v>
      </c>
      <c r="AI187">
        <f>IF($Y187="worse","Yes",IF($Y187="worse, not significant","Not sure",IF(OR($Y187="too few losses to test",$Y187="too few loans to test"),"Too few losses",IF($Y187="","","No"))))</f>
        <v/>
      </c>
      <c r="AJ187">
        <f>IF($AA187="yes","Yes",IF($AA187="","","No"))</f>
        <v/>
      </c>
      <c r="AK187" t="n">
        <v>0.005017759920036511</v>
      </c>
      <c r="AL187" t="n">
        <v>0.005270830723139219</v>
      </c>
      <c r="AM187">
        <f>IF(AND(ISNUMBER($AC187),ISNUMBER(IF($V187,IF($AL187="","",$AL187),IF($AK187="","",$AK187)))),IF(AND(ABS($AC187-significance_bar)&lt;=2.0*IF($V187,IF($AL187="","",$AL187),IF($AK187="","",$AK187)),OR($Y187="worse",$Y187="better",$Y187="worse, not significant",$Y187="better, not significant",AND(profit_kind="test",$Y187="in line",ISNUMBER($AB187),$AB187&lt;&gt;0))),IF(ROUND($AC187,3)=ROUND(significance_bar,3),TEXT($AC187,"0.0000"),TEXT($AC187,"0.000")),""),"")</f>
        <v/>
      </c>
      <c r="AN187">
        <f>IF(AND(ISNUMBER($AC187),ISNUMBER(IF($V187,IF($AL187="","",$AL187),IF($AK187="","",$AK187)))),IF(AND(ABS($AC187-significance_bar)&lt;=2.0*IF($V187,IF($AL187="","",$AL187),IF($AK187="","",$AK187)),OR($Y187="worse",$Y187="worse, not significant",AND(profit_kind="test",$Y187="in line",ISNUMBER($AB187),$AB187&lt;0))),IF(ROUND($AC187,3)=ROUND(significance_bar,3),TEXT($AC187,"0.0000"),TEXT($AC187,"0.000")),""),"")</f>
        <v/>
      </c>
      <c r="AO187">
        <f>IF(OR($AI187="",$AN187=""),$AI187,$AI187&amp;" · borderline (p "&amp;$AN187&amp;")")</f>
        <v/>
      </c>
    </row>
    <row r="188">
      <c r="A188" t="inlineStr">
        <is>
          <t>grids</t>
        </is>
      </c>
      <c r="B188" t="inlineStr">
        <is>
          <t>SHORT_HIST x CHANNEL</t>
        </is>
      </c>
      <c r="C188" t="inlineStr">
        <is>
          <t>(marked missing)</t>
        </is>
      </c>
      <c r="D188" t="inlineStr">
        <is>
          <t>Branch</t>
        </is>
      </c>
      <c r="E188" t="inlineStr">
        <is>
          <t>contribution_rate</t>
        </is>
      </c>
      <c r="F188" t="inlineStr">
        <is>
          <t>Contribution before losses per booked dollar</t>
        </is>
      </c>
      <c r="G188" t="n">
        <v>72</v>
      </c>
      <c r="H188" t="n">
        <v>2473609.29</v>
      </c>
      <c r="I188" t="b">
        <v>0</v>
      </c>
      <c r="J188" t="b">
        <v>0</v>
      </c>
      <c r="K188" t="n">
        <v>0.002966977516093483</v>
      </c>
      <c r="L188" t="n">
        <v>0.8780121987801219</v>
      </c>
      <c r="M188" t="n">
        <v>0.002664592591811066</v>
      </c>
      <c r="N188" t="n">
        <v>0.9002099790020998</v>
      </c>
      <c r="O188" t="n">
        <v>-7339.143147029972</v>
      </c>
      <c r="P188" t="n">
        <v>-6591.160989169031</v>
      </c>
      <c r="Q188">
        <f>'_live'!$C$24</f>
        <v/>
      </c>
      <c r="R188" t="inlineStr">
        <is>
          <t>shuffled: 8,520 of 10,000</t>
        </is>
      </c>
      <c r="S188" t="inlineStr">
        <is>
          <t>shuffled: 9,002 of 10,000</t>
        </is>
      </c>
      <c r="T188" t="n">
        <v>0.1695640126145266</v>
      </c>
      <c r="U188" t="n">
        <v>0.169866397538809</v>
      </c>
      <c r="V188">
        <f>AND(judged_band,NOT($J188))</f>
        <v/>
      </c>
      <c r="W188">
        <f>IF($K188="","",IF(profit_kind="test",IF(OR(NOT(AND(ISNUMBER($L188),$L188&lt;significance_bar)),$K188=0),"in line",IF($K188&lt;0,"worse","better")),IF(OR($K188=0,IF(profit_kind="points",ABS($K188),ABS($K188*$H188))&lt;profit_line*(1-1E-9)),"in line",IF(AND(ISNUMBER($L188),$L188&lt;significance_bar),IF($K188&lt;0,"worse","better"),IF($K188&lt;0,"worse, not significant","better, not significant")))))</f>
        <v/>
      </c>
      <c r="X188">
        <f>IF($M188="","",IF(profit_kind="test",IF(OR(NOT(AND(ISNUMBER($N188),$N188&lt;significance_bar)),$M188=0),"in line",IF($M188&lt;0,"worse","better")),IF(OR($M188=0,IF(profit_kind="points",ABS($M188),ABS($M188*$H188))&lt;profit_line*(1-1E-9)),"in line",IF(AND(ISNUMBER($N188),$N188&lt;significance_bar),IF($M188&lt;0,"worse","better"),IF($M188&lt;0,"worse, not significant","better, not significant")))))</f>
        <v/>
      </c>
      <c r="Y188">
        <f>IF($V188,$X188,$W188)</f>
        <v/>
      </c>
      <c r="Z188">
        <f>IF($V188,IF($P188="","",$P188),IF($O188="","",$O188))</f>
        <v/>
      </c>
      <c r="AA188">
        <f>IF(OR($Q188="",$Z188=""),"",IF(AND($Z188&gt;0,$Z188&gt;=$Q188),"yes","below the line"))</f>
        <v/>
      </c>
      <c r="AB188">
        <f>IF($V188,IF($M188="","",$M188),IF($K188="","",$K188))</f>
        <v/>
      </c>
      <c r="AC188">
        <f>IF($V188,IF($N188="","",$N188),IF($L188="","",$L188))</f>
        <v/>
      </c>
      <c r="AD188">
        <f>IF($Y188="","",IF($Y188="in line",IF(profit_kind="test",IF(ROUND($AB188*100,2)=0,"0.00",TEXT($AB188*100,"+0.00;-0.00"))&amp;" points against "&amp;IF($V188,"its band","the book")&amp;", "&amp;IF($AC188="","not tested","not significant"),IF(profit_kind="points","within "&amp;TEXT(profit_line*100,"0.00")&amp;" points of "&amp;IF($V188,"its band","the book")&amp;" ("&amp;IF(ROUND($AB188*100,2)=0,"0.00",TEXT($AB188*100,"+0.00;-0.00"))&amp;")","within $"&amp;TEXT(profit_line,"#,##0")&amp;" of "&amp;IF($V188,"its band","the book")&amp;" ("&amp;IF(ROUND($AB188*100,2)=0,"0.00",TEXT($AB188*100,"+0.00;-0.00"))&amp;" points)")),IF(LEFT($Y188,5)="worse","short of ","ahead of ")&amp;IF($V188,"its band","the book")&amp;" by "&amp;TEXT(ABS($AB188)*100,"0.00")&amp;" points"&amp;IF($Z188="",""," ($"&amp;TEXT(ABS($Z188),"#,##0")&amp;")")&amp;IF(RIGHT($Y188,15)="not significant"," (not significant)","")))</f>
        <v/>
      </c>
      <c r="AE188">
        <f>IF($V188,IF($S188="","",$S188),IF($R188="","",$R188))</f>
        <v/>
      </c>
      <c r="AF188">
        <f>IF($V188,IF($U188="","",$U188),IF($T188="","",$T188))</f>
        <v/>
      </c>
      <c r="AG188">
        <f>IF($V188,IF($O188="","",$O188),IF($P188="","",$P188))</f>
        <v/>
      </c>
      <c r="AH188" t="n">
        <v>0.17253099013062</v>
      </c>
      <c r="AI188">
        <f>IF($Y188="worse","Yes",IF($Y188="worse, not significant","Not sure",IF(OR($Y188="too few losses to test",$Y188="too few loans to test"),"Too few losses",IF($Y188="","","No"))))</f>
        <v/>
      </c>
      <c r="AJ188">
        <f>IF($AA188="yes","Yes",IF($AA188="","","No"))</f>
        <v/>
      </c>
      <c r="AK188" t="n">
        <v>0.003272717182608628</v>
      </c>
      <c r="AL188" t="n">
        <v>0.002997198236806149</v>
      </c>
      <c r="AM188">
        <f>IF(AND(ISNUMBER($AC188),ISNUMBER(IF($V188,IF($AL188="","",$AL188),IF($AK188="","",$AK188)))),IF(AND(ABS($AC188-significance_bar)&lt;=2.0*IF($V188,IF($AL188="","",$AL188),IF($AK188="","",$AK188)),OR($Y188="worse",$Y188="better",$Y188="worse, not significant",$Y188="better, not significant",AND(profit_kind="test",$Y188="in line",ISNUMBER($AB188),$AB188&lt;&gt;0))),IF(ROUND($AC188,3)=ROUND(significance_bar,3),TEXT($AC188,"0.0000"),TEXT($AC188,"0.000")),""),"")</f>
        <v/>
      </c>
      <c r="AN188">
        <f>IF(AND(ISNUMBER($AC188),ISNUMBER(IF($V188,IF($AL188="","",$AL188),IF($AK188="","",$AK188)))),IF(AND(ABS($AC188-significance_bar)&lt;=2.0*IF($V188,IF($AL188="","",$AL188),IF($AK188="","",$AK188)),OR($Y188="worse",$Y188="worse, not significant",AND(profit_kind="test",$Y188="in line",ISNUMBER($AB188),$AB188&lt;0))),IF(ROUND($AC188,3)=ROUND(significance_bar,3),TEXT($AC188,"0.0000"),TEXT($AC188,"0.000")),""),"")</f>
        <v/>
      </c>
      <c r="AO188">
        <f>IF(OR($AI188="",$AN188=""),$AI188,$AI188&amp;" · borderline (p "&amp;$AN188&amp;")")</f>
        <v/>
      </c>
    </row>
    <row r="189">
      <c r="A189" t="inlineStr">
        <is>
          <t>three-way</t>
        </is>
      </c>
      <c r="B189" t="inlineStr">
        <is>
          <t>FICO x CHANNEL / REV_DEBT</t>
        </is>
      </c>
      <c r="C189" t="inlineStr">
        <is>
          <t>(marked missing)</t>
        </is>
      </c>
      <c r="D189" t="inlineStr">
        <is>
          <t>Online / REV_DEBT high half</t>
        </is>
      </c>
      <c r="E189" t="inlineStr">
        <is>
          <t>outcome_loans</t>
        </is>
      </c>
      <c r="F189" t="inlineStr">
        <is>
          <t>Outcome, share of loans</t>
        </is>
      </c>
      <c r="G189" t="n">
        <v>27</v>
      </c>
      <c r="H189" t="n">
        <v>27</v>
      </c>
      <c r="I189" t="b">
        <v>1</v>
      </c>
      <c r="J189" t="b">
        <v>0</v>
      </c>
      <c r="K189" t="n">
        <v>0.4777657916816492</v>
      </c>
      <c r="M189" t="n">
        <v>0.5473251028806584</v>
      </c>
      <c r="O189" t="n">
        <v>-1.093075765178123</v>
      </c>
      <c r="P189" t="n">
        <v>-0.8270676691729322</v>
      </c>
      <c r="Q189">
        <f>'_live'!$C$20</f>
        <v/>
      </c>
      <c r="T189" t="n">
        <v>0.0775213246362268</v>
      </c>
      <c r="U189" t="n">
        <v>0.06766917293233082</v>
      </c>
      <c r="V189">
        <f>AND(judged_band,NOT($J189))</f>
        <v/>
      </c>
      <c r="W189">
        <f>IF($K189="","",IF($I189,"too few losses to test",IF(AND($K189&gt;better_at,$K189&lt;worse_at),"in line",IF($K189&gt;=worse_at,IF(AND(ISNUMBER($L189),$L189&lt;significance_bar),"worse","worse, not significant"),IF(AND(ISNUMBER($L189),$L189&lt;significance_bar),"better","better, not significant")))))</f>
        <v/>
      </c>
      <c r="X189">
        <f>IF($M189="","",IF($I189,"too few losses to test",IF(AND($M189&gt;better_at,$M189&lt;worse_at),"in line",IF($M189&gt;=worse_at,IF(AND(ISNUMBER($N189),$N189&lt;significance_bar),"worse","worse, not significant"),IF(AND(ISNUMBER($N189),$N189&lt;significance_bar),"better","better, not significant")))))</f>
        <v/>
      </c>
      <c r="Y189">
        <f>IF($V189,$X189,$W189)</f>
        <v/>
      </c>
      <c r="Z189">
        <f>IF($V189,IF($P189="","",$P189),IF($O189="","",$O189))</f>
        <v/>
      </c>
      <c r="AA189">
        <f>IF(OR($Q189="",$Z189=""),"",IF(AND($Z189&gt;0,$Z189&gt;=$Q189),"yes","below the line"))</f>
        <v/>
      </c>
      <c r="AB189">
        <f>IF($V189,IF($M189="","",$M189),IF($K189="","",$K189))</f>
        <v/>
      </c>
      <c r="AC189">
        <f>IF($V189,IF($N189="","",$N189),IF($L189="","",$L189))</f>
        <v/>
      </c>
      <c r="AD189">
        <f>$Y189</f>
        <v/>
      </c>
      <c r="AE189">
        <f>IF($V189,IF($S189="","",$S189),IF($R189="","",$R189))</f>
        <v/>
      </c>
      <c r="AF189">
        <f>IF($V189,IF($U189="","",$U189),IF($T189="","",$T189))</f>
        <v/>
      </c>
      <c r="AG189">
        <f>IF($V189,IF($O189="","",$O189),IF($P189="","",$P189))</f>
        <v/>
      </c>
      <c r="AH189" t="n">
        <v>0.03703703703703703</v>
      </c>
      <c r="AI189">
        <f>IF($Y189="worse","Yes",IF($Y189="worse, not significant","Not sure",IF(OR($Y189="too few losses to test",$Y189="too few loans to test"),"Too few losses",IF($Y189="","","No"))))</f>
        <v/>
      </c>
      <c r="AJ189">
        <f>IF($AA189="yes","Yes",IF($AA189="","","No"))</f>
        <v/>
      </c>
      <c r="AM189">
        <f>IF(AND(ISNUMBER($AC189),ISNUMBER(IF($V189,IF($AL189="","",$AL189),IF($AK189="","",$AK189)))),IF(AND(ABS($AC189-significance_bar)&lt;=2.0*IF($V189,IF($AL189="","",$AL189),IF($AK189="","",$AK189)),OR($Y189="worse",$Y189="better",$Y189="worse, not significant",$Y189="better, not significant")),IF(ROUND($AC189,3)=ROUND(significance_bar,3),TEXT($AC189,"0.0000"),TEXT($AC189,"0.000")),""),"")</f>
        <v/>
      </c>
      <c r="AN189">
        <f>IF(AND(ISNUMBER($AC189),ISNUMBER(IF($V189,IF($AL189="","",$AL189),IF($AK189="","",$AK189)))),IF(AND(ABS($AC189-significance_bar)&lt;=2.0*IF($V189,IF($AL189="","",$AL189),IF($AK189="","",$AK189)),OR($Y189="worse",$Y189="worse, not significant")),IF(ROUND($AC189,3)=ROUND(significance_bar,3),TEXT($AC189,"0.0000"),TEXT($AC189,"0.000")),""),"")</f>
        <v/>
      </c>
      <c r="AO189">
        <f>IF(OR($AI189="",$AN189=""),$AI189,$AI189&amp;" · borderline (p "&amp;$AN189&amp;")")</f>
        <v/>
      </c>
    </row>
    <row r="190">
      <c r="A190" t="inlineStr">
        <is>
          <t>three-way</t>
        </is>
      </c>
      <c r="B190" t="inlineStr">
        <is>
          <t>FICO x CHANNEL / REV_DEBT</t>
        </is>
      </c>
      <c r="C190" t="inlineStr">
        <is>
          <t>(marked missing)</t>
        </is>
      </c>
      <c r="D190" t="inlineStr">
        <is>
          <t>Online / REV_DEBT high half</t>
        </is>
      </c>
      <c r="E190" t="inlineStr">
        <is>
          <t>outcome_booked</t>
        </is>
      </c>
      <c r="F190" t="inlineStr">
        <is>
          <t>Outcome, share of booked dollars</t>
        </is>
      </c>
      <c r="G190" t="n">
        <v>27</v>
      </c>
      <c r="H190" t="n">
        <v>858062.1400000001</v>
      </c>
      <c r="I190" t="b">
        <v>1</v>
      </c>
      <c r="J190" t="b">
        <v>0</v>
      </c>
      <c r="K190" t="n">
        <v>0.117640522231671</v>
      </c>
      <c r="M190" t="n">
        <v>0.1583177930313976</v>
      </c>
      <c r="O190" t="n">
        <v>-56821.10295108514</v>
      </c>
      <c r="P190" t="n">
        <v>-40275.36338635851</v>
      </c>
      <c r="Q190">
        <f>'_live'!$C$21</f>
        <v/>
      </c>
      <c r="T190" t="n">
        <v>0.07504907855634457</v>
      </c>
      <c r="U190" t="n">
        <v>0.05576639634322812</v>
      </c>
      <c r="V190">
        <f>AND(judged_band,NOT($J190))</f>
        <v/>
      </c>
      <c r="W190">
        <f>IF($K190="","",IF($I190,"too few losses to test",IF(AND($K190&gt;better_at,$K190&lt;worse_at),"in line",IF($K190&gt;=worse_at,IF(AND(ISNUMBER($L190),$L190&lt;significance_bar),"worse","worse, not significant"),IF(AND(ISNUMBER($L190),$L190&lt;significance_bar),"better","better, not significant")))))</f>
        <v/>
      </c>
      <c r="X190">
        <f>IF($M190="","",IF($I190,"too few losses to test",IF(AND($M190&gt;better_at,$M190&lt;worse_at),"in line",IF($M190&gt;=worse_at,IF(AND(ISNUMBER($N190),$N190&lt;significance_bar),"worse","worse, not significant"),IF(AND(ISNUMBER($N190),$N190&lt;significance_bar),"better","better, not significant")))))</f>
        <v/>
      </c>
      <c r="Y190">
        <f>IF($V190,$X190,$W190)</f>
        <v/>
      </c>
      <c r="Z190">
        <f>IF($V190,IF($P190="","",$P190),IF($O190="","",$O190))</f>
        <v/>
      </c>
      <c r="AA190">
        <f>IF(OR($Q190="",$Z190=""),"",IF(AND($Z190&gt;0,$Z190&gt;=$Q190),"yes","below the line"))</f>
        <v/>
      </c>
      <c r="AB190">
        <f>IF($V190,IF($M190="","",$M190),IF($K190="","",$K190))</f>
        <v/>
      </c>
      <c r="AC190">
        <f>IF($V190,IF($N190="","",$N190),IF($L190="","",$L190))</f>
        <v/>
      </c>
      <c r="AD190">
        <f>$Y190</f>
        <v/>
      </c>
      <c r="AE190">
        <f>IF($V190,IF($S190="","",$S190),IF($R190="","",$R190))</f>
        <v/>
      </c>
      <c r="AF190">
        <f>IF($V190,IF($U190="","",$U190),IF($T190="","",$T190))</f>
        <v/>
      </c>
      <c r="AG190">
        <f>IF($V190,IF($O190="","",$O190),IF($P190="","",$P190))</f>
        <v/>
      </c>
      <c r="AH190" t="n">
        <v>0.008828812794374075</v>
      </c>
      <c r="AI190">
        <f>IF($Y190="worse","Yes",IF($Y190="worse, not significant","Not sure",IF(OR($Y190="too few losses to test",$Y190="too few loans to test"),"Too few losses",IF($Y190="","","No"))))</f>
        <v/>
      </c>
      <c r="AJ190">
        <f>IF($AA190="yes","Yes",IF($AA190="","","No"))</f>
        <v/>
      </c>
      <c r="AM190">
        <f>IF(AND(ISNUMBER($AC190),ISNUMBER(IF($V190,IF($AL190="","",$AL190),IF($AK190="","",$AK190)))),IF(AND(ABS($AC190-significance_bar)&lt;=2.0*IF($V190,IF($AL190="","",$AL190),IF($AK190="","",$AK190)),OR($Y190="worse",$Y190="better",$Y190="worse, not significant",$Y190="better, not significant")),IF(ROUND($AC190,3)=ROUND(significance_bar,3),TEXT($AC190,"0.0000"),TEXT($AC190,"0.000")),""),"")</f>
        <v/>
      </c>
      <c r="AN190">
        <f>IF(AND(ISNUMBER($AC190),ISNUMBER(IF($V190,IF($AL190="","",$AL190),IF($AK190="","",$AK190)))),IF(AND(ABS($AC190-significance_bar)&lt;=2.0*IF($V190,IF($AL190="","",$AL190),IF($AK190="","",$AK190)),OR($Y190="worse",$Y190="worse, not significant")),IF(ROUND($AC190,3)=ROUND(significance_bar,3),TEXT($AC190,"0.0000"),TEXT($AC190,"0.000")),""),"")</f>
        <v/>
      </c>
      <c r="AO190">
        <f>IF(OR($AI190="",$AN190=""),$AI190,$AI190&amp;" · borderline (p "&amp;$AN190&amp;")")</f>
        <v/>
      </c>
    </row>
    <row r="191">
      <c r="A191" t="inlineStr">
        <is>
          <t>three-way</t>
        </is>
      </c>
      <c r="B191" t="inlineStr">
        <is>
          <t>FICO x CHANNEL / REV_DEBT</t>
        </is>
      </c>
      <c r="C191" t="inlineStr">
        <is>
          <t>(marked missing)</t>
        </is>
      </c>
      <c r="D191" t="inlineStr">
        <is>
          <t>Online / REV_DEBT high half</t>
        </is>
      </c>
      <c r="E191" t="inlineStr">
        <is>
          <t>gco_rate</t>
        </is>
      </c>
      <c r="F191" t="inlineStr">
        <is>
          <t>GCO per booked dollar</t>
        </is>
      </c>
      <c r="G191" t="n">
        <v>27</v>
      </c>
      <c r="H191" t="n">
        <v>858062.1400000001</v>
      </c>
      <c r="I191" t="b">
        <v>1</v>
      </c>
      <c r="J191" t="b">
        <v>0</v>
      </c>
      <c r="K191" t="n">
        <v>0.09020158362730712</v>
      </c>
      <c r="M191" t="n">
        <v>0.1266334561831588</v>
      </c>
      <c r="O191" t="n">
        <v>-32578.28049991712</v>
      </c>
      <c r="P191" t="n">
        <v>-22276.41167580961</v>
      </c>
      <c r="Q191">
        <f>'_live'!$C$22</f>
        <v/>
      </c>
      <c r="T191" t="n">
        <v>0.04173152366321291</v>
      </c>
      <c r="U191" t="n">
        <v>0.02972555306520062</v>
      </c>
      <c r="V191">
        <f>AND(judged_band,NOT($J191))</f>
        <v/>
      </c>
      <c r="W191">
        <f>IF($K191="","",IF($I191,"too few losses to test",IF(AND($K191&gt;better_at,$K191&lt;worse_at),"in line",IF($K191&gt;=worse_at,IF(AND(ISNUMBER($L191),$L191&lt;significance_bar),"worse","worse, not significant"),IF(AND(ISNUMBER($L191),$L191&lt;significance_bar),"better","better, not significant")))))</f>
        <v/>
      </c>
      <c r="X191">
        <f>IF($M191="","",IF($I191,"too few losses to test",IF(AND($M191&gt;better_at,$M191&lt;worse_at),"in line",IF($M191&gt;=worse_at,IF(AND(ISNUMBER($N191),$N191&lt;significance_bar),"worse","worse, not significant"),IF(AND(ISNUMBER($N191),$N191&lt;significance_bar),"better","better, not significant")))))</f>
        <v/>
      </c>
      <c r="Y191">
        <f>IF($V191,$X191,$W191)</f>
        <v/>
      </c>
      <c r="Z191">
        <f>IF($V191,IF($P191="","",$P191),IF($O191="","",$O191))</f>
        <v/>
      </c>
      <c r="AA191">
        <f>IF(OR($Q191="",$Z191=""),"",IF(AND($Z191&gt;0,$Z191&gt;=$Q191),"yes","below the line"))</f>
        <v/>
      </c>
      <c r="AB191">
        <f>IF($V191,IF($M191="","",$M191),IF($K191="","",$K191))</f>
        <v/>
      </c>
      <c r="AC191">
        <f>IF($V191,IF($N191="","",$N191),IF($L191="","",$L191))</f>
        <v/>
      </c>
      <c r="AD191">
        <f>$Y191</f>
        <v/>
      </c>
      <c r="AE191">
        <f>IF($V191,IF($S191="","",$S191),IF($R191="","",$R191))</f>
        <v/>
      </c>
      <c r="AF191">
        <f>IF($V191,IF($U191="","",$U191),IF($T191="","",$T191))</f>
        <v/>
      </c>
      <c r="AG191">
        <f>IF($V191,IF($O191="","",$O191),IF($P191="","",$P191))</f>
        <v/>
      </c>
      <c r="AH191" t="n">
        <v>0.003764249521602246</v>
      </c>
      <c r="AI191">
        <f>IF($Y191="worse","Yes",IF($Y191="worse, not significant","Not sure",IF(OR($Y191="too few losses to test",$Y191="too few loans to test"),"Too few losses",IF($Y191="","","No"))))</f>
        <v/>
      </c>
      <c r="AJ191">
        <f>IF($AA191="yes","Yes",IF($AA191="","","No"))</f>
        <v/>
      </c>
      <c r="AM191">
        <f>IF(AND(ISNUMBER($AC191),ISNUMBER(IF($V191,IF($AL191="","",$AL191),IF($AK191="","",$AK191)))),IF(AND(ABS($AC191-significance_bar)&lt;=2.0*IF($V191,IF($AL191="","",$AL191),IF($AK191="","",$AK191)),OR($Y191="worse",$Y191="better",$Y191="worse, not significant",$Y191="better, not significant")),IF(ROUND($AC191,3)=ROUND(significance_bar,3),TEXT($AC191,"0.0000"),TEXT($AC191,"0.000")),""),"")</f>
        <v/>
      </c>
      <c r="AN191">
        <f>IF(AND(ISNUMBER($AC191),ISNUMBER(IF($V191,IF($AL191="","",$AL191),IF($AK191="","",$AK191)))),IF(AND(ABS($AC191-significance_bar)&lt;=2.0*IF($V191,IF($AL191="","",$AL191),IF($AK191="","",$AK191)),OR($Y191="worse",$Y191="worse, not significant")),IF(ROUND($AC191,3)=ROUND(significance_bar,3),TEXT($AC191,"0.0000"),TEXT($AC191,"0.000")),""),"")</f>
        <v/>
      </c>
      <c r="AO191">
        <f>IF(OR($AI191="",$AN191=""),$AI191,$AI191&amp;" · borderline (p "&amp;$AN191&amp;")")</f>
        <v/>
      </c>
    </row>
    <row r="192">
      <c r="A192" t="inlineStr">
        <is>
          <t>three-way</t>
        </is>
      </c>
      <c r="B192" t="inlineStr">
        <is>
          <t>FICO x CHANNEL / REV_DEBT</t>
        </is>
      </c>
      <c r="C192" t="inlineStr">
        <is>
          <t>(marked missing)</t>
        </is>
      </c>
      <c r="D192" t="inlineStr">
        <is>
          <t>Online / REV_DEBT high half</t>
        </is>
      </c>
      <c r="E192" t="inlineStr">
        <is>
          <t>ranr_rate</t>
        </is>
      </c>
      <c r="F192" t="inlineStr">
        <is>
          <t>Profit after losses: RANR per booked dollar</t>
        </is>
      </c>
      <c r="G192" t="n">
        <v>27</v>
      </c>
      <c r="H192" t="n">
        <v>858062.1400000001</v>
      </c>
      <c r="I192" t="b">
        <v>0</v>
      </c>
      <c r="J192" t="b">
        <v>0</v>
      </c>
      <c r="K192" t="n">
        <v>0.1387459736821298</v>
      </c>
      <c r="L192" t="n">
        <v>0.0026115035555268</v>
      </c>
      <c r="M192" t="n">
        <v>0.1326202621450584</v>
      </c>
      <c r="N192" t="n">
        <v>0.0023997600239976</v>
      </c>
      <c r="O192" t="n">
        <v>-119052.667094072</v>
      </c>
      <c r="P192" t="n">
        <v>-113796.4259435498</v>
      </c>
      <c r="Q192">
        <f>'_live'!$C$23</f>
        <v/>
      </c>
      <c r="R192" t="inlineStr">
        <is>
          <t>shuffled: 11 of 10,000</t>
        </is>
      </c>
      <c r="S192" t="inlineStr">
        <is>
          <t>shuffled: 1 of 10,000</t>
        </is>
      </c>
      <c r="T192" t="n">
        <v>0.1275287275883399</v>
      </c>
      <c r="U192" t="n">
        <v>0.1336544391254113</v>
      </c>
      <c r="V192">
        <f>AND(judged_band,NOT($J192))</f>
        <v/>
      </c>
      <c r="W192">
        <f>IF($K192="","",IF(profit_kind="test",IF(OR(NOT(AND(ISNUMBER($L192),$L192&lt;significance_bar)),$K192=0),"in line",IF($K192&lt;0,"worse","better")),IF(OR($K192=0,IF(profit_kind="points",ABS($K192),ABS($K192*$H192))&lt;profit_line*(1-1E-9)),"in line",IF(AND(ISNUMBER($L192),$L192&lt;significance_bar),IF($K192&lt;0,"worse","better"),IF($K192&lt;0,"worse, not significant","better, not significant")))))</f>
        <v/>
      </c>
      <c r="X192">
        <f>IF($M192="","",IF(profit_kind="test",IF(OR(NOT(AND(ISNUMBER($N192),$N192&lt;significance_bar)),$M192=0),"in line",IF($M192&lt;0,"worse","better")),IF(OR($M192=0,IF(profit_kind="points",ABS($M192),ABS($M192*$H192))&lt;profit_line*(1-1E-9)),"in line",IF(AND(ISNUMBER($N192),$N192&lt;significance_bar),IF($M192&lt;0,"worse","better"),IF($M192&lt;0,"worse, not significant","better, not significant")))))</f>
        <v/>
      </c>
      <c r="Y192">
        <f>IF($V192,$X192,$W192)</f>
        <v/>
      </c>
      <c r="Z192">
        <f>IF($V192,IF($P192="","",$P192),IF($O192="","",$O192))</f>
        <v/>
      </c>
      <c r="AA192">
        <f>IF(OR($Q192="",$Z192=""),"",IF(AND($Z192&gt;0,$Z192&gt;=$Q192),"yes","below the line"))</f>
        <v/>
      </c>
      <c r="AB192">
        <f>IF($V192,IF($M192="","",$M192),IF($K192="","",$K192))</f>
        <v/>
      </c>
      <c r="AC192">
        <f>IF($V192,IF($N192="","",$N192),IF($L192="","",$L192))</f>
        <v/>
      </c>
      <c r="AD192">
        <f>IF($Y192="","",IF($Y192="in line",IF(profit_kind="test",IF(ROUND($AB192*100,2)=0,"0.00",TEXT($AB192*100,"+0.00;-0.00"))&amp;" points against "&amp;IF($V192,"its band","the book")&amp;", "&amp;IF($AC192="","not tested","not significant"),IF(profit_kind="points","within "&amp;TEXT(profit_line*100,"0.00")&amp;" points of "&amp;IF($V192,"its band","the book")&amp;" ("&amp;IF(ROUND($AB192*100,2)=0,"0.00",TEXT($AB192*100,"+0.00;-0.00"))&amp;")","within $"&amp;TEXT(profit_line,"#,##0")&amp;" of "&amp;IF($V192,"its band","the book")&amp;" ("&amp;IF(ROUND($AB192*100,2)=0,"0.00",TEXT($AB192*100,"+0.00;-0.00"))&amp;" points)")),IF(LEFT($Y192,5)="worse","short of ","ahead of ")&amp;IF($V192,"its band","the book")&amp;" by "&amp;TEXT(ABS($AB192)*100,"0.00")&amp;" points"&amp;IF($Z192="",""," ($"&amp;TEXT(ABS($Z192),"#,##0")&amp;")")&amp;IF(RIGHT($Y192,15)="not significant"," (not significant)","")))</f>
        <v/>
      </c>
      <c r="AE192">
        <f>IF($V192,IF($S192="","",$S192),IF($R192="","",$R192))</f>
        <v/>
      </c>
      <c r="AF192">
        <f>IF($V192,IF($U192="","",$U192),IF($T192="","",$T192))</f>
        <v/>
      </c>
      <c r="AG192">
        <f>IF($V192,IF($O192="","",$O192),IF($P192="","",$P192))</f>
        <v/>
      </c>
      <c r="AH192" t="n">
        <v>0.2662747012704696</v>
      </c>
      <c r="AI192">
        <f>IF($Y192="worse","Yes",IF($Y192="worse, not significant","Not sure",IF(OR($Y192="too few losses to test",$Y192="too few loans to test"),"Too few losses",IF($Y192="","","No"))))</f>
        <v/>
      </c>
      <c r="AJ192">
        <f>IF($AA192="yes","Yes",IF($AA192="","","No"))</f>
        <v/>
      </c>
      <c r="AK192" t="n">
        <v>0.0007534613944227964</v>
      </c>
      <c r="AL192" t="n">
        <v>0.001696801739738571</v>
      </c>
      <c r="AM192">
        <f>IF(AND(ISNUMBER($AC192),ISNUMBER(IF($V192,IF($AL192="","",$AL192),IF($AK192="","",$AK192)))),IF(AND(ABS($AC192-significance_bar)&lt;=2.0*IF($V192,IF($AL192="","",$AL192),IF($AK192="","",$AK192)),OR($Y192="worse",$Y192="better",$Y192="worse, not significant",$Y192="better, not significant",AND(profit_kind="test",$Y192="in line",ISNUMBER($AB192),$AB192&lt;&gt;0))),IF(ROUND($AC192,3)=ROUND(significance_bar,3),TEXT($AC192,"0.0000"),TEXT($AC192,"0.000")),""),"")</f>
        <v/>
      </c>
      <c r="AN192">
        <f>IF(AND(ISNUMBER($AC192),ISNUMBER(IF($V192,IF($AL192="","",$AL192),IF($AK192="","",$AK192)))),IF(AND(ABS($AC192-significance_bar)&lt;=2.0*IF($V192,IF($AL192="","",$AL192),IF($AK192="","",$AK192)),OR($Y192="worse",$Y192="worse, not significant",AND(profit_kind="test",$Y192="in line",ISNUMBER($AB192),$AB192&lt;0))),IF(ROUND($AC192,3)=ROUND(significance_bar,3),TEXT($AC192,"0.0000"),TEXT($AC192,"0.000")),""),"")</f>
        <v/>
      </c>
      <c r="AO192">
        <f>IF(OR($AI192="",$AN192=""),$AI192,$AI192&amp;" · borderline (p "&amp;$AN192&amp;")")</f>
        <v/>
      </c>
    </row>
    <row r="193">
      <c r="A193" t="inlineStr">
        <is>
          <t>three-way</t>
        </is>
      </c>
      <c r="B193" t="inlineStr">
        <is>
          <t>FICO x CHANNEL / REV_DEBT</t>
        </is>
      </c>
      <c r="C193" t="inlineStr">
        <is>
          <t>(marked missing)</t>
        </is>
      </c>
      <c r="D193" t="inlineStr">
        <is>
          <t>Online / REV_DEBT high half</t>
        </is>
      </c>
      <c r="E193" t="inlineStr">
        <is>
          <t>contribution_rate</t>
        </is>
      </c>
      <c r="F193" t="inlineStr">
        <is>
          <t>Contribution before losses per booked dollar</t>
        </is>
      </c>
      <c r="G193" t="n">
        <v>27</v>
      </c>
      <c r="H193" t="n">
        <v>858062.1400000001</v>
      </c>
      <c r="I193" t="b">
        <v>0</v>
      </c>
      <c r="J193" t="b">
        <v>0</v>
      </c>
      <c r="K193" t="n">
        <v>0.1007816395143912</v>
      </c>
      <c r="L193" t="n">
        <v>0.000482560439608213</v>
      </c>
      <c r="M193" t="n">
        <v>0.10665895860146</v>
      </c>
      <c r="N193" t="n">
        <v>0.0015998400159984</v>
      </c>
      <c r="O193" t="n">
        <v>-86476.9092744271</v>
      </c>
      <c r="P193" t="n">
        <v>-91520.01426774019</v>
      </c>
      <c r="Q193">
        <f>'_live'!$C$24</f>
        <v/>
      </c>
      <c r="R193" t="inlineStr">
        <is>
          <t>shuffled: 2 of 10,000</t>
        </is>
      </c>
      <c r="S193" t="inlineStr">
        <is>
          <t>shuffled: 3 of 10,000</t>
        </is>
      </c>
      <c r="T193" t="n">
        <v>0.1692573112776807</v>
      </c>
      <c r="U193" t="n">
        <v>0.1633799921906119</v>
      </c>
      <c r="V193">
        <f>AND(judged_band,NOT($J193))</f>
        <v/>
      </c>
      <c r="W193">
        <f>IF($K193="","",IF(profit_kind="test",IF(OR(NOT(AND(ISNUMBER($L193),$L193&lt;significance_bar)),$K193=0),"in line",IF($K193&lt;0,"worse","better")),IF(OR($K193=0,IF(profit_kind="points",ABS($K193),ABS($K193*$H193))&lt;profit_line*(1-1E-9)),"in line",IF(AND(ISNUMBER($L193),$L193&lt;significance_bar),IF($K193&lt;0,"worse","better"),IF($K193&lt;0,"worse, not significant","better, not significant")))))</f>
        <v/>
      </c>
      <c r="X193">
        <f>IF($M193="","",IF(profit_kind="test",IF(OR(NOT(AND(ISNUMBER($N193),$N193&lt;significance_bar)),$M193=0),"in line",IF($M193&lt;0,"worse","better")),IF(OR($M193=0,IF(profit_kind="points",ABS($M193),ABS($M193*$H193))&lt;profit_line*(1-1E-9)),"in line",IF(AND(ISNUMBER($N193),$N193&lt;significance_bar),IF($M193&lt;0,"worse","better"),IF($M193&lt;0,"worse, not significant","better, not significant")))))</f>
        <v/>
      </c>
      <c r="Y193">
        <f>IF($V193,$X193,$W193)</f>
        <v/>
      </c>
      <c r="Z193">
        <f>IF($V193,IF($P193="","",$P193),IF($O193="","",$O193))</f>
        <v/>
      </c>
      <c r="AA193">
        <f>IF(OR($Q193="",$Z193=""),"",IF(AND($Z193&gt;0,$Z193&gt;=$Q193),"yes","below the line"))</f>
        <v/>
      </c>
      <c r="AB193">
        <f>IF($V193,IF($M193="","",$M193),IF($K193="","",$K193))</f>
        <v/>
      </c>
      <c r="AC193">
        <f>IF($V193,IF($N193="","",$N193),IF($L193="","",$L193))</f>
        <v/>
      </c>
      <c r="AD193">
        <f>IF($Y193="","",IF($Y193="in line",IF(profit_kind="test",IF(ROUND($AB193*100,2)=0,"0.00",TEXT($AB193*100,"+0.00;-0.00"))&amp;" points against "&amp;IF($V193,"its band","the book")&amp;", "&amp;IF($AC193="","not tested","not significant"),IF(profit_kind="points","within "&amp;TEXT(profit_line*100,"0.00")&amp;" points of "&amp;IF($V193,"its band","the book")&amp;" ("&amp;IF(ROUND($AB193*100,2)=0,"0.00",TEXT($AB193*100,"+0.00;-0.00"))&amp;")","within $"&amp;TEXT(profit_line,"#,##0")&amp;" of "&amp;IF($V193,"its band","the book")&amp;" ("&amp;IF(ROUND($AB193*100,2)=0,"0.00",TEXT($AB193*100,"+0.00;-0.00"))&amp;" points)")),IF(LEFT($Y193,5)="worse","short of ","ahead of ")&amp;IF($V193,"its band","the book")&amp;" by "&amp;TEXT(ABS($AB193)*100,"0.00")&amp;" points"&amp;IF($Z193="",""," ($"&amp;TEXT(ABS($Z193),"#,##0")&amp;")")&amp;IF(RIGHT($Y193,15)="not significant"," (not significant)","")))</f>
        <v/>
      </c>
      <c r="AE193">
        <f>IF($V193,IF($S193="","",$S193),IF($R193="","",$R193))</f>
        <v/>
      </c>
      <c r="AF193">
        <f>IF($V193,IF($U193="","",$U193),IF($T193="","",$T193))</f>
        <v/>
      </c>
      <c r="AG193">
        <f>IF($V193,IF($O193="","",$O193),IF($P193="","",$P193))</f>
        <v/>
      </c>
      <c r="AH193" t="n">
        <v>0.2700389507920719</v>
      </c>
      <c r="AI193">
        <f>IF($Y193="worse","Yes",IF($Y193="worse, not significant","Not sure",IF(OR($Y193="too few losses to test",$Y193="too few loans to test"),"Too few losses",IF($Y193="","","No"))))</f>
        <v/>
      </c>
      <c r="AJ193">
        <f>IF($AA193="yes","Yes",IF($AA193="","","No"))</f>
        <v/>
      </c>
      <c r="AK193" t="n">
        <v>0.0002785785376749238</v>
      </c>
      <c r="AL193" t="n">
        <v>0.00079980001099755</v>
      </c>
      <c r="AM193">
        <f>IF(AND(ISNUMBER($AC193),ISNUMBER(IF($V193,IF($AL193="","",$AL193),IF($AK193="","",$AK193)))),IF(AND(ABS($AC193-significance_bar)&lt;=2.0*IF($V193,IF($AL193="","",$AL193),IF($AK193="","",$AK193)),OR($Y193="worse",$Y193="better",$Y193="worse, not significant",$Y193="better, not significant",AND(profit_kind="test",$Y193="in line",ISNUMBER($AB193),$AB193&lt;&gt;0))),IF(ROUND($AC193,3)=ROUND(significance_bar,3),TEXT($AC193,"0.0000"),TEXT($AC193,"0.000")),""),"")</f>
        <v/>
      </c>
      <c r="AN193">
        <f>IF(AND(ISNUMBER($AC193),ISNUMBER(IF($V193,IF($AL193="","",$AL193),IF($AK193="","",$AK193)))),IF(AND(ABS($AC193-significance_bar)&lt;=2.0*IF($V193,IF($AL193="","",$AL193),IF($AK193="","",$AK193)),OR($Y193="worse",$Y193="worse, not significant",AND(profit_kind="test",$Y193="in line",ISNUMBER($AB193),$AB193&lt;0))),IF(ROUND($AC193,3)=ROUND(significance_bar,3),TEXT($AC193,"0.0000"),TEXT($AC193,"0.000")),""),"")</f>
        <v/>
      </c>
      <c r="AO193">
        <f>IF(OR($AI193="",$AN193=""),$AI193,$AI193&amp;" · borderline (p "&amp;$AN193&amp;")")</f>
        <v/>
      </c>
    </row>
    <row r="194">
      <c r="A194" t="inlineStr">
        <is>
          <t>three-way</t>
        </is>
      </c>
      <c r="B194" t="inlineStr">
        <is>
          <t>FICO x CHANNEL / REV_DEBT</t>
        </is>
      </c>
      <c r="C194" t="inlineStr">
        <is>
          <t>(blank)</t>
        </is>
      </c>
      <c r="D194" t="inlineStr">
        <is>
          <t>Broker / REV_DEBT low half</t>
        </is>
      </c>
      <c r="E194" t="inlineStr">
        <is>
          <t>outcome_loans</t>
        </is>
      </c>
      <c r="F194" t="inlineStr">
        <is>
          <t>Outcome, share of loans</t>
        </is>
      </c>
      <c r="G194" t="n">
        <v>1</v>
      </c>
      <c r="H194" t="n">
        <v>1</v>
      </c>
      <c r="I194" t="b">
        <v>1</v>
      </c>
      <c r="J194" t="b">
        <v>1</v>
      </c>
      <c r="K194" t="n">
        <v>0</v>
      </c>
      <c r="O194" t="n">
        <v>-0.07739434858714679</v>
      </c>
      <c r="Q194">
        <f>'_live'!$C$20</f>
        <v/>
      </c>
      <c r="T194" t="n">
        <v>0.07739434858714679</v>
      </c>
      <c r="V194">
        <f>AND(judged_band,NOT($J194))</f>
        <v/>
      </c>
      <c r="W194">
        <f>IF($K194="","",IF($I194,"too few losses to test",IF(AND($K194&gt;better_at,$K194&lt;worse_at),"in line",IF($K194&gt;=worse_at,IF(AND(ISNUMBER($L194),$L194&lt;significance_bar),"worse","worse, not significant"),IF(AND(ISNUMBER($L194),$L194&lt;significance_bar),"better","better, not significant")))))</f>
        <v/>
      </c>
      <c r="X194">
        <f>IF($M194="","",IF($I194,"too few losses to test",IF(AND($M194&gt;better_at,$M194&lt;worse_at),"in line",IF($M194&gt;=worse_at,IF(AND(ISNUMBER($N194),$N194&lt;significance_bar),"worse","worse, not significant"),IF(AND(ISNUMBER($N194),$N194&lt;significance_bar),"better","better, not significant")))))</f>
        <v/>
      </c>
      <c r="Y194">
        <f>IF($V194,$X194,$W194)</f>
        <v/>
      </c>
      <c r="Z194">
        <f>IF($V194,IF($P194="","",$P194),IF($O194="","",$O194))</f>
        <v/>
      </c>
      <c r="AA194">
        <f>IF(OR($Q194="",$Z194=""),"",IF(AND($Z194&gt;0,$Z194&gt;=$Q194),"yes","below the line"))</f>
        <v/>
      </c>
      <c r="AB194">
        <f>IF($V194,IF($M194="","",$M194),IF($K194="","",$K194))</f>
        <v/>
      </c>
      <c r="AC194">
        <f>IF($V194,IF($N194="","",$N194),IF($L194="","",$L194))</f>
        <v/>
      </c>
      <c r="AD194">
        <f>$Y194</f>
        <v/>
      </c>
      <c r="AE194">
        <f>IF($V194,IF($S194="","",$S194),IF($R194="","",$R194))</f>
        <v/>
      </c>
      <c r="AF194">
        <f>IF($V194,IF($U194="","",$U194),IF($T194="","",$T194))</f>
        <v/>
      </c>
      <c r="AG194">
        <f>IF($V194,IF($O194="","",$O194),IF($P194="","",$P194))</f>
        <v/>
      </c>
      <c r="AH194" t="n">
        <v>0</v>
      </c>
      <c r="AI194">
        <f>IF($Y194="worse","Yes",IF($Y194="worse, not significant","Not sure",IF(OR($Y194="too few losses to test",$Y194="too few loans to test"),"Too few losses",IF($Y194="","","No"))))</f>
        <v/>
      </c>
      <c r="AJ194">
        <f>IF($AA194="yes","Yes",IF($AA194="","","No"))</f>
        <v/>
      </c>
      <c r="AM194">
        <f>IF(AND(ISNUMBER($AC194),ISNUMBER(IF($V194,IF($AL194="","",$AL194),IF($AK194="","",$AK194)))),IF(AND(ABS($AC194-significance_bar)&lt;=2.0*IF($V194,IF($AL194="","",$AL194),IF($AK194="","",$AK194)),OR($Y194="worse",$Y194="better",$Y194="worse, not significant",$Y194="better, not significant")),IF(ROUND($AC194,3)=ROUND(significance_bar,3),TEXT($AC194,"0.0000"),TEXT($AC194,"0.000")),""),"")</f>
        <v/>
      </c>
      <c r="AN194">
        <f>IF(AND(ISNUMBER($AC194),ISNUMBER(IF($V194,IF($AL194="","",$AL194),IF($AK194="","",$AK194)))),IF(AND(ABS($AC194-significance_bar)&lt;=2.0*IF($V194,IF($AL194="","",$AL194),IF($AK194="","",$AK194)),OR($Y194="worse",$Y194="worse, not significant")),IF(ROUND($AC194,3)=ROUND(significance_bar,3),TEXT($AC194,"0.0000"),TEXT($AC194,"0.000")),""),"")</f>
        <v/>
      </c>
      <c r="AO194">
        <f>IF(OR($AI194="",$AN194=""),$AI194,$AI194&amp;" · borderline (p "&amp;$AN194&amp;")")</f>
        <v/>
      </c>
    </row>
    <row r="195">
      <c r="A195" t="inlineStr">
        <is>
          <t>three-way</t>
        </is>
      </c>
      <c r="B195" t="inlineStr">
        <is>
          <t>FICO x CHANNEL / REV_DEBT</t>
        </is>
      </c>
      <c r="C195" t="inlineStr">
        <is>
          <t>(blank)</t>
        </is>
      </c>
      <c r="D195" t="inlineStr">
        <is>
          <t>Broker / REV_DEBT low half</t>
        </is>
      </c>
      <c r="E195" t="inlineStr">
        <is>
          <t>outcome_booked</t>
        </is>
      </c>
      <c r="F195" t="inlineStr">
        <is>
          <t>Outcome, share of booked dollars</t>
        </is>
      </c>
      <c r="G195" t="n">
        <v>1</v>
      </c>
      <c r="H195" t="n">
        <v>27999.47</v>
      </c>
      <c r="I195" t="b">
        <v>1</v>
      </c>
      <c r="J195" t="b">
        <v>1</v>
      </c>
      <c r="K195" t="n">
        <v>0</v>
      </c>
      <c r="O195" t="n">
        <v>-2095.396036050188</v>
      </c>
      <c r="Q195">
        <f>'_live'!$C$21</f>
        <v/>
      </c>
      <c r="T195" t="n">
        <v>0.07483698927337509</v>
      </c>
      <c r="V195">
        <f>AND(judged_band,NOT($J195))</f>
        <v/>
      </c>
      <c r="W195">
        <f>IF($K195="","",IF($I195,"too few losses to test",IF(AND($K195&gt;better_at,$K195&lt;worse_at),"in line",IF($K195&gt;=worse_at,IF(AND(ISNUMBER($L195),$L195&lt;significance_bar),"worse","worse, not significant"),IF(AND(ISNUMBER($L195),$L195&lt;significance_bar),"better","better, not significant")))))</f>
        <v/>
      </c>
      <c r="X195">
        <f>IF($M195="","",IF($I195,"too few losses to test",IF(AND($M195&gt;better_at,$M195&lt;worse_at),"in line",IF($M195&gt;=worse_at,IF(AND(ISNUMBER($N195),$N195&lt;significance_bar),"worse","worse, not significant"),IF(AND(ISNUMBER($N195),$N195&lt;significance_bar),"better","better, not significant")))))</f>
        <v/>
      </c>
      <c r="Y195">
        <f>IF($V195,$X195,$W195)</f>
        <v/>
      </c>
      <c r="Z195">
        <f>IF($V195,IF($P195="","",$P195),IF($O195="","",$O195))</f>
        <v/>
      </c>
      <c r="AA195">
        <f>IF(OR($Q195="",$Z195=""),"",IF(AND($Z195&gt;0,$Z195&gt;=$Q195),"yes","below the line"))</f>
        <v/>
      </c>
      <c r="AB195">
        <f>IF($V195,IF($M195="","",$M195),IF($K195="","",$K195))</f>
        <v/>
      </c>
      <c r="AC195">
        <f>IF($V195,IF($N195="","",$N195),IF($L195="","",$L195))</f>
        <v/>
      </c>
      <c r="AD195">
        <f>$Y195</f>
        <v/>
      </c>
      <c r="AE195">
        <f>IF($V195,IF($S195="","",$S195),IF($R195="","",$R195))</f>
        <v/>
      </c>
      <c r="AF195">
        <f>IF($V195,IF($U195="","",$U195),IF($T195="","",$T195))</f>
        <v/>
      </c>
      <c r="AG195">
        <f>IF($V195,IF($O195="","",$O195),IF($P195="","",$P195))</f>
        <v/>
      </c>
      <c r="AH195" t="n">
        <v>0</v>
      </c>
      <c r="AI195">
        <f>IF($Y195="worse","Yes",IF($Y195="worse, not significant","Not sure",IF(OR($Y195="too few losses to test",$Y195="too few loans to test"),"Too few losses",IF($Y195="","","No"))))</f>
        <v/>
      </c>
      <c r="AJ195">
        <f>IF($AA195="yes","Yes",IF($AA195="","","No"))</f>
        <v/>
      </c>
      <c r="AM195">
        <f>IF(AND(ISNUMBER($AC195),ISNUMBER(IF($V195,IF($AL195="","",$AL195),IF($AK195="","",$AK195)))),IF(AND(ABS($AC195-significance_bar)&lt;=2.0*IF($V195,IF($AL195="","",$AL195),IF($AK195="","",$AK195)),OR($Y195="worse",$Y195="better",$Y195="worse, not significant",$Y195="better, not significant")),IF(ROUND($AC195,3)=ROUND(significance_bar,3),TEXT($AC195,"0.0000"),TEXT($AC195,"0.000")),""),"")</f>
        <v/>
      </c>
      <c r="AN195">
        <f>IF(AND(ISNUMBER($AC195),ISNUMBER(IF($V195,IF($AL195="","",$AL195),IF($AK195="","",$AK195)))),IF(AND(ABS($AC195-significance_bar)&lt;=2.0*IF($V195,IF($AL195="","",$AL195),IF($AK195="","",$AK195)),OR($Y195="worse",$Y195="worse, not significant")),IF(ROUND($AC195,3)=ROUND(significance_bar,3),TEXT($AC195,"0.0000"),TEXT($AC195,"0.000")),""),"")</f>
        <v/>
      </c>
      <c r="AO195">
        <f>IF(OR($AI195="",$AN195=""),$AI195,$AI195&amp;" · borderline (p "&amp;$AN195&amp;")")</f>
        <v/>
      </c>
    </row>
    <row r="196">
      <c r="A196" t="inlineStr">
        <is>
          <t>three-way</t>
        </is>
      </c>
      <c r="B196" t="inlineStr">
        <is>
          <t>FICO x CHANNEL / REV_DEBT</t>
        </is>
      </c>
      <c r="C196" t="inlineStr">
        <is>
          <t>(blank)</t>
        </is>
      </c>
      <c r="D196" t="inlineStr">
        <is>
          <t>Broker / REV_DEBT low half</t>
        </is>
      </c>
      <c r="E196" t="inlineStr">
        <is>
          <t>gco_rate</t>
        </is>
      </c>
      <c r="F196" t="inlineStr">
        <is>
          <t>GCO per booked dollar</t>
        </is>
      </c>
      <c r="G196" t="n">
        <v>1</v>
      </c>
      <c r="H196" t="n">
        <v>27999.47</v>
      </c>
      <c r="I196" t="b">
        <v>1</v>
      </c>
      <c r="J196" t="b">
        <v>1</v>
      </c>
      <c r="K196" t="n">
        <v>0</v>
      </c>
      <c r="O196" t="n">
        <v>-1165.051801786329</v>
      </c>
      <c r="Q196">
        <f>'_live'!$C$22</f>
        <v/>
      </c>
      <c r="T196" t="n">
        <v>0.04160978053464329</v>
      </c>
      <c r="V196">
        <f>AND(judged_band,NOT($J196))</f>
        <v/>
      </c>
      <c r="W196">
        <f>IF($K196="","",IF($I196,"too few losses to test",IF(AND($K196&gt;better_at,$K196&lt;worse_at),"in line",IF($K196&gt;=worse_at,IF(AND(ISNUMBER($L196),$L196&lt;significance_bar),"worse","worse, not significant"),IF(AND(ISNUMBER($L196),$L196&lt;significance_bar),"better","better, not significant")))))</f>
        <v/>
      </c>
      <c r="X196">
        <f>IF($M196="","",IF($I196,"too few losses to test",IF(AND($M196&gt;better_at,$M196&lt;worse_at),"in line",IF($M196&gt;=worse_at,IF(AND(ISNUMBER($N196),$N196&lt;significance_bar),"worse","worse, not significant"),IF(AND(ISNUMBER($N196),$N196&lt;significance_bar),"better","better, not significant")))))</f>
        <v/>
      </c>
      <c r="Y196">
        <f>IF($V196,$X196,$W196)</f>
        <v/>
      </c>
      <c r="Z196">
        <f>IF($V196,IF($P196="","",$P196),IF($O196="","",$O196))</f>
        <v/>
      </c>
      <c r="AA196">
        <f>IF(OR($Q196="",$Z196=""),"",IF(AND($Z196&gt;0,$Z196&gt;=$Q196),"yes","below the line"))</f>
        <v/>
      </c>
      <c r="AB196">
        <f>IF($V196,IF($M196="","",$M196),IF($K196="","",$K196))</f>
        <v/>
      </c>
      <c r="AC196">
        <f>IF($V196,IF($N196="","",$N196),IF($L196="","",$L196))</f>
        <v/>
      </c>
      <c r="AD196">
        <f>$Y196</f>
        <v/>
      </c>
      <c r="AE196">
        <f>IF($V196,IF($S196="","",$S196),IF($R196="","",$R196))</f>
        <v/>
      </c>
      <c r="AF196">
        <f>IF($V196,IF($U196="","",$U196),IF($T196="","",$T196))</f>
        <v/>
      </c>
      <c r="AG196">
        <f>IF($V196,IF($O196="","",$O196),IF($P196="","",$P196))</f>
        <v/>
      </c>
      <c r="AH196" t="n">
        <v>0</v>
      </c>
      <c r="AI196">
        <f>IF($Y196="worse","Yes",IF($Y196="worse, not significant","Not sure",IF(OR($Y196="too few losses to test",$Y196="too few loans to test"),"Too few losses",IF($Y196="","","No"))))</f>
        <v/>
      </c>
      <c r="AJ196">
        <f>IF($AA196="yes","Yes",IF($AA196="","","No"))</f>
        <v/>
      </c>
      <c r="AM196">
        <f>IF(AND(ISNUMBER($AC196),ISNUMBER(IF($V196,IF($AL196="","",$AL196),IF($AK196="","",$AK196)))),IF(AND(ABS($AC196-significance_bar)&lt;=2.0*IF($V196,IF($AL196="","",$AL196),IF($AK196="","",$AK196)),OR($Y196="worse",$Y196="better",$Y196="worse, not significant",$Y196="better, not significant")),IF(ROUND($AC196,3)=ROUND(significance_bar,3),TEXT($AC196,"0.0000"),TEXT($AC196,"0.000")),""),"")</f>
        <v/>
      </c>
      <c r="AN196">
        <f>IF(AND(ISNUMBER($AC196),ISNUMBER(IF($V196,IF($AL196="","",$AL196),IF($AK196="","",$AK196)))),IF(AND(ABS($AC196-significance_bar)&lt;=2.0*IF($V196,IF($AL196="","",$AL196),IF($AK196="","",$AK196)),OR($Y196="worse",$Y196="worse, not significant")),IF(ROUND($AC196,3)=ROUND(significance_bar,3),TEXT($AC196,"0.0000"),TEXT($AC196,"0.000")),""),"")</f>
        <v/>
      </c>
      <c r="AO196">
        <f>IF(OR($AI196="",$AN196=""),$AI196,$AI196&amp;" · borderline (p "&amp;$AN196&amp;")")</f>
        <v/>
      </c>
    </row>
    <row r="197">
      <c r="A197" t="inlineStr">
        <is>
          <t>three-way</t>
        </is>
      </c>
      <c r="B197" t="inlineStr">
        <is>
          <t>FICO x CHANNEL / REV_DEBT</t>
        </is>
      </c>
      <c r="C197" t="inlineStr">
        <is>
          <t>(blank)</t>
        </is>
      </c>
      <c r="D197" t="inlineStr">
        <is>
          <t>Broker / REV_DEBT low half</t>
        </is>
      </c>
      <c r="E197" t="inlineStr">
        <is>
          <t>ranr_rate</t>
        </is>
      </c>
      <c r="F197" t="inlineStr">
        <is>
          <t>Profit after losses: RANR per booked dollar</t>
        </is>
      </c>
      <c r="G197" t="n">
        <v>1</v>
      </c>
      <c r="H197" t="n">
        <v>27999.47</v>
      </c>
      <c r="I197" t="b">
        <v>0</v>
      </c>
      <c r="J197" t="b">
        <v>1</v>
      </c>
      <c r="K197" t="n">
        <v>0.01230822708383753</v>
      </c>
      <c r="L197" t="n">
        <v>0.9415058494150585</v>
      </c>
      <c r="O197" t="n">
        <v>-344.6238349870969</v>
      </c>
      <c r="Q197">
        <f>'_live'!$C$23</f>
        <v/>
      </c>
      <c r="R197" t="inlineStr">
        <is>
          <t>shuffled: 9,251 of 10,000</t>
        </is>
      </c>
      <c r="S197" t="inlineStr">
        <is>
          <t>10,000 shuffles</t>
        </is>
      </c>
      <c r="T197" t="n">
        <v>0.1279887142511234</v>
      </c>
      <c r="V197">
        <f>AND(judged_band,NOT($J197))</f>
        <v/>
      </c>
      <c r="W197">
        <f>IF($K197="","",IF(profit_kind="test",IF(OR(NOT(AND(ISNUMBER($L197),$L197&lt;significance_bar)),$K197=0),"in line",IF($K197&lt;0,"worse","better")),IF(OR($K197=0,IF(profit_kind="points",ABS($K197),ABS($K197*$H197))&lt;profit_line*(1-1E-9)),"in line",IF(AND(ISNUMBER($L197),$L197&lt;significance_bar),IF($K197&lt;0,"worse","better"),IF($K197&lt;0,"worse, not significant","better, not significant")))))</f>
        <v/>
      </c>
      <c r="X197">
        <f>IF($M197="","",IF(profit_kind="test",IF(OR(NOT(AND(ISNUMBER($N197),$N197&lt;significance_bar)),$M197=0),"in line",IF($M197&lt;0,"worse","better")),IF(OR($M197=0,IF(profit_kind="points",ABS($M197),ABS($M197*$H197))&lt;profit_line*(1-1E-9)),"in line",IF(AND(ISNUMBER($N197),$N197&lt;significance_bar),IF($M197&lt;0,"worse","better"),IF($M197&lt;0,"worse, not significant","better, not significant")))))</f>
        <v/>
      </c>
      <c r="Y197">
        <f>IF($V197,$X197,$W197)</f>
        <v/>
      </c>
      <c r="Z197">
        <f>IF($V197,IF($P197="","",$P197),IF($O197="","",$O197))</f>
        <v/>
      </c>
      <c r="AA197">
        <f>IF(OR($Q197="",$Z197=""),"",IF(AND($Z197&gt;0,$Z197&gt;=$Q197),"yes","below the line"))</f>
        <v/>
      </c>
      <c r="AB197">
        <f>IF($V197,IF($M197="","",$M197),IF($K197="","",$K197))</f>
        <v/>
      </c>
      <c r="AC197">
        <f>IF($V197,IF($N197="","",$N197),IF($L197="","",$L197))</f>
        <v/>
      </c>
      <c r="AD197">
        <f>IF($Y197="","",IF($Y197="in line",IF(profit_kind="test",IF(ROUND($AB197*100,2)=0,"0.00",TEXT($AB197*100,"+0.00;-0.00"))&amp;" points against "&amp;IF($V197,"its band","the book")&amp;", "&amp;IF($AC197="","not tested","not significant"),IF(profit_kind="points","within "&amp;TEXT(profit_line*100,"0.00")&amp;" points of "&amp;IF($V197,"its band","the book")&amp;" ("&amp;IF(ROUND($AB197*100,2)=0,"0.00",TEXT($AB197*100,"+0.00;-0.00"))&amp;")","within $"&amp;TEXT(profit_line,"#,##0")&amp;" of "&amp;IF($V197,"its band","the book")&amp;" ("&amp;IF(ROUND($AB197*100,2)=0,"0.00",TEXT($AB197*100,"+0.00;-0.00"))&amp;" points)")),IF(LEFT($Y197,5)="worse","short of ","ahead of ")&amp;IF($V197,"its band","the book")&amp;" by "&amp;TEXT(ABS($AB197)*100,"0.00")&amp;" points"&amp;IF($Z197="",""," ($"&amp;TEXT(ABS($Z197),"#,##0")&amp;")")&amp;IF(RIGHT($Y197,15)="not significant"," (not significant)","")))</f>
        <v/>
      </c>
      <c r="AE197">
        <f>IF($V197,IF($S197="","",$S197),IF($R197="","",$R197))</f>
        <v/>
      </c>
      <c r="AF197">
        <f>IF($V197,IF($U197="","",$U197),IF($T197="","",$T197))</f>
        <v/>
      </c>
      <c r="AG197">
        <f>IF($V197,IF($O197="","",$O197),IF($P197="","",$P197))</f>
        <v/>
      </c>
      <c r="AH197" t="n">
        <v>0.140296941334961</v>
      </c>
      <c r="AI197">
        <f>IF($Y197="worse","Yes",IF($Y197="worse, not significant","Not sure",IF(OR($Y197="too few losses to test",$Y197="too few loans to test"),"Too few losses",IF($Y197="","","No"))))</f>
        <v/>
      </c>
      <c r="AJ197">
        <f>IF($AA197="yes","Yes",IF($AA197="","","No"))</f>
        <v/>
      </c>
      <c r="AK197" t="n">
        <v>0.002346754885630104</v>
      </c>
      <c r="AM197">
        <f>IF(AND(ISNUMBER($AC197),ISNUMBER(IF($V197,IF($AL197="","",$AL197),IF($AK197="","",$AK197)))),IF(AND(ABS($AC197-significance_bar)&lt;=2.0*IF($V197,IF($AL197="","",$AL197),IF($AK197="","",$AK197)),OR($Y197="worse",$Y197="better",$Y197="worse, not significant",$Y197="better, not significant",AND(profit_kind="test",$Y197="in line",ISNUMBER($AB197),$AB197&lt;&gt;0))),IF(ROUND($AC197,3)=ROUND(significance_bar,3),TEXT($AC197,"0.0000"),TEXT($AC197,"0.000")),""),"")</f>
        <v/>
      </c>
      <c r="AN197">
        <f>IF(AND(ISNUMBER($AC197),ISNUMBER(IF($V197,IF($AL197="","",$AL197),IF($AK197="","",$AK197)))),IF(AND(ABS($AC197-significance_bar)&lt;=2.0*IF($V197,IF($AL197="","",$AL197),IF($AK197="","",$AK197)),OR($Y197="worse",$Y197="worse, not significant",AND(profit_kind="test",$Y197="in line",ISNUMBER($AB197),$AB197&lt;0))),IF(ROUND($AC197,3)=ROUND(significance_bar,3),TEXT($AC197,"0.0000"),TEXT($AC197,"0.000")),""),"")</f>
        <v/>
      </c>
      <c r="AO197">
        <f>IF(OR($AI197="",$AN197=""),$AI197,$AI197&amp;" · borderline (p "&amp;$AN197&amp;")")</f>
        <v/>
      </c>
    </row>
    <row r="198">
      <c r="A198" t="inlineStr">
        <is>
          <t>three-way</t>
        </is>
      </c>
      <c r="B198" t="inlineStr">
        <is>
          <t>FICO x CHANNEL / REV_DEBT</t>
        </is>
      </c>
      <c r="C198" t="inlineStr">
        <is>
          <t>(blank)</t>
        </is>
      </c>
      <c r="D198" t="inlineStr">
        <is>
          <t>Broker / REV_DEBT low half</t>
        </is>
      </c>
      <c r="E198" t="inlineStr">
        <is>
          <t>contribution_rate</t>
        </is>
      </c>
      <c r="F198" t="inlineStr">
        <is>
          <t>Contribution before losses per booked dollar</t>
        </is>
      </c>
      <c r="G198" t="n">
        <v>1</v>
      </c>
      <c r="H198" t="n">
        <v>27999.47</v>
      </c>
      <c r="I198" t="b">
        <v>0</v>
      </c>
      <c r="J198" t="b">
        <v>1</v>
      </c>
      <c r="K198" t="n">
        <v>-0.02929869368860016</v>
      </c>
      <c r="L198" t="n">
        <v>0.8505149485051495</v>
      </c>
      <c r="O198" t="n">
        <v>820.3478949731489</v>
      </c>
      <c r="Q198">
        <f>'_live'!$C$24</f>
        <v/>
      </c>
      <c r="R198" t="inlineStr">
        <is>
          <t>shuffled: 8,505 of 10,000</t>
        </is>
      </c>
      <c r="S198" t="inlineStr">
        <is>
          <t>10,000 shuffles</t>
        </is>
      </c>
      <c r="T198" t="n">
        <v>0.1695956350235611</v>
      </c>
      <c r="V198">
        <f>AND(judged_band,NOT($J198))</f>
        <v/>
      </c>
      <c r="W198">
        <f>IF($K198="","",IF(profit_kind="test",IF(OR(NOT(AND(ISNUMBER($L198),$L198&lt;significance_bar)),$K198=0),"in line",IF($K198&lt;0,"worse","better")),IF(OR($K198=0,IF(profit_kind="points",ABS($K198),ABS($K198*$H198))&lt;profit_line*(1-1E-9)),"in line",IF(AND(ISNUMBER($L198),$L198&lt;significance_bar),IF($K198&lt;0,"worse","better"),IF($K198&lt;0,"worse, not significant","better, not significant")))))</f>
        <v/>
      </c>
      <c r="X198">
        <f>IF($M198="","",IF(profit_kind="test",IF(OR(NOT(AND(ISNUMBER($N198),$N198&lt;significance_bar)),$M198=0),"in line",IF($M198&lt;0,"worse","better")),IF(OR($M198=0,IF(profit_kind="points",ABS($M198),ABS($M198*$H198))&lt;profit_line*(1-1E-9)),"in line",IF(AND(ISNUMBER($N198),$N198&lt;significance_bar),IF($M198&lt;0,"worse","better"),IF($M198&lt;0,"worse, not significant","better, not significant")))))</f>
        <v/>
      </c>
      <c r="Y198">
        <f>IF($V198,$X198,$W198)</f>
        <v/>
      </c>
      <c r="Z198">
        <f>IF($V198,IF($P198="","",$P198),IF($O198="","",$O198))</f>
        <v/>
      </c>
      <c r="AA198">
        <f>IF(OR($Q198="",$Z198=""),"",IF(AND($Z198&gt;0,$Z198&gt;=$Q198),"yes","below the line"))</f>
        <v/>
      </c>
      <c r="AB198">
        <f>IF($V198,IF($M198="","",$M198),IF($K198="","",$K198))</f>
        <v/>
      </c>
      <c r="AC198">
        <f>IF($V198,IF($N198="","",$N198),IF($L198="","",$L198))</f>
        <v/>
      </c>
      <c r="AD198">
        <f>IF($Y198="","",IF($Y198="in line",IF(profit_kind="test",IF(ROUND($AB198*100,2)=0,"0.00",TEXT($AB198*100,"+0.00;-0.00"))&amp;" points against "&amp;IF($V198,"its band","the book")&amp;", "&amp;IF($AC198="","not tested","not significant"),IF(profit_kind="points","within "&amp;TEXT(profit_line*100,"0.00")&amp;" points of "&amp;IF($V198,"its band","the book")&amp;" ("&amp;IF(ROUND($AB198*100,2)=0,"0.00",TEXT($AB198*100,"+0.00;-0.00"))&amp;")","within $"&amp;TEXT(profit_line,"#,##0")&amp;" of "&amp;IF($V198,"its band","the book")&amp;" ("&amp;IF(ROUND($AB198*100,2)=0,"0.00",TEXT($AB198*100,"+0.00;-0.00"))&amp;" points)")),IF(LEFT($Y198,5)="worse","short of ","ahead of ")&amp;IF($V198,"its band","the book")&amp;" by "&amp;TEXT(ABS($AB198)*100,"0.00")&amp;" points"&amp;IF($Z198="",""," ($"&amp;TEXT(ABS($Z198),"#,##0")&amp;")")&amp;IF(RIGHT($Y198,15)="not significant"," (not significant)","")))</f>
        <v/>
      </c>
      <c r="AE198">
        <f>IF($V198,IF($S198="","",$S198),IF($R198="","",$R198))</f>
        <v/>
      </c>
      <c r="AF198">
        <f>IF($V198,IF($U198="","",$U198),IF($T198="","",$T198))</f>
        <v/>
      </c>
      <c r="AG198">
        <f>IF($V198,IF($O198="","",$O198),IF($P198="","",$P198))</f>
        <v/>
      </c>
      <c r="AH198" t="n">
        <v>0.140296941334961</v>
      </c>
      <c r="AI198">
        <f>IF($Y198="worse","Yes",IF($Y198="worse, not significant","Not sure",IF(OR($Y198="too few losses to test",$Y198="too few loans to test"),"Too few losses",IF($Y198="","","No"))))</f>
        <v/>
      </c>
      <c r="AJ198">
        <f>IF($AA198="yes","Yes",IF($AA198="","","No"))</f>
        <v/>
      </c>
      <c r="AK198" t="n">
        <v>0.003565659418318474</v>
      </c>
      <c r="AM198">
        <f>IF(AND(ISNUMBER($AC198),ISNUMBER(IF($V198,IF($AL198="","",$AL198),IF($AK198="","",$AK198)))),IF(AND(ABS($AC198-significance_bar)&lt;=2.0*IF($V198,IF($AL198="","",$AL198),IF($AK198="","",$AK198)),OR($Y198="worse",$Y198="better",$Y198="worse, not significant",$Y198="better, not significant",AND(profit_kind="test",$Y198="in line",ISNUMBER($AB198),$AB198&lt;&gt;0))),IF(ROUND($AC198,3)=ROUND(significance_bar,3),TEXT($AC198,"0.0000"),TEXT($AC198,"0.000")),""),"")</f>
        <v/>
      </c>
      <c r="AN198">
        <f>IF(AND(ISNUMBER($AC198),ISNUMBER(IF($V198,IF($AL198="","",$AL198),IF($AK198="","",$AK198)))),IF(AND(ABS($AC198-significance_bar)&lt;=2.0*IF($V198,IF($AL198="","",$AL198),IF($AK198="","",$AK198)),OR($Y198="worse",$Y198="worse, not significant",AND(profit_kind="test",$Y198="in line",ISNUMBER($AB198),$AB198&lt;0))),IF(ROUND($AC198,3)=ROUND(significance_bar,3),TEXT($AC198,"0.0000"),TEXT($AC198,"0.000")),""),"")</f>
        <v/>
      </c>
      <c r="AO198">
        <f>IF(OR($AI198="",$AN198=""),$AI198,$AI198&amp;" · borderline (p "&amp;$AN198&amp;")")</f>
        <v/>
      </c>
    </row>
    <row r="199">
      <c r="A199" t="inlineStr">
        <is>
          <t>three-way</t>
        </is>
      </c>
      <c r="B199" t="inlineStr">
        <is>
          <t>FICO x CHANNEL / REV_DEBT</t>
        </is>
      </c>
      <c r="C199" t="inlineStr">
        <is>
          <t>712 - 745</t>
        </is>
      </c>
      <c r="D199" t="inlineStr">
        <is>
          <t>Branch / REV_DEBT low half</t>
        </is>
      </c>
      <c r="E199" t="inlineStr">
        <is>
          <t>outcome_loans</t>
        </is>
      </c>
      <c r="F199" t="inlineStr">
        <is>
          <t>Outcome, share of loans</t>
        </is>
      </c>
      <c r="G199" t="n">
        <v>269</v>
      </c>
      <c r="H199" t="n">
        <v>269</v>
      </c>
      <c r="I199" t="b">
        <v>1</v>
      </c>
      <c r="J199" t="b">
        <v>0</v>
      </c>
      <c r="K199" t="n">
        <v>0.3286804188837865</v>
      </c>
      <c r="M199" t="n">
        <v>0.4365241635687732</v>
      </c>
      <c r="O199" t="n">
        <v>-14.29728331177231</v>
      </c>
      <c r="P199" t="n">
        <v>-9.035767511177347</v>
      </c>
      <c r="Q199">
        <f>'_live'!$C$20</f>
        <v/>
      </c>
      <c r="T199" t="n">
        <v>0.07917205692108667</v>
      </c>
      <c r="U199" t="n">
        <v>0.05961251862891207</v>
      </c>
      <c r="V199">
        <f>AND(judged_band,NOT($J199))</f>
        <v/>
      </c>
      <c r="W199">
        <f>IF($K199="","",IF($I199,"too few losses to test",IF(AND($K199&gt;better_at,$K199&lt;worse_at),"in line",IF($K199&gt;=worse_at,IF(AND(ISNUMBER($L199),$L199&lt;significance_bar),"worse","worse, not significant"),IF(AND(ISNUMBER($L199),$L199&lt;significance_bar),"better","better, not significant")))))</f>
        <v/>
      </c>
      <c r="X199">
        <f>IF($M199="","",IF($I199,"too few losses to test",IF(AND($M199&gt;better_at,$M199&lt;worse_at),"in line",IF($M199&gt;=worse_at,IF(AND(ISNUMBER($N199),$N199&lt;significance_bar),"worse","worse, not significant"),IF(AND(ISNUMBER($N199),$N199&lt;significance_bar),"better","better, not significant")))))</f>
        <v/>
      </c>
      <c r="Y199">
        <f>IF($V199,$X199,$W199)</f>
        <v/>
      </c>
      <c r="Z199">
        <f>IF($V199,IF($P199="","",$P199),IF($O199="","",$O199))</f>
        <v/>
      </c>
      <c r="AA199">
        <f>IF(OR($Q199="",$Z199=""),"",IF(AND($Z199&gt;0,$Z199&gt;=$Q199),"yes","below the line"))</f>
        <v/>
      </c>
      <c r="AB199">
        <f>IF($V199,IF($M199="","",$M199),IF($K199="","",$K199))</f>
        <v/>
      </c>
      <c r="AC199">
        <f>IF($V199,IF($N199="","",$N199),IF($L199="","",$L199))</f>
        <v/>
      </c>
      <c r="AD199">
        <f>$Y199</f>
        <v/>
      </c>
      <c r="AE199">
        <f>IF($V199,IF($S199="","",$S199),IF($R199="","",$R199))</f>
        <v/>
      </c>
      <c r="AF199">
        <f>IF($V199,IF($U199="","",$U199),IF($T199="","",$T199))</f>
        <v/>
      </c>
      <c r="AG199">
        <f>IF($V199,IF($O199="","",$O199),IF($P199="","",$P199))</f>
        <v/>
      </c>
      <c r="AH199" t="n">
        <v>0.02602230483271376</v>
      </c>
      <c r="AI199">
        <f>IF($Y199="worse","Yes",IF($Y199="worse, not significant","Not sure",IF(OR($Y199="too few losses to test",$Y199="too few loans to test"),"Too few losses",IF($Y199="","","No"))))</f>
        <v/>
      </c>
      <c r="AJ199">
        <f>IF($AA199="yes","Yes",IF($AA199="","","No"))</f>
        <v/>
      </c>
      <c r="AM199">
        <f>IF(AND(ISNUMBER($AC199),ISNUMBER(IF($V199,IF($AL199="","",$AL199),IF($AK199="","",$AK199)))),IF(AND(ABS($AC199-significance_bar)&lt;=2.0*IF($V199,IF($AL199="","",$AL199),IF($AK199="","",$AK199)),OR($Y199="worse",$Y199="better",$Y199="worse, not significant",$Y199="better, not significant")),IF(ROUND($AC199,3)=ROUND(significance_bar,3),TEXT($AC199,"0.0000"),TEXT($AC199,"0.000")),""),"")</f>
        <v/>
      </c>
      <c r="AN199">
        <f>IF(AND(ISNUMBER($AC199),ISNUMBER(IF($V199,IF($AL199="","",$AL199),IF($AK199="","",$AK199)))),IF(AND(ABS($AC199-significance_bar)&lt;=2.0*IF($V199,IF($AL199="","",$AL199),IF($AK199="","",$AK199)),OR($Y199="worse",$Y199="worse, not significant")),IF(ROUND($AC199,3)=ROUND(significance_bar,3),TEXT($AC199,"0.0000"),TEXT($AC199,"0.000")),""),"")</f>
        <v/>
      </c>
      <c r="AO199">
        <f>IF(OR($AI199="",$AN199=""),$AI199,$AI199&amp;" · borderline (p "&amp;$AN199&amp;")")</f>
        <v/>
      </c>
    </row>
    <row r="200">
      <c r="A200" t="inlineStr">
        <is>
          <t>three-way</t>
        </is>
      </c>
      <c r="B200" t="inlineStr">
        <is>
          <t>FICO x CHANNEL / REV_DEBT</t>
        </is>
      </c>
      <c r="C200" t="inlineStr">
        <is>
          <t>712 - 745</t>
        </is>
      </c>
      <c r="D200" t="inlineStr">
        <is>
          <t>Branch / REV_DEBT low half</t>
        </is>
      </c>
      <c r="E200" t="inlineStr">
        <is>
          <t>outcome_booked</t>
        </is>
      </c>
      <c r="F200" t="inlineStr">
        <is>
          <t>Outcome, share of booked dollars</t>
        </is>
      </c>
      <c r="G200" t="n">
        <v>269</v>
      </c>
      <c r="H200" t="n">
        <v>8041844.839999998</v>
      </c>
      <c r="I200" t="b">
        <v>1</v>
      </c>
      <c r="J200" t="b">
        <v>0</v>
      </c>
      <c r="K200" t="n">
        <v>0.2896514029742804</v>
      </c>
      <c r="M200" t="n">
        <v>0.3660119099205772</v>
      </c>
      <c r="O200" t="n">
        <v>-437138.6350186922</v>
      </c>
      <c r="P200" t="n">
        <v>-308751.5760666598</v>
      </c>
      <c r="Q200">
        <f>'_live'!$C$21</f>
        <v/>
      </c>
      <c r="T200" t="n">
        <v>0.07652299780241624</v>
      </c>
      <c r="U200" t="n">
        <v>0.06055812139576917</v>
      </c>
      <c r="V200">
        <f>AND(judged_band,NOT($J200))</f>
        <v/>
      </c>
      <c r="W200">
        <f>IF($K200="","",IF($I200,"too few losses to test",IF(AND($K200&gt;better_at,$K200&lt;worse_at),"in line",IF($K200&gt;=worse_at,IF(AND(ISNUMBER($L200),$L200&lt;significance_bar),"worse","worse, not significant"),IF(AND(ISNUMBER($L200),$L200&lt;significance_bar),"better","better, not significant")))))</f>
        <v/>
      </c>
      <c r="X200">
        <f>IF($M200="","",IF($I200,"too few losses to test",IF(AND($M200&gt;better_at,$M200&lt;worse_at),"in line",IF($M200&gt;=worse_at,IF(AND(ISNUMBER($N200),$N200&lt;significance_bar),"worse","worse, not significant"),IF(AND(ISNUMBER($N200),$N200&lt;significance_bar),"better","better, not significant")))))</f>
        <v/>
      </c>
      <c r="Y200">
        <f>IF($V200,$X200,$W200)</f>
        <v/>
      </c>
      <c r="Z200">
        <f>IF($V200,IF($P200="","",$P200),IF($O200="","",$O200))</f>
        <v/>
      </c>
      <c r="AA200">
        <f>IF(OR($Q200="",$Z200=""),"",IF(AND($Z200&gt;0,$Z200&gt;=$Q200),"yes","below the line"))</f>
        <v/>
      </c>
      <c r="AB200">
        <f>IF($V200,IF($M200="","",$M200),IF($K200="","",$K200))</f>
        <v/>
      </c>
      <c r="AC200">
        <f>IF($V200,IF($N200="","",$N200),IF($L200="","",$L200))</f>
        <v/>
      </c>
      <c r="AD200">
        <f>$Y200</f>
        <v/>
      </c>
      <c r="AE200">
        <f>IF($V200,IF($S200="","",$S200),IF($R200="","",$R200))</f>
        <v/>
      </c>
      <c r="AF200">
        <f>IF($V200,IF($U200="","",$U200),IF($T200="","",$T200))</f>
        <v/>
      </c>
      <c r="AG200">
        <f>IF($V200,IF($O200="","",$O200),IF($P200="","",$P200))</f>
        <v/>
      </c>
      <c r="AH200" t="n">
        <v>0.02216499367326764</v>
      </c>
      <c r="AI200">
        <f>IF($Y200="worse","Yes",IF($Y200="worse, not significant","Not sure",IF(OR($Y200="too few losses to test",$Y200="too few loans to test"),"Too few losses",IF($Y200="","","No"))))</f>
        <v/>
      </c>
      <c r="AJ200">
        <f>IF($AA200="yes","Yes",IF($AA200="","","No"))</f>
        <v/>
      </c>
      <c r="AM200">
        <f>IF(AND(ISNUMBER($AC200),ISNUMBER(IF($V200,IF($AL200="","",$AL200),IF($AK200="","",$AK200)))),IF(AND(ABS($AC200-significance_bar)&lt;=2.0*IF($V200,IF($AL200="","",$AL200),IF($AK200="","",$AK200)),OR($Y200="worse",$Y200="better",$Y200="worse, not significant",$Y200="better, not significant")),IF(ROUND($AC200,3)=ROUND(significance_bar,3),TEXT($AC200,"0.0000"),TEXT($AC200,"0.000")),""),"")</f>
        <v/>
      </c>
      <c r="AN200">
        <f>IF(AND(ISNUMBER($AC200),ISNUMBER(IF($V200,IF($AL200="","",$AL200),IF($AK200="","",$AK200)))),IF(AND(ABS($AC200-significance_bar)&lt;=2.0*IF($V200,IF($AL200="","",$AL200),IF($AK200="","",$AK200)),OR($Y200="worse",$Y200="worse, not significant")),IF(ROUND($AC200,3)=ROUND(significance_bar,3),TEXT($AC200,"0.0000"),TEXT($AC200,"0.000")),""),"")</f>
        <v/>
      </c>
      <c r="AO200">
        <f>IF(OR($AI200="",$AN200=""),$AI200,$AI200&amp;" · borderline (p "&amp;$AN200&amp;")")</f>
        <v/>
      </c>
    </row>
    <row r="201">
      <c r="A201" t="inlineStr">
        <is>
          <t>three-way</t>
        </is>
      </c>
      <c r="B201" t="inlineStr">
        <is>
          <t>FICO x CHANNEL / REV_DEBT</t>
        </is>
      </c>
      <c r="C201" t="inlineStr">
        <is>
          <t>712 - 745</t>
        </is>
      </c>
      <c r="D201" t="inlineStr">
        <is>
          <t>Branch / REV_DEBT low half</t>
        </is>
      </c>
      <c r="E201" t="inlineStr">
        <is>
          <t>gco_rate</t>
        </is>
      </c>
      <c r="F201" t="inlineStr">
        <is>
          <t>GCO per booked dollar</t>
        </is>
      </c>
      <c r="G201" t="n">
        <v>268</v>
      </c>
      <c r="H201" t="n">
        <v>8002160.409999997</v>
      </c>
      <c r="I201" t="b">
        <v>1</v>
      </c>
      <c r="J201" t="b">
        <v>0</v>
      </c>
      <c r="K201" t="n">
        <v>0.2841775259524886</v>
      </c>
      <c r="M201" t="n">
        <v>0.359442082551502</v>
      </c>
      <c r="O201" t="n">
        <v>-243730.9337134981</v>
      </c>
      <c r="P201" t="n">
        <v>-172434.6474734515</v>
      </c>
      <c r="Q201">
        <f>'_live'!$C$22</f>
        <v/>
      </c>
      <c r="T201" t="n">
        <v>0.04254985357304256</v>
      </c>
      <c r="U201" t="n">
        <v>0.03364022384968057</v>
      </c>
      <c r="V201">
        <f>AND(judged_band,NOT($J201))</f>
        <v/>
      </c>
      <c r="W201">
        <f>IF($K201="","",IF($I201,"too few losses to test",IF(AND($K201&gt;better_at,$K201&lt;worse_at),"in line",IF($K201&gt;=worse_at,IF(AND(ISNUMBER($L201),$L201&lt;significance_bar),"worse","worse, not significant"),IF(AND(ISNUMBER($L201),$L201&lt;significance_bar),"better","better, not significant")))))</f>
        <v/>
      </c>
      <c r="X201">
        <f>IF($M201="","",IF($I201,"too few losses to test",IF(AND($M201&gt;better_at,$M201&lt;worse_at),"in line",IF($M201&gt;=worse_at,IF(AND(ISNUMBER($N201),$N201&lt;significance_bar),"worse","worse, not significant"),IF(AND(ISNUMBER($N201),$N201&lt;significance_bar),"better","better, not significant")))))</f>
        <v/>
      </c>
      <c r="Y201">
        <f>IF($V201,$X201,$W201)</f>
        <v/>
      </c>
      <c r="Z201">
        <f>IF($V201,IF($P201="","",$P201),IF($O201="","",$O201))</f>
        <v/>
      </c>
      <c r="AA201">
        <f>IF(OR($Q201="",$Z201=""),"",IF(AND($Z201&gt;0,$Z201&gt;=$Q201),"yes","below the line"))</f>
        <v/>
      </c>
      <c r="AB201">
        <f>IF($V201,IF($M201="","",$M201),IF($K201="","",$K201))</f>
        <v/>
      </c>
      <c r="AC201">
        <f>IF($V201,IF($N201="","",$N201),IF($L201="","",$L201))</f>
        <v/>
      </c>
      <c r="AD201">
        <f>$Y201</f>
        <v/>
      </c>
      <c r="AE201">
        <f>IF($V201,IF($S201="","",$S201),IF($R201="","",$R201))</f>
        <v/>
      </c>
      <c r="AF201">
        <f>IF($V201,IF($U201="","",$U201),IF($T201="","",$T201))</f>
        <v/>
      </c>
      <c r="AG201">
        <f>IF($V201,IF($O201="","",$O201),IF($P201="","",$P201))</f>
        <v/>
      </c>
      <c r="AH201" t="n">
        <v>0.01209171211802789</v>
      </c>
      <c r="AI201">
        <f>IF($Y201="worse","Yes",IF($Y201="worse, not significant","Not sure",IF(OR($Y201="too few losses to test",$Y201="too few loans to test"),"Too few losses",IF($Y201="","","No"))))</f>
        <v/>
      </c>
      <c r="AJ201">
        <f>IF($AA201="yes","Yes",IF($AA201="","","No"))</f>
        <v/>
      </c>
      <c r="AM201">
        <f>IF(AND(ISNUMBER($AC201),ISNUMBER(IF($V201,IF($AL201="","",$AL201),IF($AK201="","",$AK201)))),IF(AND(ABS($AC201-significance_bar)&lt;=2.0*IF($V201,IF($AL201="","",$AL201),IF($AK201="","",$AK201)),OR($Y201="worse",$Y201="better",$Y201="worse, not significant",$Y201="better, not significant")),IF(ROUND($AC201,3)=ROUND(significance_bar,3),TEXT($AC201,"0.0000"),TEXT($AC201,"0.000")),""),"")</f>
        <v/>
      </c>
      <c r="AN201">
        <f>IF(AND(ISNUMBER($AC201),ISNUMBER(IF($V201,IF($AL201="","",$AL201),IF($AK201="","",$AK201)))),IF(AND(ABS($AC201-significance_bar)&lt;=2.0*IF($V201,IF($AL201="","",$AL201),IF($AK201="","",$AK201)),OR($Y201="worse",$Y201="worse, not significant")),IF(ROUND($AC201,3)=ROUND(significance_bar,3),TEXT($AC201,"0.0000"),TEXT($AC201,"0.000")),""),"")</f>
        <v/>
      </c>
      <c r="AO201">
        <f>IF(OR($AI201="",$AN201=""),$AI201,$AI201&amp;" · borderline (p "&amp;$AN201&amp;")")</f>
        <v/>
      </c>
    </row>
    <row r="202">
      <c r="A202" t="inlineStr">
        <is>
          <t>three-way</t>
        </is>
      </c>
      <c r="B202" t="inlineStr">
        <is>
          <t>FICO x CHANNEL / REV_DEBT</t>
        </is>
      </c>
      <c r="C202" t="inlineStr">
        <is>
          <t>712 - 745</t>
        </is>
      </c>
      <c r="D202" t="inlineStr">
        <is>
          <t>Branch / REV_DEBT low half</t>
        </is>
      </c>
      <c r="E202" t="inlineStr">
        <is>
          <t>ranr_rate</t>
        </is>
      </c>
      <c r="F202" t="inlineStr">
        <is>
          <t>Profit after losses: RANR per booked dollar</t>
        </is>
      </c>
      <c r="G202" t="n">
        <v>269</v>
      </c>
      <c r="H202" t="n">
        <v>8041844.839999998</v>
      </c>
      <c r="I202" t="b">
        <v>0</v>
      </c>
      <c r="J202" t="b">
        <v>0</v>
      </c>
      <c r="K202" t="n">
        <v>-0.02839682227901512</v>
      </c>
      <c r="L202" t="n">
        <v>0.03747886080957122</v>
      </c>
      <c r="M202" t="n">
        <v>0.005350741765177483</v>
      </c>
      <c r="N202" t="n">
        <v>0.8927107289271073</v>
      </c>
      <c r="O202" t="n">
        <v>228362.8387168947</v>
      </c>
      <c r="P202" t="n">
        <v>-43029.83505446499</v>
      </c>
      <c r="Q202">
        <f>'_live'!$C$23</f>
        <v/>
      </c>
      <c r="R202" t="inlineStr">
        <is>
          <t>shuffled: 232 of 10,000</t>
        </is>
      </c>
      <c r="S202" t="inlineStr">
        <is>
          <t>shuffled: 6,220 of 10,000</t>
        </is>
      </c>
      <c r="T202" t="n">
        <v>0.1288749421727086</v>
      </c>
      <c r="U202" t="n">
        <v>0.09512737812851602</v>
      </c>
      <c r="V202">
        <f>AND(judged_band,NOT($J202))</f>
        <v/>
      </c>
      <c r="W202">
        <f>IF($K202="","",IF(profit_kind="test",IF(OR(NOT(AND(ISNUMBER($L202),$L202&lt;significance_bar)),$K202=0),"in line",IF($K202&lt;0,"worse","better")),IF(OR($K202=0,IF(profit_kind="points",ABS($K202),ABS($K202*$H202))&lt;profit_line*(1-1E-9)),"in line",IF(AND(ISNUMBER($L202),$L202&lt;significance_bar),IF($K202&lt;0,"worse","better"),IF($K202&lt;0,"worse, not significant","better, not significant")))))</f>
        <v/>
      </c>
      <c r="X202">
        <f>IF($M202="","",IF(profit_kind="test",IF(OR(NOT(AND(ISNUMBER($N202),$N202&lt;significance_bar)),$M202=0),"in line",IF($M202&lt;0,"worse","better")),IF(OR($M202=0,IF(profit_kind="points",ABS($M202),ABS($M202*$H202))&lt;profit_line*(1-1E-9)),"in line",IF(AND(ISNUMBER($N202),$N202&lt;significance_bar),IF($M202&lt;0,"worse","better"),IF($M202&lt;0,"worse, not significant","better, not significant")))))</f>
        <v/>
      </c>
      <c r="Y202">
        <f>IF($V202,$X202,$W202)</f>
        <v/>
      </c>
      <c r="Z202">
        <f>IF($V202,IF($P202="","",$P202),IF($O202="","",$O202))</f>
        <v/>
      </c>
      <c r="AA202">
        <f>IF(OR($Q202="",$Z202=""),"",IF(AND($Z202&gt;0,$Z202&gt;=$Q202),"yes","below the line"))</f>
        <v/>
      </c>
      <c r="AB202">
        <f>IF($V202,IF($M202="","",$M202),IF($K202="","",$K202))</f>
        <v/>
      </c>
      <c r="AC202">
        <f>IF($V202,IF($N202="","",$N202),IF($L202="","",$L202))</f>
        <v/>
      </c>
      <c r="AD202">
        <f>IF($Y202="","",IF($Y202="in line",IF(profit_kind="test",IF(ROUND($AB202*100,2)=0,"0.00",TEXT($AB202*100,"+0.00;-0.00"))&amp;" points against "&amp;IF($V202,"its band","the book")&amp;", "&amp;IF($AC202="","not tested","not significant"),IF(profit_kind="points","within "&amp;TEXT(profit_line*100,"0.00")&amp;" points of "&amp;IF($V202,"its band","the book")&amp;" ("&amp;IF(ROUND($AB202*100,2)=0,"0.00",TEXT($AB202*100,"+0.00;-0.00"))&amp;")","within $"&amp;TEXT(profit_line,"#,##0")&amp;" of "&amp;IF($V202,"its band","the book")&amp;" ("&amp;IF(ROUND($AB202*100,2)=0,"0.00",TEXT($AB202*100,"+0.00;-0.00"))&amp;" points)")),IF(LEFT($Y202,5)="worse","short of ","ahead of ")&amp;IF($V202,"its band","the book")&amp;" by "&amp;TEXT(ABS($AB202)*100,"0.00")&amp;" points"&amp;IF($Z202="",""," ($"&amp;TEXT(ABS($Z202),"#,##0")&amp;")")&amp;IF(RIGHT($Y202,15)="not significant"," (not significant)","")))</f>
        <v/>
      </c>
      <c r="AE202">
        <f>IF($V202,IF($S202="","",$S202),IF($R202="","",$R202))</f>
        <v/>
      </c>
      <c r="AF202">
        <f>IF($V202,IF($U202="","",$U202),IF($T202="","",$T202))</f>
        <v/>
      </c>
      <c r="AG202">
        <f>IF($V202,IF($O202="","",$O202),IF($P202="","",$P202))</f>
        <v/>
      </c>
      <c r="AH202" t="n">
        <v>0.1004781198936935</v>
      </c>
      <c r="AI202">
        <f>IF($Y202="worse","Yes",IF($Y202="worse, not significant","Not sure",IF(OR($Y202="too few losses to test",$Y202="too few loans to test"),"Too few losses",IF($Y202="","","No"))))</f>
        <v/>
      </c>
      <c r="AJ202">
        <f>IF($AA202="yes","Yes",IF($AA202="","","No"))</f>
        <v/>
      </c>
      <c r="AK202" t="n">
        <v>0.00242667293686655</v>
      </c>
      <c r="AL202" t="n">
        <v>0.005237560779322389</v>
      </c>
      <c r="AM202">
        <f>IF(AND(ISNUMBER($AC202),ISNUMBER(IF($V202,IF($AL202="","",$AL202),IF($AK202="","",$AK202)))),IF(AND(ABS($AC202-significance_bar)&lt;=2.0*IF($V202,IF($AL202="","",$AL202),IF($AK202="","",$AK202)),OR($Y202="worse",$Y202="better",$Y202="worse, not significant",$Y202="better, not significant",AND(profit_kind="test",$Y202="in line",ISNUMBER($AB202),$AB202&lt;&gt;0))),IF(ROUND($AC202,3)=ROUND(significance_bar,3),TEXT($AC202,"0.0000"),TEXT($AC202,"0.000")),""),"")</f>
        <v/>
      </c>
      <c r="AN202">
        <f>IF(AND(ISNUMBER($AC202),ISNUMBER(IF($V202,IF($AL202="","",$AL202),IF($AK202="","",$AK202)))),IF(AND(ABS($AC202-significance_bar)&lt;=2.0*IF($V202,IF($AL202="","",$AL202),IF($AK202="","",$AK202)),OR($Y202="worse",$Y202="worse, not significant",AND(profit_kind="test",$Y202="in line",ISNUMBER($AB202),$AB202&lt;0))),IF(ROUND($AC202,3)=ROUND(significance_bar,3),TEXT($AC202,"0.0000"),TEXT($AC202,"0.000")),""),"")</f>
        <v/>
      </c>
      <c r="AO202">
        <f>IF(OR($AI202="",$AN202=""),$AI202,$AI202&amp;" · borderline (p "&amp;$AN202&amp;")")</f>
        <v/>
      </c>
    </row>
    <row r="203">
      <c r="A203" t="inlineStr">
        <is>
          <t>three-way</t>
        </is>
      </c>
      <c r="B203" t="inlineStr">
        <is>
          <t>FICO x CHANNEL / REV_DEBT</t>
        </is>
      </c>
      <c r="C203" t="inlineStr">
        <is>
          <t>712 - 745</t>
        </is>
      </c>
      <c r="D203" t="inlineStr">
        <is>
          <t>Branch / REV_DEBT low half</t>
        </is>
      </c>
      <c r="E203" t="inlineStr">
        <is>
          <t>contribution_rate</t>
        </is>
      </c>
      <c r="F203" t="inlineStr">
        <is>
          <t>Contribution before losses per booked dollar</t>
        </is>
      </c>
      <c r="G203" t="n">
        <v>268</v>
      </c>
      <c r="H203" t="n">
        <v>8002160.409999997</v>
      </c>
      <c r="I203" t="b">
        <v>0</v>
      </c>
      <c r="J203" t="b">
        <v>0</v>
      </c>
      <c r="K203" t="n">
        <v>-0.05908359737679697</v>
      </c>
      <c r="L203" t="n">
        <v>0.0001761728589045857</v>
      </c>
      <c r="M203" t="n">
        <v>-0.01642640360924255</v>
      </c>
      <c r="N203" t="n">
        <v>0.0075265200752652</v>
      </c>
      <c r="O203" t="n">
        <v>472796.4238089845</v>
      </c>
      <c r="P203" t="n">
        <v>131446.7166405618</v>
      </c>
      <c r="Q203">
        <f>'_live'!$C$24</f>
        <v/>
      </c>
      <c r="R203" t="inlineStr">
        <is>
          <t>shuffled: 0 of 10,000</t>
        </is>
      </c>
      <c r="S203" t="inlineStr">
        <is>
          <t>shuffled: 22 of 10,000</t>
        </is>
      </c>
      <c r="T203" t="n">
        <v>0.171424795745751</v>
      </c>
      <c r="U203" t="n">
        <v>0.1287676019781966</v>
      </c>
      <c r="V203">
        <f>AND(judged_band,NOT($J203))</f>
        <v/>
      </c>
      <c r="W203">
        <f>IF($K203="","",IF(profit_kind="test",IF(OR(NOT(AND(ISNUMBER($L203),$L203&lt;significance_bar)),$K203=0),"in line",IF($K203&lt;0,"worse","better")),IF(OR($K203=0,IF(profit_kind="points",ABS($K203),ABS($K203*$H203))&lt;profit_line*(1-1E-9)),"in line",IF(AND(ISNUMBER($L203),$L203&lt;significance_bar),IF($K203&lt;0,"worse","better"),IF($K203&lt;0,"worse, not significant","better, not significant")))))</f>
        <v/>
      </c>
      <c r="X203">
        <f>IF($M203="","",IF(profit_kind="test",IF(OR(NOT(AND(ISNUMBER($N203),$N203&lt;significance_bar)),$M203=0),"in line",IF($M203&lt;0,"worse","better")),IF(OR($M203=0,IF(profit_kind="points",ABS($M203),ABS($M203*$H203))&lt;profit_line*(1-1E-9)),"in line",IF(AND(ISNUMBER($N203),$N203&lt;significance_bar),IF($M203&lt;0,"worse","better"),IF($M203&lt;0,"worse, not significant","better, not significant")))))</f>
        <v/>
      </c>
      <c r="Y203">
        <f>IF($V203,$X203,$W203)</f>
        <v/>
      </c>
      <c r="Z203">
        <f>IF($V203,IF($P203="","",$P203),IF($O203="","",$O203))</f>
        <v/>
      </c>
      <c r="AA203">
        <f>IF(OR($Q203="",$Z203=""),"",IF(AND($Z203&gt;0,$Z203&gt;=$Q203),"yes","below the line"))</f>
        <v/>
      </c>
      <c r="AB203">
        <f>IF($V203,IF($M203="","",$M203),IF($K203="","",$K203))</f>
        <v/>
      </c>
      <c r="AC203">
        <f>IF($V203,IF($N203="","",$N203),IF($L203="","",$L203))</f>
        <v/>
      </c>
      <c r="AD203">
        <f>IF($Y203="","",IF($Y203="in line",IF(profit_kind="test",IF(ROUND($AB203*100,2)=0,"0.00",TEXT($AB203*100,"+0.00;-0.00"))&amp;" points against "&amp;IF($V203,"its band","the book")&amp;", "&amp;IF($AC203="","not tested","not significant"),IF(profit_kind="points","within "&amp;TEXT(profit_line*100,"0.00")&amp;" points of "&amp;IF($V203,"its band","the book")&amp;" ("&amp;IF(ROUND($AB203*100,2)=0,"0.00",TEXT($AB203*100,"+0.00;-0.00"))&amp;")","within $"&amp;TEXT(profit_line,"#,##0")&amp;" of "&amp;IF($V203,"its band","the book")&amp;" ("&amp;IF(ROUND($AB203*100,2)=0,"0.00",TEXT($AB203*100,"+0.00;-0.00"))&amp;" points)")),IF(LEFT($Y203,5)="worse","short of ","ahead of ")&amp;IF($V203,"its band","the book")&amp;" by "&amp;TEXT(ABS($AB203)*100,"0.00")&amp;" points"&amp;IF($Z203="",""," ($"&amp;TEXT(ABS($Z203),"#,##0")&amp;")")&amp;IF(RIGHT($Y203,15)="not significant"," (not significant)","")))</f>
        <v/>
      </c>
      <c r="AE203">
        <f>IF($V203,IF($S203="","",$S203),IF($R203="","",$R203))</f>
        <v/>
      </c>
      <c r="AF203">
        <f>IF($V203,IF($U203="","",$U203),IF($T203="","",$T203))</f>
        <v/>
      </c>
      <c r="AG203">
        <f>IF($V203,IF($O203="","",$O203),IF($P203="","",$P203))</f>
        <v/>
      </c>
      <c r="AH203" t="n">
        <v>0.112341198368954</v>
      </c>
      <c r="AI203">
        <f>IF($Y203="worse","Yes",IF($Y203="worse, not significant","Not sure",IF(OR($Y203="too few losses to test",$Y203="too few loans to test"),"Too few losses",IF($Y203="","","No"))))</f>
        <v/>
      </c>
      <c r="AJ203">
        <f>IF($AA203="yes","Yes",IF($AA203="","","No"))</f>
        <v/>
      </c>
      <c r="AK203" t="n">
        <v>0.0001761728589045857</v>
      </c>
      <c r="AL203" t="n">
        <v>0.001567660646141453</v>
      </c>
      <c r="AM203">
        <f>IF(AND(ISNUMBER($AC203),ISNUMBER(IF($V203,IF($AL203="","",$AL203),IF($AK203="","",$AK203)))),IF(AND(ABS($AC203-significance_bar)&lt;=2.0*IF($V203,IF($AL203="","",$AL203),IF($AK203="","",$AK203)),OR($Y203="worse",$Y203="better",$Y203="worse, not significant",$Y203="better, not significant",AND(profit_kind="test",$Y203="in line",ISNUMBER($AB203),$AB203&lt;&gt;0))),IF(ROUND($AC203,3)=ROUND(significance_bar,3),TEXT($AC203,"0.0000"),TEXT($AC203,"0.000")),""),"")</f>
        <v/>
      </c>
      <c r="AN203">
        <f>IF(AND(ISNUMBER($AC203),ISNUMBER(IF($V203,IF($AL203="","",$AL203),IF($AK203="","",$AK203)))),IF(AND(ABS($AC203-significance_bar)&lt;=2.0*IF($V203,IF($AL203="","",$AL203),IF($AK203="","",$AK203)),OR($Y203="worse",$Y203="worse, not significant",AND(profit_kind="test",$Y203="in line",ISNUMBER($AB203),$AB203&lt;0))),IF(ROUND($AC203,3)=ROUND(significance_bar,3),TEXT($AC203,"0.0000"),TEXT($AC203,"0.000")),""),"")</f>
        <v/>
      </c>
      <c r="AO203">
        <f>IF(OR($AI203="",$AN203=""),$AI203,$AI203&amp;" · borderline (p "&amp;$AN203&amp;")")</f>
        <v/>
      </c>
    </row>
    <row r="204">
      <c r="A204" t="inlineStr">
        <is>
          <t>three-way</t>
        </is>
      </c>
      <c r="B204" t="inlineStr">
        <is>
          <t>FICO x CHANNEL / REV_DEBT</t>
        </is>
      </c>
      <c r="C204" t="inlineStr">
        <is>
          <t>712 - 745</t>
        </is>
      </c>
      <c r="D204" t="inlineStr">
        <is>
          <t>Branch / REV_DEBT high half</t>
        </is>
      </c>
      <c r="E204" t="inlineStr">
        <is>
          <t>outcome_loans</t>
        </is>
      </c>
      <c r="F204" t="inlineStr">
        <is>
          <t>Outcome, share of loans</t>
        </is>
      </c>
      <c r="G204" t="n">
        <v>269</v>
      </c>
      <c r="H204" t="n">
        <v>269</v>
      </c>
      <c r="I204" t="b">
        <v>0</v>
      </c>
      <c r="J204" t="b">
        <v>0</v>
      </c>
      <c r="K204" t="n">
        <v>0.7136438612471996</v>
      </c>
      <c r="L204" t="n">
        <v>0.2394377086857189</v>
      </c>
      <c r="M204" t="n">
        <v>1.039343246592317</v>
      </c>
      <c r="N204" t="n">
        <v>0.9492287205924197</v>
      </c>
      <c r="O204" t="n">
        <v>-6.018887451487711</v>
      </c>
      <c r="P204" t="n">
        <v>0.5678092399403862</v>
      </c>
      <c r="Q204">
        <f>'_live'!$C$20</f>
        <v/>
      </c>
      <c r="R204" t="inlineStr">
        <is>
          <t>z test</t>
        </is>
      </c>
      <c r="S204" t="inlineStr">
        <is>
          <t>z test</t>
        </is>
      </c>
      <c r="T204" t="n">
        <v>0.07813712807244502</v>
      </c>
      <c r="U204" t="n">
        <v>0.05365126676602087</v>
      </c>
      <c r="V204">
        <f>AND(judged_band,NOT($J204))</f>
        <v/>
      </c>
      <c r="W204">
        <f>IF($K204="","",IF($I204,"too few losses to test",IF(AND($K204&gt;better_at,$K204&lt;worse_at),"in line",IF($K204&gt;=worse_at,IF(AND(ISNUMBER($L204),$L204&lt;significance_bar),"worse","worse, not significant"),IF(AND(ISNUMBER($L204),$L204&lt;significance_bar),"better","better, not significant")))))</f>
        <v/>
      </c>
      <c r="X204">
        <f>IF($M204="","",IF($I204,"too few losses to test",IF(AND($M204&gt;better_at,$M204&lt;worse_at),"in line",IF($M204&gt;=worse_at,IF(AND(ISNUMBER($N204),$N204&lt;significance_bar),"worse","worse, not significant"),IF(AND(ISNUMBER($N204),$N204&lt;significance_bar),"better","better, not significant")))))</f>
        <v/>
      </c>
      <c r="Y204">
        <f>IF($V204,$X204,$W204)</f>
        <v/>
      </c>
      <c r="Z204">
        <f>IF($V204,IF($P204="","",$P204),IF($O204="","",$O204))</f>
        <v/>
      </c>
      <c r="AA204">
        <f>IF(OR($Q204="",$Z204=""),"",IF(AND($Z204&gt;0,$Z204&gt;=$Q204),"yes","below the line"))</f>
        <v/>
      </c>
      <c r="AB204">
        <f>IF($V204,IF($M204="","",$M204),IF($K204="","",$K204))</f>
        <v/>
      </c>
      <c r="AC204">
        <f>IF($V204,IF($N204="","",$N204),IF($L204="","",$L204))</f>
        <v/>
      </c>
      <c r="AD204">
        <f>$Y204</f>
        <v/>
      </c>
      <c r="AE204">
        <f>IF($V204,IF($S204="","",$S204),IF($R204="","",$R204))</f>
        <v/>
      </c>
      <c r="AF204">
        <f>IF($V204,IF($U204="","",$U204),IF($T204="","",$T204))</f>
        <v/>
      </c>
      <c r="AG204">
        <f>IF($V204,IF($O204="","",$O204),IF($P204="","",$P204))</f>
        <v/>
      </c>
      <c r="AH204" t="n">
        <v>0.05576208178438662</v>
      </c>
      <c r="AI204">
        <f>IF($Y204="worse","Yes",IF($Y204="worse, not significant","Not sure",IF(OR($Y204="too few losses to test",$Y204="too few loans to test"),"Too few losses",IF($Y204="","","No"))))</f>
        <v/>
      </c>
      <c r="AJ204">
        <f>IF($AA204="yes","Yes",IF($AA204="","","No"))</f>
        <v/>
      </c>
      <c r="AM204">
        <f>IF(AND(ISNUMBER($AC204),ISNUMBER(IF($V204,IF($AL204="","",$AL204),IF($AK204="","",$AK204)))),IF(AND(ABS($AC204-significance_bar)&lt;=2.0*IF($V204,IF($AL204="","",$AL204),IF($AK204="","",$AK204)),OR($Y204="worse",$Y204="better",$Y204="worse, not significant",$Y204="better, not significant")),IF(ROUND($AC204,3)=ROUND(significance_bar,3),TEXT($AC204,"0.0000"),TEXT($AC204,"0.000")),""),"")</f>
        <v/>
      </c>
      <c r="AN204">
        <f>IF(AND(ISNUMBER($AC204),ISNUMBER(IF($V204,IF($AL204="","",$AL204),IF($AK204="","",$AK204)))),IF(AND(ABS($AC204-significance_bar)&lt;=2.0*IF($V204,IF($AL204="","",$AL204),IF($AK204="","",$AK204)),OR($Y204="worse",$Y204="worse, not significant")),IF(ROUND($AC204,3)=ROUND(significance_bar,3),TEXT($AC204,"0.0000"),TEXT($AC204,"0.000")),""),"")</f>
        <v/>
      </c>
      <c r="AO204">
        <f>IF(OR($AI204="",$AN204=""),$AI204,$AI204&amp;" · borderline (p "&amp;$AN204&amp;")")</f>
        <v/>
      </c>
    </row>
    <row r="205">
      <c r="A205" t="inlineStr">
        <is>
          <t>three-way</t>
        </is>
      </c>
      <c r="B205" t="inlineStr">
        <is>
          <t>FICO x CHANNEL / REV_DEBT</t>
        </is>
      </c>
      <c r="C205" t="inlineStr">
        <is>
          <t>712 - 745</t>
        </is>
      </c>
      <c r="D205" t="inlineStr">
        <is>
          <t>Branch / REV_DEBT high half</t>
        </is>
      </c>
      <c r="E205" t="inlineStr">
        <is>
          <t>outcome_booked</t>
        </is>
      </c>
      <c r="F205" t="inlineStr">
        <is>
          <t>Outcome, share of booked dollars</t>
        </is>
      </c>
      <c r="G205" t="n">
        <v>268</v>
      </c>
      <c r="H205" t="n">
        <v>8471219.189999999</v>
      </c>
      <c r="I205" t="b">
        <v>0</v>
      </c>
      <c r="J205" t="b">
        <v>0</v>
      </c>
      <c r="K205" t="n">
        <v>0.7868952572854145</v>
      </c>
      <c r="L205" t="n">
        <v>0.4802686398026864</v>
      </c>
      <c r="M205" t="n">
        <v>1.106956313035407</v>
      </c>
      <c r="N205" t="n">
        <v>0.8466603339666033</v>
      </c>
      <c r="O205" t="n">
        <v>-136037.0895503605</v>
      </c>
      <c r="P205" t="n">
        <v>48535.22940082959</v>
      </c>
      <c r="Q205">
        <f>'_live'!$C$21</f>
        <v/>
      </c>
      <c r="R205" t="inlineStr">
        <is>
          <t>shuffled: 3,758 of 10,000</t>
        </is>
      </c>
      <c r="S205" t="inlineStr">
        <is>
          <t>shuffled: 7,362 of 10,000</t>
        </is>
      </c>
      <c r="T205" t="n">
        <v>0.07535607983133306</v>
      </c>
      <c r="U205" t="n">
        <v>0.05356791512783068</v>
      </c>
      <c r="V205">
        <f>AND(judged_band,NOT($J205))</f>
        <v/>
      </c>
      <c r="W205">
        <f>IF($K205="","",IF($I205,"too few losses to test",IF(AND($K205&gt;better_at,$K205&lt;worse_at),"in line",IF($K205&gt;=worse_at,IF(AND(ISNUMBER($L205),$L205&lt;significance_bar),"worse","worse, not significant"),IF(AND(ISNUMBER($L205),$L205&lt;significance_bar),"better","better, not significant")))))</f>
        <v/>
      </c>
      <c r="X205">
        <f>IF($M205="","",IF($I205,"too few losses to test",IF(AND($M205&gt;better_at,$M205&lt;worse_at),"in line",IF($M205&gt;=worse_at,IF(AND(ISNUMBER($N205),$N205&lt;significance_bar),"worse","worse, not significant"),IF(AND(ISNUMBER($N205),$N205&lt;significance_bar),"better","better, not significant")))))</f>
        <v/>
      </c>
      <c r="Y205">
        <f>IF($V205,$X205,$W205)</f>
        <v/>
      </c>
      <c r="Z205">
        <f>IF($V205,IF($P205="","",$P205),IF($O205="","",$O205))</f>
        <v/>
      </c>
      <c r="AA205">
        <f>IF(OR($Q205="",$Z205=""),"",IF(AND($Z205&gt;0,$Z205&gt;=$Q205),"yes","below the line"))</f>
        <v/>
      </c>
      <c r="AB205">
        <f>IF($V205,IF($M205="","",$M205),IF($K205="","",$K205))</f>
        <v/>
      </c>
      <c r="AC205">
        <f>IF($V205,IF($N205="","",$N205),IF($L205="","",$L205))</f>
        <v/>
      </c>
      <c r="AD205">
        <f>$Y205</f>
        <v/>
      </c>
      <c r="AE205">
        <f>IF($V205,IF($S205="","",$S205),IF($R205="","",$R205))</f>
        <v/>
      </c>
      <c r="AF205">
        <f>IF($V205,IF($U205="","",$U205),IF($T205="","",$T205))</f>
        <v/>
      </c>
      <c r="AG205">
        <f>IF($V205,IF($O205="","",$O205),IF($P205="","",$P205))</f>
        <v/>
      </c>
      <c r="AH205" t="n">
        <v>0.05929734182689707</v>
      </c>
      <c r="AI205">
        <f>IF($Y205="worse","Yes",IF($Y205="worse, not significant","Not sure",IF(OR($Y205="too few losses to test",$Y205="too few loans to test"),"Too few losses",IF($Y205="","","No"))))</f>
        <v/>
      </c>
      <c r="AJ205">
        <f>IF($AA205="yes","Yes",IF($AA205="","","No"))</f>
        <v/>
      </c>
      <c r="AK205" t="n">
        <v>0.006188849884473771</v>
      </c>
      <c r="AL205" t="n">
        <v>0.005067796986355644</v>
      </c>
      <c r="AM205">
        <f>IF(AND(ISNUMBER($AC205),ISNUMBER(IF($V205,IF($AL205="","",$AL205),IF($AK205="","",$AK205)))),IF(AND(ABS($AC205-significance_bar)&lt;=2.0*IF($V205,IF($AL205="","",$AL205),IF($AK205="","",$AK205)),OR($Y205="worse",$Y205="better",$Y205="worse, not significant",$Y205="better, not significant")),IF(ROUND($AC205,3)=ROUND(significance_bar,3),TEXT($AC205,"0.0000"),TEXT($AC205,"0.000")),""),"")</f>
        <v/>
      </c>
      <c r="AN205">
        <f>IF(AND(ISNUMBER($AC205),ISNUMBER(IF($V205,IF($AL205="","",$AL205),IF($AK205="","",$AK205)))),IF(AND(ABS($AC205-significance_bar)&lt;=2.0*IF($V205,IF($AL205="","",$AL205),IF($AK205="","",$AK205)),OR($Y205="worse",$Y205="worse, not significant")),IF(ROUND($AC205,3)=ROUND(significance_bar,3),TEXT($AC205,"0.0000"),TEXT($AC205,"0.000")),""),"")</f>
        <v/>
      </c>
      <c r="AO205">
        <f>IF(OR($AI205="",$AN205=""),$AI205,$AI205&amp;" · borderline (p "&amp;$AN205&amp;")")</f>
        <v/>
      </c>
    </row>
    <row r="206">
      <c r="A206" t="inlineStr">
        <is>
          <t>three-way</t>
        </is>
      </c>
      <c r="B206" t="inlineStr">
        <is>
          <t>FICO x CHANNEL / REV_DEBT</t>
        </is>
      </c>
      <c r="C206" t="inlineStr">
        <is>
          <t>712 - 745</t>
        </is>
      </c>
      <c r="D206" t="inlineStr">
        <is>
          <t>Branch / REV_DEBT high half</t>
        </is>
      </c>
      <c r="E206" t="inlineStr">
        <is>
          <t>gco_rate</t>
        </is>
      </c>
      <c r="F206" t="inlineStr">
        <is>
          <t>GCO per booked dollar</t>
        </is>
      </c>
      <c r="G206" t="n">
        <v>268</v>
      </c>
      <c r="H206" t="n">
        <v>8471219.189999999</v>
      </c>
      <c r="I206" t="b">
        <v>0</v>
      </c>
      <c r="J206" t="b">
        <v>0</v>
      </c>
      <c r="K206" t="n">
        <v>0.794891357066429</v>
      </c>
      <c r="L206" t="n">
        <v>0.5220477952204781</v>
      </c>
      <c r="M206" t="n">
        <v>1.122544032687435</v>
      </c>
      <c r="N206" t="n">
        <v>0.8606615528923297</v>
      </c>
      <c r="O206" t="n">
        <v>-72780.08019283885</v>
      </c>
      <c r="P206" t="n">
        <v>30791.09445226789</v>
      </c>
      <c r="Q206">
        <f>'_live'!$C$22</f>
        <v/>
      </c>
      <c r="R206" t="inlineStr">
        <is>
          <t>shuffled: 4,085 of 10,000</t>
        </is>
      </c>
      <c r="S206" t="inlineStr">
        <is>
          <t>shuffled: 7,171 of 10,000</t>
        </is>
      </c>
      <c r="T206" t="n">
        <v>0.04188732722341929</v>
      </c>
      <c r="U206" t="n">
        <v>0.02966108536588724</v>
      </c>
      <c r="V206">
        <f>AND(judged_band,NOT($J206))</f>
        <v/>
      </c>
      <c r="W206">
        <f>IF($K206="","",IF($I206,"too few losses to test",IF(AND($K206&gt;better_at,$K206&lt;worse_at),"in line",IF($K206&gt;=worse_at,IF(AND(ISNUMBER($L206),$L206&lt;significance_bar),"worse","worse, not significant"),IF(AND(ISNUMBER($L206),$L206&lt;significance_bar),"better","better, not significant")))))</f>
        <v/>
      </c>
      <c r="X206">
        <f>IF($M206="","",IF($I206,"too few losses to test",IF(AND($M206&gt;better_at,$M206&lt;worse_at),"in line",IF($M206&gt;=worse_at,IF(AND(ISNUMBER($N206),$N206&lt;significance_bar),"worse","worse, not significant"),IF(AND(ISNUMBER($N206),$N206&lt;significance_bar),"better","better, not significant")))))</f>
        <v/>
      </c>
      <c r="Y206">
        <f>IF($V206,$X206,$W206)</f>
        <v/>
      </c>
      <c r="Z206">
        <f>IF($V206,IF($P206="","",$P206),IF($O206="","",$O206))</f>
        <v/>
      </c>
      <c r="AA206">
        <f>IF(OR($Q206="",$Z206=""),"",IF(AND($Z206&gt;0,$Z206&gt;=$Q206),"yes","below the line"))</f>
        <v/>
      </c>
      <c r="AB206">
        <f>IF($V206,IF($M206="","",$M206),IF($K206="","",$K206))</f>
        <v/>
      </c>
      <c r="AC206">
        <f>IF($V206,IF($N206="","",$N206),IF($L206="","",$L206))</f>
        <v/>
      </c>
      <c r="AD206">
        <f>$Y206</f>
        <v/>
      </c>
      <c r="AE206">
        <f>IF($V206,IF($S206="","",$S206),IF($R206="","",$R206))</f>
        <v/>
      </c>
      <c r="AF206">
        <f>IF($V206,IF($U206="","",$U206),IF($T206="","",$T206))</f>
        <v/>
      </c>
      <c r="AG206">
        <f>IF($V206,IF($O206="","",$O206),IF($P206="","",$P206))</f>
        <v/>
      </c>
      <c r="AH206" t="n">
        <v>0.03329587438050934</v>
      </c>
      <c r="AI206">
        <f>IF($Y206="worse","Yes",IF($Y206="worse, not significant","Not sure",IF(OR($Y206="too few losses to test",$Y206="too few loans to test"),"Too few losses",IF($Y206="","","No"))))</f>
        <v/>
      </c>
      <c r="AJ206">
        <f>IF($AA206="yes","Yes",IF($AA206="","","No"))</f>
        <v/>
      </c>
      <c r="AK206" t="n">
        <v>0.006281139794464446</v>
      </c>
      <c r="AL206" t="n">
        <v>0.004493228362852481</v>
      </c>
      <c r="AM206">
        <f>IF(AND(ISNUMBER($AC206),ISNUMBER(IF($V206,IF($AL206="","",$AL206),IF($AK206="","",$AK206)))),IF(AND(ABS($AC206-significance_bar)&lt;=2.0*IF($V206,IF($AL206="","",$AL206),IF($AK206="","",$AK206)),OR($Y206="worse",$Y206="better",$Y206="worse, not significant",$Y206="better, not significant")),IF(ROUND($AC206,3)=ROUND(significance_bar,3),TEXT($AC206,"0.0000"),TEXT($AC206,"0.000")),""),"")</f>
        <v/>
      </c>
      <c r="AN206">
        <f>IF(AND(ISNUMBER($AC206),ISNUMBER(IF($V206,IF($AL206="","",$AL206),IF($AK206="","",$AK206)))),IF(AND(ABS($AC206-significance_bar)&lt;=2.0*IF($V206,IF($AL206="","",$AL206),IF($AK206="","",$AK206)),OR($Y206="worse",$Y206="worse, not significant")),IF(ROUND($AC206,3)=ROUND(significance_bar,3),TEXT($AC206,"0.0000"),TEXT($AC206,"0.000")),""),"")</f>
        <v/>
      </c>
      <c r="AO206">
        <f>IF(OR($AI206="",$AN206=""),$AI206,$AI206&amp;" · borderline (p "&amp;$AN206&amp;")")</f>
        <v/>
      </c>
    </row>
    <row r="207">
      <c r="A207" t="inlineStr">
        <is>
          <t>three-way</t>
        </is>
      </c>
      <c r="B207" t="inlineStr">
        <is>
          <t>FICO x CHANNEL / REV_DEBT</t>
        </is>
      </c>
      <c r="C207" t="inlineStr">
        <is>
          <t>712 - 745</t>
        </is>
      </c>
      <c r="D207" t="inlineStr">
        <is>
          <t>Branch / REV_DEBT high half</t>
        </is>
      </c>
      <c r="E207" t="inlineStr">
        <is>
          <t>ranr_rate</t>
        </is>
      </c>
      <c r="F207" t="inlineStr">
        <is>
          <t>Profit after losses: RANR per booked dollar</t>
        </is>
      </c>
      <c r="G207" t="n">
        <v>268</v>
      </c>
      <c r="H207" t="n">
        <v>8471219.189999999</v>
      </c>
      <c r="I207" t="b">
        <v>0</v>
      </c>
      <c r="J207" t="b">
        <v>0</v>
      </c>
      <c r="K207" t="n">
        <v>-0.05818257031128631</v>
      </c>
      <c r="L207" t="n">
        <v>0.0002466420024664201</v>
      </c>
      <c r="M207" t="n">
        <v>-0.02906983502242666</v>
      </c>
      <c r="N207" t="n">
        <v>0.04409559044095591</v>
      </c>
      <c r="O207" t="n">
        <v>492877.3061444928</v>
      </c>
      <c r="P207" t="n">
        <v>246256.9442921147</v>
      </c>
      <c r="Q207">
        <f>'_live'!$C$23</f>
        <v/>
      </c>
      <c r="R207" t="inlineStr">
        <is>
          <t>shuffled: 0 of 10,000</t>
        </is>
      </c>
      <c r="S207" t="inlineStr">
        <is>
          <t>shuffled: 97 of 10,000</t>
        </is>
      </c>
      <c r="T207" t="n">
        <v>0.1298999201252509</v>
      </c>
      <c r="U207" t="n">
        <v>0.1007871848363912</v>
      </c>
      <c r="V207">
        <f>AND(judged_band,NOT($J207))</f>
        <v/>
      </c>
      <c r="W207">
        <f>IF($K207="","",IF(profit_kind="test",IF(OR(NOT(AND(ISNUMBER($L207),$L207&lt;significance_bar)),$K207=0),"in line",IF($K207&lt;0,"worse","better")),IF(OR($K207=0,IF(profit_kind="points",ABS($K207),ABS($K207*$H207))&lt;profit_line*(1-1E-9)),"in line",IF(AND(ISNUMBER($L207),$L207&lt;significance_bar),IF($K207&lt;0,"worse","better"),IF($K207&lt;0,"worse, not significant","better, not significant")))))</f>
        <v/>
      </c>
      <c r="X207">
        <f>IF($M207="","",IF(profit_kind="test",IF(OR(NOT(AND(ISNUMBER($N207),$N207&lt;significance_bar)),$M207=0),"in line",IF($M207&lt;0,"worse","better")),IF(OR($M207=0,IF(profit_kind="points",ABS($M207),ABS($M207*$H207))&lt;profit_line*(1-1E-9)),"in line",IF(AND(ISNUMBER($N207),$N207&lt;significance_bar),IF($M207&lt;0,"worse","better"),IF($M207&lt;0,"worse, not significant","better, not significant")))))</f>
        <v/>
      </c>
      <c r="Y207">
        <f>IF($V207,$X207,$W207)</f>
        <v/>
      </c>
      <c r="Z207">
        <f>IF($V207,IF($P207="","",$P207),IF($O207="","",$O207))</f>
        <v/>
      </c>
      <c r="AA207">
        <f>IF(OR($Q207="",$Z207=""),"",IF(AND($Z207&gt;0,$Z207&gt;=$Q207),"yes","below the line"))</f>
        <v/>
      </c>
      <c r="AB207">
        <f>IF($V207,IF($M207="","",$M207),IF($K207="","",$K207))</f>
        <v/>
      </c>
      <c r="AC207">
        <f>IF($V207,IF($N207="","",$N207),IF($L207="","",$L207))</f>
        <v/>
      </c>
      <c r="AD207">
        <f>IF($Y207="","",IF($Y207="in line",IF(profit_kind="test",IF(ROUND($AB207*100,2)=0,"0.00",TEXT($AB207*100,"+0.00;-0.00"))&amp;" points against "&amp;IF($V207,"its band","the book")&amp;", "&amp;IF($AC207="","not tested","not significant"),IF(profit_kind="points","within "&amp;TEXT(profit_line*100,"0.00")&amp;" points of "&amp;IF($V207,"its band","the book")&amp;" ("&amp;IF(ROUND($AB207*100,2)=0,"0.00",TEXT($AB207*100,"+0.00;-0.00"))&amp;")","within $"&amp;TEXT(profit_line,"#,##0")&amp;" of "&amp;IF($V207,"its band","the book")&amp;" ("&amp;IF(ROUND($AB207*100,2)=0,"0.00",TEXT($AB207*100,"+0.00;-0.00"))&amp;" points)")),IF(LEFT($Y207,5)="worse","short of ","ahead of ")&amp;IF($V207,"its band","the book")&amp;" by "&amp;TEXT(ABS($AB207)*100,"0.00")&amp;" points"&amp;IF($Z207="",""," ($"&amp;TEXT(ABS($Z207),"#,##0")&amp;")")&amp;IF(RIGHT($Y207,15)="not significant"," (not significant)","")))</f>
        <v/>
      </c>
      <c r="AE207">
        <f>IF($V207,IF($S207="","",$S207),IF($R207="","",$R207))</f>
        <v/>
      </c>
      <c r="AF207">
        <f>IF($V207,IF($U207="","",$U207),IF($T207="","",$T207))</f>
        <v/>
      </c>
      <c r="AG207">
        <f>IF($V207,IF($O207="","",$O207),IF($P207="","",$P207))</f>
        <v/>
      </c>
      <c r="AH207" t="n">
        <v>0.07171734981396456</v>
      </c>
      <c r="AI207">
        <f>IF($Y207="worse","Yes",IF($Y207="worse, not significant","Not sure",IF(OR($Y207="too few losses to test",$Y207="too few loans to test"),"Too few losses",IF($Y207="","","No"))))</f>
        <v/>
      </c>
      <c r="AJ207">
        <f>IF($AA207="yes","Yes",IF($AA207="","","No"))</f>
        <v/>
      </c>
      <c r="AK207" t="n">
        <v>0.0002466420024664201</v>
      </c>
      <c r="AL207" t="n">
        <v>0.004432671157304195</v>
      </c>
      <c r="AM207">
        <f>IF(AND(ISNUMBER($AC207),ISNUMBER(IF($V207,IF($AL207="","",$AL207),IF($AK207="","",$AK207)))),IF(AND(ABS($AC207-significance_bar)&lt;=2.0*IF($V207,IF($AL207="","",$AL207),IF($AK207="","",$AK207)),OR($Y207="worse",$Y207="better",$Y207="worse, not significant",$Y207="better, not significant",AND(profit_kind="test",$Y207="in line",ISNUMBER($AB207),$AB207&lt;&gt;0))),IF(ROUND($AC207,3)=ROUND(significance_bar,3),TEXT($AC207,"0.0000"),TEXT($AC207,"0.000")),""),"")</f>
        <v/>
      </c>
      <c r="AN207">
        <f>IF(AND(ISNUMBER($AC207),ISNUMBER(IF($V207,IF($AL207="","",$AL207),IF($AK207="","",$AK207)))),IF(AND(ABS($AC207-significance_bar)&lt;=2.0*IF($V207,IF($AL207="","",$AL207),IF($AK207="","",$AK207)),OR($Y207="worse",$Y207="worse, not significant",AND(profit_kind="test",$Y207="in line",ISNUMBER($AB207),$AB207&lt;0))),IF(ROUND($AC207,3)=ROUND(significance_bar,3),TEXT($AC207,"0.0000"),TEXT($AC207,"0.000")),""),"")</f>
        <v/>
      </c>
      <c r="AO207">
        <f>IF(OR($AI207="",$AN207=""),$AI207,$AI207&amp;" · borderline (p "&amp;$AN207&amp;")")</f>
        <v/>
      </c>
    </row>
    <row r="208">
      <c r="A208" t="inlineStr">
        <is>
          <t>three-way</t>
        </is>
      </c>
      <c r="B208" t="inlineStr">
        <is>
          <t>FICO x CHANNEL / REV_DEBT</t>
        </is>
      </c>
      <c r="C208" t="inlineStr">
        <is>
          <t>712 - 745</t>
        </is>
      </c>
      <c r="D208" t="inlineStr">
        <is>
          <t>Branch / REV_DEBT high half</t>
        </is>
      </c>
      <c r="E208" t="inlineStr">
        <is>
          <t>contribution_rate</t>
        </is>
      </c>
      <c r="F208" t="inlineStr">
        <is>
          <t>Contribution before losses per booked dollar</t>
        </is>
      </c>
      <c r="G208" t="n">
        <v>268</v>
      </c>
      <c r="H208" t="n">
        <v>8471219.189999999</v>
      </c>
      <c r="I208" t="b">
        <v>0</v>
      </c>
      <c r="J208" t="b">
        <v>0</v>
      </c>
      <c r="K208" t="n">
        <v>-0.06677137055669742</v>
      </c>
      <c r="L208" t="n">
        <v>0.0001761728589045857</v>
      </c>
      <c r="M208" t="n">
        <v>-0.02539238801235778</v>
      </c>
      <c r="N208" t="n">
        <v>0.0005142342908566286</v>
      </c>
      <c r="O208" t="n">
        <v>565634.915602496</v>
      </c>
      <c r="P208" t="n">
        <v>215104.4846102112</v>
      </c>
      <c r="Q208">
        <f>'_live'!$C$24</f>
        <v/>
      </c>
      <c r="R208" t="inlineStr">
        <is>
          <t>shuffled: 0 of 10,000</t>
        </is>
      </c>
      <c r="S208" t="inlineStr">
        <is>
          <t>shuffled: 0 of 10,000</t>
        </is>
      </c>
      <c r="T208" t="n">
        <v>0.1717845947511713</v>
      </c>
      <c r="U208" t="n">
        <v>0.1304056122068316</v>
      </c>
      <c r="V208">
        <f>AND(judged_band,NOT($J208))</f>
        <v/>
      </c>
      <c r="W208">
        <f>IF($K208="","",IF(profit_kind="test",IF(OR(NOT(AND(ISNUMBER($L208),$L208&lt;significance_bar)),$K208=0),"in line",IF($K208&lt;0,"worse","better")),IF(OR($K208=0,IF(profit_kind="points",ABS($K208),ABS($K208*$H208))&lt;profit_line*(1-1E-9)),"in line",IF(AND(ISNUMBER($L208),$L208&lt;significance_bar),IF($K208&lt;0,"worse","better"),IF($K208&lt;0,"worse, not significant","better, not significant")))))</f>
        <v/>
      </c>
      <c r="X208">
        <f>IF($M208="","",IF(profit_kind="test",IF(OR(NOT(AND(ISNUMBER($N208),$N208&lt;significance_bar)),$M208=0),"in line",IF($M208&lt;0,"worse","better")),IF(OR($M208=0,IF(profit_kind="points",ABS($M208),ABS($M208*$H208))&lt;profit_line*(1-1E-9)),"in line",IF(AND(ISNUMBER($N208),$N208&lt;significance_bar),IF($M208&lt;0,"worse","better"),IF($M208&lt;0,"worse, not significant","better, not significant")))))</f>
        <v/>
      </c>
      <c r="Y208">
        <f>IF($V208,$X208,$W208)</f>
        <v/>
      </c>
      <c r="Z208">
        <f>IF($V208,IF($P208="","",$P208),IF($O208="","",$O208))</f>
        <v/>
      </c>
      <c r="AA208">
        <f>IF(OR($Q208="",$Z208=""),"",IF(AND($Z208&gt;0,$Z208&gt;=$Q208),"yes","below the line"))</f>
        <v/>
      </c>
      <c r="AB208">
        <f>IF($V208,IF($M208="","",$M208),IF($K208="","",$K208))</f>
        <v/>
      </c>
      <c r="AC208">
        <f>IF($V208,IF($N208="","",$N208),IF($L208="","",$L208))</f>
        <v/>
      </c>
      <c r="AD208">
        <f>IF($Y208="","",IF($Y208="in line",IF(profit_kind="test",IF(ROUND($AB208*100,2)=0,"0.00",TEXT($AB208*100,"+0.00;-0.00"))&amp;" points against "&amp;IF($V208,"its band","the book")&amp;", "&amp;IF($AC208="","not tested","not significant"),IF(profit_kind="points","within "&amp;TEXT(profit_line*100,"0.00")&amp;" points of "&amp;IF($V208,"its band","the book")&amp;" ("&amp;IF(ROUND($AB208*100,2)=0,"0.00",TEXT($AB208*100,"+0.00;-0.00"))&amp;")","within $"&amp;TEXT(profit_line,"#,##0")&amp;" of "&amp;IF($V208,"its band","the book")&amp;" ("&amp;IF(ROUND($AB208*100,2)=0,"0.00",TEXT($AB208*100,"+0.00;-0.00"))&amp;" points)")),IF(LEFT($Y208,5)="worse","short of ","ahead of ")&amp;IF($V208,"its band","the book")&amp;" by "&amp;TEXT(ABS($AB208)*100,"0.00")&amp;" points"&amp;IF($Z208="",""," ($"&amp;TEXT(ABS($Z208),"#,##0")&amp;")")&amp;IF(RIGHT($Y208,15)="not significant"," (not significant)","")))</f>
        <v/>
      </c>
      <c r="AE208">
        <f>IF($V208,IF($S208="","",$S208),IF($R208="","",$R208))</f>
        <v/>
      </c>
      <c r="AF208">
        <f>IF($V208,IF($U208="","",$U208),IF($T208="","",$T208))</f>
        <v/>
      </c>
      <c r="AG208">
        <f>IF($V208,IF($O208="","",$O208),IF($P208="","",$P208))</f>
        <v/>
      </c>
      <c r="AH208" t="n">
        <v>0.1050132241944739</v>
      </c>
      <c r="AI208">
        <f>IF($Y208="worse","Yes",IF($Y208="worse, not significant","Not sure",IF(OR($Y208="too few losses to test",$Y208="too few loans to test"),"Too few losses",IF($Y208="","","No"))))</f>
        <v/>
      </c>
      <c r="AJ208">
        <f>IF($AA208="yes","Yes",IF($AA208="","","No"))</f>
        <v/>
      </c>
      <c r="AK208" t="n">
        <v>0.0001761728589045857</v>
      </c>
      <c r="AL208" t="n">
        <v>0.0005142342908566286</v>
      </c>
      <c r="AM208">
        <f>IF(AND(ISNUMBER($AC208),ISNUMBER(IF($V208,IF($AL208="","",$AL208),IF($AK208="","",$AK208)))),IF(AND(ABS($AC208-significance_bar)&lt;=2.0*IF($V208,IF($AL208="","",$AL208),IF($AK208="","",$AK208)),OR($Y208="worse",$Y208="better",$Y208="worse, not significant",$Y208="better, not significant",AND(profit_kind="test",$Y208="in line",ISNUMBER($AB208),$AB208&lt;&gt;0))),IF(ROUND($AC208,3)=ROUND(significance_bar,3),TEXT($AC208,"0.0000"),TEXT($AC208,"0.000")),""),"")</f>
        <v/>
      </c>
      <c r="AN208">
        <f>IF(AND(ISNUMBER($AC208),ISNUMBER(IF($V208,IF($AL208="","",$AL208),IF($AK208="","",$AK208)))),IF(AND(ABS($AC208-significance_bar)&lt;=2.0*IF($V208,IF($AL208="","",$AL208),IF($AK208="","",$AK208)),OR($Y208="worse",$Y208="worse, not significant",AND(profit_kind="test",$Y208="in line",ISNUMBER($AB208),$AB208&lt;0))),IF(ROUND($AC208,3)=ROUND(significance_bar,3),TEXT($AC208,"0.0000"),TEXT($AC208,"0.000")),""),"")</f>
        <v/>
      </c>
      <c r="AO208">
        <f>IF(OR($AI208="",$AN208=""),$AI208,$AI208&amp;" · borderline (p "&amp;$AN208&amp;")")</f>
        <v/>
      </c>
    </row>
    <row r="209">
      <c r="A209" t="inlineStr">
        <is>
          <t>three-way</t>
        </is>
      </c>
      <c r="B209" t="inlineStr">
        <is>
          <t>FICO x CHANNEL / REV_DEBT</t>
        </is>
      </c>
      <c r="C209" t="inlineStr">
        <is>
          <t>496 - 653</t>
        </is>
      </c>
      <c r="D209" t="inlineStr">
        <is>
          <t>Branch / REV_DEBT low half</t>
        </is>
      </c>
      <c r="E209" t="inlineStr">
        <is>
          <t>outcome_loans</t>
        </is>
      </c>
      <c r="F209" t="inlineStr">
        <is>
          <t>Outcome, share of loans</t>
        </is>
      </c>
      <c r="G209" t="n">
        <v>250</v>
      </c>
      <c r="H209" t="n">
        <v>250</v>
      </c>
      <c r="I209" t="b">
        <v>0</v>
      </c>
      <c r="J209" t="b">
        <v>0</v>
      </c>
      <c r="K209" t="n">
        <v>0.7697682119205298</v>
      </c>
      <c r="L209" t="n">
        <v>0.3781415137609792</v>
      </c>
      <c r="M209" t="n">
        <v>0.3575342465753424</v>
      </c>
      <c r="N209" t="n">
        <v>0.0001389286621136752</v>
      </c>
      <c r="O209" t="n">
        <v>-4.486385340043878</v>
      </c>
      <c r="P209" t="n">
        <v>-26.95402298850575</v>
      </c>
      <c r="Q209">
        <f>'_live'!$C$20</f>
        <v/>
      </c>
      <c r="R209" t="inlineStr">
        <is>
          <t>z test</t>
        </is>
      </c>
      <c r="S209" t="inlineStr">
        <is>
          <t>z test</t>
        </is>
      </c>
      <c r="T209" t="n">
        <v>0.07794554136017551</v>
      </c>
      <c r="U209" t="n">
        <v>0.167816091954023</v>
      </c>
      <c r="V209">
        <f>AND(judged_band,NOT($J209))</f>
        <v/>
      </c>
      <c r="W209">
        <f>IF($K209="","",IF($I209,"too few losses to test",IF(AND($K209&gt;better_at,$K209&lt;worse_at),"in line",IF($K209&gt;=worse_at,IF(AND(ISNUMBER($L209),$L209&lt;significance_bar),"worse","worse, not significant"),IF(AND(ISNUMBER($L209),$L209&lt;significance_bar),"better","better, not significant")))))</f>
        <v/>
      </c>
      <c r="X209">
        <f>IF($M209="","",IF($I209,"too few losses to test",IF(AND($M209&gt;better_at,$M209&lt;worse_at),"in line",IF($M209&gt;=worse_at,IF(AND(ISNUMBER($N209),$N209&lt;significance_bar),"worse","worse, not significant"),IF(AND(ISNUMBER($N209),$N209&lt;significance_bar),"better","better, not significant")))))</f>
        <v/>
      </c>
      <c r="Y209">
        <f>IF($V209,$X209,$W209)</f>
        <v/>
      </c>
      <c r="Z209">
        <f>IF($V209,IF($P209="","",$P209),IF($O209="","",$O209))</f>
        <v/>
      </c>
      <c r="AA209">
        <f>IF(OR($Q209="",$Z209=""),"",IF(AND($Z209&gt;0,$Z209&gt;=$Q209),"yes","below the line"))</f>
        <v/>
      </c>
      <c r="AB209">
        <f>IF($V209,IF($M209="","",$M209),IF($K209="","",$K209))</f>
        <v/>
      </c>
      <c r="AC209">
        <f>IF($V209,IF($N209="","",$N209),IF($L209="","",$L209))</f>
        <v/>
      </c>
      <c r="AD209">
        <f>$Y209</f>
        <v/>
      </c>
      <c r="AE209">
        <f>IF($V209,IF($S209="","",$S209),IF($R209="","",$R209))</f>
        <v/>
      </c>
      <c r="AF209">
        <f>IF($V209,IF($U209="","",$U209),IF($T209="","",$T209))</f>
        <v/>
      </c>
      <c r="AG209">
        <f>IF($V209,IF($O209="","",$O209),IF($P209="","",$P209))</f>
        <v/>
      </c>
      <c r="AH209" t="n">
        <v>0.06</v>
      </c>
      <c r="AI209">
        <f>IF($Y209="worse","Yes",IF($Y209="worse, not significant","Not sure",IF(OR($Y209="too few losses to test",$Y209="too few loans to test"),"Too few losses",IF($Y209="","","No"))))</f>
        <v/>
      </c>
      <c r="AJ209">
        <f>IF($AA209="yes","Yes",IF($AA209="","","No"))</f>
        <v/>
      </c>
      <c r="AM209">
        <f>IF(AND(ISNUMBER($AC209),ISNUMBER(IF($V209,IF($AL209="","",$AL209),IF($AK209="","",$AK209)))),IF(AND(ABS($AC209-significance_bar)&lt;=2.0*IF($V209,IF($AL209="","",$AL209),IF($AK209="","",$AK209)),OR($Y209="worse",$Y209="better",$Y209="worse, not significant",$Y209="better, not significant")),IF(ROUND($AC209,3)=ROUND(significance_bar,3),TEXT($AC209,"0.0000"),TEXT($AC209,"0.000")),""),"")</f>
        <v/>
      </c>
      <c r="AN209">
        <f>IF(AND(ISNUMBER($AC209),ISNUMBER(IF($V209,IF($AL209="","",$AL209),IF($AK209="","",$AK209)))),IF(AND(ABS($AC209-significance_bar)&lt;=2.0*IF($V209,IF($AL209="","",$AL209),IF($AK209="","",$AK209)),OR($Y209="worse",$Y209="worse, not significant")),IF(ROUND($AC209,3)=ROUND(significance_bar,3),TEXT($AC209,"0.0000"),TEXT($AC209,"0.000")),""),"")</f>
        <v/>
      </c>
      <c r="AO209">
        <f>IF(OR($AI209="",$AN209=""),$AI209,$AI209&amp;" · borderline (p "&amp;$AN209&amp;")")</f>
        <v/>
      </c>
    </row>
    <row r="210">
      <c r="A210" t="inlineStr">
        <is>
          <t>three-way</t>
        </is>
      </c>
      <c r="B210" t="inlineStr">
        <is>
          <t>FICO x CHANNEL / REV_DEBT</t>
        </is>
      </c>
      <c r="C210" t="inlineStr">
        <is>
          <t>496 - 653</t>
        </is>
      </c>
      <c r="D210" t="inlineStr">
        <is>
          <t>Branch / REV_DEBT low half</t>
        </is>
      </c>
      <c r="E210" t="inlineStr">
        <is>
          <t>outcome_booked</t>
        </is>
      </c>
      <c r="F210" t="inlineStr">
        <is>
          <t>Outcome, share of booked dollars</t>
        </is>
      </c>
      <c r="G210" t="n">
        <v>250</v>
      </c>
      <c r="H210" t="n">
        <v>8257324.78</v>
      </c>
      <c r="I210" t="b">
        <v>0</v>
      </c>
      <c r="J210" t="b">
        <v>0</v>
      </c>
      <c r="K210" t="n">
        <v>0.7170640163963173</v>
      </c>
      <c r="L210" t="n">
        <v>0.3336019339242546</v>
      </c>
      <c r="M210" t="n">
        <v>0.322984675885934</v>
      </c>
      <c r="N210" t="n">
        <v>0.00114988501149885</v>
      </c>
      <c r="O210" t="n">
        <v>-176419.6159466559</v>
      </c>
      <c r="P210" t="n">
        <v>-937201.9829410986</v>
      </c>
      <c r="Q210">
        <f>'_live'!$C$21</f>
        <v/>
      </c>
      <c r="R210" t="inlineStr">
        <is>
          <t>shuffled: 2,465 of 10,000</t>
        </is>
      </c>
      <c r="S210" t="inlineStr">
        <is>
          <t>shuffled: 1 of 10,000</t>
        </is>
      </c>
      <c r="T210" t="n">
        <v>0.07551258216909518</v>
      </c>
      <c r="U210" t="n">
        <v>0.167646825070274</v>
      </c>
      <c r="V210">
        <f>AND(judged_band,NOT($J210))</f>
        <v/>
      </c>
      <c r="W210">
        <f>IF($K210="","",IF($I210,"too few losses to test",IF(AND($K210&gt;better_at,$K210&lt;worse_at),"in line",IF($K210&gt;=worse_at,IF(AND(ISNUMBER($L210),$L210&lt;significance_bar),"worse","worse, not significant"),IF(AND(ISNUMBER($L210),$L210&lt;significance_bar),"better","better, not significant")))))</f>
        <v/>
      </c>
      <c r="X210">
        <f>IF($M210="","",IF($I210,"too few losses to test",IF(AND($M210&gt;better_at,$M210&lt;worse_at),"in line",IF($M210&gt;=worse_at,IF(AND(ISNUMBER($N210),$N210&lt;significance_bar),"worse","worse, not significant"),IF(AND(ISNUMBER($N210),$N210&lt;significance_bar),"better","better, not significant")))))</f>
        <v/>
      </c>
      <c r="Y210">
        <f>IF($V210,$X210,$W210)</f>
        <v/>
      </c>
      <c r="Z210">
        <f>IF($V210,IF($P210="","",$P210),IF($O210="","",$O210))</f>
        <v/>
      </c>
      <c r="AA210">
        <f>IF(OR($Q210="",$Z210=""),"",IF(AND($Z210&gt;0,$Z210&gt;=$Q210),"yes","below the line"))</f>
        <v/>
      </c>
      <c r="AB210">
        <f>IF($V210,IF($M210="","",$M210),IF($K210="","",$K210))</f>
        <v/>
      </c>
      <c r="AC210">
        <f>IF($V210,IF($N210="","",$N210),IF($L210="","",$L210))</f>
        <v/>
      </c>
      <c r="AD210">
        <f>$Y210</f>
        <v/>
      </c>
      <c r="AE210">
        <f>IF($V210,IF($S210="","",$S210),IF($R210="","",$R210))</f>
        <v/>
      </c>
      <c r="AF210">
        <f>IF($V210,IF($U210="","",$U210),IF($T210="","",$T210))</f>
        <v/>
      </c>
      <c r="AG210">
        <f>IF($V210,IF($O210="","",$O210),IF($P210="","",$P210))</f>
        <v/>
      </c>
      <c r="AH210" t="n">
        <v>0.05414735545862832</v>
      </c>
      <c r="AI210">
        <f>IF($Y210="worse","Yes",IF($Y210="worse, not significant","Not sure",IF(OR($Y210="too few losses to test",$Y210="too few loans to test"),"Too few losses",IF($Y210="","","No"))))</f>
        <v/>
      </c>
      <c r="AJ210">
        <f>IF($AA210="yes","Yes",IF($AA210="","","No"))</f>
        <v/>
      </c>
      <c r="AK210" t="n">
        <v>0.005831411001107209</v>
      </c>
      <c r="AL210" t="n">
        <v>0.0008130508336247322</v>
      </c>
      <c r="AM210">
        <f>IF(AND(ISNUMBER($AC210),ISNUMBER(IF($V210,IF($AL210="","",$AL210),IF($AK210="","",$AK210)))),IF(AND(ABS($AC210-significance_bar)&lt;=2.0*IF($V210,IF($AL210="","",$AL210),IF($AK210="","",$AK210)),OR($Y210="worse",$Y210="better",$Y210="worse, not significant",$Y210="better, not significant")),IF(ROUND($AC210,3)=ROUND(significance_bar,3),TEXT($AC210,"0.0000"),TEXT($AC210,"0.000")),""),"")</f>
        <v/>
      </c>
      <c r="AN210">
        <f>IF(AND(ISNUMBER($AC210),ISNUMBER(IF($V210,IF($AL210="","",$AL210),IF($AK210="","",$AK210)))),IF(AND(ABS($AC210-significance_bar)&lt;=2.0*IF($V210,IF($AL210="","",$AL210),IF($AK210="","",$AK210)),OR($Y210="worse",$Y210="worse, not significant")),IF(ROUND($AC210,3)=ROUND(significance_bar,3),TEXT($AC210,"0.0000"),TEXT($AC210,"0.000")),""),"")</f>
        <v/>
      </c>
      <c r="AO210">
        <f>IF(OR($AI210="",$AN210=""),$AI210,$AI210&amp;" · borderline (p "&amp;$AN210&amp;")")</f>
        <v/>
      </c>
    </row>
    <row r="211">
      <c r="A211" t="inlineStr">
        <is>
          <t>three-way</t>
        </is>
      </c>
      <c r="B211" t="inlineStr">
        <is>
          <t>FICO x CHANNEL / REV_DEBT</t>
        </is>
      </c>
      <c r="C211" t="inlineStr">
        <is>
          <t>496 - 653</t>
        </is>
      </c>
      <c r="D211" t="inlineStr">
        <is>
          <t>Branch / REV_DEBT low half</t>
        </is>
      </c>
      <c r="E211" t="inlineStr">
        <is>
          <t>gco_rate</t>
        </is>
      </c>
      <c r="F211" t="inlineStr">
        <is>
          <t>GCO per booked dollar</t>
        </is>
      </c>
      <c r="G211" t="n">
        <v>251</v>
      </c>
      <c r="H211" t="n">
        <v>8294312.79</v>
      </c>
      <c r="I211" t="b">
        <v>0</v>
      </c>
      <c r="J211" t="b">
        <v>0</v>
      </c>
      <c r="K211" t="n">
        <v>0.6408835836111427</v>
      </c>
      <c r="L211" t="n">
        <v>0.2297064411205938</v>
      </c>
      <c r="M211" t="n">
        <v>0.2854956251292415</v>
      </c>
      <c r="N211" t="n">
        <v>0.0007665900076659002</v>
      </c>
      <c r="O211" t="n">
        <v>-125373.7221140753</v>
      </c>
      <c r="P211" t="n">
        <v>-559958.5015759241</v>
      </c>
      <c r="Q211">
        <f>'_live'!$C$22</f>
        <v/>
      </c>
      <c r="R211" t="inlineStr">
        <is>
          <t>shuffled: 1,599 of 10,000</t>
        </is>
      </c>
      <c r="S211" t="inlineStr">
        <is>
          <t>shuffled: 0 of 10,000</t>
        </is>
      </c>
      <c r="T211" t="n">
        <v>0.04209115582607239</v>
      </c>
      <c r="U211" t="n">
        <v>0.09448666953105395</v>
      </c>
      <c r="V211">
        <f>AND(judged_band,NOT($J211))</f>
        <v/>
      </c>
      <c r="W211">
        <f>IF($K211="","",IF($I211,"too few losses to test",IF(AND($K211&gt;better_at,$K211&lt;worse_at),"in line",IF($K211&gt;=worse_at,IF(AND(ISNUMBER($L211),$L211&lt;significance_bar),"worse","worse, not significant"),IF(AND(ISNUMBER($L211),$L211&lt;significance_bar),"better","better, not significant")))))</f>
        <v/>
      </c>
      <c r="X211">
        <f>IF($M211="","",IF($I211,"too few losses to test",IF(AND($M211&gt;better_at,$M211&lt;worse_at),"in line",IF($M211&gt;=worse_at,IF(AND(ISNUMBER($N211),$N211&lt;significance_bar),"worse","worse, not significant"),IF(AND(ISNUMBER($N211),$N211&lt;significance_bar),"better","better, not significant")))))</f>
        <v/>
      </c>
      <c r="Y211">
        <f>IF($V211,$X211,$W211)</f>
        <v/>
      </c>
      <c r="Z211">
        <f>IF($V211,IF($P211="","",$P211),IF($O211="","",$O211))</f>
        <v/>
      </c>
      <c r="AA211">
        <f>IF(OR($Q211="",$Z211=""),"",IF(AND($Z211&gt;0,$Z211&gt;=$Q211),"yes","below the line"))</f>
        <v/>
      </c>
      <c r="AB211">
        <f>IF($V211,IF($M211="","",$M211),IF($K211="","",$K211))</f>
        <v/>
      </c>
      <c r="AC211">
        <f>IF($V211,IF($N211="","",$N211),IF($L211="","",$L211))</f>
        <v/>
      </c>
      <c r="AD211">
        <f>$Y211</f>
        <v/>
      </c>
      <c r="AE211">
        <f>IF($V211,IF($S211="","",$S211),IF($R211="","",$R211))</f>
        <v/>
      </c>
      <c r="AF211">
        <f>IF($V211,IF($U211="","",$U211),IF($T211="","",$T211))</f>
        <v/>
      </c>
      <c r="AG211">
        <f>IF($V211,IF($O211="","",$O211),IF($P211="","",$P211))</f>
        <v/>
      </c>
      <c r="AH211" t="n">
        <v>0.0269755307841483</v>
      </c>
      <c r="AI211">
        <f>IF($Y211="worse","Yes",IF($Y211="worse, not significant","Not sure",IF(OR($Y211="too few losses to test",$Y211="too few loans to test"),"Too few losses",IF($Y211="","","No"))))</f>
        <v/>
      </c>
      <c r="AJ211">
        <f>IF($AA211="yes","Yes",IF($AA211="","","No"))</f>
        <v/>
      </c>
      <c r="AK211" t="n">
        <v>0.005079510346483009</v>
      </c>
      <c r="AL211" t="n">
        <v>0.0007665900076659002</v>
      </c>
      <c r="AM211">
        <f>IF(AND(ISNUMBER($AC211),ISNUMBER(IF($V211,IF($AL211="","",$AL211),IF($AK211="","",$AK211)))),IF(AND(ABS($AC211-significance_bar)&lt;=2.0*IF($V211,IF($AL211="","",$AL211),IF($AK211="","",$AK211)),OR($Y211="worse",$Y211="better",$Y211="worse, not significant",$Y211="better, not significant")),IF(ROUND($AC211,3)=ROUND(significance_bar,3),TEXT($AC211,"0.0000"),TEXT($AC211,"0.000")),""),"")</f>
        <v/>
      </c>
      <c r="AN211">
        <f>IF(AND(ISNUMBER($AC211),ISNUMBER(IF($V211,IF($AL211="","",$AL211),IF($AK211="","",$AK211)))),IF(AND(ABS($AC211-significance_bar)&lt;=2.0*IF($V211,IF($AL211="","",$AL211),IF($AK211="","",$AK211)),OR($Y211="worse",$Y211="worse, not significant")),IF(ROUND($AC211,3)=ROUND(significance_bar,3),TEXT($AC211,"0.0000"),TEXT($AC211,"0.000")),""),"")</f>
        <v/>
      </c>
      <c r="AO211">
        <f>IF(OR($AI211="",$AN211=""),$AI211,$AI211&amp;" · borderline (p "&amp;$AN211&amp;")")</f>
        <v/>
      </c>
    </row>
    <row r="212">
      <c r="A212" t="inlineStr">
        <is>
          <t>three-way</t>
        </is>
      </c>
      <c r="B212" t="inlineStr">
        <is>
          <t>FICO x CHANNEL / REV_DEBT</t>
        </is>
      </c>
      <c r="C212" t="inlineStr">
        <is>
          <t>496 - 653</t>
        </is>
      </c>
      <c r="D212" t="inlineStr">
        <is>
          <t>Branch / REV_DEBT low half</t>
        </is>
      </c>
      <c r="E212" t="inlineStr">
        <is>
          <t>ranr_rate</t>
        </is>
      </c>
      <c r="F212" t="inlineStr">
        <is>
          <t>Profit after losses: RANR per booked dollar</t>
        </is>
      </c>
      <c r="G212" t="n">
        <v>251</v>
      </c>
      <c r="H212" t="n">
        <v>8294312.79</v>
      </c>
      <c r="I212" t="b">
        <v>0</v>
      </c>
      <c r="J212" t="b">
        <v>0</v>
      </c>
      <c r="K212" t="n">
        <v>0.108018665713272</v>
      </c>
      <c r="L212" t="n">
        <v>0.0002466420024664201</v>
      </c>
      <c r="M212" t="n">
        <v>0.0506423002410881</v>
      </c>
      <c r="N212" t="n">
        <v>0.04165297755938692</v>
      </c>
      <c r="O212" t="n">
        <v>-895940.6005843261</v>
      </c>
      <c r="P212" t="n">
        <v>-420043.0786046772</v>
      </c>
      <c r="Q212">
        <f>'_live'!$C$23</f>
        <v/>
      </c>
      <c r="R212" t="inlineStr">
        <is>
          <t>shuffled: 0 of 10,000</t>
        </is>
      </c>
      <c r="S212" t="inlineStr">
        <is>
          <t>shuffled: 80 of 10,000</t>
        </is>
      </c>
      <c r="T212" t="n">
        <v>0.1245183326894612</v>
      </c>
      <c r="U212" t="n">
        <v>0.1818946981616451</v>
      </c>
      <c r="V212">
        <f>AND(judged_band,NOT($J212))</f>
        <v/>
      </c>
      <c r="W212">
        <f>IF($K212="","",IF(profit_kind="test",IF(OR(NOT(AND(ISNUMBER($L212),$L212&lt;significance_bar)),$K212=0),"in line",IF($K212&lt;0,"worse","better")),IF(OR($K212=0,IF(profit_kind="points",ABS($K212),ABS($K212*$H212))&lt;profit_line*(1-1E-9)),"in line",IF(AND(ISNUMBER($L212),$L212&lt;significance_bar),IF($K212&lt;0,"worse","better"),IF($K212&lt;0,"worse, not significant","better, not significant")))))</f>
        <v/>
      </c>
      <c r="X212">
        <f>IF($M212="","",IF(profit_kind="test",IF(OR(NOT(AND(ISNUMBER($N212),$N212&lt;significance_bar)),$M212=0),"in line",IF($M212&lt;0,"worse","better")),IF(OR($M212=0,IF(profit_kind="points",ABS($M212),ABS($M212*$H212))&lt;profit_line*(1-1E-9)),"in line",IF(AND(ISNUMBER($N212),$N212&lt;significance_bar),IF($M212&lt;0,"worse","better"),IF($M212&lt;0,"worse, not significant","better, not significant")))))</f>
        <v/>
      </c>
      <c r="Y212">
        <f>IF($V212,$X212,$W212)</f>
        <v/>
      </c>
      <c r="Z212">
        <f>IF($V212,IF($P212="","",$P212),IF($O212="","",$O212))</f>
        <v/>
      </c>
      <c r="AA212">
        <f>IF(OR($Q212="",$Z212=""),"",IF(AND($Z212&gt;0,$Z212&gt;=$Q212),"yes","below the line"))</f>
        <v/>
      </c>
      <c r="AB212">
        <f>IF($V212,IF($M212="","",$M212),IF($K212="","",$K212))</f>
        <v/>
      </c>
      <c r="AC212">
        <f>IF($V212,IF($N212="","",$N212),IF($L212="","",$L212))</f>
        <v/>
      </c>
      <c r="AD212">
        <f>IF($Y212="","",IF($Y212="in line",IF(profit_kind="test",IF(ROUND($AB212*100,2)=0,"0.00",TEXT($AB212*100,"+0.00;-0.00"))&amp;" points against "&amp;IF($V212,"its band","the book")&amp;", "&amp;IF($AC212="","not tested","not significant"),IF(profit_kind="points","within "&amp;TEXT(profit_line*100,"0.00")&amp;" points of "&amp;IF($V212,"its band","the book")&amp;" ("&amp;IF(ROUND($AB212*100,2)=0,"0.00",TEXT($AB212*100,"+0.00;-0.00"))&amp;")","within $"&amp;TEXT(profit_line,"#,##0")&amp;" of "&amp;IF($V212,"its band","the book")&amp;" ("&amp;IF(ROUND($AB212*100,2)=0,"0.00",TEXT($AB212*100,"+0.00;-0.00"))&amp;" points)")),IF(LEFT($Y212,5)="worse","short of ","ahead of ")&amp;IF($V212,"its band","the book")&amp;" by "&amp;TEXT(ABS($AB212)*100,"0.00")&amp;" points"&amp;IF($Z212="",""," ($"&amp;TEXT(ABS($Z212),"#,##0")&amp;")")&amp;IF(RIGHT($Y212,15)="not significant"," (not significant)","")))</f>
        <v/>
      </c>
      <c r="AE212">
        <f>IF($V212,IF($S212="","",$S212),IF($R212="","",$R212))</f>
        <v/>
      </c>
      <c r="AF212">
        <f>IF($V212,IF($U212="","",$U212),IF($T212="","",$T212))</f>
        <v/>
      </c>
      <c r="AG212">
        <f>IF($V212,IF($O212="","",$O212),IF($P212="","",$P212))</f>
        <v/>
      </c>
      <c r="AH212" t="n">
        <v>0.2325369984027331</v>
      </c>
      <c r="AI212">
        <f>IF($Y212="worse","Yes",IF($Y212="worse, not significant","Not sure",IF(OR($Y212="too few losses to test",$Y212="too few loans to test"),"Too few losses",IF($Y212="","","No"))))</f>
        <v/>
      </c>
      <c r="AJ212">
        <f>IF($AA212="yes","Yes",IF($AA212="","","No"))</f>
        <v/>
      </c>
      <c r="AK212" t="n">
        <v>0.0002466420024664201</v>
      </c>
      <c r="AL212" t="n">
        <v>0.004609559009525733</v>
      </c>
      <c r="AM212">
        <f>IF(AND(ISNUMBER($AC212),ISNUMBER(IF($V212,IF($AL212="","",$AL212),IF($AK212="","",$AK212)))),IF(AND(ABS($AC212-significance_bar)&lt;=2.0*IF($V212,IF($AL212="","",$AL212),IF($AK212="","",$AK212)),OR($Y212="worse",$Y212="better",$Y212="worse, not significant",$Y212="better, not significant",AND(profit_kind="test",$Y212="in line",ISNUMBER($AB212),$AB212&lt;&gt;0))),IF(ROUND($AC212,3)=ROUND(significance_bar,3),TEXT($AC212,"0.0000"),TEXT($AC212,"0.000")),""),"")</f>
        <v/>
      </c>
      <c r="AN212">
        <f>IF(AND(ISNUMBER($AC212),ISNUMBER(IF($V212,IF($AL212="","",$AL212),IF($AK212="","",$AK212)))),IF(AND(ABS($AC212-significance_bar)&lt;=2.0*IF($V212,IF($AL212="","",$AL212),IF($AK212="","",$AK212)),OR($Y212="worse",$Y212="worse, not significant",AND(profit_kind="test",$Y212="in line",ISNUMBER($AB212),$AB212&lt;0))),IF(ROUND($AC212,3)=ROUND(significance_bar,3),TEXT($AC212,"0.0000"),TEXT($AC212,"0.000")),""),"")</f>
        <v/>
      </c>
      <c r="AO212">
        <f>IF(OR($AI212="",$AN212=""),$AI212,$AI212&amp;" · borderline (p "&amp;$AN212&amp;")")</f>
        <v/>
      </c>
    </row>
    <row r="213">
      <c r="A213" t="inlineStr">
        <is>
          <t>three-way</t>
        </is>
      </c>
      <c r="B213" t="inlineStr">
        <is>
          <t>FICO x CHANNEL / REV_DEBT</t>
        </is>
      </c>
      <c r="C213" t="inlineStr">
        <is>
          <t>496 - 653</t>
        </is>
      </c>
      <c r="D213" t="inlineStr">
        <is>
          <t>Branch / REV_DEBT low half</t>
        </is>
      </c>
      <c r="E213" t="inlineStr">
        <is>
          <t>contribution_rate</t>
        </is>
      </c>
      <c r="F213" t="inlineStr">
        <is>
          <t>Contribution before losses per booked dollar</t>
        </is>
      </c>
      <c r="G213" t="n">
        <v>251</v>
      </c>
      <c r="H213" t="n">
        <v>8294312.79</v>
      </c>
      <c r="I213" t="b">
        <v>0</v>
      </c>
      <c r="J213" t="b">
        <v>0</v>
      </c>
      <c r="K213" t="n">
        <v>0.09290654655908956</v>
      </c>
      <c r="L213" t="n">
        <v>0.0001761728589045857</v>
      </c>
      <c r="M213" t="n">
        <v>-0.01686883850581739</v>
      </c>
      <c r="N213" t="n">
        <v>0.239016098390161</v>
      </c>
      <c r="O213" t="n">
        <v>-770595.9573997869</v>
      </c>
      <c r="P213" t="n">
        <v>139915.4229712458</v>
      </c>
      <c r="Q213">
        <f>'_live'!$C$24</f>
        <v/>
      </c>
      <c r="R213" t="inlineStr">
        <is>
          <t>shuffled: 0 of 10,000</t>
        </is>
      </c>
      <c r="S213" t="inlineStr">
        <is>
          <t>shuffled: 1,327 of 10,000</t>
        </is>
      </c>
      <c r="T213" t="n">
        <v>0.1666059826277921</v>
      </c>
      <c r="U213" t="n">
        <v>0.276381367692699</v>
      </c>
      <c r="V213">
        <f>AND(judged_band,NOT($J213))</f>
        <v/>
      </c>
      <c r="W213">
        <f>IF($K213="","",IF(profit_kind="test",IF(OR(NOT(AND(ISNUMBER($L213),$L213&lt;significance_bar)),$K213=0),"in line",IF($K213&lt;0,"worse","better")),IF(OR($K213=0,IF(profit_kind="points",ABS($K213),ABS($K213*$H213))&lt;profit_line*(1-1E-9)),"in line",IF(AND(ISNUMBER($L213),$L213&lt;significance_bar),IF($K213&lt;0,"worse","better"),IF($K213&lt;0,"worse, not significant","better, not significant")))))</f>
        <v/>
      </c>
      <c r="X213">
        <f>IF($M213="","",IF(profit_kind="test",IF(OR(NOT(AND(ISNUMBER($N213),$N213&lt;significance_bar)),$M213=0),"in line",IF($M213&lt;0,"worse","better")),IF(OR($M213=0,IF(profit_kind="points",ABS($M213),ABS($M213*$H213))&lt;profit_line*(1-1E-9)),"in line",IF(AND(ISNUMBER($N213),$N213&lt;significance_bar),IF($M213&lt;0,"worse","better"),IF($M213&lt;0,"worse, not significant","better, not significant")))))</f>
        <v/>
      </c>
      <c r="Y213">
        <f>IF($V213,$X213,$W213)</f>
        <v/>
      </c>
      <c r="Z213">
        <f>IF($V213,IF($P213="","",$P213),IF($O213="","",$O213))</f>
        <v/>
      </c>
      <c r="AA213">
        <f>IF(OR($Q213="",$Z213=""),"",IF(AND($Z213&gt;0,$Z213&gt;=$Q213),"yes","below the line"))</f>
        <v/>
      </c>
      <c r="AB213">
        <f>IF($V213,IF($M213="","",$M213),IF($K213="","",$K213))</f>
        <v/>
      </c>
      <c r="AC213">
        <f>IF($V213,IF($N213="","",$N213),IF($L213="","",$L213))</f>
        <v/>
      </c>
      <c r="AD213">
        <f>IF($Y213="","",IF($Y213="in line",IF(profit_kind="test",IF(ROUND($AB213*100,2)=0,"0.00",TEXT($AB213*100,"+0.00;-0.00"))&amp;" points against "&amp;IF($V213,"its band","the book")&amp;", "&amp;IF($AC213="","not tested","not significant"),IF(profit_kind="points","within "&amp;TEXT(profit_line*100,"0.00")&amp;" points of "&amp;IF($V213,"its band","the book")&amp;" ("&amp;IF(ROUND($AB213*100,2)=0,"0.00",TEXT($AB213*100,"+0.00;-0.00"))&amp;")","within $"&amp;TEXT(profit_line,"#,##0")&amp;" of "&amp;IF($V213,"its band","the book")&amp;" ("&amp;IF(ROUND($AB213*100,2)=0,"0.00",TEXT($AB213*100,"+0.00;-0.00"))&amp;" points)")),IF(LEFT($Y213,5)="worse","short of ","ahead of ")&amp;IF($V213,"its band","the book")&amp;" by "&amp;TEXT(ABS($AB213)*100,"0.00")&amp;" points"&amp;IF($Z213="",""," ($"&amp;TEXT(ABS($Z213),"#,##0")&amp;")")&amp;IF(RIGHT($Y213,15)="not significant"," (not significant)","")))</f>
        <v/>
      </c>
      <c r="AE213">
        <f>IF($V213,IF($S213="","",$S213),IF($R213="","",$R213))</f>
        <v/>
      </c>
      <c r="AF213">
        <f>IF($V213,IF($U213="","",$U213),IF($T213="","",$T213))</f>
        <v/>
      </c>
      <c r="AG213">
        <f>IF($V213,IF($O213="","",$O213),IF($P213="","",$P213))</f>
        <v/>
      </c>
      <c r="AH213" t="n">
        <v>0.2595125291868816</v>
      </c>
      <c r="AI213">
        <f>IF($Y213="worse","Yes",IF($Y213="worse, not significant","Not sure",IF(OR($Y213="too few losses to test",$Y213="too few loans to test"),"Too few losses",IF($Y213="","","No"))))</f>
        <v/>
      </c>
      <c r="AJ213">
        <f>IF($AA213="yes","Yes",IF($AA213="","","No"))</f>
        <v/>
      </c>
      <c r="AK213" t="n">
        <v>0.0001761728589045857</v>
      </c>
      <c r="AL213" t="n">
        <v>0.006108193528471693</v>
      </c>
      <c r="AM213">
        <f>IF(AND(ISNUMBER($AC213),ISNUMBER(IF($V213,IF($AL213="","",$AL213),IF($AK213="","",$AK213)))),IF(AND(ABS($AC213-significance_bar)&lt;=2.0*IF($V213,IF($AL213="","",$AL213),IF($AK213="","",$AK213)),OR($Y213="worse",$Y213="better",$Y213="worse, not significant",$Y213="better, not significant",AND(profit_kind="test",$Y213="in line",ISNUMBER($AB213),$AB213&lt;&gt;0))),IF(ROUND($AC213,3)=ROUND(significance_bar,3),TEXT($AC213,"0.0000"),TEXT($AC213,"0.000")),""),"")</f>
        <v/>
      </c>
      <c r="AN213">
        <f>IF(AND(ISNUMBER($AC213),ISNUMBER(IF($V213,IF($AL213="","",$AL213),IF($AK213="","",$AK213)))),IF(AND(ABS($AC213-significance_bar)&lt;=2.0*IF($V213,IF($AL213="","",$AL213),IF($AK213="","",$AK213)),OR($Y213="worse",$Y213="worse, not significant",AND(profit_kind="test",$Y213="in line",ISNUMBER($AB213),$AB213&lt;0))),IF(ROUND($AC213,3)=ROUND(significance_bar,3),TEXT($AC213,"0.0000"),TEXT($AC213,"0.000")),""),"")</f>
        <v/>
      </c>
      <c r="AO213">
        <f>IF(OR($AI213="",$AN213=""),$AI213,$AI213&amp;" · borderline (p "&amp;$AN213&amp;")")</f>
        <v/>
      </c>
    </row>
    <row r="214">
      <c r="A214" t="inlineStr">
        <is>
          <t>three-way</t>
        </is>
      </c>
      <c r="B214" t="inlineStr">
        <is>
          <t>FICO x CHANNEL / REV_DEBT</t>
        </is>
      </c>
      <c r="C214" t="inlineStr">
        <is>
          <t>746 - 921</t>
        </is>
      </c>
      <c r="D214" t="inlineStr">
        <is>
          <t>Branch / REV_DEBT low half</t>
        </is>
      </c>
      <c r="E214" t="inlineStr">
        <is>
          <t>outcome_loans</t>
        </is>
      </c>
      <c r="F214" t="inlineStr">
        <is>
          <t>Outcome, share of loans</t>
        </is>
      </c>
      <c r="G214" t="n">
        <v>259</v>
      </c>
      <c r="H214" t="n">
        <v>259</v>
      </c>
      <c r="I214" t="b">
        <v>0</v>
      </c>
      <c r="J214" t="b">
        <v>0</v>
      </c>
      <c r="K214" t="n">
        <v>0.4907088650931016</v>
      </c>
      <c r="L214" t="n">
        <v>0.04667001560645824</v>
      </c>
      <c r="M214" t="n">
        <v>0.9741609741609741</v>
      </c>
      <c r="N214" t="n">
        <v>0.9492287205924197</v>
      </c>
      <c r="O214" t="n">
        <v>-10.37868217054264</v>
      </c>
      <c r="P214" t="n">
        <v>-0.2652439024390247</v>
      </c>
      <c r="Q214">
        <f>'_live'!$C$20</f>
        <v/>
      </c>
      <c r="R214" t="inlineStr">
        <is>
          <t>z test</t>
        </is>
      </c>
      <c r="S214" t="inlineStr">
        <is>
          <t>z test</t>
        </is>
      </c>
      <c r="T214" t="n">
        <v>0.07868217054263565</v>
      </c>
      <c r="U214" t="n">
        <v>0.03963414634146342</v>
      </c>
      <c r="V214">
        <f>AND(judged_band,NOT($J214))</f>
        <v/>
      </c>
      <c r="W214">
        <f>IF($K214="","",IF($I214,"too few losses to test",IF(AND($K214&gt;better_at,$K214&lt;worse_at),"in line",IF($K214&gt;=worse_at,IF(AND(ISNUMBER($L214),$L214&lt;significance_bar),"worse","worse, not significant"),IF(AND(ISNUMBER($L214),$L214&lt;significance_bar),"better","better, not significant")))))</f>
        <v/>
      </c>
      <c r="X214">
        <f>IF($M214="","",IF($I214,"too few losses to test",IF(AND($M214&gt;better_at,$M214&lt;worse_at),"in line",IF($M214&gt;=worse_at,IF(AND(ISNUMBER($N214),$N214&lt;significance_bar),"worse","worse, not significant"),IF(AND(ISNUMBER($N214),$N214&lt;significance_bar),"better","better, not significant")))))</f>
        <v/>
      </c>
      <c r="Y214">
        <f>IF($V214,$X214,$W214)</f>
        <v/>
      </c>
      <c r="Z214">
        <f>IF($V214,IF($P214="","",$P214),IF($O214="","",$O214))</f>
        <v/>
      </c>
      <c r="AA214">
        <f>IF(OR($Q214="",$Z214=""),"",IF(AND($Z214&gt;0,$Z214&gt;=$Q214),"yes","below the line"))</f>
        <v/>
      </c>
      <c r="AB214">
        <f>IF($V214,IF($M214="","",$M214),IF($K214="","",$K214))</f>
        <v/>
      </c>
      <c r="AC214">
        <f>IF($V214,IF($N214="","",$N214),IF($L214="","",$L214))</f>
        <v/>
      </c>
      <c r="AD214">
        <f>$Y214</f>
        <v/>
      </c>
      <c r="AE214">
        <f>IF($V214,IF($S214="","",$S214),IF($R214="","",$R214))</f>
        <v/>
      </c>
      <c r="AF214">
        <f>IF($V214,IF($U214="","",$U214),IF($T214="","",$T214))</f>
        <v/>
      </c>
      <c r="AG214">
        <f>IF($V214,IF($O214="","",$O214),IF($P214="","",$P214))</f>
        <v/>
      </c>
      <c r="AH214" t="n">
        <v>0.03861003861003861</v>
      </c>
      <c r="AI214">
        <f>IF($Y214="worse","Yes",IF($Y214="worse, not significant","Not sure",IF(OR($Y214="too few losses to test",$Y214="too few loans to test"),"Too few losses",IF($Y214="","","No"))))</f>
        <v/>
      </c>
      <c r="AJ214">
        <f>IF($AA214="yes","Yes",IF($AA214="","","No"))</f>
        <v/>
      </c>
      <c r="AM214">
        <f>IF(AND(ISNUMBER($AC214),ISNUMBER(IF($V214,IF($AL214="","",$AL214),IF($AK214="","",$AK214)))),IF(AND(ABS($AC214-significance_bar)&lt;=2.0*IF($V214,IF($AL214="","",$AL214),IF($AK214="","",$AK214)),OR($Y214="worse",$Y214="better",$Y214="worse, not significant",$Y214="better, not significant")),IF(ROUND($AC214,3)=ROUND(significance_bar,3),TEXT($AC214,"0.0000"),TEXT($AC214,"0.000")),""),"")</f>
        <v/>
      </c>
      <c r="AN214">
        <f>IF(AND(ISNUMBER($AC214),ISNUMBER(IF($V214,IF($AL214="","",$AL214),IF($AK214="","",$AK214)))),IF(AND(ABS($AC214-significance_bar)&lt;=2.0*IF($V214,IF($AL214="","",$AL214),IF($AK214="","",$AK214)),OR($Y214="worse",$Y214="worse, not significant")),IF(ROUND($AC214,3)=ROUND(significance_bar,3),TEXT($AC214,"0.0000"),TEXT($AC214,"0.000")),""),"")</f>
        <v/>
      </c>
      <c r="AO214">
        <f>IF(OR($AI214="",$AN214=""),$AI214,$AI214&amp;" · borderline (p "&amp;$AN214&amp;")")</f>
        <v/>
      </c>
    </row>
    <row r="215">
      <c r="A215" t="inlineStr">
        <is>
          <t>three-way</t>
        </is>
      </c>
      <c r="B215" t="inlineStr">
        <is>
          <t>FICO x CHANNEL / REV_DEBT</t>
        </is>
      </c>
      <c r="C215" t="inlineStr">
        <is>
          <t>746 - 921</t>
        </is>
      </c>
      <c r="D215" t="inlineStr">
        <is>
          <t>Branch / REV_DEBT low half</t>
        </is>
      </c>
      <c r="E215" t="inlineStr">
        <is>
          <t>outcome_booked</t>
        </is>
      </c>
      <c r="F215" t="inlineStr">
        <is>
          <t>Outcome, share of booked dollars</t>
        </is>
      </c>
      <c r="G215" t="n">
        <v>259</v>
      </c>
      <c r="H215" t="n">
        <v>8135459.219999993</v>
      </c>
      <c r="I215" t="b">
        <v>0</v>
      </c>
      <c r="J215" t="b">
        <v>0</v>
      </c>
      <c r="K215" t="n">
        <v>0.495789524262719</v>
      </c>
      <c r="L215" t="n">
        <v>0.07681231876812319</v>
      </c>
      <c r="M215" t="n">
        <v>1.028243535215503</v>
      </c>
      <c r="N215" t="n">
        <v>0.9524047595240476</v>
      </c>
      <c r="O215" t="n">
        <v>-311905.2311177661</v>
      </c>
      <c r="P215" t="n">
        <v>8424.249260666664</v>
      </c>
      <c r="Q215">
        <f>'_live'!$C$21</f>
        <v/>
      </c>
      <c r="R215" t="inlineStr">
        <is>
          <t>shuffled: 333 of 10,000</t>
        </is>
      </c>
      <c r="S215" t="inlineStr">
        <is>
          <t>shuffled: 9,403 of 10,000</t>
        </is>
      </c>
      <c r="T215" t="n">
        <v>0.07603765618995588</v>
      </c>
      <c r="U215" t="n">
        <v>0.03666317569462706</v>
      </c>
      <c r="V215">
        <f>AND(judged_band,NOT($J215))</f>
        <v/>
      </c>
      <c r="W215">
        <f>IF($K215="","",IF($I215,"too few losses to test",IF(AND($K215&gt;better_at,$K215&lt;worse_at),"in line",IF($K215&gt;=worse_at,IF(AND(ISNUMBER($L215),$L215&lt;significance_bar),"worse","worse, not significant"),IF(AND(ISNUMBER($L215),$L215&lt;significance_bar),"better","better, not significant")))))</f>
        <v/>
      </c>
      <c r="X215">
        <f>IF($M215="","",IF($I215,"too few losses to test",IF(AND($M215&gt;better_at,$M215&lt;worse_at),"in line",IF($M215&gt;=worse_at,IF(AND(ISNUMBER($N215),$N215&lt;significance_bar),"worse","worse, not significant"),IF(AND(ISNUMBER($N215),$N215&lt;significance_bar),"better","better, not significant")))))</f>
        <v/>
      </c>
      <c r="Y215">
        <f>IF($V215,$X215,$W215)</f>
        <v/>
      </c>
      <c r="Z215">
        <f>IF($V215,IF($P215="","",$P215),IF($O215="","",$O215))</f>
        <v/>
      </c>
      <c r="AA215">
        <f>IF(OR($Q215="",$Z215=""),"",IF(AND($Z215&gt;0,$Z215&gt;=$Q215),"yes","below the line"))</f>
        <v/>
      </c>
      <c r="AB215">
        <f>IF($V215,IF($M215="","",$M215),IF($K215="","",$K215))</f>
        <v/>
      </c>
      <c r="AC215">
        <f>IF($V215,IF($N215="","",$N215),IF($L215="","",$L215))</f>
        <v/>
      </c>
      <c r="AD215">
        <f>$Y215</f>
        <v/>
      </c>
      <c r="AE215">
        <f>IF($V215,IF($S215="","",$S215),IF($R215="","",$R215))</f>
        <v/>
      </c>
      <c r="AF215">
        <f>IF($V215,IF($U215="","",$U215),IF($T215="","",$T215))</f>
        <v/>
      </c>
      <c r="AG215">
        <f>IF($V215,IF($O215="","",$O215),IF($P215="","",$P215))</f>
        <v/>
      </c>
      <c r="AH215" t="n">
        <v>0.03769867338847042</v>
      </c>
      <c r="AI215">
        <f>IF($Y215="worse","Yes",IF($Y215="worse, not significant","Not sure",IF(OR($Y215="too few losses to test",$Y215="too few loans to test"),"Too few losses",IF($Y215="","","No"))))</f>
        <v/>
      </c>
      <c r="AJ215">
        <f>IF($AA215="yes","Yes",IF($AA215="","","No"))</f>
        <v/>
      </c>
      <c r="AK215" t="n">
        <v>0.004132410928890635</v>
      </c>
      <c r="AL215" t="n">
        <v>0.002129082749918112</v>
      </c>
      <c r="AM215">
        <f>IF(AND(ISNUMBER($AC215),ISNUMBER(IF($V215,IF($AL215="","",$AL215),IF($AK215="","",$AK215)))),IF(AND(ABS($AC215-significance_bar)&lt;=2.0*IF($V215,IF($AL215="","",$AL215),IF($AK215="","",$AK215)),OR($Y215="worse",$Y215="better",$Y215="worse, not significant",$Y215="better, not significant")),IF(ROUND($AC215,3)=ROUND(significance_bar,3),TEXT($AC215,"0.0000"),TEXT($AC215,"0.000")),""),"")</f>
        <v/>
      </c>
      <c r="AN215">
        <f>IF(AND(ISNUMBER($AC215),ISNUMBER(IF($V215,IF($AL215="","",$AL215),IF($AK215="","",$AK215)))),IF(AND(ABS($AC215-significance_bar)&lt;=2.0*IF($V215,IF($AL215="","",$AL215),IF($AK215="","",$AK215)),OR($Y215="worse",$Y215="worse, not significant")),IF(ROUND($AC215,3)=ROUND(significance_bar,3),TEXT($AC215,"0.0000"),TEXT($AC215,"0.000")),""),"")</f>
        <v/>
      </c>
      <c r="AO215">
        <f>IF(OR($AI215="",$AN215=""),$AI215,$AI215&amp;" · borderline (p "&amp;$AN215&amp;")")</f>
        <v/>
      </c>
    </row>
    <row r="216">
      <c r="A216" t="inlineStr">
        <is>
          <t>three-way</t>
        </is>
      </c>
      <c r="B216" t="inlineStr">
        <is>
          <t>FICO x CHANNEL / REV_DEBT</t>
        </is>
      </c>
      <c r="C216" t="inlineStr">
        <is>
          <t>746 - 921</t>
        </is>
      </c>
      <c r="D216" t="inlineStr">
        <is>
          <t>Branch / REV_DEBT low half</t>
        </is>
      </c>
      <c r="E216" t="inlineStr">
        <is>
          <t>gco_rate</t>
        </is>
      </c>
      <c r="F216" t="inlineStr">
        <is>
          <t>GCO per booked dollar</t>
        </is>
      </c>
      <c r="G216" t="n">
        <v>259</v>
      </c>
      <c r="H216" t="n">
        <v>8135459.219999993</v>
      </c>
      <c r="I216" t="b">
        <v>0</v>
      </c>
      <c r="J216" t="b">
        <v>0</v>
      </c>
      <c r="K216" t="n">
        <v>0.4633642918337072</v>
      </c>
      <c r="L216" t="n">
        <v>0.06272100062721001</v>
      </c>
      <c r="M216" t="n">
        <v>1.012420720626409</v>
      </c>
      <c r="N216" t="n">
        <v>0.9747025297470253</v>
      </c>
      <c r="O216" t="n">
        <v>-184765.5323333798</v>
      </c>
      <c r="P216" t="n">
        <v>1957.265410983964</v>
      </c>
      <c r="Q216">
        <f>'_live'!$C$22</f>
        <v/>
      </c>
      <c r="R216" t="inlineStr">
        <is>
          <t>shuffled: 299 of 10,000</t>
        </is>
      </c>
      <c r="S216" t="inlineStr">
        <is>
          <t>shuffled: 9,747 of 10,000</t>
        </is>
      </c>
      <c r="T216" t="n">
        <v>0.04232133098116372</v>
      </c>
      <c r="U216" t="n">
        <v>0.01936960905680948</v>
      </c>
      <c r="V216">
        <f>AND(judged_band,NOT($J216))</f>
        <v/>
      </c>
      <c r="W216">
        <f>IF($K216="","",IF($I216,"too few losses to test",IF(AND($K216&gt;better_at,$K216&lt;worse_at),"in line",IF($K216&gt;=worse_at,IF(AND(ISNUMBER($L216),$L216&lt;significance_bar),"worse","worse, not significant"),IF(AND(ISNUMBER($L216),$L216&lt;significance_bar),"better","better, not significant")))))</f>
        <v/>
      </c>
      <c r="X216">
        <f>IF($M216="","",IF($I216,"too few losses to test",IF(AND($M216&gt;better_at,$M216&lt;worse_at),"in line",IF($M216&gt;=worse_at,IF(AND(ISNUMBER($N216),$N216&lt;significance_bar),"worse","worse, not significant"),IF(AND(ISNUMBER($N216),$N216&lt;significance_bar),"better","better, not significant")))))</f>
        <v/>
      </c>
      <c r="Y216">
        <f>IF($V216,$X216,$W216)</f>
        <v/>
      </c>
      <c r="Z216">
        <f>IF($V216,IF($P216="","",$P216),IF($O216="","",$O216))</f>
        <v/>
      </c>
      <c r="AA216">
        <f>IF(OR($Q216="",$Z216=""),"",IF(AND($Z216&gt;0,$Z216&gt;=$Q216),"yes","below the line"))</f>
        <v/>
      </c>
      <c r="AB216">
        <f>IF($V216,IF($M216="","",$M216),IF($K216="","",$K216))</f>
        <v/>
      </c>
      <c r="AC216">
        <f>IF($V216,IF($N216="","",$N216),IF($L216="","",$L216))</f>
        <v/>
      </c>
      <c r="AD216">
        <f>$Y216</f>
        <v/>
      </c>
      <c r="AE216">
        <f>IF($V216,IF($S216="","",$S216),IF($R216="","",$R216))</f>
        <v/>
      </c>
      <c r="AF216">
        <f>IF($V216,IF($U216="","",$U216),IF($T216="","",$T216))</f>
        <v/>
      </c>
      <c r="AG216">
        <f>IF($V216,IF($O216="","",$O216),IF($P216="","",$P216))</f>
        <v/>
      </c>
      <c r="AH216" t="n">
        <v>0.01961019355954686</v>
      </c>
      <c r="AI216">
        <f>IF($Y216="worse","Yes",IF($Y216="worse, not significant","Not sure",IF(OR($Y216="too few losses to test",$Y216="too few loans to test"),"Too few losses",IF($Y216="","","No"))))</f>
        <v/>
      </c>
      <c r="AJ216">
        <f>IF($AA216="yes","Yes",IF($AA216="","","No"))</f>
        <v/>
      </c>
      <c r="AK216" t="n">
        <v>0.00356665090081255</v>
      </c>
      <c r="AL216" t="n">
        <v>0.001570270940053803</v>
      </c>
      <c r="AM216">
        <f>IF(AND(ISNUMBER($AC216),ISNUMBER(IF($V216,IF($AL216="","",$AL216),IF($AK216="","",$AK216)))),IF(AND(ABS($AC216-significance_bar)&lt;=2.0*IF($V216,IF($AL216="","",$AL216),IF($AK216="","",$AK216)),OR($Y216="worse",$Y216="better",$Y216="worse, not significant",$Y216="better, not significant")),IF(ROUND($AC216,3)=ROUND(significance_bar,3),TEXT($AC216,"0.0000"),TEXT($AC216,"0.000")),""),"")</f>
        <v/>
      </c>
      <c r="AN216">
        <f>IF(AND(ISNUMBER($AC216),ISNUMBER(IF($V216,IF($AL216="","",$AL216),IF($AK216="","",$AK216)))),IF(AND(ABS($AC216-significance_bar)&lt;=2.0*IF($V216,IF($AL216="","",$AL216),IF($AK216="","",$AK216)),OR($Y216="worse",$Y216="worse, not significant")),IF(ROUND($AC216,3)=ROUND(significance_bar,3),TEXT($AC216,"0.0000"),TEXT($AC216,"0.000")),""),"")</f>
        <v/>
      </c>
      <c r="AO216">
        <f>IF(OR($AI216="",$AN216=""),$AI216,$AI216&amp;" · borderline (p "&amp;$AN216&amp;")")</f>
        <v/>
      </c>
    </row>
    <row r="217">
      <c r="A217" t="inlineStr">
        <is>
          <t>three-way</t>
        </is>
      </c>
      <c r="B217" t="inlineStr">
        <is>
          <t>FICO x CHANNEL / REV_DEBT</t>
        </is>
      </c>
      <c r="C217" t="inlineStr">
        <is>
          <t>746 - 921</t>
        </is>
      </c>
      <c r="D217" t="inlineStr">
        <is>
          <t>Branch / REV_DEBT low half</t>
        </is>
      </c>
      <c r="E217" t="inlineStr">
        <is>
          <t>ranr_rate</t>
        </is>
      </c>
      <c r="F217" t="inlineStr">
        <is>
          <t>Profit after losses: RANR per booked dollar</t>
        </is>
      </c>
      <c r="G217" t="n">
        <v>259</v>
      </c>
      <c r="H217" t="n">
        <v>8135459.219999993</v>
      </c>
      <c r="I217" t="b">
        <v>0</v>
      </c>
      <c r="J217" t="b">
        <v>0</v>
      </c>
      <c r="K217" t="n">
        <v>-0.0839169743214646</v>
      </c>
      <c r="L217" t="n">
        <v>0.0002466420024664201</v>
      </c>
      <c r="M217" t="n">
        <v>-2.968810787254417e-05</v>
      </c>
      <c r="N217" t="n">
        <v>0.9968003199680032</v>
      </c>
      <c r="O217" t="n">
        <v>682703.1224580619</v>
      </c>
      <c r="P217" t="n">
        <v>241.5263909160276</v>
      </c>
      <c r="Q217">
        <f>'_live'!$C$23</f>
        <v/>
      </c>
      <c r="R217" t="inlineStr">
        <is>
          <t>shuffled: 0 of 10,000</t>
        </is>
      </c>
      <c r="S217" t="inlineStr">
        <is>
          <t>shuffled: 9,968 of 10,000</t>
        </is>
      </c>
      <c r="T217" t="n">
        <v>0.1306354839620305</v>
      </c>
      <c r="U217" t="n">
        <v>0.0467481977484384</v>
      </c>
      <c r="V217">
        <f>AND(judged_band,NOT($J217))</f>
        <v/>
      </c>
      <c r="W217">
        <f>IF($K217="","",IF(profit_kind="test",IF(OR(NOT(AND(ISNUMBER($L217),$L217&lt;significance_bar)),$K217=0),"in line",IF($K217&lt;0,"worse","better")),IF(OR($K217=0,IF(profit_kind="points",ABS($K217),ABS($K217*$H217))&lt;profit_line*(1-1E-9)),"in line",IF(AND(ISNUMBER($L217),$L217&lt;significance_bar),IF($K217&lt;0,"worse","better"),IF($K217&lt;0,"worse, not significant","better, not significant")))))</f>
        <v/>
      </c>
      <c r="X217">
        <f>IF($M217="","",IF(profit_kind="test",IF(OR(NOT(AND(ISNUMBER($N217),$N217&lt;significance_bar)),$M217=0),"in line",IF($M217&lt;0,"worse","better")),IF(OR($M217=0,IF(profit_kind="points",ABS($M217),ABS($M217*$H217))&lt;profit_line*(1-1E-9)),"in line",IF(AND(ISNUMBER($N217),$N217&lt;significance_bar),IF($M217&lt;0,"worse","better"),IF($M217&lt;0,"worse, not significant","better, not significant")))))</f>
        <v/>
      </c>
      <c r="Y217">
        <f>IF($V217,$X217,$W217)</f>
        <v/>
      </c>
      <c r="Z217">
        <f>IF($V217,IF($P217="","",$P217),IF($O217="","",$O217))</f>
        <v/>
      </c>
      <c r="AA217">
        <f>IF(OR($Q217="",$Z217=""),"",IF(AND($Z217&gt;0,$Z217&gt;=$Q217),"yes","below the line"))</f>
        <v/>
      </c>
      <c r="AB217">
        <f>IF($V217,IF($M217="","",$M217),IF($K217="","",$K217))</f>
        <v/>
      </c>
      <c r="AC217">
        <f>IF($V217,IF($N217="","",$N217),IF($L217="","",$L217))</f>
        <v/>
      </c>
      <c r="AD217">
        <f>IF($Y217="","",IF($Y217="in line",IF(profit_kind="test",IF(ROUND($AB217*100,2)=0,"0.00",TEXT($AB217*100,"+0.00;-0.00"))&amp;" points against "&amp;IF($V217,"its band","the book")&amp;", "&amp;IF($AC217="","not tested","not significant"),IF(profit_kind="points","within "&amp;TEXT(profit_line*100,"0.00")&amp;" points of "&amp;IF($V217,"its band","the book")&amp;" ("&amp;IF(ROUND($AB217*100,2)=0,"0.00",TEXT($AB217*100,"+0.00;-0.00"))&amp;")","within $"&amp;TEXT(profit_line,"#,##0")&amp;" of "&amp;IF($V217,"its band","the book")&amp;" ("&amp;IF(ROUND($AB217*100,2)=0,"0.00",TEXT($AB217*100,"+0.00;-0.00"))&amp;" points)")),IF(LEFT($Y217,5)="worse","short of ","ahead of ")&amp;IF($V217,"its band","the book")&amp;" by "&amp;TEXT(ABS($AB217)*100,"0.00")&amp;" points"&amp;IF($Z217="",""," ($"&amp;TEXT(ABS($Z217),"#,##0")&amp;")")&amp;IF(RIGHT($Y217,15)="not significant"," (not significant)","")))</f>
        <v/>
      </c>
      <c r="AE217">
        <f>IF($V217,IF($S217="","",$S217),IF($R217="","",$R217))</f>
        <v/>
      </c>
      <c r="AF217">
        <f>IF($V217,IF($U217="","",$U217),IF($T217="","",$T217))</f>
        <v/>
      </c>
      <c r="AG217">
        <f>IF($V217,IF($O217="","",$O217),IF($P217="","",$P217))</f>
        <v/>
      </c>
      <c r="AH217" t="n">
        <v>0.04671850964056586</v>
      </c>
      <c r="AI217">
        <f>IF($Y217="worse","Yes",IF($Y217="worse, not significant","Not sure",IF(OR($Y217="too few losses to test",$Y217="too few loans to test"),"Too few losses",IF($Y217="","","No"))))</f>
        <v/>
      </c>
      <c r="AJ217">
        <f>IF($AA217="yes","Yes",IF($AA217="","","No"))</f>
        <v/>
      </c>
      <c r="AK217" t="n">
        <v>0.0002466420024664201</v>
      </c>
      <c r="AL217" t="n">
        <v>0.0005647514568099508</v>
      </c>
      <c r="AM217">
        <f>IF(AND(ISNUMBER($AC217),ISNUMBER(IF($V217,IF($AL217="","",$AL217),IF($AK217="","",$AK217)))),IF(AND(ABS($AC217-significance_bar)&lt;=2.0*IF($V217,IF($AL217="","",$AL217),IF($AK217="","",$AK217)),OR($Y217="worse",$Y217="better",$Y217="worse, not significant",$Y217="better, not significant",AND(profit_kind="test",$Y217="in line",ISNUMBER($AB217),$AB217&lt;&gt;0))),IF(ROUND($AC217,3)=ROUND(significance_bar,3),TEXT($AC217,"0.0000"),TEXT($AC217,"0.000")),""),"")</f>
        <v/>
      </c>
      <c r="AN217">
        <f>IF(AND(ISNUMBER($AC217),ISNUMBER(IF($V217,IF($AL217="","",$AL217),IF($AK217="","",$AK217)))),IF(AND(ABS($AC217-significance_bar)&lt;=2.0*IF($V217,IF($AL217="","",$AL217),IF($AK217="","",$AK217)),OR($Y217="worse",$Y217="worse, not significant",AND(profit_kind="test",$Y217="in line",ISNUMBER($AB217),$AB217&lt;0))),IF(ROUND($AC217,3)=ROUND(significance_bar,3),TEXT($AC217,"0.0000"),TEXT($AC217,"0.000")),""),"")</f>
        <v/>
      </c>
      <c r="AO217">
        <f>IF(OR($AI217="",$AN217=""),$AI217,$AI217&amp;" · borderline (p "&amp;$AN217&amp;")")</f>
        <v/>
      </c>
    </row>
    <row r="218">
      <c r="A218" t="inlineStr">
        <is>
          <t>three-way</t>
        </is>
      </c>
      <c r="B218" t="inlineStr">
        <is>
          <t>FICO x CHANNEL / REV_DEBT</t>
        </is>
      </c>
      <c r="C218" t="inlineStr">
        <is>
          <t>746 - 921</t>
        </is>
      </c>
      <c r="D218" t="inlineStr">
        <is>
          <t>Branch / REV_DEBT low half</t>
        </is>
      </c>
      <c r="E218" t="inlineStr">
        <is>
          <t>contribution_rate</t>
        </is>
      </c>
      <c r="F218" t="inlineStr">
        <is>
          <t>Contribution before losses per booked dollar</t>
        </is>
      </c>
      <c r="G218" t="n">
        <v>259</v>
      </c>
      <c r="H218" t="n">
        <v>8135459.219999993</v>
      </c>
      <c r="I218" t="b">
        <v>0</v>
      </c>
      <c r="J218" t="b">
        <v>0</v>
      </c>
      <c r="K218" t="n">
        <v>-0.1066255795212284</v>
      </c>
      <c r="L218" t="n">
        <v>0.0001761728589045857</v>
      </c>
      <c r="M218" t="n">
        <v>0.0002108963948648512</v>
      </c>
      <c r="N218" t="n">
        <v>0.9525047495250474</v>
      </c>
      <c r="O218" t="n">
        <v>867448.0540038196</v>
      </c>
      <c r="P218" t="n">
        <v>-1715.739020067966</v>
      </c>
      <c r="Q218">
        <f>'_live'!$C$24</f>
        <v/>
      </c>
      <c r="R218" t="inlineStr">
        <is>
          <t>shuffled: 0 of 10,000</t>
        </is>
      </c>
      <c r="S218" t="inlineStr">
        <is>
          <t>shuffled: 9,310 of 10,000</t>
        </is>
      </c>
      <c r="T218" t="n">
        <v>0.1729542827213411</v>
      </c>
      <c r="U218" t="n">
        <v>0.06611780680524786</v>
      </c>
      <c r="V218">
        <f>AND(judged_band,NOT($J218))</f>
        <v/>
      </c>
      <c r="W218">
        <f>IF($K218="","",IF(profit_kind="test",IF(OR(NOT(AND(ISNUMBER($L218),$L218&lt;significance_bar)),$K218=0),"in line",IF($K218&lt;0,"worse","better")),IF(OR($K218=0,IF(profit_kind="points",ABS($K218),ABS($K218*$H218))&lt;profit_line*(1-1E-9)),"in line",IF(AND(ISNUMBER($L218),$L218&lt;significance_bar),IF($K218&lt;0,"worse","better"),IF($K218&lt;0,"worse, not significant","better, not significant")))))</f>
        <v/>
      </c>
      <c r="X218">
        <f>IF($M218="","",IF(profit_kind="test",IF(OR(NOT(AND(ISNUMBER($N218),$N218&lt;significance_bar)),$M218=0),"in line",IF($M218&lt;0,"worse","better")),IF(OR($M218=0,IF(profit_kind="points",ABS($M218),ABS($M218*$H218))&lt;profit_line*(1-1E-9)),"in line",IF(AND(ISNUMBER($N218),$N218&lt;significance_bar),IF($M218&lt;0,"worse","better"),IF($M218&lt;0,"worse, not significant","better, not significant")))))</f>
        <v/>
      </c>
      <c r="Y218">
        <f>IF($V218,$X218,$W218)</f>
        <v/>
      </c>
      <c r="Z218">
        <f>IF($V218,IF($P218="","",$P218),IF($O218="","",$O218))</f>
        <v/>
      </c>
      <c r="AA218">
        <f>IF(OR($Q218="",$Z218=""),"",IF(AND($Z218&gt;0,$Z218&gt;=$Q218),"yes","below the line"))</f>
        <v/>
      </c>
      <c r="AB218">
        <f>IF($V218,IF($M218="","",$M218),IF($K218="","",$K218))</f>
        <v/>
      </c>
      <c r="AC218">
        <f>IF($V218,IF($N218="","",$N218),IF($L218="","",$L218))</f>
        <v/>
      </c>
      <c r="AD218">
        <f>IF($Y218="","",IF($Y218="in line",IF(profit_kind="test",IF(ROUND($AB218*100,2)=0,"0.00",TEXT($AB218*100,"+0.00;-0.00"))&amp;" points against "&amp;IF($V218,"its band","the book")&amp;", "&amp;IF($AC218="","not tested","not significant"),IF(profit_kind="points","within "&amp;TEXT(profit_line*100,"0.00")&amp;" points of "&amp;IF($V218,"its band","the book")&amp;" ("&amp;IF(ROUND($AB218*100,2)=0,"0.00",TEXT($AB218*100,"+0.00;-0.00"))&amp;")","within $"&amp;TEXT(profit_line,"#,##0")&amp;" of "&amp;IF($V218,"its band","the book")&amp;" ("&amp;IF(ROUND($AB218*100,2)=0,"0.00",TEXT($AB218*100,"+0.00;-0.00"))&amp;" points)")),IF(LEFT($Y218,5)="worse","short of ","ahead of ")&amp;IF($V218,"its band","the book")&amp;" by "&amp;TEXT(ABS($AB218)*100,"0.00")&amp;" points"&amp;IF($Z218="",""," ($"&amp;TEXT(ABS($Z218),"#,##0")&amp;")")&amp;IF(RIGHT($Y218,15)="not significant"," (not significant)","")))</f>
        <v/>
      </c>
      <c r="AE218">
        <f>IF($V218,IF($S218="","",$S218),IF($R218="","",$R218))</f>
        <v/>
      </c>
      <c r="AF218">
        <f>IF($V218,IF($U218="","",$U218),IF($T218="","",$T218))</f>
        <v/>
      </c>
      <c r="AG218">
        <f>IF($V218,IF($O218="","",$O218),IF($P218="","",$P218))</f>
        <v/>
      </c>
      <c r="AH218" t="n">
        <v>0.06632870320011271</v>
      </c>
      <c r="AI218">
        <f>IF($Y218="worse","Yes",IF($Y218="worse, not significant","Not sure",IF(OR($Y218="too few losses to test",$Y218="too few loans to test"),"Too few losses",IF($Y218="","","No"))))</f>
        <v/>
      </c>
      <c r="AJ218">
        <f>IF($AA218="yes","Yes",IF($AA218="","","No"))</f>
        <v/>
      </c>
      <c r="AK218" t="n">
        <v>0.0001761728589045857</v>
      </c>
      <c r="AL218" t="n">
        <v>0.002126956785110455</v>
      </c>
      <c r="AM218">
        <f>IF(AND(ISNUMBER($AC218),ISNUMBER(IF($V218,IF($AL218="","",$AL218),IF($AK218="","",$AK218)))),IF(AND(ABS($AC218-significance_bar)&lt;=2.0*IF($V218,IF($AL218="","",$AL218),IF($AK218="","",$AK218)),OR($Y218="worse",$Y218="better",$Y218="worse, not significant",$Y218="better, not significant",AND(profit_kind="test",$Y218="in line",ISNUMBER($AB218),$AB218&lt;&gt;0))),IF(ROUND($AC218,3)=ROUND(significance_bar,3),TEXT($AC218,"0.0000"),TEXT($AC218,"0.000")),""),"")</f>
        <v/>
      </c>
      <c r="AN218">
        <f>IF(AND(ISNUMBER($AC218),ISNUMBER(IF($V218,IF($AL218="","",$AL218),IF($AK218="","",$AK218)))),IF(AND(ABS($AC218-significance_bar)&lt;=2.0*IF($V218,IF($AL218="","",$AL218),IF($AK218="","",$AK218)),OR($Y218="worse",$Y218="worse, not significant",AND(profit_kind="test",$Y218="in line",ISNUMBER($AB218),$AB218&lt;0))),IF(ROUND($AC218,3)=ROUND(significance_bar,3),TEXT($AC218,"0.0000"),TEXT($AC218,"0.000")),""),"")</f>
        <v/>
      </c>
      <c r="AO218">
        <f>IF(OR($AI218="",$AN218=""),$AI218,$AI218&amp;" · borderline (p "&amp;$AN218&amp;")")</f>
        <v/>
      </c>
    </row>
    <row r="219">
      <c r="A219" t="inlineStr">
        <is>
          <t>three-way</t>
        </is>
      </c>
      <c r="B219" t="inlineStr">
        <is>
          <t>FICO x CHANNEL / REV_DEBT</t>
        </is>
      </c>
      <c r="C219" t="inlineStr">
        <is>
          <t>496 - 653</t>
        </is>
      </c>
      <c r="D219" t="inlineStr">
        <is>
          <t>Broker / REV_DEBT low half</t>
        </is>
      </c>
      <c r="E219" t="inlineStr">
        <is>
          <t>outcome_loans</t>
        </is>
      </c>
      <c r="F219" t="inlineStr">
        <is>
          <t>Outcome, share of loans</t>
        </is>
      </c>
      <c r="G219" t="n">
        <v>262</v>
      </c>
      <c r="H219" t="n">
        <v>262</v>
      </c>
      <c r="I219" t="b">
        <v>0</v>
      </c>
      <c r="J219" t="b">
        <v>0</v>
      </c>
      <c r="K219" t="n">
        <v>1.769809421729583</v>
      </c>
      <c r="L219" t="n">
        <v>0.00411340790143384</v>
      </c>
      <c r="M219" t="n">
        <v>0.8679849629828532</v>
      </c>
      <c r="N219" t="n">
        <v>0.5433524420963196</v>
      </c>
      <c r="O219" t="n">
        <v>15.22385937701952</v>
      </c>
      <c r="P219" t="n">
        <v>-5.323279195668988</v>
      </c>
      <c r="Q219">
        <f>'_live'!$C$20</f>
        <v/>
      </c>
      <c r="R219" t="inlineStr">
        <is>
          <t>z test</t>
        </is>
      </c>
      <c r="S219" t="inlineStr">
        <is>
          <t>z test</t>
        </is>
      </c>
      <c r="T219" t="n">
        <v>0.07548145275946749</v>
      </c>
      <c r="U219" t="n">
        <v>0.1539056457849961</v>
      </c>
      <c r="V219">
        <f>AND(judged_band,NOT($J219))</f>
        <v/>
      </c>
      <c r="W219">
        <f>IF($K219="","",IF($I219,"too few losses to test",IF(AND($K219&gt;better_at,$K219&lt;worse_at),"in line",IF($K219&gt;=worse_at,IF(AND(ISNUMBER($L219),$L219&lt;significance_bar),"worse","worse, not significant"),IF(AND(ISNUMBER($L219),$L219&lt;significance_bar),"better","better, not significant")))))</f>
        <v/>
      </c>
      <c r="X219">
        <f>IF($M219="","",IF($I219,"too few losses to test",IF(AND($M219&gt;better_at,$M219&lt;worse_at),"in line",IF($M219&gt;=worse_at,IF(AND(ISNUMBER($N219),$N219&lt;significance_bar),"worse","worse, not significant"),IF(AND(ISNUMBER($N219),$N219&lt;significance_bar),"better","better, not significant")))))</f>
        <v/>
      </c>
      <c r="Y219">
        <f>IF($V219,$X219,$W219)</f>
        <v/>
      </c>
      <c r="Z219">
        <f>IF($V219,IF($P219="","",$P219),IF($O219="","",$O219))</f>
        <v/>
      </c>
      <c r="AA219">
        <f>IF(OR($Q219="",$Z219=""),"",IF(AND($Z219&gt;0,$Z219&gt;=$Q219),"yes","below the line"))</f>
        <v/>
      </c>
      <c r="AB219">
        <f>IF($V219,IF($M219="","",$M219),IF($K219="","",$K219))</f>
        <v/>
      </c>
      <c r="AC219">
        <f>IF($V219,IF($N219="","",$N219),IF($L219="","",$L219))</f>
        <v/>
      </c>
      <c r="AD219">
        <f>$Y219</f>
        <v/>
      </c>
      <c r="AE219">
        <f>IF($V219,IF($S219="","",$S219),IF($R219="","",$R219))</f>
        <v/>
      </c>
      <c r="AF219">
        <f>IF($V219,IF($U219="","",$U219),IF($T219="","",$T219))</f>
        <v/>
      </c>
      <c r="AG219">
        <f>IF($V219,IF($O219="","",$O219),IF($P219="","",$P219))</f>
        <v/>
      </c>
      <c r="AH219" t="n">
        <v>0.133587786259542</v>
      </c>
      <c r="AI219">
        <f>IF($Y219="worse","Yes",IF($Y219="worse, not significant","Not sure",IF(OR($Y219="too few losses to test",$Y219="too few loans to test"),"Too few losses",IF($Y219="","","No"))))</f>
        <v/>
      </c>
      <c r="AJ219">
        <f>IF($AA219="yes","Yes",IF($AA219="","","No"))</f>
        <v/>
      </c>
      <c r="AM219">
        <f>IF(AND(ISNUMBER($AC219),ISNUMBER(IF($V219,IF($AL219="","",$AL219),IF($AK219="","",$AK219)))),IF(AND(ABS($AC219-significance_bar)&lt;=2.0*IF($V219,IF($AL219="","",$AL219),IF($AK219="","",$AK219)),OR($Y219="worse",$Y219="better",$Y219="worse, not significant",$Y219="better, not significant")),IF(ROUND($AC219,3)=ROUND(significance_bar,3),TEXT($AC219,"0.0000"),TEXT($AC219,"0.000")),""),"")</f>
        <v/>
      </c>
      <c r="AN219">
        <f>IF(AND(ISNUMBER($AC219),ISNUMBER(IF($V219,IF($AL219="","",$AL219),IF($AK219="","",$AK219)))),IF(AND(ABS($AC219-significance_bar)&lt;=2.0*IF($V219,IF($AL219="","",$AL219),IF($AK219="","",$AK219)),OR($Y219="worse",$Y219="worse, not significant")),IF(ROUND($AC219,3)=ROUND(significance_bar,3),TEXT($AC219,"0.0000"),TEXT($AC219,"0.000")),""),"")</f>
        <v/>
      </c>
      <c r="AO219">
        <f>IF(OR($AI219="",$AN219=""),$AI219,$AI219&amp;" · borderline (p "&amp;$AN219&amp;")")</f>
        <v/>
      </c>
    </row>
    <row r="220">
      <c r="A220" t="inlineStr">
        <is>
          <t>three-way</t>
        </is>
      </c>
      <c r="B220" t="inlineStr">
        <is>
          <t>FICO x CHANNEL / REV_DEBT</t>
        </is>
      </c>
      <c r="C220" t="inlineStr">
        <is>
          <t>496 - 653</t>
        </is>
      </c>
      <c r="D220" t="inlineStr">
        <is>
          <t>Broker / REV_DEBT low half</t>
        </is>
      </c>
      <c r="E220" t="inlineStr">
        <is>
          <t>outcome_booked</t>
        </is>
      </c>
      <c r="F220" t="inlineStr">
        <is>
          <t>Outcome, share of booked dollars</t>
        </is>
      </c>
      <c r="G220" t="n">
        <v>262</v>
      </c>
      <c r="H220" t="n">
        <v>8752959.800000006</v>
      </c>
      <c r="I220" t="b">
        <v>0</v>
      </c>
      <c r="J220" t="b">
        <v>0</v>
      </c>
      <c r="K220" t="n">
        <v>2.213754859394668</v>
      </c>
      <c r="L220" t="n">
        <v>0.00114988501149885</v>
      </c>
      <c r="M220" t="n">
        <v>1.08164475512421</v>
      </c>
      <c r="N220" t="n">
        <v>0.7864003073376873</v>
      </c>
      <c r="O220" t="n">
        <v>763540.6570253951</v>
      </c>
      <c r="P220" t="n">
        <v>105117.3382421883</v>
      </c>
      <c r="Q220">
        <f>'_live'!$C$21</f>
        <v/>
      </c>
      <c r="R220" t="inlineStr">
        <is>
          <t>shuffled: 0 of 10,000</t>
        </is>
      </c>
      <c r="S220" t="inlineStr">
        <is>
          <t>shuffled: 6,496 of 10,000</t>
        </is>
      </c>
      <c r="T220" t="n">
        <v>0.07186976946639288</v>
      </c>
      <c r="U220" t="n">
        <v>0.1470927036312689</v>
      </c>
      <c r="V220">
        <f>AND(judged_band,NOT($J220))</f>
        <v/>
      </c>
      <c r="W220">
        <f>IF($K220="","",IF($I220,"too few losses to test",IF(AND($K220&gt;better_at,$K220&lt;worse_at),"in line",IF($K220&gt;=worse_at,IF(AND(ISNUMBER($L220),$L220&lt;significance_bar),"worse","worse, not significant"),IF(AND(ISNUMBER($L220),$L220&lt;significance_bar),"better","better, not significant")))))</f>
        <v/>
      </c>
      <c r="X220">
        <f>IF($M220="","",IF($I220,"too few losses to test",IF(AND($M220&gt;better_at,$M220&lt;worse_at),"in line",IF($M220&gt;=worse_at,IF(AND(ISNUMBER($N220),$N220&lt;significance_bar),"worse","worse, not significant"),IF(AND(ISNUMBER($N220),$N220&lt;significance_bar),"better","better, not significant")))))</f>
        <v/>
      </c>
      <c r="Y220">
        <f>IF($V220,$X220,$W220)</f>
        <v/>
      </c>
      <c r="Z220">
        <f>IF($V220,IF($P220="","",$P220),IF($O220="","",$O220))</f>
        <v/>
      </c>
      <c r="AA220">
        <f>IF(OR($Q220="",$Z220=""),"",IF(AND($Z220&gt;0,$Z220&gt;=$Q220),"yes","below the line"))</f>
        <v/>
      </c>
      <c r="AB220">
        <f>IF($V220,IF($M220="","",$M220),IF($K220="","",$K220))</f>
        <v/>
      </c>
      <c r="AC220">
        <f>IF($V220,IF($N220="","",$N220),IF($L220="","",$L220))</f>
        <v/>
      </c>
      <c r="AD220">
        <f>$Y220</f>
        <v/>
      </c>
      <c r="AE220">
        <f>IF($V220,IF($S220="","",$S220),IF($R220="","",$R220))</f>
        <v/>
      </c>
      <c r="AF220">
        <f>IF($V220,IF($U220="","",$U220),IF($T220="","",$T220))</f>
        <v/>
      </c>
      <c r="AG220">
        <f>IF($V220,IF($O220="","",$O220),IF($P220="","",$P220))</f>
        <v/>
      </c>
      <c r="AH220" t="n">
        <v>0.1591020513998018</v>
      </c>
      <c r="AI220">
        <f>IF($Y220="worse","Yes",IF($Y220="worse, not significant","Not sure",IF(OR($Y220="too few losses to test",$Y220="too few loans to test"),"Too few losses",IF($Y220="","","No"))))</f>
        <v/>
      </c>
      <c r="AJ220">
        <f>IF($AA220="yes","Yes",IF($AA220="","","No"))</f>
        <v/>
      </c>
      <c r="AK220" t="n">
        <v>0.00114988501149885</v>
      </c>
      <c r="AL220" t="n">
        <v>0.00577523006811323</v>
      </c>
      <c r="AM220">
        <f>IF(AND(ISNUMBER($AC220),ISNUMBER(IF($V220,IF($AL220="","",$AL220),IF($AK220="","",$AK220)))),IF(AND(ABS($AC220-significance_bar)&lt;=2.0*IF($V220,IF($AL220="","",$AL220),IF($AK220="","",$AK220)),OR($Y220="worse",$Y220="better",$Y220="worse, not significant",$Y220="better, not significant")),IF(ROUND($AC220,3)=ROUND(significance_bar,3),TEXT($AC220,"0.0000"),TEXT($AC220,"0.000")),""),"")</f>
        <v/>
      </c>
      <c r="AN220">
        <f>IF(AND(ISNUMBER($AC220),ISNUMBER(IF($V220,IF($AL220="","",$AL220),IF($AK220="","",$AK220)))),IF(AND(ABS($AC220-significance_bar)&lt;=2.0*IF($V220,IF($AL220="","",$AL220),IF($AK220="","",$AK220)),OR($Y220="worse",$Y220="worse, not significant")),IF(ROUND($AC220,3)=ROUND(significance_bar,3),TEXT($AC220,"0.0000"),TEXT($AC220,"0.000")),""),"")</f>
        <v/>
      </c>
      <c r="AO220">
        <f>IF(OR($AI220="",$AN220=""),$AI220,$AI220&amp;" · borderline (p "&amp;$AN220&amp;")")</f>
        <v/>
      </c>
    </row>
    <row r="221">
      <c r="A221" t="inlineStr">
        <is>
          <t>three-way</t>
        </is>
      </c>
      <c r="B221" t="inlineStr">
        <is>
          <t>FICO x CHANNEL / REV_DEBT</t>
        </is>
      </c>
      <c r="C221" t="inlineStr">
        <is>
          <t>496 - 653</t>
        </is>
      </c>
      <c r="D221" t="inlineStr">
        <is>
          <t>Broker / REV_DEBT low half</t>
        </is>
      </c>
      <c r="E221" t="inlineStr">
        <is>
          <t>gco_rate</t>
        </is>
      </c>
      <c r="F221" t="inlineStr">
        <is>
          <t>GCO per booked dollar</t>
        </is>
      </c>
      <c r="G221" t="n">
        <v>262</v>
      </c>
      <c r="H221" t="n">
        <v>8752959.800000006</v>
      </c>
      <c r="I221" t="b">
        <v>0</v>
      </c>
      <c r="J221" t="b">
        <v>0</v>
      </c>
      <c r="K221" t="n">
        <v>2.353132904080026</v>
      </c>
      <c r="L221" t="n">
        <v>0.00114988501149885</v>
      </c>
      <c r="M221" t="n">
        <v>1.150852449792353</v>
      </c>
      <c r="N221" t="n">
        <v>0.6308556644335567</v>
      </c>
      <c r="O221" t="n">
        <v>471143.1504927992</v>
      </c>
      <c r="P221" t="n">
        <v>107396.8650397294</v>
      </c>
      <c r="Q221">
        <f>'_live'!$C$22</f>
        <v/>
      </c>
      <c r="R221" t="inlineStr">
        <is>
          <t>shuffled: 0 of 10,000</t>
        </is>
      </c>
      <c r="S221" t="inlineStr">
        <is>
          <t>shuffled: 4,312 of 10,000</t>
        </is>
      </c>
      <c r="T221" t="n">
        <v>0.03977933264439312</v>
      </c>
      <c r="U221" t="n">
        <v>0.08133627952458666</v>
      </c>
      <c r="V221">
        <f>AND(judged_band,NOT($J221))</f>
        <v/>
      </c>
      <c r="W221">
        <f>IF($K221="","",IF($I221,"too few losses to test",IF(AND($K221&gt;better_at,$K221&lt;worse_at),"in line",IF($K221&gt;=worse_at,IF(AND(ISNUMBER($L221),$L221&lt;significance_bar),"worse","worse, not significant"),IF(AND(ISNUMBER($L221),$L221&lt;significance_bar),"better","better, not significant")))))</f>
        <v/>
      </c>
      <c r="X221">
        <f>IF($M221="","",IF($I221,"too few losses to test",IF(AND($M221&gt;better_at,$M221&lt;worse_at),"in line",IF($M221&gt;=worse_at,IF(AND(ISNUMBER($N221),$N221&lt;significance_bar),"worse","worse, not significant"),IF(AND(ISNUMBER($N221),$N221&lt;significance_bar),"better","better, not significant")))))</f>
        <v/>
      </c>
      <c r="Y221">
        <f>IF($V221,$X221,$W221)</f>
        <v/>
      </c>
      <c r="Z221">
        <f>IF($V221,IF($P221="","",$P221),IF($O221="","",$O221))</f>
        <v/>
      </c>
      <c r="AA221">
        <f>IF(OR($Q221="",$Z221=""),"",IF(AND($Z221&gt;0,$Z221&gt;=$Q221),"yes","below the line"))</f>
        <v/>
      </c>
      <c r="AB221">
        <f>IF($V221,IF($M221="","",$M221),IF($K221="","",$K221))</f>
        <v/>
      </c>
      <c r="AC221">
        <f>IF($V221,IF($N221="","",$N221),IF($L221="","",$L221))</f>
        <v/>
      </c>
      <c r="AD221">
        <f>$Y221</f>
        <v/>
      </c>
      <c r="AE221">
        <f>IF($V221,IF($S221="","",$S221),IF($R221="","",$R221))</f>
        <v/>
      </c>
      <c r="AF221">
        <f>IF($V221,IF($U221="","",$U221),IF($T221="","",$T221))</f>
        <v/>
      </c>
      <c r="AG221">
        <f>IF($V221,IF($O221="","",$O221),IF($P221="","",$P221))</f>
        <v/>
      </c>
      <c r="AH221" t="n">
        <v>0.09360605654786618</v>
      </c>
      <c r="AI221">
        <f>IF($Y221="worse","Yes",IF($Y221="worse, not significant","Not sure",IF(OR($Y221="too few losses to test",$Y221="too few loans to test"),"Too few losses",IF($Y221="","","No"))))</f>
        <v/>
      </c>
      <c r="AJ221">
        <f>IF($AA221="yes","Yes",IF($AA221="","","No"))</f>
        <v/>
      </c>
      <c r="AK221" t="n">
        <v>0.00114988501149885</v>
      </c>
      <c r="AL221" t="n">
        <v>0.007133555552985715</v>
      </c>
      <c r="AM221">
        <f>IF(AND(ISNUMBER($AC221),ISNUMBER(IF($V221,IF($AL221="","",$AL221),IF($AK221="","",$AK221)))),IF(AND(ABS($AC221-significance_bar)&lt;=2.0*IF($V221,IF($AL221="","",$AL221),IF($AK221="","",$AK221)),OR($Y221="worse",$Y221="better",$Y221="worse, not significant",$Y221="better, not significant")),IF(ROUND($AC221,3)=ROUND(significance_bar,3),TEXT($AC221,"0.0000"),TEXT($AC221,"0.000")),""),"")</f>
        <v/>
      </c>
      <c r="AN221">
        <f>IF(AND(ISNUMBER($AC221),ISNUMBER(IF($V221,IF($AL221="","",$AL221),IF($AK221="","",$AK221)))),IF(AND(ABS($AC221-significance_bar)&lt;=2.0*IF($V221,IF($AL221="","",$AL221),IF($AK221="","",$AK221)),OR($Y221="worse",$Y221="worse, not significant")),IF(ROUND($AC221,3)=ROUND(significance_bar,3),TEXT($AC221,"0.0000"),TEXT($AC221,"0.000")),""),"")</f>
        <v/>
      </c>
      <c r="AO221">
        <f>IF(OR($AI221="",$AN221=""),$AI221,$AI221&amp;" · borderline (p "&amp;$AN221&amp;")")</f>
        <v/>
      </c>
    </row>
    <row r="222">
      <c r="A222" t="inlineStr">
        <is>
          <t>three-way</t>
        </is>
      </c>
      <c r="B222" t="inlineStr">
        <is>
          <t>FICO x CHANNEL / REV_DEBT</t>
        </is>
      </c>
      <c r="C222" t="inlineStr">
        <is>
          <t>496 - 653</t>
        </is>
      </c>
      <c r="D222" t="inlineStr">
        <is>
          <t>Broker / REV_DEBT low half</t>
        </is>
      </c>
      <c r="E222" t="inlineStr">
        <is>
          <t>ranr_rate</t>
        </is>
      </c>
      <c r="F222" t="inlineStr">
        <is>
          <t>Profit after losses: RANR per booked dollar</t>
        </is>
      </c>
      <c r="G222" t="n">
        <v>262</v>
      </c>
      <c r="H222" t="n">
        <v>8752959.800000006</v>
      </c>
      <c r="I222" t="b">
        <v>0</v>
      </c>
      <c r="J222" t="b">
        <v>0</v>
      </c>
      <c r="K222" t="n">
        <v>0.0589135062074905</v>
      </c>
      <c r="L222" t="n">
        <v>0.0002466420024664201</v>
      </c>
      <c r="M222" t="n">
        <v>-0.006364030590963243</v>
      </c>
      <c r="N222" t="n">
        <v>0.8927107289271073</v>
      </c>
      <c r="O222" t="n">
        <v>-515667.5515112153</v>
      </c>
      <c r="P222" t="n">
        <v>55704.10392867145</v>
      </c>
      <c r="Q222">
        <f>'_live'!$C$23</f>
        <v/>
      </c>
      <c r="R222" t="inlineStr">
        <is>
          <t>shuffled: 0 of 10,000</t>
        </is>
      </c>
      <c r="S222" t="inlineStr">
        <is>
          <t>shuffled: 7,265 of 10,000</t>
        </is>
      </c>
      <c r="T222" t="n">
        <v>0.1259918683150793</v>
      </c>
      <c r="U222" t="n">
        <v>0.191269405113533</v>
      </c>
      <c r="V222">
        <f>AND(judged_band,NOT($J222))</f>
        <v/>
      </c>
      <c r="W222">
        <f>IF($K222="","",IF(profit_kind="test",IF(OR(NOT(AND(ISNUMBER($L222),$L222&lt;significance_bar)),$K222=0),"in line",IF($K222&lt;0,"worse","better")),IF(OR($K222=0,IF(profit_kind="points",ABS($K222),ABS($K222*$H222))&lt;profit_line*(1-1E-9)),"in line",IF(AND(ISNUMBER($L222),$L222&lt;significance_bar),IF($K222&lt;0,"worse","better"),IF($K222&lt;0,"worse, not significant","better, not significant")))))</f>
        <v/>
      </c>
      <c r="X222">
        <f>IF($M222="","",IF(profit_kind="test",IF(OR(NOT(AND(ISNUMBER($N222),$N222&lt;significance_bar)),$M222=0),"in line",IF($M222&lt;0,"worse","better")),IF(OR($M222=0,IF(profit_kind="points",ABS($M222),ABS($M222*$H222))&lt;profit_line*(1-1E-9)),"in line",IF(AND(ISNUMBER($N222),$N222&lt;significance_bar),IF($M222&lt;0,"worse","better"),IF($M222&lt;0,"worse, not significant","better, not significant")))))</f>
        <v/>
      </c>
      <c r="Y222">
        <f>IF($V222,$X222,$W222)</f>
        <v/>
      </c>
      <c r="Z222">
        <f>IF($V222,IF($P222="","",$P222),IF($O222="","",$O222))</f>
        <v/>
      </c>
      <c r="AA222">
        <f>IF(OR($Q222="",$Z222=""),"",IF(AND($Z222&gt;0,$Z222&gt;=$Q222),"yes","below the line"))</f>
        <v/>
      </c>
      <c r="AB222">
        <f>IF($V222,IF($M222="","",$M222),IF($K222="","",$K222))</f>
        <v/>
      </c>
      <c r="AC222">
        <f>IF($V222,IF($N222="","",$N222),IF($L222="","",$L222))</f>
        <v/>
      </c>
      <c r="AD222">
        <f>IF($Y222="","",IF($Y222="in line",IF(profit_kind="test",IF(ROUND($AB222*100,2)=0,"0.00",TEXT($AB222*100,"+0.00;-0.00"))&amp;" points against "&amp;IF($V222,"its band","the book")&amp;", "&amp;IF($AC222="","not tested","not significant"),IF(profit_kind="points","within "&amp;TEXT(profit_line*100,"0.00")&amp;" points of "&amp;IF($V222,"its band","the book")&amp;" ("&amp;IF(ROUND($AB222*100,2)=0,"0.00",TEXT($AB222*100,"+0.00;-0.00"))&amp;")","within $"&amp;TEXT(profit_line,"#,##0")&amp;" of "&amp;IF($V222,"its band","the book")&amp;" ("&amp;IF(ROUND($AB222*100,2)=0,"0.00",TEXT($AB222*100,"+0.00;-0.00"))&amp;" points)")),IF(LEFT($Y222,5)="worse","short of ","ahead of ")&amp;IF($V222,"its band","the book")&amp;" by "&amp;TEXT(ABS($AB222)*100,"0.00")&amp;" points"&amp;IF($Z222="",""," ($"&amp;TEXT(ABS($Z222),"#,##0")&amp;")")&amp;IF(RIGHT($Y222,15)="not significant"," (not significant)","")))</f>
        <v/>
      </c>
      <c r="AE222">
        <f>IF($V222,IF($S222="","",$S222),IF($R222="","",$R222))</f>
        <v/>
      </c>
      <c r="AF222">
        <f>IF($V222,IF($U222="","",$U222),IF($T222="","",$T222))</f>
        <v/>
      </c>
      <c r="AG222">
        <f>IF($V222,IF($O222="","",$O222),IF($P222="","",$P222))</f>
        <v/>
      </c>
      <c r="AH222" t="n">
        <v>0.1849053745225698</v>
      </c>
      <c r="AI222">
        <f>IF($Y222="worse","Yes",IF($Y222="worse, not significant","Not sure",IF(OR($Y222="too few losses to test",$Y222="too few loans to test"),"Too few losses",IF($Y222="","","No"))))</f>
        <v/>
      </c>
      <c r="AJ222">
        <f>IF($AA222="yes","Yes",IF($AA222="","","No"))</f>
        <v/>
      </c>
      <c r="AK222" t="n">
        <v>0.0002466420024664201</v>
      </c>
      <c r="AL222" t="n">
        <v>0.005237560779322389</v>
      </c>
      <c r="AM222">
        <f>IF(AND(ISNUMBER($AC222),ISNUMBER(IF($V222,IF($AL222="","",$AL222),IF($AK222="","",$AK222)))),IF(AND(ABS($AC222-significance_bar)&lt;=2.0*IF($V222,IF($AL222="","",$AL222),IF($AK222="","",$AK222)),OR($Y222="worse",$Y222="better",$Y222="worse, not significant",$Y222="better, not significant",AND(profit_kind="test",$Y222="in line",ISNUMBER($AB222),$AB222&lt;&gt;0))),IF(ROUND($AC222,3)=ROUND(significance_bar,3),TEXT($AC222,"0.0000"),TEXT($AC222,"0.000")),""),"")</f>
        <v/>
      </c>
      <c r="AN222">
        <f>IF(AND(ISNUMBER($AC222),ISNUMBER(IF($V222,IF($AL222="","",$AL222),IF($AK222="","",$AK222)))),IF(AND(ABS($AC222-significance_bar)&lt;=2.0*IF($V222,IF($AL222="","",$AL222),IF($AK222="","",$AK222)),OR($Y222="worse",$Y222="worse, not significant",AND(profit_kind="test",$Y222="in line",ISNUMBER($AB222),$AB222&lt;0))),IF(ROUND($AC222,3)=ROUND(significance_bar,3),TEXT($AC222,"0.0000"),TEXT($AC222,"0.000")),""),"")</f>
        <v/>
      </c>
      <c r="AO222">
        <f>IF(OR($AI222="",$AN222=""),$AI222,$AI222&amp;" · borderline (p "&amp;$AN222&amp;")")</f>
        <v/>
      </c>
    </row>
    <row r="223">
      <c r="A223" t="inlineStr">
        <is>
          <t>three-way</t>
        </is>
      </c>
      <c r="B223" t="inlineStr">
        <is>
          <t>FICO x CHANNEL / REV_DEBT</t>
        </is>
      </c>
      <c r="C223" t="inlineStr">
        <is>
          <t>496 - 653</t>
        </is>
      </c>
      <c r="D223" t="inlineStr">
        <is>
          <t>Broker / REV_DEBT low half</t>
        </is>
      </c>
      <c r="E223" t="inlineStr">
        <is>
          <t>contribution_rate</t>
        </is>
      </c>
      <c r="F223" t="inlineStr">
        <is>
          <t>Contribution before losses per booked dollar</t>
        </is>
      </c>
      <c r="G223" t="n">
        <v>262</v>
      </c>
      <c r="H223" t="n">
        <v>8752959.800000006</v>
      </c>
      <c r="I223" t="b">
        <v>0</v>
      </c>
      <c r="J223" t="b">
        <v>0</v>
      </c>
      <c r="K223" t="n">
        <v>0.1127435078640206</v>
      </c>
      <c r="L223" t="n">
        <v>0.0001761728589045857</v>
      </c>
      <c r="M223" t="n">
        <v>0.005905746432316616</v>
      </c>
      <c r="N223" t="n">
        <v>0.6554719528047195</v>
      </c>
      <c r="O223" t="n">
        <v>-986839.3920447568</v>
      </c>
      <c r="P223" t="n">
        <v>-51692.76111106109</v>
      </c>
      <c r="Q223">
        <f>'_live'!$C$24</f>
        <v/>
      </c>
      <c r="R223" t="inlineStr">
        <is>
          <t>shuffled: 0 of 10,000</t>
        </is>
      </c>
      <c r="S223" t="inlineStr">
        <is>
          <t>shuffled: 5,826 of 10,000</t>
        </is>
      </c>
      <c r="T223" t="n">
        <v>0.1657679232064157</v>
      </c>
      <c r="U223" t="n">
        <v>0.2726056846381196</v>
      </c>
      <c r="V223">
        <f>AND(judged_band,NOT($J223))</f>
        <v/>
      </c>
      <c r="W223">
        <f>IF($K223="","",IF(profit_kind="test",IF(OR(NOT(AND(ISNUMBER($L223),$L223&lt;significance_bar)),$K223=0),"in line",IF($K223&lt;0,"worse","better")),IF(OR($K223=0,IF(profit_kind="points",ABS($K223),ABS($K223*$H223))&lt;profit_line*(1-1E-9)),"in line",IF(AND(ISNUMBER($L223),$L223&lt;significance_bar),IF($K223&lt;0,"worse","better"),IF($K223&lt;0,"worse, not significant","better, not significant")))))</f>
        <v/>
      </c>
      <c r="X223">
        <f>IF($M223="","",IF(profit_kind="test",IF(OR(NOT(AND(ISNUMBER($N223),$N223&lt;significance_bar)),$M223=0),"in line",IF($M223&lt;0,"worse","better")),IF(OR($M223=0,IF(profit_kind="points",ABS($M223),ABS($M223*$H223))&lt;profit_line*(1-1E-9)),"in line",IF(AND(ISNUMBER($N223),$N223&lt;significance_bar),IF($M223&lt;0,"worse","better"),IF($M223&lt;0,"worse, not significant","better, not significant")))))</f>
        <v/>
      </c>
      <c r="Y223">
        <f>IF($V223,$X223,$W223)</f>
        <v/>
      </c>
      <c r="Z223">
        <f>IF($V223,IF($P223="","",$P223),IF($O223="","",$O223))</f>
        <v/>
      </c>
      <c r="AA223">
        <f>IF(OR($Q223="",$Z223=""),"",IF(AND($Z223&gt;0,$Z223&gt;=$Q223),"yes","below the line"))</f>
        <v/>
      </c>
      <c r="AB223">
        <f>IF($V223,IF($M223="","",$M223),IF($K223="","",$K223))</f>
        <v/>
      </c>
      <c r="AC223">
        <f>IF($V223,IF($N223="","",$N223),IF($L223="","",$L223))</f>
        <v/>
      </c>
      <c r="AD223">
        <f>IF($Y223="","",IF($Y223="in line",IF(profit_kind="test",IF(ROUND($AB223*100,2)=0,"0.00",TEXT($AB223*100,"+0.00;-0.00"))&amp;" points against "&amp;IF($V223,"its band","the book")&amp;", "&amp;IF($AC223="","not tested","not significant"),IF(profit_kind="points","within "&amp;TEXT(profit_line*100,"0.00")&amp;" points of "&amp;IF($V223,"its band","the book")&amp;" ("&amp;IF(ROUND($AB223*100,2)=0,"0.00",TEXT($AB223*100,"+0.00;-0.00"))&amp;")","within $"&amp;TEXT(profit_line,"#,##0")&amp;" of "&amp;IF($V223,"its band","the book")&amp;" ("&amp;IF(ROUND($AB223*100,2)=0,"0.00",TEXT($AB223*100,"+0.00;-0.00"))&amp;" points)")),IF(LEFT($Y223,5)="worse","short of ","ahead of ")&amp;IF($V223,"its band","the book")&amp;" by "&amp;TEXT(ABS($AB223)*100,"0.00")&amp;" points"&amp;IF($Z223="",""," ($"&amp;TEXT(ABS($Z223),"#,##0")&amp;")")&amp;IF(RIGHT($Y223,15)="not significant"," (not significant)","")))</f>
        <v/>
      </c>
      <c r="AE223">
        <f>IF($V223,IF($S223="","",$S223),IF($R223="","",$R223))</f>
        <v/>
      </c>
      <c r="AF223">
        <f>IF($V223,IF($U223="","",$U223),IF($T223="","",$T223))</f>
        <v/>
      </c>
      <c r="AG223">
        <f>IF($V223,IF($O223="","",$O223),IF($P223="","",$P223))</f>
        <v/>
      </c>
      <c r="AH223" t="n">
        <v>0.2785114310704362</v>
      </c>
      <c r="AI223">
        <f>IF($Y223="worse","Yes",IF($Y223="worse, not significant","Not sure",IF(OR($Y223="too few losses to test",$Y223="too few loans to test"),"Too few losses",IF($Y223="","","No"))))</f>
        <v/>
      </c>
      <c r="AJ223">
        <f>IF($AA223="yes","Yes",IF($AA223="","","No"))</f>
        <v/>
      </c>
      <c r="AK223" t="n">
        <v>0.0001761728589045857</v>
      </c>
      <c r="AL223" t="n">
        <v>0.005547634324571844</v>
      </c>
      <c r="AM223">
        <f>IF(AND(ISNUMBER($AC223),ISNUMBER(IF($V223,IF($AL223="","",$AL223),IF($AK223="","",$AK223)))),IF(AND(ABS($AC223-significance_bar)&lt;=2.0*IF($V223,IF($AL223="","",$AL223),IF($AK223="","",$AK223)),OR($Y223="worse",$Y223="better",$Y223="worse, not significant",$Y223="better, not significant",AND(profit_kind="test",$Y223="in line",ISNUMBER($AB223),$AB223&lt;&gt;0))),IF(ROUND($AC223,3)=ROUND(significance_bar,3),TEXT($AC223,"0.0000"),TEXT($AC223,"0.000")),""),"")</f>
        <v/>
      </c>
      <c r="AN223">
        <f>IF(AND(ISNUMBER($AC223),ISNUMBER(IF($V223,IF($AL223="","",$AL223),IF($AK223="","",$AK223)))),IF(AND(ABS($AC223-significance_bar)&lt;=2.0*IF($V223,IF($AL223="","",$AL223),IF($AK223="","",$AK223)),OR($Y223="worse",$Y223="worse, not significant",AND(profit_kind="test",$Y223="in line",ISNUMBER($AB223),$AB223&lt;0))),IF(ROUND($AC223,3)=ROUND(significance_bar,3),TEXT($AC223,"0.0000"),TEXT($AC223,"0.000")),""),"")</f>
        <v/>
      </c>
      <c r="AO223">
        <f>IF(OR($AI223="",$AN223=""),$AI223,$AI223&amp;" · borderline (p "&amp;$AN223&amp;")")</f>
        <v/>
      </c>
    </row>
    <row r="224">
      <c r="A224" t="inlineStr">
        <is>
          <t>three-way</t>
        </is>
      </c>
      <c r="B224" t="inlineStr">
        <is>
          <t>FICO x CHANNEL / REV_DEBT</t>
        </is>
      </c>
      <c r="C224" t="inlineStr">
        <is>
          <t>686 - 711</t>
        </is>
      </c>
      <c r="D224" t="inlineStr">
        <is>
          <t>Broker / REV_DEBT low half</t>
        </is>
      </c>
      <c r="E224" t="inlineStr">
        <is>
          <t>outcome_loans</t>
        </is>
      </c>
      <c r="F224" t="inlineStr">
        <is>
          <t>Outcome, share of loans</t>
        </is>
      </c>
      <c r="G224" t="n">
        <v>251</v>
      </c>
      <c r="H224" t="n">
        <v>251</v>
      </c>
      <c r="I224" t="b">
        <v>1</v>
      </c>
      <c r="J224" t="b">
        <v>0</v>
      </c>
      <c r="K224" t="n">
        <v>0.4554372673241461</v>
      </c>
      <c r="M224" t="n">
        <v>0.5403214727297707</v>
      </c>
      <c r="O224" t="n">
        <v>-10.76122870418173</v>
      </c>
      <c r="P224" t="n">
        <v>-7.656750572082377</v>
      </c>
      <c r="Q224">
        <f>'_live'!$C$20</f>
        <v/>
      </c>
      <c r="T224" t="n">
        <v>0.07872999483737739</v>
      </c>
      <c r="U224" t="n">
        <v>0.06636155606407322</v>
      </c>
      <c r="V224">
        <f>AND(judged_band,NOT($J224))</f>
        <v/>
      </c>
      <c r="W224">
        <f>IF($K224="","",IF($I224,"too few losses to test",IF(AND($K224&gt;better_at,$K224&lt;worse_at),"in line",IF($K224&gt;=worse_at,IF(AND(ISNUMBER($L224),$L224&lt;significance_bar),"worse","worse, not significant"),IF(AND(ISNUMBER($L224),$L224&lt;significance_bar),"better","better, not significant")))))</f>
        <v/>
      </c>
      <c r="X224">
        <f>IF($M224="","",IF($I224,"too few losses to test",IF(AND($M224&gt;better_at,$M224&lt;worse_at),"in line",IF($M224&gt;=worse_at,IF(AND(ISNUMBER($N224),$N224&lt;significance_bar),"worse","worse, not significant"),IF(AND(ISNUMBER($N224),$N224&lt;significance_bar),"better","better, not significant")))))</f>
        <v/>
      </c>
      <c r="Y224">
        <f>IF($V224,$X224,$W224)</f>
        <v/>
      </c>
      <c r="Z224">
        <f>IF($V224,IF($P224="","",$P224),IF($O224="","",$O224))</f>
        <v/>
      </c>
      <c r="AA224">
        <f>IF(OR($Q224="",$Z224=""),"",IF(AND($Z224&gt;0,$Z224&gt;=$Q224),"yes","below the line"))</f>
        <v/>
      </c>
      <c r="AB224">
        <f>IF($V224,IF($M224="","",$M224),IF($K224="","",$K224))</f>
        <v/>
      </c>
      <c r="AC224">
        <f>IF($V224,IF($N224="","",$N224),IF($L224="","",$L224))</f>
        <v/>
      </c>
      <c r="AD224">
        <f>$Y224</f>
        <v/>
      </c>
      <c r="AE224">
        <f>IF($V224,IF($S224="","",$S224),IF($R224="","",$R224))</f>
        <v/>
      </c>
      <c r="AF224">
        <f>IF($V224,IF($U224="","",$U224),IF($T224="","",$T224))</f>
        <v/>
      </c>
      <c r="AG224">
        <f>IF($V224,IF($O224="","",$O224),IF($P224="","",$P224))</f>
        <v/>
      </c>
      <c r="AH224" t="n">
        <v>0.03585657370517929</v>
      </c>
      <c r="AI224">
        <f>IF($Y224="worse","Yes",IF($Y224="worse, not significant","Not sure",IF(OR($Y224="too few losses to test",$Y224="too few loans to test"),"Too few losses",IF($Y224="","","No"))))</f>
        <v/>
      </c>
      <c r="AJ224">
        <f>IF($AA224="yes","Yes",IF($AA224="","","No"))</f>
        <v/>
      </c>
      <c r="AM224">
        <f>IF(AND(ISNUMBER($AC224),ISNUMBER(IF($V224,IF($AL224="","",$AL224),IF($AK224="","",$AK224)))),IF(AND(ABS($AC224-significance_bar)&lt;=2.0*IF($V224,IF($AL224="","",$AL224),IF($AK224="","",$AK224)),OR($Y224="worse",$Y224="better",$Y224="worse, not significant",$Y224="better, not significant")),IF(ROUND($AC224,3)=ROUND(significance_bar,3),TEXT($AC224,"0.0000"),TEXT($AC224,"0.000")),""),"")</f>
        <v/>
      </c>
      <c r="AN224">
        <f>IF(AND(ISNUMBER($AC224),ISNUMBER(IF($V224,IF($AL224="","",$AL224),IF($AK224="","",$AK224)))),IF(AND(ABS($AC224-significance_bar)&lt;=2.0*IF($V224,IF($AL224="","",$AL224),IF($AK224="","",$AK224)),OR($Y224="worse",$Y224="worse, not significant")),IF(ROUND($AC224,3)=ROUND(significance_bar,3),TEXT($AC224,"0.0000"),TEXT($AC224,"0.000")),""),"")</f>
        <v/>
      </c>
      <c r="AO224">
        <f>IF(OR($AI224="",$AN224=""),$AI224,$AI224&amp;" · borderline (p "&amp;$AN224&amp;")")</f>
        <v/>
      </c>
    </row>
    <row r="225">
      <c r="A225" t="inlineStr">
        <is>
          <t>three-way</t>
        </is>
      </c>
      <c r="B225" t="inlineStr">
        <is>
          <t>FICO x CHANNEL / REV_DEBT</t>
        </is>
      </c>
      <c r="C225" t="inlineStr">
        <is>
          <t>686 - 711</t>
        </is>
      </c>
      <c r="D225" t="inlineStr">
        <is>
          <t>Broker / REV_DEBT low half</t>
        </is>
      </c>
      <c r="E225" t="inlineStr">
        <is>
          <t>outcome_booked</t>
        </is>
      </c>
      <c r="F225" t="inlineStr">
        <is>
          <t>Outcome, share of booked dollars</t>
        </is>
      </c>
      <c r="G225" t="n">
        <v>251</v>
      </c>
      <c r="H225" t="n">
        <v>8202137.020000005</v>
      </c>
      <c r="I225" t="b">
        <v>1</v>
      </c>
      <c r="J225" t="b">
        <v>0</v>
      </c>
      <c r="K225" t="n">
        <v>0.3269459856664278</v>
      </c>
      <c r="M225" t="n">
        <v>0.397035800182395</v>
      </c>
      <c r="O225" t="n">
        <v>-422122.5103007077</v>
      </c>
      <c r="P225" t="n">
        <v>-311405.631114818</v>
      </c>
      <c r="Q225">
        <f>'_live'!$C$21</f>
        <v/>
      </c>
      <c r="T225" t="n">
        <v>0.07646480286435245</v>
      </c>
      <c r="U225" t="n">
        <v>0.06296626231133332</v>
      </c>
      <c r="V225">
        <f>AND(judged_band,NOT($J225))</f>
        <v/>
      </c>
      <c r="W225">
        <f>IF($K225="","",IF($I225,"too few losses to test",IF(AND($K225&gt;better_at,$K225&lt;worse_at),"in line",IF($K225&gt;=worse_at,IF(AND(ISNUMBER($L225),$L225&lt;significance_bar),"worse","worse, not significant"),IF(AND(ISNUMBER($L225),$L225&lt;significance_bar),"better","better, not significant")))))</f>
        <v/>
      </c>
      <c r="X225">
        <f>IF($M225="","",IF($I225,"too few losses to test",IF(AND($M225&gt;better_at,$M225&lt;worse_at),"in line",IF($M225&gt;=worse_at,IF(AND(ISNUMBER($N225),$N225&lt;significance_bar),"worse","worse, not significant"),IF(AND(ISNUMBER($N225),$N225&lt;significance_bar),"better","better, not significant")))))</f>
        <v/>
      </c>
      <c r="Y225">
        <f>IF($V225,$X225,$W225)</f>
        <v/>
      </c>
      <c r="Z225">
        <f>IF($V225,IF($P225="","",$P225),IF($O225="","",$O225))</f>
        <v/>
      </c>
      <c r="AA225">
        <f>IF(OR($Q225="",$Z225=""),"",IF(AND($Z225&gt;0,$Z225&gt;=$Q225),"yes","below the line"))</f>
        <v/>
      </c>
      <c r="AB225">
        <f>IF($V225,IF($M225="","",$M225),IF($K225="","",$K225))</f>
        <v/>
      </c>
      <c r="AC225">
        <f>IF($V225,IF($N225="","",$N225),IF($L225="","",$L225))</f>
        <v/>
      </c>
      <c r="AD225">
        <f>$Y225</f>
        <v/>
      </c>
      <c r="AE225">
        <f>IF($V225,IF($S225="","",$S225),IF($R225="","",$R225))</f>
        <v/>
      </c>
      <c r="AF225">
        <f>IF($V225,IF($U225="","",$U225),IF($T225="","",$T225))</f>
        <v/>
      </c>
      <c r="AG225">
        <f>IF($V225,IF($O225="","",$O225),IF($P225="","",$P225))</f>
        <v/>
      </c>
      <c r="AH225" t="n">
        <v>0.0249998603412748</v>
      </c>
      <c r="AI225">
        <f>IF($Y225="worse","Yes",IF($Y225="worse, not significant","Not sure",IF(OR($Y225="too few losses to test",$Y225="too few loans to test"),"Too few losses",IF($Y225="","","No"))))</f>
        <v/>
      </c>
      <c r="AJ225">
        <f>IF($AA225="yes","Yes",IF($AA225="","","No"))</f>
        <v/>
      </c>
      <c r="AM225">
        <f>IF(AND(ISNUMBER($AC225),ISNUMBER(IF($V225,IF($AL225="","",$AL225),IF($AK225="","",$AK225)))),IF(AND(ABS($AC225-significance_bar)&lt;=2.0*IF($V225,IF($AL225="","",$AL225),IF($AK225="","",$AK225)),OR($Y225="worse",$Y225="better",$Y225="worse, not significant",$Y225="better, not significant")),IF(ROUND($AC225,3)=ROUND(significance_bar,3),TEXT($AC225,"0.0000"),TEXT($AC225,"0.000")),""),"")</f>
        <v/>
      </c>
      <c r="AN225">
        <f>IF(AND(ISNUMBER($AC225),ISNUMBER(IF($V225,IF($AL225="","",$AL225),IF($AK225="","",$AK225)))),IF(AND(ABS($AC225-significance_bar)&lt;=2.0*IF($V225,IF($AL225="","",$AL225),IF($AK225="","",$AK225)),OR($Y225="worse",$Y225="worse, not significant")),IF(ROUND($AC225,3)=ROUND(significance_bar,3),TEXT($AC225,"0.0000"),TEXT($AC225,"0.000")),""),"")</f>
        <v/>
      </c>
      <c r="AO225">
        <f>IF(OR($AI225="",$AN225=""),$AI225,$AI225&amp;" · borderline (p "&amp;$AN225&amp;")")</f>
        <v/>
      </c>
    </row>
    <row r="226">
      <c r="A226" t="inlineStr">
        <is>
          <t>three-way</t>
        </is>
      </c>
      <c r="B226" t="inlineStr">
        <is>
          <t>FICO x CHANNEL / REV_DEBT</t>
        </is>
      </c>
      <c r="C226" t="inlineStr">
        <is>
          <t>686 - 711</t>
        </is>
      </c>
      <c r="D226" t="inlineStr">
        <is>
          <t>Broker / REV_DEBT low half</t>
        </is>
      </c>
      <c r="E226" t="inlineStr">
        <is>
          <t>gco_rate</t>
        </is>
      </c>
      <c r="F226" t="inlineStr">
        <is>
          <t>GCO per booked dollar</t>
        </is>
      </c>
      <c r="G226" t="n">
        <v>251</v>
      </c>
      <c r="H226" t="n">
        <v>8202137.020000005</v>
      </c>
      <c r="I226" t="b">
        <v>1</v>
      </c>
      <c r="J226" t="b">
        <v>0</v>
      </c>
      <c r="K226" t="n">
        <v>0.3046067306448165</v>
      </c>
      <c r="M226" t="n">
        <v>0.3695414189494517</v>
      </c>
      <c r="O226" t="n">
        <v>-242668.5794027388</v>
      </c>
      <c r="P226" t="n">
        <v>-181349.3479423962</v>
      </c>
      <c r="Q226">
        <f>'_live'!$C$22</f>
        <v/>
      </c>
      <c r="T226" t="n">
        <v>0.04254573637965616</v>
      </c>
      <c r="U226" t="n">
        <v>0.03506972966203826</v>
      </c>
      <c r="V226">
        <f>AND(judged_band,NOT($J226))</f>
        <v/>
      </c>
      <c r="W226">
        <f>IF($K226="","",IF($I226,"too few losses to test",IF(AND($K226&gt;better_at,$K226&lt;worse_at),"in line",IF($K226&gt;=worse_at,IF(AND(ISNUMBER($L226),$L226&lt;significance_bar),"worse","worse, not significant"),IF(AND(ISNUMBER($L226),$L226&lt;significance_bar),"better","better, not significant")))))</f>
        <v/>
      </c>
      <c r="X226">
        <f>IF($M226="","",IF($I226,"too few losses to test",IF(AND($M226&gt;better_at,$M226&lt;worse_at),"in line",IF($M226&gt;=worse_at,IF(AND(ISNUMBER($N226),$N226&lt;significance_bar),"worse","worse, not significant"),IF(AND(ISNUMBER($N226),$N226&lt;significance_bar),"better","better, not significant")))))</f>
        <v/>
      </c>
      <c r="Y226">
        <f>IF($V226,$X226,$W226)</f>
        <v/>
      </c>
      <c r="Z226">
        <f>IF($V226,IF($P226="","",$P226),IF($O226="","",$O226))</f>
        <v/>
      </c>
      <c r="AA226">
        <f>IF(OR($Q226="",$Z226=""),"",IF(AND($Z226&gt;0,$Z226&gt;=$Q226),"yes","below the line"))</f>
        <v/>
      </c>
      <c r="AB226">
        <f>IF($V226,IF($M226="","",$M226),IF($K226="","",$K226))</f>
        <v/>
      </c>
      <c r="AC226">
        <f>IF($V226,IF($N226="","",$N226),IF($L226="","",$L226))</f>
        <v/>
      </c>
      <c r="AD226">
        <f>$Y226</f>
        <v/>
      </c>
      <c r="AE226">
        <f>IF($V226,IF($S226="","",$S226),IF($R226="","",$R226))</f>
        <v/>
      </c>
      <c r="AF226">
        <f>IF($V226,IF($U226="","",$U226),IF($T226="","",$T226))</f>
        <v/>
      </c>
      <c r="AG226">
        <f>IF($V226,IF($O226="","",$O226),IF($P226="","",$P226))</f>
        <v/>
      </c>
      <c r="AH226" t="n">
        <v>0.01295971766148329</v>
      </c>
      <c r="AI226">
        <f>IF($Y226="worse","Yes",IF($Y226="worse, not significant","Not sure",IF(OR($Y226="too few losses to test",$Y226="too few loans to test"),"Too few losses",IF($Y226="","","No"))))</f>
        <v/>
      </c>
      <c r="AJ226">
        <f>IF($AA226="yes","Yes",IF($AA226="","","No"))</f>
        <v/>
      </c>
      <c r="AM226">
        <f>IF(AND(ISNUMBER($AC226),ISNUMBER(IF($V226,IF($AL226="","",$AL226),IF($AK226="","",$AK226)))),IF(AND(ABS($AC226-significance_bar)&lt;=2.0*IF($V226,IF($AL226="","",$AL226),IF($AK226="","",$AK226)),OR($Y226="worse",$Y226="better",$Y226="worse, not significant",$Y226="better, not significant")),IF(ROUND($AC226,3)=ROUND(significance_bar,3),TEXT($AC226,"0.0000"),TEXT($AC226,"0.000")),""),"")</f>
        <v/>
      </c>
      <c r="AN226">
        <f>IF(AND(ISNUMBER($AC226),ISNUMBER(IF($V226,IF($AL226="","",$AL226),IF($AK226="","",$AK226)))),IF(AND(ABS($AC226-significance_bar)&lt;=2.0*IF($V226,IF($AL226="","",$AL226),IF($AK226="","",$AK226)),OR($Y226="worse",$Y226="worse, not significant")),IF(ROUND($AC226,3)=ROUND(significance_bar,3),TEXT($AC226,"0.0000"),TEXT($AC226,"0.000")),""),"")</f>
        <v/>
      </c>
      <c r="AO226">
        <f>IF(OR($AI226="",$AN226=""),$AI226,$AI226&amp;" · borderline (p "&amp;$AN226&amp;")")</f>
        <v/>
      </c>
    </row>
    <row r="227">
      <c r="A227" t="inlineStr">
        <is>
          <t>three-way</t>
        </is>
      </c>
      <c r="B227" t="inlineStr">
        <is>
          <t>FICO x CHANNEL / REV_DEBT</t>
        </is>
      </c>
      <c r="C227" t="inlineStr">
        <is>
          <t>686 - 711</t>
        </is>
      </c>
      <c r="D227" t="inlineStr">
        <is>
          <t>Broker / REV_DEBT low half</t>
        </is>
      </c>
      <c r="E227" t="inlineStr">
        <is>
          <t>ranr_rate</t>
        </is>
      </c>
      <c r="F227" t="inlineStr">
        <is>
          <t>Profit after losses: RANR per booked dollar</t>
        </is>
      </c>
      <c r="G227" t="n">
        <v>251</v>
      </c>
      <c r="H227" t="n">
        <v>8202137.020000005</v>
      </c>
      <c r="I227" t="b">
        <v>0</v>
      </c>
      <c r="J227" t="b">
        <v>0</v>
      </c>
      <c r="K227" t="n">
        <v>0.0102229459239099</v>
      </c>
      <c r="L227" t="n">
        <v>0.5704036739183225</v>
      </c>
      <c r="M227" t="n">
        <v>-0.004802324014117898</v>
      </c>
      <c r="N227" t="n">
        <v>0.8927107289271073</v>
      </c>
      <c r="O227" t="n">
        <v>-83850.00321595953</v>
      </c>
      <c r="P227" t="n">
        <v>39389.31957823155</v>
      </c>
      <c r="Q227">
        <f>'_live'!$C$23</f>
        <v/>
      </c>
      <c r="R227" t="inlineStr">
        <is>
          <t>shuffled: 4,316 of 10,000</t>
        </is>
      </c>
      <c r="S227" t="inlineStr">
        <is>
          <t>shuffled: 6,935 of 10,000</t>
        </is>
      </c>
      <c r="T227" t="n">
        <v>0.1276651358335928</v>
      </c>
      <c r="U227" t="n">
        <v>0.1426904057716206</v>
      </c>
      <c r="V227">
        <f>AND(judged_band,NOT($J227))</f>
        <v/>
      </c>
      <c r="W227">
        <f>IF($K227="","",IF(profit_kind="test",IF(OR(NOT(AND(ISNUMBER($L227),$L227&lt;significance_bar)),$K227=0),"in line",IF($K227&lt;0,"worse","better")),IF(OR($K227=0,IF(profit_kind="points",ABS($K227),ABS($K227*$H227))&lt;profit_line*(1-1E-9)),"in line",IF(AND(ISNUMBER($L227),$L227&lt;significance_bar),IF($K227&lt;0,"worse","better"),IF($K227&lt;0,"worse, not significant","better, not significant")))))</f>
        <v/>
      </c>
      <c r="X227">
        <f>IF($M227="","",IF(profit_kind="test",IF(OR(NOT(AND(ISNUMBER($N227),$N227&lt;significance_bar)),$M227=0),"in line",IF($M227&lt;0,"worse","better")),IF(OR($M227=0,IF(profit_kind="points",ABS($M227),ABS($M227*$H227))&lt;profit_line*(1-1E-9)),"in line",IF(AND(ISNUMBER($N227),$N227&lt;significance_bar),IF($M227&lt;0,"worse","better"),IF($M227&lt;0,"worse, not significant","better, not significant")))))</f>
        <v/>
      </c>
      <c r="Y227">
        <f>IF($V227,$X227,$W227)</f>
        <v/>
      </c>
      <c r="Z227">
        <f>IF($V227,IF($P227="","",$P227),IF($O227="","",$O227))</f>
        <v/>
      </c>
      <c r="AA227">
        <f>IF(OR($Q227="",$Z227=""),"",IF(AND($Z227&gt;0,$Z227&gt;=$Q227),"yes","below the line"))</f>
        <v/>
      </c>
      <c r="AB227">
        <f>IF($V227,IF($M227="","",$M227),IF($K227="","",$K227))</f>
        <v/>
      </c>
      <c r="AC227">
        <f>IF($V227,IF($N227="","",$N227),IF($L227="","",$L227))</f>
        <v/>
      </c>
      <c r="AD227">
        <f>IF($Y227="","",IF($Y227="in line",IF(profit_kind="test",IF(ROUND($AB227*100,2)=0,"0.00",TEXT($AB227*100,"+0.00;-0.00"))&amp;" points against "&amp;IF($V227,"its band","the book")&amp;", "&amp;IF($AC227="","not tested","not significant"),IF(profit_kind="points","within "&amp;TEXT(profit_line*100,"0.00")&amp;" points of "&amp;IF($V227,"its band","the book")&amp;" ("&amp;IF(ROUND($AB227*100,2)=0,"0.00",TEXT($AB227*100,"+0.00;-0.00"))&amp;")","within $"&amp;TEXT(profit_line,"#,##0")&amp;" of "&amp;IF($V227,"its band","the book")&amp;" ("&amp;IF(ROUND($AB227*100,2)=0,"0.00",TEXT($AB227*100,"+0.00;-0.00"))&amp;" points)")),IF(LEFT($Y227,5)="worse","short of ","ahead of ")&amp;IF($V227,"its band","the book")&amp;" by "&amp;TEXT(ABS($AB227)*100,"0.00")&amp;" points"&amp;IF($Z227="",""," ($"&amp;TEXT(ABS($Z227),"#,##0")&amp;")")&amp;IF(RIGHT($Y227,15)="not significant"," (not significant)","")))</f>
        <v/>
      </c>
      <c r="AE227">
        <f>IF($V227,IF($S227="","",$S227),IF($R227="","",$R227))</f>
        <v/>
      </c>
      <c r="AF227">
        <f>IF($V227,IF($U227="","",$U227),IF($T227="","",$T227))</f>
        <v/>
      </c>
      <c r="AG227">
        <f>IF($V227,IF($O227="","",$O227),IF($P227="","",$P227))</f>
        <v/>
      </c>
      <c r="AH227" t="n">
        <v>0.1378880817575027</v>
      </c>
      <c r="AI227">
        <f>IF($Y227="worse","Yes",IF($Y227="worse, not significant","Not sure",IF(OR($Y227="too few losses to test",$Y227="too few loans to test"),"Too few losses",IF($Y227="","","No"))))</f>
        <v/>
      </c>
      <c r="AJ227">
        <f>IF($AA227="yes","Yes",IF($AA227="","","No"))</f>
        <v/>
      </c>
      <c r="AK227" t="n">
        <v>0.006545130714844262</v>
      </c>
      <c r="AL227" t="n">
        <v>0.005237560779322389</v>
      </c>
      <c r="AM227">
        <f>IF(AND(ISNUMBER($AC227),ISNUMBER(IF($V227,IF($AL227="","",$AL227),IF($AK227="","",$AK227)))),IF(AND(ABS($AC227-significance_bar)&lt;=2.0*IF($V227,IF($AL227="","",$AL227),IF($AK227="","",$AK227)),OR($Y227="worse",$Y227="better",$Y227="worse, not significant",$Y227="better, not significant",AND(profit_kind="test",$Y227="in line",ISNUMBER($AB227),$AB227&lt;&gt;0))),IF(ROUND($AC227,3)=ROUND(significance_bar,3),TEXT($AC227,"0.0000"),TEXT($AC227,"0.000")),""),"")</f>
        <v/>
      </c>
      <c r="AN227">
        <f>IF(AND(ISNUMBER($AC227),ISNUMBER(IF($V227,IF($AL227="","",$AL227),IF($AK227="","",$AK227)))),IF(AND(ABS($AC227-significance_bar)&lt;=2.0*IF($V227,IF($AL227="","",$AL227),IF($AK227="","",$AK227)),OR($Y227="worse",$Y227="worse, not significant",AND(profit_kind="test",$Y227="in line",ISNUMBER($AB227),$AB227&lt;0))),IF(ROUND($AC227,3)=ROUND(significance_bar,3),TEXT($AC227,"0.0000"),TEXT($AC227,"0.000")),""),"")</f>
        <v/>
      </c>
      <c r="AO227">
        <f>IF(OR($AI227="",$AN227=""),$AI227,$AI227&amp;" · borderline (p "&amp;$AN227&amp;")")</f>
        <v/>
      </c>
    </row>
    <row r="228">
      <c r="A228" t="inlineStr">
        <is>
          <t>three-way</t>
        </is>
      </c>
      <c r="B228" t="inlineStr">
        <is>
          <t>FICO x CHANNEL / REV_DEBT</t>
        </is>
      </c>
      <c r="C228" t="inlineStr">
        <is>
          <t>686 - 711</t>
        </is>
      </c>
      <c r="D228" t="inlineStr">
        <is>
          <t>Broker / REV_DEBT low half</t>
        </is>
      </c>
      <c r="E228" t="inlineStr">
        <is>
          <t>contribution_rate</t>
        </is>
      </c>
      <c r="F228" t="inlineStr">
        <is>
          <t>Contribution before losses per booked dollar</t>
        </is>
      </c>
      <c r="G228" t="n">
        <v>251</v>
      </c>
      <c r="H228" t="n">
        <v>8202137.020000005</v>
      </c>
      <c r="I228" t="b">
        <v>0</v>
      </c>
      <c r="J228" t="b">
        <v>0</v>
      </c>
      <c r="K228" t="n">
        <v>-0.0193600680630624</v>
      </c>
      <c r="L228" t="n">
        <v>0.03466690368000237</v>
      </c>
      <c r="M228" t="n">
        <v>-0.02691233601467288</v>
      </c>
      <c r="N228" t="n">
        <v>0.0008999100089991002</v>
      </c>
      <c r="O228" t="n">
        <v>158793.9309697638</v>
      </c>
      <c r="P228" t="n">
        <v>220738.6675206278</v>
      </c>
      <c r="Q228">
        <f>'_live'!$C$24</f>
        <v/>
      </c>
      <c r="R228" t="inlineStr">
        <is>
          <t>shuffled: 252 of 10,000</t>
        </is>
      </c>
      <c r="S228" t="inlineStr">
        <is>
          <t>shuffled: 1 of 10,000</t>
        </is>
      </c>
      <c r="T228" t="n">
        <v>0.1702078674820484</v>
      </c>
      <c r="U228" t="n">
        <v>0.1777601354336589</v>
      </c>
      <c r="V228">
        <f>AND(judged_band,NOT($J228))</f>
        <v/>
      </c>
      <c r="W228">
        <f>IF($K228="","",IF(profit_kind="test",IF(OR(NOT(AND(ISNUMBER($L228),$L228&lt;significance_bar)),$K228=0),"in line",IF($K228&lt;0,"worse","better")),IF(OR($K228=0,IF(profit_kind="points",ABS($K228),ABS($K228*$H228))&lt;profit_line*(1-1E-9)),"in line",IF(AND(ISNUMBER($L228),$L228&lt;significance_bar),IF($K228&lt;0,"worse","better"),IF($K228&lt;0,"worse, not significant","better, not significant")))))</f>
        <v/>
      </c>
      <c r="X228">
        <f>IF($M228="","",IF(profit_kind="test",IF(OR(NOT(AND(ISNUMBER($N228),$N228&lt;significance_bar)),$M228=0),"in line",IF($M228&lt;0,"worse","better")),IF(OR($M228=0,IF(profit_kind="points",ABS($M228),ABS($M228*$H228))&lt;profit_line*(1-1E-9)),"in line",IF(AND(ISNUMBER($N228),$N228&lt;significance_bar),IF($M228&lt;0,"worse","better"),IF($M228&lt;0,"worse, not significant","better, not significant")))))</f>
        <v/>
      </c>
      <c r="Y228">
        <f>IF($V228,$X228,$W228)</f>
        <v/>
      </c>
      <c r="Z228">
        <f>IF($V228,IF($P228="","",$P228),IF($O228="","",$O228))</f>
        <v/>
      </c>
      <c r="AA228">
        <f>IF(OR($Q228="",$Z228=""),"",IF(AND($Z228&gt;0,$Z228&gt;=$Q228),"yes","below the line"))</f>
        <v/>
      </c>
      <c r="AB228">
        <f>IF($V228,IF($M228="","",$M228),IF($K228="","",$K228))</f>
        <v/>
      </c>
      <c r="AC228">
        <f>IF($V228,IF($N228="","",$N228),IF($L228="","",$L228))</f>
        <v/>
      </c>
      <c r="AD228">
        <f>IF($Y228="","",IF($Y228="in line",IF(profit_kind="test",IF(ROUND($AB228*100,2)=0,"0.00",TEXT($AB228*100,"+0.00;-0.00"))&amp;" points against "&amp;IF($V228,"its band","the book")&amp;", "&amp;IF($AC228="","not tested","not significant"),IF(profit_kind="points","within "&amp;TEXT(profit_line*100,"0.00")&amp;" points of "&amp;IF($V228,"its band","the book")&amp;" ("&amp;IF(ROUND($AB228*100,2)=0,"0.00",TEXT($AB228*100,"+0.00;-0.00"))&amp;")","within $"&amp;TEXT(profit_line,"#,##0")&amp;" of "&amp;IF($V228,"its band","the book")&amp;" ("&amp;IF(ROUND($AB228*100,2)=0,"0.00",TEXT($AB228*100,"+0.00;-0.00"))&amp;" points)")),IF(LEFT($Y228,5)="worse","short of ","ahead of ")&amp;IF($V228,"its band","the book")&amp;" by "&amp;TEXT(ABS($AB228)*100,"0.00")&amp;" points"&amp;IF($Z228="",""," ($"&amp;TEXT(ABS($Z228),"#,##0")&amp;")")&amp;IF(RIGHT($Y228,15)="not significant"," (not significant)","")))</f>
        <v/>
      </c>
      <c r="AE228">
        <f>IF($V228,IF($S228="","",$S228),IF($R228="","",$R228))</f>
        <v/>
      </c>
      <c r="AF228">
        <f>IF($V228,IF($U228="","",$U228),IF($T228="","",$T228))</f>
        <v/>
      </c>
      <c r="AG228">
        <f>IF($V228,IF($O228="","",$O228),IF($P228="","",$P228))</f>
        <v/>
      </c>
      <c r="AH228" t="n">
        <v>0.150847799418986</v>
      </c>
      <c r="AI228">
        <f>IF($Y228="worse","Yes",IF($Y228="worse, not significant","Not sure",IF(OR($Y228="too few losses to test",$Y228="too few loans to test"),"Too few losses",IF($Y228="","","No"))))</f>
        <v/>
      </c>
      <c r="AJ228">
        <f>IF($AA228="yes","Yes",IF($AA228="","","No"))</f>
        <v/>
      </c>
      <c r="AK228" t="n">
        <v>0.002151852769703361</v>
      </c>
      <c r="AL228" t="n">
        <v>0.0006363006524019643</v>
      </c>
      <c r="AM228">
        <f>IF(AND(ISNUMBER($AC228),ISNUMBER(IF($V228,IF($AL228="","",$AL228),IF($AK228="","",$AK228)))),IF(AND(ABS($AC228-significance_bar)&lt;=2.0*IF($V228,IF($AL228="","",$AL228),IF($AK228="","",$AK228)),OR($Y228="worse",$Y228="better",$Y228="worse, not significant",$Y228="better, not significant",AND(profit_kind="test",$Y228="in line",ISNUMBER($AB228),$AB228&lt;&gt;0))),IF(ROUND($AC228,3)=ROUND(significance_bar,3),TEXT($AC228,"0.0000"),TEXT($AC228,"0.000")),""),"")</f>
        <v/>
      </c>
      <c r="AN228">
        <f>IF(AND(ISNUMBER($AC228),ISNUMBER(IF($V228,IF($AL228="","",$AL228),IF($AK228="","",$AK228)))),IF(AND(ABS($AC228-significance_bar)&lt;=2.0*IF($V228,IF($AL228="","",$AL228),IF($AK228="","",$AK228)),OR($Y228="worse",$Y228="worse, not significant",AND(profit_kind="test",$Y228="in line",ISNUMBER($AB228),$AB228&lt;0))),IF(ROUND($AC228,3)=ROUND(significance_bar,3),TEXT($AC228,"0.0000"),TEXT($AC228,"0.000")),""),"")</f>
        <v/>
      </c>
      <c r="AO228">
        <f>IF(OR($AI228="",$AN228=""),$AI228,$AI228&amp;" · borderline (p "&amp;$AN228&amp;")")</f>
        <v/>
      </c>
    </row>
    <row r="229">
      <c r="A229" t="inlineStr">
        <is>
          <t>three-way</t>
        </is>
      </c>
      <c r="B229" t="inlineStr">
        <is>
          <t>FICO x CHANNEL / REV_DEBT</t>
        </is>
      </c>
      <c r="C229" t="inlineStr">
        <is>
          <t>712 - 745</t>
        </is>
      </c>
      <c r="D229" t="inlineStr">
        <is>
          <t>Online / REV_DEBT low half</t>
        </is>
      </c>
      <c r="E229" t="inlineStr">
        <is>
          <t>outcome_loans</t>
        </is>
      </c>
      <c r="F229" t="inlineStr">
        <is>
          <t>Outcome, share of loans</t>
        </is>
      </c>
      <c r="G229" t="n">
        <v>282</v>
      </c>
      <c r="H229" t="n">
        <v>282</v>
      </c>
      <c r="I229" t="b">
        <v>0</v>
      </c>
      <c r="J229" t="b">
        <v>0</v>
      </c>
      <c r="K229" t="n">
        <v>0.8665661938534279</v>
      </c>
      <c r="L229" t="n">
        <v>0.6317767939277055</v>
      </c>
      <c r="M229" t="n">
        <v>1.31680225281602</v>
      </c>
      <c r="N229" t="n">
        <v>0.4501821955874574</v>
      </c>
      <c r="O229" t="n">
        <v>-2.925618763768302</v>
      </c>
      <c r="P229" t="n">
        <v>4.571106094808126</v>
      </c>
      <c r="Q229">
        <f>'_live'!$C$20</f>
        <v/>
      </c>
      <c r="R229" t="inlineStr">
        <is>
          <t>z test</t>
        </is>
      </c>
      <c r="S229" t="inlineStr">
        <is>
          <t>z test</t>
        </is>
      </c>
      <c r="T229" t="n">
        <v>0.07775042114811455</v>
      </c>
      <c r="U229" t="n">
        <v>0.05116629044394282</v>
      </c>
      <c r="V229">
        <f>AND(judged_band,NOT($J229))</f>
        <v/>
      </c>
      <c r="W229">
        <f>IF($K229="","",IF($I229,"too few losses to test",IF(AND($K229&gt;better_at,$K229&lt;worse_at),"in line",IF($K229&gt;=worse_at,IF(AND(ISNUMBER($L229),$L229&lt;significance_bar),"worse","worse, not significant"),IF(AND(ISNUMBER($L229),$L229&lt;significance_bar),"better","better, not significant")))))</f>
        <v/>
      </c>
      <c r="X229">
        <f>IF($M229="","",IF($I229,"too few losses to test",IF(AND($M229&gt;better_at,$M229&lt;worse_at),"in line",IF($M229&gt;=worse_at,IF(AND(ISNUMBER($N229),$N229&lt;significance_bar),"worse","worse, not significant"),IF(AND(ISNUMBER($N229),$N229&lt;significance_bar),"better","better, not significant")))))</f>
        <v/>
      </c>
      <c r="Y229">
        <f>IF($V229,$X229,$W229)</f>
        <v/>
      </c>
      <c r="Z229">
        <f>IF($V229,IF($P229="","",$P229),IF($O229="","",$O229))</f>
        <v/>
      </c>
      <c r="AA229">
        <f>IF(OR($Q229="",$Z229=""),"",IF(AND($Z229&gt;0,$Z229&gt;=$Q229),"yes","below the line"))</f>
        <v/>
      </c>
      <c r="AB229">
        <f>IF($V229,IF($M229="","",$M229),IF($K229="","",$K229))</f>
        <v/>
      </c>
      <c r="AC229">
        <f>IF($V229,IF($N229="","",$N229),IF($L229="","",$L229))</f>
        <v/>
      </c>
      <c r="AD229">
        <f>$Y229</f>
        <v/>
      </c>
      <c r="AE229">
        <f>IF($V229,IF($S229="","",$S229),IF($R229="","",$R229))</f>
        <v/>
      </c>
      <c r="AF229">
        <f>IF($V229,IF($U229="","",$U229),IF($T229="","",$T229))</f>
        <v/>
      </c>
      <c r="AG229">
        <f>IF($V229,IF($O229="","",$O229),IF($P229="","",$P229))</f>
        <v/>
      </c>
      <c r="AH229" t="n">
        <v>0.0673758865248227</v>
      </c>
      <c r="AI229">
        <f>IF($Y229="worse","Yes",IF($Y229="worse, not significant","Not sure",IF(OR($Y229="too few losses to test",$Y229="too few loans to test"),"Too few losses",IF($Y229="","","No"))))</f>
        <v/>
      </c>
      <c r="AJ229">
        <f>IF($AA229="yes","Yes",IF($AA229="","","No"))</f>
        <v/>
      </c>
      <c r="AM229">
        <f>IF(AND(ISNUMBER($AC229),ISNUMBER(IF($V229,IF($AL229="","",$AL229),IF($AK229="","",$AK229)))),IF(AND(ABS($AC229-significance_bar)&lt;=2.0*IF($V229,IF($AL229="","",$AL229),IF($AK229="","",$AK229)),OR($Y229="worse",$Y229="better",$Y229="worse, not significant",$Y229="better, not significant")),IF(ROUND($AC229,3)=ROUND(significance_bar,3),TEXT($AC229,"0.0000"),TEXT($AC229,"0.000")),""),"")</f>
        <v/>
      </c>
      <c r="AN229">
        <f>IF(AND(ISNUMBER($AC229),ISNUMBER(IF($V229,IF($AL229="","",$AL229),IF($AK229="","",$AK229)))),IF(AND(ABS($AC229-significance_bar)&lt;=2.0*IF($V229,IF($AL229="","",$AL229),IF($AK229="","",$AK229)),OR($Y229="worse",$Y229="worse, not significant")),IF(ROUND($AC229,3)=ROUND(significance_bar,3),TEXT($AC229,"0.0000"),TEXT($AC229,"0.000")),""),"")</f>
        <v/>
      </c>
      <c r="AO229">
        <f>IF(OR($AI229="",$AN229=""),$AI229,$AI229&amp;" · borderline (p "&amp;$AN229&amp;")")</f>
        <v/>
      </c>
    </row>
    <row r="230">
      <c r="A230" t="inlineStr">
        <is>
          <t>three-way</t>
        </is>
      </c>
      <c r="B230" t="inlineStr">
        <is>
          <t>FICO x CHANNEL / REV_DEBT</t>
        </is>
      </c>
      <c r="C230" t="inlineStr">
        <is>
          <t>712 - 745</t>
        </is>
      </c>
      <c r="D230" t="inlineStr">
        <is>
          <t>Online / REV_DEBT low half</t>
        </is>
      </c>
      <c r="E230" t="inlineStr">
        <is>
          <t>outcome_booked</t>
        </is>
      </c>
      <c r="F230" t="inlineStr">
        <is>
          <t>Outcome, share of booked dollars</t>
        </is>
      </c>
      <c r="G230" t="n">
        <v>282</v>
      </c>
      <c r="H230" t="n">
        <v>9281100.920000004</v>
      </c>
      <c r="I230" t="b">
        <v>0</v>
      </c>
      <c r="J230" t="b">
        <v>0</v>
      </c>
      <c r="K230" t="n">
        <v>0.8159443819128908</v>
      </c>
      <c r="L230" t="n">
        <v>0.5204742683626374</v>
      </c>
      <c r="M230" t="n">
        <v>1.160196054946808</v>
      </c>
      <c r="N230" t="n">
        <v>0.7864003073376873</v>
      </c>
      <c r="O230" t="n">
        <v>-128677.4540505259</v>
      </c>
      <c r="P230" t="n">
        <v>78765.1981884159</v>
      </c>
      <c r="Q230">
        <f>'_live'!$C$21</f>
        <v/>
      </c>
      <c r="R230" t="inlineStr">
        <is>
          <t>shuffled: 4,299 of 10,000</t>
        </is>
      </c>
      <c r="S230" t="inlineStr">
        <is>
          <t>shuffled: 6,001 of 10,000</t>
        </is>
      </c>
      <c r="T230" t="n">
        <v>0.07532755759006718</v>
      </c>
      <c r="U230" t="n">
        <v>0.05297647510243685</v>
      </c>
      <c r="V230">
        <f>AND(judged_band,NOT($J230))</f>
        <v/>
      </c>
      <c r="W230">
        <f>IF($K230="","",IF($I230,"too few losses to test",IF(AND($K230&gt;better_at,$K230&lt;worse_at),"in line",IF($K230&gt;=worse_at,IF(AND(ISNUMBER($L230),$L230&lt;significance_bar),"worse","worse, not significant"),IF(AND(ISNUMBER($L230),$L230&lt;significance_bar),"better","better, not significant")))))</f>
        <v/>
      </c>
      <c r="X230">
        <f>IF($M230="","",IF($I230,"too few losses to test",IF(AND($M230&gt;better_at,$M230&lt;worse_at),"in line",IF($M230&gt;=worse_at,IF(AND(ISNUMBER($N230),$N230&lt;significance_bar),"worse","worse, not significant"),IF(AND(ISNUMBER($N230),$N230&lt;significance_bar),"better","better, not significant")))))</f>
        <v/>
      </c>
      <c r="Y230">
        <f>IF($V230,$X230,$W230)</f>
        <v/>
      </c>
      <c r="Z230">
        <f>IF($V230,IF($P230="","",$P230),IF($O230="","",$O230))</f>
        <v/>
      </c>
      <c r="AA230">
        <f>IF(OR($Q230="",$Z230=""),"",IF(AND($Z230&gt;0,$Z230&gt;=$Q230),"yes","below the line"))</f>
        <v/>
      </c>
      <c r="AB230">
        <f>IF($V230,IF($M230="","",$M230),IF($K230="","",$K230))</f>
        <v/>
      </c>
      <c r="AC230">
        <f>IF($V230,IF($N230="","",$N230),IF($L230="","",$L230))</f>
        <v/>
      </c>
      <c r="AD230">
        <f>$Y230</f>
        <v/>
      </c>
      <c r="AE230">
        <f>IF($V230,IF($S230="","",$S230),IF($R230="","",$R230))</f>
        <v/>
      </c>
      <c r="AF230">
        <f>IF($V230,IF($U230="","",$U230),IF($T230="","",$T230))</f>
        <v/>
      </c>
      <c r="AG230">
        <f>IF($V230,IF($O230="","",$O230),IF($P230="","",$P230))</f>
        <v/>
      </c>
      <c r="AH230" t="n">
        <v>0.06146309741883505</v>
      </c>
      <c r="AI230">
        <f>IF($Y230="worse","Yes",IF($Y230="worse, not significant","Not sure",IF(OR($Y230="too few losses to test",$Y230="too few loans to test"),"Too few losses",IF($Y230="","","No"))))</f>
        <v/>
      </c>
      <c r="AJ230">
        <f>IF($AA230="yes","Yes",IF($AA230="","","No"))</f>
        <v/>
      </c>
      <c r="AK230" t="n">
        <v>0.005992948644170268</v>
      </c>
      <c r="AL230" t="n">
        <v>0.00577523006811323</v>
      </c>
      <c r="AM230">
        <f>IF(AND(ISNUMBER($AC230),ISNUMBER(IF($V230,IF($AL230="","",$AL230),IF($AK230="","",$AK230)))),IF(AND(ABS($AC230-significance_bar)&lt;=2.0*IF($V230,IF($AL230="","",$AL230),IF($AK230="","",$AK230)),OR($Y230="worse",$Y230="better",$Y230="worse, not significant",$Y230="better, not significant")),IF(ROUND($AC230,3)=ROUND(significance_bar,3),TEXT($AC230,"0.0000"),TEXT($AC230,"0.000")),""),"")</f>
        <v/>
      </c>
      <c r="AN230">
        <f>IF(AND(ISNUMBER($AC230),ISNUMBER(IF($V230,IF($AL230="","",$AL230),IF($AK230="","",$AK230)))),IF(AND(ABS($AC230-significance_bar)&lt;=2.0*IF($V230,IF($AL230="","",$AL230),IF($AK230="","",$AK230)),OR($Y230="worse",$Y230="worse, not significant")),IF(ROUND($AC230,3)=ROUND(significance_bar,3),TEXT($AC230,"0.0000"),TEXT($AC230,"0.000")),""),"")</f>
        <v/>
      </c>
      <c r="AO230">
        <f>IF(OR($AI230="",$AN230=""),$AI230,$AI230&amp;" · borderline (p "&amp;$AN230&amp;")")</f>
        <v/>
      </c>
    </row>
    <row r="231">
      <c r="A231" t="inlineStr">
        <is>
          <t>three-way</t>
        </is>
      </c>
      <c r="B231" t="inlineStr">
        <is>
          <t>FICO x CHANNEL / REV_DEBT</t>
        </is>
      </c>
      <c r="C231" t="inlineStr">
        <is>
          <t>712 - 745</t>
        </is>
      </c>
      <c r="D231" t="inlineStr">
        <is>
          <t>Online / REV_DEBT low half</t>
        </is>
      </c>
      <c r="E231" t="inlineStr">
        <is>
          <t>gco_rate</t>
        </is>
      </c>
      <c r="F231" t="inlineStr">
        <is>
          <t>GCO per booked dollar</t>
        </is>
      </c>
      <c r="G231" t="n">
        <v>282</v>
      </c>
      <c r="H231" t="n">
        <v>9281100.920000004</v>
      </c>
      <c r="I231" t="b">
        <v>0</v>
      </c>
      <c r="J231" t="b">
        <v>0</v>
      </c>
      <c r="K231" t="n">
        <v>0.8199487142000017</v>
      </c>
      <c r="L231" t="n">
        <v>0.5349265073492651</v>
      </c>
      <c r="M231" t="n">
        <v>1.16951994729172</v>
      </c>
      <c r="N231" t="n">
        <v>0.8141185881411859</v>
      </c>
      <c r="O231" t="n">
        <v>-69978.68722690688</v>
      </c>
      <c r="P231" t="n">
        <v>46192.28309801046</v>
      </c>
      <c r="Q231">
        <f>'_live'!$C$22</f>
        <v/>
      </c>
      <c r="R231" t="inlineStr">
        <is>
          <t>shuffled: 4,651 of 10,000</t>
        </is>
      </c>
      <c r="S231" t="inlineStr">
        <is>
          <t>shuffled: 6,017 of 10,000</t>
        </is>
      </c>
      <c r="T231" t="n">
        <v>0.04187647032146557</v>
      </c>
      <c r="U231" t="n">
        <v>0.02935953172481929</v>
      </c>
      <c r="V231">
        <f>AND(judged_band,NOT($J231))</f>
        <v/>
      </c>
      <c r="W231">
        <f>IF($K231="","",IF($I231,"too few losses to test",IF(AND($K231&gt;better_at,$K231&lt;worse_at),"in line",IF($K231&gt;=worse_at,IF(AND(ISNUMBER($L231),$L231&lt;significance_bar),"worse","worse, not significant"),IF(AND(ISNUMBER($L231),$L231&lt;significance_bar),"better","better, not significant")))))</f>
        <v/>
      </c>
      <c r="X231">
        <f>IF($M231="","",IF($I231,"too few losses to test",IF(AND($M231&gt;better_at,$M231&lt;worse_at),"in line",IF($M231&gt;=worse_at,IF(AND(ISNUMBER($N231),$N231&lt;significance_bar),"worse","worse, not significant"),IF(AND(ISNUMBER($N231),$N231&lt;significance_bar),"better","better, not significant")))))</f>
        <v/>
      </c>
      <c r="Y231">
        <f>IF($V231,$X231,$W231)</f>
        <v/>
      </c>
      <c r="Z231">
        <f>IF($V231,IF($P231="","",$P231),IF($O231="","",$O231))</f>
        <v/>
      </c>
      <c r="AA231">
        <f>IF(OR($Q231="",$Z231=""),"",IF(AND($Z231&gt;0,$Z231&gt;=$Q231),"yes","below the line"))</f>
        <v/>
      </c>
      <c r="AB231">
        <f>IF($V231,IF($M231="","",$M231),IF($K231="","",$K231))</f>
        <v/>
      </c>
      <c r="AC231">
        <f>IF($V231,IF($N231="","",$N231),IF($L231="","",$L231))</f>
        <v/>
      </c>
      <c r="AD231">
        <f>$Y231</f>
        <v/>
      </c>
      <c r="AE231">
        <f>IF($V231,IF($S231="","",$S231),IF($R231="","",$R231))</f>
        <v/>
      </c>
      <c r="AF231">
        <f>IF($V231,IF($U231="","",$U231),IF($T231="","",$T231))</f>
        <v/>
      </c>
      <c r="AG231">
        <f>IF($V231,IF($O231="","",$O231),IF($P231="","",$P231))</f>
        <v/>
      </c>
      <c r="AH231" t="n">
        <v>0.03433655799532023</v>
      </c>
      <c r="AI231">
        <f>IF($Y231="worse","Yes",IF($Y231="worse, not significant","Not sure",IF(OR($Y231="too few losses to test",$Y231="too few loans to test"),"Too few losses",IF($Y231="","","No"))))</f>
        <v/>
      </c>
      <c r="AJ231">
        <f>IF($AA231="yes","Yes",IF($AA231="","","No"))</f>
        <v/>
      </c>
      <c r="AK231" t="n">
        <v>0.005736018786464804</v>
      </c>
      <c r="AL231" t="n">
        <v>0.006623182655410557</v>
      </c>
      <c r="AM231">
        <f>IF(AND(ISNUMBER($AC231),ISNUMBER(IF($V231,IF($AL231="","",$AL231),IF($AK231="","",$AK231)))),IF(AND(ABS($AC231-significance_bar)&lt;=2.0*IF($V231,IF($AL231="","",$AL231),IF($AK231="","",$AK231)),OR($Y231="worse",$Y231="better",$Y231="worse, not significant",$Y231="better, not significant")),IF(ROUND($AC231,3)=ROUND(significance_bar,3),TEXT($AC231,"0.0000"),TEXT($AC231,"0.000")),""),"")</f>
        <v/>
      </c>
      <c r="AN231">
        <f>IF(AND(ISNUMBER($AC231),ISNUMBER(IF($V231,IF($AL231="","",$AL231),IF($AK231="","",$AK231)))),IF(AND(ABS($AC231-significance_bar)&lt;=2.0*IF($V231,IF($AL231="","",$AL231),IF($AK231="","",$AK231)),OR($Y231="worse",$Y231="worse, not significant")),IF(ROUND($AC231,3)=ROUND(significance_bar,3),TEXT($AC231,"0.0000"),TEXT($AC231,"0.000")),""),"")</f>
        <v/>
      </c>
      <c r="AO231">
        <f>IF(OR($AI231="",$AN231=""),$AI231,$AI231&amp;" · borderline (p "&amp;$AN231&amp;")")</f>
        <v/>
      </c>
    </row>
    <row r="232">
      <c r="A232" t="inlineStr">
        <is>
          <t>three-way</t>
        </is>
      </c>
      <c r="B232" t="inlineStr">
        <is>
          <t>FICO x CHANNEL / REV_DEBT</t>
        </is>
      </c>
      <c r="C232" t="inlineStr">
        <is>
          <t>712 - 745</t>
        </is>
      </c>
      <c r="D232" t="inlineStr">
        <is>
          <t>Online / REV_DEBT low half</t>
        </is>
      </c>
      <c r="E232" t="inlineStr">
        <is>
          <t>ranr_rate</t>
        </is>
      </c>
      <c r="F232" t="inlineStr">
        <is>
          <t>Profit after losses: RANR per booked dollar</t>
        </is>
      </c>
      <c r="G232" t="n">
        <v>282</v>
      </c>
      <c r="H232" t="n">
        <v>9281100.920000004</v>
      </c>
      <c r="I232" t="b">
        <v>0</v>
      </c>
      <c r="J232" t="b">
        <v>0</v>
      </c>
      <c r="K232" t="n">
        <v>-0.007380017944136577</v>
      </c>
      <c r="L232" t="n">
        <v>0.6630691769532724</v>
      </c>
      <c r="M232" t="n">
        <v>0.03043212312598367</v>
      </c>
      <c r="N232" t="n">
        <v>0.0365963403659634</v>
      </c>
      <c r="O232" t="n">
        <v>68494.69133094256</v>
      </c>
      <c r="P232" t="n">
        <v>-282443.6059421204</v>
      </c>
      <c r="Q232">
        <f>'_live'!$C$23</f>
        <v/>
      </c>
      <c r="R232" t="inlineStr">
        <is>
          <t>shuffled: 5,471 of 10,000</t>
        </is>
      </c>
      <c r="S232" t="inlineStr">
        <is>
          <t>shuffled: 60 of 10,000</t>
        </is>
      </c>
      <c r="T232" t="n">
        <v>0.1282554625352509</v>
      </c>
      <c r="U232" t="n">
        <v>0.09044332146513061</v>
      </c>
      <c r="V232">
        <f>AND(judged_band,NOT($J232))</f>
        <v/>
      </c>
      <c r="W232">
        <f>IF($K232="","",IF(profit_kind="test",IF(OR(NOT(AND(ISNUMBER($L232),$L232&lt;significance_bar)),$K232=0),"in line",IF($K232&lt;0,"worse","better")),IF(OR($K232=0,IF(profit_kind="points",ABS($K232),ABS($K232*$H232))&lt;profit_line*(1-1E-9)),"in line",IF(AND(ISNUMBER($L232),$L232&lt;significance_bar),IF($K232&lt;0,"worse","better"),IF($K232&lt;0,"worse, not significant","better, not significant")))))</f>
        <v/>
      </c>
      <c r="X232">
        <f>IF($M232="","",IF(profit_kind="test",IF(OR(NOT(AND(ISNUMBER($N232),$N232&lt;significance_bar)),$M232=0),"in line",IF($M232&lt;0,"worse","better")),IF(OR($M232=0,IF(profit_kind="points",ABS($M232),ABS($M232*$H232))&lt;profit_line*(1-1E-9)),"in line",IF(AND(ISNUMBER($N232),$N232&lt;significance_bar),IF($M232&lt;0,"worse","better"),IF($M232&lt;0,"worse, not significant","better, not significant")))))</f>
        <v/>
      </c>
      <c r="Y232">
        <f>IF($V232,$X232,$W232)</f>
        <v/>
      </c>
      <c r="Z232">
        <f>IF($V232,IF($P232="","",$P232),IF($O232="","",$O232))</f>
        <v/>
      </c>
      <c r="AA232">
        <f>IF(OR($Q232="",$Z232=""),"",IF(AND($Z232&gt;0,$Z232&gt;=$Q232),"yes","below the line"))</f>
        <v/>
      </c>
      <c r="AB232">
        <f>IF($V232,IF($M232="","",$M232),IF($K232="","",$K232))</f>
        <v/>
      </c>
      <c r="AC232">
        <f>IF($V232,IF($N232="","",$N232),IF($L232="","",$L232))</f>
        <v/>
      </c>
      <c r="AD232">
        <f>IF($Y232="","",IF($Y232="in line",IF(profit_kind="test",IF(ROUND($AB232*100,2)=0,"0.00",TEXT($AB232*100,"+0.00;-0.00"))&amp;" points against "&amp;IF($V232,"its band","the book")&amp;", "&amp;IF($AC232="","not tested","not significant"),IF(profit_kind="points","within "&amp;TEXT(profit_line*100,"0.00")&amp;" points of "&amp;IF($V232,"its band","the book")&amp;" ("&amp;IF(ROUND($AB232*100,2)=0,"0.00",TEXT($AB232*100,"+0.00;-0.00"))&amp;")","within $"&amp;TEXT(profit_line,"#,##0")&amp;" of "&amp;IF($V232,"its band","the book")&amp;" ("&amp;IF(ROUND($AB232*100,2)=0,"0.00",TEXT($AB232*100,"+0.00;-0.00"))&amp;" points)")),IF(LEFT($Y232,5)="worse","short of ","ahead of ")&amp;IF($V232,"its band","the book")&amp;" by "&amp;TEXT(ABS($AB232)*100,"0.00")&amp;" points"&amp;IF($Z232="",""," ($"&amp;TEXT(ABS($Z232),"#,##0")&amp;")")&amp;IF(RIGHT($Y232,15)="not significant"," (not significant)","")))</f>
        <v/>
      </c>
      <c r="AE232">
        <f>IF($V232,IF($S232="","",$S232),IF($R232="","",$R232))</f>
        <v/>
      </c>
      <c r="AF232">
        <f>IF($V232,IF($U232="","",$U232),IF($T232="","",$T232))</f>
        <v/>
      </c>
      <c r="AG232">
        <f>IF($V232,IF($O232="","",$O232),IF($P232="","",$P232))</f>
        <v/>
      </c>
      <c r="AH232" t="n">
        <v>0.1208754445911143</v>
      </c>
      <c r="AI232">
        <f>IF($Y232="worse","Yes",IF($Y232="worse, not significant","Not sure",IF(OR($Y232="too few losses to test",$Y232="too few loans to test"),"Too few losses",IF($Y232="","","No"))))</f>
        <v/>
      </c>
      <c r="AJ232">
        <f>IF($AA232="yes","Yes",IF($AA232="","","No"))</f>
        <v/>
      </c>
      <c r="AK232" t="n">
        <v>0.005930804441731945</v>
      </c>
      <c r="AL232" t="n">
        <v>0.004671603044647512</v>
      </c>
      <c r="AM232">
        <f>IF(AND(ISNUMBER($AC232),ISNUMBER(IF($V232,IF($AL232="","",$AL232),IF($AK232="","",$AK232)))),IF(AND(ABS($AC232-significance_bar)&lt;=2.0*IF($V232,IF($AL232="","",$AL232),IF($AK232="","",$AK232)),OR($Y232="worse",$Y232="better",$Y232="worse, not significant",$Y232="better, not significant",AND(profit_kind="test",$Y232="in line",ISNUMBER($AB232),$AB232&lt;&gt;0))),IF(ROUND($AC232,3)=ROUND(significance_bar,3),TEXT($AC232,"0.0000"),TEXT($AC232,"0.000")),""),"")</f>
        <v/>
      </c>
      <c r="AN232">
        <f>IF(AND(ISNUMBER($AC232),ISNUMBER(IF($V232,IF($AL232="","",$AL232),IF($AK232="","",$AK232)))),IF(AND(ABS($AC232-significance_bar)&lt;=2.0*IF($V232,IF($AL232="","",$AL232),IF($AK232="","",$AK232)),OR($Y232="worse",$Y232="worse, not significant",AND(profit_kind="test",$Y232="in line",ISNUMBER($AB232),$AB232&lt;0))),IF(ROUND($AC232,3)=ROUND(significance_bar,3),TEXT($AC232,"0.0000"),TEXT($AC232,"0.000")),""),"")</f>
        <v/>
      </c>
      <c r="AO232">
        <f>IF(OR($AI232="",$AN232=""),$AI232,$AI232&amp;" · borderline (p "&amp;$AN232&amp;")")</f>
        <v/>
      </c>
    </row>
    <row r="233">
      <c r="A233" t="inlineStr">
        <is>
          <t>three-way</t>
        </is>
      </c>
      <c r="B233" t="inlineStr">
        <is>
          <t>FICO x CHANNEL / REV_DEBT</t>
        </is>
      </c>
      <c r="C233" t="inlineStr">
        <is>
          <t>712 - 745</t>
        </is>
      </c>
      <c r="D233" t="inlineStr">
        <is>
          <t>Online / REV_DEBT low half</t>
        </is>
      </c>
      <c r="E233" t="inlineStr">
        <is>
          <t>contribution_rate</t>
        </is>
      </c>
      <c r="F233" t="inlineStr">
        <is>
          <t>Contribution before losses per booked dollar</t>
        </is>
      </c>
      <c r="G233" t="n">
        <v>282</v>
      </c>
      <c r="H233" t="n">
        <v>9281100.920000004</v>
      </c>
      <c r="I233" t="b">
        <v>0</v>
      </c>
      <c r="J233" t="b">
        <v>0</v>
      </c>
      <c r="K233" t="n">
        <v>-0.01491700668469745</v>
      </c>
      <c r="L233" t="n">
        <v>0.08228487496077977</v>
      </c>
      <c r="M233" t="n">
        <v>0.03546245635496148</v>
      </c>
      <c r="N233" t="n">
        <v>0.0005142342908566286</v>
      </c>
      <c r="O233" t="n">
        <v>138446.2444649916</v>
      </c>
      <c r="P233" t="n">
        <v>-329130.636301493</v>
      </c>
      <c r="Q233">
        <f>'_live'!$C$24</f>
        <v/>
      </c>
      <c r="R233" t="inlineStr">
        <is>
          <t>shuffled: 644 of 10,000</t>
        </is>
      </c>
      <c r="S233" t="inlineStr">
        <is>
          <t>shuffled: 0 of 10,000</t>
        </is>
      </c>
      <c r="T233" t="n">
        <v>0.1701290092711319</v>
      </c>
      <c r="U233" t="n">
        <v>0.119749546231473</v>
      </c>
      <c r="V233">
        <f>AND(judged_band,NOT($J233))</f>
        <v/>
      </c>
      <c r="W233">
        <f>IF($K233="","",IF(profit_kind="test",IF(OR(NOT(AND(ISNUMBER($L233),$L233&lt;significance_bar)),$K233=0),"in line",IF($K233&lt;0,"worse","better")),IF(OR($K233=0,IF(profit_kind="points",ABS($K233),ABS($K233*$H233))&lt;profit_line*(1-1E-9)),"in line",IF(AND(ISNUMBER($L233),$L233&lt;significance_bar),IF($K233&lt;0,"worse","better"),IF($K233&lt;0,"worse, not significant","better, not significant")))))</f>
        <v/>
      </c>
      <c r="X233">
        <f>IF($M233="","",IF(profit_kind="test",IF(OR(NOT(AND(ISNUMBER($N233),$N233&lt;significance_bar)),$M233=0),"in line",IF($M233&lt;0,"worse","better")),IF(OR($M233=0,IF(profit_kind="points",ABS($M233),ABS($M233*$H233))&lt;profit_line*(1-1E-9)),"in line",IF(AND(ISNUMBER($N233),$N233&lt;significance_bar),IF($M233&lt;0,"worse","better"),IF($M233&lt;0,"worse, not significant","better, not significant")))))</f>
        <v/>
      </c>
      <c r="Y233">
        <f>IF($V233,$X233,$W233)</f>
        <v/>
      </c>
      <c r="Z233">
        <f>IF($V233,IF($P233="","",$P233),IF($O233="","",$O233))</f>
        <v/>
      </c>
      <c r="AA233">
        <f>IF(OR($Q233="",$Z233=""),"",IF(AND($Z233&gt;0,$Z233&gt;=$Q233),"yes","below the line"))</f>
        <v/>
      </c>
      <c r="AB233">
        <f>IF($V233,IF($M233="","",$M233),IF($K233="","",$K233))</f>
        <v/>
      </c>
      <c r="AC233">
        <f>IF($V233,IF($N233="","",$N233),IF($L233="","",$L233))</f>
        <v/>
      </c>
      <c r="AD233">
        <f>IF($Y233="","",IF($Y233="in line",IF(profit_kind="test",IF(ROUND($AB233*100,2)=0,"0.00",TEXT($AB233*100,"+0.00;-0.00"))&amp;" points against "&amp;IF($V233,"its band","the book")&amp;", "&amp;IF($AC233="","not tested","not significant"),IF(profit_kind="points","within "&amp;TEXT(profit_line*100,"0.00")&amp;" points of "&amp;IF($V233,"its band","the book")&amp;" ("&amp;IF(ROUND($AB233*100,2)=0,"0.00",TEXT($AB233*100,"+0.00;-0.00"))&amp;")","within $"&amp;TEXT(profit_line,"#,##0")&amp;" of "&amp;IF($V233,"its band","the book")&amp;" ("&amp;IF(ROUND($AB233*100,2)=0,"0.00",TEXT($AB233*100,"+0.00;-0.00"))&amp;" points)")),IF(LEFT($Y233,5)="worse","short of ","ahead of ")&amp;IF($V233,"its band","the book")&amp;" by "&amp;TEXT(ABS($AB233)*100,"0.00")&amp;" points"&amp;IF($Z233="",""," ($"&amp;TEXT(ABS($Z233),"#,##0")&amp;")")&amp;IF(RIGHT($Y233,15)="not significant"," (not significant)","")))</f>
        <v/>
      </c>
      <c r="AE233">
        <f>IF($V233,IF($S233="","",$S233),IF($R233="","",$R233))</f>
        <v/>
      </c>
      <c r="AF233">
        <f>IF($V233,IF($U233="","",$U233),IF($T233="","",$T233))</f>
        <v/>
      </c>
      <c r="AG233">
        <f>IF($V233,IF($O233="","",$O233),IF($P233="","",$P233))</f>
        <v/>
      </c>
      <c r="AH233" t="n">
        <v>0.1552120025864345</v>
      </c>
      <c r="AI233">
        <f>IF($Y233="worse","Yes",IF($Y233="worse, not significant","Not sure",IF(OR($Y233="too few losses to test",$Y233="too few loans to test"),"Too few losses",IF($Y233="","","No"))))</f>
        <v/>
      </c>
      <c r="AJ233">
        <f>IF($AA233="yes","Yes",IF($AA233="","","No"))</f>
        <v/>
      </c>
      <c r="AK233" t="n">
        <v>0.003133900926396975</v>
      </c>
      <c r="AL233" t="n">
        <v>0.0005142342908566286</v>
      </c>
      <c r="AM233">
        <f>IF(AND(ISNUMBER($AC233),ISNUMBER(IF($V233,IF($AL233="","",$AL233),IF($AK233="","",$AK233)))),IF(AND(ABS($AC233-significance_bar)&lt;=2.0*IF($V233,IF($AL233="","",$AL233),IF($AK233="","",$AK233)),OR($Y233="worse",$Y233="better",$Y233="worse, not significant",$Y233="better, not significant",AND(profit_kind="test",$Y233="in line",ISNUMBER($AB233),$AB233&lt;&gt;0))),IF(ROUND($AC233,3)=ROUND(significance_bar,3),TEXT($AC233,"0.0000"),TEXT($AC233,"0.000")),""),"")</f>
        <v/>
      </c>
      <c r="AN233">
        <f>IF(AND(ISNUMBER($AC233),ISNUMBER(IF($V233,IF($AL233="","",$AL233),IF($AK233="","",$AK233)))),IF(AND(ABS($AC233-significance_bar)&lt;=2.0*IF($V233,IF($AL233="","",$AL233),IF($AK233="","",$AK233)),OR($Y233="worse",$Y233="worse, not significant",AND(profit_kind="test",$Y233="in line",ISNUMBER($AB233),$AB233&lt;0))),IF(ROUND($AC233,3)=ROUND(significance_bar,3),TEXT($AC233,"0.0000"),TEXT($AC233,"0.000")),""),"")</f>
        <v/>
      </c>
      <c r="AO233">
        <f>IF(OR($AI233="",$AN233=""),$AI233,$AI233&amp;" · borderline (p "&amp;$AN233&amp;")")</f>
        <v/>
      </c>
    </row>
    <row r="234">
      <c r="A234" t="inlineStr">
        <is>
          <t>three-way</t>
        </is>
      </c>
      <c r="B234" t="inlineStr">
        <is>
          <t>FICO x CHANNEL / REV_DEBT</t>
        </is>
      </c>
      <c r="C234" t="inlineStr">
        <is>
          <t>746 - 921</t>
        </is>
      </c>
      <c r="D234" t="inlineStr">
        <is>
          <t>Broker / REV_DEBT low half</t>
        </is>
      </c>
      <c r="E234" t="inlineStr">
        <is>
          <t>outcome_loans</t>
        </is>
      </c>
      <c r="F234" t="inlineStr">
        <is>
          <t>Outcome, share of loans</t>
        </is>
      </c>
      <c r="G234" t="n">
        <v>268</v>
      </c>
      <c r="H234" t="n">
        <v>268</v>
      </c>
      <c r="I234" t="b">
        <v>1</v>
      </c>
      <c r="J234" t="b">
        <v>0</v>
      </c>
      <c r="K234" t="n">
        <v>0.2823525115044678</v>
      </c>
      <c r="M234" t="n">
        <v>0.5209221748400853</v>
      </c>
      <c r="O234" t="n">
        <v>-15.25003233734316</v>
      </c>
      <c r="P234" t="n">
        <v>-5.518035303146585</v>
      </c>
      <c r="Q234">
        <f>'_live'!$C$20</f>
        <v/>
      </c>
      <c r="T234" t="n">
        <v>0.07929116543784763</v>
      </c>
      <c r="U234" t="n">
        <v>0.04297774366845741</v>
      </c>
      <c r="V234">
        <f>AND(judged_band,NOT($J234))</f>
        <v/>
      </c>
      <c r="W234">
        <f>IF($K234="","",IF($I234,"too few losses to test",IF(AND($K234&gt;better_at,$K234&lt;worse_at),"in line",IF($K234&gt;=worse_at,IF(AND(ISNUMBER($L234),$L234&lt;significance_bar),"worse","worse, not significant"),IF(AND(ISNUMBER($L234),$L234&lt;significance_bar),"better","better, not significant")))))</f>
        <v/>
      </c>
      <c r="X234">
        <f>IF($M234="","",IF($I234,"too few losses to test",IF(AND($M234&gt;better_at,$M234&lt;worse_at),"in line",IF($M234&gt;=worse_at,IF(AND(ISNUMBER($N234),$N234&lt;significance_bar),"worse","worse, not significant"),IF(AND(ISNUMBER($N234),$N234&lt;significance_bar),"better","better, not significant")))))</f>
        <v/>
      </c>
      <c r="Y234">
        <f>IF($V234,$X234,$W234)</f>
        <v/>
      </c>
      <c r="Z234">
        <f>IF($V234,IF($P234="","",$P234),IF($O234="","",$O234))</f>
        <v/>
      </c>
      <c r="AA234">
        <f>IF(OR($Q234="",$Z234=""),"",IF(AND($Z234&gt;0,$Z234&gt;=$Q234),"yes","below the line"))</f>
        <v/>
      </c>
      <c r="AB234">
        <f>IF($V234,IF($M234="","",$M234),IF($K234="","",$K234))</f>
        <v/>
      </c>
      <c r="AC234">
        <f>IF($V234,IF($N234="","",$N234),IF($L234="","",$L234))</f>
        <v/>
      </c>
      <c r="AD234">
        <f>$Y234</f>
        <v/>
      </c>
      <c r="AE234">
        <f>IF($V234,IF($S234="","",$S234),IF($R234="","",$R234))</f>
        <v/>
      </c>
      <c r="AF234">
        <f>IF($V234,IF($U234="","",$U234),IF($T234="","",$T234))</f>
        <v/>
      </c>
      <c r="AG234">
        <f>IF($V234,IF($O234="","",$O234),IF($P234="","",$P234))</f>
        <v/>
      </c>
      <c r="AH234" t="n">
        <v>0.02238805970149254</v>
      </c>
      <c r="AI234">
        <f>IF($Y234="worse","Yes",IF($Y234="worse, not significant","Not sure",IF(OR($Y234="too few losses to test",$Y234="too few loans to test"),"Too few losses",IF($Y234="","","No"))))</f>
        <v/>
      </c>
      <c r="AJ234">
        <f>IF($AA234="yes","Yes",IF($AA234="","","No"))</f>
        <v/>
      </c>
      <c r="AM234">
        <f>IF(AND(ISNUMBER($AC234),ISNUMBER(IF($V234,IF($AL234="","",$AL234),IF($AK234="","",$AK234)))),IF(AND(ABS($AC234-significance_bar)&lt;=2.0*IF($V234,IF($AL234="","",$AL234),IF($AK234="","",$AK234)),OR($Y234="worse",$Y234="better",$Y234="worse, not significant",$Y234="better, not significant")),IF(ROUND($AC234,3)=ROUND(significance_bar,3),TEXT($AC234,"0.0000"),TEXT($AC234,"0.000")),""),"")</f>
        <v/>
      </c>
      <c r="AN234">
        <f>IF(AND(ISNUMBER($AC234),ISNUMBER(IF($V234,IF($AL234="","",$AL234),IF($AK234="","",$AK234)))),IF(AND(ABS($AC234-significance_bar)&lt;=2.0*IF($V234,IF($AL234="","",$AL234),IF($AK234="","",$AK234)),OR($Y234="worse",$Y234="worse, not significant")),IF(ROUND($AC234,3)=ROUND(significance_bar,3),TEXT($AC234,"0.0000"),TEXT($AC234,"0.000")),""),"")</f>
        <v/>
      </c>
      <c r="AO234">
        <f>IF(OR($AI234="",$AN234=""),$AI234,$AI234&amp;" · borderline (p "&amp;$AN234&amp;")")</f>
        <v/>
      </c>
    </row>
    <row r="235">
      <c r="A235" t="inlineStr">
        <is>
          <t>three-way</t>
        </is>
      </c>
      <c r="B235" t="inlineStr">
        <is>
          <t>FICO x CHANNEL / REV_DEBT</t>
        </is>
      </c>
      <c r="C235" t="inlineStr">
        <is>
          <t>746 - 921</t>
        </is>
      </c>
      <c r="D235" t="inlineStr">
        <is>
          <t>Broker / REV_DEBT low half</t>
        </is>
      </c>
      <c r="E235" t="inlineStr">
        <is>
          <t>outcome_booked</t>
        </is>
      </c>
      <c r="F235" t="inlineStr">
        <is>
          <t>Outcome, share of booked dollars</t>
        </is>
      </c>
      <c r="G235" t="n">
        <v>268</v>
      </c>
      <c r="H235" t="n">
        <v>9041693.600000001</v>
      </c>
      <c r="I235" t="b">
        <v>1</v>
      </c>
      <c r="J235" t="b">
        <v>0</v>
      </c>
      <c r="K235" t="n">
        <v>0.2354619375636639</v>
      </c>
      <c r="M235" t="n">
        <v>0.442527933799889</v>
      </c>
      <c r="O235" t="n">
        <v>-531510.2086513927</v>
      </c>
      <c r="P235" t="n">
        <v>-206212.8064803196</v>
      </c>
      <c r="Q235">
        <f>'_live'!$C$21</f>
        <v/>
      </c>
      <c r="T235" t="n">
        <v>0.07688873450117714</v>
      </c>
      <c r="U235" t="n">
        <v>0.04091124880413107</v>
      </c>
      <c r="V235">
        <f>AND(judged_band,NOT($J235))</f>
        <v/>
      </c>
      <c r="W235">
        <f>IF($K235="","",IF($I235,"too few losses to test",IF(AND($K235&gt;better_at,$K235&lt;worse_at),"in line",IF($K235&gt;=worse_at,IF(AND(ISNUMBER($L235),$L235&lt;significance_bar),"worse","worse, not significant"),IF(AND(ISNUMBER($L235),$L235&lt;significance_bar),"better","better, not significant")))))</f>
        <v/>
      </c>
      <c r="X235">
        <f>IF($M235="","",IF($I235,"too few losses to test",IF(AND($M235&gt;better_at,$M235&lt;worse_at),"in line",IF($M235&gt;=worse_at,IF(AND(ISNUMBER($N235),$N235&lt;significance_bar),"worse","worse, not significant"),IF(AND(ISNUMBER($N235),$N235&lt;significance_bar),"better","better, not significant")))))</f>
        <v/>
      </c>
      <c r="Y235">
        <f>IF($V235,$X235,$W235)</f>
        <v/>
      </c>
      <c r="Z235">
        <f>IF($V235,IF($P235="","",$P235),IF($O235="","",$O235))</f>
        <v/>
      </c>
      <c r="AA235">
        <f>IF(OR($Q235="",$Z235=""),"",IF(AND($Z235&gt;0,$Z235&gt;=$Q235),"yes","below the line"))</f>
        <v/>
      </c>
      <c r="AB235">
        <f>IF($V235,IF($M235="","",$M235),IF($K235="","",$K235))</f>
        <v/>
      </c>
      <c r="AC235">
        <f>IF($V235,IF($N235="","",$N235),IF($L235="","",$L235))</f>
        <v/>
      </c>
      <c r="AD235">
        <f>$Y235</f>
        <v/>
      </c>
      <c r="AE235">
        <f>IF($V235,IF($S235="","",$S235),IF($R235="","",$R235))</f>
        <v/>
      </c>
      <c r="AF235">
        <f>IF($V235,IF($U235="","",$U235),IF($T235="","",$T235))</f>
        <v/>
      </c>
      <c r="AG235">
        <f>IF($V235,IF($O235="","",$O235),IF($P235="","",$P235))</f>
        <v/>
      </c>
      <c r="AH235" t="n">
        <v>0.0181043704024653</v>
      </c>
      <c r="AI235">
        <f>IF($Y235="worse","Yes",IF($Y235="worse, not significant","Not sure",IF(OR($Y235="too few losses to test",$Y235="too few loans to test"),"Too few losses",IF($Y235="","","No"))))</f>
        <v/>
      </c>
      <c r="AJ235">
        <f>IF($AA235="yes","Yes",IF($AA235="","","No"))</f>
        <v/>
      </c>
      <c r="AM235">
        <f>IF(AND(ISNUMBER($AC235),ISNUMBER(IF($V235,IF($AL235="","",$AL235),IF($AK235="","",$AK235)))),IF(AND(ABS($AC235-significance_bar)&lt;=2.0*IF($V235,IF($AL235="","",$AL235),IF($AK235="","",$AK235)),OR($Y235="worse",$Y235="better",$Y235="worse, not significant",$Y235="better, not significant")),IF(ROUND($AC235,3)=ROUND(significance_bar,3),TEXT($AC235,"0.0000"),TEXT($AC235,"0.000")),""),"")</f>
        <v/>
      </c>
      <c r="AN235">
        <f>IF(AND(ISNUMBER($AC235),ISNUMBER(IF($V235,IF($AL235="","",$AL235),IF($AK235="","",$AK235)))),IF(AND(ABS($AC235-significance_bar)&lt;=2.0*IF($V235,IF($AL235="","",$AL235),IF($AK235="","",$AK235)),OR($Y235="worse",$Y235="worse, not significant")),IF(ROUND($AC235,3)=ROUND(significance_bar,3),TEXT($AC235,"0.0000"),TEXT($AC235,"0.000")),""),"")</f>
        <v/>
      </c>
      <c r="AO235">
        <f>IF(OR($AI235="",$AN235=""),$AI235,$AI235&amp;" · borderline (p "&amp;$AN235&amp;")")</f>
        <v/>
      </c>
    </row>
    <row r="236">
      <c r="A236" t="inlineStr">
        <is>
          <t>three-way</t>
        </is>
      </c>
      <c r="B236" t="inlineStr">
        <is>
          <t>FICO x CHANNEL / REV_DEBT</t>
        </is>
      </c>
      <c r="C236" t="inlineStr">
        <is>
          <t>746 - 921</t>
        </is>
      </c>
      <c r="D236" t="inlineStr">
        <is>
          <t>Broker / REV_DEBT low half</t>
        </is>
      </c>
      <c r="E236" t="inlineStr">
        <is>
          <t>gco_rate</t>
        </is>
      </c>
      <c r="F236" t="inlineStr">
        <is>
          <t>GCO per booked dollar</t>
        </is>
      </c>
      <c r="G236" t="n">
        <v>268</v>
      </c>
      <c r="H236" t="n">
        <v>9041693.600000001</v>
      </c>
      <c r="I236" t="b">
        <v>1</v>
      </c>
      <c r="J236" t="b">
        <v>0</v>
      </c>
      <c r="K236" t="n">
        <v>0.2118217701689866</v>
      </c>
      <c r="M236" t="n">
        <v>0.4183706237677063</v>
      </c>
      <c r="O236" t="n">
        <v>-304920.0625513401</v>
      </c>
      <c r="P236" t="n">
        <v>-113924.5465847473</v>
      </c>
      <c r="Q236">
        <f>'_live'!$C$22</f>
        <v/>
      </c>
      <c r="T236" t="n">
        <v>0.04278699430285274</v>
      </c>
      <c r="U236" t="n">
        <v>0.02166312919348951</v>
      </c>
      <c r="V236">
        <f>AND(judged_band,NOT($J236))</f>
        <v/>
      </c>
      <c r="W236">
        <f>IF($K236="","",IF($I236,"too few losses to test",IF(AND($K236&gt;better_at,$K236&lt;worse_at),"in line",IF($K236&gt;=worse_at,IF(AND(ISNUMBER($L236),$L236&lt;significance_bar),"worse","worse, not significant"),IF(AND(ISNUMBER($L236),$L236&lt;significance_bar),"better","better, not significant")))))</f>
        <v/>
      </c>
      <c r="X236">
        <f>IF($M236="","",IF($I236,"too few losses to test",IF(AND($M236&gt;better_at,$M236&lt;worse_at),"in line",IF($M236&gt;=worse_at,IF(AND(ISNUMBER($N236),$N236&lt;significance_bar),"worse","worse, not significant"),IF(AND(ISNUMBER($N236),$N236&lt;significance_bar),"better","better, not significant")))))</f>
        <v/>
      </c>
      <c r="Y236">
        <f>IF($V236,$X236,$W236)</f>
        <v/>
      </c>
      <c r="Z236">
        <f>IF($V236,IF($P236="","",$P236),IF($O236="","",$O236))</f>
        <v/>
      </c>
      <c r="AA236">
        <f>IF(OR($Q236="",$Z236=""),"",IF(AND($Z236&gt;0,$Z236&gt;=$Q236),"yes","below the line"))</f>
        <v/>
      </c>
      <c r="AB236">
        <f>IF($V236,IF($M236="","",$M236),IF($K236="","",$K236))</f>
        <v/>
      </c>
      <c r="AC236">
        <f>IF($V236,IF($N236="","",$N236),IF($L236="","",$L236))</f>
        <v/>
      </c>
      <c r="AD236">
        <f>$Y236</f>
        <v/>
      </c>
      <c r="AE236">
        <f>IF($V236,IF($S236="","",$S236),IF($R236="","",$R236))</f>
        <v/>
      </c>
      <c r="AF236">
        <f>IF($V236,IF($U236="","",$U236),IF($T236="","",$T236))</f>
        <v/>
      </c>
      <c r="AG236">
        <f>IF($V236,IF($O236="","",$O236),IF($P236="","",$P236))</f>
        <v/>
      </c>
      <c r="AH236" t="n">
        <v>0.009063216873440612</v>
      </c>
      <c r="AI236">
        <f>IF($Y236="worse","Yes",IF($Y236="worse, not significant","Not sure",IF(OR($Y236="too few losses to test",$Y236="too few loans to test"),"Too few losses",IF($Y236="","","No"))))</f>
        <v/>
      </c>
      <c r="AJ236">
        <f>IF($AA236="yes","Yes",IF($AA236="","","No"))</f>
        <v/>
      </c>
      <c r="AM236">
        <f>IF(AND(ISNUMBER($AC236),ISNUMBER(IF($V236,IF($AL236="","",$AL236),IF($AK236="","",$AK236)))),IF(AND(ABS($AC236-significance_bar)&lt;=2.0*IF($V236,IF($AL236="","",$AL236),IF($AK236="","",$AK236)),OR($Y236="worse",$Y236="better",$Y236="worse, not significant",$Y236="better, not significant")),IF(ROUND($AC236,3)=ROUND(significance_bar,3),TEXT($AC236,"0.0000"),TEXT($AC236,"0.000")),""),"")</f>
        <v/>
      </c>
      <c r="AN236">
        <f>IF(AND(ISNUMBER($AC236),ISNUMBER(IF($V236,IF($AL236="","",$AL236),IF($AK236="","",$AK236)))),IF(AND(ABS($AC236-significance_bar)&lt;=2.0*IF($V236,IF($AL236="","",$AL236),IF($AK236="","",$AK236)),OR($Y236="worse",$Y236="worse, not significant")),IF(ROUND($AC236,3)=ROUND(significance_bar,3),TEXT($AC236,"0.0000"),TEXT($AC236,"0.000")),""),"")</f>
        <v/>
      </c>
      <c r="AO236">
        <f>IF(OR($AI236="",$AN236=""),$AI236,$AI236&amp;" · borderline (p "&amp;$AN236&amp;")")</f>
        <v/>
      </c>
    </row>
    <row r="237">
      <c r="A237" t="inlineStr">
        <is>
          <t>three-way</t>
        </is>
      </c>
      <c r="B237" t="inlineStr">
        <is>
          <t>FICO x CHANNEL / REV_DEBT</t>
        </is>
      </c>
      <c r="C237" t="inlineStr">
        <is>
          <t>746 - 921</t>
        </is>
      </c>
      <c r="D237" t="inlineStr">
        <is>
          <t>Broker / REV_DEBT low half</t>
        </is>
      </c>
      <c r="E237" t="inlineStr">
        <is>
          <t>ranr_rate</t>
        </is>
      </c>
      <c r="F237" t="inlineStr">
        <is>
          <t>Profit after losses: RANR per booked dollar</t>
        </is>
      </c>
      <c r="G237" t="n">
        <v>268</v>
      </c>
      <c r="H237" t="n">
        <v>9041693.600000001</v>
      </c>
      <c r="I237" t="b">
        <v>0</v>
      </c>
      <c r="J237" t="b">
        <v>0</v>
      </c>
      <c r="K237" t="n">
        <v>-0.0769590143205397</v>
      </c>
      <c r="L237" t="n">
        <v>0.0002466420024664201</v>
      </c>
      <c r="M237" t="n">
        <v>0.00850615055155797</v>
      </c>
      <c r="N237" t="n">
        <v>0.606989301069893</v>
      </c>
      <c r="O237" t="n">
        <v>695839.8272443324</v>
      </c>
      <c r="P237" t="n">
        <v>-76910.00700265815</v>
      </c>
      <c r="Q237">
        <f>'_live'!$C$23</f>
        <v/>
      </c>
      <c r="R237" t="inlineStr">
        <is>
          <t>shuffled: 0 of 10,000</t>
        </is>
      </c>
      <c r="S237" t="inlineStr">
        <is>
          <t>shuffled: 2,697 of 10,000</t>
        </is>
      </c>
      <c r="T237" t="n">
        <v>0.1306863879178932</v>
      </c>
      <c r="U237" t="n">
        <v>0.04522122304579549</v>
      </c>
      <c r="V237">
        <f>AND(judged_band,NOT($J237))</f>
        <v/>
      </c>
      <c r="W237">
        <f>IF($K237="","",IF(profit_kind="test",IF(OR(NOT(AND(ISNUMBER($L237),$L237&lt;significance_bar)),$K237=0),"in line",IF($K237&lt;0,"worse","better")),IF(OR($K237=0,IF(profit_kind="points",ABS($K237),ABS($K237*$H237))&lt;profit_line*(1-1E-9)),"in line",IF(AND(ISNUMBER($L237),$L237&lt;significance_bar),IF($K237&lt;0,"worse","better"),IF($K237&lt;0,"worse, not significant","better, not significant")))))</f>
        <v/>
      </c>
      <c r="X237">
        <f>IF($M237="","",IF(profit_kind="test",IF(OR(NOT(AND(ISNUMBER($N237),$N237&lt;significance_bar)),$M237=0),"in line",IF($M237&lt;0,"worse","better")),IF(OR($M237=0,IF(profit_kind="points",ABS($M237),ABS($M237*$H237))&lt;profit_line*(1-1E-9)),"in line",IF(AND(ISNUMBER($N237),$N237&lt;significance_bar),IF($M237&lt;0,"worse","better"),IF($M237&lt;0,"worse, not significant","better, not significant")))))</f>
        <v/>
      </c>
      <c r="Y237">
        <f>IF($V237,$X237,$W237)</f>
        <v/>
      </c>
      <c r="Z237">
        <f>IF($V237,IF($P237="","",$P237),IF($O237="","",$O237))</f>
        <v/>
      </c>
      <c r="AA237">
        <f>IF(OR($Q237="",$Z237=""),"",IF(AND($Z237&gt;0,$Z237&gt;=$Q237),"yes","below the line"))</f>
        <v/>
      </c>
      <c r="AB237">
        <f>IF($V237,IF($M237="","",$M237),IF($K237="","",$K237))</f>
        <v/>
      </c>
      <c r="AC237">
        <f>IF($V237,IF($N237="","",$N237),IF($L237="","",$L237))</f>
        <v/>
      </c>
      <c r="AD237">
        <f>IF($Y237="","",IF($Y237="in line",IF(profit_kind="test",IF(ROUND($AB237*100,2)=0,"0.00",TEXT($AB237*100,"+0.00;-0.00"))&amp;" points against "&amp;IF($V237,"its band","the book")&amp;", "&amp;IF($AC237="","not tested","not significant"),IF(profit_kind="points","within "&amp;TEXT(profit_line*100,"0.00")&amp;" points of "&amp;IF($V237,"its band","the book")&amp;" ("&amp;IF(ROUND($AB237*100,2)=0,"0.00",TEXT($AB237*100,"+0.00;-0.00"))&amp;")","within $"&amp;TEXT(profit_line,"#,##0")&amp;" of "&amp;IF($V237,"its band","the book")&amp;" ("&amp;IF(ROUND($AB237*100,2)=0,"0.00",TEXT($AB237*100,"+0.00;-0.00"))&amp;" points)")),IF(LEFT($Y237,5)="worse","short of ","ahead of ")&amp;IF($V237,"its band","the book")&amp;" by "&amp;TEXT(ABS($AB237)*100,"0.00")&amp;" points"&amp;IF($Z237="",""," ($"&amp;TEXT(ABS($Z237),"#,##0")&amp;")")&amp;IF(RIGHT($Y237,15)="not significant"," (not significant)","")))</f>
        <v/>
      </c>
      <c r="AE237">
        <f>IF($V237,IF($S237="","",$S237),IF($R237="","",$R237))</f>
        <v/>
      </c>
      <c r="AF237">
        <f>IF($V237,IF($U237="","",$U237),IF($T237="","",$T237))</f>
        <v/>
      </c>
      <c r="AG237">
        <f>IF($V237,IF($O237="","",$O237),IF($P237="","",$P237))</f>
        <v/>
      </c>
      <c r="AH237" t="n">
        <v>0.05372737359735346</v>
      </c>
      <c r="AI237">
        <f>IF($Y237="worse","Yes",IF($Y237="worse, not significant","Not sure",IF(OR($Y237="too few losses to test",$Y237="too few loans to test"),"Too few losses",IF($Y237="","","No"))))</f>
        <v/>
      </c>
      <c r="AJ237">
        <f>IF($AA237="yes","Yes",IF($AA237="","","No"))</f>
        <v/>
      </c>
      <c r="AK237" t="n">
        <v>0.0002466420024664201</v>
      </c>
      <c r="AL237" t="n">
        <v>0.009986440385812867</v>
      </c>
      <c r="AM237">
        <f>IF(AND(ISNUMBER($AC237),ISNUMBER(IF($V237,IF($AL237="","",$AL237),IF($AK237="","",$AK237)))),IF(AND(ABS($AC237-significance_bar)&lt;=2.0*IF($V237,IF($AL237="","",$AL237),IF($AK237="","",$AK237)),OR($Y237="worse",$Y237="better",$Y237="worse, not significant",$Y237="better, not significant",AND(profit_kind="test",$Y237="in line",ISNUMBER($AB237),$AB237&lt;&gt;0))),IF(ROUND($AC237,3)=ROUND(significance_bar,3),TEXT($AC237,"0.0000"),TEXT($AC237,"0.000")),""),"")</f>
        <v/>
      </c>
      <c r="AN237">
        <f>IF(AND(ISNUMBER($AC237),ISNUMBER(IF($V237,IF($AL237="","",$AL237),IF($AK237="","",$AK237)))),IF(AND(ABS($AC237-significance_bar)&lt;=2.0*IF($V237,IF($AL237="","",$AL237),IF($AK237="","",$AK237)),OR($Y237="worse",$Y237="worse, not significant",AND(profit_kind="test",$Y237="in line",ISNUMBER($AB237),$AB237&lt;0))),IF(ROUND($AC237,3)=ROUND(significance_bar,3),TEXT($AC237,"0.0000"),TEXT($AC237,"0.000")),""),"")</f>
        <v/>
      </c>
      <c r="AO237">
        <f>IF(OR($AI237="",$AN237=""),$AI237,$AI237&amp;" · borderline (p "&amp;$AN237&amp;")")</f>
        <v/>
      </c>
    </row>
    <row r="238">
      <c r="A238" t="inlineStr">
        <is>
          <t>three-way</t>
        </is>
      </c>
      <c r="B238" t="inlineStr">
        <is>
          <t>FICO x CHANNEL / REV_DEBT</t>
        </is>
      </c>
      <c r="C238" t="inlineStr">
        <is>
          <t>746 - 921</t>
        </is>
      </c>
      <c r="D238" t="inlineStr">
        <is>
          <t>Broker / REV_DEBT low half</t>
        </is>
      </c>
      <c r="E238" t="inlineStr">
        <is>
          <t>contribution_rate</t>
        </is>
      </c>
      <c r="F238" t="inlineStr">
        <is>
          <t>Contribution before losses per booked dollar</t>
        </is>
      </c>
      <c r="G238" t="n">
        <v>268</v>
      </c>
      <c r="H238" t="n">
        <v>9041693.600000001</v>
      </c>
      <c r="I238" t="b">
        <v>0</v>
      </c>
      <c r="J238" t="b">
        <v>0</v>
      </c>
      <c r="K238" t="n">
        <v>-0.1106802584248606</v>
      </c>
      <c r="L238" t="n">
        <v>0.0001761728589045857</v>
      </c>
      <c r="M238" t="n">
        <v>-0.004093761768490869</v>
      </c>
      <c r="N238" t="n">
        <v>0.1413858614138586</v>
      </c>
      <c r="O238" t="n">
        <v>1000736.984246408</v>
      </c>
      <c r="P238" t="n">
        <v>37014.53958208859</v>
      </c>
      <c r="Q238">
        <f>'_live'!$C$24</f>
        <v/>
      </c>
      <c r="R238" t="inlineStr">
        <is>
          <t>shuffled: 0 of 10,000</t>
        </is>
      </c>
      <c r="S238" t="inlineStr">
        <is>
          <t>shuffled: 706 of 10,000</t>
        </is>
      </c>
      <c r="T238" t="n">
        <v>0.1734708488956546</v>
      </c>
      <c r="U238" t="n">
        <v>0.06688435223928496</v>
      </c>
      <c r="V238">
        <f>AND(judged_band,NOT($J238))</f>
        <v/>
      </c>
      <c r="W238">
        <f>IF($K238="","",IF(profit_kind="test",IF(OR(NOT(AND(ISNUMBER($L238),$L238&lt;significance_bar)),$K238=0),"in line",IF($K238&lt;0,"worse","better")),IF(OR($K238=0,IF(profit_kind="points",ABS($K238),ABS($K238*$H238))&lt;profit_line*(1-1E-9)),"in line",IF(AND(ISNUMBER($L238),$L238&lt;significance_bar),IF($K238&lt;0,"worse","better"),IF($K238&lt;0,"worse, not significant","better, not significant")))))</f>
        <v/>
      </c>
      <c r="X238">
        <f>IF($M238="","",IF(profit_kind="test",IF(OR(NOT(AND(ISNUMBER($N238),$N238&lt;significance_bar)),$M238=0),"in line",IF($M238&lt;0,"worse","better")),IF(OR($M238=0,IF(profit_kind="points",ABS($M238),ABS($M238*$H238))&lt;profit_line*(1-1E-9)),"in line",IF(AND(ISNUMBER($N238),$N238&lt;significance_bar),IF($M238&lt;0,"worse","better"),IF($M238&lt;0,"worse, not significant","better, not significant")))))</f>
        <v/>
      </c>
      <c r="Y238">
        <f>IF($V238,$X238,$W238)</f>
        <v/>
      </c>
      <c r="Z238">
        <f>IF($V238,IF($P238="","",$P238),IF($O238="","",$O238))</f>
        <v/>
      </c>
      <c r="AA238">
        <f>IF(OR($Q238="",$Z238=""),"",IF(AND($Z238&gt;0,$Z238&gt;=$Q238),"yes","below the line"))</f>
        <v/>
      </c>
      <c r="AB238">
        <f>IF($V238,IF($M238="","",$M238),IF($K238="","",$K238))</f>
        <v/>
      </c>
      <c r="AC238">
        <f>IF($V238,IF($N238="","",$N238),IF($L238="","",$L238))</f>
        <v/>
      </c>
      <c r="AD238">
        <f>IF($Y238="","",IF($Y238="in line",IF(profit_kind="test",IF(ROUND($AB238*100,2)=0,"0.00",TEXT($AB238*100,"+0.00;-0.00"))&amp;" points against "&amp;IF($V238,"its band","the book")&amp;", "&amp;IF($AC238="","not tested","not significant"),IF(profit_kind="points","within "&amp;TEXT(profit_line*100,"0.00")&amp;" points of "&amp;IF($V238,"its band","the book")&amp;" ("&amp;IF(ROUND($AB238*100,2)=0,"0.00",TEXT($AB238*100,"+0.00;-0.00"))&amp;")","within $"&amp;TEXT(profit_line,"#,##0")&amp;" of "&amp;IF($V238,"its band","the book")&amp;" ("&amp;IF(ROUND($AB238*100,2)=0,"0.00",TEXT($AB238*100,"+0.00;-0.00"))&amp;" points)")),IF(LEFT($Y238,5)="worse","short of ","ahead of ")&amp;IF($V238,"its band","the book")&amp;" by "&amp;TEXT(ABS($AB238)*100,"0.00")&amp;" points"&amp;IF($Z238="",""," ($"&amp;TEXT(ABS($Z238),"#,##0")&amp;")")&amp;IF(RIGHT($Y238,15)="not significant"," (not significant)","")))</f>
        <v/>
      </c>
      <c r="AE238">
        <f>IF($V238,IF($S238="","",$S238),IF($R238="","",$R238))</f>
        <v/>
      </c>
      <c r="AF238">
        <f>IF($V238,IF($U238="","",$U238),IF($T238="","",$T238))</f>
        <v/>
      </c>
      <c r="AG238">
        <f>IF($V238,IF($O238="","",$O238),IF($P238="","",$P238))</f>
        <v/>
      </c>
      <c r="AH238" t="n">
        <v>0.06279059047079409</v>
      </c>
      <c r="AI238">
        <f>IF($Y238="worse","Yes",IF($Y238="worse, not significant","Not sure",IF(OR($Y238="too few losses to test",$Y238="too few loans to test"),"Too few losses",IF($Y238="","","No"))))</f>
        <v/>
      </c>
      <c r="AJ238">
        <f>IF($AA238="yes","Yes",IF($AA238="","","No"))</f>
        <v/>
      </c>
      <c r="AK238" t="n">
        <v>0.0001761728589045857</v>
      </c>
      <c r="AL238" t="n">
        <v>0.005126224351508412</v>
      </c>
      <c r="AM238">
        <f>IF(AND(ISNUMBER($AC238),ISNUMBER(IF($V238,IF($AL238="","",$AL238),IF($AK238="","",$AK238)))),IF(AND(ABS($AC238-significance_bar)&lt;=2.0*IF($V238,IF($AL238="","",$AL238),IF($AK238="","",$AK238)),OR($Y238="worse",$Y238="better",$Y238="worse, not significant",$Y238="better, not significant",AND(profit_kind="test",$Y238="in line",ISNUMBER($AB238),$AB238&lt;&gt;0))),IF(ROUND($AC238,3)=ROUND(significance_bar,3),TEXT($AC238,"0.0000"),TEXT($AC238,"0.000")),""),"")</f>
        <v/>
      </c>
      <c r="AN238">
        <f>IF(AND(ISNUMBER($AC238),ISNUMBER(IF($V238,IF($AL238="","",$AL238),IF($AK238="","",$AK238)))),IF(AND(ABS($AC238-significance_bar)&lt;=2.0*IF($V238,IF($AL238="","",$AL238),IF($AK238="","",$AK238)),OR($Y238="worse",$Y238="worse, not significant",AND(profit_kind="test",$Y238="in line",ISNUMBER($AB238),$AB238&lt;0))),IF(ROUND($AC238,3)=ROUND(significance_bar,3),TEXT($AC238,"0.0000"),TEXT($AC238,"0.000")),""),"")</f>
        <v/>
      </c>
      <c r="AO238">
        <f>IF(OR($AI238="",$AN238=""),$AI238,$AI238&amp;" · borderline (p "&amp;$AN238&amp;")")</f>
        <v/>
      </c>
    </row>
    <row r="239">
      <c r="A239" t="inlineStr">
        <is>
          <t>three-way</t>
        </is>
      </c>
      <c r="B239" t="inlineStr">
        <is>
          <t>FICO x CHANNEL / REV_DEBT</t>
        </is>
      </c>
      <c r="C239" t="inlineStr">
        <is>
          <t>746 - 921</t>
        </is>
      </c>
      <c r="D239" t="inlineStr">
        <is>
          <t>Online / REV_DEBT high half</t>
        </is>
      </c>
      <c r="E239" t="inlineStr">
        <is>
          <t>outcome_loans</t>
        </is>
      </c>
      <c r="F239" t="inlineStr">
        <is>
          <t>Outcome, share of loans</t>
        </is>
      </c>
      <c r="G239" t="n">
        <v>258</v>
      </c>
      <c r="H239" t="n">
        <v>258</v>
      </c>
      <c r="I239" t="b">
        <v>0</v>
      </c>
      <c r="J239" t="b">
        <v>0</v>
      </c>
      <c r="K239" t="n">
        <v>0.4926744822494622</v>
      </c>
      <c r="L239" t="n">
        <v>0.04667001560645824</v>
      </c>
      <c r="M239" t="n">
        <v>0.9786821705426356</v>
      </c>
      <c r="N239" t="n">
        <v>0.9492287205924197</v>
      </c>
      <c r="O239" t="n">
        <v>-10.29737759979331</v>
      </c>
      <c r="P239" t="n">
        <v>-0.217821782178218</v>
      </c>
      <c r="Q239">
        <f>'_live'!$C$20</f>
        <v/>
      </c>
      <c r="R239" t="inlineStr">
        <is>
          <t>z test</t>
        </is>
      </c>
      <c r="S239" t="inlineStr">
        <is>
          <t>z test</t>
        </is>
      </c>
      <c r="T239" t="n">
        <v>0.07867200620074925</v>
      </c>
      <c r="U239" t="n">
        <v>0.0396039603960396</v>
      </c>
      <c r="V239">
        <f>AND(judged_band,NOT($J239))</f>
        <v/>
      </c>
      <c r="W239">
        <f>IF($K239="","",IF($I239,"too few losses to test",IF(AND($K239&gt;better_at,$K239&lt;worse_at),"in line",IF($K239&gt;=worse_at,IF(AND(ISNUMBER($L239),$L239&lt;significance_bar),"worse","worse, not significant"),IF(AND(ISNUMBER($L239),$L239&lt;significance_bar),"better","better, not significant")))))</f>
        <v/>
      </c>
      <c r="X239">
        <f>IF($M239="","",IF($I239,"too few losses to test",IF(AND($M239&gt;better_at,$M239&lt;worse_at),"in line",IF($M239&gt;=worse_at,IF(AND(ISNUMBER($N239),$N239&lt;significance_bar),"worse","worse, not significant"),IF(AND(ISNUMBER($N239),$N239&lt;significance_bar),"better","better, not significant")))))</f>
        <v/>
      </c>
      <c r="Y239">
        <f>IF($V239,$X239,$W239)</f>
        <v/>
      </c>
      <c r="Z239">
        <f>IF($V239,IF($P239="","",$P239),IF($O239="","",$O239))</f>
        <v/>
      </c>
      <c r="AA239">
        <f>IF(OR($Q239="",$Z239=""),"",IF(AND($Z239&gt;0,$Z239&gt;=$Q239),"yes","below the line"))</f>
        <v/>
      </c>
      <c r="AB239">
        <f>IF($V239,IF($M239="","",$M239),IF($K239="","",$K239))</f>
        <v/>
      </c>
      <c r="AC239">
        <f>IF($V239,IF($N239="","",$N239),IF($L239="","",$L239))</f>
        <v/>
      </c>
      <c r="AD239">
        <f>$Y239</f>
        <v/>
      </c>
      <c r="AE239">
        <f>IF($V239,IF($S239="","",$S239),IF($R239="","",$R239))</f>
        <v/>
      </c>
      <c r="AF239">
        <f>IF($V239,IF($U239="","",$U239),IF($T239="","",$T239))</f>
        <v/>
      </c>
      <c r="AG239">
        <f>IF($V239,IF($O239="","",$O239),IF($P239="","",$P239))</f>
        <v/>
      </c>
      <c r="AH239" t="n">
        <v>0.03875968992248062</v>
      </c>
      <c r="AI239">
        <f>IF($Y239="worse","Yes",IF($Y239="worse, not significant","Not sure",IF(OR($Y239="too few losses to test",$Y239="too few loans to test"),"Too few losses",IF($Y239="","","No"))))</f>
        <v/>
      </c>
      <c r="AJ239">
        <f>IF($AA239="yes","Yes",IF($AA239="","","No"))</f>
        <v/>
      </c>
      <c r="AM239">
        <f>IF(AND(ISNUMBER($AC239),ISNUMBER(IF($V239,IF($AL239="","",$AL239),IF($AK239="","",$AK239)))),IF(AND(ABS($AC239-significance_bar)&lt;=2.0*IF($V239,IF($AL239="","",$AL239),IF($AK239="","",$AK239)),OR($Y239="worse",$Y239="better",$Y239="worse, not significant",$Y239="better, not significant")),IF(ROUND($AC239,3)=ROUND(significance_bar,3),TEXT($AC239,"0.0000"),TEXT($AC239,"0.000")),""),"")</f>
        <v/>
      </c>
      <c r="AN239">
        <f>IF(AND(ISNUMBER($AC239),ISNUMBER(IF($V239,IF($AL239="","",$AL239),IF($AK239="","",$AK239)))),IF(AND(ABS($AC239-significance_bar)&lt;=2.0*IF($V239,IF($AL239="","",$AL239),IF($AK239="","",$AK239)),OR($Y239="worse",$Y239="worse, not significant")),IF(ROUND($AC239,3)=ROUND(significance_bar,3),TEXT($AC239,"0.0000"),TEXT($AC239,"0.000")),""),"")</f>
        <v/>
      </c>
      <c r="AO239">
        <f>IF(OR($AI239="",$AN239=""),$AI239,$AI239&amp;" · borderline (p "&amp;$AN239&amp;")")</f>
        <v/>
      </c>
    </row>
    <row r="240">
      <c r="A240" t="inlineStr">
        <is>
          <t>three-way</t>
        </is>
      </c>
      <c r="B240" t="inlineStr">
        <is>
          <t>FICO x CHANNEL / REV_DEBT</t>
        </is>
      </c>
      <c r="C240" t="inlineStr">
        <is>
          <t>746 - 921</t>
        </is>
      </c>
      <c r="D240" t="inlineStr">
        <is>
          <t>Online / REV_DEBT high half</t>
        </is>
      </c>
      <c r="E240" t="inlineStr">
        <is>
          <t>outcome_booked</t>
        </is>
      </c>
      <c r="F240" t="inlineStr">
        <is>
          <t>Outcome, share of booked dollars</t>
        </is>
      </c>
      <c r="G240" t="n">
        <v>258</v>
      </c>
      <c r="H240" t="n">
        <v>8792490.43</v>
      </c>
      <c r="I240" t="b">
        <v>0</v>
      </c>
      <c r="J240" t="b">
        <v>0</v>
      </c>
      <c r="K240" t="n">
        <v>0.4740562237889812</v>
      </c>
      <c r="L240" t="n">
        <v>0.07681231876812319</v>
      </c>
      <c r="M240" t="n">
        <v>0.9767721074710733</v>
      </c>
      <c r="N240" t="n">
        <v>0.9524047595240476</v>
      </c>
      <c r="O240" t="n">
        <v>-352350.000627476</v>
      </c>
      <c r="P240" t="n">
        <v>-7552.337118183146</v>
      </c>
      <c r="Q240">
        <f>'_live'!$C$21</f>
        <v/>
      </c>
      <c r="R240" t="inlineStr">
        <is>
          <t>shuffled: 267 of 10,000</t>
        </is>
      </c>
      <c r="S240" t="inlineStr">
        <is>
          <t>shuffled: 9,524 of 10,000</t>
        </is>
      </c>
      <c r="T240" t="n">
        <v>0.07619439975068316</v>
      </c>
      <c r="U240" t="n">
        <v>0.03697938254317591</v>
      </c>
      <c r="V240">
        <f>AND(judged_band,NOT($J240))</f>
        <v/>
      </c>
      <c r="W240">
        <f>IF($K240="","",IF($I240,"too few losses to test",IF(AND($K240&gt;better_at,$K240&lt;worse_at),"in line",IF($K240&gt;=worse_at,IF(AND(ISNUMBER($L240),$L240&lt;significance_bar),"worse","worse, not significant"),IF(AND(ISNUMBER($L240),$L240&lt;significance_bar),"better","better, not significant")))))</f>
        <v/>
      </c>
      <c r="X240">
        <f>IF($M240="","",IF($I240,"too few losses to test",IF(AND($M240&gt;better_at,$M240&lt;worse_at),"in line",IF($M240&gt;=worse_at,IF(AND(ISNUMBER($N240),$N240&lt;significance_bar),"worse","worse, not significant"),IF(AND(ISNUMBER($N240),$N240&lt;significance_bar),"better","better, not significant")))))</f>
        <v/>
      </c>
      <c r="Y240">
        <f>IF($V240,$X240,$W240)</f>
        <v/>
      </c>
      <c r="Z240">
        <f>IF($V240,IF($P240="","",$P240),IF($O240="","",$O240))</f>
        <v/>
      </c>
      <c r="AA240">
        <f>IF(OR($Q240="",$Z240=""),"",IF(AND($Z240&gt;0,$Z240&gt;=$Q240),"yes","below the line"))</f>
        <v/>
      </c>
      <c r="AB240">
        <f>IF($V240,IF($M240="","",$M240),IF($K240="","",$K240))</f>
        <v/>
      </c>
      <c r="AC240">
        <f>IF($V240,IF($N240="","",$N240),IF($L240="","",$L240))</f>
        <v/>
      </c>
      <c r="AD240">
        <f>$Y240</f>
        <v/>
      </c>
      <c r="AE240">
        <f>IF($V240,IF($S240="","",$S240),IF($R240="","",$R240))</f>
        <v/>
      </c>
      <c r="AF240">
        <f>IF($V240,IF($U240="","",$U240),IF($T240="","",$T240))</f>
        <v/>
      </c>
      <c r="AG240">
        <f>IF($V240,IF($O240="","",$O240),IF($P240="","",$P240))</f>
        <v/>
      </c>
      <c r="AH240" t="n">
        <v>0.03612042941967695</v>
      </c>
      <c r="AI240">
        <f>IF($Y240="worse","Yes",IF($Y240="worse, not significant","Not sure",IF(OR($Y240="too few losses to test",$Y240="too few loans to test"),"Too few losses",IF($Y240="","","No"))))</f>
        <v/>
      </c>
      <c r="AJ240">
        <f>IF($AA240="yes","Yes",IF($AA240="","","No"))</f>
        <v/>
      </c>
      <c r="AK240" t="n">
        <v>0.004132410928890635</v>
      </c>
      <c r="AL240" t="n">
        <v>0.002129082749918112</v>
      </c>
      <c r="AM240">
        <f>IF(AND(ISNUMBER($AC240),ISNUMBER(IF($V240,IF($AL240="","",$AL240),IF($AK240="","",$AK240)))),IF(AND(ABS($AC240-significance_bar)&lt;=2.0*IF($V240,IF($AL240="","",$AL240),IF($AK240="","",$AK240)),OR($Y240="worse",$Y240="better",$Y240="worse, not significant",$Y240="better, not significant")),IF(ROUND($AC240,3)=ROUND(significance_bar,3),TEXT($AC240,"0.0000"),TEXT($AC240,"0.000")),""),"")</f>
        <v/>
      </c>
      <c r="AN240">
        <f>IF(AND(ISNUMBER($AC240),ISNUMBER(IF($V240,IF($AL240="","",$AL240),IF($AK240="","",$AK240)))),IF(AND(ABS($AC240-significance_bar)&lt;=2.0*IF($V240,IF($AL240="","",$AL240),IF($AK240="","",$AK240)),OR($Y240="worse",$Y240="worse, not significant")),IF(ROUND($AC240,3)=ROUND(significance_bar,3),TEXT($AC240,"0.0000"),TEXT($AC240,"0.000")),""),"")</f>
        <v/>
      </c>
      <c r="AO240">
        <f>IF(OR($AI240="",$AN240=""),$AI240,$AI240&amp;" · borderline (p "&amp;$AN240&amp;")")</f>
        <v/>
      </c>
    </row>
    <row r="241">
      <c r="A241" t="inlineStr">
        <is>
          <t>three-way</t>
        </is>
      </c>
      <c r="B241" t="inlineStr">
        <is>
          <t>FICO x CHANNEL / REV_DEBT</t>
        </is>
      </c>
      <c r="C241" t="inlineStr">
        <is>
          <t>746 - 921</t>
        </is>
      </c>
      <c r="D241" t="inlineStr">
        <is>
          <t>Online / REV_DEBT high half</t>
        </is>
      </c>
      <c r="E241" t="inlineStr">
        <is>
          <t>gco_rate</t>
        </is>
      </c>
      <c r="F241" t="inlineStr">
        <is>
          <t>GCO per booked dollar</t>
        </is>
      </c>
      <c r="G241" t="n">
        <v>258</v>
      </c>
      <c r="H241" t="n">
        <v>8792490.43</v>
      </c>
      <c r="I241" t="b">
        <v>0</v>
      </c>
      <c r="J241" t="b">
        <v>0</v>
      </c>
      <c r="K241" t="n">
        <v>0.3932506451577927</v>
      </c>
      <c r="L241" t="n">
        <v>0.04915758424157584</v>
      </c>
      <c r="M241" t="n">
        <v>0.8362750760357822</v>
      </c>
      <c r="N241" t="n">
        <v>0.8482318434823184</v>
      </c>
      <c r="O241" t="n">
        <v>-226643.2778442544</v>
      </c>
      <c r="P241" t="n">
        <v>-28758.65739845257</v>
      </c>
      <c r="Q241">
        <f>'_live'!$C$22</f>
        <v/>
      </c>
      <c r="R241" t="inlineStr">
        <is>
          <t>shuffled: 137 of 10,000</t>
        </is>
      </c>
      <c r="S241" t="inlineStr">
        <is>
          <t>shuffled: 6,638 of 10,000</t>
        </is>
      </c>
      <c r="T241" t="n">
        <v>0.04248362973131543</v>
      </c>
      <c r="U241" t="n">
        <v>0.01997753523838099</v>
      </c>
      <c r="V241">
        <f>AND(judged_band,NOT($J241))</f>
        <v/>
      </c>
      <c r="W241">
        <f>IF($K241="","",IF($I241,"too few losses to test",IF(AND($K241&gt;better_at,$K241&lt;worse_at),"in line",IF($K241&gt;=worse_at,IF(AND(ISNUMBER($L241),$L241&lt;significance_bar),"worse","worse, not significant"),IF(AND(ISNUMBER($L241),$L241&lt;significance_bar),"better","better, not significant")))))</f>
        <v/>
      </c>
      <c r="X241">
        <f>IF($M241="","",IF($I241,"too few losses to test",IF(AND($M241&gt;better_at,$M241&lt;worse_at),"in line",IF($M241&gt;=worse_at,IF(AND(ISNUMBER($N241),$N241&lt;significance_bar),"worse","worse, not significant"),IF(AND(ISNUMBER($N241),$N241&lt;significance_bar),"better","better, not significant")))))</f>
        <v/>
      </c>
      <c r="Y241">
        <f>IF($V241,$X241,$W241)</f>
        <v/>
      </c>
      <c r="Z241">
        <f>IF($V241,IF($P241="","",$P241),IF($O241="","",$O241))</f>
        <v/>
      </c>
      <c r="AA241">
        <f>IF(OR($Q241="",$Z241=""),"",IF(AND($Z241&gt;0,$Z241&gt;=$Q241),"yes","below the line"))</f>
        <v/>
      </c>
      <c r="AB241">
        <f>IF($V241,IF($M241="","",$M241),IF($K241="","",$K241))</f>
        <v/>
      </c>
      <c r="AC241">
        <f>IF($V241,IF($N241="","",$N241),IF($L241="","",$L241))</f>
        <v/>
      </c>
      <c r="AD241">
        <f>$Y241</f>
        <v/>
      </c>
      <c r="AE241">
        <f>IF($V241,IF($S241="","",$S241),IF($R241="","",$R241))</f>
        <v/>
      </c>
      <c r="AF241">
        <f>IF($V241,IF($U241="","",$U241),IF($T241="","",$T241))</f>
        <v/>
      </c>
      <c r="AG241">
        <f>IF($V241,IF($O241="","",$O241),IF($P241="","",$P241))</f>
        <v/>
      </c>
      <c r="AH241" t="n">
        <v>0.01670671480048458</v>
      </c>
      <c r="AI241">
        <f>IF($Y241="worse","Yes",IF($Y241="worse, not significant","Not sure",IF(OR($Y241="too few losses to test",$Y241="too few loans to test"),"Too few losses",IF($Y241="","","No"))))</f>
        <v/>
      </c>
      <c r="AJ241">
        <f>IF($AA241="yes","Yes",IF($AA241="","","No"))</f>
        <v/>
      </c>
      <c r="AK241" t="n">
        <v>0.003727084471890366</v>
      </c>
      <c r="AL241" t="n">
        <v>0.006036178755701095</v>
      </c>
      <c r="AM241">
        <f>IF(AND(ISNUMBER($AC241),ISNUMBER(IF($V241,IF($AL241="","",$AL241),IF($AK241="","",$AK241)))),IF(AND(ABS($AC241-significance_bar)&lt;=2.0*IF($V241,IF($AL241="","",$AL241),IF($AK241="","",$AK241)),OR($Y241="worse",$Y241="better",$Y241="worse, not significant",$Y241="better, not significant")),IF(ROUND($AC241,3)=ROUND(significance_bar,3),TEXT($AC241,"0.0000"),TEXT($AC241,"0.000")),""),"")</f>
        <v/>
      </c>
      <c r="AN241">
        <f>IF(AND(ISNUMBER($AC241),ISNUMBER(IF($V241,IF($AL241="","",$AL241),IF($AK241="","",$AK241)))),IF(AND(ABS($AC241-significance_bar)&lt;=2.0*IF($V241,IF($AL241="","",$AL241),IF($AK241="","",$AK241)),OR($Y241="worse",$Y241="worse, not significant")),IF(ROUND($AC241,3)=ROUND(significance_bar,3),TEXT($AC241,"0.0000"),TEXT($AC241,"0.000")),""),"")</f>
        <v/>
      </c>
      <c r="AO241">
        <f>IF(OR($AI241="",$AN241=""),$AI241,$AI241&amp;" · borderline (p "&amp;$AN241&amp;")")</f>
        <v/>
      </c>
    </row>
    <row r="242">
      <c r="A242" t="inlineStr">
        <is>
          <t>three-way</t>
        </is>
      </c>
      <c r="B242" t="inlineStr">
        <is>
          <t>FICO x CHANNEL / REV_DEBT</t>
        </is>
      </c>
      <c r="C242" t="inlineStr">
        <is>
          <t>746 - 921</t>
        </is>
      </c>
      <c r="D242" t="inlineStr">
        <is>
          <t>Online / REV_DEBT high half</t>
        </is>
      </c>
      <c r="E242" t="inlineStr">
        <is>
          <t>ranr_rate</t>
        </is>
      </c>
      <c r="F242" t="inlineStr">
        <is>
          <t>Profit after losses: RANR per booked dollar</t>
        </is>
      </c>
      <c r="G242" t="n">
        <v>258</v>
      </c>
      <c r="H242" t="n">
        <v>8792490.43</v>
      </c>
      <c r="I242" t="b">
        <v>0</v>
      </c>
      <c r="J242" t="b">
        <v>0</v>
      </c>
      <c r="K242" t="n">
        <v>-0.08194696277616756</v>
      </c>
      <c r="L242" t="n">
        <v>0.0002466420024664201</v>
      </c>
      <c r="M242" t="n">
        <v>0.002532305502364211</v>
      </c>
      <c r="N242" t="n">
        <v>0.8927107289271073</v>
      </c>
      <c r="O242" t="n">
        <v>720517.8859770196</v>
      </c>
      <c r="P242" t="n">
        <v>-22265.27189537365</v>
      </c>
      <c r="Q242">
        <f>'_live'!$C$23</f>
        <v/>
      </c>
      <c r="R242" t="inlineStr">
        <is>
          <t>shuffled: 0 of 10,000</t>
        </is>
      </c>
      <c r="S242" t="inlineStr">
        <is>
          <t>shuffled: 7,439 of 10,000</t>
        </is>
      </c>
      <c r="T242" t="n">
        <v>0.1307820139392543</v>
      </c>
      <c r="U242" t="n">
        <v>0.04630274566072249</v>
      </c>
      <c r="V242">
        <f>AND(judged_band,NOT($J242))</f>
        <v/>
      </c>
      <c r="W242">
        <f>IF($K242="","",IF(profit_kind="test",IF(OR(NOT(AND(ISNUMBER($L242),$L242&lt;significance_bar)),$K242=0),"in line",IF($K242&lt;0,"worse","better")),IF(OR($K242=0,IF(profit_kind="points",ABS($K242),ABS($K242*$H242))&lt;profit_line*(1-1E-9)),"in line",IF(AND(ISNUMBER($L242),$L242&lt;significance_bar),IF($K242&lt;0,"worse","better"),IF($K242&lt;0,"worse, not significant","better, not significant")))))</f>
        <v/>
      </c>
      <c r="X242">
        <f>IF($M242="","",IF(profit_kind="test",IF(OR(NOT(AND(ISNUMBER($N242),$N242&lt;significance_bar)),$M242=0),"in line",IF($M242&lt;0,"worse","better")),IF(OR($M242=0,IF(profit_kind="points",ABS($M242),ABS($M242*$H242))&lt;profit_line*(1-1E-9)),"in line",IF(AND(ISNUMBER($N242),$N242&lt;significance_bar),IF($M242&lt;0,"worse","better"),IF($M242&lt;0,"worse, not significant","better, not significant")))))</f>
        <v/>
      </c>
      <c r="Y242">
        <f>IF($V242,$X242,$W242)</f>
        <v/>
      </c>
      <c r="Z242">
        <f>IF($V242,IF($P242="","",$P242),IF($O242="","",$O242))</f>
        <v/>
      </c>
      <c r="AA242">
        <f>IF(OR($Q242="",$Z242=""),"",IF(AND($Z242&gt;0,$Z242&gt;=$Q242),"yes","below the line"))</f>
        <v/>
      </c>
      <c r="AB242">
        <f>IF($V242,IF($M242="","",$M242),IF($K242="","",$K242))</f>
        <v/>
      </c>
      <c r="AC242">
        <f>IF($V242,IF($N242="","",$N242),IF($L242="","",$L242))</f>
        <v/>
      </c>
      <c r="AD242">
        <f>IF($Y242="","",IF($Y242="in line",IF(profit_kind="test",IF(ROUND($AB242*100,2)=0,"0.00",TEXT($AB242*100,"+0.00;-0.00"))&amp;" points against "&amp;IF($V242,"its band","the book")&amp;", "&amp;IF($AC242="","not tested","not significant"),IF(profit_kind="points","within "&amp;TEXT(profit_line*100,"0.00")&amp;" points of "&amp;IF($V242,"its band","the book")&amp;" ("&amp;IF(ROUND($AB242*100,2)=0,"0.00",TEXT($AB242*100,"+0.00;-0.00"))&amp;")","within $"&amp;TEXT(profit_line,"#,##0")&amp;" of "&amp;IF($V242,"its band","the book")&amp;" ("&amp;IF(ROUND($AB242*100,2)=0,"0.00",TEXT($AB242*100,"+0.00;-0.00"))&amp;" points)")),IF(LEFT($Y242,5)="worse","short of ","ahead of ")&amp;IF($V242,"its band","the book")&amp;" by "&amp;TEXT(ABS($AB242)*100,"0.00")&amp;" points"&amp;IF($Z242="",""," ($"&amp;TEXT(ABS($Z242),"#,##0")&amp;")")&amp;IF(RIGHT($Y242,15)="not significant"," (not significant)","")))</f>
        <v/>
      </c>
      <c r="AE242">
        <f>IF($V242,IF($S242="","",$S242),IF($R242="","",$R242))</f>
        <v/>
      </c>
      <c r="AF242">
        <f>IF($V242,IF($U242="","",$U242),IF($T242="","",$T242))</f>
        <v/>
      </c>
      <c r="AG242">
        <f>IF($V242,IF($O242="","",$O242),IF($P242="","",$P242))</f>
        <v/>
      </c>
      <c r="AH242" t="n">
        <v>0.0488350511630867</v>
      </c>
      <c r="AI242">
        <f>IF($Y242="worse","Yes",IF($Y242="worse, not significant","Not sure",IF(OR($Y242="too few losses to test",$Y242="too few loans to test"),"Too few losses",IF($Y242="","","No"))))</f>
        <v/>
      </c>
      <c r="AJ242">
        <f>IF($AA242="yes","Yes",IF($AA242="","","No"))</f>
        <v/>
      </c>
      <c r="AK242" t="n">
        <v>0.0002466420024664201</v>
      </c>
      <c r="AL242" t="n">
        <v>0.005237560779322389</v>
      </c>
      <c r="AM242">
        <f>IF(AND(ISNUMBER($AC242),ISNUMBER(IF($V242,IF($AL242="","",$AL242),IF($AK242="","",$AK242)))),IF(AND(ABS($AC242-significance_bar)&lt;=2.0*IF($V242,IF($AL242="","",$AL242),IF($AK242="","",$AK242)),OR($Y242="worse",$Y242="better",$Y242="worse, not significant",$Y242="better, not significant",AND(profit_kind="test",$Y242="in line",ISNUMBER($AB242),$AB242&lt;&gt;0))),IF(ROUND($AC242,3)=ROUND(significance_bar,3),TEXT($AC242,"0.0000"),TEXT($AC242,"0.000")),""),"")</f>
        <v/>
      </c>
      <c r="AN242">
        <f>IF(AND(ISNUMBER($AC242),ISNUMBER(IF($V242,IF($AL242="","",$AL242),IF($AK242="","",$AK242)))),IF(AND(ABS($AC242-significance_bar)&lt;=2.0*IF($V242,IF($AL242="","",$AL242),IF($AK242="","",$AK242)),OR($Y242="worse",$Y242="worse, not significant",AND(profit_kind="test",$Y242="in line",ISNUMBER($AB242),$AB242&lt;0))),IF(ROUND($AC242,3)=ROUND(significance_bar,3),TEXT($AC242,"0.0000"),TEXT($AC242,"0.000")),""),"")</f>
        <v/>
      </c>
      <c r="AO242">
        <f>IF(OR($AI242="",$AN242=""),$AI242,$AI242&amp;" · borderline (p "&amp;$AN242&amp;")")</f>
        <v/>
      </c>
    </row>
    <row r="243">
      <c r="A243" t="inlineStr">
        <is>
          <t>three-way</t>
        </is>
      </c>
      <c r="B243" t="inlineStr">
        <is>
          <t>FICO x CHANNEL / REV_DEBT</t>
        </is>
      </c>
      <c r="C243" t="inlineStr">
        <is>
          <t>746 - 921</t>
        </is>
      </c>
      <c r="D243" t="inlineStr">
        <is>
          <t>Online / REV_DEBT high half</t>
        </is>
      </c>
      <c r="E243" t="inlineStr">
        <is>
          <t>contribution_rate</t>
        </is>
      </c>
      <c r="F243" t="inlineStr">
        <is>
          <t>Contribution before losses per booked dollar</t>
        </is>
      </c>
      <c r="G243" t="n">
        <v>258</v>
      </c>
      <c r="H243" t="n">
        <v>8792490.43</v>
      </c>
      <c r="I243" t="b">
        <v>0</v>
      </c>
      <c r="J243" t="b">
        <v>0</v>
      </c>
      <c r="K243" t="n">
        <v>-0.1077213621408665</v>
      </c>
      <c r="L243" t="n">
        <v>0.0001761728589045857</v>
      </c>
      <c r="M243" t="n">
        <v>-0.0007385149355321891</v>
      </c>
      <c r="N243" t="n">
        <v>0.7942499867660293</v>
      </c>
      <c r="O243" t="n">
        <v>947139.0457301326</v>
      </c>
      <c r="P243" t="n">
        <v>6493.385503078811</v>
      </c>
      <c r="Q243">
        <f>'_live'!$C$24</f>
        <v/>
      </c>
      <c r="R243" t="inlineStr">
        <is>
          <t>shuffled: 0 of 10,000</t>
        </is>
      </c>
      <c r="S243" t="inlineStr">
        <is>
          <t>shuffled: 7,501 of 10,000</t>
        </is>
      </c>
      <c r="T243" t="n">
        <v>0.1732631281044377</v>
      </c>
      <c r="U243" t="n">
        <v>0.06628028089910346</v>
      </c>
      <c r="V243">
        <f>AND(judged_band,NOT($J243))</f>
        <v/>
      </c>
      <c r="W243">
        <f>IF($K243="","",IF(profit_kind="test",IF(OR(NOT(AND(ISNUMBER($L243),$L243&lt;significance_bar)),$K243=0),"in line",IF($K243&lt;0,"worse","better")),IF(OR($K243=0,IF(profit_kind="points",ABS($K243),ABS($K243*$H243))&lt;profit_line*(1-1E-9)),"in line",IF(AND(ISNUMBER($L243),$L243&lt;significance_bar),IF($K243&lt;0,"worse","better"),IF($K243&lt;0,"worse, not significant","better, not significant")))))</f>
        <v/>
      </c>
      <c r="X243">
        <f>IF($M243="","",IF(profit_kind="test",IF(OR(NOT(AND(ISNUMBER($N243),$N243&lt;significance_bar)),$M243=0),"in line",IF($M243&lt;0,"worse","better")),IF(OR($M243=0,IF(profit_kind="points",ABS($M243),ABS($M243*$H243))&lt;profit_line*(1-1E-9)),"in line",IF(AND(ISNUMBER($N243),$N243&lt;significance_bar),IF($M243&lt;0,"worse","better"),IF($M243&lt;0,"worse, not significant","better, not significant")))))</f>
        <v/>
      </c>
      <c r="Y243">
        <f>IF($V243,$X243,$W243)</f>
        <v/>
      </c>
      <c r="Z243">
        <f>IF($V243,IF($P243="","",$P243),IF($O243="","",$O243))</f>
        <v/>
      </c>
      <c r="AA243">
        <f>IF(OR($Q243="",$Z243=""),"",IF(AND($Z243&gt;0,$Z243&gt;=$Q243),"yes","below the line"))</f>
        <v/>
      </c>
      <c r="AB243">
        <f>IF($V243,IF($M243="","",$M243),IF($K243="","",$K243))</f>
        <v/>
      </c>
      <c r="AC243">
        <f>IF($V243,IF($N243="","",$N243),IF($L243="","",$L243))</f>
        <v/>
      </c>
      <c r="AD243">
        <f>IF($Y243="","",IF($Y243="in line",IF(profit_kind="test",IF(ROUND($AB243*100,2)=0,"0.00",TEXT($AB243*100,"+0.00;-0.00"))&amp;" points against "&amp;IF($V243,"its band","the book")&amp;", "&amp;IF($AC243="","not tested","not significant"),IF(profit_kind="points","within "&amp;TEXT(profit_line*100,"0.00")&amp;" points of "&amp;IF($V243,"its band","the book")&amp;" ("&amp;IF(ROUND($AB243*100,2)=0,"0.00",TEXT($AB243*100,"+0.00;-0.00"))&amp;")","within $"&amp;TEXT(profit_line,"#,##0")&amp;" of "&amp;IF($V243,"its band","the book")&amp;" ("&amp;IF(ROUND($AB243*100,2)=0,"0.00",TEXT($AB243*100,"+0.00;-0.00"))&amp;" points)")),IF(LEFT($Y243,5)="worse","short of ","ahead of ")&amp;IF($V243,"its band","the book")&amp;" by "&amp;TEXT(ABS($AB243)*100,"0.00")&amp;" points"&amp;IF($Z243="",""," ($"&amp;TEXT(ABS($Z243),"#,##0")&amp;")")&amp;IF(RIGHT($Y243,15)="not significant"," (not significant)","")))</f>
        <v/>
      </c>
      <c r="AE243">
        <f>IF($V243,IF($S243="","",$S243),IF($R243="","",$R243))</f>
        <v/>
      </c>
      <c r="AF243">
        <f>IF($V243,IF($U243="","",$U243),IF($T243="","",$T243))</f>
        <v/>
      </c>
      <c r="AG243">
        <f>IF($V243,IF($O243="","",$O243),IF($P243="","",$P243))</f>
        <v/>
      </c>
      <c r="AH243" t="n">
        <v>0.06554176596357127</v>
      </c>
      <c r="AI243">
        <f>IF($Y243="worse","Yes",IF($Y243="worse, not significant","Not sure",IF(OR($Y243="too few losses to test",$Y243="too few loans to test"),"Too few losses",IF($Y243="","","No"))))</f>
        <v/>
      </c>
      <c r="AJ243">
        <f>IF($AA243="yes","Yes",IF($AA243="","","No"))</f>
        <v/>
      </c>
      <c r="AK243" t="n">
        <v>0.0001761728589045857</v>
      </c>
      <c r="AL243" t="n">
        <v>0.00458407605461577</v>
      </c>
      <c r="AM243">
        <f>IF(AND(ISNUMBER($AC243),ISNUMBER(IF($V243,IF($AL243="","",$AL243),IF($AK243="","",$AK243)))),IF(AND(ABS($AC243-significance_bar)&lt;=2.0*IF($V243,IF($AL243="","",$AL243),IF($AK243="","",$AK243)),OR($Y243="worse",$Y243="better",$Y243="worse, not significant",$Y243="better, not significant",AND(profit_kind="test",$Y243="in line",ISNUMBER($AB243),$AB243&lt;&gt;0))),IF(ROUND($AC243,3)=ROUND(significance_bar,3),TEXT($AC243,"0.0000"),TEXT($AC243,"0.000")),""),"")</f>
        <v/>
      </c>
      <c r="AN243">
        <f>IF(AND(ISNUMBER($AC243),ISNUMBER(IF($V243,IF($AL243="","",$AL243),IF($AK243="","",$AK243)))),IF(AND(ABS($AC243-significance_bar)&lt;=2.0*IF($V243,IF($AL243="","",$AL243),IF($AK243="","",$AK243)),OR($Y243="worse",$Y243="worse, not significant",AND(profit_kind="test",$Y243="in line",ISNUMBER($AB243),$AB243&lt;0))),IF(ROUND($AC243,3)=ROUND(significance_bar,3),TEXT($AC243,"0.0000"),TEXT($AC243,"0.000")),""),"")</f>
        <v/>
      </c>
      <c r="AO243">
        <f>IF(OR($AI243="",$AN243=""),$AI243,$AI243&amp;" · borderline (p "&amp;$AN243&amp;")")</f>
        <v/>
      </c>
    </row>
    <row r="244">
      <c r="A244" t="inlineStr">
        <is>
          <t>three-way</t>
        </is>
      </c>
      <c r="B244" t="inlineStr">
        <is>
          <t>FICO x CHANNEL / REV_DEBT</t>
        </is>
      </c>
      <c r="C244" t="inlineStr">
        <is>
          <t>712 - 745</t>
        </is>
      </c>
      <c r="D244" t="inlineStr">
        <is>
          <t>Online / REV_DEBT high half</t>
        </is>
      </c>
      <c r="E244" t="inlineStr">
        <is>
          <t>outcome_loans</t>
        </is>
      </c>
      <c r="F244" t="inlineStr">
        <is>
          <t>Outcome, share of loans</t>
        </is>
      </c>
      <c r="G244" t="n">
        <v>282</v>
      </c>
      <c r="H244" t="n">
        <v>282</v>
      </c>
      <c r="I244" t="b">
        <v>0</v>
      </c>
      <c r="J244" t="b">
        <v>0</v>
      </c>
      <c r="K244" t="n">
        <v>1.393815699165553</v>
      </c>
      <c r="L244" t="n">
        <v>0.1217653172910579</v>
      </c>
      <c r="M244" t="n">
        <v>2.48040313549832</v>
      </c>
      <c r="N244" t="n">
        <v>0.0001389286621136752</v>
      </c>
      <c r="O244" t="n">
        <v>8.476350913567448</v>
      </c>
      <c r="P244" t="n">
        <v>17.90519187358916</v>
      </c>
      <c r="Q244">
        <f>'_live'!$C$20</f>
        <v/>
      </c>
      <c r="R244" t="inlineStr">
        <is>
          <t>z test</t>
        </is>
      </c>
      <c r="S244" t="inlineStr">
        <is>
          <t>z test</t>
        </is>
      </c>
      <c r="T244" t="n">
        <v>0.07632499676039912</v>
      </c>
      <c r="U244" t="n">
        <v>0.04288939051918736</v>
      </c>
      <c r="V244">
        <f>AND(judged_band,NOT($J244))</f>
        <v/>
      </c>
      <c r="W244">
        <f>IF($K244="","",IF($I244,"too few losses to test",IF(AND($K244&gt;better_at,$K244&lt;worse_at),"in line",IF($K244&gt;=worse_at,IF(AND(ISNUMBER($L244),$L244&lt;significance_bar),"worse","worse, not significant"),IF(AND(ISNUMBER($L244),$L244&lt;significance_bar),"better","better, not significant")))))</f>
        <v/>
      </c>
      <c r="X244">
        <f>IF($M244="","",IF($I244,"too few losses to test",IF(AND($M244&gt;better_at,$M244&lt;worse_at),"in line",IF($M244&gt;=worse_at,IF(AND(ISNUMBER($N244),$N244&lt;significance_bar),"worse","worse, not significant"),IF(AND(ISNUMBER($N244),$N244&lt;significance_bar),"better","better, not significant")))))</f>
        <v/>
      </c>
      <c r="Y244">
        <f>IF($V244,$X244,$W244)</f>
        <v/>
      </c>
      <c r="Z244">
        <f>IF($V244,IF($P244="","",$P244),IF($O244="","",$O244))</f>
        <v/>
      </c>
      <c r="AA244">
        <f>IF(OR($Q244="",$Z244=""),"",IF(AND($Z244&gt;0,$Z244&gt;=$Q244),"yes","below the line"))</f>
        <v/>
      </c>
      <c r="AB244">
        <f>IF($V244,IF($M244="","",$M244),IF($K244="","",$K244))</f>
        <v/>
      </c>
      <c r="AC244">
        <f>IF($V244,IF($N244="","",$N244),IF($L244="","",$L244))</f>
        <v/>
      </c>
      <c r="AD244">
        <f>$Y244</f>
        <v/>
      </c>
      <c r="AE244">
        <f>IF($V244,IF($S244="","",$S244),IF($R244="","",$R244))</f>
        <v/>
      </c>
      <c r="AF244">
        <f>IF($V244,IF($U244="","",$U244),IF($T244="","",$T244))</f>
        <v/>
      </c>
      <c r="AG244">
        <f>IF($V244,IF($O244="","",$O244),IF($P244="","",$P244))</f>
        <v/>
      </c>
      <c r="AH244" t="n">
        <v>0.1063829787234043</v>
      </c>
      <c r="AI244">
        <f>IF($Y244="worse","Yes",IF($Y244="worse, not significant","Not sure",IF(OR($Y244="too few losses to test",$Y244="too few loans to test"),"Too few losses",IF($Y244="","","No"))))</f>
        <v/>
      </c>
      <c r="AJ244">
        <f>IF($AA244="yes","Yes",IF($AA244="","","No"))</f>
        <v/>
      </c>
      <c r="AM244">
        <f>IF(AND(ISNUMBER($AC244),ISNUMBER(IF($V244,IF($AL244="","",$AL244),IF($AK244="","",$AK244)))),IF(AND(ABS($AC244-significance_bar)&lt;=2.0*IF($V244,IF($AL244="","",$AL244),IF($AK244="","",$AK244)),OR($Y244="worse",$Y244="better",$Y244="worse, not significant",$Y244="better, not significant")),IF(ROUND($AC244,3)=ROUND(significance_bar,3),TEXT($AC244,"0.0000"),TEXT($AC244,"0.000")),""),"")</f>
        <v/>
      </c>
      <c r="AN244">
        <f>IF(AND(ISNUMBER($AC244),ISNUMBER(IF($V244,IF($AL244="","",$AL244),IF($AK244="","",$AK244)))),IF(AND(ABS($AC244-significance_bar)&lt;=2.0*IF($V244,IF($AL244="","",$AL244),IF($AK244="","",$AK244)),OR($Y244="worse",$Y244="worse, not significant")),IF(ROUND($AC244,3)=ROUND(significance_bar,3),TEXT($AC244,"0.0000"),TEXT($AC244,"0.000")),""),"")</f>
        <v/>
      </c>
      <c r="AO244">
        <f>IF(OR($AI244="",$AN244=""),$AI244,$AI244&amp;" · borderline (p "&amp;$AN244&amp;")")</f>
        <v/>
      </c>
    </row>
    <row r="245">
      <c r="A245" t="inlineStr">
        <is>
          <t>three-way</t>
        </is>
      </c>
      <c r="B245" t="inlineStr">
        <is>
          <t>FICO x CHANNEL / REV_DEBT</t>
        </is>
      </c>
      <c r="C245" t="inlineStr">
        <is>
          <t>712 - 745</t>
        </is>
      </c>
      <c r="D245" t="inlineStr">
        <is>
          <t>Online / REV_DEBT high half</t>
        </is>
      </c>
      <c r="E245" t="inlineStr">
        <is>
          <t>outcome_booked</t>
        </is>
      </c>
      <c r="F245" t="inlineStr">
        <is>
          <t>Outcome, share of booked dollars</t>
        </is>
      </c>
      <c r="G245" t="n">
        <v>282</v>
      </c>
      <c r="H245" t="n">
        <v>9087809.570000002</v>
      </c>
      <c r="I245" t="b">
        <v>0</v>
      </c>
      <c r="J245" t="b">
        <v>0</v>
      </c>
      <c r="K245" t="n">
        <v>1.433436534465625</v>
      </c>
      <c r="L245" t="n">
        <v>0.1144577849907317</v>
      </c>
      <c r="M245" t="n">
        <v>2.430951560061628</v>
      </c>
      <c r="N245" t="n">
        <v>0.00137986201379862</v>
      </c>
      <c r="O245" t="n">
        <v>290318.2035066586</v>
      </c>
      <c r="P245" t="n">
        <v>565165.7684610228</v>
      </c>
      <c r="Q245">
        <f>'_live'!$C$21</f>
        <v/>
      </c>
      <c r="R245" t="inlineStr">
        <is>
          <t>shuffled: 646 of 10,000</t>
        </is>
      </c>
      <c r="S245" t="inlineStr">
        <is>
          <t>shuffled: 2 of 10,000</t>
        </is>
      </c>
      <c r="T245" t="n">
        <v>0.07370374140589979</v>
      </c>
      <c r="U245" t="n">
        <v>0.04346019780638705</v>
      </c>
      <c r="V245">
        <f>AND(judged_band,NOT($J245))</f>
        <v/>
      </c>
      <c r="W245">
        <f>IF($K245="","",IF($I245,"too few losses to test",IF(AND($K245&gt;better_at,$K245&lt;worse_at),"in line",IF($K245&gt;=worse_at,IF(AND(ISNUMBER($L245),$L245&lt;significance_bar),"worse","worse, not significant"),IF(AND(ISNUMBER($L245),$L245&lt;significance_bar),"better","better, not significant")))))</f>
        <v/>
      </c>
      <c r="X245">
        <f>IF($M245="","",IF($I245,"too few losses to test",IF(AND($M245&gt;better_at,$M245&lt;worse_at),"in line",IF($M245&gt;=worse_at,IF(AND(ISNUMBER($N245),$N245&lt;significance_bar),"worse","worse, not significant"),IF(AND(ISNUMBER($N245),$N245&lt;significance_bar),"better","better, not significant")))))</f>
        <v/>
      </c>
      <c r="Y245">
        <f>IF($V245,$X245,$W245)</f>
        <v/>
      </c>
      <c r="Z245">
        <f>IF($V245,IF($P245="","",$P245),IF($O245="","",$O245))</f>
        <v/>
      </c>
      <c r="AA245">
        <f>IF(OR($Q245="",$Z245=""),"",IF(AND($Z245&gt;0,$Z245&gt;=$Q245),"yes","below the line"))</f>
        <v/>
      </c>
      <c r="AB245">
        <f>IF($V245,IF($M245="","",$M245),IF($K245="","",$K245))</f>
        <v/>
      </c>
      <c r="AC245">
        <f>IF($V245,IF($N245="","",$N245),IF($L245="","",$L245))</f>
        <v/>
      </c>
      <c r="AD245">
        <f>$Y245</f>
        <v/>
      </c>
      <c r="AE245">
        <f>IF($V245,IF($S245="","",$S245),IF($R245="","",$R245))</f>
        <v/>
      </c>
      <c r="AF245">
        <f>IF($V245,IF($U245="","",$U245),IF($T245="","",$T245))</f>
        <v/>
      </c>
      <c r="AG245">
        <f>IF($V245,IF($O245="","",$O245),IF($P245="","",$P245))</f>
        <v/>
      </c>
      <c r="AH245" t="n">
        <v>0.1056496356580236</v>
      </c>
      <c r="AI245">
        <f>IF($Y245="worse","Yes",IF($Y245="worse, not significant","Not sure",IF(OR($Y245="too few losses to test",$Y245="too few loans to test"),"Too few losses",IF($Y245="","","No"))))</f>
        <v/>
      </c>
      <c r="AJ245">
        <f>IF($AA245="yes","Yes",IF($AA245="","","No"))</f>
        <v/>
      </c>
      <c r="AK245" t="n">
        <v>0.004352029991149161</v>
      </c>
      <c r="AL245" t="n">
        <v>0.0007965840347569444</v>
      </c>
      <c r="AM245">
        <f>IF(AND(ISNUMBER($AC245),ISNUMBER(IF($V245,IF($AL245="","",$AL245),IF($AK245="","",$AK245)))),IF(AND(ABS($AC245-significance_bar)&lt;=2.0*IF($V245,IF($AL245="","",$AL245),IF($AK245="","",$AK245)),OR($Y245="worse",$Y245="better",$Y245="worse, not significant",$Y245="better, not significant")),IF(ROUND($AC245,3)=ROUND(significance_bar,3),TEXT($AC245,"0.0000"),TEXT($AC245,"0.000")),""),"")</f>
        <v/>
      </c>
      <c r="AN245">
        <f>IF(AND(ISNUMBER($AC245),ISNUMBER(IF($V245,IF($AL245="","",$AL245),IF($AK245="","",$AK245)))),IF(AND(ABS($AC245-significance_bar)&lt;=2.0*IF($V245,IF($AL245="","",$AL245),IF($AK245="","",$AK245)),OR($Y245="worse",$Y245="worse, not significant")),IF(ROUND($AC245,3)=ROUND(significance_bar,3),TEXT($AC245,"0.0000"),TEXT($AC245,"0.000")),""),"")</f>
        <v/>
      </c>
      <c r="AO245">
        <f>IF(OR($AI245="",$AN245=""),$AI245,$AI245&amp;" · borderline (p "&amp;$AN245&amp;")")</f>
        <v/>
      </c>
    </row>
    <row r="246">
      <c r="A246" t="inlineStr">
        <is>
          <t>three-way</t>
        </is>
      </c>
      <c r="B246" t="inlineStr">
        <is>
          <t>FICO x CHANNEL / REV_DEBT</t>
        </is>
      </c>
      <c r="C246" t="inlineStr">
        <is>
          <t>712 - 745</t>
        </is>
      </c>
      <c r="D246" t="inlineStr">
        <is>
          <t>Online / REV_DEBT high half</t>
        </is>
      </c>
      <c r="E246" t="inlineStr">
        <is>
          <t>gco_rate</t>
        </is>
      </c>
      <c r="F246" t="inlineStr">
        <is>
          <t>GCO per booked dollar</t>
        </is>
      </c>
      <c r="G246" t="n">
        <v>282</v>
      </c>
      <c r="H246" t="n">
        <v>9087809.570000002</v>
      </c>
      <c r="I246" t="b">
        <v>0</v>
      </c>
      <c r="J246" t="b">
        <v>0</v>
      </c>
      <c r="K246" t="n">
        <v>1.369716353165092</v>
      </c>
      <c r="L246" t="n">
        <v>0.1951738159517382</v>
      </c>
      <c r="M246" t="n">
        <v>2.283244331918283</v>
      </c>
      <c r="N246" t="n">
        <v>0.0068993100689931</v>
      </c>
      <c r="O246" t="n">
        <v>137993.1498452142</v>
      </c>
      <c r="P246" t="n">
        <v>287327.0240812163</v>
      </c>
      <c r="Q246">
        <f>'_live'!$C$22</f>
        <v/>
      </c>
      <c r="R246" t="inlineStr">
        <is>
          <t>shuffled: 1,272 of 10,000</t>
        </is>
      </c>
      <c r="S246" t="inlineStr">
        <is>
          <t>shuffled: 14 of 10,000</t>
        </is>
      </c>
      <c r="T246" t="n">
        <v>0.04107046778212647</v>
      </c>
      <c r="U246" t="n">
        <v>0.02463813905805506</v>
      </c>
      <c r="V246">
        <f>AND(judged_band,NOT($J246))</f>
        <v/>
      </c>
      <c r="W246">
        <f>IF($K246="","",IF($I246,"too few losses to test",IF(AND($K246&gt;better_at,$K246&lt;worse_at),"in line",IF($K246&gt;=worse_at,IF(AND(ISNUMBER($L246),$L246&lt;significance_bar),"worse","worse, not significant"),IF(AND(ISNUMBER($L246),$L246&lt;significance_bar),"better","better, not significant")))))</f>
        <v/>
      </c>
      <c r="X246">
        <f>IF($M246="","",IF($I246,"too few losses to test",IF(AND($M246&gt;better_at,$M246&lt;worse_at),"in line",IF($M246&gt;=worse_at,IF(AND(ISNUMBER($N246),$N246&lt;significance_bar),"worse","worse, not significant"),IF(AND(ISNUMBER($N246),$N246&lt;significance_bar),"better","better, not significant")))))</f>
        <v/>
      </c>
      <c r="Y246">
        <f>IF($V246,$X246,$W246)</f>
        <v/>
      </c>
      <c r="Z246">
        <f>IF($V246,IF($P246="","",$P246),IF($O246="","",$O246))</f>
        <v/>
      </c>
      <c r="AA246">
        <f>IF(OR($Q246="",$Z246=""),"",IF(AND($Z246&gt;0,$Z246&gt;=$Q246),"yes","below the line"))</f>
        <v/>
      </c>
      <c r="AB246">
        <f>IF($V246,IF($M246="","",$M246),IF($K246="","",$K246))</f>
        <v/>
      </c>
      <c r="AC246">
        <f>IF($V246,IF($N246="","",$N246),IF($L246="","",$L246))</f>
        <v/>
      </c>
      <c r="AD246">
        <f>$Y246</f>
        <v/>
      </c>
      <c r="AE246">
        <f>IF($V246,IF($S246="","",$S246),IF($R246="","",$R246))</f>
        <v/>
      </c>
      <c r="AF246">
        <f>IF($V246,IF($U246="","",$U246),IF($T246="","",$T246))</f>
        <v/>
      </c>
      <c r="AG246">
        <f>IF($V246,IF($O246="","",$O246),IF($P246="","",$P246))</f>
        <v/>
      </c>
      <c r="AH246" t="n">
        <v>0.05625489135331869</v>
      </c>
      <c r="AI246">
        <f>IF($Y246="worse","Yes",IF($Y246="worse, not significant","Not sure",IF(OR($Y246="too few losses to test",$Y246="too few loans to test"),"Too few losses",IF($Y246="","","No"))))</f>
        <v/>
      </c>
      <c r="AJ246">
        <f>IF($AA246="yes","Yes",IF($AA246="","","No"))</f>
        <v/>
      </c>
      <c r="AK246" t="n">
        <v>0.005110515623295776</v>
      </c>
      <c r="AL246" t="n">
        <v>0.001780146787148188</v>
      </c>
      <c r="AM246">
        <f>IF(AND(ISNUMBER($AC246),ISNUMBER(IF($V246,IF($AL246="","",$AL246),IF($AK246="","",$AK246)))),IF(AND(ABS($AC246-significance_bar)&lt;=2.0*IF($V246,IF($AL246="","",$AL246),IF($AK246="","",$AK246)),OR($Y246="worse",$Y246="better",$Y246="worse, not significant",$Y246="better, not significant")),IF(ROUND($AC246,3)=ROUND(significance_bar,3),TEXT($AC246,"0.0000"),TEXT($AC246,"0.000")),""),"")</f>
        <v/>
      </c>
      <c r="AN246">
        <f>IF(AND(ISNUMBER($AC246),ISNUMBER(IF($V246,IF($AL246="","",$AL246),IF($AK246="","",$AK246)))),IF(AND(ABS($AC246-significance_bar)&lt;=2.0*IF($V246,IF($AL246="","",$AL246),IF($AK246="","",$AK246)),OR($Y246="worse",$Y246="worse, not significant")),IF(ROUND($AC246,3)=ROUND(significance_bar,3),TEXT($AC246,"0.0000"),TEXT($AC246,"0.000")),""),"")</f>
        <v/>
      </c>
      <c r="AO246">
        <f>IF(OR($AI246="",$AN246=""),$AI246,$AI246&amp;" · borderline (p "&amp;$AN246&amp;")")</f>
        <v/>
      </c>
    </row>
    <row r="247">
      <c r="A247" t="inlineStr">
        <is>
          <t>three-way</t>
        </is>
      </c>
      <c r="B247" t="inlineStr">
        <is>
          <t>FICO x CHANNEL / REV_DEBT</t>
        </is>
      </c>
      <c r="C247" t="inlineStr">
        <is>
          <t>712 - 745</t>
        </is>
      </c>
      <c r="D247" t="inlineStr">
        <is>
          <t>Online / REV_DEBT high half</t>
        </is>
      </c>
      <c r="E247" t="inlineStr">
        <is>
          <t>ranr_rate</t>
        </is>
      </c>
      <c r="F247" t="inlineStr">
        <is>
          <t>Profit after losses: RANR per booked dollar</t>
        </is>
      </c>
      <c r="G247" t="n">
        <v>282</v>
      </c>
      <c r="H247" t="n">
        <v>9087809.570000002</v>
      </c>
      <c r="I247" t="b">
        <v>0</v>
      </c>
      <c r="J247" t="b">
        <v>0</v>
      </c>
      <c r="K247" t="n">
        <v>-0.03134695283153237</v>
      </c>
      <c r="L247" t="n">
        <v>0.01947173703682263</v>
      </c>
      <c r="M247" t="n">
        <v>0.002162160048859024</v>
      </c>
      <c r="N247" t="n">
        <v>0.9302952057735404</v>
      </c>
      <c r="O247" t="n">
        <v>284875.1379327385</v>
      </c>
      <c r="P247" t="n">
        <v>-19649.29878389265</v>
      </c>
      <c r="Q247">
        <f>'_live'!$C$23</f>
        <v/>
      </c>
      <c r="R247" t="inlineStr">
        <is>
          <t>shuffled: 99 of 10,000</t>
        </is>
      </c>
      <c r="S247" t="inlineStr">
        <is>
          <t>shuffled: 8,376 of 10,000</t>
        </is>
      </c>
      <c r="T247" t="n">
        <v>0.1290939239974346</v>
      </c>
      <c r="U247" t="n">
        <v>0.09558481111704319</v>
      </c>
      <c r="V247">
        <f>AND(judged_band,NOT($J247))</f>
        <v/>
      </c>
      <c r="W247">
        <f>IF($K247="","",IF(profit_kind="test",IF(OR(NOT(AND(ISNUMBER($L247),$L247&lt;significance_bar)),$K247=0),"in line",IF($K247&lt;0,"worse","better")),IF(OR($K247=0,IF(profit_kind="points",ABS($K247),ABS($K247*$H247))&lt;profit_line*(1-1E-9)),"in line",IF(AND(ISNUMBER($L247),$L247&lt;significance_bar),IF($K247&lt;0,"worse","better"),IF($K247&lt;0,"worse, not significant","better, not significant")))))</f>
        <v/>
      </c>
      <c r="X247">
        <f>IF($M247="","",IF(profit_kind="test",IF(OR(NOT(AND(ISNUMBER($N247),$N247&lt;significance_bar)),$M247=0),"in line",IF($M247&lt;0,"worse","better")),IF(OR($M247=0,IF(profit_kind="points",ABS($M247),ABS($M247*$H247))&lt;profit_line*(1-1E-9)),"in line",IF(AND(ISNUMBER($N247),$N247&lt;significance_bar),IF($M247&lt;0,"worse","better"),IF($M247&lt;0,"worse, not significant","better, not significant")))))</f>
        <v/>
      </c>
      <c r="Y247">
        <f>IF($V247,$X247,$W247)</f>
        <v/>
      </c>
      <c r="Z247">
        <f>IF($V247,IF($P247="","",$P247),IF($O247="","",$O247))</f>
        <v/>
      </c>
      <c r="AA247">
        <f>IF(OR($Q247="",$Z247=""),"",IF(AND($Z247&gt;0,$Z247&gt;=$Q247),"yes","below the line"))</f>
        <v/>
      </c>
      <c r="AB247">
        <f>IF($V247,IF($M247="","",$M247),IF($K247="","",$K247))</f>
        <v/>
      </c>
      <c r="AC247">
        <f>IF($V247,IF($N247="","",$N247),IF($L247="","",$L247))</f>
        <v/>
      </c>
      <c r="AD247">
        <f>IF($Y247="","",IF($Y247="in line",IF(profit_kind="test",IF(ROUND($AB247*100,2)=0,"0.00",TEXT($AB247*100,"+0.00;-0.00"))&amp;" points against "&amp;IF($V247,"its band","the book")&amp;", "&amp;IF($AC247="","not tested","not significant"),IF(profit_kind="points","within "&amp;TEXT(profit_line*100,"0.00")&amp;" points of "&amp;IF($V247,"its band","the book")&amp;" ("&amp;IF(ROUND($AB247*100,2)=0,"0.00",TEXT($AB247*100,"+0.00;-0.00"))&amp;")","within $"&amp;TEXT(profit_line,"#,##0")&amp;" of "&amp;IF($V247,"its band","the book")&amp;" ("&amp;IF(ROUND($AB247*100,2)=0,"0.00",TEXT($AB247*100,"+0.00;-0.00"))&amp;" points)")),IF(LEFT($Y247,5)="worse","short of ","ahead of ")&amp;IF($V247,"its band","the book")&amp;" by "&amp;TEXT(ABS($AB247)*100,"0.00")&amp;" points"&amp;IF($Z247="",""," ($"&amp;TEXT(ABS($Z247),"#,##0")&amp;")")&amp;IF(RIGHT($Y247,15)="not significant"," (not significant)","")))</f>
        <v/>
      </c>
      <c r="AE247">
        <f>IF($V247,IF($S247="","",$S247),IF($R247="","",$R247))</f>
        <v/>
      </c>
      <c r="AF247">
        <f>IF($V247,IF($U247="","",$U247),IF($T247="","",$T247))</f>
        <v/>
      </c>
      <c r="AG247">
        <f>IF($V247,IF($O247="","",$O247),IF($P247="","",$P247))</f>
        <v/>
      </c>
      <c r="AH247" t="n">
        <v>0.09774697116590221</v>
      </c>
      <c r="AI247">
        <f>IF($Y247="worse","Yes",IF($Y247="worse, not significant","Not sure",IF(OR($Y247="too few losses to test",$Y247="too few loans to test"),"Too few losses",IF($Y247="","","No"))))</f>
        <v/>
      </c>
      <c r="AJ247">
        <f>IF($AA247="yes","Yes",IF($AA247="","","No"))</f>
        <v/>
      </c>
      <c r="AK247" t="n">
        <v>0.001937511219717661</v>
      </c>
      <c r="AL247" t="n">
        <v>0.00345787916629182</v>
      </c>
      <c r="AM247">
        <f>IF(AND(ISNUMBER($AC247),ISNUMBER(IF($V247,IF($AL247="","",$AL247),IF($AK247="","",$AK247)))),IF(AND(ABS($AC247-significance_bar)&lt;=2.0*IF($V247,IF($AL247="","",$AL247),IF($AK247="","",$AK247)),OR($Y247="worse",$Y247="better",$Y247="worse, not significant",$Y247="better, not significant",AND(profit_kind="test",$Y247="in line",ISNUMBER($AB247),$AB247&lt;&gt;0))),IF(ROUND($AC247,3)=ROUND(significance_bar,3),TEXT($AC247,"0.0000"),TEXT($AC247,"0.000")),""),"")</f>
        <v/>
      </c>
      <c r="AN247">
        <f>IF(AND(ISNUMBER($AC247),ISNUMBER(IF($V247,IF($AL247="","",$AL247),IF($AK247="","",$AK247)))),IF(AND(ABS($AC247-significance_bar)&lt;=2.0*IF($V247,IF($AL247="","",$AL247),IF($AK247="","",$AK247)),OR($Y247="worse",$Y247="worse, not significant",AND(profit_kind="test",$Y247="in line",ISNUMBER($AB247),$AB247&lt;0))),IF(ROUND($AC247,3)=ROUND(significance_bar,3),TEXT($AC247,"0.0000"),TEXT($AC247,"0.000")),""),"")</f>
        <v/>
      </c>
      <c r="AO247">
        <f>IF(OR($AI247="",$AN247=""),$AI247,$AI247&amp;" · borderline (p "&amp;$AN247&amp;")")</f>
        <v/>
      </c>
    </row>
    <row r="248">
      <c r="A248" t="inlineStr">
        <is>
          <t>three-way</t>
        </is>
      </c>
      <c r="B248" t="inlineStr">
        <is>
          <t>FICO x CHANNEL / REV_DEBT</t>
        </is>
      </c>
      <c r="C248" t="inlineStr">
        <is>
          <t>712 - 745</t>
        </is>
      </c>
      <c r="D248" t="inlineStr">
        <is>
          <t>Online / REV_DEBT high half</t>
        </is>
      </c>
      <c r="E248" t="inlineStr">
        <is>
          <t>contribution_rate</t>
        </is>
      </c>
      <c r="F248" t="inlineStr">
        <is>
          <t>Contribution before losses per booked dollar</t>
        </is>
      </c>
      <c r="G248" t="n">
        <v>282</v>
      </c>
      <c r="H248" t="n">
        <v>9087809.570000002</v>
      </c>
      <c r="I248" t="b">
        <v>0</v>
      </c>
      <c r="J248" t="b">
        <v>0</v>
      </c>
      <c r="K248" t="n">
        <v>-0.01615974160646447</v>
      </c>
      <c r="L248" t="n">
        <v>0.06262945134058023</v>
      </c>
      <c r="M248" t="n">
        <v>0.0338271141242831</v>
      </c>
      <c r="N248" t="n">
        <v>0.0005142342908566286</v>
      </c>
      <c r="O248" t="n">
        <v>146856.6544199551</v>
      </c>
      <c r="P248" t="n">
        <v>-307414.3714641421</v>
      </c>
      <c r="Q248">
        <f>'_live'!$C$24</f>
        <v/>
      </c>
      <c r="R248" t="inlineStr">
        <is>
          <t>shuffled: 473 of 10,000</t>
        </is>
      </c>
      <c r="S248" t="inlineStr">
        <is>
          <t>shuffled: 0 of 10,000</t>
        </is>
      </c>
      <c r="T248" t="n">
        <v>0.1701616041256853</v>
      </c>
      <c r="U248" t="n">
        <v>0.1201747483949378</v>
      </c>
      <c r="V248">
        <f>AND(judged_band,NOT($J248))</f>
        <v/>
      </c>
      <c r="W248">
        <f>IF($K248="","",IF(profit_kind="test",IF(OR(NOT(AND(ISNUMBER($L248),$L248&lt;significance_bar)),$K248=0),"in line",IF($K248&lt;0,"worse","better")),IF(OR($K248=0,IF(profit_kind="points",ABS($K248),ABS($K248*$H248))&lt;profit_line*(1-1E-9)),"in line",IF(AND(ISNUMBER($L248),$L248&lt;significance_bar),IF($K248&lt;0,"worse","better"),IF($K248&lt;0,"worse, not significant","better, not significant")))))</f>
        <v/>
      </c>
      <c r="X248">
        <f>IF($M248="","",IF(profit_kind="test",IF(OR(NOT(AND(ISNUMBER($N248),$N248&lt;significance_bar)),$M248=0),"in line",IF($M248&lt;0,"worse","better")),IF(OR($M248=0,IF(profit_kind="points",ABS($M248),ABS($M248*$H248))&lt;profit_line*(1-1E-9)),"in line",IF(AND(ISNUMBER($N248),$N248&lt;significance_bar),IF($M248&lt;0,"worse","better"),IF($M248&lt;0,"worse, not significant","better, not significant")))))</f>
        <v/>
      </c>
      <c r="Y248">
        <f>IF($V248,$X248,$W248)</f>
        <v/>
      </c>
      <c r="Z248">
        <f>IF($V248,IF($P248="","",$P248),IF($O248="","",$O248))</f>
        <v/>
      </c>
      <c r="AA248">
        <f>IF(OR($Q248="",$Z248=""),"",IF(AND($Z248&gt;0,$Z248&gt;=$Q248),"yes","below the line"))</f>
        <v/>
      </c>
      <c r="AB248">
        <f>IF($V248,IF($M248="","",$M248),IF($K248="","",$K248))</f>
        <v/>
      </c>
      <c r="AC248">
        <f>IF($V248,IF($N248="","",$N248),IF($L248="","",$L248))</f>
        <v/>
      </c>
      <c r="AD248">
        <f>IF($Y248="","",IF($Y248="in line",IF(profit_kind="test",IF(ROUND($AB248*100,2)=0,"0.00",TEXT($AB248*100,"+0.00;-0.00"))&amp;" points against "&amp;IF($V248,"its band","the book")&amp;", "&amp;IF($AC248="","not tested","not significant"),IF(profit_kind="points","within "&amp;TEXT(profit_line*100,"0.00")&amp;" points of "&amp;IF($V248,"its band","the book")&amp;" ("&amp;IF(ROUND($AB248*100,2)=0,"0.00",TEXT($AB248*100,"+0.00;-0.00"))&amp;")","within $"&amp;TEXT(profit_line,"#,##0")&amp;" of "&amp;IF($V248,"its band","the book")&amp;" ("&amp;IF(ROUND($AB248*100,2)=0,"0.00",TEXT($AB248*100,"+0.00;-0.00"))&amp;" points)")),IF(LEFT($Y248,5)="worse","short of ","ahead of ")&amp;IF($V248,"its band","the book")&amp;" by "&amp;TEXT(ABS($AB248)*100,"0.00")&amp;" points"&amp;IF($Z248="",""," ($"&amp;TEXT(ABS($Z248),"#,##0")&amp;")")&amp;IF(RIGHT($Y248,15)="not significant"," (not significant)","")))</f>
        <v/>
      </c>
      <c r="AE248">
        <f>IF($V248,IF($S248="","",$S248),IF($R248="","",$R248))</f>
        <v/>
      </c>
      <c r="AF248">
        <f>IF($V248,IF($U248="","",$U248),IF($T248="","",$T248))</f>
        <v/>
      </c>
      <c r="AG248">
        <f>IF($V248,IF($O248="","",$O248),IF($P248="","",$P248))</f>
        <v/>
      </c>
      <c r="AH248" t="n">
        <v>0.1540018625192209</v>
      </c>
      <c r="AI248">
        <f>IF($Y248="worse","Yes",IF($Y248="worse, not significant","Not sure",IF(OR($Y248="too few losses to test",$Y248="too few loans to test"),"Too few losses",IF($Y248="","","No"))))</f>
        <v/>
      </c>
      <c r="AJ248">
        <f>IF($AA248="yes","Yes",IF($AA248="","","No"))</f>
        <v/>
      </c>
      <c r="AK248" t="n">
        <v>0.002807808722814217</v>
      </c>
      <c r="AL248" t="n">
        <v>0.0005142342908566286</v>
      </c>
      <c r="AM248">
        <f>IF(AND(ISNUMBER($AC248),ISNUMBER(IF($V248,IF($AL248="","",$AL248),IF($AK248="","",$AK248)))),IF(AND(ABS($AC248-significance_bar)&lt;=2.0*IF($V248,IF($AL248="","",$AL248),IF($AK248="","",$AK248)),OR($Y248="worse",$Y248="better",$Y248="worse, not significant",$Y248="better, not significant",AND(profit_kind="test",$Y248="in line",ISNUMBER($AB248),$AB248&lt;&gt;0))),IF(ROUND($AC248,3)=ROUND(significance_bar,3),TEXT($AC248,"0.0000"),TEXT($AC248,"0.000")),""),"")</f>
        <v/>
      </c>
      <c r="AN248">
        <f>IF(AND(ISNUMBER($AC248),ISNUMBER(IF($V248,IF($AL248="","",$AL248),IF($AK248="","",$AK248)))),IF(AND(ABS($AC248-significance_bar)&lt;=2.0*IF($V248,IF($AL248="","",$AL248),IF($AK248="","",$AK248)),OR($Y248="worse",$Y248="worse, not significant",AND(profit_kind="test",$Y248="in line",ISNUMBER($AB248),$AB248&lt;0))),IF(ROUND($AC248,3)=ROUND(significance_bar,3),TEXT($AC248,"0.0000"),TEXT($AC248,"0.000")),""),"")</f>
        <v/>
      </c>
      <c r="AO248">
        <f>IF(OR($AI248="",$AN248=""),$AI248,$AI248&amp;" · borderline (p "&amp;$AN248&amp;")")</f>
        <v/>
      </c>
    </row>
    <row r="249">
      <c r="A249" t="inlineStr">
        <is>
          <t>three-way</t>
        </is>
      </c>
      <c r="B249" t="inlineStr">
        <is>
          <t>FICO x CHANNEL / REV_DEBT</t>
        </is>
      </c>
      <c r="C249" t="inlineStr">
        <is>
          <t>654 - 685</t>
        </is>
      </c>
      <c r="D249" t="inlineStr">
        <is>
          <t>Branch / REV_DEBT high half</t>
        </is>
      </c>
      <c r="E249" t="inlineStr">
        <is>
          <t>outcome_loans</t>
        </is>
      </c>
      <c r="F249" t="inlineStr">
        <is>
          <t>Outcome, share of loans</t>
        </is>
      </c>
      <c r="G249" t="n">
        <v>251</v>
      </c>
      <c r="H249" t="n">
        <v>251</v>
      </c>
      <c r="I249" t="b">
        <v>0</v>
      </c>
      <c r="J249" t="b">
        <v>0</v>
      </c>
      <c r="K249" t="n">
        <v>1.353426093266059</v>
      </c>
      <c r="L249" t="n">
        <v>0.168319370606903</v>
      </c>
      <c r="M249" t="n">
        <v>1.282868525896414</v>
      </c>
      <c r="N249" t="n">
        <v>0.4501821955874574</v>
      </c>
      <c r="O249" t="n">
        <v>6.789494062983998</v>
      </c>
      <c r="P249" t="n">
        <v>5.732919254658384</v>
      </c>
      <c r="Q249">
        <f>'_live'!$C$20</f>
        <v/>
      </c>
      <c r="R249" t="inlineStr">
        <is>
          <t>z test</t>
        </is>
      </c>
      <c r="S249" t="inlineStr">
        <is>
          <t>z test</t>
        </is>
      </c>
      <c r="T249" t="n">
        <v>0.07653588022715539</v>
      </c>
      <c r="U249" t="n">
        <v>0.08074534161490683</v>
      </c>
      <c r="V249">
        <f>AND(judged_band,NOT($J249))</f>
        <v/>
      </c>
      <c r="W249">
        <f>IF($K249="","",IF($I249,"too few losses to test",IF(AND($K249&gt;better_at,$K249&lt;worse_at),"in line",IF($K249&gt;=worse_at,IF(AND(ISNUMBER($L249),$L249&lt;significance_bar),"worse","worse, not significant"),IF(AND(ISNUMBER($L249),$L249&lt;significance_bar),"better","better, not significant")))))</f>
        <v/>
      </c>
      <c r="X249">
        <f>IF($M249="","",IF($I249,"too few losses to test",IF(AND($M249&gt;better_at,$M249&lt;worse_at),"in line",IF($M249&gt;=worse_at,IF(AND(ISNUMBER($N249),$N249&lt;significance_bar),"worse","worse, not significant"),IF(AND(ISNUMBER($N249),$N249&lt;significance_bar),"better","better, not significant")))))</f>
        <v/>
      </c>
      <c r="Y249">
        <f>IF($V249,$X249,$W249)</f>
        <v/>
      </c>
      <c r="Z249">
        <f>IF($V249,IF($P249="","",$P249),IF($O249="","",$O249))</f>
        <v/>
      </c>
      <c r="AA249">
        <f>IF(OR($Q249="",$Z249=""),"",IF(AND($Z249&gt;0,$Z249&gt;=$Q249),"yes","below the line"))</f>
        <v/>
      </c>
      <c r="AB249">
        <f>IF($V249,IF($M249="","",$M249),IF($K249="","",$K249))</f>
        <v/>
      </c>
      <c r="AC249">
        <f>IF($V249,IF($N249="","",$N249),IF($L249="","",$L249))</f>
        <v/>
      </c>
      <c r="AD249">
        <f>$Y249</f>
        <v/>
      </c>
      <c r="AE249">
        <f>IF($V249,IF($S249="","",$S249),IF($R249="","",$R249))</f>
        <v/>
      </c>
      <c r="AF249">
        <f>IF($V249,IF($U249="","",$U249),IF($T249="","",$T249))</f>
        <v/>
      </c>
      <c r="AG249">
        <f>IF($V249,IF($O249="","",$O249),IF($P249="","",$P249))</f>
        <v/>
      </c>
      <c r="AH249" t="n">
        <v>0.1035856573705179</v>
      </c>
      <c r="AI249">
        <f>IF($Y249="worse","Yes",IF($Y249="worse, not significant","Not sure",IF(OR($Y249="too few losses to test",$Y249="too few loans to test"),"Too few losses",IF($Y249="","","No"))))</f>
        <v/>
      </c>
      <c r="AJ249">
        <f>IF($AA249="yes","Yes",IF($AA249="","","No"))</f>
        <v/>
      </c>
      <c r="AM249">
        <f>IF(AND(ISNUMBER($AC249),ISNUMBER(IF($V249,IF($AL249="","",$AL249),IF($AK249="","",$AK249)))),IF(AND(ABS($AC249-significance_bar)&lt;=2.0*IF($V249,IF($AL249="","",$AL249),IF($AK249="","",$AK249)),OR($Y249="worse",$Y249="better",$Y249="worse, not significant",$Y249="better, not significant")),IF(ROUND($AC249,3)=ROUND(significance_bar,3),TEXT($AC249,"0.0000"),TEXT($AC249,"0.000")),""),"")</f>
        <v/>
      </c>
      <c r="AN249">
        <f>IF(AND(ISNUMBER($AC249),ISNUMBER(IF($V249,IF($AL249="","",$AL249),IF($AK249="","",$AK249)))),IF(AND(ABS($AC249-significance_bar)&lt;=2.0*IF($V249,IF($AL249="","",$AL249),IF($AK249="","",$AK249)),OR($Y249="worse",$Y249="worse, not significant")),IF(ROUND($AC249,3)=ROUND(significance_bar,3),TEXT($AC249,"0.0000"),TEXT($AC249,"0.000")),""),"")</f>
        <v/>
      </c>
      <c r="AO249">
        <f>IF(OR($AI249="",$AN249=""),$AI249,$AI249&amp;" · borderline (p "&amp;$AN249&amp;")")</f>
        <v/>
      </c>
    </row>
    <row r="250">
      <c r="A250" t="inlineStr">
        <is>
          <t>three-way</t>
        </is>
      </c>
      <c r="B250" t="inlineStr">
        <is>
          <t>FICO x CHANNEL / REV_DEBT</t>
        </is>
      </c>
      <c r="C250" t="inlineStr">
        <is>
          <t>654 - 685</t>
        </is>
      </c>
      <c r="D250" t="inlineStr">
        <is>
          <t>Branch / REV_DEBT high half</t>
        </is>
      </c>
      <c r="E250" t="inlineStr">
        <is>
          <t>outcome_booked</t>
        </is>
      </c>
      <c r="F250" t="inlineStr">
        <is>
          <t>Outcome, share of booked dollars</t>
        </is>
      </c>
      <c r="G250" t="n">
        <v>251</v>
      </c>
      <c r="H250" t="n">
        <v>7704192.039999998</v>
      </c>
      <c r="I250" t="b">
        <v>0</v>
      </c>
      <c r="J250" t="b">
        <v>0</v>
      </c>
      <c r="K250" t="n">
        <v>1.447639336588153</v>
      </c>
      <c r="L250" t="n">
        <v>0.1212745392127454</v>
      </c>
      <c r="M250" t="n">
        <v>1.428032806802565</v>
      </c>
      <c r="N250" t="n">
        <v>0.2665433456654335</v>
      </c>
      <c r="O250" t="n">
        <v>254658.6547066852</v>
      </c>
      <c r="P250" t="n">
        <v>246847.9045582517</v>
      </c>
      <c r="Q250">
        <f>'_live'!$C$21</f>
        <v/>
      </c>
      <c r="R250" t="inlineStr">
        <is>
          <t>shuffled: 764 of 10,000</t>
        </is>
      </c>
      <c r="S250" t="inlineStr">
        <is>
          <t>shuffled: 1,158 of 10,000</t>
        </is>
      </c>
      <c r="T250" t="n">
        <v>0.07384193986074558</v>
      </c>
      <c r="U250" t="n">
        <v>0.07485577104614183</v>
      </c>
      <c r="V250">
        <f>AND(judged_band,NOT($J250))</f>
        <v/>
      </c>
      <c r="W250">
        <f>IF($K250="","",IF($I250,"too few losses to test",IF(AND($K250&gt;better_at,$K250&lt;worse_at),"in line",IF($K250&gt;=worse_at,IF(AND(ISNUMBER($L250),$L250&lt;significance_bar),"worse","worse, not significant"),IF(AND(ISNUMBER($L250),$L250&lt;significance_bar),"better","better, not significant")))))</f>
        <v/>
      </c>
      <c r="X250">
        <f>IF($M250="","",IF($I250,"too few losses to test",IF(AND($M250&gt;better_at,$M250&lt;worse_at),"in line",IF($M250&gt;=worse_at,IF(AND(ISNUMBER($N250),$N250&lt;significance_bar),"worse","worse, not significant"),IF(AND(ISNUMBER($N250),$N250&lt;significance_bar),"better","better, not significant")))))</f>
        <v/>
      </c>
      <c r="Y250">
        <f>IF($V250,$X250,$W250)</f>
        <v/>
      </c>
      <c r="Z250">
        <f>IF($V250,IF($P250="","",$P250),IF($O250="","",$O250))</f>
        <v/>
      </c>
      <c r="AA250">
        <f>IF(OR($Q250="",$Z250=""),"",IF(AND($Z250&gt;0,$Z250&gt;=$Q250),"yes","below the line"))</f>
        <v/>
      </c>
      <c r="AB250">
        <f>IF($V250,IF($M250="","",$M250),IF($K250="","",$K250))</f>
        <v/>
      </c>
      <c r="AC250">
        <f>IF($V250,IF($N250="","",$N250),IF($L250="","",$L250))</f>
        <v/>
      </c>
      <c r="AD250">
        <f>$Y250</f>
        <v/>
      </c>
      <c r="AE250">
        <f>IF($V250,IF($S250="","",$S250),IF($R250="","",$R250))</f>
        <v/>
      </c>
      <c r="AF250">
        <f>IF($V250,IF($U250="","",$U250),IF($T250="","",$T250))</f>
        <v/>
      </c>
      <c r="AG250">
        <f>IF($V250,IF($O250="","",$O250),IF($P250="","",$P250))</f>
        <v/>
      </c>
      <c r="AH250" t="n">
        <v>0.1068964968323921</v>
      </c>
      <c r="AI250">
        <f>IF($Y250="worse","Yes",IF($Y250="worse, not significant","Not sure",IF(OR($Y250="too few losses to test",$Y250="too few loans to test"),"Too few losses",IF($Y250="","","No"))))</f>
        <v/>
      </c>
      <c r="AJ250">
        <f>IF($AA250="yes","Yes",IF($AA250="","","No"))</f>
        <v/>
      </c>
      <c r="AK250" t="n">
        <v>0.004138197428812202</v>
      </c>
      <c r="AL250" t="n">
        <v>0.007362094402491551</v>
      </c>
      <c r="AM250">
        <f>IF(AND(ISNUMBER($AC250),ISNUMBER(IF($V250,IF($AL250="","",$AL250),IF($AK250="","",$AK250)))),IF(AND(ABS($AC250-significance_bar)&lt;=2.0*IF($V250,IF($AL250="","",$AL250),IF($AK250="","",$AK250)),OR($Y250="worse",$Y250="better",$Y250="worse, not significant",$Y250="better, not significant")),IF(ROUND($AC250,3)=ROUND(significance_bar,3),TEXT($AC250,"0.0000"),TEXT($AC250,"0.000")),""),"")</f>
        <v/>
      </c>
      <c r="AN250">
        <f>IF(AND(ISNUMBER($AC250),ISNUMBER(IF($V250,IF($AL250="","",$AL250),IF($AK250="","",$AK250)))),IF(AND(ABS($AC250-significance_bar)&lt;=2.0*IF($V250,IF($AL250="","",$AL250),IF($AK250="","",$AK250)),OR($Y250="worse",$Y250="worse, not significant")),IF(ROUND($AC250,3)=ROUND(significance_bar,3),TEXT($AC250,"0.0000"),TEXT($AC250,"0.000")),""),"")</f>
        <v/>
      </c>
      <c r="AO250">
        <f>IF(OR($AI250="",$AN250=""),$AI250,$AI250&amp;" · borderline (p "&amp;$AN250&amp;")")</f>
        <v/>
      </c>
    </row>
    <row r="251">
      <c r="A251" t="inlineStr">
        <is>
          <t>three-way</t>
        </is>
      </c>
      <c r="B251" t="inlineStr">
        <is>
          <t>FICO x CHANNEL / REV_DEBT</t>
        </is>
      </c>
      <c r="C251" t="inlineStr">
        <is>
          <t>654 - 685</t>
        </is>
      </c>
      <c r="D251" t="inlineStr">
        <is>
          <t>Branch / REV_DEBT high half</t>
        </is>
      </c>
      <c r="E251" t="inlineStr">
        <is>
          <t>gco_rate</t>
        </is>
      </c>
      <c r="F251" t="inlineStr">
        <is>
          <t>GCO per booked dollar</t>
        </is>
      </c>
      <c r="G251" t="n">
        <v>251</v>
      </c>
      <c r="H251" t="n">
        <v>7704192.039999998</v>
      </c>
      <c r="I251" t="b">
        <v>0</v>
      </c>
      <c r="J251" t="b">
        <v>0</v>
      </c>
      <c r="K251" t="n">
        <v>1.430878076292618</v>
      </c>
      <c r="L251" t="n">
        <v>0.1689446439971387</v>
      </c>
      <c r="M251" t="n">
        <v>1.376299460471771</v>
      </c>
      <c r="N251" t="n">
        <v>0.3560810585608106</v>
      </c>
      <c r="O251" t="n">
        <v>136357.2340549912</v>
      </c>
      <c r="P251" t="n">
        <v>123807.5334905384</v>
      </c>
      <c r="Q251">
        <f>'_live'!$C$22</f>
        <v/>
      </c>
      <c r="R251" t="inlineStr">
        <is>
          <t>shuffled: 954 of 10,000</t>
        </is>
      </c>
      <c r="S251" t="inlineStr">
        <is>
          <t>shuffled: 1,857 of 10,000</t>
        </is>
      </c>
      <c r="T251" t="n">
        <v>0.0410768078342202</v>
      </c>
      <c r="U251" t="n">
        <v>0.04270575224517142</v>
      </c>
      <c r="V251">
        <f>AND(judged_band,NOT($J251))</f>
        <v/>
      </c>
      <c r="W251">
        <f>IF($K251="","",IF($I251,"too few losses to test",IF(AND($K251&gt;better_at,$K251&lt;worse_at),"in line",IF($K251&gt;=worse_at,IF(AND(ISNUMBER($L251),$L251&lt;significance_bar),"worse","worse, not significant"),IF(AND(ISNUMBER($L251),$L251&lt;significance_bar),"better","better, not significant")))))</f>
        <v/>
      </c>
      <c r="X251">
        <f>IF($M251="","",IF($I251,"too few losses to test",IF(AND($M251&gt;better_at,$M251&lt;worse_at),"in line",IF($M251&gt;=worse_at,IF(AND(ISNUMBER($N251),$N251&lt;significance_bar),"worse","worse, not significant"),IF(AND(ISNUMBER($N251),$N251&lt;significance_bar),"better","better, not significant")))))</f>
        <v/>
      </c>
      <c r="Y251">
        <f>IF($V251,$X251,$W251)</f>
        <v/>
      </c>
      <c r="Z251">
        <f>IF($V251,IF($P251="","",$P251),IF($O251="","",$O251))</f>
        <v/>
      </c>
      <c r="AA251">
        <f>IF(OR($Q251="",$Z251=""),"",IF(AND($Z251&gt;0,$Z251&gt;=$Q251),"yes","below the line"))</f>
        <v/>
      </c>
      <c r="AB251">
        <f>IF($V251,IF($M251="","",$M251),IF($K251="","",$K251))</f>
        <v/>
      </c>
      <c r="AC251">
        <f>IF($V251,IF($N251="","",$N251),IF($L251="","",$L251))</f>
        <v/>
      </c>
      <c r="AD251">
        <f>$Y251</f>
        <v/>
      </c>
      <c r="AE251">
        <f>IF($V251,IF($S251="","",$S251),IF($R251="","",$R251))</f>
        <v/>
      </c>
      <c r="AF251">
        <f>IF($V251,IF($U251="","",$U251),IF($T251="","",$T251))</f>
        <v/>
      </c>
      <c r="AG251">
        <f>IF($V251,IF($O251="","",$O251),IF($P251="","",$P251))</f>
        <v/>
      </c>
      <c r="AH251" t="n">
        <v>0.05877590377407053</v>
      </c>
      <c r="AI251">
        <f>IF($Y251="worse","Yes",IF($Y251="worse, not significant","Not sure",IF(OR($Y251="too few losses to test",$Y251="too few loans to test"),"Too few losses",IF($Y251="","","No"))))</f>
        <v/>
      </c>
      <c r="AJ251">
        <f>IF($AA251="yes","Yes",IF($AA251="","","No"))</f>
        <v/>
      </c>
      <c r="AK251" t="n">
        <v>0.005199613156006477</v>
      </c>
      <c r="AL251" t="n">
        <v>0.007454495122468721</v>
      </c>
      <c r="AM251">
        <f>IF(AND(ISNUMBER($AC251),ISNUMBER(IF($V251,IF($AL251="","",$AL251),IF($AK251="","",$AK251)))),IF(AND(ABS($AC251-significance_bar)&lt;=2.0*IF($V251,IF($AL251="","",$AL251),IF($AK251="","",$AK251)),OR($Y251="worse",$Y251="better",$Y251="worse, not significant",$Y251="better, not significant")),IF(ROUND($AC251,3)=ROUND(significance_bar,3),TEXT($AC251,"0.0000"),TEXT($AC251,"0.000")),""),"")</f>
        <v/>
      </c>
      <c r="AN251">
        <f>IF(AND(ISNUMBER($AC251),ISNUMBER(IF($V251,IF($AL251="","",$AL251),IF($AK251="","",$AK251)))),IF(AND(ABS($AC251-significance_bar)&lt;=2.0*IF($V251,IF($AL251="","",$AL251),IF($AK251="","",$AK251)),OR($Y251="worse",$Y251="worse, not significant")),IF(ROUND($AC251,3)=ROUND(significance_bar,3),TEXT($AC251,"0.0000"),TEXT($AC251,"0.000")),""),"")</f>
        <v/>
      </c>
      <c r="AO251">
        <f>IF(OR($AI251="",$AN251=""),$AI251,$AI251&amp;" · borderline (p "&amp;$AN251&amp;")")</f>
        <v/>
      </c>
    </row>
    <row r="252">
      <c r="A252" t="inlineStr">
        <is>
          <t>three-way</t>
        </is>
      </c>
      <c r="B252" t="inlineStr">
        <is>
          <t>FICO x CHANNEL / REV_DEBT</t>
        </is>
      </c>
      <c r="C252" t="inlineStr">
        <is>
          <t>654 - 685</t>
        </is>
      </c>
      <c r="D252" t="inlineStr">
        <is>
          <t>Branch / REV_DEBT high half</t>
        </is>
      </c>
      <c r="E252" t="inlineStr">
        <is>
          <t>ranr_rate</t>
        </is>
      </c>
      <c r="F252" t="inlineStr">
        <is>
          <t>Profit after losses: RANR per booked dollar</t>
        </is>
      </c>
      <c r="G252" t="n">
        <v>251</v>
      </c>
      <c r="H252" t="n">
        <v>7704192.039999998</v>
      </c>
      <c r="I252" t="b">
        <v>0</v>
      </c>
      <c r="J252" t="b">
        <v>0</v>
      </c>
      <c r="K252" t="n">
        <v>0.01490045215460395</v>
      </c>
      <c r="L252" t="n">
        <v>0.3799828350498284</v>
      </c>
      <c r="M252" t="n">
        <v>-0.02444617048757211</v>
      </c>
      <c r="N252" t="n">
        <v>0.2762723727627237</v>
      </c>
      <c r="O252" t="n">
        <v>-114795.9448819006</v>
      </c>
      <c r="P252" t="n">
        <v>188337.9920788358</v>
      </c>
      <c r="Q252">
        <f>'_live'!$C$23</f>
        <v/>
      </c>
      <c r="R252" t="inlineStr">
        <is>
          <t>shuffled: 2,464 of 10,000</t>
        </is>
      </c>
      <c r="S252" t="inlineStr">
        <is>
          <t>shuffled: 920 of 10,000</t>
        </is>
      </c>
      <c r="T252" t="n">
        <v>0.127545222135727</v>
      </c>
      <c r="U252" t="n">
        <v>0.1668918447779031</v>
      </c>
      <c r="V252">
        <f>AND(judged_band,NOT($J252))</f>
        <v/>
      </c>
      <c r="W252">
        <f>IF($K252="","",IF(profit_kind="test",IF(OR(NOT(AND(ISNUMBER($L252),$L252&lt;significance_bar)),$K252=0),"in line",IF($K252&lt;0,"worse","better")),IF(OR($K252=0,IF(profit_kind="points",ABS($K252),ABS($K252*$H252))&lt;profit_line*(1-1E-9)),"in line",IF(AND(ISNUMBER($L252),$L252&lt;significance_bar),IF($K252&lt;0,"worse","better"),IF($K252&lt;0,"worse, not significant","better, not significant")))))</f>
        <v/>
      </c>
      <c r="X252">
        <f>IF($M252="","",IF(profit_kind="test",IF(OR(NOT(AND(ISNUMBER($N252),$N252&lt;significance_bar)),$M252=0),"in line",IF($M252&lt;0,"worse","better")),IF(OR($M252=0,IF(profit_kind="points",ABS($M252),ABS($M252*$H252))&lt;profit_line*(1-1E-9)),"in line",IF(AND(ISNUMBER($N252),$N252&lt;significance_bar),IF($M252&lt;0,"worse","better"),IF($M252&lt;0,"worse, not significant","better, not significant")))))</f>
        <v/>
      </c>
      <c r="Y252">
        <f>IF($V252,$X252,$W252)</f>
        <v/>
      </c>
      <c r="Z252">
        <f>IF($V252,IF($P252="","",$P252),IF($O252="","",$O252))</f>
        <v/>
      </c>
      <c r="AA252">
        <f>IF(OR($Q252="",$Z252=""),"",IF(AND($Z252&gt;0,$Z252&gt;=$Q252),"yes","below the line"))</f>
        <v/>
      </c>
      <c r="AB252">
        <f>IF($V252,IF($M252="","",$M252),IF($K252="","",$K252))</f>
        <v/>
      </c>
      <c r="AC252">
        <f>IF($V252,IF($N252="","",$N252),IF($L252="","",$L252))</f>
        <v/>
      </c>
      <c r="AD252">
        <f>IF($Y252="","",IF($Y252="in line",IF(profit_kind="test",IF(ROUND($AB252*100,2)=0,"0.00",TEXT($AB252*100,"+0.00;-0.00"))&amp;" points against "&amp;IF($V252,"its band","the book")&amp;", "&amp;IF($AC252="","not tested","not significant"),IF(profit_kind="points","within "&amp;TEXT(profit_line*100,"0.00")&amp;" points of "&amp;IF($V252,"its band","the book")&amp;" ("&amp;IF(ROUND($AB252*100,2)=0,"0.00",TEXT($AB252*100,"+0.00;-0.00"))&amp;")","within $"&amp;TEXT(profit_line,"#,##0")&amp;" of "&amp;IF($V252,"its band","the book")&amp;" ("&amp;IF(ROUND($AB252*100,2)=0,"0.00",TEXT($AB252*100,"+0.00;-0.00"))&amp;" points)")),IF(LEFT($Y252,5)="worse","short of ","ahead of ")&amp;IF($V252,"its band","the book")&amp;" by "&amp;TEXT(ABS($AB252)*100,"0.00")&amp;" points"&amp;IF($Z252="",""," ($"&amp;TEXT(ABS($Z252),"#,##0")&amp;")")&amp;IF(RIGHT($Y252,15)="not significant"," (not significant)","")))</f>
        <v/>
      </c>
      <c r="AE252">
        <f>IF($V252,IF($S252="","",$S252),IF($R252="","",$R252))</f>
        <v/>
      </c>
      <c r="AF252">
        <f>IF($V252,IF($U252="","",$U252),IF($T252="","",$T252))</f>
        <v/>
      </c>
      <c r="AG252">
        <f>IF($V252,IF($O252="","",$O252),IF($P252="","",$P252))</f>
        <v/>
      </c>
      <c r="AH252" t="n">
        <v>0.1424456742903309</v>
      </c>
      <c r="AI252">
        <f>IF($Y252="worse","Yes",IF($Y252="worse, not significant","Not sure",IF(OR($Y252="too few losses to test",$Y252="too few loans to test"),"Too few losses",IF($Y252="","","No"))))</f>
        <v/>
      </c>
      <c r="AJ252">
        <f>IF($AA252="yes","Yes",IF($AA252="","","No"))</f>
        <v/>
      </c>
      <c r="AK252" t="n">
        <v>0.006643943977558162</v>
      </c>
      <c r="AL252" t="n">
        <v>0.008674622149328614</v>
      </c>
      <c r="AM252">
        <f>IF(AND(ISNUMBER($AC252),ISNUMBER(IF($V252,IF($AL252="","",$AL252),IF($AK252="","",$AK252)))),IF(AND(ABS($AC252-significance_bar)&lt;=2.0*IF($V252,IF($AL252="","",$AL252),IF($AK252="","",$AK252)),OR($Y252="worse",$Y252="better",$Y252="worse, not significant",$Y252="better, not significant",AND(profit_kind="test",$Y252="in line",ISNUMBER($AB252),$AB252&lt;&gt;0))),IF(ROUND($AC252,3)=ROUND(significance_bar,3),TEXT($AC252,"0.0000"),TEXT($AC252,"0.000")),""),"")</f>
        <v/>
      </c>
      <c r="AN252">
        <f>IF(AND(ISNUMBER($AC252),ISNUMBER(IF($V252,IF($AL252="","",$AL252),IF($AK252="","",$AK252)))),IF(AND(ABS($AC252-significance_bar)&lt;=2.0*IF($V252,IF($AL252="","",$AL252),IF($AK252="","",$AK252)),OR($Y252="worse",$Y252="worse, not significant",AND(profit_kind="test",$Y252="in line",ISNUMBER($AB252),$AB252&lt;0))),IF(ROUND($AC252,3)=ROUND(significance_bar,3),TEXT($AC252,"0.0000"),TEXT($AC252,"0.000")),""),"")</f>
        <v/>
      </c>
      <c r="AO252">
        <f>IF(OR($AI252="",$AN252=""),$AI252,$AI252&amp;" · borderline (p "&amp;$AN252&amp;")")</f>
        <v/>
      </c>
    </row>
    <row r="253">
      <c r="A253" t="inlineStr">
        <is>
          <t>three-way</t>
        </is>
      </c>
      <c r="B253" t="inlineStr">
        <is>
          <t>FICO x CHANNEL / REV_DEBT</t>
        </is>
      </c>
      <c r="C253" t="inlineStr">
        <is>
          <t>654 - 685</t>
        </is>
      </c>
      <c r="D253" t="inlineStr">
        <is>
          <t>Branch / REV_DEBT high half</t>
        </is>
      </c>
      <c r="E253" t="inlineStr">
        <is>
          <t>contribution_rate</t>
        </is>
      </c>
      <c r="F253" t="inlineStr">
        <is>
          <t>Contribution before losses per booked dollar</t>
        </is>
      </c>
      <c r="G253" t="n">
        <v>251</v>
      </c>
      <c r="H253" t="n">
        <v>7704192.039999998</v>
      </c>
      <c r="I253" t="b">
        <v>0</v>
      </c>
      <c r="J253" t="b">
        <v>0</v>
      </c>
      <c r="K253" t="n">
        <v>0.03260256585879789</v>
      </c>
      <c r="L253" t="n">
        <v>0.0006166050061660501</v>
      </c>
      <c r="M253" t="n">
        <v>-0.008376018958673098</v>
      </c>
      <c r="N253" t="n">
        <v>0.4518268173182682</v>
      </c>
      <c r="O253" t="n">
        <v>-251176.4283729265</v>
      </c>
      <c r="P253" t="n">
        <v>64530.45858829818</v>
      </c>
      <c r="Q253">
        <f>'_live'!$C$24</f>
        <v/>
      </c>
      <c r="R253" t="inlineStr">
        <is>
          <t>shuffled: 3 of 10,000</t>
        </is>
      </c>
      <c r="S253" t="inlineStr">
        <is>
          <t>shuffled: 3,137 of 10,000</t>
        </is>
      </c>
      <c r="T253" t="n">
        <v>0.1686190122056035</v>
      </c>
      <c r="U253" t="n">
        <v>0.2095975970230745</v>
      </c>
      <c r="V253">
        <f>AND(judged_band,NOT($J253))</f>
        <v/>
      </c>
      <c r="W253">
        <f>IF($K253="","",IF(profit_kind="test",IF(OR(NOT(AND(ISNUMBER($L253),$L253&lt;significance_bar)),$K253=0),"in line",IF($K253&lt;0,"worse","better")),IF(OR($K253=0,IF(profit_kind="points",ABS($K253),ABS($K253*$H253))&lt;profit_line*(1-1E-9)),"in line",IF(AND(ISNUMBER($L253),$L253&lt;significance_bar),IF($K253&lt;0,"worse","better"),IF($K253&lt;0,"worse, not significant","better, not significant")))))</f>
        <v/>
      </c>
      <c r="X253">
        <f>IF($M253="","",IF(profit_kind="test",IF(OR(NOT(AND(ISNUMBER($N253),$N253&lt;significance_bar)),$M253=0),"in line",IF($M253&lt;0,"worse","better")),IF(OR($M253=0,IF(profit_kind="points",ABS($M253),ABS($M253*$H253))&lt;profit_line*(1-1E-9)),"in line",IF(AND(ISNUMBER($N253),$N253&lt;significance_bar),IF($M253&lt;0,"worse","better"),IF($M253&lt;0,"worse, not significant","better, not significant")))))</f>
        <v/>
      </c>
      <c r="Y253">
        <f>IF($V253,$X253,$W253)</f>
        <v/>
      </c>
      <c r="Z253">
        <f>IF($V253,IF($P253="","",$P253),IF($O253="","",$O253))</f>
        <v/>
      </c>
      <c r="AA253">
        <f>IF(OR($Q253="",$Z253=""),"",IF(AND($Z253&gt;0,$Z253&gt;=$Q253),"yes","below the line"))</f>
        <v/>
      </c>
      <c r="AB253">
        <f>IF($V253,IF($M253="","",$M253),IF($K253="","",$K253))</f>
        <v/>
      </c>
      <c r="AC253">
        <f>IF($V253,IF($N253="","",$N253),IF($L253="","",$L253))</f>
        <v/>
      </c>
      <c r="AD253">
        <f>IF($Y253="","",IF($Y253="in line",IF(profit_kind="test",IF(ROUND($AB253*100,2)=0,"0.00",TEXT($AB253*100,"+0.00;-0.00"))&amp;" points against "&amp;IF($V253,"its band","the book")&amp;", "&amp;IF($AC253="","not tested","not significant"),IF(profit_kind="points","within "&amp;TEXT(profit_line*100,"0.00")&amp;" points of "&amp;IF($V253,"its band","the book")&amp;" ("&amp;IF(ROUND($AB253*100,2)=0,"0.00",TEXT($AB253*100,"+0.00;-0.00"))&amp;")","within $"&amp;TEXT(profit_line,"#,##0")&amp;" of "&amp;IF($V253,"its band","the book")&amp;" ("&amp;IF(ROUND($AB253*100,2)=0,"0.00",TEXT($AB253*100,"+0.00;-0.00"))&amp;" points)")),IF(LEFT($Y253,5)="worse","short of ","ahead of ")&amp;IF($V253,"its band","the book")&amp;" by "&amp;TEXT(ABS($AB253)*100,"0.00")&amp;" points"&amp;IF($Z253="",""," ($"&amp;TEXT(ABS($Z253),"#,##0")&amp;")")&amp;IF(RIGHT($Y253,15)="not significant"," (not significant)","")))</f>
        <v/>
      </c>
      <c r="AE253">
        <f>IF($V253,IF($S253="","",$S253),IF($R253="","",$R253))</f>
        <v/>
      </c>
      <c r="AF253">
        <f>IF($V253,IF($U253="","",$U253),IF($T253="","",$T253))</f>
        <v/>
      </c>
      <c r="AG253">
        <f>IF($V253,IF($O253="","",$O253),IF($P253="","",$P253))</f>
        <v/>
      </c>
      <c r="AH253" t="n">
        <v>0.2012215780644014</v>
      </c>
      <c r="AI253">
        <f>IF($Y253="worse","Yes",IF($Y253="worse, not significant","Not sure",IF(OR($Y253="too few losses to test",$Y253="too few loans to test"),"Too few losses",IF($Y253="","","No"))))</f>
        <v/>
      </c>
      <c r="AJ253">
        <f>IF($AA253="yes","Yes",IF($AA253="","","No"))</f>
        <v/>
      </c>
      <c r="AK253" t="n">
        <v>0.0003082562542386391</v>
      </c>
      <c r="AL253" t="n">
        <v>0.006681939419736986</v>
      </c>
      <c r="AM253">
        <f>IF(AND(ISNUMBER($AC253),ISNUMBER(IF($V253,IF($AL253="","",$AL253),IF($AK253="","",$AK253)))),IF(AND(ABS($AC253-significance_bar)&lt;=2.0*IF($V253,IF($AL253="","",$AL253),IF($AK253="","",$AK253)),OR($Y253="worse",$Y253="better",$Y253="worse, not significant",$Y253="better, not significant",AND(profit_kind="test",$Y253="in line",ISNUMBER($AB253),$AB253&lt;&gt;0))),IF(ROUND($AC253,3)=ROUND(significance_bar,3),TEXT($AC253,"0.0000"),TEXT($AC253,"0.000")),""),"")</f>
        <v/>
      </c>
      <c r="AN253">
        <f>IF(AND(ISNUMBER($AC253),ISNUMBER(IF($V253,IF($AL253="","",$AL253),IF($AK253="","",$AK253)))),IF(AND(ABS($AC253-significance_bar)&lt;=2.0*IF($V253,IF($AL253="","",$AL253),IF($AK253="","",$AK253)),OR($Y253="worse",$Y253="worse, not significant",AND(profit_kind="test",$Y253="in line",ISNUMBER($AB253),$AB253&lt;0))),IF(ROUND($AC253,3)=ROUND(significance_bar,3),TEXT($AC253,"0.0000"),TEXT($AC253,"0.000")),""),"")</f>
        <v/>
      </c>
      <c r="AO253">
        <f>IF(OR($AI253="",$AN253=""),$AI253,$AI253&amp;" · borderline (p "&amp;$AN253&amp;")")</f>
        <v/>
      </c>
    </row>
    <row r="254">
      <c r="A254" t="inlineStr">
        <is>
          <t>three-way</t>
        </is>
      </c>
      <c r="B254" t="inlineStr">
        <is>
          <t>FICO x CHANNEL / REV_DEBT</t>
        </is>
      </c>
      <c r="C254" t="inlineStr">
        <is>
          <t>712 - 745</t>
        </is>
      </c>
      <c r="D254" t="inlineStr">
        <is>
          <t>Broker / REV_DEBT low half</t>
        </is>
      </c>
      <c r="E254" t="inlineStr">
        <is>
          <t>outcome_loans</t>
        </is>
      </c>
      <c r="F254" t="inlineStr">
        <is>
          <t>Outcome, share of loans</t>
        </is>
      </c>
      <c r="G254" t="n">
        <v>255</v>
      </c>
      <c r="H254" t="n">
        <v>255</v>
      </c>
      <c r="I254" t="b">
        <v>1</v>
      </c>
      <c r="J254" t="b">
        <v>0</v>
      </c>
      <c r="K254" t="n">
        <v>0.4480617164898746</v>
      </c>
      <c r="M254" t="n">
        <v>0.6135746606334842</v>
      </c>
      <c r="O254" t="n">
        <v>-11.08651859504132</v>
      </c>
      <c r="P254" t="n">
        <v>-5.668141592920353</v>
      </c>
      <c r="Q254">
        <f>'_live'!$C$20</f>
        <v/>
      </c>
      <c r="T254" t="n">
        <v>0.07877066115702479</v>
      </c>
      <c r="U254" t="n">
        <v>0.05752212389380531</v>
      </c>
      <c r="V254">
        <f>AND(judged_band,NOT($J254))</f>
        <v/>
      </c>
      <c r="W254">
        <f>IF($K254="","",IF($I254,"too few losses to test",IF(AND($K254&gt;better_at,$K254&lt;worse_at),"in line",IF($K254&gt;=worse_at,IF(AND(ISNUMBER($L254),$L254&lt;significance_bar),"worse","worse, not significant"),IF(AND(ISNUMBER($L254),$L254&lt;significance_bar),"better","better, not significant")))))</f>
        <v/>
      </c>
      <c r="X254">
        <f>IF($M254="","",IF($I254,"too few losses to test",IF(AND($M254&gt;better_at,$M254&lt;worse_at),"in line",IF($M254&gt;=worse_at,IF(AND(ISNUMBER($N254),$N254&lt;significance_bar),"worse","worse, not significant"),IF(AND(ISNUMBER($N254),$N254&lt;significance_bar),"better","better, not significant")))))</f>
        <v/>
      </c>
      <c r="Y254">
        <f>IF($V254,$X254,$W254)</f>
        <v/>
      </c>
      <c r="Z254">
        <f>IF($V254,IF($P254="","",$P254),IF($O254="","",$O254))</f>
        <v/>
      </c>
      <c r="AA254">
        <f>IF(OR($Q254="",$Z254=""),"",IF(AND($Z254&gt;0,$Z254&gt;=$Q254),"yes","below the line"))</f>
        <v/>
      </c>
      <c r="AB254">
        <f>IF($V254,IF($M254="","",$M254),IF($K254="","",$K254))</f>
        <v/>
      </c>
      <c r="AC254">
        <f>IF($V254,IF($N254="","",$N254),IF($L254="","",$L254))</f>
        <v/>
      </c>
      <c r="AD254">
        <f>$Y254</f>
        <v/>
      </c>
      <c r="AE254">
        <f>IF($V254,IF($S254="","",$S254),IF($R254="","",$R254))</f>
        <v/>
      </c>
      <c r="AF254">
        <f>IF($V254,IF($U254="","",$U254),IF($T254="","",$T254))</f>
        <v/>
      </c>
      <c r="AG254">
        <f>IF($V254,IF($O254="","",$O254),IF($P254="","",$P254))</f>
        <v/>
      </c>
      <c r="AH254" t="n">
        <v>0.03529411764705882</v>
      </c>
      <c r="AI254">
        <f>IF($Y254="worse","Yes",IF($Y254="worse, not significant","Not sure",IF(OR($Y254="too few losses to test",$Y254="too few loans to test"),"Too few losses",IF($Y254="","","No"))))</f>
        <v/>
      </c>
      <c r="AJ254">
        <f>IF($AA254="yes","Yes",IF($AA254="","","No"))</f>
        <v/>
      </c>
      <c r="AM254">
        <f>IF(AND(ISNUMBER($AC254),ISNUMBER(IF($V254,IF($AL254="","",$AL254),IF($AK254="","",$AK254)))),IF(AND(ABS($AC254-significance_bar)&lt;=2.0*IF($V254,IF($AL254="","",$AL254),IF($AK254="","",$AK254)),OR($Y254="worse",$Y254="better",$Y254="worse, not significant",$Y254="better, not significant")),IF(ROUND($AC254,3)=ROUND(significance_bar,3),TEXT($AC254,"0.0000"),TEXT($AC254,"0.000")),""),"")</f>
        <v/>
      </c>
      <c r="AN254">
        <f>IF(AND(ISNUMBER($AC254),ISNUMBER(IF($V254,IF($AL254="","",$AL254),IF($AK254="","",$AK254)))),IF(AND(ABS($AC254-significance_bar)&lt;=2.0*IF($V254,IF($AL254="","",$AL254),IF($AK254="","",$AK254)),OR($Y254="worse",$Y254="worse, not significant")),IF(ROUND($AC254,3)=ROUND(significance_bar,3),TEXT($AC254,"0.0000"),TEXT($AC254,"0.000")),""),"")</f>
        <v/>
      </c>
      <c r="AO254">
        <f>IF(OR($AI254="",$AN254=""),$AI254,$AI254&amp;" · borderline (p "&amp;$AN254&amp;")")</f>
        <v/>
      </c>
    </row>
    <row r="255">
      <c r="A255" t="inlineStr">
        <is>
          <t>three-way</t>
        </is>
      </c>
      <c r="B255" t="inlineStr">
        <is>
          <t>FICO x CHANNEL / REV_DEBT</t>
        </is>
      </c>
      <c r="C255" t="inlineStr">
        <is>
          <t>712 - 745</t>
        </is>
      </c>
      <c r="D255" t="inlineStr">
        <is>
          <t>Broker / REV_DEBT low half</t>
        </is>
      </c>
      <c r="E255" t="inlineStr">
        <is>
          <t>outcome_booked</t>
        </is>
      </c>
      <c r="F255" t="inlineStr">
        <is>
          <t>Outcome, share of booked dollars</t>
        </is>
      </c>
      <c r="G255" t="n">
        <v>255</v>
      </c>
      <c r="H255" t="n">
        <v>8211437.449999999</v>
      </c>
      <c r="I255" t="b">
        <v>1</v>
      </c>
      <c r="J255" t="b">
        <v>0</v>
      </c>
      <c r="K255" t="n">
        <v>0.4402326628534092</v>
      </c>
      <c r="M255" t="n">
        <v>0.5730052830876012</v>
      </c>
      <c r="O255" t="n">
        <v>-350188.6356168818</v>
      </c>
      <c r="P255" t="n">
        <v>-205229.8992272026</v>
      </c>
      <c r="Q255">
        <f>'_live'!$C$21</f>
        <v/>
      </c>
      <c r="T255" t="n">
        <v>0.07618602338825364</v>
      </c>
      <c r="U255" t="n">
        <v>0.05853275168371436</v>
      </c>
      <c r="V255">
        <f>AND(judged_band,NOT($J255))</f>
        <v/>
      </c>
      <c r="W255">
        <f>IF($K255="","",IF($I255,"too few losses to test",IF(AND($K255&gt;better_at,$K255&lt;worse_at),"in line",IF($K255&gt;=worse_at,IF(AND(ISNUMBER($L255),$L255&lt;significance_bar),"worse","worse, not significant"),IF(AND(ISNUMBER($L255),$L255&lt;significance_bar),"better","better, not significant")))))</f>
        <v/>
      </c>
      <c r="X255">
        <f>IF($M255="","",IF($I255,"too few losses to test",IF(AND($M255&gt;better_at,$M255&lt;worse_at),"in line",IF($M255&gt;=worse_at,IF(AND(ISNUMBER($N255),$N255&lt;significance_bar),"worse","worse, not significant"),IF(AND(ISNUMBER($N255),$N255&lt;significance_bar),"better","better, not significant")))))</f>
        <v/>
      </c>
      <c r="Y255">
        <f>IF($V255,$X255,$W255)</f>
        <v/>
      </c>
      <c r="Z255">
        <f>IF($V255,IF($P255="","",$P255),IF($O255="","",$O255))</f>
        <v/>
      </c>
      <c r="AA255">
        <f>IF(OR($Q255="",$Z255=""),"",IF(AND($Z255&gt;0,$Z255&gt;=$Q255),"yes","below the line"))</f>
        <v/>
      </c>
      <c r="AB255">
        <f>IF($V255,IF($M255="","",$M255),IF($K255="","",$K255))</f>
        <v/>
      </c>
      <c r="AC255">
        <f>IF($V255,IF($N255="","",$N255),IF($L255="","",$L255))</f>
        <v/>
      </c>
      <c r="AD255">
        <f>$Y255</f>
        <v/>
      </c>
      <c r="AE255">
        <f>IF($V255,IF($S255="","",$S255),IF($R255="","",$R255))</f>
        <v/>
      </c>
      <c r="AF255">
        <f>IF($V255,IF($U255="","",$U255),IF($T255="","",$T255))</f>
        <v/>
      </c>
      <c r="AG255">
        <f>IF($V255,IF($O255="","",$O255),IF($P255="","",$P255))</f>
        <v/>
      </c>
      <c r="AH255" t="n">
        <v>0.03353957594842302</v>
      </c>
      <c r="AI255">
        <f>IF($Y255="worse","Yes",IF($Y255="worse, not significant","Not sure",IF(OR($Y255="too few losses to test",$Y255="too few loans to test"),"Too few losses",IF($Y255="","","No"))))</f>
        <v/>
      </c>
      <c r="AJ255">
        <f>IF($AA255="yes","Yes",IF($AA255="","","No"))</f>
        <v/>
      </c>
      <c r="AM255">
        <f>IF(AND(ISNUMBER($AC255),ISNUMBER(IF($V255,IF($AL255="","",$AL255),IF($AK255="","",$AK255)))),IF(AND(ABS($AC255-significance_bar)&lt;=2.0*IF($V255,IF($AL255="","",$AL255),IF($AK255="","",$AK255)),OR($Y255="worse",$Y255="better",$Y255="worse, not significant",$Y255="better, not significant")),IF(ROUND($AC255,3)=ROUND(significance_bar,3),TEXT($AC255,"0.0000"),TEXT($AC255,"0.000")),""),"")</f>
        <v/>
      </c>
      <c r="AN255">
        <f>IF(AND(ISNUMBER($AC255),ISNUMBER(IF($V255,IF($AL255="","",$AL255),IF($AK255="","",$AK255)))),IF(AND(ABS($AC255-significance_bar)&lt;=2.0*IF($V255,IF($AL255="","",$AL255),IF($AK255="","",$AK255)),OR($Y255="worse",$Y255="worse, not significant")),IF(ROUND($AC255,3)=ROUND(significance_bar,3),TEXT($AC255,"0.0000"),TEXT($AC255,"0.000")),""),"")</f>
        <v/>
      </c>
      <c r="AO255">
        <f>IF(OR($AI255="",$AN255=""),$AI255,$AI255&amp;" · borderline (p "&amp;$AN255&amp;")")</f>
        <v/>
      </c>
    </row>
    <row r="256">
      <c r="A256" t="inlineStr">
        <is>
          <t>three-way</t>
        </is>
      </c>
      <c r="B256" t="inlineStr">
        <is>
          <t>FICO x CHANNEL / REV_DEBT</t>
        </is>
      </c>
      <c r="C256" t="inlineStr">
        <is>
          <t>712 - 745</t>
        </is>
      </c>
      <c r="D256" t="inlineStr">
        <is>
          <t>Broker / REV_DEBT low half</t>
        </is>
      </c>
      <c r="E256" t="inlineStr">
        <is>
          <t>gco_rate</t>
        </is>
      </c>
      <c r="F256" t="inlineStr">
        <is>
          <t>GCO per booked dollar</t>
        </is>
      </c>
      <c r="G256" t="n">
        <v>255</v>
      </c>
      <c r="H256" t="n">
        <v>8211437.449999999</v>
      </c>
      <c r="I256" t="b">
        <v>1</v>
      </c>
      <c r="J256" t="b">
        <v>0</v>
      </c>
      <c r="K256" t="n">
        <v>0.4857022463956492</v>
      </c>
      <c r="M256" t="n">
        <v>0.6394797337532974</v>
      </c>
      <c r="O256" t="n">
        <v>-178627.7655233607</v>
      </c>
      <c r="P256" t="n">
        <v>-95105.87553753814</v>
      </c>
      <c r="Q256">
        <f>'_live'!$C$22</f>
        <v/>
      </c>
      <c r="T256" t="n">
        <v>0.04229754383909491</v>
      </c>
      <c r="U256" t="n">
        <v>0.03212613469247558</v>
      </c>
      <c r="V256">
        <f>AND(judged_band,NOT($J256))</f>
        <v/>
      </c>
      <c r="W256">
        <f>IF($K256="","",IF($I256,"too few losses to test",IF(AND($K256&gt;better_at,$K256&lt;worse_at),"in line",IF($K256&gt;=worse_at,IF(AND(ISNUMBER($L256),$L256&lt;significance_bar),"worse","worse, not significant"),IF(AND(ISNUMBER($L256),$L256&lt;significance_bar),"better","better, not significant")))))</f>
        <v/>
      </c>
      <c r="X256">
        <f>IF($M256="","",IF($I256,"too few losses to test",IF(AND($M256&gt;better_at,$M256&lt;worse_at),"in line",IF($M256&gt;=worse_at,IF(AND(ISNUMBER($N256),$N256&lt;significance_bar),"worse","worse, not significant"),IF(AND(ISNUMBER($N256),$N256&lt;significance_bar),"better","better, not significant")))))</f>
        <v/>
      </c>
      <c r="Y256">
        <f>IF($V256,$X256,$W256)</f>
        <v/>
      </c>
      <c r="Z256">
        <f>IF($V256,IF($P256="","",$P256),IF($O256="","",$O256))</f>
        <v/>
      </c>
      <c r="AA256">
        <f>IF(OR($Q256="",$Z256=""),"",IF(AND($Z256&gt;0,$Z256&gt;=$Q256),"yes","below the line"))</f>
        <v/>
      </c>
      <c r="AB256">
        <f>IF($V256,IF($M256="","",$M256),IF($K256="","",$K256))</f>
        <v/>
      </c>
      <c r="AC256">
        <f>IF($V256,IF($N256="","",$N256),IF($L256="","",$L256))</f>
        <v/>
      </c>
      <c r="AD256">
        <f>$Y256</f>
        <v/>
      </c>
      <c r="AE256">
        <f>IF($V256,IF($S256="","",$S256),IF($R256="","",$R256))</f>
        <v/>
      </c>
      <c r="AF256">
        <f>IF($V256,IF($U256="","",$U256),IF($T256="","",$T256))</f>
        <v/>
      </c>
      <c r="AG256">
        <f>IF($V256,IF($O256="","",$O256),IF($P256="","",$P256))</f>
        <v/>
      </c>
      <c r="AH256" t="n">
        <v>0.02054401205966685</v>
      </c>
      <c r="AI256">
        <f>IF($Y256="worse","Yes",IF($Y256="worse, not significant","Not sure",IF(OR($Y256="too few losses to test",$Y256="too few loans to test"),"Too few losses",IF($Y256="","","No"))))</f>
        <v/>
      </c>
      <c r="AJ256">
        <f>IF($AA256="yes","Yes",IF($AA256="","","No"))</f>
        <v/>
      </c>
      <c r="AM256">
        <f>IF(AND(ISNUMBER($AC256),ISNUMBER(IF($V256,IF($AL256="","",$AL256),IF($AK256="","",$AK256)))),IF(AND(ABS($AC256-significance_bar)&lt;=2.0*IF($V256,IF($AL256="","",$AL256),IF($AK256="","",$AK256)),OR($Y256="worse",$Y256="better",$Y256="worse, not significant",$Y256="better, not significant")),IF(ROUND($AC256,3)=ROUND(significance_bar,3),TEXT($AC256,"0.0000"),TEXT($AC256,"0.000")),""),"")</f>
        <v/>
      </c>
      <c r="AN256">
        <f>IF(AND(ISNUMBER($AC256),ISNUMBER(IF($V256,IF($AL256="","",$AL256),IF($AK256="","",$AK256)))),IF(AND(ABS($AC256-significance_bar)&lt;=2.0*IF($V256,IF($AL256="","",$AL256),IF($AK256="","",$AK256)),OR($Y256="worse",$Y256="worse, not significant")),IF(ROUND($AC256,3)=ROUND(significance_bar,3),TEXT($AC256,"0.0000"),TEXT($AC256,"0.000")),""),"")</f>
        <v/>
      </c>
      <c r="AO256">
        <f>IF(OR($AI256="",$AN256=""),$AI256,$AI256&amp;" · borderline (p "&amp;$AN256&amp;")")</f>
        <v/>
      </c>
    </row>
    <row r="257">
      <c r="A257" t="inlineStr">
        <is>
          <t>three-way</t>
        </is>
      </c>
      <c r="B257" t="inlineStr">
        <is>
          <t>FICO x CHANNEL / REV_DEBT</t>
        </is>
      </c>
      <c r="C257" t="inlineStr">
        <is>
          <t>712 - 745</t>
        </is>
      </c>
      <c r="D257" t="inlineStr">
        <is>
          <t>Broker / REV_DEBT low half</t>
        </is>
      </c>
      <c r="E257" t="inlineStr">
        <is>
          <t>ranr_rate</t>
        </is>
      </c>
      <c r="F257" t="inlineStr">
        <is>
          <t>Profit after losses: RANR per booked dollar</t>
        </is>
      </c>
      <c r="G257" t="n">
        <v>255</v>
      </c>
      <c r="H257" t="n">
        <v>8211437.449999999</v>
      </c>
      <c r="I257" t="b">
        <v>0</v>
      </c>
      <c r="J257" t="b">
        <v>0</v>
      </c>
      <c r="K257" t="n">
        <v>-0.04305970029133484</v>
      </c>
      <c r="L257" t="n">
        <v>0.002543495650434957</v>
      </c>
      <c r="M257" t="n">
        <v>-0.01151943003416782</v>
      </c>
      <c r="N257" t="n">
        <v>0.6149385061493851</v>
      </c>
      <c r="O257" t="n">
        <v>353582.0355580427</v>
      </c>
      <c r="P257" t="n">
        <v>94591.07918522041</v>
      </c>
      <c r="Q257">
        <f>'_live'!$C$23</f>
        <v/>
      </c>
      <c r="R257" t="inlineStr">
        <is>
          <t>shuffled: 10 of 10,000</t>
        </is>
      </c>
      <c r="S257" t="inlineStr">
        <is>
          <t>shuffled: 3,074 of 10,000</t>
        </is>
      </c>
      <c r="T257" t="n">
        <v>0.1293601591714059</v>
      </c>
      <c r="U257" t="n">
        <v>0.09781988891423887</v>
      </c>
      <c r="V257">
        <f>AND(judged_band,NOT($J257))</f>
        <v/>
      </c>
      <c r="W257">
        <f>IF($K257="","",IF(profit_kind="test",IF(OR(NOT(AND(ISNUMBER($L257),$L257&lt;significance_bar)),$K257=0),"in line",IF($K257&lt;0,"worse","better")),IF(OR($K257=0,IF(profit_kind="points",ABS($K257),ABS($K257*$H257))&lt;profit_line*(1-1E-9)),"in line",IF(AND(ISNUMBER($L257),$L257&lt;significance_bar),IF($K257&lt;0,"worse","better"),IF($K257&lt;0,"worse, not significant","better, not significant")))))</f>
        <v/>
      </c>
      <c r="X257">
        <f>IF($M257="","",IF(profit_kind="test",IF(OR(NOT(AND(ISNUMBER($N257),$N257&lt;significance_bar)),$M257=0),"in line",IF($M257&lt;0,"worse","better")),IF(OR($M257=0,IF(profit_kind="points",ABS($M257),ABS($M257*$H257))&lt;profit_line*(1-1E-9)),"in line",IF(AND(ISNUMBER($N257),$N257&lt;significance_bar),IF($M257&lt;0,"worse","better"),IF($M257&lt;0,"worse, not significant","better, not significant")))))</f>
        <v/>
      </c>
      <c r="Y257">
        <f>IF($V257,$X257,$W257)</f>
        <v/>
      </c>
      <c r="Z257">
        <f>IF($V257,IF($P257="","",$P257),IF($O257="","",$O257))</f>
        <v/>
      </c>
      <c r="AA257">
        <f>IF(OR($Q257="",$Z257=""),"",IF(AND($Z257&gt;0,$Z257&gt;=$Q257),"yes","below the line"))</f>
        <v/>
      </c>
      <c r="AB257">
        <f>IF($V257,IF($M257="","",$M257),IF($K257="","",$K257))</f>
        <v/>
      </c>
      <c r="AC257">
        <f>IF($V257,IF($N257="","",$N257),IF($L257="","",$L257))</f>
        <v/>
      </c>
      <c r="AD257">
        <f>IF($Y257="","",IF($Y257="in line",IF(profit_kind="test",IF(ROUND($AB257*100,2)=0,"0.00",TEXT($AB257*100,"+0.00;-0.00"))&amp;" points against "&amp;IF($V257,"its band","the book")&amp;", "&amp;IF($AC257="","not tested","not significant"),IF(profit_kind="points","within "&amp;TEXT(profit_line*100,"0.00")&amp;" points of "&amp;IF($V257,"its band","the book")&amp;" ("&amp;IF(ROUND($AB257*100,2)=0,"0.00",TEXT($AB257*100,"+0.00;-0.00"))&amp;")","within $"&amp;TEXT(profit_line,"#,##0")&amp;" of "&amp;IF($V257,"its band","the book")&amp;" ("&amp;IF(ROUND($AB257*100,2)=0,"0.00",TEXT($AB257*100,"+0.00;-0.00"))&amp;" points)")),IF(LEFT($Y257,5)="worse","short of ","ahead of ")&amp;IF($V257,"its band","the book")&amp;" by "&amp;TEXT(ABS($AB257)*100,"0.00")&amp;" points"&amp;IF($Z257="",""," ($"&amp;TEXT(ABS($Z257),"#,##0")&amp;")")&amp;IF(RIGHT($Y257,15)="not significant"," (not significant)","")))</f>
        <v/>
      </c>
      <c r="AE257">
        <f>IF($V257,IF($S257="","",$S257),IF($R257="","",$R257))</f>
        <v/>
      </c>
      <c r="AF257">
        <f>IF($V257,IF($U257="","",$U257),IF($T257="","",$T257))</f>
        <v/>
      </c>
      <c r="AG257">
        <f>IF($V257,IF($O257="","",$O257),IF($P257="","",$P257))</f>
        <v/>
      </c>
      <c r="AH257" t="n">
        <v>0.08630045888007105</v>
      </c>
      <c r="AI257">
        <f>IF($Y257="worse","Yes",IF($Y257="worse, not significant","Not sure",IF(OR($Y257="too few losses to test",$Y257="too few loans to test"),"Too few losses",IF($Y257="","","No"))))</f>
        <v/>
      </c>
      <c r="AJ257">
        <f>IF($AA257="yes","Yes",IF($AA257="","","No"))</f>
        <v/>
      </c>
      <c r="AK257" t="n">
        <v>0.0007665092511840321</v>
      </c>
      <c r="AL257" t="n">
        <v>0.009228909176893729</v>
      </c>
      <c r="AM257">
        <f>IF(AND(ISNUMBER($AC257),ISNUMBER(IF($V257,IF($AL257="","",$AL257),IF($AK257="","",$AK257)))),IF(AND(ABS($AC257-significance_bar)&lt;=2.0*IF($V257,IF($AL257="","",$AL257),IF($AK257="","",$AK257)),OR($Y257="worse",$Y257="better",$Y257="worse, not significant",$Y257="better, not significant",AND(profit_kind="test",$Y257="in line",ISNUMBER($AB257),$AB257&lt;&gt;0))),IF(ROUND($AC257,3)=ROUND(significance_bar,3),TEXT($AC257,"0.0000"),TEXT($AC257,"0.000")),""),"")</f>
        <v/>
      </c>
      <c r="AN257">
        <f>IF(AND(ISNUMBER($AC257),ISNUMBER(IF($V257,IF($AL257="","",$AL257),IF($AK257="","",$AK257)))),IF(AND(ABS($AC257-significance_bar)&lt;=2.0*IF($V257,IF($AL257="","",$AL257),IF($AK257="","",$AK257)),OR($Y257="worse",$Y257="worse, not significant",AND(profit_kind="test",$Y257="in line",ISNUMBER($AB257),$AB257&lt;0))),IF(ROUND($AC257,3)=ROUND(significance_bar,3),TEXT($AC257,"0.0000"),TEXT($AC257,"0.000")),""),"")</f>
        <v/>
      </c>
      <c r="AO257">
        <f>IF(OR($AI257="",$AN257=""),$AI257,$AI257&amp;" · borderline (p "&amp;$AN257&amp;")")</f>
        <v/>
      </c>
    </row>
    <row r="258">
      <c r="A258" t="inlineStr">
        <is>
          <t>three-way</t>
        </is>
      </c>
      <c r="B258" t="inlineStr">
        <is>
          <t>FICO x CHANNEL / REV_DEBT</t>
        </is>
      </c>
      <c r="C258" t="inlineStr">
        <is>
          <t>712 - 745</t>
        </is>
      </c>
      <c r="D258" t="inlineStr">
        <is>
          <t>Broker / REV_DEBT low half</t>
        </is>
      </c>
      <c r="E258" t="inlineStr">
        <is>
          <t>contribution_rate</t>
        </is>
      </c>
      <c r="F258" t="inlineStr">
        <is>
          <t>Contribution before losses per booked dollar</t>
        </is>
      </c>
      <c r="G258" t="n">
        <v>255</v>
      </c>
      <c r="H258" t="n">
        <v>8211437.449999999</v>
      </c>
      <c r="I258" t="b">
        <v>0</v>
      </c>
      <c r="J258" t="b">
        <v>0</v>
      </c>
      <c r="K258" t="n">
        <v>-0.06481049648858923</v>
      </c>
      <c r="L258" t="n">
        <v>0.0001761728589045857</v>
      </c>
      <c r="M258" t="n">
        <v>-0.02305640586403614</v>
      </c>
      <c r="N258" t="n">
        <v>0.0005142342908566286</v>
      </c>
      <c r="O258" t="n">
        <v>532187.338019495</v>
      </c>
      <c r="P258" t="n">
        <v>189326.234574346</v>
      </c>
      <c r="Q258">
        <f>'_live'!$C$24</f>
        <v/>
      </c>
      <c r="R258" t="inlineStr">
        <is>
          <t>shuffled: 0 of 10,000</t>
        </is>
      </c>
      <c r="S258" t="inlineStr">
        <is>
          <t>shuffled: 0 of 10,000</t>
        </is>
      </c>
      <c r="T258" t="n">
        <v>0.1716549674283271</v>
      </c>
      <c r="U258" t="n">
        <v>0.129900876803774</v>
      </c>
      <c r="V258">
        <f>AND(judged_band,NOT($J258))</f>
        <v/>
      </c>
      <c r="W258">
        <f>IF($K258="","",IF(profit_kind="test",IF(OR(NOT(AND(ISNUMBER($L258),$L258&lt;significance_bar)),$K258=0),"in line",IF($K258&lt;0,"worse","better")),IF(OR($K258=0,IF(profit_kind="points",ABS($K258),ABS($K258*$H258))&lt;profit_line*(1-1E-9)),"in line",IF(AND(ISNUMBER($L258),$L258&lt;significance_bar),IF($K258&lt;0,"worse","better"),IF($K258&lt;0,"worse, not significant","better, not significant")))))</f>
        <v/>
      </c>
      <c r="X258">
        <f>IF($M258="","",IF(profit_kind="test",IF(OR(NOT(AND(ISNUMBER($N258),$N258&lt;significance_bar)),$M258=0),"in line",IF($M258&lt;0,"worse","better")),IF(OR($M258=0,IF(profit_kind="points",ABS($M258),ABS($M258*$H258))&lt;profit_line*(1-1E-9)),"in line",IF(AND(ISNUMBER($N258),$N258&lt;significance_bar),IF($M258&lt;0,"worse","better"),IF($M258&lt;0,"worse, not significant","better, not significant")))))</f>
        <v/>
      </c>
      <c r="Y258">
        <f>IF($V258,$X258,$W258)</f>
        <v/>
      </c>
      <c r="Z258">
        <f>IF($V258,IF($P258="","",$P258),IF($O258="","",$O258))</f>
        <v/>
      </c>
      <c r="AA258">
        <f>IF(OR($Q258="",$Z258=""),"",IF(AND($Z258&gt;0,$Z258&gt;=$Q258),"yes","below the line"))</f>
        <v/>
      </c>
      <c r="AB258">
        <f>IF($V258,IF($M258="","",$M258),IF($K258="","",$K258))</f>
        <v/>
      </c>
      <c r="AC258">
        <f>IF($V258,IF($N258="","",$N258),IF($L258="","",$L258))</f>
        <v/>
      </c>
      <c r="AD258">
        <f>IF($Y258="","",IF($Y258="in line",IF(profit_kind="test",IF(ROUND($AB258*100,2)=0,"0.00",TEXT($AB258*100,"+0.00;-0.00"))&amp;" points against "&amp;IF($V258,"its band","the book")&amp;", "&amp;IF($AC258="","not tested","not significant"),IF(profit_kind="points","within "&amp;TEXT(profit_line*100,"0.00")&amp;" points of "&amp;IF($V258,"its band","the book")&amp;" ("&amp;IF(ROUND($AB258*100,2)=0,"0.00",TEXT($AB258*100,"+0.00;-0.00"))&amp;")","within $"&amp;TEXT(profit_line,"#,##0")&amp;" of "&amp;IF($V258,"its band","the book")&amp;" ("&amp;IF(ROUND($AB258*100,2)=0,"0.00",TEXT($AB258*100,"+0.00;-0.00"))&amp;" points)")),IF(LEFT($Y258,5)="worse","short of ","ahead of ")&amp;IF($V258,"its band","the book")&amp;" by "&amp;TEXT(ABS($AB258)*100,"0.00")&amp;" points"&amp;IF($Z258="",""," ($"&amp;TEXT(ABS($Z258),"#,##0")&amp;")")&amp;IF(RIGHT($Y258,15)="not significant"," (not significant)","")))</f>
        <v/>
      </c>
      <c r="AE258">
        <f>IF($V258,IF($S258="","",$S258),IF($R258="","",$R258))</f>
        <v/>
      </c>
      <c r="AF258">
        <f>IF($V258,IF($U258="","",$U258),IF($T258="","",$T258))</f>
        <v/>
      </c>
      <c r="AG258">
        <f>IF($V258,IF($O258="","",$O258),IF($P258="","",$P258))</f>
        <v/>
      </c>
      <c r="AH258" t="n">
        <v>0.1068444709397379</v>
      </c>
      <c r="AI258">
        <f>IF($Y258="worse","Yes",IF($Y258="worse, not significant","Not sure",IF(OR($Y258="too few losses to test",$Y258="too few loans to test"),"Too few losses",IF($Y258="","","No"))))</f>
        <v/>
      </c>
      <c r="AJ258">
        <f>IF($AA258="yes","Yes",IF($AA258="","","No"))</f>
        <v/>
      </c>
      <c r="AK258" t="n">
        <v>0.0001761728589045857</v>
      </c>
      <c r="AL258" t="n">
        <v>0.0005142342908566286</v>
      </c>
      <c r="AM258">
        <f>IF(AND(ISNUMBER($AC258),ISNUMBER(IF($V258,IF($AL258="","",$AL258),IF($AK258="","",$AK258)))),IF(AND(ABS($AC258-significance_bar)&lt;=2.0*IF($V258,IF($AL258="","",$AL258),IF($AK258="","",$AK258)),OR($Y258="worse",$Y258="better",$Y258="worse, not significant",$Y258="better, not significant",AND(profit_kind="test",$Y258="in line",ISNUMBER($AB258),$AB258&lt;&gt;0))),IF(ROUND($AC258,3)=ROUND(significance_bar,3),TEXT($AC258,"0.0000"),TEXT($AC258,"0.000")),""),"")</f>
        <v/>
      </c>
      <c r="AN258">
        <f>IF(AND(ISNUMBER($AC258),ISNUMBER(IF($V258,IF($AL258="","",$AL258),IF($AK258="","",$AK258)))),IF(AND(ABS($AC258-significance_bar)&lt;=2.0*IF($V258,IF($AL258="","",$AL258),IF($AK258="","",$AK258)),OR($Y258="worse",$Y258="worse, not significant",AND(profit_kind="test",$Y258="in line",ISNUMBER($AB258),$AB258&lt;0))),IF(ROUND($AC258,3)=ROUND(significance_bar,3),TEXT($AC258,"0.0000"),TEXT($AC258,"0.000")),""),"")</f>
        <v/>
      </c>
      <c r="AO258">
        <f>IF(OR($AI258="",$AN258=""),$AI258,$AI258&amp;" · borderline (p "&amp;$AN258&amp;")")</f>
        <v/>
      </c>
    </row>
    <row r="259">
      <c r="A259" t="inlineStr">
        <is>
          <t>three-way</t>
        </is>
      </c>
      <c r="B259" t="inlineStr">
        <is>
          <t>FICO x CHANNEL / REV_DEBT</t>
        </is>
      </c>
      <c r="C259" t="inlineStr">
        <is>
          <t>686 - 711</t>
        </is>
      </c>
      <c r="D259" t="inlineStr">
        <is>
          <t>Online / REV_DEBT high half</t>
        </is>
      </c>
      <c r="E259" t="inlineStr">
        <is>
          <t>outcome_loans</t>
        </is>
      </c>
      <c r="F259" t="inlineStr">
        <is>
          <t>Outcome, share of loans</t>
        </is>
      </c>
      <c r="G259" t="n">
        <v>273</v>
      </c>
      <c r="H259" t="n">
        <v>273</v>
      </c>
      <c r="I259" t="b">
        <v>0</v>
      </c>
      <c r="J259" t="b">
        <v>0</v>
      </c>
      <c r="K259" t="n">
        <v>1.542779764244841</v>
      </c>
      <c r="L259" t="n">
        <v>0.04010143541340817</v>
      </c>
      <c r="M259" t="n">
        <v>2.360805860805861</v>
      </c>
      <c r="N259" t="n">
        <v>0.0001389286621136752</v>
      </c>
      <c r="O259" t="n">
        <v>11.2582190007766</v>
      </c>
      <c r="P259" t="n">
        <v>18.44530643910008</v>
      </c>
      <c r="Q259">
        <f>'_live'!$C$20</f>
        <v/>
      </c>
      <c r="R259" t="inlineStr">
        <is>
          <t>z test</t>
        </is>
      </c>
      <c r="S259" t="inlineStr">
        <is>
          <t>z test</t>
        </is>
      </c>
      <c r="T259" t="n">
        <v>0.07597721977737509</v>
      </c>
      <c r="U259" t="n">
        <v>0.04965089216446858</v>
      </c>
      <c r="V259">
        <f>AND(judged_band,NOT($J259))</f>
        <v/>
      </c>
      <c r="W259">
        <f>IF($K259="","",IF($I259,"too few losses to test",IF(AND($K259&gt;better_at,$K259&lt;worse_at),"in line",IF($K259&gt;=worse_at,IF(AND(ISNUMBER($L259),$L259&lt;significance_bar),"worse","worse, not significant"),IF(AND(ISNUMBER($L259),$L259&lt;significance_bar),"better","better, not significant")))))</f>
        <v/>
      </c>
      <c r="X259">
        <f>IF($M259="","",IF($I259,"too few losses to test",IF(AND($M259&gt;better_at,$M259&lt;worse_at),"in line",IF($M259&gt;=worse_at,IF(AND(ISNUMBER($N259),$N259&lt;significance_bar),"worse","worse, not significant"),IF(AND(ISNUMBER($N259),$N259&lt;significance_bar),"better","better, not significant")))))</f>
        <v/>
      </c>
      <c r="Y259">
        <f>IF($V259,$X259,$W259)</f>
        <v/>
      </c>
      <c r="Z259">
        <f>IF($V259,IF($P259="","",$P259),IF($O259="","",$O259))</f>
        <v/>
      </c>
      <c r="AA259">
        <f>IF(OR($Q259="",$Z259=""),"",IF(AND($Z259&gt;0,$Z259&gt;=$Q259),"yes","below the line"))</f>
        <v/>
      </c>
      <c r="AB259">
        <f>IF($V259,IF($M259="","",$M259),IF($K259="","",$K259))</f>
        <v/>
      </c>
      <c r="AC259">
        <f>IF($V259,IF($N259="","",$N259),IF($L259="","",$L259))</f>
        <v/>
      </c>
      <c r="AD259">
        <f>$Y259</f>
        <v/>
      </c>
      <c r="AE259">
        <f>IF($V259,IF($S259="","",$S259),IF($R259="","",$R259))</f>
        <v/>
      </c>
      <c r="AF259">
        <f>IF($V259,IF($U259="","",$U259),IF($T259="","",$T259))</f>
        <v/>
      </c>
      <c r="AG259">
        <f>IF($V259,IF($O259="","",$O259),IF($P259="","",$P259))</f>
        <v/>
      </c>
      <c r="AH259" t="n">
        <v>0.1172161172161172</v>
      </c>
      <c r="AI259">
        <f>IF($Y259="worse","Yes",IF($Y259="worse, not significant","Not sure",IF(OR($Y259="too few losses to test",$Y259="too few loans to test"),"Too few losses",IF($Y259="","","No"))))</f>
        <v/>
      </c>
      <c r="AJ259">
        <f>IF($AA259="yes","Yes",IF($AA259="","","No"))</f>
        <v/>
      </c>
      <c r="AM259">
        <f>IF(AND(ISNUMBER($AC259),ISNUMBER(IF($V259,IF($AL259="","",$AL259),IF($AK259="","",$AK259)))),IF(AND(ABS($AC259-significance_bar)&lt;=2.0*IF($V259,IF($AL259="","",$AL259),IF($AK259="","",$AK259)),OR($Y259="worse",$Y259="better",$Y259="worse, not significant",$Y259="better, not significant")),IF(ROUND($AC259,3)=ROUND(significance_bar,3),TEXT($AC259,"0.0000"),TEXT($AC259,"0.000")),""),"")</f>
        <v/>
      </c>
      <c r="AN259">
        <f>IF(AND(ISNUMBER($AC259),ISNUMBER(IF($V259,IF($AL259="","",$AL259),IF($AK259="","",$AK259)))),IF(AND(ABS($AC259-significance_bar)&lt;=2.0*IF($V259,IF($AL259="","",$AL259),IF($AK259="","",$AK259)),OR($Y259="worse",$Y259="worse, not significant")),IF(ROUND($AC259,3)=ROUND(significance_bar,3),TEXT($AC259,"0.0000"),TEXT($AC259,"0.000")),""),"")</f>
        <v/>
      </c>
      <c r="AO259">
        <f>IF(OR($AI259="",$AN259=""),$AI259,$AI259&amp;" · borderline (p "&amp;$AN259&amp;")")</f>
        <v/>
      </c>
    </row>
    <row r="260">
      <c r="A260" t="inlineStr">
        <is>
          <t>three-way</t>
        </is>
      </c>
      <c r="B260" t="inlineStr">
        <is>
          <t>FICO x CHANNEL / REV_DEBT</t>
        </is>
      </c>
      <c r="C260" t="inlineStr">
        <is>
          <t>686 - 711</t>
        </is>
      </c>
      <c r="D260" t="inlineStr">
        <is>
          <t>Online / REV_DEBT high half</t>
        </is>
      </c>
      <c r="E260" t="inlineStr">
        <is>
          <t>outcome_booked</t>
        </is>
      </c>
      <c r="F260" t="inlineStr">
        <is>
          <t>Outcome, share of booked dollars</t>
        </is>
      </c>
      <c r="G260" t="n">
        <v>273</v>
      </c>
      <c r="H260" t="n">
        <v>9012046.389999999</v>
      </c>
      <c r="I260" t="b">
        <v>0</v>
      </c>
      <c r="J260" t="b">
        <v>0</v>
      </c>
      <c r="K260" t="n">
        <v>1.522982910157298</v>
      </c>
      <c r="L260" t="n">
        <v>0.07681231876812319</v>
      </c>
      <c r="M260" t="n">
        <v>2.484332954534354</v>
      </c>
      <c r="N260" t="n">
        <v>0.00114988501149885</v>
      </c>
      <c r="O260" t="n">
        <v>346352.9930102449</v>
      </c>
      <c r="P260" t="n">
        <v>602626.1966299185</v>
      </c>
      <c r="Q260">
        <f>'_live'!$C$21</f>
        <v/>
      </c>
      <c r="R260" t="inlineStr">
        <is>
          <t>shuffled: 304 of 10,000</t>
        </is>
      </c>
      <c r="S260" t="inlineStr">
        <is>
          <t>shuffled: 1 of 10,000</t>
        </is>
      </c>
      <c r="T260" t="n">
        <v>0.0734865787780033</v>
      </c>
      <c r="U260" t="n">
        <v>0.04504984060230538</v>
      </c>
      <c r="V260">
        <f>AND(judged_band,NOT($J260))</f>
        <v/>
      </c>
      <c r="W260">
        <f>IF($K260="","",IF($I260,"too few losses to test",IF(AND($K260&gt;better_at,$K260&lt;worse_at),"in line",IF($K260&gt;=worse_at,IF(AND(ISNUMBER($L260),$L260&lt;significance_bar),"worse","worse, not significant"),IF(AND(ISNUMBER($L260),$L260&lt;significance_bar),"better","better, not significant")))))</f>
        <v/>
      </c>
      <c r="X260">
        <f>IF($M260="","",IF($I260,"too few losses to test",IF(AND($M260&gt;better_at,$M260&lt;worse_at),"in line",IF($M260&gt;=worse_at,IF(AND(ISNUMBER($N260),$N260&lt;significance_bar),"worse","worse, not significant"),IF(AND(ISNUMBER($N260),$N260&lt;significance_bar),"better","better, not significant")))))</f>
        <v/>
      </c>
      <c r="Y260">
        <f>IF($V260,$X260,$W260)</f>
        <v/>
      </c>
      <c r="Z260">
        <f>IF($V260,IF($P260="","",$P260),IF($O260="","",$O260))</f>
        <v/>
      </c>
      <c r="AA260">
        <f>IF(OR($Q260="",$Z260=""),"",IF(AND($Z260&gt;0,$Z260&gt;=$Q260),"yes","below the line"))</f>
        <v/>
      </c>
      <c r="AB260">
        <f>IF($V260,IF($M260="","",$M260),IF($K260="","",$K260))</f>
        <v/>
      </c>
      <c r="AC260">
        <f>IF($V260,IF($N260="","",$N260),IF($L260="","",$L260))</f>
        <v/>
      </c>
      <c r="AD260">
        <f>$Y260</f>
        <v/>
      </c>
      <c r="AE260">
        <f>IF($V260,IF($S260="","",$S260),IF($R260="","",$R260))</f>
        <v/>
      </c>
      <c r="AF260">
        <f>IF($V260,IF($U260="","",$U260),IF($T260="","",$T260))</f>
        <v/>
      </c>
      <c r="AG260">
        <f>IF($V260,IF($O260="","",$O260),IF($P260="","",$P260))</f>
        <v/>
      </c>
      <c r="AH260" t="n">
        <v>0.111918803604827</v>
      </c>
      <c r="AI260">
        <f>IF($Y260="worse","Yes",IF($Y260="worse, not significant","Not sure",IF(OR($Y260="too few losses to test",$Y260="too few loans to test"),"Too few losses",IF($Y260="","","No"))))</f>
        <v/>
      </c>
      <c r="AJ260">
        <f>IF($AA260="yes","Yes",IF($AA260="","","No"))</f>
        <v/>
      </c>
      <c r="AK260" t="n">
        <v>0.004132410928890635</v>
      </c>
      <c r="AL260" t="n">
        <v>0.0008130508336247322</v>
      </c>
      <c r="AM260">
        <f>IF(AND(ISNUMBER($AC260),ISNUMBER(IF($V260,IF($AL260="","",$AL260),IF($AK260="","",$AK260)))),IF(AND(ABS($AC260-significance_bar)&lt;=2.0*IF($V260,IF($AL260="","",$AL260),IF($AK260="","",$AK260)),OR($Y260="worse",$Y260="better",$Y260="worse, not significant",$Y260="better, not significant")),IF(ROUND($AC260,3)=ROUND(significance_bar,3),TEXT($AC260,"0.0000"),TEXT($AC260,"0.000")),""),"")</f>
        <v/>
      </c>
      <c r="AN260">
        <f>IF(AND(ISNUMBER($AC260),ISNUMBER(IF($V260,IF($AL260="","",$AL260),IF($AK260="","",$AK260)))),IF(AND(ABS($AC260-significance_bar)&lt;=2.0*IF($V260,IF($AL260="","",$AL260),IF($AK260="","",$AK260)),OR($Y260="worse",$Y260="worse, not significant")),IF(ROUND($AC260,3)=ROUND(significance_bar,3),TEXT($AC260,"0.0000"),TEXT($AC260,"0.000")),""),"")</f>
        <v/>
      </c>
      <c r="AO260">
        <f>IF(OR($AI260="",$AN260=""),$AI260,$AI260&amp;" · borderline (p "&amp;$AN260&amp;")")</f>
        <v/>
      </c>
    </row>
    <row r="261">
      <c r="A261" t="inlineStr">
        <is>
          <t>three-way</t>
        </is>
      </c>
      <c r="B261" t="inlineStr">
        <is>
          <t>FICO x CHANNEL / REV_DEBT</t>
        </is>
      </c>
      <c r="C261" t="inlineStr">
        <is>
          <t>686 - 711</t>
        </is>
      </c>
      <c r="D261" t="inlineStr">
        <is>
          <t>Online / REV_DEBT high half</t>
        </is>
      </c>
      <c r="E261" t="inlineStr">
        <is>
          <t>gco_rate</t>
        </is>
      </c>
      <c r="F261" t="inlineStr">
        <is>
          <t>GCO per booked dollar</t>
        </is>
      </c>
      <c r="G261" t="n">
        <v>273</v>
      </c>
      <c r="H261" t="n">
        <v>9012046.389999999</v>
      </c>
      <c r="I261" t="b">
        <v>0</v>
      </c>
      <c r="J261" t="b">
        <v>0</v>
      </c>
      <c r="K261" t="n">
        <v>1.615779200984345</v>
      </c>
      <c r="L261" t="n">
        <v>0.04915758424157584</v>
      </c>
      <c r="M261" t="n">
        <v>2.724231933243186</v>
      </c>
      <c r="N261" t="n">
        <v>0.0007665900076659002</v>
      </c>
      <c r="O261" t="n">
        <v>226024.4250768297</v>
      </c>
      <c r="P261" t="n">
        <v>375373.8161724226</v>
      </c>
      <c r="Q261">
        <f>'_live'!$C$22</f>
        <v/>
      </c>
      <c r="R261" t="inlineStr">
        <is>
          <t>shuffled: 140 of 10,000</t>
        </is>
      </c>
      <c r="S261" t="inlineStr">
        <is>
          <t>shuffled: 0 of 10,000</t>
        </is>
      </c>
      <c r="T261" t="n">
        <v>0.04072929932212323</v>
      </c>
      <c r="U261" t="n">
        <v>0.02415710421432676</v>
      </c>
      <c r="V261">
        <f>AND(judged_band,NOT($J261))</f>
        <v/>
      </c>
      <c r="W261">
        <f>IF($K261="","",IF($I261,"too few losses to test",IF(AND($K261&gt;better_at,$K261&lt;worse_at),"in line",IF($K261&gt;=worse_at,IF(AND(ISNUMBER($L261),$L261&lt;significance_bar),"worse","worse, not significant"),IF(AND(ISNUMBER($L261),$L261&lt;significance_bar),"better","better, not significant")))))</f>
        <v/>
      </c>
      <c r="X261">
        <f>IF($M261="","",IF($I261,"too few losses to test",IF(AND($M261&gt;better_at,$M261&lt;worse_at),"in line",IF($M261&gt;=worse_at,IF(AND(ISNUMBER($N261),$N261&lt;significance_bar),"worse","worse, not significant"),IF(AND(ISNUMBER($N261),$N261&lt;significance_bar),"better","better, not significant")))))</f>
        <v/>
      </c>
      <c r="Y261">
        <f>IF($V261,$X261,$W261)</f>
        <v/>
      </c>
      <c r="Z261">
        <f>IF($V261,IF($P261="","",$P261),IF($O261="","",$O261))</f>
        <v/>
      </c>
      <c r="AA261">
        <f>IF(OR($Q261="",$Z261=""),"",IF(AND($Z261&gt;0,$Z261&gt;=$Q261),"yes","below the line"))</f>
        <v/>
      </c>
      <c r="AB261">
        <f>IF($V261,IF($M261="","",$M261),IF($K261="","",$K261))</f>
        <v/>
      </c>
      <c r="AC261">
        <f>IF($V261,IF($N261="","",$N261),IF($L261="","",$L261))</f>
        <v/>
      </c>
      <c r="AD261">
        <f>$Y261</f>
        <v/>
      </c>
      <c r="AE261">
        <f>IF($V261,IF($S261="","",$S261),IF($R261="","",$R261))</f>
        <v/>
      </c>
      <c r="AF261">
        <f>IF($V261,IF($U261="","",$U261),IF($T261="","",$T261))</f>
        <v/>
      </c>
      <c r="AG261">
        <f>IF($V261,IF($O261="","",$O261),IF($P261="","",$P261))</f>
        <v/>
      </c>
      <c r="AH261" t="n">
        <v>0.06580955471535249</v>
      </c>
      <c r="AI261">
        <f>IF($Y261="worse","Yes",IF($Y261="worse, not significant","Not sure",IF(OR($Y261="too few losses to test",$Y261="too few loans to test"),"Too few losses",IF($Y261="","","No"))))</f>
        <v/>
      </c>
      <c r="AJ261">
        <f>IF($AA261="yes","Yes",IF($AA261="","","No"))</f>
        <v/>
      </c>
      <c r="AK261" t="n">
        <v>0.003727084471890366</v>
      </c>
      <c r="AL261" t="n">
        <v>0.0007665900076659002</v>
      </c>
      <c r="AM261">
        <f>IF(AND(ISNUMBER($AC261),ISNUMBER(IF($V261,IF($AL261="","",$AL261),IF($AK261="","",$AK261)))),IF(AND(ABS($AC261-significance_bar)&lt;=2.0*IF($V261,IF($AL261="","",$AL261),IF($AK261="","",$AK261)),OR($Y261="worse",$Y261="better",$Y261="worse, not significant",$Y261="better, not significant")),IF(ROUND($AC261,3)=ROUND(significance_bar,3),TEXT($AC261,"0.0000"),TEXT($AC261,"0.000")),""),"")</f>
        <v/>
      </c>
      <c r="AN261">
        <f>IF(AND(ISNUMBER($AC261),ISNUMBER(IF($V261,IF($AL261="","",$AL261),IF($AK261="","",$AK261)))),IF(AND(ABS($AC261-significance_bar)&lt;=2.0*IF($V261,IF($AL261="","",$AL261),IF($AK261="","",$AK261)),OR($Y261="worse",$Y261="worse, not significant")),IF(ROUND($AC261,3)=ROUND(significance_bar,3),TEXT($AC261,"0.0000"),TEXT($AC261,"0.000")),""),"")</f>
        <v/>
      </c>
      <c r="AO261">
        <f>IF(OR($AI261="",$AN261=""),$AI261,$AI261&amp;" · borderline (p "&amp;$AN261&amp;")")</f>
        <v/>
      </c>
    </row>
    <row r="262">
      <c r="A262" t="inlineStr">
        <is>
          <t>three-way</t>
        </is>
      </c>
      <c r="B262" t="inlineStr">
        <is>
          <t>FICO x CHANNEL / REV_DEBT</t>
        </is>
      </c>
      <c r="C262" t="inlineStr">
        <is>
          <t>686 - 711</t>
        </is>
      </c>
      <c r="D262" t="inlineStr">
        <is>
          <t>Online / REV_DEBT high half</t>
        </is>
      </c>
      <c r="E262" t="inlineStr">
        <is>
          <t>ranr_rate</t>
        </is>
      </c>
      <c r="F262" t="inlineStr">
        <is>
          <t>Profit after losses: RANR per booked dollar</t>
        </is>
      </c>
      <c r="G262" t="n">
        <v>273</v>
      </c>
      <c r="H262" t="n">
        <v>9012046.389999999</v>
      </c>
      <c r="I262" t="b">
        <v>0</v>
      </c>
      <c r="J262" t="b">
        <v>0</v>
      </c>
      <c r="K262" t="n">
        <v>0.01286583995734911</v>
      </c>
      <c r="L262" t="n">
        <v>0.4253151607916132</v>
      </c>
      <c r="M262" t="n">
        <v>-0.001836053882719679</v>
      </c>
      <c r="N262" t="n">
        <v>0.9302952057735404</v>
      </c>
      <c r="O262" t="n">
        <v>-115947.5465419458</v>
      </c>
      <c r="P262" t="n">
        <v>16546.60276560928</v>
      </c>
      <c r="Q262">
        <f>'_live'!$C$23</f>
        <v/>
      </c>
      <c r="R262" t="inlineStr">
        <is>
          <t>shuffled: 2,988 of 10,000</t>
        </is>
      </c>
      <c r="S262" t="inlineStr">
        <is>
          <t>shuffled: 8,786 of 10,000</t>
        </is>
      </c>
      <c r="T262" t="n">
        <v>0.1275407597472492</v>
      </c>
      <c r="U262" t="n">
        <v>0.142242653587318</v>
      </c>
      <c r="V262">
        <f>AND(judged_band,NOT($J262))</f>
        <v/>
      </c>
      <c r="W262">
        <f>IF($K262="","",IF(profit_kind="test",IF(OR(NOT(AND(ISNUMBER($L262),$L262&lt;significance_bar)),$K262=0),"in line",IF($K262&lt;0,"worse","better")),IF(OR($K262=0,IF(profit_kind="points",ABS($K262),ABS($K262*$H262))&lt;profit_line*(1-1E-9)),"in line",IF(AND(ISNUMBER($L262),$L262&lt;significance_bar),IF($K262&lt;0,"worse","better"),IF($K262&lt;0,"worse, not significant","better, not significant")))))</f>
        <v/>
      </c>
      <c r="X262">
        <f>IF($M262="","",IF(profit_kind="test",IF(OR(NOT(AND(ISNUMBER($N262),$N262&lt;significance_bar)),$M262=0),"in line",IF($M262&lt;0,"worse","better")),IF(OR($M262=0,IF(profit_kind="points",ABS($M262),ABS($M262*$H262))&lt;profit_line*(1-1E-9)),"in line",IF(AND(ISNUMBER($N262),$N262&lt;significance_bar),IF($M262&lt;0,"worse","better"),IF($M262&lt;0,"worse, not significant","better, not significant")))))</f>
        <v/>
      </c>
      <c r="Y262">
        <f>IF($V262,$X262,$W262)</f>
        <v/>
      </c>
      <c r="Z262">
        <f>IF($V262,IF($P262="","",$P262),IF($O262="","",$O262))</f>
        <v/>
      </c>
      <c r="AA262">
        <f>IF(OR($Q262="",$Z262=""),"",IF(AND($Z262&gt;0,$Z262&gt;=$Q262),"yes","below the line"))</f>
        <v/>
      </c>
      <c r="AB262">
        <f>IF($V262,IF($M262="","",$M262),IF($K262="","",$K262))</f>
        <v/>
      </c>
      <c r="AC262">
        <f>IF($V262,IF($N262="","",$N262),IF($L262="","",$L262))</f>
        <v/>
      </c>
      <c r="AD262">
        <f>IF($Y262="","",IF($Y262="in line",IF(profit_kind="test",IF(ROUND($AB262*100,2)=0,"0.00",TEXT($AB262*100,"+0.00;-0.00"))&amp;" points against "&amp;IF($V262,"its band","the book")&amp;", "&amp;IF($AC262="","not tested","not significant"),IF(profit_kind="points","within "&amp;TEXT(profit_line*100,"0.00")&amp;" points of "&amp;IF($V262,"its band","the book")&amp;" ("&amp;IF(ROUND($AB262*100,2)=0,"0.00",TEXT($AB262*100,"+0.00;-0.00"))&amp;")","within $"&amp;TEXT(profit_line,"#,##0")&amp;" of "&amp;IF($V262,"its band","the book")&amp;" ("&amp;IF(ROUND($AB262*100,2)=0,"0.00",TEXT($AB262*100,"+0.00;-0.00"))&amp;" points)")),IF(LEFT($Y262,5)="worse","short of ","ahead of ")&amp;IF($V262,"its band","the book")&amp;" by "&amp;TEXT(ABS($AB262)*100,"0.00")&amp;" points"&amp;IF($Z262="",""," ($"&amp;TEXT(ABS($Z262),"#,##0")&amp;")")&amp;IF(RIGHT($Y262,15)="not significant"," (not significant)","")))</f>
        <v/>
      </c>
      <c r="AE262">
        <f>IF($V262,IF($S262="","",$S262),IF($R262="","",$R262))</f>
        <v/>
      </c>
      <c r="AF262">
        <f>IF($V262,IF($U262="","",$U262),IF($T262="","",$T262))</f>
        <v/>
      </c>
      <c r="AG262">
        <f>IF($V262,IF($O262="","",$O262),IF($P262="","",$P262))</f>
        <v/>
      </c>
      <c r="AH262" t="n">
        <v>0.1404065997045983</v>
      </c>
      <c r="AI262">
        <f>IF($Y262="worse","Yes",IF($Y262="worse, not significant","Not sure",IF(OR($Y262="too few losses to test",$Y262="too few loans to test"),"Too few losses",IF($Y262="","","No"))))</f>
        <v/>
      </c>
      <c r="AJ262">
        <f>IF($AA262="yes","Yes",IF($AA262="","","No"))</f>
        <v/>
      </c>
      <c r="AK262" t="n">
        <v>0.006514316574730613</v>
      </c>
      <c r="AL262" t="n">
        <v>0.00345787916629182</v>
      </c>
      <c r="AM262">
        <f>IF(AND(ISNUMBER($AC262),ISNUMBER(IF($V262,IF($AL262="","",$AL262),IF($AK262="","",$AK262)))),IF(AND(ABS($AC262-significance_bar)&lt;=2.0*IF($V262,IF($AL262="","",$AL262),IF($AK262="","",$AK262)),OR($Y262="worse",$Y262="better",$Y262="worse, not significant",$Y262="better, not significant",AND(profit_kind="test",$Y262="in line",ISNUMBER($AB262),$AB262&lt;&gt;0))),IF(ROUND($AC262,3)=ROUND(significance_bar,3),TEXT($AC262,"0.0000"),TEXT($AC262,"0.000")),""),"")</f>
        <v/>
      </c>
      <c r="AN262">
        <f>IF(AND(ISNUMBER($AC262),ISNUMBER(IF($V262,IF($AL262="","",$AL262),IF($AK262="","",$AK262)))),IF(AND(ABS($AC262-significance_bar)&lt;=2.0*IF($V262,IF($AL262="","",$AL262),IF($AK262="","",$AK262)),OR($Y262="worse",$Y262="worse, not significant",AND(profit_kind="test",$Y262="in line",ISNUMBER($AB262),$AB262&lt;0))),IF(ROUND($AC262,3)=ROUND(significance_bar,3),TEXT($AC262,"0.0000"),TEXT($AC262,"0.000")),""),"")</f>
        <v/>
      </c>
      <c r="AO262">
        <f>IF(OR($AI262="",$AN262=""),$AI262,$AI262&amp;" · borderline (p "&amp;$AN262&amp;")")</f>
        <v/>
      </c>
    </row>
    <row r="263">
      <c r="A263" t="inlineStr">
        <is>
          <t>three-way</t>
        </is>
      </c>
      <c r="B263" t="inlineStr">
        <is>
          <t>FICO x CHANNEL / REV_DEBT</t>
        </is>
      </c>
      <c r="C263" t="inlineStr">
        <is>
          <t>686 - 711</t>
        </is>
      </c>
      <c r="D263" t="inlineStr">
        <is>
          <t>Online / REV_DEBT high half</t>
        </is>
      </c>
      <c r="E263" t="inlineStr">
        <is>
          <t>contribution_rate</t>
        </is>
      </c>
      <c r="F263" t="inlineStr">
        <is>
          <t>Contribution before losses per booked dollar</t>
        </is>
      </c>
      <c r="G263" t="n">
        <v>273</v>
      </c>
      <c r="H263" t="n">
        <v>9012046.389999999</v>
      </c>
      <c r="I263" t="b">
        <v>0</v>
      </c>
      <c r="J263" t="b">
        <v>0</v>
      </c>
      <c r="K263" t="n">
        <v>0.03794912967559166</v>
      </c>
      <c r="L263" t="n">
        <v>0.0001761728589045857</v>
      </c>
      <c r="M263" t="n">
        <v>0.03981639661830599</v>
      </c>
      <c r="N263" t="n">
        <v>0.0005142342908566286</v>
      </c>
      <c r="O263" t="n">
        <v>-341999.3170965575</v>
      </c>
      <c r="P263" t="n">
        <v>-358827.2134068126</v>
      </c>
      <c r="Q263">
        <f>'_live'!$C$24</f>
        <v/>
      </c>
      <c r="R263" t="inlineStr">
        <is>
          <t>shuffled: 0 of 10,000</t>
        </is>
      </c>
      <c r="S263" t="inlineStr">
        <is>
          <t>shuffled: 0 of 10,000</t>
        </is>
      </c>
      <c r="T263" t="n">
        <v>0.1682670247443591</v>
      </c>
      <c r="U263" t="n">
        <v>0.1663997578016448</v>
      </c>
      <c r="V263">
        <f>AND(judged_band,NOT($J263))</f>
        <v/>
      </c>
      <c r="W263">
        <f>IF($K263="","",IF(profit_kind="test",IF(OR(NOT(AND(ISNUMBER($L263),$L263&lt;significance_bar)),$K263=0),"in line",IF($K263&lt;0,"worse","better")),IF(OR($K263=0,IF(profit_kind="points",ABS($K263),ABS($K263*$H263))&lt;profit_line*(1-1E-9)),"in line",IF(AND(ISNUMBER($L263),$L263&lt;significance_bar),IF($K263&lt;0,"worse","better"),IF($K263&lt;0,"worse, not significant","better, not significant")))))</f>
        <v/>
      </c>
      <c r="X263">
        <f>IF($M263="","",IF(profit_kind="test",IF(OR(NOT(AND(ISNUMBER($N263),$N263&lt;significance_bar)),$M263=0),"in line",IF($M263&lt;0,"worse","better")),IF(OR($M263=0,IF(profit_kind="points",ABS($M263),ABS($M263*$H263))&lt;profit_line*(1-1E-9)),"in line",IF(AND(ISNUMBER($N263),$N263&lt;significance_bar),IF($M263&lt;0,"worse","better"),IF($M263&lt;0,"worse, not significant","better, not significant")))))</f>
        <v/>
      </c>
      <c r="Y263">
        <f>IF($V263,$X263,$W263)</f>
        <v/>
      </c>
      <c r="Z263">
        <f>IF($V263,IF($P263="","",$P263),IF($O263="","",$O263))</f>
        <v/>
      </c>
      <c r="AA263">
        <f>IF(OR($Q263="",$Z263=""),"",IF(AND($Z263&gt;0,$Z263&gt;=$Q263),"yes","below the line"))</f>
        <v/>
      </c>
      <c r="AB263">
        <f>IF($V263,IF($M263="","",$M263),IF($K263="","",$K263))</f>
        <v/>
      </c>
      <c r="AC263">
        <f>IF($V263,IF($N263="","",$N263),IF($L263="","",$L263))</f>
        <v/>
      </c>
      <c r="AD263">
        <f>IF($Y263="","",IF($Y263="in line",IF(profit_kind="test",IF(ROUND($AB263*100,2)=0,"0.00",TEXT($AB263*100,"+0.00;-0.00"))&amp;" points against "&amp;IF($V263,"its band","the book")&amp;", "&amp;IF($AC263="","not tested","not significant"),IF(profit_kind="points","within "&amp;TEXT(profit_line*100,"0.00")&amp;" points of "&amp;IF($V263,"its band","the book")&amp;" ("&amp;IF(ROUND($AB263*100,2)=0,"0.00",TEXT($AB263*100,"+0.00;-0.00"))&amp;")","within $"&amp;TEXT(profit_line,"#,##0")&amp;" of "&amp;IF($V263,"its band","the book")&amp;" ("&amp;IF(ROUND($AB263*100,2)=0,"0.00",TEXT($AB263*100,"+0.00;-0.00"))&amp;" points)")),IF(LEFT($Y263,5)="worse","short of ","ahead of ")&amp;IF($V263,"its band","the book")&amp;" by "&amp;TEXT(ABS($AB263)*100,"0.00")&amp;" points"&amp;IF($Z263="",""," ($"&amp;TEXT(ABS($Z263),"#,##0")&amp;")")&amp;IF(RIGHT($Y263,15)="not significant"," (not significant)","")))</f>
        <v/>
      </c>
      <c r="AE263">
        <f>IF($V263,IF($S263="","",$S263),IF($R263="","",$R263))</f>
        <v/>
      </c>
      <c r="AF263">
        <f>IF($V263,IF($U263="","",$U263),IF($T263="","",$T263))</f>
        <v/>
      </c>
      <c r="AG263">
        <f>IF($V263,IF($O263="","",$O263),IF($P263="","",$P263))</f>
        <v/>
      </c>
      <c r="AH263" t="n">
        <v>0.2062161544199508</v>
      </c>
      <c r="AI263">
        <f>IF($Y263="worse","Yes",IF($Y263="worse, not significant","Not sure",IF(OR($Y263="too few losses to test",$Y263="too few loans to test"),"Too few losses",IF($Y263="","","No"))))</f>
        <v/>
      </c>
      <c r="AJ263">
        <f>IF($AA263="yes","Yes",IF($AA263="","","No"))</f>
        <v/>
      </c>
      <c r="AK263" t="n">
        <v>0.0001761728589045857</v>
      </c>
      <c r="AL263" t="n">
        <v>0.0005142342908566286</v>
      </c>
      <c r="AM263">
        <f>IF(AND(ISNUMBER($AC263),ISNUMBER(IF($V263,IF($AL263="","",$AL263),IF($AK263="","",$AK263)))),IF(AND(ABS($AC263-significance_bar)&lt;=2.0*IF($V263,IF($AL263="","",$AL263),IF($AK263="","",$AK263)),OR($Y263="worse",$Y263="better",$Y263="worse, not significant",$Y263="better, not significant",AND(profit_kind="test",$Y263="in line",ISNUMBER($AB263),$AB263&lt;&gt;0))),IF(ROUND($AC263,3)=ROUND(significance_bar,3),TEXT($AC263,"0.0000"),TEXT($AC263,"0.000")),""),"")</f>
        <v/>
      </c>
      <c r="AN263">
        <f>IF(AND(ISNUMBER($AC263),ISNUMBER(IF($V263,IF($AL263="","",$AL263),IF($AK263="","",$AK263)))),IF(AND(ABS($AC263-significance_bar)&lt;=2.0*IF($V263,IF($AL263="","",$AL263),IF($AK263="","",$AK263)),OR($Y263="worse",$Y263="worse, not significant",AND(profit_kind="test",$Y263="in line",ISNUMBER($AB263),$AB263&lt;0))),IF(ROUND($AC263,3)=ROUND(significance_bar,3),TEXT($AC263,"0.0000"),TEXT($AC263,"0.000")),""),"")</f>
        <v/>
      </c>
      <c r="AO263">
        <f>IF(OR($AI263="",$AN263=""),$AI263,$AI263&amp;" · borderline (p "&amp;$AN263&amp;")")</f>
        <v/>
      </c>
    </row>
    <row r="264">
      <c r="A264" t="inlineStr">
        <is>
          <t>three-way</t>
        </is>
      </c>
      <c r="B264" t="inlineStr">
        <is>
          <t>FICO x CHANNEL / REV_DEBT</t>
        </is>
      </c>
      <c r="C264" t="inlineStr">
        <is>
          <t>746 - 921</t>
        </is>
      </c>
      <c r="D264" t="inlineStr">
        <is>
          <t>Online / REV_DEBT low half</t>
        </is>
      </c>
      <c r="E264" t="inlineStr">
        <is>
          <t>outcome_loans</t>
        </is>
      </c>
      <c r="F264" t="inlineStr">
        <is>
          <t>Outcome, share of loans</t>
        </is>
      </c>
      <c r="G264" t="n">
        <v>259</v>
      </c>
      <c r="H264" t="n">
        <v>259</v>
      </c>
      <c r="I264" t="b">
        <v>1</v>
      </c>
      <c r="J264" t="b">
        <v>0</v>
      </c>
      <c r="K264" t="n">
        <v>0.4409139818975885</v>
      </c>
      <c r="M264" t="n">
        <v>0.860202520579879</v>
      </c>
      <c r="O264" t="n">
        <v>-11.41214470284238</v>
      </c>
      <c r="P264" t="n">
        <v>-1.46265243902439</v>
      </c>
      <c r="Q264">
        <f>'_live'!$C$20</f>
        <v/>
      </c>
      <c r="T264" t="n">
        <v>0.07881136950904392</v>
      </c>
      <c r="U264" t="n">
        <v>0.04039634146341464</v>
      </c>
      <c r="V264">
        <f>AND(judged_band,NOT($J264))</f>
        <v/>
      </c>
      <c r="W264">
        <f>IF($K264="","",IF($I264,"too few losses to test",IF(AND($K264&gt;better_at,$K264&lt;worse_at),"in line",IF($K264&gt;=worse_at,IF(AND(ISNUMBER($L264),$L264&lt;significance_bar),"worse","worse, not significant"),IF(AND(ISNUMBER($L264),$L264&lt;significance_bar),"better","better, not significant")))))</f>
        <v/>
      </c>
      <c r="X264">
        <f>IF($M264="","",IF($I264,"too few losses to test",IF(AND($M264&gt;better_at,$M264&lt;worse_at),"in line",IF($M264&gt;=worse_at,IF(AND(ISNUMBER($N264),$N264&lt;significance_bar),"worse","worse, not significant"),IF(AND(ISNUMBER($N264),$N264&lt;significance_bar),"better","better, not significant")))))</f>
        <v/>
      </c>
      <c r="Y264">
        <f>IF($V264,$X264,$W264)</f>
        <v/>
      </c>
      <c r="Z264">
        <f>IF($V264,IF($P264="","",$P264),IF($O264="","",$O264))</f>
        <v/>
      </c>
      <c r="AA264">
        <f>IF(OR($Q264="",$Z264=""),"",IF(AND($Z264&gt;0,$Z264&gt;=$Q264),"yes","below the line"))</f>
        <v/>
      </c>
      <c r="AB264">
        <f>IF($V264,IF($M264="","",$M264),IF($K264="","",$K264))</f>
        <v/>
      </c>
      <c r="AC264">
        <f>IF($V264,IF($N264="","",$N264),IF($L264="","",$L264))</f>
        <v/>
      </c>
      <c r="AD264">
        <f>$Y264</f>
        <v/>
      </c>
      <c r="AE264">
        <f>IF($V264,IF($S264="","",$S264),IF($R264="","",$R264))</f>
        <v/>
      </c>
      <c r="AF264">
        <f>IF($V264,IF($U264="","",$U264),IF($T264="","",$T264))</f>
        <v/>
      </c>
      <c r="AG264">
        <f>IF($V264,IF($O264="","",$O264),IF($P264="","",$P264))</f>
        <v/>
      </c>
      <c r="AH264" t="n">
        <v>0.03474903474903475</v>
      </c>
      <c r="AI264">
        <f>IF($Y264="worse","Yes",IF($Y264="worse, not significant","Not sure",IF(OR($Y264="too few losses to test",$Y264="too few loans to test"),"Too few losses",IF($Y264="","","No"))))</f>
        <v/>
      </c>
      <c r="AJ264">
        <f>IF($AA264="yes","Yes",IF($AA264="","","No"))</f>
        <v/>
      </c>
      <c r="AM264">
        <f>IF(AND(ISNUMBER($AC264),ISNUMBER(IF($V264,IF($AL264="","",$AL264),IF($AK264="","",$AK264)))),IF(AND(ABS($AC264-significance_bar)&lt;=2.0*IF($V264,IF($AL264="","",$AL264),IF($AK264="","",$AK264)),OR($Y264="worse",$Y264="better",$Y264="worse, not significant",$Y264="better, not significant")),IF(ROUND($AC264,3)=ROUND(significance_bar,3),TEXT($AC264,"0.0000"),TEXT($AC264,"0.000")),""),"")</f>
        <v/>
      </c>
      <c r="AN264">
        <f>IF(AND(ISNUMBER($AC264),ISNUMBER(IF($V264,IF($AL264="","",$AL264),IF($AK264="","",$AK264)))),IF(AND(ABS($AC264-significance_bar)&lt;=2.0*IF($V264,IF($AL264="","",$AL264),IF($AK264="","",$AK264)),OR($Y264="worse",$Y264="worse, not significant")),IF(ROUND($AC264,3)=ROUND(significance_bar,3),TEXT($AC264,"0.0000"),TEXT($AC264,"0.000")),""),"")</f>
        <v/>
      </c>
      <c r="AO264">
        <f>IF(OR($AI264="",$AN264=""),$AI264,$AI264&amp;" · borderline (p "&amp;$AN264&amp;")")</f>
        <v/>
      </c>
    </row>
    <row r="265">
      <c r="A265" t="inlineStr">
        <is>
          <t>three-way</t>
        </is>
      </c>
      <c r="B265" t="inlineStr">
        <is>
          <t>FICO x CHANNEL / REV_DEBT</t>
        </is>
      </c>
      <c r="C265" t="inlineStr">
        <is>
          <t>746 - 921</t>
        </is>
      </c>
      <c r="D265" t="inlineStr">
        <is>
          <t>Online / REV_DEBT low half</t>
        </is>
      </c>
      <c r="E265" t="inlineStr">
        <is>
          <t>outcome_booked</t>
        </is>
      </c>
      <c r="F265" t="inlineStr">
        <is>
          <t>Outcome, share of booked dollars</t>
        </is>
      </c>
      <c r="G265" t="n">
        <v>259</v>
      </c>
      <c r="H265" t="n">
        <v>8147257.770000005</v>
      </c>
      <c r="I265" t="b">
        <v>1</v>
      </c>
      <c r="J265" t="b">
        <v>0</v>
      </c>
      <c r="K265" t="n">
        <v>0.4710996916345098</v>
      </c>
      <c r="M265" t="n">
        <v>0.968457887718959</v>
      </c>
      <c r="O265" t="n">
        <v>-327920.3368623539</v>
      </c>
      <c r="P265" t="n">
        <v>-9512.997527857078</v>
      </c>
      <c r="Q265">
        <f>'_live'!$C$21</f>
        <v/>
      </c>
      <c r="T265" t="n">
        <v>0.07609972267544365</v>
      </c>
      <c r="U265" t="n">
        <v>0.03701818771935786</v>
      </c>
      <c r="V265">
        <f>AND(judged_band,NOT($J265))</f>
        <v/>
      </c>
      <c r="W265">
        <f>IF($K265="","",IF($I265,"too few losses to test",IF(AND($K265&gt;better_at,$K265&lt;worse_at),"in line",IF($K265&gt;=worse_at,IF(AND(ISNUMBER($L265),$L265&lt;significance_bar),"worse","worse, not significant"),IF(AND(ISNUMBER($L265),$L265&lt;significance_bar),"better","better, not significant")))))</f>
        <v/>
      </c>
      <c r="X265">
        <f>IF($M265="","",IF($I265,"too few losses to test",IF(AND($M265&gt;better_at,$M265&lt;worse_at),"in line",IF($M265&gt;=worse_at,IF(AND(ISNUMBER($N265),$N265&lt;significance_bar),"worse","worse, not significant"),IF(AND(ISNUMBER($N265),$N265&lt;significance_bar),"better","better, not significant")))))</f>
        <v/>
      </c>
      <c r="Y265">
        <f>IF($V265,$X265,$W265)</f>
        <v/>
      </c>
      <c r="Z265">
        <f>IF($V265,IF($P265="","",$P265),IF($O265="","",$O265))</f>
        <v/>
      </c>
      <c r="AA265">
        <f>IF(OR($Q265="",$Z265=""),"",IF(AND($Z265&gt;0,$Z265&gt;=$Q265),"yes","below the line"))</f>
        <v/>
      </c>
      <c r="AB265">
        <f>IF($V265,IF($M265="","",$M265),IF($K265="","",$K265))</f>
        <v/>
      </c>
      <c r="AC265">
        <f>IF($V265,IF($N265="","",$N265),IF($L265="","",$L265))</f>
        <v/>
      </c>
      <c r="AD265">
        <f>$Y265</f>
        <v/>
      </c>
      <c r="AE265">
        <f>IF($V265,IF($S265="","",$S265),IF($R265="","",$R265))</f>
        <v/>
      </c>
      <c r="AF265">
        <f>IF($V265,IF($U265="","",$U265),IF($T265="","",$T265))</f>
        <v/>
      </c>
      <c r="AG265">
        <f>IF($V265,IF($O265="","",$O265),IF($P265="","",$P265))</f>
        <v/>
      </c>
      <c r="AH265" t="n">
        <v>0.03585055588587322</v>
      </c>
      <c r="AI265">
        <f>IF($Y265="worse","Yes",IF($Y265="worse, not significant","Not sure",IF(OR($Y265="too few losses to test",$Y265="too few loans to test"),"Too few losses",IF($Y265="","","No"))))</f>
        <v/>
      </c>
      <c r="AJ265">
        <f>IF($AA265="yes","Yes",IF($AA265="","","No"))</f>
        <v/>
      </c>
      <c r="AM265">
        <f>IF(AND(ISNUMBER($AC265),ISNUMBER(IF($V265,IF($AL265="","",$AL265),IF($AK265="","",$AK265)))),IF(AND(ABS($AC265-significance_bar)&lt;=2.0*IF($V265,IF($AL265="","",$AL265),IF($AK265="","",$AK265)),OR($Y265="worse",$Y265="better",$Y265="worse, not significant",$Y265="better, not significant")),IF(ROUND($AC265,3)=ROUND(significance_bar,3),TEXT($AC265,"0.0000"),TEXT($AC265,"0.000")),""),"")</f>
        <v/>
      </c>
      <c r="AN265">
        <f>IF(AND(ISNUMBER($AC265),ISNUMBER(IF($V265,IF($AL265="","",$AL265),IF($AK265="","",$AK265)))),IF(AND(ABS($AC265-significance_bar)&lt;=2.0*IF($V265,IF($AL265="","",$AL265),IF($AK265="","",$AK265)),OR($Y265="worse",$Y265="worse, not significant")),IF(ROUND($AC265,3)=ROUND(significance_bar,3),TEXT($AC265,"0.0000"),TEXT($AC265,"0.000")),""),"")</f>
        <v/>
      </c>
      <c r="AO265">
        <f>IF(OR($AI265="",$AN265=""),$AI265,$AI265&amp;" · borderline (p "&amp;$AN265&amp;")")</f>
        <v/>
      </c>
    </row>
    <row r="266">
      <c r="A266" t="inlineStr">
        <is>
          <t>three-way</t>
        </is>
      </c>
      <c r="B266" t="inlineStr">
        <is>
          <t>FICO x CHANNEL / REV_DEBT</t>
        </is>
      </c>
      <c r="C266" t="inlineStr">
        <is>
          <t>746 - 921</t>
        </is>
      </c>
      <c r="D266" t="inlineStr">
        <is>
          <t>Online / REV_DEBT low half</t>
        </is>
      </c>
      <c r="E266" t="inlineStr">
        <is>
          <t>gco_rate</t>
        </is>
      </c>
      <c r="F266" t="inlineStr">
        <is>
          <t>GCO per booked dollar</t>
        </is>
      </c>
      <c r="G266" t="n">
        <v>259</v>
      </c>
      <c r="H266" t="n">
        <v>8147257.770000005</v>
      </c>
      <c r="I266" t="b">
        <v>1</v>
      </c>
      <c r="J266" t="b">
        <v>0</v>
      </c>
      <c r="K266" t="n">
        <v>0.4440207547675803</v>
      </c>
      <c r="M266" t="n">
        <v>0.9630778924738708</v>
      </c>
      <c r="O266" t="n">
        <v>-191827.1636722202</v>
      </c>
      <c r="P266" t="n">
        <v>-5873.26863824355</v>
      </c>
      <c r="Q266">
        <f>'_live'!$C$22</f>
        <v/>
      </c>
      <c r="T266" t="n">
        <v>0.0423486985943517</v>
      </c>
      <c r="U266" t="n">
        <v>0.01952459012945204</v>
      </c>
      <c r="V266">
        <f>AND(judged_band,NOT($J266))</f>
        <v/>
      </c>
      <c r="W266">
        <f>IF($K266="","",IF($I266,"too few losses to test",IF(AND($K266&gt;better_at,$K266&lt;worse_at),"in line",IF($K266&gt;=worse_at,IF(AND(ISNUMBER($L266),$L266&lt;significance_bar),"worse","worse, not significant"),IF(AND(ISNUMBER($L266),$L266&lt;significance_bar),"better","better, not significant")))))</f>
        <v/>
      </c>
      <c r="X266">
        <f>IF($M266="","",IF($I266,"too few losses to test",IF(AND($M266&gt;better_at,$M266&lt;worse_at),"in line",IF($M266&gt;=worse_at,IF(AND(ISNUMBER($N266),$N266&lt;significance_bar),"worse","worse, not significant"),IF(AND(ISNUMBER($N266),$N266&lt;significance_bar),"better","better, not significant")))))</f>
        <v/>
      </c>
      <c r="Y266">
        <f>IF($V266,$X266,$W266)</f>
        <v/>
      </c>
      <c r="Z266">
        <f>IF($V266,IF($P266="","",$P266),IF($O266="","",$O266))</f>
        <v/>
      </c>
      <c r="AA266">
        <f>IF(OR($Q266="",$Z266=""),"",IF(AND($Z266&gt;0,$Z266&gt;=$Q266),"yes","below the line"))</f>
        <v/>
      </c>
      <c r="AB266">
        <f>IF($V266,IF($M266="","",$M266),IF($K266="","",$K266))</f>
        <v/>
      </c>
      <c r="AC266">
        <f>IF($V266,IF($N266="","",$N266),IF($L266="","",$L266))</f>
        <v/>
      </c>
      <c r="AD266">
        <f>$Y266</f>
        <v/>
      </c>
      <c r="AE266">
        <f>IF($V266,IF($S266="","",$S266),IF($R266="","",$R266))</f>
        <v/>
      </c>
      <c r="AF266">
        <f>IF($V266,IF($U266="","",$U266),IF($T266="","",$T266))</f>
        <v/>
      </c>
      <c r="AG266">
        <f>IF($V266,IF($O266="","",$O266),IF($P266="","",$P266))</f>
        <v/>
      </c>
      <c r="AH266" t="n">
        <v>0.01880370111328881</v>
      </c>
      <c r="AI266">
        <f>IF($Y266="worse","Yes",IF($Y266="worse, not significant","Not sure",IF(OR($Y266="too few losses to test",$Y266="too few loans to test"),"Too few losses",IF($Y266="","","No"))))</f>
        <v/>
      </c>
      <c r="AJ266">
        <f>IF($AA266="yes","Yes",IF($AA266="","","No"))</f>
        <v/>
      </c>
      <c r="AM266">
        <f>IF(AND(ISNUMBER($AC266),ISNUMBER(IF($V266,IF($AL266="","",$AL266),IF($AK266="","",$AK266)))),IF(AND(ABS($AC266-significance_bar)&lt;=2.0*IF($V266,IF($AL266="","",$AL266),IF($AK266="","",$AK266)),OR($Y266="worse",$Y266="better",$Y266="worse, not significant",$Y266="better, not significant")),IF(ROUND($AC266,3)=ROUND(significance_bar,3),TEXT($AC266,"0.0000"),TEXT($AC266,"0.000")),""),"")</f>
        <v/>
      </c>
      <c r="AN266">
        <f>IF(AND(ISNUMBER($AC266),ISNUMBER(IF($V266,IF($AL266="","",$AL266),IF($AK266="","",$AK266)))),IF(AND(ABS($AC266-significance_bar)&lt;=2.0*IF($V266,IF($AL266="","",$AL266),IF($AK266="","",$AK266)),OR($Y266="worse",$Y266="worse, not significant")),IF(ROUND($AC266,3)=ROUND(significance_bar,3),TEXT($AC266,"0.0000"),TEXT($AC266,"0.000")),""),"")</f>
        <v/>
      </c>
      <c r="AO266">
        <f>IF(OR($AI266="",$AN266=""),$AI266,$AI266&amp;" · borderline (p "&amp;$AN266&amp;")")</f>
        <v/>
      </c>
    </row>
    <row r="267">
      <c r="A267" t="inlineStr">
        <is>
          <t>three-way</t>
        </is>
      </c>
      <c r="B267" t="inlineStr">
        <is>
          <t>FICO x CHANNEL / REV_DEBT</t>
        </is>
      </c>
      <c r="C267" t="inlineStr">
        <is>
          <t>746 - 921</t>
        </is>
      </c>
      <c r="D267" t="inlineStr">
        <is>
          <t>Online / REV_DEBT low half</t>
        </is>
      </c>
      <c r="E267" t="inlineStr">
        <is>
          <t>ranr_rate</t>
        </is>
      </c>
      <c r="F267" t="inlineStr">
        <is>
          <t>Profit after losses: RANR per booked dollar</t>
        </is>
      </c>
      <c r="G267" t="n">
        <v>259</v>
      </c>
      <c r="H267" t="n">
        <v>8147257.770000005</v>
      </c>
      <c r="I267" t="b">
        <v>0</v>
      </c>
      <c r="J267" t="b">
        <v>0</v>
      </c>
      <c r="K267" t="n">
        <v>-0.08657006072672041</v>
      </c>
      <c r="L267" t="n">
        <v>0.0002466420024664201</v>
      </c>
      <c r="M267" t="n">
        <v>-0.003088403251555821</v>
      </c>
      <c r="N267" t="n">
        <v>0.8927107289271073</v>
      </c>
      <c r="O267" t="n">
        <v>705308.5999051454</v>
      </c>
      <c r="P267" t="n">
        <v>25162.01738813141</v>
      </c>
      <c r="Q267">
        <f>'_live'!$C$23</f>
        <v/>
      </c>
      <c r="R267" t="inlineStr">
        <is>
          <t>shuffled: 0 of 10,000</t>
        </is>
      </c>
      <c r="S267" t="inlineStr">
        <is>
          <t>shuffled: 6,987 of 10,000</t>
        </is>
      </c>
      <c r="T267" t="n">
        <v>0.1307230788532108</v>
      </c>
      <c r="U267" t="n">
        <v>0.04724142137804623</v>
      </c>
      <c r="V267">
        <f>AND(judged_band,NOT($J267))</f>
        <v/>
      </c>
      <c r="W267">
        <f>IF($K267="","",IF(profit_kind="test",IF(OR(NOT(AND(ISNUMBER($L267),$L267&lt;significance_bar)),$K267=0),"in line",IF($K267&lt;0,"worse","better")),IF(OR($K267=0,IF(profit_kind="points",ABS($K267),ABS($K267*$H267))&lt;profit_line*(1-1E-9)),"in line",IF(AND(ISNUMBER($L267),$L267&lt;significance_bar),IF($K267&lt;0,"worse","better"),IF($K267&lt;0,"worse, not significant","better, not significant")))))</f>
        <v/>
      </c>
      <c r="X267">
        <f>IF($M267="","",IF(profit_kind="test",IF(OR(NOT(AND(ISNUMBER($N267),$N267&lt;significance_bar)),$M267=0),"in line",IF($M267&lt;0,"worse","better")),IF(OR($M267=0,IF(profit_kind="points",ABS($M267),ABS($M267*$H267))&lt;profit_line*(1-1E-9)),"in line",IF(AND(ISNUMBER($N267),$N267&lt;significance_bar),IF($M267&lt;0,"worse","better"),IF($M267&lt;0,"worse, not significant","better, not significant")))))</f>
        <v/>
      </c>
      <c r="Y267">
        <f>IF($V267,$X267,$W267)</f>
        <v/>
      </c>
      <c r="Z267">
        <f>IF($V267,IF($P267="","",$P267),IF($O267="","",$O267))</f>
        <v/>
      </c>
      <c r="AA267">
        <f>IF(OR($Q267="",$Z267=""),"",IF(AND($Z267&gt;0,$Z267&gt;=$Q267),"yes","below the line"))</f>
        <v/>
      </c>
      <c r="AB267">
        <f>IF($V267,IF($M267="","",$M267),IF($K267="","",$K267))</f>
        <v/>
      </c>
      <c r="AC267">
        <f>IF($V267,IF($N267="","",$N267),IF($L267="","",$L267))</f>
        <v/>
      </c>
      <c r="AD267">
        <f>IF($Y267="","",IF($Y267="in line",IF(profit_kind="test",IF(ROUND($AB267*100,2)=0,"0.00",TEXT($AB267*100,"+0.00;-0.00"))&amp;" points against "&amp;IF($V267,"its band","the book")&amp;", "&amp;IF($AC267="","not tested","not significant"),IF(profit_kind="points","within "&amp;TEXT(profit_line*100,"0.00")&amp;" points of "&amp;IF($V267,"its band","the book")&amp;" ("&amp;IF(ROUND($AB267*100,2)=0,"0.00",TEXT($AB267*100,"+0.00;-0.00"))&amp;")","within $"&amp;TEXT(profit_line,"#,##0")&amp;" of "&amp;IF($V267,"its band","the book")&amp;" ("&amp;IF(ROUND($AB267*100,2)=0,"0.00",TEXT($AB267*100,"+0.00;-0.00"))&amp;" points)")),IF(LEFT($Y267,5)="worse","short of ","ahead of ")&amp;IF($V267,"its band","the book")&amp;" by "&amp;TEXT(ABS($AB267)*100,"0.00")&amp;" points"&amp;IF($Z267="",""," ($"&amp;TEXT(ABS($Z267),"#,##0")&amp;")")&amp;IF(RIGHT($Y267,15)="not significant"," (not significant)","")))</f>
        <v/>
      </c>
      <c r="AE267">
        <f>IF($V267,IF($S267="","",$S267),IF($R267="","",$R267))</f>
        <v/>
      </c>
      <c r="AF267">
        <f>IF($V267,IF($U267="","",$U267),IF($T267="","",$T267))</f>
        <v/>
      </c>
      <c r="AG267">
        <f>IF($V267,IF($O267="","",$O267),IF($P267="","",$P267))</f>
        <v/>
      </c>
      <c r="AH267" t="n">
        <v>0.04415301812649041</v>
      </c>
      <c r="AI267">
        <f>IF($Y267="worse","Yes",IF($Y267="worse, not significant","Not sure",IF(OR($Y267="too few losses to test",$Y267="too few loans to test"),"Too few losses",IF($Y267="","","No"))))</f>
        <v/>
      </c>
      <c r="AJ267">
        <f>IF($AA267="yes","Yes",IF($AA267="","","No"))</f>
        <v/>
      </c>
      <c r="AK267" t="n">
        <v>0.0002466420024664201</v>
      </c>
      <c r="AL267" t="n">
        <v>0.005237560779322389</v>
      </c>
      <c r="AM267">
        <f>IF(AND(ISNUMBER($AC267),ISNUMBER(IF($V267,IF($AL267="","",$AL267),IF($AK267="","",$AK267)))),IF(AND(ABS($AC267-significance_bar)&lt;=2.0*IF($V267,IF($AL267="","",$AL267),IF($AK267="","",$AK267)),OR($Y267="worse",$Y267="better",$Y267="worse, not significant",$Y267="better, not significant",AND(profit_kind="test",$Y267="in line",ISNUMBER($AB267),$AB267&lt;&gt;0))),IF(ROUND($AC267,3)=ROUND(significance_bar,3),TEXT($AC267,"0.0000"),TEXT($AC267,"0.000")),""),"")</f>
        <v/>
      </c>
      <c r="AN267">
        <f>IF(AND(ISNUMBER($AC267),ISNUMBER(IF($V267,IF($AL267="","",$AL267),IF($AK267="","",$AK267)))),IF(AND(ABS($AC267-significance_bar)&lt;=2.0*IF($V267,IF($AL267="","",$AL267),IF($AK267="","",$AK267)),OR($Y267="worse",$Y267="worse, not significant",AND(profit_kind="test",$Y267="in line",ISNUMBER($AB267),$AB267&lt;0))),IF(ROUND($AC267,3)=ROUND(significance_bar,3),TEXT($AC267,"0.0000"),TEXT($AC267,"0.000")),""),"")</f>
        <v/>
      </c>
      <c r="AO267">
        <f>IF(OR($AI267="",$AN267=""),$AI267,$AI267&amp;" · borderline (p "&amp;$AN267&amp;")")</f>
        <v/>
      </c>
    </row>
    <row r="268">
      <c r="A268" t="inlineStr">
        <is>
          <t>three-way</t>
        </is>
      </c>
      <c r="B268" t="inlineStr">
        <is>
          <t>FICO x CHANNEL / REV_DEBT</t>
        </is>
      </c>
      <c r="C268" t="inlineStr">
        <is>
          <t>746 - 921</t>
        </is>
      </c>
      <c r="D268" t="inlineStr">
        <is>
          <t>Online / REV_DEBT low half</t>
        </is>
      </c>
      <c r="E268" t="inlineStr">
        <is>
          <t>contribution_rate</t>
        </is>
      </c>
      <c r="F268" t="inlineStr">
        <is>
          <t>Contribution before losses per booked dollar</t>
        </is>
      </c>
      <c r="G268" t="n">
        <v>259</v>
      </c>
      <c r="H268" t="n">
        <v>8147257.770000005</v>
      </c>
      <c r="I268" t="b">
        <v>0</v>
      </c>
      <c r="J268" t="b">
        <v>0</v>
      </c>
      <c r="K268" t="n">
        <v>-0.1101125397775743</v>
      </c>
      <c r="L268" t="n">
        <v>0.0001761728589045857</v>
      </c>
      <c r="M268" t="n">
        <v>-0.003809292267719033</v>
      </c>
      <c r="N268" t="n">
        <v>0.1873707366105495</v>
      </c>
      <c r="O268" t="n">
        <v>897115.2452772772</v>
      </c>
      <c r="P268" t="n">
        <v>31035.28602637484</v>
      </c>
      <c r="Q268">
        <f>'_live'!$C$24</f>
        <v/>
      </c>
      <c r="R268" t="inlineStr">
        <is>
          <t>shuffled: 0 of 10,000</t>
        </is>
      </c>
      <c r="S268" t="inlineStr">
        <is>
          <t>shuffled: 988 of 10,000</t>
        </is>
      </c>
      <c r="T268" t="n">
        <v>0.1730692590173536</v>
      </c>
      <c r="U268" t="n">
        <v>0.06676601150749825</v>
      </c>
      <c r="V268">
        <f>AND(judged_band,NOT($J268))</f>
        <v/>
      </c>
      <c r="W268">
        <f>IF($K268="","",IF(profit_kind="test",IF(OR(NOT(AND(ISNUMBER($L268),$L268&lt;significance_bar)),$K268=0),"in line",IF($K268&lt;0,"worse","better")),IF(OR($K268=0,IF(profit_kind="points",ABS($K268),ABS($K268*$H268))&lt;profit_line*(1-1E-9)),"in line",IF(AND(ISNUMBER($L268),$L268&lt;significance_bar),IF($K268&lt;0,"worse","better"),IF($K268&lt;0,"worse, not significant","better, not significant")))))</f>
        <v/>
      </c>
      <c r="X268">
        <f>IF($M268="","",IF(profit_kind="test",IF(OR(NOT(AND(ISNUMBER($N268),$N268&lt;significance_bar)),$M268=0),"in line",IF($M268&lt;0,"worse","better")),IF(OR($M268=0,IF(profit_kind="points",ABS($M268),ABS($M268*$H268))&lt;profit_line*(1-1E-9)),"in line",IF(AND(ISNUMBER($N268),$N268&lt;significance_bar),IF($M268&lt;0,"worse","better"),IF($M268&lt;0,"worse, not significant","better, not significant")))))</f>
        <v/>
      </c>
      <c r="Y268">
        <f>IF($V268,$X268,$W268)</f>
        <v/>
      </c>
      <c r="Z268">
        <f>IF($V268,IF($P268="","",$P268),IF($O268="","",$O268))</f>
        <v/>
      </c>
      <c r="AA268">
        <f>IF(OR($Q268="",$Z268=""),"",IF(AND($Z268&gt;0,$Z268&gt;=$Q268),"yes","below the line"))</f>
        <v/>
      </c>
      <c r="AB268">
        <f>IF($V268,IF($M268="","",$M268),IF($K268="","",$K268))</f>
        <v/>
      </c>
      <c r="AC268">
        <f>IF($V268,IF($N268="","",$N268),IF($L268="","",$L268))</f>
        <v/>
      </c>
      <c r="AD268">
        <f>IF($Y268="","",IF($Y268="in line",IF(profit_kind="test",IF(ROUND($AB268*100,2)=0,"0.00",TEXT($AB268*100,"+0.00;-0.00"))&amp;" points against "&amp;IF($V268,"its band","the book")&amp;", "&amp;IF($AC268="","not tested","not significant"),IF(profit_kind="points","within "&amp;TEXT(profit_line*100,"0.00")&amp;" points of "&amp;IF($V268,"its band","the book")&amp;" ("&amp;IF(ROUND($AB268*100,2)=0,"0.00",TEXT($AB268*100,"+0.00;-0.00"))&amp;")","within $"&amp;TEXT(profit_line,"#,##0")&amp;" of "&amp;IF($V268,"its band","the book")&amp;" ("&amp;IF(ROUND($AB268*100,2)=0,"0.00",TEXT($AB268*100,"+0.00;-0.00"))&amp;" points)")),IF(LEFT($Y268,5)="worse","short of ","ahead of ")&amp;IF($V268,"its band","the book")&amp;" by "&amp;TEXT(ABS($AB268)*100,"0.00")&amp;" points"&amp;IF($Z268="",""," ($"&amp;TEXT(ABS($Z268),"#,##0")&amp;")")&amp;IF(RIGHT($Y268,15)="not significant"," (not significant)","")))</f>
        <v/>
      </c>
      <c r="AE268">
        <f>IF($V268,IF($S268="","",$S268),IF($R268="","",$R268))</f>
        <v/>
      </c>
      <c r="AF268">
        <f>IF($V268,IF($U268="","",$U268),IF($T268="","",$T268))</f>
        <v/>
      </c>
      <c r="AG268">
        <f>IF($V268,IF($O268="","",$O268),IF($P268="","",$P268))</f>
        <v/>
      </c>
      <c r="AH268" t="n">
        <v>0.06295671923977922</v>
      </c>
      <c r="AI268">
        <f>IF($Y268="worse","Yes",IF($Y268="worse, not significant","Not sure",IF(OR($Y268="too few losses to test",$Y268="too few loans to test"),"Too few losses",IF($Y268="","","No"))))</f>
        <v/>
      </c>
      <c r="AJ268">
        <f>IF($AA268="yes","Yes",IF($AA268="","","No"))</f>
        <v/>
      </c>
      <c r="AK268" t="n">
        <v>0.0001761728589045857</v>
      </c>
      <c r="AL268" t="n">
        <v>0.005656062630933552</v>
      </c>
      <c r="AM268">
        <f>IF(AND(ISNUMBER($AC268),ISNUMBER(IF($V268,IF($AL268="","",$AL268),IF($AK268="","",$AK268)))),IF(AND(ABS($AC268-significance_bar)&lt;=2.0*IF($V268,IF($AL268="","",$AL268),IF($AK268="","",$AK268)),OR($Y268="worse",$Y268="better",$Y268="worse, not significant",$Y268="better, not significant",AND(profit_kind="test",$Y268="in line",ISNUMBER($AB268),$AB268&lt;&gt;0))),IF(ROUND($AC268,3)=ROUND(significance_bar,3),TEXT($AC268,"0.0000"),TEXT($AC268,"0.000")),""),"")</f>
        <v/>
      </c>
      <c r="AN268">
        <f>IF(AND(ISNUMBER($AC268),ISNUMBER(IF($V268,IF($AL268="","",$AL268),IF($AK268="","",$AK268)))),IF(AND(ABS($AC268-significance_bar)&lt;=2.0*IF($V268,IF($AL268="","",$AL268),IF($AK268="","",$AK268)),OR($Y268="worse",$Y268="worse, not significant",AND(profit_kind="test",$Y268="in line",ISNUMBER($AB268),$AB268&lt;0))),IF(ROUND($AC268,3)=ROUND(significance_bar,3),TEXT($AC268,"0.0000"),TEXT($AC268,"0.000")),""),"")</f>
        <v/>
      </c>
      <c r="AO268">
        <f>IF(OR($AI268="",$AN268=""),$AI268,$AI268&amp;" · borderline (p "&amp;$AN268&amp;")")</f>
        <v/>
      </c>
    </row>
    <row r="269">
      <c r="A269" t="inlineStr">
        <is>
          <t>three-way</t>
        </is>
      </c>
      <c r="B269" t="inlineStr">
        <is>
          <t>FICO x CHANNEL / REV_DEBT</t>
        </is>
      </c>
      <c r="C269" t="inlineStr">
        <is>
          <t>496 - 653</t>
        </is>
      </c>
      <c r="D269" t="inlineStr">
        <is>
          <t>Broker / REV_DEBT high half</t>
        </is>
      </c>
      <c r="E269" t="inlineStr">
        <is>
          <t>outcome_loans</t>
        </is>
      </c>
      <c r="F269" t="inlineStr">
        <is>
          <t>Outcome, share of loans</t>
        </is>
      </c>
      <c r="G269" t="n">
        <v>261</v>
      </c>
      <c r="H269" t="n">
        <v>261</v>
      </c>
      <c r="I269" t="b">
        <v>0</v>
      </c>
      <c r="J269" t="b">
        <v>0</v>
      </c>
      <c r="K269" t="n">
        <v>5.241860058563874</v>
      </c>
      <c r="L269" t="n">
        <v>1.517884715456573e-64</v>
      </c>
      <c r="M269" t="n">
        <v>3.270074182766773</v>
      </c>
      <c r="N269" t="n">
        <v>4.765406899205852e-23</v>
      </c>
      <c r="O269" t="n">
        <v>75.25820625484621</v>
      </c>
      <c r="P269" t="n">
        <v>64.56027820710975</v>
      </c>
      <c r="Q269">
        <f>'_live'!$C$20</f>
        <v/>
      </c>
      <c r="R269" t="inlineStr">
        <is>
          <t>z test</t>
        </is>
      </c>
      <c r="S269" t="inlineStr">
        <is>
          <t>z test</t>
        </is>
      </c>
      <c r="T269" t="n">
        <v>0.06797622124579995</v>
      </c>
      <c r="U269" t="n">
        <v>0.1089644513137558</v>
      </c>
      <c r="V269">
        <f>AND(judged_band,NOT($J269))</f>
        <v/>
      </c>
      <c r="W269">
        <f>IF($K269="","",IF($I269,"too few losses to test",IF(AND($K269&gt;better_at,$K269&lt;worse_at),"in line",IF($K269&gt;=worse_at,IF(AND(ISNUMBER($L269),$L269&lt;significance_bar),"worse","worse, not significant"),IF(AND(ISNUMBER($L269),$L269&lt;significance_bar),"better","better, not significant")))))</f>
        <v/>
      </c>
      <c r="X269">
        <f>IF($M269="","",IF($I269,"too few losses to test",IF(AND($M269&gt;better_at,$M269&lt;worse_at),"in line",IF($M269&gt;=worse_at,IF(AND(ISNUMBER($N269),$N269&lt;significance_bar),"worse","worse, not significant"),IF(AND(ISNUMBER($N269),$N269&lt;significance_bar),"better","better, not significant")))))</f>
        <v/>
      </c>
      <c r="Y269">
        <f>IF($V269,$X269,$W269)</f>
        <v/>
      </c>
      <c r="Z269">
        <f>IF($V269,IF($P269="","",$P269),IF($O269="","",$O269))</f>
        <v/>
      </c>
      <c r="AA269">
        <f>IF(OR($Q269="",$Z269=""),"",IF(AND($Z269&gt;0,$Z269&gt;=$Q269),"yes","below the line"))</f>
        <v/>
      </c>
      <c r="AB269">
        <f>IF($V269,IF($M269="","",$M269),IF($K269="","",$K269))</f>
        <v/>
      </c>
      <c r="AC269">
        <f>IF($V269,IF($N269="","",$N269),IF($L269="","",$L269))</f>
        <v/>
      </c>
      <c r="AD269">
        <f>$Y269</f>
        <v/>
      </c>
      <c r="AE269">
        <f>IF($V269,IF($S269="","",$S269),IF($R269="","",$R269))</f>
        <v/>
      </c>
      <c r="AF269">
        <f>IF($V269,IF($U269="","",$U269),IF($T269="","",$T269))</f>
        <v/>
      </c>
      <c r="AG269">
        <f>IF($V269,IF($O269="","",$O269),IF($P269="","",$P269))</f>
        <v/>
      </c>
      <c r="AH269" t="n">
        <v>0.3563218390804598</v>
      </c>
      <c r="AI269">
        <f>IF($Y269="worse","Yes",IF($Y269="worse, not significant","Not sure",IF(OR($Y269="too few losses to test",$Y269="too few loans to test"),"Too few losses",IF($Y269="","","No"))))</f>
        <v/>
      </c>
      <c r="AJ269">
        <f>IF($AA269="yes","Yes",IF($AA269="","","No"))</f>
        <v/>
      </c>
      <c r="AM269">
        <f>IF(AND(ISNUMBER($AC269),ISNUMBER(IF($V269,IF($AL269="","",$AL269),IF($AK269="","",$AK269)))),IF(AND(ABS($AC269-significance_bar)&lt;=2.0*IF($V269,IF($AL269="","",$AL269),IF($AK269="","",$AK269)),OR($Y269="worse",$Y269="better",$Y269="worse, not significant",$Y269="better, not significant")),IF(ROUND($AC269,3)=ROUND(significance_bar,3),TEXT($AC269,"0.0000"),TEXT($AC269,"0.000")),""),"")</f>
        <v/>
      </c>
      <c r="AN269">
        <f>IF(AND(ISNUMBER($AC269),ISNUMBER(IF($V269,IF($AL269="","",$AL269),IF($AK269="","",$AK269)))),IF(AND(ABS($AC269-significance_bar)&lt;=2.0*IF($V269,IF($AL269="","",$AL269),IF($AK269="","",$AK269)),OR($Y269="worse",$Y269="worse, not significant")),IF(ROUND($AC269,3)=ROUND(significance_bar,3),TEXT($AC269,"0.0000"),TEXT($AC269,"0.000")),""),"")</f>
        <v/>
      </c>
      <c r="AO269">
        <f>IF(OR($AI269="",$AN269=""),$AI269,$AI269&amp;" · borderline (p "&amp;$AN269&amp;")")</f>
        <v/>
      </c>
    </row>
    <row r="270">
      <c r="A270" t="inlineStr">
        <is>
          <t>three-way</t>
        </is>
      </c>
      <c r="B270" t="inlineStr">
        <is>
          <t>FICO x CHANNEL / REV_DEBT</t>
        </is>
      </c>
      <c r="C270" t="inlineStr">
        <is>
          <t>496 - 653</t>
        </is>
      </c>
      <c r="D270" t="inlineStr">
        <is>
          <t>Broker / REV_DEBT high half</t>
        </is>
      </c>
      <c r="E270" t="inlineStr">
        <is>
          <t>outcome_booked</t>
        </is>
      </c>
      <c r="F270" t="inlineStr">
        <is>
          <t>Outcome, share of booked dollars</t>
        </is>
      </c>
      <c r="G270" t="n">
        <v>261</v>
      </c>
      <c r="H270" t="n">
        <v>8288107.580000003</v>
      </c>
      <c r="I270" t="b">
        <v>0</v>
      </c>
      <c r="J270" t="b">
        <v>0</v>
      </c>
      <c r="K270" t="n">
        <v>5.080896792203997</v>
      </c>
      <c r="L270" t="n">
        <v>0.00114988501149885</v>
      </c>
      <c r="M270" t="n">
        <v>2.984242372177677</v>
      </c>
      <c r="N270" t="n">
        <v>0.00114988501149885</v>
      </c>
      <c r="O270" t="n">
        <v>2237621.499059564</v>
      </c>
      <c r="P270" t="n">
        <v>1852388.238765582</v>
      </c>
      <c r="Q270">
        <f>'_live'!$C$21</f>
        <v/>
      </c>
      <c r="R270" t="inlineStr">
        <is>
          <t>shuffled: 0 of 10,000</t>
        </is>
      </c>
      <c r="S270" t="inlineStr">
        <is>
          <t>shuffled: 0 of 10,000</t>
        </is>
      </c>
      <c r="T270" t="n">
        <v>0.06615697439347618</v>
      </c>
      <c r="U270" t="n">
        <v>0.1126372181132351</v>
      </c>
      <c r="V270">
        <f>AND(judged_band,NOT($J270))</f>
        <v/>
      </c>
      <c r="W270">
        <f>IF($K270="","",IF($I270,"too few losses to test",IF(AND($K270&gt;better_at,$K270&lt;worse_at),"in line",IF($K270&gt;=worse_at,IF(AND(ISNUMBER($L270),$L270&lt;significance_bar),"worse","worse, not significant"),IF(AND(ISNUMBER($L270),$L270&lt;significance_bar),"better","better, not significant")))))</f>
        <v/>
      </c>
      <c r="X270">
        <f>IF($M270="","",IF($I270,"too few losses to test",IF(AND($M270&gt;better_at,$M270&lt;worse_at),"in line",IF($M270&gt;=worse_at,IF(AND(ISNUMBER($N270),$N270&lt;significance_bar),"worse","worse, not significant"),IF(AND(ISNUMBER($N270),$N270&lt;significance_bar),"better","better, not significant")))))</f>
        <v/>
      </c>
      <c r="Y270">
        <f>IF($V270,$X270,$W270)</f>
        <v/>
      </c>
      <c r="Z270">
        <f>IF($V270,IF($P270="","",$P270),IF($O270="","",$O270))</f>
        <v/>
      </c>
      <c r="AA270">
        <f>IF(OR($Q270="",$Z270=""),"",IF(AND($Z270&gt;0,$Z270&gt;=$Q270),"yes","below the line"))</f>
        <v/>
      </c>
      <c r="AB270">
        <f>IF($V270,IF($M270="","",$M270),IF($K270="","",$K270))</f>
        <v/>
      </c>
      <c r="AC270">
        <f>IF($V270,IF($N270="","",$N270),IF($L270="","",$L270))</f>
        <v/>
      </c>
      <c r="AD270">
        <f>$Y270</f>
        <v/>
      </c>
      <c r="AE270">
        <f>IF($V270,IF($S270="","",$S270),IF($R270="","",$R270))</f>
        <v/>
      </c>
      <c r="AF270">
        <f>IF($V270,IF($U270="","",$U270),IF($T270="","",$T270))</f>
        <v/>
      </c>
      <c r="AG270">
        <f>IF($V270,IF($O270="","",$O270),IF($P270="","",$P270))</f>
        <v/>
      </c>
      <c r="AH270" t="n">
        <v>0.336136758977735</v>
      </c>
      <c r="AI270">
        <f>IF($Y270="worse","Yes",IF($Y270="worse, not significant","Not sure",IF(OR($Y270="too few losses to test",$Y270="too few loans to test"),"Too few losses",IF($Y270="","","No"))))</f>
        <v/>
      </c>
      <c r="AJ270">
        <f>IF($AA270="yes","Yes",IF($AA270="","","No"))</f>
        <v/>
      </c>
      <c r="AK270" t="n">
        <v>0.00114988501149885</v>
      </c>
      <c r="AL270" t="n">
        <v>0.0008130508336247322</v>
      </c>
      <c r="AM270">
        <f>IF(AND(ISNUMBER($AC270),ISNUMBER(IF($V270,IF($AL270="","",$AL270),IF($AK270="","",$AK270)))),IF(AND(ABS($AC270-significance_bar)&lt;=2.0*IF($V270,IF($AL270="","",$AL270),IF($AK270="","",$AK270)),OR($Y270="worse",$Y270="better",$Y270="worse, not significant",$Y270="better, not significant")),IF(ROUND($AC270,3)=ROUND(significance_bar,3),TEXT($AC270,"0.0000"),TEXT($AC270,"0.000")),""),"")</f>
        <v/>
      </c>
      <c r="AN270">
        <f>IF(AND(ISNUMBER($AC270),ISNUMBER(IF($V270,IF($AL270="","",$AL270),IF($AK270="","",$AK270)))),IF(AND(ABS($AC270-significance_bar)&lt;=2.0*IF($V270,IF($AL270="","",$AL270),IF($AK270="","",$AK270)),OR($Y270="worse",$Y270="worse, not significant")),IF(ROUND($AC270,3)=ROUND(significance_bar,3),TEXT($AC270,"0.0000"),TEXT($AC270,"0.000")),""),"")</f>
        <v/>
      </c>
      <c r="AO270">
        <f>IF(OR($AI270="",$AN270=""),$AI270,$AI270&amp;" · borderline (p "&amp;$AN270&amp;")")</f>
        <v/>
      </c>
    </row>
    <row r="271">
      <c r="A271" t="inlineStr">
        <is>
          <t>three-way</t>
        </is>
      </c>
      <c r="B271" t="inlineStr">
        <is>
          <t>FICO x CHANNEL / REV_DEBT</t>
        </is>
      </c>
      <c r="C271" t="inlineStr">
        <is>
          <t>496 - 653</t>
        </is>
      </c>
      <c r="D271" t="inlineStr">
        <is>
          <t>Broker / REV_DEBT high half</t>
        </is>
      </c>
      <c r="E271" t="inlineStr">
        <is>
          <t>gco_rate</t>
        </is>
      </c>
      <c r="F271" t="inlineStr">
        <is>
          <t>GCO per booked dollar</t>
        </is>
      </c>
      <c r="G271" t="n">
        <v>261</v>
      </c>
      <c r="H271" t="n">
        <v>8288107.580000003</v>
      </c>
      <c r="I271" t="b">
        <v>0</v>
      </c>
      <c r="J271" t="b">
        <v>0</v>
      </c>
      <c r="K271" t="n">
        <v>5.258881774104629</v>
      </c>
      <c r="L271" t="n">
        <v>0.00114988501149885</v>
      </c>
      <c r="M271" t="n">
        <v>3.095684625974</v>
      </c>
      <c r="N271" t="n">
        <v>0.0007665900076659002</v>
      </c>
      <c r="O271" t="n">
        <v>1291860.40139119</v>
      </c>
      <c r="P271" t="n">
        <v>1079897.725611401</v>
      </c>
      <c r="Q271">
        <f>'_live'!$C$22</f>
        <v/>
      </c>
      <c r="R271" t="inlineStr">
        <is>
          <t>shuffled: 0 of 10,000</t>
        </is>
      </c>
      <c r="S271" t="inlineStr">
        <is>
          <t>shuffled: 0 of 10,000</t>
        </is>
      </c>
      <c r="T271" t="n">
        <v>0.03659861261221825</v>
      </c>
      <c r="U271" t="n">
        <v>0.06217292782637829</v>
      </c>
      <c r="V271">
        <f>AND(judged_band,NOT($J271))</f>
        <v/>
      </c>
      <c r="W271">
        <f>IF($K271="","",IF($I271,"too few losses to test",IF(AND($K271&gt;better_at,$K271&lt;worse_at),"in line",IF($K271&gt;=worse_at,IF(AND(ISNUMBER($L271),$L271&lt;significance_bar),"worse","worse, not significant"),IF(AND(ISNUMBER($L271),$L271&lt;significance_bar),"better","better, not significant")))))</f>
        <v/>
      </c>
      <c r="X271">
        <f>IF($M271="","",IF($I271,"too few losses to test",IF(AND($M271&gt;better_at,$M271&lt;worse_at),"in line",IF($M271&gt;=worse_at,IF(AND(ISNUMBER($N271),$N271&lt;significance_bar),"worse","worse, not significant"),IF(AND(ISNUMBER($N271),$N271&lt;significance_bar),"better","better, not significant")))))</f>
        <v/>
      </c>
      <c r="Y271">
        <f>IF($V271,$X271,$W271)</f>
        <v/>
      </c>
      <c r="Z271">
        <f>IF($V271,IF($P271="","",$P271),IF($O271="","",$O271))</f>
        <v/>
      </c>
      <c r="AA271">
        <f>IF(OR($Q271="",$Z271=""),"",IF(AND($Z271&gt;0,$Z271&gt;=$Q271),"yes","below the line"))</f>
        <v/>
      </c>
      <c r="AB271">
        <f>IF($V271,IF($M271="","",$M271),IF($K271="","",$K271))</f>
        <v/>
      </c>
      <c r="AC271">
        <f>IF($V271,IF($N271="","",$N271),IF($L271="","",$L271))</f>
        <v/>
      </c>
      <c r="AD271">
        <f>$Y271</f>
        <v/>
      </c>
      <c r="AE271">
        <f>IF($V271,IF($S271="","",$S271),IF($R271="","",$R271))</f>
        <v/>
      </c>
      <c r="AF271">
        <f>IF($V271,IF($U271="","",$U271),IF($T271="","",$T271))</f>
        <v/>
      </c>
      <c r="AG271">
        <f>IF($V271,IF($O271="","",$O271),IF($P271="","",$P271))</f>
        <v/>
      </c>
      <c r="AH271" t="n">
        <v>0.1924677768239104</v>
      </c>
      <c r="AI271">
        <f>IF($Y271="worse","Yes",IF($Y271="worse, not significant","Not sure",IF(OR($Y271="too few losses to test",$Y271="too few loans to test"),"Too few losses",IF($Y271="","","No"))))</f>
        <v/>
      </c>
      <c r="AJ271">
        <f>IF($AA271="yes","Yes",IF($AA271="","","No"))</f>
        <v/>
      </c>
      <c r="AK271" t="n">
        <v>0.00114988501149885</v>
      </c>
      <c r="AL271" t="n">
        <v>0.0007665900076659002</v>
      </c>
      <c r="AM271">
        <f>IF(AND(ISNUMBER($AC271),ISNUMBER(IF($V271,IF($AL271="","",$AL271),IF($AK271="","",$AK271)))),IF(AND(ABS($AC271-significance_bar)&lt;=2.0*IF($V271,IF($AL271="","",$AL271),IF($AK271="","",$AK271)),OR($Y271="worse",$Y271="better",$Y271="worse, not significant",$Y271="better, not significant")),IF(ROUND($AC271,3)=ROUND(significance_bar,3),TEXT($AC271,"0.0000"),TEXT($AC271,"0.000")),""),"")</f>
        <v/>
      </c>
      <c r="AN271">
        <f>IF(AND(ISNUMBER($AC271),ISNUMBER(IF($V271,IF($AL271="","",$AL271),IF($AK271="","",$AK271)))),IF(AND(ABS($AC271-significance_bar)&lt;=2.0*IF($V271,IF($AL271="","",$AL271),IF($AK271="","",$AK271)),OR($Y271="worse",$Y271="worse, not significant")),IF(ROUND($AC271,3)=ROUND(significance_bar,3),TEXT($AC271,"0.0000"),TEXT($AC271,"0.000")),""),"")</f>
        <v/>
      </c>
      <c r="AO271">
        <f>IF(OR($AI271="",$AN271=""),$AI271,$AI271&amp;" · borderline (p "&amp;$AN271&amp;")")</f>
        <v/>
      </c>
    </row>
    <row r="272">
      <c r="A272" t="inlineStr">
        <is>
          <t>three-way</t>
        </is>
      </c>
      <c r="B272" t="inlineStr">
        <is>
          <t>FICO x CHANNEL / REV_DEBT</t>
        </is>
      </c>
      <c r="C272" t="inlineStr">
        <is>
          <t>496 - 653</t>
        </is>
      </c>
      <c r="D272" t="inlineStr">
        <is>
          <t>Broker / REV_DEBT high half</t>
        </is>
      </c>
      <c r="E272" t="inlineStr">
        <is>
          <t>ranr_rate</t>
        </is>
      </c>
      <c r="F272" t="inlineStr">
        <is>
          <t>Profit after losses: RANR per booked dollar</t>
        </is>
      </c>
      <c r="G272" t="n">
        <v>261</v>
      </c>
      <c r="H272" t="n">
        <v>8288107.580000003</v>
      </c>
      <c r="I272" t="b">
        <v>0</v>
      </c>
      <c r="J272" t="b">
        <v>0</v>
      </c>
      <c r="K272" t="n">
        <v>-0.0409464144637864</v>
      </c>
      <c r="L272" t="n">
        <v>0.004521770045217701</v>
      </c>
      <c r="M272" t="n">
        <v>-0.1216868583129897</v>
      </c>
      <c r="N272" t="n">
        <v>0.0017998200179982</v>
      </c>
      <c r="O272" t="n">
        <v>339368.2880911299</v>
      </c>
      <c r="P272" t="n">
        <v>1008553.772770276</v>
      </c>
      <c r="Q272">
        <f>'_live'!$C$23</f>
        <v/>
      </c>
      <c r="R272" t="inlineStr">
        <is>
          <t>shuffled: 21 of 10,000</t>
        </is>
      </c>
      <c r="S272" t="inlineStr">
        <is>
          <t>shuffled: 0 of 10,000</t>
        </is>
      </c>
      <c r="T272" t="n">
        <v>0.1293050817387109</v>
      </c>
      <c r="U272" t="n">
        <v>0.2100455255879142</v>
      </c>
      <c r="V272">
        <f>AND(judged_band,NOT($J272))</f>
        <v/>
      </c>
      <c r="W272">
        <f>IF($K272="","",IF(profit_kind="test",IF(OR(NOT(AND(ISNUMBER($L272),$L272&lt;significance_bar)),$K272=0),"in line",IF($K272&lt;0,"worse","better")),IF(OR($K272=0,IF(profit_kind="points",ABS($K272),ABS($K272*$H272))&lt;profit_line*(1-1E-9)),"in line",IF(AND(ISNUMBER($L272),$L272&lt;significance_bar),IF($K272&lt;0,"worse","better"),IF($K272&lt;0,"worse, not significant","better, not significant")))))</f>
        <v/>
      </c>
      <c r="X272">
        <f>IF($M272="","",IF(profit_kind="test",IF(OR(NOT(AND(ISNUMBER($N272),$N272&lt;significance_bar)),$M272=0),"in line",IF($M272&lt;0,"worse","better")),IF(OR($M272=0,IF(profit_kind="points",ABS($M272),ABS($M272*$H272))&lt;profit_line*(1-1E-9)),"in line",IF(AND(ISNUMBER($N272),$N272&lt;significance_bar),IF($M272&lt;0,"worse","better"),IF($M272&lt;0,"worse, not significant","better, not significant")))))</f>
        <v/>
      </c>
      <c r="Y272">
        <f>IF($V272,$X272,$W272)</f>
        <v/>
      </c>
      <c r="Z272">
        <f>IF($V272,IF($P272="","",$P272),IF($O272="","",$O272))</f>
        <v/>
      </c>
      <c r="AA272">
        <f>IF(OR($Q272="",$Z272=""),"",IF(AND($Z272&gt;0,$Z272&gt;=$Q272),"yes","below the line"))</f>
        <v/>
      </c>
      <c r="AB272">
        <f>IF($V272,IF($M272="","",$M272),IF($K272="","",$K272))</f>
        <v/>
      </c>
      <c r="AC272">
        <f>IF($V272,IF($N272="","",$N272),IF($L272="","",$L272))</f>
        <v/>
      </c>
      <c r="AD272">
        <f>IF($Y272="","",IF($Y272="in line",IF(profit_kind="test",IF(ROUND($AB272*100,2)=0,"0.00",TEXT($AB272*100,"+0.00;-0.00"))&amp;" points against "&amp;IF($V272,"its band","the book")&amp;", "&amp;IF($AC272="","not tested","not significant"),IF(profit_kind="points","within "&amp;TEXT(profit_line*100,"0.00")&amp;" points of "&amp;IF($V272,"its band","the book")&amp;" ("&amp;IF(ROUND($AB272*100,2)=0,"0.00",TEXT($AB272*100,"+0.00;-0.00"))&amp;")","within $"&amp;TEXT(profit_line,"#,##0")&amp;" of "&amp;IF($V272,"its band","the book")&amp;" ("&amp;IF(ROUND($AB272*100,2)=0,"0.00",TEXT($AB272*100,"+0.00;-0.00"))&amp;" points)")),IF(LEFT($Y272,5)="worse","short of ","ahead of ")&amp;IF($V272,"its band","the book")&amp;" by "&amp;TEXT(ABS($AB272)*100,"0.00")&amp;" points"&amp;IF($Z272="",""," ($"&amp;TEXT(ABS($Z272),"#,##0")&amp;")")&amp;IF(RIGHT($Y272,15)="not significant"," (not significant)","")))</f>
        <v/>
      </c>
      <c r="AE272">
        <f>IF($V272,IF($S272="","",$S272),IF($R272="","",$R272))</f>
        <v/>
      </c>
      <c r="AF272">
        <f>IF($V272,IF($U272="","",$U272),IF($T272="","",$T272))</f>
        <v/>
      </c>
      <c r="AG272">
        <f>IF($V272,IF($O272="","",$O272),IF($P272="","",$P272))</f>
        <v/>
      </c>
      <c r="AH272" t="n">
        <v>0.08835866727492452</v>
      </c>
      <c r="AI272">
        <f>IF($Y272="worse","Yes",IF($Y272="worse, not significant","Not sure",IF(OR($Y272="too few losses to test",$Y272="too few loans to test"),"Too few losses",IF($Y272="","","No"))))</f>
        <v/>
      </c>
      <c r="AJ272">
        <f>IF($AA272="yes","Yes",IF($AA272="","","No"))</f>
        <v/>
      </c>
      <c r="AK272" t="n">
        <v>0.0009630318340039498</v>
      </c>
      <c r="AL272" t="n">
        <v>0.0017998200179982</v>
      </c>
      <c r="AM272">
        <f>IF(AND(ISNUMBER($AC272),ISNUMBER(IF($V272,IF($AL272="","",$AL272),IF($AK272="","",$AK272)))),IF(AND(ABS($AC272-significance_bar)&lt;=2.0*IF($V272,IF($AL272="","",$AL272),IF($AK272="","",$AK272)),OR($Y272="worse",$Y272="better",$Y272="worse, not significant",$Y272="better, not significant",AND(profit_kind="test",$Y272="in line",ISNUMBER($AB272),$AB272&lt;&gt;0))),IF(ROUND($AC272,3)=ROUND(significance_bar,3),TEXT($AC272,"0.0000"),TEXT($AC272,"0.000")),""),"")</f>
        <v/>
      </c>
      <c r="AN272">
        <f>IF(AND(ISNUMBER($AC272),ISNUMBER(IF($V272,IF($AL272="","",$AL272),IF($AK272="","",$AK272)))),IF(AND(ABS($AC272-significance_bar)&lt;=2.0*IF($V272,IF($AL272="","",$AL272),IF($AK272="","",$AK272)),OR($Y272="worse",$Y272="worse, not significant",AND(profit_kind="test",$Y272="in line",ISNUMBER($AB272),$AB272&lt;0))),IF(ROUND($AC272,3)=ROUND(significance_bar,3),TEXT($AC272,"0.0000"),TEXT($AC272,"0.000")),""),"")</f>
        <v/>
      </c>
      <c r="AO272">
        <f>IF(OR($AI272="",$AN272=""),$AI272,$AI272&amp;" · borderline (p "&amp;$AN272&amp;")")</f>
        <v/>
      </c>
    </row>
    <row r="273">
      <c r="A273" t="inlineStr">
        <is>
          <t>three-way</t>
        </is>
      </c>
      <c r="B273" t="inlineStr">
        <is>
          <t>FICO x CHANNEL / REV_DEBT</t>
        </is>
      </c>
      <c r="C273" t="inlineStr">
        <is>
          <t>496 - 653</t>
        </is>
      </c>
      <c r="D273" t="inlineStr">
        <is>
          <t>Broker / REV_DEBT high half</t>
        </is>
      </c>
      <c r="E273" t="inlineStr">
        <is>
          <t>contribution_rate</t>
        </is>
      </c>
      <c r="F273" t="inlineStr">
        <is>
          <t>Contribution before losses per booked dollar</t>
        </is>
      </c>
      <c r="G273" t="n">
        <v>261</v>
      </c>
      <c r="H273" t="n">
        <v>8288107.580000003</v>
      </c>
      <c r="I273" t="b">
        <v>0</v>
      </c>
      <c r="J273" t="b">
        <v>0</v>
      </c>
      <c r="K273" t="n">
        <v>0.1149254949218455</v>
      </c>
      <c r="L273" t="n">
        <v>0.0001761728589045857</v>
      </c>
      <c r="M273" t="n">
        <v>0.008607990684542322</v>
      </c>
      <c r="N273" t="n">
        <v>0.5135486451354865</v>
      </c>
      <c r="O273" t="n">
        <v>-952514.8655969999</v>
      </c>
      <c r="P273" t="n">
        <v>-71343.95284112496</v>
      </c>
      <c r="Q273">
        <f>'_live'!$C$24</f>
        <v/>
      </c>
      <c r="R273" t="inlineStr">
        <is>
          <t>shuffled: 0 of 10,000</t>
        </is>
      </c>
      <c r="S273" t="inlineStr">
        <is>
          <t>shuffled: 4,279 of 10,000</t>
        </is>
      </c>
      <c r="T273" t="n">
        <v>0.1659009491769893</v>
      </c>
      <c r="U273" t="n">
        <v>0.2722184534142925</v>
      </c>
      <c r="V273">
        <f>AND(judged_band,NOT($J273))</f>
        <v/>
      </c>
      <c r="W273">
        <f>IF($K273="","",IF(profit_kind="test",IF(OR(NOT(AND(ISNUMBER($L273),$L273&lt;significance_bar)),$K273=0),"in line",IF($K273&lt;0,"worse","better")),IF(OR($K273=0,IF(profit_kind="points",ABS($K273),ABS($K273*$H273))&lt;profit_line*(1-1E-9)),"in line",IF(AND(ISNUMBER($L273),$L273&lt;significance_bar),IF($K273&lt;0,"worse","better"),IF($K273&lt;0,"worse, not significant","better, not significant")))))</f>
        <v/>
      </c>
      <c r="X273">
        <f>IF($M273="","",IF(profit_kind="test",IF(OR(NOT(AND(ISNUMBER($N273),$N273&lt;significance_bar)),$M273=0),"in line",IF($M273&lt;0,"worse","better")),IF(OR($M273=0,IF(profit_kind="points",ABS($M273),ABS($M273*$H273))&lt;profit_line*(1-1E-9)),"in line",IF(AND(ISNUMBER($N273),$N273&lt;significance_bar),IF($M273&lt;0,"worse","better"),IF($M273&lt;0,"worse, not significant","better, not significant")))))</f>
        <v/>
      </c>
      <c r="Y273">
        <f>IF($V273,$X273,$W273)</f>
        <v/>
      </c>
      <c r="Z273">
        <f>IF($V273,IF($P273="","",$P273),IF($O273="","",$O273))</f>
        <v/>
      </c>
      <c r="AA273">
        <f>IF(OR($Q273="",$Z273=""),"",IF(AND($Z273&gt;0,$Z273&gt;=$Q273),"yes","below the line"))</f>
        <v/>
      </c>
      <c r="AB273">
        <f>IF($V273,IF($M273="","",$M273),IF($K273="","",$K273))</f>
        <v/>
      </c>
      <c r="AC273">
        <f>IF($V273,IF($N273="","",$N273),IF($L273="","",$L273))</f>
        <v/>
      </c>
      <c r="AD273">
        <f>IF($Y273="","",IF($Y273="in line",IF(profit_kind="test",IF(ROUND($AB273*100,2)=0,"0.00",TEXT($AB273*100,"+0.00;-0.00"))&amp;" points against "&amp;IF($V273,"its band","the book")&amp;", "&amp;IF($AC273="","not tested","not significant"),IF(profit_kind="points","within "&amp;TEXT(profit_line*100,"0.00")&amp;" points of "&amp;IF($V273,"its band","the book")&amp;" ("&amp;IF(ROUND($AB273*100,2)=0,"0.00",TEXT($AB273*100,"+0.00;-0.00"))&amp;")","within $"&amp;TEXT(profit_line,"#,##0")&amp;" of "&amp;IF($V273,"its band","the book")&amp;" ("&amp;IF(ROUND($AB273*100,2)=0,"0.00",TEXT($AB273*100,"+0.00;-0.00"))&amp;" points)")),IF(LEFT($Y273,5)="worse","short of ","ahead of ")&amp;IF($V273,"its band","the book")&amp;" by "&amp;TEXT(ABS($AB273)*100,"0.00")&amp;" points"&amp;IF($Z273="",""," ($"&amp;TEXT(ABS($Z273),"#,##0")&amp;")")&amp;IF(RIGHT($Y273,15)="not significant"," (not significant)","")))</f>
        <v/>
      </c>
      <c r="AE273">
        <f>IF($V273,IF($S273="","",$S273),IF($R273="","",$R273))</f>
        <v/>
      </c>
      <c r="AF273">
        <f>IF($V273,IF($U273="","",$U273),IF($T273="","",$T273))</f>
        <v/>
      </c>
      <c r="AG273">
        <f>IF($V273,IF($O273="","",$O273),IF($P273="","",$P273))</f>
        <v/>
      </c>
      <c r="AH273" t="n">
        <v>0.2808264440988348</v>
      </c>
      <c r="AI273">
        <f>IF($Y273="worse","Yes",IF($Y273="worse, not significant","Not sure",IF(OR($Y273="too few losses to test",$Y273="too few loans to test"),"Too few losses",IF($Y273="","","No"))))</f>
        <v/>
      </c>
      <c r="AJ273">
        <f>IF($AA273="yes","Yes",IF($AA273="","","No"))</f>
        <v/>
      </c>
      <c r="AK273" t="n">
        <v>0.0001761728589045857</v>
      </c>
      <c r="AL273" t="n">
        <v>0.005937391373676574</v>
      </c>
      <c r="AM273">
        <f>IF(AND(ISNUMBER($AC273),ISNUMBER(IF($V273,IF($AL273="","",$AL273),IF($AK273="","",$AK273)))),IF(AND(ABS($AC273-significance_bar)&lt;=2.0*IF($V273,IF($AL273="","",$AL273),IF($AK273="","",$AK273)),OR($Y273="worse",$Y273="better",$Y273="worse, not significant",$Y273="better, not significant",AND(profit_kind="test",$Y273="in line",ISNUMBER($AB273),$AB273&lt;&gt;0))),IF(ROUND($AC273,3)=ROUND(significance_bar,3),TEXT($AC273,"0.0000"),TEXT($AC273,"0.000")),""),"")</f>
        <v/>
      </c>
      <c r="AN273">
        <f>IF(AND(ISNUMBER($AC273),ISNUMBER(IF($V273,IF($AL273="","",$AL273),IF($AK273="","",$AK273)))),IF(AND(ABS($AC273-significance_bar)&lt;=2.0*IF($V273,IF($AL273="","",$AL273),IF($AK273="","",$AK273)),OR($Y273="worse",$Y273="worse, not significant",AND(profit_kind="test",$Y273="in line",ISNUMBER($AB273),$AB273&lt;0))),IF(ROUND($AC273,3)=ROUND(significance_bar,3),TEXT($AC273,"0.0000"),TEXT($AC273,"0.000")),""),"")</f>
        <v/>
      </c>
      <c r="AO273">
        <f>IF(OR($AI273="",$AN273=""),$AI273,$AI273&amp;" · borderline (p "&amp;$AN273&amp;")")</f>
        <v/>
      </c>
    </row>
    <row r="274">
      <c r="A274" t="inlineStr">
        <is>
          <t>three-way</t>
        </is>
      </c>
      <c r="B274" t="inlineStr">
        <is>
          <t>FICO x CHANNEL / REV_DEBT</t>
        </is>
      </c>
      <c r="C274" t="inlineStr">
        <is>
          <t>496 - 653</t>
        </is>
      </c>
      <c r="D274" t="inlineStr">
        <is>
          <t>Branch / REV_DEBT high half</t>
        </is>
      </c>
      <c r="E274" t="inlineStr">
        <is>
          <t>outcome_loans</t>
        </is>
      </c>
      <c r="F274" t="inlineStr">
        <is>
          <t>Outcome, share of loans</t>
        </is>
      </c>
      <c r="G274" t="n">
        <v>251</v>
      </c>
      <c r="H274" t="n">
        <v>251</v>
      </c>
      <c r="I274" t="b">
        <v>0</v>
      </c>
      <c r="J274" t="b">
        <v>0</v>
      </c>
      <c r="K274" t="n">
        <v>1.906118237171383</v>
      </c>
      <c r="L274" t="n">
        <v>0.0007969128090172769</v>
      </c>
      <c r="M274" t="n">
        <v>0.9445852951829048</v>
      </c>
      <c r="N274" t="n">
        <v>0.8427020085142203</v>
      </c>
      <c r="O274" t="n">
        <v>17.113448631905</v>
      </c>
      <c r="P274" t="n">
        <v>-2.111963190184049</v>
      </c>
      <c r="Q274">
        <f>'_live'!$C$20</f>
        <v/>
      </c>
      <c r="R274" t="inlineStr">
        <is>
          <t>z test</t>
        </is>
      </c>
      <c r="S274" t="inlineStr">
        <is>
          <t>z test</t>
        </is>
      </c>
      <c r="T274" t="n">
        <v>0.07524522457408364</v>
      </c>
      <c r="U274" t="n">
        <v>0.151840490797546</v>
      </c>
      <c r="V274">
        <f>AND(judged_band,NOT($J274))</f>
        <v/>
      </c>
      <c r="W274">
        <f>IF($K274="","",IF($I274,"too few losses to test",IF(AND($K274&gt;better_at,$K274&lt;worse_at),"in line",IF($K274&gt;=worse_at,IF(AND(ISNUMBER($L274),$L274&lt;significance_bar),"worse","worse, not significant"),IF(AND(ISNUMBER($L274),$L274&lt;significance_bar),"better","better, not significant")))))</f>
        <v/>
      </c>
      <c r="X274">
        <f>IF($M274="","",IF($I274,"too few losses to test",IF(AND($M274&gt;better_at,$M274&lt;worse_at),"in line",IF($M274&gt;=worse_at,IF(AND(ISNUMBER($N274),$N274&lt;significance_bar),"worse","worse, not significant"),IF(AND(ISNUMBER($N274),$N274&lt;significance_bar),"better","better, not significant")))))</f>
        <v/>
      </c>
      <c r="Y274">
        <f>IF($V274,$X274,$W274)</f>
        <v/>
      </c>
      <c r="Z274">
        <f>IF($V274,IF($P274="","",$P274),IF($O274="","",$O274))</f>
        <v/>
      </c>
      <c r="AA274">
        <f>IF(OR($Q274="",$Z274=""),"",IF(AND($Z274&gt;0,$Z274&gt;=$Q274),"yes","below the line"))</f>
        <v/>
      </c>
      <c r="AB274">
        <f>IF($V274,IF($M274="","",$M274),IF($K274="","",$K274))</f>
        <v/>
      </c>
      <c r="AC274">
        <f>IF($V274,IF($N274="","",$N274),IF($L274="","",$L274))</f>
        <v/>
      </c>
      <c r="AD274">
        <f>$Y274</f>
        <v/>
      </c>
      <c r="AE274">
        <f>IF($V274,IF($S274="","",$S274),IF($R274="","",$R274))</f>
        <v/>
      </c>
      <c r="AF274">
        <f>IF($V274,IF($U274="","",$U274),IF($T274="","",$T274))</f>
        <v/>
      </c>
      <c r="AG274">
        <f>IF($V274,IF($O274="","",$O274),IF($P274="","",$P274))</f>
        <v/>
      </c>
      <c r="AH274" t="n">
        <v>0.1434262948207171</v>
      </c>
      <c r="AI274">
        <f>IF($Y274="worse","Yes",IF($Y274="worse, not significant","Not sure",IF(OR($Y274="too few losses to test",$Y274="too few loans to test"),"Too few losses",IF($Y274="","","No"))))</f>
        <v/>
      </c>
      <c r="AJ274">
        <f>IF($AA274="yes","Yes",IF($AA274="","","No"))</f>
        <v/>
      </c>
      <c r="AM274">
        <f>IF(AND(ISNUMBER($AC274),ISNUMBER(IF($V274,IF($AL274="","",$AL274),IF($AK274="","",$AK274)))),IF(AND(ABS($AC274-significance_bar)&lt;=2.0*IF($V274,IF($AL274="","",$AL274),IF($AK274="","",$AK274)),OR($Y274="worse",$Y274="better",$Y274="worse, not significant",$Y274="better, not significant")),IF(ROUND($AC274,3)=ROUND(significance_bar,3),TEXT($AC274,"0.0000"),TEXT($AC274,"0.000")),""),"")</f>
        <v/>
      </c>
      <c r="AN274">
        <f>IF(AND(ISNUMBER($AC274),ISNUMBER(IF($V274,IF($AL274="","",$AL274),IF($AK274="","",$AK274)))),IF(AND(ABS($AC274-significance_bar)&lt;=2.0*IF($V274,IF($AL274="","",$AL274),IF($AK274="","",$AK274)),OR($Y274="worse",$Y274="worse, not significant")),IF(ROUND($AC274,3)=ROUND(significance_bar,3),TEXT($AC274,"0.0000"),TEXT($AC274,"0.000")),""),"")</f>
        <v/>
      </c>
      <c r="AO274">
        <f>IF(OR($AI274="",$AN274=""),$AI274,$AI274&amp;" · borderline (p "&amp;$AN274&amp;")")</f>
        <v/>
      </c>
    </row>
    <row r="275">
      <c r="A275" t="inlineStr">
        <is>
          <t>three-way</t>
        </is>
      </c>
      <c r="B275" t="inlineStr">
        <is>
          <t>FICO x CHANNEL / REV_DEBT</t>
        </is>
      </c>
      <c r="C275" t="inlineStr">
        <is>
          <t>496 - 653</t>
        </is>
      </c>
      <c r="D275" t="inlineStr">
        <is>
          <t>Branch / REV_DEBT high half</t>
        </is>
      </c>
      <c r="E275" t="inlineStr">
        <is>
          <t>outcome_booked</t>
        </is>
      </c>
      <c r="F275" t="inlineStr">
        <is>
          <t>Outcome, share of booked dollars</t>
        </is>
      </c>
      <c r="G275" t="n">
        <v>251</v>
      </c>
      <c r="H275" t="n">
        <v>8045394.000000007</v>
      </c>
      <c r="I275" t="b">
        <v>0</v>
      </c>
      <c r="J275" t="b">
        <v>0</v>
      </c>
      <c r="K275" t="n">
        <v>2.124945453735214</v>
      </c>
      <c r="L275" t="n">
        <v>0.0015331800153318</v>
      </c>
      <c r="M275" t="n">
        <v>1.035686103285891</v>
      </c>
      <c r="N275" t="n">
        <v>0.928997576432833</v>
      </c>
      <c r="O275" t="n">
        <v>654298.3956150392</v>
      </c>
      <c r="P275" t="n">
        <v>42585.63780118385</v>
      </c>
      <c r="Q275">
        <f>'_live'!$C$21</f>
        <v/>
      </c>
      <c r="R275" t="inlineStr">
        <is>
          <t>shuffled: 1 of 10,000</t>
        </is>
      </c>
      <c r="S275" t="inlineStr">
        <is>
          <t>shuffled: 8,482 of 10,000</t>
        </is>
      </c>
      <c r="T275" t="n">
        <v>0.07229313746287137</v>
      </c>
      <c r="U275" t="n">
        <v>0.1483258038324556</v>
      </c>
      <c r="V275">
        <f>AND(judged_band,NOT($J275))</f>
        <v/>
      </c>
      <c r="W275">
        <f>IF($K275="","",IF($I275,"too few losses to test",IF(AND($K275&gt;better_at,$K275&lt;worse_at),"in line",IF($K275&gt;=worse_at,IF(AND(ISNUMBER($L275),$L275&lt;significance_bar),"worse","worse, not significant"),IF(AND(ISNUMBER($L275),$L275&lt;significance_bar),"better","better, not significant")))))</f>
        <v/>
      </c>
      <c r="X275">
        <f>IF($M275="","",IF($I275,"too few losses to test",IF(AND($M275&gt;better_at,$M275&lt;worse_at),"in line",IF($M275&gt;=worse_at,IF(AND(ISNUMBER($N275),$N275&lt;significance_bar),"worse","worse, not significant"),IF(AND(ISNUMBER($N275),$N275&lt;significance_bar),"better","better, not significant")))))</f>
        <v/>
      </c>
      <c r="Y275">
        <f>IF($V275,$X275,$W275)</f>
        <v/>
      </c>
      <c r="Z275">
        <f>IF($V275,IF($P275="","",$P275),IF($O275="","",$O275))</f>
        <v/>
      </c>
      <c r="AA275">
        <f>IF(OR($Q275="",$Z275=""),"",IF(AND($Z275&gt;0,$Z275&gt;=$Q275),"yes","below the line"))</f>
        <v/>
      </c>
      <c r="AB275">
        <f>IF($V275,IF($M275="","",$M275),IF($K275="","",$K275))</f>
        <v/>
      </c>
      <c r="AC275">
        <f>IF($V275,IF($N275="","",$N275),IF($L275="","",$L275))</f>
        <v/>
      </c>
      <c r="AD275">
        <f>$Y275</f>
        <v/>
      </c>
      <c r="AE275">
        <f>IF($V275,IF($S275="","",$S275),IF($R275="","",$R275))</f>
        <v/>
      </c>
      <c r="AF275">
        <f>IF($V275,IF($U275="","",$U275),IF($T275="","",$T275))</f>
        <v/>
      </c>
      <c r="AG275">
        <f>IF($V275,IF($O275="","",$O275),IF($P275="","",$P275))</f>
        <v/>
      </c>
      <c r="AH275" t="n">
        <v>0.1536189737879834</v>
      </c>
      <c r="AI275">
        <f>IF($Y275="worse","Yes",IF($Y275="worse, not significant","Not sure",IF(OR($Y275="too few losses to test",$Y275="too few loans to test"),"Too few losses",IF($Y275="","","No"))))</f>
        <v/>
      </c>
      <c r="AJ275">
        <f>IF($AA275="yes","Yes",IF($AA275="","","No"))</f>
        <v/>
      </c>
      <c r="AK275" t="n">
        <v>0.00108406777816631</v>
      </c>
      <c r="AL275" t="n">
        <v>0.003929847822435692</v>
      </c>
      <c r="AM275">
        <f>IF(AND(ISNUMBER($AC275),ISNUMBER(IF($V275,IF($AL275="","",$AL275),IF($AK275="","",$AK275)))),IF(AND(ABS($AC275-significance_bar)&lt;=2.0*IF($V275,IF($AL275="","",$AL275),IF($AK275="","",$AK275)),OR($Y275="worse",$Y275="better",$Y275="worse, not significant",$Y275="better, not significant")),IF(ROUND($AC275,3)=ROUND(significance_bar,3),TEXT($AC275,"0.0000"),TEXT($AC275,"0.000")),""),"")</f>
        <v/>
      </c>
      <c r="AN275">
        <f>IF(AND(ISNUMBER($AC275),ISNUMBER(IF($V275,IF($AL275="","",$AL275),IF($AK275="","",$AK275)))),IF(AND(ABS($AC275-significance_bar)&lt;=2.0*IF($V275,IF($AL275="","",$AL275),IF($AK275="","",$AK275)),OR($Y275="worse",$Y275="worse, not significant")),IF(ROUND($AC275,3)=ROUND(significance_bar,3),TEXT($AC275,"0.0000"),TEXT($AC275,"0.000")),""),"")</f>
        <v/>
      </c>
      <c r="AO275">
        <f>IF(OR($AI275="",$AN275=""),$AI275,$AI275&amp;" · borderline (p "&amp;$AN275&amp;")")</f>
        <v/>
      </c>
    </row>
    <row r="276">
      <c r="A276" t="inlineStr">
        <is>
          <t>three-way</t>
        </is>
      </c>
      <c r="B276" t="inlineStr">
        <is>
          <t>FICO x CHANNEL / REV_DEBT</t>
        </is>
      </c>
      <c r="C276" t="inlineStr">
        <is>
          <t>496 - 653</t>
        </is>
      </c>
      <c r="D276" t="inlineStr">
        <is>
          <t>Branch / REV_DEBT high half</t>
        </is>
      </c>
      <c r="E276" t="inlineStr">
        <is>
          <t>gco_rate</t>
        </is>
      </c>
      <c r="F276" t="inlineStr">
        <is>
          <t>GCO per booked dollar</t>
        </is>
      </c>
      <c r="G276" t="n">
        <v>251</v>
      </c>
      <c r="H276" t="n">
        <v>8045394.000000007</v>
      </c>
      <c r="I276" t="b">
        <v>0</v>
      </c>
      <c r="J276" t="b">
        <v>0</v>
      </c>
      <c r="K276" t="n">
        <v>2.021266988162755</v>
      </c>
      <c r="L276" t="n">
        <v>0.0015331800153318</v>
      </c>
      <c r="M276" t="n">
        <v>0.9723182419595726</v>
      </c>
      <c r="N276" t="n">
        <v>0.9191762641917627</v>
      </c>
      <c r="O276" t="n">
        <v>331299.778471374</v>
      </c>
      <c r="P276" t="n">
        <v>-18667.69812099717</v>
      </c>
      <c r="Q276">
        <f>'_live'!$C$22</f>
        <v/>
      </c>
      <c r="R276" t="inlineStr">
        <is>
          <t>shuffled: 1 of 10,000</t>
        </is>
      </c>
      <c r="S276" t="inlineStr">
        <is>
          <t>shuffled: 8,792 of 10,000</t>
        </is>
      </c>
      <c r="T276" t="n">
        <v>0.04032130080001374</v>
      </c>
      <c r="U276" t="n">
        <v>0.08382041055055808</v>
      </c>
      <c r="V276">
        <f>AND(judged_band,NOT($J276))</f>
        <v/>
      </c>
      <c r="W276">
        <f>IF($K276="","",IF($I276,"too few losses to test",IF(AND($K276&gt;better_at,$K276&lt;worse_at),"in line",IF($K276&gt;=worse_at,IF(AND(ISNUMBER($L276),$L276&lt;significance_bar),"worse","worse, not significant"),IF(AND(ISNUMBER($L276),$L276&lt;significance_bar),"better","better, not significant")))))</f>
        <v/>
      </c>
      <c r="X276">
        <f>IF($M276="","",IF($I276,"too few losses to test",IF(AND($M276&gt;better_at,$M276&lt;worse_at),"in line",IF($M276&gt;=worse_at,IF(AND(ISNUMBER($N276),$N276&lt;significance_bar),"worse","worse, not significant"),IF(AND(ISNUMBER($N276),$N276&lt;significance_bar),"better","better, not significant")))))</f>
        <v/>
      </c>
      <c r="Y276">
        <f>IF($V276,$X276,$W276)</f>
        <v/>
      </c>
      <c r="Z276">
        <f>IF($V276,IF($P276="","",$P276),IF($O276="","",$O276))</f>
        <v/>
      </c>
      <c r="AA276">
        <f>IF(OR($Q276="",$Z276=""),"",IF(AND($Z276&gt;0,$Z276&gt;=$Q276),"yes","below the line"))</f>
        <v/>
      </c>
      <c r="AB276">
        <f>IF($V276,IF($M276="","",$M276),IF($K276="","",$K276))</f>
        <v/>
      </c>
      <c r="AC276">
        <f>IF($V276,IF($N276="","",$N276),IF($L276="","",$L276))</f>
        <v/>
      </c>
      <c r="AD276">
        <f>$Y276</f>
        <v/>
      </c>
      <c r="AE276">
        <f>IF($V276,IF($S276="","",$S276),IF($R276="","",$R276))</f>
        <v/>
      </c>
      <c r="AF276">
        <f>IF($V276,IF($U276="","",$U276),IF($T276="","",$T276))</f>
        <v/>
      </c>
      <c r="AG276">
        <f>IF($V276,IF($O276="","",$O276),IF($P276="","",$P276))</f>
        <v/>
      </c>
      <c r="AH276" t="n">
        <v>0.08150011422684825</v>
      </c>
      <c r="AI276">
        <f>IF($Y276="worse","Yes",IF($Y276="worse, not significant","Not sure",IF(OR($Y276="too few losses to test",$Y276="too few loans to test"),"Too few losses",IF($Y276="","","No"))))</f>
        <v/>
      </c>
      <c r="AJ276">
        <f>IF($AA276="yes","Yes",IF($AA276="","","No"))</f>
        <v/>
      </c>
      <c r="AK276" t="n">
        <v>0.00108406777816631</v>
      </c>
      <c r="AL276" t="n">
        <v>0.003406934088292307</v>
      </c>
      <c r="AM276">
        <f>IF(AND(ISNUMBER($AC276),ISNUMBER(IF($V276,IF($AL276="","",$AL276),IF($AK276="","",$AK276)))),IF(AND(ABS($AC276-significance_bar)&lt;=2.0*IF($V276,IF($AL276="","",$AL276),IF($AK276="","",$AK276)),OR($Y276="worse",$Y276="better",$Y276="worse, not significant",$Y276="better, not significant")),IF(ROUND($AC276,3)=ROUND(significance_bar,3),TEXT($AC276,"0.0000"),TEXT($AC276,"0.000")),""),"")</f>
        <v/>
      </c>
      <c r="AN276">
        <f>IF(AND(ISNUMBER($AC276),ISNUMBER(IF($V276,IF($AL276="","",$AL276),IF($AK276="","",$AK276)))),IF(AND(ABS($AC276-significance_bar)&lt;=2.0*IF($V276,IF($AL276="","",$AL276),IF($AK276="","",$AK276)),OR($Y276="worse",$Y276="worse, not significant")),IF(ROUND($AC276,3)=ROUND(significance_bar,3),TEXT($AC276,"0.0000"),TEXT($AC276,"0.000")),""),"")</f>
        <v/>
      </c>
      <c r="AO276">
        <f>IF(OR($AI276="",$AN276=""),$AI276,$AI276&amp;" · borderline (p "&amp;$AN276&amp;")")</f>
        <v/>
      </c>
    </row>
    <row r="277">
      <c r="A277" t="inlineStr">
        <is>
          <t>three-way</t>
        </is>
      </c>
      <c r="B277" t="inlineStr">
        <is>
          <t>FICO x CHANNEL / REV_DEBT</t>
        </is>
      </c>
      <c r="C277" t="inlineStr">
        <is>
          <t>496 - 653</t>
        </is>
      </c>
      <c r="D277" t="inlineStr">
        <is>
          <t>Branch / REV_DEBT high half</t>
        </is>
      </c>
      <c r="E277" t="inlineStr">
        <is>
          <t>ranr_rate</t>
        </is>
      </c>
      <c r="F277" t="inlineStr">
        <is>
          <t>Profit after losses: RANR per booked dollar</t>
        </is>
      </c>
      <c r="G277" t="n">
        <v>251</v>
      </c>
      <c r="H277" t="n">
        <v>8045394.000000007</v>
      </c>
      <c r="I277" t="b">
        <v>0</v>
      </c>
      <c r="J277" t="b">
        <v>0</v>
      </c>
      <c r="K277" t="n">
        <v>0.07549506570906742</v>
      </c>
      <c r="L277" t="n">
        <v>0.0002466420024664201</v>
      </c>
      <c r="M277" t="n">
        <v>0.01302466379439651</v>
      </c>
      <c r="N277" t="n">
        <v>0.8743852887438529</v>
      </c>
      <c r="O277" t="n">
        <v>-607387.5486853372</v>
      </c>
      <c r="P277" t="n">
        <v>-104788.5519434549</v>
      </c>
      <c r="Q277">
        <f>'_live'!$C$23</f>
        <v/>
      </c>
      <c r="R277" t="inlineStr">
        <is>
          <t>shuffled: 0 of 10,000</t>
        </is>
      </c>
      <c r="S277" t="inlineStr">
        <is>
          <t>shuffled: 4,905 of 10,000</t>
        </is>
      </c>
      <c r="T277" t="n">
        <v>0.1256364587383368</v>
      </c>
      <c r="U277" t="n">
        <v>0.1881068606530077</v>
      </c>
      <c r="V277">
        <f>AND(judged_band,NOT($J277))</f>
        <v/>
      </c>
      <c r="W277">
        <f>IF($K277="","",IF(profit_kind="test",IF(OR(NOT(AND(ISNUMBER($L277),$L277&lt;significance_bar)),$K277=0),"in line",IF($K277&lt;0,"worse","better")),IF(OR($K277=0,IF(profit_kind="points",ABS($K277),ABS($K277*$H277))&lt;profit_line*(1-1E-9)),"in line",IF(AND(ISNUMBER($L277),$L277&lt;significance_bar),IF($K277&lt;0,"worse","better"),IF($K277&lt;0,"worse, not significant","better, not significant")))))</f>
        <v/>
      </c>
      <c r="X277">
        <f>IF($M277="","",IF(profit_kind="test",IF(OR(NOT(AND(ISNUMBER($N277),$N277&lt;significance_bar)),$M277=0),"in line",IF($M277&lt;0,"worse","better")),IF(OR($M277=0,IF(profit_kind="points",ABS($M277),ABS($M277*$H277))&lt;profit_line*(1-1E-9)),"in line",IF(AND(ISNUMBER($N277),$N277&lt;significance_bar),IF($M277&lt;0,"worse","better"),IF($M277&lt;0,"worse, not significant","better, not significant")))))</f>
        <v/>
      </c>
      <c r="Y277">
        <f>IF($V277,$X277,$W277)</f>
        <v/>
      </c>
      <c r="Z277">
        <f>IF($V277,IF($P277="","",$P277),IF($O277="","",$O277))</f>
        <v/>
      </c>
      <c r="AA277">
        <f>IF(OR($Q277="",$Z277=""),"",IF(AND($Z277&gt;0,$Z277&gt;=$Q277),"yes","below the line"))</f>
        <v/>
      </c>
      <c r="AB277">
        <f>IF($V277,IF($M277="","",$M277),IF($K277="","",$K277))</f>
        <v/>
      </c>
      <c r="AC277">
        <f>IF($V277,IF($N277="","",$N277),IF($L277="","",$L277))</f>
        <v/>
      </c>
      <c r="AD277">
        <f>IF($Y277="","",IF($Y277="in line",IF(profit_kind="test",IF(ROUND($AB277*100,2)=0,"0.00",TEXT($AB277*100,"+0.00;-0.00"))&amp;" points against "&amp;IF($V277,"its band","the book")&amp;", "&amp;IF($AC277="","not tested","not significant"),IF(profit_kind="points","within "&amp;TEXT(profit_line*100,"0.00")&amp;" points of "&amp;IF($V277,"its band","the book")&amp;" ("&amp;IF(ROUND($AB277*100,2)=0,"0.00",TEXT($AB277*100,"+0.00;-0.00"))&amp;")","within $"&amp;TEXT(profit_line,"#,##0")&amp;" of "&amp;IF($V277,"its band","the book")&amp;" ("&amp;IF(ROUND($AB277*100,2)=0,"0.00",TEXT($AB277*100,"+0.00;-0.00"))&amp;" points)")),IF(LEFT($Y277,5)="worse","short of ","ahead of ")&amp;IF($V277,"its band","the book")&amp;" by "&amp;TEXT(ABS($AB277)*100,"0.00")&amp;" points"&amp;IF($Z277="",""," ($"&amp;TEXT(ABS($Z277),"#,##0")&amp;")")&amp;IF(RIGHT($Y277,15)="not significant"," (not significant)","")))</f>
        <v/>
      </c>
      <c r="AE277">
        <f>IF($V277,IF($S277="","",$S277),IF($R277="","",$R277))</f>
        <v/>
      </c>
      <c r="AF277">
        <f>IF($V277,IF($U277="","",$U277),IF($T277="","",$T277))</f>
        <v/>
      </c>
      <c r="AG277">
        <f>IF($V277,IF($O277="","",$O277),IF($P277="","",$P277))</f>
        <v/>
      </c>
      <c r="AH277" t="n">
        <v>0.2011315244474042</v>
      </c>
      <c r="AI277">
        <f>IF($Y277="worse","Yes",IF($Y277="worse, not significant","Not sure",IF(OR($Y277="too few losses to test",$Y277="too few loans to test"),"Too few losses",IF($Y277="","","No"))))</f>
        <v/>
      </c>
      <c r="AJ277">
        <f>IF($AA277="yes","Yes",IF($AA277="","","No"))</f>
        <v/>
      </c>
      <c r="AK277" t="n">
        <v>0.0002466420024664201</v>
      </c>
      <c r="AL277" t="n">
        <v>0.008162491393564149</v>
      </c>
      <c r="AM277">
        <f>IF(AND(ISNUMBER($AC277),ISNUMBER(IF($V277,IF($AL277="","",$AL277),IF($AK277="","",$AK277)))),IF(AND(ABS($AC277-significance_bar)&lt;=2.0*IF($V277,IF($AL277="","",$AL277),IF($AK277="","",$AK277)),OR($Y277="worse",$Y277="better",$Y277="worse, not significant",$Y277="better, not significant",AND(profit_kind="test",$Y277="in line",ISNUMBER($AB277),$AB277&lt;&gt;0))),IF(ROUND($AC277,3)=ROUND(significance_bar,3),TEXT($AC277,"0.0000"),TEXT($AC277,"0.000")),""),"")</f>
        <v/>
      </c>
      <c r="AN277">
        <f>IF(AND(ISNUMBER($AC277),ISNUMBER(IF($V277,IF($AL277="","",$AL277),IF($AK277="","",$AK277)))),IF(AND(ABS($AC277-significance_bar)&lt;=2.0*IF($V277,IF($AL277="","",$AL277),IF($AK277="","",$AK277)),OR($Y277="worse",$Y277="worse, not significant",AND(profit_kind="test",$Y277="in line",ISNUMBER($AB277),$AB277&lt;0))),IF(ROUND($AC277,3)=ROUND(significance_bar,3),TEXT($AC277,"0.0000"),TEXT($AC277,"0.000")),""),"")</f>
        <v/>
      </c>
      <c r="AO277">
        <f>IF(OR($AI277="",$AN277=""),$AI277,$AI277&amp;" · borderline (p "&amp;$AN277&amp;")")</f>
        <v/>
      </c>
    </row>
    <row r="278">
      <c r="A278" t="inlineStr">
        <is>
          <t>three-way</t>
        </is>
      </c>
      <c r="B278" t="inlineStr">
        <is>
          <t>FICO x CHANNEL / REV_DEBT</t>
        </is>
      </c>
      <c r="C278" t="inlineStr">
        <is>
          <t>496 - 653</t>
        </is>
      </c>
      <c r="D278" t="inlineStr">
        <is>
          <t>Branch / REV_DEBT high half</t>
        </is>
      </c>
      <c r="E278" t="inlineStr">
        <is>
          <t>contribution_rate</t>
        </is>
      </c>
      <c r="F278" t="inlineStr">
        <is>
          <t>Contribution before losses per booked dollar</t>
        </is>
      </c>
      <c r="G278" t="n">
        <v>251</v>
      </c>
      <c r="H278" t="n">
        <v>8045394.000000007</v>
      </c>
      <c r="I278" t="b">
        <v>0</v>
      </c>
      <c r="J278" t="b">
        <v>0</v>
      </c>
      <c r="K278" t="n">
        <v>0.1166772040320969</v>
      </c>
      <c r="L278" t="n">
        <v>0.0001761728589045857</v>
      </c>
      <c r="M278" t="n">
        <v>0.01070436747068648</v>
      </c>
      <c r="N278" t="n">
        <v>0.4562210445622104</v>
      </c>
      <c r="O278" t="n">
        <v>-938714.0772566095</v>
      </c>
      <c r="P278" t="n">
        <v>-86120.85382245621</v>
      </c>
      <c r="Q278">
        <f>'_live'!$C$24</f>
        <v/>
      </c>
      <c r="R278" t="inlineStr">
        <is>
          <t>shuffled: 0 of 10,000</t>
        </is>
      </c>
      <c r="S278" t="inlineStr">
        <is>
          <t>shuffled: 3,414 of 10,000</t>
        </is>
      </c>
      <c r="T278" t="n">
        <v>0.1659544346421553</v>
      </c>
      <c r="U278" t="n">
        <v>0.2719272712035658</v>
      </c>
      <c r="V278">
        <f>AND(judged_band,NOT($J278))</f>
        <v/>
      </c>
      <c r="W278">
        <f>IF($K278="","",IF(profit_kind="test",IF(OR(NOT(AND(ISNUMBER($L278),$L278&lt;significance_bar)),$K278=0),"in line",IF($K278&lt;0,"worse","better")),IF(OR($K278=0,IF(profit_kind="points",ABS($K278),ABS($K278*$H278))&lt;profit_line*(1-1E-9)),"in line",IF(AND(ISNUMBER($L278),$L278&lt;significance_bar),IF($K278&lt;0,"worse","better"),IF($K278&lt;0,"worse, not significant","better, not significant")))))</f>
        <v/>
      </c>
      <c r="X278">
        <f>IF($M278="","",IF(profit_kind="test",IF(OR(NOT(AND(ISNUMBER($N278),$N278&lt;significance_bar)),$M278=0),"in line",IF($M278&lt;0,"worse","better")),IF(OR($M278=0,IF(profit_kind="points",ABS($M278),ABS($M278*$H278))&lt;profit_line*(1-1E-9)),"in line",IF(AND(ISNUMBER($N278),$N278&lt;significance_bar),IF($M278&lt;0,"worse","better"),IF($M278&lt;0,"worse, not significant","better, not significant")))))</f>
        <v/>
      </c>
      <c r="Y278">
        <f>IF($V278,$X278,$W278)</f>
        <v/>
      </c>
      <c r="Z278">
        <f>IF($V278,IF($P278="","",$P278),IF($O278="","",$O278))</f>
        <v/>
      </c>
      <c r="AA278">
        <f>IF(OR($Q278="",$Z278=""),"",IF(AND($Z278&gt;0,$Z278&gt;=$Q278),"yes","below the line"))</f>
        <v/>
      </c>
      <c r="AB278">
        <f>IF($V278,IF($M278="","",$M278),IF($K278="","",$K278))</f>
        <v/>
      </c>
      <c r="AC278">
        <f>IF($V278,IF($N278="","",$N278),IF($L278="","",$L278))</f>
        <v/>
      </c>
      <c r="AD278">
        <f>IF($Y278="","",IF($Y278="in line",IF(profit_kind="test",IF(ROUND($AB278*100,2)=0,"0.00",TEXT($AB278*100,"+0.00;-0.00"))&amp;" points against "&amp;IF($V278,"its band","the book")&amp;", "&amp;IF($AC278="","not tested","not significant"),IF(profit_kind="points","within "&amp;TEXT(profit_line*100,"0.00")&amp;" points of "&amp;IF($V278,"its band","the book")&amp;" ("&amp;IF(ROUND($AB278*100,2)=0,"0.00",TEXT($AB278*100,"+0.00;-0.00"))&amp;")","within $"&amp;TEXT(profit_line,"#,##0")&amp;" of "&amp;IF($V278,"its band","the book")&amp;" ("&amp;IF(ROUND($AB278*100,2)=0,"0.00",TEXT($AB278*100,"+0.00;-0.00"))&amp;" points)")),IF(LEFT($Y278,5)="worse","short of ","ahead of ")&amp;IF($V278,"its band","the book")&amp;" by "&amp;TEXT(ABS($AB278)*100,"0.00")&amp;" points"&amp;IF($Z278="",""," ($"&amp;TEXT(ABS($Z278),"#,##0")&amp;")")&amp;IF(RIGHT($Y278,15)="not significant"," (not significant)","")))</f>
        <v/>
      </c>
      <c r="AE278">
        <f>IF($V278,IF($S278="","",$S278),IF($R278="","",$R278))</f>
        <v/>
      </c>
      <c r="AF278">
        <f>IF($V278,IF($U278="","",$U278),IF($T278="","",$T278))</f>
        <v/>
      </c>
      <c r="AG278">
        <f>IF($V278,IF($O278="","",$O278),IF($P278="","",$P278))</f>
        <v/>
      </c>
      <c r="AH278" t="n">
        <v>0.2826316386742523</v>
      </c>
      <c r="AI278">
        <f>IF($Y278="worse","Yes",IF($Y278="worse, not significant","Not sure",IF(OR($Y278="too few losses to test",$Y278="too few loans to test"),"Too few losses",IF($Y278="","","No"))))</f>
        <v/>
      </c>
      <c r="AJ278">
        <f>IF($AA278="yes","Yes",IF($AA278="","","No"))</f>
        <v/>
      </c>
      <c r="AK278" t="n">
        <v>0.0001761728589045857</v>
      </c>
      <c r="AL278" t="n">
        <v>0.006325797061094458</v>
      </c>
      <c r="AM278">
        <f>IF(AND(ISNUMBER($AC278),ISNUMBER(IF($V278,IF($AL278="","",$AL278),IF($AK278="","",$AK278)))),IF(AND(ABS($AC278-significance_bar)&lt;=2.0*IF($V278,IF($AL278="","",$AL278),IF($AK278="","",$AK278)),OR($Y278="worse",$Y278="better",$Y278="worse, not significant",$Y278="better, not significant",AND(profit_kind="test",$Y278="in line",ISNUMBER($AB278),$AB278&lt;&gt;0))),IF(ROUND($AC278,3)=ROUND(significance_bar,3),TEXT($AC278,"0.0000"),TEXT($AC278,"0.000")),""),"")</f>
        <v/>
      </c>
      <c r="AN278">
        <f>IF(AND(ISNUMBER($AC278),ISNUMBER(IF($V278,IF($AL278="","",$AL278),IF($AK278="","",$AK278)))),IF(AND(ABS($AC278-significance_bar)&lt;=2.0*IF($V278,IF($AL278="","",$AL278),IF($AK278="","",$AK278)),OR($Y278="worse",$Y278="worse, not significant",AND(profit_kind="test",$Y278="in line",ISNUMBER($AB278),$AB278&lt;0))),IF(ROUND($AC278,3)=ROUND(significance_bar,3),TEXT($AC278,"0.0000"),TEXT($AC278,"0.000")),""),"")</f>
        <v/>
      </c>
      <c r="AO278">
        <f>IF(OR($AI278="",$AN278=""),$AI278,$AI278&amp;" · borderline (p "&amp;$AN278&amp;")")</f>
        <v/>
      </c>
    </row>
    <row r="279">
      <c r="A279" t="inlineStr">
        <is>
          <t>three-way</t>
        </is>
      </c>
      <c r="B279" t="inlineStr">
        <is>
          <t>FICO x CHANNEL / REV_DEBT</t>
        </is>
      </c>
      <c r="C279" t="inlineStr">
        <is>
          <t>654 - 685</t>
        </is>
      </c>
      <c r="D279" t="inlineStr">
        <is>
          <t>Branch / REV_DEBT low half</t>
        </is>
      </c>
      <c r="E279" t="inlineStr">
        <is>
          <t>outcome_loans</t>
        </is>
      </c>
      <c r="F279" t="inlineStr">
        <is>
          <t>Outcome, share of loans</t>
        </is>
      </c>
      <c r="G279" t="n">
        <v>252</v>
      </c>
      <c r="H279" t="n">
        <v>252</v>
      </c>
      <c r="I279" t="b">
        <v>0</v>
      </c>
      <c r="J279" t="b">
        <v>0</v>
      </c>
      <c r="K279" t="n">
        <v>0.9734986772486771</v>
      </c>
      <c r="L279" t="n">
        <v>0.92271762559621</v>
      </c>
      <c r="M279" t="n">
        <v>0.8741956241956242</v>
      </c>
      <c r="N279" t="n">
        <v>0.729768433569849</v>
      </c>
      <c r="O279" t="n">
        <v>-0.5172324770879051</v>
      </c>
      <c r="P279" t="n">
        <v>-2.734265734265733</v>
      </c>
      <c r="Q279">
        <f>'_live'!$C$20</f>
        <v/>
      </c>
      <c r="R279" t="inlineStr">
        <is>
          <t>z test</t>
        </is>
      </c>
      <c r="S279" t="inlineStr">
        <is>
          <t>z test</t>
        </is>
      </c>
      <c r="T279" t="n">
        <v>0.07744933522653931</v>
      </c>
      <c r="U279" t="n">
        <v>0.08624708624708624</v>
      </c>
      <c r="V279">
        <f>AND(judged_band,NOT($J279))</f>
        <v/>
      </c>
      <c r="W279">
        <f>IF($K279="","",IF($I279,"too few losses to test",IF(AND($K279&gt;better_at,$K279&lt;worse_at),"in line",IF($K279&gt;=worse_at,IF(AND(ISNUMBER($L279),$L279&lt;significance_bar),"worse","worse, not significant"),IF(AND(ISNUMBER($L279),$L279&lt;significance_bar),"better","better, not significant")))))</f>
        <v/>
      </c>
      <c r="X279">
        <f>IF($M279="","",IF($I279,"too few losses to test",IF(AND($M279&gt;better_at,$M279&lt;worse_at),"in line",IF($M279&gt;=worse_at,IF(AND(ISNUMBER($N279),$N279&lt;significance_bar),"worse","worse, not significant"),IF(AND(ISNUMBER($N279),$N279&lt;significance_bar),"better","better, not significant")))))</f>
        <v/>
      </c>
      <c r="Y279">
        <f>IF($V279,$X279,$W279)</f>
        <v/>
      </c>
      <c r="Z279">
        <f>IF($V279,IF($P279="","",$P279),IF($O279="","",$O279))</f>
        <v/>
      </c>
      <c r="AA279">
        <f>IF(OR($Q279="",$Z279=""),"",IF(AND($Z279&gt;0,$Z279&gt;=$Q279),"yes","below the line"))</f>
        <v/>
      </c>
      <c r="AB279">
        <f>IF($V279,IF($M279="","",$M279),IF($K279="","",$K279))</f>
        <v/>
      </c>
      <c r="AC279">
        <f>IF($V279,IF($N279="","",$N279),IF($L279="","",$L279))</f>
        <v/>
      </c>
      <c r="AD279">
        <f>$Y279</f>
        <v/>
      </c>
      <c r="AE279">
        <f>IF($V279,IF($S279="","",$S279),IF($R279="","",$R279))</f>
        <v/>
      </c>
      <c r="AF279">
        <f>IF($V279,IF($U279="","",$U279),IF($T279="","",$T279))</f>
        <v/>
      </c>
      <c r="AG279">
        <f>IF($V279,IF($O279="","",$O279),IF($P279="","",$P279))</f>
        <v/>
      </c>
      <c r="AH279" t="n">
        <v>0.07539682539682539</v>
      </c>
      <c r="AI279">
        <f>IF($Y279="worse","Yes",IF($Y279="worse, not significant","Not sure",IF(OR($Y279="too few losses to test",$Y279="too few loans to test"),"Too few losses",IF($Y279="","","No"))))</f>
        <v/>
      </c>
      <c r="AJ279">
        <f>IF($AA279="yes","Yes",IF($AA279="","","No"))</f>
        <v/>
      </c>
      <c r="AM279">
        <f>IF(AND(ISNUMBER($AC279),ISNUMBER(IF($V279,IF($AL279="","",$AL279),IF($AK279="","",$AK279)))),IF(AND(ABS($AC279-significance_bar)&lt;=2.0*IF($V279,IF($AL279="","",$AL279),IF($AK279="","",$AK279)),OR($Y279="worse",$Y279="better",$Y279="worse, not significant",$Y279="better, not significant")),IF(ROUND($AC279,3)=ROUND(significance_bar,3),TEXT($AC279,"0.0000"),TEXT($AC279,"0.000")),""),"")</f>
        <v/>
      </c>
      <c r="AN279">
        <f>IF(AND(ISNUMBER($AC279),ISNUMBER(IF($V279,IF($AL279="","",$AL279),IF($AK279="","",$AK279)))),IF(AND(ABS($AC279-significance_bar)&lt;=2.0*IF($V279,IF($AL279="","",$AL279),IF($AK279="","",$AK279)),OR($Y279="worse",$Y279="worse, not significant")),IF(ROUND($AC279,3)=ROUND(significance_bar,3),TEXT($AC279,"0.0000"),TEXT($AC279,"0.000")),""),"")</f>
        <v/>
      </c>
      <c r="AO279">
        <f>IF(OR($AI279="",$AN279=""),$AI279,$AI279&amp;" · borderline (p "&amp;$AN279&amp;")")</f>
        <v/>
      </c>
    </row>
    <row r="280">
      <c r="A280" t="inlineStr">
        <is>
          <t>three-way</t>
        </is>
      </c>
      <c r="B280" t="inlineStr">
        <is>
          <t>FICO x CHANNEL / REV_DEBT</t>
        </is>
      </c>
      <c r="C280" t="inlineStr">
        <is>
          <t>654 - 685</t>
        </is>
      </c>
      <c r="D280" t="inlineStr">
        <is>
          <t>Branch / REV_DEBT low half</t>
        </is>
      </c>
      <c r="E280" t="inlineStr">
        <is>
          <t>outcome_booked</t>
        </is>
      </c>
      <c r="F280" t="inlineStr">
        <is>
          <t>Outcome, share of booked dollars</t>
        </is>
      </c>
      <c r="G280" t="n">
        <v>252</v>
      </c>
      <c r="H280" t="n">
        <v>8471898.719999995</v>
      </c>
      <c r="I280" t="b">
        <v>0</v>
      </c>
      <c r="J280" t="b">
        <v>0</v>
      </c>
      <c r="K280" t="n">
        <v>0.8991119016247576</v>
      </c>
      <c r="L280" t="n">
        <v>0.6811318868113189</v>
      </c>
      <c r="M280" t="n">
        <v>0.819030802748909</v>
      </c>
      <c r="N280" t="n">
        <v>0.7308669133086692</v>
      </c>
      <c r="O280" t="n">
        <v>-64169.82166929252</v>
      </c>
      <c r="P280" t="n">
        <v>-126359.8399930543</v>
      </c>
      <c r="Q280">
        <f>'_live'!$C$21</f>
        <v/>
      </c>
      <c r="R280" t="inlineStr">
        <is>
          <t>shuffled: 6,811 of 10,000</t>
        </is>
      </c>
      <c r="S280" t="inlineStr">
        <is>
          <t>shuffled: 4,612 of 10,000</t>
        </is>
      </c>
      <c r="T280" t="n">
        <v>0.07507755848966202</v>
      </c>
      <c r="U280" t="n">
        <v>0.08241829996676997</v>
      </c>
      <c r="V280">
        <f>AND(judged_band,NOT($J280))</f>
        <v/>
      </c>
      <c r="W280">
        <f>IF($K280="","",IF($I280,"too few losses to test",IF(AND($K280&gt;better_at,$K280&lt;worse_at),"in line",IF($K280&gt;=worse_at,IF(AND(ISNUMBER($L280),$L280&lt;significance_bar),"worse","worse, not significant"),IF(AND(ISNUMBER($L280),$L280&lt;significance_bar),"better","better, not significant")))))</f>
        <v/>
      </c>
      <c r="X280">
        <f>IF($M280="","",IF($I280,"too few losses to test",IF(AND($M280&gt;better_at,$M280&lt;worse_at),"in line",IF($M280&gt;=worse_at,IF(AND(ISNUMBER($N280),$N280&lt;significance_bar),"worse","worse, not significant"),IF(AND(ISNUMBER($N280),$N280&lt;significance_bar),"better","better, not significant")))))</f>
        <v/>
      </c>
      <c r="Y280">
        <f>IF($V280,$X280,$W280)</f>
        <v/>
      </c>
      <c r="Z280">
        <f>IF($V280,IF($P280="","",$P280),IF($O280="","",$O280))</f>
        <v/>
      </c>
      <c r="AA280">
        <f>IF(OR($Q280="",$Z280=""),"",IF(AND($Z280&gt;0,$Z280&gt;=$Q280),"yes","below the line"))</f>
        <v/>
      </c>
      <c r="AB280">
        <f>IF($V280,IF($M280="","",$M280),IF($K280="","",$K280))</f>
        <v/>
      </c>
      <c r="AC280">
        <f>IF($V280,IF($N280="","",$N280),IF($L280="","",$L280))</f>
        <v/>
      </c>
      <c r="AD280">
        <f>$Y280</f>
        <v/>
      </c>
      <c r="AE280">
        <f>IF($V280,IF($S280="","",$S280),IF($R280="","",$R280))</f>
        <v/>
      </c>
      <c r="AF280">
        <f>IF($V280,IF($U280="","",$U280),IF($T280="","",$T280))</f>
        <v/>
      </c>
      <c r="AG280">
        <f>IF($V280,IF($O280="","",$O280),IF($P280="","",$P280))</f>
        <v/>
      </c>
      <c r="AH280" t="n">
        <v>0.06750312638298399</v>
      </c>
      <c r="AI280">
        <f>IF($Y280="worse","Yes",IF($Y280="worse, not significant","Not sure",IF(OR($Y280="too few losses to test",$Y280="too few loans to test"),"Too few losses",IF($Y280="","","No"))))</f>
        <v/>
      </c>
      <c r="AJ280">
        <f>IF($AA280="yes","Yes",IF($AA280="","","No"))</f>
        <v/>
      </c>
      <c r="AK280" t="n">
        <v>0.004660378091745042</v>
      </c>
      <c r="AL280" t="n">
        <v>0.007658303698844048</v>
      </c>
      <c r="AM280">
        <f>IF(AND(ISNUMBER($AC280),ISNUMBER(IF($V280,IF($AL280="","",$AL280),IF($AK280="","",$AK280)))),IF(AND(ABS($AC280-significance_bar)&lt;=2.0*IF($V280,IF($AL280="","",$AL280),IF($AK280="","",$AK280)),OR($Y280="worse",$Y280="better",$Y280="worse, not significant",$Y280="better, not significant")),IF(ROUND($AC280,3)=ROUND(significance_bar,3),TEXT($AC280,"0.0000"),TEXT($AC280,"0.000")),""),"")</f>
        <v/>
      </c>
      <c r="AN280">
        <f>IF(AND(ISNUMBER($AC280),ISNUMBER(IF($V280,IF($AL280="","",$AL280),IF($AK280="","",$AK280)))),IF(AND(ABS($AC280-significance_bar)&lt;=2.0*IF($V280,IF($AL280="","",$AL280),IF($AK280="","",$AK280)),OR($Y280="worse",$Y280="worse, not significant")),IF(ROUND($AC280,3)=ROUND(significance_bar,3),TEXT($AC280,"0.0000"),TEXT($AC280,"0.000")),""),"")</f>
        <v/>
      </c>
      <c r="AO280">
        <f>IF(OR($AI280="",$AN280=""),$AI280,$AI280&amp;" · borderline (p "&amp;$AN280&amp;")")</f>
        <v/>
      </c>
    </row>
    <row r="281">
      <c r="A281" t="inlineStr">
        <is>
          <t>three-way</t>
        </is>
      </c>
      <c r="B281" t="inlineStr">
        <is>
          <t>FICO x CHANNEL / REV_DEBT</t>
        </is>
      </c>
      <c r="C281" t="inlineStr">
        <is>
          <t>654 - 685</t>
        </is>
      </c>
      <c r="D281" t="inlineStr">
        <is>
          <t>Branch / REV_DEBT low half</t>
        </is>
      </c>
      <c r="E281" t="inlineStr">
        <is>
          <t>gco_rate</t>
        </is>
      </c>
      <c r="F281" t="inlineStr">
        <is>
          <t>GCO per booked dollar</t>
        </is>
      </c>
      <c r="G281" t="n">
        <v>252</v>
      </c>
      <c r="H281" t="n">
        <v>8471898.719999995</v>
      </c>
      <c r="I281" t="b">
        <v>0</v>
      </c>
      <c r="J281" t="b">
        <v>0</v>
      </c>
      <c r="K281" t="n">
        <v>1.01293884979308</v>
      </c>
      <c r="L281" t="n">
        <v>0.9606039396060394</v>
      </c>
      <c r="M281" t="n">
        <v>0.9186777724967793</v>
      </c>
      <c r="N281" t="n">
        <v>0.8606615528923297</v>
      </c>
      <c r="O281" t="n">
        <v>4558.692129534902</v>
      </c>
      <c r="P281" t="n">
        <v>-31591.76407190145</v>
      </c>
      <c r="Q281">
        <f>'_live'!$C$22</f>
        <v/>
      </c>
      <c r="R281" t="inlineStr">
        <is>
          <t>shuffled: 9,606 of 10,000</t>
        </is>
      </c>
      <c r="S281" t="inlineStr">
        <is>
          <t>shuffled: 7,512 of 10,000</t>
        </is>
      </c>
      <c r="T281" t="n">
        <v>0.04158759795353943</v>
      </c>
      <c r="U281" t="n">
        <v>0.04585469998063217</v>
      </c>
      <c r="V281">
        <f>AND(judged_band,NOT($J281))</f>
        <v/>
      </c>
      <c r="W281">
        <f>IF($K281="","",IF($I281,"too few losses to test",IF(AND($K281&gt;better_at,$K281&lt;worse_at),"in line",IF($K281&gt;=worse_at,IF(AND(ISNUMBER($L281),$L281&lt;significance_bar),"worse","worse, not significant"),IF(AND(ISNUMBER($L281),$L281&lt;significance_bar),"better","better, not significant")))))</f>
        <v/>
      </c>
      <c r="X281">
        <f>IF($M281="","",IF($I281,"too few losses to test",IF(AND($M281&gt;better_at,$M281&lt;worse_at),"in line",IF($M281&gt;=worse_at,IF(AND(ISNUMBER($N281),$N281&lt;significance_bar),"worse","worse, not significant"),IF(AND(ISNUMBER($N281),$N281&lt;significance_bar),"better","better, not significant")))))</f>
        <v/>
      </c>
      <c r="Y281">
        <f>IF($V281,$X281,$W281)</f>
        <v/>
      </c>
      <c r="Z281">
        <f>IF($V281,IF($P281="","",$P281),IF($O281="","",$O281))</f>
        <v/>
      </c>
      <c r="AA281">
        <f>IF(OR($Q281="",$Z281=""),"",IF(AND($Z281&gt;0,$Z281&gt;=$Q281),"yes","below the line"))</f>
        <v/>
      </c>
      <c r="AB281">
        <f>IF($V281,IF($M281="","",$M281),IF($K281="","",$K281))</f>
        <v/>
      </c>
      <c r="AC281">
        <f>IF($V281,IF($N281="","",$N281),IF($L281="","",$L281))</f>
        <v/>
      </c>
      <c r="AD281">
        <f>$Y281</f>
        <v/>
      </c>
      <c r="AE281">
        <f>IF($V281,IF($S281="","",$S281),IF($R281="","",$R281))</f>
        <v/>
      </c>
      <c r="AF281">
        <f>IF($V281,IF($U281="","",$U281),IF($T281="","",$T281))</f>
        <v/>
      </c>
      <c r="AG281">
        <f>IF($V281,IF($O281="","",$O281),IF($P281="","",$P281))</f>
        <v/>
      </c>
      <c r="AH281" t="n">
        <v>0.04212569363671527</v>
      </c>
      <c r="AI281">
        <f>IF($Y281="worse","Yes",IF($Y281="worse, not significant","Not sure",IF(OR($Y281="too few losses to test",$Y281="too few loans to test"),"Too few losses",IF($Y281="","","No"))))</f>
        <v/>
      </c>
      <c r="AJ281">
        <f>IF($AA281="yes","Yes",IF($AA281="","","No"))</f>
        <v/>
      </c>
      <c r="AK281" t="n">
        <v>0.001945353716407276</v>
      </c>
      <c r="AL281" t="n">
        <v>0.004493228362852481</v>
      </c>
      <c r="AM281">
        <f>IF(AND(ISNUMBER($AC281),ISNUMBER(IF($V281,IF($AL281="","",$AL281),IF($AK281="","",$AK281)))),IF(AND(ABS($AC281-significance_bar)&lt;=2.0*IF($V281,IF($AL281="","",$AL281),IF($AK281="","",$AK281)),OR($Y281="worse",$Y281="better",$Y281="worse, not significant",$Y281="better, not significant")),IF(ROUND($AC281,3)=ROUND(significance_bar,3),TEXT($AC281,"0.0000"),TEXT($AC281,"0.000")),""),"")</f>
        <v/>
      </c>
      <c r="AN281">
        <f>IF(AND(ISNUMBER($AC281),ISNUMBER(IF($V281,IF($AL281="","",$AL281),IF($AK281="","",$AK281)))),IF(AND(ABS($AC281-significance_bar)&lt;=2.0*IF($V281,IF($AL281="","",$AL281),IF($AK281="","",$AK281)),OR($Y281="worse",$Y281="worse, not significant")),IF(ROUND($AC281,3)=ROUND(significance_bar,3),TEXT($AC281,"0.0000"),TEXT($AC281,"0.000")),""),"")</f>
        <v/>
      </c>
      <c r="AO281">
        <f>IF(OR($AI281="",$AN281=""),$AI281,$AI281&amp;" · borderline (p "&amp;$AN281&amp;")")</f>
        <v/>
      </c>
    </row>
    <row r="282">
      <c r="A282" t="inlineStr">
        <is>
          <t>three-way</t>
        </is>
      </c>
      <c r="B282" t="inlineStr">
        <is>
          <t>FICO x CHANNEL / REV_DEBT</t>
        </is>
      </c>
      <c r="C282" t="inlineStr">
        <is>
          <t>654 - 685</t>
        </is>
      </c>
      <c r="D282" t="inlineStr">
        <is>
          <t>Branch / REV_DEBT low half</t>
        </is>
      </c>
      <c r="E282" t="inlineStr">
        <is>
          <t>ranr_rate</t>
        </is>
      </c>
      <c r="F282" t="inlineStr">
        <is>
          <t>Profit after losses: RANR per booked dollar</t>
        </is>
      </c>
      <c r="G282" t="n">
        <v>252</v>
      </c>
      <c r="H282" t="n">
        <v>8471898.719999995</v>
      </c>
      <c r="I282" t="b">
        <v>0</v>
      </c>
      <c r="J282" t="b">
        <v>0</v>
      </c>
      <c r="K282" t="n">
        <v>0.03051756960792817</v>
      </c>
      <c r="L282" t="n">
        <v>0.03245584532455845</v>
      </c>
      <c r="M282" t="n">
        <v>-0.006723966214483595</v>
      </c>
      <c r="N282" t="n">
        <v>0.8927107289271073</v>
      </c>
      <c r="O282" t="n">
        <v>-258541.7588989174</v>
      </c>
      <c r="P282" t="n">
        <v>56964.76076580677</v>
      </c>
      <c r="Q282">
        <f>'_live'!$C$23</f>
        <v/>
      </c>
      <c r="R282" t="inlineStr">
        <is>
          <t>shuffled: 192 of 10,000</t>
        </is>
      </c>
      <c r="S282" t="inlineStr">
        <is>
          <t>shuffled: 6,328 of 10,000</t>
        </is>
      </c>
      <c r="T282" t="n">
        <v>0.1269882155887108</v>
      </c>
      <c r="U282" t="n">
        <v>0.1642297514111225</v>
      </c>
      <c r="V282">
        <f>AND(judged_band,NOT($J282))</f>
        <v/>
      </c>
      <c r="W282">
        <f>IF($K282="","",IF(profit_kind="test",IF(OR(NOT(AND(ISNUMBER($L282),$L282&lt;significance_bar)),$K282=0),"in line",IF($K282&lt;0,"worse","better")),IF(OR($K282=0,IF(profit_kind="points",ABS($K282),ABS($K282*$H282))&lt;profit_line*(1-1E-9)),"in line",IF(AND(ISNUMBER($L282),$L282&lt;significance_bar),IF($K282&lt;0,"worse","better"),IF($K282&lt;0,"worse, not significant","better, not significant")))))</f>
        <v/>
      </c>
      <c r="X282">
        <f>IF($M282="","",IF(profit_kind="test",IF(OR(NOT(AND(ISNUMBER($N282),$N282&lt;significance_bar)),$M282=0),"in line",IF($M282&lt;0,"worse","better")),IF(OR($M282=0,IF(profit_kind="points",ABS($M282),ABS($M282*$H282))&lt;profit_line*(1-1E-9)),"in line",IF(AND(ISNUMBER($N282),$N282&lt;significance_bar),IF($M282&lt;0,"worse","better"),IF($M282&lt;0,"worse, not significant","better, not significant")))))</f>
        <v/>
      </c>
      <c r="Y282">
        <f>IF($V282,$X282,$W282)</f>
        <v/>
      </c>
      <c r="Z282">
        <f>IF($V282,IF($P282="","",$P282),IF($O282="","",$O282))</f>
        <v/>
      </c>
      <c r="AA282">
        <f>IF(OR($Q282="",$Z282=""),"",IF(AND($Z282&gt;0,$Z282&gt;=$Q282),"yes","below the line"))</f>
        <v/>
      </c>
      <c r="AB282">
        <f>IF($V282,IF($M282="","",$M282),IF($K282="","",$K282))</f>
        <v/>
      </c>
      <c r="AC282">
        <f>IF($V282,IF($N282="","",$N282),IF($L282="","",$L282))</f>
        <v/>
      </c>
      <c r="AD282">
        <f>IF($Y282="","",IF($Y282="in line",IF(profit_kind="test",IF(ROUND($AB282*100,2)=0,"0.00",TEXT($AB282*100,"+0.00;-0.00"))&amp;" points against "&amp;IF($V282,"its band","the book")&amp;", "&amp;IF($AC282="","not tested","not significant"),IF(profit_kind="points","within "&amp;TEXT(profit_line*100,"0.00")&amp;" points of "&amp;IF($V282,"its band","the book")&amp;" ("&amp;IF(ROUND($AB282*100,2)=0,"0.00",TEXT($AB282*100,"+0.00;-0.00"))&amp;")","within $"&amp;TEXT(profit_line,"#,##0")&amp;" of "&amp;IF($V282,"its band","the book")&amp;" ("&amp;IF(ROUND($AB282*100,2)=0,"0.00",TEXT($AB282*100,"+0.00;-0.00"))&amp;" points)")),IF(LEFT($Y282,5)="worse","short of ","ahead of ")&amp;IF($V282,"its band","the book")&amp;" by "&amp;TEXT(ABS($AB282)*100,"0.00")&amp;" points"&amp;IF($Z282="",""," ($"&amp;TEXT(ABS($Z282),"#,##0")&amp;")")&amp;IF(RIGHT($Y282,15)="not significant"," (not significant)","")))</f>
        <v/>
      </c>
      <c r="AE282">
        <f>IF($V282,IF($S282="","",$S282),IF($R282="","",$R282))</f>
        <v/>
      </c>
      <c r="AF282">
        <f>IF($V282,IF($U282="","",$U282),IF($T282="","",$T282))</f>
        <v/>
      </c>
      <c r="AG282">
        <f>IF($V282,IF($O282="","",$O282),IF($P282="","",$P282))</f>
        <v/>
      </c>
      <c r="AH282" t="n">
        <v>0.1575057851966389</v>
      </c>
      <c r="AI282">
        <f>IF($Y282="worse","Yes",IF($Y282="worse, not significant","Not sure",IF(OR($Y282="too few losses to test",$Y282="too few loans to test"),"Too few losses",IF($Y282="","","No"))))</f>
        <v/>
      </c>
      <c r="AJ282">
        <f>IF($AA282="yes","Yes",IF($AA282="","","No"))</f>
        <v/>
      </c>
      <c r="AK282" t="n">
        <v>0.002313686428135614</v>
      </c>
      <c r="AL282" t="n">
        <v>0.005237560779322389</v>
      </c>
      <c r="AM282">
        <f>IF(AND(ISNUMBER($AC282),ISNUMBER(IF($V282,IF($AL282="","",$AL282),IF($AK282="","",$AK282)))),IF(AND(ABS($AC282-significance_bar)&lt;=2.0*IF($V282,IF($AL282="","",$AL282),IF($AK282="","",$AK282)),OR($Y282="worse",$Y282="better",$Y282="worse, not significant",$Y282="better, not significant",AND(profit_kind="test",$Y282="in line",ISNUMBER($AB282),$AB282&lt;&gt;0))),IF(ROUND($AC282,3)=ROUND(significance_bar,3),TEXT($AC282,"0.0000"),TEXT($AC282,"0.000")),""),"")</f>
        <v/>
      </c>
      <c r="AN282">
        <f>IF(AND(ISNUMBER($AC282),ISNUMBER(IF($V282,IF($AL282="","",$AL282),IF($AK282="","",$AK282)))),IF(AND(ABS($AC282-significance_bar)&lt;=2.0*IF($V282,IF($AL282="","",$AL282),IF($AK282="","",$AK282)),OR($Y282="worse",$Y282="worse, not significant",AND(profit_kind="test",$Y282="in line",ISNUMBER($AB282),$AB282&lt;0))),IF(ROUND($AC282,3)=ROUND(significance_bar,3),TEXT($AC282,"0.0000"),TEXT($AC282,"0.000")),""),"")</f>
        <v/>
      </c>
      <c r="AO282">
        <f>IF(OR($AI282="",$AN282=""),$AI282,$AI282&amp;" · borderline (p "&amp;$AN282&amp;")")</f>
        <v/>
      </c>
    </row>
    <row r="283">
      <c r="A283" t="inlineStr">
        <is>
          <t>three-way</t>
        </is>
      </c>
      <c r="B283" t="inlineStr">
        <is>
          <t>FICO x CHANNEL / REV_DEBT</t>
        </is>
      </c>
      <c r="C283" t="inlineStr">
        <is>
          <t>654 - 685</t>
        </is>
      </c>
      <c r="D283" t="inlineStr">
        <is>
          <t>Branch / REV_DEBT low half</t>
        </is>
      </c>
      <c r="E283" t="inlineStr">
        <is>
          <t>contribution_rate</t>
        </is>
      </c>
      <c r="F283" t="inlineStr">
        <is>
          <t>Contribution before losses per booked dollar</t>
        </is>
      </c>
      <c r="G283" t="n">
        <v>252</v>
      </c>
      <c r="H283" t="n">
        <v>8471898.719999995</v>
      </c>
      <c r="I283" t="b">
        <v>0</v>
      </c>
      <c r="J283" t="b">
        <v>0</v>
      </c>
      <c r="K283" t="n">
        <v>0.03105878091388725</v>
      </c>
      <c r="L283" t="n">
        <v>0.00073992600739926</v>
      </c>
      <c r="M283" t="n">
        <v>-0.0104529725584005</v>
      </c>
      <c r="N283" t="n">
        <v>0.3310032633100327</v>
      </c>
      <c r="O283" t="n">
        <v>-263126.8462691216</v>
      </c>
      <c r="P283" t="n">
        <v>88556.52483770833</v>
      </c>
      <c r="Q283">
        <f>'_live'!$C$24</f>
        <v/>
      </c>
      <c r="R283" t="inlineStr">
        <is>
          <t>shuffled: 4 of 10,000</t>
        </is>
      </c>
      <c r="S283" t="inlineStr">
        <is>
          <t>shuffled: 2,018 of 10,000</t>
        </is>
      </c>
      <c r="T283" t="n">
        <v>0.168572697919467</v>
      </c>
      <c r="U283" t="n">
        <v>0.2100844513917547</v>
      </c>
      <c r="V283">
        <f>AND(judged_band,NOT($J283))</f>
        <v/>
      </c>
      <c r="W283">
        <f>IF($K283="","",IF(profit_kind="test",IF(OR(NOT(AND(ISNUMBER($L283),$L283&lt;significance_bar)),$K283=0),"in line",IF($K283&lt;0,"worse","better")),IF(OR($K283=0,IF(profit_kind="points",ABS($K283),ABS($K283*$H283))&lt;profit_line*(1-1E-9)),"in line",IF(AND(ISNUMBER($L283),$L283&lt;significance_bar),IF($K283&lt;0,"worse","better"),IF($K283&lt;0,"worse, not significant","better, not significant")))))</f>
        <v/>
      </c>
      <c r="X283">
        <f>IF($M283="","",IF(profit_kind="test",IF(OR(NOT(AND(ISNUMBER($N283),$N283&lt;significance_bar)),$M283=0),"in line",IF($M283&lt;0,"worse","better")),IF(OR($M283=0,IF(profit_kind="points",ABS($M283),ABS($M283*$H283))&lt;profit_line*(1-1E-9)),"in line",IF(AND(ISNUMBER($N283),$N283&lt;significance_bar),IF($M283&lt;0,"worse","better"),IF($M283&lt;0,"worse, not significant","better, not significant")))))</f>
        <v/>
      </c>
      <c r="Y283">
        <f>IF($V283,$X283,$W283)</f>
        <v/>
      </c>
      <c r="Z283">
        <f>IF($V283,IF($P283="","",$P283),IF($O283="","",$O283))</f>
        <v/>
      </c>
      <c r="AA283">
        <f>IF(OR($Q283="",$Z283=""),"",IF(AND($Z283&gt;0,$Z283&gt;=$Q283),"yes","below the line"))</f>
        <v/>
      </c>
      <c r="AB283">
        <f>IF($V283,IF($M283="","",$M283),IF($K283="","",$K283))</f>
        <v/>
      </c>
      <c r="AC283">
        <f>IF($V283,IF($N283="","",$N283),IF($L283="","",$L283))</f>
        <v/>
      </c>
      <c r="AD283">
        <f>IF($Y283="","",IF($Y283="in line",IF(profit_kind="test",IF(ROUND($AB283*100,2)=0,"0.00",TEXT($AB283*100,"+0.00;-0.00"))&amp;" points against "&amp;IF($V283,"its band","the book")&amp;", "&amp;IF($AC283="","not tested","not significant"),IF(profit_kind="points","within "&amp;TEXT(profit_line*100,"0.00")&amp;" points of "&amp;IF($V283,"its band","the book")&amp;" ("&amp;IF(ROUND($AB283*100,2)=0,"0.00",TEXT($AB283*100,"+0.00;-0.00"))&amp;")","within $"&amp;TEXT(profit_line,"#,##0")&amp;" of "&amp;IF($V283,"its band","the book")&amp;" ("&amp;IF(ROUND($AB283*100,2)=0,"0.00",TEXT($AB283*100,"+0.00;-0.00"))&amp;" points)")),IF(LEFT($Y283,5)="worse","short of ","ahead of ")&amp;IF($V283,"its band","the book")&amp;" by "&amp;TEXT(ABS($AB283)*100,"0.00")&amp;" points"&amp;IF($Z283="",""," ($"&amp;TEXT(ABS($Z283),"#,##0")&amp;")")&amp;IF(RIGHT($Y283,15)="not significant"," (not significant)","")))</f>
        <v/>
      </c>
      <c r="AE283">
        <f>IF($V283,IF($S283="","",$S283),IF($R283="","",$R283))</f>
        <v/>
      </c>
      <c r="AF283">
        <f>IF($V283,IF($U283="","",$U283),IF($T283="","",$T283))</f>
        <v/>
      </c>
      <c r="AG283">
        <f>IF($V283,IF($O283="","",$O283),IF($P283="","",$P283))</f>
        <v/>
      </c>
      <c r="AH283" t="n">
        <v>0.1996314788333542</v>
      </c>
      <c r="AI283">
        <f>IF($Y283="worse","Yes",IF($Y283="worse, not significant","Not sure",IF(OR($Y283="too few losses to test",$Y283="too few loans to test"),"Too few losses",IF($Y283="","","No"))))</f>
        <v/>
      </c>
      <c r="AJ283">
        <f>IF($AA283="yes","Yes",IF($AA283="","","No"))</f>
        <v/>
      </c>
      <c r="AK283" t="n">
        <v>0.0003308387825594936</v>
      </c>
      <c r="AL283" t="n">
        <v>0.006573268161853313</v>
      </c>
      <c r="AM283">
        <f>IF(AND(ISNUMBER($AC283),ISNUMBER(IF($V283,IF($AL283="","",$AL283),IF($AK283="","",$AK283)))),IF(AND(ABS($AC283-significance_bar)&lt;=2.0*IF($V283,IF($AL283="","",$AL283),IF($AK283="","",$AK283)),OR($Y283="worse",$Y283="better",$Y283="worse, not significant",$Y283="better, not significant",AND(profit_kind="test",$Y283="in line",ISNUMBER($AB283),$AB283&lt;&gt;0))),IF(ROUND($AC283,3)=ROUND(significance_bar,3),TEXT($AC283,"0.0000"),TEXT($AC283,"0.000")),""),"")</f>
        <v/>
      </c>
      <c r="AN283">
        <f>IF(AND(ISNUMBER($AC283),ISNUMBER(IF($V283,IF($AL283="","",$AL283),IF($AK283="","",$AK283)))),IF(AND(ABS($AC283-significance_bar)&lt;=2.0*IF($V283,IF($AL283="","",$AL283),IF($AK283="","",$AK283)),OR($Y283="worse",$Y283="worse, not significant",AND(profit_kind="test",$Y283="in line",ISNUMBER($AB283),$AB283&lt;0))),IF(ROUND($AC283,3)=ROUND(significance_bar,3),TEXT($AC283,"0.0000"),TEXT($AC283,"0.000")),""),"")</f>
        <v/>
      </c>
      <c r="AO283">
        <f>IF(OR($AI283="",$AN283=""),$AI283,$AI283&amp;" · borderline (p "&amp;$AN283&amp;")")</f>
        <v/>
      </c>
    </row>
    <row r="284">
      <c r="A284" t="inlineStr">
        <is>
          <t>three-way</t>
        </is>
      </c>
      <c r="B284" t="inlineStr">
        <is>
          <t>FICO x CHANNEL / REV_DEBT</t>
        </is>
      </c>
      <c r="C284" t="inlineStr">
        <is>
          <t>654 - 685</t>
        </is>
      </c>
      <c r="D284" t="inlineStr">
        <is>
          <t>Online / REV_DEBT high half</t>
        </is>
      </c>
      <c r="E284" t="inlineStr">
        <is>
          <t>outcome_loans</t>
        </is>
      </c>
      <c r="F284" t="inlineStr">
        <is>
          <t>Outcome, share of loans</t>
        </is>
      </c>
      <c r="G284" t="n">
        <v>252</v>
      </c>
      <c r="H284" t="n">
        <v>252</v>
      </c>
      <c r="I284" t="b">
        <v>0</v>
      </c>
      <c r="J284" t="b">
        <v>0</v>
      </c>
      <c r="K284" t="n">
        <v>1.51105057842346</v>
      </c>
      <c r="L284" t="n">
        <v>0.052602495012138</v>
      </c>
      <c r="M284" t="n">
        <v>1.466407355021216</v>
      </c>
      <c r="N284" t="n">
        <v>0.1381316222537689</v>
      </c>
      <c r="O284" t="n">
        <v>9.80805473086356</v>
      </c>
      <c r="P284" t="n">
        <v>9.223776223776223</v>
      </c>
      <c r="Q284">
        <f>'_live'!$C$20</f>
        <v/>
      </c>
      <c r="R284" t="inlineStr">
        <is>
          <t>z test</t>
        </is>
      </c>
      <c r="S284" t="inlineStr">
        <is>
          <t>z test</t>
        </is>
      </c>
      <c r="T284" t="n">
        <v>0.07615851297276365</v>
      </c>
      <c r="U284" t="n">
        <v>0.07847707847707848</v>
      </c>
      <c r="V284">
        <f>AND(judged_band,NOT($J284))</f>
        <v/>
      </c>
      <c r="W284">
        <f>IF($K284="","",IF($I284,"too few losses to test",IF(AND($K284&gt;better_at,$K284&lt;worse_at),"in line",IF($K284&gt;=worse_at,IF(AND(ISNUMBER($L284),$L284&lt;significance_bar),"worse","worse, not significant"),IF(AND(ISNUMBER($L284),$L284&lt;significance_bar),"better","better, not significant")))))</f>
        <v/>
      </c>
      <c r="X284">
        <f>IF($M284="","",IF($I284,"too few losses to test",IF(AND($M284&gt;better_at,$M284&lt;worse_at),"in line",IF($M284&gt;=worse_at,IF(AND(ISNUMBER($N284),$N284&lt;significance_bar),"worse","worse, not significant"),IF(AND(ISNUMBER($N284),$N284&lt;significance_bar),"better","better, not significant")))))</f>
        <v/>
      </c>
      <c r="Y284">
        <f>IF($V284,$X284,$W284)</f>
        <v/>
      </c>
      <c r="Z284">
        <f>IF($V284,IF($P284="","",$P284),IF($O284="","",$O284))</f>
        <v/>
      </c>
      <c r="AA284">
        <f>IF(OR($Q284="",$Z284=""),"",IF(AND($Z284&gt;0,$Z284&gt;=$Q284),"yes","below the line"))</f>
        <v/>
      </c>
      <c r="AB284">
        <f>IF($V284,IF($M284="","",$M284),IF($K284="","",$K284))</f>
        <v/>
      </c>
      <c r="AC284">
        <f>IF($V284,IF($N284="","",$N284),IF($L284="","",$L284))</f>
        <v/>
      </c>
      <c r="AD284">
        <f>$Y284</f>
        <v/>
      </c>
      <c r="AE284">
        <f>IF($V284,IF($S284="","",$S284),IF($R284="","",$R284))</f>
        <v/>
      </c>
      <c r="AF284">
        <f>IF($V284,IF($U284="","",$U284),IF($T284="","",$T284))</f>
        <v/>
      </c>
      <c r="AG284">
        <f>IF($V284,IF($O284="","",$O284),IF($P284="","",$P284))</f>
        <v/>
      </c>
      <c r="AH284" t="n">
        <v>0.1150793650793651</v>
      </c>
      <c r="AI284">
        <f>IF($Y284="worse","Yes",IF($Y284="worse, not significant","Not sure",IF(OR($Y284="too few losses to test",$Y284="too few loans to test"),"Too few losses",IF($Y284="","","No"))))</f>
        <v/>
      </c>
      <c r="AJ284">
        <f>IF($AA284="yes","Yes",IF($AA284="","","No"))</f>
        <v/>
      </c>
      <c r="AM284">
        <f>IF(AND(ISNUMBER($AC284),ISNUMBER(IF($V284,IF($AL284="","",$AL284),IF($AK284="","",$AK284)))),IF(AND(ABS($AC284-significance_bar)&lt;=2.0*IF($V284,IF($AL284="","",$AL284),IF($AK284="","",$AK284)),OR($Y284="worse",$Y284="better",$Y284="worse, not significant",$Y284="better, not significant")),IF(ROUND($AC284,3)=ROUND(significance_bar,3),TEXT($AC284,"0.0000"),TEXT($AC284,"0.000")),""),"")</f>
        <v/>
      </c>
      <c r="AN284">
        <f>IF(AND(ISNUMBER($AC284),ISNUMBER(IF($V284,IF($AL284="","",$AL284),IF($AK284="","",$AK284)))),IF(AND(ABS($AC284-significance_bar)&lt;=2.0*IF($V284,IF($AL284="","",$AL284),IF($AK284="","",$AK284)),OR($Y284="worse",$Y284="worse, not significant")),IF(ROUND($AC284,3)=ROUND(significance_bar,3),TEXT($AC284,"0.0000"),TEXT($AC284,"0.000")),""),"")</f>
        <v/>
      </c>
      <c r="AO284">
        <f>IF(OR($AI284="",$AN284=""),$AI284,$AI284&amp;" · borderline (p "&amp;$AN284&amp;")")</f>
        <v/>
      </c>
    </row>
    <row r="285">
      <c r="A285" t="inlineStr">
        <is>
          <t>three-way</t>
        </is>
      </c>
      <c r="B285" t="inlineStr">
        <is>
          <t>FICO x CHANNEL / REV_DEBT</t>
        </is>
      </c>
      <c r="C285" t="inlineStr">
        <is>
          <t>654 - 685</t>
        </is>
      </c>
      <c r="D285" t="inlineStr">
        <is>
          <t>Online / REV_DEBT high half</t>
        </is>
      </c>
      <c r="E285" t="inlineStr">
        <is>
          <t>outcome_booked</t>
        </is>
      </c>
      <c r="F285" t="inlineStr">
        <is>
          <t>Outcome, share of booked dollars</t>
        </is>
      </c>
      <c r="G285" t="n">
        <v>252</v>
      </c>
      <c r="H285" t="n">
        <v>7627316.480000005</v>
      </c>
      <c r="I285" t="b">
        <v>0</v>
      </c>
      <c r="J285" t="b">
        <v>0</v>
      </c>
      <c r="K285" t="n">
        <v>1.569806704507851</v>
      </c>
      <c r="L285" t="n">
        <v>0.07654948790835203</v>
      </c>
      <c r="M285" t="n">
        <v>1.575184781023838</v>
      </c>
      <c r="N285" t="n">
        <v>0.0978679909786799</v>
      </c>
      <c r="O285" t="n">
        <v>319826.5238016953</v>
      </c>
      <c r="P285" t="n">
        <v>321742.9071672031</v>
      </c>
      <c r="Q285">
        <f>'_live'!$C$21</f>
        <v/>
      </c>
      <c r="R285" t="inlineStr">
        <is>
          <t>shuffled: 232 of 10,000</t>
        </is>
      </c>
      <c r="S285" t="inlineStr">
        <is>
          <t>shuffled: 382 of 10,000</t>
        </is>
      </c>
      <c r="T285" t="n">
        <v>0.07358938201529885</v>
      </c>
      <c r="U285" t="n">
        <v>0.07333812938004597</v>
      </c>
      <c r="V285">
        <f>AND(judged_band,NOT($J285))</f>
        <v/>
      </c>
      <c r="W285">
        <f>IF($K285="","",IF($I285,"too few losses to test",IF(AND($K285&gt;better_at,$K285&lt;worse_at),"in line",IF($K285&gt;=worse_at,IF(AND(ISNUMBER($L285),$L285&lt;significance_bar),"worse","worse, not significant"),IF(AND(ISNUMBER($L285),$L285&lt;significance_bar),"better","better, not significant")))))</f>
        <v/>
      </c>
      <c r="X285">
        <f>IF($M285="","",IF($I285,"too few losses to test",IF(AND($M285&gt;better_at,$M285&lt;worse_at),"in line",IF($M285&gt;=worse_at,IF(AND(ISNUMBER($N285),$N285&lt;significance_bar),"worse","worse, not significant"),IF(AND(ISNUMBER($N285),$N285&lt;significance_bar),"better","better, not significant")))))</f>
        <v/>
      </c>
      <c r="Y285">
        <f>IF($V285,$X285,$W285)</f>
        <v/>
      </c>
      <c r="Z285">
        <f>IF($V285,IF($P285="","",$P285),IF($O285="","",$O285))</f>
        <v/>
      </c>
      <c r="AA285">
        <f>IF(OR($Q285="",$Z285=""),"",IF(AND($Z285&gt;0,$Z285&gt;=$Q285),"yes","below the line"))</f>
        <v/>
      </c>
      <c r="AB285">
        <f>IF($V285,IF($M285="","",$M285),IF($K285="","",$K285))</f>
        <v/>
      </c>
      <c r="AC285">
        <f>IF($V285,IF($N285="","",$N285),IF($L285="","",$L285))</f>
        <v/>
      </c>
      <c r="AD285">
        <f>$Y285</f>
        <v/>
      </c>
      <c r="AE285">
        <f>IF($V285,IF($S285="","",$S285),IF($R285="","",$R285))</f>
        <v/>
      </c>
      <c r="AF285">
        <f>IF($V285,IF($U285="","",$U285),IF($T285="","",$T285))</f>
        <v/>
      </c>
      <c r="AG285">
        <f>IF($V285,IF($O285="","",$O285),IF($P285="","",$P285))</f>
        <v/>
      </c>
      <c r="AH285" t="n">
        <v>0.1155211052682056</v>
      </c>
      <c r="AI285">
        <f>IF($Y285="worse","Yes",IF($Y285="worse, not significant","Not sure",IF(OR($Y285="too few losses to test",$Y285="too few loans to test"),"Too few losses",IF($Y285="","","No"))))</f>
        <v/>
      </c>
      <c r="AJ285">
        <f>IF($AA285="yes","Yes",IF($AA285="","","No"))</f>
        <v/>
      </c>
      <c r="AK285" t="n">
        <v>0.004956409203098088</v>
      </c>
      <c r="AL285" t="n">
        <v>0.004904375030505145</v>
      </c>
      <c r="AM285">
        <f>IF(AND(ISNUMBER($AC285),ISNUMBER(IF($V285,IF($AL285="","",$AL285),IF($AK285="","",$AK285)))),IF(AND(ABS($AC285-significance_bar)&lt;=2.0*IF($V285,IF($AL285="","",$AL285),IF($AK285="","",$AK285)),OR($Y285="worse",$Y285="better",$Y285="worse, not significant",$Y285="better, not significant")),IF(ROUND($AC285,3)=ROUND(significance_bar,3),TEXT($AC285,"0.0000"),TEXT($AC285,"0.000")),""),"")</f>
        <v/>
      </c>
      <c r="AN285">
        <f>IF(AND(ISNUMBER($AC285),ISNUMBER(IF($V285,IF($AL285="","",$AL285),IF($AK285="","",$AK285)))),IF(AND(ABS($AC285-significance_bar)&lt;=2.0*IF($V285,IF($AL285="","",$AL285),IF($AK285="","",$AK285)),OR($Y285="worse",$Y285="worse, not significant")),IF(ROUND($AC285,3)=ROUND(significance_bar,3),TEXT($AC285,"0.0000"),TEXT($AC285,"0.000")),""),"")</f>
        <v/>
      </c>
      <c r="AO285">
        <f>IF(OR($AI285="",$AN285=""),$AI285,$AI285&amp;" · borderline (p "&amp;$AN285&amp;")")</f>
        <v/>
      </c>
    </row>
    <row r="286">
      <c r="A286" t="inlineStr">
        <is>
          <t>three-way</t>
        </is>
      </c>
      <c r="B286" t="inlineStr">
        <is>
          <t>FICO x CHANNEL / REV_DEBT</t>
        </is>
      </c>
      <c r="C286" t="inlineStr">
        <is>
          <t>654 - 685</t>
        </is>
      </c>
      <c r="D286" t="inlineStr">
        <is>
          <t>Online / REV_DEBT high half</t>
        </is>
      </c>
      <c r="E286" t="inlineStr">
        <is>
          <t>gco_rate</t>
        </is>
      </c>
      <c r="F286" t="inlineStr">
        <is>
          <t>GCO per booked dollar</t>
        </is>
      </c>
      <c r="G286" t="n">
        <v>252</v>
      </c>
      <c r="H286" t="n">
        <v>7627316.480000005</v>
      </c>
      <c r="I286" t="b">
        <v>0</v>
      </c>
      <c r="J286" t="b">
        <v>0</v>
      </c>
      <c r="K286" t="n">
        <v>1.629834327036447</v>
      </c>
      <c r="L286" t="n">
        <v>0.04915758424157584</v>
      </c>
      <c r="M286" t="n">
        <v>1.611463448498021</v>
      </c>
      <c r="N286" t="n">
        <v>0.09045762090457621</v>
      </c>
      <c r="O286" t="n">
        <v>196216.307695883</v>
      </c>
      <c r="P286" t="n">
        <v>192664.7551956112</v>
      </c>
      <c r="Q286">
        <f>'_live'!$C$22</f>
        <v/>
      </c>
      <c r="R286" t="inlineStr">
        <is>
          <t>shuffled: 170 of 10,000</t>
        </is>
      </c>
      <c r="S286" t="inlineStr">
        <is>
          <t>shuffled: 353 of 10,000</t>
        </is>
      </c>
      <c r="T286" t="n">
        <v>0.04084482178247267</v>
      </c>
      <c r="U286" t="n">
        <v>0.0413104576990607</v>
      </c>
      <c r="V286">
        <f>AND(judged_band,NOT($J286))</f>
        <v/>
      </c>
      <c r="W286">
        <f>IF($K286="","",IF($I286,"too few losses to test",IF(AND($K286&gt;better_at,$K286&lt;worse_at),"in line",IF($K286&gt;=worse_at,IF(AND(ISNUMBER($L286),$L286&lt;significance_bar),"worse","worse, not significant"),IF(AND(ISNUMBER($L286),$L286&lt;significance_bar),"better","better, not significant")))))</f>
        <v/>
      </c>
      <c r="X286">
        <f>IF($M286="","",IF($I286,"too few losses to test",IF(AND($M286&gt;better_at,$M286&lt;worse_at),"in line",IF($M286&gt;=worse_at,IF(AND(ISNUMBER($N286),$N286&lt;significance_bar),"worse","worse, not significant"),IF(AND(ISNUMBER($N286),$N286&lt;significance_bar),"better","better, not significant")))))</f>
        <v/>
      </c>
      <c r="Y286">
        <f>IF($V286,$X286,$W286)</f>
        <v/>
      </c>
      <c r="Z286">
        <f>IF($V286,IF($P286="","",$P286),IF($O286="","",$O286))</f>
        <v/>
      </c>
      <c r="AA286">
        <f>IF(OR($Q286="",$Z286=""),"",IF(AND($Z286&gt;0,$Z286&gt;=$Q286),"yes","below the line"))</f>
        <v/>
      </c>
      <c r="AB286">
        <f>IF($V286,IF($M286="","",$M286),IF($K286="","",$K286))</f>
        <v/>
      </c>
      <c r="AC286">
        <f>IF($V286,IF($N286="","",$N286),IF($L286="","",$L286))</f>
        <v/>
      </c>
      <c r="AD286">
        <f>$Y286</f>
        <v/>
      </c>
      <c r="AE286">
        <f>IF($V286,IF($S286="","",$S286),IF($R286="","",$R286))</f>
        <v/>
      </c>
      <c r="AF286">
        <f>IF($V286,IF($U286="","",$U286),IF($T286="","",$T286))</f>
        <v/>
      </c>
      <c r="AG286">
        <f>IF($V286,IF($O286="","",$O286),IF($P286="","",$P286))</f>
        <v/>
      </c>
      <c r="AH286" t="n">
        <v>0.06657029262275997</v>
      </c>
      <c r="AI286">
        <f>IF($Y286="worse","Yes",IF($Y286="worse, not significant","Not sure",IF(OR($Y286="too few losses to test",$Y286="too few loans to test"),"Too few losses",IF($Y286="","","No"))))</f>
        <v/>
      </c>
      <c r="AJ286">
        <f>IF($AA286="yes","Yes",IF($AA286="","","No"))</f>
        <v/>
      </c>
      <c r="AK286" t="n">
        <v>0.003727084471890366</v>
      </c>
      <c r="AL286" t="n">
        <v>0.004722148816643882</v>
      </c>
      <c r="AM286">
        <f>IF(AND(ISNUMBER($AC286),ISNUMBER(IF($V286,IF($AL286="","",$AL286),IF($AK286="","",$AK286)))),IF(AND(ABS($AC286-significance_bar)&lt;=2.0*IF($V286,IF($AL286="","",$AL286),IF($AK286="","",$AK286)),OR($Y286="worse",$Y286="better",$Y286="worse, not significant",$Y286="better, not significant")),IF(ROUND($AC286,3)=ROUND(significance_bar,3),TEXT($AC286,"0.0000"),TEXT($AC286,"0.000")),""),"")</f>
        <v/>
      </c>
      <c r="AN286">
        <f>IF(AND(ISNUMBER($AC286),ISNUMBER(IF($V286,IF($AL286="","",$AL286),IF($AK286="","",$AK286)))),IF(AND(ABS($AC286-significance_bar)&lt;=2.0*IF($V286,IF($AL286="","",$AL286),IF($AK286="","",$AK286)),OR($Y286="worse",$Y286="worse, not significant")),IF(ROUND($AC286,3)=ROUND(significance_bar,3),TEXT($AC286,"0.0000"),TEXT($AC286,"0.000")),""),"")</f>
        <v/>
      </c>
      <c r="AO286">
        <f>IF(OR($AI286="",$AN286=""),$AI286,$AI286&amp;" · borderline (p "&amp;$AN286&amp;")")</f>
        <v/>
      </c>
    </row>
    <row r="287">
      <c r="A287" t="inlineStr">
        <is>
          <t>three-way</t>
        </is>
      </c>
      <c r="B287" t="inlineStr">
        <is>
          <t>FICO x CHANNEL / REV_DEBT</t>
        </is>
      </c>
      <c r="C287" t="inlineStr">
        <is>
          <t>654 - 685</t>
        </is>
      </c>
      <c r="D287" t="inlineStr">
        <is>
          <t>Online / REV_DEBT high half</t>
        </is>
      </c>
      <c r="E287" t="inlineStr">
        <is>
          <t>ranr_rate</t>
        </is>
      </c>
      <c r="F287" t="inlineStr">
        <is>
          <t>Profit after losses: RANR per booked dollar</t>
        </is>
      </c>
      <c r="G287" t="n">
        <v>252</v>
      </c>
      <c r="H287" t="n">
        <v>7627316.480000005</v>
      </c>
      <c r="I287" t="b">
        <v>0</v>
      </c>
      <c r="J287" t="b">
        <v>0</v>
      </c>
      <c r="K287" t="n">
        <v>0.03119356068665904</v>
      </c>
      <c r="L287" t="n">
        <v>0.02906852171925665</v>
      </c>
      <c r="M287" t="n">
        <v>-0.005693781433586759</v>
      </c>
      <c r="N287" t="n">
        <v>0.8927107289271073</v>
      </c>
      <c r="O287" t="n">
        <v>-237923.1594952347</v>
      </c>
      <c r="P287" t="n">
        <v>43428.27296191431</v>
      </c>
      <c r="Q287">
        <f>'_live'!$C$23</f>
        <v/>
      </c>
      <c r="R287" t="inlineStr">
        <is>
          <t>shuffled: 164 of 10,000</t>
        </is>
      </c>
      <c r="S287" t="inlineStr">
        <is>
          <t>shuffled: 6,960 of 10,000</t>
        </is>
      </c>
      <c r="T287" t="n">
        <v>0.1270681114447167</v>
      </c>
      <c r="U287" t="n">
        <v>0.1639554535649625</v>
      </c>
      <c r="V287">
        <f>AND(judged_band,NOT($J287))</f>
        <v/>
      </c>
      <c r="W287">
        <f>IF($K287="","",IF(profit_kind="test",IF(OR(NOT(AND(ISNUMBER($L287),$L287&lt;significance_bar)),$K287=0),"in line",IF($K287&lt;0,"worse","better")),IF(OR($K287=0,IF(profit_kind="points",ABS($K287),ABS($K287*$H287))&lt;profit_line*(1-1E-9)),"in line",IF(AND(ISNUMBER($L287),$L287&lt;significance_bar),IF($K287&lt;0,"worse","better"),IF($K287&lt;0,"worse, not significant","better, not significant")))))</f>
        <v/>
      </c>
      <c r="X287">
        <f>IF($M287="","",IF(profit_kind="test",IF(OR(NOT(AND(ISNUMBER($N287),$N287&lt;significance_bar)),$M287=0),"in line",IF($M287&lt;0,"worse","better")),IF(OR($M287=0,IF(profit_kind="points",ABS($M287),ABS($M287*$H287))&lt;profit_line*(1-1E-9)),"in line",IF(AND(ISNUMBER($N287),$N287&lt;significance_bar),IF($M287&lt;0,"worse","better"),IF($M287&lt;0,"worse, not significant","better, not significant")))))</f>
        <v/>
      </c>
      <c r="Y287">
        <f>IF($V287,$X287,$W287)</f>
        <v/>
      </c>
      <c r="Z287">
        <f>IF($V287,IF($P287="","",$P287),IF($O287="","",$O287))</f>
        <v/>
      </c>
      <c r="AA287">
        <f>IF(OR($Q287="",$Z287=""),"",IF(AND($Z287&gt;0,$Z287&gt;=$Q287),"yes","below the line"))</f>
        <v/>
      </c>
      <c r="AB287">
        <f>IF($V287,IF($M287="","",$M287),IF($K287="","",$K287))</f>
        <v/>
      </c>
      <c r="AC287">
        <f>IF($V287,IF($N287="","",$N287),IF($L287="","",$L287))</f>
        <v/>
      </c>
      <c r="AD287">
        <f>IF($Y287="","",IF($Y287="in line",IF(profit_kind="test",IF(ROUND($AB287*100,2)=0,"0.00",TEXT($AB287*100,"+0.00;-0.00"))&amp;" points against "&amp;IF($V287,"its band","the book")&amp;", "&amp;IF($AC287="","not tested","not significant"),IF(profit_kind="points","within "&amp;TEXT(profit_line*100,"0.00")&amp;" points of "&amp;IF($V287,"its band","the book")&amp;" ("&amp;IF(ROUND($AB287*100,2)=0,"0.00",TEXT($AB287*100,"+0.00;-0.00"))&amp;")","within $"&amp;TEXT(profit_line,"#,##0")&amp;" of "&amp;IF($V287,"its band","the book")&amp;" ("&amp;IF(ROUND($AB287*100,2)=0,"0.00",TEXT($AB287*100,"+0.00;-0.00"))&amp;" points)")),IF(LEFT($Y287,5)="worse","short of ","ahead of ")&amp;IF($V287,"its band","the book")&amp;" by "&amp;TEXT(ABS($AB287)*100,"0.00")&amp;" points"&amp;IF($Z287="",""," ($"&amp;TEXT(ABS($Z287),"#,##0")&amp;")")&amp;IF(RIGHT($Y287,15)="not significant"," (not significant)","")))</f>
        <v/>
      </c>
      <c r="AE287">
        <f>IF($V287,IF($S287="","",$S287),IF($R287="","",$R287))</f>
        <v/>
      </c>
      <c r="AF287">
        <f>IF($V287,IF($U287="","",$U287),IF($T287="","",$T287))</f>
        <v/>
      </c>
      <c r="AG287">
        <f>IF($V287,IF($O287="","",$O287),IF($P287="","",$P287))</f>
        <v/>
      </c>
      <c r="AH287" t="n">
        <v>0.1582616721313757</v>
      </c>
      <c r="AI287">
        <f>IF($Y287="worse","Yes",IF($Y287="worse, not significant","Not sure",IF(OR($Y287="too few losses to test",$Y287="too few loans to test"),"Too few losses",IF($Y287="","","No"))))</f>
        <v/>
      </c>
      <c r="AJ287">
        <f>IF($AA287="yes","Yes",IF($AA287="","","No"))</f>
        <v/>
      </c>
      <c r="AK287" t="n">
        <v>0.002244348187865407</v>
      </c>
      <c r="AL287" t="n">
        <v>0.005237560779322389</v>
      </c>
      <c r="AM287">
        <f>IF(AND(ISNUMBER($AC287),ISNUMBER(IF($V287,IF($AL287="","",$AL287),IF($AK287="","",$AK287)))),IF(AND(ABS($AC287-significance_bar)&lt;=2.0*IF($V287,IF($AL287="","",$AL287),IF($AK287="","",$AK287)),OR($Y287="worse",$Y287="better",$Y287="worse, not significant",$Y287="better, not significant",AND(profit_kind="test",$Y287="in line",ISNUMBER($AB287),$AB287&lt;&gt;0))),IF(ROUND($AC287,3)=ROUND(significance_bar,3),TEXT($AC287,"0.0000"),TEXT($AC287,"0.000")),""),"")</f>
        <v/>
      </c>
      <c r="AN287">
        <f>IF(AND(ISNUMBER($AC287),ISNUMBER(IF($V287,IF($AL287="","",$AL287),IF($AK287="","",$AK287)))),IF(AND(ABS($AC287-significance_bar)&lt;=2.0*IF($V287,IF($AL287="","",$AL287),IF($AK287="","",$AK287)),OR($Y287="worse",$Y287="worse, not significant",AND(profit_kind="test",$Y287="in line",ISNUMBER($AB287),$AB287&lt;0))),IF(ROUND($AC287,3)=ROUND(significance_bar,3),TEXT($AC287,"0.0000"),TEXT($AC287,"0.000")),""),"")</f>
        <v/>
      </c>
      <c r="AO287">
        <f>IF(OR($AI287="",$AN287=""),$AI287,$AI287&amp;" · borderline (p "&amp;$AN287&amp;")")</f>
        <v/>
      </c>
    </row>
    <row r="288">
      <c r="A288" t="inlineStr">
        <is>
          <t>three-way</t>
        </is>
      </c>
      <c r="B288" t="inlineStr">
        <is>
          <t>FICO x CHANNEL / REV_DEBT</t>
        </is>
      </c>
      <c r="C288" t="inlineStr">
        <is>
          <t>654 - 685</t>
        </is>
      </c>
      <c r="D288" t="inlineStr">
        <is>
          <t>Online / REV_DEBT high half</t>
        </is>
      </c>
      <c r="E288" t="inlineStr">
        <is>
          <t>contribution_rate</t>
        </is>
      </c>
      <c r="F288" t="inlineStr">
        <is>
          <t>Contribution before losses per booked dollar</t>
        </is>
      </c>
      <c r="G288" t="n">
        <v>252</v>
      </c>
      <c r="H288" t="n">
        <v>7627316.480000005</v>
      </c>
      <c r="I288" t="b">
        <v>0</v>
      </c>
      <c r="J288" t="b">
        <v>0</v>
      </c>
      <c r="K288" t="n">
        <v>0.05692212397885227</v>
      </c>
      <c r="L288" t="n">
        <v>0.0001761728589045857</v>
      </c>
      <c r="M288" t="n">
        <v>0.01956605349011262</v>
      </c>
      <c r="N288" t="n">
        <v>0.04072092790720928</v>
      </c>
      <c r="O288" t="n">
        <v>-434163.0543005033</v>
      </c>
      <c r="P288" t="n">
        <v>-149236.4822336975</v>
      </c>
      <c r="Q288">
        <f>'_live'!$C$24</f>
        <v/>
      </c>
      <c r="R288" t="inlineStr">
        <is>
          <t>shuffled: 0 of 10,000</t>
        </is>
      </c>
      <c r="S288" t="inlineStr">
        <is>
          <t>shuffled: 179 of 10,000</t>
        </is>
      </c>
      <c r="T288" t="n">
        <v>0.1679098407752835</v>
      </c>
      <c r="U288" t="n">
        <v>0.2052659112640232</v>
      </c>
      <c r="V288">
        <f>AND(judged_band,NOT($J288))</f>
        <v/>
      </c>
      <c r="W288">
        <f>IF($K288="","",IF(profit_kind="test",IF(OR(NOT(AND(ISNUMBER($L288),$L288&lt;significance_bar)),$K288=0),"in line",IF($K288&lt;0,"worse","better")),IF(OR($K288=0,IF(profit_kind="points",ABS($K288),ABS($K288*$H288))&lt;profit_line*(1-1E-9)),"in line",IF(AND(ISNUMBER($L288),$L288&lt;significance_bar),IF($K288&lt;0,"worse","better"),IF($K288&lt;0,"worse, not significant","better, not significant")))))</f>
        <v/>
      </c>
      <c r="X288">
        <f>IF($M288="","",IF(profit_kind="test",IF(OR(NOT(AND(ISNUMBER($N288),$N288&lt;significance_bar)),$M288=0),"in line",IF($M288&lt;0,"worse","better")),IF(OR($M288=0,IF(profit_kind="points",ABS($M288),ABS($M288*$H288))&lt;profit_line*(1-1E-9)),"in line",IF(AND(ISNUMBER($N288),$N288&lt;significance_bar),IF($M288&lt;0,"worse","better"),IF($M288&lt;0,"worse, not significant","better, not significant")))))</f>
        <v/>
      </c>
      <c r="Y288">
        <f>IF($V288,$X288,$W288)</f>
        <v/>
      </c>
      <c r="Z288">
        <f>IF($V288,IF($P288="","",$P288),IF($O288="","",$O288))</f>
        <v/>
      </c>
      <c r="AA288">
        <f>IF(OR($Q288="",$Z288=""),"",IF(AND($Z288&gt;0,$Z288&gt;=$Q288),"yes","below the line"))</f>
        <v/>
      </c>
      <c r="AB288">
        <f>IF($V288,IF($M288="","",$M288),IF($K288="","",$K288))</f>
        <v/>
      </c>
      <c r="AC288">
        <f>IF($V288,IF($N288="","",$N288),IF($L288="","",$L288))</f>
        <v/>
      </c>
      <c r="AD288">
        <f>IF($Y288="","",IF($Y288="in line",IF(profit_kind="test",IF(ROUND($AB288*100,2)=0,"0.00",TEXT($AB288*100,"+0.00;-0.00"))&amp;" points against "&amp;IF($V288,"its band","the book")&amp;", "&amp;IF($AC288="","not tested","not significant"),IF(profit_kind="points","within "&amp;TEXT(profit_line*100,"0.00")&amp;" points of "&amp;IF($V288,"its band","the book")&amp;" ("&amp;IF(ROUND($AB288*100,2)=0,"0.00",TEXT($AB288*100,"+0.00;-0.00"))&amp;")","within $"&amp;TEXT(profit_line,"#,##0")&amp;" of "&amp;IF($V288,"its band","the book")&amp;" ("&amp;IF(ROUND($AB288*100,2)=0,"0.00",TEXT($AB288*100,"+0.00;-0.00"))&amp;" points)")),IF(LEFT($Y288,5)="worse","short of ","ahead of ")&amp;IF($V288,"its band","the book")&amp;" by "&amp;TEXT(ABS($AB288)*100,"0.00")&amp;" points"&amp;IF($Z288="",""," ($"&amp;TEXT(ABS($Z288),"#,##0")&amp;")")&amp;IF(RIGHT($Y288,15)="not significant"," (not significant)","")))</f>
        <v/>
      </c>
      <c r="AE288">
        <f>IF($V288,IF($S288="","",$S288),IF($R288="","",$R288))</f>
        <v/>
      </c>
      <c r="AF288">
        <f>IF($V288,IF($U288="","",$U288),IF($T288="","",$T288))</f>
        <v/>
      </c>
      <c r="AG288">
        <f>IF($V288,IF($O288="","",$O288),IF($P288="","",$P288))</f>
        <v/>
      </c>
      <c r="AH288" t="n">
        <v>0.2248319647541358</v>
      </c>
      <c r="AI288">
        <f>IF($Y288="worse","Yes",IF($Y288="worse, not significant","Not sure",IF(OR($Y288="too few losses to test",$Y288="too few loans to test"),"Too few losses",IF($Y288="","","No"))))</f>
        <v/>
      </c>
      <c r="AJ288">
        <f>IF($AA288="yes","Yes",IF($AA288="","","No"))</f>
        <v/>
      </c>
      <c r="AK288" t="n">
        <v>0.0001761728589045857</v>
      </c>
      <c r="AL288" t="n">
        <v>0.002999398169993386</v>
      </c>
      <c r="AM288">
        <f>IF(AND(ISNUMBER($AC288),ISNUMBER(IF($V288,IF($AL288="","",$AL288),IF($AK288="","",$AK288)))),IF(AND(ABS($AC288-significance_bar)&lt;=2.0*IF($V288,IF($AL288="","",$AL288),IF($AK288="","",$AK288)),OR($Y288="worse",$Y288="better",$Y288="worse, not significant",$Y288="better, not significant",AND(profit_kind="test",$Y288="in line",ISNUMBER($AB288),$AB288&lt;&gt;0))),IF(ROUND($AC288,3)=ROUND(significance_bar,3),TEXT($AC288,"0.0000"),TEXT($AC288,"0.000")),""),"")</f>
        <v/>
      </c>
      <c r="AN288">
        <f>IF(AND(ISNUMBER($AC288),ISNUMBER(IF($V288,IF($AL288="","",$AL288),IF($AK288="","",$AK288)))),IF(AND(ABS($AC288-significance_bar)&lt;=2.0*IF($V288,IF($AL288="","",$AL288),IF($AK288="","",$AK288)),OR($Y288="worse",$Y288="worse, not significant",AND(profit_kind="test",$Y288="in line",ISNUMBER($AB288),$AB288&lt;0))),IF(ROUND($AC288,3)=ROUND(significance_bar,3),TEXT($AC288,"0.0000"),TEXT($AC288,"0.000")),""),"")</f>
        <v/>
      </c>
      <c r="AO288">
        <f>IF(OR($AI288="",$AN288=""),$AI288,$AI288&amp;" · borderline (p "&amp;$AN288&amp;")")</f>
        <v/>
      </c>
    </row>
    <row r="289">
      <c r="A289" t="inlineStr">
        <is>
          <t>three-way</t>
        </is>
      </c>
      <c r="B289" t="inlineStr">
        <is>
          <t>FICO x CHANNEL / REV_DEBT</t>
        </is>
      </c>
      <c r="C289" t="inlineStr">
        <is>
          <t>654 - 685</t>
        </is>
      </c>
      <c r="D289" t="inlineStr">
        <is>
          <t>Online / REV_DEBT low half</t>
        </is>
      </c>
      <c r="E289" t="inlineStr">
        <is>
          <t>outcome_loans</t>
        </is>
      </c>
      <c r="F289" t="inlineStr">
        <is>
          <t>Outcome, share of loans</t>
        </is>
      </c>
      <c r="G289" t="n">
        <v>253</v>
      </c>
      <c r="H289" t="n">
        <v>253</v>
      </c>
      <c r="I289" t="b">
        <v>0</v>
      </c>
      <c r="J289" t="b">
        <v>0</v>
      </c>
      <c r="K289" t="n">
        <v>0.6567917661331351</v>
      </c>
      <c r="L289" t="n">
        <v>0.168319370606903</v>
      </c>
      <c r="M289" t="n">
        <v>0.56477821695213</v>
      </c>
      <c r="N289" t="n">
        <v>0.1104760095678053</v>
      </c>
      <c r="O289" t="n">
        <v>-6.793183578621225</v>
      </c>
      <c r="P289" t="n">
        <v>-10.01788491446345</v>
      </c>
      <c r="Q289">
        <f>'_live'!$C$20</f>
        <v/>
      </c>
      <c r="R289" t="inlineStr">
        <is>
          <t>z test</t>
        </is>
      </c>
      <c r="S289" t="inlineStr">
        <is>
          <t>z test</t>
        </is>
      </c>
      <c r="T289" t="n">
        <v>0.07823392718822618</v>
      </c>
      <c r="U289" t="n">
        <v>0.09097978227060653</v>
      </c>
      <c r="V289">
        <f>AND(judged_band,NOT($J289))</f>
        <v/>
      </c>
      <c r="W289">
        <f>IF($K289="","",IF($I289,"too few losses to test",IF(AND($K289&gt;better_at,$K289&lt;worse_at),"in line",IF($K289&gt;=worse_at,IF(AND(ISNUMBER($L289),$L289&lt;significance_bar),"worse","worse, not significant"),IF(AND(ISNUMBER($L289),$L289&lt;significance_bar),"better","better, not significant")))))</f>
        <v/>
      </c>
      <c r="X289">
        <f>IF($M289="","",IF($I289,"too few losses to test",IF(AND($M289&gt;better_at,$M289&lt;worse_at),"in line",IF($M289&gt;=worse_at,IF(AND(ISNUMBER($N289),$N289&lt;significance_bar),"worse","worse, not significant"),IF(AND(ISNUMBER($N289),$N289&lt;significance_bar),"better","better, not significant")))))</f>
        <v/>
      </c>
      <c r="Y289">
        <f>IF($V289,$X289,$W289)</f>
        <v/>
      </c>
      <c r="Z289">
        <f>IF($V289,IF($P289="","",$P289),IF($O289="","",$O289))</f>
        <v/>
      </c>
      <c r="AA289">
        <f>IF(OR($Q289="",$Z289=""),"",IF(AND($Z289&gt;0,$Z289&gt;=$Q289),"yes","below the line"))</f>
        <v/>
      </c>
      <c r="AB289">
        <f>IF($V289,IF($M289="","",$M289),IF($K289="","",$K289))</f>
        <v/>
      </c>
      <c r="AC289">
        <f>IF($V289,IF($N289="","",$N289),IF($L289="","",$L289))</f>
        <v/>
      </c>
      <c r="AD289">
        <f>$Y289</f>
        <v/>
      </c>
      <c r="AE289">
        <f>IF($V289,IF($S289="","",$S289),IF($R289="","",$R289))</f>
        <v/>
      </c>
      <c r="AF289">
        <f>IF($V289,IF($U289="","",$U289),IF($T289="","",$T289))</f>
        <v/>
      </c>
      <c r="AG289">
        <f>IF($V289,IF($O289="","",$O289),IF($P289="","",$P289))</f>
        <v/>
      </c>
      <c r="AH289" t="n">
        <v>0.05138339920948617</v>
      </c>
      <c r="AI289">
        <f>IF($Y289="worse","Yes",IF($Y289="worse, not significant","Not sure",IF(OR($Y289="too few losses to test",$Y289="too few loans to test"),"Too few losses",IF($Y289="","","No"))))</f>
        <v/>
      </c>
      <c r="AJ289">
        <f>IF($AA289="yes","Yes",IF($AA289="","","No"))</f>
        <v/>
      </c>
      <c r="AM289">
        <f>IF(AND(ISNUMBER($AC289),ISNUMBER(IF($V289,IF($AL289="","",$AL289),IF($AK289="","",$AK289)))),IF(AND(ABS($AC289-significance_bar)&lt;=2.0*IF($V289,IF($AL289="","",$AL289),IF($AK289="","",$AK289)),OR($Y289="worse",$Y289="better",$Y289="worse, not significant",$Y289="better, not significant")),IF(ROUND($AC289,3)=ROUND(significance_bar,3),TEXT($AC289,"0.0000"),TEXT($AC289,"0.000")),""),"")</f>
        <v/>
      </c>
      <c r="AN289">
        <f>IF(AND(ISNUMBER($AC289),ISNUMBER(IF($V289,IF($AL289="","",$AL289),IF($AK289="","",$AK289)))),IF(AND(ABS($AC289-significance_bar)&lt;=2.0*IF($V289,IF($AL289="","",$AL289),IF($AK289="","",$AK289)),OR($Y289="worse",$Y289="worse, not significant")),IF(ROUND($AC289,3)=ROUND(significance_bar,3),TEXT($AC289,"0.0000"),TEXT($AC289,"0.000")),""),"")</f>
        <v/>
      </c>
      <c r="AO289">
        <f>IF(OR($AI289="",$AN289=""),$AI289,$AI289&amp;" · borderline (p "&amp;$AN289&amp;")")</f>
        <v/>
      </c>
    </row>
    <row r="290">
      <c r="A290" t="inlineStr">
        <is>
          <t>three-way</t>
        </is>
      </c>
      <c r="B290" t="inlineStr">
        <is>
          <t>FICO x CHANNEL / REV_DEBT</t>
        </is>
      </c>
      <c r="C290" t="inlineStr">
        <is>
          <t>654 - 685</t>
        </is>
      </c>
      <c r="D290" t="inlineStr">
        <is>
          <t>Online / REV_DEBT low half</t>
        </is>
      </c>
      <c r="E290" t="inlineStr">
        <is>
          <t>outcome_booked</t>
        </is>
      </c>
      <c r="F290" t="inlineStr">
        <is>
          <t>Outcome, share of booked dollars</t>
        </is>
      </c>
      <c r="G290" t="n">
        <v>253</v>
      </c>
      <c r="H290" t="n">
        <v>8224286.019999999</v>
      </c>
      <c r="I290" t="b">
        <v>0</v>
      </c>
      <c r="J290" t="b">
        <v>0</v>
      </c>
      <c r="K290" t="n">
        <v>0.5428754712004802</v>
      </c>
      <c r="L290" t="n">
        <v>0.1144577849907317</v>
      </c>
      <c r="M290" t="n">
        <v>0.4706727986938429</v>
      </c>
      <c r="N290" t="n">
        <v>0.06496850314968503</v>
      </c>
      <c r="O290" t="n">
        <v>-285480.2957777334</v>
      </c>
      <c r="P290" t="n">
        <v>-381282.5625624704</v>
      </c>
      <c r="Q290">
        <f>'_live'!$C$21</f>
        <v/>
      </c>
      <c r="R290" t="inlineStr">
        <is>
          <t>shuffled: 605 of 10,000</t>
        </is>
      </c>
      <c r="S290" t="inlineStr">
        <is>
          <t>shuffled: 225 of 10,000</t>
        </is>
      </c>
      <c r="T290" t="n">
        <v>0.07593524644680749</v>
      </c>
      <c r="U290" t="n">
        <v>0.08758394963535943</v>
      </c>
      <c r="V290">
        <f>AND(judged_band,NOT($J290))</f>
        <v/>
      </c>
      <c r="W290">
        <f>IF($K290="","",IF($I290,"too few losses to test",IF(AND($K290&gt;better_at,$K290&lt;worse_at),"in line",IF($K290&gt;=worse_at,IF(AND(ISNUMBER($L290),$L290&lt;significance_bar),"worse","worse, not significant"),IF(AND(ISNUMBER($L290),$L290&lt;significance_bar),"better","better, not significant")))))</f>
        <v/>
      </c>
      <c r="X290">
        <f>IF($M290="","",IF($I290,"too few losses to test",IF(AND($M290&gt;better_at,$M290&lt;worse_at),"in line",IF($M290&gt;=worse_at,IF(AND(ISNUMBER($N290),$N290&lt;significance_bar),"worse","worse, not significant"),IF(AND(ISNUMBER($N290),$N290&lt;significance_bar),"better","better, not significant")))))</f>
        <v/>
      </c>
      <c r="Y290">
        <f>IF($V290,$X290,$W290)</f>
        <v/>
      </c>
      <c r="Z290">
        <f>IF($V290,IF($P290="","",$P290),IF($O290="","",$O290))</f>
        <v/>
      </c>
      <c r="AA290">
        <f>IF(OR($Q290="",$Z290=""),"",IF(AND($Z290&gt;0,$Z290&gt;=$Q290),"yes","below the line"))</f>
        <v/>
      </c>
      <c r="AB290">
        <f>IF($V290,IF($M290="","",$M290),IF($K290="","",$K290))</f>
        <v/>
      </c>
      <c r="AC290">
        <f>IF($V290,IF($N290="","",$N290),IF($L290="","",$L290))</f>
        <v/>
      </c>
      <c r="AD290">
        <f>$Y290</f>
        <v/>
      </c>
      <c r="AE290">
        <f>IF($V290,IF($S290="","",$S290),IF($R290="","",$R290))</f>
        <v/>
      </c>
      <c r="AF290">
        <f>IF($V290,IF($U290="","",$U290),IF($T290="","",$T290))</f>
        <v/>
      </c>
      <c r="AG290">
        <f>IF($V290,IF($O290="","",$O290),IF($P290="","",$P290))</f>
        <v/>
      </c>
      <c r="AH290" t="n">
        <v>0.0412233826955352</v>
      </c>
      <c r="AI290">
        <f>IF($Y290="worse","Yes",IF($Y290="worse, not significant","Not sure",IF(OR($Y290="too few losses to test",$Y290="too few loans to test"),"Too few losses",IF($Y290="","","No"))))</f>
        <v/>
      </c>
      <c r="AJ290">
        <f>IF($AA290="yes","Yes",IF($AA290="","","No"))</f>
        <v/>
      </c>
      <c r="AK290" t="n">
        <v>0.004352029991149161</v>
      </c>
      <c r="AL290" t="n">
        <v>0.004272745489188817</v>
      </c>
      <c r="AM290">
        <f>IF(AND(ISNUMBER($AC290),ISNUMBER(IF($V290,IF($AL290="","",$AL290),IF($AK290="","",$AK290)))),IF(AND(ABS($AC290-significance_bar)&lt;=2.0*IF($V290,IF($AL290="","",$AL290),IF($AK290="","",$AK290)),OR($Y290="worse",$Y290="better",$Y290="worse, not significant",$Y290="better, not significant")),IF(ROUND($AC290,3)=ROUND(significance_bar,3),TEXT($AC290,"0.0000"),TEXT($AC290,"0.000")),""),"")</f>
        <v/>
      </c>
      <c r="AN290">
        <f>IF(AND(ISNUMBER($AC290),ISNUMBER(IF($V290,IF($AL290="","",$AL290),IF($AK290="","",$AK290)))),IF(AND(ABS($AC290-significance_bar)&lt;=2.0*IF($V290,IF($AL290="","",$AL290),IF($AK290="","",$AK290)),OR($Y290="worse",$Y290="worse, not significant")),IF(ROUND($AC290,3)=ROUND(significance_bar,3),TEXT($AC290,"0.0000"),TEXT($AC290,"0.000")),""),"")</f>
        <v/>
      </c>
      <c r="AO290">
        <f>IF(OR($AI290="",$AN290=""),$AI290,$AI290&amp;" · borderline (p "&amp;$AN290&amp;")")</f>
        <v/>
      </c>
    </row>
    <row r="291">
      <c r="A291" t="inlineStr">
        <is>
          <t>three-way</t>
        </is>
      </c>
      <c r="B291" t="inlineStr">
        <is>
          <t>FICO x CHANNEL / REV_DEBT</t>
        </is>
      </c>
      <c r="C291" t="inlineStr">
        <is>
          <t>654 - 685</t>
        </is>
      </c>
      <c r="D291" t="inlineStr">
        <is>
          <t>Online / REV_DEBT low half</t>
        </is>
      </c>
      <c r="E291" t="inlineStr">
        <is>
          <t>gco_rate</t>
        </is>
      </c>
      <c r="F291" t="inlineStr">
        <is>
          <t>GCO per booked dollar</t>
        </is>
      </c>
      <c r="G291" t="n">
        <v>253</v>
      </c>
      <c r="H291" t="n">
        <v>8224286.019999999</v>
      </c>
      <c r="I291" t="b">
        <v>0</v>
      </c>
      <c r="J291" t="b">
        <v>0</v>
      </c>
      <c r="K291" t="n">
        <v>0.5234000087392424</v>
      </c>
      <c r="L291" t="n">
        <v>0.1192047461920475</v>
      </c>
      <c r="M291" t="n">
        <v>0.4437098767580837</v>
      </c>
      <c r="N291" t="n">
        <v>0.06669333066693331</v>
      </c>
      <c r="O291" t="n">
        <v>-165595.4837247521</v>
      </c>
      <c r="P291" t="n">
        <v>-227997.6847442742</v>
      </c>
      <c r="Q291">
        <f>'_live'!$C$22</f>
        <v/>
      </c>
      <c r="R291" t="inlineStr">
        <is>
          <t>shuffled: 621 of 10,000</t>
        </is>
      </c>
      <c r="S291" t="inlineStr">
        <is>
          <t>shuffled: 202 of 10,000</t>
        </is>
      </c>
      <c r="T291" t="n">
        <v>0.04224703674942864</v>
      </c>
      <c r="U291" t="n">
        <v>0.04983458913607606</v>
      </c>
      <c r="V291">
        <f>AND(judged_band,NOT($J291))</f>
        <v/>
      </c>
      <c r="W291">
        <f>IF($K291="","",IF($I291,"too few losses to test",IF(AND($K291&gt;better_at,$K291&lt;worse_at),"in line",IF($K291&gt;=worse_at,IF(AND(ISNUMBER($L291),$L291&lt;significance_bar),"worse","worse, not significant"),IF(AND(ISNUMBER($L291),$L291&lt;significance_bar),"better","better, not significant")))))</f>
        <v/>
      </c>
      <c r="X291">
        <f>IF($M291="","",IF($I291,"too few losses to test",IF(AND($M291&gt;better_at,$M291&lt;worse_at),"in line",IF($M291&gt;=worse_at,IF(AND(ISNUMBER($N291),$N291&lt;significance_bar),"worse","worse, not significant"),IF(AND(ISNUMBER($N291),$N291&lt;significance_bar),"better","better, not significant")))))</f>
        <v/>
      </c>
      <c r="Y291">
        <f>IF($V291,$X291,$W291)</f>
        <v/>
      </c>
      <c r="Z291">
        <f>IF($V291,IF($P291="","",$P291),IF($O291="","",$O291))</f>
        <v/>
      </c>
      <c r="AA291">
        <f>IF(OR($Q291="",$Z291=""),"",IF(AND($Z291&gt;0,$Z291&gt;=$Q291),"yes","below the line"))</f>
        <v/>
      </c>
      <c r="AB291">
        <f>IF($V291,IF($M291="","",$M291),IF($K291="","",$K291))</f>
        <v/>
      </c>
      <c r="AC291">
        <f>IF($V291,IF($N291="","",$N291),IF($L291="","",$L291))</f>
        <v/>
      </c>
      <c r="AD291">
        <f>$Y291</f>
        <v/>
      </c>
      <c r="AE291">
        <f>IF($V291,IF($S291="","",$S291),IF($R291="","",$R291))</f>
        <v/>
      </c>
      <c r="AF291">
        <f>IF($V291,IF($U291="","",$U291),IF($T291="","",$T291))</f>
        <v/>
      </c>
      <c r="AG291">
        <f>IF($V291,IF($O291="","",$O291),IF($P291="","",$P291))</f>
        <v/>
      </c>
      <c r="AH291" t="n">
        <v>0.02211209940385804</v>
      </c>
      <c r="AI291">
        <f>IF($Y291="worse","Yes",IF($Y291="worse, not significant","Not sure",IF(OR($Y291="too few losses to test",$Y291="too few loans to test"),"Too few losses",IF($Y291="","","No"))))</f>
        <v/>
      </c>
      <c r="AJ291">
        <f>IF($AA291="yes","Yes",IF($AA291="","","No"))</f>
        <v/>
      </c>
      <c r="AK291" t="n">
        <v>0.004628887469144688</v>
      </c>
      <c r="AL291" t="n">
        <v>0.004633435323588325</v>
      </c>
      <c r="AM291">
        <f>IF(AND(ISNUMBER($AC291),ISNUMBER(IF($V291,IF($AL291="","",$AL291),IF($AK291="","",$AK291)))),IF(AND(ABS($AC291-significance_bar)&lt;=2.0*IF($V291,IF($AL291="","",$AL291),IF($AK291="","",$AK291)),OR($Y291="worse",$Y291="better",$Y291="worse, not significant",$Y291="better, not significant")),IF(ROUND($AC291,3)=ROUND(significance_bar,3),TEXT($AC291,"0.0000"),TEXT($AC291,"0.000")),""),"")</f>
        <v/>
      </c>
      <c r="AN291">
        <f>IF(AND(ISNUMBER($AC291),ISNUMBER(IF($V291,IF($AL291="","",$AL291),IF($AK291="","",$AK291)))),IF(AND(ABS($AC291-significance_bar)&lt;=2.0*IF($V291,IF($AL291="","",$AL291),IF($AK291="","",$AK291)),OR($Y291="worse",$Y291="worse, not significant")),IF(ROUND($AC291,3)=ROUND(significance_bar,3),TEXT($AC291,"0.0000"),TEXT($AC291,"0.000")),""),"")</f>
        <v/>
      </c>
      <c r="AO291">
        <f>IF(OR($AI291="",$AN291=""),$AI291,$AI291&amp;" · borderline (p "&amp;$AN291&amp;")")</f>
        <v/>
      </c>
    </row>
    <row r="292">
      <c r="A292" t="inlineStr">
        <is>
          <t>three-way</t>
        </is>
      </c>
      <c r="B292" t="inlineStr">
        <is>
          <t>FICO x CHANNEL / REV_DEBT</t>
        </is>
      </c>
      <c r="C292" t="inlineStr">
        <is>
          <t>654 - 685</t>
        </is>
      </c>
      <c r="D292" t="inlineStr">
        <is>
          <t>Online / REV_DEBT low half</t>
        </is>
      </c>
      <c r="E292" t="inlineStr">
        <is>
          <t>ranr_rate</t>
        </is>
      </c>
      <c r="F292" t="inlineStr">
        <is>
          <t>Profit after losses: RANR per booked dollar</t>
        </is>
      </c>
      <c r="G292" t="n">
        <v>253</v>
      </c>
      <c r="H292" t="n">
        <v>8224286.019999999</v>
      </c>
      <c r="I292" t="b">
        <v>0</v>
      </c>
      <c r="J292" t="b">
        <v>0</v>
      </c>
      <c r="K292" t="n">
        <v>0.07794666099478165</v>
      </c>
      <c r="L292" t="n">
        <v>0.0002466420024664201</v>
      </c>
      <c r="M292" t="n">
        <v>0.04845189867911226</v>
      </c>
      <c r="N292" t="n">
        <v>0.0080991900809919</v>
      </c>
      <c r="O292" t="n">
        <v>-641055.6343250619</v>
      </c>
      <c r="P292" t="n">
        <v>-398482.2729490795</v>
      </c>
      <c r="Q292">
        <f>'_live'!$C$23</f>
        <v/>
      </c>
      <c r="R292" t="inlineStr">
        <is>
          <t>shuffled: 0 of 10,000</t>
        </is>
      </c>
      <c r="S292" t="inlineStr">
        <is>
          <t>shuffled: 8 of 10,000</t>
        </is>
      </c>
      <c r="T292" t="n">
        <v>0.1255059968932036</v>
      </c>
      <c r="U292" t="n">
        <v>0.155000759208873</v>
      </c>
      <c r="V292">
        <f>AND(judged_band,NOT($J292))</f>
        <v/>
      </c>
      <c r="W292">
        <f>IF($K292="","",IF(profit_kind="test",IF(OR(NOT(AND(ISNUMBER($L292),$L292&lt;significance_bar)),$K292=0),"in line",IF($K292&lt;0,"worse","better")),IF(OR($K292=0,IF(profit_kind="points",ABS($K292),ABS($K292*$H292))&lt;profit_line*(1-1E-9)),"in line",IF(AND(ISNUMBER($L292),$L292&lt;significance_bar),IF($K292&lt;0,"worse","better"),IF($K292&lt;0,"worse, not significant","better, not significant")))))</f>
        <v/>
      </c>
      <c r="X292">
        <f>IF($M292="","",IF(profit_kind="test",IF(OR(NOT(AND(ISNUMBER($N292),$N292&lt;significance_bar)),$M292=0),"in line",IF($M292&lt;0,"worse","better")),IF(OR($M292=0,IF(profit_kind="points",ABS($M292),ABS($M292*$H292))&lt;profit_line*(1-1E-9)),"in line",IF(AND(ISNUMBER($N292),$N292&lt;significance_bar),IF($M292&lt;0,"worse","better"),IF($M292&lt;0,"worse, not significant","better, not significant")))))</f>
        <v/>
      </c>
      <c r="Y292">
        <f>IF($V292,$X292,$W292)</f>
        <v/>
      </c>
      <c r="Z292">
        <f>IF($V292,IF($P292="","",$P292),IF($O292="","",$O292))</f>
        <v/>
      </c>
      <c r="AA292">
        <f>IF(OR($Q292="",$Z292=""),"",IF(AND($Z292&gt;0,$Z292&gt;=$Q292),"yes","below the line"))</f>
        <v/>
      </c>
      <c r="AB292">
        <f>IF($V292,IF($M292="","",$M292),IF($K292="","",$K292))</f>
        <v/>
      </c>
      <c r="AC292">
        <f>IF($V292,IF($N292="","",$N292),IF($L292="","",$L292))</f>
        <v/>
      </c>
      <c r="AD292">
        <f>IF($Y292="","",IF($Y292="in line",IF(profit_kind="test",IF(ROUND($AB292*100,2)=0,"0.00",TEXT($AB292*100,"+0.00;-0.00"))&amp;" points against "&amp;IF($V292,"its band","the book")&amp;", "&amp;IF($AC292="","not tested","not significant"),IF(profit_kind="points","within "&amp;TEXT(profit_line*100,"0.00")&amp;" points of "&amp;IF($V292,"its band","the book")&amp;" ("&amp;IF(ROUND($AB292*100,2)=0,"0.00",TEXT($AB292*100,"+0.00;-0.00"))&amp;")","within $"&amp;TEXT(profit_line,"#,##0")&amp;" of "&amp;IF($V292,"its band","the book")&amp;" ("&amp;IF(ROUND($AB292*100,2)=0,"0.00",TEXT($AB292*100,"+0.00;-0.00"))&amp;" points)")),IF(LEFT($Y292,5)="worse","short of ","ahead of ")&amp;IF($V292,"its band","the book")&amp;" by "&amp;TEXT(ABS($AB292)*100,"0.00")&amp;" points"&amp;IF($Z292="",""," ($"&amp;TEXT(ABS($Z292),"#,##0")&amp;")")&amp;IF(RIGHT($Y292,15)="not significant"," (not significant)","")))</f>
        <v/>
      </c>
      <c r="AE292">
        <f>IF($V292,IF($S292="","",$S292),IF($R292="","",$R292))</f>
        <v/>
      </c>
      <c r="AF292">
        <f>IF($V292,IF($U292="","",$U292),IF($T292="","",$T292))</f>
        <v/>
      </c>
      <c r="AG292">
        <f>IF($V292,IF($O292="","",$O292),IF($P292="","",$P292))</f>
        <v/>
      </c>
      <c r="AH292" t="n">
        <v>0.2034526578879852</v>
      </c>
      <c r="AI292">
        <f>IF($Y292="worse","Yes",IF($Y292="worse, not significant","Not sure",IF(OR($Y292="too few losses to test",$Y292="too few loans to test"),"Too few losses",IF($Y292="","","No"))))</f>
        <v/>
      </c>
      <c r="AJ292">
        <f>IF($AA292="yes","Yes",IF($AA292="","","No"))</f>
        <v/>
      </c>
      <c r="AK292" t="n">
        <v>0.0002466420024664201</v>
      </c>
      <c r="AL292" t="n">
        <v>0.002698649918921664</v>
      </c>
      <c r="AM292">
        <f>IF(AND(ISNUMBER($AC292),ISNUMBER(IF($V292,IF($AL292="","",$AL292),IF($AK292="","",$AK292)))),IF(AND(ABS($AC292-significance_bar)&lt;=2.0*IF($V292,IF($AL292="","",$AL292),IF($AK292="","",$AK292)),OR($Y292="worse",$Y292="better",$Y292="worse, not significant",$Y292="better, not significant",AND(profit_kind="test",$Y292="in line",ISNUMBER($AB292),$AB292&lt;&gt;0))),IF(ROUND($AC292,3)=ROUND(significance_bar,3),TEXT($AC292,"0.0000"),TEXT($AC292,"0.000")),""),"")</f>
        <v/>
      </c>
      <c r="AN292">
        <f>IF(AND(ISNUMBER($AC292),ISNUMBER(IF($V292,IF($AL292="","",$AL292),IF($AK292="","",$AK292)))),IF(AND(ABS($AC292-significance_bar)&lt;=2.0*IF($V292,IF($AL292="","",$AL292),IF($AK292="","",$AK292)),OR($Y292="worse",$Y292="worse, not significant",AND(profit_kind="test",$Y292="in line",ISNUMBER($AB292),$AB292&lt;0))),IF(ROUND($AC292,3)=ROUND(significance_bar,3),TEXT($AC292,"0.0000"),TEXT($AC292,"0.000")),""),"")</f>
        <v/>
      </c>
      <c r="AO292">
        <f>IF(OR($AI292="",$AN292=""),$AI292,$AI292&amp;" · borderline (p "&amp;$AN292&amp;")")</f>
        <v/>
      </c>
    </row>
    <row r="293">
      <c r="A293" t="inlineStr">
        <is>
          <t>three-way</t>
        </is>
      </c>
      <c r="B293" t="inlineStr">
        <is>
          <t>FICO x CHANNEL / REV_DEBT</t>
        </is>
      </c>
      <c r="C293" t="inlineStr">
        <is>
          <t>654 - 685</t>
        </is>
      </c>
      <c r="D293" t="inlineStr">
        <is>
          <t>Online / REV_DEBT low half</t>
        </is>
      </c>
      <c r="E293" t="inlineStr">
        <is>
          <t>contribution_rate</t>
        </is>
      </c>
      <c r="F293" t="inlineStr">
        <is>
          <t>Contribution before losses per booked dollar</t>
        </is>
      </c>
      <c r="G293" t="n">
        <v>253</v>
      </c>
      <c r="H293" t="n">
        <v>8224286.019999999</v>
      </c>
      <c r="I293" t="b">
        <v>0</v>
      </c>
      <c r="J293" t="b">
        <v>0</v>
      </c>
      <c r="K293" t="n">
        <v>0.05781507165188321</v>
      </c>
      <c r="L293" t="n">
        <v>0.0001761728589045857</v>
      </c>
      <c r="M293" t="n">
        <v>0.02072940894689423</v>
      </c>
      <c r="N293" t="n">
        <v>0.02353610792766877</v>
      </c>
      <c r="O293" t="n">
        <v>-475487.6855318812</v>
      </c>
      <c r="P293" t="n">
        <v>-170484.588204805</v>
      </c>
      <c r="Q293">
        <f>'_live'!$C$24</f>
        <v/>
      </c>
      <c r="R293" t="inlineStr">
        <is>
          <t>shuffled: 0 of 10,000</t>
        </is>
      </c>
      <c r="S293" t="inlineStr">
        <is>
          <t>shuffled: 84 of 10,000</t>
        </is>
      </c>
      <c r="T293" t="n">
        <v>0.1677496856399601</v>
      </c>
      <c r="U293" t="n">
        <v>0.2048353483449491</v>
      </c>
      <c r="V293">
        <f>AND(judged_band,NOT($J293))</f>
        <v/>
      </c>
      <c r="W293">
        <f>IF($K293="","",IF(profit_kind="test",IF(OR(NOT(AND(ISNUMBER($L293),$L293&lt;significance_bar)),$K293=0),"in line",IF($K293&lt;0,"worse","better")),IF(OR($K293=0,IF(profit_kind="points",ABS($K293),ABS($K293*$H293))&lt;profit_line*(1-1E-9)),"in line",IF(AND(ISNUMBER($L293),$L293&lt;significance_bar),IF($K293&lt;0,"worse","better"),IF($K293&lt;0,"worse, not significant","better, not significant")))))</f>
        <v/>
      </c>
      <c r="X293">
        <f>IF($M293="","",IF(profit_kind="test",IF(OR(NOT(AND(ISNUMBER($N293),$N293&lt;significance_bar)),$M293=0),"in line",IF($M293&lt;0,"worse","better")),IF(OR($M293=0,IF(profit_kind="points",ABS($M293),ABS($M293*$H293))&lt;profit_line*(1-1E-9)),"in line",IF(AND(ISNUMBER($N293),$N293&lt;significance_bar),IF($M293&lt;0,"worse","better"),IF($M293&lt;0,"worse, not significant","better, not significant")))))</f>
        <v/>
      </c>
      <c r="Y293">
        <f>IF($V293,$X293,$W293)</f>
        <v/>
      </c>
      <c r="Z293">
        <f>IF($V293,IF($P293="","",$P293),IF($O293="","",$O293))</f>
        <v/>
      </c>
      <c r="AA293">
        <f>IF(OR($Q293="",$Z293=""),"",IF(AND($Z293&gt;0,$Z293&gt;=$Q293),"yes","below the line"))</f>
        <v/>
      </c>
      <c r="AB293">
        <f>IF($V293,IF($M293="","",$M293),IF($K293="","",$K293))</f>
        <v/>
      </c>
      <c r="AC293">
        <f>IF($V293,IF($N293="","",$N293),IF($L293="","",$L293))</f>
        <v/>
      </c>
      <c r="AD293">
        <f>IF($Y293="","",IF($Y293="in line",IF(profit_kind="test",IF(ROUND($AB293*100,2)=0,"0.00",TEXT($AB293*100,"+0.00;-0.00"))&amp;" points against "&amp;IF($V293,"its band","the book")&amp;", "&amp;IF($AC293="","not tested","not significant"),IF(profit_kind="points","within "&amp;TEXT(profit_line*100,"0.00")&amp;" points of "&amp;IF($V293,"its band","the book")&amp;" ("&amp;IF(ROUND($AB293*100,2)=0,"0.00",TEXT($AB293*100,"+0.00;-0.00"))&amp;")","within $"&amp;TEXT(profit_line,"#,##0")&amp;" of "&amp;IF($V293,"its band","the book")&amp;" ("&amp;IF(ROUND($AB293*100,2)=0,"0.00",TEXT($AB293*100,"+0.00;-0.00"))&amp;" points)")),IF(LEFT($Y293,5)="worse","short of ","ahead of ")&amp;IF($V293,"its band","the book")&amp;" by "&amp;TEXT(ABS($AB293)*100,"0.00")&amp;" points"&amp;IF($Z293="",""," ($"&amp;TEXT(ABS($Z293),"#,##0")&amp;")")&amp;IF(RIGHT($Y293,15)="not significant"," (not significant)","")))</f>
        <v/>
      </c>
      <c r="AE293">
        <f>IF($V293,IF($S293="","",$S293),IF($R293="","",$R293))</f>
        <v/>
      </c>
      <c r="AF293">
        <f>IF($V293,IF($U293="","",$U293),IF($T293="","",$T293))</f>
        <v/>
      </c>
      <c r="AG293">
        <f>IF($V293,IF($O293="","",$O293),IF($P293="","",$P293))</f>
        <v/>
      </c>
      <c r="AH293" t="n">
        <v>0.2255647572918433</v>
      </c>
      <c r="AI293">
        <f>IF($Y293="worse","Yes",IF($Y293="worse, not significant","Not sure",IF(OR($Y293="too few losses to test",$Y293="too few loans to test"),"Too few losses",IF($Y293="","","No"))))</f>
        <v/>
      </c>
      <c r="AJ293">
        <f>IF($AA293="yes","Yes",IF($AA293="","","No"))</f>
        <v/>
      </c>
      <c r="AK293" t="n">
        <v>0.0001761728589045857</v>
      </c>
      <c r="AL293" t="n">
        <v>0.00254210475560811</v>
      </c>
      <c r="AM293">
        <f>IF(AND(ISNUMBER($AC293),ISNUMBER(IF($V293,IF($AL293="","",$AL293),IF($AK293="","",$AK293)))),IF(AND(ABS($AC293-significance_bar)&lt;=2.0*IF($V293,IF($AL293="","",$AL293),IF($AK293="","",$AK293)),OR($Y293="worse",$Y293="better",$Y293="worse, not significant",$Y293="better, not significant",AND(profit_kind="test",$Y293="in line",ISNUMBER($AB293),$AB293&lt;&gt;0))),IF(ROUND($AC293,3)=ROUND(significance_bar,3),TEXT($AC293,"0.0000"),TEXT($AC293,"0.000")),""),"")</f>
        <v/>
      </c>
      <c r="AN293">
        <f>IF(AND(ISNUMBER($AC293),ISNUMBER(IF($V293,IF($AL293="","",$AL293),IF($AK293="","",$AK293)))),IF(AND(ABS($AC293-significance_bar)&lt;=2.0*IF($V293,IF($AL293="","",$AL293),IF($AK293="","",$AK293)),OR($Y293="worse",$Y293="worse, not significant",AND(profit_kind="test",$Y293="in line",ISNUMBER($AB293),$AB293&lt;0))),IF(ROUND($AC293,3)=ROUND(significance_bar,3),TEXT($AC293,"0.0000"),TEXT($AC293,"0.000")),""),"")</f>
        <v/>
      </c>
      <c r="AO293">
        <f>IF(OR($AI293="",$AN293=""),$AI293,$AI293&amp;" · borderline (p "&amp;$AN293&amp;")")</f>
        <v/>
      </c>
    </row>
    <row r="294">
      <c r="A294" t="inlineStr">
        <is>
          <t>three-way</t>
        </is>
      </c>
      <c r="B294" t="inlineStr">
        <is>
          <t>FICO x CHANNEL / REV_DEBT</t>
        </is>
      </c>
      <c r="C294" t="inlineStr">
        <is>
          <t>686 - 711</t>
        </is>
      </c>
      <c r="D294" t="inlineStr">
        <is>
          <t>Online / REV_DEBT low half</t>
        </is>
      </c>
      <c r="E294" t="inlineStr">
        <is>
          <t>outcome_loans</t>
        </is>
      </c>
      <c r="F294" t="inlineStr">
        <is>
          <t>Outcome, share of loans</t>
        </is>
      </c>
      <c r="G294" t="n">
        <v>273</v>
      </c>
      <c r="H294" t="n">
        <v>273</v>
      </c>
      <c r="I294" t="b">
        <v>0</v>
      </c>
      <c r="J294" t="b">
        <v>0</v>
      </c>
      <c r="K294" t="n">
        <v>0.4647022381012529</v>
      </c>
      <c r="L294" t="n">
        <v>0.03963584572235185</v>
      </c>
      <c r="M294" t="n">
        <v>0.5490246187920607</v>
      </c>
      <c r="N294" t="n">
        <v>0.1381316222537689</v>
      </c>
      <c r="O294" t="n">
        <v>-11.51915609629821</v>
      </c>
      <c r="P294" t="n">
        <v>-8.214119472459274</v>
      </c>
      <c r="Q294">
        <f>'_live'!$C$20</f>
        <v/>
      </c>
      <c r="R294" t="inlineStr">
        <is>
          <t>z test</t>
        </is>
      </c>
      <c r="S294" t="inlineStr">
        <is>
          <t>z test</t>
        </is>
      </c>
      <c r="T294" t="n">
        <v>0.07882474760548797</v>
      </c>
      <c r="U294" t="n">
        <v>0.06671838634600466</v>
      </c>
      <c r="V294">
        <f>AND(judged_band,NOT($J294))</f>
        <v/>
      </c>
      <c r="W294">
        <f>IF($K294="","",IF($I294,"too few losses to test",IF(AND($K294&gt;better_at,$K294&lt;worse_at),"in line",IF($K294&gt;=worse_at,IF(AND(ISNUMBER($L294),$L294&lt;significance_bar),"worse","worse, not significant"),IF(AND(ISNUMBER($L294),$L294&lt;significance_bar),"better","better, not significant")))))</f>
        <v/>
      </c>
      <c r="X294">
        <f>IF($M294="","",IF($I294,"too few losses to test",IF(AND($M294&gt;better_at,$M294&lt;worse_at),"in line",IF($M294&gt;=worse_at,IF(AND(ISNUMBER($N294),$N294&lt;significance_bar),"worse","worse, not significant"),IF(AND(ISNUMBER($N294),$N294&lt;significance_bar),"better","better, not significant")))))</f>
        <v/>
      </c>
      <c r="Y294">
        <f>IF($V294,$X294,$W294)</f>
        <v/>
      </c>
      <c r="Z294">
        <f>IF($V294,IF($P294="","",$P294),IF($O294="","",$O294))</f>
        <v/>
      </c>
      <c r="AA294">
        <f>IF(OR($Q294="",$Z294=""),"",IF(AND($Z294&gt;0,$Z294&gt;=$Q294),"yes","below the line"))</f>
        <v/>
      </c>
      <c r="AB294">
        <f>IF($V294,IF($M294="","",$M294),IF($K294="","",$K294))</f>
        <v/>
      </c>
      <c r="AC294">
        <f>IF($V294,IF($N294="","",$N294),IF($L294="","",$L294))</f>
        <v/>
      </c>
      <c r="AD294">
        <f>$Y294</f>
        <v/>
      </c>
      <c r="AE294">
        <f>IF($V294,IF($S294="","",$S294),IF($R294="","",$R294))</f>
        <v/>
      </c>
      <c r="AF294">
        <f>IF($V294,IF($U294="","",$U294),IF($T294="","",$T294))</f>
        <v/>
      </c>
      <c r="AG294">
        <f>IF($V294,IF($O294="","",$O294),IF($P294="","",$P294))</f>
        <v/>
      </c>
      <c r="AH294" t="n">
        <v>0.03663003663003663</v>
      </c>
      <c r="AI294">
        <f>IF($Y294="worse","Yes",IF($Y294="worse, not significant","Not sure",IF(OR($Y294="too few losses to test",$Y294="too few loans to test"),"Too few losses",IF($Y294="","","No"))))</f>
        <v/>
      </c>
      <c r="AJ294">
        <f>IF($AA294="yes","Yes",IF($AA294="","","No"))</f>
        <v/>
      </c>
      <c r="AM294">
        <f>IF(AND(ISNUMBER($AC294),ISNUMBER(IF($V294,IF($AL294="","",$AL294),IF($AK294="","",$AK294)))),IF(AND(ABS($AC294-significance_bar)&lt;=2.0*IF($V294,IF($AL294="","",$AL294),IF($AK294="","",$AK294)),OR($Y294="worse",$Y294="better",$Y294="worse, not significant",$Y294="better, not significant")),IF(ROUND($AC294,3)=ROUND(significance_bar,3),TEXT($AC294,"0.0000"),TEXT($AC294,"0.000")),""),"")</f>
        <v/>
      </c>
      <c r="AN294">
        <f>IF(AND(ISNUMBER($AC294),ISNUMBER(IF($V294,IF($AL294="","",$AL294),IF($AK294="","",$AK294)))),IF(AND(ABS($AC294-significance_bar)&lt;=2.0*IF($V294,IF($AL294="","",$AL294),IF($AK294="","",$AK294)),OR($Y294="worse",$Y294="worse, not significant")),IF(ROUND($AC294,3)=ROUND(significance_bar,3),TEXT($AC294,"0.0000"),TEXT($AC294,"0.000")),""),"")</f>
        <v/>
      </c>
      <c r="AO294">
        <f>IF(OR($AI294="",$AN294=""),$AI294,$AI294&amp;" · borderline (p "&amp;$AN294&amp;")")</f>
        <v/>
      </c>
    </row>
    <row r="295">
      <c r="A295" t="inlineStr">
        <is>
          <t>three-way</t>
        </is>
      </c>
      <c r="B295" t="inlineStr">
        <is>
          <t>FICO x CHANNEL / REV_DEBT</t>
        </is>
      </c>
      <c r="C295" t="inlineStr">
        <is>
          <t>686 - 711</t>
        </is>
      </c>
      <c r="D295" t="inlineStr">
        <is>
          <t>Online / REV_DEBT low half</t>
        </is>
      </c>
      <c r="E295" t="inlineStr">
        <is>
          <t>outcome_booked</t>
        </is>
      </c>
      <c r="F295" t="inlineStr">
        <is>
          <t>Outcome, share of booked dollars</t>
        </is>
      </c>
      <c r="G295" t="n">
        <v>273</v>
      </c>
      <c r="H295" t="n">
        <v>8648118.250000007</v>
      </c>
      <c r="I295" t="b">
        <v>0</v>
      </c>
      <c r="J295" t="b">
        <v>0</v>
      </c>
      <c r="K295" t="n">
        <v>0.5636960279336429</v>
      </c>
      <c r="L295" t="n">
        <v>0.1144577849907317</v>
      </c>
      <c r="M295" t="n">
        <v>0.7166554141740161</v>
      </c>
      <c r="N295" t="n">
        <v>0.5996650334966503</v>
      </c>
      <c r="O295" t="n">
        <v>-286534.9273858843</v>
      </c>
      <c r="P295" t="n">
        <v>-146365.2262101407</v>
      </c>
      <c r="Q295">
        <f>'_live'!$C$21</f>
        <v/>
      </c>
      <c r="R295" t="inlineStr">
        <is>
          <t>shuffled: 610 of 10,000</t>
        </is>
      </c>
      <c r="S295" t="inlineStr">
        <is>
          <t>shuffled: 3,128 of 10,000</t>
        </is>
      </c>
      <c r="T295" t="n">
        <v>0.07593933366786279</v>
      </c>
      <c r="U295" t="n">
        <v>0.05973121796873444</v>
      </c>
      <c r="V295">
        <f>AND(judged_band,NOT($J295))</f>
        <v/>
      </c>
      <c r="W295">
        <f>IF($K295="","",IF($I295,"too few losses to test",IF(AND($K295&gt;better_at,$K295&lt;worse_at),"in line",IF($K295&gt;=worse_at,IF(AND(ISNUMBER($L295),$L295&lt;significance_bar),"worse","worse, not significant"),IF(AND(ISNUMBER($L295),$L295&lt;significance_bar),"better","better, not significant")))))</f>
        <v/>
      </c>
      <c r="X295">
        <f>IF($M295="","",IF($I295,"too few losses to test",IF(AND($M295&gt;better_at,$M295&lt;worse_at),"in line",IF($M295&gt;=worse_at,IF(AND(ISNUMBER($N295),$N295&lt;significance_bar),"worse","worse, not significant"),IF(AND(ISNUMBER($N295),$N295&lt;significance_bar),"better","better, not significant")))))</f>
        <v/>
      </c>
      <c r="Y295">
        <f>IF($V295,$X295,$W295)</f>
        <v/>
      </c>
      <c r="Z295">
        <f>IF($V295,IF($P295="","",$P295),IF($O295="","",$O295))</f>
        <v/>
      </c>
      <c r="AA295">
        <f>IF(OR($Q295="",$Z295=""),"",IF(AND($Z295&gt;0,$Z295&gt;=$Q295),"yes","below the line"))</f>
        <v/>
      </c>
      <c r="AB295">
        <f>IF($V295,IF($M295="","",$M295),IF($K295="","",$K295))</f>
        <v/>
      </c>
      <c r="AC295">
        <f>IF($V295,IF($N295="","",$N295),IF($L295="","",$L295))</f>
        <v/>
      </c>
      <c r="AD295">
        <f>$Y295</f>
        <v/>
      </c>
      <c r="AE295">
        <f>IF($V295,IF($S295="","",$S295),IF($R295="","",$R295))</f>
        <v/>
      </c>
      <c r="AF295">
        <f>IF($V295,IF($U295="","",$U295),IF($T295="","",$T295))</f>
        <v/>
      </c>
      <c r="AG295">
        <f>IF($V295,IF($O295="","",$O295),IF($P295="","",$P295))</f>
        <v/>
      </c>
      <c r="AH295" t="n">
        <v>0.04280670075250181</v>
      </c>
      <c r="AI295">
        <f>IF($Y295="worse","Yes",IF($Y295="worse, not significant","Not sure",IF(OR($Y295="too few losses to test",$Y295="too few loans to test"),"Too few losses",IF($Y295="","","No"))))</f>
        <v/>
      </c>
      <c r="AJ295">
        <f>IF($AA295="yes","Yes",IF($AA295="","","No"))</f>
        <v/>
      </c>
      <c r="AK295" t="n">
        <v>0.004352029991149161</v>
      </c>
      <c r="AL295" t="n">
        <v>0.008886843244201177</v>
      </c>
      <c r="AM295">
        <f>IF(AND(ISNUMBER($AC295),ISNUMBER(IF($V295,IF($AL295="","",$AL295),IF($AK295="","",$AK295)))),IF(AND(ABS($AC295-significance_bar)&lt;=2.0*IF($V295,IF($AL295="","",$AL295),IF($AK295="","",$AK295)),OR($Y295="worse",$Y295="better",$Y295="worse, not significant",$Y295="better, not significant")),IF(ROUND($AC295,3)=ROUND(significance_bar,3),TEXT($AC295,"0.0000"),TEXT($AC295,"0.000")),""),"")</f>
        <v/>
      </c>
      <c r="AN295">
        <f>IF(AND(ISNUMBER($AC295),ISNUMBER(IF($V295,IF($AL295="","",$AL295),IF($AK295="","",$AK295)))),IF(AND(ABS($AC295-significance_bar)&lt;=2.0*IF($V295,IF($AL295="","",$AL295),IF($AK295="","",$AK295)),OR($Y295="worse",$Y295="worse, not significant")),IF(ROUND($AC295,3)=ROUND(significance_bar,3),TEXT($AC295,"0.0000"),TEXT($AC295,"0.000")),""),"")</f>
        <v/>
      </c>
      <c r="AO295">
        <f>IF(OR($AI295="",$AN295=""),$AI295,$AI295&amp;" · borderline (p "&amp;$AN295&amp;")")</f>
        <v/>
      </c>
    </row>
    <row r="296">
      <c r="A296" t="inlineStr">
        <is>
          <t>three-way</t>
        </is>
      </c>
      <c r="B296" t="inlineStr">
        <is>
          <t>FICO x CHANNEL / REV_DEBT</t>
        </is>
      </c>
      <c r="C296" t="inlineStr">
        <is>
          <t>686 - 711</t>
        </is>
      </c>
      <c r="D296" t="inlineStr">
        <is>
          <t>Online / REV_DEBT low half</t>
        </is>
      </c>
      <c r="E296" t="inlineStr">
        <is>
          <t>gco_rate</t>
        </is>
      </c>
      <c r="F296" t="inlineStr">
        <is>
          <t>GCO per booked dollar</t>
        </is>
      </c>
      <c r="G296" t="n">
        <v>273</v>
      </c>
      <c r="H296" t="n">
        <v>8648118.250000007</v>
      </c>
      <c r="I296" t="b">
        <v>0</v>
      </c>
      <c r="J296" t="b">
        <v>0</v>
      </c>
      <c r="K296" t="n">
        <v>0.468393919460791</v>
      </c>
      <c r="L296" t="n">
        <v>0.06272100062721001</v>
      </c>
      <c r="M296" t="n">
        <v>0.5853225588170431</v>
      </c>
      <c r="N296" t="n">
        <v>0.326149203261492</v>
      </c>
      <c r="O296" t="n">
        <v>-194745.5770164011</v>
      </c>
      <c r="P296" t="n">
        <v>-121563.7417370081</v>
      </c>
      <c r="Q296">
        <f>'_live'!$C$22</f>
        <v/>
      </c>
      <c r="R296" t="inlineStr">
        <is>
          <t>shuffled: 287 of 10,000</t>
        </is>
      </c>
      <c r="S296" t="inlineStr">
        <is>
          <t>shuffled: 1,462 of 10,000</t>
        </is>
      </c>
      <c r="T296" t="n">
        <v>0.04236000901310534</v>
      </c>
      <c r="U296" t="n">
        <v>0.03389784034659885</v>
      </c>
      <c r="V296">
        <f>AND(judged_band,NOT($J296))</f>
        <v/>
      </c>
      <c r="W296">
        <f>IF($K296="","",IF($I296,"too few losses to test",IF(AND($K296&gt;better_at,$K296&lt;worse_at),"in line",IF($K296&gt;=worse_at,IF(AND(ISNUMBER($L296),$L296&lt;significance_bar),"worse","worse, not significant"),IF(AND(ISNUMBER($L296),$L296&lt;significance_bar),"better","better, not significant")))))</f>
        <v/>
      </c>
      <c r="X296">
        <f>IF($M296="","",IF($I296,"too few losses to test",IF(AND($M296&gt;better_at,$M296&lt;worse_at),"in line",IF($M296&gt;=worse_at,IF(AND(ISNUMBER($N296),$N296&lt;significance_bar),"worse","worse, not significant"),IF(AND(ISNUMBER($N296),$N296&lt;significance_bar),"better","better, not significant")))))</f>
        <v/>
      </c>
      <c r="Y296">
        <f>IF($V296,$X296,$W296)</f>
        <v/>
      </c>
      <c r="Z296">
        <f>IF($V296,IF($P296="","",$P296),IF($O296="","",$O296))</f>
        <v/>
      </c>
      <c r="AA296">
        <f>IF(OR($Q296="",$Z296=""),"",IF(AND($Z296&gt;0,$Z296&gt;=$Q296),"yes","below the line"))</f>
        <v/>
      </c>
      <c r="AB296">
        <f>IF($V296,IF($M296="","",$M296),IF($K296="","",$K296))</f>
        <v/>
      </c>
      <c r="AC296">
        <f>IF($V296,IF($N296="","",$N296),IF($L296="","",$L296))</f>
        <v/>
      </c>
      <c r="AD296">
        <f>$Y296</f>
        <v/>
      </c>
      <c r="AE296">
        <f>IF($V296,IF($S296="","",$S296),IF($R296="","",$R296))</f>
        <v/>
      </c>
      <c r="AF296">
        <f>IF($V296,IF($U296="","",$U296),IF($T296="","",$T296))</f>
        <v/>
      </c>
      <c r="AG296">
        <f>IF($V296,IF($O296="","",$O296),IF($P296="","",$P296))</f>
        <v/>
      </c>
      <c r="AH296" t="n">
        <v>0.01984117065004284</v>
      </c>
      <c r="AI296">
        <f>IF($Y296="worse","Yes",IF($Y296="worse, not significant","Not sure",IF(OR($Y296="too few losses to test",$Y296="too few loans to test"),"Too few losses",IF($Y296="","","No"))))</f>
        <v/>
      </c>
      <c r="AJ296">
        <f>IF($AA296="yes","Yes",IF($AA296="","","No"))</f>
        <v/>
      </c>
      <c r="AK296" t="n">
        <v>0.00356665090081255</v>
      </c>
      <c r="AL296" t="n">
        <v>0.0075866661406978</v>
      </c>
      <c r="AM296">
        <f>IF(AND(ISNUMBER($AC296),ISNUMBER(IF($V296,IF($AL296="","",$AL296),IF($AK296="","",$AK296)))),IF(AND(ABS($AC296-significance_bar)&lt;=2.0*IF($V296,IF($AL296="","",$AL296),IF($AK296="","",$AK296)),OR($Y296="worse",$Y296="better",$Y296="worse, not significant",$Y296="better, not significant")),IF(ROUND($AC296,3)=ROUND(significance_bar,3),TEXT($AC296,"0.0000"),TEXT($AC296,"0.000")),""),"")</f>
        <v/>
      </c>
      <c r="AN296">
        <f>IF(AND(ISNUMBER($AC296),ISNUMBER(IF($V296,IF($AL296="","",$AL296),IF($AK296="","",$AK296)))),IF(AND(ABS($AC296-significance_bar)&lt;=2.0*IF($V296,IF($AL296="","",$AL296),IF($AK296="","",$AK296)),OR($Y296="worse",$Y296="worse, not significant")),IF(ROUND($AC296,3)=ROUND(significance_bar,3),TEXT($AC296,"0.0000"),TEXT($AC296,"0.000")),""),"")</f>
        <v/>
      </c>
      <c r="AO296">
        <f>IF(OR($AI296="",$AN296=""),$AI296,$AI296&amp;" · borderline (p "&amp;$AN296&amp;")")</f>
        <v/>
      </c>
    </row>
    <row r="297">
      <c r="A297" t="inlineStr">
        <is>
          <t>three-way</t>
        </is>
      </c>
      <c r="B297" t="inlineStr">
        <is>
          <t>FICO x CHANNEL / REV_DEBT</t>
        </is>
      </c>
      <c r="C297" t="inlineStr">
        <is>
          <t>686 - 711</t>
        </is>
      </c>
      <c r="D297" t="inlineStr">
        <is>
          <t>Online / REV_DEBT low half</t>
        </is>
      </c>
      <c r="E297" t="inlineStr">
        <is>
          <t>ranr_rate</t>
        </is>
      </c>
      <c r="F297" t="inlineStr">
        <is>
          <t>Profit after losses: RANR per booked dollar</t>
        </is>
      </c>
      <c r="G297" t="n">
        <v>273</v>
      </c>
      <c r="H297" t="n">
        <v>8648118.250000007</v>
      </c>
      <c r="I297" t="b">
        <v>0</v>
      </c>
      <c r="J297" t="b">
        <v>0</v>
      </c>
      <c r="K297" t="n">
        <v>0.070178167936018</v>
      </c>
      <c r="L297" t="n">
        <v>0.0002466420024664201</v>
      </c>
      <c r="M297" t="n">
        <v>0.06489973087959103</v>
      </c>
      <c r="N297" t="n">
        <v>0.0017998200179982</v>
      </c>
      <c r="O297" t="n">
        <v>-606909.0948790426</v>
      </c>
      <c r="P297" t="n">
        <v>-561260.5470398802</v>
      </c>
      <c r="Q297">
        <f>'_live'!$C$23</f>
        <v/>
      </c>
      <c r="R297" t="inlineStr">
        <is>
          <t>shuffled: 0 of 10,000</t>
        </is>
      </c>
      <c r="S297" t="inlineStr">
        <is>
          <t>shuffled: 0 of 10,000</t>
        </is>
      </c>
      <c r="T297" t="n">
        <v>0.1256383127186031</v>
      </c>
      <c r="U297" t="n">
        <v>0.13091674977503</v>
      </c>
      <c r="V297">
        <f>AND(judged_band,NOT($J297))</f>
        <v/>
      </c>
      <c r="W297">
        <f>IF($K297="","",IF(profit_kind="test",IF(OR(NOT(AND(ISNUMBER($L297),$L297&lt;significance_bar)),$K297=0),"in line",IF($K297&lt;0,"worse","better")),IF(OR($K297=0,IF(profit_kind="points",ABS($K297),ABS($K297*$H297))&lt;profit_line*(1-1E-9)),"in line",IF(AND(ISNUMBER($L297),$L297&lt;significance_bar),IF($K297&lt;0,"worse","better"),IF($K297&lt;0,"worse, not significant","better, not significant")))))</f>
        <v/>
      </c>
      <c r="X297">
        <f>IF($M297="","",IF(profit_kind="test",IF(OR(NOT(AND(ISNUMBER($N297),$N297&lt;significance_bar)),$M297=0),"in line",IF($M297&lt;0,"worse","better")),IF(OR($M297=0,IF(profit_kind="points",ABS($M297),ABS($M297*$H297))&lt;profit_line*(1-1E-9)),"in line",IF(AND(ISNUMBER($N297),$N297&lt;significance_bar),IF($M297&lt;0,"worse","better"),IF($M297&lt;0,"worse, not significant","better, not significant")))))</f>
        <v/>
      </c>
      <c r="Y297">
        <f>IF($V297,$X297,$W297)</f>
        <v/>
      </c>
      <c r="Z297">
        <f>IF($V297,IF($P297="","",$P297),IF($O297="","",$O297))</f>
        <v/>
      </c>
      <c r="AA297">
        <f>IF(OR($Q297="",$Z297=""),"",IF(AND($Z297&gt;0,$Z297&gt;=$Q297),"yes","below the line"))</f>
        <v/>
      </c>
      <c r="AB297">
        <f>IF($V297,IF($M297="","",$M297),IF($K297="","",$K297))</f>
        <v/>
      </c>
      <c r="AC297">
        <f>IF($V297,IF($N297="","",$N297),IF($L297="","",$L297))</f>
        <v/>
      </c>
      <c r="AD297">
        <f>IF($Y297="","",IF($Y297="in line",IF(profit_kind="test",IF(ROUND($AB297*100,2)=0,"0.00",TEXT($AB297*100,"+0.00;-0.00"))&amp;" points against "&amp;IF($V297,"its band","the book")&amp;", "&amp;IF($AC297="","not tested","not significant"),IF(profit_kind="points","within "&amp;TEXT(profit_line*100,"0.00")&amp;" points of "&amp;IF($V297,"its band","the book")&amp;" ("&amp;IF(ROUND($AB297*100,2)=0,"0.00",TEXT($AB297*100,"+0.00;-0.00"))&amp;")","within $"&amp;TEXT(profit_line,"#,##0")&amp;" of "&amp;IF($V297,"its band","the book")&amp;" ("&amp;IF(ROUND($AB297*100,2)=0,"0.00",TEXT($AB297*100,"+0.00;-0.00"))&amp;" points)")),IF(LEFT($Y297,5)="worse","short of ","ahead of ")&amp;IF($V297,"its band","the book")&amp;" by "&amp;TEXT(ABS($AB297)*100,"0.00")&amp;" points"&amp;IF($Z297="",""," ($"&amp;TEXT(ABS($Z297),"#,##0")&amp;")")&amp;IF(RIGHT($Y297,15)="not significant"," (not significant)","")))</f>
        <v/>
      </c>
      <c r="AE297">
        <f>IF($V297,IF($S297="","",$S297),IF($R297="","",$R297))</f>
        <v/>
      </c>
      <c r="AF297">
        <f>IF($V297,IF($U297="","",$U297),IF($T297="","",$T297))</f>
        <v/>
      </c>
      <c r="AG297">
        <f>IF($V297,IF($O297="","",$O297),IF($P297="","",$P297))</f>
        <v/>
      </c>
      <c r="AH297" t="n">
        <v>0.1958164806546211</v>
      </c>
      <c r="AI297">
        <f>IF($Y297="worse","Yes",IF($Y297="worse, not significant","Not sure",IF(OR($Y297="too few losses to test",$Y297="too few loans to test"),"Too few losses",IF($Y297="","","No"))))</f>
        <v/>
      </c>
      <c r="AJ297">
        <f>IF($AA297="yes","Yes",IF($AA297="","","No"))</f>
        <v/>
      </c>
      <c r="AK297" t="n">
        <v>0.0002466420024664201</v>
      </c>
      <c r="AL297" t="n">
        <v>0.0017998200179982</v>
      </c>
      <c r="AM297">
        <f>IF(AND(ISNUMBER($AC297),ISNUMBER(IF($V297,IF($AL297="","",$AL297),IF($AK297="","",$AK297)))),IF(AND(ABS($AC297-significance_bar)&lt;=2.0*IF($V297,IF($AL297="","",$AL297),IF($AK297="","",$AK297)),OR($Y297="worse",$Y297="better",$Y297="worse, not significant",$Y297="better, not significant",AND(profit_kind="test",$Y297="in line",ISNUMBER($AB297),$AB297&lt;&gt;0))),IF(ROUND($AC297,3)=ROUND(significance_bar,3),TEXT($AC297,"0.0000"),TEXT($AC297,"0.000")),""),"")</f>
        <v/>
      </c>
      <c r="AN297">
        <f>IF(AND(ISNUMBER($AC297),ISNUMBER(IF($V297,IF($AL297="","",$AL297),IF($AK297="","",$AK297)))),IF(AND(ABS($AC297-significance_bar)&lt;=2.0*IF($V297,IF($AL297="","",$AL297),IF($AK297="","",$AK297)),OR($Y297="worse",$Y297="worse, not significant",AND(profit_kind="test",$Y297="in line",ISNUMBER($AB297),$AB297&lt;0))),IF(ROUND($AC297,3)=ROUND(significance_bar,3),TEXT($AC297,"0.0000"),TEXT($AC297,"0.000")),""),"")</f>
        <v/>
      </c>
      <c r="AO297">
        <f>IF(OR($AI297="",$AN297=""),$AI297,$AI297&amp;" · borderline (p "&amp;$AN297&amp;")")</f>
        <v/>
      </c>
    </row>
    <row r="298">
      <c r="A298" t="inlineStr">
        <is>
          <t>three-way</t>
        </is>
      </c>
      <c r="B298" t="inlineStr">
        <is>
          <t>FICO x CHANNEL / REV_DEBT</t>
        </is>
      </c>
      <c r="C298" t="inlineStr">
        <is>
          <t>686 - 711</t>
        </is>
      </c>
      <c r="D298" t="inlineStr">
        <is>
          <t>Online / REV_DEBT low half</t>
        </is>
      </c>
      <c r="E298" t="inlineStr">
        <is>
          <t>contribution_rate</t>
        </is>
      </c>
      <c r="F298" t="inlineStr">
        <is>
          <t>Contribution before losses per booked dollar</t>
        </is>
      </c>
      <c r="G298" t="n">
        <v>273</v>
      </c>
      <c r="H298" t="n">
        <v>8648118.250000007</v>
      </c>
      <c r="I298" t="b">
        <v>0</v>
      </c>
      <c r="J298" t="b">
        <v>0</v>
      </c>
      <c r="K298" t="n">
        <v>0.04766266221001361</v>
      </c>
      <c r="L298" t="n">
        <v>0.0001761728589045857</v>
      </c>
      <c r="M298" t="n">
        <v>0.05084306118303489</v>
      </c>
      <c r="N298" t="n">
        <v>0.0005142342908566286</v>
      </c>
      <c r="O298" t="n">
        <v>-412192.3389020043</v>
      </c>
      <c r="P298" t="n">
        <v>-439696.8053028709</v>
      </c>
      <c r="Q298">
        <f>'_live'!$C$24</f>
        <v/>
      </c>
      <c r="R298" t="inlineStr">
        <is>
          <t>shuffled: 0 of 10,000</t>
        </is>
      </c>
      <c r="S298" t="inlineStr">
        <is>
          <t>shuffled: 0 of 10,000</t>
        </is>
      </c>
      <c r="T298" t="n">
        <v>0.1679949890946502</v>
      </c>
      <c r="U298" t="n">
        <v>0.1648145901216289</v>
      </c>
      <c r="V298">
        <f>AND(judged_band,NOT($J298))</f>
        <v/>
      </c>
      <c r="W298">
        <f>IF($K298="","",IF(profit_kind="test",IF(OR(NOT(AND(ISNUMBER($L298),$L298&lt;significance_bar)),$K298=0),"in line",IF($K298&lt;0,"worse","better")),IF(OR($K298=0,IF(profit_kind="points",ABS($K298),ABS($K298*$H298))&lt;profit_line*(1-1E-9)),"in line",IF(AND(ISNUMBER($L298),$L298&lt;significance_bar),IF($K298&lt;0,"worse","better"),IF($K298&lt;0,"worse, not significant","better, not significant")))))</f>
        <v/>
      </c>
      <c r="X298">
        <f>IF($M298="","",IF(profit_kind="test",IF(OR(NOT(AND(ISNUMBER($N298),$N298&lt;significance_bar)),$M298=0),"in line",IF($M298&lt;0,"worse","better")),IF(OR($M298=0,IF(profit_kind="points",ABS($M298),ABS($M298*$H298))&lt;profit_line*(1-1E-9)),"in line",IF(AND(ISNUMBER($N298),$N298&lt;significance_bar),IF($M298&lt;0,"worse","better"),IF($M298&lt;0,"worse, not significant","better, not significant")))))</f>
        <v/>
      </c>
      <c r="Y298">
        <f>IF($V298,$X298,$W298)</f>
        <v/>
      </c>
      <c r="Z298">
        <f>IF($V298,IF($P298="","",$P298),IF($O298="","",$O298))</f>
        <v/>
      </c>
      <c r="AA298">
        <f>IF(OR($Q298="",$Z298=""),"",IF(AND($Z298&gt;0,$Z298&gt;=$Q298),"yes","below the line"))</f>
        <v/>
      </c>
      <c r="AB298">
        <f>IF($V298,IF($M298="","",$M298),IF($K298="","",$K298))</f>
        <v/>
      </c>
      <c r="AC298">
        <f>IF($V298,IF($N298="","",$N298),IF($L298="","",$L298))</f>
        <v/>
      </c>
      <c r="AD298">
        <f>IF($Y298="","",IF($Y298="in line",IF(profit_kind="test",IF(ROUND($AB298*100,2)=0,"0.00",TEXT($AB298*100,"+0.00;-0.00"))&amp;" points against "&amp;IF($V298,"its band","the book")&amp;", "&amp;IF($AC298="","not tested","not significant"),IF(profit_kind="points","within "&amp;TEXT(profit_line*100,"0.00")&amp;" points of "&amp;IF($V298,"its band","the book")&amp;" ("&amp;IF(ROUND($AB298*100,2)=0,"0.00",TEXT($AB298*100,"+0.00;-0.00"))&amp;")","within $"&amp;TEXT(profit_line,"#,##0")&amp;" of "&amp;IF($V298,"its band","the book")&amp;" ("&amp;IF(ROUND($AB298*100,2)=0,"0.00",TEXT($AB298*100,"+0.00;-0.00"))&amp;" points)")),IF(LEFT($Y298,5)="worse","short of ","ahead of ")&amp;IF($V298,"its band","the book")&amp;" by "&amp;TEXT(ABS($AB298)*100,"0.00")&amp;" points"&amp;IF($Z298="",""," ($"&amp;TEXT(ABS($Z298),"#,##0")&amp;")")&amp;IF(RIGHT($Y298,15)="not significant"," (not significant)","")))</f>
        <v/>
      </c>
      <c r="AE298">
        <f>IF($V298,IF($S298="","",$S298),IF($R298="","",$R298))</f>
        <v/>
      </c>
      <c r="AF298">
        <f>IF($V298,IF($U298="","",$U298),IF($T298="","",$T298))</f>
        <v/>
      </c>
      <c r="AG298">
        <f>IF($V298,IF($O298="","",$O298),IF($P298="","",$P298))</f>
        <v/>
      </c>
      <c r="AH298" t="n">
        <v>0.2156576513046638</v>
      </c>
      <c r="AI298">
        <f>IF($Y298="worse","Yes",IF($Y298="worse, not significant","Not sure",IF(OR($Y298="too few losses to test",$Y298="too few loans to test"),"Too few losses",IF($Y298="","","No"))))</f>
        <v/>
      </c>
      <c r="AJ298">
        <f>IF($AA298="yes","Yes",IF($AA298="","","No"))</f>
        <v/>
      </c>
      <c r="AK298" t="n">
        <v>0.0001761728589045857</v>
      </c>
      <c r="AL298" t="n">
        <v>0.0005142342908566286</v>
      </c>
      <c r="AM298">
        <f>IF(AND(ISNUMBER($AC298),ISNUMBER(IF($V298,IF($AL298="","",$AL298),IF($AK298="","",$AK298)))),IF(AND(ABS($AC298-significance_bar)&lt;=2.0*IF($V298,IF($AL298="","",$AL298),IF($AK298="","",$AK298)),OR($Y298="worse",$Y298="better",$Y298="worse, not significant",$Y298="better, not significant",AND(profit_kind="test",$Y298="in line",ISNUMBER($AB298),$AB298&lt;&gt;0))),IF(ROUND($AC298,3)=ROUND(significance_bar,3),TEXT($AC298,"0.0000"),TEXT($AC298,"0.000")),""),"")</f>
        <v/>
      </c>
      <c r="AN298">
        <f>IF(AND(ISNUMBER($AC298),ISNUMBER(IF($V298,IF($AL298="","",$AL298),IF($AK298="","",$AK298)))),IF(AND(ABS($AC298-significance_bar)&lt;=2.0*IF($V298,IF($AL298="","",$AL298),IF($AK298="","",$AK298)),OR($Y298="worse",$Y298="worse, not significant",AND(profit_kind="test",$Y298="in line",ISNUMBER($AB298),$AB298&lt;0))),IF(ROUND($AC298,3)=ROUND(significance_bar,3),TEXT($AC298,"0.0000"),TEXT($AC298,"0.000")),""),"")</f>
        <v/>
      </c>
      <c r="AO298">
        <f>IF(OR($AI298="",$AN298=""),$AI298,$AI298&amp;" · borderline (p "&amp;$AN298&amp;")")</f>
        <v/>
      </c>
    </row>
    <row r="299">
      <c r="A299" t="inlineStr">
        <is>
          <t>three-way</t>
        </is>
      </c>
      <c r="B299" t="inlineStr">
        <is>
          <t>FICO x CHANNEL / REV_DEBT</t>
        </is>
      </c>
      <c r="C299" t="inlineStr">
        <is>
          <t>654 - 685</t>
        </is>
      </c>
      <c r="D299" t="inlineStr">
        <is>
          <t>Broker / REV_DEBT low half</t>
        </is>
      </c>
      <c r="E299" t="inlineStr">
        <is>
          <t>outcome_loans</t>
        </is>
      </c>
      <c r="F299" t="inlineStr">
        <is>
          <t>Outcome, share of loans</t>
        </is>
      </c>
      <c r="G299" t="n">
        <v>266</v>
      </c>
      <c r="H299" t="n">
        <v>266</v>
      </c>
      <c r="I299" t="b">
        <v>0</v>
      </c>
      <c r="J299" t="b">
        <v>0</v>
      </c>
      <c r="K299" t="n">
        <v>0.5259633458646616</v>
      </c>
      <c r="L299" t="n">
        <v>0.0528991240927523</v>
      </c>
      <c r="M299" t="n">
        <v>0.4423769507803121</v>
      </c>
      <c r="N299" t="n">
        <v>0.02081227286904291</v>
      </c>
      <c r="O299" t="n">
        <v>-9.914004914004913</v>
      </c>
      <c r="P299" t="n">
        <v>-13.86567164179105</v>
      </c>
      <c r="Q299">
        <f>'_live'!$C$20</f>
        <v/>
      </c>
      <c r="R299" t="inlineStr">
        <is>
          <t>z test</t>
        </is>
      </c>
      <c r="S299" t="inlineStr">
        <is>
          <t>z test</t>
        </is>
      </c>
      <c r="T299" t="n">
        <v>0.07862407862407862</v>
      </c>
      <c r="U299" t="n">
        <v>0.09347996857816182</v>
      </c>
      <c r="V299">
        <f>AND(judged_band,NOT($J299))</f>
        <v/>
      </c>
      <c r="W299">
        <f>IF($K299="","",IF($I299,"too few losses to test",IF(AND($K299&gt;better_at,$K299&lt;worse_at),"in line",IF($K299&gt;=worse_at,IF(AND(ISNUMBER($L299),$L299&lt;significance_bar),"worse","worse, not significant"),IF(AND(ISNUMBER($L299),$L299&lt;significance_bar),"better","better, not significant")))))</f>
        <v/>
      </c>
      <c r="X299">
        <f>IF($M299="","",IF($I299,"too few losses to test",IF(AND($M299&gt;better_at,$M299&lt;worse_at),"in line",IF($M299&gt;=worse_at,IF(AND(ISNUMBER($N299),$N299&lt;significance_bar),"worse","worse, not significant"),IF(AND(ISNUMBER($N299),$N299&lt;significance_bar),"better","better, not significant")))))</f>
        <v/>
      </c>
      <c r="Y299">
        <f>IF($V299,$X299,$W299)</f>
        <v/>
      </c>
      <c r="Z299">
        <f>IF($V299,IF($P299="","",$P299),IF($O299="","",$O299))</f>
        <v/>
      </c>
      <c r="AA299">
        <f>IF(OR($Q299="",$Z299=""),"",IF(AND($Z299&gt;0,$Z299&gt;=$Q299),"yes","below the line"))</f>
        <v/>
      </c>
      <c r="AB299">
        <f>IF($V299,IF($M299="","",$M299),IF($K299="","",$K299))</f>
        <v/>
      </c>
      <c r="AC299">
        <f>IF($V299,IF($N299="","",$N299),IF($L299="","",$L299))</f>
        <v/>
      </c>
      <c r="AD299">
        <f>$Y299</f>
        <v/>
      </c>
      <c r="AE299">
        <f>IF($V299,IF($S299="","",$S299),IF($R299="","",$R299))</f>
        <v/>
      </c>
      <c r="AF299">
        <f>IF($V299,IF($U299="","",$U299),IF($T299="","",$T299))</f>
        <v/>
      </c>
      <c r="AG299">
        <f>IF($V299,IF($O299="","",$O299),IF($P299="","",$P299))</f>
        <v/>
      </c>
      <c r="AH299" t="n">
        <v>0.04135338345864661</v>
      </c>
      <c r="AI299">
        <f>IF($Y299="worse","Yes",IF($Y299="worse, not significant","Not sure",IF(OR($Y299="too few losses to test",$Y299="too few loans to test"),"Too few losses",IF($Y299="","","No"))))</f>
        <v/>
      </c>
      <c r="AJ299">
        <f>IF($AA299="yes","Yes",IF($AA299="","","No"))</f>
        <v/>
      </c>
      <c r="AM299">
        <f>IF(AND(ISNUMBER($AC299),ISNUMBER(IF($V299,IF($AL299="","",$AL299),IF($AK299="","",$AK299)))),IF(AND(ABS($AC299-significance_bar)&lt;=2.0*IF($V299,IF($AL299="","",$AL299),IF($AK299="","",$AK299)),OR($Y299="worse",$Y299="better",$Y299="worse, not significant",$Y299="better, not significant")),IF(ROUND($AC299,3)=ROUND(significance_bar,3),TEXT($AC299,"0.0000"),TEXT($AC299,"0.000")),""),"")</f>
        <v/>
      </c>
      <c r="AN299">
        <f>IF(AND(ISNUMBER($AC299),ISNUMBER(IF($V299,IF($AL299="","",$AL299),IF($AK299="","",$AK299)))),IF(AND(ABS($AC299-significance_bar)&lt;=2.0*IF($V299,IF($AL299="","",$AL299),IF($AK299="","",$AK299)),OR($Y299="worse",$Y299="worse, not significant")),IF(ROUND($AC299,3)=ROUND(significance_bar,3),TEXT($AC299,"0.0000"),TEXT($AC299,"0.000")),""),"")</f>
        <v/>
      </c>
      <c r="AO299">
        <f>IF(OR($AI299="",$AN299=""),$AI299,$AI299&amp;" · borderline (p "&amp;$AN299&amp;")")</f>
        <v/>
      </c>
    </row>
    <row r="300">
      <c r="A300" t="inlineStr">
        <is>
          <t>three-way</t>
        </is>
      </c>
      <c r="B300" t="inlineStr">
        <is>
          <t>FICO x CHANNEL / REV_DEBT</t>
        </is>
      </c>
      <c r="C300" t="inlineStr">
        <is>
          <t>654 - 685</t>
        </is>
      </c>
      <c r="D300" t="inlineStr">
        <is>
          <t>Broker / REV_DEBT low half</t>
        </is>
      </c>
      <c r="E300" t="inlineStr">
        <is>
          <t>outcome_booked</t>
        </is>
      </c>
      <c r="F300" t="inlineStr">
        <is>
          <t>Outcome, share of booked dollars</t>
        </is>
      </c>
      <c r="G300" t="n">
        <v>266</v>
      </c>
      <c r="H300" t="n">
        <v>8669542.540000001</v>
      </c>
      <c r="I300" t="b">
        <v>0</v>
      </c>
      <c r="J300" t="b">
        <v>0</v>
      </c>
      <c r="K300" t="n">
        <v>0.4159051566029213</v>
      </c>
      <c r="L300" t="n">
        <v>0.05289471052894711</v>
      </c>
      <c r="M300" t="n">
        <v>0.3522826856359711</v>
      </c>
      <c r="N300" t="n">
        <v>0.01494850514948505</v>
      </c>
      <c r="O300" t="n">
        <v>-386506.1861577702</v>
      </c>
      <c r="P300" t="n">
        <v>-506012.9017584746</v>
      </c>
      <c r="Q300">
        <f>'_live'!$C$21</f>
        <v/>
      </c>
      <c r="R300" t="inlineStr">
        <is>
          <t>shuffled: 137 of 10,000</t>
        </is>
      </c>
      <c r="S300" t="inlineStr">
        <is>
          <t>shuffled: 38 of 10,000</t>
        </is>
      </c>
      <c r="T300" t="n">
        <v>0.07632677192651161</v>
      </c>
      <c r="U300" t="n">
        <v>0.09011143415630261</v>
      </c>
      <c r="V300">
        <f>AND(judged_band,NOT($J300))</f>
        <v/>
      </c>
      <c r="W300">
        <f>IF($K300="","",IF($I300,"too few losses to test",IF(AND($K300&gt;better_at,$K300&lt;worse_at),"in line",IF($K300&gt;=worse_at,IF(AND(ISNUMBER($L300),$L300&lt;significance_bar),"worse","worse, not significant"),IF(AND(ISNUMBER($L300),$L300&lt;significance_bar),"better","better, not significant")))))</f>
        <v/>
      </c>
      <c r="X300">
        <f>IF($M300="","",IF($I300,"too few losses to test",IF(AND($M300&gt;better_at,$M300&lt;worse_at),"in line",IF($M300&gt;=worse_at,IF(AND(ISNUMBER($N300),$N300&lt;significance_bar),"worse","worse, not significant"),IF(AND(ISNUMBER($N300),$N300&lt;significance_bar),"better","better, not significant")))))</f>
        <v/>
      </c>
      <c r="Y300">
        <f>IF($V300,$X300,$W300)</f>
        <v/>
      </c>
      <c r="Z300">
        <f>IF($V300,IF($P300="","",$P300),IF($O300="","",$O300))</f>
        <v/>
      </c>
      <c r="AA300">
        <f>IF(OR($Q300="",$Z300=""),"",IF(AND($Z300&gt;0,$Z300&gt;=$Q300),"yes","below the line"))</f>
        <v/>
      </c>
      <c r="AB300">
        <f>IF($V300,IF($M300="","",$M300),IF($K300="","",$K300))</f>
        <v/>
      </c>
      <c r="AC300">
        <f>IF($V300,IF($N300="","",$N300),IF($L300="","",$L300))</f>
        <v/>
      </c>
      <c r="AD300">
        <f>$Y300</f>
        <v/>
      </c>
      <c r="AE300">
        <f>IF($V300,IF($S300="","",$S300),IF($R300="","",$R300))</f>
        <v/>
      </c>
      <c r="AF300">
        <f>IF($V300,IF($U300="","",$U300),IF($T300="","",$T300))</f>
        <v/>
      </c>
      <c r="AG300">
        <f>IF($V300,IF($O300="","",$O300),IF($P300="","",$P300))</f>
        <v/>
      </c>
      <c r="AH300" t="n">
        <v>0.03174469803109126</v>
      </c>
      <c r="AI300">
        <f>IF($Y300="worse","Yes",IF($Y300="worse, not significant","Not sure",IF(OR($Y300="too few losses to test",$Y300="too few loans to test"),"Too few losses",IF($Y300="","","No"))))</f>
        <v/>
      </c>
      <c r="AJ300">
        <f>IF($AA300="yes","Yes",IF($AA300="","","No"))</f>
        <v/>
      </c>
      <c r="AK300" t="n">
        <v>0.004471746936329128</v>
      </c>
      <c r="AL300" t="n">
        <v>0.002389124217507785</v>
      </c>
      <c r="AM300">
        <f>IF(AND(ISNUMBER($AC300),ISNUMBER(IF($V300,IF($AL300="","",$AL300),IF($AK300="","",$AK300)))),IF(AND(ABS($AC300-significance_bar)&lt;=2.0*IF($V300,IF($AL300="","",$AL300),IF($AK300="","",$AK300)),OR($Y300="worse",$Y300="better",$Y300="worse, not significant",$Y300="better, not significant")),IF(ROUND($AC300,3)=ROUND(significance_bar,3),TEXT($AC300,"0.0000"),TEXT($AC300,"0.000")),""),"")</f>
        <v/>
      </c>
      <c r="AN300">
        <f>IF(AND(ISNUMBER($AC300),ISNUMBER(IF($V300,IF($AL300="","",$AL300),IF($AK300="","",$AK300)))),IF(AND(ABS($AC300-significance_bar)&lt;=2.0*IF($V300,IF($AL300="","",$AL300),IF($AK300="","",$AK300)),OR($Y300="worse",$Y300="worse, not significant")),IF(ROUND($AC300,3)=ROUND(significance_bar,3),TEXT($AC300,"0.0000"),TEXT($AC300,"0.000")),""),"")</f>
        <v/>
      </c>
      <c r="AO300">
        <f>IF(OR($AI300="",$AN300=""),$AI300,$AI300&amp;" · borderline (p "&amp;$AN300&amp;")")</f>
        <v/>
      </c>
    </row>
    <row r="301">
      <c r="A301" t="inlineStr">
        <is>
          <t>three-way</t>
        </is>
      </c>
      <c r="B301" t="inlineStr">
        <is>
          <t>FICO x CHANNEL / REV_DEBT</t>
        </is>
      </c>
      <c r="C301" t="inlineStr">
        <is>
          <t>654 - 685</t>
        </is>
      </c>
      <c r="D301" t="inlineStr">
        <is>
          <t>Broker / REV_DEBT low half</t>
        </is>
      </c>
      <c r="E301" t="inlineStr">
        <is>
          <t>gco_rate</t>
        </is>
      </c>
      <c r="F301" t="inlineStr">
        <is>
          <t>GCO per booked dollar</t>
        </is>
      </c>
      <c r="G301" t="n">
        <v>266</v>
      </c>
      <c r="H301" t="n">
        <v>8669542.540000001</v>
      </c>
      <c r="I301" t="b">
        <v>0</v>
      </c>
      <c r="J301" t="b">
        <v>0</v>
      </c>
      <c r="K301" t="n">
        <v>0.4544980328619329</v>
      </c>
      <c r="L301" t="n">
        <v>0.06272100062721001</v>
      </c>
      <c r="M301" t="n">
        <v>0.3795930421097626</v>
      </c>
      <c r="N301" t="n">
        <v>0.02874712528747125</v>
      </c>
      <c r="O301" t="n">
        <v>-200435.4654490425</v>
      </c>
      <c r="P301" t="n">
        <v>-272940.9333195353</v>
      </c>
      <c r="Q301">
        <f>'_live'!$C$22</f>
        <v/>
      </c>
      <c r="R301" t="inlineStr">
        <is>
          <t>shuffled: 246 of 10,000</t>
        </is>
      </c>
      <c r="S301" t="inlineStr">
        <is>
          <t>shuffled: 74 of 10,000</t>
        </is>
      </c>
      <c r="T301" t="n">
        <v>0.04238206038597308</v>
      </c>
      <c r="U301" t="n">
        <v>0.05074530072258406</v>
      </c>
      <c r="V301">
        <f>AND(judged_band,NOT($J301))</f>
        <v/>
      </c>
      <c r="W301">
        <f>IF($K301="","",IF($I301,"too few losses to test",IF(AND($K301&gt;better_at,$K301&lt;worse_at),"in line",IF($K301&gt;=worse_at,IF(AND(ISNUMBER($L301),$L301&lt;significance_bar),"worse","worse, not significant"),IF(AND(ISNUMBER($L301),$L301&lt;significance_bar),"better","better, not significant")))))</f>
        <v/>
      </c>
      <c r="X301">
        <f>IF($M301="","",IF($I301,"too few losses to test",IF(AND($M301&gt;better_at,$M301&lt;worse_at),"in line",IF($M301&gt;=worse_at,IF(AND(ISNUMBER($N301),$N301&lt;significance_bar),"worse","worse, not significant"),IF(AND(ISNUMBER($N301),$N301&lt;significance_bar),"better","better, not significant")))))</f>
        <v/>
      </c>
      <c r="Y301">
        <f>IF($V301,$X301,$W301)</f>
        <v/>
      </c>
      <c r="Z301">
        <f>IF($V301,IF($P301="","",$P301),IF($O301="","",$O301))</f>
        <v/>
      </c>
      <c r="AA301">
        <f>IF(OR($Q301="",$Z301=""),"",IF(AND($Z301&gt;0,$Z301&gt;=$Q301),"yes","below the line"))</f>
        <v/>
      </c>
      <c r="AB301">
        <f>IF($V301,IF($M301="","",$M301),IF($K301="","",$K301))</f>
        <v/>
      </c>
      <c r="AC301">
        <f>IF($V301,IF($N301="","",$N301),IF($L301="","",$L301))</f>
        <v/>
      </c>
      <c r="AD301">
        <f>$Y301</f>
        <v/>
      </c>
      <c r="AE301">
        <f>IF($V301,IF($S301="","",$S301),IF($R301="","",$R301))</f>
        <v/>
      </c>
      <c r="AF301">
        <f>IF($V301,IF($U301="","",$U301),IF($T301="","",$T301))</f>
        <v/>
      </c>
      <c r="AG301">
        <f>IF($V301,IF($O301="","",$O301),IF($P301="","",$P301))</f>
        <v/>
      </c>
      <c r="AH301" t="n">
        <v>0.01926256307406042</v>
      </c>
      <c r="AI301">
        <f>IF($Y301="worse","Yes",IF($Y301="worse, not significant","Not sure",IF(OR($Y301="too few losses to test",$Y301="too few loans to test"),"Too few losses",IF($Y301="","","No"))))</f>
        <v/>
      </c>
      <c r="AJ301">
        <f>IF($AA301="yes","Yes",IF($AA301="","","No"))</f>
        <v/>
      </c>
      <c r="AK301" t="n">
        <v>0.00356665090081255</v>
      </c>
      <c r="AL301" t="n">
        <v>0.003307127399869554</v>
      </c>
      <c r="AM301">
        <f>IF(AND(ISNUMBER($AC301),ISNUMBER(IF($V301,IF($AL301="","",$AL301),IF($AK301="","",$AK301)))),IF(AND(ABS($AC301-significance_bar)&lt;=2.0*IF($V301,IF($AL301="","",$AL301),IF($AK301="","",$AK301)),OR($Y301="worse",$Y301="better",$Y301="worse, not significant",$Y301="better, not significant")),IF(ROUND($AC301,3)=ROUND(significance_bar,3),TEXT($AC301,"0.0000"),TEXT($AC301,"0.000")),""),"")</f>
        <v/>
      </c>
      <c r="AN301">
        <f>IF(AND(ISNUMBER($AC301),ISNUMBER(IF($V301,IF($AL301="","",$AL301),IF($AK301="","",$AK301)))),IF(AND(ABS($AC301-significance_bar)&lt;=2.0*IF($V301,IF($AL301="","",$AL301),IF($AK301="","",$AK301)),OR($Y301="worse",$Y301="worse, not significant")),IF(ROUND($AC301,3)=ROUND(significance_bar,3),TEXT($AC301,"0.0000"),TEXT($AC301,"0.000")),""),"")</f>
        <v/>
      </c>
      <c r="AO301">
        <f>IF(OR($AI301="",$AN301=""),$AI301,$AI301&amp;" · borderline (p "&amp;$AN301&amp;")")</f>
        <v/>
      </c>
    </row>
    <row r="302">
      <c r="A302" t="inlineStr">
        <is>
          <t>three-way</t>
        </is>
      </c>
      <c r="B302" t="inlineStr">
        <is>
          <t>FICO x CHANNEL / REV_DEBT</t>
        </is>
      </c>
      <c r="C302" t="inlineStr">
        <is>
          <t>654 - 685</t>
        </is>
      </c>
      <c r="D302" t="inlineStr">
        <is>
          <t>Broker / REV_DEBT low half</t>
        </is>
      </c>
      <c r="E302" t="inlineStr">
        <is>
          <t>ranr_rate</t>
        </is>
      </c>
      <c r="F302" t="inlineStr">
        <is>
          <t>Profit after losses: RANR per booked dollar</t>
        </is>
      </c>
      <c r="G302" t="n">
        <v>266</v>
      </c>
      <c r="H302" t="n">
        <v>8669542.540000001</v>
      </c>
      <c r="I302" t="b">
        <v>0</v>
      </c>
      <c r="J302" t="b">
        <v>0</v>
      </c>
      <c r="K302" t="n">
        <v>0.05448924323680898</v>
      </c>
      <c r="L302" t="n">
        <v>0.0002466420024664201</v>
      </c>
      <c r="M302" t="n">
        <v>0.02131849075370787</v>
      </c>
      <c r="N302" t="n">
        <v>0.3519933720913623</v>
      </c>
      <c r="O302" t="n">
        <v>-472396.8122139229</v>
      </c>
      <c r="P302" t="n">
        <v>-184821.5624778671</v>
      </c>
      <c r="Q302">
        <f>'_live'!$C$23</f>
        <v/>
      </c>
      <c r="R302" t="inlineStr">
        <is>
          <t>shuffled: 0 of 10,000</t>
        </is>
      </c>
      <c r="S302" t="inlineStr">
        <is>
          <t>shuffled: 1,368 of 10,000</t>
        </is>
      </c>
      <c r="T302" t="n">
        <v>0.1261595398764924</v>
      </c>
      <c r="U302" t="n">
        <v>0.1593302923595935</v>
      </c>
      <c r="V302">
        <f>AND(judged_band,NOT($J302))</f>
        <v/>
      </c>
      <c r="W302">
        <f>IF($K302="","",IF(profit_kind="test",IF(OR(NOT(AND(ISNUMBER($L302),$L302&lt;significance_bar)),$K302=0),"in line",IF($K302&lt;0,"worse","better")),IF(OR($K302=0,IF(profit_kind="points",ABS($K302),ABS($K302*$H302))&lt;profit_line*(1-1E-9)),"in line",IF(AND(ISNUMBER($L302),$L302&lt;significance_bar),IF($K302&lt;0,"worse","better"),IF($K302&lt;0,"worse, not significant","better, not significant")))))</f>
        <v/>
      </c>
      <c r="X302">
        <f>IF($M302="","",IF(profit_kind="test",IF(OR(NOT(AND(ISNUMBER($N302),$N302&lt;significance_bar)),$M302=0),"in line",IF($M302&lt;0,"worse","better")),IF(OR($M302=0,IF(profit_kind="points",ABS($M302),ABS($M302*$H302))&lt;profit_line*(1-1E-9)),"in line",IF(AND(ISNUMBER($N302),$N302&lt;significance_bar),IF($M302&lt;0,"worse","better"),IF($M302&lt;0,"worse, not significant","better, not significant")))))</f>
        <v/>
      </c>
      <c r="Y302">
        <f>IF($V302,$X302,$W302)</f>
        <v/>
      </c>
      <c r="Z302">
        <f>IF($V302,IF($P302="","",$P302),IF($O302="","",$O302))</f>
        <v/>
      </c>
      <c r="AA302">
        <f>IF(OR($Q302="",$Z302=""),"",IF(AND($Z302&gt;0,$Z302&gt;=$Q302),"yes","below the line"))</f>
        <v/>
      </c>
      <c r="AB302">
        <f>IF($V302,IF($M302="","",$M302),IF($K302="","",$K302))</f>
        <v/>
      </c>
      <c r="AC302">
        <f>IF($V302,IF($N302="","",$N302),IF($L302="","",$L302))</f>
        <v/>
      </c>
      <c r="AD302">
        <f>IF($Y302="","",IF($Y302="in line",IF(profit_kind="test",IF(ROUND($AB302*100,2)=0,"0.00",TEXT($AB302*100,"+0.00;-0.00"))&amp;" points against "&amp;IF($V302,"its band","the book")&amp;", "&amp;IF($AC302="","not tested","not significant"),IF(profit_kind="points","within "&amp;TEXT(profit_line*100,"0.00")&amp;" points of "&amp;IF($V302,"its band","the book")&amp;" ("&amp;IF(ROUND($AB302*100,2)=0,"0.00",TEXT($AB302*100,"+0.00;-0.00"))&amp;")","within $"&amp;TEXT(profit_line,"#,##0")&amp;" of "&amp;IF($V302,"its band","the book")&amp;" ("&amp;IF(ROUND($AB302*100,2)=0,"0.00",TEXT($AB302*100,"+0.00;-0.00"))&amp;" points)")),IF(LEFT($Y302,5)="worse","short of ","ahead of ")&amp;IF($V302,"its band","the book")&amp;" by "&amp;TEXT(ABS($AB302)*100,"0.00")&amp;" points"&amp;IF($Z302="",""," ($"&amp;TEXT(ABS($Z302),"#,##0")&amp;")")&amp;IF(RIGHT($Y302,15)="not significant"," (not significant)","")))</f>
        <v/>
      </c>
      <c r="AE302">
        <f>IF($V302,IF($S302="","",$S302),IF($R302="","",$R302))</f>
        <v/>
      </c>
      <c r="AF302">
        <f>IF($V302,IF($U302="","",$U302),IF($T302="","",$T302))</f>
        <v/>
      </c>
      <c r="AG302">
        <f>IF($V302,IF($O302="","",$O302),IF($P302="","",$P302))</f>
        <v/>
      </c>
      <c r="AH302" t="n">
        <v>0.1806487831133013</v>
      </c>
      <c r="AI302">
        <f>IF($Y302="worse","Yes",IF($Y302="worse, not significant","Not sure",IF(OR($Y302="too few losses to test",$Y302="too few loans to test"),"Too few losses",IF($Y302="","","No"))))</f>
        <v/>
      </c>
      <c r="AJ302">
        <f>IF($AA302="yes","Yes",IF($AA302="","","No"))</f>
        <v/>
      </c>
      <c r="AK302" t="n">
        <v>0.0002466420024664201</v>
      </c>
      <c r="AL302" t="n">
        <v>0.00883870171435245</v>
      </c>
      <c r="AM302">
        <f>IF(AND(ISNUMBER($AC302),ISNUMBER(IF($V302,IF($AL302="","",$AL302),IF($AK302="","",$AK302)))),IF(AND(ABS($AC302-significance_bar)&lt;=2.0*IF($V302,IF($AL302="","",$AL302),IF($AK302="","",$AK302)),OR($Y302="worse",$Y302="better",$Y302="worse, not significant",$Y302="better, not significant",AND(profit_kind="test",$Y302="in line",ISNUMBER($AB302),$AB302&lt;&gt;0))),IF(ROUND($AC302,3)=ROUND(significance_bar,3),TEXT($AC302,"0.0000"),TEXT($AC302,"0.000")),""),"")</f>
        <v/>
      </c>
      <c r="AN302">
        <f>IF(AND(ISNUMBER($AC302),ISNUMBER(IF($V302,IF($AL302="","",$AL302),IF($AK302="","",$AK302)))),IF(AND(ABS($AC302-significance_bar)&lt;=2.0*IF($V302,IF($AL302="","",$AL302),IF($AK302="","",$AK302)),OR($Y302="worse",$Y302="worse, not significant",AND(profit_kind="test",$Y302="in line",ISNUMBER($AB302),$AB302&lt;0))),IF(ROUND($AC302,3)=ROUND(significance_bar,3),TEXT($AC302,"0.0000"),TEXT($AC302,"0.000")),""),"")</f>
        <v/>
      </c>
      <c r="AO302">
        <f>IF(OR($AI302="",$AN302=""),$AI302,$AI302&amp;" · borderline (p "&amp;$AN302&amp;")")</f>
        <v/>
      </c>
    </row>
    <row r="303">
      <c r="A303" t="inlineStr">
        <is>
          <t>three-way</t>
        </is>
      </c>
      <c r="B303" t="inlineStr">
        <is>
          <t>FICO x CHANNEL / REV_DEBT</t>
        </is>
      </c>
      <c r="C303" t="inlineStr">
        <is>
          <t>654 - 685</t>
        </is>
      </c>
      <c r="D303" t="inlineStr">
        <is>
          <t>Broker / REV_DEBT low half</t>
        </is>
      </c>
      <c r="E303" t="inlineStr">
        <is>
          <t>contribution_rate</t>
        </is>
      </c>
      <c r="F303" t="inlineStr">
        <is>
          <t>Contribution before losses per booked dollar</t>
        </is>
      </c>
      <c r="G303" t="n">
        <v>266</v>
      </c>
      <c r="H303" t="n">
        <v>8669542.540000001</v>
      </c>
      <c r="I303" t="b">
        <v>0</v>
      </c>
      <c r="J303" t="b">
        <v>0</v>
      </c>
      <c r="K303" t="n">
        <v>0.03137299589726159</v>
      </c>
      <c r="L303" t="n">
        <v>0.0003363300033633001</v>
      </c>
      <c r="M303" t="n">
        <v>-0.01016424689481588</v>
      </c>
      <c r="N303" t="n">
        <v>0.3310032633100327</v>
      </c>
      <c r="O303" t="n">
        <v>-271989.5225385549</v>
      </c>
      <c r="P303" t="n">
        <v>88119.37084166915</v>
      </c>
      <c r="Q303">
        <f>'_live'!$C$24</f>
        <v/>
      </c>
      <c r="R303" t="inlineStr">
        <is>
          <t>shuffled: 1 of 10,000</t>
        </is>
      </c>
      <c r="S303" t="inlineStr">
        <is>
          <t>shuffled: 2,022 of 10,000</t>
        </is>
      </c>
      <c r="T303" t="n">
        <v>0.1685383502901001</v>
      </c>
      <c r="U303" t="n">
        <v>0.2100755930821776</v>
      </c>
      <c r="V303">
        <f>AND(judged_band,NOT($J303))</f>
        <v/>
      </c>
      <c r="W303">
        <f>IF($K303="","",IF(profit_kind="test",IF(OR(NOT(AND(ISNUMBER($L303),$L303&lt;significance_bar)),$K303=0),"in line",IF($K303&lt;0,"worse","better")),IF(OR($K303=0,IF(profit_kind="points",ABS($K303),ABS($K303*$H303))&lt;profit_line*(1-1E-9)),"in line",IF(AND(ISNUMBER($L303),$L303&lt;significance_bar),IF($K303&lt;0,"worse","better"),IF($K303&lt;0,"worse, not significant","better, not significant")))))</f>
        <v/>
      </c>
      <c r="X303">
        <f>IF($M303="","",IF(profit_kind="test",IF(OR(NOT(AND(ISNUMBER($N303),$N303&lt;significance_bar)),$M303=0),"in line",IF($M303&lt;0,"worse","better")),IF(OR($M303=0,IF(profit_kind="points",ABS($M303),ABS($M303*$H303))&lt;profit_line*(1-1E-9)),"in line",IF(AND(ISNUMBER($N303),$N303&lt;significance_bar),IF($M303&lt;0,"worse","better"),IF($M303&lt;0,"worse, not significant","better, not significant")))))</f>
        <v/>
      </c>
      <c r="Y303">
        <f>IF($V303,$X303,$W303)</f>
        <v/>
      </c>
      <c r="Z303">
        <f>IF($V303,IF($P303="","",$P303),IF($O303="","",$O303))</f>
        <v/>
      </c>
      <c r="AA303">
        <f>IF(OR($Q303="",$Z303=""),"",IF(AND($Z303&gt;0,$Z303&gt;=$Q303),"yes","below the line"))</f>
        <v/>
      </c>
      <c r="AB303">
        <f>IF($V303,IF($M303="","",$M303),IF($K303="","",$K303))</f>
        <v/>
      </c>
      <c r="AC303">
        <f>IF($V303,IF($N303="","",$N303),IF($L303="","",$L303))</f>
        <v/>
      </c>
      <c r="AD303">
        <f>IF($Y303="","",IF($Y303="in line",IF(profit_kind="test",IF(ROUND($AB303*100,2)=0,"0.00",TEXT($AB303*100,"+0.00;-0.00"))&amp;" points against "&amp;IF($V303,"its band","the book")&amp;", "&amp;IF($AC303="","not tested","not significant"),IF(profit_kind="points","within "&amp;TEXT(profit_line*100,"0.00")&amp;" points of "&amp;IF($V303,"its band","the book")&amp;" ("&amp;IF(ROUND($AB303*100,2)=0,"0.00",TEXT($AB303*100,"+0.00;-0.00"))&amp;")","within $"&amp;TEXT(profit_line,"#,##0")&amp;" of "&amp;IF($V303,"its band","the book")&amp;" ("&amp;IF(ROUND($AB303*100,2)=0,"0.00",TEXT($AB303*100,"+0.00;-0.00"))&amp;" points)")),IF(LEFT($Y303,5)="worse","short of ","ahead of ")&amp;IF($V303,"its band","the book")&amp;" by "&amp;TEXT(ABS($AB303)*100,"0.00")&amp;" points"&amp;IF($Z303="",""," ($"&amp;TEXT(ABS($Z303),"#,##0")&amp;")")&amp;IF(RIGHT($Y303,15)="not significant"," (not significant)","")))</f>
        <v/>
      </c>
      <c r="AE303">
        <f>IF($V303,IF($S303="","",$S303),IF($R303="","",$R303))</f>
        <v/>
      </c>
      <c r="AF303">
        <f>IF($V303,IF($U303="","",$U303),IF($T303="","",$T303))</f>
        <v/>
      </c>
      <c r="AG303">
        <f>IF($V303,IF($O303="","",$O303),IF($P303="","",$P303))</f>
        <v/>
      </c>
      <c r="AH303" t="n">
        <v>0.1999113461873617</v>
      </c>
      <c r="AI303">
        <f>IF($Y303="worse","Yes",IF($Y303="worse, not significant","Not sure",IF(OR($Y303="too few losses to test",$Y303="too few loans to test"),"Too few losses",IF($Y303="","","No"))))</f>
        <v/>
      </c>
      <c r="AJ303">
        <f>IF($AA303="yes","Yes",IF($AA303="","","No"))</f>
        <v/>
      </c>
      <c r="AK303" t="n">
        <v>0.0002378093347360877</v>
      </c>
      <c r="AL303" t="n">
        <v>0.006573268161853313</v>
      </c>
      <c r="AM303">
        <f>IF(AND(ISNUMBER($AC303),ISNUMBER(IF($V303,IF($AL303="","",$AL303),IF($AK303="","",$AK303)))),IF(AND(ABS($AC303-significance_bar)&lt;=2.0*IF($V303,IF($AL303="","",$AL303),IF($AK303="","",$AK303)),OR($Y303="worse",$Y303="better",$Y303="worse, not significant",$Y303="better, not significant",AND(profit_kind="test",$Y303="in line",ISNUMBER($AB303),$AB303&lt;&gt;0))),IF(ROUND($AC303,3)=ROUND(significance_bar,3),TEXT($AC303,"0.0000"),TEXT($AC303,"0.000")),""),"")</f>
        <v/>
      </c>
      <c r="AN303">
        <f>IF(AND(ISNUMBER($AC303),ISNUMBER(IF($V303,IF($AL303="","",$AL303),IF($AK303="","",$AK303)))),IF(AND(ABS($AC303-significance_bar)&lt;=2.0*IF($V303,IF($AL303="","",$AL303),IF($AK303="","",$AK303)),OR($Y303="worse",$Y303="worse, not significant",AND(profit_kind="test",$Y303="in line",ISNUMBER($AB303),$AB303&lt;0))),IF(ROUND($AC303,3)=ROUND(significance_bar,3),TEXT($AC303,"0.0000"),TEXT($AC303,"0.000")),""),"")</f>
        <v/>
      </c>
      <c r="AO303">
        <f>IF(OR($AI303="",$AN303=""),$AI303,$AI303&amp;" · borderline (p "&amp;$AN303&amp;")")</f>
        <v/>
      </c>
    </row>
    <row r="304">
      <c r="A304" t="inlineStr">
        <is>
          <t>three-way</t>
        </is>
      </c>
      <c r="B304" t="inlineStr">
        <is>
          <t>FICO x CHANNEL / REV_DEBT</t>
        </is>
      </c>
      <c r="C304" t="inlineStr">
        <is>
          <t>712 - 745</t>
        </is>
      </c>
      <c r="D304" t="inlineStr">
        <is>
          <t>Broker / REV_DEBT high half</t>
        </is>
      </c>
      <c r="E304" t="inlineStr">
        <is>
          <t>outcome_loans</t>
        </is>
      </c>
      <c r="F304" t="inlineStr">
        <is>
          <t>Outcome, share of loans</t>
        </is>
      </c>
      <c r="G304" t="n">
        <v>254</v>
      </c>
      <c r="H304" t="n">
        <v>254</v>
      </c>
      <c r="I304" t="b">
        <v>1</v>
      </c>
      <c r="J304" t="b">
        <v>0</v>
      </c>
      <c r="K304" t="n">
        <v>0.348766146878699</v>
      </c>
      <c r="M304" t="n">
        <v>0.4674704724409449</v>
      </c>
      <c r="O304" t="n">
        <v>-13.07075532601678</v>
      </c>
      <c r="P304" t="n">
        <v>-7.974207811348563</v>
      </c>
      <c r="Q304">
        <f>'_live'!$C$20</f>
        <v/>
      </c>
      <c r="T304" t="n">
        <v>0.07901872175597159</v>
      </c>
      <c r="U304" t="n">
        <v>0.05895357406042741</v>
      </c>
      <c r="V304">
        <f>AND(judged_band,NOT($J304))</f>
        <v/>
      </c>
      <c r="W304">
        <f>IF($K304="","",IF($I304,"too few losses to test",IF(AND($K304&gt;better_at,$K304&lt;worse_at),"in line",IF($K304&gt;=worse_at,IF(AND(ISNUMBER($L304),$L304&lt;significance_bar),"worse","worse, not significant"),IF(AND(ISNUMBER($L304),$L304&lt;significance_bar),"better","better, not significant")))))</f>
        <v/>
      </c>
      <c r="X304">
        <f>IF($M304="","",IF($I304,"too few losses to test",IF(AND($M304&gt;better_at,$M304&lt;worse_at),"in line",IF($M304&gt;=worse_at,IF(AND(ISNUMBER($N304),$N304&lt;significance_bar),"worse","worse, not significant"),IF(AND(ISNUMBER($N304),$N304&lt;significance_bar),"better","better, not significant")))))</f>
        <v/>
      </c>
      <c r="Y304">
        <f>IF($V304,$X304,$W304)</f>
        <v/>
      </c>
      <c r="Z304">
        <f>IF($V304,IF($P304="","",$P304),IF($O304="","",$O304))</f>
        <v/>
      </c>
      <c r="AA304">
        <f>IF(OR($Q304="",$Z304=""),"",IF(AND($Z304&gt;0,$Z304&gt;=$Q304),"yes","below the line"))</f>
        <v/>
      </c>
      <c r="AB304">
        <f>IF($V304,IF($M304="","",$M304),IF($K304="","",$K304))</f>
        <v/>
      </c>
      <c r="AC304">
        <f>IF($V304,IF($N304="","",$N304),IF($L304="","",$L304))</f>
        <v/>
      </c>
      <c r="AD304">
        <f>$Y304</f>
        <v/>
      </c>
      <c r="AE304">
        <f>IF($V304,IF($S304="","",$S304),IF($R304="","",$R304))</f>
        <v/>
      </c>
      <c r="AF304">
        <f>IF($V304,IF($U304="","",$U304),IF($T304="","",$T304))</f>
        <v/>
      </c>
      <c r="AG304">
        <f>IF($V304,IF($O304="","",$O304),IF($P304="","",$P304))</f>
        <v/>
      </c>
      <c r="AH304" t="n">
        <v>0.02755905511811024</v>
      </c>
      <c r="AI304">
        <f>IF($Y304="worse","Yes",IF($Y304="worse, not significant","Not sure",IF(OR($Y304="too few losses to test",$Y304="too few loans to test"),"Too few losses",IF($Y304="","","No"))))</f>
        <v/>
      </c>
      <c r="AJ304">
        <f>IF($AA304="yes","Yes",IF($AA304="","","No"))</f>
        <v/>
      </c>
      <c r="AM304">
        <f>IF(AND(ISNUMBER($AC304),ISNUMBER(IF($V304,IF($AL304="","",$AL304),IF($AK304="","",$AK304)))),IF(AND(ABS($AC304-significance_bar)&lt;=2.0*IF($V304,IF($AL304="","",$AL304),IF($AK304="","",$AK304)),OR($Y304="worse",$Y304="better",$Y304="worse, not significant",$Y304="better, not significant")),IF(ROUND($AC304,3)=ROUND(significance_bar,3),TEXT($AC304,"0.0000"),TEXT($AC304,"0.000")),""),"")</f>
        <v/>
      </c>
      <c r="AN304">
        <f>IF(AND(ISNUMBER($AC304),ISNUMBER(IF($V304,IF($AL304="","",$AL304),IF($AK304="","",$AK304)))),IF(AND(ABS($AC304-significance_bar)&lt;=2.0*IF($V304,IF($AL304="","",$AL304),IF($AK304="","",$AK304)),OR($Y304="worse",$Y304="worse, not significant")),IF(ROUND($AC304,3)=ROUND(significance_bar,3),TEXT($AC304,"0.0000"),TEXT($AC304,"0.000")),""),"")</f>
        <v/>
      </c>
      <c r="AO304">
        <f>IF(OR($AI304="",$AN304=""),$AI304,$AI304&amp;" · borderline (p "&amp;$AN304&amp;")")</f>
        <v/>
      </c>
    </row>
    <row r="305">
      <c r="A305" t="inlineStr">
        <is>
          <t>three-way</t>
        </is>
      </c>
      <c r="B305" t="inlineStr">
        <is>
          <t>FICO x CHANNEL / REV_DEBT</t>
        </is>
      </c>
      <c r="C305" t="inlineStr">
        <is>
          <t>712 - 745</t>
        </is>
      </c>
      <c r="D305" t="inlineStr">
        <is>
          <t>Broker / REV_DEBT high half</t>
        </is>
      </c>
      <c r="E305" t="inlineStr">
        <is>
          <t>outcome_booked</t>
        </is>
      </c>
      <c r="F305" t="inlineStr">
        <is>
          <t>Outcome, share of booked dollars</t>
        </is>
      </c>
      <c r="G305" t="n">
        <v>254</v>
      </c>
      <c r="H305" t="n">
        <v>8019071.95</v>
      </c>
      <c r="I305" t="b">
        <v>1</v>
      </c>
      <c r="J305" t="b">
        <v>0</v>
      </c>
      <c r="K305" t="n">
        <v>0.4920246886140337</v>
      </c>
      <c r="M305" t="n">
        <v>0.6483080108382452</v>
      </c>
      <c r="O305" t="n">
        <v>-309703.9239250801</v>
      </c>
      <c r="P305" t="n">
        <v>-162731.6717088593</v>
      </c>
      <c r="Q305">
        <f>'_live'!$C$21</f>
        <v/>
      </c>
      <c r="T305" t="n">
        <v>0.07602912503174136</v>
      </c>
      <c r="U305" t="n">
        <v>0.05770128695613703</v>
      </c>
      <c r="V305">
        <f>AND(judged_band,NOT($J305))</f>
        <v/>
      </c>
      <c r="W305">
        <f>IF($K305="","",IF($I305,"too few losses to test",IF(AND($K305&gt;better_at,$K305&lt;worse_at),"in line",IF($K305&gt;=worse_at,IF(AND(ISNUMBER($L305),$L305&lt;significance_bar),"worse","worse, not significant"),IF(AND(ISNUMBER($L305),$L305&lt;significance_bar),"better","better, not significant")))))</f>
        <v/>
      </c>
      <c r="X305">
        <f>IF($M305="","",IF($I305,"too few losses to test",IF(AND($M305&gt;better_at,$M305&lt;worse_at),"in line",IF($M305&gt;=worse_at,IF(AND(ISNUMBER($N305),$N305&lt;significance_bar),"worse","worse, not significant"),IF(AND(ISNUMBER($N305),$N305&lt;significance_bar),"better","better, not significant")))))</f>
        <v/>
      </c>
      <c r="Y305">
        <f>IF($V305,$X305,$W305)</f>
        <v/>
      </c>
      <c r="Z305">
        <f>IF($V305,IF($P305="","",$P305),IF($O305="","",$O305))</f>
        <v/>
      </c>
      <c r="AA305">
        <f>IF(OR($Q305="",$Z305=""),"",IF(AND($Z305&gt;0,$Z305&gt;=$Q305),"yes","below the line"))</f>
        <v/>
      </c>
      <c r="AB305">
        <f>IF($V305,IF($M305="","",$M305),IF($K305="","",$K305))</f>
        <v/>
      </c>
      <c r="AC305">
        <f>IF($V305,IF($N305="","",$N305),IF($L305="","",$L305))</f>
        <v/>
      </c>
      <c r="AD305">
        <f>$Y305</f>
        <v/>
      </c>
      <c r="AE305">
        <f>IF($V305,IF($S305="","",$S305),IF($R305="","",$R305))</f>
        <v/>
      </c>
      <c r="AF305">
        <f>IF($V305,IF($U305="","",$U305),IF($T305="","",$T305))</f>
        <v/>
      </c>
      <c r="AG305">
        <f>IF($V305,IF($O305="","",$O305),IF($P305="","",$P305))</f>
        <v/>
      </c>
      <c r="AH305" t="n">
        <v>0.03740820656933998</v>
      </c>
      <c r="AI305">
        <f>IF($Y305="worse","Yes",IF($Y305="worse, not significant","Not sure",IF(OR($Y305="too few losses to test",$Y305="too few loans to test"),"Too few losses",IF($Y305="","","No"))))</f>
        <v/>
      </c>
      <c r="AJ305">
        <f>IF($AA305="yes","Yes",IF($AA305="","","No"))</f>
        <v/>
      </c>
      <c r="AM305">
        <f>IF(AND(ISNUMBER($AC305),ISNUMBER(IF($V305,IF($AL305="","",$AL305),IF($AK305="","",$AK305)))),IF(AND(ABS($AC305-significance_bar)&lt;=2.0*IF($V305,IF($AL305="","",$AL305),IF($AK305="","",$AK305)),OR($Y305="worse",$Y305="better",$Y305="worse, not significant",$Y305="better, not significant")),IF(ROUND($AC305,3)=ROUND(significance_bar,3),TEXT($AC305,"0.0000"),TEXT($AC305,"0.000")),""),"")</f>
        <v/>
      </c>
      <c r="AN305">
        <f>IF(AND(ISNUMBER($AC305),ISNUMBER(IF($V305,IF($AL305="","",$AL305),IF($AK305="","",$AK305)))),IF(AND(ABS($AC305-significance_bar)&lt;=2.0*IF($V305,IF($AL305="","",$AL305),IF($AK305="","",$AK305)),OR($Y305="worse",$Y305="worse, not significant")),IF(ROUND($AC305,3)=ROUND(significance_bar,3),TEXT($AC305,"0.0000"),TEXT($AC305,"0.000")),""),"")</f>
        <v/>
      </c>
      <c r="AO305">
        <f>IF(OR($AI305="",$AN305=""),$AI305,$AI305&amp;" · borderline (p "&amp;$AN305&amp;")")</f>
        <v/>
      </c>
    </row>
    <row r="306">
      <c r="A306" t="inlineStr">
        <is>
          <t>three-way</t>
        </is>
      </c>
      <c r="B306" t="inlineStr">
        <is>
          <t>FICO x CHANNEL / REV_DEBT</t>
        </is>
      </c>
      <c r="C306" t="inlineStr">
        <is>
          <t>712 - 745</t>
        </is>
      </c>
      <c r="D306" t="inlineStr">
        <is>
          <t>Broker / REV_DEBT high half</t>
        </is>
      </c>
      <c r="E306" t="inlineStr">
        <is>
          <t>gco_rate</t>
        </is>
      </c>
      <c r="F306" t="inlineStr">
        <is>
          <t>GCO per booked dollar</t>
        </is>
      </c>
      <c r="G306" t="n">
        <v>254</v>
      </c>
      <c r="H306" t="n">
        <v>8019071.95</v>
      </c>
      <c r="I306" t="b">
        <v>1</v>
      </c>
      <c r="J306" t="b">
        <v>0</v>
      </c>
      <c r="K306" t="n">
        <v>0.4963658952653786</v>
      </c>
      <c r="M306" t="n">
        <v>0.6557581690678148</v>
      </c>
      <c r="O306" t="n">
        <v>-170702.1122395758</v>
      </c>
      <c r="P306" t="n">
        <v>-88317.26894783822</v>
      </c>
      <c r="Q306">
        <f>'_live'!$C$22</f>
        <v/>
      </c>
      <c r="T306" t="n">
        <v>0.04226682767693284</v>
      </c>
      <c r="U306" t="n">
        <v>0.03199321449508109</v>
      </c>
      <c r="V306">
        <f>AND(judged_band,NOT($J306))</f>
        <v/>
      </c>
      <c r="W306">
        <f>IF($K306="","",IF($I306,"too few losses to test",IF(AND($K306&gt;better_at,$K306&lt;worse_at),"in line",IF($K306&gt;=worse_at,IF(AND(ISNUMBER($L306),$L306&lt;significance_bar),"worse","worse, not significant"),IF(AND(ISNUMBER($L306),$L306&lt;significance_bar),"better","better, not significant")))))</f>
        <v/>
      </c>
      <c r="X306">
        <f>IF($M306="","",IF($I306,"too few losses to test",IF(AND($M306&gt;better_at,$M306&lt;worse_at),"in line",IF($M306&gt;=worse_at,IF(AND(ISNUMBER($N306),$N306&lt;significance_bar),"worse","worse, not significant"),IF(AND(ISNUMBER($N306),$N306&lt;significance_bar),"better","better, not significant")))))</f>
        <v/>
      </c>
      <c r="Y306">
        <f>IF($V306,$X306,$W306)</f>
        <v/>
      </c>
      <c r="Z306">
        <f>IF($V306,IF($P306="","",$P306),IF($O306="","",$O306))</f>
        <v/>
      </c>
      <c r="AA306">
        <f>IF(OR($Q306="",$Z306=""),"",IF(AND($Z306&gt;0,$Z306&gt;=$Q306),"yes","below the line"))</f>
        <v/>
      </c>
      <c r="AB306">
        <f>IF($V306,IF($M306="","",$M306),IF($K306="","",$K306))</f>
        <v/>
      </c>
      <c r="AC306">
        <f>IF($V306,IF($N306="","",$N306),IF($L306="","",$L306))</f>
        <v/>
      </c>
      <c r="AD306">
        <f>$Y306</f>
        <v/>
      </c>
      <c r="AE306">
        <f>IF($V306,IF($S306="","",$S306),IF($R306="","",$R306))</f>
        <v/>
      </c>
      <c r="AF306">
        <f>IF($V306,IF($U306="","",$U306),IF($T306="","",$T306))</f>
        <v/>
      </c>
      <c r="AG306">
        <f>IF($V306,IF($O306="","",$O306),IF($P306="","",$P306))</f>
        <v/>
      </c>
      <c r="AH306" t="n">
        <v>0.02097981175988825</v>
      </c>
      <c r="AI306">
        <f>IF($Y306="worse","Yes",IF($Y306="worse, not significant","Not sure",IF(OR($Y306="too few losses to test",$Y306="too few loans to test"),"Too few losses",IF($Y306="","","No"))))</f>
        <v/>
      </c>
      <c r="AJ306">
        <f>IF($AA306="yes","Yes",IF($AA306="","","No"))</f>
        <v/>
      </c>
      <c r="AM306">
        <f>IF(AND(ISNUMBER($AC306),ISNUMBER(IF($V306,IF($AL306="","",$AL306),IF($AK306="","",$AK306)))),IF(AND(ABS($AC306-significance_bar)&lt;=2.0*IF($V306,IF($AL306="","",$AL306),IF($AK306="","",$AK306)),OR($Y306="worse",$Y306="better",$Y306="worse, not significant",$Y306="better, not significant")),IF(ROUND($AC306,3)=ROUND(significance_bar,3),TEXT($AC306,"0.0000"),TEXT($AC306,"0.000")),""),"")</f>
        <v/>
      </c>
      <c r="AN306">
        <f>IF(AND(ISNUMBER($AC306),ISNUMBER(IF($V306,IF($AL306="","",$AL306),IF($AK306="","",$AK306)))),IF(AND(ABS($AC306-significance_bar)&lt;=2.0*IF($V306,IF($AL306="","",$AL306),IF($AK306="","",$AK306)),OR($Y306="worse",$Y306="worse, not significant")),IF(ROUND($AC306,3)=ROUND(significance_bar,3),TEXT($AC306,"0.0000"),TEXT($AC306,"0.000")),""),"")</f>
        <v/>
      </c>
      <c r="AO306">
        <f>IF(OR($AI306="",$AN306=""),$AI306,$AI306&amp;" · borderline (p "&amp;$AN306&amp;")")</f>
        <v/>
      </c>
    </row>
    <row r="307">
      <c r="A307" t="inlineStr">
        <is>
          <t>three-way</t>
        </is>
      </c>
      <c r="B307" t="inlineStr">
        <is>
          <t>FICO x CHANNEL / REV_DEBT</t>
        </is>
      </c>
      <c r="C307" t="inlineStr">
        <is>
          <t>712 - 745</t>
        </is>
      </c>
      <c r="D307" t="inlineStr">
        <is>
          <t>Broker / REV_DEBT high half</t>
        </is>
      </c>
      <c r="E307" t="inlineStr">
        <is>
          <t>ranr_rate</t>
        </is>
      </c>
      <c r="F307" t="inlineStr">
        <is>
          <t>Profit after losses: RANR per booked dollar</t>
        </is>
      </c>
      <c r="G307" t="n">
        <v>254</v>
      </c>
      <c r="H307" t="n">
        <v>8019071.95</v>
      </c>
      <c r="I307" t="b">
        <v>0</v>
      </c>
      <c r="J307" t="b">
        <v>0</v>
      </c>
      <c r="K307" t="n">
        <v>-0.03288484848296062</v>
      </c>
      <c r="L307" t="n">
        <v>0.02423257674232577</v>
      </c>
      <c r="M307" t="n">
        <v>0.0001871674569495496</v>
      </c>
      <c r="N307" t="n">
        <v>0.9968003199680032</v>
      </c>
      <c r="O307" t="n">
        <v>263705.9660497096</v>
      </c>
      <c r="P307" t="n">
        <v>-1500.909303977038</v>
      </c>
      <c r="Q307">
        <f>'_live'!$C$23</f>
        <v/>
      </c>
      <c r="R307" t="inlineStr">
        <is>
          <t>shuffled: 130 of 10,000</t>
        </is>
      </c>
      <c r="S307" t="inlineStr">
        <is>
          <t>shuffled: 9,848 of 10,000</t>
        </is>
      </c>
      <c r="T307" t="n">
        <v>0.1290118947055599</v>
      </c>
      <c r="U307" t="n">
        <v>0.09593987876564976</v>
      </c>
      <c r="V307">
        <f>AND(judged_band,NOT($J307))</f>
        <v/>
      </c>
      <c r="W307">
        <f>IF($K307="","",IF(profit_kind="test",IF(OR(NOT(AND(ISNUMBER($L307),$L307&lt;significance_bar)),$K307=0),"in line",IF($K307&lt;0,"worse","better")),IF(OR($K307=0,IF(profit_kind="points",ABS($K307),ABS($K307*$H307))&lt;profit_line*(1-1E-9)),"in line",IF(AND(ISNUMBER($L307),$L307&lt;significance_bar),IF($K307&lt;0,"worse","better"),IF($K307&lt;0,"worse, not significant","better, not significant")))))</f>
        <v/>
      </c>
      <c r="X307">
        <f>IF($M307="","",IF(profit_kind="test",IF(OR(NOT(AND(ISNUMBER($N307),$N307&lt;significance_bar)),$M307=0),"in line",IF($M307&lt;0,"worse","better")),IF(OR($M307=0,IF(profit_kind="points",ABS($M307),ABS($M307*$H307))&lt;profit_line*(1-1E-9)),"in line",IF(AND(ISNUMBER($N307),$N307&lt;significance_bar),IF($M307&lt;0,"worse","better"),IF($M307&lt;0,"worse, not significant","better, not significant")))))</f>
        <v/>
      </c>
      <c r="Y307">
        <f>IF($V307,$X307,$W307)</f>
        <v/>
      </c>
      <c r="Z307">
        <f>IF($V307,IF($P307="","",$P307),IF($O307="","",$O307))</f>
        <v/>
      </c>
      <c r="AA307">
        <f>IF(OR($Q307="",$Z307=""),"",IF(AND($Z307&gt;0,$Z307&gt;=$Q307),"yes","below the line"))</f>
        <v/>
      </c>
      <c r="AB307">
        <f>IF($V307,IF($M307="","",$M307),IF($K307="","",$K307))</f>
        <v/>
      </c>
      <c r="AC307">
        <f>IF($V307,IF($N307="","",$N307),IF($L307="","",$L307))</f>
        <v/>
      </c>
      <c r="AD307">
        <f>IF($Y307="","",IF($Y307="in line",IF(profit_kind="test",IF(ROUND($AB307*100,2)=0,"0.00",TEXT($AB307*100,"+0.00;-0.00"))&amp;" points against "&amp;IF($V307,"its band","the book")&amp;", "&amp;IF($AC307="","not tested","not significant"),IF(profit_kind="points","within "&amp;TEXT(profit_line*100,"0.00")&amp;" points of "&amp;IF($V307,"its band","the book")&amp;" ("&amp;IF(ROUND($AB307*100,2)=0,"0.00",TEXT($AB307*100,"+0.00;-0.00"))&amp;")","within $"&amp;TEXT(profit_line,"#,##0")&amp;" of "&amp;IF($V307,"its band","the book")&amp;" ("&amp;IF(ROUND($AB307*100,2)=0,"0.00",TEXT($AB307*100,"+0.00;-0.00"))&amp;" points)")),IF(LEFT($Y307,5)="worse","short of ","ahead of ")&amp;IF($V307,"its band","the book")&amp;" by "&amp;TEXT(ABS($AB307)*100,"0.00")&amp;" points"&amp;IF($Z307="",""," ($"&amp;TEXT(ABS($Z307),"#,##0")&amp;")")&amp;IF(RIGHT($Y307,15)="not significant"," (not significant)","")))</f>
        <v/>
      </c>
      <c r="AE307">
        <f>IF($V307,IF($S307="","",$S307),IF($R307="","",$R307))</f>
        <v/>
      </c>
      <c r="AF307">
        <f>IF($V307,IF($U307="","",$U307),IF($T307="","",$T307))</f>
        <v/>
      </c>
      <c r="AG307">
        <f>IF($V307,IF($O307="","",$O307),IF($P307="","",$P307))</f>
        <v/>
      </c>
      <c r="AH307" t="n">
        <v>0.09612704622259931</v>
      </c>
      <c r="AI307">
        <f>IF($Y307="worse","Yes",IF($Y307="worse, not significant","Not sure",IF(OR($Y307="too few losses to test",$Y307="too few loans to test"),"Too few losses",IF($Y307="","","No"))))</f>
        <v/>
      </c>
      <c r="AJ307">
        <f>IF($AA307="yes","Yes",IF($AA307="","","No"))</f>
        <v/>
      </c>
      <c r="AK307" t="n">
        <v>0.002103403175754234</v>
      </c>
      <c r="AL307" t="n">
        <v>0.0005647514568099508</v>
      </c>
      <c r="AM307">
        <f>IF(AND(ISNUMBER($AC307),ISNUMBER(IF($V307,IF($AL307="","",$AL307),IF($AK307="","",$AK307)))),IF(AND(ABS($AC307-significance_bar)&lt;=2.0*IF($V307,IF($AL307="","",$AL307),IF($AK307="","",$AK307)),OR($Y307="worse",$Y307="better",$Y307="worse, not significant",$Y307="better, not significant",AND(profit_kind="test",$Y307="in line",ISNUMBER($AB307),$AB307&lt;&gt;0))),IF(ROUND($AC307,3)=ROUND(significance_bar,3),TEXT($AC307,"0.0000"),TEXT($AC307,"0.000")),""),"")</f>
        <v/>
      </c>
      <c r="AN307">
        <f>IF(AND(ISNUMBER($AC307),ISNUMBER(IF($V307,IF($AL307="","",$AL307),IF($AK307="","",$AK307)))),IF(AND(ABS($AC307-significance_bar)&lt;=2.0*IF($V307,IF($AL307="","",$AL307),IF($AK307="","",$AK307)),OR($Y307="worse",$Y307="worse, not significant",AND(profit_kind="test",$Y307="in line",ISNUMBER($AB307),$AB307&lt;0))),IF(ROUND($AC307,3)=ROUND(significance_bar,3),TEXT($AC307,"0.0000"),TEXT($AC307,"0.000")),""),"")</f>
        <v/>
      </c>
      <c r="AO307">
        <f>IF(OR($AI307="",$AN307=""),$AI307,$AI307&amp;" · borderline (p "&amp;$AN307&amp;")")</f>
        <v/>
      </c>
    </row>
    <row r="308">
      <c r="A308" t="inlineStr">
        <is>
          <t>three-way</t>
        </is>
      </c>
      <c r="B308" t="inlineStr">
        <is>
          <t>FICO x CHANNEL / REV_DEBT</t>
        </is>
      </c>
      <c r="C308" t="inlineStr">
        <is>
          <t>712 - 745</t>
        </is>
      </c>
      <c r="D308" t="inlineStr">
        <is>
          <t>Broker / REV_DEBT high half</t>
        </is>
      </c>
      <c r="E308" t="inlineStr">
        <is>
          <t>contribution_rate</t>
        </is>
      </c>
      <c r="F308" t="inlineStr">
        <is>
          <t>Contribution before losses per booked dollar</t>
        </is>
      </c>
      <c r="G308" t="n">
        <v>254</v>
      </c>
      <c r="H308" t="n">
        <v>8019071.95</v>
      </c>
      <c r="I308" t="b">
        <v>0</v>
      </c>
      <c r="J308" t="b">
        <v>0</v>
      </c>
      <c r="K308" t="n">
        <v>-0.05416907564211182</v>
      </c>
      <c r="L308" t="n">
        <v>0.0001761728589045857</v>
      </c>
      <c r="M308" t="n">
        <v>-0.01077955730837299</v>
      </c>
      <c r="N308" t="n">
        <v>0.10057817747637</v>
      </c>
      <c r="O308" t="n">
        <v>434385.7150390871</v>
      </c>
      <c r="P308" t="n">
        <v>86442.04564499133</v>
      </c>
      <c r="Q308">
        <f>'_live'!$C$24</f>
        <v/>
      </c>
      <c r="R308" t="inlineStr">
        <is>
          <t>shuffled: 0 of 10,000</t>
        </is>
      </c>
      <c r="S308" t="inlineStr">
        <is>
          <t>shuffled: 474 of 10,000</t>
        </is>
      </c>
      <c r="T308" t="n">
        <v>0.1712759336245994</v>
      </c>
      <c r="U308" t="n">
        <v>0.1278864152908605</v>
      </c>
      <c r="V308">
        <f>AND(judged_band,NOT($J308))</f>
        <v/>
      </c>
      <c r="W308">
        <f>IF($K308="","",IF(profit_kind="test",IF(OR(NOT(AND(ISNUMBER($L308),$L308&lt;significance_bar)),$K308=0),"in line",IF($K308&lt;0,"worse","better")),IF(OR($K308=0,IF(profit_kind="points",ABS($K308),ABS($K308*$H308))&lt;profit_line*(1-1E-9)),"in line",IF(AND(ISNUMBER($L308),$L308&lt;significance_bar),IF($K308&lt;0,"worse","better"),IF($K308&lt;0,"worse, not significant","better, not significant")))))</f>
        <v/>
      </c>
      <c r="X308">
        <f>IF($M308="","",IF(profit_kind="test",IF(OR(NOT(AND(ISNUMBER($N308),$N308&lt;significance_bar)),$M308=0),"in line",IF($M308&lt;0,"worse","better")),IF(OR($M308=0,IF(profit_kind="points",ABS($M308),ABS($M308*$H308))&lt;profit_line*(1-1E-9)),"in line",IF(AND(ISNUMBER($N308),$N308&lt;significance_bar),IF($M308&lt;0,"worse","better"),IF($M308&lt;0,"worse, not significant","better, not significant")))))</f>
        <v/>
      </c>
      <c r="Y308">
        <f>IF($V308,$X308,$W308)</f>
        <v/>
      </c>
      <c r="Z308">
        <f>IF($V308,IF($P308="","",$P308),IF($O308="","",$O308))</f>
        <v/>
      </c>
      <c r="AA308">
        <f>IF(OR($Q308="",$Z308=""),"",IF(AND($Z308&gt;0,$Z308&gt;=$Q308),"yes","below the line"))</f>
        <v/>
      </c>
      <c r="AB308">
        <f>IF($V308,IF($M308="","",$M308),IF($K308="","",$K308))</f>
        <v/>
      </c>
      <c r="AC308">
        <f>IF($V308,IF($N308="","",$N308),IF($L308="","",$L308))</f>
        <v/>
      </c>
      <c r="AD308">
        <f>IF($Y308="","",IF($Y308="in line",IF(profit_kind="test",IF(ROUND($AB308*100,2)=0,"0.00",TEXT($AB308*100,"+0.00;-0.00"))&amp;" points against "&amp;IF($V308,"its band","the book")&amp;", "&amp;IF($AC308="","not tested","not significant"),IF(profit_kind="points","within "&amp;TEXT(profit_line*100,"0.00")&amp;" points of "&amp;IF($V308,"its band","the book")&amp;" ("&amp;IF(ROUND($AB308*100,2)=0,"0.00",TEXT($AB308*100,"+0.00;-0.00"))&amp;")","within $"&amp;TEXT(profit_line,"#,##0")&amp;" of "&amp;IF($V308,"its band","the book")&amp;" ("&amp;IF(ROUND($AB308*100,2)=0,"0.00",TEXT($AB308*100,"+0.00;-0.00"))&amp;" points)")),IF(LEFT($Y308,5)="worse","short of ","ahead of ")&amp;IF($V308,"its band","the book")&amp;" by "&amp;TEXT(ABS($AB308)*100,"0.00")&amp;" points"&amp;IF($Z308="",""," ($"&amp;TEXT(ABS($Z308),"#,##0")&amp;")")&amp;IF(RIGHT($Y308,15)="not significant"," (not significant)","")))</f>
        <v/>
      </c>
      <c r="AE308">
        <f>IF($V308,IF($S308="","",$S308),IF($R308="","",$R308))</f>
        <v/>
      </c>
      <c r="AF308">
        <f>IF($V308,IF($U308="","",$U308),IF($T308="","",$T308))</f>
        <v/>
      </c>
      <c r="AG308">
        <f>IF($V308,IF($O308="","",$O308),IF($P308="","",$P308))</f>
        <v/>
      </c>
      <c r="AH308" t="n">
        <v>0.1171068579824875</v>
      </c>
      <c r="AI308">
        <f>IF($Y308="worse","Yes",IF($Y308="worse, not significant","Not sure",IF(OR($Y308="too few losses to test",$Y308="too few loans to test"),"Too few losses",IF($Y308="","","No"))))</f>
        <v/>
      </c>
      <c r="AJ308">
        <f>IF($AA308="yes","Yes",IF($AA308="","","No"))</f>
        <v/>
      </c>
      <c r="AK308" t="n">
        <v>0.0001761728589045857</v>
      </c>
      <c r="AL308" t="n">
        <v>0.004504143780233905</v>
      </c>
      <c r="AM308">
        <f>IF(AND(ISNUMBER($AC308),ISNUMBER(IF($V308,IF($AL308="","",$AL308),IF($AK308="","",$AK308)))),IF(AND(ABS($AC308-significance_bar)&lt;=2.0*IF($V308,IF($AL308="","",$AL308),IF($AK308="","",$AK308)),OR($Y308="worse",$Y308="better",$Y308="worse, not significant",$Y308="better, not significant",AND(profit_kind="test",$Y308="in line",ISNUMBER($AB308),$AB308&lt;&gt;0))),IF(ROUND($AC308,3)=ROUND(significance_bar,3),TEXT($AC308,"0.0000"),TEXT($AC308,"0.000")),""),"")</f>
        <v/>
      </c>
      <c r="AN308">
        <f>IF(AND(ISNUMBER($AC308),ISNUMBER(IF($V308,IF($AL308="","",$AL308),IF($AK308="","",$AK308)))),IF(AND(ABS($AC308-significance_bar)&lt;=2.0*IF($V308,IF($AL308="","",$AL308),IF($AK308="","",$AK308)),OR($Y308="worse",$Y308="worse, not significant",AND(profit_kind="test",$Y308="in line",ISNUMBER($AB308),$AB308&lt;0))),IF(ROUND($AC308,3)=ROUND(significance_bar,3),TEXT($AC308,"0.0000"),TEXT($AC308,"0.000")),""),"")</f>
        <v/>
      </c>
      <c r="AO308">
        <f>IF(OR($AI308="",$AN308=""),$AI308,$AI308&amp;" · borderline (p "&amp;$AN308&amp;")")</f>
        <v/>
      </c>
    </row>
    <row r="309">
      <c r="A309" t="inlineStr">
        <is>
          <t>three-way</t>
        </is>
      </c>
      <c r="B309" t="inlineStr">
        <is>
          <t>FICO x CHANNEL / REV_DEBT</t>
        </is>
      </c>
      <c r="C309" t="inlineStr">
        <is>
          <t>654 - 685</t>
        </is>
      </c>
      <c r="D309" t="inlineStr">
        <is>
          <t>Broker / REV_DEBT high half</t>
        </is>
      </c>
      <c r="E309" t="inlineStr">
        <is>
          <t>outcome_loans</t>
        </is>
      </c>
      <c r="F309" t="inlineStr">
        <is>
          <t>Outcome, share of loans</t>
        </is>
      </c>
      <c r="G309" t="n">
        <v>265</v>
      </c>
      <c r="H309" t="n">
        <v>265</v>
      </c>
      <c r="I309" t="b">
        <v>0</v>
      </c>
      <c r="J309" t="b">
        <v>0</v>
      </c>
      <c r="K309" t="n">
        <v>1.590999967857028</v>
      </c>
      <c r="L309" t="n">
        <v>0.03315041741562862</v>
      </c>
      <c r="M309" t="n">
        <v>1.569811320754717</v>
      </c>
      <c r="N309" t="n">
        <v>0.06430585347742498</v>
      </c>
      <c r="O309" t="n">
        <v>11.88686320144815</v>
      </c>
      <c r="P309" t="n">
        <v>11.61538461538461</v>
      </c>
      <c r="Q309">
        <f>'_live'!$C$20</f>
        <v/>
      </c>
      <c r="R309" t="inlineStr">
        <is>
          <t>z test</t>
        </is>
      </c>
      <c r="S309" t="inlineStr">
        <is>
          <t>z test</t>
        </is>
      </c>
      <c r="T309" t="n">
        <v>0.07589862942849754</v>
      </c>
      <c r="U309" t="n">
        <v>0.07692307692307693</v>
      </c>
      <c r="V309">
        <f>AND(judged_band,NOT($J309))</f>
        <v/>
      </c>
      <c r="W309">
        <f>IF($K309="","",IF($I309,"too few losses to test",IF(AND($K309&gt;better_at,$K309&lt;worse_at),"in line",IF($K309&gt;=worse_at,IF(AND(ISNUMBER($L309),$L309&lt;significance_bar),"worse","worse, not significant"),IF(AND(ISNUMBER($L309),$L309&lt;significance_bar),"better","better, not significant")))))</f>
        <v/>
      </c>
      <c r="X309">
        <f>IF($M309="","",IF($I309,"too few losses to test",IF(AND($M309&gt;better_at,$M309&lt;worse_at),"in line",IF($M309&gt;=worse_at,IF(AND(ISNUMBER($N309),$N309&lt;significance_bar),"worse","worse, not significant"),IF(AND(ISNUMBER($N309),$N309&lt;significance_bar),"better","better, not significant")))))</f>
        <v/>
      </c>
      <c r="Y309">
        <f>IF($V309,$X309,$W309)</f>
        <v/>
      </c>
      <c r="Z309">
        <f>IF($V309,IF($P309="","",$P309),IF($O309="","",$O309))</f>
        <v/>
      </c>
      <c r="AA309">
        <f>IF(OR($Q309="",$Z309=""),"",IF(AND($Z309&gt;0,$Z309&gt;=$Q309),"yes","below the line"))</f>
        <v/>
      </c>
      <c r="AB309">
        <f>IF($V309,IF($M309="","",$M309),IF($K309="","",$K309))</f>
        <v/>
      </c>
      <c r="AC309">
        <f>IF($V309,IF($N309="","",$N309),IF($L309="","",$L309))</f>
        <v/>
      </c>
      <c r="AD309">
        <f>$Y309</f>
        <v/>
      </c>
      <c r="AE309">
        <f>IF($V309,IF($S309="","",$S309),IF($R309="","",$R309))</f>
        <v/>
      </c>
      <c r="AF309">
        <f>IF($V309,IF($U309="","",$U309),IF($T309="","",$T309))</f>
        <v/>
      </c>
      <c r="AG309">
        <f>IF($V309,IF($O309="","",$O309),IF($P309="","",$P309))</f>
        <v/>
      </c>
      <c r="AH309" t="n">
        <v>0.1207547169811321</v>
      </c>
      <c r="AI309">
        <f>IF($Y309="worse","Yes",IF($Y309="worse, not significant","Not sure",IF(OR($Y309="too few losses to test",$Y309="too few loans to test"),"Too few losses",IF($Y309="","","No"))))</f>
        <v/>
      </c>
      <c r="AJ309">
        <f>IF($AA309="yes","Yes",IF($AA309="","","No"))</f>
        <v/>
      </c>
      <c r="AM309">
        <f>IF(AND(ISNUMBER($AC309),ISNUMBER(IF($V309,IF($AL309="","",$AL309),IF($AK309="","",$AK309)))),IF(AND(ABS($AC309-significance_bar)&lt;=2.0*IF($V309,IF($AL309="","",$AL309),IF($AK309="","",$AK309)),OR($Y309="worse",$Y309="better",$Y309="worse, not significant",$Y309="better, not significant")),IF(ROUND($AC309,3)=ROUND(significance_bar,3),TEXT($AC309,"0.0000"),TEXT($AC309,"0.000")),""),"")</f>
        <v/>
      </c>
      <c r="AN309">
        <f>IF(AND(ISNUMBER($AC309),ISNUMBER(IF($V309,IF($AL309="","",$AL309),IF($AK309="","",$AK309)))),IF(AND(ABS($AC309-significance_bar)&lt;=2.0*IF($V309,IF($AL309="","",$AL309),IF($AK309="","",$AK309)),OR($Y309="worse",$Y309="worse, not significant")),IF(ROUND($AC309,3)=ROUND(significance_bar,3),TEXT($AC309,"0.0000"),TEXT($AC309,"0.000")),""),"")</f>
        <v/>
      </c>
      <c r="AO309">
        <f>IF(OR($AI309="",$AN309=""),$AI309,$AI309&amp;" · borderline (p "&amp;$AN309&amp;")")</f>
        <v/>
      </c>
    </row>
    <row r="310">
      <c r="A310" t="inlineStr">
        <is>
          <t>three-way</t>
        </is>
      </c>
      <c r="B310" t="inlineStr">
        <is>
          <t>FICO x CHANNEL / REV_DEBT</t>
        </is>
      </c>
      <c r="C310" t="inlineStr">
        <is>
          <t>654 - 685</t>
        </is>
      </c>
      <c r="D310" t="inlineStr">
        <is>
          <t>Broker / REV_DEBT high half</t>
        </is>
      </c>
      <c r="E310" t="inlineStr">
        <is>
          <t>outcome_booked</t>
        </is>
      </c>
      <c r="F310" t="inlineStr">
        <is>
          <t>Outcome, share of booked dollars</t>
        </is>
      </c>
      <c r="G310" t="n">
        <v>265</v>
      </c>
      <c r="H310" t="n">
        <v>8652359.879999997</v>
      </c>
      <c r="I310" t="b">
        <v>0</v>
      </c>
      <c r="J310" t="b">
        <v>0</v>
      </c>
      <c r="K310" t="n">
        <v>1.657776449456752</v>
      </c>
      <c r="L310" t="n">
        <v>0.03311668833116688</v>
      </c>
      <c r="M310" t="n">
        <v>1.708709647934587</v>
      </c>
      <c r="N310" t="n">
        <v>0.03778193609210508</v>
      </c>
      <c r="O310" t="n">
        <v>416684.255314271</v>
      </c>
      <c r="P310" t="n">
        <v>435566.8403180366</v>
      </c>
      <c r="Q310">
        <f>'_live'!$C$21</f>
        <v/>
      </c>
      <c r="R310" t="inlineStr">
        <is>
          <t>shuffled: 71 of 10,000</t>
        </is>
      </c>
      <c r="S310" t="inlineStr">
        <is>
          <t>shuffled: 114 of 10,000</t>
        </is>
      </c>
      <c r="T310" t="n">
        <v>0.07321401022049596</v>
      </c>
      <c r="U310" t="n">
        <v>0.07103164780542665</v>
      </c>
      <c r="V310">
        <f>AND(judged_band,NOT($J310))</f>
        <v/>
      </c>
      <c r="W310">
        <f>IF($K310="","",IF($I310,"too few losses to test",IF(AND($K310&gt;better_at,$K310&lt;worse_at),"in line",IF($K310&gt;=worse_at,IF(AND(ISNUMBER($L310),$L310&lt;significance_bar),"worse","worse, not significant"),IF(AND(ISNUMBER($L310),$L310&lt;significance_bar),"better","better, not significant")))))</f>
        <v/>
      </c>
      <c r="X310">
        <f>IF($M310="","",IF($I310,"too few losses to test",IF(AND($M310&gt;better_at,$M310&lt;worse_at),"in line",IF($M310&gt;=worse_at,IF(AND(ISNUMBER($N310),$N310&lt;significance_bar),"worse","worse, not significant"),IF(AND(ISNUMBER($N310),$N310&lt;significance_bar),"better","better, not significant")))))</f>
        <v/>
      </c>
      <c r="Y310">
        <f>IF($V310,$X310,$W310)</f>
        <v/>
      </c>
      <c r="Z310">
        <f>IF($V310,IF($P310="","",$P310),IF($O310="","",$O310))</f>
        <v/>
      </c>
      <c r="AA310">
        <f>IF(OR($Q310="",$Z310=""),"",IF(AND($Z310&gt;0,$Z310&gt;=$Q310),"yes","below the line"))</f>
        <v/>
      </c>
      <c r="AB310">
        <f>IF($V310,IF($M310="","",$M310),IF($K310="","",$K310))</f>
        <v/>
      </c>
      <c r="AC310">
        <f>IF($V310,IF($N310="","",$N310),IF($L310="","",$L310))</f>
        <v/>
      </c>
      <c r="AD310">
        <f>$Y310</f>
        <v/>
      </c>
      <c r="AE310">
        <f>IF($V310,IF($S310="","",$S310),IF($R310="","",$R310))</f>
        <v/>
      </c>
      <c r="AF310">
        <f>IF($V310,IF($U310="","",$U310),IF($T310="","",$T310))</f>
        <v/>
      </c>
      <c r="AG310">
        <f>IF($V310,IF($O310="","",$O310),IF($P310="","",$P310))</f>
        <v/>
      </c>
      <c r="AH310" t="n">
        <v>0.1213724619138242</v>
      </c>
      <c r="AI310">
        <f>IF($Y310="worse","Yes",IF($Y310="worse, not significant","Not sure",IF(OR($Y310="too few losses to test",$Y310="too few loans to test"),"Too few losses",IF($Y310="","","No"))))</f>
        <v/>
      </c>
      <c r="AJ310">
        <f>IF($AA310="yes","Yes",IF($AA310="","","No"))</f>
        <v/>
      </c>
      <c r="AK310" t="n">
        <v>0.003888959388799837</v>
      </c>
      <c r="AL310" t="n">
        <v>0.003503043997224498</v>
      </c>
      <c r="AM310">
        <f>IF(AND(ISNUMBER($AC310),ISNUMBER(IF($V310,IF($AL310="","",$AL310),IF($AK310="","",$AK310)))),IF(AND(ABS($AC310-significance_bar)&lt;=2.0*IF($V310,IF($AL310="","",$AL310),IF($AK310="","",$AK310)),OR($Y310="worse",$Y310="better",$Y310="worse, not significant",$Y310="better, not significant")),IF(ROUND($AC310,3)=ROUND(significance_bar,3),TEXT($AC310,"0.0000"),TEXT($AC310,"0.000")),""),"")</f>
        <v/>
      </c>
      <c r="AN310">
        <f>IF(AND(ISNUMBER($AC310),ISNUMBER(IF($V310,IF($AL310="","",$AL310),IF($AK310="","",$AK310)))),IF(AND(ABS($AC310-significance_bar)&lt;=2.0*IF($V310,IF($AL310="","",$AL310),IF($AK310="","",$AK310)),OR($Y310="worse",$Y310="worse, not significant")),IF(ROUND($AC310,3)=ROUND(significance_bar,3),TEXT($AC310,"0.0000"),TEXT($AC310,"0.000")),""),"")</f>
        <v/>
      </c>
      <c r="AO310">
        <f>IF(OR($AI310="",$AN310=""),$AI310,$AI310&amp;" · borderline (p "&amp;$AN310&amp;")")</f>
        <v/>
      </c>
    </row>
    <row r="311">
      <c r="A311" t="inlineStr">
        <is>
          <t>three-way</t>
        </is>
      </c>
      <c r="B311" t="inlineStr">
        <is>
          <t>FICO x CHANNEL / REV_DEBT</t>
        </is>
      </c>
      <c r="C311" t="inlineStr">
        <is>
          <t>654 - 685</t>
        </is>
      </c>
      <c r="D311" t="inlineStr">
        <is>
          <t>Broker / REV_DEBT high half</t>
        </is>
      </c>
      <c r="E311" t="inlineStr">
        <is>
          <t>gco_rate</t>
        </is>
      </c>
      <c r="F311" t="inlineStr">
        <is>
          <t>GCO per booked dollar</t>
        </is>
      </c>
      <c r="G311" t="n">
        <v>265</v>
      </c>
      <c r="H311" t="n">
        <v>8652359.879999997</v>
      </c>
      <c r="I311" t="b">
        <v>0</v>
      </c>
      <c r="J311" t="b">
        <v>0</v>
      </c>
      <c r="K311" t="n">
        <v>1.601175411006419</v>
      </c>
      <c r="L311" t="n">
        <v>0.04915758424157584</v>
      </c>
      <c r="M311" t="n">
        <v>1.594879816561104</v>
      </c>
      <c r="N311" t="n">
        <v>0.09045762090457621</v>
      </c>
      <c r="O311" t="n">
        <v>212136.9109767411</v>
      </c>
      <c r="P311" t="n">
        <v>210743.998549332</v>
      </c>
      <c r="Q311">
        <f>'_live'!$C$22</f>
        <v/>
      </c>
      <c r="R311" t="inlineStr">
        <is>
          <t>shuffled: 166 of 10,000</t>
        </is>
      </c>
      <c r="S311" t="inlineStr">
        <is>
          <t>shuffled: 348 of 10,000</t>
        </is>
      </c>
      <c r="T311" t="n">
        <v>0.04078312089617558</v>
      </c>
      <c r="U311" t="n">
        <v>0.04094410731453166</v>
      </c>
      <c r="V311">
        <f>AND(judged_band,NOT($J311))</f>
        <v/>
      </c>
      <c r="W311">
        <f>IF($K311="","",IF($I311,"too few losses to test",IF(AND($K311&gt;better_at,$K311&lt;worse_at),"in line",IF($K311&gt;=worse_at,IF(AND(ISNUMBER($L311),$L311&lt;significance_bar),"worse","worse, not significant"),IF(AND(ISNUMBER($L311),$L311&lt;significance_bar),"better","better, not significant")))))</f>
        <v/>
      </c>
      <c r="X311">
        <f>IF($M311="","",IF($I311,"too few losses to test",IF(AND($M311&gt;better_at,$M311&lt;worse_at),"in line",IF($M311&gt;=worse_at,IF(AND(ISNUMBER($N311),$N311&lt;significance_bar),"worse","worse, not significant"),IF(AND(ISNUMBER($N311),$N311&lt;significance_bar),"better","better, not significant")))))</f>
        <v/>
      </c>
      <c r="Y311">
        <f>IF($V311,$X311,$W311)</f>
        <v/>
      </c>
      <c r="Z311">
        <f>IF($V311,IF($P311="","",$P311),IF($O311="","",$O311))</f>
        <v/>
      </c>
      <c r="AA311">
        <f>IF(OR($Q311="",$Z311=""),"",IF(AND($Z311&gt;0,$Z311&gt;=$Q311),"yes","below the line"))</f>
        <v/>
      </c>
      <c r="AB311">
        <f>IF($V311,IF($M311="","",$M311),IF($K311="","",$K311))</f>
        <v/>
      </c>
      <c r="AC311">
        <f>IF($V311,IF($N311="","",$N311),IF($L311="","",$L311))</f>
        <v/>
      </c>
      <c r="AD311">
        <f>$Y311</f>
        <v/>
      </c>
      <c r="AE311">
        <f>IF($V311,IF($S311="","",$S311),IF($R311="","",$R311))</f>
        <v/>
      </c>
      <c r="AF311">
        <f>IF($V311,IF($U311="","",$U311),IF($T311="","",$T311))</f>
        <v/>
      </c>
      <c r="AG311">
        <f>IF($V311,IF($O311="","",$O311),IF($P311="","",$P311))</f>
        <v/>
      </c>
      <c r="AH311" t="n">
        <v>0.0653009303630584</v>
      </c>
      <c r="AI311">
        <f>IF($Y311="worse","Yes",IF($Y311="worse, not significant","Not sure",IF(OR($Y311="too few losses to test",$Y311="too few loans to test"),"Too few losses",IF($Y311="","","No"))))</f>
        <v/>
      </c>
      <c r="AJ311">
        <f>IF($AA311="yes","Yes",IF($AA311="","","No"))</f>
        <v/>
      </c>
      <c r="AK311" t="n">
        <v>0.003727084471890366</v>
      </c>
      <c r="AL311" t="n">
        <v>0.004722148816643882</v>
      </c>
      <c r="AM311">
        <f>IF(AND(ISNUMBER($AC311),ISNUMBER(IF($V311,IF($AL311="","",$AL311),IF($AK311="","",$AK311)))),IF(AND(ABS($AC311-significance_bar)&lt;=2.0*IF($V311,IF($AL311="","",$AL311),IF($AK311="","",$AK311)),OR($Y311="worse",$Y311="better",$Y311="worse, not significant",$Y311="better, not significant")),IF(ROUND($AC311,3)=ROUND(significance_bar,3),TEXT($AC311,"0.0000"),TEXT($AC311,"0.000")),""),"")</f>
        <v/>
      </c>
      <c r="AN311">
        <f>IF(AND(ISNUMBER($AC311),ISNUMBER(IF($V311,IF($AL311="","",$AL311),IF($AK311="","",$AK311)))),IF(AND(ABS($AC311-significance_bar)&lt;=2.0*IF($V311,IF($AL311="","",$AL311),IF($AK311="","",$AK311)),OR($Y311="worse",$Y311="worse, not significant")),IF(ROUND($AC311,3)=ROUND(significance_bar,3),TEXT($AC311,"0.0000"),TEXT($AC311,"0.000")),""),"")</f>
        <v/>
      </c>
      <c r="AO311">
        <f>IF(OR($AI311="",$AN311=""),$AI311,$AI311&amp;" · borderline (p "&amp;$AN311&amp;")")</f>
        <v/>
      </c>
    </row>
    <row r="312">
      <c r="A312" t="inlineStr">
        <is>
          <t>three-way</t>
        </is>
      </c>
      <c r="B312" t="inlineStr">
        <is>
          <t>FICO x CHANNEL / REV_DEBT</t>
        </is>
      </c>
      <c r="C312" t="inlineStr">
        <is>
          <t>654 - 685</t>
        </is>
      </c>
      <c r="D312" t="inlineStr">
        <is>
          <t>Broker / REV_DEBT high half</t>
        </is>
      </c>
      <c r="E312" t="inlineStr">
        <is>
          <t>ranr_rate</t>
        </is>
      </c>
      <c r="F312" t="inlineStr">
        <is>
          <t>Profit after losses: RANR per booked dollar</t>
        </is>
      </c>
      <c r="G312" t="n">
        <v>265</v>
      </c>
      <c r="H312" t="n">
        <v>8652359.879999997</v>
      </c>
      <c r="I312" t="b">
        <v>0</v>
      </c>
      <c r="J312" t="b">
        <v>0</v>
      </c>
      <c r="K312" t="n">
        <v>0.007412125849425244</v>
      </c>
      <c r="L312" t="n">
        <v>0.6630691769532724</v>
      </c>
      <c r="M312" t="n">
        <v>-0.03385803128723947</v>
      </c>
      <c r="N312" t="n">
        <v>0.05723427657234277</v>
      </c>
      <c r="O312" t="n">
        <v>-64132.3803250778</v>
      </c>
      <c r="P312" t="n">
        <v>292951.8715254955</v>
      </c>
      <c r="Q312">
        <f>'_live'!$C$23</f>
        <v/>
      </c>
      <c r="R312" t="inlineStr">
        <is>
          <t>shuffled: 5,555 of 10,000</t>
        </is>
      </c>
      <c r="S312" t="inlineStr">
        <is>
          <t>shuffled: 158 of 10,000</t>
        </is>
      </c>
      <c r="T312" t="n">
        <v>0.1277415404587774</v>
      </c>
      <c r="U312" t="n">
        <v>0.1690116975954421</v>
      </c>
      <c r="V312">
        <f>AND(judged_band,NOT($J312))</f>
        <v/>
      </c>
      <c r="W312">
        <f>IF($K312="","",IF(profit_kind="test",IF(OR(NOT(AND(ISNUMBER($L312),$L312&lt;significance_bar)),$K312=0),"in line",IF($K312&lt;0,"worse","better")),IF(OR($K312=0,IF(profit_kind="points",ABS($K312),ABS($K312*$H312))&lt;profit_line*(1-1E-9)),"in line",IF(AND(ISNUMBER($L312),$L312&lt;significance_bar),IF($K312&lt;0,"worse","better"),IF($K312&lt;0,"worse, not significant","better, not significant")))))</f>
        <v/>
      </c>
      <c r="X312">
        <f>IF($M312="","",IF(profit_kind="test",IF(OR(NOT(AND(ISNUMBER($N312),$N312&lt;significance_bar)),$M312=0),"in line",IF($M312&lt;0,"worse","better")),IF(OR($M312=0,IF(profit_kind="points",ABS($M312),ABS($M312*$H312))&lt;profit_line*(1-1E-9)),"in line",IF(AND(ISNUMBER($N312),$N312&lt;significance_bar),IF($M312&lt;0,"worse","better"),IF($M312&lt;0,"worse, not significant","better, not significant")))))</f>
        <v/>
      </c>
      <c r="Y312">
        <f>IF($V312,$X312,$W312)</f>
        <v/>
      </c>
      <c r="Z312">
        <f>IF($V312,IF($P312="","",$P312),IF($O312="","",$O312))</f>
        <v/>
      </c>
      <c r="AA312">
        <f>IF(OR($Q312="",$Z312=""),"",IF(AND($Z312&gt;0,$Z312&gt;=$Q312),"yes","below the line"))</f>
        <v/>
      </c>
      <c r="AB312">
        <f>IF($V312,IF($M312="","",$M312),IF($K312="","",$K312))</f>
        <v/>
      </c>
      <c r="AC312">
        <f>IF($V312,IF($N312="","",$N312),IF($L312="","",$L312))</f>
        <v/>
      </c>
      <c r="AD312">
        <f>IF($Y312="","",IF($Y312="in line",IF(profit_kind="test",IF(ROUND($AB312*100,2)=0,"0.00",TEXT($AB312*100,"+0.00;-0.00"))&amp;" points against "&amp;IF($V312,"its band","the book")&amp;", "&amp;IF($AC312="","not tested","not significant"),IF(profit_kind="points","within "&amp;TEXT(profit_line*100,"0.00")&amp;" points of "&amp;IF($V312,"its band","the book")&amp;" ("&amp;IF(ROUND($AB312*100,2)=0,"0.00",TEXT($AB312*100,"+0.00;-0.00"))&amp;")","within $"&amp;TEXT(profit_line,"#,##0")&amp;" of "&amp;IF($V312,"its band","the book")&amp;" ("&amp;IF(ROUND($AB312*100,2)=0,"0.00",TEXT($AB312*100,"+0.00;-0.00"))&amp;" points)")),IF(LEFT($Y312,5)="worse","short of ","ahead of ")&amp;IF($V312,"its band","the book")&amp;" by "&amp;TEXT(ABS($AB312)*100,"0.00")&amp;" points"&amp;IF($Z312="",""," ($"&amp;TEXT(ABS($Z312),"#,##0")&amp;")")&amp;IF(RIGHT($Y312,15)="not significant"," (not significant)","")))</f>
        <v/>
      </c>
      <c r="AE312">
        <f>IF($V312,IF($S312="","",$S312),IF($R312="","",$R312))</f>
        <v/>
      </c>
      <c r="AF312">
        <f>IF($V312,IF($U312="","",$U312),IF($T312="","",$T312))</f>
        <v/>
      </c>
      <c r="AG312">
        <f>IF($V312,IF($O312="","",$O312),IF($P312="","",$P312))</f>
        <v/>
      </c>
      <c r="AH312" t="n">
        <v>0.1351536663082026</v>
      </c>
      <c r="AI312">
        <f>IF($Y312="worse","Yes",IF($Y312="worse, not significant","Not sure",IF(OR($Y312="too few losses to test",$Y312="too few loans to test"),"Too few losses",IF($Y312="","","No"))))</f>
        <v/>
      </c>
      <c r="AJ312">
        <f>IF($AA312="yes","Yes",IF($AA312="","","No"))</f>
        <v/>
      </c>
      <c r="AK312" t="n">
        <v>0.005930804441731945</v>
      </c>
      <c r="AL312" t="n">
        <v>0.004502972720833146</v>
      </c>
      <c r="AM312">
        <f>IF(AND(ISNUMBER($AC312),ISNUMBER(IF($V312,IF($AL312="","",$AL312),IF($AK312="","",$AK312)))),IF(AND(ABS($AC312-significance_bar)&lt;=2.0*IF($V312,IF($AL312="","",$AL312),IF($AK312="","",$AK312)),OR($Y312="worse",$Y312="better",$Y312="worse, not significant",$Y312="better, not significant",AND(profit_kind="test",$Y312="in line",ISNUMBER($AB312),$AB312&lt;&gt;0))),IF(ROUND($AC312,3)=ROUND(significance_bar,3),TEXT($AC312,"0.0000"),TEXT($AC312,"0.000")),""),"")</f>
        <v/>
      </c>
      <c r="AN312">
        <f>IF(AND(ISNUMBER($AC312),ISNUMBER(IF($V312,IF($AL312="","",$AL312),IF($AK312="","",$AK312)))),IF(AND(ABS($AC312-significance_bar)&lt;=2.0*IF($V312,IF($AL312="","",$AL312),IF($AK312="","",$AK312)),OR($Y312="worse",$Y312="worse, not significant",AND(profit_kind="test",$Y312="in line",ISNUMBER($AB312),$AB312&lt;0))),IF(ROUND($AC312,3)=ROUND(significance_bar,3),TEXT($AC312,"0.0000"),TEXT($AC312,"0.000")),""),"")</f>
        <v/>
      </c>
      <c r="AO312">
        <f>IF(OR($AI312="",$AN312=""),$AI312,$AI312&amp;" · borderline (p "&amp;$AN312&amp;")")</f>
        <v/>
      </c>
    </row>
    <row r="313">
      <c r="A313" t="inlineStr">
        <is>
          <t>three-way</t>
        </is>
      </c>
      <c r="B313" t="inlineStr">
        <is>
          <t>FICO x CHANNEL / REV_DEBT</t>
        </is>
      </c>
      <c r="C313" t="inlineStr">
        <is>
          <t>654 - 685</t>
        </is>
      </c>
      <c r="D313" t="inlineStr">
        <is>
          <t>Broker / REV_DEBT high half</t>
        </is>
      </c>
      <c r="E313" t="inlineStr">
        <is>
          <t>contribution_rate</t>
        </is>
      </c>
      <c r="F313" t="inlineStr">
        <is>
          <t>Contribution before losses per booked dollar</t>
        </is>
      </c>
      <c r="G313" t="n">
        <v>265</v>
      </c>
      <c r="H313" t="n">
        <v>8652359.879999997</v>
      </c>
      <c r="I313" t="b">
        <v>0</v>
      </c>
      <c r="J313" t="b">
        <v>0</v>
      </c>
      <c r="K313" t="n">
        <v>0.03193293331361019</v>
      </c>
      <c r="L313" t="n">
        <v>0.0001761728589045857</v>
      </c>
      <c r="M313" t="n">
        <v>-0.009501208238712922</v>
      </c>
      <c r="N313" t="n">
        <v>0.3715454541502372</v>
      </c>
      <c r="O313" t="n">
        <v>-276295.2310533961</v>
      </c>
      <c r="P313" t="n">
        <v>82207.87297616526</v>
      </c>
      <c r="Q313">
        <f>'_live'!$C$24</f>
        <v/>
      </c>
      <c r="R313" t="inlineStr">
        <is>
          <t>shuffled: 0 of 10,000</t>
        </is>
      </c>
      <c r="S313" t="inlineStr">
        <is>
          <t>shuffled: 2,373 of 10,000</t>
        </is>
      </c>
      <c r="T313" t="n">
        <v>0.1685216633576507</v>
      </c>
      <c r="U313" t="n">
        <v>0.2099558049099738</v>
      </c>
      <c r="V313">
        <f>AND(judged_band,NOT($J313))</f>
        <v/>
      </c>
      <c r="W313">
        <f>IF($K313="","",IF(profit_kind="test",IF(OR(NOT(AND(ISNUMBER($L313),$L313&lt;significance_bar)),$K313=0),"in line",IF($K313&lt;0,"worse","better")),IF(OR($K313=0,IF(profit_kind="points",ABS($K313),ABS($K313*$H313))&lt;profit_line*(1-1E-9)),"in line",IF(AND(ISNUMBER($L313),$L313&lt;significance_bar),IF($K313&lt;0,"worse","better"),IF($K313&lt;0,"worse, not significant","better, not significant")))))</f>
        <v/>
      </c>
      <c r="X313">
        <f>IF($M313="","",IF(profit_kind="test",IF(OR(NOT(AND(ISNUMBER($N313),$N313&lt;significance_bar)),$M313=0),"in line",IF($M313&lt;0,"worse","better")),IF(OR($M313=0,IF(profit_kind="points",ABS($M313),ABS($M313*$H313))&lt;profit_line*(1-1E-9)),"in line",IF(AND(ISNUMBER($N313),$N313&lt;significance_bar),IF($M313&lt;0,"worse","better"),IF($M313&lt;0,"worse, not significant","better, not significant")))))</f>
        <v/>
      </c>
      <c r="Y313">
        <f>IF($V313,$X313,$W313)</f>
        <v/>
      </c>
      <c r="Z313">
        <f>IF($V313,IF($P313="","",$P313),IF($O313="","",$O313))</f>
        <v/>
      </c>
      <c r="AA313">
        <f>IF(OR($Q313="",$Z313=""),"",IF(AND($Z313&gt;0,$Z313&gt;=$Q313),"yes","below the line"))</f>
        <v/>
      </c>
      <c r="AB313">
        <f>IF($V313,IF($M313="","",$M313),IF($K313="","",$K313))</f>
        <v/>
      </c>
      <c r="AC313">
        <f>IF($V313,IF($N313="","",$N313),IF($L313="","",$L313))</f>
        <v/>
      </c>
      <c r="AD313">
        <f>IF($Y313="","",IF($Y313="in line",IF(profit_kind="test",IF(ROUND($AB313*100,2)=0,"0.00",TEXT($AB313*100,"+0.00;-0.00"))&amp;" points against "&amp;IF($V313,"its band","the book")&amp;", "&amp;IF($AC313="","not tested","not significant"),IF(profit_kind="points","within "&amp;TEXT(profit_line*100,"0.00")&amp;" points of "&amp;IF($V313,"its band","the book")&amp;" ("&amp;IF(ROUND($AB313*100,2)=0,"0.00",TEXT($AB313*100,"+0.00;-0.00"))&amp;")","within $"&amp;TEXT(profit_line,"#,##0")&amp;" of "&amp;IF($V313,"its band","the book")&amp;" ("&amp;IF(ROUND($AB313*100,2)=0,"0.00",TEXT($AB313*100,"+0.00;-0.00"))&amp;" points)")),IF(LEFT($Y313,5)="worse","short of ","ahead of ")&amp;IF($V313,"its band","the book")&amp;" by "&amp;TEXT(ABS($AB313)*100,"0.00")&amp;" points"&amp;IF($Z313="",""," ($"&amp;TEXT(ABS($Z313),"#,##0")&amp;")")&amp;IF(RIGHT($Y313,15)="not significant"," (not significant)","")))</f>
        <v/>
      </c>
      <c r="AE313">
        <f>IF($V313,IF($S313="","",$S313),IF($R313="","",$R313))</f>
        <v/>
      </c>
      <c r="AF313">
        <f>IF($V313,IF($U313="","",$U313),IF($T313="","",$T313))</f>
        <v/>
      </c>
      <c r="AG313">
        <f>IF($V313,IF($O313="","",$O313),IF($P313="","",$P313))</f>
        <v/>
      </c>
      <c r="AH313" t="n">
        <v>0.2004545966712609</v>
      </c>
      <c r="AI313">
        <f>IF($Y313="worse","Yes",IF($Y313="worse, not significant","Not sure",IF(OR($Y313="too few losses to test",$Y313="too few loans to test"),"Too few losses",IF($Y313="","","No"))))</f>
        <v/>
      </c>
      <c r="AJ313">
        <f>IF($AA313="yes","Yes",IF($AA313="","","No"))</f>
        <v/>
      </c>
      <c r="AK313" t="n">
        <v>0.0001761728589045857</v>
      </c>
      <c r="AL313" t="n">
        <v>0.006659604958226256</v>
      </c>
      <c r="AM313">
        <f>IF(AND(ISNUMBER($AC313),ISNUMBER(IF($V313,IF($AL313="","",$AL313),IF($AK313="","",$AK313)))),IF(AND(ABS($AC313-significance_bar)&lt;=2.0*IF($V313,IF($AL313="","",$AL313),IF($AK313="","",$AK313)),OR($Y313="worse",$Y313="better",$Y313="worse, not significant",$Y313="better, not significant",AND(profit_kind="test",$Y313="in line",ISNUMBER($AB313),$AB313&lt;&gt;0))),IF(ROUND($AC313,3)=ROUND(significance_bar,3),TEXT($AC313,"0.0000"),TEXT($AC313,"0.000")),""),"")</f>
        <v/>
      </c>
      <c r="AN313">
        <f>IF(AND(ISNUMBER($AC313),ISNUMBER(IF($V313,IF($AL313="","",$AL313),IF($AK313="","",$AK313)))),IF(AND(ABS($AC313-significance_bar)&lt;=2.0*IF($V313,IF($AL313="","",$AL313),IF($AK313="","",$AK313)),OR($Y313="worse",$Y313="worse, not significant",AND(profit_kind="test",$Y313="in line",ISNUMBER($AB313),$AB313&lt;0))),IF(ROUND($AC313,3)=ROUND(significance_bar,3),TEXT($AC313,"0.0000"),TEXT($AC313,"0.000")),""),"")</f>
        <v/>
      </c>
      <c r="AO313">
        <f>IF(OR($AI313="",$AN313=""),$AI313,$AI313&amp;" · borderline (p "&amp;$AN313&amp;")")</f>
        <v/>
      </c>
    </row>
    <row r="314">
      <c r="A314" t="inlineStr">
        <is>
          <t>three-way</t>
        </is>
      </c>
      <c r="B314" t="inlineStr">
        <is>
          <t>FICO x CHANNEL / REV_DEBT</t>
        </is>
      </c>
      <c r="C314" t="inlineStr">
        <is>
          <t>(marked missing)</t>
        </is>
      </c>
      <c r="D314" t="inlineStr">
        <is>
          <t>Online / REV_DEBT low half</t>
        </is>
      </c>
      <c r="E314" t="inlineStr">
        <is>
          <t>outcome_loans</t>
        </is>
      </c>
      <c r="F314" t="inlineStr">
        <is>
          <t>Outcome, share of loans</t>
        </is>
      </c>
      <c r="G314" t="n">
        <v>28</v>
      </c>
      <c r="H314" t="n">
        <v>28</v>
      </c>
      <c r="I314" t="b">
        <v>1</v>
      </c>
      <c r="J314" t="b">
        <v>0</v>
      </c>
      <c r="K314" t="n">
        <v>0.4606449375866851</v>
      </c>
      <c r="M314" t="n">
        <v>0.5238095238095238</v>
      </c>
      <c r="O314" t="n">
        <v>-1.17086940158073</v>
      </c>
      <c r="P314" t="n">
        <v>-0.9090909090909089</v>
      </c>
      <c r="Q314">
        <f>'_live'!$C$20</f>
        <v/>
      </c>
      <c r="T314" t="n">
        <v>0.07753105005645465</v>
      </c>
      <c r="U314" t="n">
        <v>0.06818181818181818</v>
      </c>
      <c r="V314">
        <f>AND(judged_band,NOT($J314))</f>
        <v/>
      </c>
      <c r="W314">
        <f>IF($K314="","",IF($I314,"too few losses to test",IF(AND($K314&gt;better_at,$K314&lt;worse_at),"in line",IF($K314&gt;=worse_at,IF(AND(ISNUMBER($L314),$L314&lt;significance_bar),"worse","worse, not significant"),IF(AND(ISNUMBER($L314),$L314&lt;significance_bar),"better","better, not significant")))))</f>
        <v/>
      </c>
      <c r="X314">
        <f>IF($M314="","",IF($I314,"too few losses to test",IF(AND($M314&gt;better_at,$M314&lt;worse_at),"in line",IF($M314&gt;=worse_at,IF(AND(ISNUMBER($N314),$N314&lt;significance_bar),"worse","worse, not significant"),IF(AND(ISNUMBER($N314),$N314&lt;significance_bar),"better","better, not significant")))))</f>
        <v/>
      </c>
      <c r="Y314">
        <f>IF($V314,$X314,$W314)</f>
        <v/>
      </c>
      <c r="Z314">
        <f>IF($V314,IF($P314="","",$P314),IF($O314="","",$O314))</f>
        <v/>
      </c>
      <c r="AA314">
        <f>IF(OR($Q314="",$Z314=""),"",IF(AND($Z314&gt;0,$Z314&gt;=$Q314),"yes","below the line"))</f>
        <v/>
      </c>
      <c r="AB314">
        <f>IF($V314,IF($M314="","",$M314),IF($K314="","",$K314))</f>
        <v/>
      </c>
      <c r="AC314">
        <f>IF($V314,IF($N314="","",$N314),IF($L314="","",$L314))</f>
        <v/>
      </c>
      <c r="AD314">
        <f>$Y314</f>
        <v/>
      </c>
      <c r="AE314">
        <f>IF($V314,IF($S314="","",$S314),IF($R314="","",$R314))</f>
        <v/>
      </c>
      <c r="AF314">
        <f>IF($V314,IF($U314="","",$U314),IF($T314="","",$T314))</f>
        <v/>
      </c>
      <c r="AG314">
        <f>IF($V314,IF($O314="","",$O314),IF($P314="","",$P314))</f>
        <v/>
      </c>
      <c r="AH314" t="n">
        <v>0.03571428571428571</v>
      </c>
      <c r="AI314">
        <f>IF($Y314="worse","Yes",IF($Y314="worse, not significant","Not sure",IF(OR($Y314="too few losses to test",$Y314="too few loans to test"),"Too few losses",IF($Y314="","","No"))))</f>
        <v/>
      </c>
      <c r="AJ314">
        <f>IF($AA314="yes","Yes",IF($AA314="","","No"))</f>
        <v/>
      </c>
      <c r="AM314">
        <f>IF(AND(ISNUMBER($AC314),ISNUMBER(IF($V314,IF($AL314="","",$AL314),IF($AK314="","",$AK314)))),IF(AND(ABS($AC314-significance_bar)&lt;=2.0*IF($V314,IF($AL314="","",$AL314),IF($AK314="","",$AK314)),OR($Y314="worse",$Y314="better",$Y314="worse, not significant",$Y314="better, not significant")),IF(ROUND($AC314,3)=ROUND(significance_bar,3),TEXT($AC314,"0.0000"),TEXT($AC314,"0.000")),""),"")</f>
        <v/>
      </c>
      <c r="AN314">
        <f>IF(AND(ISNUMBER($AC314),ISNUMBER(IF($V314,IF($AL314="","",$AL314),IF($AK314="","",$AK314)))),IF(AND(ABS($AC314-significance_bar)&lt;=2.0*IF($V314,IF($AL314="","",$AL314),IF($AK314="","",$AK314)),OR($Y314="worse",$Y314="worse, not significant")),IF(ROUND($AC314,3)=ROUND(significance_bar,3),TEXT($AC314,"0.0000"),TEXT($AC314,"0.000")),""),"")</f>
        <v/>
      </c>
      <c r="AO314">
        <f>IF(OR($AI314="",$AN314=""),$AI314,$AI314&amp;" · borderline (p "&amp;$AN314&amp;")")</f>
        <v/>
      </c>
    </row>
    <row r="315">
      <c r="A315" t="inlineStr">
        <is>
          <t>three-way</t>
        </is>
      </c>
      <c r="B315" t="inlineStr">
        <is>
          <t>FICO x CHANNEL / REV_DEBT</t>
        </is>
      </c>
      <c r="C315" t="inlineStr">
        <is>
          <t>(marked missing)</t>
        </is>
      </c>
      <c r="D315" t="inlineStr">
        <is>
          <t>Online / REV_DEBT low half</t>
        </is>
      </c>
      <c r="E315" t="inlineStr">
        <is>
          <t>outcome_booked</t>
        </is>
      </c>
      <c r="F315" t="inlineStr">
        <is>
          <t>Outcome, share of booked dollars</t>
        </is>
      </c>
      <c r="G315" t="n">
        <v>28</v>
      </c>
      <c r="H315" t="n">
        <v>990667.0999999999</v>
      </c>
      <c r="I315" t="b">
        <v>1</v>
      </c>
      <c r="J315" t="b">
        <v>0</v>
      </c>
      <c r="K315" t="n">
        <v>0.6268779312280387</v>
      </c>
      <c r="M315" t="n">
        <v>0.9701522465454194</v>
      </c>
      <c r="O315" t="n">
        <v>-27699.40529591635</v>
      </c>
      <c r="P315" t="n">
        <v>-1431.773250511462</v>
      </c>
      <c r="Q315">
        <f>'_live'!$C$21</f>
        <v/>
      </c>
      <c r="T315" t="n">
        <v>0.07493621752041263</v>
      </c>
      <c r="U315" t="n">
        <v>0.04842112274699692</v>
      </c>
      <c r="V315">
        <f>AND(judged_band,NOT($J315))</f>
        <v/>
      </c>
      <c r="W315">
        <f>IF($K315="","",IF($I315,"too few losses to test",IF(AND($K315&gt;better_at,$K315&lt;worse_at),"in line",IF($K315&gt;=worse_at,IF(AND(ISNUMBER($L315),$L315&lt;significance_bar),"worse","worse, not significant"),IF(AND(ISNUMBER($L315),$L315&lt;significance_bar),"better","better, not significant")))))</f>
        <v/>
      </c>
      <c r="X315">
        <f>IF($M315="","",IF($I315,"too few losses to test",IF(AND($M315&gt;better_at,$M315&lt;worse_at),"in line",IF($M315&gt;=worse_at,IF(AND(ISNUMBER($N315),$N315&lt;significance_bar),"worse","worse, not significant"),IF(AND(ISNUMBER($N315),$N315&lt;significance_bar),"better","better, not significant")))))</f>
        <v/>
      </c>
      <c r="Y315">
        <f>IF($V315,$X315,$W315)</f>
        <v/>
      </c>
      <c r="Z315">
        <f>IF($V315,IF($P315="","",$P315),IF($O315="","",$O315))</f>
        <v/>
      </c>
      <c r="AA315">
        <f>IF(OR($Q315="",$Z315=""),"",IF(AND($Z315&gt;0,$Z315&gt;=$Q315),"yes","below the line"))</f>
        <v/>
      </c>
      <c r="AB315">
        <f>IF($V315,IF($M315="","",$M315),IF($K315="","",$K315))</f>
        <v/>
      </c>
      <c r="AC315">
        <f>IF($V315,IF($N315="","",$N315),IF($L315="","",$L315))</f>
        <v/>
      </c>
      <c r="AD315">
        <f>$Y315</f>
        <v/>
      </c>
      <c r="AE315">
        <f>IF($V315,IF($S315="","",$S315),IF($R315="","",$R315))</f>
        <v/>
      </c>
      <c r="AF315">
        <f>IF($V315,IF($U315="","",$U315),IF($T315="","",$T315))</f>
        <v/>
      </c>
      <c r="AG315">
        <f>IF($V315,IF($O315="","",$O315),IF($P315="","",$P315))</f>
        <v/>
      </c>
      <c r="AH315" t="n">
        <v>0.04697586101325057</v>
      </c>
      <c r="AI315">
        <f>IF($Y315="worse","Yes",IF($Y315="worse, not significant","Not sure",IF(OR($Y315="too few losses to test",$Y315="too few loans to test"),"Too few losses",IF($Y315="","","No"))))</f>
        <v/>
      </c>
      <c r="AJ315">
        <f>IF($AA315="yes","Yes",IF($AA315="","","No"))</f>
        <v/>
      </c>
      <c r="AM315">
        <f>IF(AND(ISNUMBER($AC315),ISNUMBER(IF($V315,IF($AL315="","",$AL315),IF($AK315="","",$AK315)))),IF(AND(ABS($AC315-significance_bar)&lt;=2.0*IF($V315,IF($AL315="","",$AL315),IF($AK315="","",$AK315)),OR($Y315="worse",$Y315="better",$Y315="worse, not significant",$Y315="better, not significant")),IF(ROUND($AC315,3)=ROUND(significance_bar,3),TEXT($AC315,"0.0000"),TEXT($AC315,"0.000")),""),"")</f>
        <v/>
      </c>
      <c r="AN315">
        <f>IF(AND(ISNUMBER($AC315),ISNUMBER(IF($V315,IF($AL315="","",$AL315),IF($AK315="","",$AK315)))),IF(AND(ABS($AC315-significance_bar)&lt;=2.0*IF($V315,IF($AL315="","",$AL315),IF($AK315="","",$AK315)),OR($Y315="worse",$Y315="worse, not significant")),IF(ROUND($AC315,3)=ROUND(significance_bar,3),TEXT($AC315,"0.0000"),TEXT($AC315,"0.000")),""),"")</f>
        <v/>
      </c>
      <c r="AO315">
        <f>IF(OR($AI315="",$AN315=""),$AI315,$AI315&amp;" · borderline (p "&amp;$AN315&amp;")")</f>
        <v/>
      </c>
    </row>
    <row r="316">
      <c r="A316" t="inlineStr">
        <is>
          <t>three-way</t>
        </is>
      </c>
      <c r="B316" t="inlineStr">
        <is>
          <t>FICO x CHANNEL / REV_DEBT</t>
        </is>
      </c>
      <c r="C316" t="inlineStr">
        <is>
          <t>(marked missing)</t>
        </is>
      </c>
      <c r="D316" t="inlineStr">
        <is>
          <t>Online / REV_DEBT low half</t>
        </is>
      </c>
      <c r="E316" t="inlineStr">
        <is>
          <t>gco_rate</t>
        </is>
      </c>
      <c r="F316" t="inlineStr">
        <is>
          <t>GCO per booked dollar</t>
        </is>
      </c>
      <c r="G316" t="n">
        <v>28</v>
      </c>
      <c r="H316" t="n">
        <v>990667.0999999999</v>
      </c>
      <c r="I316" t="b">
        <v>1</v>
      </c>
      <c r="J316" t="b">
        <v>0</v>
      </c>
      <c r="K316" t="n">
        <v>0.7510055183052815</v>
      </c>
      <c r="M316" t="n">
        <v>1.293199184190253</v>
      </c>
      <c r="O316" t="n">
        <v>-10272.61790219225</v>
      </c>
      <c r="P316" t="n">
        <v>7024.76622486459</v>
      </c>
      <c r="Q316">
        <f>'_live'!$C$22</f>
        <v/>
      </c>
      <c r="T316" t="n">
        <v>0.04164507724359904</v>
      </c>
      <c r="U316" t="n">
        <v>0.02418473751185985</v>
      </c>
      <c r="V316">
        <f>AND(judged_band,NOT($J316))</f>
        <v/>
      </c>
      <c r="W316">
        <f>IF($K316="","",IF($I316,"too few losses to test",IF(AND($K316&gt;better_at,$K316&lt;worse_at),"in line",IF($K316&gt;=worse_at,IF(AND(ISNUMBER($L316),$L316&lt;significance_bar),"worse","worse, not significant"),IF(AND(ISNUMBER($L316),$L316&lt;significance_bar),"better","better, not significant")))))</f>
        <v/>
      </c>
      <c r="X316">
        <f>IF($M316="","",IF($I316,"too few losses to test",IF(AND($M316&gt;better_at,$M316&lt;worse_at),"in line",IF($M316&gt;=worse_at,IF(AND(ISNUMBER($N316),$N316&lt;significance_bar),"worse","worse, not significant"),IF(AND(ISNUMBER($N316),$N316&lt;significance_bar),"better","better, not significant")))))</f>
        <v/>
      </c>
      <c r="Y316">
        <f>IF($V316,$X316,$W316)</f>
        <v/>
      </c>
      <c r="Z316">
        <f>IF($V316,IF($P316="","",$P316),IF($O316="","",$O316))</f>
        <v/>
      </c>
      <c r="AA316">
        <f>IF(OR($Q316="",$Z316=""),"",IF(AND($Z316&gt;0,$Z316&gt;=$Q316),"yes","below the line"))</f>
        <v/>
      </c>
      <c r="AB316">
        <f>IF($V316,IF($M316="","",$M316),IF($K316="","",$K316))</f>
        <v/>
      </c>
      <c r="AC316">
        <f>IF($V316,IF($N316="","",$N316),IF($L316="","",$L316))</f>
        <v/>
      </c>
      <c r="AD316">
        <f>$Y316</f>
        <v/>
      </c>
      <c r="AE316">
        <f>IF($V316,IF($S316="","",$S316),IF($R316="","",$R316))</f>
        <v/>
      </c>
      <c r="AF316">
        <f>IF($V316,IF($U316="","",$U316),IF($T316="","",$T316))</f>
        <v/>
      </c>
      <c r="AG316">
        <f>IF($V316,IF($O316="","",$O316),IF($P316="","",$P316))</f>
        <v/>
      </c>
      <c r="AH316" t="n">
        <v>0.03127568282019258</v>
      </c>
      <c r="AI316">
        <f>IF($Y316="worse","Yes",IF($Y316="worse, not significant","Not sure",IF(OR($Y316="too few losses to test",$Y316="too few loans to test"),"Too few losses",IF($Y316="","","No"))))</f>
        <v/>
      </c>
      <c r="AJ316">
        <f>IF($AA316="yes","Yes",IF($AA316="","","No"))</f>
        <v/>
      </c>
      <c r="AM316">
        <f>IF(AND(ISNUMBER($AC316),ISNUMBER(IF($V316,IF($AL316="","",$AL316),IF($AK316="","",$AK316)))),IF(AND(ABS($AC316-significance_bar)&lt;=2.0*IF($V316,IF($AL316="","",$AL316),IF($AK316="","",$AK316)),OR($Y316="worse",$Y316="better",$Y316="worse, not significant",$Y316="better, not significant")),IF(ROUND($AC316,3)=ROUND(significance_bar,3),TEXT($AC316,"0.0000"),TEXT($AC316,"0.000")),""),"")</f>
        <v/>
      </c>
      <c r="AN316">
        <f>IF(AND(ISNUMBER($AC316),ISNUMBER(IF($V316,IF($AL316="","",$AL316),IF($AK316="","",$AK316)))),IF(AND(ABS($AC316-significance_bar)&lt;=2.0*IF($V316,IF($AL316="","",$AL316),IF($AK316="","",$AK316)),OR($Y316="worse",$Y316="worse, not significant")),IF(ROUND($AC316,3)=ROUND(significance_bar,3),TEXT($AC316,"0.0000"),TEXT($AC316,"0.000")),""),"")</f>
        <v/>
      </c>
      <c r="AO316">
        <f>IF(OR($AI316="",$AN316=""),$AI316,$AI316&amp;" · borderline (p "&amp;$AN316&amp;")")</f>
        <v/>
      </c>
    </row>
    <row r="317">
      <c r="A317" t="inlineStr">
        <is>
          <t>three-way</t>
        </is>
      </c>
      <c r="B317" t="inlineStr">
        <is>
          <t>FICO x CHANNEL / REV_DEBT</t>
        </is>
      </c>
      <c r="C317" t="inlineStr">
        <is>
          <t>(marked missing)</t>
        </is>
      </c>
      <c r="D317" t="inlineStr">
        <is>
          <t>Online / REV_DEBT low half</t>
        </is>
      </c>
      <c r="E317" t="inlineStr">
        <is>
          <t>ranr_rate</t>
        </is>
      </c>
      <c r="F317" t="inlineStr">
        <is>
          <t>Profit after losses: RANR per booked dollar</t>
        </is>
      </c>
      <c r="G317" t="n">
        <v>28</v>
      </c>
      <c r="H317" t="n">
        <v>990667.0999999999</v>
      </c>
      <c r="I317" t="b">
        <v>0</v>
      </c>
      <c r="J317" t="b">
        <v>0</v>
      </c>
      <c r="K317" t="n">
        <v>-0.004697486793982075</v>
      </c>
      <c r="L317" t="n">
        <v>0.9415058494150585</v>
      </c>
      <c r="M317" t="n">
        <v>-0.03920749622618808</v>
      </c>
      <c r="N317" t="n">
        <v>0.606989301069893</v>
      </c>
      <c r="O317" t="n">
        <v>4653.645619482515</v>
      </c>
      <c r="P317" t="n">
        <v>38841.57658465867</v>
      </c>
      <c r="Q317">
        <f>'_live'!$C$23</f>
        <v/>
      </c>
      <c r="R317" t="inlineStr">
        <is>
          <t>shuffled: 8,998 of 10,000</t>
        </is>
      </c>
      <c r="S317" t="inlineStr">
        <is>
          <t>shuffled: 2,588 of 10,000</t>
        </is>
      </c>
      <c r="T317" t="n">
        <v>0.1280080822503165</v>
      </c>
      <c r="U317" t="n">
        <v>0.1625180916825225</v>
      </c>
      <c r="V317">
        <f>AND(judged_band,NOT($J317))</f>
        <v/>
      </c>
      <c r="W317">
        <f>IF($K317="","",IF(profit_kind="test",IF(OR(NOT(AND(ISNUMBER($L317),$L317&lt;significance_bar)),$K317=0),"in line",IF($K317&lt;0,"worse","better")),IF(OR($K317=0,IF(profit_kind="points",ABS($K317),ABS($K317*$H317))&lt;profit_line*(1-1E-9)),"in line",IF(AND(ISNUMBER($L317),$L317&lt;significance_bar),IF($K317&lt;0,"worse","better"),IF($K317&lt;0,"worse, not significant","better, not significant")))))</f>
        <v/>
      </c>
      <c r="X317">
        <f>IF($M317="","",IF(profit_kind="test",IF(OR(NOT(AND(ISNUMBER($N317),$N317&lt;significance_bar)),$M317=0),"in line",IF($M317&lt;0,"worse","better")),IF(OR($M317=0,IF(profit_kind="points",ABS($M317),ABS($M317*$H317))&lt;profit_line*(1-1E-9)),"in line",IF(AND(ISNUMBER($N317),$N317&lt;significance_bar),IF($M317&lt;0,"worse","better"),IF($M317&lt;0,"worse, not significant","better, not significant")))))</f>
        <v/>
      </c>
      <c r="Y317">
        <f>IF($V317,$X317,$W317)</f>
        <v/>
      </c>
      <c r="Z317">
        <f>IF($V317,IF($P317="","",$P317),IF($O317="","",$O317))</f>
        <v/>
      </c>
      <c r="AA317">
        <f>IF(OR($Q317="",$Z317=""),"",IF(AND($Z317&gt;0,$Z317&gt;=$Q317),"yes","below the line"))</f>
        <v/>
      </c>
      <c r="AB317">
        <f>IF($V317,IF($M317="","",$M317),IF($K317="","",$K317))</f>
        <v/>
      </c>
      <c r="AC317">
        <f>IF($V317,IF($N317="","",$N317),IF($L317="","",$L317))</f>
        <v/>
      </c>
      <c r="AD317">
        <f>IF($Y317="","",IF($Y317="in line",IF(profit_kind="test",IF(ROUND($AB317*100,2)=0,"0.00",TEXT($AB317*100,"+0.00;-0.00"))&amp;" points against "&amp;IF($V317,"its band","the book")&amp;", "&amp;IF($AC317="","not tested","not significant"),IF(profit_kind="points","within "&amp;TEXT(profit_line*100,"0.00")&amp;" points of "&amp;IF($V317,"its band","the book")&amp;" ("&amp;IF(ROUND($AB317*100,2)=0,"0.00",TEXT($AB317*100,"+0.00;-0.00"))&amp;")","within $"&amp;TEXT(profit_line,"#,##0")&amp;" of "&amp;IF($V317,"its band","the book")&amp;" ("&amp;IF(ROUND($AB317*100,2)=0,"0.00",TEXT($AB317*100,"+0.00;-0.00"))&amp;" points)")),IF(LEFT($Y317,5)="worse","short of ","ahead of ")&amp;IF($V317,"its band","the book")&amp;" by "&amp;TEXT(ABS($AB317)*100,"0.00")&amp;" points"&amp;IF($Z317="",""," ($"&amp;TEXT(ABS($Z317),"#,##0")&amp;")")&amp;IF(RIGHT($Y317,15)="not significant"," (not significant)","")))</f>
        <v/>
      </c>
      <c r="AE317">
        <f>IF($V317,IF($S317="","",$S317),IF($R317="","",$R317))</f>
        <v/>
      </c>
      <c r="AF317">
        <f>IF($V317,IF($U317="","",$U317),IF($T317="","",$T317))</f>
        <v/>
      </c>
      <c r="AG317">
        <f>IF($V317,IF($O317="","",$O317),IF($P317="","",$P317))</f>
        <v/>
      </c>
      <c r="AH317" t="n">
        <v>0.1233105954563344</v>
      </c>
      <c r="AI317">
        <f>IF($Y317="worse","Yes",IF($Y317="worse, not significant","Not sure",IF(OR($Y317="too few losses to test",$Y317="too few loans to test"),"Too few losses",IF($Y317="","","No"))))</f>
        <v/>
      </c>
      <c r="AJ317">
        <f>IF($AA317="yes","Yes",IF($AA317="","","No"))</f>
        <v/>
      </c>
      <c r="AK317" t="n">
        <v>0.002346754885630104</v>
      </c>
      <c r="AL317" t="n">
        <v>0.009986440385812867</v>
      </c>
      <c r="AM317">
        <f>IF(AND(ISNUMBER($AC317),ISNUMBER(IF($V317,IF($AL317="","",$AL317),IF($AK317="","",$AK317)))),IF(AND(ABS($AC317-significance_bar)&lt;=2.0*IF($V317,IF($AL317="","",$AL317),IF($AK317="","",$AK317)),OR($Y317="worse",$Y317="better",$Y317="worse, not significant",$Y317="better, not significant",AND(profit_kind="test",$Y317="in line",ISNUMBER($AB317),$AB317&lt;&gt;0))),IF(ROUND($AC317,3)=ROUND(significance_bar,3),TEXT($AC317,"0.0000"),TEXT($AC317,"0.000")),""),"")</f>
        <v/>
      </c>
      <c r="AN317">
        <f>IF(AND(ISNUMBER($AC317),ISNUMBER(IF($V317,IF($AL317="","",$AL317),IF($AK317="","",$AK317)))),IF(AND(ABS($AC317-significance_bar)&lt;=2.0*IF($V317,IF($AL317="","",$AL317),IF($AK317="","",$AK317)),OR($Y317="worse",$Y317="worse, not significant",AND(profit_kind="test",$Y317="in line",ISNUMBER($AB317),$AB317&lt;0))),IF(ROUND($AC317,3)=ROUND(significance_bar,3),TEXT($AC317,"0.0000"),TEXT($AC317,"0.000")),""),"")</f>
        <v/>
      </c>
      <c r="AO317">
        <f>IF(OR($AI317="",$AN317=""),$AI317,$AI317&amp;" · borderline (p "&amp;$AN317&amp;")")</f>
        <v/>
      </c>
    </row>
    <row r="318">
      <c r="A318" t="inlineStr">
        <is>
          <t>three-way</t>
        </is>
      </c>
      <c r="B318" t="inlineStr">
        <is>
          <t>FICO x CHANNEL / REV_DEBT</t>
        </is>
      </c>
      <c r="C318" t="inlineStr">
        <is>
          <t>(marked missing)</t>
        </is>
      </c>
      <c r="D318" t="inlineStr">
        <is>
          <t>Online / REV_DEBT low half</t>
        </is>
      </c>
      <c r="E318" t="inlineStr">
        <is>
          <t>contribution_rate</t>
        </is>
      </c>
      <c r="F318" t="inlineStr">
        <is>
          <t>Contribution before losses per booked dollar</t>
        </is>
      </c>
      <c r="G318" t="n">
        <v>28</v>
      </c>
      <c r="H318" t="n">
        <v>990667.0999999999</v>
      </c>
      <c r="I318" t="b">
        <v>0</v>
      </c>
      <c r="J318" t="b">
        <v>0</v>
      </c>
      <c r="K318" t="n">
        <v>-0.01506401373495569</v>
      </c>
      <c r="L318" t="n">
        <v>0.5896153241818676</v>
      </c>
      <c r="M318" t="n">
        <v>-0.03211655091785534</v>
      </c>
      <c r="N318" t="n">
        <v>0.3911608839116088</v>
      </c>
      <c r="O318" t="n">
        <v>14923.42280116872</v>
      </c>
      <c r="P318" t="n">
        <v>31816.81035979406</v>
      </c>
      <c r="Q318">
        <f>'_live'!$C$24</f>
        <v/>
      </c>
      <c r="R318" t="inlineStr">
        <is>
          <t>shuffled: 5,577 of 10,000</t>
        </is>
      </c>
      <c r="S318" t="inlineStr">
        <is>
          <t>shuffled: 2,607 of 10,000</t>
        </is>
      </c>
      <c r="T318" t="n">
        <v>0.1696502920114827</v>
      </c>
      <c r="U318" t="n">
        <v>0.1867028291943824</v>
      </c>
      <c r="V318">
        <f>AND(judged_band,NOT($J318))</f>
        <v/>
      </c>
      <c r="W318">
        <f>IF($K318="","",IF(profit_kind="test",IF(OR(NOT(AND(ISNUMBER($L318),$L318&lt;significance_bar)),$K318=0),"in line",IF($K318&lt;0,"worse","better")),IF(OR($K318=0,IF(profit_kind="points",ABS($K318),ABS($K318*$H318))&lt;profit_line*(1-1E-9)),"in line",IF(AND(ISNUMBER($L318),$L318&lt;significance_bar),IF($K318&lt;0,"worse","better"),IF($K318&lt;0,"worse, not significant","better, not significant")))))</f>
        <v/>
      </c>
      <c r="X318">
        <f>IF($M318="","",IF(profit_kind="test",IF(OR(NOT(AND(ISNUMBER($N318),$N318&lt;significance_bar)),$M318=0),"in line",IF($M318&lt;0,"worse","better")),IF(OR($M318=0,IF(profit_kind="points",ABS($M318),ABS($M318*$H318))&lt;profit_line*(1-1E-9)),"in line",IF(AND(ISNUMBER($N318),$N318&lt;significance_bar),IF($M318&lt;0,"worse","better"),IF($M318&lt;0,"worse, not significant","better, not significant")))))</f>
        <v/>
      </c>
      <c r="Y318">
        <f>IF($V318,$X318,$W318)</f>
        <v/>
      </c>
      <c r="Z318">
        <f>IF($V318,IF($P318="","",$P318),IF($O318="","",$O318))</f>
        <v/>
      </c>
      <c r="AA318">
        <f>IF(OR($Q318="",$Z318=""),"",IF(AND($Z318&gt;0,$Z318&gt;=$Q318),"yes","below the line"))</f>
        <v/>
      </c>
      <c r="AB318">
        <f>IF($V318,IF($M318="","",$M318),IF($K318="","",$K318))</f>
        <v/>
      </c>
      <c r="AC318">
        <f>IF($V318,IF($N318="","",$N318),IF($L318="","",$L318))</f>
        <v/>
      </c>
      <c r="AD318">
        <f>IF($Y318="","",IF($Y318="in line",IF(profit_kind="test",IF(ROUND($AB318*100,2)=0,"0.00",TEXT($AB318*100,"+0.00;-0.00"))&amp;" points against "&amp;IF($V318,"its band","the book")&amp;", "&amp;IF($AC318="","not tested","not significant"),IF(profit_kind="points","within "&amp;TEXT(profit_line*100,"0.00")&amp;" points of "&amp;IF($V318,"its band","the book")&amp;" ("&amp;IF(ROUND($AB318*100,2)=0,"0.00",TEXT($AB318*100,"+0.00;-0.00"))&amp;")","within $"&amp;TEXT(profit_line,"#,##0")&amp;" of "&amp;IF($V318,"its band","the book")&amp;" ("&amp;IF(ROUND($AB318*100,2)=0,"0.00",TEXT($AB318*100,"+0.00;-0.00"))&amp;" points)")),IF(LEFT($Y318,5)="worse","short of ","ahead of ")&amp;IF($V318,"its band","the book")&amp;" by "&amp;TEXT(ABS($AB318)*100,"0.00")&amp;" points"&amp;IF($Z318="",""," ($"&amp;TEXT(ABS($Z318),"#,##0")&amp;")")&amp;IF(RIGHT($Y318,15)="not significant"," (not significant)","")))</f>
        <v/>
      </c>
      <c r="AE318">
        <f>IF($V318,IF($S318="","",$S318),IF($R318="","",$R318))</f>
        <v/>
      </c>
      <c r="AF318">
        <f>IF($V318,IF($U318="","",$U318),IF($T318="","",$T318))</f>
        <v/>
      </c>
      <c r="AG318">
        <f>IF($V318,IF($O318="","",$O318),IF($P318="","",$P318))</f>
        <v/>
      </c>
      <c r="AH318" t="n">
        <v>0.154586278276527</v>
      </c>
      <c r="AI318">
        <f>IF($Y318="worse","Yes",IF($Y318="worse, not significant","Not sure",IF(OR($Y318="too few losses to test",$Y318="too few loans to test"),"Too few losses",IF($Y318="","","No"))))</f>
        <v/>
      </c>
      <c r="AJ318">
        <f>IF($AA318="yes","Yes",IF($AA318="","","No"))</f>
        <v/>
      </c>
      <c r="AK318" t="n">
        <v>0.005250346635325544</v>
      </c>
      <c r="AL318" t="n">
        <v>0.006585852175420445</v>
      </c>
      <c r="AM318">
        <f>IF(AND(ISNUMBER($AC318),ISNUMBER(IF($V318,IF($AL318="","",$AL318),IF($AK318="","",$AK318)))),IF(AND(ABS($AC318-significance_bar)&lt;=2.0*IF($V318,IF($AL318="","",$AL318),IF($AK318="","",$AK318)),OR($Y318="worse",$Y318="better",$Y318="worse, not significant",$Y318="better, not significant",AND(profit_kind="test",$Y318="in line",ISNUMBER($AB318),$AB318&lt;&gt;0))),IF(ROUND($AC318,3)=ROUND(significance_bar,3),TEXT($AC318,"0.0000"),TEXT($AC318,"0.000")),""),"")</f>
        <v/>
      </c>
      <c r="AN318">
        <f>IF(AND(ISNUMBER($AC318),ISNUMBER(IF($V318,IF($AL318="","",$AL318),IF($AK318="","",$AK318)))),IF(AND(ABS($AC318-significance_bar)&lt;=2.0*IF($V318,IF($AL318="","",$AL318),IF($AK318="","",$AK318)),OR($Y318="worse",$Y318="worse, not significant",AND(profit_kind="test",$Y318="in line",ISNUMBER($AB318),$AB318&lt;0))),IF(ROUND($AC318,3)=ROUND(significance_bar,3),TEXT($AC318,"0.0000"),TEXT($AC318,"0.000")),""),"")</f>
        <v/>
      </c>
      <c r="AO318">
        <f>IF(OR($AI318="",$AN318=""),$AI318,$AI318&amp;" · borderline (p "&amp;$AN318&amp;")")</f>
        <v/>
      </c>
    </row>
    <row r="319">
      <c r="A319" t="inlineStr">
        <is>
          <t>three-way</t>
        </is>
      </c>
      <c r="B319" t="inlineStr">
        <is>
          <t>FICO x CHANNEL / REV_DEBT</t>
        </is>
      </c>
      <c r="C319" t="inlineStr">
        <is>
          <t>746 - 921</t>
        </is>
      </c>
      <c r="D319" t="inlineStr">
        <is>
          <t>Broker / REV_DEBT high half</t>
        </is>
      </c>
      <c r="E319" t="inlineStr">
        <is>
          <t>outcome_loans</t>
        </is>
      </c>
      <c r="F319" t="inlineStr">
        <is>
          <t>Outcome, share of loans</t>
        </is>
      </c>
      <c r="G319" t="n">
        <v>268</v>
      </c>
      <c r="H319" t="n">
        <v>268</v>
      </c>
      <c r="I319" t="b">
        <v>0</v>
      </c>
      <c r="J319" t="b">
        <v>0</v>
      </c>
      <c r="K319" t="n">
        <v>0.667534229678056</v>
      </c>
      <c r="L319" t="n">
        <v>0.168319370606903</v>
      </c>
      <c r="M319" t="n">
        <v>1.41806592039801</v>
      </c>
      <c r="N319" t="n">
        <v>0.4501821955874574</v>
      </c>
      <c r="O319" t="n">
        <v>-6.972707282369683</v>
      </c>
      <c r="P319" t="n">
        <v>4.127398311588641</v>
      </c>
      <c r="Q319">
        <f>'_live'!$C$20</f>
        <v/>
      </c>
      <c r="R319" t="inlineStr">
        <is>
          <t>z test</t>
        </is>
      </c>
      <c r="S319" t="inlineStr">
        <is>
          <t>z test</t>
        </is>
      </c>
      <c r="T319" t="n">
        <v>0.07825637045660329</v>
      </c>
      <c r="U319" t="n">
        <v>0.03683806600153492</v>
      </c>
      <c r="V319">
        <f>AND(judged_band,NOT($J319))</f>
        <v/>
      </c>
      <c r="W319">
        <f>IF($K319="","",IF($I319,"too few losses to test",IF(AND($K319&gt;better_at,$K319&lt;worse_at),"in line",IF($K319&gt;=worse_at,IF(AND(ISNUMBER($L319),$L319&lt;significance_bar),"worse","worse, not significant"),IF(AND(ISNUMBER($L319),$L319&lt;significance_bar),"better","better, not significant")))))</f>
        <v/>
      </c>
      <c r="X319">
        <f>IF($M319="","",IF($I319,"too few losses to test",IF(AND($M319&gt;better_at,$M319&lt;worse_at),"in line",IF($M319&gt;=worse_at,IF(AND(ISNUMBER($N319),$N319&lt;significance_bar),"worse","worse, not significant"),IF(AND(ISNUMBER($N319),$N319&lt;significance_bar),"better","better, not significant")))))</f>
        <v/>
      </c>
      <c r="Y319">
        <f>IF($V319,$X319,$W319)</f>
        <v/>
      </c>
      <c r="Z319">
        <f>IF($V319,IF($P319="","",$P319),IF($O319="","",$O319))</f>
        <v/>
      </c>
      <c r="AA319">
        <f>IF(OR($Q319="",$Z319=""),"",IF(AND($Z319&gt;0,$Z319&gt;=$Q319),"yes","below the line"))</f>
        <v/>
      </c>
      <c r="AB319">
        <f>IF($V319,IF($M319="","",$M319),IF($K319="","",$K319))</f>
        <v/>
      </c>
      <c r="AC319">
        <f>IF($V319,IF($N319="","",$N319),IF($L319="","",$L319))</f>
        <v/>
      </c>
      <c r="AD319">
        <f>$Y319</f>
        <v/>
      </c>
      <c r="AE319">
        <f>IF($V319,IF($S319="","",$S319),IF($R319="","",$R319))</f>
        <v/>
      </c>
      <c r="AF319">
        <f>IF($V319,IF($U319="","",$U319),IF($T319="","",$T319))</f>
        <v/>
      </c>
      <c r="AG319">
        <f>IF($V319,IF($O319="","",$O319),IF($P319="","",$P319))</f>
        <v/>
      </c>
      <c r="AH319" t="n">
        <v>0.05223880597014925</v>
      </c>
      <c r="AI319">
        <f>IF($Y319="worse","Yes",IF($Y319="worse, not significant","Not sure",IF(OR($Y319="too few losses to test",$Y319="too few loans to test"),"Too few losses",IF($Y319="","","No"))))</f>
        <v/>
      </c>
      <c r="AJ319">
        <f>IF($AA319="yes","Yes",IF($AA319="","","No"))</f>
        <v/>
      </c>
      <c r="AM319">
        <f>IF(AND(ISNUMBER($AC319),ISNUMBER(IF($V319,IF($AL319="","",$AL319),IF($AK319="","",$AK319)))),IF(AND(ABS($AC319-significance_bar)&lt;=2.0*IF($V319,IF($AL319="","",$AL319),IF($AK319="","",$AK319)),OR($Y319="worse",$Y319="better",$Y319="worse, not significant",$Y319="better, not significant")),IF(ROUND($AC319,3)=ROUND(significance_bar,3),TEXT($AC319,"0.0000"),TEXT($AC319,"0.000")),""),"")</f>
        <v/>
      </c>
      <c r="AN319">
        <f>IF(AND(ISNUMBER($AC319),ISNUMBER(IF($V319,IF($AL319="","",$AL319),IF($AK319="","",$AK319)))),IF(AND(ABS($AC319-significance_bar)&lt;=2.0*IF($V319,IF($AL319="","",$AL319),IF($AK319="","",$AK319)),OR($Y319="worse",$Y319="worse, not significant")),IF(ROUND($AC319,3)=ROUND(significance_bar,3),TEXT($AC319,"0.0000"),TEXT($AC319,"0.000")),""),"")</f>
        <v/>
      </c>
      <c r="AO319">
        <f>IF(OR($AI319="",$AN319=""),$AI319,$AI319&amp;" · borderline (p "&amp;$AN319&amp;")")</f>
        <v/>
      </c>
    </row>
    <row r="320">
      <c r="A320" t="inlineStr">
        <is>
          <t>three-way</t>
        </is>
      </c>
      <c r="B320" t="inlineStr">
        <is>
          <t>FICO x CHANNEL / REV_DEBT</t>
        </is>
      </c>
      <c r="C320" t="inlineStr">
        <is>
          <t>746 - 921</t>
        </is>
      </c>
      <c r="D320" t="inlineStr">
        <is>
          <t>Broker / REV_DEBT high half</t>
        </is>
      </c>
      <c r="E320" t="inlineStr">
        <is>
          <t>outcome_booked</t>
        </is>
      </c>
      <c r="F320" t="inlineStr">
        <is>
          <t>Outcome, share of booked dollars</t>
        </is>
      </c>
      <c r="G320" t="n">
        <v>268</v>
      </c>
      <c r="H320" t="n">
        <v>8093972.680000002</v>
      </c>
      <c r="I320" t="b">
        <v>0</v>
      </c>
      <c r="J320" t="b">
        <v>0</v>
      </c>
      <c r="K320" t="n">
        <v>0.6763995152971608</v>
      </c>
      <c r="L320" t="n">
        <v>0.24248200179982</v>
      </c>
      <c r="M320" t="n">
        <v>1.499442581014647</v>
      </c>
      <c r="N320" t="n">
        <v>0.4449009644490097</v>
      </c>
      <c r="O320" t="n">
        <v>-198002.6574230734</v>
      </c>
      <c r="P320" t="n">
        <v>137854.4753805783</v>
      </c>
      <c r="Q320">
        <f>'_live'!$C$21</f>
        <v/>
      </c>
      <c r="R320" t="inlineStr">
        <is>
          <t>shuffled: 1,686 of 10,000</t>
        </is>
      </c>
      <c r="S320" t="inlineStr">
        <is>
          <t>shuffled: 2,127 of 10,000</t>
        </is>
      </c>
      <c r="T320" t="n">
        <v>0.07559622716975531</v>
      </c>
      <c r="U320" t="n">
        <v>0.03410150682883471</v>
      </c>
      <c r="V320">
        <f>AND(judged_band,NOT($J320))</f>
        <v/>
      </c>
      <c r="W320">
        <f>IF($K320="","",IF($I320,"too few losses to test",IF(AND($K320&gt;better_at,$K320&lt;worse_at),"in line",IF($K320&gt;=worse_at,IF(AND(ISNUMBER($L320),$L320&lt;significance_bar),"worse","worse, not significant"),IF(AND(ISNUMBER($L320),$L320&lt;significance_bar),"better","better, not significant")))))</f>
        <v/>
      </c>
      <c r="X320">
        <f>IF($M320="","",IF($I320,"too few losses to test",IF(AND($M320&gt;better_at,$M320&lt;worse_at),"in line",IF($M320&gt;=worse_at,IF(AND(ISNUMBER($N320),$N320&lt;significance_bar),"worse","worse, not significant"),IF(AND(ISNUMBER($N320),$N320&lt;significance_bar),"better","better, not significant")))))</f>
        <v/>
      </c>
      <c r="Y320">
        <f>IF($V320,$X320,$W320)</f>
        <v/>
      </c>
      <c r="Z320">
        <f>IF($V320,IF($P320="","",$P320),IF($O320="","",$O320))</f>
        <v/>
      </c>
      <c r="AA320">
        <f>IF(OR($Q320="",$Z320=""),"",IF(AND($Z320&gt;0,$Z320&gt;=$Q320),"yes","below the line"))</f>
        <v/>
      </c>
      <c r="AB320">
        <f>IF($V320,IF($M320="","",$M320),IF($K320="","",$K320))</f>
        <v/>
      </c>
      <c r="AC320">
        <f>IF($V320,IF($N320="","",$N320),IF($L320="","",$L320))</f>
        <v/>
      </c>
      <c r="AD320">
        <f>$Y320</f>
        <v/>
      </c>
      <c r="AE320">
        <f>IF($V320,IF($S320="","",$S320),IF($R320="","",$R320))</f>
        <v/>
      </c>
      <c r="AF320">
        <f>IF($V320,IF($U320="","",$U320),IF($T320="","",$T320))</f>
        <v/>
      </c>
      <c r="AG320">
        <f>IF($V320,IF($O320="","",$O320),IF($P320="","",$P320))</f>
        <v/>
      </c>
      <c r="AH320" t="n">
        <v>0.05113325141591655</v>
      </c>
      <c r="AI320">
        <f>IF($Y320="worse","Yes",IF($Y320="worse, not significant","Not sure",IF(OR($Y320="too few losses to test",$Y320="too few loans to test"),"Too few losses",IF($Y320="","","No"))))</f>
        <v/>
      </c>
      <c r="AJ320">
        <f>IF($AA320="yes","Yes",IF($AA320="","","No"))</f>
        <v/>
      </c>
      <c r="AK320" t="n">
        <v>0.005383032197473775</v>
      </c>
      <c r="AL320" t="n">
        <v>0.008557514843416852</v>
      </c>
      <c r="AM320">
        <f>IF(AND(ISNUMBER($AC320),ISNUMBER(IF($V320,IF($AL320="","",$AL320),IF($AK320="","",$AK320)))),IF(AND(ABS($AC320-significance_bar)&lt;=2.0*IF($V320,IF($AL320="","",$AL320),IF($AK320="","",$AK320)),OR($Y320="worse",$Y320="better",$Y320="worse, not significant",$Y320="better, not significant")),IF(ROUND($AC320,3)=ROUND(significance_bar,3),TEXT($AC320,"0.0000"),TEXT($AC320,"0.000")),""),"")</f>
        <v/>
      </c>
      <c r="AN320">
        <f>IF(AND(ISNUMBER($AC320),ISNUMBER(IF($V320,IF($AL320="","",$AL320),IF($AK320="","",$AK320)))),IF(AND(ABS($AC320-significance_bar)&lt;=2.0*IF($V320,IF($AL320="","",$AL320),IF($AK320="","",$AK320)),OR($Y320="worse",$Y320="worse, not significant")),IF(ROUND($AC320,3)=ROUND(significance_bar,3),TEXT($AC320,"0.0000"),TEXT($AC320,"0.000")),""),"")</f>
        <v/>
      </c>
      <c r="AO320">
        <f>IF(OR($AI320="",$AN320=""),$AI320,$AI320&amp;" · borderline (p "&amp;$AN320&amp;")")</f>
        <v/>
      </c>
    </row>
    <row r="321">
      <c r="A321" t="inlineStr">
        <is>
          <t>three-way</t>
        </is>
      </c>
      <c r="B321" t="inlineStr">
        <is>
          <t>FICO x CHANNEL / REV_DEBT</t>
        </is>
      </c>
      <c r="C321" t="inlineStr">
        <is>
          <t>746 - 921</t>
        </is>
      </c>
      <c r="D321" t="inlineStr">
        <is>
          <t>Broker / REV_DEBT high half</t>
        </is>
      </c>
      <c r="E321" t="inlineStr">
        <is>
          <t>gco_rate</t>
        </is>
      </c>
      <c r="F321" t="inlineStr">
        <is>
          <t>GCO per booked dollar</t>
        </is>
      </c>
      <c r="G321" t="n">
        <v>268</v>
      </c>
      <c r="H321" t="n">
        <v>8093972.680000002</v>
      </c>
      <c r="I321" t="b">
        <v>0</v>
      </c>
      <c r="J321" t="b">
        <v>0</v>
      </c>
      <c r="K321" t="n">
        <v>0.6666990571475226</v>
      </c>
      <c r="L321" t="n">
        <v>0.2297064411205938</v>
      </c>
      <c r="M321" t="n">
        <v>1.578025565847082</v>
      </c>
      <c r="N321" t="n">
        <v>0.326149203261492</v>
      </c>
      <c r="O321" t="n">
        <v>-113425.6007994672</v>
      </c>
      <c r="P321" t="n">
        <v>83106.96061388188</v>
      </c>
      <c r="Q321">
        <f>'_live'!$C$22</f>
        <v/>
      </c>
      <c r="R321" t="inlineStr">
        <is>
          <t>shuffled: 1,697 of 10,000</t>
        </is>
      </c>
      <c r="S321" t="inlineStr">
        <is>
          <t>shuffled: 1,559 of 10,000</t>
        </is>
      </c>
      <c r="T321" t="n">
        <v>0.04204485044042267</v>
      </c>
      <c r="U321" t="n">
        <v>0.01776350317334134</v>
      </c>
      <c r="V321">
        <f>AND(judged_band,NOT($J321))</f>
        <v/>
      </c>
      <c r="W321">
        <f>IF($K321="","",IF($I321,"too few losses to test",IF(AND($K321&gt;better_at,$K321&lt;worse_at),"in line",IF($K321&gt;=worse_at,IF(AND(ISNUMBER($L321),$L321&lt;significance_bar),"worse","worse, not significant"),IF(AND(ISNUMBER($L321),$L321&lt;significance_bar),"better","better, not significant")))))</f>
        <v/>
      </c>
      <c r="X321">
        <f>IF($M321="","",IF($I321,"too few losses to test",IF(AND($M321&gt;better_at,$M321&lt;worse_at),"in line",IF($M321&gt;=worse_at,IF(AND(ISNUMBER($N321),$N321&lt;significance_bar),"worse","worse, not significant"),IF(AND(ISNUMBER($N321),$N321&lt;significance_bar),"better","better, not significant")))))</f>
        <v/>
      </c>
      <c r="Y321">
        <f>IF($V321,$X321,$W321)</f>
        <v/>
      </c>
      <c r="Z321">
        <f>IF($V321,IF($P321="","",$P321),IF($O321="","",$O321))</f>
        <v/>
      </c>
      <c r="AA321">
        <f>IF(OR($Q321="",$Z321=""),"",IF(AND($Z321&gt;0,$Z321&gt;=$Q321),"yes","below the line"))</f>
        <v/>
      </c>
      <c r="AB321">
        <f>IF($V321,IF($M321="","",$M321),IF($K321="","",$K321))</f>
        <v/>
      </c>
      <c r="AC321">
        <f>IF($V321,IF($N321="","",$N321),IF($L321="","",$L321))</f>
        <v/>
      </c>
      <c r="AD321">
        <f>$Y321</f>
        <v/>
      </c>
      <c r="AE321">
        <f>IF($V321,IF($S321="","",$S321),IF($R321="","",$R321))</f>
        <v/>
      </c>
      <c r="AF321">
        <f>IF($V321,IF($U321="","",$U321),IF($T321="","",$T321))</f>
        <v/>
      </c>
      <c r="AG321">
        <f>IF($V321,IF($O321="","",$O321),IF($P321="","",$P321))</f>
        <v/>
      </c>
      <c r="AH321" t="n">
        <v>0.0280312621465384</v>
      </c>
      <c r="AI321">
        <f>IF($Y321="worse","Yes",IF($Y321="worse, not significant","Not sure",IF(OR($Y321="too few losses to test",$Y321="too few loans to test"),"Too few losses",IF($Y321="","","No"))))</f>
        <v/>
      </c>
      <c r="AJ321">
        <f>IF($AA321="yes","Yes",IF($AA321="","","No"))</f>
        <v/>
      </c>
      <c r="AK321" t="n">
        <v>0.005079510346483009</v>
      </c>
      <c r="AL321" t="n">
        <v>0.0075866661406978</v>
      </c>
      <c r="AM321">
        <f>IF(AND(ISNUMBER($AC321),ISNUMBER(IF($V321,IF($AL321="","",$AL321),IF($AK321="","",$AK321)))),IF(AND(ABS($AC321-significance_bar)&lt;=2.0*IF($V321,IF($AL321="","",$AL321),IF($AK321="","",$AK321)),OR($Y321="worse",$Y321="better",$Y321="worse, not significant",$Y321="better, not significant")),IF(ROUND($AC321,3)=ROUND(significance_bar,3),TEXT($AC321,"0.0000"),TEXT($AC321,"0.000")),""),"")</f>
        <v/>
      </c>
      <c r="AN321">
        <f>IF(AND(ISNUMBER($AC321),ISNUMBER(IF($V321,IF($AL321="","",$AL321),IF($AK321="","",$AK321)))),IF(AND(ABS($AC321-significance_bar)&lt;=2.0*IF($V321,IF($AL321="","",$AL321),IF($AK321="","",$AK321)),OR($Y321="worse",$Y321="worse, not significant")),IF(ROUND($AC321,3)=ROUND(significance_bar,3),TEXT($AC321,"0.0000"),TEXT($AC321,"0.000")),""),"")</f>
        <v/>
      </c>
      <c r="AO321">
        <f>IF(OR($AI321="",$AN321=""),$AI321,$AI321&amp;" · borderline (p "&amp;$AN321&amp;")")</f>
        <v/>
      </c>
    </row>
    <row r="322">
      <c r="A322" t="inlineStr">
        <is>
          <t>three-way</t>
        </is>
      </c>
      <c r="B322" t="inlineStr">
        <is>
          <t>FICO x CHANNEL / REV_DEBT</t>
        </is>
      </c>
      <c r="C322" t="inlineStr">
        <is>
          <t>746 - 921</t>
        </is>
      </c>
      <c r="D322" t="inlineStr">
        <is>
          <t>Broker / REV_DEBT high half</t>
        </is>
      </c>
      <c r="E322" t="inlineStr">
        <is>
          <t>ranr_rate</t>
        </is>
      </c>
      <c r="F322" t="inlineStr">
        <is>
          <t>Profit after losses: RANR per booked dollar</t>
        </is>
      </c>
      <c r="G322" t="n">
        <v>268</v>
      </c>
      <c r="H322" t="n">
        <v>8093972.680000002</v>
      </c>
      <c r="I322" t="b">
        <v>0</v>
      </c>
      <c r="J322" t="b">
        <v>0</v>
      </c>
      <c r="K322" t="n">
        <v>-0.08703876363790911</v>
      </c>
      <c r="L322" t="n">
        <v>0.0002466420024664201</v>
      </c>
      <c r="M322" t="n">
        <v>-0.003646414101735961</v>
      </c>
      <c r="N322" t="n">
        <v>0.8927107289271073</v>
      </c>
      <c r="O322" t="n">
        <v>704489.3749862139</v>
      </c>
      <c r="P322" t="n">
        <v>29513.97611941758</v>
      </c>
      <c r="Q322">
        <f>'_live'!$C$23</f>
        <v/>
      </c>
      <c r="R322" t="inlineStr">
        <is>
          <t>shuffled: 0 of 10,000</t>
        </is>
      </c>
      <c r="S322" t="inlineStr">
        <is>
          <t>shuffled: 6,376 of 10,000</t>
        </is>
      </c>
      <c r="T322" t="n">
        <v>0.1307199044049916</v>
      </c>
      <c r="U322" t="n">
        <v>0.04732755486881848</v>
      </c>
      <c r="V322">
        <f>AND(judged_band,NOT($J322))</f>
        <v/>
      </c>
      <c r="W322">
        <f>IF($K322="","",IF(profit_kind="test",IF(OR(NOT(AND(ISNUMBER($L322),$L322&lt;significance_bar)),$K322=0),"in line",IF($K322&lt;0,"worse","better")),IF(OR($K322=0,IF(profit_kind="points",ABS($K322),ABS($K322*$H322))&lt;profit_line*(1-1E-9)),"in line",IF(AND(ISNUMBER($L322),$L322&lt;significance_bar),IF($K322&lt;0,"worse","better"),IF($K322&lt;0,"worse, not significant","better, not significant")))))</f>
        <v/>
      </c>
      <c r="X322">
        <f>IF($M322="","",IF(profit_kind="test",IF(OR(NOT(AND(ISNUMBER($N322),$N322&lt;significance_bar)),$M322=0),"in line",IF($M322&lt;0,"worse","better")),IF(OR($M322=0,IF(profit_kind="points",ABS($M322),ABS($M322*$H322))&lt;profit_line*(1-1E-9)),"in line",IF(AND(ISNUMBER($N322),$N322&lt;significance_bar),IF($M322&lt;0,"worse","better"),IF($M322&lt;0,"worse, not significant","better, not significant")))))</f>
        <v/>
      </c>
      <c r="Y322">
        <f>IF($V322,$X322,$W322)</f>
        <v/>
      </c>
      <c r="Z322">
        <f>IF($V322,IF($P322="","",$P322),IF($O322="","",$O322))</f>
        <v/>
      </c>
      <c r="AA322">
        <f>IF(OR($Q322="",$Z322=""),"",IF(AND($Z322&gt;0,$Z322&gt;=$Q322),"yes","below the line"))</f>
        <v/>
      </c>
      <c r="AB322">
        <f>IF($V322,IF($M322="","",$M322),IF($K322="","",$K322))</f>
        <v/>
      </c>
      <c r="AC322">
        <f>IF($V322,IF($N322="","",$N322),IF($L322="","",$L322))</f>
        <v/>
      </c>
      <c r="AD322">
        <f>IF($Y322="","",IF($Y322="in line",IF(profit_kind="test",IF(ROUND($AB322*100,2)=0,"0.00",TEXT($AB322*100,"+0.00;-0.00"))&amp;" points against "&amp;IF($V322,"its band","the book")&amp;", "&amp;IF($AC322="","not tested","not significant"),IF(profit_kind="points","within "&amp;TEXT(profit_line*100,"0.00")&amp;" points of "&amp;IF($V322,"its band","the book")&amp;" ("&amp;IF(ROUND($AB322*100,2)=0,"0.00",TEXT($AB322*100,"+0.00;-0.00"))&amp;")","within $"&amp;TEXT(profit_line,"#,##0")&amp;" of "&amp;IF($V322,"its band","the book")&amp;" ("&amp;IF(ROUND($AB322*100,2)=0,"0.00",TEXT($AB322*100,"+0.00;-0.00"))&amp;" points)")),IF(LEFT($Y322,5)="worse","short of ","ahead of ")&amp;IF($V322,"its band","the book")&amp;" by "&amp;TEXT(ABS($AB322)*100,"0.00")&amp;" points"&amp;IF($Z322="",""," ($"&amp;TEXT(ABS($Z322),"#,##0")&amp;")")&amp;IF(RIGHT($Y322,15)="not significant"," (not significant)","")))</f>
        <v/>
      </c>
      <c r="AE322">
        <f>IF($V322,IF($S322="","",$S322),IF($R322="","",$R322))</f>
        <v/>
      </c>
      <c r="AF322">
        <f>IF($V322,IF($U322="","",$U322),IF($T322="","",$T322))</f>
        <v/>
      </c>
      <c r="AG322">
        <f>IF($V322,IF($O322="","",$O322),IF($P322="","",$P322))</f>
        <v/>
      </c>
      <c r="AH322" t="n">
        <v>0.04368114076708252</v>
      </c>
      <c r="AI322">
        <f>IF($Y322="worse","Yes",IF($Y322="worse, not significant","Not sure",IF(OR($Y322="too few losses to test",$Y322="too few loans to test"),"Too few losses",IF($Y322="","","No"))))</f>
        <v/>
      </c>
      <c r="AJ322">
        <f>IF($AA322="yes","Yes",IF($AA322="","","No"))</f>
        <v/>
      </c>
      <c r="AK322" t="n">
        <v>0.0002466420024664201</v>
      </c>
      <c r="AL322" t="n">
        <v>0.005237560779322389</v>
      </c>
      <c r="AM322">
        <f>IF(AND(ISNUMBER($AC322),ISNUMBER(IF($V322,IF($AL322="","",$AL322),IF($AK322="","",$AK322)))),IF(AND(ABS($AC322-significance_bar)&lt;=2.0*IF($V322,IF($AL322="","",$AL322),IF($AK322="","",$AK322)),OR($Y322="worse",$Y322="better",$Y322="worse, not significant",$Y322="better, not significant",AND(profit_kind="test",$Y322="in line",ISNUMBER($AB322),$AB322&lt;&gt;0))),IF(ROUND($AC322,3)=ROUND(significance_bar,3),TEXT($AC322,"0.0000"),TEXT($AC322,"0.000")),""),"")</f>
        <v/>
      </c>
      <c r="AN322">
        <f>IF(AND(ISNUMBER($AC322),ISNUMBER(IF($V322,IF($AL322="","",$AL322),IF($AK322="","",$AK322)))),IF(AND(ABS($AC322-significance_bar)&lt;=2.0*IF($V322,IF($AL322="","",$AL322),IF($AK322="","",$AK322)),OR($Y322="worse",$Y322="worse, not significant",AND(profit_kind="test",$Y322="in line",ISNUMBER($AB322),$AB322&lt;0))),IF(ROUND($AC322,3)=ROUND(significance_bar,3),TEXT($AC322,"0.0000"),TEXT($AC322,"0.000")),""),"")</f>
        <v/>
      </c>
      <c r="AO322">
        <f>IF(OR($AI322="",$AN322=""),$AI322,$AI322&amp;" · borderline (p "&amp;$AN322&amp;")")</f>
        <v/>
      </c>
    </row>
    <row r="323">
      <c r="A323" t="inlineStr">
        <is>
          <t>three-way</t>
        </is>
      </c>
      <c r="B323" t="inlineStr">
        <is>
          <t>FICO x CHANNEL / REV_DEBT</t>
        </is>
      </c>
      <c r="C323" t="inlineStr">
        <is>
          <t>746 - 921</t>
        </is>
      </c>
      <c r="D323" t="inlineStr">
        <is>
          <t>Broker / REV_DEBT high half</t>
        </is>
      </c>
      <c r="E323" t="inlineStr">
        <is>
          <t>contribution_rate</t>
        </is>
      </c>
      <c r="F323" t="inlineStr">
        <is>
          <t>Contribution before losses per booked dollar</t>
        </is>
      </c>
      <c r="G323" t="n">
        <v>268</v>
      </c>
      <c r="H323" t="n">
        <v>8093972.680000002</v>
      </c>
      <c r="I323" t="b">
        <v>0</v>
      </c>
      <c r="J323" t="b">
        <v>0</v>
      </c>
      <c r="K323" t="n">
        <v>-0.1010498335344674</v>
      </c>
      <c r="L323" t="n">
        <v>0.0001761728589045857</v>
      </c>
      <c r="M323" t="n">
        <v>0.006621344871461141</v>
      </c>
      <c r="N323" t="n">
        <v>0.0101989801019898</v>
      </c>
      <c r="O323" t="n">
        <v>817894.5919465275</v>
      </c>
      <c r="P323" t="n">
        <v>-53592.98449446459</v>
      </c>
      <c r="Q323">
        <f>'_live'!$C$24</f>
        <v/>
      </c>
      <c r="R323" t="inlineStr">
        <is>
          <t>shuffled: 0 of 10,000</t>
        </is>
      </c>
      <c r="S323" t="inlineStr">
        <is>
          <t>shuffled: 33 of 10,000</t>
        </is>
      </c>
      <c r="T323" t="n">
        <v>0.1727622364480884</v>
      </c>
      <c r="U323" t="n">
        <v>0.06509105804215978</v>
      </c>
      <c r="V323">
        <f>AND(judged_band,NOT($J323))</f>
        <v/>
      </c>
      <c r="W323">
        <f>IF($K323="","",IF(profit_kind="test",IF(OR(NOT(AND(ISNUMBER($L323),$L323&lt;significance_bar)),$K323=0),"in line",IF($K323&lt;0,"worse","better")),IF(OR($K323=0,IF(profit_kind="points",ABS($K323),ABS($K323*$H323))&lt;profit_line*(1-1E-9)),"in line",IF(AND(ISNUMBER($L323),$L323&lt;significance_bar),IF($K323&lt;0,"worse","better"),IF($K323&lt;0,"worse, not significant","better, not significant")))))</f>
        <v/>
      </c>
      <c r="X323">
        <f>IF($M323="","",IF(profit_kind="test",IF(OR(NOT(AND(ISNUMBER($N323),$N323&lt;significance_bar)),$M323=0),"in line",IF($M323&lt;0,"worse","better")),IF(OR($M323=0,IF(profit_kind="points",ABS($M323),ABS($M323*$H323))&lt;profit_line*(1-1E-9)),"in line",IF(AND(ISNUMBER($N323),$N323&lt;significance_bar),IF($M323&lt;0,"worse","better"),IF($M323&lt;0,"worse, not significant","better, not significant")))))</f>
        <v/>
      </c>
      <c r="Y323">
        <f>IF($V323,$X323,$W323)</f>
        <v/>
      </c>
      <c r="Z323">
        <f>IF($V323,IF($P323="","",$P323),IF($O323="","",$O323))</f>
        <v/>
      </c>
      <c r="AA323">
        <f>IF(OR($Q323="",$Z323=""),"",IF(AND($Z323&gt;0,$Z323&gt;=$Q323),"yes","below the line"))</f>
        <v/>
      </c>
      <c r="AB323">
        <f>IF($V323,IF($M323="","",$M323),IF($K323="","",$K323))</f>
        <v/>
      </c>
      <c r="AC323">
        <f>IF($V323,IF($N323="","",$N323),IF($L323="","",$L323))</f>
        <v/>
      </c>
      <c r="AD323">
        <f>IF($Y323="","",IF($Y323="in line",IF(profit_kind="test",IF(ROUND($AB323*100,2)=0,"0.00",TEXT($AB323*100,"+0.00;-0.00"))&amp;" points against "&amp;IF($V323,"its band","the book")&amp;", "&amp;IF($AC323="","not tested","not significant"),IF(profit_kind="points","within "&amp;TEXT(profit_line*100,"0.00")&amp;" points of "&amp;IF($V323,"its band","the book")&amp;" ("&amp;IF(ROUND($AB323*100,2)=0,"0.00",TEXT($AB323*100,"+0.00;-0.00"))&amp;")","within $"&amp;TEXT(profit_line,"#,##0")&amp;" of "&amp;IF($V323,"its band","the book")&amp;" ("&amp;IF(ROUND($AB323*100,2)=0,"0.00",TEXT($AB323*100,"+0.00;-0.00"))&amp;" points)")),IF(LEFT($Y323,5)="worse","short of ","ahead of ")&amp;IF($V323,"its band","the book")&amp;" by "&amp;TEXT(ABS($AB323)*100,"0.00")&amp;" points"&amp;IF($Z323="",""," ($"&amp;TEXT(ABS($Z323),"#,##0")&amp;")")&amp;IF(RIGHT($Y323,15)="not significant"," (not significant)","")))</f>
        <v/>
      </c>
      <c r="AE323">
        <f>IF($V323,IF($S323="","",$S323),IF($R323="","",$R323))</f>
        <v/>
      </c>
      <c r="AF323">
        <f>IF($V323,IF($U323="","",$U323),IF($T323="","",$T323))</f>
        <v/>
      </c>
      <c r="AG323">
        <f>IF($V323,IF($O323="","",$O323),IF($P323="","",$P323))</f>
        <v/>
      </c>
      <c r="AH323" t="n">
        <v>0.07171240291362092</v>
      </c>
      <c r="AI323">
        <f>IF($Y323="worse","Yes",IF($Y323="worse, not significant","Not sure",IF(OR($Y323="too few losses to test",$Y323="too few loans to test"),"Too few losses",IF($Y323="","","No"))))</f>
        <v/>
      </c>
      <c r="AJ323">
        <f>IF($AA323="yes","Yes",IF($AA323="","","No"))</f>
        <v/>
      </c>
      <c r="AK323" t="n">
        <v>0.0001761728589045857</v>
      </c>
      <c r="AL323" t="n">
        <v>0.001746222239889545</v>
      </c>
      <c r="AM323">
        <f>IF(AND(ISNUMBER($AC323),ISNUMBER(IF($V323,IF($AL323="","",$AL323),IF($AK323="","",$AK323)))),IF(AND(ABS($AC323-significance_bar)&lt;=2.0*IF($V323,IF($AL323="","",$AL323),IF($AK323="","",$AK323)),OR($Y323="worse",$Y323="better",$Y323="worse, not significant",$Y323="better, not significant",AND(profit_kind="test",$Y323="in line",ISNUMBER($AB323),$AB323&lt;&gt;0))),IF(ROUND($AC323,3)=ROUND(significance_bar,3),TEXT($AC323,"0.0000"),TEXT($AC323,"0.000")),""),"")</f>
        <v/>
      </c>
      <c r="AN323">
        <f>IF(AND(ISNUMBER($AC323),ISNUMBER(IF($V323,IF($AL323="","",$AL323),IF($AK323="","",$AK323)))),IF(AND(ABS($AC323-significance_bar)&lt;=2.0*IF($V323,IF($AL323="","",$AL323),IF($AK323="","",$AK323)),OR($Y323="worse",$Y323="worse, not significant",AND(profit_kind="test",$Y323="in line",ISNUMBER($AB323),$AB323&lt;0))),IF(ROUND($AC323,3)=ROUND(significance_bar,3),TEXT($AC323,"0.0000"),TEXT($AC323,"0.000")),""),"")</f>
        <v/>
      </c>
      <c r="AO323">
        <f>IF(OR($AI323="",$AN323=""),$AI323,$AI323&amp;" · borderline (p "&amp;$AN323&amp;")")</f>
        <v/>
      </c>
    </row>
    <row r="324">
      <c r="A324" t="inlineStr">
        <is>
          <t>three-way</t>
        </is>
      </c>
      <c r="B324" t="inlineStr">
        <is>
          <t>FICO x CHANNEL / REV_DEBT</t>
        </is>
      </c>
      <c r="C324" t="inlineStr">
        <is>
          <t>746 - 921</t>
        </is>
      </c>
      <c r="D324" t="inlineStr">
        <is>
          <t>Branch / REV_DEBT high half</t>
        </is>
      </c>
      <c r="E324" t="inlineStr">
        <is>
          <t>outcome_loans</t>
        </is>
      </c>
      <c r="F324" t="inlineStr">
        <is>
          <t>Outcome, share of loans</t>
        </is>
      </c>
      <c r="G324" t="n">
        <v>259</v>
      </c>
      <c r="H324" t="n">
        <v>259</v>
      </c>
      <c r="I324" t="b">
        <v>0</v>
      </c>
      <c r="J324" t="b">
        <v>0</v>
      </c>
      <c r="K324" t="n">
        <v>0.641079551970641</v>
      </c>
      <c r="L324" t="n">
        <v>0.168319370606903</v>
      </c>
      <c r="M324" t="n">
        <v>1.343944527617997</v>
      </c>
      <c r="N324" t="n">
        <v>0.5088932578455794</v>
      </c>
      <c r="O324" t="n">
        <v>-7.278294573643411</v>
      </c>
      <c r="P324" t="n">
        <v>3.326981707317074</v>
      </c>
      <c r="Q324">
        <f>'_live'!$C$20</f>
        <v/>
      </c>
      <c r="R324" t="inlineStr">
        <is>
          <t>z test</t>
        </is>
      </c>
      <c r="S324" t="inlineStr">
        <is>
          <t>z test</t>
        </is>
      </c>
      <c r="T324" t="n">
        <v>0.07829457364341086</v>
      </c>
      <c r="U324" t="n">
        <v>0.03734756097560975</v>
      </c>
      <c r="V324">
        <f>AND(judged_band,NOT($J324))</f>
        <v/>
      </c>
      <c r="W324">
        <f>IF($K324="","",IF($I324,"too few losses to test",IF(AND($K324&gt;better_at,$K324&lt;worse_at),"in line",IF($K324&gt;=worse_at,IF(AND(ISNUMBER($L324),$L324&lt;significance_bar),"worse","worse, not significant"),IF(AND(ISNUMBER($L324),$L324&lt;significance_bar),"better","better, not significant")))))</f>
        <v/>
      </c>
      <c r="X324">
        <f>IF($M324="","",IF($I324,"too few losses to test",IF(AND($M324&gt;better_at,$M324&lt;worse_at),"in line",IF($M324&gt;=worse_at,IF(AND(ISNUMBER($N324),$N324&lt;significance_bar),"worse","worse, not significant"),IF(AND(ISNUMBER($N324),$N324&lt;significance_bar),"better","better, not significant")))))</f>
        <v/>
      </c>
      <c r="Y324">
        <f>IF($V324,$X324,$W324)</f>
        <v/>
      </c>
      <c r="Z324">
        <f>IF($V324,IF($P324="","",$P324),IF($O324="","",$O324))</f>
        <v/>
      </c>
      <c r="AA324">
        <f>IF(OR($Q324="",$Z324=""),"",IF(AND($Z324&gt;0,$Z324&gt;=$Q324),"yes","below the line"))</f>
        <v/>
      </c>
      <c r="AB324">
        <f>IF($V324,IF($M324="","",$M324),IF($K324="","",$K324))</f>
        <v/>
      </c>
      <c r="AC324">
        <f>IF($V324,IF($N324="","",$N324),IF($L324="","",$L324))</f>
        <v/>
      </c>
      <c r="AD324">
        <f>$Y324</f>
        <v/>
      </c>
      <c r="AE324">
        <f>IF($V324,IF($S324="","",$S324),IF($R324="","",$R324))</f>
        <v/>
      </c>
      <c r="AF324">
        <f>IF($V324,IF($U324="","",$U324),IF($T324="","",$T324))</f>
        <v/>
      </c>
      <c r="AG324">
        <f>IF($V324,IF($O324="","",$O324),IF($P324="","",$P324))</f>
        <v/>
      </c>
      <c r="AH324" t="n">
        <v>0.05019305019305019</v>
      </c>
      <c r="AI324">
        <f>IF($Y324="worse","Yes",IF($Y324="worse, not significant","Not sure",IF(OR($Y324="too few losses to test",$Y324="too few loans to test"),"Too few losses",IF($Y324="","","No"))))</f>
        <v/>
      </c>
      <c r="AJ324">
        <f>IF($AA324="yes","Yes",IF($AA324="","","No"))</f>
        <v/>
      </c>
      <c r="AM324">
        <f>IF(AND(ISNUMBER($AC324),ISNUMBER(IF($V324,IF($AL324="","",$AL324),IF($AK324="","",$AK324)))),IF(AND(ABS($AC324-significance_bar)&lt;=2.0*IF($V324,IF($AL324="","",$AL324),IF($AK324="","",$AK324)),OR($Y324="worse",$Y324="better",$Y324="worse, not significant",$Y324="better, not significant")),IF(ROUND($AC324,3)=ROUND(significance_bar,3),TEXT($AC324,"0.0000"),TEXT($AC324,"0.000")),""),"")</f>
        <v/>
      </c>
      <c r="AN324">
        <f>IF(AND(ISNUMBER($AC324),ISNUMBER(IF($V324,IF($AL324="","",$AL324),IF($AK324="","",$AK324)))),IF(AND(ABS($AC324-significance_bar)&lt;=2.0*IF($V324,IF($AL324="","",$AL324),IF($AK324="","",$AK324)),OR($Y324="worse",$Y324="worse, not significant")),IF(ROUND($AC324,3)=ROUND(significance_bar,3),TEXT($AC324,"0.0000"),TEXT($AC324,"0.000")),""),"")</f>
        <v/>
      </c>
      <c r="AO324">
        <f>IF(OR($AI324="",$AN324=""),$AI324,$AI324&amp;" · borderline (p "&amp;$AN324&amp;")")</f>
        <v/>
      </c>
    </row>
    <row r="325">
      <c r="A325" t="inlineStr">
        <is>
          <t>three-way</t>
        </is>
      </c>
      <c r="B325" t="inlineStr">
        <is>
          <t>FICO x CHANNEL / REV_DEBT</t>
        </is>
      </c>
      <c r="C325" t="inlineStr">
        <is>
          <t>746 - 921</t>
        </is>
      </c>
      <c r="D325" t="inlineStr">
        <is>
          <t>Branch / REV_DEBT high half</t>
        </is>
      </c>
      <c r="E325" t="inlineStr">
        <is>
          <t>outcome_booked</t>
        </is>
      </c>
      <c r="F325" t="inlineStr">
        <is>
          <t>Outcome, share of booked dollars</t>
        </is>
      </c>
      <c r="G325" t="n">
        <v>259</v>
      </c>
      <c r="H325" t="n">
        <v>8314870.610000003</v>
      </c>
      <c r="I325" t="b">
        <v>0</v>
      </c>
      <c r="J325" t="b">
        <v>0</v>
      </c>
      <c r="K325" t="n">
        <v>0.5817814014619224</v>
      </c>
      <c r="L325" t="n">
        <v>0.1212745392127454</v>
      </c>
      <c r="M325" t="n">
        <v>1.246851560495764</v>
      </c>
      <c r="N325" t="n">
        <v>0.7678357164283571</v>
      </c>
      <c r="O325" t="n">
        <v>-263767.1490413808</v>
      </c>
      <c r="P325" t="n">
        <v>72643.76088381652</v>
      </c>
      <c r="Q325">
        <f>'_live'!$C$21</f>
        <v/>
      </c>
      <c r="R325" t="inlineStr">
        <is>
          <t>shuffled: 790 of 10,000</t>
        </is>
      </c>
      <c r="S325" t="inlineStr">
        <is>
          <t>shuffled: 5,341 of 10,000</t>
        </is>
      </c>
      <c r="T325" t="n">
        <v>0.07585109722367413</v>
      </c>
      <c r="U325" t="n">
        <v>0.03539215015111142</v>
      </c>
      <c r="V325">
        <f>AND(judged_band,NOT($J325))</f>
        <v/>
      </c>
      <c r="W325">
        <f>IF($K325="","",IF($I325,"too few losses to test",IF(AND($K325&gt;better_at,$K325&lt;worse_at),"in line",IF($K325&gt;=worse_at,IF(AND(ISNUMBER($L325),$L325&lt;significance_bar),"worse","worse, not significant"),IF(AND(ISNUMBER($L325),$L325&lt;significance_bar),"better","better, not significant")))))</f>
        <v/>
      </c>
      <c r="X325">
        <f>IF($M325="","",IF($I325,"too few losses to test",IF(AND($M325&gt;better_at,$M325&lt;worse_at),"in line",IF($M325&gt;=worse_at,IF(AND(ISNUMBER($N325),$N325&lt;significance_bar),"worse","worse, not significant"),IF(AND(ISNUMBER($N325),$N325&lt;significance_bar),"better","better, not significant")))))</f>
        <v/>
      </c>
      <c r="Y325">
        <f>IF($V325,$X325,$W325)</f>
        <v/>
      </c>
      <c r="Z325">
        <f>IF($V325,IF($P325="","",$P325),IF($O325="","",$O325))</f>
        <v/>
      </c>
      <c r="AA325">
        <f>IF(OR($Q325="",$Z325=""),"",IF(AND($Z325&gt;0,$Z325&gt;=$Q325),"yes","below the line"))</f>
        <v/>
      </c>
      <c r="AB325">
        <f>IF($V325,IF($M325="","",$M325),IF($K325="","",$K325))</f>
        <v/>
      </c>
      <c r="AC325">
        <f>IF($V325,IF($N325="","",$N325),IF($L325="","",$L325))</f>
        <v/>
      </c>
      <c r="AD325">
        <f>$Y325</f>
        <v/>
      </c>
      <c r="AE325">
        <f>IF($V325,IF($S325="","",$S325),IF($R325="","",$R325))</f>
        <v/>
      </c>
      <c r="AF325">
        <f>IF($V325,IF($U325="","",$U325),IF($T325="","",$T325))</f>
        <v/>
      </c>
      <c r="AG325">
        <f>IF($V325,IF($O325="","",$O325),IF($P325="","",$P325))</f>
        <v/>
      </c>
      <c r="AH325" t="n">
        <v>0.04412875764521366</v>
      </c>
      <c r="AI325">
        <f>IF($Y325="worse","Yes",IF($Y325="worse, not significant","Not sure",IF(OR($Y325="too few losses to test",$Y325="too few loans to test"),"Too few losses",IF($Y325="","","No"))))</f>
        <v/>
      </c>
      <c r="AJ325">
        <f>IF($AA325="yes","Yes",IF($AA325="","","No"))</f>
        <v/>
      </c>
      <c r="AK325" t="n">
        <v>0.004138197428812202</v>
      </c>
      <c r="AL325" t="n">
        <v>0.007170719314983085</v>
      </c>
      <c r="AM325">
        <f>IF(AND(ISNUMBER($AC325),ISNUMBER(IF($V325,IF($AL325="","",$AL325),IF($AK325="","",$AK325)))),IF(AND(ABS($AC325-significance_bar)&lt;=2.0*IF($V325,IF($AL325="","",$AL325),IF($AK325="","",$AK325)),OR($Y325="worse",$Y325="better",$Y325="worse, not significant",$Y325="better, not significant")),IF(ROUND($AC325,3)=ROUND(significance_bar,3),TEXT($AC325,"0.0000"),TEXT($AC325,"0.000")),""),"")</f>
        <v/>
      </c>
      <c r="AN325">
        <f>IF(AND(ISNUMBER($AC325),ISNUMBER(IF($V325,IF($AL325="","",$AL325),IF($AK325="","",$AK325)))),IF(AND(ABS($AC325-significance_bar)&lt;=2.0*IF($V325,IF($AL325="","",$AL325),IF($AK325="","",$AK325)),OR($Y325="worse",$Y325="worse, not significant")),IF(ROUND($AC325,3)=ROUND(significance_bar,3),TEXT($AC325,"0.0000"),TEXT($AC325,"0.000")),""),"")</f>
        <v/>
      </c>
      <c r="AO325">
        <f>IF(OR($AI325="",$AN325=""),$AI325,$AI325&amp;" · borderline (p "&amp;$AN325&amp;")")</f>
        <v/>
      </c>
    </row>
    <row r="326">
      <c r="A326" t="inlineStr">
        <is>
          <t>three-way</t>
        </is>
      </c>
      <c r="B326" t="inlineStr">
        <is>
          <t>FICO x CHANNEL / REV_DEBT</t>
        </is>
      </c>
      <c r="C326" t="inlineStr">
        <is>
          <t>746 - 921</t>
        </is>
      </c>
      <c r="D326" t="inlineStr">
        <is>
          <t>Branch / REV_DEBT high half</t>
        </is>
      </c>
      <c r="E326" t="inlineStr">
        <is>
          <t>gco_rate</t>
        </is>
      </c>
      <c r="F326" t="inlineStr">
        <is>
          <t>GCO per booked dollar</t>
        </is>
      </c>
      <c r="G326" t="n">
        <v>259</v>
      </c>
      <c r="H326" t="n">
        <v>8314870.610000003</v>
      </c>
      <c r="I326" t="b">
        <v>0</v>
      </c>
      <c r="J326" t="b">
        <v>0</v>
      </c>
      <c r="K326" t="n">
        <v>0.6054843524576939</v>
      </c>
      <c r="L326" t="n">
        <v>0.1852957561386719</v>
      </c>
      <c r="M326" t="n">
        <v>1.401555211020743</v>
      </c>
      <c r="N326" t="n">
        <v>0.5498093047838074</v>
      </c>
      <c r="O326" t="n">
        <v>-138237.1119609935</v>
      </c>
      <c r="P326" t="n">
        <v>60785.27679526646</v>
      </c>
      <c r="Q326">
        <f>'_live'!$C$22</f>
        <v/>
      </c>
      <c r="R326" t="inlineStr">
        <is>
          <t>shuffled: 1,127 of 10,000</t>
        </is>
      </c>
      <c r="S326" t="inlineStr">
        <is>
          <t>shuffled: 3,268 of 10,000</t>
        </is>
      </c>
      <c r="T326" t="n">
        <v>0.04214100836873916</v>
      </c>
      <c r="U326" t="n">
        <v>0.01820529149577873</v>
      </c>
      <c r="V326">
        <f>AND(judged_band,NOT($J326))</f>
        <v/>
      </c>
      <c r="W326">
        <f>IF($K326="","",IF($I326,"too few losses to test",IF(AND($K326&gt;better_at,$K326&lt;worse_at),"in line",IF($K326&gt;=worse_at,IF(AND(ISNUMBER($L326),$L326&lt;significance_bar),"worse","worse, not significant"),IF(AND(ISNUMBER($L326),$L326&lt;significance_bar),"better","better, not significant")))))</f>
        <v/>
      </c>
      <c r="X326">
        <f>IF($M326="","",IF($I326,"too few losses to test",IF(AND($M326&gt;better_at,$M326&lt;worse_at),"in line",IF($M326&gt;=worse_at,IF(AND(ISNUMBER($N326),$N326&lt;significance_bar),"worse","worse, not significant"),IF(AND(ISNUMBER($N326),$N326&lt;significance_bar),"better","better, not significant")))))</f>
        <v/>
      </c>
      <c r="Y326">
        <f>IF($V326,$X326,$W326)</f>
        <v/>
      </c>
      <c r="Z326">
        <f>IF($V326,IF($P326="","",$P326),IF($O326="","",$O326))</f>
        <v/>
      </c>
      <c r="AA326">
        <f>IF(OR($Q326="",$Z326=""),"",IF(AND($Z326&gt;0,$Z326&gt;=$Q326),"yes","below the line"))</f>
        <v/>
      </c>
      <c r="AB326">
        <f>IF($V326,IF($M326="","",$M326),IF($K326="","",$K326))</f>
        <v/>
      </c>
      <c r="AC326">
        <f>IF($V326,IF($N326="","",$N326),IF($L326="","",$L326))</f>
        <v/>
      </c>
      <c r="AD326">
        <f>$Y326</f>
        <v/>
      </c>
      <c r="AE326">
        <f>IF($V326,IF($S326="","",$S326),IF($R326="","",$R326))</f>
        <v/>
      </c>
      <c r="AF326">
        <f>IF($V326,IF($U326="","",$U326),IF($T326="","",$T326))</f>
        <v/>
      </c>
      <c r="AG326">
        <f>IF($V326,IF($O326="","",$O326),IF($P326="","",$P326))</f>
        <v/>
      </c>
      <c r="AH326" t="n">
        <v>0.02551572116406029</v>
      </c>
      <c r="AI326">
        <f>IF($Y326="worse","Yes",IF($Y326="worse, not significant","Not sure",IF(OR($Y326="too few losses to test",$Y326="too few loans to test"),"Too few losses",IF($Y326="","","No"))))</f>
        <v/>
      </c>
      <c r="AJ326">
        <f>IF($AA326="yes","Yes",IF($AA326="","","No"))</f>
        <v/>
      </c>
      <c r="AK326" t="n">
        <v>0.005196921581768675</v>
      </c>
      <c r="AL326" t="n">
        <v>0.007752211761468749</v>
      </c>
      <c r="AM326">
        <f>IF(AND(ISNUMBER($AC326),ISNUMBER(IF($V326,IF($AL326="","",$AL326),IF($AK326="","",$AK326)))),IF(AND(ABS($AC326-significance_bar)&lt;=2.0*IF($V326,IF($AL326="","",$AL326),IF($AK326="","",$AK326)),OR($Y326="worse",$Y326="better",$Y326="worse, not significant",$Y326="better, not significant")),IF(ROUND($AC326,3)=ROUND(significance_bar,3),TEXT($AC326,"0.0000"),TEXT($AC326,"0.000")),""),"")</f>
        <v/>
      </c>
      <c r="AN326">
        <f>IF(AND(ISNUMBER($AC326),ISNUMBER(IF($V326,IF($AL326="","",$AL326),IF($AK326="","",$AK326)))),IF(AND(ABS($AC326-significance_bar)&lt;=2.0*IF($V326,IF($AL326="","",$AL326),IF($AK326="","",$AK326)),OR($Y326="worse",$Y326="worse, not significant")),IF(ROUND($AC326,3)=ROUND(significance_bar,3),TEXT($AC326,"0.0000"),TEXT($AC326,"0.000")),""),"")</f>
        <v/>
      </c>
      <c r="AO326">
        <f>IF(OR($AI326="",$AN326=""),$AI326,$AI326&amp;" · borderline (p "&amp;$AN326&amp;")")</f>
        <v/>
      </c>
    </row>
    <row r="327">
      <c r="A327" t="inlineStr">
        <is>
          <t>three-way</t>
        </is>
      </c>
      <c r="B327" t="inlineStr">
        <is>
          <t>FICO x CHANNEL / REV_DEBT</t>
        </is>
      </c>
      <c r="C327" t="inlineStr">
        <is>
          <t>746 - 921</t>
        </is>
      </c>
      <c r="D327" t="inlineStr">
        <is>
          <t>Branch / REV_DEBT high half</t>
        </is>
      </c>
      <c r="E327" t="inlineStr">
        <is>
          <t>ranr_rate</t>
        </is>
      </c>
      <c r="F327" t="inlineStr">
        <is>
          <t>Profit after losses: RANR per booked dollar</t>
        </is>
      </c>
      <c r="G327" t="n">
        <v>259</v>
      </c>
      <c r="H327" t="n">
        <v>8314870.610000003</v>
      </c>
      <c r="I327" t="b">
        <v>0</v>
      </c>
      <c r="J327" t="b">
        <v>0</v>
      </c>
      <c r="K327" t="n">
        <v>-0.08835618276227841</v>
      </c>
      <c r="L327" t="n">
        <v>0.0002466420024664201</v>
      </c>
      <c r="M327" t="n">
        <v>-0.005102440130167224</v>
      </c>
      <c r="N327" t="n">
        <v>0.8743852887438529</v>
      </c>
      <c r="O327" t="n">
        <v>734670.2272618576</v>
      </c>
      <c r="P327" t="n">
        <v>42426.12947761203</v>
      </c>
      <c r="Q327">
        <f>'_live'!$C$23</f>
        <v/>
      </c>
      <c r="R327" t="inlineStr">
        <is>
          <t>shuffled: 0 of 10,000</t>
        </is>
      </c>
      <c r="S327" t="inlineStr">
        <is>
          <t>shuffled: 5,157 of 10,000</t>
        </is>
      </c>
      <c r="T327" t="n">
        <v>0.1308368534266172</v>
      </c>
      <c r="U327" t="n">
        <v>0.04758311079450602</v>
      </c>
      <c r="V327">
        <f>AND(judged_band,NOT($J327))</f>
        <v/>
      </c>
      <c r="W327">
        <f>IF($K327="","",IF(profit_kind="test",IF(OR(NOT(AND(ISNUMBER($L327),$L327&lt;significance_bar)),$K327=0),"in line",IF($K327&lt;0,"worse","better")),IF(OR($K327=0,IF(profit_kind="points",ABS($K327),ABS($K327*$H327))&lt;profit_line*(1-1E-9)),"in line",IF(AND(ISNUMBER($L327),$L327&lt;significance_bar),IF($K327&lt;0,"worse","better"),IF($K327&lt;0,"worse, not significant","better, not significant")))))</f>
        <v/>
      </c>
      <c r="X327">
        <f>IF($M327="","",IF(profit_kind="test",IF(OR(NOT(AND(ISNUMBER($N327),$N327&lt;significance_bar)),$M327=0),"in line",IF($M327&lt;0,"worse","better")),IF(OR($M327=0,IF(profit_kind="points",ABS($M327),ABS($M327*$H327))&lt;profit_line*(1-1E-9)),"in line",IF(AND(ISNUMBER($N327),$N327&lt;significance_bar),IF($M327&lt;0,"worse","better"),IF($M327&lt;0,"worse, not significant","better, not significant")))))</f>
        <v/>
      </c>
      <c r="Y327">
        <f>IF($V327,$X327,$W327)</f>
        <v/>
      </c>
      <c r="Z327">
        <f>IF($V327,IF($P327="","",$P327),IF($O327="","",$O327))</f>
        <v/>
      </c>
      <c r="AA327">
        <f>IF(OR($Q327="",$Z327=""),"",IF(AND($Z327&gt;0,$Z327&gt;=$Q327),"yes","below the line"))</f>
        <v/>
      </c>
      <c r="AB327">
        <f>IF($V327,IF($M327="","",$M327),IF($K327="","",$K327))</f>
        <v/>
      </c>
      <c r="AC327">
        <f>IF($V327,IF($N327="","",$N327),IF($L327="","",$L327))</f>
        <v/>
      </c>
      <c r="AD327">
        <f>IF($Y327="","",IF($Y327="in line",IF(profit_kind="test",IF(ROUND($AB327*100,2)=0,"0.00",TEXT($AB327*100,"+0.00;-0.00"))&amp;" points against "&amp;IF($V327,"its band","the book")&amp;", "&amp;IF($AC327="","not tested","not significant"),IF(profit_kind="points","within "&amp;TEXT(profit_line*100,"0.00")&amp;" points of "&amp;IF($V327,"its band","the book")&amp;" ("&amp;IF(ROUND($AB327*100,2)=0,"0.00",TEXT($AB327*100,"+0.00;-0.00"))&amp;")","within $"&amp;TEXT(profit_line,"#,##0")&amp;" of "&amp;IF($V327,"its band","the book")&amp;" ("&amp;IF(ROUND($AB327*100,2)=0,"0.00",TEXT($AB327*100,"+0.00;-0.00"))&amp;" points)")),IF(LEFT($Y327,5)="worse","short of ","ahead of ")&amp;IF($V327,"its band","the book")&amp;" by "&amp;TEXT(ABS($AB327)*100,"0.00")&amp;" points"&amp;IF($Z327="",""," ($"&amp;TEXT(ABS($Z327),"#,##0")&amp;")")&amp;IF(RIGHT($Y327,15)="not significant"," (not significant)","")))</f>
        <v/>
      </c>
      <c r="AE327">
        <f>IF($V327,IF($S327="","",$S327),IF($R327="","",$R327))</f>
        <v/>
      </c>
      <c r="AF327">
        <f>IF($V327,IF($U327="","",$U327),IF($T327="","",$T327))</f>
        <v/>
      </c>
      <c r="AG327">
        <f>IF($V327,IF($O327="","",$O327),IF($P327="","",$P327))</f>
        <v/>
      </c>
      <c r="AH327" t="n">
        <v>0.0424806706643388</v>
      </c>
      <c r="AI327">
        <f>IF($Y327="worse","Yes",IF($Y327="worse, not significant","Not sure",IF(OR($Y327="too few losses to test",$Y327="too few loans to test"),"Too few losses",IF($Y327="","","No"))))</f>
        <v/>
      </c>
      <c r="AJ327">
        <f>IF($AA327="yes","Yes",IF($AA327="","","No"))</f>
        <v/>
      </c>
      <c r="AK327" t="n">
        <v>0.0002466420024664201</v>
      </c>
      <c r="AL327" t="n">
        <v>0.008162491393564149</v>
      </c>
      <c r="AM327">
        <f>IF(AND(ISNUMBER($AC327),ISNUMBER(IF($V327,IF($AL327="","",$AL327),IF($AK327="","",$AK327)))),IF(AND(ABS($AC327-significance_bar)&lt;=2.0*IF($V327,IF($AL327="","",$AL327),IF($AK327="","",$AK327)),OR($Y327="worse",$Y327="better",$Y327="worse, not significant",$Y327="better, not significant",AND(profit_kind="test",$Y327="in line",ISNUMBER($AB327),$AB327&lt;&gt;0))),IF(ROUND($AC327,3)=ROUND(significance_bar,3),TEXT($AC327,"0.0000"),TEXT($AC327,"0.000")),""),"")</f>
        <v/>
      </c>
      <c r="AN327">
        <f>IF(AND(ISNUMBER($AC327),ISNUMBER(IF($V327,IF($AL327="","",$AL327),IF($AK327="","",$AK327)))),IF(AND(ABS($AC327-significance_bar)&lt;=2.0*IF($V327,IF($AL327="","",$AL327),IF($AK327="","",$AK327)),OR($Y327="worse",$Y327="worse, not significant",AND(profit_kind="test",$Y327="in line",ISNUMBER($AB327),$AB327&lt;0))),IF(ROUND($AC327,3)=ROUND(significance_bar,3),TEXT($AC327,"0.0000"),TEXT($AC327,"0.000")),""),"")</f>
        <v/>
      </c>
      <c r="AO327">
        <f>IF(OR($AI327="",$AN327=""),$AI327,$AI327&amp;" · borderline (p "&amp;$AN327&amp;")")</f>
        <v/>
      </c>
    </row>
    <row r="328">
      <c r="A328" t="inlineStr">
        <is>
          <t>three-way</t>
        </is>
      </c>
      <c r="B328" t="inlineStr">
        <is>
          <t>FICO x CHANNEL / REV_DEBT</t>
        </is>
      </c>
      <c r="C328" t="inlineStr">
        <is>
          <t>746 - 921</t>
        </is>
      </c>
      <c r="D328" t="inlineStr">
        <is>
          <t>Branch / REV_DEBT high half</t>
        </is>
      </c>
      <c r="E328" t="inlineStr">
        <is>
          <t>contribution_rate</t>
        </is>
      </c>
      <c r="F328" t="inlineStr">
        <is>
          <t>Contribution before losses per booked dollar</t>
        </is>
      </c>
      <c r="G328" t="n">
        <v>259</v>
      </c>
      <c r="H328" t="n">
        <v>8314870.610000003</v>
      </c>
      <c r="I328" t="b">
        <v>0</v>
      </c>
      <c r="J328" t="b">
        <v>0</v>
      </c>
      <c r="K328" t="n">
        <v>-0.1049789679273378</v>
      </c>
      <c r="L328" t="n">
        <v>0.0001761728589045857</v>
      </c>
      <c r="M328" t="n">
        <v>0.002207989538114283</v>
      </c>
      <c r="N328" t="n">
        <v>0.4562210445622104</v>
      </c>
      <c r="O328" t="n">
        <v>872886.5350871538</v>
      </c>
      <c r="P328" t="n">
        <v>-18359.14731765387</v>
      </c>
      <c r="Q328">
        <f>'_live'!$C$24</f>
        <v/>
      </c>
      <c r="R328" t="inlineStr">
        <is>
          <t>shuffled: 0 of 10,000</t>
        </is>
      </c>
      <c r="S328" t="inlineStr">
        <is>
          <t>shuffled: 3,421 of 10,000</t>
        </is>
      </c>
      <c r="T328" t="n">
        <v>0.1729753597557368</v>
      </c>
      <c r="U328" t="n">
        <v>0.06578840229028475</v>
      </c>
      <c r="V328">
        <f>AND(judged_band,NOT($J328))</f>
        <v/>
      </c>
      <c r="W328">
        <f>IF($K328="","",IF(profit_kind="test",IF(OR(NOT(AND(ISNUMBER($L328),$L328&lt;significance_bar)),$K328=0),"in line",IF($K328&lt;0,"worse","better")),IF(OR($K328=0,IF(profit_kind="points",ABS($K328),ABS($K328*$H328))&lt;profit_line*(1-1E-9)),"in line",IF(AND(ISNUMBER($L328),$L328&lt;significance_bar),IF($K328&lt;0,"worse","better"),IF($K328&lt;0,"worse, not significant","better, not significant")))))</f>
        <v/>
      </c>
      <c r="X328">
        <f>IF($M328="","",IF(profit_kind="test",IF(OR(NOT(AND(ISNUMBER($N328),$N328&lt;significance_bar)),$M328=0),"in line",IF($M328&lt;0,"worse","better")),IF(OR($M328=0,IF(profit_kind="points",ABS($M328),ABS($M328*$H328))&lt;profit_line*(1-1E-9)),"in line",IF(AND(ISNUMBER($N328),$N328&lt;significance_bar),IF($M328&lt;0,"worse","better"),IF($M328&lt;0,"worse, not significant","better, not significant")))))</f>
        <v/>
      </c>
      <c r="Y328">
        <f>IF($V328,$X328,$W328)</f>
        <v/>
      </c>
      <c r="Z328">
        <f>IF($V328,IF($P328="","",$P328),IF($O328="","",$O328))</f>
        <v/>
      </c>
      <c r="AA328">
        <f>IF(OR($Q328="",$Z328=""),"",IF(AND($Z328&gt;0,$Z328&gt;=$Q328),"yes","below the line"))</f>
        <v/>
      </c>
      <c r="AB328">
        <f>IF($V328,IF($M328="","",$M328),IF($K328="","",$K328))</f>
        <v/>
      </c>
      <c r="AC328">
        <f>IF($V328,IF($N328="","",$N328),IF($L328="","",$L328))</f>
        <v/>
      </c>
      <c r="AD328">
        <f>IF($Y328="","",IF($Y328="in line",IF(profit_kind="test",IF(ROUND($AB328*100,2)=0,"0.00",TEXT($AB328*100,"+0.00;-0.00"))&amp;" points against "&amp;IF($V328,"its band","the book")&amp;", "&amp;IF($AC328="","not tested","not significant"),IF(profit_kind="points","within "&amp;TEXT(profit_line*100,"0.00")&amp;" points of "&amp;IF($V328,"its band","the book")&amp;" ("&amp;IF(ROUND($AB328*100,2)=0,"0.00",TEXT($AB328*100,"+0.00;-0.00"))&amp;")","within $"&amp;TEXT(profit_line,"#,##0")&amp;" of "&amp;IF($V328,"its band","the book")&amp;" ("&amp;IF(ROUND($AB328*100,2)=0,"0.00",TEXT($AB328*100,"+0.00;-0.00"))&amp;" points)")),IF(LEFT($Y328,5)="worse","short of ","ahead of ")&amp;IF($V328,"its band","the book")&amp;" by "&amp;TEXT(ABS($AB328)*100,"0.00")&amp;" points"&amp;IF($Z328="",""," ($"&amp;TEXT(ABS($Z328),"#,##0")&amp;")")&amp;IF(RIGHT($Y328,15)="not significant"," (not significant)","")))</f>
        <v/>
      </c>
      <c r="AE328">
        <f>IF($V328,IF($S328="","",$S328),IF($R328="","",$R328))</f>
        <v/>
      </c>
      <c r="AF328">
        <f>IF($V328,IF($U328="","",$U328),IF($T328="","",$T328))</f>
        <v/>
      </c>
      <c r="AG328">
        <f>IF($V328,IF($O328="","",$O328),IF($P328="","",$P328))</f>
        <v/>
      </c>
      <c r="AH328" t="n">
        <v>0.06799639182839903</v>
      </c>
      <c r="AI328">
        <f>IF($Y328="worse","Yes",IF($Y328="worse, not significant","Not sure",IF(OR($Y328="too few losses to test",$Y328="too few loans to test"),"Too few losses",IF($Y328="","","No"))))</f>
        <v/>
      </c>
      <c r="AJ328">
        <f>IF($AA328="yes","Yes",IF($AA328="","","No"))</f>
        <v/>
      </c>
      <c r="AK328" t="n">
        <v>0.0001761728589045857</v>
      </c>
      <c r="AL328" t="n">
        <v>0.006325797061094458</v>
      </c>
      <c r="AM328">
        <f>IF(AND(ISNUMBER($AC328),ISNUMBER(IF($V328,IF($AL328="","",$AL328),IF($AK328="","",$AK328)))),IF(AND(ABS($AC328-significance_bar)&lt;=2.0*IF($V328,IF($AL328="","",$AL328),IF($AK328="","",$AK328)),OR($Y328="worse",$Y328="better",$Y328="worse, not significant",$Y328="better, not significant",AND(profit_kind="test",$Y328="in line",ISNUMBER($AB328),$AB328&lt;&gt;0))),IF(ROUND($AC328,3)=ROUND(significance_bar,3),TEXT($AC328,"0.0000"),TEXT($AC328,"0.000")),""),"")</f>
        <v/>
      </c>
      <c r="AN328">
        <f>IF(AND(ISNUMBER($AC328),ISNUMBER(IF($V328,IF($AL328="","",$AL328),IF($AK328="","",$AK328)))),IF(AND(ABS($AC328-significance_bar)&lt;=2.0*IF($V328,IF($AL328="","",$AL328),IF($AK328="","",$AK328)),OR($Y328="worse",$Y328="worse, not significant",AND(profit_kind="test",$Y328="in line",ISNUMBER($AB328),$AB328&lt;0))),IF(ROUND($AC328,3)=ROUND(significance_bar,3),TEXT($AC328,"0.0000"),TEXT($AC328,"0.000")),""),"")</f>
        <v/>
      </c>
      <c r="AO328">
        <f>IF(OR($AI328="",$AN328=""),$AI328,$AI328&amp;" · borderline (p "&amp;$AN328&amp;")")</f>
        <v/>
      </c>
    </row>
    <row r="329">
      <c r="A329" t="inlineStr">
        <is>
          <t>three-way</t>
        </is>
      </c>
      <c r="B329" t="inlineStr">
        <is>
          <t>FICO x CHANNEL / REV_DEBT</t>
        </is>
      </c>
      <c r="C329" t="inlineStr">
        <is>
          <t>686 - 711</t>
        </is>
      </c>
      <c r="D329" t="inlineStr">
        <is>
          <t>Broker / REV_DEBT high half</t>
        </is>
      </c>
      <c r="E329" t="inlineStr">
        <is>
          <t>outcome_loans</t>
        </is>
      </c>
      <c r="F329" t="inlineStr">
        <is>
          <t>Outcome, share of loans</t>
        </is>
      </c>
      <c r="G329" t="n">
        <v>250</v>
      </c>
      <c r="H329" t="n">
        <v>250</v>
      </c>
      <c r="I329" t="b">
        <v>0</v>
      </c>
      <c r="J329" t="b">
        <v>0</v>
      </c>
      <c r="K329" t="n">
        <v>0.8753023255813954</v>
      </c>
      <c r="L329" t="n">
        <v>0.6584972306074447</v>
      </c>
      <c r="M329" t="n">
        <v>1.129316455696203</v>
      </c>
      <c r="N329" t="n">
        <v>0.772910227022698</v>
      </c>
      <c r="O329" t="n">
        <v>-2.421860885275517</v>
      </c>
      <c r="P329" t="n">
        <v>1.946646341463415</v>
      </c>
      <c r="Q329">
        <f>'_live'!$C$20</f>
        <v/>
      </c>
      <c r="R329" t="inlineStr">
        <is>
          <t>z test</t>
        </is>
      </c>
      <c r="S329" t="inlineStr">
        <is>
          <t>z test</t>
        </is>
      </c>
      <c r="T329" t="n">
        <v>0.07768744354110207</v>
      </c>
      <c r="U329" t="n">
        <v>0.06021341463414634</v>
      </c>
      <c r="V329">
        <f>AND(judged_band,NOT($J329))</f>
        <v/>
      </c>
      <c r="W329">
        <f>IF($K329="","",IF($I329,"too few losses to test",IF(AND($K329&gt;better_at,$K329&lt;worse_at),"in line",IF($K329&gt;=worse_at,IF(AND(ISNUMBER($L329),$L329&lt;significance_bar),"worse","worse, not significant"),IF(AND(ISNUMBER($L329),$L329&lt;significance_bar),"better","better, not significant")))))</f>
        <v/>
      </c>
      <c r="X329">
        <f>IF($M329="","",IF($I329,"too few losses to test",IF(AND($M329&gt;better_at,$M329&lt;worse_at),"in line",IF($M329&gt;=worse_at,IF(AND(ISNUMBER($N329),$N329&lt;significance_bar),"worse","worse, not significant"),IF(AND(ISNUMBER($N329),$N329&lt;significance_bar),"better","better, not significant")))))</f>
        <v/>
      </c>
      <c r="Y329">
        <f>IF($V329,$X329,$W329)</f>
        <v/>
      </c>
      <c r="Z329">
        <f>IF($V329,IF($P329="","",$P329),IF($O329="","",$O329))</f>
        <v/>
      </c>
      <c r="AA329">
        <f>IF(OR($Q329="",$Z329=""),"",IF(AND($Z329&gt;0,$Z329&gt;=$Q329),"yes","below the line"))</f>
        <v/>
      </c>
      <c r="AB329">
        <f>IF($V329,IF($M329="","",$M329),IF($K329="","",$K329))</f>
        <v/>
      </c>
      <c r="AC329">
        <f>IF($V329,IF($N329="","",$N329),IF($L329="","",$L329))</f>
        <v/>
      </c>
      <c r="AD329">
        <f>$Y329</f>
        <v/>
      </c>
      <c r="AE329">
        <f>IF($V329,IF($S329="","",$S329),IF($R329="","",$R329))</f>
        <v/>
      </c>
      <c r="AF329">
        <f>IF($V329,IF($U329="","",$U329),IF($T329="","",$T329))</f>
        <v/>
      </c>
      <c r="AG329">
        <f>IF($V329,IF($O329="","",$O329),IF($P329="","",$P329))</f>
        <v/>
      </c>
      <c r="AH329" t="n">
        <v>0.068</v>
      </c>
      <c r="AI329">
        <f>IF($Y329="worse","Yes",IF($Y329="worse, not significant","Not sure",IF(OR($Y329="too few losses to test",$Y329="too few loans to test"),"Too few losses",IF($Y329="","","No"))))</f>
        <v/>
      </c>
      <c r="AJ329">
        <f>IF($AA329="yes","Yes",IF($AA329="","","No"))</f>
        <v/>
      </c>
      <c r="AM329">
        <f>IF(AND(ISNUMBER($AC329),ISNUMBER(IF($V329,IF($AL329="","",$AL329),IF($AK329="","",$AK329)))),IF(AND(ABS($AC329-significance_bar)&lt;=2.0*IF($V329,IF($AL329="","",$AL329),IF($AK329="","",$AK329)),OR($Y329="worse",$Y329="better",$Y329="worse, not significant",$Y329="better, not significant")),IF(ROUND($AC329,3)=ROUND(significance_bar,3),TEXT($AC329,"0.0000"),TEXT($AC329,"0.000")),""),"")</f>
        <v/>
      </c>
      <c r="AN329">
        <f>IF(AND(ISNUMBER($AC329),ISNUMBER(IF($V329,IF($AL329="","",$AL329),IF($AK329="","",$AK329)))),IF(AND(ABS($AC329-significance_bar)&lt;=2.0*IF($V329,IF($AL329="","",$AL329),IF($AK329="","",$AK329)),OR($Y329="worse",$Y329="worse, not significant")),IF(ROUND($AC329,3)=ROUND(significance_bar,3),TEXT($AC329,"0.0000"),TEXT($AC329,"0.000")),""),"")</f>
        <v/>
      </c>
      <c r="AO329">
        <f>IF(OR($AI329="",$AN329=""),$AI329,$AI329&amp;" · borderline (p "&amp;$AN329&amp;")")</f>
        <v/>
      </c>
    </row>
    <row r="330">
      <c r="A330" t="inlineStr">
        <is>
          <t>three-way</t>
        </is>
      </c>
      <c r="B330" t="inlineStr">
        <is>
          <t>FICO x CHANNEL / REV_DEBT</t>
        </is>
      </c>
      <c r="C330" t="inlineStr">
        <is>
          <t>686 - 711</t>
        </is>
      </c>
      <c r="D330" t="inlineStr">
        <is>
          <t>Broker / REV_DEBT high half</t>
        </is>
      </c>
      <c r="E330" t="inlineStr">
        <is>
          <t>outcome_booked</t>
        </is>
      </c>
      <c r="F330" t="inlineStr">
        <is>
          <t>Outcome, share of booked dollars</t>
        </is>
      </c>
      <c r="G330" t="n">
        <v>250</v>
      </c>
      <c r="H330" t="n">
        <v>8314330.489999998</v>
      </c>
      <c r="I330" t="b">
        <v>0</v>
      </c>
      <c r="J330" t="b">
        <v>0</v>
      </c>
      <c r="K330" t="n">
        <v>0.8952249452549437</v>
      </c>
      <c r="L330" t="n">
        <v>0.6811318868113189</v>
      </c>
      <c r="M330" t="n">
        <v>1.225524719414166</v>
      </c>
      <c r="N330" t="n">
        <v>0.7308669133086692</v>
      </c>
      <c r="O330" t="n">
        <v>-65406.82250202016</v>
      </c>
      <c r="P330" t="n">
        <v>102841.7375831113</v>
      </c>
      <c r="Q330">
        <f>'_live'!$C$21</f>
        <v/>
      </c>
      <c r="R330" t="inlineStr">
        <is>
          <t>shuffled: 6,725 of 10,000</t>
        </is>
      </c>
      <c r="S330" t="inlineStr">
        <is>
          <t>shuffled: 4,766 of 10,000</t>
        </is>
      </c>
      <c r="T330" t="n">
        <v>0.07508235248200007</v>
      </c>
      <c r="U330" t="n">
        <v>0.05484638035081149</v>
      </c>
      <c r="V330">
        <f>AND(judged_band,NOT($J330))</f>
        <v/>
      </c>
      <c r="W330">
        <f>IF($K330="","",IF($I330,"too few losses to test",IF(AND($K330&gt;better_at,$K330&lt;worse_at),"in line",IF($K330&gt;=worse_at,IF(AND(ISNUMBER($L330),$L330&lt;significance_bar),"worse","worse, not significant"),IF(AND(ISNUMBER($L330),$L330&lt;significance_bar),"better","better, not significant")))))</f>
        <v/>
      </c>
      <c r="X330">
        <f>IF($M330="","",IF($I330,"too few losses to test",IF(AND($M330&gt;better_at,$M330&lt;worse_at),"in line",IF($M330&gt;=worse_at,IF(AND(ISNUMBER($N330),$N330&lt;significance_bar),"worse","worse, not significant"),IF(AND(ISNUMBER($N330),$N330&lt;significance_bar),"better","better, not significant")))))</f>
        <v/>
      </c>
      <c r="Y330">
        <f>IF($V330,$X330,$W330)</f>
        <v/>
      </c>
      <c r="Z330">
        <f>IF($V330,IF($P330="","",$P330),IF($O330="","",$O330))</f>
        <v/>
      </c>
      <c r="AA330">
        <f>IF(OR($Q330="",$Z330=""),"",IF(AND($Z330&gt;0,$Z330&gt;=$Q330),"yes","below the line"))</f>
        <v/>
      </c>
      <c r="AB330">
        <f>IF($V330,IF($M330="","",$M330),IF($K330="","",$K330))</f>
        <v/>
      </c>
      <c r="AC330">
        <f>IF($V330,IF($N330="","",$N330),IF($L330="","",$L330))</f>
        <v/>
      </c>
      <c r="AD330">
        <f>$Y330</f>
        <v/>
      </c>
      <c r="AE330">
        <f>IF($V330,IF($S330="","",$S330),IF($R330="","",$R330))</f>
        <v/>
      </c>
      <c r="AF330">
        <f>IF($V330,IF($U330="","",$U330),IF($T330="","",$T330))</f>
        <v/>
      </c>
      <c r="AG330">
        <f>IF($V330,IF($O330="","",$O330),IF($P330="","",$P330))</f>
        <v/>
      </c>
      <c r="AH330" t="n">
        <v>0.0672155948903109</v>
      </c>
      <c r="AI330">
        <f>IF($Y330="worse","Yes",IF($Y330="worse, not significant","Not sure",IF(OR($Y330="too few losses to test",$Y330="too few loans to test"),"Too few losses",IF($Y330="","","No"))))</f>
        <v/>
      </c>
      <c r="AJ330">
        <f>IF($AA330="yes","Yes",IF($AA330="","","No"))</f>
        <v/>
      </c>
      <c r="AK330" t="n">
        <v>0.004660378091745042</v>
      </c>
      <c r="AL330" t="n">
        <v>0.007658303698844048</v>
      </c>
      <c r="AM330">
        <f>IF(AND(ISNUMBER($AC330),ISNUMBER(IF($V330,IF($AL330="","",$AL330),IF($AK330="","",$AK330)))),IF(AND(ABS($AC330-significance_bar)&lt;=2.0*IF($V330,IF($AL330="","",$AL330),IF($AK330="","",$AK330)),OR($Y330="worse",$Y330="better",$Y330="worse, not significant",$Y330="better, not significant")),IF(ROUND($AC330,3)=ROUND(significance_bar,3),TEXT($AC330,"0.0000"),TEXT($AC330,"0.000")),""),"")</f>
        <v/>
      </c>
      <c r="AN330">
        <f>IF(AND(ISNUMBER($AC330),ISNUMBER(IF($V330,IF($AL330="","",$AL330),IF($AK330="","",$AK330)))),IF(AND(ABS($AC330-significance_bar)&lt;=2.0*IF($V330,IF($AL330="","",$AL330),IF($AK330="","",$AK330)),OR($Y330="worse",$Y330="worse, not significant")),IF(ROUND($AC330,3)=ROUND(significance_bar,3),TEXT($AC330,"0.0000"),TEXT($AC330,"0.000")),""),"")</f>
        <v/>
      </c>
      <c r="AO330">
        <f>IF(OR($AI330="",$AN330=""),$AI330,$AI330&amp;" · borderline (p "&amp;$AN330&amp;")")</f>
        <v/>
      </c>
    </row>
    <row r="331">
      <c r="A331" t="inlineStr">
        <is>
          <t>three-way</t>
        </is>
      </c>
      <c r="B331" t="inlineStr">
        <is>
          <t>FICO x CHANNEL / REV_DEBT</t>
        </is>
      </c>
      <c r="C331" t="inlineStr">
        <is>
          <t>686 - 711</t>
        </is>
      </c>
      <c r="D331" t="inlineStr">
        <is>
          <t>Broker / REV_DEBT high half</t>
        </is>
      </c>
      <c r="E331" t="inlineStr">
        <is>
          <t>gco_rate</t>
        </is>
      </c>
      <c r="F331" t="inlineStr">
        <is>
          <t>GCO per booked dollar</t>
        </is>
      </c>
      <c r="G331" t="n">
        <v>250</v>
      </c>
      <c r="H331" t="n">
        <v>8314330.489999998</v>
      </c>
      <c r="I331" t="b">
        <v>0</v>
      </c>
      <c r="J331" t="b">
        <v>0</v>
      </c>
      <c r="K331" t="n">
        <v>0.9519723514659058</v>
      </c>
      <c r="L331" t="n">
        <v>0.8927289089272891</v>
      </c>
      <c r="M331" t="n">
        <v>1.325485669164689</v>
      </c>
      <c r="N331" t="n">
        <v>0.5498093047838074</v>
      </c>
      <c r="O331" t="n">
        <v>-16639.47138976358</v>
      </c>
      <c r="P331" t="n">
        <v>80989.62196248231</v>
      </c>
      <c r="Q331">
        <f>'_live'!$C$22</f>
        <v/>
      </c>
      <c r="R331" t="inlineStr">
        <is>
          <t>shuffled: 8,539 of 10,000</t>
        </is>
      </c>
      <c r="S331" t="inlineStr">
        <is>
          <t>shuffled: 3,346 of 10,000</t>
        </is>
      </c>
      <c r="T331" t="n">
        <v>0.04166975221955169</v>
      </c>
      <c r="U331" t="n">
        <v>0.02992748464074079</v>
      </c>
      <c r="V331">
        <f>AND(judged_band,NOT($J331))</f>
        <v/>
      </c>
      <c r="W331">
        <f>IF($K331="","",IF($I331,"too few losses to test",IF(AND($K331&gt;better_at,$K331&lt;worse_at),"in line",IF($K331&gt;=worse_at,IF(AND(ISNUMBER($L331),$L331&lt;significance_bar),"worse","worse, not significant"),IF(AND(ISNUMBER($L331),$L331&lt;significance_bar),"better","better, not significant")))))</f>
        <v/>
      </c>
      <c r="X331">
        <f>IF($M331="","",IF($I331,"too few losses to test",IF(AND($M331&gt;better_at,$M331&lt;worse_at),"in line",IF($M331&gt;=worse_at,IF(AND(ISNUMBER($N331),$N331&lt;significance_bar),"worse","worse, not significant"),IF(AND(ISNUMBER($N331),$N331&lt;significance_bar),"better","better, not significant")))))</f>
        <v/>
      </c>
      <c r="Y331">
        <f>IF($V331,$X331,$W331)</f>
        <v/>
      </c>
      <c r="Z331">
        <f>IF($V331,IF($P331="","",$P331),IF($O331="","",$O331))</f>
        <v/>
      </c>
      <c r="AA331">
        <f>IF(OR($Q331="",$Z331=""),"",IF(AND($Z331&gt;0,$Z331&gt;=$Q331),"yes","below the line"))</f>
        <v/>
      </c>
      <c r="AB331">
        <f>IF($V331,IF($M331="","",$M331),IF($K331="","",$K331))</f>
        <v/>
      </c>
      <c r="AC331">
        <f>IF($V331,IF($N331="","",$N331),IF($L331="","",$L331))</f>
        <v/>
      </c>
      <c r="AD331">
        <f>$Y331</f>
        <v/>
      </c>
      <c r="AE331">
        <f>IF($V331,IF($S331="","",$S331),IF($R331="","",$R331))</f>
        <v/>
      </c>
      <c r="AF331">
        <f>IF($V331,IF($U331="","",$U331),IF($T331="","",$T331))</f>
        <v/>
      </c>
      <c r="AG331">
        <f>IF($V331,IF($O331="","",$O331),IF($P331="","",$P331))</f>
        <v/>
      </c>
      <c r="AH331" t="n">
        <v>0.03966845200544827</v>
      </c>
      <c r="AI331">
        <f>IF($Y331="worse","Yes",IF($Y331="worse, not significant","Not sure",IF(OR($Y331="too few losses to test",$Y331="too few loans to test"),"Too few losses",IF($Y331="","","No"))))</f>
        <v/>
      </c>
      <c r="AJ331">
        <f>IF($AA331="yes","Yes",IF($AA331="","","No"))</f>
        <v/>
      </c>
      <c r="AK331" t="n">
        <v>0.003692459760948022</v>
      </c>
      <c r="AL331" t="n">
        <v>0.007752211761468749</v>
      </c>
      <c r="AM331">
        <f>IF(AND(ISNUMBER($AC331),ISNUMBER(IF($V331,IF($AL331="","",$AL331),IF($AK331="","",$AK331)))),IF(AND(ABS($AC331-significance_bar)&lt;=2.0*IF($V331,IF($AL331="","",$AL331),IF($AK331="","",$AK331)),OR($Y331="worse",$Y331="better",$Y331="worse, not significant",$Y331="better, not significant")),IF(ROUND($AC331,3)=ROUND(significance_bar,3),TEXT($AC331,"0.0000"),TEXT($AC331,"0.000")),""),"")</f>
        <v/>
      </c>
      <c r="AN331">
        <f>IF(AND(ISNUMBER($AC331),ISNUMBER(IF($V331,IF($AL331="","",$AL331),IF($AK331="","",$AK331)))),IF(AND(ABS($AC331-significance_bar)&lt;=2.0*IF($V331,IF($AL331="","",$AL331),IF($AK331="","",$AK331)),OR($Y331="worse",$Y331="worse, not significant")),IF(ROUND($AC331,3)=ROUND(significance_bar,3),TEXT($AC331,"0.0000"),TEXT($AC331,"0.000")),""),"")</f>
        <v/>
      </c>
      <c r="AO331">
        <f>IF(OR($AI331="",$AN331=""),$AI331,$AI331&amp;" · borderline (p "&amp;$AN331&amp;")")</f>
        <v/>
      </c>
    </row>
    <row r="332">
      <c r="A332" t="inlineStr">
        <is>
          <t>three-way</t>
        </is>
      </c>
      <c r="B332" t="inlineStr">
        <is>
          <t>FICO x CHANNEL / REV_DEBT</t>
        </is>
      </c>
      <c r="C332" t="inlineStr">
        <is>
          <t>686 - 711</t>
        </is>
      </c>
      <c r="D332" t="inlineStr">
        <is>
          <t>Broker / REV_DEBT high half</t>
        </is>
      </c>
      <c r="E332" t="inlineStr">
        <is>
          <t>ranr_rate</t>
        </is>
      </c>
      <c r="F332" t="inlineStr">
        <is>
          <t>Profit after losses: RANR per booked dollar</t>
        </is>
      </c>
      <c r="G332" t="n">
        <v>250</v>
      </c>
      <c r="H332" t="n">
        <v>8314330.489999998</v>
      </c>
      <c r="I332" t="b">
        <v>0</v>
      </c>
      <c r="J332" t="b">
        <v>0</v>
      </c>
      <c r="K332" t="n">
        <v>-0.01238061239440937</v>
      </c>
      <c r="L332" t="n">
        <v>0.4698530146985301</v>
      </c>
      <c r="M332" t="n">
        <v>-0.03095482356164463</v>
      </c>
      <c r="N332" t="n">
        <v>0.0527947205279472</v>
      </c>
      <c r="O332" t="n">
        <v>102936.5031157098</v>
      </c>
      <c r="P332" t="n">
        <v>257368.6333511522</v>
      </c>
      <c r="Q332">
        <f>'_live'!$C$23</f>
        <v/>
      </c>
      <c r="R332" t="inlineStr">
        <is>
          <t>shuffled: 3,428 of 10,000</t>
        </is>
      </c>
      <c r="S332" t="inlineStr">
        <is>
          <t>shuffled: 131 of 10,000</t>
        </is>
      </c>
      <c r="T332" t="n">
        <v>0.1283889225235392</v>
      </c>
      <c r="U332" t="n">
        <v>0.1469631336907745</v>
      </c>
      <c r="V332">
        <f>AND(judged_band,NOT($J332))</f>
        <v/>
      </c>
      <c r="W332">
        <f>IF($K332="","",IF(profit_kind="test",IF(OR(NOT(AND(ISNUMBER($L332),$L332&lt;significance_bar)),$K332=0),"in line",IF($K332&lt;0,"worse","better")),IF(OR($K332=0,IF(profit_kind="points",ABS($K332),ABS($K332*$H332))&lt;profit_line*(1-1E-9)),"in line",IF(AND(ISNUMBER($L332),$L332&lt;significance_bar),IF($K332&lt;0,"worse","better"),IF($K332&lt;0,"worse, not significant","better, not significant")))))</f>
        <v/>
      </c>
      <c r="X332">
        <f>IF($M332="","",IF(profit_kind="test",IF(OR(NOT(AND(ISNUMBER($N332),$N332&lt;significance_bar)),$M332=0),"in line",IF($M332&lt;0,"worse","better")),IF(OR($M332=0,IF(profit_kind="points",ABS($M332),ABS($M332*$H332))&lt;profit_line*(1-1E-9)),"in line",IF(AND(ISNUMBER($N332),$N332&lt;significance_bar),IF($M332&lt;0,"worse","better"),IF($M332&lt;0,"worse, not significant","better, not significant")))))</f>
        <v/>
      </c>
      <c r="Y332">
        <f>IF($V332,$X332,$W332)</f>
        <v/>
      </c>
      <c r="Z332">
        <f>IF($V332,IF($P332="","",$P332),IF($O332="","",$O332))</f>
        <v/>
      </c>
      <c r="AA332">
        <f>IF(OR($Q332="",$Z332=""),"",IF(AND($Z332&gt;0,$Z332&gt;=$Q332),"yes","below the line"))</f>
        <v/>
      </c>
      <c r="AB332">
        <f>IF($V332,IF($M332="","",$M332),IF($K332="","",$K332))</f>
        <v/>
      </c>
      <c r="AC332">
        <f>IF($V332,IF($N332="","",$N332),IF($L332="","",$L332))</f>
        <v/>
      </c>
      <c r="AD332">
        <f>IF($Y332="","",IF($Y332="in line",IF(profit_kind="test",IF(ROUND($AB332*100,2)=0,"0.00",TEXT($AB332*100,"+0.00;-0.00"))&amp;" points against "&amp;IF($V332,"its band","the book")&amp;", "&amp;IF($AC332="","not tested","not significant"),IF(profit_kind="points","within "&amp;TEXT(profit_line*100,"0.00")&amp;" points of "&amp;IF($V332,"its band","the book")&amp;" ("&amp;IF(ROUND($AB332*100,2)=0,"0.00",TEXT($AB332*100,"+0.00;-0.00"))&amp;")","within $"&amp;TEXT(profit_line,"#,##0")&amp;" of "&amp;IF($V332,"its band","the book")&amp;" ("&amp;IF(ROUND($AB332*100,2)=0,"0.00",TEXT($AB332*100,"+0.00;-0.00"))&amp;" points)")),IF(LEFT($Y332,5)="worse","short of ","ahead of ")&amp;IF($V332,"its band","the book")&amp;" by "&amp;TEXT(ABS($AB332)*100,"0.00")&amp;" points"&amp;IF($Z332="",""," ($"&amp;TEXT(ABS($Z332),"#,##0")&amp;")")&amp;IF(RIGHT($Y332,15)="not significant"," (not significant)","")))</f>
        <v/>
      </c>
      <c r="AE332">
        <f>IF($V332,IF($S332="","",$S332),IF($R332="","",$R332))</f>
        <v/>
      </c>
      <c r="AF332">
        <f>IF($V332,IF($U332="","",$U332),IF($T332="","",$T332))</f>
        <v/>
      </c>
      <c r="AG332">
        <f>IF($V332,IF($O332="","",$O332),IF($P332="","",$P332))</f>
        <v/>
      </c>
      <c r="AH332" t="n">
        <v>0.1160083101291299</v>
      </c>
      <c r="AI332">
        <f>IF($Y332="worse","Yes",IF($Y332="worse, not significant","Not sure",IF(OR($Y332="too few losses to test",$Y332="too few loans to test"),"Too few losses",IF($Y332="","","No"))))</f>
        <v/>
      </c>
      <c r="AJ332">
        <f>IF($AA332="yes","Yes",IF($AA332="","","No"))</f>
        <v/>
      </c>
      <c r="AK332" t="n">
        <v>0.006504696721222002</v>
      </c>
      <c r="AL332" t="n">
        <v>0.004564992876184636</v>
      </c>
      <c r="AM332">
        <f>IF(AND(ISNUMBER($AC332),ISNUMBER(IF($V332,IF($AL332="","",$AL332),IF($AK332="","",$AK332)))),IF(AND(ABS($AC332-significance_bar)&lt;=2.0*IF($V332,IF($AL332="","",$AL332),IF($AK332="","",$AK332)),OR($Y332="worse",$Y332="better",$Y332="worse, not significant",$Y332="better, not significant",AND(profit_kind="test",$Y332="in line",ISNUMBER($AB332),$AB332&lt;&gt;0))),IF(ROUND($AC332,3)=ROUND(significance_bar,3),TEXT($AC332,"0.0000"),TEXT($AC332,"0.000")),""),"")</f>
        <v/>
      </c>
      <c r="AN332">
        <f>IF(AND(ISNUMBER($AC332),ISNUMBER(IF($V332,IF($AL332="","",$AL332),IF($AK332="","",$AK332)))),IF(AND(ABS($AC332-significance_bar)&lt;=2.0*IF($V332,IF($AL332="","",$AL332),IF($AK332="","",$AK332)),OR($Y332="worse",$Y332="worse, not significant",AND(profit_kind="test",$Y332="in line",ISNUMBER($AB332),$AB332&lt;0))),IF(ROUND($AC332,3)=ROUND(significance_bar,3),TEXT($AC332,"0.0000"),TEXT($AC332,"0.000")),""),"")</f>
        <v/>
      </c>
      <c r="AO332">
        <f>IF(OR($AI332="",$AN332=""),$AI332,$AI332&amp;" · borderline (p "&amp;$AN332&amp;")")</f>
        <v/>
      </c>
    </row>
    <row r="333">
      <c r="A333" t="inlineStr">
        <is>
          <t>three-way</t>
        </is>
      </c>
      <c r="B333" t="inlineStr">
        <is>
          <t>FICO x CHANNEL / REV_DEBT</t>
        </is>
      </c>
      <c r="C333" t="inlineStr">
        <is>
          <t>686 - 711</t>
        </is>
      </c>
      <c r="D333" t="inlineStr">
        <is>
          <t>Broker / REV_DEBT high half</t>
        </is>
      </c>
      <c r="E333" t="inlineStr">
        <is>
          <t>contribution_rate</t>
        </is>
      </c>
      <c r="F333" t="inlineStr">
        <is>
          <t>Contribution before losses per booked dollar</t>
        </is>
      </c>
      <c r="G333" t="n">
        <v>250</v>
      </c>
      <c r="H333" t="n">
        <v>8314330.489999998</v>
      </c>
      <c r="I333" t="b">
        <v>0</v>
      </c>
      <c r="J333" t="b">
        <v>0</v>
      </c>
      <c r="K333" t="n">
        <v>-0.01437902155096291</v>
      </c>
      <c r="L333" t="n">
        <v>0.108960071734762</v>
      </c>
      <c r="M333" t="n">
        <v>-0.02121385619693714</v>
      </c>
      <c r="N333" t="n">
        <v>0.00647935206479352</v>
      </c>
      <c r="O333" t="n">
        <v>119551.9372975379</v>
      </c>
      <c r="P333" t="n">
        <v>176379.01138867</v>
      </c>
      <c r="Q333">
        <f>'_live'!$C$24</f>
        <v/>
      </c>
      <c r="R333" t="inlineStr">
        <is>
          <t>shuffled: 912 of 10,000</t>
        </is>
      </c>
      <c r="S333" t="inlineStr">
        <is>
          <t>shuffled: 17 of 10,000</t>
        </is>
      </c>
      <c r="T333" t="n">
        <v>0.170055783685541</v>
      </c>
      <c r="U333" t="n">
        <v>0.1768906183315153</v>
      </c>
      <c r="V333">
        <f>AND(judged_band,NOT($J333))</f>
        <v/>
      </c>
      <c r="W333">
        <f>IF($K333="","",IF(profit_kind="test",IF(OR(NOT(AND(ISNUMBER($L333),$L333&lt;significance_bar)),$K333=0),"in line",IF($K333&lt;0,"worse","better")),IF(OR($K333=0,IF(profit_kind="points",ABS($K333),ABS($K333*$H333))&lt;profit_line*(1-1E-9)),"in line",IF(AND(ISNUMBER($L333),$L333&lt;significance_bar),IF($K333&lt;0,"worse","better"),IF($K333&lt;0,"worse, not significant","better, not significant")))))</f>
        <v/>
      </c>
      <c r="X333">
        <f>IF($M333="","",IF(profit_kind="test",IF(OR(NOT(AND(ISNUMBER($N333),$N333&lt;significance_bar)),$M333=0),"in line",IF($M333&lt;0,"worse","better")),IF(OR($M333=0,IF(profit_kind="points",ABS($M333),ABS($M333*$H333))&lt;profit_line*(1-1E-9)),"in line",IF(AND(ISNUMBER($N333),$N333&lt;significance_bar),IF($M333&lt;0,"worse","better"),IF($M333&lt;0,"worse, not significant","better, not significant")))))</f>
        <v/>
      </c>
      <c r="Y333">
        <f>IF($V333,$X333,$W333)</f>
        <v/>
      </c>
      <c r="Z333">
        <f>IF($V333,IF($P333="","",$P333),IF($O333="","",$O333))</f>
        <v/>
      </c>
      <c r="AA333">
        <f>IF(OR($Q333="",$Z333=""),"",IF(AND($Z333&gt;0,$Z333&gt;=$Q333),"yes","below the line"))</f>
        <v/>
      </c>
      <c r="AB333">
        <f>IF($V333,IF($M333="","",$M333),IF($K333="","",$K333))</f>
        <v/>
      </c>
      <c r="AC333">
        <f>IF($V333,IF($N333="","",$N333),IF($L333="","",$L333))</f>
        <v/>
      </c>
      <c r="AD333">
        <f>IF($Y333="","",IF($Y333="in line",IF(profit_kind="test",IF(ROUND($AB333*100,2)=0,"0.00",TEXT($AB333*100,"+0.00;-0.00"))&amp;" points against "&amp;IF($V333,"its band","the book")&amp;", "&amp;IF($AC333="","not tested","not significant"),IF(profit_kind="points","within "&amp;TEXT(profit_line*100,"0.00")&amp;" points of "&amp;IF($V333,"its band","the book")&amp;" ("&amp;IF(ROUND($AB333*100,2)=0,"0.00",TEXT($AB333*100,"+0.00;-0.00"))&amp;")","within $"&amp;TEXT(profit_line,"#,##0")&amp;" of "&amp;IF($V333,"its band","the book")&amp;" ("&amp;IF(ROUND($AB333*100,2)=0,"0.00",TEXT($AB333*100,"+0.00;-0.00"))&amp;" points)")),IF(LEFT($Y333,5)="worse","short of ","ahead of ")&amp;IF($V333,"its band","the book")&amp;" by "&amp;TEXT(ABS($AB333)*100,"0.00")&amp;" points"&amp;IF($Z333="",""," ($"&amp;TEXT(ABS($Z333),"#,##0")&amp;")")&amp;IF(RIGHT($Y333,15)="not significant"," (not significant)","")))</f>
        <v/>
      </c>
      <c r="AE333">
        <f>IF($V333,IF($S333="","",$S333),IF($R333="","",$R333))</f>
        <v/>
      </c>
      <c r="AF333">
        <f>IF($V333,IF($U333="","",$U333),IF($T333="","",$T333))</f>
        <v/>
      </c>
      <c r="AG333">
        <f>IF($V333,IF($O333="","",$O333),IF($P333="","",$P333))</f>
        <v/>
      </c>
      <c r="AH333" t="n">
        <v>0.1556767621345781</v>
      </c>
      <c r="AI333">
        <f>IF($Y333="worse","Yes",IF($Y333="worse, not significant","Not sure",IF(OR($Y333="too few losses to test",$Y333="too few loans to test"),"Too few losses",IF($Y333="","","No"))))</f>
        <v/>
      </c>
      <c r="AJ333">
        <f>IF($AA333="yes","Yes",IF($AA333="","","No"))</f>
        <v/>
      </c>
      <c r="AK333" t="n">
        <v>0.003437685568002541</v>
      </c>
      <c r="AL333" t="n">
        <v>0.001525899257162056</v>
      </c>
      <c r="AM333">
        <f>IF(AND(ISNUMBER($AC333),ISNUMBER(IF($V333,IF($AL333="","",$AL333),IF($AK333="","",$AK333)))),IF(AND(ABS($AC333-significance_bar)&lt;=2.0*IF($V333,IF($AL333="","",$AL333),IF($AK333="","",$AK333)),OR($Y333="worse",$Y333="better",$Y333="worse, not significant",$Y333="better, not significant",AND(profit_kind="test",$Y333="in line",ISNUMBER($AB333),$AB333&lt;&gt;0))),IF(ROUND($AC333,3)=ROUND(significance_bar,3),TEXT($AC333,"0.0000"),TEXT($AC333,"0.000")),""),"")</f>
        <v/>
      </c>
      <c r="AN333">
        <f>IF(AND(ISNUMBER($AC333),ISNUMBER(IF($V333,IF($AL333="","",$AL333),IF($AK333="","",$AK333)))),IF(AND(ABS($AC333-significance_bar)&lt;=2.0*IF($V333,IF($AL333="","",$AL333),IF($AK333="","",$AK333)),OR($Y333="worse",$Y333="worse, not significant",AND(profit_kind="test",$Y333="in line",ISNUMBER($AB333),$AB333&lt;0))),IF(ROUND($AC333,3)=ROUND(significance_bar,3),TEXT($AC333,"0.0000"),TEXT($AC333,"0.000")),""),"")</f>
        <v/>
      </c>
      <c r="AO333">
        <f>IF(OR($AI333="",$AN333=""),$AI333,$AI333&amp;" · borderline (p "&amp;$AN333&amp;")")</f>
        <v/>
      </c>
    </row>
    <row r="334">
      <c r="A334" t="inlineStr">
        <is>
          <t>three-way</t>
        </is>
      </c>
      <c r="B334" t="inlineStr">
        <is>
          <t>FICO x CHANNEL / REV_DEBT</t>
        </is>
      </c>
      <c r="C334" t="inlineStr">
        <is>
          <t>496 - 653</t>
        </is>
      </c>
      <c r="D334" t="inlineStr">
        <is>
          <t>Online / REV_DEBT high half</t>
        </is>
      </c>
      <c r="E334" t="inlineStr">
        <is>
          <t>outcome_loans</t>
        </is>
      </c>
      <c r="F334" t="inlineStr">
        <is>
          <t>Outcome, share of loans</t>
        </is>
      </c>
      <c r="G334" t="n">
        <v>265</v>
      </c>
      <c r="H334" t="n">
        <v>265</v>
      </c>
      <c r="I334" t="b">
        <v>0</v>
      </c>
      <c r="J334" t="b">
        <v>0</v>
      </c>
      <c r="K334" t="n">
        <v>1.696216739235607</v>
      </c>
      <c r="L334" t="n">
        <v>0.009236420041389951</v>
      </c>
      <c r="M334" t="n">
        <v>0.8275471698113208</v>
      </c>
      <c r="N334" t="n">
        <v>0.4501821955874574</v>
      </c>
      <c r="O334" t="n">
        <v>13.95539177657098</v>
      </c>
      <c r="P334" t="n">
        <v>-7.085271317829459</v>
      </c>
      <c r="Q334">
        <f>'_live'!$C$20</f>
        <v/>
      </c>
      <c r="R334" t="inlineStr">
        <is>
          <t>z test</t>
        </is>
      </c>
      <c r="S334" t="inlineStr">
        <is>
          <t>z test</t>
        </is>
      </c>
      <c r="T334" t="n">
        <v>0.07564003103180761</v>
      </c>
      <c r="U334" t="n">
        <v>0.1550387596899225</v>
      </c>
      <c r="V334">
        <f>AND(judged_band,NOT($J334))</f>
        <v/>
      </c>
      <c r="W334">
        <f>IF($K334="","",IF($I334,"too few losses to test",IF(AND($K334&gt;better_at,$K334&lt;worse_at),"in line",IF($K334&gt;=worse_at,IF(AND(ISNUMBER($L334),$L334&lt;significance_bar),"worse","worse, not significant"),IF(AND(ISNUMBER($L334),$L334&lt;significance_bar),"better","better, not significant")))))</f>
        <v/>
      </c>
      <c r="X334">
        <f>IF($M334="","",IF($I334,"too few losses to test",IF(AND($M334&gt;better_at,$M334&lt;worse_at),"in line",IF($M334&gt;=worse_at,IF(AND(ISNUMBER($N334),$N334&lt;significance_bar),"worse","worse, not significant"),IF(AND(ISNUMBER($N334),$N334&lt;significance_bar),"better","better, not significant")))))</f>
        <v/>
      </c>
      <c r="Y334">
        <f>IF($V334,$X334,$W334)</f>
        <v/>
      </c>
      <c r="Z334">
        <f>IF($V334,IF($P334="","",$P334),IF($O334="","",$O334))</f>
        <v/>
      </c>
      <c r="AA334">
        <f>IF(OR($Q334="",$Z334=""),"",IF(AND($Z334&gt;0,$Z334&gt;=$Q334),"yes","below the line"))</f>
        <v/>
      </c>
      <c r="AB334">
        <f>IF($V334,IF($M334="","",$M334),IF($K334="","",$K334))</f>
        <v/>
      </c>
      <c r="AC334">
        <f>IF($V334,IF($N334="","",$N334),IF($L334="","",$L334))</f>
        <v/>
      </c>
      <c r="AD334">
        <f>$Y334</f>
        <v/>
      </c>
      <c r="AE334">
        <f>IF($V334,IF($S334="","",$S334),IF($R334="","",$R334))</f>
        <v/>
      </c>
      <c r="AF334">
        <f>IF($V334,IF($U334="","",$U334),IF($T334="","",$T334))</f>
        <v/>
      </c>
      <c r="AG334">
        <f>IF($V334,IF($O334="","",$O334),IF($P334="","",$P334))</f>
        <v/>
      </c>
      <c r="AH334" t="n">
        <v>0.1283018867924528</v>
      </c>
      <c r="AI334">
        <f>IF($Y334="worse","Yes",IF($Y334="worse, not significant","Not sure",IF(OR($Y334="too few losses to test",$Y334="too few loans to test"),"Too few losses",IF($Y334="","","No"))))</f>
        <v/>
      </c>
      <c r="AJ334">
        <f>IF($AA334="yes","Yes",IF($AA334="","","No"))</f>
        <v/>
      </c>
      <c r="AM334">
        <f>IF(AND(ISNUMBER($AC334),ISNUMBER(IF($V334,IF($AL334="","",$AL334),IF($AK334="","",$AK334)))),IF(AND(ABS($AC334-significance_bar)&lt;=2.0*IF($V334,IF($AL334="","",$AL334),IF($AK334="","",$AK334)),OR($Y334="worse",$Y334="better",$Y334="worse, not significant",$Y334="better, not significant")),IF(ROUND($AC334,3)=ROUND(significance_bar,3),TEXT($AC334,"0.0000"),TEXT($AC334,"0.000")),""),"")</f>
        <v/>
      </c>
      <c r="AN334">
        <f>IF(AND(ISNUMBER($AC334),ISNUMBER(IF($V334,IF($AL334="","",$AL334),IF($AK334="","",$AK334)))),IF(AND(ABS($AC334-significance_bar)&lt;=2.0*IF($V334,IF($AL334="","",$AL334),IF($AK334="","",$AK334)),OR($Y334="worse",$Y334="worse, not significant")),IF(ROUND($AC334,3)=ROUND(significance_bar,3),TEXT($AC334,"0.0000"),TEXT($AC334,"0.000")),""),"")</f>
        <v/>
      </c>
      <c r="AO334">
        <f>IF(OR($AI334="",$AN334=""),$AI334,$AI334&amp;" · borderline (p "&amp;$AN334&amp;")")</f>
        <v/>
      </c>
    </row>
    <row r="335">
      <c r="A335" t="inlineStr">
        <is>
          <t>three-way</t>
        </is>
      </c>
      <c r="B335" t="inlineStr">
        <is>
          <t>FICO x CHANNEL / REV_DEBT</t>
        </is>
      </c>
      <c r="C335" t="inlineStr">
        <is>
          <t>496 - 653</t>
        </is>
      </c>
      <c r="D335" t="inlineStr">
        <is>
          <t>Online / REV_DEBT high half</t>
        </is>
      </c>
      <c r="E335" t="inlineStr">
        <is>
          <t>outcome_booked</t>
        </is>
      </c>
      <c r="F335" t="inlineStr">
        <is>
          <t>Outcome, share of booked dollars</t>
        </is>
      </c>
      <c r="G335" t="n">
        <v>265</v>
      </c>
      <c r="H335" t="n">
        <v>8466411.169999998</v>
      </c>
      <c r="I335" t="b">
        <v>0</v>
      </c>
      <c r="J335" t="b">
        <v>0</v>
      </c>
      <c r="K335" t="n">
        <v>1.823526948513694</v>
      </c>
      <c r="L335" t="n">
        <v>0.009774022597740226</v>
      </c>
      <c r="M335" t="n">
        <v>0.8716116761498696</v>
      </c>
      <c r="N335" t="n">
        <v>0.7308669133086692</v>
      </c>
      <c r="O335" t="n">
        <v>508003.7809249288</v>
      </c>
      <c r="P335" t="n">
        <v>-165692.8639850952</v>
      </c>
      <c r="Q335">
        <f>'_live'!$C$21</f>
        <v/>
      </c>
      <c r="R335" t="inlineStr">
        <is>
          <t>shuffled: 16 of 10,000</t>
        </is>
      </c>
      <c r="S335" t="inlineStr">
        <is>
          <t>shuffled: 4,673 of 10,000</t>
        </is>
      </c>
      <c r="T335" t="n">
        <v>0.07286010172301509</v>
      </c>
      <c r="U335" t="n">
        <v>0.1524329728466395</v>
      </c>
      <c r="V335">
        <f>AND(judged_band,NOT($J335))</f>
        <v/>
      </c>
      <c r="W335">
        <f>IF($K335="","",IF($I335,"too few losses to test",IF(AND($K335&gt;better_at,$K335&lt;worse_at),"in line",IF($K335&gt;=worse_at,IF(AND(ISNUMBER($L335),$L335&lt;significance_bar),"worse","worse, not significant"),IF(AND(ISNUMBER($L335),$L335&lt;significance_bar),"better","better, not significant")))))</f>
        <v/>
      </c>
      <c r="X335">
        <f>IF($M335="","",IF($I335,"too few losses to test",IF(AND($M335&gt;better_at,$M335&lt;worse_at),"in line",IF($M335&gt;=worse_at,IF(AND(ISNUMBER($N335),$N335&lt;significance_bar),"worse","worse, not significant"),IF(AND(ISNUMBER($N335),$N335&lt;significance_bar),"better","better, not significant")))))</f>
        <v/>
      </c>
      <c r="Y335">
        <f>IF($V335,$X335,$W335)</f>
        <v/>
      </c>
      <c r="Z335">
        <f>IF($V335,IF($P335="","",$P335),IF($O335="","",$O335))</f>
        <v/>
      </c>
      <c r="AA335">
        <f>IF(OR($Q335="",$Z335=""),"",IF(AND($Z335&gt;0,$Z335&gt;=$Q335),"yes","below the line"))</f>
        <v/>
      </c>
      <c r="AB335">
        <f>IF($V335,IF($M335="","",$M335),IF($K335="","",$K335))</f>
        <v/>
      </c>
      <c r="AC335">
        <f>IF($V335,IF($N335="","",$N335),IF($L335="","",$L335))</f>
        <v/>
      </c>
      <c r="AD335">
        <f>$Y335</f>
        <v/>
      </c>
      <c r="AE335">
        <f>IF($V335,IF($S335="","",$S335),IF($R335="","",$R335))</f>
        <v/>
      </c>
      <c r="AF335">
        <f>IF($V335,IF($U335="","",$U335),IF($T335="","",$T335))</f>
        <v/>
      </c>
      <c r="AG335">
        <f>IF($V335,IF($O335="","",$O335),IF($P335="","",$P335))</f>
        <v/>
      </c>
      <c r="AH335" t="n">
        <v>0.132862358963367</v>
      </c>
      <c r="AI335">
        <f>IF($Y335="worse","Yes",IF($Y335="worse, not significant","Not sure",IF(OR($Y335="too few losses to test",$Y335="too few loans to test"),"Too few losses",IF($Y335="","","No"))))</f>
        <v/>
      </c>
      <c r="AJ335">
        <f>IF($AA335="yes","Yes",IF($AA335="","","No"))</f>
        <v/>
      </c>
      <c r="AK335" t="n">
        <v>0.002368651481735233</v>
      </c>
      <c r="AL335" t="n">
        <v>0.007658303698844048</v>
      </c>
      <c r="AM335">
        <f>IF(AND(ISNUMBER($AC335),ISNUMBER(IF($V335,IF($AL335="","",$AL335),IF($AK335="","",$AK335)))),IF(AND(ABS($AC335-significance_bar)&lt;=2.0*IF($V335,IF($AL335="","",$AL335),IF($AK335="","",$AK335)),OR($Y335="worse",$Y335="better",$Y335="worse, not significant",$Y335="better, not significant")),IF(ROUND($AC335,3)=ROUND(significance_bar,3),TEXT($AC335,"0.0000"),TEXT($AC335,"0.000")),""),"")</f>
        <v/>
      </c>
      <c r="AN335">
        <f>IF(AND(ISNUMBER($AC335),ISNUMBER(IF($V335,IF($AL335="","",$AL335),IF($AK335="","",$AK335)))),IF(AND(ABS($AC335-significance_bar)&lt;=2.0*IF($V335,IF($AL335="","",$AL335),IF($AK335="","",$AK335)),OR($Y335="worse",$Y335="worse, not significant")),IF(ROUND($AC335,3)=ROUND(significance_bar,3),TEXT($AC335,"0.0000"),TEXT($AC335,"0.000")),""),"")</f>
        <v/>
      </c>
      <c r="AO335">
        <f>IF(OR($AI335="",$AN335=""),$AI335,$AI335&amp;" · borderline (p "&amp;$AN335&amp;")")</f>
        <v/>
      </c>
    </row>
    <row r="336">
      <c r="A336" t="inlineStr">
        <is>
          <t>three-way</t>
        </is>
      </c>
      <c r="B336" t="inlineStr">
        <is>
          <t>FICO x CHANNEL / REV_DEBT</t>
        </is>
      </c>
      <c r="C336" t="inlineStr">
        <is>
          <t>496 - 653</t>
        </is>
      </c>
      <c r="D336" t="inlineStr">
        <is>
          <t>Online / REV_DEBT high half</t>
        </is>
      </c>
      <c r="E336" t="inlineStr">
        <is>
          <t>gco_rate</t>
        </is>
      </c>
      <c r="F336" t="inlineStr">
        <is>
          <t>GCO per booked dollar</t>
        </is>
      </c>
      <c r="G336" t="n">
        <v>265</v>
      </c>
      <c r="H336" t="n">
        <v>8466411.169999998</v>
      </c>
      <c r="I336" t="b">
        <v>0</v>
      </c>
      <c r="J336" t="b">
        <v>0</v>
      </c>
      <c r="K336" t="n">
        <v>1.809989587061206</v>
      </c>
      <c r="L336" t="n">
        <v>0.0114988501149885</v>
      </c>
      <c r="M336" t="n">
        <v>0.8582162798326666</v>
      </c>
      <c r="N336" t="n">
        <v>0.6308556644335567</v>
      </c>
      <c r="O336" t="n">
        <v>277930.0054311843</v>
      </c>
      <c r="P336" t="n">
        <v>-102603.3865062619</v>
      </c>
      <c r="Q336">
        <f>'_live'!$C$22</f>
        <v/>
      </c>
      <c r="R336" t="inlineStr">
        <is>
          <t>shuffled: 19 of 10,000</t>
        </is>
      </c>
      <c r="S336" t="inlineStr">
        <is>
          <t>shuffled: 4,388 of 10,000</t>
        </is>
      </c>
      <c r="T336" t="n">
        <v>0.04052813732749715</v>
      </c>
      <c r="U336" t="n">
        <v>0.08547438247158294</v>
      </c>
      <c r="V336">
        <f>AND(judged_band,NOT($J336))</f>
        <v/>
      </c>
      <c r="W336">
        <f>IF($K336="","",IF($I336,"too few losses to test",IF(AND($K336&gt;better_at,$K336&lt;worse_at),"in line",IF($K336&gt;=worse_at,IF(AND(ISNUMBER($L336),$L336&lt;significance_bar),"worse","worse, not significant"),IF(AND(ISNUMBER($L336),$L336&lt;significance_bar),"better","better, not significant")))))</f>
        <v/>
      </c>
      <c r="X336">
        <f>IF($M336="","",IF($I336,"too few losses to test",IF(AND($M336&gt;better_at,$M336&lt;worse_at),"in line",IF($M336&gt;=worse_at,IF(AND(ISNUMBER($N336),$N336&lt;significance_bar),"worse","worse, not significant"),IF(AND(ISNUMBER($N336),$N336&lt;significance_bar),"better","better, not significant")))))</f>
        <v/>
      </c>
      <c r="Y336">
        <f>IF($V336,$X336,$W336)</f>
        <v/>
      </c>
      <c r="Z336">
        <f>IF($V336,IF($P336="","",$P336),IF($O336="","",$O336))</f>
        <v/>
      </c>
      <c r="AA336">
        <f>IF(OR($Q336="",$Z336=""),"",IF(AND($Z336&gt;0,$Z336&gt;=$Q336),"yes","below the line"))</f>
        <v/>
      </c>
      <c r="AB336">
        <f>IF($V336,IF($M336="","",$M336),IF($K336="","",$K336))</f>
        <v/>
      </c>
      <c r="AC336">
        <f>IF($V336,IF($N336="","",$N336),IF($L336="","",$L336))</f>
        <v/>
      </c>
      <c r="AD336">
        <f>$Y336</f>
        <v/>
      </c>
      <c r="AE336">
        <f>IF($V336,IF($S336="","",$S336),IF($R336="","",$R336))</f>
        <v/>
      </c>
      <c r="AF336">
        <f>IF($V336,IF($U336="","",$U336),IF($T336="","",$T336))</f>
        <v/>
      </c>
      <c r="AG336">
        <f>IF($V336,IF($O336="","",$O336),IF($P336="","",$P336))</f>
        <v/>
      </c>
      <c r="AH336" t="n">
        <v>0.0733555065457564</v>
      </c>
      <c r="AI336">
        <f>IF($Y336="worse","Yes",IF($Y336="worse, not significant","Not sure",IF(OR($Y336="too few losses to test",$Y336="too few loans to test"),"Too few losses",IF($Y336="","","No"))))</f>
        <v/>
      </c>
      <c r="AJ336">
        <f>IF($AA336="yes","Yes",IF($AA336="","","No"))</f>
        <v/>
      </c>
      <c r="AK336" t="n">
        <v>0.002568777230653077</v>
      </c>
      <c r="AL336" t="n">
        <v>0.007133555552985715</v>
      </c>
      <c r="AM336">
        <f>IF(AND(ISNUMBER($AC336),ISNUMBER(IF($V336,IF($AL336="","",$AL336),IF($AK336="","",$AK336)))),IF(AND(ABS($AC336-significance_bar)&lt;=2.0*IF($V336,IF($AL336="","",$AL336),IF($AK336="","",$AK336)),OR($Y336="worse",$Y336="better",$Y336="worse, not significant",$Y336="better, not significant")),IF(ROUND($AC336,3)=ROUND(significance_bar,3),TEXT($AC336,"0.0000"),TEXT($AC336,"0.000")),""),"")</f>
        <v/>
      </c>
      <c r="AN336">
        <f>IF(AND(ISNUMBER($AC336),ISNUMBER(IF($V336,IF($AL336="","",$AL336),IF($AK336="","",$AK336)))),IF(AND(ABS($AC336-significance_bar)&lt;=2.0*IF($V336,IF($AL336="","",$AL336),IF($AK336="","",$AK336)),OR($Y336="worse",$Y336="worse, not significant")),IF(ROUND($AC336,3)=ROUND(significance_bar,3),TEXT($AC336,"0.0000"),TEXT($AC336,"0.000")),""),"")</f>
        <v/>
      </c>
      <c r="AO336">
        <f>IF(OR($AI336="",$AN336=""),$AI336,$AI336&amp;" · borderline (p "&amp;$AN336&amp;")")</f>
        <v/>
      </c>
    </row>
    <row r="337">
      <c r="A337" t="inlineStr">
        <is>
          <t>three-way</t>
        </is>
      </c>
      <c r="B337" t="inlineStr">
        <is>
          <t>FICO x CHANNEL / REV_DEBT</t>
        </is>
      </c>
      <c r="C337" t="inlineStr">
        <is>
          <t>496 - 653</t>
        </is>
      </c>
      <c r="D337" t="inlineStr">
        <is>
          <t>Online / REV_DEBT high half</t>
        </is>
      </c>
      <c r="E337" t="inlineStr">
        <is>
          <t>ranr_rate</t>
        </is>
      </c>
      <c r="F337" t="inlineStr">
        <is>
          <t>Profit after losses: RANR per booked dollar</t>
        </is>
      </c>
      <c r="G337" t="n">
        <v>265</v>
      </c>
      <c r="H337" t="n">
        <v>8466411.169999998</v>
      </c>
      <c r="I337" t="b">
        <v>0</v>
      </c>
      <c r="J337" t="b">
        <v>0</v>
      </c>
      <c r="K337" t="n">
        <v>0.06707930275379867</v>
      </c>
      <c r="L337" t="n">
        <v>0.0002466420024664201</v>
      </c>
      <c r="M337" t="n">
        <v>0.003236983442592628</v>
      </c>
      <c r="N337" t="n">
        <v>0.9302952057735404</v>
      </c>
      <c r="O337" t="n">
        <v>-567920.9581105728</v>
      </c>
      <c r="P337" t="n">
        <v>-27405.63277547131</v>
      </c>
      <c r="Q337">
        <f>'_live'!$C$23</f>
        <v/>
      </c>
      <c r="R337" t="inlineStr">
        <is>
          <t>shuffled: 0 of 10,000</t>
        </is>
      </c>
      <c r="S337" t="inlineStr">
        <is>
          <t>shuffled: 8,591 of 10,000</t>
        </is>
      </c>
      <c r="T337" t="n">
        <v>0.1257893894479291</v>
      </c>
      <c r="U337" t="n">
        <v>0.1896317087591352</v>
      </c>
      <c r="V337">
        <f>AND(judged_band,NOT($J337))</f>
        <v/>
      </c>
      <c r="W337">
        <f>IF($K337="","",IF(profit_kind="test",IF(OR(NOT(AND(ISNUMBER($L337),$L337&lt;significance_bar)),$K337=0),"in line",IF($K337&lt;0,"worse","better")),IF(OR($K337=0,IF(profit_kind="points",ABS($K337),ABS($K337*$H337))&lt;profit_line*(1-1E-9)),"in line",IF(AND(ISNUMBER($L337),$L337&lt;significance_bar),IF($K337&lt;0,"worse","better"),IF($K337&lt;0,"worse, not significant","better, not significant")))))</f>
        <v/>
      </c>
      <c r="X337">
        <f>IF($M337="","",IF(profit_kind="test",IF(OR(NOT(AND(ISNUMBER($N337),$N337&lt;significance_bar)),$M337=0),"in line",IF($M337&lt;0,"worse","better")),IF(OR($M337=0,IF(profit_kind="points",ABS($M337),ABS($M337*$H337))&lt;profit_line*(1-1E-9)),"in line",IF(AND(ISNUMBER($N337),$N337&lt;significance_bar),IF($M337&lt;0,"worse","better"),IF($M337&lt;0,"worse, not significant","better, not significant")))))</f>
        <v/>
      </c>
      <c r="Y337">
        <f>IF($V337,$X337,$W337)</f>
        <v/>
      </c>
      <c r="Z337">
        <f>IF($V337,IF($P337="","",$P337),IF($O337="","",$O337))</f>
        <v/>
      </c>
      <c r="AA337">
        <f>IF(OR($Q337="",$Z337=""),"",IF(AND($Z337&gt;0,$Z337&gt;=$Q337),"yes","below the line"))</f>
        <v/>
      </c>
      <c r="AB337">
        <f>IF($V337,IF($M337="","",$M337),IF($K337="","",$K337))</f>
        <v/>
      </c>
      <c r="AC337">
        <f>IF($V337,IF($N337="","",$N337),IF($L337="","",$L337))</f>
        <v/>
      </c>
      <c r="AD337">
        <f>IF($Y337="","",IF($Y337="in line",IF(profit_kind="test",IF(ROUND($AB337*100,2)=0,"0.00",TEXT($AB337*100,"+0.00;-0.00"))&amp;" points against "&amp;IF($V337,"its band","the book")&amp;", "&amp;IF($AC337="","not tested","not significant"),IF(profit_kind="points","within "&amp;TEXT(profit_line*100,"0.00")&amp;" points of "&amp;IF($V337,"its band","the book")&amp;" ("&amp;IF(ROUND($AB337*100,2)=0,"0.00",TEXT($AB337*100,"+0.00;-0.00"))&amp;")","within $"&amp;TEXT(profit_line,"#,##0")&amp;" of "&amp;IF($V337,"its band","the book")&amp;" ("&amp;IF(ROUND($AB337*100,2)=0,"0.00",TEXT($AB337*100,"+0.00;-0.00"))&amp;" points)")),IF(LEFT($Y337,5)="worse","short of ","ahead of ")&amp;IF($V337,"its band","the book")&amp;" by "&amp;TEXT(ABS($AB337)*100,"0.00")&amp;" points"&amp;IF($Z337="",""," ($"&amp;TEXT(ABS($Z337),"#,##0")&amp;")")&amp;IF(RIGHT($Y337,15)="not significant"," (not significant)","")))</f>
        <v/>
      </c>
      <c r="AE337">
        <f>IF($V337,IF($S337="","",$S337),IF($R337="","",$R337))</f>
        <v/>
      </c>
      <c r="AF337">
        <f>IF($V337,IF($U337="","",$U337),IF($T337="","",$T337))</f>
        <v/>
      </c>
      <c r="AG337">
        <f>IF($V337,IF($O337="","",$O337),IF($P337="","",$P337))</f>
        <v/>
      </c>
      <c r="AH337" t="n">
        <v>0.1928686922017278</v>
      </c>
      <c r="AI337">
        <f>IF($Y337="worse","Yes",IF($Y337="worse, not significant","Not sure",IF(OR($Y337="too few losses to test",$Y337="too few loans to test"),"Too few losses",IF($Y337="","","No"))))</f>
        <v/>
      </c>
      <c r="AJ337">
        <f>IF($AA337="yes","Yes",IF($AA337="","","No"))</f>
        <v/>
      </c>
      <c r="AK337" t="n">
        <v>0.0002466420024664201</v>
      </c>
      <c r="AL337" t="n">
        <v>0.00345787916629182</v>
      </c>
      <c r="AM337">
        <f>IF(AND(ISNUMBER($AC337),ISNUMBER(IF($V337,IF($AL337="","",$AL337),IF($AK337="","",$AK337)))),IF(AND(ABS($AC337-significance_bar)&lt;=2.0*IF($V337,IF($AL337="","",$AL337),IF($AK337="","",$AK337)),OR($Y337="worse",$Y337="better",$Y337="worse, not significant",$Y337="better, not significant",AND(profit_kind="test",$Y337="in line",ISNUMBER($AB337),$AB337&lt;&gt;0))),IF(ROUND($AC337,3)=ROUND(significance_bar,3),TEXT($AC337,"0.0000"),TEXT($AC337,"0.000")),""),"")</f>
        <v/>
      </c>
      <c r="AN337">
        <f>IF(AND(ISNUMBER($AC337),ISNUMBER(IF($V337,IF($AL337="","",$AL337),IF($AK337="","",$AK337)))),IF(AND(ABS($AC337-significance_bar)&lt;=2.0*IF($V337,IF($AL337="","",$AL337),IF($AK337="","",$AK337)),OR($Y337="worse",$Y337="worse, not significant",AND(profit_kind="test",$Y337="in line",ISNUMBER($AB337),$AB337&lt;0))),IF(ROUND($AC337,3)=ROUND(significance_bar,3),TEXT($AC337,"0.0000"),TEXT($AC337,"0.000")),""),"")</f>
        <v/>
      </c>
      <c r="AO337">
        <f>IF(OR($AI337="",$AN337=""),$AI337,$AI337&amp;" · borderline (p "&amp;$AN337&amp;")")</f>
        <v/>
      </c>
    </row>
    <row r="338">
      <c r="A338" t="inlineStr">
        <is>
          <t>three-way</t>
        </is>
      </c>
      <c r="B338" t="inlineStr">
        <is>
          <t>FICO x CHANNEL / REV_DEBT</t>
        </is>
      </c>
      <c r="C338" t="inlineStr">
        <is>
          <t>496 - 653</t>
        </is>
      </c>
      <c r="D338" t="inlineStr">
        <is>
          <t>Online / REV_DEBT high half</t>
        </is>
      </c>
      <c r="E338" t="inlineStr">
        <is>
          <t>contribution_rate</t>
        </is>
      </c>
      <c r="F338" t="inlineStr">
        <is>
          <t>Contribution before losses per booked dollar</t>
        </is>
      </c>
      <c r="G338" t="n">
        <v>265</v>
      </c>
      <c r="H338" t="n">
        <v>8466411.169999998</v>
      </c>
      <c r="I338" t="b">
        <v>0</v>
      </c>
      <c r="J338" t="b">
        <v>0</v>
      </c>
      <c r="K338" t="n">
        <v>0.09990997815898209</v>
      </c>
      <c r="L338" t="n">
        <v>0.0001761728589045857</v>
      </c>
      <c r="M338" t="n">
        <v>-0.0088818924832339</v>
      </c>
      <c r="N338" t="n">
        <v>0.5135486451354865</v>
      </c>
      <c r="O338" t="n">
        <v>-845878.9550796617</v>
      </c>
      <c r="P338" t="n">
        <v>75197.75373079069</v>
      </c>
      <c r="Q338">
        <f>'_live'!$C$24</f>
        <v/>
      </c>
      <c r="R338" t="inlineStr">
        <is>
          <t>shuffled: 0 of 10,000</t>
        </is>
      </c>
      <c r="S338" t="inlineStr">
        <is>
          <t>shuffled: 4,165 of 10,000</t>
        </is>
      </c>
      <c r="T338" t="n">
        <v>0.1663142205885021</v>
      </c>
      <c r="U338" t="n">
        <v>0.2751060912307181</v>
      </c>
      <c r="V338">
        <f>AND(judged_band,NOT($J338))</f>
        <v/>
      </c>
      <c r="W338">
        <f>IF($K338="","",IF(profit_kind="test",IF(OR(NOT(AND(ISNUMBER($L338),$L338&lt;significance_bar)),$K338=0),"in line",IF($K338&lt;0,"worse","better")),IF(OR($K338=0,IF(profit_kind="points",ABS($K338),ABS($K338*$H338))&lt;profit_line*(1-1E-9)),"in line",IF(AND(ISNUMBER($L338),$L338&lt;significance_bar),IF($K338&lt;0,"worse","better"),IF($K338&lt;0,"worse, not significant","better, not significant")))))</f>
        <v/>
      </c>
      <c r="X338">
        <f>IF($M338="","",IF(profit_kind="test",IF(OR(NOT(AND(ISNUMBER($N338),$N338&lt;significance_bar)),$M338=0),"in line",IF($M338&lt;0,"worse","better")),IF(OR($M338=0,IF(profit_kind="points",ABS($M338),ABS($M338*$H338))&lt;profit_line*(1-1E-9)),"in line",IF(AND(ISNUMBER($N338),$N338&lt;significance_bar),IF($M338&lt;0,"worse","better"),IF($M338&lt;0,"worse, not significant","better, not significant")))))</f>
        <v/>
      </c>
      <c r="Y338">
        <f>IF($V338,$X338,$W338)</f>
        <v/>
      </c>
      <c r="Z338">
        <f>IF($V338,IF($P338="","",$P338),IF($O338="","",$O338))</f>
        <v/>
      </c>
      <c r="AA338">
        <f>IF(OR($Q338="",$Z338=""),"",IF(AND($Z338&gt;0,$Z338&gt;=$Q338),"yes","below the line"))</f>
        <v/>
      </c>
      <c r="AB338">
        <f>IF($V338,IF($M338="","",$M338),IF($K338="","",$K338))</f>
        <v/>
      </c>
      <c r="AC338">
        <f>IF($V338,IF($N338="","",$N338),IF($L338="","",$L338))</f>
        <v/>
      </c>
      <c r="AD338">
        <f>IF($Y338="","",IF($Y338="in line",IF(profit_kind="test",IF(ROUND($AB338*100,2)=0,"0.00",TEXT($AB338*100,"+0.00;-0.00"))&amp;" points against "&amp;IF($V338,"its band","the book")&amp;", "&amp;IF($AC338="","not tested","not significant"),IF(profit_kind="points","within "&amp;TEXT(profit_line*100,"0.00")&amp;" points of "&amp;IF($V338,"its band","the book")&amp;" ("&amp;IF(ROUND($AB338*100,2)=0,"0.00",TEXT($AB338*100,"+0.00;-0.00"))&amp;")","within $"&amp;TEXT(profit_line,"#,##0")&amp;" of "&amp;IF($V338,"its band","the book")&amp;" ("&amp;IF(ROUND($AB338*100,2)=0,"0.00",TEXT($AB338*100,"+0.00;-0.00"))&amp;" points)")),IF(LEFT($Y338,5)="worse","short of ","ahead of ")&amp;IF($V338,"its band","the book")&amp;" by "&amp;TEXT(ABS($AB338)*100,"0.00")&amp;" points"&amp;IF($Z338="",""," ($"&amp;TEXT(ABS($Z338),"#,##0")&amp;")")&amp;IF(RIGHT($Y338,15)="not significant"," (not significant)","")))</f>
        <v/>
      </c>
      <c r="AE338">
        <f>IF($V338,IF($S338="","",$S338),IF($R338="","",$R338))</f>
        <v/>
      </c>
      <c r="AF338">
        <f>IF($V338,IF($U338="","",$U338),IF($T338="","",$T338))</f>
        <v/>
      </c>
      <c r="AG338">
        <f>IF($V338,IF($O338="","",$O338),IF($P338="","",$P338))</f>
        <v/>
      </c>
      <c r="AH338" t="n">
        <v>0.2662241987474842</v>
      </c>
      <c r="AI338">
        <f>IF($Y338="worse","Yes",IF($Y338="worse, not significant","Not sure",IF(OR($Y338="too few losses to test",$Y338="too few loans to test"),"Too few losses",IF($Y338="","","No"))))</f>
        <v/>
      </c>
      <c r="AJ338">
        <f>IF($AA338="yes","Yes",IF($AA338="","","No"))</f>
        <v/>
      </c>
      <c r="AK338" t="n">
        <v>0.0001761728589045857</v>
      </c>
      <c r="AL338" t="n">
        <v>0.005937391373676574</v>
      </c>
      <c r="AM338">
        <f>IF(AND(ISNUMBER($AC338),ISNUMBER(IF($V338,IF($AL338="","",$AL338),IF($AK338="","",$AK338)))),IF(AND(ABS($AC338-significance_bar)&lt;=2.0*IF($V338,IF($AL338="","",$AL338),IF($AK338="","",$AK338)),OR($Y338="worse",$Y338="better",$Y338="worse, not significant",$Y338="better, not significant",AND(profit_kind="test",$Y338="in line",ISNUMBER($AB338),$AB338&lt;&gt;0))),IF(ROUND($AC338,3)=ROUND(significance_bar,3),TEXT($AC338,"0.0000"),TEXT($AC338,"0.000")),""),"")</f>
        <v/>
      </c>
      <c r="AN338">
        <f>IF(AND(ISNUMBER($AC338),ISNUMBER(IF($V338,IF($AL338="","",$AL338),IF($AK338="","",$AK338)))),IF(AND(ABS($AC338-significance_bar)&lt;=2.0*IF($V338,IF($AL338="","",$AL338),IF($AK338="","",$AK338)),OR($Y338="worse",$Y338="worse, not significant",AND(profit_kind="test",$Y338="in line",ISNUMBER($AB338),$AB338&lt;0))),IF(ROUND($AC338,3)=ROUND(significance_bar,3),TEXT($AC338,"0.0000"),TEXT($AC338,"0.000")),""),"")</f>
        <v/>
      </c>
      <c r="AO338">
        <f>IF(OR($AI338="",$AN338=""),$AI338,$AI338&amp;" · borderline (p "&amp;$AN338&amp;")")</f>
        <v/>
      </c>
    </row>
    <row r="339">
      <c r="A339" t="inlineStr">
        <is>
          <t>three-way</t>
        </is>
      </c>
      <c r="B339" t="inlineStr">
        <is>
          <t>FICO x CHANNEL / REV_DEBT</t>
        </is>
      </c>
      <c r="C339" t="inlineStr">
        <is>
          <t>686 - 711</t>
        </is>
      </c>
      <c r="D339" t="inlineStr">
        <is>
          <t>Branch / REV_DEBT high half</t>
        </is>
      </c>
      <c r="E339" t="inlineStr">
        <is>
          <t>outcome_loans</t>
        </is>
      </c>
      <c r="F339" t="inlineStr">
        <is>
          <t>Outcome, share of loans</t>
        </is>
      </c>
      <c r="G339" t="n">
        <v>257</v>
      </c>
      <c r="H339" t="n">
        <v>257</v>
      </c>
      <c r="I339" t="b">
        <v>0</v>
      </c>
      <c r="J339" t="b">
        <v>0</v>
      </c>
      <c r="K339" t="n">
        <v>0.9539429312581064</v>
      </c>
      <c r="L339" t="n">
        <v>0.9124798137002843</v>
      </c>
      <c r="M339" t="n">
        <v>1.252968821062206</v>
      </c>
      <c r="N339" t="n">
        <v>0.5210560798561491</v>
      </c>
      <c r="O339" t="n">
        <v>-0.9173340222164796</v>
      </c>
      <c r="P339" t="n">
        <v>3.836015325670498</v>
      </c>
      <c r="Q339">
        <f>'_live'!$C$20</f>
        <v/>
      </c>
      <c r="R339" t="inlineStr">
        <is>
          <t>z test</t>
        </is>
      </c>
      <c r="S339" t="inlineStr">
        <is>
          <t>z test</t>
        </is>
      </c>
      <c r="T339" t="n">
        <v>0.07749935417204856</v>
      </c>
      <c r="U339" t="n">
        <v>0.05900383141762452</v>
      </c>
      <c r="V339">
        <f>AND(judged_band,NOT($J339))</f>
        <v/>
      </c>
      <c r="W339">
        <f>IF($K339="","",IF($I339,"too few losses to test",IF(AND($K339&gt;better_at,$K339&lt;worse_at),"in line",IF($K339&gt;=worse_at,IF(AND(ISNUMBER($L339),$L339&lt;significance_bar),"worse","worse, not significant"),IF(AND(ISNUMBER($L339),$L339&lt;significance_bar),"better","better, not significant")))))</f>
        <v/>
      </c>
      <c r="X339">
        <f>IF($M339="","",IF($I339,"too few losses to test",IF(AND($M339&gt;better_at,$M339&lt;worse_at),"in line",IF($M339&gt;=worse_at,IF(AND(ISNUMBER($N339),$N339&lt;significance_bar),"worse","worse, not significant"),IF(AND(ISNUMBER($N339),$N339&lt;significance_bar),"better","better, not significant")))))</f>
        <v/>
      </c>
      <c r="Y339">
        <f>IF($V339,$X339,$W339)</f>
        <v/>
      </c>
      <c r="Z339">
        <f>IF($V339,IF($P339="","",$P339),IF($O339="","",$O339))</f>
        <v/>
      </c>
      <c r="AA339">
        <f>IF(OR($Q339="",$Z339=""),"",IF(AND($Z339&gt;0,$Z339&gt;=$Q339),"yes","below the line"))</f>
        <v/>
      </c>
      <c r="AB339">
        <f>IF($V339,IF($M339="","",$M339),IF($K339="","",$K339))</f>
        <v/>
      </c>
      <c r="AC339">
        <f>IF($V339,IF($N339="","",$N339),IF($L339="","",$L339))</f>
        <v/>
      </c>
      <c r="AD339">
        <f>$Y339</f>
        <v/>
      </c>
      <c r="AE339">
        <f>IF($V339,IF($S339="","",$S339),IF($R339="","",$R339))</f>
        <v/>
      </c>
      <c r="AF339">
        <f>IF($V339,IF($U339="","",$U339),IF($T339="","",$T339))</f>
        <v/>
      </c>
      <c r="AG339">
        <f>IF($V339,IF($O339="","",$O339),IF($P339="","",$P339))</f>
        <v/>
      </c>
      <c r="AH339" t="n">
        <v>0.07392996108949416</v>
      </c>
      <c r="AI339">
        <f>IF($Y339="worse","Yes",IF($Y339="worse, not significant","Not sure",IF(OR($Y339="too few losses to test",$Y339="too few loans to test"),"Too few losses",IF($Y339="","","No"))))</f>
        <v/>
      </c>
      <c r="AJ339">
        <f>IF($AA339="yes","Yes",IF($AA339="","","No"))</f>
        <v/>
      </c>
      <c r="AM339">
        <f>IF(AND(ISNUMBER($AC339),ISNUMBER(IF($V339,IF($AL339="","",$AL339),IF($AK339="","",$AK339)))),IF(AND(ABS($AC339-significance_bar)&lt;=2.0*IF($V339,IF($AL339="","",$AL339),IF($AK339="","",$AK339)),OR($Y339="worse",$Y339="better",$Y339="worse, not significant",$Y339="better, not significant")),IF(ROUND($AC339,3)=ROUND(significance_bar,3),TEXT($AC339,"0.0000"),TEXT($AC339,"0.000")),""),"")</f>
        <v/>
      </c>
      <c r="AN339">
        <f>IF(AND(ISNUMBER($AC339),ISNUMBER(IF($V339,IF($AL339="","",$AL339),IF($AK339="","",$AK339)))),IF(AND(ABS($AC339-significance_bar)&lt;=2.0*IF($V339,IF($AL339="","",$AL339),IF($AK339="","",$AK339)),OR($Y339="worse",$Y339="worse, not significant")),IF(ROUND($AC339,3)=ROUND(significance_bar,3),TEXT($AC339,"0.0000"),TEXT($AC339,"0.000")),""),"")</f>
        <v/>
      </c>
      <c r="AO339">
        <f>IF(OR($AI339="",$AN339=""),$AI339,$AI339&amp;" · borderline (p "&amp;$AN339&amp;")")</f>
        <v/>
      </c>
    </row>
    <row r="340">
      <c r="A340" t="inlineStr">
        <is>
          <t>three-way</t>
        </is>
      </c>
      <c r="B340" t="inlineStr">
        <is>
          <t>FICO x CHANNEL / REV_DEBT</t>
        </is>
      </c>
      <c r="C340" t="inlineStr">
        <is>
          <t>686 - 711</t>
        </is>
      </c>
      <c r="D340" t="inlineStr">
        <is>
          <t>Branch / REV_DEBT high half</t>
        </is>
      </c>
      <c r="E340" t="inlineStr">
        <is>
          <t>outcome_booked</t>
        </is>
      </c>
      <c r="F340" t="inlineStr">
        <is>
          <t>Outcome, share of booked dollars</t>
        </is>
      </c>
      <c r="G340" t="n">
        <v>257</v>
      </c>
      <c r="H340" t="n">
        <v>8275964.539999999</v>
      </c>
      <c r="I340" t="b">
        <v>0</v>
      </c>
      <c r="J340" t="b">
        <v>0</v>
      </c>
      <c r="K340" t="n">
        <v>0.850515295271143</v>
      </c>
      <c r="L340" t="n">
        <v>0.6182931706829318</v>
      </c>
      <c r="M340" t="n">
        <v>1.152457305785378</v>
      </c>
      <c r="N340" t="n">
        <v>0.7864003073376873</v>
      </c>
      <c r="O340" t="n">
        <v>-93019.02593257977</v>
      </c>
      <c r="P340" t="n">
        <v>70013.30077464518</v>
      </c>
      <c r="Q340">
        <f>'_live'!$C$21</f>
        <v/>
      </c>
      <c r="R340" t="inlineStr">
        <is>
          <t>shuffled: 5,376 of 10,000</t>
        </is>
      </c>
      <c r="S340" t="inlineStr">
        <is>
          <t>shuffled: 6,184 of 10,000</t>
        </is>
      </c>
      <c r="T340" t="n">
        <v>0.07518936347842059</v>
      </c>
      <c r="U340" t="n">
        <v>0.05548986791880996</v>
      </c>
      <c r="V340">
        <f>AND(judged_band,NOT($J340))</f>
        <v/>
      </c>
      <c r="W340">
        <f>IF($K340="","",IF($I340,"too few losses to test",IF(AND($K340&gt;better_at,$K340&lt;worse_at),"in line",IF($K340&gt;=worse_at,IF(AND(ISNUMBER($L340),$L340&lt;significance_bar),"worse","worse, not significant"),IF(AND(ISNUMBER($L340),$L340&lt;significance_bar),"better","better, not significant")))))</f>
        <v/>
      </c>
      <c r="X340">
        <f>IF($M340="","",IF($I340,"too few losses to test",IF(AND($M340&gt;better_at,$M340&lt;worse_at),"in line",IF($M340&gt;=worse_at,IF(AND(ISNUMBER($N340),$N340&lt;significance_bar),"worse","worse, not significant"),IF(AND(ISNUMBER($N340),$N340&lt;significance_bar),"better","better, not significant")))))</f>
        <v/>
      </c>
      <c r="Y340">
        <f>IF($V340,$X340,$W340)</f>
        <v/>
      </c>
      <c r="Z340">
        <f>IF($V340,IF($P340="","",$P340),IF($O340="","",$O340))</f>
        <v/>
      </c>
      <c r="AA340">
        <f>IF(OR($Q340="",$Z340=""),"",IF(AND($Z340&gt;0,$Z340&gt;=$Q340),"yes","below the line"))</f>
        <v/>
      </c>
      <c r="AB340">
        <f>IF($V340,IF($M340="","",$M340),IF($K340="","",$K340))</f>
        <v/>
      </c>
      <c r="AC340">
        <f>IF($V340,IF($N340="","",$N340),IF($L340="","",$L340))</f>
        <v/>
      </c>
      <c r="AD340">
        <f>$Y340</f>
        <v/>
      </c>
      <c r="AE340">
        <f>IF($V340,IF($S340="","",$S340),IF($R340="","",$R340))</f>
        <v/>
      </c>
      <c r="AF340">
        <f>IF($V340,IF($U340="","",$U340),IF($T340="","",$T340))</f>
        <v/>
      </c>
      <c r="AG340">
        <f>IF($V340,IF($O340="","",$O340),IF($P340="","",$P340))</f>
        <v/>
      </c>
      <c r="AH340" t="n">
        <v>0.06394970368009818</v>
      </c>
      <c r="AI340">
        <f>IF($Y340="worse","Yes",IF($Y340="worse, not significant","Not sure",IF(OR($Y340="too few losses to test",$Y340="too few loans to test"),"Too few losses",IF($Y340="","","No"))))</f>
        <v/>
      </c>
      <c r="AJ340">
        <f>IF($AA340="yes","Yes",IF($AA340="","","No"))</f>
        <v/>
      </c>
      <c r="AK340" t="n">
        <v>0.005733678586842992</v>
      </c>
      <c r="AL340" t="n">
        <v>0.00577523006811323</v>
      </c>
      <c r="AM340">
        <f>IF(AND(ISNUMBER($AC340),ISNUMBER(IF($V340,IF($AL340="","",$AL340),IF($AK340="","",$AK340)))),IF(AND(ABS($AC340-significance_bar)&lt;=2.0*IF($V340,IF($AL340="","",$AL340),IF($AK340="","",$AK340)),OR($Y340="worse",$Y340="better",$Y340="worse, not significant",$Y340="better, not significant")),IF(ROUND($AC340,3)=ROUND(significance_bar,3),TEXT($AC340,"0.0000"),TEXT($AC340,"0.000")),""),"")</f>
        <v/>
      </c>
      <c r="AN340">
        <f>IF(AND(ISNUMBER($AC340),ISNUMBER(IF($V340,IF($AL340="","",$AL340),IF($AK340="","",$AK340)))),IF(AND(ABS($AC340-significance_bar)&lt;=2.0*IF($V340,IF($AL340="","",$AL340),IF($AK340="","",$AK340)),OR($Y340="worse",$Y340="worse, not significant")),IF(ROUND($AC340,3)=ROUND(significance_bar,3),TEXT($AC340,"0.0000"),TEXT($AC340,"0.000")),""),"")</f>
        <v/>
      </c>
      <c r="AO340">
        <f>IF(OR($AI340="",$AN340=""),$AI340,$AI340&amp;" · borderline (p "&amp;$AN340&amp;")")</f>
        <v/>
      </c>
    </row>
    <row r="341">
      <c r="A341" t="inlineStr">
        <is>
          <t>three-way</t>
        </is>
      </c>
      <c r="B341" t="inlineStr">
        <is>
          <t>FICO x CHANNEL / REV_DEBT</t>
        </is>
      </c>
      <c r="C341" t="inlineStr">
        <is>
          <t>686 - 711</t>
        </is>
      </c>
      <c r="D341" t="inlineStr">
        <is>
          <t>Branch / REV_DEBT high half</t>
        </is>
      </c>
      <c r="E341" t="inlineStr">
        <is>
          <t>gco_rate</t>
        </is>
      </c>
      <c r="F341" t="inlineStr">
        <is>
          <t>GCO per booked dollar</t>
        </is>
      </c>
      <c r="G341" t="n">
        <v>257</v>
      </c>
      <c r="H341" t="n">
        <v>8275964.539999999</v>
      </c>
      <c r="I341" t="b">
        <v>0</v>
      </c>
      <c r="J341" t="b">
        <v>0</v>
      </c>
      <c r="K341" t="n">
        <v>0.8064726666717729</v>
      </c>
      <c r="L341" t="n">
        <v>0.5282208621243139</v>
      </c>
      <c r="M341" t="n">
        <v>1.086338626851793</v>
      </c>
      <c r="N341" t="n">
        <v>0.8606615528923297</v>
      </c>
      <c r="O341" t="n">
        <v>-67052.25150818599</v>
      </c>
      <c r="P341" t="n">
        <v>22207.54858528747</v>
      </c>
      <c r="Q341">
        <f>'_live'!$C$22</f>
        <v/>
      </c>
      <c r="R341" t="inlineStr">
        <is>
          <t>shuffled: 4,363 of 10,000</t>
        </is>
      </c>
      <c r="S341" t="inlineStr">
        <is>
          <t>shuffled: 7,858 of 10,000</t>
        </is>
      </c>
      <c r="T341" t="n">
        <v>0.04186512881170296</v>
      </c>
      <c r="U341" t="n">
        <v>0.03107970317798299</v>
      </c>
      <c r="V341">
        <f>AND(judged_band,NOT($J341))</f>
        <v/>
      </c>
      <c r="W341">
        <f>IF($K341="","",IF($I341,"too few losses to test",IF(AND($K341&gt;better_at,$K341&lt;worse_at),"in line",IF($K341&gt;=worse_at,IF(AND(ISNUMBER($L341),$L341&lt;significance_bar),"worse","worse, not significant"),IF(AND(ISNUMBER($L341),$L341&lt;significance_bar),"better","better, not significant")))))</f>
        <v/>
      </c>
      <c r="X341">
        <f>IF($M341="","",IF($I341,"too few losses to test",IF(AND($M341&gt;better_at,$M341&lt;worse_at),"in line",IF($M341&gt;=worse_at,IF(AND(ISNUMBER($N341),$N341&lt;significance_bar),"worse","worse, not significant"),IF(AND(ISNUMBER($N341),$N341&lt;significance_bar),"better","better, not significant")))))</f>
        <v/>
      </c>
      <c r="Y341">
        <f>IF($V341,$X341,$W341)</f>
        <v/>
      </c>
      <c r="Z341">
        <f>IF($V341,IF($P341="","",$P341),IF($O341="","",$O341))</f>
        <v/>
      </c>
      <c r="AA341">
        <f>IF(OR($Q341="",$Z341=""),"",IF(AND($Z341&gt;0,$Z341&gt;=$Q341),"yes","below the line"))</f>
        <v/>
      </c>
      <c r="AB341">
        <f>IF($V341,IF($M341="","",$M341),IF($K341="","",$K341))</f>
        <v/>
      </c>
      <c r="AC341">
        <f>IF($V341,IF($N341="","",$N341),IF($L341="","",$L341))</f>
        <v/>
      </c>
      <c r="AD341">
        <f>$Y341</f>
        <v/>
      </c>
      <c r="AE341">
        <f>IF($V341,IF($S341="","",$S341),IF($R341="","",$R341))</f>
        <v/>
      </c>
      <c r="AF341">
        <f>IF($V341,IF($U341="","",$U341),IF($T341="","",$T341))</f>
        <v/>
      </c>
      <c r="AG341">
        <f>IF($V341,IF($O341="","",$O341),IF($P341="","",$P341))</f>
        <v/>
      </c>
      <c r="AH341" t="n">
        <v>0.03376308207333135</v>
      </c>
      <c r="AI341">
        <f>IF($Y341="worse","Yes",IF($Y341="worse, not significant","Not sure",IF(OR($Y341="too few losses to test",$Y341="too few loans to test"),"Too few losses",IF($Y341="","","No"))))</f>
        <v/>
      </c>
      <c r="AJ341">
        <f>IF($AA341="yes","Yes",IF($AA341="","","No"))</f>
        <v/>
      </c>
      <c r="AK341" t="n">
        <v>0.006003398828723041</v>
      </c>
      <c r="AL341" t="n">
        <v>0.004493228362852481</v>
      </c>
      <c r="AM341">
        <f>IF(AND(ISNUMBER($AC341),ISNUMBER(IF($V341,IF($AL341="","",$AL341),IF($AK341="","",$AK341)))),IF(AND(ABS($AC341-significance_bar)&lt;=2.0*IF($V341,IF($AL341="","",$AL341),IF($AK341="","",$AK341)),OR($Y341="worse",$Y341="better",$Y341="worse, not significant",$Y341="better, not significant")),IF(ROUND($AC341,3)=ROUND(significance_bar,3),TEXT($AC341,"0.0000"),TEXT($AC341,"0.000")),""),"")</f>
        <v/>
      </c>
      <c r="AN341">
        <f>IF(AND(ISNUMBER($AC341),ISNUMBER(IF($V341,IF($AL341="","",$AL341),IF($AK341="","",$AK341)))),IF(AND(ABS($AC341-significance_bar)&lt;=2.0*IF($V341,IF($AL341="","",$AL341),IF($AK341="","",$AK341)),OR($Y341="worse",$Y341="worse, not significant")),IF(ROUND($AC341,3)=ROUND(significance_bar,3),TEXT($AC341,"0.0000"),TEXT($AC341,"0.000")),""),"")</f>
        <v/>
      </c>
      <c r="AO341">
        <f>IF(OR($AI341="",$AN341=""),$AI341,$AI341&amp;" · borderline (p "&amp;$AN341&amp;")")</f>
        <v/>
      </c>
    </row>
    <row r="342">
      <c r="A342" t="inlineStr">
        <is>
          <t>three-way</t>
        </is>
      </c>
      <c r="B342" t="inlineStr">
        <is>
          <t>FICO x CHANNEL / REV_DEBT</t>
        </is>
      </c>
      <c r="C342" t="inlineStr">
        <is>
          <t>686 - 711</t>
        </is>
      </c>
      <c r="D342" t="inlineStr">
        <is>
          <t>Branch / REV_DEBT high half</t>
        </is>
      </c>
      <c r="E342" t="inlineStr">
        <is>
          <t>ranr_rate</t>
        </is>
      </c>
      <c r="F342" t="inlineStr">
        <is>
          <t>Profit after losses: RANR per booked dollar</t>
        </is>
      </c>
      <c r="G342" t="n">
        <v>257</v>
      </c>
      <c r="H342" t="n">
        <v>8275964.539999999</v>
      </c>
      <c r="I342" t="b">
        <v>0</v>
      </c>
      <c r="J342" t="b">
        <v>0</v>
      </c>
      <c r="K342" t="n">
        <v>-0.001877804480821199</v>
      </c>
      <c r="L342" t="n">
        <v>0.9415058494150585</v>
      </c>
      <c r="M342" t="n">
        <v>-0.01879476709919251</v>
      </c>
      <c r="N342" t="n">
        <v>0.3331051510233592</v>
      </c>
      <c r="O342" t="n">
        <v>15540.64329632919</v>
      </c>
      <c r="P342" t="n">
        <v>155544.8260504758</v>
      </c>
      <c r="Q342">
        <f>'_live'!$C$23</f>
        <v/>
      </c>
      <c r="R342" t="inlineStr">
        <is>
          <t>shuffled: 8,795 of 10,000</t>
        </is>
      </c>
      <c r="S342" t="inlineStr">
        <is>
          <t>shuffled: 1,202 of 10,000</t>
        </is>
      </c>
      <c r="T342" t="n">
        <v>0.1280502687238832</v>
      </c>
      <c r="U342" t="n">
        <v>0.1449672313422545</v>
      </c>
      <c r="V342">
        <f>AND(judged_band,NOT($J342))</f>
        <v/>
      </c>
      <c r="W342">
        <f>IF($K342="","",IF(profit_kind="test",IF(OR(NOT(AND(ISNUMBER($L342),$L342&lt;significance_bar)),$K342=0),"in line",IF($K342&lt;0,"worse","better")),IF(OR($K342=0,IF(profit_kind="points",ABS($K342),ABS($K342*$H342))&lt;profit_line*(1-1E-9)),"in line",IF(AND(ISNUMBER($L342),$L342&lt;significance_bar),IF($K342&lt;0,"worse","better"),IF($K342&lt;0,"worse, not significant","better, not significant")))))</f>
        <v/>
      </c>
      <c r="X342">
        <f>IF($M342="","",IF(profit_kind="test",IF(OR(NOT(AND(ISNUMBER($N342),$N342&lt;significance_bar)),$M342=0),"in line",IF($M342&lt;0,"worse","better")),IF(OR($M342=0,IF(profit_kind="points",ABS($M342),ABS($M342*$H342))&lt;profit_line*(1-1E-9)),"in line",IF(AND(ISNUMBER($N342),$N342&lt;significance_bar),IF($M342&lt;0,"worse","better"),IF($M342&lt;0,"worse, not significant","better, not significant")))))</f>
        <v/>
      </c>
      <c r="Y342">
        <f>IF($V342,$X342,$W342)</f>
        <v/>
      </c>
      <c r="Z342">
        <f>IF($V342,IF($P342="","",$P342),IF($O342="","",$O342))</f>
        <v/>
      </c>
      <c r="AA342">
        <f>IF(OR($Q342="",$Z342=""),"",IF(AND($Z342&gt;0,$Z342&gt;=$Q342),"yes","below the line"))</f>
        <v/>
      </c>
      <c r="AB342">
        <f>IF($V342,IF($M342="","",$M342),IF($K342="","",$K342))</f>
        <v/>
      </c>
      <c r="AC342">
        <f>IF($V342,IF($N342="","",$N342),IF($L342="","",$L342))</f>
        <v/>
      </c>
      <c r="AD342">
        <f>IF($Y342="","",IF($Y342="in line",IF(profit_kind="test",IF(ROUND($AB342*100,2)=0,"0.00",TEXT($AB342*100,"+0.00;-0.00"))&amp;" points against "&amp;IF($V342,"its band","the book")&amp;", "&amp;IF($AC342="","not tested","not significant"),IF(profit_kind="points","within "&amp;TEXT(profit_line*100,"0.00")&amp;" points of "&amp;IF($V342,"its band","the book")&amp;" ("&amp;IF(ROUND($AB342*100,2)=0,"0.00",TEXT($AB342*100,"+0.00;-0.00"))&amp;")","within $"&amp;TEXT(profit_line,"#,##0")&amp;" of "&amp;IF($V342,"its band","the book")&amp;" ("&amp;IF(ROUND($AB342*100,2)=0,"0.00",TEXT($AB342*100,"+0.00;-0.00"))&amp;" points)")),IF(LEFT($Y342,5)="worse","short of ","ahead of ")&amp;IF($V342,"its band","the book")&amp;" by "&amp;TEXT(ABS($AB342)*100,"0.00")&amp;" points"&amp;IF($Z342="",""," ($"&amp;TEXT(ABS($Z342),"#,##0")&amp;")")&amp;IF(RIGHT($Y342,15)="not significant"," (not significant)","")))</f>
        <v/>
      </c>
      <c r="AE342">
        <f>IF($V342,IF($S342="","",$S342),IF($R342="","",$R342))</f>
        <v/>
      </c>
      <c r="AF342">
        <f>IF($V342,IF($U342="","",$U342),IF($T342="","",$T342))</f>
        <v/>
      </c>
      <c r="AG342">
        <f>IF($V342,IF($O342="","",$O342),IF($P342="","",$P342))</f>
        <v/>
      </c>
      <c r="AH342" t="n">
        <v>0.126172464243062</v>
      </c>
      <c r="AI342">
        <f>IF($Y342="worse","Yes",IF($Y342="worse, not significant","Not sure",IF(OR($Y342="too few losses to test",$Y342="too few loans to test"),"Too few losses",IF($Y342="","","No"))))</f>
        <v/>
      </c>
      <c r="AJ342">
        <f>IF($AA342="yes","Yes",IF($AA342="","","No"))</f>
        <v/>
      </c>
      <c r="AK342" t="n">
        <v>0.002346754885630104</v>
      </c>
      <c r="AL342" t="n">
        <v>0.009008251728081612</v>
      </c>
      <c r="AM342">
        <f>IF(AND(ISNUMBER($AC342),ISNUMBER(IF($V342,IF($AL342="","",$AL342),IF($AK342="","",$AK342)))),IF(AND(ABS($AC342-significance_bar)&lt;=2.0*IF($V342,IF($AL342="","",$AL342),IF($AK342="","",$AK342)),OR($Y342="worse",$Y342="better",$Y342="worse, not significant",$Y342="better, not significant",AND(profit_kind="test",$Y342="in line",ISNUMBER($AB342),$AB342&lt;&gt;0))),IF(ROUND($AC342,3)=ROUND(significance_bar,3),TEXT($AC342,"0.0000"),TEXT($AC342,"0.000")),""),"")</f>
        <v/>
      </c>
      <c r="AN342">
        <f>IF(AND(ISNUMBER($AC342),ISNUMBER(IF($V342,IF($AL342="","",$AL342),IF($AK342="","",$AK342)))),IF(AND(ABS($AC342-significance_bar)&lt;=2.0*IF($V342,IF($AL342="","",$AL342),IF($AK342="","",$AK342)),OR($Y342="worse",$Y342="worse, not significant",AND(profit_kind="test",$Y342="in line",ISNUMBER($AB342),$AB342&lt;0))),IF(ROUND($AC342,3)=ROUND(significance_bar,3),TEXT($AC342,"0.0000"),TEXT($AC342,"0.000")),""),"")</f>
        <v/>
      </c>
      <c r="AO342">
        <f>IF(OR($AI342="",$AN342=""),$AI342,$AI342&amp;" · borderline (p "&amp;$AN342&amp;")")</f>
        <v/>
      </c>
    </row>
    <row r="343">
      <c r="A343" t="inlineStr">
        <is>
          <t>three-way</t>
        </is>
      </c>
      <c r="B343" t="inlineStr">
        <is>
          <t>FICO x CHANNEL / REV_DEBT</t>
        </is>
      </c>
      <c r="C343" t="inlineStr">
        <is>
          <t>686 - 711</t>
        </is>
      </c>
      <c r="D343" t="inlineStr">
        <is>
          <t>Branch / REV_DEBT high half</t>
        </is>
      </c>
      <c r="E343" t="inlineStr">
        <is>
          <t>contribution_rate</t>
        </is>
      </c>
      <c r="F343" t="inlineStr">
        <is>
          <t>Contribution before losses per booked dollar</t>
        </is>
      </c>
      <c r="G343" t="n">
        <v>257</v>
      </c>
      <c r="H343" t="n">
        <v>8275964.539999999</v>
      </c>
      <c r="I343" t="b">
        <v>0</v>
      </c>
      <c r="J343" t="b">
        <v>0</v>
      </c>
      <c r="K343" t="n">
        <v>-0.009976906795414242</v>
      </c>
      <c r="L343" t="n">
        <v>0.2801313618638136</v>
      </c>
      <c r="M343" t="n">
        <v>-0.01611138820384397</v>
      </c>
      <c r="N343" t="n">
        <v>0.04072092790720928</v>
      </c>
      <c r="O343" t="n">
        <v>82568.52685773326</v>
      </c>
      <c r="P343" t="n">
        <v>133337.277465187</v>
      </c>
      <c r="Q343">
        <f>'_live'!$C$24</f>
        <v/>
      </c>
      <c r="R343" t="inlineStr">
        <is>
          <t>shuffled: 2,422 of 10,000</t>
        </is>
      </c>
      <c r="S343" t="inlineStr">
        <is>
          <t>shuffled: 177 of 10,000</t>
        </is>
      </c>
      <c r="T343" t="n">
        <v>0.1699124531118077</v>
      </c>
      <c r="U343" t="n">
        <v>0.1760469345202375</v>
      </c>
      <c r="V343">
        <f>AND(judged_band,NOT($J343))</f>
        <v/>
      </c>
      <c r="W343">
        <f>IF($K343="","",IF(profit_kind="test",IF(OR(NOT(AND(ISNUMBER($L343),$L343&lt;significance_bar)),$K343=0),"in line",IF($K343&lt;0,"worse","better")),IF(OR($K343=0,IF(profit_kind="points",ABS($K343),ABS($K343*$H343))&lt;profit_line*(1-1E-9)),"in line",IF(AND(ISNUMBER($L343),$L343&lt;significance_bar),IF($K343&lt;0,"worse","better"),IF($K343&lt;0,"worse, not significant","better, not significant")))))</f>
        <v/>
      </c>
      <c r="X343">
        <f>IF($M343="","",IF(profit_kind="test",IF(OR(NOT(AND(ISNUMBER($N343),$N343&lt;significance_bar)),$M343=0),"in line",IF($M343&lt;0,"worse","better")),IF(OR($M343=0,IF(profit_kind="points",ABS($M343),ABS($M343*$H343))&lt;profit_line*(1-1E-9)),"in line",IF(AND(ISNUMBER($N343),$N343&lt;significance_bar),IF($M343&lt;0,"worse","better"),IF($M343&lt;0,"worse, not significant","better, not significant")))))</f>
        <v/>
      </c>
      <c r="Y343">
        <f>IF($V343,$X343,$W343)</f>
        <v/>
      </c>
      <c r="Z343">
        <f>IF($V343,IF($P343="","",$P343),IF($O343="","",$O343))</f>
        <v/>
      </c>
      <c r="AA343">
        <f>IF(OR($Q343="",$Z343=""),"",IF(AND($Z343&gt;0,$Z343&gt;=$Q343),"yes","below the line"))</f>
        <v/>
      </c>
      <c r="AB343">
        <f>IF($V343,IF($M343="","",$M343),IF($K343="","",$K343))</f>
        <v/>
      </c>
      <c r="AC343">
        <f>IF($V343,IF($N343="","",$N343),IF($L343="","",$L343))</f>
        <v/>
      </c>
      <c r="AD343">
        <f>IF($Y343="","",IF($Y343="in line",IF(profit_kind="test",IF(ROUND($AB343*100,2)=0,"0.00",TEXT($AB343*100,"+0.00;-0.00"))&amp;" points against "&amp;IF($V343,"its band","the book")&amp;", "&amp;IF($AC343="","not tested","not significant"),IF(profit_kind="points","within "&amp;TEXT(profit_line*100,"0.00")&amp;" points of "&amp;IF($V343,"its band","the book")&amp;" ("&amp;IF(ROUND($AB343*100,2)=0,"0.00",TEXT($AB343*100,"+0.00;-0.00"))&amp;")","within $"&amp;TEXT(profit_line,"#,##0")&amp;" of "&amp;IF($V343,"its band","the book")&amp;" ("&amp;IF(ROUND($AB343*100,2)=0,"0.00",TEXT($AB343*100,"+0.00;-0.00"))&amp;" points)")),IF(LEFT($Y343,5)="worse","short of ","ahead of ")&amp;IF($V343,"its band","the book")&amp;" by "&amp;TEXT(ABS($AB343)*100,"0.00")&amp;" points"&amp;IF($Z343="",""," ($"&amp;TEXT(ABS($Z343),"#,##0")&amp;")")&amp;IF(RIGHT($Y343,15)="not significant"," (not significant)","")))</f>
        <v/>
      </c>
      <c r="AE343">
        <f>IF($V343,IF($S343="","",$S343),IF($R343="","",$R343))</f>
        <v/>
      </c>
      <c r="AF343">
        <f>IF($V343,IF($U343="","",$U343),IF($T343="","",$T343))</f>
        <v/>
      </c>
      <c r="AG343">
        <f>IF($V343,IF($O343="","",$O343),IF($P343="","",$P343))</f>
        <v/>
      </c>
      <c r="AH343" t="n">
        <v>0.1599355463163935</v>
      </c>
      <c r="AI343">
        <f>IF($Y343="worse","Yes",IF($Y343="worse, not significant","Not sure",IF(OR($Y343="too few losses to test",$Y343="too few loans to test"),"Too few losses",IF($Y343="","","No"))))</f>
        <v/>
      </c>
      <c r="AJ343">
        <f>IF($AA343="yes","Yes",IF($AA343="","","No"))</f>
        <v/>
      </c>
      <c r="AK343" t="n">
        <v>0.004954072135681511</v>
      </c>
      <c r="AL343" t="n">
        <v>0.002999398169993386</v>
      </c>
      <c r="AM343">
        <f>IF(AND(ISNUMBER($AC343),ISNUMBER(IF($V343,IF($AL343="","",$AL343),IF($AK343="","",$AK343)))),IF(AND(ABS($AC343-significance_bar)&lt;=2.0*IF($V343,IF($AL343="","",$AL343),IF($AK343="","",$AK343)),OR($Y343="worse",$Y343="better",$Y343="worse, not significant",$Y343="better, not significant",AND(profit_kind="test",$Y343="in line",ISNUMBER($AB343),$AB343&lt;&gt;0))),IF(ROUND($AC343,3)=ROUND(significance_bar,3),TEXT($AC343,"0.0000"),TEXT($AC343,"0.000")),""),"")</f>
        <v/>
      </c>
      <c r="AN343">
        <f>IF(AND(ISNUMBER($AC343),ISNUMBER(IF($V343,IF($AL343="","",$AL343),IF($AK343="","",$AK343)))),IF(AND(ABS($AC343-significance_bar)&lt;=2.0*IF($V343,IF($AL343="","",$AL343),IF($AK343="","",$AK343)),OR($Y343="worse",$Y343="worse, not significant",AND(profit_kind="test",$Y343="in line",ISNUMBER($AB343),$AB343&lt;0))),IF(ROUND($AC343,3)=ROUND(significance_bar,3),TEXT($AC343,"0.0000"),TEXT($AC343,"0.000")),""),"")</f>
        <v/>
      </c>
      <c r="AO343">
        <f>IF(OR($AI343="",$AN343=""),$AI343,$AI343&amp;" · borderline (p "&amp;$AN343&amp;")")</f>
        <v/>
      </c>
    </row>
    <row r="344">
      <c r="A344" t="inlineStr">
        <is>
          <t>three-way</t>
        </is>
      </c>
      <c r="B344" t="inlineStr">
        <is>
          <t>FICO x CHANNEL / REV_DEBT</t>
        </is>
      </c>
      <c r="C344" t="inlineStr">
        <is>
          <t>686 - 711</t>
        </is>
      </c>
      <c r="D344" t="inlineStr">
        <is>
          <t>Branch / REV_DEBT low half</t>
        </is>
      </c>
      <c r="E344" t="inlineStr">
        <is>
          <t>outcome_loans</t>
        </is>
      </c>
      <c r="F344" t="inlineStr">
        <is>
          <t>Outcome, share of loans</t>
        </is>
      </c>
      <c r="G344" t="n">
        <v>258</v>
      </c>
      <c r="H344" t="n">
        <v>258</v>
      </c>
      <c r="I344" t="b">
        <v>1</v>
      </c>
      <c r="J344" t="b">
        <v>0</v>
      </c>
      <c r="K344" t="n">
        <v>0.4426801372474266</v>
      </c>
      <c r="M344" t="n">
        <v>0.5228548516439454</v>
      </c>
      <c r="O344" t="n">
        <v>-11.33070662705077</v>
      </c>
      <c r="P344" t="n">
        <v>-8.213190184049079</v>
      </c>
      <c r="Q344">
        <f>'_live'!$C$20</f>
        <v/>
      </c>
      <c r="T344" t="n">
        <v>0.07880118847694097</v>
      </c>
      <c r="U344" t="n">
        <v>0.06671779141104295</v>
      </c>
      <c r="V344">
        <f>AND(judged_band,NOT($J344))</f>
        <v/>
      </c>
      <c r="W344">
        <f>IF($K344="","",IF($I344,"too few losses to test",IF(AND($K344&gt;better_at,$K344&lt;worse_at),"in line",IF($K344&gt;=worse_at,IF(AND(ISNUMBER($L344),$L344&lt;significance_bar),"worse","worse, not significant"),IF(AND(ISNUMBER($L344),$L344&lt;significance_bar),"better","better, not significant")))))</f>
        <v/>
      </c>
      <c r="X344">
        <f>IF($M344="","",IF($I344,"too few losses to test",IF(AND($M344&gt;better_at,$M344&lt;worse_at),"in line",IF($M344&gt;=worse_at,IF(AND(ISNUMBER($N344),$N344&lt;significance_bar),"worse","worse, not significant"),IF(AND(ISNUMBER($N344),$N344&lt;significance_bar),"better","better, not significant")))))</f>
        <v/>
      </c>
      <c r="Y344">
        <f>IF($V344,$X344,$W344)</f>
        <v/>
      </c>
      <c r="Z344">
        <f>IF($V344,IF($P344="","",$P344),IF($O344="","",$O344))</f>
        <v/>
      </c>
      <c r="AA344">
        <f>IF(OR($Q344="",$Z344=""),"",IF(AND($Z344&gt;0,$Z344&gt;=$Q344),"yes","below the line"))</f>
        <v/>
      </c>
      <c r="AB344">
        <f>IF($V344,IF($M344="","",$M344),IF($K344="","",$K344))</f>
        <v/>
      </c>
      <c r="AC344">
        <f>IF($V344,IF($N344="","",$N344),IF($L344="","",$L344))</f>
        <v/>
      </c>
      <c r="AD344">
        <f>$Y344</f>
        <v/>
      </c>
      <c r="AE344">
        <f>IF($V344,IF($S344="","",$S344),IF($R344="","",$R344))</f>
        <v/>
      </c>
      <c r="AF344">
        <f>IF($V344,IF($U344="","",$U344),IF($T344="","",$T344))</f>
        <v/>
      </c>
      <c r="AG344">
        <f>IF($V344,IF($O344="","",$O344),IF($P344="","",$P344))</f>
        <v/>
      </c>
      <c r="AH344" t="n">
        <v>0.03488372093023256</v>
      </c>
      <c r="AI344">
        <f>IF($Y344="worse","Yes",IF($Y344="worse, not significant","Not sure",IF(OR($Y344="too few losses to test",$Y344="too few loans to test"),"Too few losses",IF($Y344="","","No"))))</f>
        <v/>
      </c>
      <c r="AJ344">
        <f>IF($AA344="yes","Yes",IF($AA344="","","No"))</f>
        <v/>
      </c>
      <c r="AM344">
        <f>IF(AND(ISNUMBER($AC344),ISNUMBER(IF($V344,IF($AL344="","",$AL344),IF($AK344="","",$AK344)))),IF(AND(ABS($AC344-significance_bar)&lt;=2.0*IF($V344,IF($AL344="","",$AL344),IF($AK344="","",$AK344)),OR($Y344="worse",$Y344="better",$Y344="worse, not significant",$Y344="better, not significant")),IF(ROUND($AC344,3)=ROUND(significance_bar,3),TEXT($AC344,"0.0000"),TEXT($AC344,"0.000")),""),"")</f>
        <v/>
      </c>
      <c r="AN344">
        <f>IF(AND(ISNUMBER($AC344),ISNUMBER(IF($V344,IF($AL344="","",$AL344),IF($AK344="","",$AK344)))),IF(AND(ABS($AC344-significance_bar)&lt;=2.0*IF($V344,IF($AL344="","",$AL344),IF($AK344="","",$AK344)),OR($Y344="worse",$Y344="worse, not significant")),IF(ROUND($AC344,3)=ROUND(significance_bar,3),TEXT($AC344,"0.0000"),TEXT($AC344,"0.000")),""),"")</f>
        <v/>
      </c>
      <c r="AO344">
        <f>IF(OR($AI344="",$AN344=""),$AI344,$AI344&amp;" · borderline (p "&amp;$AN344&amp;")")</f>
        <v/>
      </c>
    </row>
    <row r="345">
      <c r="A345" t="inlineStr">
        <is>
          <t>three-way</t>
        </is>
      </c>
      <c r="B345" t="inlineStr">
        <is>
          <t>FICO x CHANNEL / REV_DEBT</t>
        </is>
      </c>
      <c r="C345" t="inlineStr">
        <is>
          <t>686 - 711</t>
        </is>
      </c>
      <c r="D345" t="inlineStr">
        <is>
          <t>Branch / REV_DEBT low half</t>
        </is>
      </c>
      <c r="E345" t="inlineStr">
        <is>
          <t>outcome_booked</t>
        </is>
      </c>
      <c r="F345" t="inlineStr">
        <is>
          <t>Outcome, share of booked dollars</t>
        </is>
      </c>
      <c r="G345" t="n">
        <v>258</v>
      </c>
      <c r="H345" t="n">
        <v>8563830.729999995</v>
      </c>
      <c r="I345" t="b">
        <v>1</v>
      </c>
      <c r="J345" t="b">
        <v>0</v>
      </c>
      <c r="K345" t="n">
        <v>0.3495518942611209</v>
      </c>
      <c r="M345" t="n">
        <v>0.4247490536849399</v>
      </c>
      <c r="O345" t="n">
        <v>-426018.0892761977</v>
      </c>
      <c r="P345" t="n">
        <v>-310064.4450340244</v>
      </c>
      <c r="Q345">
        <f>'_live'!$C$21</f>
        <v/>
      </c>
      <c r="T345" t="n">
        <v>0.07647990016684952</v>
      </c>
      <c r="U345" t="n">
        <v>0.0629399730129912</v>
      </c>
      <c r="V345">
        <f>AND(judged_band,NOT($J345))</f>
        <v/>
      </c>
      <c r="W345">
        <f>IF($K345="","",IF($I345,"too few losses to test",IF(AND($K345&gt;better_at,$K345&lt;worse_at),"in line",IF($K345&gt;=worse_at,IF(AND(ISNUMBER($L345),$L345&lt;significance_bar),"worse","worse, not significant"),IF(AND(ISNUMBER($L345),$L345&lt;significance_bar),"better","better, not significant")))))</f>
        <v/>
      </c>
      <c r="X345">
        <f>IF($M345="","",IF($I345,"too few losses to test",IF(AND($M345&gt;better_at,$M345&lt;worse_at),"in line",IF($M345&gt;=worse_at,IF(AND(ISNUMBER($N345),$N345&lt;significance_bar),"worse","worse, not significant"),IF(AND(ISNUMBER($N345),$N345&lt;significance_bar),"better","better, not significant")))))</f>
        <v/>
      </c>
      <c r="Y345">
        <f>IF($V345,$X345,$W345)</f>
        <v/>
      </c>
      <c r="Z345">
        <f>IF($V345,IF($P345="","",$P345),IF($O345="","",$O345))</f>
        <v/>
      </c>
      <c r="AA345">
        <f>IF(OR($Q345="",$Z345=""),"",IF(AND($Z345&gt;0,$Z345&gt;=$Q345),"yes","below the line"))</f>
        <v/>
      </c>
      <c r="AB345">
        <f>IF($V345,IF($M345="","",$M345),IF($K345="","",$K345))</f>
        <v/>
      </c>
      <c r="AC345">
        <f>IF($V345,IF($N345="","",$N345),IF($L345="","",$L345))</f>
        <v/>
      </c>
      <c r="AD345">
        <f>$Y345</f>
        <v/>
      </c>
      <c r="AE345">
        <f>IF($V345,IF($S345="","",$S345),IF($R345="","",$R345))</f>
        <v/>
      </c>
      <c r="AF345">
        <f>IF($V345,IF($U345="","",$U345),IF($T345="","",$T345))</f>
        <v/>
      </c>
      <c r="AG345">
        <f>IF($V345,IF($O345="","",$O345),IF($P345="","",$P345))</f>
        <v/>
      </c>
      <c r="AH345" t="n">
        <v>0.02673369397622367</v>
      </c>
      <c r="AI345">
        <f>IF($Y345="worse","Yes",IF($Y345="worse, not significant","Not sure",IF(OR($Y345="too few losses to test",$Y345="too few loans to test"),"Too few losses",IF($Y345="","","No"))))</f>
        <v/>
      </c>
      <c r="AJ345">
        <f>IF($AA345="yes","Yes",IF($AA345="","","No"))</f>
        <v/>
      </c>
      <c r="AM345">
        <f>IF(AND(ISNUMBER($AC345),ISNUMBER(IF($V345,IF($AL345="","",$AL345),IF($AK345="","",$AK345)))),IF(AND(ABS($AC345-significance_bar)&lt;=2.0*IF($V345,IF($AL345="","",$AL345),IF($AK345="","",$AK345)),OR($Y345="worse",$Y345="better",$Y345="worse, not significant",$Y345="better, not significant")),IF(ROUND($AC345,3)=ROUND(significance_bar,3),TEXT($AC345,"0.0000"),TEXT($AC345,"0.000")),""),"")</f>
        <v/>
      </c>
      <c r="AN345">
        <f>IF(AND(ISNUMBER($AC345),ISNUMBER(IF($V345,IF($AL345="","",$AL345),IF($AK345="","",$AK345)))),IF(AND(ABS($AC345-significance_bar)&lt;=2.0*IF($V345,IF($AL345="","",$AL345),IF($AK345="","",$AK345)),OR($Y345="worse",$Y345="worse, not significant")),IF(ROUND($AC345,3)=ROUND(significance_bar,3),TEXT($AC345,"0.0000"),TEXT($AC345,"0.000")),""),"")</f>
        <v/>
      </c>
      <c r="AO345">
        <f>IF(OR($AI345="",$AN345=""),$AI345,$AI345&amp;" · borderline (p "&amp;$AN345&amp;")")</f>
        <v/>
      </c>
    </row>
    <row r="346">
      <c r="A346" t="inlineStr">
        <is>
          <t>three-way</t>
        </is>
      </c>
      <c r="B346" t="inlineStr">
        <is>
          <t>FICO x CHANNEL / REV_DEBT</t>
        </is>
      </c>
      <c r="C346" t="inlineStr">
        <is>
          <t>686 - 711</t>
        </is>
      </c>
      <c r="D346" t="inlineStr">
        <is>
          <t>Branch / REV_DEBT low half</t>
        </is>
      </c>
      <c r="E346" t="inlineStr">
        <is>
          <t>gco_rate</t>
        </is>
      </c>
      <c r="F346" t="inlineStr">
        <is>
          <t>GCO per booked dollar</t>
        </is>
      </c>
      <c r="G346" t="n">
        <v>258</v>
      </c>
      <c r="H346" t="n">
        <v>8563830.729999995</v>
      </c>
      <c r="I346" t="b">
        <v>1</v>
      </c>
      <c r="J346" t="b">
        <v>0</v>
      </c>
      <c r="K346" t="n">
        <v>0.3503462579358406</v>
      </c>
      <c r="M346" t="n">
        <v>0.4272628257135173</v>
      </c>
      <c r="O346" t="n">
        <v>-236572.8197753192</v>
      </c>
      <c r="P346" t="n">
        <v>-171017.5377281705</v>
      </c>
      <c r="Q346">
        <f>'_live'!$C$22</f>
        <v/>
      </c>
      <c r="T346" t="n">
        <v>0.04252211203797572</v>
      </c>
      <c r="U346" t="n">
        <v>0.03486721038076504</v>
      </c>
      <c r="V346">
        <f>AND(judged_band,NOT($J346))</f>
        <v/>
      </c>
      <c r="W346">
        <f>IF($K346="","",IF($I346,"too few losses to test",IF(AND($K346&gt;better_at,$K346&lt;worse_at),"in line",IF($K346&gt;=worse_at,IF(AND(ISNUMBER($L346),$L346&lt;significance_bar),"worse","worse, not significant"),IF(AND(ISNUMBER($L346),$L346&lt;significance_bar),"better","better, not significant")))))</f>
        <v/>
      </c>
      <c r="X346">
        <f>IF($M346="","",IF($I346,"too few losses to test",IF(AND($M346&gt;better_at,$M346&lt;worse_at),"in line",IF($M346&gt;=worse_at,IF(AND(ISNUMBER($N346),$N346&lt;significance_bar),"worse","worse, not significant"),IF(AND(ISNUMBER($N346),$N346&lt;significance_bar),"better","better, not significant")))))</f>
        <v/>
      </c>
      <c r="Y346">
        <f>IF($V346,$X346,$W346)</f>
        <v/>
      </c>
      <c r="Z346">
        <f>IF($V346,IF($P346="","",$P346),IF($O346="","",$O346))</f>
        <v/>
      </c>
      <c r="AA346">
        <f>IF(OR($Q346="",$Z346=""),"",IF(AND($Z346&gt;0,$Z346&gt;=$Q346),"yes","below the line"))</f>
        <v/>
      </c>
      <c r="AB346">
        <f>IF($V346,IF($M346="","",$M346),IF($K346="","",$K346))</f>
        <v/>
      </c>
      <c r="AC346">
        <f>IF($V346,IF($N346="","",$N346),IF($L346="","",$L346))</f>
        <v/>
      </c>
      <c r="AD346">
        <f>$Y346</f>
        <v/>
      </c>
      <c r="AE346">
        <f>IF($V346,IF($S346="","",$S346),IF($R346="","",$R346))</f>
        <v/>
      </c>
      <c r="AF346">
        <f>IF($V346,IF($U346="","",$U346),IF($T346="","",$T346))</f>
        <v/>
      </c>
      <c r="AG346">
        <f>IF($V346,IF($O346="","",$O346),IF($P346="","",$P346))</f>
        <v/>
      </c>
      <c r="AH346" t="n">
        <v>0.01489746283203336</v>
      </c>
      <c r="AI346">
        <f>IF($Y346="worse","Yes",IF($Y346="worse, not significant","Not sure",IF(OR($Y346="too few losses to test",$Y346="too few loans to test"),"Too few losses",IF($Y346="","","No"))))</f>
        <v/>
      </c>
      <c r="AJ346">
        <f>IF($AA346="yes","Yes",IF($AA346="","","No"))</f>
        <v/>
      </c>
      <c r="AM346">
        <f>IF(AND(ISNUMBER($AC346),ISNUMBER(IF($V346,IF($AL346="","",$AL346),IF($AK346="","",$AK346)))),IF(AND(ABS($AC346-significance_bar)&lt;=2.0*IF($V346,IF($AL346="","",$AL346),IF($AK346="","",$AK346)),OR($Y346="worse",$Y346="better",$Y346="worse, not significant",$Y346="better, not significant")),IF(ROUND($AC346,3)=ROUND(significance_bar,3),TEXT($AC346,"0.0000"),TEXT($AC346,"0.000")),""),"")</f>
        <v/>
      </c>
      <c r="AN346">
        <f>IF(AND(ISNUMBER($AC346),ISNUMBER(IF($V346,IF($AL346="","",$AL346),IF($AK346="","",$AK346)))),IF(AND(ABS($AC346-significance_bar)&lt;=2.0*IF($V346,IF($AL346="","",$AL346),IF($AK346="","",$AK346)),OR($Y346="worse",$Y346="worse, not significant")),IF(ROUND($AC346,3)=ROUND(significance_bar,3),TEXT($AC346,"0.0000"),TEXT($AC346,"0.000")),""),"")</f>
        <v/>
      </c>
      <c r="AO346">
        <f>IF(OR($AI346="",$AN346=""),$AI346,$AI346&amp;" · borderline (p "&amp;$AN346&amp;")")</f>
        <v/>
      </c>
    </row>
    <row r="347">
      <c r="A347" t="inlineStr">
        <is>
          <t>three-way</t>
        </is>
      </c>
      <c r="B347" t="inlineStr">
        <is>
          <t>FICO x CHANNEL / REV_DEBT</t>
        </is>
      </c>
      <c r="C347" t="inlineStr">
        <is>
          <t>686 - 711</t>
        </is>
      </c>
      <c r="D347" t="inlineStr">
        <is>
          <t>Branch / REV_DEBT low half</t>
        </is>
      </c>
      <c r="E347" t="inlineStr">
        <is>
          <t>ranr_rate</t>
        </is>
      </c>
      <c r="F347" t="inlineStr">
        <is>
          <t>Profit after losses: RANR per booked dollar</t>
        </is>
      </c>
      <c r="G347" t="n">
        <v>258</v>
      </c>
      <c r="H347" t="n">
        <v>8563830.729999995</v>
      </c>
      <c r="I347" t="b">
        <v>0</v>
      </c>
      <c r="J347" t="b">
        <v>0</v>
      </c>
      <c r="K347" t="n">
        <v>0.005504850268304051</v>
      </c>
      <c r="L347" t="n">
        <v>0.748782697487827</v>
      </c>
      <c r="M347" t="n">
        <v>-0.01034216957727521</v>
      </c>
      <c r="N347" t="n">
        <v>0.7616080497213437</v>
      </c>
      <c r="O347" t="n">
        <v>-47142.60589175089</v>
      </c>
      <c r="P347" t="n">
        <v>88568.58964074054</v>
      </c>
      <c r="Q347">
        <f>'_live'!$C$23</f>
        <v/>
      </c>
      <c r="R347" t="inlineStr">
        <is>
          <t>shuffled: 6,678 of 10,000</t>
        </is>
      </c>
      <c r="S347" t="inlineStr">
        <is>
          <t>shuffled: 4,019 of 10,000</t>
        </is>
      </c>
      <c r="T347" t="n">
        <v>0.1278073748321565</v>
      </c>
      <c r="U347" t="n">
        <v>0.1436543946777358</v>
      </c>
      <c r="V347">
        <f>AND(judged_band,NOT($J347))</f>
        <v/>
      </c>
      <c r="W347">
        <f>IF($K347="","",IF(profit_kind="test",IF(OR(NOT(AND(ISNUMBER($L347),$L347&lt;significance_bar)),$K347=0),"in line",IF($K347&lt;0,"worse","better")),IF(OR($K347=0,IF(profit_kind="points",ABS($K347),ABS($K347*$H347))&lt;profit_line*(1-1E-9)),"in line",IF(AND(ISNUMBER($L347),$L347&lt;significance_bar),IF($K347&lt;0,"worse","better"),IF($K347&lt;0,"worse, not significant","better, not significant")))))</f>
        <v/>
      </c>
      <c r="X347">
        <f>IF($M347="","",IF(profit_kind="test",IF(OR(NOT(AND(ISNUMBER($N347),$N347&lt;significance_bar)),$M347=0),"in line",IF($M347&lt;0,"worse","better")),IF(OR($M347=0,IF(profit_kind="points",ABS($M347),ABS($M347*$H347))&lt;profit_line*(1-1E-9)),"in line",IF(AND(ISNUMBER($N347),$N347&lt;significance_bar),IF($M347&lt;0,"worse","better"),IF($M347&lt;0,"worse, not significant","better, not significant")))))</f>
        <v/>
      </c>
      <c r="Y347">
        <f>IF($V347,$X347,$W347)</f>
        <v/>
      </c>
      <c r="Z347">
        <f>IF($V347,IF($P347="","",$P347),IF($O347="","",$O347))</f>
        <v/>
      </c>
      <c r="AA347">
        <f>IF(OR($Q347="",$Z347=""),"",IF(AND($Z347&gt;0,$Z347&gt;=$Q347),"yes","below the line"))</f>
        <v/>
      </c>
      <c r="AB347">
        <f>IF($V347,IF($M347="","",$M347),IF($K347="","",$K347))</f>
        <v/>
      </c>
      <c r="AC347">
        <f>IF($V347,IF($N347="","",$N347),IF($L347="","",$L347))</f>
        <v/>
      </c>
      <c r="AD347">
        <f>IF($Y347="","",IF($Y347="in line",IF(profit_kind="test",IF(ROUND($AB347*100,2)=0,"0.00",TEXT($AB347*100,"+0.00;-0.00"))&amp;" points against "&amp;IF($V347,"its band","the book")&amp;", "&amp;IF($AC347="","not tested","not significant"),IF(profit_kind="points","within "&amp;TEXT(profit_line*100,"0.00")&amp;" points of "&amp;IF($V347,"its band","the book")&amp;" ("&amp;IF(ROUND($AB347*100,2)=0,"0.00",TEXT($AB347*100,"+0.00;-0.00"))&amp;")","within $"&amp;TEXT(profit_line,"#,##0")&amp;" of "&amp;IF($V347,"its band","the book")&amp;" ("&amp;IF(ROUND($AB347*100,2)=0,"0.00",TEXT($AB347*100,"+0.00;-0.00"))&amp;" points)")),IF(LEFT($Y347,5)="worse","short of ","ahead of ")&amp;IF($V347,"its band","the book")&amp;" by "&amp;TEXT(ABS($AB347)*100,"0.00")&amp;" points"&amp;IF($Z347="",""," ($"&amp;TEXT(ABS($Z347),"#,##0")&amp;")")&amp;IF(RIGHT($Y347,15)="not significant"," (not significant)","")))</f>
        <v/>
      </c>
      <c r="AE347">
        <f>IF($V347,IF($S347="","",$S347),IF($R347="","",$R347))</f>
        <v/>
      </c>
      <c r="AF347">
        <f>IF($V347,IF($U347="","",$U347),IF($T347="","",$T347))</f>
        <v/>
      </c>
      <c r="AG347">
        <f>IF($V347,IF($O347="","",$O347),IF($P347="","",$P347))</f>
        <v/>
      </c>
      <c r="AH347" t="n">
        <v>0.1333122251004606</v>
      </c>
      <c r="AI347">
        <f>IF($Y347="worse","Yes",IF($Y347="worse, not significant","Not sure",IF(OR($Y347="too few losses to test",$Y347="too few loans to test"),"Too few losses",IF($Y347="","","No"))))</f>
        <v/>
      </c>
      <c r="AJ347">
        <f>IF($AA347="yes","Yes",IF($AA347="","","No"))</f>
        <v/>
      </c>
      <c r="AK347" t="n">
        <v>0.005280802103091102</v>
      </c>
      <c r="AL347" t="n">
        <v>0.009289779381937003</v>
      </c>
      <c r="AM347">
        <f>IF(AND(ISNUMBER($AC347),ISNUMBER(IF($V347,IF($AL347="","",$AL347),IF($AK347="","",$AK347)))),IF(AND(ABS($AC347-significance_bar)&lt;=2.0*IF($V347,IF($AL347="","",$AL347),IF($AK347="","",$AK347)),OR($Y347="worse",$Y347="better",$Y347="worse, not significant",$Y347="better, not significant",AND(profit_kind="test",$Y347="in line",ISNUMBER($AB347),$AB347&lt;&gt;0))),IF(ROUND($AC347,3)=ROUND(significance_bar,3),TEXT($AC347,"0.0000"),TEXT($AC347,"0.000")),""),"")</f>
        <v/>
      </c>
      <c r="AN347">
        <f>IF(AND(ISNUMBER($AC347),ISNUMBER(IF($V347,IF($AL347="","",$AL347),IF($AK347="","",$AK347)))),IF(AND(ABS($AC347-significance_bar)&lt;=2.0*IF($V347,IF($AL347="","",$AL347),IF($AK347="","",$AK347)),OR($Y347="worse",$Y347="worse, not significant",AND(profit_kind="test",$Y347="in line",ISNUMBER($AB347),$AB347&lt;0))),IF(ROUND($AC347,3)=ROUND(significance_bar,3),TEXT($AC347,"0.0000"),TEXT($AC347,"0.000")),""),"")</f>
        <v/>
      </c>
      <c r="AO347">
        <f>IF(OR($AI347="",$AN347=""),$AI347,$AI347&amp;" · borderline (p "&amp;$AN347&amp;")")</f>
        <v/>
      </c>
    </row>
    <row r="348">
      <c r="A348" t="inlineStr">
        <is>
          <t>three-way</t>
        </is>
      </c>
      <c r="B348" t="inlineStr">
        <is>
          <t>FICO x CHANNEL / REV_DEBT</t>
        </is>
      </c>
      <c r="C348" t="inlineStr">
        <is>
          <t>686 - 711</t>
        </is>
      </c>
      <c r="D348" t="inlineStr">
        <is>
          <t>Branch / REV_DEBT low half</t>
        </is>
      </c>
      <c r="E348" t="inlineStr">
        <is>
          <t>contribution_rate</t>
        </is>
      </c>
      <c r="F348" t="inlineStr">
        <is>
          <t>Contribution before losses per booked dollar</t>
        </is>
      </c>
      <c r="G348" t="n">
        <v>258</v>
      </c>
      <c r="H348" t="n">
        <v>8563830.729999995</v>
      </c>
      <c r="I348" t="b">
        <v>0</v>
      </c>
      <c r="J348" t="b">
        <v>0</v>
      </c>
      <c r="K348" t="n">
        <v>-0.02211681247706684</v>
      </c>
      <c r="L348" t="n">
        <v>0.01237953127764147</v>
      </c>
      <c r="M348" t="n">
        <v>-0.03031191712600695</v>
      </c>
      <c r="N348" t="n">
        <v>0.0005142342908566286</v>
      </c>
      <c r="O348" t="n">
        <v>189404.6383407523</v>
      </c>
      <c r="P348" t="n">
        <v>259586.1273689114</v>
      </c>
      <c r="Q348">
        <f>'_live'!$C$24</f>
        <v/>
      </c>
      <c r="R348" t="inlineStr">
        <is>
          <t>shuffled: 86 of 10,000</t>
        </is>
      </c>
      <c r="S348" t="inlineStr">
        <is>
          <t>shuffled: 0 of 10,000</t>
        </is>
      </c>
      <c r="T348" t="n">
        <v>0.1703265004095607</v>
      </c>
      <c r="U348" t="n">
        <v>0.1785216050585008</v>
      </c>
      <c r="V348">
        <f>AND(judged_band,NOT($J348))</f>
        <v/>
      </c>
      <c r="W348">
        <f>IF($K348="","",IF(profit_kind="test",IF(OR(NOT(AND(ISNUMBER($L348),$L348&lt;significance_bar)),$K348=0),"in line",IF($K348&lt;0,"worse","better")),IF(OR($K348=0,IF(profit_kind="points",ABS($K348),ABS($K348*$H348))&lt;profit_line*(1-1E-9)),"in line",IF(AND(ISNUMBER($L348),$L348&lt;significance_bar),IF($K348&lt;0,"worse","better"),IF($K348&lt;0,"worse, not significant","better, not significant")))))</f>
        <v/>
      </c>
      <c r="X348">
        <f>IF($M348="","",IF(profit_kind="test",IF(OR(NOT(AND(ISNUMBER($N348),$N348&lt;significance_bar)),$M348=0),"in line",IF($M348&lt;0,"worse","better")),IF(OR($M348=0,IF(profit_kind="points",ABS($M348),ABS($M348*$H348))&lt;profit_line*(1-1E-9)),"in line",IF(AND(ISNUMBER($N348),$N348&lt;significance_bar),IF($M348&lt;0,"worse","better"),IF($M348&lt;0,"worse, not significant","better, not significant")))))</f>
        <v/>
      </c>
      <c r="Y348">
        <f>IF($V348,$X348,$W348)</f>
        <v/>
      </c>
      <c r="Z348">
        <f>IF($V348,IF($P348="","",$P348),IF($O348="","",$O348))</f>
        <v/>
      </c>
      <c r="AA348">
        <f>IF(OR($Q348="",$Z348=""),"",IF(AND($Z348&gt;0,$Z348&gt;=$Q348),"yes","below the line"))</f>
        <v/>
      </c>
      <c r="AB348">
        <f>IF($V348,IF($M348="","",$M348),IF($K348="","",$K348))</f>
        <v/>
      </c>
      <c r="AC348">
        <f>IF($V348,IF($N348="","",$N348),IF($L348="","",$L348))</f>
        <v/>
      </c>
      <c r="AD348">
        <f>IF($Y348="","",IF($Y348="in line",IF(profit_kind="test",IF(ROUND($AB348*100,2)=0,"0.00",TEXT($AB348*100,"+0.00;-0.00"))&amp;" points against "&amp;IF($V348,"its band","the book")&amp;", "&amp;IF($AC348="","not tested","not significant"),IF(profit_kind="points","within "&amp;TEXT(profit_line*100,"0.00")&amp;" points of "&amp;IF($V348,"its band","the book")&amp;" ("&amp;IF(ROUND($AB348*100,2)=0,"0.00",TEXT($AB348*100,"+0.00;-0.00"))&amp;")","within $"&amp;TEXT(profit_line,"#,##0")&amp;" of "&amp;IF($V348,"its band","the book")&amp;" ("&amp;IF(ROUND($AB348*100,2)=0,"0.00",TEXT($AB348*100,"+0.00;-0.00"))&amp;" points)")),IF(LEFT($Y348,5)="worse","short of ","ahead of ")&amp;IF($V348,"its band","the book")&amp;" by "&amp;TEXT(ABS($AB348)*100,"0.00")&amp;" points"&amp;IF($Z348="",""," ($"&amp;TEXT(ABS($Z348),"#,##0")&amp;")")&amp;IF(RIGHT($Y348,15)="not significant"," (not significant)","")))</f>
        <v/>
      </c>
      <c r="AE348">
        <f>IF($V348,IF($S348="","",$S348),IF($R348="","",$R348))</f>
        <v/>
      </c>
      <c r="AF348">
        <f>IF($V348,IF($U348="","",$U348),IF($T348="","",$T348))</f>
        <v/>
      </c>
      <c r="AG348">
        <f>IF($V348,IF($O348="","",$O348),IF($P348="","",$P348))</f>
        <v/>
      </c>
      <c r="AH348" t="n">
        <v>0.1482096879324939</v>
      </c>
      <c r="AI348">
        <f>IF($Y348="worse","Yes",IF($Y348="worse, not significant","Not sure",IF(OR($Y348="too few losses to test",$Y348="too few loans to test"),"Too few losses",IF($Y348="","","No"))))</f>
        <v/>
      </c>
      <c r="AJ348">
        <f>IF($AA348="yes","Yes",IF($AA348="","","No"))</f>
        <v/>
      </c>
      <c r="AK348" t="n">
        <v>0.001321505674791692</v>
      </c>
      <c r="AL348" t="n">
        <v>0.0005142342908566286</v>
      </c>
      <c r="AM348">
        <f>IF(AND(ISNUMBER($AC348),ISNUMBER(IF($V348,IF($AL348="","",$AL348),IF($AK348="","",$AK348)))),IF(AND(ABS($AC348-significance_bar)&lt;=2.0*IF($V348,IF($AL348="","",$AL348),IF($AK348="","",$AK348)),OR($Y348="worse",$Y348="better",$Y348="worse, not significant",$Y348="better, not significant",AND(profit_kind="test",$Y348="in line",ISNUMBER($AB348),$AB348&lt;&gt;0))),IF(ROUND($AC348,3)=ROUND(significance_bar,3),TEXT($AC348,"0.0000"),TEXT($AC348,"0.000")),""),"")</f>
        <v/>
      </c>
      <c r="AN348">
        <f>IF(AND(ISNUMBER($AC348),ISNUMBER(IF($V348,IF($AL348="","",$AL348),IF($AK348="","",$AK348)))),IF(AND(ABS($AC348-significance_bar)&lt;=2.0*IF($V348,IF($AL348="","",$AL348),IF($AK348="","",$AK348)),OR($Y348="worse",$Y348="worse, not significant",AND(profit_kind="test",$Y348="in line",ISNUMBER($AB348),$AB348&lt;0))),IF(ROUND($AC348,3)=ROUND(significance_bar,3),TEXT($AC348,"0.0000"),TEXT($AC348,"0.000")),""),"")</f>
        <v/>
      </c>
      <c r="AO348">
        <f>IF(OR($AI348="",$AN348=""),$AI348,$AI348&amp;" · borderline (p "&amp;$AN348&amp;")")</f>
        <v/>
      </c>
    </row>
    <row r="349">
      <c r="A349" t="inlineStr">
        <is>
          <t>three-way</t>
        </is>
      </c>
      <c r="B349" t="inlineStr">
        <is>
          <t>FICO x CHANNEL / REV_DEBT</t>
        </is>
      </c>
      <c r="C349" t="inlineStr">
        <is>
          <t>(marked missing)</t>
        </is>
      </c>
      <c r="D349" t="inlineStr">
        <is>
          <t>Branch / REV_DEBT high half</t>
        </is>
      </c>
      <c r="E349" t="inlineStr">
        <is>
          <t>outcome_loans</t>
        </is>
      </c>
      <c r="F349" t="inlineStr">
        <is>
          <t>Outcome, share of loans</t>
        </is>
      </c>
      <c r="G349" t="n">
        <v>25</v>
      </c>
      <c r="H349" t="n">
        <v>25</v>
      </c>
      <c r="I349" t="b">
        <v>1</v>
      </c>
      <c r="J349" t="b">
        <v>0</v>
      </c>
      <c r="K349" t="n">
        <v>0.516116504854369</v>
      </c>
      <c r="M349" t="n">
        <v>0.6</v>
      </c>
      <c r="O349" t="n">
        <v>-0.9375470278404816</v>
      </c>
      <c r="P349" t="n">
        <v>-0.6666666666666667</v>
      </c>
      <c r="Q349">
        <f>'_live'!$C$20</f>
        <v/>
      </c>
      <c r="T349" t="n">
        <v>0.07750188111361926</v>
      </c>
      <c r="U349" t="n">
        <v>0.06666666666666667</v>
      </c>
      <c r="V349">
        <f>AND(judged_band,NOT($J349))</f>
        <v/>
      </c>
      <c r="W349">
        <f>IF($K349="","",IF($I349,"too few losses to test",IF(AND($K349&gt;better_at,$K349&lt;worse_at),"in line",IF($K349&gt;=worse_at,IF(AND(ISNUMBER($L349),$L349&lt;significance_bar),"worse","worse, not significant"),IF(AND(ISNUMBER($L349),$L349&lt;significance_bar),"better","better, not significant")))))</f>
        <v/>
      </c>
      <c r="X349">
        <f>IF($M349="","",IF($I349,"too few losses to test",IF(AND($M349&gt;better_at,$M349&lt;worse_at),"in line",IF($M349&gt;=worse_at,IF(AND(ISNUMBER($N349),$N349&lt;significance_bar),"worse","worse, not significant"),IF(AND(ISNUMBER($N349),$N349&lt;significance_bar),"better","better, not significant")))))</f>
        <v/>
      </c>
      <c r="Y349">
        <f>IF($V349,$X349,$W349)</f>
        <v/>
      </c>
      <c r="Z349">
        <f>IF($V349,IF($P349="","",$P349),IF($O349="","",$O349))</f>
        <v/>
      </c>
      <c r="AA349">
        <f>IF(OR($Q349="",$Z349=""),"",IF(AND($Z349&gt;0,$Z349&gt;=$Q349),"yes","below the line"))</f>
        <v/>
      </c>
      <c r="AB349">
        <f>IF($V349,IF($M349="","",$M349),IF($K349="","",$K349))</f>
        <v/>
      </c>
      <c r="AC349">
        <f>IF($V349,IF($N349="","",$N349),IF($L349="","",$L349))</f>
        <v/>
      </c>
      <c r="AD349">
        <f>$Y349</f>
        <v/>
      </c>
      <c r="AE349">
        <f>IF($V349,IF($S349="","",$S349),IF($R349="","",$R349))</f>
        <v/>
      </c>
      <c r="AF349">
        <f>IF($V349,IF($U349="","",$U349),IF($T349="","",$T349))</f>
        <v/>
      </c>
      <c r="AG349">
        <f>IF($V349,IF($O349="","",$O349),IF($P349="","",$P349))</f>
        <v/>
      </c>
      <c r="AH349" t="n">
        <v>0.04</v>
      </c>
      <c r="AI349">
        <f>IF($Y349="worse","Yes",IF($Y349="worse, not significant","Not sure",IF(OR($Y349="too few losses to test",$Y349="too few loans to test"),"Too few losses",IF($Y349="","","No"))))</f>
        <v/>
      </c>
      <c r="AJ349">
        <f>IF($AA349="yes","Yes",IF($AA349="","","No"))</f>
        <v/>
      </c>
      <c r="AM349">
        <f>IF(AND(ISNUMBER($AC349),ISNUMBER(IF($V349,IF($AL349="","",$AL349),IF($AK349="","",$AK349)))),IF(AND(ABS($AC349-significance_bar)&lt;=2.0*IF($V349,IF($AL349="","",$AL349),IF($AK349="","",$AK349)),OR($Y349="worse",$Y349="better",$Y349="worse, not significant",$Y349="better, not significant")),IF(ROUND($AC349,3)=ROUND(significance_bar,3),TEXT($AC349,"0.0000"),TEXT($AC349,"0.000")),""),"")</f>
        <v/>
      </c>
      <c r="AN349">
        <f>IF(AND(ISNUMBER($AC349),ISNUMBER(IF($V349,IF($AL349="","",$AL349),IF($AK349="","",$AK349)))),IF(AND(ABS($AC349-significance_bar)&lt;=2.0*IF($V349,IF($AL349="","",$AL349),IF($AK349="","",$AK349)),OR($Y349="worse",$Y349="worse, not significant")),IF(ROUND($AC349,3)=ROUND(significance_bar,3),TEXT($AC349,"0.0000"),TEXT($AC349,"0.000")),""),"")</f>
        <v/>
      </c>
      <c r="AO349">
        <f>IF(OR($AI349="",$AN349=""),$AI349,$AI349&amp;" · borderline (p "&amp;$AN349&amp;")")</f>
        <v/>
      </c>
    </row>
    <row r="350">
      <c r="A350" t="inlineStr">
        <is>
          <t>three-way</t>
        </is>
      </c>
      <c r="B350" t="inlineStr">
        <is>
          <t>FICO x CHANNEL / REV_DEBT</t>
        </is>
      </c>
      <c r="C350" t="inlineStr">
        <is>
          <t>(marked missing)</t>
        </is>
      </c>
      <c r="D350" t="inlineStr">
        <is>
          <t>Branch / REV_DEBT high half</t>
        </is>
      </c>
      <c r="E350" t="inlineStr">
        <is>
          <t>outcome_booked</t>
        </is>
      </c>
      <c r="F350" t="inlineStr">
        <is>
          <t>Outcome, share of booked dollars</t>
        </is>
      </c>
      <c r="G350" t="n">
        <v>25</v>
      </c>
      <c r="H350" t="n">
        <v>798276.53</v>
      </c>
      <c r="I350" t="b">
        <v>1</v>
      </c>
      <c r="J350" t="b">
        <v>0</v>
      </c>
      <c r="K350" t="n">
        <v>0.4737250299664676</v>
      </c>
      <c r="M350" t="n">
        <v>0.7045086163102764</v>
      </c>
      <c r="O350" t="n">
        <v>-31487.84405416638</v>
      </c>
      <c r="P350" t="n">
        <v>-11888.17132677594</v>
      </c>
      <c r="Q350">
        <f>'_live'!$C$21</f>
        <v/>
      </c>
      <c r="T350" t="n">
        <v>0.07495089960137796</v>
      </c>
      <c r="U350" t="n">
        <v>0.05039841435244995</v>
      </c>
      <c r="V350">
        <f>AND(judged_band,NOT($J350))</f>
        <v/>
      </c>
      <c r="W350">
        <f>IF($K350="","",IF($I350,"too few losses to test",IF(AND($K350&gt;better_at,$K350&lt;worse_at),"in line",IF($K350&gt;=worse_at,IF(AND(ISNUMBER($L350),$L350&lt;significance_bar),"worse","worse, not significant"),IF(AND(ISNUMBER($L350),$L350&lt;significance_bar),"better","better, not significant")))))</f>
        <v/>
      </c>
      <c r="X350">
        <f>IF($M350="","",IF($I350,"too few losses to test",IF(AND($M350&gt;better_at,$M350&lt;worse_at),"in line",IF($M350&gt;=worse_at,IF(AND(ISNUMBER($N350),$N350&lt;significance_bar),"worse","worse, not significant"),IF(AND(ISNUMBER($N350),$N350&lt;significance_bar),"better","better, not significant")))))</f>
        <v/>
      </c>
      <c r="Y350">
        <f>IF($V350,$X350,$W350)</f>
        <v/>
      </c>
      <c r="Z350">
        <f>IF($V350,IF($P350="","",$P350),IF($O350="","",$O350))</f>
        <v/>
      </c>
      <c r="AA350">
        <f>IF(OR($Q350="",$Z350=""),"",IF(AND($Z350&gt;0,$Z350&gt;=$Q350),"yes","below the line"))</f>
        <v/>
      </c>
      <c r="AB350">
        <f>IF($V350,IF($M350="","",$M350),IF($K350="","",$K350))</f>
        <v/>
      </c>
      <c r="AC350">
        <f>IF($V350,IF($N350="","",$N350),IF($L350="","",$L350))</f>
        <v/>
      </c>
      <c r="AD350">
        <f>$Y350</f>
        <v/>
      </c>
      <c r="AE350">
        <f>IF($V350,IF($S350="","",$S350),IF($R350="","",$R350))</f>
        <v/>
      </c>
      <c r="AF350">
        <f>IF($V350,IF($U350="","",$U350),IF($T350="","",$T350))</f>
        <v/>
      </c>
      <c r="AG350">
        <f>IF($V350,IF($O350="","",$O350),IF($P350="","",$P350))</f>
        <v/>
      </c>
      <c r="AH350" t="n">
        <v>0.03550611715967648</v>
      </c>
      <c r="AI350">
        <f>IF($Y350="worse","Yes",IF($Y350="worse, not significant","Not sure",IF(OR($Y350="too few losses to test",$Y350="too few loans to test"),"Too few losses",IF($Y350="","","No"))))</f>
        <v/>
      </c>
      <c r="AJ350">
        <f>IF($AA350="yes","Yes",IF($AA350="","","No"))</f>
        <v/>
      </c>
      <c r="AM350">
        <f>IF(AND(ISNUMBER($AC350),ISNUMBER(IF($V350,IF($AL350="","",$AL350),IF($AK350="","",$AK350)))),IF(AND(ABS($AC350-significance_bar)&lt;=2.0*IF($V350,IF($AL350="","",$AL350),IF($AK350="","",$AK350)),OR($Y350="worse",$Y350="better",$Y350="worse, not significant",$Y350="better, not significant")),IF(ROUND($AC350,3)=ROUND(significance_bar,3),TEXT($AC350,"0.0000"),TEXT($AC350,"0.000")),""),"")</f>
        <v/>
      </c>
      <c r="AN350">
        <f>IF(AND(ISNUMBER($AC350),ISNUMBER(IF($V350,IF($AL350="","",$AL350),IF($AK350="","",$AK350)))),IF(AND(ABS($AC350-significance_bar)&lt;=2.0*IF($V350,IF($AL350="","",$AL350),IF($AK350="","",$AK350)),OR($Y350="worse",$Y350="worse, not significant")),IF(ROUND($AC350,3)=ROUND(significance_bar,3),TEXT($AC350,"0.0000"),TEXT($AC350,"0.000")),""),"")</f>
        <v/>
      </c>
      <c r="AO350">
        <f>IF(OR($AI350="",$AN350=""),$AI350,$AI350&amp;" · borderline (p "&amp;$AN350&amp;")")</f>
        <v/>
      </c>
    </row>
    <row r="351">
      <c r="A351" t="inlineStr">
        <is>
          <t>three-way</t>
        </is>
      </c>
      <c r="B351" t="inlineStr">
        <is>
          <t>FICO x CHANNEL / REV_DEBT</t>
        </is>
      </c>
      <c r="C351" t="inlineStr">
        <is>
          <t>(marked missing)</t>
        </is>
      </c>
      <c r="D351" t="inlineStr">
        <is>
          <t>Branch / REV_DEBT high half</t>
        </is>
      </c>
      <c r="E351" t="inlineStr">
        <is>
          <t>gco_rate</t>
        </is>
      </c>
      <c r="F351" t="inlineStr">
        <is>
          <t>GCO per booked dollar</t>
        </is>
      </c>
      <c r="G351" t="n">
        <v>25</v>
      </c>
      <c r="H351" t="n">
        <v>798276.53</v>
      </c>
      <c r="I351" t="b">
        <v>1</v>
      </c>
      <c r="J351" t="b">
        <v>0</v>
      </c>
      <c r="K351" t="n">
        <v>0.4139894385490389</v>
      </c>
      <c r="M351" t="n">
        <v>0.6395337517921638</v>
      </c>
      <c r="O351" t="n">
        <v>-19498.22949120051</v>
      </c>
      <c r="P351" t="n">
        <v>-7763.903576080969</v>
      </c>
      <c r="Q351">
        <f>'_live'!$C$22</f>
        <v/>
      </c>
      <c r="T351" t="n">
        <v>0.04168083144220776</v>
      </c>
      <c r="U351" t="n">
        <v>0.02698125620213458</v>
      </c>
      <c r="V351">
        <f>AND(judged_band,NOT($J351))</f>
        <v/>
      </c>
      <c r="W351">
        <f>IF($K351="","",IF($I351,"too few losses to test",IF(AND($K351&gt;better_at,$K351&lt;worse_at),"in line",IF($K351&gt;=worse_at,IF(AND(ISNUMBER($L351),$L351&lt;significance_bar),"worse","worse, not significant"),IF(AND(ISNUMBER($L351),$L351&lt;significance_bar),"better","better, not significant")))))</f>
        <v/>
      </c>
      <c r="X351">
        <f>IF($M351="","",IF($I351,"too few losses to test",IF(AND($M351&gt;better_at,$M351&lt;worse_at),"in line",IF($M351&gt;=worse_at,IF(AND(ISNUMBER($N351),$N351&lt;significance_bar),"worse","worse, not significant"),IF(AND(ISNUMBER($N351),$N351&lt;significance_bar),"better","better, not significant")))))</f>
        <v/>
      </c>
      <c r="Y351">
        <f>IF($V351,$X351,$W351)</f>
        <v/>
      </c>
      <c r="Z351">
        <f>IF($V351,IF($P351="","",$P351),IF($O351="","",$O351))</f>
        <v/>
      </c>
      <c r="AA351">
        <f>IF(OR($Q351="",$Z351=""),"",IF(AND($Z351&gt;0,$Z351&gt;=$Q351),"yes","below the line"))</f>
        <v/>
      </c>
      <c r="AB351">
        <f>IF($V351,IF($M351="","",$M351),IF($K351="","",$K351))</f>
        <v/>
      </c>
      <c r="AC351">
        <f>IF($V351,IF($N351="","",$N351),IF($L351="","",$L351))</f>
        <v/>
      </c>
      <c r="AD351">
        <f>$Y351</f>
        <v/>
      </c>
      <c r="AE351">
        <f>IF($V351,IF($S351="","",$S351),IF($R351="","",$R351))</f>
        <v/>
      </c>
      <c r="AF351">
        <f>IF($V351,IF($U351="","",$U351),IF($T351="","",$T351))</f>
        <v/>
      </c>
      <c r="AG351">
        <f>IF($V351,IF($O351="","",$O351),IF($P351="","",$P351))</f>
        <v/>
      </c>
      <c r="AH351" t="n">
        <v>0.01725542400701672</v>
      </c>
      <c r="AI351">
        <f>IF($Y351="worse","Yes",IF($Y351="worse, not significant","Not sure",IF(OR($Y351="too few losses to test",$Y351="too few loans to test"),"Too few losses",IF($Y351="","","No"))))</f>
        <v/>
      </c>
      <c r="AJ351">
        <f>IF($AA351="yes","Yes",IF($AA351="","","No"))</f>
        <v/>
      </c>
      <c r="AM351">
        <f>IF(AND(ISNUMBER($AC351),ISNUMBER(IF($V351,IF($AL351="","",$AL351),IF($AK351="","",$AK351)))),IF(AND(ABS($AC351-significance_bar)&lt;=2.0*IF($V351,IF($AL351="","",$AL351),IF($AK351="","",$AK351)),OR($Y351="worse",$Y351="better",$Y351="worse, not significant",$Y351="better, not significant")),IF(ROUND($AC351,3)=ROUND(significance_bar,3),TEXT($AC351,"0.0000"),TEXT($AC351,"0.000")),""),"")</f>
        <v/>
      </c>
      <c r="AN351">
        <f>IF(AND(ISNUMBER($AC351),ISNUMBER(IF($V351,IF($AL351="","",$AL351),IF($AK351="","",$AK351)))),IF(AND(ABS($AC351-significance_bar)&lt;=2.0*IF($V351,IF($AL351="","",$AL351),IF($AK351="","",$AK351)),OR($Y351="worse",$Y351="worse, not significant")),IF(ROUND($AC351,3)=ROUND(significance_bar,3),TEXT($AC351,"0.0000"),TEXT($AC351,"0.000")),""),"")</f>
        <v/>
      </c>
      <c r="AO351">
        <f>IF(OR($AI351="",$AN351=""),$AI351,$AI351&amp;" · borderline (p "&amp;$AN351&amp;")")</f>
        <v/>
      </c>
    </row>
    <row r="352">
      <c r="A352" t="inlineStr">
        <is>
          <t>three-way</t>
        </is>
      </c>
      <c r="B352" t="inlineStr">
        <is>
          <t>FICO x CHANNEL / REV_DEBT</t>
        </is>
      </c>
      <c r="C352" t="inlineStr">
        <is>
          <t>(marked missing)</t>
        </is>
      </c>
      <c r="D352" t="inlineStr">
        <is>
          <t>Branch / REV_DEBT high half</t>
        </is>
      </c>
      <c r="E352" t="inlineStr">
        <is>
          <t>ranr_rate</t>
        </is>
      </c>
      <c r="F352" t="inlineStr">
        <is>
          <t>Profit after losses: RANR per booked dollar</t>
        </is>
      </c>
      <c r="G352" t="n">
        <v>25</v>
      </c>
      <c r="H352" t="n">
        <v>798276.53</v>
      </c>
      <c r="I352" t="b">
        <v>0</v>
      </c>
      <c r="J352" t="b">
        <v>0</v>
      </c>
      <c r="K352" t="n">
        <v>0.0458099717950872</v>
      </c>
      <c r="L352" t="n">
        <v>0.3837256274372562</v>
      </c>
      <c r="M352" t="n">
        <v>0.02177161157733998</v>
      </c>
      <c r="N352" t="n">
        <v>0.8743852887438529</v>
      </c>
      <c r="O352" t="n">
        <v>-36569.02532398008</v>
      </c>
      <c r="P352" t="n">
        <v>-17379.76654246679</v>
      </c>
      <c r="Q352">
        <f>'_live'!$C$23</f>
        <v/>
      </c>
      <c r="R352" t="inlineStr">
        <is>
          <t>shuffled: 2,592 of 10,000</t>
        </is>
      </c>
      <c r="S352" t="inlineStr">
        <is>
          <t>shuffled: 5,343 of 10,000</t>
        </is>
      </c>
      <c r="T352" t="n">
        <v>0.12784834683292</v>
      </c>
      <c r="U352" t="n">
        <v>0.1518867070506673</v>
      </c>
      <c r="V352">
        <f>AND(judged_band,NOT($J352))</f>
        <v/>
      </c>
      <c r="W352">
        <f>IF($K352="","",IF(profit_kind="test",IF(OR(NOT(AND(ISNUMBER($L352),$L352&lt;significance_bar)),$K352=0),"in line",IF($K352&lt;0,"worse","better")),IF(OR($K352=0,IF(profit_kind="points",ABS($K352),ABS($K352*$H352))&lt;profit_line*(1-1E-9)),"in line",IF(AND(ISNUMBER($L352),$L352&lt;significance_bar),IF($K352&lt;0,"worse","better"),IF($K352&lt;0,"worse, not significant","better, not significant")))))</f>
        <v/>
      </c>
      <c r="X352">
        <f>IF($M352="","",IF(profit_kind="test",IF(OR(NOT(AND(ISNUMBER($N352),$N352&lt;significance_bar)),$M352=0),"in line",IF($M352&lt;0,"worse","better")),IF(OR($M352=0,IF(profit_kind="points",ABS($M352),ABS($M352*$H352))&lt;profit_line*(1-1E-9)),"in line",IF(AND(ISNUMBER($N352),$N352&lt;significance_bar),IF($M352&lt;0,"worse","better"),IF($M352&lt;0,"worse, not significant","better, not significant")))))</f>
        <v/>
      </c>
      <c r="Y352">
        <f>IF($V352,$X352,$W352)</f>
        <v/>
      </c>
      <c r="Z352">
        <f>IF($V352,IF($P352="","",$P352),IF($O352="","",$O352))</f>
        <v/>
      </c>
      <c r="AA352">
        <f>IF(OR($Q352="",$Z352=""),"",IF(AND($Z352&gt;0,$Z352&gt;=$Q352),"yes","below the line"))</f>
        <v/>
      </c>
      <c r="AB352">
        <f>IF($V352,IF($M352="","",$M352),IF($K352="","",$K352))</f>
        <v/>
      </c>
      <c r="AC352">
        <f>IF($V352,IF($N352="","",$N352),IF($L352="","",$L352))</f>
        <v/>
      </c>
      <c r="AD352">
        <f>IF($Y352="","",IF($Y352="in line",IF(profit_kind="test",IF(ROUND($AB352*100,2)=0,"0.00",TEXT($AB352*100,"+0.00;-0.00"))&amp;" points against "&amp;IF($V352,"its band","the book")&amp;", "&amp;IF($AC352="","not tested","not significant"),IF(profit_kind="points","within "&amp;TEXT(profit_line*100,"0.00")&amp;" points of "&amp;IF($V352,"its band","the book")&amp;" ("&amp;IF(ROUND($AB352*100,2)=0,"0.00",TEXT($AB352*100,"+0.00;-0.00"))&amp;")","within $"&amp;TEXT(profit_line,"#,##0")&amp;" of "&amp;IF($V352,"its band","the book")&amp;" ("&amp;IF(ROUND($AB352*100,2)=0,"0.00",TEXT($AB352*100,"+0.00;-0.00"))&amp;" points)")),IF(LEFT($Y352,5)="worse","short of ","ahead of ")&amp;IF($V352,"its band","the book")&amp;" by "&amp;TEXT(ABS($AB352)*100,"0.00")&amp;" points"&amp;IF($Z352="",""," ($"&amp;TEXT(ABS($Z352),"#,##0")&amp;")")&amp;IF(RIGHT($Y352,15)="not significant"," (not significant)","")))</f>
        <v/>
      </c>
      <c r="AE352">
        <f>IF($V352,IF($S352="","",$S352),IF($R352="","",$R352))</f>
        <v/>
      </c>
      <c r="AF352">
        <f>IF($V352,IF($U352="","",$U352),IF($T352="","",$T352))</f>
        <v/>
      </c>
      <c r="AG352">
        <f>IF($V352,IF($O352="","",$O352),IF($P352="","",$P352))</f>
        <v/>
      </c>
      <c r="AH352" t="n">
        <v>0.1736583186280072</v>
      </c>
      <c r="AI352">
        <f>IF($Y352="worse","Yes",IF($Y352="worse, not significant","Not sure",IF(OR($Y352="too few losses to test",$Y352="too few loans to test"),"Too few losses",IF($Y352="","","No"))))</f>
        <v/>
      </c>
      <c r="AJ352">
        <f>IF($AA352="yes","Yes",IF($AA352="","","No"))</f>
        <v/>
      </c>
      <c r="AK352" t="n">
        <v>0.006485896788070431</v>
      </c>
      <c r="AL352" t="n">
        <v>0.008162491393564149</v>
      </c>
      <c r="AM352">
        <f>IF(AND(ISNUMBER($AC352),ISNUMBER(IF($V352,IF($AL352="","",$AL352),IF($AK352="","",$AK352)))),IF(AND(ABS($AC352-significance_bar)&lt;=2.0*IF($V352,IF($AL352="","",$AL352),IF($AK352="","",$AK352)),OR($Y352="worse",$Y352="better",$Y352="worse, not significant",$Y352="better, not significant",AND(profit_kind="test",$Y352="in line",ISNUMBER($AB352),$AB352&lt;&gt;0))),IF(ROUND($AC352,3)=ROUND(significance_bar,3),TEXT($AC352,"0.0000"),TEXT($AC352,"0.000")),""),"")</f>
        <v/>
      </c>
      <c r="AN352">
        <f>IF(AND(ISNUMBER($AC352),ISNUMBER(IF($V352,IF($AL352="","",$AL352),IF($AK352="","",$AK352)))),IF(AND(ABS($AC352-significance_bar)&lt;=2.0*IF($V352,IF($AL352="","",$AL352),IF($AK352="","",$AK352)),OR($Y352="worse",$Y352="worse, not significant",AND(profit_kind="test",$Y352="in line",ISNUMBER($AB352),$AB352&lt;0))),IF(ROUND($AC352,3)=ROUND(significance_bar,3),TEXT($AC352,"0.0000"),TEXT($AC352,"0.000")),""),"")</f>
        <v/>
      </c>
      <c r="AO352">
        <f>IF(OR($AI352="",$AN352=""),$AI352,$AI352&amp;" · borderline (p "&amp;$AN352&amp;")")</f>
        <v/>
      </c>
    </row>
    <row r="353">
      <c r="A353" t="inlineStr">
        <is>
          <t>three-way</t>
        </is>
      </c>
      <c r="B353" t="inlineStr">
        <is>
          <t>FICO x CHANNEL / REV_DEBT</t>
        </is>
      </c>
      <c r="C353" t="inlineStr">
        <is>
          <t>(marked missing)</t>
        </is>
      </c>
      <c r="D353" t="inlineStr">
        <is>
          <t>Branch / REV_DEBT high half</t>
        </is>
      </c>
      <c r="E353" t="inlineStr">
        <is>
          <t>contribution_rate</t>
        </is>
      </c>
      <c r="F353" t="inlineStr">
        <is>
          <t>Contribution before losses per booked dollar</t>
        </is>
      </c>
      <c r="G353" t="n">
        <v>25</v>
      </c>
      <c r="H353" t="n">
        <v>798276.53</v>
      </c>
      <c r="I353" t="b">
        <v>0</v>
      </c>
      <c r="J353" t="b">
        <v>0</v>
      </c>
      <c r="K353" t="n">
        <v>0.02138745434095474</v>
      </c>
      <c r="L353" t="n">
        <v>0.4664798226059746</v>
      </c>
      <c r="M353" t="n">
        <v>0.01204577938222212</v>
      </c>
      <c r="N353" t="n">
        <v>0.7438165274381653</v>
      </c>
      <c r="O353" t="n">
        <v>-17073.10283683077</v>
      </c>
      <c r="P353" t="n">
        <v>-9615.862966385816</v>
      </c>
      <c r="Q353">
        <f>'_live'!$C$24</f>
        <v/>
      </c>
      <c r="R353" t="inlineStr">
        <is>
          <t>shuffled: 4,286 of 10,000</t>
        </is>
      </c>
      <c r="S353" t="inlineStr">
        <is>
          <t>shuffled: 6,818 of 10,000</t>
        </is>
      </c>
      <c r="T353" t="n">
        <v>0.1695262882940692</v>
      </c>
      <c r="U353" t="n">
        <v>0.1788679632528019</v>
      </c>
      <c r="V353">
        <f>AND(judged_band,NOT($J353))</f>
        <v/>
      </c>
      <c r="W353">
        <f>IF($K353="","",IF(profit_kind="test",IF(OR(NOT(AND(ISNUMBER($L353),$L353&lt;significance_bar)),$K353=0),"in line",IF($K353&lt;0,"worse","better")),IF(OR($K353=0,IF(profit_kind="points",ABS($K353),ABS($K353*$H353))&lt;profit_line*(1-1E-9)),"in line",IF(AND(ISNUMBER($L353),$L353&lt;significance_bar),IF($K353&lt;0,"worse","better"),IF($K353&lt;0,"worse, not significant","better, not significant")))))</f>
        <v/>
      </c>
      <c r="X353">
        <f>IF($M353="","",IF(profit_kind="test",IF(OR(NOT(AND(ISNUMBER($N353),$N353&lt;significance_bar)),$M353=0),"in line",IF($M353&lt;0,"worse","better")),IF(OR($M353=0,IF(profit_kind="points",ABS($M353),ABS($M353*$H353))&lt;profit_line*(1-1E-9)),"in line",IF(AND(ISNUMBER($N353),$N353&lt;significance_bar),IF($M353&lt;0,"worse","better"),IF($M353&lt;0,"worse, not significant","better, not significant")))))</f>
        <v/>
      </c>
      <c r="Y353">
        <f>IF($V353,$X353,$W353)</f>
        <v/>
      </c>
      <c r="Z353">
        <f>IF($V353,IF($P353="","",$P353),IF($O353="","",$O353))</f>
        <v/>
      </c>
      <c r="AA353">
        <f>IF(OR($Q353="",$Z353=""),"",IF(AND($Z353&gt;0,$Z353&gt;=$Q353),"yes","below the line"))</f>
        <v/>
      </c>
      <c r="AB353">
        <f>IF($V353,IF($M353="","",$M353),IF($K353="","",$K353))</f>
        <v/>
      </c>
      <c r="AC353">
        <f>IF($V353,IF($N353="","",$N353),IF($L353="","",$L353))</f>
        <v/>
      </c>
      <c r="AD353">
        <f>IF($Y353="","",IF($Y353="in line",IF(profit_kind="test",IF(ROUND($AB353*100,2)=0,"0.00",TEXT($AB353*100,"+0.00;-0.00"))&amp;" points against "&amp;IF($V353,"its band","the book")&amp;", "&amp;IF($AC353="","not tested","not significant"),IF(profit_kind="points","within "&amp;TEXT(profit_line*100,"0.00")&amp;" points of "&amp;IF($V353,"its band","the book")&amp;" ("&amp;IF(ROUND($AB353*100,2)=0,"0.00",TEXT($AB353*100,"+0.00;-0.00"))&amp;")","within $"&amp;TEXT(profit_line,"#,##0")&amp;" of "&amp;IF($V353,"its band","the book")&amp;" ("&amp;IF(ROUND($AB353*100,2)=0,"0.00",TEXT($AB353*100,"+0.00;-0.00"))&amp;" points)")),IF(LEFT($Y353,5)="worse","short of ","ahead of ")&amp;IF($V353,"its band","the book")&amp;" by "&amp;TEXT(ABS($AB353)*100,"0.00")&amp;" points"&amp;IF($Z353="",""," ($"&amp;TEXT(ABS($Z353),"#,##0")&amp;")")&amp;IF(RIGHT($Y353,15)="not significant"," (not significant)","")))</f>
        <v/>
      </c>
      <c r="AE353">
        <f>IF($V353,IF($S353="","",$S353),IF($R353="","",$R353))</f>
        <v/>
      </c>
      <c r="AF353">
        <f>IF($V353,IF($U353="","",$U353),IF($T353="","",$T353))</f>
        <v/>
      </c>
      <c r="AG353">
        <f>IF($V353,IF($O353="","",$O353),IF($P353="","",$P353))</f>
        <v/>
      </c>
      <c r="AH353" t="n">
        <v>0.190913742635024</v>
      </c>
      <c r="AI353">
        <f>IF($Y353="worse","Yes",IF($Y353="worse, not significant","Not sure",IF(OR($Y353="too few losses to test",$Y353="too few loans to test"),"Too few losses",IF($Y353="","","No"))))</f>
        <v/>
      </c>
      <c r="AJ353">
        <f>IF($AA353="yes","Yes",IF($AA353="","","No"))</f>
        <v/>
      </c>
      <c r="AK353" t="n">
        <v>0.005385502595441386</v>
      </c>
      <c r="AL353" t="n">
        <v>0.005081074544430094</v>
      </c>
      <c r="AM353">
        <f>IF(AND(ISNUMBER($AC353),ISNUMBER(IF($V353,IF($AL353="","",$AL353),IF($AK353="","",$AK353)))),IF(AND(ABS($AC353-significance_bar)&lt;=2.0*IF($V353,IF($AL353="","",$AL353),IF($AK353="","",$AK353)),OR($Y353="worse",$Y353="better",$Y353="worse, not significant",$Y353="better, not significant",AND(profit_kind="test",$Y353="in line",ISNUMBER($AB353),$AB353&lt;&gt;0))),IF(ROUND($AC353,3)=ROUND(significance_bar,3),TEXT($AC353,"0.0000"),TEXT($AC353,"0.000")),""),"")</f>
        <v/>
      </c>
      <c r="AN353">
        <f>IF(AND(ISNUMBER($AC353),ISNUMBER(IF($V353,IF($AL353="","",$AL353),IF($AK353="","",$AK353)))),IF(AND(ABS($AC353-significance_bar)&lt;=2.0*IF($V353,IF($AL353="","",$AL353),IF($AK353="","",$AK353)),OR($Y353="worse",$Y353="worse, not significant",AND(profit_kind="test",$Y353="in line",ISNUMBER($AB353),$AB353&lt;0))),IF(ROUND($AC353,3)=ROUND(significance_bar,3),TEXT($AC353,"0.0000"),TEXT($AC353,"0.000")),""),"")</f>
        <v/>
      </c>
      <c r="AO353">
        <f>IF(OR($AI353="",$AN353=""),$AI353,$AI353&amp;" · borderline (p "&amp;$AN353&amp;")")</f>
        <v/>
      </c>
    </row>
    <row r="354">
      <c r="A354" t="inlineStr">
        <is>
          <t>three-way</t>
        </is>
      </c>
      <c r="B354" t="inlineStr">
        <is>
          <t>FICO x CHANNEL / REV_DEBT</t>
        </is>
      </c>
      <c r="C354" t="inlineStr">
        <is>
          <t>496 - 653</t>
        </is>
      </c>
      <c r="D354" t="inlineStr">
        <is>
          <t>Online / REV_DEBT low half</t>
        </is>
      </c>
      <c r="E354" t="inlineStr">
        <is>
          <t>outcome_loans</t>
        </is>
      </c>
      <c r="F354" t="inlineStr">
        <is>
          <t>Outcome, share of loans</t>
        </is>
      </c>
      <c r="G354" t="n">
        <v>266</v>
      </c>
      <c r="H354" t="n">
        <v>266</v>
      </c>
      <c r="I354" t="b">
        <v>0</v>
      </c>
      <c r="J354" t="b">
        <v>0</v>
      </c>
      <c r="K354" t="n">
        <v>1.020903010033445</v>
      </c>
      <c r="L354" t="n">
        <v>0.92271762559621</v>
      </c>
      <c r="M354" t="n">
        <v>0.477761304670126</v>
      </c>
      <c r="N354" t="n">
        <v>0.001556468824551485</v>
      </c>
      <c r="O354" t="n">
        <v>0.4299754299754319</v>
      </c>
      <c r="P354" t="n">
        <v>-22.95500387897595</v>
      </c>
      <c r="Q354">
        <f>'_live'!$C$20</f>
        <v/>
      </c>
      <c r="R354" t="inlineStr">
        <is>
          <t>z test</t>
        </is>
      </c>
      <c r="S354" t="inlineStr">
        <is>
          <t>z test</t>
        </is>
      </c>
      <c r="T354" t="n">
        <v>0.07733091943618259</v>
      </c>
      <c r="U354" t="n">
        <v>0.165244375484872</v>
      </c>
      <c r="V354">
        <f>AND(judged_band,NOT($J354))</f>
        <v/>
      </c>
      <c r="W354">
        <f>IF($K354="","",IF($I354,"too few losses to test",IF(AND($K354&gt;better_at,$K354&lt;worse_at),"in line",IF($K354&gt;=worse_at,IF(AND(ISNUMBER($L354),$L354&lt;significance_bar),"worse","worse, not significant"),IF(AND(ISNUMBER($L354),$L354&lt;significance_bar),"better","better, not significant")))))</f>
        <v/>
      </c>
      <c r="X354">
        <f>IF($M354="","",IF($I354,"too few losses to test",IF(AND($M354&gt;better_at,$M354&lt;worse_at),"in line",IF($M354&gt;=worse_at,IF(AND(ISNUMBER($N354),$N354&lt;significance_bar),"worse","worse, not significant"),IF(AND(ISNUMBER($N354),$N354&lt;significance_bar),"better","better, not significant")))))</f>
        <v/>
      </c>
      <c r="Y354">
        <f>IF($V354,$X354,$W354)</f>
        <v/>
      </c>
      <c r="Z354">
        <f>IF($V354,IF($P354="","",$P354),IF($O354="","",$O354))</f>
        <v/>
      </c>
      <c r="AA354">
        <f>IF(OR($Q354="",$Z354=""),"",IF(AND($Z354&gt;0,$Z354&gt;=$Q354),"yes","below the line"))</f>
        <v/>
      </c>
      <c r="AB354">
        <f>IF($V354,IF($M354="","",$M354),IF($K354="","",$K354))</f>
        <v/>
      </c>
      <c r="AC354">
        <f>IF($V354,IF($N354="","",$N354),IF($L354="","",$L354))</f>
        <v/>
      </c>
      <c r="AD354">
        <f>$Y354</f>
        <v/>
      </c>
      <c r="AE354">
        <f>IF($V354,IF($S354="","",$S354),IF($R354="","",$R354))</f>
        <v/>
      </c>
      <c r="AF354">
        <f>IF($V354,IF($U354="","",$U354),IF($T354="","",$T354))</f>
        <v/>
      </c>
      <c r="AG354">
        <f>IF($V354,IF($O354="","",$O354),IF($P354="","",$P354))</f>
        <v/>
      </c>
      <c r="AH354" t="n">
        <v>0.07894736842105263</v>
      </c>
      <c r="AI354">
        <f>IF($Y354="worse","Yes",IF($Y354="worse, not significant","Not sure",IF(OR($Y354="too few losses to test",$Y354="too few loans to test"),"Too few losses",IF($Y354="","","No"))))</f>
        <v/>
      </c>
      <c r="AJ354">
        <f>IF($AA354="yes","Yes",IF($AA354="","","No"))</f>
        <v/>
      </c>
      <c r="AM354">
        <f>IF(AND(ISNUMBER($AC354),ISNUMBER(IF($V354,IF($AL354="","",$AL354),IF($AK354="","",$AK354)))),IF(AND(ABS($AC354-significance_bar)&lt;=2.0*IF($V354,IF($AL354="","",$AL354),IF($AK354="","",$AK354)),OR($Y354="worse",$Y354="better",$Y354="worse, not significant",$Y354="better, not significant")),IF(ROUND($AC354,3)=ROUND(significance_bar,3),TEXT($AC354,"0.0000"),TEXT($AC354,"0.000")),""),"")</f>
        <v/>
      </c>
      <c r="AN354">
        <f>IF(AND(ISNUMBER($AC354),ISNUMBER(IF($V354,IF($AL354="","",$AL354),IF($AK354="","",$AK354)))),IF(AND(ABS($AC354-significance_bar)&lt;=2.0*IF($V354,IF($AL354="","",$AL354),IF($AK354="","",$AK354)),OR($Y354="worse",$Y354="worse, not significant")),IF(ROUND($AC354,3)=ROUND(significance_bar,3),TEXT($AC354,"0.0000"),TEXT($AC354,"0.000")),""),"")</f>
        <v/>
      </c>
      <c r="AO354">
        <f>IF(OR($AI354="",$AN354=""),$AI354,$AI354&amp;" · borderline (p "&amp;$AN354&amp;")")</f>
        <v/>
      </c>
    </row>
    <row r="355">
      <c r="A355" t="inlineStr">
        <is>
          <t>three-way</t>
        </is>
      </c>
      <c r="B355" t="inlineStr">
        <is>
          <t>FICO x CHANNEL / REV_DEBT</t>
        </is>
      </c>
      <c r="C355" t="inlineStr">
        <is>
          <t>496 - 653</t>
        </is>
      </c>
      <c r="D355" t="inlineStr">
        <is>
          <t>Online / REV_DEBT low half</t>
        </is>
      </c>
      <c r="E355" t="inlineStr">
        <is>
          <t>outcome_booked</t>
        </is>
      </c>
      <c r="F355" t="inlineStr">
        <is>
          <t>Outcome, share of booked dollars</t>
        </is>
      </c>
      <c r="G355" t="n">
        <v>266</v>
      </c>
      <c r="H355" t="n">
        <v>8900767.100000001</v>
      </c>
      <c r="I355" t="b">
        <v>0</v>
      </c>
      <c r="J355" t="b">
        <v>0</v>
      </c>
      <c r="K355" t="n">
        <v>0.863549984597707</v>
      </c>
      <c r="L355" t="n">
        <v>0.6342984749144134</v>
      </c>
      <c r="M355" t="n">
        <v>0.388535677843638</v>
      </c>
      <c r="N355" t="n">
        <v>0.00114988501149885</v>
      </c>
      <c r="O355" t="n">
        <v>-91310.17613047187</v>
      </c>
      <c r="P355" t="n">
        <v>-909438.4031906377</v>
      </c>
      <c r="Q355">
        <f>'_live'!$C$21</f>
        <v/>
      </c>
      <c r="R355" t="inlineStr">
        <is>
          <t>shuffled: 5,791 of 10,000</t>
        </is>
      </c>
      <c r="S355" t="inlineStr">
        <is>
          <t>shuffled: 1 of 10,000</t>
        </is>
      </c>
      <c r="T355" t="n">
        <v>0.07518274083707593</v>
      </c>
      <c r="U355" t="n">
        <v>0.1670993383469878</v>
      </c>
      <c r="V355">
        <f>AND(judged_band,NOT($J355))</f>
        <v/>
      </c>
      <c r="W355">
        <f>IF($K355="","",IF($I355,"too few losses to test",IF(AND($K355&gt;better_at,$K355&lt;worse_at),"in line",IF($K355&gt;=worse_at,IF(AND(ISNUMBER($L355),$L355&lt;significance_bar),"worse","worse, not significant"),IF(AND(ISNUMBER($L355),$L355&lt;significance_bar),"better","better, not significant")))))</f>
        <v/>
      </c>
      <c r="X355">
        <f>IF($M355="","",IF($I355,"too few losses to test",IF(AND($M355&gt;better_at,$M355&lt;worse_at),"in line",IF($M355&gt;=worse_at,IF(AND(ISNUMBER($N355),$N355&lt;significance_bar),"worse","worse, not significant"),IF(AND(ISNUMBER($N355),$N355&lt;significance_bar),"better","better, not significant")))))</f>
        <v/>
      </c>
      <c r="Y355">
        <f>IF($V355,$X355,$W355)</f>
        <v/>
      </c>
      <c r="Z355">
        <f>IF($V355,IF($P355="","",$P355),IF($O355="","",$O355))</f>
        <v/>
      </c>
      <c r="AA355">
        <f>IF(OR($Q355="",$Z355=""),"",IF(AND($Z355&gt;0,$Z355&gt;=$Q355),"yes","below the line"))</f>
        <v/>
      </c>
      <c r="AB355">
        <f>IF($V355,IF($M355="","",$M355),IF($K355="","",$K355))</f>
        <v/>
      </c>
      <c r="AC355">
        <f>IF($V355,IF($N355="","",$N355),IF($L355="","",$L355))</f>
        <v/>
      </c>
      <c r="AD355">
        <f>$Y355</f>
        <v/>
      </c>
      <c r="AE355">
        <f>IF($V355,IF($S355="","",$S355),IF($R355="","",$R355))</f>
        <v/>
      </c>
      <c r="AF355">
        <f>IF($V355,IF($U355="","",$U355),IF($T355="","",$T355))</f>
        <v/>
      </c>
      <c r="AG355">
        <f>IF($V355,IF($O355="","",$O355),IF($P355="","",$P355))</f>
        <v/>
      </c>
      <c r="AH355" t="n">
        <v>0.06492405469187032</v>
      </c>
      <c r="AI355">
        <f>IF($Y355="worse","Yes",IF($Y355="worse, not significant","Not sure",IF(OR($Y355="too few losses to test",$Y355="too few loans to test"),"Too few losses",IF($Y355="","","No"))))</f>
        <v/>
      </c>
      <c r="AJ355">
        <f>IF($AA355="yes","Yes",IF($AA355="","","No"))</f>
        <v/>
      </c>
      <c r="AK355" t="n">
        <v>0.005407155427754414</v>
      </c>
      <c r="AL355" t="n">
        <v>0.0008130508336247322</v>
      </c>
      <c r="AM355">
        <f>IF(AND(ISNUMBER($AC355),ISNUMBER(IF($V355,IF($AL355="","",$AL355),IF($AK355="","",$AK355)))),IF(AND(ABS($AC355-significance_bar)&lt;=2.0*IF($V355,IF($AL355="","",$AL355),IF($AK355="","",$AK355)),OR($Y355="worse",$Y355="better",$Y355="worse, not significant",$Y355="better, not significant")),IF(ROUND($AC355,3)=ROUND(significance_bar,3),TEXT($AC355,"0.0000"),TEXT($AC355,"0.000")),""),"")</f>
        <v/>
      </c>
      <c r="AN355">
        <f>IF(AND(ISNUMBER($AC355),ISNUMBER(IF($V355,IF($AL355="","",$AL355),IF($AK355="","",$AK355)))),IF(AND(ABS($AC355-significance_bar)&lt;=2.0*IF($V355,IF($AL355="","",$AL355),IF($AK355="","",$AK355)),OR($Y355="worse",$Y355="worse, not significant")),IF(ROUND($AC355,3)=ROUND(significance_bar,3),TEXT($AC355,"0.0000"),TEXT($AC355,"0.000")),""),"")</f>
        <v/>
      </c>
      <c r="AO355">
        <f>IF(OR($AI355="",$AN355=""),$AI355,$AI355&amp;" · borderline (p "&amp;$AN355&amp;")")</f>
        <v/>
      </c>
    </row>
    <row r="356">
      <c r="A356" t="inlineStr">
        <is>
          <t>three-way</t>
        </is>
      </c>
      <c r="B356" t="inlineStr">
        <is>
          <t>FICO x CHANNEL / REV_DEBT</t>
        </is>
      </c>
      <c r="C356" t="inlineStr">
        <is>
          <t>496 - 653</t>
        </is>
      </c>
      <c r="D356" t="inlineStr">
        <is>
          <t>Online / REV_DEBT low half</t>
        </is>
      </c>
      <c r="E356" t="inlineStr">
        <is>
          <t>gco_rate</t>
        </is>
      </c>
      <c r="F356" t="inlineStr">
        <is>
          <t>GCO per booked dollar</t>
        </is>
      </c>
      <c r="G356" t="n">
        <v>266</v>
      </c>
      <c r="H356" t="n">
        <v>8900767.100000001</v>
      </c>
      <c r="I356" t="b">
        <v>0</v>
      </c>
      <c r="J356" t="b">
        <v>0</v>
      </c>
      <c r="K356" t="n">
        <v>0.8600035726653026</v>
      </c>
      <c r="L356" t="n">
        <v>0.6278372162783721</v>
      </c>
      <c r="M356" t="n">
        <v>0.3843107912920031</v>
      </c>
      <c r="N356" t="n">
        <v>0.00114988501149885</v>
      </c>
      <c r="O356" t="n">
        <v>-52094.88297067693</v>
      </c>
      <c r="P356" t="n">
        <v>-512692.9336082505</v>
      </c>
      <c r="Q356">
        <f>'_live'!$C$22</f>
        <v/>
      </c>
      <c r="R356" t="inlineStr">
        <is>
          <t>shuffled: 5,732 of 10,000</t>
        </is>
      </c>
      <c r="S356" t="inlineStr">
        <is>
          <t>shuffled: 1 of 10,000</t>
        </is>
      </c>
      <c r="T356" t="n">
        <v>0.04180716097724621</v>
      </c>
      <c r="U356" t="n">
        <v>0.09355529071289265</v>
      </c>
      <c r="V356">
        <f>AND(judged_band,NOT($J356))</f>
        <v/>
      </c>
      <c r="W356">
        <f>IF($K356="","",IF($I356,"too few losses to test",IF(AND($K356&gt;better_at,$K356&lt;worse_at),"in line",IF($K356&gt;=worse_at,IF(AND(ISNUMBER($L356),$L356&lt;significance_bar),"worse","worse, not significant"),IF(AND(ISNUMBER($L356),$L356&lt;significance_bar),"better","better, not significant")))))</f>
        <v/>
      </c>
      <c r="X356">
        <f>IF($M356="","",IF($I356,"too few losses to test",IF(AND($M356&gt;better_at,$M356&lt;worse_at),"in line",IF($M356&gt;=worse_at,IF(AND(ISNUMBER($N356),$N356&lt;significance_bar),"worse","worse, not significant"),IF(AND(ISNUMBER($N356),$N356&lt;significance_bar),"better","better, not significant")))))</f>
        <v/>
      </c>
      <c r="Y356">
        <f>IF($V356,$X356,$W356)</f>
        <v/>
      </c>
      <c r="Z356">
        <f>IF($V356,IF($P356="","",$P356),IF($O356="","",$O356))</f>
        <v/>
      </c>
      <c r="AA356">
        <f>IF(OR($Q356="",$Z356=""),"",IF(AND($Z356&gt;0,$Z356&gt;=$Q356),"yes","below the line"))</f>
        <v/>
      </c>
      <c r="AB356">
        <f>IF($V356,IF($M356="","",$M356),IF($K356="","",$K356))</f>
        <v/>
      </c>
      <c r="AC356">
        <f>IF($V356,IF($N356="","",$N356),IF($L356="","",$L356))</f>
        <v/>
      </c>
      <c r="AD356">
        <f>$Y356</f>
        <v/>
      </c>
      <c r="AE356">
        <f>IF($V356,IF($S356="","",$S356),IF($R356="","",$R356))</f>
        <v/>
      </c>
      <c r="AF356">
        <f>IF($V356,IF($U356="","",$U356),IF($T356="","",$T356))</f>
        <v/>
      </c>
      <c r="AG356">
        <f>IF($V356,IF($O356="","",$O356),IF($P356="","",$P356))</f>
        <v/>
      </c>
      <c r="AH356" t="n">
        <v>0.03595430780342516</v>
      </c>
      <c r="AI356">
        <f>IF($Y356="worse","Yes",IF($Y356="worse, not significant","Not sure",IF(OR($Y356="too few losses to test",$Y356="too few loans to test"),"Too few losses",IF($Y356="","","No"))))</f>
        <v/>
      </c>
      <c r="AJ356">
        <f>IF($AA356="yes","Yes",IF($AA356="","","No"))</f>
        <v/>
      </c>
      <c r="AK356" t="n">
        <v>0.005417117930524837</v>
      </c>
      <c r="AL356" t="n">
        <v>0.0008130508336247322</v>
      </c>
      <c r="AM356">
        <f>IF(AND(ISNUMBER($AC356),ISNUMBER(IF($V356,IF($AL356="","",$AL356),IF($AK356="","",$AK356)))),IF(AND(ABS($AC356-significance_bar)&lt;=2.0*IF($V356,IF($AL356="","",$AL356),IF($AK356="","",$AK356)),OR($Y356="worse",$Y356="better",$Y356="worse, not significant",$Y356="better, not significant")),IF(ROUND($AC356,3)=ROUND(significance_bar,3),TEXT($AC356,"0.0000"),TEXT($AC356,"0.000")),""),"")</f>
        <v/>
      </c>
      <c r="AN356">
        <f>IF(AND(ISNUMBER($AC356),ISNUMBER(IF($V356,IF($AL356="","",$AL356),IF($AK356="","",$AK356)))),IF(AND(ABS($AC356-significance_bar)&lt;=2.0*IF($V356,IF($AL356="","",$AL356),IF($AK356="","",$AK356)),OR($Y356="worse",$Y356="worse, not significant")),IF(ROUND($AC356,3)=ROUND(significance_bar,3),TEXT($AC356,"0.0000"),TEXT($AC356,"0.000")),""),"")</f>
        <v/>
      </c>
      <c r="AO356">
        <f>IF(OR($AI356="",$AN356=""),$AI356,$AI356&amp;" · borderline (p "&amp;$AN356&amp;")")</f>
        <v/>
      </c>
    </row>
    <row r="357">
      <c r="A357" t="inlineStr">
        <is>
          <t>three-way</t>
        </is>
      </c>
      <c r="B357" t="inlineStr">
        <is>
          <t>FICO x CHANNEL / REV_DEBT</t>
        </is>
      </c>
      <c r="C357" t="inlineStr">
        <is>
          <t>496 - 653</t>
        </is>
      </c>
      <c r="D357" t="inlineStr">
        <is>
          <t>Online / REV_DEBT low half</t>
        </is>
      </c>
      <c r="E357" t="inlineStr">
        <is>
          <t>ranr_rate</t>
        </is>
      </c>
      <c r="F357" t="inlineStr">
        <is>
          <t>Profit after losses: RANR per booked dollar</t>
        </is>
      </c>
      <c r="G357" t="n">
        <v>266</v>
      </c>
      <c r="H357" t="n">
        <v>8900767.100000001</v>
      </c>
      <c r="I357" t="b">
        <v>0</v>
      </c>
      <c r="J357" t="b">
        <v>0</v>
      </c>
      <c r="K357" t="n">
        <v>0.1141521977744255</v>
      </c>
      <c r="L357" t="n">
        <v>0.0002466420024664201</v>
      </c>
      <c r="M357" t="n">
        <v>0.05824995721710488</v>
      </c>
      <c r="N357" t="n">
        <v>0.01727827217278272</v>
      </c>
      <c r="O357" t="n">
        <v>-1016042.1263433</v>
      </c>
      <c r="P357" t="n">
        <v>-518469.3027744149</v>
      </c>
      <c r="Q357">
        <f>'_live'!$C$23</f>
        <v/>
      </c>
      <c r="R357" t="inlineStr">
        <is>
          <t>shuffled: 0 of 10,000</t>
        </is>
      </c>
      <c r="S357" t="inlineStr">
        <is>
          <t>shuffled: 23 of 10,000</t>
        </is>
      </c>
      <c r="T357" t="n">
        <v>0.1240529463642186</v>
      </c>
      <c r="U357" t="n">
        <v>0.1799551869215392</v>
      </c>
      <c r="V357">
        <f>AND(judged_band,NOT($J357))</f>
        <v/>
      </c>
      <c r="W357">
        <f>IF($K357="","",IF(profit_kind="test",IF(OR(NOT(AND(ISNUMBER($L357),$L357&lt;significance_bar)),$K357=0),"in line",IF($K357&lt;0,"worse","better")),IF(OR($K357=0,IF(profit_kind="points",ABS($K357),ABS($K357*$H357))&lt;profit_line*(1-1E-9)),"in line",IF(AND(ISNUMBER($L357),$L357&lt;significance_bar),IF($K357&lt;0,"worse","better"),IF($K357&lt;0,"worse, not significant","better, not significant")))))</f>
        <v/>
      </c>
      <c r="X357">
        <f>IF($M357="","",IF(profit_kind="test",IF(OR(NOT(AND(ISNUMBER($N357),$N357&lt;significance_bar)),$M357=0),"in line",IF($M357&lt;0,"worse","better")),IF(OR($M357=0,IF(profit_kind="points",ABS($M357),ABS($M357*$H357))&lt;profit_line*(1-1E-9)),"in line",IF(AND(ISNUMBER($N357),$N357&lt;significance_bar),IF($M357&lt;0,"worse","better"),IF($M357&lt;0,"worse, not significant","better, not significant")))))</f>
        <v/>
      </c>
      <c r="Y357">
        <f>IF($V357,$X357,$W357)</f>
        <v/>
      </c>
      <c r="Z357">
        <f>IF($V357,IF($P357="","",$P357),IF($O357="","",$O357))</f>
        <v/>
      </c>
      <c r="AA357">
        <f>IF(OR($Q357="",$Z357=""),"",IF(AND($Z357&gt;0,$Z357&gt;=$Q357),"yes","below the line"))</f>
        <v/>
      </c>
      <c r="AB357">
        <f>IF($V357,IF($M357="","",$M357),IF($K357="","",$K357))</f>
        <v/>
      </c>
      <c r="AC357">
        <f>IF($V357,IF($N357="","",$N357),IF($L357="","",$L357))</f>
        <v/>
      </c>
      <c r="AD357">
        <f>IF($Y357="","",IF($Y357="in line",IF(profit_kind="test",IF(ROUND($AB357*100,2)=0,"0.00",TEXT($AB357*100,"+0.00;-0.00"))&amp;" points against "&amp;IF($V357,"its band","the book")&amp;", "&amp;IF($AC357="","not tested","not significant"),IF(profit_kind="points","within "&amp;TEXT(profit_line*100,"0.00")&amp;" points of "&amp;IF($V357,"its band","the book")&amp;" ("&amp;IF(ROUND($AB357*100,2)=0,"0.00",TEXT($AB357*100,"+0.00;-0.00"))&amp;")","within $"&amp;TEXT(profit_line,"#,##0")&amp;" of "&amp;IF($V357,"its band","the book")&amp;" ("&amp;IF(ROUND($AB357*100,2)=0,"0.00",TEXT($AB357*100,"+0.00;-0.00"))&amp;" points)")),IF(LEFT($Y357,5)="worse","short of ","ahead of ")&amp;IF($V357,"its band","the book")&amp;" by "&amp;TEXT(ABS($AB357)*100,"0.00")&amp;" points"&amp;IF($Z357="",""," ($"&amp;TEXT(ABS($Z357),"#,##0")&amp;")")&amp;IF(RIGHT($Y357,15)="not significant"," (not significant)","")))</f>
        <v/>
      </c>
      <c r="AE357">
        <f>IF($V357,IF($S357="","",$S357),IF($R357="","",$R357))</f>
        <v/>
      </c>
      <c r="AF357">
        <f>IF($V357,IF($U357="","",$U357),IF($T357="","",$T357))</f>
        <v/>
      </c>
      <c r="AG357">
        <f>IF($V357,IF($O357="","",$O357),IF($P357="","",$P357))</f>
        <v/>
      </c>
      <c r="AH357" t="n">
        <v>0.2382051441386441</v>
      </c>
      <c r="AI357">
        <f>IF($Y357="worse","Yes",IF($Y357="worse, not significant","Not sure",IF(OR($Y357="too few losses to test",$Y357="too few loans to test"),"Too few losses",IF($Y357="","","No"))))</f>
        <v/>
      </c>
      <c r="AJ357">
        <f>IF($AA357="yes","Yes",IF($AA357="","","No"))</f>
        <v/>
      </c>
      <c r="AK357" t="n">
        <v>0.0002466420024664201</v>
      </c>
      <c r="AL357" t="n">
        <v>0.00352285425407806</v>
      </c>
      <c r="AM357">
        <f>IF(AND(ISNUMBER($AC357),ISNUMBER(IF($V357,IF($AL357="","",$AL357),IF($AK357="","",$AK357)))),IF(AND(ABS($AC357-significance_bar)&lt;=2.0*IF($V357,IF($AL357="","",$AL357),IF($AK357="","",$AK357)),OR($Y357="worse",$Y357="better",$Y357="worse, not significant",$Y357="better, not significant",AND(profit_kind="test",$Y357="in line",ISNUMBER($AB357),$AB357&lt;&gt;0))),IF(ROUND($AC357,3)=ROUND(significance_bar,3),TEXT($AC357,"0.0000"),TEXT($AC357,"0.000")),""),"")</f>
        <v/>
      </c>
      <c r="AN357">
        <f>IF(AND(ISNUMBER($AC357),ISNUMBER(IF($V357,IF($AL357="","",$AL357),IF($AK357="","",$AK357)))),IF(AND(ABS($AC357-significance_bar)&lt;=2.0*IF($V357,IF($AL357="","",$AL357),IF($AK357="","",$AK357)),OR($Y357="worse",$Y357="worse, not significant",AND(profit_kind="test",$Y357="in line",ISNUMBER($AB357),$AB357&lt;0))),IF(ROUND($AC357,3)=ROUND(significance_bar,3),TEXT($AC357,"0.0000"),TEXT($AC357,"0.000")),""),"")</f>
        <v/>
      </c>
      <c r="AO357">
        <f>IF(OR($AI357="",$AN357=""),$AI357,$AI357&amp;" · borderline (p "&amp;$AN357&amp;")")</f>
        <v/>
      </c>
    </row>
    <row r="358">
      <c r="A358" t="inlineStr">
        <is>
          <t>three-way</t>
        </is>
      </c>
      <c r="B358" t="inlineStr">
        <is>
          <t>FICO x CHANNEL / REV_DEBT</t>
        </is>
      </c>
      <c r="C358" t="inlineStr">
        <is>
          <t>496 - 653</t>
        </is>
      </c>
      <c r="D358" t="inlineStr">
        <is>
          <t>Online / REV_DEBT low half</t>
        </is>
      </c>
      <c r="E358" t="inlineStr">
        <is>
          <t>contribution_rate</t>
        </is>
      </c>
      <c r="F358" t="inlineStr">
        <is>
          <t>Contribution before losses per booked dollar</t>
        </is>
      </c>
      <c r="G358" t="n">
        <v>266</v>
      </c>
      <c r="H358" t="n">
        <v>8900767.100000001</v>
      </c>
      <c r="I358" t="b">
        <v>0</v>
      </c>
      <c r="J358" t="b">
        <v>0</v>
      </c>
      <c r="K358" t="n">
        <v>0.1083029331556984</v>
      </c>
      <c r="L358" t="n">
        <v>0.0001761728589045857</v>
      </c>
      <c r="M358" t="n">
        <v>0.0006489743076371624</v>
      </c>
      <c r="N358" t="n">
        <v>0.9525047495250474</v>
      </c>
      <c r="O358" t="n">
        <v>-963979.1842657398</v>
      </c>
      <c r="P358" t="n">
        <v>-5776.369166162331</v>
      </c>
      <c r="Q358">
        <f>'_live'!$C$24</f>
        <v/>
      </c>
      <c r="R358" t="inlineStr">
        <is>
          <t>shuffled: 0 of 10,000</t>
        </is>
      </c>
      <c r="S358" t="inlineStr">
        <is>
          <t>shuffled: 9,525 of 10,000</t>
        </is>
      </c>
      <c r="T358" t="n">
        <v>0.1658565187863706</v>
      </c>
      <c r="U358" t="n">
        <v>0.2735104776344319</v>
      </c>
      <c r="V358">
        <f>AND(judged_band,NOT($J358))</f>
        <v/>
      </c>
      <c r="W358">
        <f>IF($K358="","",IF(profit_kind="test",IF(OR(NOT(AND(ISNUMBER($L358),$L358&lt;significance_bar)),$K358=0),"in line",IF($K358&lt;0,"worse","better")),IF(OR($K358=0,IF(profit_kind="points",ABS($K358),ABS($K358*$H358))&lt;profit_line*(1-1E-9)),"in line",IF(AND(ISNUMBER($L358),$L358&lt;significance_bar),IF($K358&lt;0,"worse","better"),IF($K358&lt;0,"worse, not significant","better, not significant")))))</f>
        <v/>
      </c>
      <c r="X358">
        <f>IF($M358="","",IF(profit_kind="test",IF(OR(NOT(AND(ISNUMBER($N358),$N358&lt;significance_bar)),$M358=0),"in line",IF($M358&lt;0,"worse","better")),IF(OR($M358=0,IF(profit_kind="points",ABS($M358),ABS($M358*$H358))&lt;profit_line*(1-1E-9)),"in line",IF(AND(ISNUMBER($N358),$N358&lt;significance_bar),IF($M358&lt;0,"worse","better"),IF($M358&lt;0,"worse, not significant","better, not significant")))))</f>
        <v/>
      </c>
      <c r="Y358">
        <f>IF($V358,$X358,$W358)</f>
        <v/>
      </c>
      <c r="Z358">
        <f>IF($V358,IF($P358="","",$P358),IF($O358="","",$O358))</f>
        <v/>
      </c>
      <c r="AA358">
        <f>IF(OR($Q358="",$Z358=""),"",IF(AND($Z358&gt;0,$Z358&gt;=$Q358),"yes","below the line"))</f>
        <v/>
      </c>
      <c r="AB358">
        <f>IF($V358,IF($M358="","",$M358),IF($K358="","",$K358))</f>
        <v/>
      </c>
      <c r="AC358">
        <f>IF($V358,IF($N358="","",$N358),IF($L358="","",$L358))</f>
        <v/>
      </c>
      <c r="AD358">
        <f>IF($Y358="","",IF($Y358="in line",IF(profit_kind="test",IF(ROUND($AB358*100,2)=0,"0.00",TEXT($AB358*100,"+0.00;-0.00"))&amp;" points against "&amp;IF($V358,"its band","the book")&amp;", "&amp;IF($AC358="","not tested","not significant"),IF(profit_kind="points","within "&amp;TEXT(profit_line*100,"0.00")&amp;" points of "&amp;IF($V358,"its band","the book")&amp;" ("&amp;IF(ROUND($AB358*100,2)=0,"0.00",TEXT($AB358*100,"+0.00;-0.00"))&amp;")","within $"&amp;TEXT(profit_line,"#,##0")&amp;" of "&amp;IF($V358,"its band","the book")&amp;" ("&amp;IF(ROUND($AB358*100,2)=0,"0.00",TEXT($AB358*100,"+0.00;-0.00"))&amp;" points)")),IF(LEFT($Y358,5)="worse","short of ","ahead of ")&amp;IF($V358,"its band","the book")&amp;" by "&amp;TEXT(ABS($AB358)*100,"0.00")&amp;" points"&amp;IF($Z358="",""," ($"&amp;TEXT(ABS($Z358),"#,##0")&amp;")")&amp;IF(RIGHT($Y358,15)="not significant"," (not significant)","")))</f>
        <v/>
      </c>
      <c r="AE358">
        <f>IF($V358,IF($S358="","",$S358),IF($R358="","",$R358))</f>
        <v/>
      </c>
      <c r="AF358">
        <f>IF($V358,IF($U358="","",$U358),IF($T358="","",$T358))</f>
        <v/>
      </c>
      <c r="AG358">
        <f>IF($V358,IF($O358="","",$O358),IF($P358="","",$P358))</f>
        <v/>
      </c>
      <c r="AH358" t="n">
        <v>0.274159451942069</v>
      </c>
      <c r="AI358">
        <f>IF($Y358="worse","Yes",IF($Y358="worse, not significant","Not sure",IF(OR($Y358="too few losses to test",$Y358="too few loans to test"),"Too few losses",IF($Y358="","","No"))))</f>
        <v/>
      </c>
      <c r="AJ358">
        <f>IF($AA358="yes","Yes",IF($AA358="","","No"))</f>
        <v/>
      </c>
      <c r="AK358" t="n">
        <v>0.0001761728589045857</v>
      </c>
      <c r="AL358" t="n">
        <v>0.002126956785110455</v>
      </c>
      <c r="AM358">
        <f>IF(AND(ISNUMBER($AC358),ISNUMBER(IF($V358,IF($AL358="","",$AL358),IF($AK358="","",$AK358)))),IF(AND(ABS($AC358-significance_bar)&lt;=2.0*IF($V358,IF($AL358="","",$AL358),IF($AK358="","",$AK358)),OR($Y358="worse",$Y358="better",$Y358="worse, not significant",$Y358="better, not significant",AND(profit_kind="test",$Y358="in line",ISNUMBER($AB358),$AB358&lt;&gt;0))),IF(ROUND($AC358,3)=ROUND(significance_bar,3),TEXT($AC358,"0.0000"),TEXT($AC358,"0.000")),""),"")</f>
        <v/>
      </c>
      <c r="AN358">
        <f>IF(AND(ISNUMBER($AC358),ISNUMBER(IF($V358,IF($AL358="","",$AL358),IF($AK358="","",$AK358)))),IF(AND(ABS($AC358-significance_bar)&lt;=2.0*IF($V358,IF($AL358="","",$AL358),IF($AK358="","",$AK358)),OR($Y358="worse",$Y358="worse, not significant",AND(profit_kind="test",$Y358="in line",ISNUMBER($AB358),$AB358&lt;0))),IF(ROUND($AC358,3)=ROUND(significance_bar,3),TEXT($AC358,"0.0000"),TEXT($AC358,"0.000")),""),"")</f>
        <v/>
      </c>
      <c r="AO358">
        <f>IF(OR($AI358="",$AN358=""),$AI358,$AI358&amp;" · borderline (p "&amp;$AN358&amp;")")</f>
        <v/>
      </c>
    </row>
    <row r="359">
      <c r="A359" t="inlineStr">
        <is>
          <t>three-way</t>
        </is>
      </c>
      <c r="B359" t="inlineStr">
        <is>
          <t>FICO x CHANNEL / REV_DEBT</t>
        </is>
      </c>
      <c r="C359" t="inlineStr">
        <is>
          <t>(marked missing)</t>
        </is>
      </c>
      <c r="D359" t="inlineStr">
        <is>
          <t>Broker / REV_DEBT low half</t>
        </is>
      </c>
      <c r="E359" t="inlineStr">
        <is>
          <t>outcome_loans</t>
        </is>
      </c>
      <c r="F359" t="inlineStr">
        <is>
          <t>Outcome, share of loans</t>
        </is>
      </c>
      <c r="G359" t="n">
        <v>27</v>
      </c>
      <c r="H359" t="n">
        <v>27</v>
      </c>
      <c r="I359" t="b">
        <v>1</v>
      </c>
      <c r="J359" t="b">
        <v>0</v>
      </c>
      <c r="K359" t="n">
        <v>0.4777657916816492</v>
      </c>
      <c r="M359" t="n">
        <v>0.5473251028806584</v>
      </c>
      <c r="O359" t="n">
        <v>-1.093075765178123</v>
      </c>
      <c r="P359" t="n">
        <v>-0.8270676691729322</v>
      </c>
      <c r="Q359">
        <f>'_live'!$C$20</f>
        <v/>
      </c>
      <c r="T359" t="n">
        <v>0.0775213246362268</v>
      </c>
      <c r="U359" t="n">
        <v>0.06766917293233082</v>
      </c>
      <c r="V359">
        <f>AND(judged_band,NOT($J359))</f>
        <v/>
      </c>
      <c r="W359">
        <f>IF($K359="","",IF($I359,"too few losses to test",IF(AND($K359&gt;better_at,$K359&lt;worse_at),"in line",IF($K359&gt;=worse_at,IF(AND(ISNUMBER($L359),$L359&lt;significance_bar),"worse","worse, not significant"),IF(AND(ISNUMBER($L359),$L359&lt;significance_bar),"better","better, not significant")))))</f>
        <v/>
      </c>
      <c r="X359">
        <f>IF($M359="","",IF($I359,"too few losses to test",IF(AND($M359&gt;better_at,$M359&lt;worse_at),"in line",IF($M359&gt;=worse_at,IF(AND(ISNUMBER($N359),$N359&lt;significance_bar),"worse","worse, not significant"),IF(AND(ISNUMBER($N359),$N359&lt;significance_bar),"better","better, not significant")))))</f>
        <v/>
      </c>
      <c r="Y359">
        <f>IF($V359,$X359,$W359)</f>
        <v/>
      </c>
      <c r="Z359">
        <f>IF($V359,IF($P359="","",$P359),IF($O359="","",$O359))</f>
        <v/>
      </c>
      <c r="AA359">
        <f>IF(OR($Q359="",$Z359=""),"",IF(AND($Z359&gt;0,$Z359&gt;=$Q359),"yes","below the line"))</f>
        <v/>
      </c>
      <c r="AB359">
        <f>IF($V359,IF($M359="","",$M359),IF($K359="","",$K359))</f>
        <v/>
      </c>
      <c r="AC359">
        <f>IF($V359,IF($N359="","",$N359),IF($L359="","",$L359))</f>
        <v/>
      </c>
      <c r="AD359">
        <f>$Y359</f>
        <v/>
      </c>
      <c r="AE359">
        <f>IF($V359,IF($S359="","",$S359),IF($R359="","",$R359))</f>
        <v/>
      </c>
      <c r="AF359">
        <f>IF($V359,IF($U359="","",$U359),IF($T359="","",$T359))</f>
        <v/>
      </c>
      <c r="AG359">
        <f>IF($V359,IF($O359="","",$O359),IF($P359="","",$P359))</f>
        <v/>
      </c>
      <c r="AH359" t="n">
        <v>0.03703703703703703</v>
      </c>
      <c r="AI359">
        <f>IF($Y359="worse","Yes",IF($Y359="worse, not significant","Not sure",IF(OR($Y359="too few losses to test",$Y359="too few loans to test"),"Too few losses",IF($Y359="","","No"))))</f>
        <v/>
      </c>
      <c r="AJ359">
        <f>IF($AA359="yes","Yes",IF($AA359="","","No"))</f>
        <v/>
      </c>
      <c r="AM359">
        <f>IF(AND(ISNUMBER($AC359),ISNUMBER(IF($V359,IF($AL359="","",$AL359),IF($AK359="","",$AK359)))),IF(AND(ABS($AC359-significance_bar)&lt;=2.0*IF($V359,IF($AL359="","",$AL359),IF($AK359="","",$AK359)),OR($Y359="worse",$Y359="better",$Y359="worse, not significant",$Y359="better, not significant")),IF(ROUND($AC359,3)=ROUND(significance_bar,3),TEXT($AC359,"0.0000"),TEXT($AC359,"0.000")),""),"")</f>
        <v/>
      </c>
      <c r="AN359">
        <f>IF(AND(ISNUMBER($AC359),ISNUMBER(IF($V359,IF($AL359="","",$AL359),IF($AK359="","",$AK359)))),IF(AND(ABS($AC359-significance_bar)&lt;=2.0*IF($V359,IF($AL359="","",$AL359),IF($AK359="","",$AK359)),OR($Y359="worse",$Y359="worse, not significant")),IF(ROUND($AC359,3)=ROUND(significance_bar,3),TEXT($AC359,"0.0000"),TEXT($AC359,"0.000")),""),"")</f>
        <v/>
      </c>
      <c r="AO359">
        <f>IF(OR($AI359="",$AN359=""),$AI359,$AI359&amp;" · borderline (p "&amp;$AN359&amp;")")</f>
        <v/>
      </c>
    </row>
    <row r="360">
      <c r="A360" t="inlineStr">
        <is>
          <t>three-way</t>
        </is>
      </c>
      <c r="B360" t="inlineStr">
        <is>
          <t>FICO x CHANNEL / REV_DEBT</t>
        </is>
      </c>
      <c r="C360" t="inlineStr">
        <is>
          <t>(marked missing)</t>
        </is>
      </c>
      <c r="D360" t="inlineStr">
        <is>
          <t>Broker / REV_DEBT low half</t>
        </is>
      </c>
      <c r="E360" t="inlineStr">
        <is>
          <t>outcome_booked</t>
        </is>
      </c>
      <c r="F360" t="inlineStr">
        <is>
          <t>Outcome, share of booked dollars</t>
        </is>
      </c>
      <c r="G360" t="n">
        <v>27</v>
      </c>
      <c r="H360" t="n">
        <v>832738.9200000002</v>
      </c>
      <c r="I360" t="b">
        <v>1</v>
      </c>
      <c r="J360" t="b">
        <v>0</v>
      </c>
      <c r="K360" t="n">
        <v>0.4672998422629714</v>
      </c>
      <c r="M360" t="n">
        <v>0.6922065526895819</v>
      </c>
      <c r="O360" t="n">
        <v>-33251.26222550904</v>
      </c>
      <c r="P360" t="n">
        <v>-12970.13834667621</v>
      </c>
      <c r="Q360">
        <f>'_live'!$C$21</f>
        <v/>
      </c>
      <c r="T360" t="n">
        <v>0.07495773372224397</v>
      </c>
      <c r="U360" t="n">
        <v>0.05060301294273144</v>
      </c>
      <c r="V360">
        <f>AND(judged_band,NOT($J360))</f>
        <v/>
      </c>
      <c r="W360">
        <f>IF($K360="","",IF($I360,"too few losses to test",IF(AND($K360&gt;better_at,$K360&lt;worse_at),"in line",IF($K360&gt;=worse_at,IF(AND(ISNUMBER($L360),$L360&lt;significance_bar),"worse","worse, not significant"),IF(AND(ISNUMBER($L360),$L360&lt;significance_bar),"better","better, not significant")))))</f>
        <v/>
      </c>
      <c r="X360">
        <f>IF($M360="","",IF($I360,"too few losses to test",IF(AND($M360&gt;better_at,$M360&lt;worse_at),"in line",IF($M360&gt;=worse_at,IF(AND(ISNUMBER($N360),$N360&lt;significance_bar),"worse","worse, not significant"),IF(AND(ISNUMBER($N360),$N360&lt;significance_bar),"better","better, not significant")))))</f>
        <v/>
      </c>
      <c r="Y360">
        <f>IF($V360,$X360,$W360)</f>
        <v/>
      </c>
      <c r="Z360">
        <f>IF($V360,IF($P360="","",$P360),IF($O360="","",$O360))</f>
        <v/>
      </c>
      <c r="AA360">
        <f>IF(OR($Q360="",$Z360=""),"",IF(AND($Z360&gt;0,$Z360&gt;=$Q360),"yes","below the line"))</f>
        <v/>
      </c>
      <c r="AB360">
        <f>IF($V360,IF($M360="","",$M360),IF($K360="","",$K360))</f>
        <v/>
      </c>
      <c r="AC360">
        <f>IF($V360,IF($N360="","",$N360),IF($L360="","",$L360))</f>
        <v/>
      </c>
      <c r="AD360">
        <f>$Y360</f>
        <v/>
      </c>
      <c r="AE360">
        <f>IF($V360,IF($S360="","",$S360),IF($R360="","",$R360))</f>
        <v/>
      </c>
      <c r="AF360">
        <f>IF($V360,IF($U360="","",$U360),IF($T360="","",$T360))</f>
        <v/>
      </c>
      <c r="AG360">
        <f>IF($V360,IF($O360="","",$O360),IF($P360="","",$P360))</f>
        <v/>
      </c>
      <c r="AH360" t="n">
        <v>0.03502773714479442</v>
      </c>
      <c r="AI360">
        <f>IF($Y360="worse","Yes",IF($Y360="worse, not significant","Not sure",IF(OR($Y360="too few losses to test",$Y360="too few loans to test"),"Too few losses",IF($Y360="","","No"))))</f>
        <v/>
      </c>
      <c r="AJ360">
        <f>IF($AA360="yes","Yes",IF($AA360="","","No"))</f>
        <v/>
      </c>
      <c r="AM360">
        <f>IF(AND(ISNUMBER($AC360),ISNUMBER(IF($V360,IF($AL360="","",$AL360),IF($AK360="","",$AK360)))),IF(AND(ABS($AC360-significance_bar)&lt;=2.0*IF($V360,IF($AL360="","",$AL360),IF($AK360="","",$AK360)),OR($Y360="worse",$Y360="better",$Y360="worse, not significant",$Y360="better, not significant")),IF(ROUND($AC360,3)=ROUND(significance_bar,3),TEXT($AC360,"0.0000"),TEXT($AC360,"0.000")),""),"")</f>
        <v/>
      </c>
      <c r="AN360">
        <f>IF(AND(ISNUMBER($AC360),ISNUMBER(IF($V360,IF($AL360="","",$AL360),IF($AK360="","",$AK360)))),IF(AND(ABS($AC360-significance_bar)&lt;=2.0*IF($V360,IF($AL360="","",$AL360),IF($AK360="","",$AK360)),OR($Y360="worse",$Y360="worse, not significant")),IF(ROUND($AC360,3)=ROUND(significance_bar,3),TEXT($AC360,"0.0000"),TEXT($AC360,"0.000")),""),"")</f>
        <v/>
      </c>
      <c r="AO360">
        <f>IF(OR($AI360="",$AN360=""),$AI360,$AI360&amp;" · borderline (p "&amp;$AN360&amp;")")</f>
        <v/>
      </c>
    </row>
    <row r="361">
      <c r="A361" t="inlineStr">
        <is>
          <t>three-way</t>
        </is>
      </c>
      <c r="B361" t="inlineStr">
        <is>
          <t>FICO x CHANNEL / REV_DEBT</t>
        </is>
      </c>
      <c r="C361" t="inlineStr">
        <is>
          <t>(marked missing)</t>
        </is>
      </c>
      <c r="D361" t="inlineStr">
        <is>
          <t>Broker / REV_DEBT low half</t>
        </is>
      </c>
      <c r="E361" t="inlineStr">
        <is>
          <t>gco_rate</t>
        </is>
      </c>
      <c r="F361" t="inlineStr">
        <is>
          <t>GCO per booked dollar</t>
        </is>
      </c>
      <c r="G361" t="n">
        <v>27</v>
      </c>
      <c r="H361" t="n">
        <v>832738.9200000002</v>
      </c>
      <c r="I361" t="b">
        <v>1</v>
      </c>
      <c r="J361" t="b">
        <v>0</v>
      </c>
      <c r="K361" t="n">
        <v>0.3056138999127486</v>
      </c>
      <c r="M361" t="n">
        <v>0.4567680958127865</v>
      </c>
      <c r="O361" t="n">
        <v>-24111.96050221449</v>
      </c>
      <c r="P361" t="n">
        <v>-12621.01009642383</v>
      </c>
      <c r="Q361">
        <f>'_live'!$C$22</f>
        <v/>
      </c>
      <c r="T361" t="n">
        <v>0.04169871212722288</v>
      </c>
      <c r="U361" t="n">
        <v>0.02789972888072029</v>
      </c>
      <c r="V361">
        <f>AND(judged_band,NOT($J361))</f>
        <v/>
      </c>
      <c r="W361">
        <f>IF($K361="","",IF($I361,"too few losses to test",IF(AND($K361&gt;better_at,$K361&lt;worse_at),"in line",IF($K361&gt;=worse_at,IF(AND(ISNUMBER($L361),$L361&lt;significance_bar),"worse","worse, not significant"),IF(AND(ISNUMBER($L361),$L361&lt;significance_bar),"better","better, not significant")))))</f>
        <v/>
      </c>
      <c r="X361">
        <f>IF($M361="","",IF($I361,"too few losses to test",IF(AND($M361&gt;better_at,$M361&lt;worse_at),"in line",IF($M361&gt;=worse_at,IF(AND(ISNUMBER($N361),$N361&lt;significance_bar),"worse","worse, not significant"),IF(AND(ISNUMBER($N361),$N361&lt;significance_bar),"better","better, not significant")))))</f>
        <v/>
      </c>
      <c r="Y361">
        <f>IF($V361,$X361,$W361)</f>
        <v/>
      </c>
      <c r="Z361">
        <f>IF($V361,IF($P361="","",$P361),IF($O361="","",$O361))</f>
        <v/>
      </c>
      <c r="AA361">
        <f>IF(OR($Q361="",$Z361=""),"",IF(AND($Z361&gt;0,$Z361&gt;=$Q361),"yes","below the line"))</f>
        <v/>
      </c>
      <c r="AB361">
        <f>IF($V361,IF($M361="","",$M361),IF($K361="","",$K361))</f>
        <v/>
      </c>
      <c r="AC361">
        <f>IF($V361,IF($N361="","",$N361),IF($L361="","",$L361))</f>
        <v/>
      </c>
      <c r="AD361">
        <f>$Y361</f>
        <v/>
      </c>
      <c r="AE361">
        <f>IF($V361,IF($S361="","",$S361),IF($R361="","",$R361))</f>
        <v/>
      </c>
      <c r="AF361">
        <f>IF($V361,IF($U361="","",$U361),IF($T361="","",$T361))</f>
        <v/>
      </c>
      <c r="AG361">
        <f>IF($V361,IF($O361="","",$O361),IF($P361="","",$P361))</f>
        <v/>
      </c>
      <c r="AH361" t="n">
        <v>0.01274370603453961</v>
      </c>
      <c r="AI361">
        <f>IF($Y361="worse","Yes",IF($Y361="worse, not significant","Not sure",IF(OR($Y361="too few losses to test",$Y361="too few loans to test"),"Too few losses",IF($Y361="","","No"))))</f>
        <v/>
      </c>
      <c r="AJ361">
        <f>IF($AA361="yes","Yes",IF($AA361="","","No"))</f>
        <v/>
      </c>
      <c r="AM361">
        <f>IF(AND(ISNUMBER($AC361),ISNUMBER(IF($V361,IF($AL361="","",$AL361),IF($AK361="","",$AK361)))),IF(AND(ABS($AC361-significance_bar)&lt;=2.0*IF($V361,IF($AL361="","",$AL361),IF($AK361="","",$AK361)),OR($Y361="worse",$Y361="better",$Y361="worse, not significant",$Y361="better, not significant")),IF(ROUND($AC361,3)=ROUND(significance_bar,3),TEXT($AC361,"0.0000"),TEXT($AC361,"0.000")),""),"")</f>
        <v/>
      </c>
      <c r="AN361">
        <f>IF(AND(ISNUMBER($AC361),ISNUMBER(IF($V361,IF($AL361="","",$AL361),IF($AK361="","",$AK361)))),IF(AND(ABS($AC361-significance_bar)&lt;=2.0*IF($V361,IF($AL361="","",$AL361),IF($AK361="","",$AK361)),OR($Y361="worse",$Y361="worse, not significant")),IF(ROUND($AC361,3)=ROUND(significance_bar,3),TEXT($AC361,"0.0000"),TEXT($AC361,"0.000")),""),"")</f>
        <v/>
      </c>
      <c r="AO361">
        <f>IF(OR($AI361="",$AN361=""),$AI361,$AI361&amp;" · borderline (p "&amp;$AN361&amp;")")</f>
        <v/>
      </c>
    </row>
    <row r="362">
      <c r="A362" t="inlineStr">
        <is>
          <t>three-way</t>
        </is>
      </c>
      <c r="B362" t="inlineStr">
        <is>
          <t>FICO x CHANNEL / REV_DEBT</t>
        </is>
      </c>
      <c r="C362" t="inlineStr">
        <is>
          <t>(marked missing)</t>
        </is>
      </c>
      <c r="D362" t="inlineStr">
        <is>
          <t>Broker / REV_DEBT low half</t>
        </is>
      </c>
      <c r="E362" t="inlineStr">
        <is>
          <t>ranr_rate</t>
        </is>
      </c>
      <c r="F362" t="inlineStr">
        <is>
          <t>Profit after losses: RANR per booked dollar</t>
        </is>
      </c>
      <c r="G362" t="n">
        <v>27</v>
      </c>
      <c r="H362" t="n">
        <v>832738.9200000002</v>
      </c>
      <c r="I362" t="b">
        <v>0</v>
      </c>
      <c r="J362" t="b">
        <v>0</v>
      </c>
      <c r="K362" t="n">
        <v>0.02026117376462155</v>
      </c>
      <c r="L362" t="n">
        <v>0.702004799520048</v>
      </c>
      <c r="M362" t="n">
        <v>-0.008293299255970221</v>
      </c>
      <c r="N362" t="n">
        <v>0.9302952057735404</v>
      </c>
      <c r="O362" t="n">
        <v>-16872.26795868328</v>
      </c>
      <c r="P362" t="n">
        <v>6906.15306565346</v>
      </c>
      <c r="Q362">
        <f>'_live'!$C$23</f>
        <v/>
      </c>
      <c r="R362" t="inlineStr">
        <is>
          <t>shuffled: 6,071 of 10,000</t>
        </is>
      </c>
      <c r="S362" t="inlineStr">
        <is>
          <t>shuffled: 8,101 of 10,000</t>
        </is>
      </c>
      <c r="T362" t="n">
        <v>0.1279246706054242</v>
      </c>
      <c r="U362" t="n">
        <v>0.156479143626016</v>
      </c>
      <c r="V362">
        <f>AND(judged_band,NOT($J362))</f>
        <v/>
      </c>
      <c r="W362">
        <f>IF($K362="","",IF(profit_kind="test",IF(OR(NOT(AND(ISNUMBER($L362),$L362&lt;significance_bar)),$K362=0),"in line",IF($K362&lt;0,"worse","better")),IF(OR($K362=0,IF(profit_kind="points",ABS($K362),ABS($K362*$H362))&lt;profit_line*(1-1E-9)),"in line",IF(AND(ISNUMBER($L362),$L362&lt;significance_bar),IF($K362&lt;0,"worse","better"),IF($K362&lt;0,"worse, not significant","better, not significant")))))</f>
        <v/>
      </c>
      <c r="X362">
        <f>IF($M362="","",IF(profit_kind="test",IF(OR(NOT(AND(ISNUMBER($N362),$N362&lt;significance_bar)),$M362=0),"in line",IF($M362&lt;0,"worse","better")),IF(OR($M362=0,IF(profit_kind="points",ABS($M362),ABS($M362*$H362))&lt;profit_line*(1-1E-9)),"in line",IF(AND(ISNUMBER($N362),$N362&lt;significance_bar),IF($M362&lt;0,"worse","better"),IF($M362&lt;0,"worse, not significant","better, not significant")))))</f>
        <v/>
      </c>
      <c r="Y362">
        <f>IF($V362,$X362,$W362)</f>
        <v/>
      </c>
      <c r="Z362">
        <f>IF($V362,IF($P362="","",$P362),IF($O362="","",$O362))</f>
        <v/>
      </c>
      <c r="AA362">
        <f>IF(OR($Q362="",$Z362=""),"",IF(AND($Z362&gt;0,$Z362&gt;=$Q362),"yes","below the line"))</f>
        <v/>
      </c>
      <c r="AB362">
        <f>IF($V362,IF($M362="","",$M362),IF($K362="","",$K362))</f>
        <v/>
      </c>
      <c r="AC362">
        <f>IF($V362,IF($N362="","",$N362),IF($L362="","",$L362))</f>
        <v/>
      </c>
      <c r="AD362">
        <f>IF($Y362="","",IF($Y362="in line",IF(profit_kind="test",IF(ROUND($AB362*100,2)=0,"0.00",TEXT($AB362*100,"+0.00;-0.00"))&amp;" points against "&amp;IF($V362,"its band","the book")&amp;", "&amp;IF($AC362="","not tested","not significant"),IF(profit_kind="points","within "&amp;TEXT(profit_line*100,"0.00")&amp;" points of "&amp;IF($V362,"its band","the book")&amp;" ("&amp;IF(ROUND($AB362*100,2)=0,"0.00",TEXT($AB362*100,"+0.00;-0.00"))&amp;")","within $"&amp;TEXT(profit_line,"#,##0")&amp;" of "&amp;IF($V362,"its band","the book")&amp;" ("&amp;IF(ROUND($AB362*100,2)=0,"0.00",TEXT($AB362*100,"+0.00;-0.00"))&amp;" points)")),IF(LEFT($Y362,5)="worse","short of ","ahead of ")&amp;IF($V362,"its band","the book")&amp;" by "&amp;TEXT(ABS($AB362)*100,"0.00")&amp;" points"&amp;IF($Z362="",""," ($"&amp;TEXT(ABS($Z362),"#,##0")&amp;")")&amp;IF(RIGHT($Y362,15)="not significant"," (not significant)","")))</f>
        <v/>
      </c>
      <c r="AE362">
        <f>IF($V362,IF($S362="","",$S362),IF($R362="","",$R362))</f>
        <v/>
      </c>
      <c r="AF362">
        <f>IF($V362,IF($U362="","",$U362),IF($T362="","",$T362))</f>
        <v/>
      </c>
      <c r="AG362">
        <f>IF($V362,IF($O362="","",$O362),IF($P362="","",$P362))</f>
        <v/>
      </c>
      <c r="AH362" t="n">
        <v>0.1481858443700458</v>
      </c>
      <c r="AI362">
        <f>IF($Y362="worse","Yes",IF($Y362="worse, not significant","Not sure",IF(OR($Y362="too few losses to test",$Y362="too few loans to test"),"Too few losses",IF($Y362="","","No"))))</f>
        <v/>
      </c>
      <c r="AJ362">
        <f>IF($AA362="yes","Yes",IF($AA362="","","No"))</f>
        <v/>
      </c>
      <c r="AK362" t="n">
        <v>0.005646966538734515</v>
      </c>
      <c r="AL362" t="n">
        <v>0.00345787916629182</v>
      </c>
      <c r="AM362">
        <f>IF(AND(ISNUMBER($AC362),ISNUMBER(IF($V362,IF($AL362="","",$AL362),IF($AK362="","",$AK362)))),IF(AND(ABS($AC362-significance_bar)&lt;=2.0*IF($V362,IF($AL362="","",$AL362),IF($AK362="","",$AK362)),OR($Y362="worse",$Y362="better",$Y362="worse, not significant",$Y362="better, not significant",AND(profit_kind="test",$Y362="in line",ISNUMBER($AB362),$AB362&lt;&gt;0))),IF(ROUND($AC362,3)=ROUND(significance_bar,3),TEXT($AC362,"0.0000"),TEXT($AC362,"0.000")),""),"")</f>
        <v/>
      </c>
      <c r="AN362">
        <f>IF(AND(ISNUMBER($AC362),ISNUMBER(IF($V362,IF($AL362="","",$AL362),IF($AK362="","",$AK362)))),IF(AND(ABS($AC362-significance_bar)&lt;=2.0*IF($V362,IF($AL362="","",$AL362),IF($AK362="","",$AK362)),OR($Y362="worse",$Y362="worse, not significant",AND(profit_kind="test",$Y362="in line",ISNUMBER($AB362),$AB362&lt;0))),IF(ROUND($AC362,3)=ROUND(significance_bar,3),TEXT($AC362,"0.0000"),TEXT($AC362,"0.000")),""),"")</f>
        <v/>
      </c>
      <c r="AO362">
        <f>IF(OR($AI362="",$AN362=""),$AI362,$AI362&amp;" · borderline (p "&amp;$AN362&amp;")")</f>
        <v/>
      </c>
    </row>
    <row r="363">
      <c r="A363" t="inlineStr">
        <is>
          <t>three-way</t>
        </is>
      </c>
      <c r="B363" t="inlineStr">
        <is>
          <t>FICO x CHANNEL / REV_DEBT</t>
        </is>
      </c>
      <c r="C363" t="inlineStr">
        <is>
          <t>(marked missing)</t>
        </is>
      </c>
      <c r="D363" t="inlineStr">
        <is>
          <t>Broker / REV_DEBT low half</t>
        </is>
      </c>
      <c r="E363" t="inlineStr">
        <is>
          <t>contribution_rate</t>
        </is>
      </c>
      <c r="F363" t="inlineStr">
        <is>
          <t>Contribution before losses per booked dollar</t>
        </is>
      </c>
      <c r="G363" t="n">
        <v>27</v>
      </c>
      <c r="H363" t="n">
        <v>832738.9200000002</v>
      </c>
      <c r="I363" t="b">
        <v>0</v>
      </c>
      <c r="J363" t="b">
        <v>0</v>
      </c>
      <c r="K363" t="n">
        <v>-0.008690953736252977</v>
      </c>
      <c r="L363" t="n">
        <v>0.7553411325534114</v>
      </c>
      <c r="M363" t="n">
        <v>-0.02344932210215089</v>
      </c>
      <c r="N363" t="n">
        <v>0.5135486451354865</v>
      </c>
      <c r="O363" t="n">
        <v>7237.295428097248</v>
      </c>
      <c r="P363" t="n">
        <v>19527.16316207725</v>
      </c>
      <c r="Q363">
        <f>'_live'!$C$24</f>
        <v/>
      </c>
      <c r="R363" t="inlineStr">
        <is>
          <t>shuffled: 7,349 of 10,000</t>
        </is>
      </c>
      <c r="S363" t="inlineStr">
        <is>
          <t>shuffled: 4,159 of 10,000</t>
        </is>
      </c>
      <c r="T363" t="n">
        <v>0.1696205041408383</v>
      </c>
      <c r="U363" t="n">
        <v>0.1843788725067363</v>
      </c>
      <c r="V363">
        <f>AND(judged_band,NOT($J363))</f>
        <v/>
      </c>
      <c r="W363">
        <f>IF($K363="","",IF(profit_kind="test",IF(OR(NOT(AND(ISNUMBER($L363),$L363&lt;significance_bar)),$K363=0),"in line",IF($K363&lt;0,"worse","better")),IF(OR($K363=0,IF(profit_kind="points",ABS($K363),ABS($K363*$H363))&lt;profit_line*(1-1E-9)),"in line",IF(AND(ISNUMBER($L363),$L363&lt;significance_bar),IF($K363&lt;0,"worse","better"),IF($K363&lt;0,"worse, not significant","better, not significant")))))</f>
        <v/>
      </c>
      <c r="X363">
        <f>IF($M363="","",IF(profit_kind="test",IF(OR(NOT(AND(ISNUMBER($N363),$N363&lt;significance_bar)),$M363=0),"in line",IF($M363&lt;0,"worse","better")),IF(OR($M363=0,IF(profit_kind="points",ABS($M363),ABS($M363*$H363))&lt;profit_line*(1-1E-9)),"in line",IF(AND(ISNUMBER($N363),$N363&lt;significance_bar),IF($M363&lt;0,"worse","better"),IF($M363&lt;0,"worse, not significant","better, not significant")))))</f>
        <v/>
      </c>
      <c r="Y363">
        <f>IF($V363,$X363,$W363)</f>
        <v/>
      </c>
      <c r="Z363">
        <f>IF($V363,IF($P363="","",$P363),IF($O363="","",$O363))</f>
        <v/>
      </c>
      <c r="AA363">
        <f>IF(OR($Q363="",$Z363=""),"",IF(AND($Z363&gt;0,$Z363&gt;=$Q363),"yes","below the line"))</f>
        <v/>
      </c>
      <c r="AB363">
        <f>IF($V363,IF($M363="","",$M363),IF($K363="","",$K363))</f>
        <v/>
      </c>
      <c r="AC363">
        <f>IF($V363,IF($N363="","",$N363),IF($L363="","",$L363))</f>
        <v/>
      </c>
      <c r="AD363">
        <f>IF($Y363="","",IF($Y363="in line",IF(profit_kind="test",IF(ROUND($AB363*100,2)=0,"0.00",TEXT($AB363*100,"+0.00;-0.00"))&amp;" points against "&amp;IF($V363,"its band","the book")&amp;", "&amp;IF($AC363="","not tested","not significant"),IF(profit_kind="points","within "&amp;TEXT(profit_line*100,"0.00")&amp;" points of "&amp;IF($V363,"its band","the book")&amp;" ("&amp;IF(ROUND($AB363*100,2)=0,"0.00",TEXT($AB363*100,"+0.00;-0.00"))&amp;")","within $"&amp;TEXT(profit_line,"#,##0")&amp;" of "&amp;IF($V363,"its band","the book")&amp;" ("&amp;IF(ROUND($AB363*100,2)=0,"0.00",TEXT($AB363*100,"+0.00;-0.00"))&amp;" points)")),IF(LEFT($Y363,5)="worse","short of ","ahead of ")&amp;IF($V363,"its band","the book")&amp;" by "&amp;TEXT(ABS($AB363)*100,"0.00")&amp;" points"&amp;IF($Z363="",""," ($"&amp;TEXT(ABS($Z363),"#,##0")&amp;")")&amp;IF(RIGHT($Y363,15)="not significant"," (not significant)","")))</f>
        <v/>
      </c>
      <c r="AE363">
        <f>IF($V363,IF($S363="","",$S363),IF($R363="","",$R363))</f>
        <v/>
      </c>
      <c r="AF363">
        <f>IF($V363,IF($U363="","",$U363),IF($T363="","",$T363))</f>
        <v/>
      </c>
      <c r="AG363">
        <f>IF($V363,IF($O363="","",$O363),IF($P363="","",$P363))</f>
        <v/>
      </c>
      <c r="AH363" t="n">
        <v>0.1609295504045854</v>
      </c>
      <c r="AI363">
        <f>IF($Y363="worse","Yes",IF($Y363="worse, not significant","Not sure",IF(OR($Y363="too few losses to test",$Y363="too few loans to test"),"Too few losses",IF($Y363="","","No"))))</f>
        <v/>
      </c>
      <c r="AJ363">
        <f>IF($AA363="yes","Yes",IF($AA363="","","No"))</f>
        <v/>
      </c>
      <c r="AK363" t="n">
        <v>0.00453632675358406</v>
      </c>
      <c r="AL363" t="n">
        <v>0.005937391373676574</v>
      </c>
      <c r="AM363">
        <f>IF(AND(ISNUMBER($AC363),ISNUMBER(IF($V363,IF($AL363="","",$AL363),IF($AK363="","",$AK363)))),IF(AND(ABS($AC363-significance_bar)&lt;=2.0*IF($V363,IF($AL363="","",$AL363),IF($AK363="","",$AK363)),OR($Y363="worse",$Y363="better",$Y363="worse, not significant",$Y363="better, not significant",AND(profit_kind="test",$Y363="in line",ISNUMBER($AB363),$AB363&lt;&gt;0))),IF(ROUND($AC363,3)=ROUND(significance_bar,3),TEXT($AC363,"0.0000"),TEXT($AC363,"0.000")),""),"")</f>
        <v/>
      </c>
      <c r="AN363">
        <f>IF(AND(ISNUMBER($AC363),ISNUMBER(IF($V363,IF($AL363="","",$AL363),IF($AK363="","",$AK363)))),IF(AND(ABS($AC363-significance_bar)&lt;=2.0*IF($V363,IF($AL363="","",$AL363),IF($AK363="","",$AK363)),OR($Y363="worse",$Y363="worse, not significant",AND(profit_kind="test",$Y363="in line",ISNUMBER($AB363),$AB363&lt;0))),IF(ROUND($AC363,3)=ROUND(significance_bar,3),TEXT($AC363,"0.0000"),TEXT($AC363,"0.000")),""),"")</f>
        <v/>
      </c>
      <c r="AO363">
        <f>IF(OR($AI363="",$AN363=""),$AI363,$AI363&amp;" · borderline (p "&amp;$AN363&amp;")")</f>
        <v/>
      </c>
    </row>
    <row r="364">
      <c r="A364" t="inlineStr">
        <is>
          <t>three-way</t>
        </is>
      </c>
      <c r="B364" t="inlineStr">
        <is>
          <t>FICO x CHANNEL / REV_DEBT</t>
        </is>
      </c>
      <c r="C364" t="inlineStr">
        <is>
          <t>(marked missing)</t>
        </is>
      </c>
      <c r="D364" t="inlineStr">
        <is>
          <t>Branch / REV_DEBT low half</t>
        </is>
      </c>
      <c r="E364" t="inlineStr">
        <is>
          <t>outcome_loans</t>
        </is>
      </c>
      <c r="F364" t="inlineStr">
        <is>
          <t>Outcome, share of loans</t>
        </is>
      </c>
      <c r="G364" t="n">
        <v>26</v>
      </c>
      <c r="H364" t="n">
        <v>26</v>
      </c>
      <c r="I364" t="b">
        <v>1</v>
      </c>
      <c r="J364" t="b">
        <v>0</v>
      </c>
      <c r="K364" t="n">
        <v>0</v>
      </c>
      <c r="M364" t="n">
        <v>0</v>
      </c>
      <c r="O364" t="n">
        <v>-2.018562648940173</v>
      </c>
      <c r="P364" t="n">
        <v>-1.940298507462686</v>
      </c>
      <c r="Q364">
        <f>'_live'!$C$20</f>
        <v/>
      </c>
      <c r="T364" t="n">
        <v>0.07763702495923742</v>
      </c>
      <c r="U364" t="n">
        <v>0.07462686567164178</v>
      </c>
      <c r="V364">
        <f>AND(judged_band,NOT($J364))</f>
        <v/>
      </c>
      <c r="W364">
        <f>IF($K364="","",IF($I364,"too few losses to test",IF(AND($K364&gt;better_at,$K364&lt;worse_at),"in line",IF($K364&gt;=worse_at,IF(AND(ISNUMBER($L364),$L364&lt;significance_bar),"worse","worse, not significant"),IF(AND(ISNUMBER($L364),$L364&lt;significance_bar),"better","better, not significant")))))</f>
        <v/>
      </c>
      <c r="X364">
        <f>IF($M364="","",IF($I364,"too few losses to test",IF(AND($M364&gt;better_at,$M364&lt;worse_at),"in line",IF($M364&gt;=worse_at,IF(AND(ISNUMBER($N364),$N364&lt;significance_bar),"worse","worse, not significant"),IF(AND(ISNUMBER($N364),$N364&lt;significance_bar),"better","better, not significant")))))</f>
        <v/>
      </c>
      <c r="Y364">
        <f>IF($V364,$X364,$W364)</f>
        <v/>
      </c>
      <c r="Z364">
        <f>IF($V364,IF($P364="","",$P364),IF($O364="","",$O364))</f>
        <v/>
      </c>
      <c r="AA364">
        <f>IF(OR($Q364="",$Z364=""),"",IF(AND($Z364&gt;0,$Z364&gt;=$Q364),"yes","below the line"))</f>
        <v/>
      </c>
      <c r="AB364">
        <f>IF($V364,IF($M364="","",$M364),IF($K364="","",$K364))</f>
        <v/>
      </c>
      <c r="AC364">
        <f>IF($V364,IF($N364="","",$N364),IF($L364="","",$L364))</f>
        <v/>
      </c>
      <c r="AD364">
        <f>$Y364</f>
        <v/>
      </c>
      <c r="AE364">
        <f>IF($V364,IF($S364="","",$S364),IF($R364="","",$R364))</f>
        <v/>
      </c>
      <c r="AF364">
        <f>IF($V364,IF($U364="","",$U364),IF($T364="","",$T364))</f>
        <v/>
      </c>
      <c r="AG364">
        <f>IF($V364,IF($O364="","",$O364),IF($P364="","",$P364))</f>
        <v/>
      </c>
      <c r="AH364" t="n">
        <v>0</v>
      </c>
      <c r="AI364">
        <f>IF($Y364="worse","Yes",IF($Y364="worse, not significant","Not sure",IF(OR($Y364="too few losses to test",$Y364="too few loans to test"),"Too few losses",IF($Y364="","","No"))))</f>
        <v/>
      </c>
      <c r="AJ364">
        <f>IF($AA364="yes","Yes",IF($AA364="","","No"))</f>
        <v/>
      </c>
      <c r="AM364">
        <f>IF(AND(ISNUMBER($AC364),ISNUMBER(IF($V364,IF($AL364="","",$AL364),IF($AK364="","",$AK364)))),IF(AND(ABS($AC364-significance_bar)&lt;=2.0*IF($V364,IF($AL364="","",$AL364),IF($AK364="","",$AK364)),OR($Y364="worse",$Y364="better",$Y364="worse, not significant",$Y364="better, not significant")),IF(ROUND($AC364,3)=ROUND(significance_bar,3),TEXT($AC364,"0.0000"),TEXT($AC364,"0.000")),""),"")</f>
        <v/>
      </c>
      <c r="AN364">
        <f>IF(AND(ISNUMBER($AC364),ISNUMBER(IF($V364,IF($AL364="","",$AL364),IF($AK364="","",$AK364)))),IF(AND(ABS($AC364-significance_bar)&lt;=2.0*IF($V364,IF($AL364="","",$AL364),IF($AK364="","",$AK364)),OR($Y364="worse",$Y364="worse, not significant")),IF(ROUND($AC364,3)=ROUND(significance_bar,3),TEXT($AC364,"0.0000"),TEXT($AC364,"0.000")),""),"")</f>
        <v/>
      </c>
      <c r="AO364">
        <f>IF(OR($AI364="",$AN364=""),$AI364,$AI364&amp;" · borderline (p "&amp;$AN364&amp;")")</f>
        <v/>
      </c>
    </row>
    <row r="365">
      <c r="A365" t="inlineStr">
        <is>
          <t>three-way</t>
        </is>
      </c>
      <c r="B365" t="inlineStr">
        <is>
          <t>FICO x CHANNEL / REV_DEBT</t>
        </is>
      </c>
      <c r="C365" t="inlineStr">
        <is>
          <t>(marked missing)</t>
        </is>
      </c>
      <c r="D365" t="inlineStr">
        <is>
          <t>Branch / REV_DEBT low half</t>
        </is>
      </c>
      <c r="E365" t="inlineStr">
        <is>
          <t>outcome_booked</t>
        </is>
      </c>
      <c r="F365" t="inlineStr">
        <is>
          <t>Outcome, share of booked dollars</t>
        </is>
      </c>
      <c r="G365" t="n">
        <v>26</v>
      </c>
      <c r="H365" t="n">
        <v>972727.01</v>
      </c>
      <c r="I365" t="b">
        <v>1</v>
      </c>
      <c r="J365" t="b">
        <v>0</v>
      </c>
      <c r="K365" t="n">
        <v>0</v>
      </c>
      <c r="M365" t="n">
        <v>0</v>
      </c>
      <c r="O365" t="n">
        <v>-73063.4963632845</v>
      </c>
      <c r="P365" t="n">
        <v>-57394.37582500713</v>
      </c>
      <c r="Q365">
        <f>'_live'!$C$21</f>
        <v/>
      </c>
      <c r="T365" t="n">
        <v>0.07511202589438172</v>
      </c>
      <c r="U365" t="n">
        <v>0.05900357986873124</v>
      </c>
      <c r="V365">
        <f>AND(judged_band,NOT($J365))</f>
        <v/>
      </c>
      <c r="W365">
        <f>IF($K365="","",IF($I365,"too few losses to test",IF(AND($K365&gt;better_at,$K365&lt;worse_at),"in line",IF($K365&gt;=worse_at,IF(AND(ISNUMBER($L365),$L365&lt;significance_bar),"worse","worse, not significant"),IF(AND(ISNUMBER($L365),$L365&lt;significance_bar),"better","better, not significant")))))</f>
        <v/>
      </c>
      <c r="X365">
        <f>IF($M365="","",IF($I365,"too few losses to test",IF(AND($M365&gt;better_at,$M365&lt;worse_at),"in line",IF($M365&gt;=worse_at,IF(AND(ISNUMBER($N365),$N365&lt;significance_bar),"worse","worse, not significant"),IF(AND(ISNUMBER($N365),$N365&lt;significance_bar),"better","better, not significant")))))</f>
        <v/>
      </c>
      <c r="Y365">
        <f>IF($V365,$X365,$W365)</f>
        <v/>
      </c>
      <c r="Z365">
        <f>IF($V365,IF($P365="","",$P365),IF($O365="","",$O365))</f>
        <v/>
      </c>
      <c r="AA365">
        <f>IF(OR($Q365="",$Z365=""),"",IF(AND($Z365&gt;0,$Z365&gt;=$Q365),"yes","below the line"))</f>
        <v/>
      </c>
      <c r="AB365">
        <f>IF($V365,IF($M365="","",$M365),IF($K365="","",$K365))</f>
        <v/>
      </c>
      <c r="AC365">
        <f>IF($V365,IF($N365="","",$N365),IF($L365="","",$L365))</f>
        <v/>
      </c>
      <c r="AD365">
        <f>$Y365</f>
        <v/>
      </c>
      <c r="AE365">
        <f>IF($V365,IF($S365="","",$S365),IF($R365="","",$R365))</f>
        <v/>
      </c>
      <c r="AF365">
        <f>IF($V365,IF($U365="","",$U365),IF($T365="","",$T365))</f>
        <v/>
      </c>
      <c r="AG365">
        <f>IF($V365,IF($O365="","",$O365),IF($P365="","",$P365))</f>
        <v/>
      </c>
      <c r="AH365" t="n">
        <v>0</v>
      </c>
      <c r="AI365">
        <f>IF($Y365="worse","Yes",IF($Y365="worse, not significant","Not sure",IF(OR($Y365="too few losses to test",$Y365="too few loans to test"),"Too few losses",IF($Y365="","","No"))))</f>
        <v/>
      </c>
      <c r="AJ365">
        <f>IF($AA365="yes","Yes",IF($AA365="","","No"))</f>
        <v/>
      </c>
      <c r="AM365">
        <f>IF(AND(ISNUMBER($AC365),ISNUMBER(IF($V365,IF($AL365="","",$AL365),IF($AK365="","",$AK365)))),IF(AND(ABS($AC365-significance_bar)&lt;=2.0*IF($V365,IF($AL365="","",$AL365),IF($AK365="","",$AK365)),OR($Y365="worse",$Y365="better",$Y365="worse, not significant",$Y365="better, not significant")),IF(ROUND($AC365,3)=ROUND(significance_bar,3),TEXT($AC365,"0.0000"),TEXT($AC365,"0.000")),""),"")</f>
        <v/>
      </c>
      <c r="AN365">
        <f>IF(AND(ISNUMBER($AC365),ISNUMBER(IF($V365,IF($AL365="","",$AL365),IF($AK365="","",$AK365)))),IF(AND(ABS($AC365-significance_bar)&lt;=2.0*IF($V365,IF($AL365="","",$AL365),IF($AK365="","",$AK365)),OR($Y365="worse",$Y365="worse, not significant")),IF(ROUND($AC365,3)=ROUND(significance_bar,3),TEXT($AC365,"0.0000"),TEXT($AC365,"0.000")),""),"")</f>
        <v/>
      </c>
      <c r="AO365">
        <f>IF(OR($AI365="",$AN365=""),$AI365,$AI365&amp;" · borderline (p "&amp;$AN365&amp;")")</f>
        <v/>
      </c>
    </row>
    <row r="366">
      <c r="A366" t="inlineStr">
        <is>
          <t>three-way</t>
        </is>
      </c>
      <c r="B366" t="inlineStr">
        <is>
          <t>FICO x CHANNEL / REV_DEBT</t>
        </is>
      </c>
      <c r="C366" t="inlineStr">
        <is>
          <t>(marked missing)</t>
        </is>
      </c>
      <c r="D366" t="inlineStr">
        <is>
          <t>Branch / REV_DEBT low half</t>
        </is>
      </c>
      <c r="E366" t="inlineStr">
        <is>
          <t>gco_rate</t>
        </is>
      </c>
      <c r="F366" t="inlineStr">
        <is>
          <t>GCO per booked dollar</t>
        </is>
      </c>
      <c r="G366" t="n">
        <v>26</v>
      </c>
      <c r="H366" t="n">
        <v>972727.01</v>
      </c>
      <c r="I366" t="b">
        <v>1</v>
      </c>
      <c r="J366" t="b">
        <v>0</v>
      </c>
      <c r="K366" t="n">
        <v>0</v>
      </c>
      <c r="M366" t="n">
        <v>0</v>
      </c>
      <c r="O366" t="n">
        <v>-40623.71021415509</v>
      </c>
      <c r="P366" t="n">
        <v>-30411.16698396253</v>
      </c>
      <c r="Q366">
        <f>'_live'!$C$22</f>
        <v/>
      </c>
      <c r="T366" t="n">
        <v>0.04176270402335707</v>
      </c>
      <c r="U366" t="n">
        <v>0.03126382496972355</v>
      </c>
      <c r="V366">
        <f>AND(judged_band,NOT($J366))</f>
        <v/>
      </c>
      <c r="W366">
        <f>IF($K366="","",IF($I366,"too few losses to test",IF(AND($K366&gt;better_at,$K366&lt;worse_at),"in line",IF($K366&gt;=worse_at,IF(AND(ISNUMBER($L366),$L366&lt;significance_bar),"worse","worse, not significant"),IF(AND(ISNUMBER($L366),$L366&lt;significance_bar),"better","better, not significant")))))</f>
        <v/>
      </c>
      <c r="X366">
        <f>IF($M366="","",IF($I366,"too few losses to test",IF(AND($M366&gt;better_at,$M366&lt;worse_at),"in line",IF($M366&gt;=worse_at,IF(AND(ISNUMBER($N366),$N366&lt;significance_bar),"worse","worse, not significant"),IF(AND(ISNUMBER($N366),$N366&lt;significance_bar),"better","better, not significant")))))</f>
        <v/>
      </c>
      <c r="Y366">
        <f>IF($V366,$X366,$W366)</f>
        <v/>
      </c>
      <c r="Z366">
        <f>IF($V366,IF($P366="","",$P366),IF($O366="","",$O366))</f>
        <v/>
      </c>
      <c r="AA366">
        <f>IF(OR($Q366="",$Z366=""),"",IF(AND($Z366&gt;0,$Z366&gt;=$Q366),"yes","below the line"))</f>
        <v/>
      </c>
      <c r="AB366">
        <f>IF($V366,IF($M366="","",$M366),IF($K366="","",$K366))</f>
        <v/>
      </c>
      <c r="AC366">
        <f>IF($V366,IF($N366="","",$N366),IF($L366="","",$L366))</f>
        <v/>
      </c>
      <c r="AD366">
        <f>$Y366</f>
        <v/>
      </c>
      <c r="AE366">
        <f>IF($V366,IF($S366="","",$S366),IF($R366="","",$R366))</f>
        <v/>
      </c>
      <c r="AF366">
        <f>IF($V366,IF($U366="","",$U366),IF($T366="","",$T366))</f>
        <v/>
      </c>
      <c r="AG366">
        <f>IF($V366,IF($O366="","",$O366),IF($P366="","",$P366))</f>
        <v/>
      </c>
      <c r="AH366" t="n">
        <v>0</v>
      </c>
      <c r="AI366">
        <f>IF($Y366="worse","Yes",IF($Y366="worse, not significant","Not sure",IF(OR($Y366="too few losses to test",$Y366="too few loans to test"),"Too few losses",IF($Y366="","","No"))))</f>
        <v/>
      </c>
      <c r="AJ366">
        <f>IF($AA366="yes","Yes",IF($AA366="","","No"))</f>
        <v/>
      </c>
      <c r="AM366">
        <f>IF(AND(ISNUMBER($AC366),ISNUMBER(IF($V366,IF($AL366="","",$AL366),IF($AK366="","",$AK366)))),IF(AND(ABS($AC366-significance_bar)&lt;=2.0*IF($V366,IF($AL366="","",$AL366),IF($AK366="","",$AK366)),OR($Y366="worse",$Y366="better",$Y366="worse, not significant",$Y366="better, not significant")),IF(ROUND($AC366,3)=ROUND(significance_bar,3),TEXT($AC366,"0.0000"),TEXT($AC366,"0.000")),""),"")</f>
        <v/>
      </c>
      <c r="AN366">
        <f>IF(AND(ISNUMBER($AC366),ISNUMBER(IF($V366,IF($AL366="","",$AL366),IF($AK366="","",$AK366)))),IF(AND(ABS($AC366-significance_bar)&lt;=2.0*IF($V366,IF($AL366="","",$AL366),IF($AK366="","",$AK366)),OR($Y366="worse",$Y366="worse, not significant")),IF(ROUND($AC366,3)=ROUND(significance_bar,3),TEXT($AC366,"0.0000"),TEXT($AC366,"0.000")),""),"")</f>
        <v/>
      </c>
      <c r="AO366">
        <f>IF(OR($AI366="",$AN366=""),$AI366,$AI366&amp;" · borderline (p "&amp;$AN366&amp;")")</f>
        <v/>
      </c>
    </row>
    <row r="367">
      <c r="A367" t="inlineStr">
        <is>
          <t>three-way</t>
        </is>
      </c>
      <c r="B367" t="inlineStr">
        <is>
          <t>FICO x CHANNEL / REV_DEBT</t>
        </is>
      </c>
      <c r="C367" t="inlineStr">
        <is>
          <t>(marked missing)</t>
        </is>
      </c>
      <c r="D367" t="inlineStr">
        <is>
          <t>Branch / REV_DEBT low half</t>
        </is>
      </c>
      <c r="E367" t="inlineStr">
        <is>
          <t>ranr_rate</t>
        </is>
      </c>
      <c r="F367" t="inlineStr">
        <is>
          <t>Profit after losses: RANR per booked dollar</t>
        </is>
      </c>
      <c r="G367" t="n">
        <v>26</v>
      </c>
      <c r="H367" t="n">
        <v>972727.01</v>
      </c>
      <c r="I367" t="b">
        <v>0</v>
      </c>
      <c r="J367" t="b">
        <v>0</v>
      </c>
      <c r="K367" t="n">
        <v>-0.002977964902521446</v>
      </c>
      <c r="L367" t="n">
        <v>0.9415058494150585</v>
      </c>
      <c r="M367" t="n">
        <v>-0.03694574258261302</v>
      </c>
      <c r="N367" t="n">
        <v>0.6149385061493851</v>
      </c>
      <c r="O367" t="n">
        <v>2896.746895514618</v>
      </c>
      <c r="P367" t="n">
        <v>35938.12171461481</v>
      </c>
      <c r="Q367">
        <f>'_live'!$C$23</f>
        <v/>
      </c>
      <c r="R367" t="inlineStr">
        <is>
          <t>shuffled: 9,415 of 10,000</t>
        </is>
      </c>
      <c r="S367" t="inlineStr">
        <is>
          <t>shuffled: 2,935 of 10,000</t>
        </is>
      </c>
      <c r="T367" t="n">
        <v>0.128001274371434</v>
      </c>
      <c r="U367" t="n">
        <v>0.1619690520515256</v>
      </c>
      <c r="V367">
        <f>AND(judged_band,NOT($J367))</f>
        <v/>
      </c>
      <c r="W367">
        <f>IF($K367="","",IF(profit_kind="test",IF(OR(NOT(AND(ISNUMBER($L367),$L367&lt;significance_bar)),$K367=0),"in line",IF($K367&lt;0,"worse","better")),IF(OR($K367=0,IF(profit_kind="points",ABS($K367),ABS($K367*$H367))&lt;profit_line*(1-1E-9)),"in line",IF(AND(ISNUMBER($L367),$L367&lt;significance_bar),IF($K367&lt;0,"worse","better"),IF($K367&lt;0,"worse, not significant","better, not significant")))))</f>
        <v/>
      </c>
      <c r="X367">
        <f>IF($M367="","",IF(profit_kind="test",IF(OR(NOT(AND(ISNUMBER($N367),$N367&lt;significance_bar)),$M367=0),"in line",IF($M367&lt;0,"worse","better")),IF(OR($M367=0,IF(profit_kind="points",ABS($M367),ABS($M367*$H367))&lt;profit_line*(1-1E-9)),"in line",IF(AND(ISNUMBER($N367),$N367&lt;significance_bar),IF($M367&lt;0,"worse","better"),IF($M367&lt;0,"worse, not significant","better, not significant")))))</f>
        <v/>
      </c>
      <c r="Y367">
        <f>IF($V367,$X367,$W367)</f>
        <v/>
      </c>
      <c r="Z367">
        <f>IF($V367,IF($P367="","",$P367),IF($O367="","",$O367))</f>
        <v/>
      </c>
      <c r="AA367">
        <f>IF(OR($Q367="",$Z367=""),"",IF(AND($Z367&gt;0,$Z367&gt;=$Q367),"yes","below the line"))</f>
        <v/>
      </c>
      <c r="AB367">
        <f>IF($V367,IF($M367="","",$M367),IF($K367="","",$K367))</f>
        <v/>
      </c>
      <c r="AC367">
        <f>IF($V367,IF($N367="","",$N367),IF($L367="","",$L367))</f>
        <v/>
      </c>
      <c r="AD367">
        <f>IF($Y367="","",IF($Y367="in line",IF(profit_kind="test",IF(ROUND($AB367*100,2)=0,"0.00",TEXT($AB367*100,"+0.00;-0.00"))&amp;" points against "&amp;IF($V367,"its band","the book")&amp;", "&amp;IF($AC367="","not tested","not significant"),IF(profit_kind="points","within "&amp;TEXT(profit_line*100,"0.00")&amp;" points of "&amp;IF($V367,"its band","the book")&amp;" ("&amp;IF(ROUND($AB367*100,2)=0,"0.00",TEXT($AB367*100,"+0.00;-0.00"))&amp;")","within $"&amp;TEXT(profit_line,"#,##0")&amp;" of "&amp;IF($V367,"its band","the book")&amp;" ("&amp;IF(ROUND($AB367*100,2)=0,"0.00",TEXT($AB367*100,"+0.00;-0.00"))&amp;" points)")),IF(LEFT($Y367,5)="worse","short of ","ahead of ")&amp;IF($V367,"its band","the book")&amp;" by "&amp;TEXT(ABS($AB367)*100,"0.00")&amp;" points"&amp;IF($Z367="",""," ($"&amp;TEXT(ABS($Z367),"#,##0")&amp;")")&amp;IF(RIGHT($Y367,15)="not significant"," (not significant)","")))</f>
        <v/>
      </c>
      <c r="AE367">
        <f>IF($V367,IF($S367="","",$S367),IF($R367="","",$R367))</f>
        <v/>
      </c>
      <c r="AF367">
        <f>IF($V367,IF($U367="","",$U367),IF($T367="","",$T367))</f>
        <v/>
      </c>
      <c r="AG367">
        <f>IF($V367,IF($O367="","",$O367),IF($P367="","",$P367))</f>
        <v/>
      </c>
      <c r="AH367" t="n">
        <v>0.1250233094689125</v>
      </c>
      <c r="AI367">
        <f>IF($Y367="worse","Yes",IF($Y367="worse, not significant","Not sure",IF(OR($Y367="too few losses to test",$Y367="too few loans to test"),"Too few losses",IF($Y367="","","No"))))</f>
        <v/>
      </c>
      <c r="AJ367">
        <f>IF($AA367="yes","Yes",IF($AA367="","","No"))</f>
        <v/>
      </c>
      <c r="AK367" t="n">
        <v>0.002346754885630104</v>
      </c>
      <c r="AL367" t="n">
        <v>0.009228909176893729</v>
      </c>
      <c r="AM367">
        <f>IF(AND(ISNUMBER($AC367),ISNUMBER(IF($V367,IF($AL367="","",$AL367),IF($AK367="","",$AK367)))),IF(AND(ABS($AC367-significance_bar)&lt;=2.0*IF($V367,IF($AL367="","",$AL367),IF($AK367="","",$AK367)),OR($Y367="worse",$Y367="better",$Y367="worse, not significant",$Y367="better, not significant",AND(profit_kind="test",$Y367="in line",ISNUMBER($AB367),$AB367&lt;&gt;0))),IF(ROUND($AC367,3)=ROUND(significance_bar,3),TEXT($AC367,"0.0000"),TEXT($AC367,"0.000")),""),"")</f>
        <v/>
      </c>
      <c r="AN367">
        <f>IF(AND(ISNUMBER($AC367),ISNUMBER(IF($V367,IF($AL367="","",$AL367),IF($AK367="","",$AK367)))),IF(AND(ABS($AC367-significance_bar)&lt;=2.0*IF($V367,IF($AL367="","",$AL367),IF($AK367="","",$AK367)),OR($Y367="worse",$Y367="worse, not significant",AND(profit_kind="test",$Y367="in line",ISNUMBER($AB367),$AB367&lt;0))),IF(ROUND($AC367,3)=ROUND(significance_bar,3),TEXT($AC367,"0.0000"),TEXT($AC367,"0.000")),""),"")</f>
        <v/>
      </c>
      <c r="AO367">
        <f>IF(OR($AI367="",$AN367=""),$AI367,$AI367&amp;" · borderline (p "&amp;$AN367&amp;")")</f>
        <v/>
      </c>
    </row>
    <row r="368">
      <c r="A368" t="inlineStr">
        <is>
          <t>three-way</t>
        </is>
      </c>
      <c r="B368" t="inlineStr">
        <is>
          <t>FICO x CHANNEL / REV_DEBT</t>
        </is>
      </c>
      <c r="C368" t="inlineStr">
        <is>
          <t>(marked missing)</t>
        </is>
      </c>
      <c r="D368" t="inlineStr">
        <is>
          <t>Branch / REV_DEBT low half</t>
        </is>
      </c>
      <c r="E368" t="inlineStr">
        <is>
          <t>contribution_rate</t>
        </is>
      </c>
      <c r="F368" t="inlineStr">
        <is>
          <t>Contribution before losses per booked dollar</t>
        </is>
      </c>
      <c r="G368" t="n">
        <v>26</v>
      </c>
      <c r="H368" t="n">
        <v>972727.01</v>
      </c>
      <c r="I368" t="b">
        <v>0</v>
      </c>
      <c r="J368" t="b">
        <v>0</v>
      </c>
      <c r="K368" t="n">
        <v>-0.04473780059256549</v>
      </c>
      <c r="L368" t="n">
        <v>0.108645802086458</v>
      </c>
      <c r="M368" t="n">
        <v>-0.06820956755233656</v>
      </c>
      <c r="N368" t="n">
        <v>0.04072092790720928</v>
      </c>
      <c r="O368" t="n">
        <v>43517.66700438246</v>
      </c>
      <c r="P368" t="n">
        <v>66349.28869857737</v>
      </c>
      <c r="Q368">
        <f>'_live'!$C$24</f>
        <v/>
      </c>
      <c r="R368" t="inlineStr">
        <is>
          <t>shuffled: 880 of 10,000</t>
        </is>
      </c>
      <c r="S368" t="inlineStr">
        <is>
          <t>shuffled: 180 of 10,000</t>
        </is>
      </c>
      <c r="T368" t="n">
        <v>0.169761110061478</v>
      </c>
      <c r="U368" t="n">
        <v>0.1932328770212491</v>
      </c>
      <c r="V368">
        <f>AND(judged_band,NOT($J368))</f>
        <v/>
      </c>
      <c r="W368">
        <f>IF($K368="","",IF(profit_kind="test",IF(OR(NOT(AND(ISNUMBER($L368),$L368&lt;significance_bar)),$K368=0),"in line",IF($K368&lt;0,"worse","better")),IF(OR($K368=0,IF(profit_kind="points",ABS($K368),ABS($K368*$H368))&lt;profit_line*(1-1E-9)),"in line",IF(AND(ISNUMBER($L368),$L368&lt;significance_bar),IF($K368&lt;0,"worse","better"),IF($K368&lt;0,"worse, not significant","better, not significant")))))</f>
        <v/>
      </c>
      <c r="X368">
        <f>IF($M368="","",IF(profit_kind="test",IF(OR(NOT(AND(ISNUMBER($N368),$N368&lt;significance_bar)),$M368=0),"in line",IF($M368&lt;0,"worse","better")),IF(OR($M368=0,IF(profit_kind="points",ABS($M368),ABS($M368*$H368))&lt;profit_line*(1-1E-9)),"in line",IF(AND(ISNUMBER($N368),$N368&lt;significance_bar),IF($M368&lt;0,"worse","better"),IF($M368&lt;0,"worse, not significant","better, not significant")))))</f>
        <v/>
      </c>
      <c r="Y368">
        <f>IF($V368,$X368,$W368)</f>
        <v/>
      </c>
      <c r="Z368">
        <f>IF($V368,IF($P368="","",$P368),IF($O368="","",$O368))</f>
        <v/>
      </c>
      <c r="AA368">
        <f>IF(OR($Q368="",$Z368=""),"",IF(AND($Z368&gt;0,$Z368&gt;=$Q368),"yes","below the line"))</f>
        <v/>
      </c>
      <c r="AB368">
        <f>IF($V368,IF($M368="","",$M368),IF($K368="","",$K368))</f>
        <v/>
      </c>
      <c r="AC368">
        <f>IF($V368,IF($N368="","",$N368),IF($L368="","",$L368))</f>
        <v/>
      </c>
      <c r="AD368">
        <f>IF($Y368="","",IF($Y368="in line",IF(profit_kind="test",IF(ROUND($AB368*100,2)=0,"0.00",TEXT($AB368*100,"+0.00;-0.00"))&amp;" points against "&amp;IF($V368,"its band","the book")&amp;", "&amp;IF($AC368="","not tested","not significant"),IF(profit_kind="points","within "&amp;TEXT(profit_line*100,"0.00")&amp;" points of "&amp;IF($V368,"its band","the book")&amp;" ("&amp;IF(ROUND($AB368*100,2)=0,"0.00",TEXT($AB368*100,"+0.00;-0.00"))&amp;")","within $"&amp;TEXT(profit_line,"#,##0")&amp;" of "&amp;IF($V368,"its band","the book")&amp;" ("&amp;IF(ROUND($AB368*100,2)=0,"0.00",TEXT($AB368*100,"+0.00;-0.00"))&amp;" points)")),IF(LEFT($Y368,5)="worse","short of ","ahead of ")&amp;IF($V368,"its band","the book")&amp;" by "&amp;TEXT(ABS($AB368)*100,"0.00")&amp;" points"&amp;IF($Z368="",""," ($"&amp;TEXT(ABS($Z368),"#,##0")&amp;")")&amp;IF(RIGHT($Y368,15)="not significant"," (not significant)","")))</f>
        <v/>
      </c>
      <c r="AE368">
        <f>IF($V368,IF($S368="","",$S368),IF($R368="","",$R368))</f>
        <v/>
      </c>
      <c r="AF368">
        <f>IF($V368,IF($U368="","",$U368),IF($T368="","",$T368))</f>
        <v/>
      </c>
      <c r="AG368">
        <f>IF($V368,IF($O368="","",$O368),IF($P368="","",$P368))</f>
        <v/>
      </c>
      <c r="AH368" t="n">
        <v>0.1250233094689125</v>
      </c>
      <c r="AI368">
        <f>IF($Y368="worse","Yes",IF($Y368="worse, not significant","Not sure",IF(OR($Y368="too few losses to test",$Y368="too few loans to test"),"Too few losses",IF($Y368="","","No"))))</f>
        <v/>
      </c>
      <c r="AJ368">
        <f>IF($AA368="yes","Yes",IF($AA368="","","No"))</f>
        <v/>
      </c>
      <c r="AK368" t="n">
        <v>0.003495605511623917</v>
      </c>
      <c r="AL368" t="n">
        <v>0.002999398169993386</v>
      </c>
      <c r="AM368">
        <f>IF(AND(ISNUMBER($AC368),ISNUMBER(IF($V368,IF($AL368="","",$AL368),IF($AK368="","",$AK368)))),IF(AND(ABS($AC368-significance_bar)&lt;=2.0*IF($V368,IF($AL368="","",$AL368),IF($AK368="","",$AK368)),OR($Y368="worse",$Y368="better",$Y368="worse, not significant",$Y368="better, not significant",AND(profit_kind="test",$Y368="in line",ISNUMBER($AB368),$AB368&lt;&gt;0))),IF(ROUND($AC368,3)=ROUND(significance_bar,3),TEXT($AC368,"0.0000"),TEXT($AC368,"0.000")),""),"")</f>
        <v/>
      </c>
      <c r="AN368">
        <f>IF(AND(ISNUMBER($AC368),ISNUMBER(IF($V368,IF($AL368="","",$AL368),IF($AK368="","",$AK368)))),IF(AND(ABS($AC368-significance_bar)&lt;=2.0*IF($V368,IF($AL368="","",$AL368),IF($AK368="","",$AK368)),OR($Y368="worse",$Y368="worse, not significant",AND(profit_kind="test",$Y368="in line",ISNUMBER($AB368),$AB368&lt;0))),IF(ROUND($AC368,3)=ROUND(significance_bar,3),TEXT($AC368,"0.0000"),TEXT($AC368,"0.000")),""),"")</f>
        <v/>
      </c>
      <c r="AO368">
        <f>IF(OR($AI368="",$AN368=""),$AI368,$AI368&amp;" · borderline (p "&amp;$AN368&amp;")")</f>
        <v/>
      </c>
    </row>
    <row r="369">
      <c r="A369" t="inlineStr">
        <is>
          <t>three-way</t>
        </is>
      </c>
      <c r="B369" t="inlineStr">
        <is>
          <t>FICO x CHANNEL / REV_DEBT</t>
        </is>
      </c>
      <c r="C369" t="inlineStr">
        <is>
          <t>(marked missing)</t>
        </is>
      </c>
      <c r="D369" t="inlineStr">
        <is>
          <t>Broker / REV_DEBT high half</t>
        </is>
      </c>
      <c r="E369" t="inlineStr">
        <is>
          <t>outcome_loans</t>
        </is>
      </c>
      <c r="F369" t="inlineStr">
        <is>
          <t>Outcome, share of loans</t>
        </is>
      </c>
      <c r="G369" t="n">
        <v>27</v>
      </c>
      <c r="H369" t="n">
        <v>27</v>
      </c>
      <c r="I369" t="b">
        <v>1</v>
      </c>
      <c r="J369" t="b">
        <v>0</v>
      </c>
      <c r="K369" t="n">
        <v>2.889976436469095</v>
      </c>
      <c r="M369" t="n">
        <v>7.388888888888889</v>
      </c>
      <c r="O369" t="n">
        <v>3.923858504766684</v>
      </c>
      <c r="P369" t="n">
        <v>5.18796992481203</v>
      </c>
      <c r="Q369">
        <f>'_live'!$C$20</f>
        <v/>
      </c>
      <c r="T369" t="n">
        <v>0.0768941294530858</v>
      </c>
      <c r="U369" t="n">
        <v>0.03007518796992481</v>
      </c>
      <c r="V369">
        <f>AND(judged_band,NOT($J369))</f>
        <v/>
      </c>
      <c r="W369">
        <f>IF($K369="","",IF($I369,"too few losses to test",IF(AND($K369&gt;better_at,$K369&lt;worse_at),"in line",IF($K369&gt;=worse_at,IF(AND(ISNUMBER($L369),$L369&lt;significance_bar),"worse","worse, not significant"),IF(AND(ISNUMBER($L369),$L369&lt;significance_bar),"better","better, not significant")))))</f>
        <v/>
      </c>
      <c r="X369">
        <f>IF($M369="","",IF($I369,"too few losses to test",IF(AND($M369&gt;better_at,$M369&lt;worse_at),"in line",IF($M369&gt;=worse_at,IF(AND(ISNUMBER($N369),$N369&lt;significance_bar),"worse","worse, not significant"),IF(AND(ISNUMBER($N369),$N369&lt;significance_bar),"better","better, not significant")))))</f>
        <v/>
      </c>
      <c r="Y369">
        <f>IF($V369,$X369,$W369)</f>
        <v/>
      </c>
      <c r="Z369">
        <f>IF($V369,IF($P369="","",$P369),IF($O369="","",$O369))</f>
        <v/>
      </c>
      <c r="AA369">
        <f>IF(OR($Q369="",$Z369=""),"",IF(AND($Z369&gt;0,$Z369&gt;=$Q369),"yes","below the line"))</f>
        <v/>
      </c>
      <c r="AB369">
        <f>IF($V369,IF($M369="","",$M369),IF($K369="","",$K369))</f>
        <v/>
      </c>
      <c r="AC369">
        <f>IF($V369,IF($N369="","",$N369),IF($L369="","",$L369))</f>
        <v/>
      </c>
      <c r="AD369">
        <f>$Y369</f>
        <v/>
      </c>
      <c r="AE369">
        <f>IF($V369,IF($S369="","",$S369),IF($R369="","",$R369))</f>
        <v/>
      </c>
      <c r="AF369">
        <f>IF($V369,IF($U369="","",$U369),IF($T369="","",$T369))</f>
        <v/>
      </c>
      <c r="AG369">
        <f>IF($V369,IF($O369="","",$O369),IF($P369="","",$P369))</f>
        <v/>
      </c>
      <c r="AH369" t="n">
        <v>0.2222222222222222</v>
      </c>
      <c r="AI369">
        <f>IF($Y369="worse","Yes",IF($Y369="worse, not significant","Not sure",IF(OR($Y369="too few losses to test",$Y369="too few loans to test"),"Too few losses",IF($Y369="","","No"))))</f>
        <v/>
      </c>
      <c r="AJ369">
        <f>IF($AA369="yes","Yes",IF($AA369="","","No"))</f>
        <v/>
      </c>
      <c r="AM369">
        <f>IF(AND(ISNUMBER($AC369),ISNUMBER(IF($V369,IF($AL369="","",$AL369),IF($AK369="","",$AK369)))),IF(AND(ABS($AC369-significance_bar)&lt;=2.0*IF($V369,IF($AL369="","",$AL369),IF($AK369="","",$AK369)),OR($Y369="worse",$Y369="better",$Y369="worse, not significant",$Y369="better, not significant")),IF(ROUND($AC369,3)=ROUND(significance_bar,3),TEXT($AC369,"0.0000"),TEXT($AC369,"0.000")),""),"")</f>
        <v/>
      </c>
      <c r="AN369">
        <f>IF(AND(ISNUMBER($AC369),ISNUMBER(IF($V369,IF($AL369="","",$AL369),IF($AK369="","",$AK369)))),IF(AND(ABS($AC369-significance_bar)&lt;=2.0*IF($V369,IF($AL369="","",$AL369),IF($AK369="","",$AK369)),OR($Y369="worse",$Y369="worse, not significant")),IF(ROUND($AC369,3)=ROUND(significance_bar,3),TEXT($AC369,"0.0000"),TEXT($AC369,"0.000")),""),"")</f>
        <v/>
      </c>
      <c r="AO369">
        <f>IF(OR($AI369="",$AN369=""),$AI369,$AI369&amp;" · borderline (p "&amp;$AN369&amp;")")</f>
        <v/>
      </c>
    </row>
    <row r="370">
      <c r="A370" t="inlineStr">
        <is>
          <t>three-way</t>
        </is>
      </c>
      <c r="B370" t="inlineStr">
        <is>
          <t>FICO x CHANNEL / REV_DEBT</t>
        </is>
      </c>
      <c r="C370" t="inlineStr">
        <is>
          <t>(marked missing)</t>
        </is>
      </c>
      <c r="D370" t="inlineStr">
        <is>
          <t>Broker / REV_DEBT high half</t>
        </is>
      </c>
      <c r="E370" t="inlineStr">
        <is>
          <t>outcome_booked</t>
        </is>
      </c>
      <c r="F370" t="inlineStr">
        <is>
          <t>Outcome, share of booked dollars</t>
        </is>
      </c>
      <c r="G370" t="n">
        <v>27</v>
      </c>
      <c r="H370" t="n">
        <v>835771.09</v>
      </c>
      <c r="I370" t="b">
        <v>1</v>
      </c>
      <c r="J370" t="b">
        <v>0</v>
      </c>
      <c r="K370" t="n">
        <v>2.296225875983746</v>
      </c>
      <c r="M370" t="n">
        <v>6.824972597065623</v>
      </c>
      <c r="O370" t="n">
        <v>80726.78124511044</v>
      </c>
      <c r="P370" t="n">
        <v>122051.8962007996</v>
      </c>
      <c r="Q370">
        <f>'_live'!$C$21</f>
        <v/>
      </c>
      <c r="T370" t="n">
        <v>0.07451601221919459</v>
      </c>
      <c r="U370" t="n">
        <v>0.02507051757341882</v>
      </c>
      <c r="V370">
        <f>AND(judged_band,NOT($J370))</f>
        <v/>
      </c>
      <c r="W370">
        <f>IF($K370="","",IF($I370,"too few losses to test",IF(AND($K370&gt;better_at,$K370&lt;worse_at),"in line",IF($K370&gt;=worse_at,IF(AND(ISNUMBER($L370),$L370&lt;significance_bar),"worse","worse, not significant"),IF(AND(ISNUMBER($L370),$L370&lt;significance_bar),"better","better, not significant")))))</f>
        <v/>
      </c>
      <c r="X370">
        <f>IF($M370="","",IF($I370,"too few losses to test",IF(AND($M370&gt;better_at,$M370&lt;worse_at),"in line",IF($M370&gt;=worse_at,IF(AND(ISNUMBER($N370),$N370&lt;significance_bar),"worse","worse, not significant"),IF(AND(ISNUMBER($N370),$N370&lt;significance_bar),"better","better, not significant")))))</f>
        <v/>
      </c>
      <c r="Y370">
        <f>IF($V370,$X370,$W370)</f>
        <v/>
      </c>
      <c r="Z370">
        <f>IF($V370,IF($P370="","",$P370),IF($O370="","",$O370))</f>
        <v/>
      </c>
      <c r="AA370">
        <f>IF(OR($Q370="",$Z370=""),"",IF(AND($Z370&gt;0,$Z370&gt;=$Q370),"yes","below the line"))</f>
        <v/>
      </c>
      <c r="AB370">
        <f>IF($V370,IF($M370="","",$M370),IF($K370="","",$K370))</f>
        <v/>
      </c>
      <c r="AC370">
        <f>IF($V370,IF($N370="","",$N370),IF($L370="","",$L370))</f>
        <v/>
      </c>
      <c r="AD370">
        <f>$Y370</f>
        <v/>
      </c>
      <c r="AE370">
        <f>IF($V370,IF($S370="","",$S370),IF($R370="","",$R370))</f>
        <v/>
      </c>
      <c r="AF370">
        <f>IF($V370,IF($U370="","",$U370),IF($T370="","",$T370))</f>
        <v/>
      </c>
      <c r="AG370">
        <f>IF($V370,IF($O370="","",$O370),IF($P370="","",$P370))</f>
        <v/>
      </c>
      <c r="AH370" t="n">
        <v>0.1711055954328356</v>
      </c>
      <c r="AI370">
        <f>IF($Y370="worse","Yes",IF($Y370="worse, not significant","Not sure",IF(OR($Y370="too few losses to test",$Y370="too few loans to test"),"Too few losses",IF($Y370="","","No"))))</f>
        <v/>
      </c>
      <c r="AJ370">
        <f>IF($AA370="yes","Yes",IF($AA370="","","No"))</f>
        <v/>
      </c>
      <c r="AM370">
        <f>IF(AND(ISNUMBER($AC370),ISNUMBER(IF($V370,IF($AL370="","",$AL370),IF($AK370="","",$AK370)))),IF(AND(ABS($AC370-significance_bar)&lt;=2.0*IF($V370,IF($AL370="","",$AL370),IF($AK370="","",$AK370)),OR($Y370="worse",$Y370="better",$Y370="worse, not significant",$Y370="better, not significant")),IF(ROUND($AC370,3)=ROUND(significance_bar,3),TEXT($AC370,"0.0000"),TEXT($AC370,"0.000")),""),"")</f>
        <v/>
      </c>
      <c r="AN370">
        <f>IF(AND(ISNUMBER($AC370),ISNUMBER(IF($V370,IF($AL370="","",$AL370),IF($AK370="","",$AK370)))),IF(AND(ABS($AC370-significance_bar)&lt;=2.0*IF($V370,IF($AL370="","",$AL370),IF($AK370="","",$AK370)),OR($Y370="worse",$Y370="worse, not significant")),IF(ROUND($AC370,3)=ROUND(significance_bar,3),TEXT($AC370,"0.0000"),TEXT($AC370,"0.000")),""),"")</f>
        <v/>
      </c>
      <c r="AO370">
        <f>IF(OR($AI370="",$AN370=""),$AI370,$AI370&amp;" · borderline (p "&amp;$AN370&amp;")")</f>
        <v/>
      </c>
    </row>
    <row r="371">
      <c r="A371" t="inlineStr">
        <is>
          <t>three-way</t>
        </is>
      </c>
      <c r="B371" t="inlineStr">
        <is>
          <t>FICO x CHANNEL / REV_DEBT</t>
        </is>
      </c>
      <c r="C371" t="inlineStr">
        <is>
          <t>(marked missing)</t>
        </is>
      </c>
      <c r="D371" t="inlineStr">
        <is>
          <t>Broker / REV_DEBT high half</t>
        </is>
      </c>
      <c r="E371" t="inlineStr">
        <is>
          <t>gco_rate</t>
        </is>
      </c>
      <c r="F371" t="inlineStr">
        <is>
          <t>GCO per booked dollar</t>
        </is>
      </c>
      <c r="G371" t="n">
        <v>27</v>
      </c>
      <c r="H371" t="n">
        <v>835771.09</v>
      </c>
      <c r="I371" t="b">
        <v>1</v>
      </c>
      <c r="J371" t="b">
        <v>0</v>
      </c>
      <c r="K371" t="n">
        <v>2.203365384752901</v>
      </c>
      <c r="M371" t="n">
        <v>6.938170220600741</v>
      </c>
      <c r="O371" t="n">
        <v>41681.5310953322</v>
      </c>
      <c r="P371" t="n">
        <v>65319.12574303893</v>
      </c>
      <c r="Q371">
        <f>'_live'!$C$22</f>
        <v/>
      </c>
      <c r="T371" t="n">
        <v>0.04144372701940169</v>
      </c>
      <c r="U371" t="n">
        <v>0.01316134811143213</v>
      </c>
      <c r="V371">
        <f>AND(judged_band,NOT($J371))</f>
        <v/>
      </c>
      <c r="W371">
        <f>IF($K371="","",IF($I371,"too few losses to test",IF(AND($K371&gt;better_at,$K371&lt;worse_at),"in line",IF($K371&gt;=worse_at,IF(AND(ISNUMBER($L371),$L371&lt;significance_bar),"worse","worse, not significant"),IF(AND(ISNUMBER($L371),$L371&lt;significance_bar),"better","better, not significant")))))</f>
        <v/>
      </c>
      <c r="X371">
        <f>IF($M371="","",IF($I371,"too few losses to test",IF(AND($M371&gt;better_at,$M371&lt;worse_at),"in line",IF($M371&gt;=worse_at,IF(AND(ISNUMBER($N371),$N371&lt;significance_bar),"worse","worse, not significant"),IF(AND(ISNUMBER($N371),$N371&lt;significance_bar),"better","better, not significant")))))</f>
        <v/>
      </c>
      <c r="Y371">
        <f>IF($V371,$X371,$W371)</f>
        <v/>
      </c>
      <c r="Z371">
        <f>IF($V371,IF($P371="","",$P371),IF($O371="","",$O371))</f>
        <v/>
      </c>
      <c r="AA371">
        <f>IF(OR($Q371="",$Z371=""),"",IF(AND($Z371&gt;0,$Z371&gt;=$Q371),"yes","below the line"))</f>
        <v/>
      </c>
      <c r="AB371">
        <f>IF($V371,IF($M371="","",$M371),IF($K371="","",$K371))</f>
        <v/>
      </c>
      <c r="AC371">
        <f>IF($V371,IF($N371="","",$N371),IF($L371="","",$L371))</f>
        <v/>
      </c>
      <c r="AD371">
        <f>$Y371</f>
        <v/>
      </c>
      <c r="AE371">
        <f>IF($V371,IF($S371="","",$S371),IF($R371="","",$R371))</f>
        <v/>
      </c>
      <c r="AF371">
        <f>IF($V371,IF($U371="","",$U371),IF($T371="","",$T371))</f>
        <v/>
      </c>
      <c r="AG371">
        <f>IF($V371,IF($O371="","",$O371),IF($P371="","",$P371))</f>
        <v/>
      </c>
      <c r="AH371" t="n">
        <v>0.09131567352969819</v>
      </c>
      <c r="AI371">
        <f>IF($Y371="worse","Yes",IF($Y371="worse, not significant","Not sure",IF(OR($Y371="too few losses to test",$Y371="too few loans to test"),"Too few losses",IF($Y371="","","No"))))</f>
        <v/>
      </c>
      <c r="AJ371">
        <f>IF($AA371="yes","Yes",IF($AA371="","","No"))</f>
        <v/>
      </c>
      <c r="AM371">
        <f>IF(AND(ISNUMBER($AC371),ISNUMBER(IF($V371,IF($AL371="","",$AL371),IF($AK371="","",$AK371)))),IF(AND(ABS($AC371-significance_bar)&lt;=2.0*IF($V371,IF($AL371="","",$AL371),IF($AK371="","",$AK371)),OR($Y371="worse",$Y371="better",$Y371="worse, not significant",$Y371="better, not significant")),IF(ROUND($AC371,3)=ROUND(significance_bar,3),TEXT($AC371,"0.0000"),TEXT($AC371,"0.000")),""),"")</f>
        <v/>
      </c>
      <c r="AN371">
        <f>IF(AND(ISNUMBER($AC371),ISNUMBER(IF($V371,IF($AL371="","",$AL371),IF($AK371="","",$AK371)))),IF(AND(ABS($AC371-significance_bar)&lt;=2.0*IF($V371,IF($AL371="","",$AL371),IF($AK371="","",$AK371)),OR($Y371="worse",$Y371="worse, not significant")),IF(ROUND($AC371,3)=ROUND(significance_bar,3),TEXT($AC371,"0.0000"),TEXT($AC371,"0.000")),""),"")</f>
        <v/>
      </c>
      <c r="AO371">
        <f>IF(OR($AI371="",$AN371=""),$AI371,$AI371&amp;" · borderline (p "&amp;$AN371&amp;")")</f>
        <v/>
      </c>
    </row>
    <row r="372">
      <c r="A372" t="inlineStr">
        <is>
          <t>three-way</t>
        </is>
      </c>
      <c r="B372" t="inlineStr">
        <is>
          <t>FICO x CHANNEL / REV_DEBT</t>
        </is>
      </c>
      <c r="C372" t="inlineStr">
        <is>
          <t>(marked missing)</t>
        </is>
      </c>
      <c r="D372" t="inlineStr">
        <is>
          <t>Broker / REV_DEBT high half</t>
        </is>
      </c>
      <c r="E372" t="inlineStr">
        <is>
          <t>ranr_rate</t>
        </is>
      </c>
      <c r="F372" t="inlineStr">
        <is>
          <t>Profit after losses: RANR per booked dollar</t>
        </is>
      </c>
      <c r="G372" t="n">
        <v>27</v>
      </c>
      <c r="H372" t="n">
        <v>835771.09</v>
      </c>
      <c r="I372" t="b">
        <v>0</v>
      </c>
      <c r="J372" t="b">
        <v>0</v>
      </c>
      <c r="K372" t="n">
        <v>-0.02479742682427145</v>
      </c>
      <c r="L372" t="n">
        <v>0.6630691769532724</v>
      </c>
      <c r="M372" t="n">
        <v>-0.06164243962046416</v>
      </c>
      <c r="N372" t="n">
        <v>0.2722636827226368</v>
      </c>
      <c r="O372" t="n">
        <v>20724.97244611659</v>
      </c>
      <c r="P372" t="n">
        <v>51518.96895185451</v>
      </c>
      <c r="Q372">
        <f>'_live'!$C$23</f>
        <v/>
      </c>
      <c r="R372" t="inlineStr">
        <is>
          <t>shuffled: 5,209 of 10,000</t>
        </is>
      </c>
      <c r="S372" t="inlineStr">
        <is>
          <t>shuffled: 831 of 10,000</t>
        </is>
      </c>
      <c r="T372" t="n">
        <v>0.1280703576934165</v>
      </c>
      <c r="U372" t="n">
        <v>0.1649153704896092</v>
      </c>
      <c r="V372">
        <f>AND(judged_band,NOT($J372))</f>
        <v/>
      </c>
      <c r="W372">
        <f>IF($K372="","",IF(profit_kind="test",IF(OR(NOT(AND(ISNUMBER($L372),$L372&lt;significance_bar)),$K372=0),"in line",IF($K372&lt;0,"worse","better")),IF(OR($K372=0,IF(profit_kind="points",ABS($K372),ABS($K372*$H372))&lt;profit_line*(1-1E-9)),"in line",IF(AND(ISNUMBER($L372),$L372&lt;significance_bar),IF($K372&lt;0,"worse","better"),IF($K372&lt;0,"worse, not significant","better, not significant")))))</f>
        <v/>
      </c>
      <c r="X372">
        <f>IF($M372="","",IF(profit_kind="test",IF(OR(NOT(AND(ISNUMBER($N372),$N372&lt;significance_bar)),$M372=0),"in line",IF($M372&lt;0,"worse","better")),IF(OR($M372=0,IF(profit_kind="points",ABS($M372),ABS($M372*$H372))&lt;profit_line*(1-1E-9)),"in line",IF(AND(ISNUMBER($N372),$N372&lt;significance_bar),IF($M372&lt;0,"worse","better"),IF($M372&lt;0,"worse, not significant","better, not significant")))))</f>
        <v/>
      </c>
      <c r="Y372">
        <f>IF($V372,$X372,$W372)</f>
        <v/>
      </c>
      <c r="Z372">
        <f>IF($V372,IF($P372="","",$P372),IF($O372="","",$O372))</f>
        <v/>
      </c>
      <c r="AA372">
        <f>IF(OR($Q372="",$Z372=""),"",IF(AND($Z372&gt;0,$Z372&gt;=$Q372),"yes","below the line"))</f>
        <v/>
      </c>
      <c r="AB372">
        <f>IF($V372,IF($M372="","",$M372),IF($K372="","",$K372))</f>
        <v/>
      </c>
      <c r="AC372">
        <f>IF($V372,IF($N372="","",$N372),IF($L372="","",$L372))</f>
        <v/>
      </c>
      <c r="AD372">
        <f>IF($Y372="","",IF($Y372="in line",IF(profit_kind="test",IF(ROUND($AB372*100,2)=0,"0.00",TEXT($AB372*100,"+0.00;-0.00"))&amp;" points against "&amp;IF($V372,"its band","the book")&amp;", "&amp;IF($AC372="","not tested","not significant"),IF(profit_kind="points","within "&amp;TEXT(profit_line*100,"0.00")&amp;" points of "&amp;IF($V372,"its band","the book")&amp;" ("&amp;IF(ROUND($AB372*100,2)=0,"0.00",TEXT($AB372*100,"+0.00;-0.00"))&amp;")","within $"&amp;TEXT(profit_line,"#,##0")&amp;" of "&amp;IF($V372,"its band","the book")&amp;" ("&amp;IF(ROUND($AB372*100,2)=0,"0.00",TEXT($AB372*100,"+0.00;-0.00"))&amp;" points)")),IF(LEFT($Y372,5)="worse","short of ","ahead of ")&amp;IF($V372,"its band","the book")&amp;" by "&amp;TEXT(ABS($AB372)*100,"0.00")&amp;" points"&amp;IF($Z372="",""," ($"&amp;TEXT(ABS($Z372),"#,##0")&amp;")")&amp;IF(RIGHT($Y372,15)="not significant"," (not significant)","")))</f>
        <v/>
      </c>
      <c r="AE372">
        <f>IF($V372,IF($S372="","",$S372),IF($R372="","",$R372))</f>
        <v/>
      </c>
      <c r="AF372">
        <f>IF($V372,IF($U372="","",$U372),IF($T372="","",$T372))</f>
        <v/>
      </c>
      <c r="AG372">
        <f>IF($V372,IF($O372="","",$O372),IF($P372="","",$P372))</f>
        <v/>
      </c>
      <c r="AH372" t="n">
        <v>0.103272930869145</v>
      </c>
      <c r="AI372">
        <f>IF($Y372="worse","Yes",IF($Y372="worse, not significant","Not sure",IF(OR($Y372="too few losses to test",$Y372="too few loans to test"),"Too few losses",IF($Y372="","","No"))))</f>
        <v/>
      </c>
      <c r="AJ372">
        <f>IF($AA372="yes","Yes",IF($AA372="","","No"))</f>
        <v/>
      </c>
      <c r="AK372" t="n">
        <v>0.005930804441731945</v>
      </c>
      <c r="AL372" t="n">
        <v>0.009038347564073014</v>
      </c>
      <c r="AM372">
        <f>IF(AND(ISNUMBER($AC372),ISNUMBER(IF($V372,IF($AL372="","",$AL372),IF($AK372="","",$AK372)))),IF(AND(ABS($AC372-significance_bar)&lt;=2.0*IF($V372,IF($AL372="","",$AL372),IF($AK372="","",$AK372)),OR($Y372="worse",$Y372="better",$Y372="worse, not significant",$Y372="better, not significant",AND(profit_kind="test",$Y372="in line",ISNUMBER($AB372),$AB372&lt;&gt;0))),IF(ROUND($AC372,3)=ROUND(significance_bar,3),TEXT($AC372,"0.0000"),TEXT($AC372,"0.000")),""),"")</f>
        <v/>
      </c>
      <c r="AN372">
        <f>IF(AND(ISNUMBER($AC372),ISNUMBER(IF($V372,IF($AL372="","",$AL372),IF($AK372="","",$AK372)))),IF(AND(ABS($AC372-significance_bar)&lt;=2.0*IF($V372,IF($AL372="","",$AL372),IF($AK372="","",$AK372)),OR($Y372="worse",$Y372="worse, not significant",AND(profit_kind="test",$Y372="in line",ISNUMBER($AB372),$AB372&lt;0))),IF(ROUND($AC372,3)=ROUND(significance_bar,3),TEXT($AC372,"0.0000"),TEXT($AC372,"0.000")),""),"")</f>
        <v/>
      </c>
      <c r="AO372">
        <f>IF(OR($AI372="",$AN372=""),$AI372,$AI372&amp;" · borderline (p "&amp;$AN372&amp;")")</f>
        <v/>
      </c>
    </row>
    <row r="373">
      <c r="A373" t="inlineStr">
        <is>
          <t>three-way</t>
        </is>
      </c>
      <c r="B373" t="inlineStr">
        <is>
          <t>FICO x CHANNEL / REV_DEBT</t>
        </is>
      </c>
      <c r="C373" t="inlineStr">
        <is>
          <t>(marked missing)</t>
        </is>
      </c>
      <c r="D373" t="inlineStr">
        <is>
          <t>Broker / REV_DEBT high half</t>
        </is>
      </c>
      <c r="E373" t="inlineStr">
        <is>
          <t>contribution_rate</t>
        </is>
      </c>
      <c r="F373" t="inlineStr">
        <is>
          <t>Contribution before losses per booked dollar</t>
        </is>
      </c>
      <c r="G373" t="n">
        <v>27</v>
      </c>
      <c r="H373" t="n">
        <v>835771.09</v>
      </c>
      <c r="I373" t="b">
        <v>0</v>
      </c>
      <c r="J373" t="b">
        <v>0</v>
      </c>
      <c r="K373" t="n">
        <v>0.02507737583250727</v>
      </c>
      <c r="L373" t="n">
        <v>0.3708598837085988</v>
      </c>
      <c r="M373" t="n">
        <v>0.01651188579780197</v>
      </c>
      <c r="N373" t="n">
        <v>0.6554719528047195</v>
      </c>
      <c r="O373" t="n">
        <v>-20958.94573387425</v>
      </c>
      <c r="P373" t="n">
        <v>-13800.15679118448</v>
      </c>
      <c r="Q373">
        <f>'_live'!$C$24</f>
        <v/>
      </c>
      <c r="R373" t="inlineStr">
        <is>
          <t>shuffled: 3,307 of 10,000</t>
        </is>
      </c>
      <c r="S373" t="inlineStr">
        <is>
          <t>shuffled: 5,749 of 10,000</t>
        </is>
      </c>
      <c r="T373" t="n">
        <v>0.169511228566336</v>
      </c>
      <c r="U373" t="n">
        <v>0.1780767186010413</v>
      </c>
      <c r="V373">
        <f>AND(judged_band,NOT($J373))</f>
        <v/>
      </c>
      <c r="W373">
        <f>IF($K373="","",IF(profit_kind="test",IF(OR(NOT(AND(ISNUMBER($L373),$L373&lt;significance_bar)),$K373=0),"in line",IF($K373&lt;0,"worse","better")),IF(OR($K373=0,IF(profit_kind="points",ABS($K373),ABS($K373*$H373))&lt;profit_line*(1-1E-9)),"in line",IF(AND(ISNUMBER($L373),$L373&lt;significance_bar),IF($K373&lt;0,"worse","better"),IF($K373&lt;0,"worse, not significant","better, not significant")))))</f>
        <v/>
      </c>
      <c r="X373">
        <f>IF($M373="","",IF(profit_kind="test",IF(OR(NOT(AND(ISNUMBER($N373),$N373&lt;significance_bar)),$M373=0),"in line",IF($M373&lt;0,"worse","better")),IF(OR($M373=0,IF(profit_kind="points",ABS($M373),ABS($M373*$H373))&lt;profit_line*(1-1E-9)),"in line",IF(AND(ISNUMBER($N373),$N373&lt;significance_bar),IF($M373&lt;0,"worse","better"),IF($M373&lt;0,"worse, not significant","better, not significant")))))</f>
        <v/>
      </c>
      <c r="Y373">
        <f>IF($V373,$X373,$W373)</f>
        <v/>
      </c>
      <c r="Z373">
        <f>IF($V373,IF($P373="","",$P373),IF($O373="","",$O373))</f>
        <v/>
      </c>
      <c r="AA373">
        <f>IF(OR($Q373="",$Z373=""),"",IF(AND($Z373&gt;0,$Z373&gt;=$Q373),"yes","below the line"))</f>
        <v/>
      </c>
      <c r="AB373">
        <f>IF($V373,IF($M373="","",$M373),IF($K373="","",$K373))</f>
        <v/>
      </c>
      <c r="AC373">
        <f>IF($V373,IF($N373="","",$N373),IF($L373="","",$L373))</f>
        <v/>
      </c>
      <c r="AD373">
        <f>IF($Y373="","",IF($Y373="in line",IF(profit_kind="test",IF(ROUND($AB373*100,2)=0,"0.00",TEXT($AB373*100,"+0.00;-0.00"))&amp;" points against "&amp;IF($V373,"its band","the book")&amp;", "&amp;IF($AC373="","not tested","not significant"),IF(profit_kind="points","within "&amp;TEXT(profit_line*100,"0.00")&amp;" points of "&amp;IF($V373,"its band","the book")&amp;" ("&amp;IF(ROUND($AB373*100,2)=0,"0.00",TEXT($AB373*100,"+0.00;-0.00"))&amp;")","within $"&amp;TEXT(profit_line,"#,##0")&amp;" of "&amp;IF($V373,"its band","the book")&amp;" ("&amp;IF(ROUND($AB373*100,2)=0,"0.00",TEXT($AB373*100,"+0.00;-0.00"))&amp;" points)")),IF(LEFT($Y373,5)="worse","short of ","ahead of ")&amp;IF($V373,"its band","the book")&amp;" by "&amp;TEXT(ABS($AB373)*100,"0.00")&amp;" points"&amp;IF($Z373="",""," ($"&amp;TEXT(ABS($Z373),"#,##0")&amp;")")&amp;IF(RIGHT($Y373,15)="not significant"," (not significant)","")))</f>
        <v/>
      </c>
      <c r="AE373">
        <f>IF($V373,IF($S373="","",$S373),IF($R373="","",$R373))</f>
        <v/>
      </c>
      <c r="AF373">
        <f>IF($V373,IF($U373="","",$U373),IF($T373="","",$T373))</f>
        <v/>
      </c>
      <c r="AG373">
        <f>IF($V373,IF($O373="","",$O373),IF($P373="","",$P373))</f>
        <v/>
      </c>
      <c r="AH373" t="n">
        <v>0.1945886043988433</v>
      </c>
      <c r="AI373">
        <f>IF($Y373="worse","Yes",IF($Y373="worse, not significant","Not sure",IF(OR($Y373="too few losses to test",$Y373="too few loans to test"),"Too few losses",IF($Y373="","","No"))))</f>
        <v/>
      </c>
      <c r="AJ373">
        <f>IF($AA373="yes","Yes",IF($AA373="","","No"))</f>
        <v/>
      </c>
      <c r="AK373" t="n">
        <v>0.005275182873996344</v>
      </c>
      <c r="AL373" t="n">
        <v>0.005547634324571844</v>
      </c>
      <c r="AM373">
        <f>IF(AND(ISNUMBER($AC373),ISNUMBER(IF($V373,IF($AL373="","",$AL373),IF($AK373="","",$AK373)))),IF(AND(ABS($AC373-significance_bar)&lt;=2.0*IF($V373,IF($AL373="","",$AL373),IF($AK373="","",$AK373)),OR($Y373="worse",$Y373="better",$Y373="worse, not significant",$Y373="better, not significant",AND(profit_kind="test",$Y373="in line",ISNUMBER($AB373),$AB373&lt;&gt;0))),IF(ROUND($AC373,3)=ROUND(significance_bar,3),TEXT($AC373,"0.0000"),TEXT($AC373,"0.000")),""),"")</f>
        <v/>
      </c>
      <c r="AN373">
        <f>IF(AND(ISNUMBER($AC373),ISNUMBER(IF($V373,IF($AL373="","",$AL373),IF($AK373="","",$AK373)))),IF(AND(ABS($AC373-significance_bar)&lt;=2.0*IF($V373,IF($AL373="","",$AL373),IF($AK373="","",$AK373)),OR($Y373="worse",$Y373="worse, not significant",AND(profit_kind="test",$Y373="in line",ISNUMBER($AB373),$AB373&lt;0))),IF(ROUND($AC373,3)=ROUND(significance_bar,3),TEXT($AC373,"0.0000"),TEXT($AC373,"0.000")),""),"")</f>
        <v/>
      </c>
      <c r="AO373">
        <f>IF(OR($AI373="",$AN373=""),$AI373,$AI373&amp;" · borderline (p "&amp;$AN373&amp;")")</f>
        <v/>
      </c>
    </row>
    <row r="374">
      <c r="A374" t="inlineStr">
        <is>
          <t>three-way</t>
        </is>
      </c>
      <c r="B374" t="inlineStr">
        <is>
          <t>SHORT_HIST x CHANNEL / REV_DEBT</t>
        </is>
      </c>
      <c r="C374" t="inlineStr">
        <is>
          <t>(marked missing)</t>
        </is>
      </c>
      <c r="D374" t="inlineStr">
        <is>
          <t>Online / REV_DEBT high half</t>
        </is>
      </c>
      <c r="E374" t="inlineStr">
        <is>
          <t>outcome_loans</t>
        </is>
      </c>
      <c r="F374" t="inlineStr">
        <is>
          <t>Outcome, share of loans</t>
        </is>
      </c>
      <c r="G374" t="n">
        <v>30</v>
      </c>
      <c r="H374" t="n">
        <v>30</v>
      </c>
      <c r="I374" t="b">
        <v>1</v>
      </c>
      <c r="J374" t="b">
        <v>0</v>
      </c>
      <c r="K374" t="n">
        <v>0.4298274002157497</v>
      </c>
      <c r="M374" t="n">
        <v>0.4722222222222222</v>
      </c>
      <c r="O374" t="n">
        <v>-1.3265152465805</v>
      </c>
      <c r="P374" t="n">
        <v>-1.117647058823529</v>
      </c>
      <c r="Q374">
        <f>'_live'!$C$20</f>
        <v/>
      </c>
      <c r="T374" t="n">
        <v>0.07755050821934999</v>
      </c>
      <c r="U374" t="n">
        <v>0.07058823529411765</v>
      </c>
      <c r="V374">
        <f>AND(judged_band,NOT($J374))</f>
        <v/>
      </c>
      <c r="W374">
        <f>IF($K374="","",IF($I374,"too few losses to test",IF(AND($K374&gt;better_at,$K374&lt;worse_at),"in line",IF($K374&gt;=worse_at,IF(AND(ISNUMBER($L374),$L374&lt;significance_bar),"worse","worse, not significant"),IF(AND(ISNUMBER($L374),$L374&lt;significance_bar),"better","better, not significant")))))</f>
        <v/>
      </c>
      <c r="X374">
        <f>IF($M374="","",IF($I374,"too few losses to test",IF(AND($M374&gt;better_at,$M374&lt;worse_at),"in line",IF($M374&gt;=worse_at,IF(AND(ISNUMBER($N374),$N374&lt;significance_bar),"worse","worse, not significant"),IF(AND(ISNUMBER($N374),$N374&lt;significance_bar),"better","better, not significant")))))</f>
        <v/>
      </c>
      <c r="Y374">
        <f>IF($V374,$X374,$W374)</f>
        <v/>
      </c>
      <c r="Z374">
        <f>IF($V374,IF($P374="","",$P374),IF($O374="","",$O374))</f>
        <v/>
      </c>
      <c r="AA374">
        <f>IF(OR($Q374="",$Z374=""),"",IF(AND($Z374&gt;0,$Z374&gt;=$Q374),"yes","below the line"))</f>
        <v/>
      </c>
      <c r="AB374">
        <f>IF($V374,IF($M374="","",$M374),IF($K374="","",$K374))</f>
        <v/>
      </c>
      <c r="AC374">
        <f>IF($V374,IF($N374="","",$N374),IF($L374="","",$L374))</f>
        <v/>
      </c>
      <c r="AD374">
        <f>$Y374</f>
        <v/>
      </c>
      <c r="AE374">
        <f>IF($V374,IF($S374="","",$S374),IF($R374="","",$R374))</f>
        <v/>
      </c>
      <c r="AF374">
        <f>IF($V374,IF($U374="","",$U374),IF($T374="","",$T374))</f>
        <v/>
      </c>
      <c r="AG374">
        <f>IF($V374,IF($O374="","",$O374),IF($P374="","",$P374))</f>
        <v/>
      </c>
      <c r="AH374" t="n">
        <v>0.03333333333333333</v>
      </c>
      <c r="AI374">
        <f>IF($Y374="worse","Yes",IF($Y374="worse, not significant","Not sure",IF(OR($Y374="too few losses to test",$Y374="too few loans to test"),"Too few losses",IF($Y374="","","No"))))</f>
        <v/>
      </c>
      <c r="AJ374">
        <f>IF($AA374="yes","Yes",IF($AA374="","","No"))</f>
        <v/>
      </c>
      <c r="AM374">
        <f>IF(AND(ISNUMBER($AC374),ISNUMBER(IF($V374,IF($AL374="","",$AL374),IF($AK374="","",$AK374)))),IF(AND(ABS($AC374-significance_bar)&lt;=2.0*IF($V374,IF($AL374="","",$AL374),IF($AK374="","",$AK374)),OR($Y374="worse",$Y374="better",$Y374="worse, not significant",$Y374="better, not significant")),IF(ROUND($AC374,3)=ROUND(significance_bar,3),TEXT($AC374,"0.0000"),TEXT($AC374,"0.000")),""),"")</f>
        <v/>
      </c>
      <c r="AN374">
        <f>IF(AND(ISNUMBER($AC374),ISNUMBER(IF($V374,IF($AL374="","",$AL374),IF($AK374="","",$AK374)))),IF(AND(ABS($AC374-significance_bar)&lt;=2.0*IF($V374,IF($AL374="","",$AL374),IF($AK374="","",$AK374)),OR($Y374="worse",$Y374="worse, not significant")),IF(ROUND($AC374,3)=ROUND(significance_bar,3),TEXT($AC374,"0.0000"),TEXT($AC374,"0.000")),""),"")</f>
        <v/>
      </c>
      <c r="AO374">
        <f>IF(OR($AI374="",$AN374=""),$AI374,$AI374&amp;" · borderline (p "&amp;$AN374&amp;")")</f>
        <v/>
      </c>
    </row>
    <row r="375">
      <c r="A375" t="inlineStr">
        <is>
          <t>three-way</t>
        </is>
      </c>
      <c r="B375" t="inlineStr">
        <is>
          <t>SHORT_HIST x CHANNEL / REV_DEBT</t>
        </is>
      </c>
      <c r="C375" t="inlineStr">
        <is>
          <t>(marked missing)</t>
        </is>
      </c>
      <c r="D375" t="inlineStr">
        <is>
          <t>Online / REV_DEBT high half</t>
        </is>
      </c>
      <c r="E375" t="inlineStr">
        <is>
          <t>outcome_booked</t>
        </is>
      </c>
      <c r="F375" t="inlineStr">
        <is>
          <t>Outcome, share of booked dollars</t>
        </is>
      </c>
      <c r="G375" t="n">
        <v>30</v>
      </c>
      <c r="H375" t="n">
        <v>949147.0700000001</v>
      </c>
      <c r="I375" t="b">
        <v>1</v>
      </c>
      <c r="J375" t="b">
        <v>0</v>
      </c>
      <c r="K375" t="n">
        <v>0.7370188657104443</v>
      </c>
      <c r="M375" t="n">
        <v>0.7535118050310472</v>
      </c>
      <c r="O375" t="n">
        <v>-18695.95285193891</v>
      </c>
      <c r="P375" t="n">
        <v>-17139.8761139555</v>
      </c>
      <c r="Q375">
        <f>'_live'!$C$21</f>
        <v/>
      </c>
      <c r="T375" t="n">
        <v>0.07490132467241237</v>
      </c>
      <c r="U375" t="n">
        <v>0.07326187722831562</v>
      </c>
      <c r="V375">
        <f>AND(judged_band,NOT($J375))</f>
        <v/>
      </c>
      <c r="W375">
        <f>IF($K375="","",IF($I375,"too few losses to test",IF(AND($K375&gt;better_at,$K375&lt;worse_at),"in line",IF($K375&gt;=worse_at,IF(AND(ISNUMBER($L375),$L375&lt;significance_bar),"worse","worse, not significant"),IF(AND(ISNUMBER($L375),$L375&lt;significance_bar),"better","better, not significant")))))</f>
        <v/>
      </c>
      <c r="X375">
        <f>IF($M375="","",IF($I375,"too few losses to test",IF(AND($M375&gt;better_at,$M375&lt;worse_at),"in line",IF($M375&gt;=worse_at,IF(AND(ISNUMBER($N375),$N375&lt;significance_bar),"worse","worse, not significant"),IF(AND(ISNUMBER($N375),$N375&lt;significance_bar),"better","better, not significant")))))</f>
        <v/>
      </c>
      <c r="Y375">
        <f>IF($V375,$X375,$W375)</f>
        <v/>
      </c>
      <c r="Z375">
        <f>IF($V375,IF($P375="","",$P375),IF($O375="","",$O375))</f>
        <v/>
      </c>
      <c r="AA375">
        <f>IF(OR($Q375="",$Z375=""),"",IF(AND($Z375&gt;0,$Z375&gt;=$Q375),"yes","below the line"))</f>
        <v/>
      </c>
      <c r="AB375">
        <f>IF($V375,IF($M375="","",$M375),IF($K375="","",$K375))</f>
        <v/>
      </c>
      <c r="AC375">
        <f>IF($V375,IF($N375="","",$N375),IF($L375="","",$L375))</f>
        <v/>
      </c>
      <c r="AD375">
        <f>$Y375</f>
        <v/>
      </c>
      <c r="AE375">
        <f>IF($V375,IF($S375="","",$S375),IF($R375="","",$R375))</f>
        <v/>
      </c>
      <c r="AF375">
        <f>IF($V375,IF($U375="","",$U375),IF($T375="","",$T375))</f>
        <v/>
      </c>
      <c r="AG375">
        <f>IF($V375,IF($O375="","",$O375),IF($P375="","",$P375))</f>
        <v/>
      </c>
      <c r="AH375" t="n">
        <v>0.05520368935027108</v>
      </c>
      <c r="AI375">
        <f>IF($Y375="worse","Yes",IF($Y375="worse, not significant","Not sure",IF(OR($Y375="too few losses to test",$Y375="too few loans to test"),"Too few losses",IF($Y375="","","No"))))</f>
        <v/>
      </c>
      <c r="AJ375">
        <f>IF($AA375="yes","Yes",IF($AA375="","","No"))</f>
        <v/>
      </c>
      <c r="AM375">
        <f>IF(AND(ISNUMBER($AC375),ISNUMBER(IF($V375,IF($AL375="","",$AL375),IF($AK375="","",$AK375)))),IF(AND(ABS($AC375-significance_bar)&lt;=2.0*IF($V375,IF($AL375="","",$AL375),IF($AK375="","",$AK375)),OR($Y375="worse",$Y375="better",$Y375="worse, not significant",$Y375="better, not significant")),IF(ROUND($AC375,3)=ROUND(significance_bar,3),TEXT($AC375,"0.0000"),TEXT($AC375,"0.000")),""),"")</f>
        <v/>
      </c>
      <c r="AN375">
        <f>IF(AND(ISNUMBER($AC375),ISNUMBER(IF($V375,IF($AL375="","",$AL375),IF($AK375="","",$AK375)))),IF(AND(ABS($AC375-significance_bar)&lt;=2.0*IF($V375,IF($AL375="","",$AL375),IF($AK375="","",$AK375)),OR($Y375="worse",$Y375="worse, not significant")),IF(ROUND($AC375,3)=ROUND(significance_bar,3),TEXT($AC375,"0.0000"),TEXT($AC375,"0.000")),""),"")</f>
        <v/>
      </c>
      <c r="AO375">
        <f>IF(OR($AI375="",$AN375=""),$AI375,$AI375&amp;" · borderline (p "&amp;$AN375&amp;")")</f>
        <v/>
      </c>
    </row>
    <row r="376">
      <c r="A376" t="inlineStr">
        <is>
          <t>three-way</t>
        </is>
      </c>
      <c r="B376" t="inlineStr">
        <is>
          <t>SHORT_HIST x CHANNEL / REV_DEBT</t>
        </is>
      </c>
      <c r="C376" t="inlineStr">
        <is>
          <t>(marked missing)</t>
        </is>
      </c>
      <c r="D376" t="inlineStr">
        <is>
          <t>Online / REV_DEBT high half</t>
        </is>
      </c>
      <c r="E376" t="inlineStr">
        <is>
          <t>gco_rate</t>
        </is>
      </c>
      <c r="F376" t="inlineStr">
        <is>
          <t>GCO per booked dollar</t>
        </is>
      </c>
      <c r="G376" t="n">
        <v>30</v>
      </c>
      <c r="H376" t="n">
        <v>949147.0700000001</v>
      </c>
      <c r="I376" t="b">
        <v>1</v>
      </c>
      <c r="J376" t="b">
        <v>0</v>
      </c>
      <c r="K376" t="n">
        <v>0.8928285027715119</v>
      </c>
      <c r="M376" t="n">
        <v>0.9199560835664438</v>
      </c>
      <c r="O376" t="n">
        <v>-4233.819600646901</v>
      </c>
      <c r="P376" t="n">
        <v>-3068.897134133127</v>
      </c>
      <c r="Q376">
        <f>'_live'!$C$22</f>
        <v/>
      </c>
      <c r="T376" t="n">
        <v>0.0416216736576418</v>
      </c>
      <c r="U376" t="n">
        <v>0.04039433755417179</v>
      </c>
      <c r="V376">
        <f>AND(judged_band,NOT($J376))</f>
        <v/>
      </c>
      <c r="W376">
        <f>IF($K376="","",IF($I376,"too few losses to test",IF(AND($K376&gt;better_at,$K376&lt;worse_at),"in line",IF($K376&gt;=worse_at,IF(AND(ISNUMBER($L376),$L376&lt;significance_bar),"worse","worse, not significant"),IF(AND(ISNUMBER($L376),$L376&lt;significance_bar),"better","better, not significant")))))</f>
        <v/>
      </c>
      <c r="X376">
        <f>IF($M376="","",IF($I376,"too few losses to test",IF(AND($M376&gt;better_at,$M376&lt;worse_at),"in line",IF($M376&gt;=worse_at,IF(AND(ISNUMBER($N376),$N376&lt;significance_bar),"worse","worse, not significant"),IF(AND(ISNUMBER($N376),$N376&lt;significance_bar),"better","better, not significant")))))</f>
        <v/>
      </c>
      <c r="Y376">
        <f>IF($V376,$X376,$W376)</f>
        <v/>
      </c>
      <c r="Z376">
        <f>IF($V376,IF($P376="","",$P376),IF($O376="","",$O376))</f>
        <v/>
      </c>
      <c r="AA376">
        <f>IF(OR($Q376="",$Z376=""),"",IF(AND($Z376&gt;0,$Z376&gt;=$Q376),"yes","below the line"))</f>
        <v/>
      </c>
      <c r="AB376">
        <f>IF($V376,IF($M376="","",$M376),IF($K376="","",$K376))</f>
        <v/>
      </c>
      <c r="AC376">
        <f>IF($V376,IF($N376="","",$N376),IF($L376="","",$L376))</f>
        <v/>
      </c>
      <c r="AD376">
        <f>$Y376</f>
        <v/>
      </c>
      <c r="AE376">
        <f>IF($V376,IF($S376="","",$S376),IF($R376="","",$R376))</f>
        <v/>
      </c>
      <c r="AF376">
        <f>IF($V376,IF($U376="","",$U376),IF($T376="","",$T376))</f>
        <v/>
      </c>
      <c r="AG376">
        <f>IF($V376,IF($O376="","",$O376),IF($P376="","",$P376))</f>
        <v/>
      </c>
      <c r="AH376" t="n">
        <v>0.03716101657459681</v>
      </c>
      <c r="AI376">
        <f>IF($Y376="worse","Yes",IF($Y376="worse, not significant","Not sure",IF(OR($Y376="too few losses to test",$Y376="too few loans to test"),"Too few losses",IF($Y376="","","No"))))</f>
        <v/>
      </c>
      <c r="AJ376">
        <f>IF($AA376="yes","Yes",IF($AA376="","","No"))</f>
        <v/>
      </c>
      <c r="AM376">
        <f>IF(AND(ISNUMBER($AC376),ISNUMBER(IF($V376,IF($AL376="","",$AL376),IF($AK376="","",$AK376)))),IF(AND(ABS($AC376-significance_bar)&lt;=2.0*IF($V376,IF($AL376="","",$AL376),IF($AK376="","",$AK376)),OR($Y376="worse",$Y376="better",$Y376="worse, not significant",$Y376="better, not significant")),IF(ROUND($AC376,3)=ROUND(significance_bar,3),TEXT($AC376,"0.0000"),TEXT($AC376,"0.000")),""),"")</f>
        <v/>
      </c>
      <c r="AN376">
        <f>IF(AND(ISNUMBER($AC376),ISNUMBER(IF($V376,IF($AL376="","",$AL376),IF($AK376="","",$AK376)))),IF(AND(ABS($AC376-significance_bar)&lt;=2.0*IF($V376,IF($AL376="","",$AL376),IF($AK376="","",$AK376)),OR($Y376="worse",$Y376="worse, not significant")),IF(ROUND($AC376,3)=ROUND(significance_bar,3),TEXT($AC376,"0.0000"),TEXT($AC376,"0.000")),""),"")</f>
        <v/>
      </c>
      <c r="AO376">
        <f>IF(OR($AI376="",$AN376=""),$AI376,$AI376&amp;" · borderline (p "&amp;$AN376&amp;")")</f>
        <v/>
      </c>
    </row>
    <row r="377">
      <c r="A377" t="inlineStr">
        <is>
          <t>three-way</t>
        </is>
      </c>
      <c r="B377" t="inlineStr">
        <is>
          <t>SHORT_HIST x CHANNEL / REV_DEBT</t>
        </is>
      </c>
      <c r="C377" t="inlineStr">
        <is>
          <t>(marked missing)</t>
        </is>
      </c>
      <c r="D377" t="inlineStr">
        <is>
          <t>Online / REV_DEBT high half</t>
        </is>
      </c>
      <c r="E377" t="inlineStr">
        <is>
          <t>ranr_rate</t>
        </is>
      </c>
      <c r="F377" t="inlineStr">
        <is>
          <t>Profit after losses: RANR per booked dollar</t>
        </is>
      </c>
      <c r="G377" t="n">
        <v>30</v>
      </c>
      <c r="H377" t="n">
        <v>949147.0700000001</v>
      </c>
      <c r="I377" t="b">
        <v>0</v>
      </c>
      <c r="J377" t="b">
        <v>0</v>
      </c>
      <c r="K377" t="n">
        <v>0.08079835819216652</v>
      </c>
      <c r="L377" t="n">
        <v>0.1108689131086891</v>
      </c>
      <c r="M377" t="n">
        <v>0.09075276483745495</v>
      </c>
      <c r="N377" t="n">
        <v>0.1102043641789667</v>
      </c>
      <c r="O377" t="n">
        <v>-76689.52493890536</v>
      </c>
      <c r="P377" t="n">
        <v>-86137.72083986941</v>
      </c>
      <c r="Q377">
        <f>'_live'!$C$23</f>
        <v/>
      </c>
      <c r="R377" t="inlineStr">
        <is>
          <t>shuffled: 307 of 10,000</t>
        </is>
      </c>
      <c r="S377" t="inlineStr">
        <is>
          <t>shuffled: 381 of 10,000</t>
        </is>
      </c>
      <c r="T377" t="n">
        <v>0.1276928822643836</v>
      </c>
      <c r="U377" t="n">
        <v>0.1177384756190951</v>
      </c>
      <c r="V377">
        <f>AND(judged_band,NOT($J377))</f>
        <v/>
      </c>
      <c r="W377">
        <f>IF($K377="","",IF(profit_kind="test",IF(OR(NOT(AND(ISNUMBER($L377),$L377&lt;significance_bar)),$K377=0),"in line",IF($K377&lt;0,"worse","better")),IF(OR($K377=0,IF(profit_kind="points",ABS($K377),ABS($K377*$H377))&lt;profit_line*(1-1E-9)),"in line",IF(AND(ISNUMBER($L377),$L377&lt;significance_bar),IF($K377&lt;0,"worse","better"),IF($K377&lt;0,"worse, not significant","better, not significant")))))</f>
        <v/>
      </c>
      <c r="X377">
        <f>IF($M377="","",IF(profit_kind="test",IF(OR(NOT(AND(ISNUMBER($N377),$N377&lt;significance_bar)),$M377=0),"in line",IF($M377&lt;0,"worse","better")),IF(OR($M377=0,IF(profit_kind="points",ABS($M377),ABS($M377*$H377))&lt;profit_line*(1-1E-9)),"in line",IF(AND(ISNUMBER($N377),$N377&lt;significance_bar),IF($M377&lt;0,"worse","better"),IF($M377&lt;0,"worse, not significant","better, not significant")))))</f>
        <v/>
      </c>
      <c r="Y377">
        <f>IF($V377,$X377,$W377)</f>
        <v/>
      </c>
      <c r="Z377">
        <f>IF($V377,IF($P377="","",$P377),IF($O377="","",$O377))</f>
        <v/>
      </c>
      <c r="AA377">
        <f>IF(OR($Q377="",$Z377=""),"",IF(AND($Z377&gt;0,$Z377&gt;=$Q377),"yes","below the line"))</f>
        <v/>
      </c>
      <c r="AB377">
        <f>IF($V377,IF($M377="","",$M377),IF($K377="","",$K377))</f>
        <v/>
      </c>
      <c r="AC377">
        <f>IF($V377,IF($N377="","",$N377),IF($L377="","",$L377))</f>
        <v/>
      </c>
      <c r="AD377">
        <f>IF($Y377="","",IF($Y377="in line",IF(profit_kind="test",IF(ROUND($AB377*100,2)=0,"0.00",TEXT($AB377*100,"+0.00;-0.00"))&amp;" points against "&amp;IF($V377,"its band","the book")&amp;", "&amp;IF($AC377="","not tested","not significant"),IF(profit_kind="points","within "&amp;TEXT(profit_line*100,"0.00")&amp;" points of "&amp;IF($V377,"its band","the book")&amp;" ("&amp;IF(ROUND($AB377*100,2)=0,"0.00",TEXT($AB377*100,"+0.00;-0.00"))&amp;")","within $"&amp;TEXT(profit_line,"#,##0")&amp;" of "&amp;IF($V377,"its band","the book")&amp;" ("&amp;IF(ROUND($AB377*100,2)=0,"0.00",TEXT($AB377*100,"+0.00;-0.00"))&amp;" points)")),IF(LEFT($Y377,5)="worse","short of ","ahead of ")&amp;IF($V377,"its band","the book")&amp;" by "&amp;TEXT(ABS($AB377)*100,"0.00")&amp;" points"&amp;IF($Z377="",""," ($"&amp;TEXT(ABS($Z377),"#,##0")&amp;")")&amp;IF(RIGHT($Y377,15)="not significant"," (not significant)","")))</f>
        <v/>
      </c>
      <c r="AE377">
        <f>IF($V377,IF($S377="","",$S377),IF($R377="","",$R377))</f>
        <v/>
      </c>
      <c r="AF377">
        <f>IF($V377,IF($U377="","",$U377),IF($T377="","",$T377))</f>
        <v/>
      </c>
      <c r="AG377">
        <f>IF($V377,IF($O377="","",$O377),IF($P377="","",$P377))</f>
        <v/>
      </c>
      <c r="AH377" t="n">
        <v>0.2084912404565501</v>
      </c>
      <c r="AI377">
        <f>IF($Y377="worse","Yes",IF($Y377="worse, not significant","Not sure",IF(OR($Y377="too few losses to test",$Y377="too few loans to test"),"Too few losses",IF($Y377="","","No"))))</f>
        <v/>
      </c>
      <c r="AJ377">
        <f>IF($AA377="yes","Yes",IF($AA377="","","No"))</f>
        <v/>
      </c>
      <c r="AK377" t="n">
        <v>0.006219615513015083</v>
      </c>
      <c r="AL377" t="n">
        <v>0.005413282869976568</v>
      </c>
      <c r="AM377">
        <f>IF(AND(ISNUMBER($AC377),ISNUMBER(IF($V377,IF($AL377="","",$AL377),IF($AK377="","",$AK377)))),IF(AND(ABS($AC377-significance_bar)&lt;=2.0*IF($V377,IF($AL377="","",$AL377),IF($AK377="","",$AK377)),OR($Y377="worse",$Y377="better",$Y377="worse, not significant",$Y377="better, not significant",AND(profit_kind="test",$Y377="in line",ISNUMBER($AB377),$AB377&lt;&gt;0))),IF(ROUND($AC377,3)=ROUND(significance_bar,3),TEXT($AC377,"0.0000"),TEXT($AC377,"0.000")),""),"")</f>
        <v/>
      </c>
      <c r="AN377">
        <f>IF(AND(ISNUMBER($AC377),ISNUMBER(IF($V377,IF($AL377="","",$AL377),IF($AK377="","",$AK377)))),IF(AND(ABS($AC377-significance_bar)&lt;=2.0*IF($V377,IF($AL377="","",$AL377),IF($AK377="","",$AK377)),OR($Y377="worse",$Y377="worse, not significant",AND(profit_kind="test",$Y377="in line",ISNUMBER($AB377),$AB377&lt;0))),IF(ROUND($AC377,3)=ROUND(significance_bar,3),TEXT($AC377,"0.0000"),TEXT($AC377,"0.000")),""),"")</f>
        <v/>
      </c>
      <c r="AO377">
        <f>IF(OR($AI377="",$AN377=""),$AI377,$AI377&amp;" · borderline (p "&amp;$AN377&amp;")")</f>
        <v/>
      </c>
    </row>
    <row r="378">
      <c r="A378" t="inlineStr">
        <is>
          <t>three-way</t>
        </is>
      </c>
      <c r="B378" t="inlineStr">
        <is>
          <t>SHORT_HIST x CHANNEL / REV_DEBT</t>
        </is>
      </c>
      <c r="C378" t="inlineStr">
        <is>
          <t>(marked missing)</t>
        </is>
      </c>
      <c r="D378" t="inlineStr">
        <is>
          <t>Online / REV_DEBT high half</t>
        </is>
      </c>
      <c r="E378" t="inlineStr">
        <is>
          <t>contribution_rate</t>
        </is>
      </c>
      <c r="F378" t="inlineStr">
        <is>
          <t>Contribution before losses per booked dollar</t>
        </is>
      </c>
      <c r="G378" t="n">
        <v>30</v>
      </c>
      <c r="H378" t="n">
        <v>949147.0700000001</v>
      </c>
      <c r="I378" t="b">
        <v>0</v>
      </c>
      <c r="J378" t="b">
        <v>0</v>
      </c>
      <c r="K378" t="n">
        <v>0.07634061678469423</v>
      </c>
      <c r="L378" t="n">
        <v>0.003887611238876112</v>
      </c>
      <c r="M378" t="n">
        <v>0.08751944385788002</v>
      </c>
      <c r="N378" t="n">
        <v>0.00215978402159784</v>
      </c>
      <c r="O378" t="n">
        <v>-72458.47274318535</v>
      </c>
      <c r="P378" t="n">
        <v>-83068.82370573631</v>
      </c>
      <c r="Q378">
        <f>'_live'!$C$24</f>
        <v/>
      </c>
      <c r="R378" t="inlineStr">
        <is>
          <t>shuffled: 26 of 10,000</t>
        </is>
      </c>
      <c r="S378" t="inlineStr">
        <is>
          <t>shuffled: 14 of 10,000</t>
        </is>
      </c>
      <c r="T378" t="n">
        <v>0.1693116402464527</v>
      </c>
      <c r="U378" t="n">
        <v>0.1581328131732669</v>
      </c>
      <c r="V378">
        <f>AND(judged_band,NOT($J378))</f>
        <v/>
      </c>
      <c r="W378">
        <f>IF($K378="","",IF(profit_kind="test",IF(OR(NOT(AND(ISNUMBER($L378),$L378&lt;significance_bar)),$K378=0),"in line",IF($K378&lt;0,"worse","better")),IF(OR($K378=0,IF(profit_kind="points",ABS($K378),ABS($K378*$H378))&lt;profit_line*(1-1E-9)),"in line",IF(AND(ISNUMBER($L378),$L378&lt;significance_bar),IF($K378&lt;0,"worse","better"),IF($K378&lt;0,"worse, not significant","better, not significant")))))</f>
        <v/>
      </c>
      <c r="X378">
        <f>IF($M378="","",IF(profit_kind="test",IF(OR(NOT(AND(ISNUMBER($N378),$N378&lt;significance_bar)),$M378=0),"in line",IF($M378&lt;0,"worse","better")),IF(OR($M378=0,IF(profit_kind="points",ABS($M378),ABS($M378*$H378))&lt;profit_line*(1-1E-9)),"in line",IF(AND(ISNUMBER($N378),$N378&lt;significance_bar),IF($M378&lt;0,"worse","better"),IF($M378&lt;0,"worse, not significant","better, not significant")))))</f>
        <v/>
      </c>
      <c r="Y378">
        <f>IF($V378,$X378,$W378)</f>
        <v/>
      </c>
      <c r="Z378">
        <f>IF($V378,IF($P378="","",$P378),IF($O378="","",$O378))</f>
        <v/>
      </c>
      <c r="AA378">
        <f>IF(OR($Q378="",$Z378=""),"",IF(AND($Z378&gt;0,$Z378&gt;=$Q378),"yes","below the line"))</f>
        <v/>
      </c>
      <c r="AB378">
        <f>IF($V378,IF($M378="","",$M378),IF($K378="","",$K378))</f>
        <v/>
      </c>
      <c r="AC378">
        <f>IF($V378,IF($N378="","",$N378),IF($L378="","",$L378))</f>
        <v/>
      </c>
      <c r="AD378">
        <f>IF($Y378="","",IF($Y378="in line",IF(profit_kind="test",IF(ROUND($AB378*100,2)=0,"0.00",TEXT($AB378*100,"+0.00;-0.00"))&amp;" points against "&amp;IF($V378,"its band","the book")&amp;", "&amp;IF($AC378="","not tested","not significant"),IF(profit_kind="points","within "&amp;TEXT(profit_line*100,"0.00")&amp;" points of "&amp;IF($V378,"its band","the book")&amp;" ("&amp;IF(ROUND($AB378*100,2)=0,"0.00",TEXT($AB378*100,"+0.00;-0.00"))&amp;")","within $"&amp;TEXT(profit_line,"#,##0")&amp;" of "&amp;IF($V378,"its band","the book")&amp;" ("&amp;IF(ROUND($AB378*100,2)=0,"0.00",TEXT($AB378*100,"+0.00;-0.00"))&amp;" points)")),IF(LEFT($Y378,5)="worse","short of ","ahead of ")&amp;IF($V378,"its band","the book")&amp;" by "&amp;TEXT(ABS($AB378)*100,"0.00")&amp;" points"&amp;IF($Z378="",""," ($"&amp;TEXT(ABS($Z378),"#,##0")&amp;")")&amp;IF(RIGHT($Y378,15)="not significant"," (not significant)","")))</f>
        <v/>
      </c>
      <c r="AE378">
        <f>IF($V378,IF($S378="","",$S378),IF($R378="","",$R378))</f>
        <v/>
      </c>
      <c r="AF378">
        <f>IF($V378,IF($U378="","",$U378),IF($T378="","",$T378))</f>
        <v/>
      </c>
      <c r="AG378">
        <f>IF($V378,IF($O378="","",$O378),IF($P378="","",$P378))</f>
        <v/>
      </c>
      <c r="AH378" t="n">
        <v>0.2456522570311469</v>
      </c>
      <c r="AI378">
        <f>IF($Y378="worse","Yes",IF($Y378="worse, not significant","Not sure",IF(OR($Y378="too few losses to test",$Y378="too few loans to test"),"Too few losses",IF($Y378="","","No"))))</f>
        <v/>
      </c>
      <c r="AJ378">
        <f>IF($AA378="yes","Yes",IF($AA378="","","No"))</f>
        <v/>
      </c>
      <c r="AK378" t="n">
        <v>0.0007471978762574856</v>
      </c>
      <c r="AL378" t="n">
        <v>0.0005572633420637805</v>
      </c>
      <c r="AM378">
        <f>IF(AND(ISNUMBER($AC378),ISNUMBER(IF($V378,IF($AL378="","",$AL378),IF($AK378="","",$AK378)))),IF(AND(ABS($AC378-significance_bar)&lt;=2.0*IF($V378,IF($AL378="","",$AL378),IF($AK378="","",$AK378)),OR($Y378="worse",$Y378="better",$Y378="worse, not significant",$Y378="better, not significant",AND(profit_kind="test",$Y378="in line",ISNUMBER($AB378),$AB378&lt;&gt;0))),IF(ROUND($AC378,3)=ROUND(significance_bar,3),TEXT($AC378,"0.0000"),TEXT($AC378,"0.000")),""),"")</f>
        <v/>
      </c>
      <c r="AN378">
        <f>IF(AND(ISNUMBER($AC378),ISNUMBER(IF($V378,IF($AL378="","",$AL378),IF($AK378="","",$AK378)))),IF(AND(ABS($AC378-significance_bar)&lt;=2.0*IF($V378,IF($AL378="","",$AL378),IF($AK378="","",$AK378)),OR($Y378="worse",$Y378="worse, not significant",AND(profit_kind="test",$Y378="in line",ISNUMBER($AB378),$AB378&lt;0))),IF(ROUND($AC378,3)=ROUND(significance_bar,3),TEXT($AC378,"0.0000"),TEXT($AC378,"0.000")),""),"")</f>
        <v/>
      </c>
      <c r="AO378">
        <f>IF(OR($AI378="",$AN378=""),$AI378,$AI378&amp;" · borderline (p "&amp;$AN378&amp;")")</f>
        <v/>
      </c>
    </row>
    <row r="379">
      <c r="A379" t="inlineStr">
        <is>
          <t>three-way</t>
        </is>
      </c>
      <c r="B379" t="inlineStr">
        <is>
          <t>SHORT_HIST x CHANNEL / REV_DEBT</t>
        </is>
      </c>
      <c r="C379" t="inlineStr">
        <is>
          <t>89.0 - 171.9</t>
        </is>
      </c>
      <c r="D379" t="inlineStr">
        <is>
          <t>Broker / REV_DEBT high half</t>
        </is>
      </c>
      <c r="E379" t="inlineStr">
        <is>
          <t>outcome_loans</t>
        </is>
      </c>
      <c r="F379" t="inlineStr">
        <is>
          <t>Outcome, share of loans</t>
        </is>
      </c>
      <c r="G379" t="n">
        <v>261</v>
      </c>
      <c r="H379" t="n">
        <v>261</v>
      </c>
      <c r="I379" t="b">
        <v>0</v>
      </c>
      <c r="J379" t="b">
        <v>0</v>
      </c>
      <c r="K379" t="n">
        <v>2.103024035848281</v>
      </c>
      <c r="L379" t="n">
        <v>2.496483764253819e-05</v>
      </c>
      <c r="M379" t="n">
        <v>2.313479623824451</v>
      </c>
      <c r="N379" t="n">
        <v>2.409244473799133e-05</v>
      </c>
      <c r="O379" t="n">
        <v>21.50426466787284</v>
      </c>
      <c r="P379" t="n">
        <v>23.27777777777778</v>
      </c>
      <c r="Q379">
        <f>'_live'!$C$20</f>
        <v/>
      </c>
      <c r="R379" t="inlineStr">
        <is>
          <t>z test</t>
        </is>
      </c>
      <c r="S379" t="inlineStr">
        <is>
          <t>z test</t>
        </is>
      </c>
      <c r="T379" t="n">
        <v>0.07469630395451021</v>
      </c>
      <c r="U379" t="n">
        <v>0.06790123456790123</v>
      </c>
      <c r="V379">
        <f>AND(judged_band,NOT($J379))</f>
        <v/>
      </c>
      <c r="W379">
        <f>IF($K379="","",IF($I379,"too few losses to test",IF(AND($K379&gt;better_at,$K379&lt;worse_at),"in line",IF($K379&gt;=worse_at,IF(AND(ISNUMBER($L379),$L379&lt;significance_bar),"worse","worse, not significant"),IF(AND(ISNUMBER($L379),$L379&lt;significance_bar),"better","better, not significant")))))</f>
        <v/>
      </c>
      <c r="X379">
        <f>IF($M379="","",IF($I379,"too few losses to test",IF(AND($M379&gt;better_at,$M379&lt;worse_at),"in line",IF($M379&gt;=worse_at,IF(AND(ISNUMBER($N379),$N379&lt;significance_bar),"worse","worse, not significant"),IF(AND(ISNUMBER($N379),$N379&lt;significance_bar),"better","better, not significant")))))</f>
        <v/>
      </c>
      <c r="Y379">
        <f>IF($V379,$X379,$W379)</f>
        <v/>
      </c>
      <c r="Z379">
        <f>IF($V379,IF($P379="","",$P379),IF($O379="","",$O379))</f>
        <v/>
      </c>
      <c r="AA379">
        <f>IF(OR($Q379="",$Z379=""),"",IF(AND($Z379&gt;0,$Z379&gt;=$Q379),"yes","below the line"))</f>
        <v/>
      </c>
      <c r="AB379">
        <f>IF($V379,IF($M379="","",$M379),IF($K379="","",$K379))</f>
        <v/>
      </c>
      <c r="AC379">
        <f>IF($V379,IF($N379="","",$N379),IF($L379="","",$L379))</f>
        <v/>
      </c>
      <c r="AD379">
        <f>$Y379</f>
        <v/>
      </c>
      <c r="AE379">
        <f>IF($V379,IF($S379="","",$S379),IF($R379="","",$R379))</f>
        <v/>
      </c>
      <c r="AF379">
        <f>IF($V379,IF($U379="","",$U379),IF($T379="","",$T379))</f>
        <v/>
      </c>
      <c r="AG379">
        <f>IF($V379,IF($O379="","",$O379),IF($P379="","",$P379))</f>
        <v/>
      </c>
      <c r="AH379" t="n">
        <v>0.157088122605364</v>
      </c>
      <c r="AI379">
        <f>IF($Y379="worse","Yes",IF($Y379="worse, not significant","Not sure",IF(OR($Y379="too few losses to test",$Y379="too few loans to test"),"Too few losses",IF($Y379="","","No"))))</f>
        <v/>
      </c>
      <c r="AJ379">
        <f>IF($AA379="yes","Yes",IF($AA379="","","No"))</f>
        <v/>
      </c>
      <c r="AM379">
        <f>IF(AND(ISNUMBER($AC379),ISNUMBER(IF($V379,IF($AL379="","",$AL379),IF($AK379="","",$AK379)))),IF(AND(ABS($AC379-significance_bar)&lt;=2.0*IF($V379,IF($AL379="","",$AL379),IF($AK379="","",$AK379)),OR($Y379="worse",$Y379="better",$Y379="worse, not significant",$Y379="better, not significant")),IF(ROUND($AC379,3)=ROUND(significance_bar,3),TEXT($AC379,"0.0000"),TEXT($AC379,"0.000")),""),"")</f>
        <v/>
      </c>
      <c r="AN379">
        <f>IF(AND(ISNUMBER($AC379),ISNUMBER(IF($V379,IF($AL379="","",$AL379),IF($AK379="","",$AK379)))),IF(AND(ABS($AC379-significance_bar)&lt;=2.0*IF($V379,IF($AL379="","",$AL379),IF($AK379="","",$AK379)),OR($Y379="worse",$Y379="worse, not significant")),IF(ROUND($AC379,3)=ROUND(significance_bar,3),TEXT($AC379,"0.0000"),TEXT($AC379,"0.000")),""),"")</f>
        <v/>
      </c>
      <c r="AO379">
        <f>IF(OR($AI379="",$AN379=""),$AI379,$AI379&amp;" · borderline (p "&amp;$AN379&amp;")")</f>
        <v/>
      </c>
    </row>
    <row r="380">
      <c r="A380" t="inlineStr">
        <is>
          <t>three-way</t>
        </is>
      </c>
      <c r="B380" t="inlineStr">
        <is>
          <t>SHORT_HIST x CHANNEL / REV_DEBT</t>
        </is>
      </c>
      <c r="C380" t="inlineStr">
        <is>
          <t>89.0 - 171.9</t>
        </is>
      </c>
      <c r="D380" t="inlineStr">
        <is>
          <t>Broker / REV_DEBT high half</t>
        </is>
      </c>
      <c r="E380" t="inlineStr">
        <is>
          <t>outcome_booked</t>
        </is>
      </c>
      <c r="F380" t="inlineStr">
        <is>
          <t>Outcome, share of booked dollars</t>
        </is>
      </c>
      <c r="G380" t="n">
        <v>261</v>
      </c>
      <c r="H380" t="n">
        <v>8773021.470000003</v>
      </c>
      <c r="I380" t="b">
        <v>0</v>
      </c>
      <c r="J380" t="b">
        <v>0</v>
      </c>
      <c r="K380" t="n">
        <v>1.93228849602967</v>
      </c>
      <c r="L380" t="n">
        <v>0.005849415058494151</v>
      </c>
      <c r="M380" t="n">
        <v>2.012926162743946</v>
      </c>
      <c r="N380" t="n">
        <v>0.004549545045495451</v>
      </c>
      <c r="O380" t="n">
        <v>593220.6509729577</v>
      </c>
      <c r="P380" t="n">
        <v>618711.0153742895</v>
      </c>
      <c r="Q380">
        <f>'_live'!$C$21</f>
        <v/>
      </c>
      <c r="R380" t="inlineStr">
        <is>
          <t>shuffled: 8 of 10,000</t>
        </is>
      </c>
      <c r="S380" t="inlineStr">
        <is>
          <t>shuffled: 6 of 10,000</t>
        </is>
      </c>
      <c r="T380" t="n">
        <v>0.07252984404551351</v>
      </c>
      <c r="U380" t="n">
        <v>0.06962430409117761</v>
      </c>
      <c r="V380">
        <f>AND(judged_band,NOT($J380))</f>
        <v/>
      </c>
      <c r="W380">
        <f>IF($K380="","",IF($I380,"too few losses to test",IF(AND($K380&gt;better_at,$K380&lt;worse_at),"in line",IF($K380&gt;=worse_at,IF(AND(ISNUMBER($L380),$L380&lt;significance_bar),"worse","worse, not significant"),IF(AND(ISNUMBER($L380),$L380&lt;significance_bar),"better","better, not significant")))))</f>
        <v/>
      </c>
      <c r="X380">
        <f>IF($M380="","",IF($I380,"too few losses to test",IF(AND($M380&gt;better_at,$M380&lt;worse_at),"in line",IF($M380&gt;=worse_at,IF(AND(ISNUMBER($N380),$N380&lt;significance_bar),"worse","worse, not significant"),IF(AND(ISNUMBER($N380),$N380&lt;significance_bar),"better","better, not significant")))))</f>
        <v/>
      </c>
      <c r="Y380">
        <f>IF($V380,$X380,$W380)</f>
        <v/>
      </c>
      <c r="Z380">
        <f>IF($V380,IF($P380="","",$P380),IF($O380="","",$O380))</f>
        <v/>
      </c>
      <c r="AA380">
        <f>IF(OR($Q380="",$Z380=""),"",IF(AND($Z380&gt;0,$Z380&gt;=$Q380),"yes","below the line"))</f>
        <v/>
      </c>
      <c r="AB380">
        <f>IF($V380,IF($M380="","",$M380),IF($K380="","",$K380))</f>
        <v/>
      </c>
      <c r="AC380">
        <f>IF($V380,IF($N380="","",$N380),IF($L380="","",$L380))</f>
        <v/>
      </c>
      <c r="AD380">
        <f>$Y380</f>
        <v/>
      </c>
      <c r="AE380">
        <f>IF($V380,IF($S380="","",$S380),IF($R380="","",$R380))</f>
        <v/>
      </c>
      <c r="AF380">
        <f>IF($V380,IF($U380="","",$U380),IF($T380="","",$T380))</f>
        <v/>
      </c>
      <c r="AG380">
        <f>IF($V380,IF($O380="","",$O380),IF($P380="","",$P380))</f>
        <v/>
      </c>
      <c r="AH380" t="n">
        <v>0.1401485832679718</v>
      </c>
      <c r="AI380">
        <f>IF($Y380="worse","Yes",IF($Y380="worse, not significant","Not sure",IF(OR($Y380="too few losses to test",$Y380="too few loans to test"),"Too few losses",IF($Y380="","","No"))))</f>
        <v/>
      </c>
      <c r="AJ380">
        <f>IF($AA380="yes","Yes",IF($AA380="","","No"))</f>
        <v/>
      </c>
      <c r="AK380" t="n">
        <v>0.001949024941443424</v>
      </c>
      <c r="AL380" t="n">
        <v>0.001719050448230052</v>
      </c>
      <c r="AM380">
        <f>IF(AND(ISNUMBER($AC380),ISNUMBER(IF($V380,IF($AL380="","",$AL380),IF($AK380="","",$AK380)))),IF(AND(ABS($AC380-significance_bar)&lt;=2.0*IF($V380,IF($AL380="","",$AL380),IF($AK380="","",$AK380)),OR($Y380="worse",$Y380="better",$Y380="worse, not significant",$Y380="better, not significant")),IF(ROUND($AC380,3)=ROUND(significance_bar,3),TEXT($AC380,"0.0000"),TEXT($AC380,"0.000")),""),"")</f>
        <v/>
      </c>
      <c r="AN380">
        <f>IF(AND(ISNUMBER($AC380),ISNUMBER(IF($V380,IF($AL380="","",$AL380),IF($AK380="","",$AK380)))),IF(AND(ABS($AC380-significance_bar)&lt;=2.0*IF($V380,IF($AL380="","",$AL380),IF($AK380="","",$AK380)),OR($Y380="worse",$Y380="worse, not significant")),IF(ROUND($AC380,3)=ROUND(significance_bar,3),TEXT($AC380,"0.0000"),TEXT($AC380,"0.000")),""),"")</f>
        <v/>
      </c>
      <c r="AO380">
        <f>IF(OR($AI380="",$AN380=""),$AI380,$AI380&amp;" · borderline (p "&amp;$AN380&amp;")")</f>
        <v/>
      </c>
    </row>
    <row r="381">
      <c r="A381" t="inlineStr">
        <is>
          <t>three-way</t>
        </is>
      </c>
      <c r="B381" t="inlineStr">
        <is>
          <t>SHORT_HIST x CHANNEL / REV_DEBT</t>
        </is>
      </c>
      <c r="C381" t="inlineStr">
        <is>
          <t>89.0 - 171.9</t>
        </is>
      </c>
      <c r="D381" t="inlineStr">
        <is>
          <t>Broker / REV_DEBT high half</t>
        </is>
      </c>
      <c r="E381" t="inlineStr">
        <is>
          <t>gco_rate</t>
        </is>
      </c>
      <c r="F381" t="inlineStr">
        <is>
          <t>GCO per booked dollar</t>
        </is>
      </c>
      <c r="G381" t="n">
        <v>261</v>
      </c>
      <c r="H381" t="n">
        <v>8773021.470000003</v>
      </c>
      <c r="I381" t="b">
        <v>0</v>
      </c>
      <c r="J381" t="b">
        <v>0</v>
      </c>
      <c r="K381" t="n">
        <v>1.932393337270648</v>
      </c>
      <c r="L381" t="n">
        <v>0.007799220077992201</v>
      </c>
      <c r="M381" t="n">
        <v>2.035809051678006</v>
      </c>
      <c r="N381" t="n">
        <v>0.004549545045495451</v>
      </c>
      <c r="O381" t="n">
        <v>329869.8133267429</v>
      </c>
      <c r="P381" t="n">
        <v>347841.6684389115</v>
      </c>
      <c r="Q381">
        <f>'_live'!$C$22</f>
        <v/>
      </c>
      <c r="R381" t="inlineStr">
        <is>
          <t>shuffled: 11 of 10,000</t>
        </is>
      </c>
      <c r="S381" t="inlineStr">
        <is>
          <t>shuffled: 6 of 10,000</t>
        </is>
      </c>
      <c r="T381" t="n">
        <v>0.04032684268277039</v>
      </c>
      <c r="U381" t="n">
        <v>0.03827830613539904</v>
      </c>
      <c r="V381">
        <f>AND(judged_band,NOT($J381))</f>
        <v/>
      </c>
      <c r="W381">
        <f>IF($K381="","",IF($I381,"too few losses to test",IF(AND($K381&gt;better_at,$K381&lt;worse_at),"in line",IF($K381&gt;=worse_at,IF(AND(ISNUMBER($L381),$L381&lt;significance_bar),"worse","worse, not significant"),IF(AND(ISNUMBER($L381),$L381&lt;significance_bar),"better","better, not significant")))))</f>
        <v/>
      </c>
      <c r="X381">
        <f>IF($M381="","",IF($I381,"too few losses to test",IF(AND($M381&gt;better_at,$M381&lt;worse_at),"in line",IF($M381&gt;=worse_at,IF(AND(ISNUMBER($N381),$N381&lt;significance_bar),"worse","worse, not significant"),IF(AND(ISNUMBER($N381),$N381&lt;significance_bar),"better","better, not significant")))))</f>
        <v/>
      </c>
      <c r="Y381">
        <f>IF($V381,$X381,$W381)</f>
        <v/>
      </c>
      <c r="Z381">
        <f>IF($V381,IF($P381="","",$P381),IF($O381="","",$O381))</f>
        <v/>
      </c>
      <c r="AA381">
        <f>IF(OR($Q381="",$Z381=""),"",IF(AND($Z381&gt;0,$Z381&gt;=$Q381),"yes","below the line"))</f>
        <v/>
      </c>
      <c r="AB381">
        <f>IF($V381,IF($M381="","",$M381),IF($K381="","",$K381))</f>
        <v/>
      </c>
      <c r="AC381">
        <f>IF($V381,IF($N381="","",$N381),IF($L381="","",$L381))</f>
        <v/>
      </c>
      <c r="AD381">
        <f>$Y381</f>
        <v/>
      </c>
      <c r="AE381">
        <f>IF($V381,IF($S381="","",$S381),IF($R381="","",$R381))</f>
        <v/>
      </c>
      <c r="AF381">
        <f>IF($V381,IF($U381="","",$U381),IF($T381="","",$T381))</f>
        <v/>
      </c>
      <c r="AG381">
        <f>IF($V381,IF($O381="","",$O381),IF($P381="","",$P381))</f>
        <v/>
      </c>
      <c r="AH381" t="n">
        <v>0.0779273221133471</v>
      </c>
      <c r="AI381">
        <f>IF($Y381="worse","Yes",IF($Y381="worse, not significant","Not sure",IF(OR($Y381="too few losses to test",$Y381="too few loans to test"),"Too few losses",IF($Y381="","","No"))))</f>
        <v/>
      </c>
      <c r="AJ381">
        <f>IF($AA381="yes","Yes",IF($AA381="","","No"))</f>
        <v/>
      </c>
      <c r="AK381" t="n">
        <v>0.002250202272532946</v>
      </c>
      <c r="AL381" t="n">
        <v>0.001719050448230052</v>
      </c>
      <c r="AM381">
        <f>IF(AND(ISNUMBER($AC381),ISNUMBER(IF($V381,IF($AL381="","",$AL381),IF($AK381="","",$AK381)))),IF(AND(ABS($AC381-significance_bar)&lt;=2.0*IF($V381,IF($AL381="","",$AL381),IF($AK381="","",$AK381)),OR($Y381="worse",$Y381="better",$Y381="worse, not significant",$Y381="better, not significant")),IF(ROUND($AC381,3)=ROUND(significance_bar,3),TEXT($AC381,"0.0000"),TEXT($AC381,"0.000")),""),"")</f>
        <v/>
      </c>
      <c r="AN381">
        <f>IF(AND(ISNUMBER($AC381),ISNUMBER(IF($V381,IF($AL381="","",$AL381),IF($AK381="","",$AK381)))),IF(AND(ABS($AC381-significance_bar)&lt;=2.0*IF($V381,IF($AL381="","",$AL381),IF($AK381="","",$AK381)),OR($Y381="worse",$Y381="worse, not significant")),IF(ROUND($AC381,3)=ROUND(significance_bar,3),TEXT($AC381,"0.0000"),TEXT($AC381,"0.000")),""),"")</f>
        <v/>
      </c>
      <c r="AO381">
        <f>IF(OR($AI381="",$AN381=""),$AI381,$AI381&amp;" · borderline (p "&amp;$AN381&amp;")")</f>
        <v/>
      </c>
    </row>
    <row r="382">
      <c r="A382" t="inlineStr">
        <is>
          <t>three-way</t>
        </is>
      </c>
      <c r="B382" t="inlineStr">
        <is>
          <t>SHORT_HIST x CHANNEL / REV_DEBT</t>
        </is>
      </c>
      <c r="C382" t="inlineStr">
        <is>
          <t>89.0 - 171.9</t>
        </is>
      </c>
      <c r="D382" t="inlineStr">
        <is>
          <t>Broker / REV_DEBT high half</t>
        </is>
      </c>
      <c r="E382" t="inlineStr">
        <is>
          <t>ranr_rate</t>
        </is>
      </c>
      <c r="F382" t="inlineStr">
        <is>
          <t>Profit after losses: RANR per booked dollar</t>
        </is>
      </c>
      <c r="G382" t="n">
        <v>261</v>
      </c>
      <c r="H382" t="n">
        <v>8773021.470000003</v>
      </c>
      <c r="I382" t="b">
        <v>0</v>
      </c>
      <c r="J382" t="b">
        <v>0</v>
      </c>
      <c r="K382" t="n">
        <v>-0.004192331883536862</v>
      </c>
      <c r="L382" t="n">
        <v>0.7832816718328168</v>
      </c>
      <c r="M382" t="n">
        <v>-0.0009452893322548228</v>
      </c>
      <c r="N382" t="n">
        <v>0.9484051594840515</v>
      </c>
      <c r="O382" t="n">
        <v>36779.41762363445</v>
      </c>
      <c r="P382" t="n">
        <v>8293.043607233558</v>
      </c>
      <c r="Q382">
        <f>'_live'!$C$23</f>
        <v/>
      </c>
      <c r="R382" t="inlineStr">
        <is>
          <t>shuffled: 7,405 of 10,000</t>
        </is>
      </c>
      <c r="S382" t="inlineStr">
        <is>
          <t>shuffled: 9,484 of 10,000</t>
        </is>
      </c>
      <c r="T382" t="n">
        <v>0.1281325677211222</v>
      </c>
      <c r="U382" t="n">
        <v>0.1248855251698402</v>
      </c>
      <c r="V382">
        <f>AND(judged_band,NOT($J382))</f>
        <v/>
      </c>
      <c r="W382">
        <f>IF($K382="","",IF(profit_kind="test",IF(OR(NOT(AND(ISNUMBER($L382),$L382&lt;significance_bar)),$K382=0),"in line",IF($K382&lt;0,"worse","better")),IF(OR($K382=0,IF(profit_kind="points",ABS($K382),ABS($K382*$H382))&lt;profit_line*(1-1E-9)),"in line",IF(AND(ISNUMBER($L382),$L382&lt;significance_bar),IF($K382&lt;0,"worse","better"),IF($K382&lt;0,"worse, not significant","better, not significant")))))</f>
        <v/>
      </c>
      <c r="X382">
        <f>IF($M382="","",IF(profit_kind="test",IF(OR(NOT(AND(ISNUMBER($N382),$N382&lt;significance_bar)),$M382=0),"in line",IF($M382&lt;0,"worse","better")),IF(OR($M382=0,IF(profit_kind="points",ABS($M382),ABS($M382*$H382))&lt;profit_line*(1-1E-9)),"in line",IF(AND(ISNUMBER($N382),$N382&lt;significance_bar),IF($M382&lt;0,"worse","better"),IF($M382&lt;0,"worse, not significant","better, not significant")))))</f>
        <v/>
      </c>
      <c r="Y382">
        <f>IF($V382,$X382,$W382)</f>
        <v/>
      </c>
      <c r="Z382">
        <f>IF($V382,IF($P382="","",$P382),IF($O382="","",$O382))</f>
        <v/>
      </c>
      <c r="AA382">
        <f>IF(OR($Q382="",$Z382=""),"",IF(AND($Z382&gt;0,$Z382&gt;=$Q382),"yes","below the line"))</f>
        <v/>
      </c>
      <c r="AB382">
        <f>IF($V382,IF($M382="","",$M382),IF($K382="","",$K382))</f>
        <v/>
      </c>
      <c r="AC382">
        <f>IF($V382,IF($N382="","",$N382),IF($L382="","",$L382))</f>
        <v/>
      </c>
      <c r="AD382">
        <f>IF($Y382="","",IF($Y382="in line",IF(profit_kind="test",IF(ROUND($AB382*100,2)=0,"0.00",TEXT($AB382*100,"+0.00;-0.00"))&amp;" points against "&amp;IF($V382,"its band","the book")&amp;", "&amp;IF($AC382="","not tested","not significant"),IF(profit_kind="points","within "&amp;TEXT(profit_line*100,"0.00")&amp;" points of "&amp;IF($V382,"its band","the book")&amp;" ("&amp;IF(ROUND($AB382*100,2)=0,"0.00",TEXT($AB382*100,"+0.00;-0.00"))&amp;")","within $"&amp;TEXT(profit_line,"#,##0")&amp;" of "&amp;IF($V382,"its band","the book")&amp;" ("&amp;IF(ROUND($AB382*100,2)=0,"0.00",TEXT($AB382*100,"+0.00;-0.00"))&amp;" points)")),IF(LEFT($Y382,5)="worse","short of ","ahead of ")&amp;IF($V382,"its band","the book")&amp;" by "&amp;TEXT(ABS($AB382)*100,"0.00")&amp;" points"&amp;IF($Z382="",""," ($"&amp;TEXT(ABS($Z382),"#,##0")&amp;")")&amp;IF(RIGHT($Y382,15)="not significant"," (not significant)","")))</f>
        <v/>
      </c>
      <c r="AE382">
        <f>IF($V382,IF($S382="","",$S382),IF($R382="","",$R382))</f>
        <v/>
      </c>
      <c r="AF382">
        <f>IF($V382,IF($U382="","",$U382),IF($T382="","",$T382))</f>
        <v/>
      </c>
      <c r="AG382">
        <f>IF($V382,IF($O382="","",$O382),IF($P382="","",$P382))</f>
        <v/>
      </c>
      <c r="AH382" t="n">
        <v>0.1239402358375854</v>
      </c>
      <c r="AI382">
        <f>IF($Y382="worse","Yes",IF($Y382="worse, not significant","Not sure",IF(OR($Y382="too few losses to test",$Y382="too few loans to test"),"Too few losses",IF($Y382="","","No"))))</f>
        <v/>
      </c>
      <c r="AJ382">
        <f>IF($AA382="yes","Yes",IF($AA382="","","No"))</f>
        <v/>
      </c>
      <c r="AK382" t="n">
        <v>0.004383274697548453</v>
      </c>
      <c r="AL382" t="n">
        <v>0.002212076240731369</v>
      </c>
      <c r="AM382">
        <f>IF(AND(ISNUMBER($AC382),ISNUMBER(IF($V382,IF($AL382="","",$AL382),IF($AK382="","",$AK382)))),IF(AND(ABS($AC382-significance_bar)&lt;=2.0*IF($V382,IF($AL382="","",$AL382),IF($AK382="","",$AK382)),OR($Y382="worse",$Y382="better",$Y382="worse, not significant",$Y382="better, not significant",AND(profit_kind="test",$Y382="in line",ISNUMBER($AB382),$AB382&lt;&gt;0))),IF(ROUND($AC382,3)=ROUND(significance_bar,3),TEXT($AC382,"0.0000"),TEXT($AC382,"0.000")),""),"")</f>
        <v/>
      </c>
      <c r="AN382">
        <f>IF(AND(ISNUMBER($AC382),ISNUMBER(IF($V382,IF($AL382="","",$AL382),IF($AK382="","",$AK382)))),IF(AND(ABS($AC382-significance_bar)&lt;=2.0*IF($V382,IF($AL382="","",$AL382),IF($AK382="","",$AK382)),OR($Y382="worse",$Y382="worse, not significant",AND(profit_kind="test",$Y382="in line",ISNUMBER($AB382),$AB382&lt;0))),IF(ROUND($AC382,3)=ROUND(significance_bar,3),TEXT($AC382,"0.0000"),TEXT($AC382,"0.000")),""),"")</f>
        <v/>
      </c>
      <c r="AO382">
        <f>IF(OR($AI382="",$AN382=""),$AI382,$AI382&amp;" · borderline (p "&amp;$AN382&amp;")")</f>
        <v/>
      </c>
    </row>
    <row r="383">
      <c r="A383" t="inlineStr">
        <is>
          <t>three-way</t>
        </is>
      </c>
      <c r="B383" t="inlineStr">
        <is>
          <t>SHORT_HIST x CHANNEL / REV_DEBT</t>
        </is>
      </c>
      <c r="C383" t="inlineStr">
        <is>
          <t>89.0 - 171.9</t>
        </is>
      </c>
      <c r="D383" t="inlineStr">
        <is>
          <t>Broker / REV_DEBT high half</t>
        </is>
      </c>
      <c r="E383" t="inlineStr">
        <is>
          <t>contribution_rate</t>
        </is>
      </c>
      <c r="F383" t="inlineStr">
        <is>
          <t>Contribution before losses per booked dollar</t>
        </is>
      </c>
      <c r="G383" t="n">
        <v>261</v>
      </c>
      <c r="H383" t="n">
        <v>8773021.470000003</v>
      </c>
      <c r="I383" t="b">
        <v>0</v>
      </c>
      <c r="J383" t="b">
        <v>0</v>
      </c>
      <c r="K383" t="n">
        <v>0.03341108473952004</v>
      </c>
      <c r="L383" t="n">
        <v>0.00023997600239976</v>
      </c>
      <c r="M383" t="n">
        <v>0.03870372664569305</v>
      </c>
      <c r="N383" t="n">
        <v>0.0003789094774733053</v>
      </c>
      <c r="O383" t="n">
        <v>-293116.1637557987</v>
      </c>
      <c r="P383" t="n">
        <v>-339548.6248316763</v>
      </c>
      <c r="Q383">
        <f>'_live'!$C$24</f>
        <v/>
      </c>
      <c r="R383" t="inlineStr">
        <is>
          <t>shuffled: 0 of 10,000</t>
        </is>
      </c>
      <c r="S383" t="inlineStr">
        <is>
          <t>shuffled: 1 of 10,000</t>
        </is>
      </c>
      <c r="T383" t="n">
        <v>0.1684564732114123</v>
      </c>
      <c r="U383" t="n">
        <v>0.1631638313052393</v>
      </c>
      <c r="V383">
        <f>AND(judged_band,NOT($J383))</f>
        <v/>
      </c>
      <c r="W383">
        <f>IF($K383="","",IF(profit_kind="test",IF(OR(NOT(AND(ISNUMBER($L383),$L383&lt;significance_bar)),$K383=0),"in line",IF($K383&lt;0,"worse","better")),IF(OR($K383=0,IF(profit_kind="points",ABS($K383),ABS($K383*$H383))&lt;profit_line*(1-1E-9)),"in line",IF(AND(ISNUMBER($L383),$L383&lt;significance_bar),IF($K383&lt;0,"worse","better"),IF($K383&lt;0,"worse, not significant","better, not significant")))))</f>
        <v/>
      </c>
      <c r="X383">
        <f>IF($M383="","",IF(profit_kind="test",IF(OR(NOT(AND(ISNUMBER($N383),$N383&lt;significance_bar)),$M383=0),"in line",IF($M383&lt;0,"worse","better")),IF(OR($M383=0,IF(profit_kind="points",ABS($M383),ABS($M383*$H383))&lt;profit_line*(1-1E-9)),"in line",IF(AND(ISNUMBER($N383),$N383&lt;significance_bar),IF($M383&lt;0,"worse","better"),IF($M383&lt;0,"worse, not significant","better, not significant")))))</f>
        <v/>
      </c>
      <c r="Y383">
        <f>IF($V383,$X383,$W383)</f>
        <v/>
      </c>
      <c r="Z383">
        <f>IF($V383,IF($P383="","",$P383),IF($O383="","",$O383))</f>
        <v/>
      </c>
      <c r="AA383">
        <f>IF(OR($Q383="",$Z383=""),"",IF(AND($Z383&gt;0,$Z383&gt;=$Q383),"yes","below the line"))</f>
        <v/>
      </c>
      <c r="AB383">
        <f>IF($V383,IF($M383="","",$M383),IF($K383="","",$K383))</f>
        <v/>
      </c>
      <c r="AC383">
        <f>IF($V383,IF($N383="","",$N383),IF($L383="","",$L383))</f>
        <v/>
      </c>
      <c r="AD383">
        <f>IF($Y383="","",IF($Y383="in line",IF(profit_kind="test",IF(ROUND($AB383*100,2)=0,"0.00",TEXT($AB383*100,"+0.00;-0.00"))&amp;" points against "&amp;IF($V383,"its band","the book")&amp;", "&amp;IF($AC383="","not tested","not significant"),IF(profit_kind="points","within "&amp;TEXT(profit_line*100,"0.00")&amp;" points of "&amp;IF($V383,"its band","the book")&amp;" ("&amp;IF(ROUND($AB383*100,2)=0,"0.00",TEXT($AB383*100,"+0.00;-0.00"))&amp;")","within $"&amp;TEXT(profit_line,"#,##0")&amp;" of "&amp;IF($V383,"its band","the book")&amp;" ("&amp;IF(ROUND($AB383*100,2)=0,"0.00",TEXT($AB383*100,"+0.00;-0.00"))&amp;" points)")),IF(LEFT($Y383,5)="worse","short of ","ahead of ")&amp;IF($V383,"its band","the book")&amp;" by "&amp;TEXT(ABS($AB383)*100,"0.00")&amp;" points"&amp;IF($Z383="",""," ($"&amp;TEXT(ABS($Z383),"#,##0")&amp;")")&amp;IF(RIGHT($Y383,15)="not significant"," (not significant)","")))</f>
        <v/>
      </c>
      <c r="AE383">
        <f>IF($V383,IF($S383="","",$S383),IF($R383="","",$R383))</f>
        <v/>
      </c>
      <c r="AF383">
        <f>IF($V383,IF($U383="","",$U383),IF($T383="","",$T383))</f>
        <v/>
      </c>
      <c r="AG383">
        <f>IF($V383,IF($O383="","",$O383),IF($P383="","",$P383))</f>
        <v/>
      </c>
      <c r="AH383" t="n">
        <v>0.2018675579509323</v>
      </c>
      <c r="AI383">
        <f>IF($Y383="worse","Yes",IF($Y383="worse, not significant","Not sure",IF(OR($Y383="too few losses to test",$Y383="too few loans to test"),"Too few losses",IF($Y383="","","No"))))</f>
        <v/>
      </c>
      <c r="AJ383">
        <f>IF($AA383="yes","Yes",IF($AA383="","","No"))</f>
        <v/>
      </c>
      <c r="AK383" t="n">
        <v>0.00023997600239976</v>
      </c>
      <c r="AL383" t="n">
        <v>0.0002679160641692481</v>
      </c>
      <c r="AM383">
        <f>IF(AND(ISNUMBER($AC383),ISNUMBER(IF($V383,IF($AL383="","",$AL383),IF($AK383="","",$AK383)))),IF(AND(ABS($AC383-significance_bar)&lt;=2.0*IF($V383,IF($AL383="","",$AL383),IF($AK383="","",$AK383)),OR($Y383="worse",$Y383="better",$Y383="worse, not significant",$Y383="better, not significant",AND(profit_kind="test",$Y383="in line",ISNUMBER($AB383),$AB383&lt;&gt;0))),IF(ROUND($AC383,3)=ROUND(significance_bar,3),TEXT($AC383,"0.0000"),TEXT($AC383,"0.000")),""),"")</f>
        <v/>
      </c>
      <c r="AN383">
        <f>IF(AND(ISNUMBER($AC383),ISNUMBER(IF($V383,IF($AL383="","",$AL383),IF($AK383="","",$AK383)))),IF(AND(ABS($AC383-significance_bar)&lt;=2.0*IF($V383,IF($AL383="","",$AL383),IF($AK383="","",$AK383)),OR($Y383="worse",$Y383="worse, not significant",AND(profit_kind="test",$Y383="in line",ISNUMBER($AB383),$AB383&lt;0))),IF(ROUND($AC383,3)=ROUND(significance_bar,3),TEXT($AC383,"0.0000"),TEXT($AC383,"0.000")),""),"")</f>
        <v/>
      </c>
      <c r="AO383">
        <f>IF(OR($AI383="",$AN383=""),$AI383,$AI383&amp;" · borderline (p "&amp;$AN383&amp;")")</f>
        <v/>
      </c>
    </row>
    <row r="384">
      <c r="A384" t="inlineStr">
        <is>
          <t>three-way</t>
        </is>
      </c>
      <c r="B384" t="inlineStr">
        <is>
          <t>SHORT_HIST x CHANNEL / REV_DEBT</t>
        </is>
      </c>
      <c r="C384" t="inlineStr">
        <is>
          <t>256.4 - 345.9</t>
        </is>
      </c>
      <c r="D384" t="inlineStr">
        <is>
          <t>Branch / REV_DEBT low half</t>
        </is>
      </c>
      <c r="E384" t="inlineStr">
        <is>
          <t>outcome_loans</t>
        </is>
      </c>
      <c r="F384" t="inlineStr">
        <is>
          <t>Outcome, share of loans</t>
        </is>
      </c>
      <c r="G384" t="n">
        <v>252</v>
      </c>
      <c r="H384" t="n">
        <v>252</v>
      </c>
      <c r="I384" t="b">
        <v>1</v>
      </c>
      <c r="J384" t="b">
        <v>0</v>
      </c>
      <c r="K384" t="n">
        <v>0.4535714285714286</v>
      </c>
      <c r="M384" t="n">
        <v>0.3714285714285714</v>
      </c>
      <c r="O384" t="n">
        <v>-10.84251968503937</v>
      </c>
      <c r="P384" t="n">
        <v>-15.23076923076923</v>
      </c>
      <c r="Q384">
        <f>'_live'!$C$20</f>
        <v/>
      </c>
      <c r="T384" t="n">
        <v>0.07874015748031496</v>
      </c>
      <c r="U384" t="n">
        <v>0.09615384615384616</v>
      </c>
      <c r="V384">
        <f>AND(judged_band,NOT($J384))</f>
        <v/>
      </c>
      <c r="W384">
        <f>IF($K384="","",IF($I384,"too few losses to test",IF(AND($K384&gt;better_at,$K384&lt;worse_at),"in line",IF($K384&gt;=worse_at,IF(AND(ISNUMBER($L384),$L384&lt;significance_bar),"worse","worse, not significant"),IF(AND(ISNUMBER($L384),$L384&lt;significance_bar),"better","better, not significant")))))</f>
        <v/>
      </c>
      <c r="X384">
        <f>IF($M384="","",IF($I384,"too few losses to test",IF(AND($M384&gt;better_at,$M384&lt;worse_at),"in line",IF($M384&gt;=worse_at,IF(AND(ISNUMBER($N384),$N384&lt;significance_bar),"worse","worse, not significant"),IF(AND(ISNUMBER($N384),$N384&lt;significance_bar),"better","better, not significant")))))</f>
        <v/>
      </c>
      <c r="Y384">
        <f>IF($V384,$X384,$W384)</f>
        <v/>
      </c>
      <c r="Z384">
        <f>IF($V384,IF($P384="","",$P384),IF($O384="","",$O384))</f>
        <v/>
      </c>
      <c r="AA384">
        <f>IF(OR($Q384="",$Z384=""),"",IF(AND($Z384&gt;0,$Z384&gt;=$Q384),"yes","below the line"))</f>
        <v/>
      </c>
      <c r="AB384">
        <f>IF($V384,IF($M384="","",$M384),IF($K384="","",$K384))</f>
        <v/>
      </c>
      <c r="AC384">
        <f>IF($V384,IF($N384="","",$N384),IF($L384="","",$L384))</f>
        <v/>
      </c>
      <c r="AD384">
        <f>$Y384</f>
        <v/>
      </c>
      <c r="AE384">
        <f>IF($V384,IF($S384="","",$S384),IF($R384="","",$R384))</f>
        <v/>
      </c>
      <c r="AF384">
        <f>IF($V384,IF($U384="","",$U384),IF($T384="","",$T384))</f>
        <v/>
      </c>
      <c r="AG384">
        <f>IF($V384,IF($O384="","",$O384),IF($P384="","",$P384))</f>
        <v/>
      </c>
      <c r="AH384" t="n">
        <v>0.03571428571428571</v>
      </c>
      <c r="AI384">
        <f>IF($Y384="worse","Yes",IF($Y384="worse, not significant","Not sure",IF(OR($Y384="too few losses to test",$Y384="too few loans to test"),"Too few losses",IF($Y384="","","No"))))</f>
        <v/>
      </c>
      <c r="AJ384">
        <f>IF($AA384="yes","Yes",IF($AA384="","","No"))</f>
        <v/>
      </c>
      <c r="AM384">
        <f>IF(AND(ISNUMBER($AC384),ISNUMBER(IF($V384,IF($AL384="","",$AL384),IF($AK384="","",$AK384)))),IF(AND(ABS($AC384-significance_bar)&lt;=2.0*IF($V384,IF($AL384="","",$AL384),IF($AK384="","",$AK384)),OR($Y384="worse",$Y384="better",$Y384="worse, not significant",$Y384="better, not significant")),IF(ROUND($AC384,3)=ROUND(significance_bar,3),TEXT($AC384,"0.0000"),TEXT($AC384,"0.000")),""),"")</f>
        <v/>
      </c>
      <c r="AN384">
        <f>IF(AND(ISNUMBER($AC384),ISNUMBER(IF($V384,IF($AL384="","",$AL384),IF($AK384="","",$AK384)))),IF(AND(ABS($AC384-significance_bar)&lt;=2.0*IF($V384,IF($AL384="","",$AL384),IF($AK384="","",$AK384)),OR($Y384="worse",$Y384="worse, not significant")),IF(ROUND($AC384,3)=ROUND(significance_bar,3),TEXT($AC384,"0.0000"),TEXT($AC384,"0.000")),""),"")</f>
        <v/>
      </c>
      <c r="AO384">
        <f>IF(OR($AI384="",$AN384=""),$AI384,$AI384&amp;" · borderline (p "&amp;$AN384&amp;")")</f>
        <v/>
      </c>
    </row>
    <row r="385">
      <c r="A385" t="inlineStr">
        <is>
          <t>three-way</t>
        </is>
      </c>
      <c r="B385" t="inlineStr">
        <is>
          <t>SHORT_HIST x CHANNEL / REV_DEBT</t>
        </is>
      </c>
      <c r="C385" t="inlineStr">
        <is>
          <t>256.4 - 345.9</t>
        </is>
      </c>
      <c r="D385" t="inlineStr">
        <is>
          <t>Branch / REV_DEBT low half</t>
        </is>
      </c>
      <c r="E385" t="inlineStr">
        <is>
          <t>outcome_booked</t>
        </is>
      </c>
      <c r="F385" t="inlineStr">
        <is>
          <t>Outcome, share of booked dollars</t>
        </is>
      </c>
      <c r="G385" t="n">
        <v>251</v>
      </c>
      <c r="H385" t="n">
        <v>7488211.500000002</v>
      </c>
      <c r="I385" t="b">
        <v>1</v>
      </c>
      <c r="J385" t="b">
        <v>0</v>
      </c>
      <c r="K385" t="n">
        <v>0.3604200799563884</v>
      </c>
      <c r="M385" t="n">
        <v>0.2970081327527516</v>
      </c>
      <c r="O385" t="n">
        <v>-365156.2754214117</v>
      </c>
      <c r="P385" t="n">
        <v>-487051.5012193465</v>
      </c>
      <c r="Q385">
        <f>'_live'!$C$21</f>
        <v/>
      </c>
      <c r="T385" t="n">
        <v>0.07624403042320739</v>
      </c>
      <c r="U385" t="n">
        <v>0.09252231340145058</v>
      </c>
      <c r="V385">
        <f>AND(judged_band,NOT($J385))</f>
        <v/>
      </c>
      <c r="W385">
        <f>IF($K385="","",IF($I385,"too few losses to test",IF(AND($K385&gt;better_at,$K385&lt;worse_at),"in line",IF($K385&gt;=worse_at,IF(AND(ISNUMBER($L385),$L385&lt;significance_bar),"worse","worse, not significant"),IF(AND(ISNUMBER($L385),$L385&lt;significance_bar),"better","better, not significant")))))</f>
        <v/>
      </c>
      <c r="X385">
        <f>IF($M385="","",IF($I385,"too few losses to test",IF(AND($M385&gt;better_at,$M385&lt;worse_at),"in line",IF($M385&gt;=worse_at,IF(AND(ISNUMBER($N385),$N385&lt;significance_bar),"worse","worse, not significant"),IF(AND(ISNUMBER($N385),$N385&lt;significance_bar),"better","better, not significant")))))</f>
        <v/>
      </c>
      <c r="Y385">
        <f>IF($V385,$X385,$W385)</f>
        <v/>
      </c>
      <c r="Z385">
        <f>IF($V385,IF($P385="","",$P385),IF($O385="","",$O385))</f>
        <v/>
      </c>
      <c r="AA385">
        <f>IF(OR($Q385="",$Z385=""),"",IF(AND($Z385&gt;0,$Z385&gt;=$Q385),"yes","below the line"))</f>
        <v/>
      </c>
      <c r="AB385">
        <f>IF($V385,IF($M385="","",$M385),IF($K385="","",$K385))</f>
        <v/>
      </c>
      <c r="AC385">
        <f>IF($V385,IF($N385="","",$N385),IF($L385="","",$L385))</f>
        <v/>
      </c>
      <c r="AD385">
        <f>$Y385</f>
        <v/>
      </c>
      <c r="AE385">
        <f>IF($V385,IF($S385="","",$S385),IF($R385="","",$R385))</f>
        <v/>
      </c>
      <c r="AF385">
        <f>IF($V385,IF($U385="","",$U385),IF($T385="","",$T385))</f>
        <v/>
      </c>
      <c r="AG385">
        <f>IF($V385,IF($O385="","",$O385),IF($P385="","",$P385))</f>
        <v/>
      </c>
      <c r="AH385" t="n">
        <v>0.02747987954132972</v>
      </c>
      <c r="AI385">
        <f>IF($Y385="worse","Yes",IF($Y385="worse, not significant","Not sure",IF(OR($Y385="too few losses to test",$Y385="too few loans to test"),"Too few losses",IF($Y385="","","No"))))</f>
        <v/>
      </c>
      <c r="AJ385">
        <f>IF($AA385="yes","Yes",IF($AA385="","","No"))</f>
        <v/>
      </c>
      <c r="AM385">
        <f>IF(AND(ISNUMBER($AC385),ISNUMBER(IF($V385,IF($AL385="","",$AL385),IF($AK385="","",$AK385)))),IF(AND(ABS($AC385-significance_bar)&lt;=2.0*IF($V385,IF($AL385="","",$AL385),IF($AK385="","",$AK385)),OR($Y385="worse",$Y385="better",$Y385="worse, not significant",$Y385="better, not significant")),IF(ROUND($AC385,3)=ROUND(significance_bar,3),TEXT($AC385,"0.0000"),TEXT($AC385,"0.000")),""),"")</f>
        <v/>
      </c>
      <c r="AN385">
        <f>IF(AND(ISNUMBER($AC385),ISNUMBER(IF($V385,IF($AL385="","",$AL385),IF($AK385="","",$AK385)))),IF(AND(ABS($AC385-significance_bar)&lt;=2.0*IF($V385,IF($AL385="","",$AL385),IF($AK385="","",$AK385)),OR($Y385="worse",$Y385="worse, not significant")),IF(ROUND($AC385,3)=ROUND(significance_bar,3),TEXT($AC385,"0.0000"),TEXT($AC385,"0.000")),""),"")</f>
        <v/>
      </c>
      <c r="AO385">
        <f>IF(OR($AI385="",$AN385=""),$AI385,$AI385&amp;" · borderline (p "&amp;$AN385&amp;")")</f>
        <v/>
      </c>
    </row>
    <row r="386">
      <c r="A386" t="inlineStr">
        <is>
          <t>three-way</t>
        </is>
      </c>
      <c r="B386" t="inlineStr">
        <is>
          <t>SHORT_HIST x CHANNEL / REV_DEBT</t>
        </is>
      </c>
      <c r="C386" t="inlineStr">
        <is>
          <t>256.4 - 345.9</t>
        </is>
      </c>
      <c r="D386" t="inlineStr">
        <is>
          <t>Branch / REV_DEBT low half</t>
        </is>
      </c>
      <c r="E386" t="inlineStr">
        <is>
          <t>gco_rate</t>
        </is>
      </c>
      <c r="F386" t="inlineStr">
        <is>
          <t>GCO per booked dollar</t>
        </is>
      </c>
      <c r="G386" t="n">
        <v>250</v>
      </c>
      <c r="H386" t="n">
        <v>7448527.070000001</v>
      </c>
      <c r="I386" t="b">
        <v>1</v>
      </c>
      <c r="J386" t="b">
        <v>0</v>
      </c>
      <c r="K386" t="n">
        <v>0.372368163957119</v>
      </c>
      <c r="M386" t="n">
        <v>0.3112616543780274</v>
      </c>
      <c r="O386" t="n">
        <v>-198090.8005267652</v>
      </c>
      <c r="P386" t="n">
        <v>-260052.1971646001</v>
      </c>
      <c r="Q386">
        <f>'_live'!$C$22</f>
        <v/>
      </c>
      <c r="T386" t="n">
        <v>0.04237297355042909</v>
      </c>
      <c r="U386" t="n">
        <v>0.05069158420398948</v>
      </c>
      <c r="V386">
        <f>AND(judged_band,NOT($J386))</f>
        <v/>
      </c>
      <c r="W386">
        <f>IF($K386="","",IF($I386,"too few losses to test",IF(AND($K386&gt;better_at,$K386&lt;worse_at),"in line",IF($K386&gt;=worse_at,IF(AND(ISNUMBER($L386),$L386&lt;significance_bar),"worse","worse, not significant"),IF(AND(ISNUMBER($L386),$L386&lt;significance_bar),"better","better, not significant")))))</f>
        <v/>
      </c>
      <c r="X386">
        <f>IF($M386="","",IF($I386,"too few losses to test",IF(AND($M386&gt;better_at,$M386&lt;worse_at),"in line",IF($M386&gt;=worse_at,IF(AND(ISNUMBER($N386),$N386&lt;significance_bar),"worse","worse, not significant"),IF(AND(ISNUMBER($N386),$N386&lt;significance_bar),"better","better, not significant")))))</f>
        <v/>
      </c>
      <c r="Y386">
        <f>IF($V386,$X386,$W386)</f>
        <v/>
      </c>
      <c r="Z386">
        <f>IF($V386,IF($P386="","",$P386),IF($O386="","",$O386))</f>
        <v/>
      </c>
      <c r="AA386">
        <f>IF(OR($Q386="",$Z386=""),"",IF(AND($Z386&gt;0,$Z386&gt;=$Q386),"yes","below the line"))</f>
        <v/>
      </c>
      <c r="AB386">
        <f>IF($V386,IF($M386="","",$M386),IF($K386="","",$K386))</f>
        <v/>
      </c>
      <c r="AC386">
        <f>IF($V386,IF($N386="","",$N386),IF($L386="","",$L386))</f>
        <v/>
      </c>
      <c r="AD386">
        <f>$Y386</f>
        <v/>
      </c>
      <c r="AE386">
        <f>IF($V386,IF($S386="","",$S386),IF($R386="","",$R386))</f>
        <v/>
      </c>
      <c r="AF386">
        <f>IF($V386,IF($U386="","",$U386),IF($T386="","",$T386))</f>
        <v/>
      </c>
      <c r="AG386">
        <f>IF($V386,IF($O386="","",$O386),IF($P386="","",$P386))</f>
        <v/>
      </c>
      <c r="AH386" t="n">
        <v>0.01577834636237685</v>
      </c>
      <c r="AI386">
        <f>IF($Y386="worse","Yes",IF($Y386="worse, not significant","Not sure",IF(OR($Y386="too few losses to test",$Y386="too few loans to test"),"Too few losses",IF($Y386="","","No"))))</f>
        <v/>
      </c>
      <c r="AJ386">
        <f>IF($AA386="yes","Yes",IF($AA386="","","No"))</f>
        <v/>
      </c>
      <c r="AM386">
        <f>IF(AND(ISNUMBER($AC386),ISNUMBER(IF($V386,IF($AL386="","",$AL386),IF($AK386="","",$AK386)))),IF(AND(ABS($AC386-significance_bar)&lt;=2.0*IF($V386,IF($AL386="","",$AL386),IF($AK386="","",$AK386)),OR($Y386="worse",$Y386="better",$Y386="worse, not significant",$Y386="better, not significant")),IF(ROUND($AC386,3)=ROUND(significance_bar,3),TEXT($AC386,"0.0000"),TEXT($AC386,"0.000")),""),"")</f>
        <v/>
      </c>
      <c r="AN386">
        <f>IF(AND(ISNUMBER($AC386),ISNUMBER(IF($V386,IF($AL386="","",$AL386),IF($AK386="","",$AK386)))),IF(AND(ABS($AC386-significance_bar)&lt;=2.0*IF($V386,IF($AL386="","",$AL386),IF($AK386="","",$AK386)),OR($Y386="worse",$Y386="worse, not significant")),IF(ROUND($AC386,3)=ROUND(significance_bar,3),TEXT($AC386,"0.0000"),TEXT($AC386,"0.000")),""),"")</f>
        <v/>
      </c>
      <c r="AO386">
        <f>IF(OR($AI386="",$AN386=""),$AI386,$AI386&amp;" · borderline (p "&amp;$AN386&amp;")")</f>
        <v/>
      </c>
    </row>
    <row r="387">
      <c r="A387" t="inlineStr">
        <is>
          <t>three-way</t>
        </is>
      </c>
      <c r="B387" t="inlineStr">
        <is>
          <t>SHORT_HIST x CHANNEL / REV_DEBT</t>
        </is>
      </c>
      <c r="C387" t="inlineStr">
        <is>
          <t>256.4 - 345.9</t>
        </is>
      </c>
      <c r="D387" t="inlineStr">
        <is>
          <t>Branch / REV_DEBT low half</t>
        </is>
      </c>
      <c r="E387" t="inlineStr">
        <is>
          <t>ranr_rate</t>
        </is>
      </c>
      <c r="F387" t="inlineStr">
        <is>
          <t>Profit after losses: RANR per booked dollar</t>
        </is>
      </c>
      <c r="G387" t="n">
        <v>251</v>
      </c>
      <c r="H387" t="n">
        <v>7488211.500000002</v>
      </c>
      <c r="I387" t="b">
        <v>0</v>
      </c>
      <c r="J387" t="b">
        <v>0</v>
      </c>
      <c r="K387" t="n">
        <v>-0.02097254359705088</v>
      </c>
      <c r="L387" t="n">
        <v>0.1996000399960004</v>
      </c>
      <c r="M387" t="n">
        <v>-0.02776418013597289</v>
      </c>
      <c r="N387" t="n">
        <v>0.1262123787621238</v>
      </c>
      <c r="O387" t="n">
        <v>157046.8421476878</v>
      </c>
      <c r="P387" t="n">
        <v>207904.0529822637</v>
      </c>
      <c r="Q387">
        <f>'_live'!$C$23</f>
        <v/>
      </c>
      <c r="R387" t="inlineStr">
        <is>
          <t>shuffled: 1,080 of 10,000</t>
        </is>
      </c>
      <c r="S387" t="inlineStr">
        <is>
          <t>shuffled: 560 of 10,000</t>
        </is>
      </c>
      <c r="T387" t="n">
        <v>0.12859859689429</v>
      </c>
      <c r="U387" t="n">
        <v>0.135390233433212</v>
      </c>
      <c r="V387">
        <f>AND(judged_band,NOT($J387))</f>
        <v/>
      </c>
      <c r="W387">
        <f>IF($K387="","",IF(profit_kind="test",IF(OR(NOT(AND(ISNUMBER($L387),$L387&lt;significance_bar)),$K387=0),"in line",IF($K387&lt;0,"worse","better")),IF(OR($K387=0,IF(profit_kind="points",ABS($K387),ABS($K387*$H387))&lt;profit_line*(1-1E-9)),"in line",IF(AND(ISNUMBER($L387),$L387&lt;significance_bar),IF($K387&lt;0,"worse","better"),IF($K387&lt;0,"worse, not significant","better, not significant")))))</f>
        <v/>
      </c>
      <c r="X387">
        <f>IF($M387="","",IF(profit_kind="test",IF(OR(NOT(AND(ISNUMBER($N387),$N387&lt;significance_bar)),$M387=0),"in line",IF($M387&lt;0,"worse","better")),IF(OR($M387=0,IF(profit_kind="points",ABS($M387),ABS($M387*$H387))&lt;profit_line*(1-1E-9)),"in line",IF(AND(ISNUMBER($N387),$N387&lt;significance_bar),IF($M387&lt;0,"worse","better"),IF($M387&lt;0,"worse, not significant","better, not significant")))))</f>
        <v/>
      </c>
      <c r="Y387">
        <f>IF($V387,$X387,$W387)</f>
        <v/>
      </c>
      <c r="Z387">
        <f>IF($V387,IF($P387="","",$P387),IF($O387="","",$O387))</f>
        <v/>
      </c>
      <c r="AA387">
        <f>IF(OR($Q387="",$Z387=""),"",IF(AND($Z387&gt;0,$Z387&gt;=$Q387),"yes","below the line"))</f>
        <v/>
      </c>
      <c r="AB387">
        <f>IF($V387,IF($M387="","",$M387),IF($K387="","",$K387))</f>
        <v/>
      </c>
      <c r="AC387">
        <f>IF($V387,IF($N387="","",$N387),IF($L387="","",$L387))</f>
        <v/>
      </c>
      <c r="AD387">
        <f>IF($Y387="","",IF($Y387="in line",IF(profit_kind="test",IF(ROUND($AB387*100,2)=0,"0.00",TEXT($AB387*100,"+0.00;-0.00"))&amp;" points against "&amp;IF($V387,"its band","the book")&amp;", "&amp;IF($AC387="","not tested","not significant"),IF(profit_kind="points","within "&amp;TEXT(profit_line*100,"0.00")&amp;" points of "&amp;IF($V387,"its band","the book")&amp;" ("&amp;IF(ROUND($AB387*100,2)=0,"0.00",TEXT($AB387*100,"+0.00;-0.00"))&amp;")","within $"&amp;TEXT(profit_line,"#,##0")&amp;" of "&amp;IF($V387,"its band","the book")&amp;" ("&amp;IF(ROUND($AB387*100,2)=0,"0.00",TEXT($AB387*100,"+0.00;-0.00"))&amp;" points)")),IF(LEFT($Y387,5)="worse","short of ","ahead of ")&amp;IF($V387,"its band","the book")&amp;" by "&amp;TEXT(ABS($AB387)*100,"0.00")&amp;" points"&amp;IF($Z387="",""," ($"&amp;TEXT(ABS($Z387),"#,##0")&amp;")")&amp;IF(RIGHT($Y387,15)="not significant"," (not significant)","")))</f>
        <v/>
      </c>
      <c r="AE387">
        <f>IF($V387,IF($S387="","",$S387),IF($R387="","",$R387))</f>
        <v/>
      </c>
      <c r="AF387">
        <f>IF($V387,IF($U387="","",$U387),IF($T387="","",$T387))</f>
        <v/>
      </c>
      <c r="AG387">
        <f>IF($V387,IF($O387="","",$O387),IF($P387="","",$P387))</f>
        <v/>
      </c>
      <c r="AH387" t="n">
        <v>0.1076260532972392</v>
      </c>
      <c r="AI387">
        <f>IF($Y387="worse","Yes",IF($Y387="worse, not significant","Not sure",IF(OR($Y387="too few losses to test",$Y387="too few loans to test"),"Too few losses",IF($Y387="","","No"))))</f>
        <v/>
      </c>
      <c r="AJ387">
        <f>IF($AA387="yes","Yes",IF($AA387="","","No"))</f>
        <v/>
      </c>
      <c r="AK387" t="n">
        <v>0.005651901414801887</v>
      </c>
      <c r="AL387" t="n">
        <v>0.005177337999995603</v>
      </c>
      <c r="AM387">
        <f>IF(AND(ISNUMBER($AC387),ISNUMBER(IF($V387,IF($AL387="","",$AL387),IF($AK387="","",$AK387)))),IF(AND(ABS($AC387-significance_bar)&lt;=2.0*IF($V387,IF($AL387="","",$AL387),IF($AK387="","",$AK387)),OR($Y387="worse",$Y387="better",$Y387="worse, not significant",$Y387="better, not significant",AND(profit_kind="test",$Y387="in line",ISNUMBER($AB387),$AB387&lt;&gt;0))),IF(ROUND($AC387,3)=ROUND(significance_bar,3),TEXT($AC387,"0.0000"),TEXT($AC387,"0.000")),""),"")</f>
        <v/>
      </c>
      <c r="AN387">
        <f>IF(AND(ISNUMBER($AC387),ISNUMBER(IF($V387,IF($AL387="","",$AL387),IF($AK387="","",$AK387)))),IF(AND(ABS($AC387-significance_bar)&lt;=2.0*IF($V387,IF($AL387="","",$AL387),IF($AK387="","",$AK387)),OR($Y387="worse",$Y387="worse, not significant",AND(profit_kind="test",$Y387="in line",ISNUMBER($AB387),$AB387&lt;0))),IF(ROUND($AC387,3)=ROUND(significance_bar,3),TEXT($AC387,"0.0000"),TEXT($AC387,"0.000")),""),"")</f>
        <v/>
      </c>
      <c r="AO387">
        <f>IF(OR($AI387="",$AN387=""),$AI387,$AI387&amp;" · borderline (p "&amp;$AN387&amp;")")</f>
        <v/>
      </c>
    </row>
    <row r="388">
      <c r="A388" t="inlineStr">
        <is>
          <t>three-way</t>
        </is>
      </c>
      <c r="B388" t="inlineStr">
        <is>
          <t>SHORT_HIST x CHANNEL / REV_DEBT</t>
        </is>
      </c>
      <c r="C388" t="inlineStr">
        <is>
          <t>256.4 - 345.9</t>
        </is>
      </c>
      <c r="D388" t="inlineStr">
        <is>
          <t>Branch / REV_DEBT low half</t>
        </is>
      </c>
      <c r="E388" t="inlineStr">
        <is>
          <t>contribution_rate</t>
        </is>
      </c>
      <c r="F388" t="inlineStr">
        <is>
          <t>Contribution before losses per booked dollar</t>
        </is>
      </c>
      <c r="G388" t="n">
        <v>250</v>
      </c>
      <c r="H388" t="n">
        <v>7448527.070000001</v>
      </c>
      <c r="I388" t="b">
        <v>0</v>
      </c>
      <c r="J388" t="b">
        <v>0</v>
      </c>
      <c r="K388" t="n">
        <v>-0.04777471536502066</v>
      </c>
      <c r="L388" t="n">
        <v>0.00023997600239976</v>
      </c>
      <c r="M388" t="n">
        <v>-0.0628849625575033</v>
      </c>
      <c r="N388" t="n">
        <v>0.00023997600239976</v>
      </c>
      <c r="O388" t="n">
        <v>355851.2606579014</v>
      </c>
      <c r="P388" t="n">
        <v>468400.3459054998</v>
      </c>
      <c r="Q388">
        <f>'_live'!$C$24</f>
        <v/>
      </c>
      <c r="R388" t="inlineStr">
        <is>
          <t>shuffled: 0 of 10,000</t>
        </is>
      </c>
      <c r="S388" t="inlineStr">
        <is>
          <t>shuffled: 0 of 10,000</t>
        </is>
      </c>
      <c r="T388" t="n">
        <v>0.1709715704447189</v>
      </c>
      <c r="U388" t="n">
        <v>0.1860818176372016</v>
      </c>
      <c r="V388">
        <f>AND(judged_band,NOT($J388))</f>
        <v/>
      </c>
      <c r="W388">
        <f>IF($K388="","",IF(profit_kind="test",IF(OR(NOT(AND(ISNUMBER($L388),$L388&lt;significance_bar)),$K388=0),"in line",IF($K388&lt;0,"worse","better")),IF(OR($K388=0,IF(profit_kind="points",ABS($K388),ABS($K388*$H388))&lt;profit_line*(1-1E-9)),"in line",IF(AND(ISNUMBER($L388),$L388&lt;significance_bar),IF($K388&lt;0,"worse","better"),IF($K388&lt;0,"worse, not significant","better, not significant")))))</f>
        <v/>
      </c>
      <c r="X388">
        <f>IF($M388="","",IF(profit_kind="test",IF(OR(NOT(AND(ISNUMBER($N388),$N388&lt;significance_bar)),$M388=0),"in line",IF($M388&lt;0,"worse","better")),IF(OR($M388=0,IF(profit_kind="points",ABS($M388),ABS($M388*$H388))&lt;profit_line*(1-1E-9)),"in line",IF(AND(ISNUMBER($N388),$N388&lt;significance_bar),IF($M388&lt;0,"worse","better"),IF($M388&lt;0,"worse, not significant","better, not significant")))))</f>
        <v/>
      </c>
      <c r="Y388">
        <f>IF($V388,$X388,$W388)</f>
        <v/>
      </c>
      <c r="Z388">
        <f>IF($V388,IF($P388="","",$P388),IF($O388="","",$O388))</f>
        <v/>
      </c>
      <c r="AA388">
        <f>IF(OR($Q388="",$Z388=""),"",IF(AND($Z388&gt;0,$Z388&gt;=$Q388),"yes","below the line"))</f>
        <v/>
      </c>
      <c r="AB388">
        <f>IF($V388,IF($M388="","",$M388),IF($K388="","",$K388))</f>
        <v/>
      </c>
      <c r="AC388">
        <f>IF($V388,IF($N388="","",$N388),IF($L388="","",$L388))</f>
        <v/>
      </c>
      <c r="AD388">
        <f>IF($Y388="","",IF($Y388="in line",IF(profit_kind="test",IF(ROUND($AB388*100,2)=0,"0.00",TEXT($AB388*100,"+0.00;-0.00"))&amp;" points against "&amp;IF($V388,"its band","the book")&amp;", "&amp;IF($AC388="","not tested","not significant"),IF(profit_kind="points","within "&amp;TEXT(profit_line*100,"0.00")&amp;" points of "&amp;IF($V388,"its band","the book")&amp;" ("&amp;IF(ROUND($AB388*100,2)=0,"0.00",TEXT($AB388*100,"+0.00;-0.00"))&amp;")","within $"&amp;TEXT(profit_line,"#,##0")&amp;" of "&amp;IF($V388,"its band","the book")&amp;" ("&amp;IF(ROUND($AB388*100,2)=0,"0.00",TEXT($AB388*100,"+0.00;-0.00"))&amp;" points)")),IF(LEFT($Y388,5)="worse","short of ","ahead of ")&amp;IF($V388,"its band","the book")&amp;" by "&amp;TEXT(ABS($AB388)*100,"0.00")&amp;" points"&amp;IF($Z388="",""," ($"&amp;TEXT(ABS($Z388),"#,##0")&amp;")")&amp;IF(RIGHT($Y388,15)="not significant"," (not significant)","")))</f>
        <v/>
      </c>
      <c r="AE388">
        <f>IF($V388,IF($S388="","",$S388),IF($R388="","",$R388))</f>
        <v/>
      </c>
      <c r="AF388">
        <f>IF($V388,IF($U388="","",$U388),IF($T388="","",$T388))</f>
        <v/>
      </c>
      <c r="AG388">
        <f>IF($V388,IF($O388="","",$O388),IF($P388="","",$P388))</f>
        <v/>
      </c>
      <c r="AH388" t="n">
        <v>0.1231968550796983</v>
      </c>
      <c r="AI388">
        <f>IF($Y388="worse","Yes",IF($Y388="worse, not significant","Not sure",IF(OR($Y388="too few losses to test",$Y388="too few loans to test"),"Too few losses",IF($Y388="","","No"))))</f>
        <v/>
      </c>
      <c r="AJ388">
        <f>IF($AA388="yes","Yes",IF($AA388="","","No"))</f>
        <v/>
      </c>
      <c r="AK388" t="n">
        <v>0.00023997600239976</v>
      </c>
      <c r="AL388" t="n">
        <v>0.00023997600239976</v>
      </c>
      <c r="AM388">
        <f>IF(AND(ISNUMBER($AC388),ISNUMBER(IF($V388,IF($AL388="","",$AL388),IF($AK388="","",$AK388)))),IF(AND(ABS($AC388-significance_bar)&lt;=2.0*IF($V388,IF($AL388="","",$AL388),IF($AK388="","",$AK388)),OR($Y388="worse",$Y388="better",$Y388="worse, not significant",$Y388="better, not significant",AND(profit_kind="test",$Y388="in line",ISNUMBER($AB388),$AB388&lt;&gt;0))),IF(ROUND($AC388,3)=ROUND(significance_bar,3),TEXT($AC388,"0.0000"),TEXT($AC388,"0.000")),""),"")</f>
        <v/>
      </c>
      <c r="AN388">
        <f>IF(AND(ISNUMBER($AC388),ISNUMBER(IF($V388,IF($AL388="","",$AL388),IF($AK388="","",$AK388)))),IF(AND(ABS($AC388-significance_bar)&lt;=2.0*IF($V388,IF($AL388="","",$AL388),IF($AK388="","",$AK388)),OR($Y388="worse",$Y388="worse, not significant",AND(profit_kind="test",$Y388="in line",ISNUMBER($AB388),$AB388&lt;0))),IF(ROUND($AC388,3)=ROUND(significance_bar,3),TEXT($AC388,"0.0000"),TEXT($AC388,"0.000")),""),"")</f>
        <v/>
      </c>
      <c r="AO388">
        <f>IF(OR($AI388="",$AN388=""),$AI388,$AI388&amp;" · borderline (p "&amp;$AN388&amp;")")</f>
        <v/>
      </c>
    </row>
    <row r="389">
      <c r="A389" t="inlineStr">
        <is>
          <t>three-way</t>
        </is>
      </c>
      <c r="B389" t="inlineStr">
        <is>
          <t>SHORT_HIST x CHANNEL / REV_DEBT</t>
        </is>
      </c>
      <c r="C389" t="inlineStr">
        <is>
          <t>0.0 - 88.9</t>
        </is>
      </c>
      <c r="D389" t="inlineStr">
        <is>
          <t>Branch / REV_DEBT high half</t>
        </is>
      </c>
      <c r="E389" t="inlineStr">
        <is>
          <t>outcome_loans</t>
        </is>
      </c>
      <c r="F389" t="inlineStr">
        <is>
          <t>Outcome, share of loans</t>
        </is>
      </c>
      <c r="G389" t="n">
        <v>253</v>
      </c>
      <c r="H389" t="n">
        <v>253</v>
      </c>
      <c r="I389" t="b">
        <v>0</v>
      </c>
      <c r="J389" t="b">
        <v>0</v>
      </c>
      <c r="K389" t="n">
        <v>1.181513117754728</v>
      </c>
      <c r="L389" t="n">
        <v>0.447725752459708</v>
      </c>
      <c r="M389" t="n">
        <v>1.173636363636364</v>
      </c>
      <c r="N389" t="n">
        <v>0.5091814917333847</v>
      </c>
      <c r="O389" t="n">
        <v>3.533436612445133</v>
      </c>
      <c r="P389" t="n">
        <v>3.402788536018591</v>
      </c>
      <c r="Q389">
        <f>'_live'!$C$20</f>
        <v/>
      </c>
      <c r="R389" t="inlineStr">
        <is>
          <t>z test</t>
        </is>
      </c>
      <c r="S389" t="inlineStr">
        <is>
          <t>z test</t>
        </is>
      </c>
      <c r="T389" t="n">
        <v>0.07694293829073071</v>
      </c>
      <c r="U389" t="n">
        <v>0.07745933384972889</v>
      </c>
      <c r="V389">
        <f>AND(judged_band,NOT($J389))</f>
        <v/>
      </c>
      <c r="W389">
        <f>IF($K389="","",IF($I389,"too few losses to test",IF(AND($K389&gt;better_at,$K389&lt;worse_at),"in line",IF($K389&gt;=worse_at,IF(AND(ISNUMBER($L389),$L389&lt;significance_bar),"worse","worse, not significant"),IF(AND(ISNUMBER($L389),$L389&lt;significance_bar),"better","better, not significant")))))</f>
        <v/>
      </c>
      <c r="X389">
        <f>IF($M389="","",IF($I389,"too few losses to test",IF(AND($M389&gt;better_at,$M389&lt;worse_at),"in line",IF($M389&gt;=worse_at,IF(AND(ISNUMBER($N389),$N389&lt;significance_bar),"worse","worse, not significant"),IF(AND(ISNUMBER($N389),$N389&lt;significance_bar),"better","better, not significant")))))</f>
        <v/>
      </c>
      <c r="Y389">
        <f>IF($V389,$X389,$W389)</f>
        <v/>
      </c>
      <c r="Z389">
        <f>IF($V389,IF($P389="","",$P389),IF($O389="","",$O389))</f>
        <v/>
      </c>
      <c r="AA389">
        <f>IF(OR($Q389="",$Z389=""),"",IF(AND($Z389&gt;0,$Z389&gt;=$Q389),"yes","below the line"))</f>
        <v/>
      </c>
      <c r="AB389">
        <f>IF($V389,IF($M389="","",$M389),IF($K389="","",$K389))</f>
        <v/>
      </c>
      <c r="AC389">
        <f>IF($V389,IF($N389="","",$N389),IF($L389="","",$L389))</f>
        <v/>
      </c>
      <c r="AD389">
        <f>$Y389</f>
        <v/>
      </c>
      <c r="AE389">
        <f>IF($V389,IF($S389="","",$S389),IF($R389="","",$R389))</f>
        <v/>
      </c>
      <c r="AF389">
        <f>IF($V389,IF($U389="","",$U389),IF($T389="","",$T389))</f>
        <v/>
      </c>
      <c r="AG389">
        <f>IF($V389,IF($O389="","",$O389),IF($P389="","",$P389))</f>
        <v/>
      </c>
      <c r="AH389" t="n">
        <v>0.09090909090909091</v>
      </c>
      <c r="AI389">
        <f>IF($Y389="worse","Yes",IF($Y389="worse, not significant","Not sure",IF(OR($Y389="too few losses to test",$Y389="too few loans to test"),"Too few losses",IF($Y389="","","No"))))</f>
        <v/>
      </c>
      <c r="AJ389">
        <f>IF($AA389="yes","Yes",IF($AA389="","","No"))</f>
        <v/>
      </c>
      <c r="AM389">
        <f>IF(AND(ISNUMBER($AC389),ISNUMBER(IF($V389,IF($AL389="","",$AL389),IF($AK389="","",$AK389)))),IF(AND(ABS($AC389-significance_bar)&lt;=2.0*IF($V389,IF($AL389="","",$AL389),IF($AK389="","",$AK389)),OR($Y389="worse",$Y389="better",$Y389="worse, not significant",$Y389="better, not significant")),IF(ROUND($AC389,3)=ROUND(significance_bar,3),TEXT($AC389,"0.0000"),TEXT($AC389,"0.000")),""),"")</f>
        <v/>
      </c>
      <c r="AN389">
        <f>IF(AND(ISNUMBER($AC389),ISNUMBER(IF($V389,IF($AL389="","",$AL389),IF($AK389="","",$AK389)))),IF(AND(ABS($AC389-significance_bar)&lt;=2.0*IF($V389,IF($AL389="","",$AL389),IF($AK389="","",$AK389)),OR($Y389="worse",$Y389="worse, not significant")),IF(ROUND($AC389,3)=ROUND(significance_bar,3),TEXT($AC389,"0.0000"),TEXT($AC389,"0.000")),""),"")</f>
        <v/>
      </c>
      <c r="AO389">
        <f>IF(OR($AI389="",$AN389=""),$AI389,$AI389&amp;" · borderline (p "&amp;$AN389&amp;")")</f>
        <v/>
      </c>
    </row>
    <row r="390">
      <c r="A390" t="inlineStr">
        <is>
          <t>three-way</t>
        </is>
      </c>
      <c r="B390" t="inlineStr">
        <is>
          <t>SHORT_HIST x CHANNEL / REV_DEBT</t>
        </is>
      </c>
      <c r="C390" t="inlineStr">
        <is>
          <t>0.0 - 88.9</t>
        </is>
      </c>
      <c r="D390" t="inlineStr">
        <is>
          <t>Branch / REV_DEBT high half</t>
        </is>
      </c>
      <c r="E390" t="inlineStr">
        <is>
          <t>outcome_booked</t>
        </is>
      </c>
      <c r="F390" t="inlineStr">
        <is>
          <t>Outcome, share of booked dollars</t>
        </is>
      </c>
      <c r="G390" t="n">
        <v>253</v>
      </c>
      <c r="H390" t="n">
        <v>8283077.050000005</v>
      </c>
      <c r="I390" t="b">
        <v>0</v>
      </c>
      <c r="J390" t="b">
        <v>0</v>
      </c>
      <c r="K390" t="n">
        <v>1.228724039364993</v>
      </c>
      <c r="L390" t="n">
        <v>0.4372290043722901</v>
      </c>
      <c r="M390" t="n">
        <v>1.209586475643649</v>
      </c>
      <c r="N390" t="n">
        <v>0.480951904809519</v>
      </c>
      <c r="O390" t="n">
        <v>140732.8978211118</v>
      </c>
      <c r="P390" t="n">
        <v>130997.9518518532</v>
      </c>
      <c r="Q390">
        <f>'_live'!$C$21</f>
        <v/>
      </c>
      <c r="R390" t="inlineStr">
        <is>
          <t>shuffled: 3,594 of 10,000</t>
        </is>
      </c>
      <c r="S390" t="inlineStr">
        <is>
          <t>shuffled: 4,439 of 10,000</t>
        </is>
      </c>
      <c r="T390" t="n">
        <v>0.07428345872732016</v>
      </c>
      <c r="U390" t="n">
        <v>0.07545874007632784</v>
      </c>
      <c r="V390">
        <f>AND(judged_band,NOT($J390))</f>
        <v/>
      </c>
      <c r="W390">
        <f>IF($K390="","",IF($I390,"too few losses to test",IF(AND($K390&gt;better_at,$K390&lt;worse_at),"in line",IF($K390&gt;=worse_at,IF(AND(ISNUMBER($L390),$L390&lt;significance_bar),"worse","worse, not significant"),IF(AND(ISNUMBER($L390),$L390&lt;significance_bar),"better","better, not significant")))))</f>
        <v/>
      </c>
      <c r="X390">
        <f>IF($M390="","",IF($I390,"too few losses to test",IF(AND($M390&gt;better_at,$M390&lt;worse_at),"in line",IF($M390&gt;=worse_at,IF(AND(ISNUMBER($N390),$N390&lt;significance_bar),"worse","worse, not significant"),IF(AND(ISNUMBER($N390),$N390&lt;significance_bar),"better","better, not significant")))))</f>
        <v/>
      </c>
      <c r="Y390">
        <f>IF($V390,$X390,$W390)</f>
        <v/>
      </c>
      <c r="Z390">
        <f>IF($V390,IF($P390="","",$P390),IF($O390="","",$O390))</f>
        <v/>
      </c>
      <c r="AA390">
        <f>IF(OR($Q390="",$Z390=""),"",IF(AND($Z390&gt;0,$Z390&gt;=$Q390),"yes","below the line"))</f>
        <v/>
      </c>
      <c r="AB390">
        <f>IF($V390,IF($M390="","",$M390),IF($K390="","",$K390))</f>
        <v/>
      </c>
      <c r="AC390">
        <f>IF($V390,IF($N390="","",$N390),IF($L390="","",$L390))</f>
        <v/>
      </c>
      <c r="AD390">
        <f>$Y390</f>
        <v/>
      </c>
      <c r="AE390">
        <f>IF($V390,IF($S390="","",$S390),IF($R390="","",$R390))</f>
        <v/>
      </c>
      <c r="AF390">
        <f>IF($V390,IF($U390="","",$U390),IF($T390="","",$T390))</f>
        <v/>
      </c>
      <c r="AG390">
        <f>IF($V390,IF($O390="","",$O390),IF($P390="","",$P390))</f>
        <v/>
      </c>
      <c r="AH390" t="n">
        <v>0.0912738714654356</v>
      </c>
      <c r="AI390">
        <f>IF($Y390="worse","Yes",IF($Y390="worse, not significant","Not sure",IF(OR($Y390="too few losses to test",$Y390="too few loans to test"),"Too few losses",IF($Y390="","","No"))))</f>
        <v/>
      </c>
      <c r="AJ390">
        <f>IF($AA390="yes","Yes",IF($AA390="","","No"))</f>
        <v/>
      </c>
      <c r="AK390" t="n">
        <v>0.005705751350357372</v>
      </c>
      <c r="AL390" t="n">
        <v>0.005382531890016144</v>
      </c>
      <c r="AM390">
        <f>IF(AND(ISNUMBER($AC390),ISNUMBER(IF($V390,IF($AL390="","",$AL390),IF($AK390="","",$AK390)))),IF(AND(ABS($AC390-significance_bar)&lt;=2.0*IF($V390,IF($AL390="","",$AL390),IF($AK390="","",$AK390)),OR($Y390="worse",$Y390="better",$Y390="worse, not significant",$Y390="better, not significant")),IF(ROUND($AC390,3)=ROUND(significance_bar,3),TEXT($AC390,"0.0000"),TEXT($AC390,"0.000")),""),"")</f>
        <v/>
      </c>
      <c r="AN390">
        <f>IF(AND(ISNUMBER($AC390),ISNUMBER(IF($V390,IF($AL390="","",$AL390),IF($AK390="","",$AK390)))),IF(AND(ABS($AC390-significance_bar)&lt;=2.0*IF($V390,IF($AL390="","",$AL390),IF($AK390="","",$AK390)),OR($Y390="worse",$Y390="worse, not significant")),IF(ROUND($AC390,3)=ROUND(significance_bar,3),TEXT($AC390,"0.0000"),TEXT($AC390,"0.000")),""),"")</f>
        <v/>
      </c>
      <c r="AO390">
        <f>IF(OR($AI390="",$AN390=""),$AI390,$AI390&amp;" · borderline (p "&amp;$AN390&amp;")")</f>
        <v/>
      </c>
    </row>
    <row r="391">
      <c r="A391" t="inlineStr">
        <is>
          <t>three-way</t>
        </is>
      </c>
      <c r="B391" t="inlineStr">
        <is>
          <t>SHORT_HIST x CHANNEL / REV_DEBT</t>
        </is>
      </c>
      <c r="C391" t="inlineStr">
        <is>
          <t>0.0 - 88.9</t>
        </is>
      </c>
      <c r="D391" t="inlineStr">
        <is>
          <t>Branch / REV_DEBT high half</t>
        </is>
      </c>
      <c r="E391" t="inlineStr">
        <is>
          <t>gco_rate</t>
        </is>
      </c>
      <c r="F391" t="inlineStr">
        <is>
          <t>GCO per booked dollar</t>
        </is>
      </c>
      <c r="G391" t="n">
        <v>254</v>
      </c>
      <c r="H391" t="n">
        <v>8320065.060000005</v>
      </c>
      <c r="I391" t="b">
        <v>0</v>
      </c>
      <c r="J391" t="b">
        <v>0</v>
      </c>
      <c r="K391" t="n">
        <v>1.241366472247541</v>
      </c>
      <c r="L391" t="n">
        <v>0.4489751024897511</v>
      </c>
      <c r="M391" t="n">
        <v>1.232461145067216</v>
      </c>
      <c r="N391" t="n">
        <v>0.4625276602774506</v>
      </c>
      <c r="O391" t="n">
        <v>82905.82052192482</v>
      </c>
      <c r="P391" t="n">
        <v>80423.91798779037</v>
      </c>
      <c r="Q391">
        <f>'_live'!$C$22</f>
        <v/>
      </c>
      <c r="R391" t="inlineStr">
        <is>
          <t>shuffled: 3,453 of 10,000</t>
        </is>
      </c>
      <c r="S391" t="inlineStr">
        <is>
          <t>shuffled: 4,091 of 10,000</t>
        </is>
      </c>
      <c r="T391" t="n">
        <v>0.04128396076245046</v>
      </c>
      <c r="U391" t="n">
        <v>0.04158226402285002</v>
      </c>
      <c r="V391">
        <f>AND(judged_band,NOT($J391))</f>
        <v/>
      </c>
      <c r="W391">
        <f>IF($K391="","",IF($I391,"too few losses to test",IF(AND($K391&gt;better_at,$K391&lt;worse_at),"in line",IF($K391&gt;=worse_at,IF(AND(ISNUMBER($L391),$L391&lt;significance_bar),"worse","worse, not significant"),IF(AND(ISNUMBER($L391),$L391&lt;significance_bar),"better","better, not significant")))))</f>
        <v/>
      </c>
      <c r="X391">
        <f>IF($M391="","",IF($I391,"too few losses to test",IF(AND($M391&gt;better_at,$M391&lt;worse_at),"in line",IF($M391&gt;=worse_at,IF(AND(ISNUMBER($N391),$N391&lt;significance_bar),"worse","worse, not significant"),IF(AND(ISNUMBER($N391),$N391&lt;significance_bar),"better","better, not significant")))))</f>
        <v/>
      </c>
      <c r="Y391">
        <f>IF($V391,$X391,$W391)</f>
        <v/>
      </c>
      <c r="Z391">
        <f>IF($V391,IF($P391="","",$P391),IF($O391="","",$O391))</f>
        <v/>
      </c>
      <c r="AA391">
        <f>IF(OR($Q391="",$Z391=""),"",IF(AND($Z391&gt;0,$Z391&gt;=$Q391),"yes","below the line"))</f>
        <v/>
      </c>
      <c r="AB391">
        <f>IF($V391,IF($M391="","",$M391),IF($K391="","",$K391))</f>
        <v/>
      </c>
      <c r="AC391">
        <f>IF($V391,IF($N391="","",$N391),IF($L391="","",$L391))</f>
        <v/>
      </c>
      <c r="AD391">
        <f>$Y391</f>
        <v/>
      </c>
      <c r="AE391">
        <f>IF($V391,IF($S391="","",$S391),IF($R391="","",$R391))</f>
        <v/>
      </c>
      <c r="AF391">
        <f>IF($V391,IF($U391="","",$U391),IF($T391="","",$T391))</f>
        <v/>
      </c>
      <c r="AG391">
        <f>IF($V391,IF($O391="","",$O391),IF($P391="","",$P391))</f>
        <v/>
      </c>
      <c r="AH391" t="n">
        <v>0.05124852473208903</v>
      </c>
      <c r="AI391">
        <f>IF($Y391="worse","Yes",IF($Y391="worse, not significant","Not sure",IF(OR($Y391="too few losses to test",$Y391="too few loans to test"),"Too few losses",IF($Y391="","","No"))))</f>
        <v/>
      </c>
      <c r="AJ391">
        <f>IF($AA391="yes","Yes",IF($AA391="","","No"))</f>
        <v/>
      </c>
      <c r="AK391" t="n">
        <v>0.006181334731115876</v>
      </c>
      <c r="AL391" t="n">
        <v>0.005558106859124928</v>
      </c>
      <c r="AM391">
        <f>IF(AND(ISNUMBER($AC391),ISNUMBER(IF($V391,IF($AL391="","",$AL391),IF($AK391="","",$AK391)))),IF(AND(ABS($AC391-significance_bar)&lt;=2.0*IF($V391,IF($AL391="","",$AL391),IF($AK391="","",$AK391)),OR($Y391="worse",$Y391="better",$Y391="worse, not significant",$Y391="better, not significant")),IF(ROUND($AC391,3)=ROUND(significance_bar,3),TEXT($AC391,"0.0000"),TEXT($AC391,"0.000")),""),"")</f>
        <v/>
      </c>
      <c r="AN391">
        <f>IF(AND(ISNUMBER($AC391),ISNUMBER(IF($V391,IF($AL391="","",$AL391),IF($AK391="","",$AK391)))),IF(AND(ABS($AC391-significance_bar)&lt;=2.0*IF($V391,IF($AL391="","",$AL391),IF($AK391="","",$AK391)),OR($Y391="worse",$Y391="worse, not significant")),IF(ROUND($AC391,3)=ROUND(significance_bar,3),TEXT($AC391,"0.0000"),TEXT($AC391,"0.000")),""),"")</f>
        <v/>
      </c>
      <c r="AO391">
        <f>IF(OR($AI391="",$AN391=""),$AI391,$AI391&amp;" · borderline (p "&amp;$AN391&amp;")")</f>
        <v/>
      </c>
    </row>
    <row r="392">
      <c r="A392" t="inlineStr">
        <is>
          <t>three-way</t>
        </is>
      </c>
      <c r="B392" t="inlineStr">
        <is>
          <t>SHORT_HIST x CHANNEL / REV_DEBT</t>
        </is>
      </c>
      <c r="C392" t="inlineStr">
        <is>
          <t>0.0 - 88.9</t>
        </is>
      </c>
      <c r="D392" t="inlineStr">
        <is>
          <t>Branch / REV_DEBT high half</t>
        </is>
      </c>
      <c r="E392" t="inlineStr">
        <is>
          <t>ranr_rate</t>
        </is>
      </c>
      <c r="F392" t="inlineStr">
        <is>
          <t>Profit after losses: RANR per booked dollar</t>
        </is>
      </c>
      <c r="G392" t="n">
        <v>254</v>
      </c>
      <c r="H392" t="n">
        <v>8320065.060000005</v>
      </c>
      <c r="I392" t="b">
        <v>0</v>
      </c>
      <c r="J392" t="b">
        <v>0</v>
      </c>
      <c r="K392" t="n">
        <v>0.010705406063308</v>
      </c>
      <c r="L392" t="n">
        <v>0.6212378762123788</v>
      </c>
      <c r="M392" t="n">
        <v>0.01512780535165037</v>
      </c>
      <c r="N392" t="n">
        <v>0.4090630936906309</v>
      </c>
      <c r="O392" t="n">
        <v>-89069.67494044104</v>
      </c>
      <c r="P392" t="n">
        <v>-125864.3247407473</v>
      </c>
      <c r="Q392">
        <f>'_live'!$C$23</f>
        <v/>
      </c>
      <c r="R392" t="inlineStr">
        <is>
          <t>shuffled: 4,141 of 10,000</t>
        </is>
      </c>
      <c r="S392" t="inlineStr">
        <is>
          <t>shuffled: 2,840 of 10,000</t>
        </is>
      </c>
      <c r="T392" t="n">
        <v>0.1276449099136682</v>
      </c>
      <c r="U392" t="n">
        <v>0.1232225106253258</v>
      </c>
      <c r="V392">
        <f>AND(judged_band,NOT($J392))</f>
        <v/>
      </c>
      <c r="W392">
        <f>IF($K392="","",IF(profit_kind="test",IF(OR(NOT(AND(ISNUMBER($L392),$L392&lt;significance_bar)),$K392=0),"in line",IF($K392&lt;0,"worse","better")),IF(OR($K392=0,IF(profit_kind="points",ABS($K392),ABS($K392*$H392))&lt;profit_line*(1-1E-9)),"in line",IF(AND(ISNUMBER($L392),$L392&lt;significance_bar),IF($K392&lt;0,"worse","better"),IF($K392&lt;0,"worse, not significant","better, not significant")))))</f>
        <v/>
      </c>
      <c r="X392">
        <f>IF($M392="","",IF(profit_kind="test",IF(OR(NOT(AND(ISNUMBER($N392),$N392&lt;significance_bar)),$M392=0),"in line",IF($M392&lt;0,"worse","better")),IF(OR($M392=0,IF(profit_kind="points",ABS($M392),ABS($M392*$H392))&lt;profit_line*(1-1E-9)),"in line",IF(AND(ISNUMBER($N392),$N392&lt;significance_bar),IF($M392&lt;0,"worse","better"),IF($M392&lt;0,"worse, not significant","better, not significant")))))</f>
        <v/>
      </c>
      <c r="Y392">
        <f>IF($V392,$X392,$W392)</f>
        <v/>
      </c>
      <c r="Z392">
        <f>IF($V392,IF($P392="","",$P392),IF($O392="","",$O392))</f>
        <v/>
      </c>
      <c r="AA392">
        <f>IF(OR($Q392="",$Z392=""),"",IF(AND($Z392&gt;0,$Z392&gt;=$Q392),"yes","below the line"))</f>
        <v/>
      </c>
      <c r="AB392">
        <f>IF($V392,IF($M392="","",$M392),IF($K392="","",$K392))</f>
        <v/>
      </c>
      <c r="AC392">
        <f>IF($V392,IF($N392="","",$N392),IF($L392="","",$L392))</f>
        <v/>
      </c>
      <c r="AD392">
        <f>IF($Y392="","",IF($Y392="in line",IF(profit_kind="test",IF(ROUND($AB392*100,2)=0,"0.00",TEXT($AB392*100,"+0.00;-0.00"))&amp;" points against "&amp;IF($V392,"its band","the book")&amp;", "&amp;IF($AC392="","not tested","not significant"),IF(profit_kind="points","within "&amp;TEXT(profit_line*100,"0.00")&amp;" points of "&amp;IF($V392,"its band","the book")&amp;" ("&amp;IF(ROUND($AB392*100,2)=0,"0.00",TEXT($AB392*100,"+0.00;-0.00"))&amp;")","within $"&amp;TEXT(profit_line,"#,##0")&amp;" of "&amp;IF($V392,"its band","the book")&amp;" ("&amp;IF(ROUND($AB392*100,2)=0,"0.00",TEXT($AB392*100,"+0.00;-0.00"))&amp;" points)")),IF(LEFT($Y392,5)="worse","short of ","ahead of ")&amp;IF($V392,"its band","the book")&amp;" by "&amp;TEXT(ABS($AB392)*100,"0.00")&amp;" points"&amp;IF($Z392="",""," ($"&amp;TEXT(ABS($Z392),"#,##0")&amp;")")&amp;IF(RIGHT($Y392,15)="not significant"," (not significant)","")))</f>
        <v/>
      </c>
      <c r="AE392">
        <f>IF($V392,IF($S392="","",$S392),IF($R392="","",$R392))</f>
        <v/>
      </c>
      <c r="AF392">
        <f>IF($V392,IF($U392="","",$U392),IF($T392="","",$T392))</f>
        <v/>
      </c>
      <c r="AG392">
        <f>IF($V392,IF($O392="","",$O392),IF($P392="","",$P392))</f>
        <v/>
      </c>
      <c r="AH392" t="n">
        <v>0.1383503159769762</v>
      </c>
      <c r="AI392">
        <f>IF($Y392="worse","Yes",IF($Y392="worse, not significant","Not sure",IF(OR($Y392="too few losses to test",$Y392="too few loans to test"),"Too few losses",IF($Y392="","","No"))))</f>
        <v/>
      </c>
      <c r="AJ392">
        <f>IF($AA392="yes","Yes",IF($AA392="","","No"))</f>
        <v/>
      </c>
      <c r="AK392" t="n">
        <v>0.00738864206385518</v>
      </c>
      <c r="AL392" t="n">
        <v>0.006493983679489491</v>
      </c>
      <c r="AM392">
        <f>IF(AND(ISNUMBER($AC392),ISNUMBER(IF($V392,IF($AL392="","",$AL392),IF($AK392="","",$AK392)))),IF(AND(ABS($AC392-significance_bar)&lt;=2.0*IF($V392,IF($AL392="","",$AL392),IF($AK392="","",$AK392)),OR($Y392="worse",$Y392="better",$Y392="worse, not significant",$Y392="better, not significant",AND(profit_kind="test",$Y392="in line",ISNUMBER($AB392),$AB392&lt;&gt;0))),IF(ROUND($AC392,3)=ROUND(significance_bar,3),TEXT($AC392,"0.0000"),TEXT($AC392,"0.000")),""),"")</f>
        <v/>
      </c>
      <c r="AN392">
        <f>IF(AND(ISNUMBER($AC392),ISNUMBER(IF($V392,IF($AL392="","",$AL392),IF($AK392="","",$AK392)))),IF(AND(ABS($AC392-significance_bar)&lt;=2.0*IF($V392,IF($AL392="","",$AL392),IF($AK392="","",$AK392)),OR($Y392="worse",$Y392="worse, not significant",AND(profit_kind="test",$Y392="in line",ISNUMBER($AB392),$AB392&lt;0))),IF(ROUND($AC392,3)=ROUND(significance_bar,3),TEXT($AC392,"0.0000"),TEXT($AC392,"0.000")),""),"")</f>
        <v/>
      </c>
      <c r="AO392">
        <f>IF(OR($AI392="",$AN392=""),$AI392,$AI392&amp;" · borderline (p "&amp;$AN392&amp;")")</f>
        <v/>
      </c>
    </row>
    <row r="393">
      <c r="A393" t="inlineStr">
        <is>
          <t>three-way</t>
        </is>
      </c>
      <c r="B393" t="inlineStr">
        <is>
          <t>SHORT_HIST x CHANNEL / REV_DEBT</t>
        </is>
      </c>
      <c r="C393" t="inlineStr">
        <is>
          <t>0.0 - 88.9</t>
        </is>
      </c>
      <c r="D393" t="inlineStr">
        <is>
          <t>Branch / REV_DEBT high half</t>
        </is>
      </c>
      <c r="E393" t="inlineStr">
        <is>
          <t>contribution_rate</t>
        </is>
      </c>
      <c r="F393" t="inlineStr">
        <is>
          <t>Contribution before losses per booked dollar</t>
        </is>
      </c>
      <c r="G393" t="n">
        <v>254</v>
      </c>
      <c r="H393" t="n">
        <v>8320065.060000005</v>
      </c>
      <c r="I393" t="b">
        <v>0</v>
      </c>
      <c r="J393" t="b">
        <v>0</v>
      </c>
      <c r="K393" t="n">
        <v>0.02067297939753071</v>
      </c>
      <c r="L393" t="n">
        <v>0.02270542176551576</v>
      </c>
      <c r="M393" t="n">
        <v>0.02479406606088941</v>
      </c>
      <c r="N393" t="n">
        <v>0.0070659600706596</v>
      </c>
      <c r="O393" t="n">
        <v>-172000.5335714952</v>
      </c>
      <c r="P393" t="n">
        <v>-206288.2427285381</v>
      </c>
      <c r="Q393">
        <f>'_live'!$C$24</f>
        <v/>
      </c>
      <c r="R393" t="inlineStr">
        <is>
          <t>shuffled: 163 of 10,000</t>
        </is>
      </c>
      <c r="S393" t="inlineStr">
        <is>
          <t>shuffled: 52 of 10,000</t>
        </is>
      </c>
      <c r="T393" t="n">
        <v>0.1689258613115345</v>
      </c>
      <c r="U393" t="n">
        <v>0.1648047746481758</v>
      </c>
      <c r="V393">
        <f>AND(judged_band,NOT($J393))</f>
        <v/>
      </c>
      <c r="W393">
        <f>IF($K393="","",IF(profit_kind="test",IF(OR(NOT(AND(ISNUMBER($L393),$L393&lt;significance_bar)),$K393=0),"in line",IF($K393&lt;0,"worse","better")),IF(OR($K393=0,IF(profit_kind="points",ABS($K393),ABS($K393*$H393))&lt;profit_line*(1-1E-9)),"in line",IF(AND(ISNUMBER($L393),$L393&lt;significance_bar),IF($K393&lt;0,"worse","better"),IF($K393&lt;0,"worse, not significant","better, not significant")))))</f>
        <v/>
      </c>
      <c r="X393">
        <f>IF($M393="","",IF(profit_kind="test",IF(OR(NOT(AND(ISNUMBER($N393),$N393&lt;significance_bar)),$M393=0),"in line",IF($M393&lt;0,"worse","better")),IF(OR($M393=0,IF(profit_kind="points",ABS($M393),ABS($M393*$H393))&lt;profit_line*(1-1E-9)),"in line",IF(AND(ISNUMBER($N393),$N393&lt;significance_bar),IF($M393&lt;0,"worse","better"),IF($M393&lt;0,"worse, not significant","better, not significant")))))</f>
        <v/>
      </c>
      <c r="Y393">
        <f>IF($V393,$X393,$W393)</f>
        <v/>
      </c>
      <c r="Z393">
        <f>IF($V393,IF($P393="","",$P393),IF($O393="","",$O393))</f>
        <v/>
      </c>
      <c r="AA393">
        <f>IF(OR($Q393="",$Z393=""),"",IF(AND($Z393&gt;0,$Z393&gt;=$Q393),"yes","below the line"))</f>
        <v/>
      </c>
      <c r="AB393">
        <f>IF($V393,IF($M393="","",$M393),IF($K393="","",$K393))</f>
        <v/>
      </c>
      <c r="AC393">
        <f>IF($V393,IF($N393="","",$N393),IF($L393="","",$L393))</f>
        <v/>
      </c>
      <c r="AD393">
        <f>IF($Y393="","",IF($Y393="in line",IF(profit_kind="test",IF(ROUND($AB393*100,2)=0,"0.00",TEXT($AB393*100,"+0.00;-0.00"))&amp;" points against "&amp;IF($V393,"its band","the book")&amp;", "&amp;IF($AC393="","not tested","not significant"),IF(profit_kind="points","within "&amp;TEXT(profit_line*100,"0.00")&amp;" points of "&amp;IF($V393,"its band","the book")&amp;" ("&amp;IF(ROUND($AB393*100,2)=0,"0.00",TEXT($AB393*100,"+0.00;-0.00"))&amp;")","within $"&amp;TEXT(profit_line,"#,##0")&amp;" of "&amp;IF($V393,"its band","the book")&amp;" ("&amp;IF(ROUND($AB393*100,2)=0,"0.00",TEXT($AB393*100,"+0.00;-0.00"))&amp;" points)")),IF(LEFT($Y393,5)="worse","short of ","ahead of ")&amp;IF($V393,"its band","the book")&amp;" by "&amp;TEXT(ABS($AB393)*100,"0.00")&amp;" points"&amp;IF($Z393="",""," ($"&amp;TEXT(ABS($Z393),"#,##0")&amp;")")&amp;IF(RIGHT($Y393,15)="not significant"," (not significant)","")))</f>
        <v/>
      </c>
      <c r="AE393">
        <f>IF($V393,IF($S393="","",$S393),IF($R393="","",$R393))</f>
        <v/>
      </c>
      <c r="AF393">
        <f>IF($V393,IF($U393="","",$U393),IF($T393="","",$T393))</f>
        <v/>
      </c>
      <c r="AG393">
        <f>IF($V393,IF($O393="","",$O393),IF($P393="","",$P393))</f>
        <v/>
      </c>
      <c r="AH393" t="n">
        <v>0.1895988407090652</v>
      </c>
      <c r="AI393">
        <f>IF($Y393="worse","Yes",IF($Y393="worse, not significant","Not sure",IF(OR($Y393="too few losses to test",$Y393="too few loans to test"),"Too few losses",IF($Y393="","","No"))))</f>
        <v/>
      </c>
      <c r="AJ393">
        <f>IF($AA393="yes","Yes",IF($AA393="","","No"))</f>
        <v/>
      </c>
      <c r="AK393" t="n">
        <v>0.001758486284085383</v>
      </c>
      <c r="AL393" t="n">
        <v>0.0009680574519362291</v>
      </c>
      <c r="AM393">
        <f>IF(AND(ISNUMBER($AC393),ISNUMBER(IF($V393,IF($AL393="","",$AL393),IF($AK393="","",$AK393)))),IF(AND(ABS($AC393-significance_bar)&lt;=2.0*IF($V393,IF($AL393="","",$AL393),IF($AK393="","",$AK393)),OR($Y393="worse",$Y393="better",$Y393="worse, not significant",$Y393="better, not significant",AND(profit_kind="test",$Y393="in line",ISNUMBER($AB393),$AB393&lt;&gt;0))),IF(ROUND($AC393,3)=ROUND(significance_bar,3),TEXT($AC393,"0.0000"),TEXT($AC393,"0.000")),""),"")</f>
        <v/>
      </c>
      <c r="AN393">
        <f>IF(AND(ISNUMBER($AC393),ISNUMBER(IF($V393,IF($AL393="","",$AL393),IF($AK393="","",$AK393)))),IF(AND(ABS($AC393-significance_bar)&lt;=2.0*IF($V393,IF($AL393="","",$AL393),IF($AK393="","",$AK393)),OR($Y393="worse",$Y393="worse, not significant",AND(profit_kind="test",$Y393="in line",ISNUMBER($AB393),$AB393&lt;0))),IF(ROUND($AC393,3)=ROUND(significance_bar,3),TEXT($AC393,"0.0000"),TEXT($AC393,"0.000")),""),"")</f>
        <v/>
      </c>
      <c r="AO393">
        <f>IF(OR($AI393="",$AN393=""),$AI393,$AI393&amp;" · borderline (p "&amp;$AN393&amp;")")</f>
        <v/>
      </c>
    </row>
    <row r="394">
      <c r="A394" t="inlineStr">
        <is>
          <t>three-way</t>
        </is>
      </c>
      <c r="B394" t="inlineStr">
        <is>
          <t>SHORT_HIST x CHANNEL / REV_DEBT</t>
        </is>
      </c>
      <c r="C394" t="inlineStr">
        <is>
          <t>172.0 - 256.3</t>
        </is>
      </c>
      <c r="D394" t="inlineStr">
        <is>
          <t>Branch / REV_DEBT high half</t>
        </is>
      </c>
      <c r="E394" t="inlineStr">
        <is>
          <t>outcome_loans</t>
        </is>
      </c>
      <c r="F394" t="inlineStr">
        <is>
          <t>Outcome, share of loans</t>
        </is>
      </c>
      <c r="G394" t="n">
        <v>260</v>
      </c>
      <c r="H394" t="n">
        <v>260</v>
      </c>
      <c r="I394" t="b">
        <v>0</v>
      </c>
      <c r="J394" t="b">
        <v>0</v>
      </c>
      <c r="K394" t="n">
        <v>0.8405507283414261</v>
      </c>
      <c r="L394" t="n">
        <v>0.4800606811750702</v>
      </c>
      <c r="M394" t="n">
        <v>0.9792832167832169</v>
      </c>
      <c r="N394" t="n">
        <v>0.9348150215524889</v>
      </c>
      <c r="O394" t="n">
        <v>-3.224835250032303</v>
      </c>
      <c r="P394" t="n">
        <v>-0.3596358118361138</v>
      </c>
      <c r="Q394">
        <f>'_live'!$C$20</f>
        <v/>
      </c>
      <c r="R394" t="inlineStr">
        <is>
          <t>z test</t>
        </is>
      </c>
      <c r="S394" t="inlineStr">
        <is>
          <t>z test</t>
        </is>
      </c>
      <c r="T394" t="n">
        <v>0.07778782788473963</v>
      </c>
      <c r="U394" t="n">
        <v>0.06676783004552352</v>
      </c>
      <c r="V394">
        <f>AND(judged_band,NOT($J394))</f>
        <v/>
      </c>
      <c r="W394">
        <f>IF($K394="","",IF($I394,"too few losses to test",IF(AND($K394&gt;better_at,$K394&lt;worse_at),"in line",IF($K394&gt;=worse_at,IF(AND(ISNUMBER($L394),$L394&lt;significance_bar),"worse","worse, not significant"),IF(AND(ISNUMBER($L394),$L394&lt;significance_bar),"better","better, not significant")))))</f>
        <v/>
      </c>
      <c r="X394">
        <f>IF($M394="","",IF($I394,"too few losses to test",IF(AND($M394&gt;better_at,$M394&lt;worse_at),"in line",IF($M394&gt;=worse_at,IF(AND(ISNUMBER($N394),$N394&lt;significance_bar),"worse","worse, not significant"),IF(AND(ISNUMBER($N394),$N394&lt;significance_bar),"better","better, not significant")))))</f>
        <v/>
      </c>
      <c r="Y394">
        <f>IF($V394,$X394,$W394)</f>
        <v/>
      </c>
      <c r="Z394">
        <f>IF($V394,IF($P394="","",$P394),IF($O394="","",$O394))</f>
        <v/>
      </c>
      <c r="AA394">
        <f>IF(OR($Q394="",$Z394=""),"",IF(AND($Z394&gt;0,$Z394&gt;=$Q394),"yes","below the line"))</f>
        <v/>
      </c>
      <c r="AB394">
        <f>IF($V394,IF($M394="","",$M394),IF($K394="","",$K394))</f>
        <v/>
      </c>
      <c r="AC394">
        <f>IF($V394,IF($N394="","",$N394),IF($L394="","",$L394))</f>
        <v/>
      </c>
      <c r="AD394">
        <f>$Y394</f>
        <v/>
      </c>
      <c r="AE394">
        <f>IF($V394,IF($S394="","",$S394),IF($R394="","",$R394))</f>
        <v/>
      </c>
      <c r="AF394">
        <f>IF($V394,IF($U394="","",$U394),IF($T394="","",$T394))</f>
        <v/>
      </c>
      <c r="AG394">
        <f>IF($V394,IF($O394="","",$O394),IF($P394="","",$P394))</f>
        <v/>
      </c>
      <c r="AH394" t="n">
        <v>0.06538461538461539</v>
      </c>
      <c r="AI394">
        <f>IF($Y394="worse","Yes",IF($Y394="worse, not significant","Not sure",IF(OR($Y394="too few losses to test",$Y394="too few loans to test"),"Too few losses",IF($Y394="","","No"))))</f>
        <v/>
      </c>
      <c r="AJ394">
        <f>IF($AA394="yes","Yes",IF($AA394="","","No"))</f>
        <v/>
      </c>
      <c r="AM394">
        <f>IF(AND(ISNUMBER($AC394),ISNUMBER(IF($V394,IF($AL394="","",$AL394),IF($AK394="","",$AK394)))),IF(AND(ABS($AC394-significance_bar)&lt;=2.0*IF($V394,IF($AL394="","",$AL394),IF($AK394="","",$AK394)),OR($Y394="worse",$Y394="better",$Y394="worse, not significant",$Y394="better, not significant")),IF(ROUND($AC394,3)=ROUND(significance_bar,3),TEXT($AC394,"0.0000"),TEXT($AC394,"0.000")),""),"")</f>
        <v/>
      </c>
      <c r="AN394">
        <f>IF(AND(ISNUMBER($AC394),ISNUMBER(IF($V394,IF($AL394="","",$AL394),IF($AK394="","",$AK394)))),IF(AND(ABS($AC394-significance_bar)&lt;=2.0*IF($V394,IF($AL394="","",$AL394),IF($AK394="","",$AK394)),OR($Y394="worse",$Y394="worse, not significant")),IF(ROUND($AC394,3)=ROUND(significance_bar,3),TEXT($AC394,"0.0000"),TEXT($AC394,"0.000")),""),"")</f>
        <v/>
      </c>
      <c r="AO394">
        <f>IF(OR($AI394="",$AN394=""),$AI394,$AI394&amp;" · borderline (p "&amp;$AN394&amp;")")</f>
        <v/>
      </c>
    </row>
    <row r="395">
      <c r="A395" t="inlineStr">
        <is>
          <t>three-way</t>
        </is>
      </c>
      <c r="B395" t="inlineStr">
        <is>
          <t>SHORT_HIST x CHANNEL / REV_DEBT</t>
        </is>
      </c>
      <c r="C395" t="inlineStr">
        <is>
          <t>172.0 - 256.3</t>
        </is>
      </c>
      <c r="D395" t="inlineStr">
        <is>
          <t>Branch / REV_DEBT high half</t>
        </is>
      </c>
      <c r="E395" t="inlineStr">
        <is>
          <t>outcome_booked</t>
        </is>
      </c>
      <c r="F395" t="inlineStr">
        <is>
          <t>Outcome, share of booked dollars</t>
        </is>
      </c>
      <c r="G395" t="n">
        <v>260</v>
      </c>
      <c r="H395" t="n">
        <v>8339718.979999995</v>
      </c>
      <c r="I395" t="b">
        <v>0</v>
      </c>
      <c r="J395" t="b">
        <v>0</v>
      </c>
      <c r="K395" t="n">
        <v>0.9167801552142532</v>
      </c>
      <c r="L395" t="n">
        <v>0.7308269173082691</v>
      </c>
      <c r="M395" t="n">
        <v>1.100534038252351</v>
      </c>
      <c r="N395" t="n">
        <v>0.7662993700629938</v>
      </c>
      <c r="O395" t="n">
        <v>-52073.55138380337</v>
      </c>
      <c r="P395" t="n">
        <v>52404.08568579541</v>
      </c>
      <c r="Q395">
        <f>'_live'!$C$21</f>
        <v/>
      </c>
      <c r="R395" t="inlineStr">
        <is>
          <t>shuffled: 7,308 of 10,000</t>
        </is>
      </c>
      <c r="S395" t="inlineStr">
        <is>
          <t>shuffled: 7,368 of 10,000</t>
        </is>
      </c>
      <c r="T395" t="n">
        <v>0.07503067943709102</v>
      </c>
      <c r="U395" t="n">
        <v>0.06250296269745589</v>
      </c>
      <c r="V395">
        <f>AND(judged_band,NOT($J395))</f>
        <v/>
      </c>
      <c r="W395">
        <f>IF($K395="","",IF($I395,"too few losses to test",IF(AND($K395&gt;better_at,$K395&lt;worse_at),"in line",IF($K395&gt;=worse_at,IF(AND(ISNUMBER($L395),$L395&lt;significance_bar),"worse","worse, not significant"),IF(AND(ISNUMBER($L395),$L395&lt;significance_bar),"better","better, not significant")))))</f>
        <v/>
      </c>
      <c r="X395">
        <f>IF($M395="","",IF($I395,"too few losses to test",IF(AND($M395&gt;better_at,$M395&lt;worse_at),"in line",IF($M395&gt;=worse_at,IF(AND(ISNUMBER($N395),$N395&lt;significance_bar),"worse","worse, not significant"),IF(AND(ISNUMBER($N395),$N395&lt;significance_bar),"better","better, not significant")))))</f>
        <v/>
      </c>
      <c r="Y395">
        <f>IF($V395,$X395,$W395)</f>
        <v/>
      </c>
      <c r="Z395">
        <f>IF($V395,IF($P395="","",$P395),IF($O395="","",$O395))</f>
        <v/>
      </c>
      <c r="AA395">
        <f>IF(OR($Q395="",$Z395=""),"",IF(AND($Z395&gt;0,$Z395&gt;=$Q395),"yes","below the line"))</f>
        <v/>
      </c>
      <c r="AB395">
        <f>IF($V395,IF($M395="","",$M395),IF($K395="","",$K395))</f>
        <v/>
      </c>
      <c r="AC395">
        <f>IF($V395,IF($N395="","",$N395),IF($L395="","",$L395))</f>
        <v/>
      </c>
      <c r="AD395">
        <f>$Y395</f>
        <v/>
      </c>
      <c r="AE395">
        <f>IF($V395,IF($S395="","",$S395),IF($R395="","",$R395))</f>
        <v/>
      </c>
      <c r="AF395">
        <f>IF($V395,IF($U395="","",$U395),IF($T395="","",$T395))</f>
        <v/>
      </c>
      <c r="AG395">
        <f>IF($V395,IF($O395="","",$O395),IF($P395="","",$P395))</f>
        <v/>
      </c>
      <c r="AH395" t="n">
        <v>0.06878663794016718</v>
      </c>
      <c r="AI395">
        <f>IF($Y395="worse","Yes",IF($Y395="worse, not significant","Not sure",IF(OR($Y395="too few losses to test",$Y395="too few loans to test"),"Too few losses",IF($Y395="","","No"))))</f>
        <v/>
      </c>
      <c r="AJ395">
        <f>IF($AA395="yes","Yes",IF($AA395="","","No"))</f>
        <v/>
      </c>
      <c r="AK395" t="n">
        <v>0.004435300826843219</v>
      </c>
      <c r="AL395" t="n">
        <v>0.004579701085295551</v>
      </c>
      <c r="AM395">
        <f>IF(AND(ISNUMBER($AC395),ISNUMBER(IF($V395,IF($AL395="","",$AL395),IF($AK395="","",$AK395)))),IF(AND(ABS($AC395-significance_bar)&lt;=2.0*IF($V395,IF($AL395="","",$AL395),IF($AK395="","",$AK395)),OR($Y395="worse",$Y395="better",$Y395="worse, not significant",$Y395="better, not significant")),IF(ROUND($AC395,3)=ROUND(significance_bar,3),TEXT($AC395,"0.0000"),TEXT($AC395,"0.000")),""),"")</f>
        <v/>
      </c>
      <c r="AN395">
        <f>IF(AND(ISNUMBER($AC395),ISNUMBER(IF($V395,IF($AL395="","",$AL395),IF($AK395="","",$AK395)))),IF(AND(ABS($AC395-significance_bar)&lt;=2.0*IF($V395,IF($AL395="","",$AL395),IF($AK395="","",$AK395)),OR($Y395="worse",$Y395="worse, not significant")),IF(ROUND($AC395,3)=ROUND(significance_bar,3),TEXT($AC395,"0.0000"),TEXT($AC395,"0.000")),""),"")</f>
        <v/>
      </c>
      <c r="AO395">
        <f>IF(OR($AI395="",$AN395=""),$AI395,$AI395&amp;" · borderline (p "&amp;$AN395&amp;")")</f>
        <v/>
      </c>
    </row>
    <row r="396">
      <c r="A396" t="inlineStr">
        <is>
          <t>three-way</t>
        </is>
      </c>
      <c r="B396" t="inlineStr">
        <is>
          <t>SHORT_HIST x CHANNEL / REV_DEBT</t>
        </is>
      </c>
      <c r="C396" t="inlineStr">
        <is>
          <t>172.0 - 256.3</t>
        </is>
      </c>
      <c r="D396" t="inlineStr">
        <is>
          <t>Branch / REV_DEBT high half</t>
        </is>
      </c>
      <c r="E396" t="inlineStr">
        <is>
          <t>gco_rate</t>
        </is>
      </c>
      <c r="F396" t="inlineStr">
        <is>
          <t>GCO per booked dollar</t>
        </is>
      </c>
      <c r="G396" t="n">
        <v>260</v>
      </c>
      <c r="H396" t="n">
        <v>8339718.979999995</v>
      </c>
      <c r="I396" t="b">
        <v>0</v>
      </c>
      <c r="J396" t="b">
        <v>0</v>
      </c>
      <c r="K396" t="n">
        <v>0.8899574129028064</v>
      </c>
      <c r="L396" t="n">
        <v>0.68997100289971</v>
      </c>
      <c r="M396" t="n">
        <v>1.062965220061746</v>
      </c>
      <c r="N396" t="n">
        <v>0.8338166183381662</v>
      </c>
      <c r="O396" t="n">
        <v>-38318.44725121564</v>
      </c>
      <c r="P396" t="n">
        <v>18356.84351561259</v>
      </c>
      <c r="Q396">
        <f>'_live'!$C$22</f>
        <v/>
      </c>
      <c r="R396" t="inlineStr">
        <is>
          <t>shuffled: 6,634 of 10,000</t>
        </is>
      </c>
      <c r="S396" t="inlineStr">
        <is>
          <t>shuffled: 8,338 of 10,000</t>
        </is>
      </c>
      <c r="T396" t="n">
        <v>0.04175376989156245</v>
      </c>
      <c r="U396" t="n">
        <v>0.03495794248985445</v>
      </c>
      <c r="V396">
        <f>AND(judged_band,NOT($J396))</f>
        <v/>
      </c>
      <c r="W396">
        <f>IF($K396="","",IF($I396,"too few losses to test",IF(AND($K396&gt;better_at,$K396&lt;worse_at),"in line",IF($K396&gt;=worse_at,IF(AND(ISNUMBER($L396),$L396&lt;significance_bar),"worse","worse, not significant"),IF(AND(ISNUMBER($L396),$L396&lt;significance_bar),"better","better, not significant")))))</f>
        <v/>
      </c>
      <c r="X396">
        <f>IF($M396="","",IF($I396,"too few losses to test",IF(AND($M396&gt;better_at,$M396&lt;worse_at),"in line",IF($M396&gt;=worse_at,IF(AND(ISNUMBER($N396),$N396&lt;significance_bar),"worse","worse, not significant"),IF(AND(ISNUMBER($N396),$N396&lt;significance_bar),"better","better, not significant")))))</f>
        <v/>
      </c>
      <c r="Y396">
        <f>IF($V396,$X396,$W396)</f>
        <v/>
      </c>
      <c r="Z396">
        <f>IF($V396,IF($P396="","",$P396),IF($O396="","",$O396))</f>
        <v/>
      </c>
      <c r="AA396">
        <f>IF(OR($Q396="",$Z396=""),"",IF(AND($Z396&gt;0,$Z396&gt;=$Q396),"yes","below the line"))</f>
        <v/>
      </c>
      <c r="AB396">
        <f>IF($V396,IF($M396="","",$M396),IF($K396="","",$K396))</f>
        <v/>
      </c>
      <c r="AC396">
        <f>IF($V396,IF($N396="","",$N396),IF($L396="","",$L396))</f>
        <v/>
      </c>
      <c r="AD396">
        <f>$Y396</f>
        <v/>
      </c>
      <c r="AE396">
        <f>IF($V396,IF($S396="","",$S396),IF($R396="","",$R396))</f>
        <v/>
      </c>
      <c r="AF396">
        <f>IF($V396,IF($U396="","",$U396),IF($T396="","",$T396))</f>
        <v/>
      </c>
      <c r="AG396">
        <f>IF($V396,IF($O396="","",$O396),IF($P396="","",$P396))</f>
        <v/>
      </c>
      <c r="AH396" t="n">
        <v>0.03715907703163401</v>
      </c>
      <c r="AI396">
        <f>IF($Y396="worse","Yes",IF($Y396="worse, not significant","Not sure",IF(OR($Y396="too few losses to test",$Y396="too few loans to test"),"Too few losses",IF($Y396="","","No"))))</f>
        <v/>
      </c>
      <c r="AJ396">
        <f>IF($AA396="yes","Yes",IF($AA396="","","No"))</f>
        <v/>
      </c>
      <c r="AK396" t="n">
        <v>0.004914365250703968</v>
      </c>
      <c r="AL396" t="n">
        <v>0.003722451682980869</v>
      </c>
      <c r="AM396">
        <f>IF(AND(ISNUMBER($AC396),ISNUMBER(IF($V396,IF($AL396="","",$AL396),IF($AK396="","",$AK396)))),IF(AND(ABS($AC396-significance_bar)&lt;=2.0*IF($V396,IF($AL396="","",$AL396),IF($AK396="","",$AK396)),OR($Y396="worse",$Y396="better",$Y396="worse, not significant",$Y396="better, not significant")),IF(ROUND($AC396,3)=ROUND(significance_bar,3),TEXT($AC396,"0.0000"),TEXT($AC396,"0.000")),""),"")</f>
        <v/>
      </c>
      <c r="AN396">
        <f>IF(AND(ISNUMBER($AC396),ISNUMBER(IF($V396,IF($AL396="","",$AL396),IF($AK396="","",$AK396)))),IF(AND(ABS($AC396-significance_bar)&lt;=2.0*IF($V396,IF($AL396="","",$AL396),IF($AK396="","",$AK396)),OR($Y396="worse",$Y396="worse, not significant")),IF(ROUND($AC396,3)=ROUND(significance_bar,3),TEXT($AC396,"0.0000"),TEXT($AC396,"0.000")),""),"")</f>
        <v/>
      </c>
      <c r="AO396">
        <f>IF(OR($AI396="",$AN396=""),$AI396,$AI396&amp;" · borderline (p "&amp;$AN396&amp;")")</f>
        <v/>
      </c>
    </row>
    <row r="397">
      <c r="A397" t="inlineStr">
        <is>
          <t>three-way</t>
        </is>
      </c>
      <c r="B397" t="inlineStr">
        <is>
          <t>SHORT_HIST x CHANNEL / REV_DEBT</t>
        </is>
      </c>
      <c r="C397" t="inlineStr">
        <is>
          <t>172.0 - 256.3</t>
        </is>
      </c>
      <c r="D397" t="inlineStr">
        <is>
          <t>Branch / REV_DEBT high half</t>
        </is>
      </c>
      <c r="E397" t="inlineStr">
        <is>
          <t>ranr_rate</t>
        </is>
      </c>
      <c r="F397" t="inlineStr">
        <is>
          <t>Profit after losses: RANR per booked dollar</t>
        </is>
      </c>
      <c r="G397" t="n">
        <v>260</v>
      </c>
      <c r="H397" t="n">
        <v>8339718.979999995</v>
      </c>
      <c r="I397" t="b">
        <v>0</v>
      </c>
      <c r="J397" t="b">
        <v>0</v>
      </c>
      <c r="K397" t="n">
        <v>0.02343459171711654</v>
      </c>
      <c r="L397" t="n">
        <v>0.1662583741625838</v>
      </c>
      <c r="M397" t="n">
        <v>0.02204072823080597</v>
      </c>
      <c r="N397" t="n">
        <v>0.1821817818218178</v>
      </c>
      <c r="O397" t="n">
        <v>-195437.9093317874</v>
      </c>
      <c r="P397" t="n">
        <v>-183813.4795594742</v>
      </c>
      <c r="Q397">
        <f>'_live'!$C$23</f>
        <v/>
      </c>
      <c r="R397" t="inlineStr">
        <is>
          <t>shuffled: 664 of 10,000</t>
        </is>
      </c>
      <c r="S397" t="inlineStr">
        <is>
          <t>shuffled: 910 of 10,000</t>
        </is>
      </c>
      <c r="T397" t="n">
        <v>0.127232739282087</v>
      </c>
      <c r="U397" t="n">
        <v>0.1286266027683976</v>
      </c>
      <c r="V397">
        <f>AND(judged_band,NOT($J397))</f>
        <v/>
      </c>
      <c r="W397">
        <f>IF($K397="","",IF(profit_kind="test",IF(OR(NOT(AND(ISNUMBER($L397),$L397&lt;significance_bar)),$K397=0),"in line",IF($K397&lt;0,"worse","better")),IF(OR($K397=0,IF(profit_kind="points",ABS($K397),ABS($K397*$H397))&lt;profit_line*(1-1E-9)),"in line",IF(AND(ISNUMBER($L397),$L397&lt;significance_bar),IF($K397&lt;0,"worse","better"),IF($K397&lt;0,"worse, not significant","better, not significant")))))</f>
        <v/>
      </c>
      <c r="X397">
        <f>IF($M397="","",IF(profit_kind="test",IF(OR(NOT(AND(ISNUMBER($N397),$N397&lt;significance_bar)),$M397=0),"in line",IF($M397&lt;0,"worse","better")),IF(OR($M397=0,IF(profit_kind="points",ABS($M397),ABS($M397*$H397))&lt;profit_line*(1-1E-9)),"in line",IF(AND(ISNUMBER($N397),$N397&lt;significance_bar),IF($M397&lt;0,"worse","better"),IF($M397&lt;0,"worse, not significant","better, not significant")))))</f>
        <v/>
      </c>
      <c r="Y397">
        <f>IF($V397,$X397,$W397)</f>
        <v/>
      </c>
      <c r="Z397">
        <f>IF($V397,IF($P397="","",$P397),IF($O397="","",$O397))</f>
        <v/>
      </c>
      <c r="AA397">
        <f>IF(OR($Q397="",$Z397=""),"",IF(AND($Z397&gt;0,$Z397&gt;=$Q397),"yes","below the line"))</f>
        <v/>
      </c>
      <c r="AB397">
        <f>IF($V397,IF($M397="","",$M397),IF($K397="","",$K397))</f>
        <v/>
      </c>
      <c r="AC397">
        <f>IF($V397,IF($N397="","",$N397),IF($L397="","",$L397))</f>
        <v/>
      </c>
      <c r="AD397">
        <f>IF($Y397="","",IF($Y397="in line",IF(profit_kind="test",IF(ROUND($AB397*100,2)=0,"0.00",TEXT($AB397*100,"+0.00;-0.00"))&amp;" points against "&amp;IF($V397,"its band","the book")&amp;", "&amp;IF($AC397="","not tested","not significant"),IF(profit_kind="points","within "&amp;TEXT(profit_line*100,"0.00")&amp;" points of "&amp;IF($V397,"its band","the book")&amp;" ("&amp;IF(ROUND($AB397*100,2)=0,"0.00",TEXT($AB397*100,"+0.00;-0.00"))&amp;")","within $"&amp;TEXT(profit_line,"#,##0")&amp;" of "&amp;IF($V397,"its band","the book")&amp;" ("&amp;IF(ROUND($AB397*100,2)=0,"0.00",TEXT($AB397*100,"+0.00;-0.00"))&amp;" points)")),IF(LEFT($Y397,5)="worse","short of ","ahead of ")&amp;IF($V397,"its band","the book")&amp;" by "&amp;TEXT(ABS($AB397)*100,"0.00")&amp;" points"&amp;IF($Z397="",""," ($"&amp;TEXT(ABS($Z397),"#,##0")&amp;")")&amp;IF(RIGHT($Y397,15)="not significant"," (not significant)","")))</f>
        <v/>
      </c>
      <c r="AE397">
        <f>IF($V397,IF($S397="","",$S397),IF($R397="","",$R397))</f>
        <v/>
      </c>
      <c r="AF397">
        <f>IF($V397,IF($U397="","",$U397),IF($T397="","",$T397))</f>
        <v/>
      </c>
      <c r="AG397">
        <f>IF($V397,IF($O397="","",$O397),IF($P397="","",$P397))</f>
        <v/>
      </c>
      <c r="AH397" t="n">
        <v>0.1506673309992036</v>
      </c>
      <c r="AI397">
        <f>IF($Y397="worse","Yes",IF($Y397="worse, not significant","Not sure",IF(OR($Y397="too few losses to test",$Y397="too few loans to test"),"Too few losses",IF($Y397="","","No"))))</f>
        <v/>
      </c>
      <c r="AJ397">
        <f>IF($AA397="yes","Yes",IF($AA397="","","No"))</f>
        <v/>
      </c>
      <c r="AK397" t="n">
        <v>0.005885911100981969</v>
      </c>
      <c r="AL397" t="n">
        <v>0.005754766389836022</v>
      </c>
      <c r="AM397">
        <f>IF(AND(ISNUMBER($AC397),ISNUMBER(IF($V397,IF($AL397="","",$AL397),IF($AK397="","",$AK397)))),IF(AND(ABS($AC397-significance_bar)&lt;=2.0*IF($V397,IF($AL397="","",$AL397),IF($AK397="","",$AK397)),OR($Y397="worse",$Y397="better",$Y397="worse, not significant",$Y397="better, not significant",AND(profit_kind="test",$Y397="in line",ISNUMBER($AB397),$AB397&lt;&gt;0))),IF(ROUND($AC397,3)=ROUND(significance_bar,3),TEXT($AC397,"0.0000"),TEXT($AC397,"0.000")),""),"")</f>
        <v/>
      </c>
      <c r="AN397">
        <f>IF(AND(ISNUMBER($AC397),ISNUMBER(IF($V397,IF($AL397="","",$AL397),IF($AK397="","",$AK397)))),IF(AND(ABS($AC397-significance_bar)&lt;=2.0*IF($V397,IF($AL397="","",$AL397),IF($AK397="","",$AK397)),OR($Y397="worse",$Y397="worse, not significant",AND(profit_kind="test",$Y397="in line",ISNUMBER($AB397),$AB397&lt;0))),IF(ROUND($AC397,3)=ROUND(significance_bar,3),TEXT($AC397,"0.0000"),TEXT($AC397,"0.000")),""),"")</f>
        <v/>
      </c>
      <c r="AO397">
        <f>IF(OR($AI397="",$AN397=""),$AI397,$AI397&amp;" · borderline (p "&amp;$AN397&amp;")")</f>
        <v/>
      </c>
    </row>
    <row r="398">
      <c r="A398" t="inlineStr">
        <is>
          <t>three-way</t>
        </is>
      </c>
      <c r="B398" t="inlineStr">
        <is>
          <t>SHORT_HIST x CHANNEL / REV_DEBT</t>
        </is>
      </c>
      <c r="C398" t="inlineStr">
        <is>
          <t>172.0 - 256.3</t>
        </is>
      </c>
      <c r="D398" t="inlineStr">
        <is>
          <t>Branch / REV_DEBT high half</t>
        </is>
      </c>
      <c r="E398" t="inlineStr">
        <is>
          <t>contribution_rate</t>
        </is>
      </c>
      <c r="F398" t="inlineStr">
        <is>
          <t>Contribution before losses per booked dollar</t>
        </is>
      </c>
      <c r="G398" t="n">
        <v>260</v>
      </c>
      <c r="H398" t="n">
        <v>8339718.979999995</v>
      </c>
      <c r="I398" t="b">
        <v>0</v>
      </c>
      <c r="J398" t="b">
        <v>0</v>
      </c>
      <c r="K398" t="n">
        <v>0.01884297396715784</v>
      </c>
      <c r="L398" t="n">
        <v>0.0333300003333</v>
      </c>
      <c r="M398" t="n">
        <v>0.02424186277258555</v>
      </c>
      <c r="N398" t="n">
        <v>0.007713514362849429</v>
      </c>
      <c r="O398" t="n">
        <v>-157145.107633552</v>
      </c>
      <c r="P398" t="n">
        <v>-202170.323075087</v>
      </c>
      <c r="Q398">
        <f>'_live'!$C$24</f>
        <v/>
      </c>
      <c r="R398" t="inlineStr">
        <is>
          <t>shuffled: 249 of 10,000</t>
        </is>
      </c>
      <c r="S398" t="inlineStr">
        <is>
          <t>shuffled: 59 of 10,000</t>
        </is>
      </c>
      <c r="T398" t="n">
        <v>0.1689834340636797</v>
      </c>
      <c r="U398" t="n">
        <v>0.163584545258252</v>
      </c>
      <c r="V398">
        <f>AND(judged_band,NOT($J398))</f>
        <v/>
      </c>
      <c r="W398">
        <f>IF($K398="","",IF(profit_kind="test",IF(OR(NOT(AND(ISNUMBER($L398),$L398&lt;significance_bar)),$K398=0),"in line",IF($K398&lt;0,"worse","better")),IF(OR($K398=0,IF(profit_kind="points",ABS($K398),ABS($K398*$H398))&lt;profit_line*(1-1E-9)),"in line",IF(AND(ISNUMBER($L398),$L398&lt;significance_bar),IF($K398&lt;0,"worse","better"),IF($K398&lt;0,"worse, not significant","better, not significant")))))</f>
        <v/>
      </c>
      <c r="X398">
        <f>IF($M398="","",IF(profit_kind="test",IF(OR(NOT(AND(ISNUMBER($N398),$N398&lt;significance_bar)),$M398=0),"in line",IF($M398&lt;0,"worse","better")),IF(OR($M398=0,IF(profit_kind="points",ABS($M398),ABS($M398*$H398))&lt;profit_line*(1-1E-9)),"in line",IF(AND(ISNUMBER($N398),$N398&lt;significance_bar),IF($M398&lt;0,"worse","better"),IF($M398&lt;0,"worse, not significant","better, not significant")))))</f>
        <v/>
      </c>
      <c r="Y398">
        <f>IF($V398,$X398,$W398)</f>
        <v/>
      </c>
      <c r="Z398">
        <f>IF($V398,IF($P398="","",$P398),IF($O398="","",$O398))</f>
        <v/>
      </c>
      <c r="AA398">
        <f>IF(OR($Q398="",$Z398=""),"",IF(AND($Z398&gt;0,$Z398&gt;=$Q398),"yes","below the line"))</f>
        <v/>
      </c>
      <c r="AB398">
        <f>IF($V398,IF($M398="","",$M398),IF($K398="","",$K398))</f>
        <v/>
      </c>
      <c r="AC398">
        <f>IF($V398,IF($N398="","",$N398),IF($L398="","",$L398))</f>
        <v/>
      </c>
      <c r="AD398">
        <f>IF($Y398="","",IF($Y398="in line",IF(profit_kind="test",IF(ROUND($AB398*100,2)=0,"0.00",TEXT($AB398*100,"+0.00;-0.00"))&amp;" points against "&amp;IF($V398,"its band","the book")&amp;", "&amp;IF($AC398="","not tested","not significant"),IF(profit_kind="points","within "&amp;TEXT(profit_line*100,"0.00")&amp;" points of "&amp;IF($V398,"its band","the book")&amp;" ("&amp;IF(ROUND($AB398*100,2)=0,"0.00",TEXT($AB398*100,"+0.00;-0.00"))&amp;")","within $"&amp;TEXT(profit_line,"#,##0")&amp;" of "&amp;IF($V398,"its band","the book")&amp;" ("&amp;IF(ROUND($AB398*100,2)=0,"0.00",TEXT($AB398*100,"+0.00;-0.00"))&amp;" points)")),IF(LEFT($Y398,5)="worse","short of ","ahead of ")&amp;IF($V398,"its band","the book")&amp;" by "&amp;TEXT(ABS($AB398)*100,"0.00")&amp;" points"&amp;IF($Z398="",""," ($"&amp;TEXT(ABS($Z398),"#,##0")&amp;")")&amp;IF(RIGHT($Y398,15)="not significant"," (not significant)","")))</f>
        <v/>
      </c>
      <c r="AE398">
        <f>IF($V398,IF($S398="","",$S398),IF($R398="","",$R398))</f>
        <v/>
      </c>
      <c r="AF398">
        <f>IF($V398,IF($U398="","",$U398),IF($T398="","",$T398))</f>
        <v/>
      </c>
      <c r="AG398">
        <f>IF($V398,IF($O398="","",$O398),IF($P398="","",$P398))</f>
        <v/>
      </c>
      <c r="AH398" t="n">
        <v>0.1878264080308376</v>
      </c>
      <c r="AI398">
        <f>IF($Y398="worse","Yes",IF($Y398="worse, not significant","Not sure",IF(OR($Y398="too few losses to test",$Y398="too few loans to test"),"Too few losses",IF($Y398="","","No"))))</f>
        <v/>
      </c>
      <c r="AJ398">
        <f>IF($AA398="yes","Yes",IF($AA398="","","No"))</f>
        <v/>
      </c>
      <c r="AK398" t="n">
        <v>0.002081564592372339</v>
      </c>
      <c r="AL398" t="n">
        <v>0.0009928684356727206</v>
      </c>
      <c r="AM398">
        <f>IF(AND(ISNUMBER($AC398),ISNUMBER(IF($V398,IF($AL398="","",$AL398),IF($AK398="","",$AK398)))),IF(AND(ABS($AC398-significance_bar)&lt;=2.0*IF($V398,IF($AL398="","",$AL398),IF($AK398="","",$AK398)),OR($Y398="worse",$Y398="better",$Y398="worse, not significant",$Y398="better, not significant",AND(profit_kind="test",$Y398="in line",ISNUMBER($AB398),$AB398&lt;&gt;0))),IF(ROUND($AC398,3)=ROUND(significance_bar,3),TEXT($AC398,"0.0000"),TEXT($AC398,"0.000")),""),"")</f>
        <v/>
      </c>
      <c r="AN398">
        <f>IF(AND(ISNUMBER($AC398),ISNUMBER(IF($V398,IF($AL398="","",$AL398),IF($AK398="","",$AK398)))),IF(AND(ABS($AC398-significance_bar)&lt;=2.0*IF($V398,IF($AL398="","",$AL398),IF($AK398="","",$AK398)),OR($Y398="worse",$Y398="worse, not significant",AND(profit_kind="test",$Y398="in line",ISNUMBER($AB398),$AB398&lt;0))),IF(ROUND($AC398,3)=ROUND(significance_bar,3),TEXT($AC398,"0.0000"),TEXT($AC398,"0.000")),""),"")</f>
        <v/>
      </c>
      <c r="AO398">
        <f>IF(OR($AI398="",$AN398=""),$AI398,$AI398&amp;" · borderline (p "&amp;$AN398&amp;")")</f>
        <v/>
      </c>
    </row>
    <row r="399">
      <c r="A399" t="inlineStr">
        <is>
          <t>three-way</t>
        </is>
      </c>
      <c r="B399" t="inlineStr">
        <is>
          <t>SHORT_HIST x CHANNEL / REV_DEBT</t>
        </is>
      </c>
      <c r="C399" t="inlineStr">
        <is>
          <t>172.0 - 256.3</t>
        </is>
      </c>
      <c r="D399" t="inlineStr">
        <is>
          <t>Broker / REV_DEBT high half</t>
        </is>
      </c>
      <c r="E399" t="inlineStr">
        <is>
          <t>outcome_loans</t>
        </is>
      </c>
      <c r="F399" t="inlineStr">
        <is>
          <t>Outcome, share of loans</t>
        </is>
      </c>
      <c r="G399" t="n">
        <v>270</v>
      </c>
      <c r="H399" t="n">
        <v>270</v>
      </c>
      <c r="I399" t="b">
        <v>0</v>
      </c>
      <c r="J399" t="b">
        <v>0</v>
      </c>
      <c r="K399" t="n">
        <v>1.663729028173472</v>
      </c>
      <c r="L399" t="n">
        <v>0.01036236293526034</v>
      </c>
      <c r="M399" t="n">
        <v>2.319874804381846</v>
      </c>
      <c r="N399" t="n">
        <v>0.0001476411194511014</v>
      </c>
      <c r="O399" t="n">
        <v>13.56397981627636</v>
      </c>
      <c r="P399" t="n">
        <v>19.34403669724771</v>
      </c>
      <c r="Q399">
        <f>'_live'!$C$20</f>
        <v/>
      </c>
      <c r="R399" t="inlineStr">
        <is>
          <t>z test</t>
        </is>
      </c>
      <c r="S399" t="inlineStr">
        <is>
          <t>z test</t>
        </is>
      </c>
      <c r="T399" t="n">
        <v>0.07568896364342088</v>
      </c>
      <c r="U399" t="n">
        <v>0.05428134556574923</v>
      </c>
      <c r="V399">
        <f>AND(judged_band,NOT($J399))</f>
        <v/>
      </c>
      <c r="W399">
        <f>IF($K399="","",IF($I399,"too few losses to test",IF(AND($K399&gt;better_at,$K399&lt;worse_at),"in line",IF($K399&gt;=worse_at,IF(AND(ISNUMBER($L399),$L399&lt;significance_bar),"worse","worse, not significant"),IF(AND(ISNUMBER($L399),$L399&lt;significance_bar),"better","better, not significant")))))</f>
        <v/>
      </c>
      <c r="X399">
        <f>IF($M399="","",IF($I399,"too few losses to test",IF(AND($M399&gt;better_at,$M399&lt;worse_at),"in line",IF($M399&gt;=worse_at,IF(AND(ISNUMBER($N399),$N399&lt;significance_bar),"worse","worse, not significant"),IF(AND(ISNUMBER($N399),$N399&lt;significance_bar),"better","better, not significant")))))</f>
        <v/>
      </c>
      <c r="Y399">
        <f>IF($V399,$X399,$W399)</f>
        <v/>
      </c>
      <c r="Z399">
        <f>IF($V399,IF($P399="","",$P399),IF($O399="","",$O399))</f>
        <v/>
      </c>
      <c r="AA399">
        <f>IF(OR($Q399="",$Z399=""),"",IF(AND($Z399&gt;0,$Z399&gt;=$Q399),"yes","below the line"))</f>
        <v/>
      </c>
      <c r="AB399">
        <f>IF($V399,IF($M399="","",$M399),IF($K399="","",$K399))</f>
        <v/>
      </c>
      <c r="AC399">
        <f>IF($V399,IF($N399="","",$N399),IF($L399="","",$L399))</f>
        <v/>
      </c>
      <c r="AD399">
        <f>$Y399</f>
        <v/>
      </c>
      <c r="AE399">
        <f>IF($V399,IF($S399="","",$S399),IF($R399="","",$R399))</f>
        <v/>
      </c>
      <c r="AF399">
        <f>IF($V399,IF($U399="","",$U399),IF($T399="","",$T399))</f>
        <v/>
      </c>
      <c r="AG399">
        <f>IF($V399,IF($O399="","",$O399),IF($P399="","",$P399))</f>
        <v/>
      </c>
      <c r="AH399" t="n">
        <v>0.1259259259259259</v>
      </c>
      <c r="AI399">
        <f>IF($Y399="worse","Yes",IF($Y399="worse, not significant","Not sure",IF(OR($Y399="too few losses to test",$Y399="too few loans to test"),"Too few losses",IF($Y399="","","No"))))</f>
        <v/>
      </c>
      <c r="AJ399">
        <f>IF($AA399="yes","Yes",IF($AA399="","","No"))</f>
        <v/>
      </c>
      <c r="AM399">
        <f>IF(AND(ISNUMBER($AC399),ISNUMBER(IF($V399,IF($AL399="","",$AL399),IF($AK399="","",$AK399)))),IF(AND(ABS($AC399-significance_bar)&lt;=2.0*IF($V399,IF($AL399="","",$AL399),IF($AK399="","",$AK399)),OR($Y399="worse",$Y399="better",$Y399="worse, not significant",$Y399="better, not significant")),IF(ROUND($AC399,3)=ROUND(significance_bar,3),TEXT($AC399,"0.0000"),TEXT($AC399,"0.000")),""),"")</f>
        <v/>
      </c>
      <c r="AN399">
        <f>IF(AND(ISNUMBER($AC399),ISNUMBER(IF($V399,IF($AL399="","",$AL399),IF($AK399="","",$AK399)))),IF(AND(ABS($AC399-significance_bar)&lt;=2.0*IF($V399,IF($AL399="","",$AL399),IF($AK399="","",$AK399)),OR($Y399="worse",$Y399="worse, not significant")),IF(ROUND($AC399,3)=ROUND(significance_bar,3),TEXT($AC399,"0.0000"),TEXT($AC399,"0.000")),""),"")</f>
        <v/>
      </c>
      <c r="AO399">
        <f>IF(OR($AI399="",$AN399=""),$AI399,$AI399&amp;" · borderline (p "&amp;$AN399&amp;")")</f>
        <v/>
      </c>
    </row>
    <row r="400">
      <c r="A400" t="inlineStr">
        <is>
          <t>three-way</t>
        </is>
      </c>
      <c r="B400" t="inlineStr">
        <is>
          <t>SHORT_HIST x CHANNEL / REV_DEBT</t>
        </is>
      </c>
      <c r="C400" t="inlineStr">
        <is>
          <t>172.0 - 256.3</t>
        </is>
      </c>
      <c r="D400" t="inlineStr">
        <is>
          <t>Broker / REV_DEBT high half</t>
        </is>
      </c>
      <c r="E400" t="inlineStr">
        <is>
          <t>outcome_booked</t>
        </is>
      </c>
      <c r="F400" t="inlineStr">
        <is>
          <t>Outcome, share of booked dollars</t>
        </is>
      </c>
      <c r="G400" t="n">
        <v>270</v>
      </c>
      <c r="H400" t="n">
        <v>8683611.029999999</v>
      </c>
      <c r="I400" t="b">
        <v>0</v>
      </c>
      <c r="J400" t="b">
        <v>0</v>
      </c>
      <c r="K400" t="n">
        <v>1.942805696768195</v>
      </c>
      <c r="L400" t="n">
        <v>0.0017331600173316</v>
      </c>
      <c r="M400" t="n">
        <v>2.941317311196334</v>
      </c>
      <c r="N400" t="n">
        <v>0.0012998700129987</v>
      </c>
      <c r="O400" t="n">
        <v>593781.0039718704</v>
      </c>
      <c r="P400" t="n">
        <v>807584.7664158117</v>
      </c>
      <c r="Q400">
        <f>'_live'!$C$21</f>
        <v/>
      </c>
      <c r="R400" t="inlineStr">
        <is>
          <t>shuffled: 1 of 10,000</t>
        </is>
      </c>
      <c r="S400" t="inlineStr">
        <is>
          <t>shuffled: 0 of 10,000</t>
        </is>
      </c>
      <c r="T400" t="n">
        <v>0.07252767239945448</v>
      </c>
      <c r="U400" t="n">
        <v>0.04790614551331281</v>
      </c>
      <c r="V400">
        <f>AND(judged_band,NOT($J400))</f>
        <v/>
      </c>
      <c r="W400">
        <f>IF($K400="","",IF($I400,"too few losses to test",IF(AND($K400&gt;better_at,$K400&lt;worse_at),"in line",IF($K400&gt;=worse_at,IF(AND(ISNUMBER($L400),$L400&lt;significance_bar),"worse","worse, not significant"),IF(AND(ISNUMBER($L400),$L400&lt;significance_bar),"better","better, not significant")))))</f>
        <v/>
      </c>
      <c r="X400">
        <f>IF($M400="","",IF($I400,"too few losses to test",IF(AND($M400&gt;better_at,$M400&lt;worse_at),"in line",IF($M400&gt;=worse_at,IF(AND(ISNUMBER($N400),$N400&lt;significance_bar),"worse","worse, not significant"),IF(AND(ISNUMBER($N400),$N400&lt;significance_bar),"better","better, not significant")))))</f>
        <v/>
      </c>
      <c r="Y400">
        <f>IF($V400,$X400,$W400)</f>
        <v/>
      </c>
      <c r="Z400">
        <f>IF($V400,IF($P400="","",$P400),IF($O400="","",$O400))</f>
        <v/>
      </c>
      <c r="AA400">
        <f>IF(OR($Q400="",$Z400=""),"",IF(AND($Z400&gt;0,$Z400&gt;=$Q400),"yes","below the line"))</f>
        <v/>
      </c>
      <c r="AB400">
        <f>IF($V400,IF($M400="","",$M400),IF($K400="","",$K400))</f>
        <v/>
      </c>
      <c r="AC400">
        <f>IF($V400,IF($N400="","",$N400),IF($L400="","",$L400))</f>
        <v/>
      </c>
      <c r="AD400">
        <f>$Y400</f>
        <v/>
      </c>
      <c r="AE400">
        <f>IF($V400,IF($S400="","",$S400),IF($R400="","",$R400))</f>
        <v/>
      </c>
      <c r="AF400">
        <f>IF($V400,IF($U400="","",$U400),IF($T400="","",$T400))</f>
        <v/>
      </c>
      <c r="AG400">
        <f>IF($V400,IF($O400="","",$O400),IF($P400="","",$P400))</f>
        <v/>
      </c>
      <c r="AH400" t="n">
        <v>0.1409071751109976</v>
      </c>
      <c r="AI400">
        <f>IF($Y400="worse","Yes",IF($Y400="worse, not significant","Not sure",IF(OR($Y400="too few losses to test",$Y400="too few loans to test"),"Too few losses",IF($Y400="","","No"))))</f>
        <v/>
      </c>
      <c r="AJ400">
        <f>IF($AA400="yes","Yes",IF($AA400="","","No"))</f>
        <v/>
      </c>
      <c r="AK400" t="n">
        <v>0.001225467923144524</v>
      </c>
      <c r="AL400" t="n">
        <v>0.0012998700129987</v>
      </c>
      <c r="AM400">
        <f>IF(AND(ISNUMBER($AC400),ISNUMBER(IF($V400,IF($AL400="","",$AL400),IF($AK400="","",$AK400)))),IF(AND(ABS($AC400-significance_bar)&lt;=2.0*IF($V400,IF($AL400="","",$AL400),IF($AK400="","",$AK400)),OR($Y400="worse",$Y400="better",$Y400="worse, not significant",$Y400="better, not significant")),IF(ROUND($AC400,3)=ROUND(significance_bar,3),TEXT($AC400,"0.0000"),TEXT($AC400,"0.000")),""),"")</f>
        <v/>
      </c>
      <c r="AN400">
        <f>IF(AND(ISNUMBER($AC400),ISNUMBER(IF($V400,IF($AL400="","",$AL400),IF($AK400="","",$AK400)))),IF(AND(ABS($AC400-significance_bar)&lt;=2.0*IF($V400,IF($AL400="","",$AL400),IF($AK400="","",$AK400)),OR($Y400="worse",$Y400="worse, not significant")),IF(ROUND($AC400,3)=ROUND(significance_bar,3),TEXT($AC400,"0.0000"),TEXT($AC400,"0.000")),""),"")</f>
        <v/>
      </c>
      <c r="AO400">
        <f>IF(OR($AI400="",$AN400=""),$AI400,$AI400&amp;" · borderline (p "&amp;$AN400&amp;")")</f>
        <v/>
      </c>
    </row>
    <row r="401">
      <c r="A401" t="inlineStr">
        <is>
          <t>three-way</t>
        </is>
      </c>
      <c r="B401" t="inlineStr">
        <is>
          <t>SHORT_HIST x CHANNEL / REV_DEBT</t>
        </is>
      </c>
      <c r="C401" t="inlineStr">
        <is>
          <t>172.0 - 256.3</t>
        </is>
      </c>
      <c r="D401" t="inlineStr">
        <is>
          <t>Broker / REV_DEBT high half</t>
        </is>
      </c>
      <c r="E401" t="inlineStr">
        <is>
          <t>gco_rate</t>
        </is>
      </c>
      <c r="F401" t="inlineStr">
        <is>
          <t>GCO per booked dollar</t>
        </is>
      </c>
      <c r="G401" t="n">
        <v>270</v>
      </c>
      <c r="H401" t="n">
        <v>8683611.029999999</v>
      </c>
      <c r="I401" t="b">
        <v>0</v>
      </c>
      <c r="J401" t="b">
        <v>0</v>
      </c>
      <c r="K401" t="n">
        <v>2.000444535101245</v>
      </c>
      <c r="L401" t="n">
        <v>0.0017331600173316</v>
      </c>
      <c r="M401" t="n">
        <v>3.073808044458584</v>
      </c>
      <c r="N401" t="n">
        <v>0.0012998700129987</v>
      </c>
      <c r="O401" t="n">
        <v>349671.5861127634</v>
      </c>
      <c r="P401" t="n">
        <v>471721.4813857046</v>
      </c>
      <c r="Q401">
        <f>'_live'!$C$22</f>
        <v/>
      </c>
      <c r="R401" t="inlineStr">
        <is>
          <t>shuffled: 1 of 10,000</t>
        </is>
      </c>
      <c r="S401" t="inlineStr">
        <is>
          <t>shuffled: 0 of 10,000</t>
        </is>
      </c>
      <c r="T401" t="n">
        <v>0.04025010018064298</v>
      </c>
      <c r="U401" t="n">
        <v>0.02619489954449229</v>
      </c>
      <c r="V401">
        <f>AND(judged_band,NOT($J401))</f>
        <v/>
      </c>
      <c r="W401">
        <f>IF($K401="","",IF($I401,"too few losses to test",IF(AND($K401&gt;better_at,$K401&lt;worse_at),"in line",IF($K401&gt;=worse_at,IF(AND(ISNUMBER($L401),$L401&lt;significance_bar),"worse","worse, not significant"),IF(AND(ISNUMBER($L401),$L401&lt;significance_bar),"better","better, not significant")))))</f>
        <v/>
      </c>
      <c r="X401">
        <f>IF($M401="","",IF($I401,"too few losses to test",IF(AND($M401&gt;better_at,$M401&lt;worse_at),"in line",IF($M401&gt;=worse_at,IF(AND(ISNUMBER($N401),$N401&lt;significance_bar),"worse","worse, not significant"),IF(AND(ISNUMBER($N401),$N401&lt;significance_bar),"better","better, not significant")))))</f>
        <v/>
      </c>
      <c r="Y401">
        <f>IF($V401,$X401,$W401)</f>
        <v/>
      </c>
      <c r="Z401">
        <f>IF($V401,IF($P401="","",$P401),IF($O401="","",$O401))</f>
        <v/>
      </c>
      <c r="AA401">
        <f>IF(OR($Q401="",$Z401=""),"",IF(AND($Z401&gt;0,$Z401&gt;=$Q401),"yes","below the line"))</f>
        <v/>
      </c>
      <c r="AB401">
        <f>IF($V401,IF($M401="","",$M401),IF($K401="","",$K401))</f>
        <v/>
      </c>
      <c r="AC401">
        <f>IF($V401,IF($N401="","",$N401),IF($L401="","",$L401))</f>
        <v/>
      </c>
      <c r="AD401">
        <f>$Y401</f>
        <v/>
      </c>
      <c r="AE401">
        <f>IF($V401,IF($S401="","",$S401),IF($R401="","",$R401))</f>
        <v/>
      </c>
      <c r="AF401">
        <f>IF($V401,IF($U401="","",$U401),IF($T401="","",$T401))</f>
        <v/>
      </c>
      <c r="AG401">
        <f>IF($V401,IF($O401="","",$O401),IF($P401="","",$P401))</f>
        <v/>
      </c>
      <c r="AH401" t="n">
        <v>0.08051809294364488</v>
      </c>
      <c r="AI401">
        <f>IF($Y401="worse","Yes",IF($Y401="worse, not significant","Not sure",IF(OR($Y401="too few losses to test",$Y401="too few loans to test"),"Too few losses",IF($Y401="","","No"))))</f>
        <v/>
      </c>
      <c r="AJ401">
        <f>IF($AA401="yes","Yes",IF($AA401="","","No"))</f>
        <v/>
      </c>
      <c r="AK401" t="n">
        <v>0.001225467923144524</v>
      </c>
      <c r="AL401" t="n">
        <v>0.0012998700129987</v>
      </c>
      <c r="AM401">
        <f>IF(AND(ISNUMBER($AC401),ISNUMBER(IF($V401,IF($AL401="","",$AL401),IF($AK401="","",$AK401)))),IF(AND(ABS($AC401-significance_bar)&lt;=2.0*IF($V401,IF($AL401="","",$AL401),IF($AK401="","",$AK401)),OR($Y401="worse",$Y401="better",$Y401="worse, not significant",$Y401="better, not significant")),IF(ROUND($AC401,3)=ROUND(significance_bar,3),TEXT($AC401,"0.0000"),TEXT($AC401,"0.000")),""),"")</f>
        <v/>
      </c>
      <c r="AN401">
        <f>IF(AND(ISNUMBER($AC401),ISNUMBER(IF($V401,IF($AL401="","",$AL401),IF($AK401="","",$AK401)))),IF(AND(ABS($AC401-significance_bar)&lt;=2.0*IF($V401,IF($AL401="","",$AL401),IF($AK401="","",$AK401)),OR($Y401="worse",$Y401="worse, not significant")),IF(ROUND($AC401,3)=ROUND(significance_bar,3),TEXT($AC401,"0.0000"),TEXT($AC401,"0.000")),""),"")</f>
        <v/>
      </c>
      <c r="AO401">
        <f>IF(OR($AI401="",$AN401=""),$AI401,$AI401&amp;" · borderline (p "&amp;$AN401&amp;")")</f>
        <v/>
      </c>
    </row>
    <row r="402">
      <c r="A402" t="inlineStr">
        <is>
          <t>three-way</t>
        </is>
      </c>
      <c r="B402" t="inlineStr">
        <is>
          <t>SHORT_HIST x CHANNEL / REV_DEBT</t>
        </is>
      </c>
      <c r="C402" t="inlineStr">
        <is>
          <t>172.0 - 256.3</t>
        </is>
      </c>
      <c r="D402" t="inlineStr">
        <is>
          <t>Broker / REV_DEBT high half</t>
        </is>
      </c>
      <c r="E402" t="inlineStr">
        <is>
          <t>ranr_rate</t>
        </is>
      </c>
      <c r="F402" t="inlineStr">
        <is>
          <t>Profit after losses: RANR per booked dollar</t>
        </is>
      </c>
      <c r="G402" t="n">
        <v>270</v>
      </c>
      <c r="H402" t="n">
        <v>8683611.029999999</v>
      </c>
      <c r="I402" t="b">
        <v>0</v>
      </c>
      <c r="J402" t="b">
        <v>0</v>
      </c>
      <c r="K402" t="n">
        <v>-0.01340086508271776</v>
      </c>
      <c r="L402" t="n">
        <v>0.4519895836503306</v>
      </c>
      <c r="M402" t="n">
        <v>-0.02059641191292425</v>
      </c>
      <c r="N402" t="n">
        <v>0.2044595540445956</v>
      </c>
      <c r="O402" t="n">
        <v>116367.8998438298</v>
      </c>
      <c r="P402" t="n">
        <v>178851.2296654923</v>
      </c>
      <c r="Q402">
        <f>'_live'!$C$23</f>
        <v/>
      </c>
      <c r="R402" t="inlineStr">
        <is>
          <t>shuffled: 2,887 of 10,000</t>
        </is>
      </c>
      <c r="S402" t="inlineStr">
        <is>
          <t>shuffled: 1,135 of 10,000</t>
        </is>
      </c>
      <c r="T402" t="n">
        <v>0.1284409683932871</v>
      </c>
      <c r="U402" t="n">
        <v>0.1356365152234936</v>
      </c>
      <c r="V402">
        <f>AND(judged_band,NOT($J402))</f>
        <v/>
      </c>
      <c r="W402">
        <f>IF($K402="","",IF(profit_kind="test",IF(OR(NOT(AND(ISNUMBER($L402),$L402&lt;significance_bar)),$K402=0),"in line",IF($K402&lt;0,"worse","better")),IF(OR($K402=0,IF(profit_kind="points",ABS($K402),ABS($K402*$H402))&lt;profit_line*(1-1E-9)),"in line",IF(AND(ISNUMBER($L402),$L402&lt;significance_bar),IF($K402&lt;0,"worse","better"),IF($K402&lt;0,"worse, not significant","better, not significant")))))</f>
        <v/>
      </c>
      <c r="X402">
        <f>IF($M402="","",IF(profit_kind="test",IF(OR(NOT(AND(ISNUMBER($N402),$N402&lt;significance_bar)),$M402=0),"in line",IF($M402&lt;0,"worse","better")),IF(OR($M402=0,IF(profit_kind="points",ABS($M402),ABS($M402*$H402))&lt;profit_line*(1-1E-9)),"in line",IF(AND(ISNUMBER($N402),$N402&lt;significance_bar),IF($M402&lt;0,"worse","better"),IF($M402&lt;0,"worse, not significant","better, not significant")))))</f>
        <v/>
      </c>
      <c r="Y402">
        <f>IF($V402,$X402,$W402)</f>
        <v/>
      </c>
      <c r="Z402">
        <f>IF($V402,IF($P402="","",$P402),IF($O402="","",$O402))</f>
        <v/>
      </c>
      <c r="AA402">
        <f>IF(OR($Q402="",$Z402=""),"",IF(AND($Z402&gt;0,$Z402&gt;=$Q402),"yes","below the line"))</f>
        <v/>
      </c>
      <c r="AB402">
        <f>IF($V402,IF($M402="","",$M402),IF($K402="","",$K402))</f>
        <v/>
      </c>
      <c r="AC402">
        <f>IF($V402,IF($N402="","",$N402),IF($L402="","",$L402))</f>
        <v/>
      </c>
      <c r="AD402">
        <f>IF($Y402="","",IF($Y402="in line",IF(profit_kind="test",IF(ROUND($AB402*100,2)=0,"0.00",TEXT($AB402*100,"+0.00;-0.00"))&amp;" points against "&amp;IF($V402,"its band","the book")&amp;", "&amp;IF($AC402="","not tested","not significant"),IF(profit_kind="points","within "&amp;TEXT(profit_line*100,"0.00")&amp;" points of "&amp;IF($V402,"its band","the book")&amp;" ("&amp;IF(ROUND($AB402*100,2)=0,"0.00",TEXT($AB402*100,"+0.00;-0.00"))&amp;")","within $"&amp;TEXT(profit_line,"#,##0")&amp;" of "&amp;IF($V402,"its band","the book")&amp;" ("&amp;IF(ROUND($AB402*100,2)=0,"0.00",TEXT($AB402*100,"+0.00;-0.00"))&amp;" points)")),IF(LEFT($Y402,5)="worse","short of ","ahead of ")&amp;IF($V402,"its band","the book")&amp;" by "&amp;TEXT(ABS($AB402)*100,"0.00")&amp;" points"&amp;IF($Z402="",""," ($"&amp;TEXT(ABS($Z402),"#,##0")&amp;")")&amp;IF(RIGHT($Y402,15)="not significant"," (not significant)","")))</f>
        <v/>
      </c>
      <c r="AE402">
        <f>IF($V402,IF($S402="","",$S402),IF($R402="","",$R402))</f>
        <v/>
      </c>
      <c r="AF402">
        <f>IF($V402,IF($U402="","",$U402),IF($T402="","",$T402))</f>
        <v/>
      </c>
      <c r="AG402">
        <f>IF($V402,IF($O402="","",$O402),IF($P402="","",$P402))</f>
        <v/>
      </c>
      <c r="AH402" t="n">
        <v>0.1150401033105694</v>
      </c>
      <c r="AI402">
        <f>IF($Y402="worse","Yes",IF($Y402="worse, not significant","Not sure",IF(OR($Y402="too few losses to test",$Y402="too few loans to test"),"Too few losses",IF($Y402="","","No"))))</f>
        <v/>
      </c>
      <c r="AJ402">
        <f>IF($AA402="yes","Yes",IF($AA402="","","No"))</f>
        <v/>
      </c>
      <c r="AK402" t="n">
        <v>0.007093429165710401</v>
      </c>
      <c r="AL402" t="n">
        <v>0.005711597745291216</v>
      </c>
      <c r="AM402">
        <f>IF(AND(ISNUMBER($AC402),ISNUMBER(IF($V402,IF($AL402="","",$AL402),IF($AK402="","",$AK402)))),IF(AND(ABS($AC402-significance_bar)&lt;=2.0*IF($V402,IF($AL402="","",$AL402),IF($AK402="","",$AK402)),OR($Y402="worse",$Y402="better",$Y402="worse, not significant",$Y402="better, not significant",AND(profit_kind="test",$Y402="in line",ISNUMBER($AB402),$AB402&lt;&gt;0))),IF(ROUND($AC402,3)=ROUND(significance_bar,3),TEXT($AC402,"0.0000"),TEXT($AC402,"0.000")),""),"")</f>
        <v/>
      </c>
      <c r="AN402">
        <f>IF(AND(ISNUMBER($AC402),ISNUMBER(IF($V402,IF($AL402="","",$AL402),IF($AK402="","",$AK402)))),IF(AND(ABS($AC402-significance_bar)&lt;=2.0*IF($V402,IF($AL402="","",$AL402),IF($AK402="","",$AK402)),OR($Y402="worse",$Y402="worse, not significant",AND(profit_kind="test",$Y402="in line",ISNUMBER($AB402),$AB402&lt;0))),IF(ROUND($AC402,3)=ROUND(significance_bar,3),TEXT($AC402,"0.0000"),TEXT($AC402,"0.000")),""),"")</f>
        <v/>
      </c>
      <c r="AO402">
        <f>IF(OR($AI402="",$AN402=""),$AI402,$AI402&amp;" · borderline (p "&amp;$AN402&amp;")")</f>
        <v/>
      </c>
    </row>
    <row r="403">
      <c r="A403" t="inlineStr">
        <is>
          <t>three-way</t>
        </is>
      </c>
      <c r="B403" t="inlineStr">
        <is>
          <t>SHORT_HIST x CHANNEL / REV_DEBT</t>
        </is>
      </c>
      <c r="C403" t="inlineStr">
        <is>
          <t>172.0 - 256.3</t>
        </is>
      </c>
      <c r="D403" t="inlineStr">
        <is>
          <t>Broker / REV_DEBT high half</t>
        </is>
      </c>
      <c r="E403" t="inlineStr">
        <is>
          <t>contribution_rate</t>
        </is>
      </c>
      <c r="F403" t="inlineStr">
        <is>
          <t>Contribution before losses per booked dollar</t>
        </is>
      </c>
      <c r="G403" t="n">
        <v>270</v>
      </c>
      <c r="H403" t="n">
        <v>8683611.029999999</v>
      </c>
      <c r="I403" t="b">
        <v>0</v>
      </c>
      <c r="J403" t="b">
        <v>0</v>
      </c>
      <c r="K403" t="n">
        <v>0.02687001473615461</v>
      </c>
      <c r="L403" t="n">
        <v>0.0021270600212706</v>
      </c>
      <c r="M403" t="n">
        <v>0.0337267814862284</v>
      </c>
      <c r="N403" t="n">
        <v>0.0003789094774733053</v>
      </c>
      <c r="O403" t="n">
        <v>-233328.7563391346</v>
      </c>
      <c r="P403" t="n">
        <v>-292870.2517202126</v>
      </c>
      <c r="Q403">
        <f>'_live'!$C$24</f>
        <v/>
      </c>
      <c r="R403" t="inlineStr">
        <is>
          <t>shuffled: 12 of 10,000</t>
        </is>
      </c>
      <c r="S403" t="inlineStr">
        <is>
          <t>shuffled: 1 of 10,000</t>
        </is>
      </c>
      <c r="T403" t="n">
        <v>0.1686881815180597</v>
      </c>
      <c r="U403" t="n">
        <v>0.1618314147679859</v>
      </c>
      <c r="V403">
        <f>AND(judged_band,NOT($J403))</f>
        <v/>
      </c>
      <c r="W403">
        <f>IF($K403="","",IF(profit_kind="test",IF(OR(NOT(AND(ISNUMBER($L403),$L403&lt;significance_bar)),$K403=0),"in line",IF($K403&lt;0,"worse","better")),IF(OR($K403=0,IF(profit_kind="points",ABS($K403),ABS($K403*$H403))&lt;profit_line*(1-1E-9)),"in line",IF(AND(ISNUMBER($L403),$L403&lt;significance_bar),IF($K403&lt;0,"worse","better"),IF($K403&lt;0,"worse, not significant","better, not significant")))))</f>
        <v/>
      </c>
      <c r="X403">
        <f>IF($M403="","",IF(profit_kind="test",IF(OR(NOT(AND(ISNUMBER($N403),$N403&lt;significance_bar)),$M403=0),"in line",IF($M403&lt;0,"worse","better")),IF(OR($M403=0,IF(profit_kind="points",ABS($M403),ABS($M403*$H403))&lt;profit_line*(1-1E-9)),"in line",IF(AND(ISNUMBER($N403),$N403&lt;significance_bar),IF($M403&lt;0,"worse","better"),IF($M403&lt;0,"worse, not significant","better, not significant")))))</f>
        <v/>
      </c>
      <c r="Y403">
        <f>IF($V403,$X403,$W403)</f>
        <v/>
      </c>
      <c r="Z403">
        <f>IF($V403,IF($P403="","",$P403),IF($O403="","",$O403))</f>
        <v/>
      </c>
      <c r="AA403">
        <f>IF(OR($Q403="",$Z403=""),"",IF(AND($Z403&gt;0,$Z403&gt;=$Q403),"yes","below the line"))</f>
        <v/>
      </c>
      <c r="AB403">
        <f>IF($V403,IF($M403="","",$M403),IF($K403="","",$K403))</f>
        <v/>
      </c>
      <c r="AC403">
        <f>IF($V403,IF($N403="","",$N403),IF($L403="","",$L403))</f>
        <v/>
      </c>
      <c r="AD403">
        <f>IF($Y403="","",IF($Y403="in line",IF(profit_kind="test",IF(ROUND($AB403*100,2)=0,"0.00",TEXT($AB403*100,"+0.00;-0.00"))&amp;" points against "&amp;IF($V403,"its band","the book")&amp;", "&amp;IF($AC403="","not tested","not significant"),IF(profit_kind="points","within "&amp;TEXT(profit_line*100,"0.00")&amp;" points of "&amp;IF($V403,"its band","the book")&amp;" ("&amp;IF(ROUND($AB403*100,2)=0,"0.00",TEXT($AB403*100,"+0.00;-0.00"))&amp;")","within $"&amp;TEXT(profit_line,"#,##0")&amp;" of "&amp;IF($V403,"its band","the book")&amp;" ("&amp;IF(ROUND($AB403*100,2)=0,"0.00",TEXT($AB403*100,"+0.00;-0.00"))&amp;" points)")),IF(LEFT($Y403,5)="worse","short of ","ahead of ")&amp;IF($V403,"its band","the book")&amp;" by "&amp;TEXT(ABS($AB403)*100,"0.00")&amp;" points"&amp;IF($Z403="",""," ($"&amp;TEXT(ABS($Z403),"#,##0")&amp;")")&amp;IF(RIGHT($Y403,15)="not significant"," (not significant)","")))</f>
        <v/>
      </c>
      <c r="AE403">
        <f>IF($V403,IF($S403="","",$S403),IF($R403="","",$R403))</f>
        <v/>
      </c>
      <c r="AF403">
        <f>IF($V403,IF($U403="","",$U403),IF($T403="","",$T403))</f>
        <v/>
      </c>
      <c r="AG403">
        <f>IF($V403,IF($O403="","",$O403),IF($P403="","",$P403))</f>
        <v/>
      </c>
      <c r="AH403" t="n">
        <v>0.1955581962542143</v>
      </c>
      <c r="AI403">
        <f>IF($Y403="worse","Yes",IF($Y403="worse, not significant","Not sure",IF(OR($Y403="too few losses to test",$Y403="too few loans to test"),"Too few losses",IF($Y403="","","No"))))</f>
        <v/>
      </c>
      <c r="AJ403">
        <f>IF($AA403="yes","Yes",IF($AA403="","","No"))</f>
        <v/>
      </c>
      <c r="AK403" t="n">
        <v>0.0005895862351544502</v>
      </c>
      <c r="AL403" t="n">
        <v>0.0002679160641692481</v>
      </c>
      <c r="AM403">
        <f>IF(AND(ISNUMBER($AC403),ISNUMBER(IF($V403,IF($AL403="","",$AL403),IF($AK403="","",$AK403)))),IF(AND(ABS($AC403-significance_bar)&lt;=2.0*IF($V403,IF($AL403="","",$AL403),IF($AK403="","",$AK403)),OR($Y403="worse",$Y403="better",$Y403="worse, not significant",$Y403="better, not significant",AND(profit_kind="test",$Y403="in line",ISNUMBER($AB403),$AB403&lt;&gt;0))),IF(ROUND($AC403,3)=ROUND(significance_bar,3),TEXT($AC403,"0.0000"),TEXT($AC403,"0.000")),""),"")</f>
        <v/>
      </c>
      <c r="AN403">
        <f>IF(AND(ISNUMBER($AC403),ISNUMBER(IF($V403,IF($AL403="","",$AL403),IF($AK403="","",$AK403)))),IF(AND(ABS($AC403-significance_bar)&lt;=2.0*IF($V403,IF($AL403="","",$AL403),IF($AK403="","",$AK403)),OR($Y403="worse",$Y403="worse, not significant",AND(profit_kind="test",$Y403="in line",ISNUMBER($AB403),$AB403&lt;0))),IF(ROUND($AC403,3)=ROUND(significance_bar,3),TEXT($AC403,"0.0000"),TEXT($AC403,"0.000")),""),"")</f>
        <v/>
      </c>
      <c r="AO403">
        <f>IF(OR($AI403="",$AN403=""),$AI403,$AI403&amp;" · borderline (p "&amp;$AN403&amp;")")</f>
        <v/>
      </c>
    </row>
    <row r="404">
      <c r="A404" t="inlineStr">
        <is>
          <t>three-way</t>
        </is>
      </c>
      <c r="B404" t="inlineStr">
        <is>
          <t>SHORT_HIST x CHANNEL / REV_DEBT</t>
        </is>
      </c>
      <c r="C404" t="inlineStr">
        <is>
          <t>256.4 - 345.9</t>
        </is>
      </c>
      <c r="D404" t="inlineStr">
        <is>
          <t>Broker / REV_DEBT low half</t>
        </is>
      </c>
      <c r="E404" t="inlineStr">
        <is>
          <t>outcome_loans</t>
        </is>
      </c>
      <c r="F404" t="inlineStr">
        <is>
          <t>Outcome, share of loans</t>
        </is>
      </c>
      <c r="G404" t="n">
        <v>257</v>
      </c>
      <c r="H404" t="n">
        <v>257</v>
      </c>
      <c r="I404" t="b">
        <v>0</v>
      </c>
      <c r="J404" t="b">
        <v>0</v>
      </c>
      <c r="K404" t="n">
        <v>0.5450158713905385</v>
      </c>
      <c r="L404" t="n">
        <v>0.08258878608624463</v>
      </c>
      <c r="M404" t="n">
        <v>0.4506342728796938</v>
      </c>
      <c r="N404" t="n">
        <v>0.0211825708152546</v>
      </c>
      <c r="O404" t="n">
        <v>-9.182898475846034</v>
      </c>
      <c r="P404" t="n">
        <v>-13.41003861003861</v>
      </c>
      <c r="Q404">
        <f>'_live'!$C$20</f>
        <v/>
      </c>
      <c r="R404" t="inlineStr">
        <is>
          <t>z test</t>
        </is>
      </c>
      <c r="S404" t="inlineStr">
        <is>
          <t>z test</t>
        </is>
      </c>
      <c r="T404" t="n">
        <v>0.07853267889434255</v>
      </c>
      <c r="U404" t="n">
        <v>0.09498069498069497</v>
      </c>
      <c r="V404">
        <f>AND(judged_band,NOT($J404))</f>
        <v/>
      </c>
      <c r="W404">
        <f>IF($K404="","",IF($I404,"too few losses to test",IF(AND($K404&gt;better_at,$K404&lt;worse_at),"in line",IF($K404&gt;=worse_at,IF(AND(ISNUMBER($L404),$L404&lt;significance_bar),"worse","worse, not significant"),IF(AND(ISNUMBER($L404),$L404&lt;significance_bar),"better","better, not significant")))))</f>
        <v/>
      </c>
      <c r="X404">
        <f>IF($M404="","",IF($I404,"too few losses to test",IF(AND($M404&gt;better_at,$M404&lt;worse_at),"in line",IF($M404&gt;=worse_at,IF(AND(ISNUMBER($N404),$N404&lt;significance_bar),"worse","worse, not significant"),IF(AND(ISNUMBER($N404),$N404&lt;significance_bar),"better","better, not significant")))))</f>
        <v/>
      </c>
      <c r="Y404">
        <f>IF($V404,$X404,$W404)</f>
        <v/>
      </c>
      <c r="Z404">
        <f>IF($V404,IF($P404="","",$P404),IF($O404="","",$O404))</f>
        <v/>
      </c>
      <c r="AA404">
        <f>IF(OR($Q404="",$Z404=""),"",IF(AND($Z404&gt;0,$Z404&gt;=$Q404),"yes","below the line"))</f>
        <v/>
      </c>
      <c r="AB404">
        <f>IF($V404,IF($M404="","",$M404),IF($K404="","",$K404))</f>
        <v/>
      </c>
      <c r="AC404">
        <f>IF($V404,IF($N404="","",$N404),IF($L404="","",$L404))</f>
        <v/>
      </c>
      <c r="AD404">
        <f>$Y404</f>
        <v/>
      </c>
      <c r="AE404">
        <f>IF($V404,IF($S404="","",$S404),IF($R404="","",$R404))</f>
        <v/>
      </c>
      <c r="AF404">
        <f>IF($V404,IF($U404="","",$U404),IF($T404="","",$T404))</f>
        <v/>
      </c>
      <c r="AG404">
        <f>IF($V404,IF($O404="","",$O404),IF($P404="","",$P404))</f>
        <v/>
      </c>
      <c r="AH404" t="n">
        <v>0.04280155642023346</v>
      </c>
      <c r="AI404">
        <f>IF($Y404="worse","Yes",IF($Y404="worse, not significant","Not sure",IF(OR($Y404="too few losses to test",$Y404="too few loans to test"),"Too few losses",IF($Y404="","","No"))))</f>
        <v/>
      </c>
      <c r="AJ404">
        <f>IF($AA404="yes","Yes",IF($AA404="","","No"))</f>
        <v/>
      </c>
      <c r="AM404">
        <f>IF(AND(ISNUMBER($AC404),ISNUMBER(IF($V404,IF($AL404="","",$AL404),IF($AK404="","",$AK404)))),IF(AND(ABS($AC404-significance_bar)&lt;=2.0*IF($V404,IF($AL404="","",$AL404),IF($AK404="","",$AK404)),OR($Y404="worse",$Y404="better",$Y404="worse, not significant",$Y404="better, not significant")),IF(ROUND($AC404,3)=ROUND(significance_bar,3),TEXT($AC404,"0.0000"),TEXT($AC404,"0.000")),""),"")</f>
        <v/>
      </c>
      <c r="AN404">
        <f>IF(AND(ISNUMBER($AC404),ISNUMBER(IF($V404,IF($AL404="","",$AL404),IF($AK404="","",$AK404)))),IF(AND(ABS($AC404-significance_bar)&lt;=2.0*IF($V404,IF($AL404="","",$AL404),IF($AK404="","",$AK404)),OR($Y404="worse",$Y404="worse, not significant")),IF(ROUND($AC404,3)=ROUND(significance_bar,3),TEXT($AC404,"0.0000"),TEXT($AC404,"0.000")),""),"")</f>
        <v/>
      </c>
      <c r="AO404">
        <f>IF(OR($AI404="",$AN404=""),$AI404,$AI404&amp;" · borderline (p "&amp;$AN404&amp;")")</f>
        <v/>
      </c>
    </row>
    <row r="405">
      <c r="A405" t="inlineStr">
        <is>
          <t>three-way</t>
        </is>
      </c>
      <c r="B405" t="inlineStr">
        <is>
          <t>SHORT_HIST x CHANNEL / REV_DEBT</t>
        </is>
      </c>
      <c r="C405" t="inlineStr">
        <is>
          <t>256.4 - 345.9</t>
        </is>
      </c>
      <c r="D405" t="inlineStr">
        <is>
          <t>Broker / REV_DEBT low half</t>
        </is>
      </c>
      <c r="E405" t="inlineStr">
        <is>
          <t>outcome_booked</t>
        </is>
      </c>
      <c r="F405" t="inlineStr">
        <is>
          <t>Outcome, share of booked dollars</t>
        </is>
      </c>
      <c r="G405" t="n">
        <v>257</v>
      </c>
      <c r="H405" t="n">
        <v>8258606.180000003</v>
      </c>
      <c r="I405" t="b">
        <v>0</v>
      </c>
      <c r="J405" t="b">
        <v>0</v>
      </c>
      <c r="K405" t="n">
        <v>0.5301285165389933</v>
      </c>
      <c r="L405" t="n">
        <v>0.1262055612620556</v>
      </c>
      <c r="M405" t="n">
        <v>0.4417752101333883</v>
      </c>
      <c r="N405" t="n">
        <v>0.04456697187424114</v>
      </c>
      <c r="O405" t="n">
        <v>-294805.7168681116</v>
      </c>
      <c r="P405" t="n">
        <v>-420286.8052788468</v>
      </c>
      <c r="Q405">
        <f>'_live'!$C$21</f>
        <v/>
      </c>
      <c r="R405" t="inlineStr">
        <is>
          <t>shuffled: 533 of 10,000</t>
        </is>
      </c>
      <c r="S405" t="inlineStr">
        <is>
          <t>shuffled: 119 of 10,000</t>
        </is>
      </c>
      <c r="T405" t="n">
        <v>0.07597138708315444</v>
      </c>
      <c r="U405" t="n">
        <v>0.09116536602776311</v>
      </c>
      <c r="V405">
        <f>AND(judged_band,NOT($J405))</f>
        <v/>
      </c>
      <c r="W405">
        <f>IF($K405="","",IF($I405,"too few losses to test",IF(AND($K405&gt;better_at,$K405&lt;worse_at),"in line",IF($K405&gt;=worse_at,IF(AND(ISNUMBER($L405),$L405&lt;significance_bar),"worse","worse, not significant"),IF(AND(ISNUMBER($L405),$L405&lt;significance_bar),"better","better, not significant")))))</f>
        <v/>
      </c>
      <c r="X405">
        <f>IF($M405="","",IF($I405,"too few losses to test",IF(AND($M405&gt;better_at,$M405&lt;worse_at),"in line",IF($M405&gt;=worse_at,IF(AND(ISNUMBER($N405),$N405&lt;significance_bar),"worse","worse, not significant"),IF(AND(ISNUMBER($N405),$N405&lt;significance_bar),"better","better, not significant")))))</f>
        <v/>
      </c>
      <c r="Y405">
        <f>IF($V405,$X405,$W405)</f>
        <v/>
      </c>
      <c r="Z405">
        <f>IF($V405,IF($P405="","",$P405),IF($O405="","",$O405))</f>
        <v/>
      </c>
      <c r="AA405">
        <f>IF(OR($Q405="",$Z405=""),"",IF(AND($Z405&gt;0,$Z405&gt;=$Q405),"yes","below the line"))</f>
        <v/>
      </c>
      <c r="AB405">
        <f>IF($V405,IF($M405="","",$M405),IF($K405="","",$K405))</f>
        <v/>
      </c>
      <c r="AC405">
        <f>IF($V405,IF($N405="","",$N405),IF($L405="","",$L405))</f>
        <v/>
      </c>
      <c r="AD405">
        <f>$Y405</f>
        <v/>
      </c>
      <c r="AE405">
        <f>IF($V405,IF($S405="","",$S405),IF($R405="","",$R405))</f>
        <v/>
      </c>
      <c r="AF405">
        <f>IF($V405,IF($U405="","",$U405),IF($T405="","",$T405))</f>
        <v/>
      </c>
      <c r="AG405">
        <f>IF($V405,IF($O405="","",$O405),IF($P405="","",$P405))</f>
        <v/>
      </c>
      <c r="AH405" t="n">
        <v>0.04027459873380231</v>
      </c>
      <c r="AI405">
        <f>IF($Y405="worse","Yes",IF($Y405="worse, not significant","Not sure",IF(OR($Y405="too few losses to test",$Y405="too few loans to test"),"Too few losses",IF($Y405="","","No"))))</f>
        <v/>
      </c>
      <c r="AJ405">
        <f>IF($AA405="yes","Yes",IF($AA405="","","No"))</f>
        <v/>
      </c>
      <c r="AK405" t="n">
        <v>0.005313908262274209</v>
      </c>
      <c r="AL405" t="n">
        <v>0.004044109938904081</v>
      </c>
      <c r="AM405">
        <f>IF(AND(ISNUMBER($AC405),ISNUMBER(IF($V405,IF($AL405="","",$AL405),IF($AK405="","",$AK405)))),IF(AND(ABS($AC405-significance_bar)&lt;=2.0*IF($V405,IF($AL405="","",$AL405),IF($AK405="","",$AK405)),OR($Y405="worse",$Y405="better",$Y405="worse, not significant",$Y405="better, not significant")),IF(ROUND($AC405,3)=ROUND(significance_bar,3),TEXT($AC405,"0.0000"),TEXT($AC405,"0.000")),""),"")</f>
        <v/>
      </c>
      <c r="AN405">
        <f>IF(AND(ISNUMBER($AC405),ISNUMBER(IF($V405,IF($AL405="","",$AL405),IF($AK405="","",$AK405)))),IF(AND(ABS($AC405-significance_bar)&lt;=2.0*IF($V405,IF($AL405="","",$AL405),IF($AK405="","",$AK405)),OR($Y405="worse",$Y405="worse, not significant")),IF(ROUND($AC405,3)=ROUND(significance_bar,3),TEXT($AC405,"0.0000"),TEXT($AC405,"0.000")),""),"")</f>
        <v/>
      </c>
      <c r="AO405">
        <f>IF(OR($AI405="",$AN405=""),$AI405,$AI405&amp;" · borderline (p "&amp;$AN405&amp;")")</f>
        <v/>
      </c>
    </row>
    <row r="406">
      <c r="A406" t="inlineStr">
        <is>
          <t>three-way</t>
        </is>
      </c>
      <c r="B406" t="inlineStr">
        <is>
          <t>SHORT_HIST x CHANNEL / REV_DEBT</t>
        </is>
      </c>
      <c r="C406" t="inlineStr">
        <is>
          <t>256.4 - 345.9</t>
        </is>
      </c>
      <c r="D406" t="inlineStr">
        <is>
          <t>Broker / REV_DEBT low half</t>
        </is>
      </c>
      <c r="E406" t="inlineStr">
        <is>
          <t>gco_rate</t>
        </is>
      </c>
      <c r="F406" t="inlineStr">
        <is>
          <t>GCO per booked dollar</t>
        </is>
      </c>
      <c r="G406" t="n">
        <v>257</v>
      </c>
      <c r="H406" t="n">
        <v>8258606.180000003</v>
      </c>
      <c r="I406" t="b">
        <v>0</v>
      </c>
      <c r="J406" t="b">
        <v>0</v>
      </c>
      <c r="K406" t="n">
        <v>0.5957362622732731</v>
      </c>
      <c r="L406" t="n">
        <v>0.203979602039796</v>
      </c>
      <c r="M406" t="n">
        <v>0.507298669694889</v>
      </c>
      <c r="N406" t="n">
        <v>0.1097090290970903</v>
      </c>
      <c r="O406" t="n">
        <v>-140726.498788166</v>
      </c>
      <c r="P406" t="n">
        <v>-201411.9078964327</v>
      </c>
      <c r="Q406">
        <f>'_live'!$C$22</f>
        <v/>
      </c>
      <c r="R406" t="inlineStr">
        <is>
          <t>shuffled: 1,019 of 10,000</t>
        </is>
      </c>
      <c r="S406" t="inlineStr">
        <is>
          <t>shuffled: 397 of 10,000</t>
        </is>
      </c>
      <c r="T406" t="n">
        <v>0.04215065607937318</v>
      </c>
      <c r="U406" t="n">
        <v>0.04949879785845807</v>
      </c>
      <c r="V406">
        <f>AND(judged_band,NOT($J406))</f>
        <v/>
      </c>
      <c r="W406">
        <f>IF($K406="","",IF($I406,"too few losses to test",IF(AND($K406&gt;better_at,$K406&lt;worse_at),"in line",IF($K406&gt;=worse_at,IF(AND(ISNUMBER($L406),$L406&lt;significance_bar),"worse","worse, not significant"),IF(AND(ISNUMBER($L406),$L406&lt;significance_bar),"better","better, not significant")))))</f>
        <v/>
      </c>
      <c r="X406">
        <f>IF($M406="","",IF($I406,"too few losses to test",IF(AND($M406&gt;better_at,$M406&lt;worse_at),"in line",IF($M406&gt;=worse_at,IF(AND(ISNUMBER($N406),$N406&lt;significance_bar),"worse","worse, not significant"),IF(AND(ISNUMBER($N406),$N406&lt;significance_bar),"better","better, not significant")))))</f>
        <v/>
      </c>
      <c r="Y406">
        <f>IF($V406,$X406,$W406)</f>
        <v/>
      </c>
      <c r="Z406">
        <f>IF($V406,IF($P406="","",$P406),IF($O406="","",$O406))</f>
        <v/>
      </c>
      <c r="AA406">
        <f>IF(OR($Q406="",$Z406=""),"",IF(AND($Z406&gt;0,$Z406&gt;=$Q406),"yes","below the line"))</f>
        <v/>
      </c>
      <c r="AB406">
        <f>IF($V406,IF($M406="","",$M406),IF($K406="","",$K406))</f>
        <v/>
      </c>
      <c r="AC406">
        <f>IF($V406,IF($N406="","",$N406),IF($L406="","",$L406))</f>
        <v/>
      </c>
      <c r="AD406">
        <f>$Y406</f>
        <v/>
      </c>
      <c r="AE406">
        <f>IF($V406,IF($S406="","",$S406),IF($R406="","",$R406))</f>
        <v/>
      </c>
      <c r="AF406">
        <f>IF($V406,IF($U406="","",$U406),IF($T406="","",$T406))</f>
        <v/>
      </c>
      <c r="AG406">
        <f>IF($V406,IF($O406="","",$O406),IF($P406="","",$P406))</f>
        <v/>
      </c>
      <c r="AH406" t="n">
        <v>0.025110674305092</v>
      </c>
      <c r="AI406">
        <f>IF($Y406="worse","Yes",IF($Y406="worse, not significant","Not sure",IF(OR($Y406="too few losses to test",$Y406="too few loans to test"),"Too few losses",IF($Y406="","","No"))))</f>
        <v/>
      </c>
      <c r="AJ406">
        <f>IF($AA406="yes","Yes",IF($AA406="","","No"))</f>
        <v/>
      </c>
      <c r="AK406" t="n">
        <v>0.0060526979606724</v>
      </c>
      <c r="AL406" t="n">
        <v>0.005226924569830795</v>
      </c>
      <c r="AM406">
        <f>IF(AND(ISNUMBER($AC406),ISNUMBER(IF($V406,IF($AL406="","",$AL406),IF($AK406="","",$AK406)))),IF(AND(ABS($AC406-significance_bar)&lt;=2.0*IF($V406,IF($AL406="","",$AL406),IF($AK406="","",$AK406)),OR($Y406="worse",$Y406="better",$Y406="worse, not significant",$Y406="better, not significant")),IF(ROUND($AC406,3)=ROUND(significance_bar,3),TEXT($AC406,"0.0000"),TEXT($AC406,"0.000")),""),"")</f>
        <v/>
      </c>
      <c r="AN406">
        <f>IF(AND(ISNUMBER($AC406),ISNUMBER(IF($V406,IF($AL406="","",$AL406),IF($AK406="","",$AK406)))),IF(AND(ABS($AC406-significance_bar)&lt;=2.0*IF($V406,IF($AL406="","",$AL406),IF($AK406="","",$AK406)),OR($Y406="worse",$Y406="worse, not significant")),IF(ROUND($AC406,3)=ROUND(significance_bar,3),TEXT($AC406,"0.0000"),TEXT($AC406,"0.000")),""),"")</f>
        <v/>
      </c>
      <c r="AO406">
        <f>IF(OR($AI406="",$AN406=""),$AI406,$AI406&amp;" · borderline (p "&amp;$AN406&amp;")")</f>
        <v/>
      </c>
    </row>
    <row r="407">
      <c r="A407" t="inlineStr">
        <is>
          <t>three-way</t>
        </is>
      </c>
      <c r="B407" t="inlineStr">
        <is>
          <t>SHORT_HIST x CHANNEL / REV_DEBT</t>
        </is>
      </c>
      <c r="C407" t="inlineStr">
        <is>
          <t>256.4 - 345.9</t>
        </is>
      </c>
      <c r="D407" t="inlineStr">
        <is>
          <t>Broker / REV_DEBT low half</t>
        </is>
      </c>
      <c r="E407" t="inlineStr">
        <is>
          <t>ranr_rate</t>
        </is>
      </c>
      <c r="F407" t="inlineStr">
        <is>
          <t>Profit after losses: RANR per booked dollar</t>
        </is>
      </c>
      <c r="G407" t="n">
        <v>257</v>
      </c>
      <c r="H407" t="n">
        <v>8258606.180000003</v>
      </c>
      <c r="I407" t="b">
        <v>0</v>
      </c>
      <c r="J407" t="b">
        <v>0</v>
      </c>
      <c r="K407" t="n">
        <v>-0.02760264597453743</v>
      </c>
      <c r="L407" t="n">
        <v>0.1135522811355228</v>
      </c>
      <c r="M407" t="n">
        <v>-0.03592382679503645</v>
      </c>
      <c r="N407" t="n">
        <v>0.08022054937363407</v>
      </c>
      <c r="O407" t="n">
        <v>227959.3826296669</v>
      </c>
      <c r="P407" t="n">
        <v>296680.7379787378</v>
      </c>
      <c r="Q407">
        <f>'_live'!$C$23</f>
        <v/>
      </c>
      <c r="R407" t="inlineStr">
        <is>
          <t>shuffled: 346 of 10,000</t>
        </is>
      </c>
      <c r="S407" t="inlineStr">
        <is>
          <t>shuffled: 134 of 10,000</t>
        </is>
      </c>
      <c r="T407" t="n">
        <v>0.1288733788041782</v>
      </c>
      <c r="U407" t="n">
        <v>0.1371945596246772</v>
      </c>
      <c r="V407">
        <f>AND(judged_band,NOT($J407))</f>
        <v/>
      </c>
      <c r="W407">
        <f>IF($K407="","",IF(profit_kind="test",IF(OR(NOT(AND(ISNUMBER($L407),$L407&lt;significance_bar)),$K407=0),"in line",IF($K407&lt;0,"worse","better")),IF(OR($K407=0,IF(profit_kind="points",ABS($K407),ABS($K407*$H407))&lt;profit_line*(1-1E-9)),"in line",IF(AND(ISNUMBER($L407),$L407&lt;significance_bar),IF($K407&lt;0,"worse","better"),IF($K407&lt;0,"worse, not significant","better, not significant")))))</f>
        <v/>
      </c>
      <c r="X407">
        <f>IF($M407="","",IF(profit_kind="test",IF(OR(NOT(AND(ISNUMBER($N407),$N407&lt;significance_bar)),$M407=0),"in line",IF($M407&lt;0,"worse","better")),IF(OR($M407=0,IF(profit_kind="points",ABS($M407),ABS($M407*$H407))&lt;profit_line*(1-1E-9)),"in line",IF(AND(ISNUMBER($N407),$N407&lt;significance_bar),IF($M407&lt;0,"worse","better"),IF($M407&lt;0,"worse, not significant","better, not significant")))))</f>
        <v/>
      </c>
      <c r="Y407">
        <f>IF($V407,$X407,$W407)</f>
        <v/>
      </c>
      <c r="Z407">
        <f>IF($V407,IF($P407="","",$P407),IF($O407="","",$O407))</f>
        <v/>
      </c>
      <c r="AA407">
        <f>IF(OR($Q407="",$Z407=""),"",IF(AND($Z407&gt;0,$Z407&gt;=$Q407),"yes","below the line"))</f>
        <v/>
      </c>
      <c r="AB407">
        <f>IF($V407,IF($M407="","",$M407),IF($K407="","",$K407))</f>
        <v/>
      </c>
      <c r="AC407">
        <f>IF($V407,IF($N407="","",$N407),IF($L407="","",$L407))</f>
        <v/>
      </c>
      <c r="AD407">
        <f>IF($Y407="","",IF($Y407="in line",IF(profit_kind="test",IF(ROUND($AB407*100,2)=0,"0.00",TEXT($AB407*100,"+0.00;-0.00"))&amp;" points against "&amp;IF($V407,"its band","the book")&amp;", "&amp;IF($AC407="","not tested","not significant"),IF(profit_kind="points","within "&amp;TEXT(profit_line*100,"0.00")&amp;" points of "&amp;IF($V407,"its band","the book")&amp;" ("&amp;IF(ROUND($AB407*100,2)=0,"0.00",TEXT($AB407*100,"+0.00;-0.00"))&amp;")","within $"&amp;TEXT(profit_line,"#,##0")&amp;" of "&amp;IF($V407,"its band","the book")&amp;" ("&amp;IF(ROUND($AB407*100,2)=0,"0.00",TEXT($AB407*100,"+0.00;-0.00"))&amp;" points)")),IF(LEFT($Y407,5)="worse","short of ","ahead of ")&amp;IF($V407,"its band","the book")&amp;" by "&amp;TEXT(ABS($AB407)*100,"0.00")&amp;" points"&amp;IF($Z407="",""," ($"&amp;TEXT(ABS($Z407),"#,##0")&amp;")")&amp;IF(RIGHT($Y407,15)="not significant"," (not significant)","")))</f>
        <v/>
      </c>
      <c r="AE407">
        <f>IF($V407,IF($S407="","",$S407),IF($R407="","",$R407))</f>
        <v/>
      </c>
      <c r="AF407">
        <f>IF($V407,IF($U407="","",$U407),IF($T407="","",$T407))</f>
        <v/>
      </c>
      <c r="AG407">
        <f>IF($V407,IF($O407="","",$O407),IF($P407="","",$P407))</f>
        <v/>
      </c>
      <c r="AH407" t="n">
        <v>0.1012707328296407</v>
      </c>
      <c r="AI407">
        <f>IF($Y407="worse","Yes",IF($Y407="worse, not significant","Not sure",IF(OR($Y407="too few losses to test",$Y407="too few loans to test"),"Too few losses",IF($Y407="","","No"))))</f>
        <v/>
      </c>
      <c r="AJ407">
        <f>IF($AA407="yes","Yes",IF($AA407="","","No"))</f>
        <v/>
      </c>
      <c r="AK407" t="n">
        <v>0.005989420062088979</v>
      </c>
      <c r="AL407" t="n">
        <v>0.006372813262667519</v>
      </c>
      <c r="AM407">
        <f>IF(AND(ISNUMBER($AC407),ISNUMBER(IF($V407,IF($AL407="","",$AL407),IF($AK407="","",$AK407)))),IF(AND(ABS($AC407-significance_bar)&lt;=2.0*IF($V407,IF($AL407="","",$AL407),IF($AK407="","",$AK407)),OR($Y407="worse",$Y407="better",$Y407="worse, not significant",$Y407="better, not significant",AND(profit_kind="test",$Y407="in line",ISNUMBER($AB407),$AB407&lt;&gt;0))),IF(ROUND($AC407,3)=ROUND(significance_bar,3),TEXT($AC407,"0.0000"),TEXT($AC407,"0.000")),""),"")</f>
        <v/>
      </c>
      <c r="AN407">
        <f>IF(AND(ISNUMBER($AC407),ISNUMBER(IF($V407,IF($AL407="","",$AL407),IF($AK407="","",$AK407)))),IF(AND(ABS($AC407-significance_bar)&lt;=2.0*IF($V407,IF($AL407="","",$AL407),IF($AK407="","",$AK407)),OR($Y407="worse",$Y407="worse, not significant",AND(profit_kind="test",$Y407="in line",ISNUMBER($AB407),$AB407&lt;0))),IF(ROUND($AC407,3)=ROUND(significance_bar,3),TEXT($AC407,"0.0000"),TEXT($AC407,"0.000")),""),"")</f>
        <v/>
      </c>
      <c r="AO407">
        <f>IF(OR($AI407="",$AN407=""),$AI407,$AI407&amp;" · borderline (p "&amp;$AN407&amp;")")</f>
        <v/>
      </c>
    </row>
    <row r="408">
      <c r="A408" t="inlineStr">
        <is>
          <t>three-way</t>
        </is>
      </c>
      <c r="B408" t="inlineStr">
        <is>
          <t>SHORT_HIST x CHANNEL / REV_DEBT</t>
        </is>
      </c>
      <c r="C408" t="inlineStr">
        <is>
          <t>256.4 - 345.9</t>
        </is>
      </c>
      <c r="D408" t="inlineStr">
        <is>
          <t>Broker / REV_DEBT low half</t>
        </is>
      </c>
      <c r="E408" t="inlineStr">
        <is>
          <t>contribution_rate</t>
        </is>
      </c>
      <c r="F408" t="inlineStr">
        <is>
          <t>Contribution before losses per booked dollar</t>
        </is>
      </c>
      <c r="G408" t="n">
        <v>257</v>
      </c>
      <c r="H408" t="n">
        <v>8258606.180000003</v>
      </c>
      <c r="I408" t="b">
        <v>0</v>
      </c>
      <c r="J408" t="b">
        <v>0</v>
      </c>
      <c r="K408" t="n">
        <v>-0.04463981430852249</v>
      </c>
      <c r="L408" t="n">
        <v>0.00023997600239976</v>
      </c>
      <c r="M408" t="n">
        <v>-0.06030284381605097</v>
      </c>
      <c r="N408" t="n">
        <v>0.00023997600239976</v>
      </c>
      <c r="O408" t="n">
        <v>368662.6463224165</v>
      </c>
      <c r="P408" t="n">
        <v>498017.4386108137</v>
      </c>
      <c r="Q408">
        <f>'_live'!$C$24</f>
        <v/>
      </c>
      <c r="R408" t="inlineStr">
        <is>
          <t>shuffled: 0 of 10,000</t>
        </is>
      </c>
      <c r="S408" t="inlineStr">
        <is>
          <t>shuffled: 0 of 10,000</t>
        </is>
      </c>
      <c r="T408" t="n">
        <v>0.1710212214432552</v>
      </c>
      <c r="U408" t="n">
        <v>0.1866842509507837</v>
      </c>
      <c r="V408">
        <f>AND(judged_band,NOT($J408))</f>
        <v/>
      </c>
      <c r="W408">
        <f>IF($K408="","",IF(profit_kind="test",IF(OR(NOT(AND(ISNUMBER($L408),$L408&lt;significance_bar)),$K408=0),"in line",IF($K408&lt;0,"worse","better")),IF(OR($K408=0,IF(profit_kind="points",ABS($K408),ABS($K408*$H408))&lt;profit_line*(1-1E-9)),"in line",IF(AND(ISNUMBER($L408),$L408&lt;significance_bar),IF($K408&lt;0,"worse","better"),IF($K408&lt;0,"worse, not significant","better, not significant")))))</f>
        <v/>
      </c>
      <c r="X408">
        <f>IF($M408="","",IF(profit_kind="test",IF(OR(NOT(AND(ISNUMBER($N408),$N408&lt;significance_bar)),$M408=0),"in line",IF($M408&lt;0,"worse","better")),IF(OR($M408=0,IF(profit_kind="points",ABS($M408),ABS($M408*$H408))&lt;profit_line*(1-1E-9)),"in line",IF(AND(ISNUMBER($N408),$N408&lt;significance_bar),IF($M408&lt;0,"worse","better"),IF($M408&lt;0,"worse, not significant","better, not significant")))))</f>
        <v/>
      </c>
      <c r="Y408">
        <f>IF($V408,$X408,$W408)</f>
        <v/>
      </c>
      <c r="Z408">
        <f>IF($V408,IF($P408="","",$P408),IF($O408="","",$O408))</f>
        <v/>
      </c>
      <c r="AA408">
        <f>IF(OR($Q408="",$Z408=""),"",IF(AND($Z408&gt;0,$Z408&gt;=$Q408),"yes","below the line"))</f>
        <v/>
      </c>
      <c r="AB408">
        <f>IF($V408,IF($M408="","",$M408),IF($K408="","",$K408))</f>
        <v/>
      </c>
      <c r="AC408">
        <f>IF($V408,IF($N408="","",$N408),IF($L408="","",$L408))</f>
        <v/>
      </c>
      <c r="AD408">
        <f>IF($Y408="","",IF($Y408="in line",IF(profit_kind="test",IF(ROUND($AB408*100,2)=0,"0.00",TEXT($AB408*100,"+0.00;-0.00"))&amp;" points against "&amp;IF($V408,"its band","the book")&amp;", "&amp;IF($AC408="","not tested","not significant"),IF(profit_kind="points","within "&amp;TEXT(profit_line*100,"0.00")&amp;" points of "&amp;IF($V408,"its band","the book")&amp;" ("&amp;IF(ROUND($AB408*100,2)=0,"0.00",TEXT($AB408*100,"+0.00;-0.00"))&amp;")","within $"&amp;TEXT(profit_line,"#,##0")&amp;" of "&amp;IF($V408,"its band","the book")&amp;" ("&amp;IF(ROUND($AB408*100,2)=0,"0.00",TEXT($AB408*100,"+0.00;-0.00"))&amp;" points)")),IF(LEFT($Y408,5)="worse","short of ","ahead of ")&amp;IF($V408,"its band","the book")&amp;" by "&amp;TEXT(ABS($AB408)*100,"0.00")&amp;" points"&amp;IF($Z408="",""," ($"&amp;TEXT(ABS($Z408),"#,##0")&amp;")")&amp;IF(RIGHT($Y408,15)="not significant"," (not significant)","")))</f>
        <v/>
      </c>
      <c r="AE408">
        <f>IF($V408,IF($S408="","",$S408),IF($R408="","",$R408))</f>
        <v/>
      </c>
      <c r="AF408">
        <f>IF($V408,IF($U408="","",$U408),IF($T408="","",$T408))</f>
        <v/>
      </c>
      <c r="AG408">
        <f>IF($V408,IF($O408="","",$O408),IF($P408="","",$P408))</f>
        <v/>
      </c>
      <c r="AH408" t="n">
        <v>0.1263814071347327</v>
      </c>
      <c r="AI408">
        <f>IF($Y408="worse","Yes",IF($Y408="worse, not significant","Not sure",IF(OR($Y408="too few losses to test",$Y408="too few loans to test"),"Too few losses",IF($Y408="","","No"))))</f>
        <v/>
      </c>
      <c r="AJ408">
        <f>IF($AA408="yes","Yes",IF($AA408="","","No"))</f>
        <v/>
      </c>
      <c r="AK408" t="n">
        <v>0.00023997600239976</v>
      </c>
      <c r="AL408" t="n">
        <v>0.00023997600239976</v>
      </c>
      <c r="AM408">
        <f>IF(AND(ISNUMBER($AC408),ISNUMBER(IF($V408,IF($AL408="","",$AL408),IF($AK408="","",$AK408)))),IF(AND(ABS($AC408-significance_bar)&lt;=2.0*IF($V408,IF($AL408="","",$AL408),IF($AK408="","",$AK408)),OR($Y408="worse",$Y408="better",$Y408="worse, not significant",$Y408="better, not significant",AND(profit_kind="test",$Y408="in line",ISNUMBER($AB408),$AB408&lt;&gt;0))),IF(ROUND($AC408,3)=ROUND(significance_bar,3),TEXT($AC408,"0.0000"),TEXT($AC408,"0.000")),""),"")</f>
        <v/>
      </c>
      <c r="AN408">
        <f>IF(AND(ISNUMBER($AC408),ISNUMBER(IF($V408,IF($AL408="","",$AL408),IF($AK408="","",$AK408)))),IF(AND(ABS($AC408-significance_bar)&lt;=2.0*IF($V408,IF($AL408="","",$AL408),IF($AK408="","",$AK408)),OR($Y408="worse",$Y408="worse, not significant",AND(profit_kind="test",$Y408="in line",ISNUMBER($AB408),$AB408&lt;0))),IF(ROUND($AC408,3)=ROUND(significance_bar,3),TEXT($AC408,"0.0000"),TEXT($AC408,"0.000")),""),"")</f>
        <v/>
      </c>
      <c r="AO408">
        <f>IF(OR($AI408="",$AN408=""),$AI408,$AI408&amp;" · borderline (p "&amp;$AN408&amp;")")</f>
        <v/>
      </c>
    </row>
    <row r="409">
      <c r="A409" t="inlineStr">
        <is>
          <t>three-way</t>
        </is>
      </c>
      <c r="B409" t="inlineStr">
        <is>
          <t>SHORT_HIST x CHANNEL / REV_DEBT</t>
        </is>
      </c>
      <c r="C409" t="inlineStr">
        <is>
          <t>256.4 - 345.9</t>
        </is>
      </c>
      <c r="D409" t="inlineStr">
        <is>
          <t>Online / REV_DEBT low half</t>
        </is>
      </c>
      <c r="E409" t="inlineStr">
        <is>
          <t>outcome_loans</t>
        </is>
      </c>
      <c r="F409" t="inlineStr">
        <is>
          <t>Outcome, share of loans</t>
        </is>
      </c>
      <c r="G409" t="n">
        <v>268</v>
      </c>
      <c r="H409" t="n">
        <v>268</v>
      </c>
      <c r="I409" t="b">
        <v>0</v>
      </c>
      <c r="J409" t="b">
        <v>0</v>
      </c>
      <c r="K409" t="n">
        <v>0.7163993772857566</v>
      </c>
      <c r="L409" t="n">
        <v>0.2490806559186247</v>
      </c>
      <c r="M409" t="n">
        <v>0.6039132070738744</v>
      </c>
      <c r="N409" t="n">
        <v>0.1032721118946355</v>
      </c>
      <c r="O409" t="n">
        <v>-5.938041650497993</v>
      </c>
      <c r="P409" t="n">
        <v>-9.838006230529594</v>
      </c>
      <c r="Q409">
        <f>'_live'!$C$20</f>
        <v/>
      </c>
      <c r="R409" t="inlineStr">
        <is>
          <t>z test</t>
        </is>
      </c>
      <c r="S409" t="inlineStr">
        <is>
          <t>z test</t>
        </is>
      </c>
      <c r="T409" t="n">
        <v>0.07812702108394774</v>
      </c>
      <c r="U409" t="n">
        <v>0.09267912772585669</v>
      </c>
      <c r="V409">
        <f>AND(judged_band,NOT($J409))</f>
        <v/>
      </c>
      <c r="W409">
        <f>IF($K409="","",IF($I409,"too few losses to test",IF(AND($K409&gt;better_at,$K409&lt;worse_at),"in line",IF($K409&gt;=worse_at,IF(AND(ISNUMBER($L409),$L409&lt;significance_bar),"worse","worse, not significant"),IF(AND(ISNUMBER($L409),$L409&lt;significance_bar),"better","better, not significant")))))</f>
        <v/>
      </c>
      <c r="X409">
        <f>IF($M409="","",IF($I409,"too few losses to test",IF(AND($M409&gt;better_at,$M409&lt;worse_at),"in line",IF($M409&gt;=worse_at,IF(AND(ISNUMBER($N409),$N409&lt;significance_bar),"worse","worse, not significant"),IF(AND(ISNUMBER($N409),$N409&lt;significance_bar),"better","better, not significant")))))</f>
        <v/>
      </c>
      <c r="Y409">
        <f>IF($V409,$X409,$W409)</f>
        <v/>
      </c>
      <c r="Z409">
        <f>IF($V409,IF($P409="","",$P409),IF($O409="","",$O409))</f>
        <v/>
      </c>
      <c r="AA409">
        <f>IF(OR($Q409="",$Z409=""),"",IF(AND($Z409&gt;0,$Z409&gt;=$Q409),"yes","below the line"))</f>
        <v/>
      </c>
      <c r="AB409">
        <f>IF($V409,IF($M409="","",$M409),IF($K409="","",$K409))</f>
        <v/>
      </c>
      <c r="AC409">
        <f>IF($V409,IF($N409="","",$N409),IF($L409="","",$L409))</f>
        <v/>
      </c>
      <c r="AD409">
        <f>$Y409</f>
        <v/>
      </c>
      <c r="AE409">
        <f>IF($V409,IF($S409="","",$S409),IF($R409="","",$R409))</f>
        <v/>
      </c>
      <c r="AF409">
        <f>IF($V409,IF($U409="","",$U409),IF($T409="","",$T409))</f>
        <v/>
      </c>
      <c r="AG409">
        <f>IF($V409,IF($O409="","",$O409),IF($P409="","",$P409))</f>
        <v/>
      </c>
      <c r="AH409" t="n">
        <v>0.05597014925373135</v>
      </c>
      <c r="AI409">
        <f>IF($Y409="worse","Yes",IF($Y409="worse, not significant","Not sure",IF(OR($Y409="too few losses to test",$Y409="too few loans to test"),"Too few losses",IF($Y409="","","No"))))</f>
        <v/>
      </c>
      <c r="AJ409">
        <f>IF($AA409="yes","Yes",IF($AA409="","","No"))</f>
        <v/>
      </c>
      <c r="AM409">
        <f>IF(AND(ISNUMBER($AC409),ISNUMBER(IF($V409,IF($AL409="","",$AL409),IF($AK409="","",$AK409)))),IF(AND(ABS($AC409-significance_bar)&lt;=2.0*IF($V409,IF($AL409="","",$AL409),IF($AK409="","",$AK409)),OR($Y409="worse",$Y409="better",$Y409="worse, not significant",$Y409="better, not significant")),IF(ROUND($AC409,3)=ROUND(significance_bar,3),TEXT($AC409,"0.0000"),TEXT($AC409,"0.000")),""),"")</f>
        <v/>
      </c>
      <c r="AN409">
        <f>IF(AND(ISNUMBER($AC409),ISNUMBER(IF($V409,IF($AL409="","",$AL409),IF($AK409="","",$AK409)))),IF(AND(ABS($AC409-significance_bar)&lt;=2.0*IF($V409,IF($AL409="","",$AL409),IF($AK409="","",$AK409)),OR($Y409="worse",$Y409="worse, not significant")),IF(ROUND($AC409,3)=ROUND(significance_bar,3),TEXT($AC409,"0.0000"),TEXT($AC409,"0.000")),""),"")</f>
        <v/>
      </c>
      <c r="AO409">
        <f>IF(OR($AI409="",$AN409=""),$AI409,$AI409&amp;" · borderline (p "&amp;$AN409&amp;")")</f>
        <v/>
      </c>
    </row>
    <row r="410">
      <c r="A410" t="inlineStr">
        <is>
          <t>three-way</t>
        </is>
      </c>
      <c r="B410" t="inlineStr">
        <is>
          <t>SHORT_HIST x CHANNEL / REV_DEBT</t>
        </is>
      </c>
      <c r="C410" t="inlineStr">
        <is>
          <t>256.4 - 345.9</t>
        </is>
      </c>
      <c r="D410" t="inlineStr">
        <is>
          <t>Online / REV_DEBT low half</t>
        </is>
      </c>
      <c r="E410" t="inlineStr">
        <is>
          <t>outcome_booked</t>
        </is>
      </c>
      <c r="F410" t="inlineStr">
        <is>
          <t>Outcome, share of booked dollars</t>
        </is>
      </c>
      <c r="G410" t="n">
        <v>268</v>
      </c>
      <c r="H410" t="n">
        <v>8606991.710000006</v>
      </c>
      <c r="I410" t="b">
        <v>0</v>
      </c>
      <c r="J410" t="b">
        <v>0</v>
      </c>
      <c r="K410" t="n">
        <v>0.693666557863347</v>
      </c>
      <c r="L410" t="n">
        <v>0.3023344724351094</v>
      </c>
      <c r="M410" t="n">
        <v>0.5890897239123188</v>
      </c>
      <c r="N410" t="n">
        <v>0.1461853814618538</v>
      </c>
      <c r="O410" t="n">
        <v>-199331.2992191722</v>
      </c>
      <c r="P410" t="n">
        <v>-314845.4338752982</v>
      </c>
      <c r="Q410">
        <f>'_live'!$C$21</f>
        <v/>
      </c>
      <c r="R410" t="inlineStr">
        <is>
          <t>shuffled: 1,976 of 10,000</t>
        </is>
      </c>
      <c r="S410" t="inlineStr">
        <is>
          <t>shuffled: 730 of 10,000</t>
        </is>
      </c>
      <c r="T410" t="n">
        <v>0.07560137631632174</v>
      </c>
      <c r="U410" t="n">
        <v>0.08902234133501885</v>
      </c>
      <c r="V410">
        <f>AND(judged_band,NOT($J410))</f>
        <v/>
      </c>
      <c r="W410">
        <f>IF($K410="","",IF($I410,"too few losses to test",IF(AND($K410&gt;better_at,$K410&lt;worse_at),"in line",IF($K410&gt;=worse_at,IF(AND(ISNUMBER($L410),$L410&lt;significance_bar),"worse","worse, not significant"),IF(AND(ISNUMBER($L410),$L410&lt;significance_bar),"better","better, not significant")))))</f>
        <v/>
      </c>
      <c r="X410">
        <f>IF($M410="","",IF($I410,"too few losses to test",IF(AND($M410&gt;better_at,$M410&lt;worse_at),"in line",IF($M410&gt;=worse_at,IF(AND(ISNUMBER($N410),$N410&lt;significance_bar),"worse","worse, not significant"),IF(AND(ISNUMBER($N410),$N410&lt;significance_bar),"better","better, not significant")))))</f>
        <v/>
      </c>
      <c r="Y410">
        <f>IF($V410,$X410,$W410)</f>
        <v/>
      </c>
      <c r="Z410">
        <f>IF($V410,IF($P410="","",$P410),IF($O410="","",$O410))</f>
        <v/>
      </c>
      <c r="AA410">
        <f>IF(OR($Q410="",$Z410=""),"",IF(AND($Z410&gt;0,$Z410&gt;=$Q410),"yes","below the line"))</f>
        <v/>
      </c>
      <c r="AB410">
        <f>IF($V410,IF($M410="","",$M410),IF($K410="","",$K410))</f>
        <v/>
      </c>
      <c r="AC410">
        <f>IF($V410,IF($N410="","",$N410),IF($L410="","",$L410))</f>
        <v/>
      </c>
      <c r="AD410">
        <f>$Y410</f>
        <v/>
      </c>
      <c r="AE410">
        <f>IF($V410,IF($S410="","",$S410),IF($R410="","",$R410))</f>
        <v/>
      </c>
      <c r="AF410">
        <f>IF($V410,IF($U410="","",$U410),IF($T410="","",$T410))</f>
        <v/>
      </c>
      <c r="AG410">
        <f>IF($V410,IF($O410="","",$O410),IF($P410="","",$P410))</f>
        <v/>
      </c>
      <c r="AH410" t="n">
        <v>0.05244214647907446</v>
      </c>
      <c r="AI410">
        <f>IF($Y410="worse","Yes",IF($Y410="worse, not significant","Not sure",IF(OR($Y410="too few losses to test",$Y410="too few loans to test"),"Too few losses",IF($Y410="","","No"))))</f>
        <v/>
      </c>
      <c r="AJ410">
        <f>IF($AA410="yes","Yes",IF($AA410="","","No"))</f>
        <v/>
      </c>
      <c r="AK410" t="n">
        <v>0.006090876503392486</v>
      </c>
      <c r="AL410" t="n">
        <v>0.005205771769589597</v>
      </c>
      <c r="AM410">
        <f>IF(AND(ISNUMBER($AC410),ISNUMBER(IF($V410,IF($AL410="","",$AL410),IF($AK410="","",$AK410)))),IF(AND(ABS($AC410-significance_bar)&lt;=2.0*IF($V410,IF($AL410="","",$AL410),IF($AK410="","",$AK410)),OR($Y410="worse",$Y410="better",$Y410="worse, not significant",$Y410="better, not significant")),IF(ROUND($AC410,3)=ROUND(significance_bar,3),TEXT($AC410,"0.0000"),TEXT($AC410,"0.000")),""),"")</f>
        <v/>
      </c>
      <c r="AN410">
        <f>IF(AND(ISNUMBER($AC410),ISNUMBER(IF($V410,IF($AL410="","",$AL410),IF($AK410="","",$AK410)))),IF(AND(ABS($AC410-significance_bar)&lt;=2.0*IF($V410,IF($AL410="","",$AL410),IF($AK410="","",$AK410)),OR($Y410="worse",$Y410="worse, not significant")),IF(ROUND($AC410,3)=ROUND(significance_bar,3),TEXT($AC410,"0.0000"),TEXT($AC410,"0.000")),""),"")</f>
        <v/>
      </c>
      <c r="AO410">
        <f>IF(OR($AI410="",$AN410=""),$AI410,$AI410&amp;" · borderline (p "&amp;$AN410&amp;")")</f>
        <v/>
      </c>
    </row>
    <row r="411">
      <c r="A411" t="inlineStr">
        <is>
          <t>three-way</t>
        </is>
      </c>
      <c r="B411" t="inlineStr">
        <is>
          <t>SHORT_HIST x CHANNEL / REV_DEBT</t>
        </is>
      </c>
      <c r="C411" t="inlineStr">
        <is>
          <t>256.4 - 345.9</t>
        </is>
      </c>
      <c r="D411" t="inlineStr">
        <is>
          <t>Online / REV_DEBT low half</t>
        </is>
      </c>
      <c r="E411" t="inlineStr">
        <is>
          <t>gco_rate</t>
        </is>
      </c>
      <c r="F411" t="inlineStr">
        <is>
          <t>GCO per booked dollar</t>
        </is>
      </c>
      <c r="G411" t="n">
        <v>268</v>
      </c>
      <c r="H411" t="n">
        <v>8606991.710000006</v>
      </c>
      <c r="I411" t="b">
        <v>0</v>
      </c>
      <c r="J411" t="b">
        <v>0</v>
      </c>
      <c r="K411" t="n">
        <v>0.6594120460173872</v>
      </c>
      <c r="L411" t="n">
        <v>0.2897843548978436</v>
      </c>
      <c r="M411" t="n">
        <v>0.5646256868238791</v>
      </c>
      <c r="N411" t="n">
        <v>0.140602606406026</v>
      </c>
      <c r="O411" t="n">
        <v>-123364.7774664492</v>
      </c>
      <c r="P411" t="n">
        <v>-184170.8714219336</v>
      </c>
      <c r="Q411">
        <f>'_live'!$C$22</f>
        <v/>
      </c>
      <c r="R411" t="inlineStr">
        <is>
          <t>shuffled: 1,671 of 10,000</t>
        </is>
      </c>
      <c r="S411" t="inlineStr">
        <is>
          <t>shuffled: 648 of 10,000</t>
        </is>
      </c>
      <c r="T411" t="n">
        <v>0.04208337008685802</v>
      </c>
      <c r="U411" t="n">
        <v>0.04914810257461411</v>
      </c>
      <c r="V411">
        <f>AND(judged_band,NOT($J411))</f>
        <v/>
      </c>
      <c r="W411">
        <f>IF($K411="","",IF($I411,"too few losses to test",IF(AND($K411&gt;better_at,$K411&lt;worse_at),"in line",IF($K411&gt;=worse_at,IF(AND(ISNUMBER($L411),$L411&lt;significance_bar),"worse","worse, not significant"),IF(AND(ISNUMBER($L411),$L411&lt;significance_bar),"better","better, not significant")))))</f>
        <v/>
      </c>
      <c r="X411">
        <f>IF($M411="","",IF($I411,"too few losses to test",IF(AND($M411&gt;better_at,$M411&lt;worse_at),"in line",IF($M411&gt;=worse_at,IF(AND(ISNUMBER($N411),$N411&lt;significance_bar),"worse","worse, not significant"),IF(AND(ISNUMBER($N411),$N411&lt;significance_bar),"better","better, not significant")))))</f>
        <v/>
      </c>
      <c r="Y411">
        <f>IF($V411,$X411,$W411)</f>
        <v/>
      </c>
      <c r="Z411">
        <f>IF($V411,IF($P411="","",$P411),IF($O411="","",$O411))</f>
        <v/>
      </c>
      <c r="AA411">
        <f>IF(OR($Q411="",$Z411=""),"",IF(AND($Z411&gt;0,$Z411&gt;=$Q411),"yes","below the line"))</f>
        <v/>
      </c>
      <c r="AB411">
        <f>IF($V411,IF($M411="","",$M411),IF($K411="","",$K411))</f>
        <v/>
      </c>
      <c r="AC411">
        <f>IF($V411,IF($N411="","",$N411),IF($L411="","",$L411))</f>
        <v/>
      </c>
      <c r="AD411">
        <f>$Y411</f>
        <v/>
      </c>
      <c r="AE411">
        <f>IF($V411,IF($S411="","",$S411),IF($R411="","",$R411))</f>
        <v/>
      </c>
      <c r="AF411">
        <f>IF($V411,IF($U411="","",$U411),IF($T411="","",$T411))</f>
        <v/>
      </c>
      <c r="AG411">
        <f>IF($V411,IF($O411="","",$O411),IF($P411="","",$P411))</f>
        <v/>
      </c>
      <c r="AH411" t="n">
        <v>0.02775028117228195</v>
      </c>
      <c r="AI411">
        <f>IF($Y411="worse","Yes",IF($Y411="worse, not significant","Not sure",IF(OR($Y411="too few losses to test",$Y411="too few loans to test"),"Too few losses",IF($Y411="","","No"))))</f>
        <v/>
      </c>
      <c r="AJ411">
        <f>IF($AA411="yes","Yes",IF($AA411="","","No"))</f>
        <v/>
      </c>
      <c r="AK411" t="n">
        <v>0.006467750068450153</v>
      </c>
      <c r="AL411" t="n">
        <v>0.005337320372792155</v>
      </c>
      <c r="AM411">
        <f>IF(AND(ISNUMBER($AC411),ISNUMBER(IF($V411,IF($AL411="","",$AL411),IF($AK411="","",$AK411)))),IF(AND(ABS($AC411-significance_bar)&lt;=2.0*IF($V411,IF($AL411="","",$AL411),IF($AK411="","",$AK411)),OR($Y411="worse",$Y411="better",$Y411="worse, not significant",$Y411="better, not significant")),IF(ROUND($AC411,3)=ROUND(significance_bar,3),TEXT($AC411,"0.0000"),TEXT($AC411,"0.000")),""),"")</f>
        <v/>
      </c>
      <c r="AN411">
        <f>IF(AND(ISNUMBER($AC411),ISNUMBER(IF($V411,IF($AL411="","",$AL411),IF($AK411="","",$AK411)))),IF(AND(ABS($AC411-significance_bar)&lt;=2.0*IF($V411,IF($AL411="","",$AL411),IF($AK411="","",$AK411)),OR($Y411="worse",$Y411="worse, not significant")),IF(ROUND($AC411,3)=ROUND(significance_bar,3),TEXT($AC411,"0.0000"),TEXT($AC411,"0.000")),""),"")</f>
        <v/>
      </c>
      <c r="AO411">
        <f>IF(OR($AI411="",$AN411=""),$AI411,$AI411&amp;" · borderline (p "&amp;$AN411&amp;")")</f>
        <v/>
      </c>
    </row>
    <row r="412">
      <c r="A412" t="inlineStr">
        <is>
          <t>three-way</t>
        </is>
      </c>
      <c r="B412" t="inlineStr">
        <is>
          <t>SHORT_HIST x CHANNEL / REV_DEBT</t>
        </is>
      </c>
      <c r="C412" t="inlineStr">
        <is>
          <t>256.4 - 345.9</t>
        </is>
      </c>
      <c r="D412" t="inlineStr">
        <is>
          <t>Online / REV_DEBT low half</t>
        </is>
      </c>
      <c r="E412" t="inlineStr">
        <is>
          <t>ranr_rate</t>
        </is>
      </c>
      <c r="F412" t="inlineStr">
        <is>
          <t>Profit after losses: RANR per booked dollar</t>
        </is>
      </c>
      <c r="G412" t="n">
        <v>268</v>
      </c>
      <c r="H412" t="n">
        <v>8606991.710000006</v>
      </c>
      <c r="I412" t="b">
        <v>0</v>
      </c>
      <c r="J412" t="b">
        <v>0</v>
      </c>
      <c r="K412" t="n">
        <v>0.007000717488106628</v>
      </c>
      <c r="L412" t="n">
        <v>0.6878687131286871</v>
      </c>
      <c r="M412" t="n">
        <v>0.004354253394345448</v>
      </c>
      <c r="N412" t="n">
        <v>0.8235540082355401</v>
      </c>
      <c r="O412" t="n">
        <v>-60255.11738418578</v>
      </c>
      <c r="P412" t="n">
        <v>-37477.02286837064</v>
      </c>
      <c r="Q412">
        <f>'_live'!$C$23</f>
        <v/>
      </c>
      <c r="R412" t="inlineStr">
        <is>
          <t>shuffled: 5,786 of 10,000</t>
        </is>
      </c>
      <c r="S412" t="inlineStr">
        <is>
          <t>shuffled: 7,549 of 10,000</t>
        </is>
      </c>
      <c r="T412" t="n">
        <v>0.1277565646238798</v>
      </c>
      <c r="U412" t="n">
        <v>0.130403028717641</v>
      </c>
      <c r="V412">
        <f>AND(judged_band,NOT($J412))</f>
        <v/>
      </c>
      <c r="W412">
        <f>IF($K412="","",IF(profit_kind="test",IF(OR(NOT(AND(ISNUMBER($L412),$L412&lt;significance_bar)),$K412=0),"in line",IF($K412&lt;0,"worse","better")),IF(OR($K412=0,IF(profit_kind="points",ABS($K412),ABS($K412*$H412))&lt;profit_line*(1-1E-9)),"in line",IF(AND(ISNUMBER($L412),$L412&lt;significance_bar),IF($K412&lt;0,"worse","better"),IF($K412&lt;0,"worse, not significant","better, not significant")))))</f>
        <v/>
      </c>
      <c r="X412">
        <f>IF($M412="","",IF(profit_kind="test",IF(OR(NOT(AND(ISNUMBER($N412),$N412&lt;significance_bar)),$M412=0),"in line",IF($M412&lt;0,"worse","better")),IF(OR($M412=0,IF(profit_kind="points",ABS($M412),ABS($M412*$H412))&lt;profit_line*(1-1E-9)),"in line",IF(AND(ISNUMBER($N412),$N412&lt;significance_bar),IF($M412&lt;0,"worse","better"),IF($M412&lt;0,"worse, not significant","better, not significant")))))</f>
        <v/>
      </c>
      <c r="Y412">
        <f>IF($V412,$X412,$W412)</f>
        <v/>
      </c>
      <c r="Z412">
        <f>IF($V412,IF($P412="","",$P412),IF($O412="","",$O412))</f>
        <v/>
      </c>
      <c r="AA412">
        <f>IF(OR($Q412="",$Z412=""),"",IF(AND($Z412&gt;0,$Z412&gt;=$Q412),"yes","below the line"))</f>
        <v/>
      </c>
      <c r="AB412">
        <f>IF($V412,IF($M412="","",$M412),IF($K412="","",$K412))</f>
        <v/>
      </c>
      <c r="AC412">
        <f>IF($V412,IF($N412="","",$N412),IF($L412="","",$L412))</f>
        <v/>
      </c>
      <c r="AD412">
        <f>IF($Y412="","",IF($Y412="in line",IF(profit_kind="test",IF(ROUND($AB412*100,2)=0,"0.00",TEXT($AB412*100,"+0.00;-0.00"))&amp;" points against "&amp;IF($V412,"its band","the book")&amp;", "&amp;IF($AC412="","not tested","not significant"),IF(profit_kind="points","within "&amp;TEXT(profit_line*100,"0.00")&amp;" points of "&amp;IF($V412,"its band","the book")&amp;" ("&amp;IF(ROUND($AB412*100,2)=0,"0.00",TEXT($AB412*100,"+0.00;-0.00"))&amp;")","within $"&amp;TEXT(profit_line,"#,##0")&amp;" of "&amp;IF($V412,"its band","the book")&amp;" ("&amp;IF(ROUND($AB412*100,2)=0,"0.00",TEXT($AB412*100,"+0.00;-0.00"))&amp;" points)")),IF(LEFT($Y412,5)="worse","short of ","ahead of ")&amp;IF($V412,"its band","the book")&amp;" by "&amp;TEXT(ABS($AB412)*100,"0.00")&amp;" points"&amp;IF($Z412="",""," ($"&amp;TEXT(ABS($Z412),"#,##0")&amp;")")&amp;IF(RIGHT($Y412,15)="not significant"," (not significant)","")))</f>
        <v/>
      </c>
      <c r="AE412">
        <f>IF($V412,IF($S412="","",$S412),IF($R412="","",$R412))</f>
        <v/>
      </c>
      <c r="AF412">
        <f>IF($V412,IF($U412="","",$U412),IF($T412="","",$T412))</f>
        <v/>
      </c>
      <c r="AG412">
        <f>IF($V412,IF($O412="","",$O412),IF($P412="","",$P412))</f>
        <v/>
      </c>
      <c r="AH412" t="n">
        <v>0.1347572821119865</v>
      </c>
      <c r="AI412">
        <f>IF($Y412="worse","Yes",IF($Y412="worse, not significant","Not sure",IF(OR($Y412="too few losses to test",$Y412="too few loans to test"),"Too few losses",IF($Y412="","","No"))))</f>
        <v/>
      </c>
      <c r="AJ412">
        <f>IF($AA412="yes","Yes",IF($AA412="","","No"))</f>
        <v/>
      </c>
      <c r="AK412" t="n">
        <v>0.005483511062890791</v>
      </c>
      <c r="AL412" t="n">
        <v>0.004692348558642537</v>
      </c>
      <c r="AM412">
        <f>IF(AND(ISNUMBER($AC412),ISNUMBER(IF($V412,IF($AL412="","",$AL412),IF($AK412="","",$AK412)))),IF(AND(ABS($AC412-significance_bar)&lt;=2.0*IF($V412,IF($AL412="","",$AL412),IF($AK412="","",$AK412)),OR($Y412="worse",$Y412="better",$Y412="worse, not significant",$Y412="better, not significant",AND(profit_kind="test",$Y412="in line",ISNUMBER($AB412),$AB412&lt;&gt;0))),IF(ROUND($AC412,3)=ROUND(significance_bar,3),TEXT($AC412,"0.0000"),TEXT($AC412,"0.000")),""),"")</f>
        <v/>
      </c>
      <c r="AN412">
        <f>IF(AND(ISNUMBER($AC412),ISNUMBER(IF($V412,IF($AL412="","",$AL412),IF($AK412="","",$AK412)))),IF(AND(ABS($AC412-significance_bar)&lt;=2.0*IF($V412,IF($AL412="","",$AL412),IF($AK412="","",$AK412)),OR($Y412="worse",$Y412="worse, not significant",AND(profit_kind="test",$Y412="in line",ISNUMBER($AB412),$AB412&lt;0))),IF(ROUND($AC412,3)=ROUND(significance_bar,3),TEXT($AC412,"0.0000"),TEXT($AC412,"0.000")),""),"")</f>
        <v/>
      </c>
      <c r="AO412">
        <f>IF(OR($AI412="",$AN412=""),$AI412,$AI412&amp;" · borderline (p "&amp;$AN412&amp;")")</f>
        <v/>
      </c>
    </row>
    <row r="413">
      <c r="A413" t="inlineStr">
        <is>
          <t>three-way</t>
        </is>
      </c>
      <c r="B413" t="inlineStr">
        <is>
          <t>SHORT_HIST x CHANNEL / REV_DEBT</t>
        </is>
      </c>
      <c r="C413" t="inlineStr">
        <is>
          <t>256.4 - 345.9</t>
        </is>
      </c>
      <c r="D413" t="inlineStr">
        <is>
          <t>Online / REV_DEBT low half</t>
        </is>
      </c>
      <c r="E413" t="inlineStr">
        <is>
          <t>contribution_rate</t>
        </is>
      </c>
      <c r="F413" t="inlineStr">
        <is>
          <t>Contribution before losses per booked dollar</t>
        </is>
      </c>
      <c r="G413" t="n">
        <v>268</v>
      </c>
      <c r="H413" t="n">
        <v>8606991.710000006</v>
      </c>
      <c r="I413" t="b">
        <v>0</v>
      </c>
      <c r="J413" t="b">
        <v>0</v>
      </c>
      <c r="K413" t="n">
        <v>-0.007329376364913515</v>
      </c>
      <c r="L413" t="n">
        <v>0.4088318440883185</v>
      </c>
      <c r="M413" t="n">
        <v>-0.01702773757991943</v>
      </c>
      <c r="N413" t="n">
        <v>0.08123187681231878</v>
      </c>
      <c r="O413" t="n">
        <v>63083.88161228062</v>
      </c>
      <c r="P413" t="n">
        <v>146557.5961904223</v>
      </c>
      <c r="Q413">
        <f>'_live'!$C$24</f>
        <v/>
      </c>
      <c r="R413" t="inlineStr">
        <is>
          <t>shuffled: 3,747 of 10,000</t>
        </is>
      </c>
      <c r="S413" t="inlineStr">
        <is>
          <t>shuffled: 676 of 10,000</t>
        </is>
      </c>
      <c r="T413" t="n">
        <v>0.169836939649182</v>
      </c>
      <c r="U413" t="n">
        <v>0.1795353008641879</v>
      </c>
      <c r="V413">
        <f>AND(judged_band,NOT($J413))</f>
        <v/>
      </c>
      <c r="W413">
        <f>IF($K413="","",IF(profit_kind="test",IF(OR(NOT(AND(ISNUMBER($L413),$L413&lt;significance_bar)),$K413=0),"in line",IF($K413&lt;0,"worse","better")),IF(OR($K413=0,IF(profit_kind="points",ABS($K413),ABS($K413*$H413))&lt;profit_line*(1-1E-9)),"in line",IF(AND(ISNUMBER($L413),$L413&lt;significance_bar),IF($K413&lt;0,"worse","better"),IF($K413&lt;0,"worse, not significant","better, not significant")))))</f>
        <v/>
      </c>
      <c r="X413">
        <f>IF($M413="","",IF(profit_kind="test",IF(OR(NOT(AND(ISNUMBER($N413),$N413&lt;significance_bar)),$M413=0),"in line",IF($M413&lt;0,"worse","better")),IF(OR($M413=0,IF(profit_kind="points",ABS($M413),ABS($M413*$H413))&lt;profit_line*(1-1E-9)),"in line",IF(AND(ISNUMBER($N413),$N413&lt;significance_bar),IF($M413&lt;0,"worse","better"),IF($M413&lt;0,"worse, not significant","better, not significant")))))</f>
        <v/>
      </c>
      <c r="Y413">
        <f>IF($V413,$X413,$W413)</f>
        <v/>
      </c>
      <c r="Z413">
        <f>IF($V413,IF($P413="","",$P413),IF($O413="","",$O413))</f>
        <v/>
      </c>
      <c r="AA413">
        <f>IF(OR($Q413="",$Z413=""),"",IF(AND($Z413&gt;0,$Z413&gt;=$Q413),"yes","below the line"))</f>
        <v/>
      </c>
      <c r="AB413">
        <f>IF($V413,IF($M413="","",$M413),IF($K413="","",$K413))</f>
        <v/>
      </c>
      <c r="AC413">
        <f>IF($V413,IF($N413="","",$N413),IF($L413="","",$L413))</f>
        <v/>
      </c>
      <c r="AD413">
        <f>IF($Y413="","",IF($Y413="in line",IF(profit_kind="test",IF(ROUND($AB413*100,2)=0,"0.00",TEXT($AB413*100,"+0.00;-0.00"))&amp;" points against "&amp;IF($V413,"its band","the book")&amp;", "&amp;IF($AC413="","not tested","not significant"),IF(profit_kind="points","within "&amp;TEXT(profit_line*100,"0.00")&amp;" points of "&amp;IF($V413,"its band","the book")&amp;" ("&amp;IF(ROUND($AB413*100,2)=0,"0.00",TEXT($AB413*100,"+0.00;-0.00"))&amp;")","within $"&amp;TEXT(profit_line,"#,##0")&amp;" of "&amp;IF($V413,"its band","the book")&amp;" ("&amp;IF(ROUND($AB413*100,2)=0,"0.00",TEXT($AB413*100,"+0.00;-0.00"))&amp;" points)")),IF(LEFT($Y413,5)="worse","short of ","ahead of ")&amp;IF($V413,"its band","the book")&amp;" by "&amp;TEXT(ABS($AB413)*100,"0.00")&amp;" points"&amp;IF($Z413="",""," ($"&amp;TEXT(ABS($Z413),"#,##0")&amp;")")&amp;IF(RIGHT($Y413,15)="not significant"," (not significant)","")))</f>
        <v/>
      </c>
      <c r="AE413">
        <f>IF($V413,IF($S413="","",$S413),IF($R413="","",$R413))</f>
        <v/>
      </c>
      <c r="AF413">
        <f>IF($V413,IF($U413="","",$U413),IF($T413="","",$T413))</f>
        <v/>
      </c>
      <c r="AG413">
        <f>IF($V413,IF($O413="","",$O413),IF($P413="","",$P413))</f>
        <v/>
      </c>
      <c r="AH413" t="n">
        <v>0.1625075632842685</v>
      </c>
      <c r="AI413">
        <f>IF($Y413="worse","Yes",IF($Y413="worse, not significant","Not sure",IF(OR($Y413="too few losses to test",$Y413="too few loans to test"),"Too few losses",IF($Y413="","","No"))))</f>
        <v/>
      </c>
      <c r="AJ413">
        <f>IF($AA413="yes","Yes",IF($AA413="","","No"))</f>
        <v/>
      </c>
      <c r="AK413" t="n">
        <v>0.005280671345846279</v>
      </c>
      <c r="AL413" t="n">
        <v>0.003014624924668586</v>
      </c>
      <c r="AM413">
        <f>IF(AND(ISNUMBER($AC413),ISNUMBER(IF($V413,IF($AL413="","",$AL413),IF($AK413="","",$AK413)))),IF(AND(ABS($AC413-significance_bar)&lt;=2.0*IF($V413,IF($AL413="","",$AL413),IF($AK413="","",$AK413)),OR($Y413="worse",$Y413="better",$Y413="worse, not significant",$Y413="better, not significant",AND(profit_kind="test",$Y413="in line",ISNUMBER($AB413),$AB413&lt;&gt;0))),IF(ROUND($AC413,3)=ROUND(significance_bar,3),TEXT($AC413,"0.0000"),TEXT($AC413,"0.000")),""),"")</f>
        <v/>
      </c>
      <c r="AN413">
        <f>IF(AND(ISNUMBER($AC413),ISNUMBER(IF($V413,IF($AL413="","",$AL413),IF($AK413="","",$AK413)))),IF(AND(ABS($AC413-significance_bar)&lt;=2.0*IF($V413,IF($AL413="","",$AL413),IF($AK413="","",$AK413)),OR($Y413="worse",$Y413="worse, not significant",AND(profit_kind="test",$Y413="in line",ISNUMBER($AB413),$AB413&lt;0))),IF(ROUND($AC413,3)=ROUND(significance_bar,3),TEXT($AC413,"0.0000"),TEXT($AC413,"0.000")),""),"")</f>
        <v/>
      </c>
      <c r="AO413">
        <f>IF(OR($AI413="",$AN413=""),$AI413,$AI413&amp;" · borderline (p "&amp;$AN413&amp;")")</f>
        <v/>
      </c>
    </row>
    <row r="414">
      <c r="A414" t="inlineStr">
        <is>
          <t>three-way</t>
        </is>
      </c>
      <c r="B414" t="inlineStr">
        <is>
          <t>SHORT_HIST x CHANNEL / REV_DEBT</t>
        </is>
      </c>
      <c r="C414" t="inlineStr">
        <is>
          <t>0.0 - 88.9</t>
        </is>
      </c>
      <c r="D414" t="inlineStr">
        <is>
          <t>Broker / REV_DEBT low half</t>
        </is>
      </c>
      <c r="E414" t="inlineStr">
        <is>
          <t>outcome_loans</t>
        </is>
      </c>
      <c r="F414" t="inlineStr">
        <is>
          <t>Outcome, share of loans</t>
        </is>
      </c>
      <c r="G414" t="n">
        <v>254</v>
      </c>
      <c r="H414" t="n">
        <v>254</v>
      </c>
      <c r="I414" t="b">
        <v>1</v>
      </c>
      <c r="J414" t="b">
        <v>0</v>
      </c>
      <c r="K414" t="n">
        <v>0.4498838259971602</v>
      </c>
      <c r="M414" t="n">
        <v>0.4009531703273933</v>
      </c>
      <c r="O414" t="n">
        <v>-11.00516462233699</v>
      </c>
      <c r="P414" t="n">
        <v>-13.44651162790698</v>
      </c>
      <c r="Q414">
        <f>'_live'!$C$20</f>
        <v/>
      </c>
      <c r="T414" t="n">
        <v>0.07876049063912201</v>
      </c>
      <c r="U414" t="n">
        <v>0.08837209302325581</v>
      </c>
      <c r="V414">
        <f>AND(judged_band,NOT($J414))</f>
        <v/>
      </c>
      <c r="W414">
        <f>IF($K414="","",IF($I414,"too few losses to test",IF(AND($K414&gt;better_at,$K414&lt;worse_at),"in line",IF($K414&gt;=worse_at,IF(AND(ISNUMBER($L414),$L414&lt;significance_bar),"worse","worse, not significant"),IF(AND(ISNUMBER($L414),$L414&lt;significance_bar),"better","better, not significant")))))</f>
        <v/>
      </c>
      <c r="X414">
        <f>IF($M414="","",IF($I414,"too few losses to test",IF(AND($M414&gt;better_at,$M414&lt;worse_at),"in line",IF($M414&gt;=worse_at,IF(AND(ISNUMBER($N414),$N414&lt;significance_bar),"worse","worse, not significant"),IF(AND(ISNUMBER($N414),$N414&lt;significance_bar),"better","better, not significant")))))</f>
        <v/>
      </c>
      <c r="Y414">
        <f>IF($V414,$X414,$W414)</f>
        <v/>
      </c>
      <c r="Z414">
        <f>IF($V414,IF($P414="","",$P414),IF($O414="","",$O414))</f>
        <v/>
      </c>
      <c r="AA414">
        <f>IF(OR($Q414="",$Z414=""),"",IF(AND($Z414&gt;0,$Z414&gt;=$Q414),"yes","below the line"))</f>
        <v/>
      </c>
      <c r="AB414">
        <f>IF($V414,IF($M414="","",$M414),IF($K414="","",$K414))</f>
        <v/>
      </c>
      <c r="AC414">
        <f>IF($V414,IF($N414="","",$N414),IF($L414="","",$L414))</f>
        <v/>
      </c>
      <c r="AD414">
        <f>$Y414</f>
        <v/>
      </c>
      <c r="AE414">
        <f>IF($V414,IF($S414="","",$S414),IF($R414="","",$R414))</f>
        <v/>
      </c>
      <c r="AF414">
        <f>IF($V414,IF($U414="","",$U414),IF($T414="","",$T414))</f>
        <v/>
      </c>
      <c r="AG414">
        <f>IF($V414,IF($O414="","",$O414),IF($P414="","",$P414))</f>
        <v/>
      </c>
      <c r="AH414" t="n">
        <v>0.03543307086614173</v>
      </c>
      <c r="AI414">
        <f>IF($Y414="worse","Yes",IF($Y414="worse, not significant","Not sure",IF(OR($Y414="too few losses to test",$Y414="too few loans to test"),"Too few losses",IF($Y414="","","No"))))</f>
        <v/>
      </c>
      <c r="AJ414">
        <f>IF($AA414="yes","Yes",IF($AA414="","","No"))</f>
        <v/>
      </c>
      <c r="AM414">
        <f>IF(AND(ISNUMBER($AC414),ISNUMBER(IF($V414,IF($AL414="","",$AL414),IF($AK414="","",$AK414)))),IF(AND(ABS($AC414-significance_bar)&lt;=2.0*IF($V414,IF($AL414="","",$AL414),IF($AK414="","",$AK414)),OR($Y414="worse",$Y414="better",$Y414="worse, not significant",$Y414="better, not significant")),IF(ROUND($AC414,3)=ROUND(significance_bar,3),TEXT($AC414,"0.0000"),TEXT($AC414,"0.000")),""),"")</f>
        <v/>
      </c>
      <c r="AN414">
        <f>IF(AND(ISNUMBER($AC414),ISNUMBER(IF($V414,IF($AL414="","",$AL414),IF($AK414="","",$AK414)))),IF(AND(ABS($AC414-significance_bar)&lt;=2.0*IF($V414,IF($AL414="","",$AL414),IF($AK414="","",$AK414)),OR($Y414="worse",$Y414="worse, not significant")),IF(ROUND($AC414,3)=ROUND(significance_bar,3),TEXT($AC414,"0.0000"),TEXT($AC414,"0.000")),""),"")</f>
        <v/>
      </c>
      <c r="AO414">
        <f>IF(OR($AI414="",$AN414=""),$AI414,$AI414&amp;" · borderline (p "&amp;$AN414&amp;")")</f>
        <v/>
      </c>
    </row>
    <row r="415">
      <c r="A415" t="inlineStr">
        <is>
          <t>three-way</t>
        </is>
      </c>
      <c r="B415" t="inlineStr">
        <is>
          <t>SHORT_HIST x CHANNEL / REV_DEBT</t>
        </is>
      </c>
      <c r="C415" t="inlineStr">
        <is>
          <t>0.0 - 88.9</t>
        </is>
      </c>
      <c r="D415" t="inlineStr">
        <is>
          <t>Broker / REV_DEBT low half</t>
        </is>
      </c>
      <c r="E415" t="inlineStr">
        <is>
          <t>outcome_booked</t>
        </is>
      </c>
      <c r="F415" t="inlineStr">
        <is>
          <t>Outcome, share of booked dollars</t>
        </is>
      </c>
      <c r="G415" t="n">
        <v>254</v>
      </c>
      <c r="H415" t="n">
        <v>7941137.180000004</v>
      </c>
      <c r="I415" t="b">
        <v>1</v>
      </c>
      <c r="J415" t="b">
        <v>0</v>
      </c>
      <c r="K415" t="n">
        <v>0.4941787702107365</v>
      </c>
      <c r="M415" t="n">
        <v>0.4372608566385641</v>
      </c>
      <c r="O415" t="n">
        <v>-305325.3058643214</v>
      </c>
      <c r="P415" t="n">
        <v>-383898.4475266766</v>
      </c>
      <c r="Q415">
        <f>'_live'!$C$21</f>
        <v/>
      </c>
      <c r="T415" t="n">
        <v>0.07601215571298328</v>
      </c>
      <c r="U415" t="n">
        <v>0.08590660028450436</v>
      </c>
      <c r="V415">
        <f>AND(judged_band,NOT($J415))</f>
        <v/>
      </c>
      <c r="W415">
        <f>IF($K415="","",IF($I415,"too few losses to test",IF(AND($K415&gt;better_at,$K415&lt;worse_at),"in line",IF($K415&gt;=worse_at,IF(AND(ISNUMBER($L415),$L415&lt;significance_bar),"worse","worse, not significant"),IF(AND(ISNUMBER($L415),$L415&lt;significance_bar),"better","better, not significant")))))</f>
        <v/>
      </c>
      <c r="X415">
        <f>IF($M415="","",IF($I415,"too few losses to test",IF(AND($M415&gt;better_at,$M415&lt;worse_at),"in line",IF($M415&gt;=worse_at,IF(AND(ISNUMBER($N415),$N415&lt;significance_bar),"worse","worse, not significant"),IF(AND(ISNUMBER($N415),$N415&lt;significance_bar),"better","better, not significant")))))</f>
        <v/>
      </c>
      <c r="Y415">
        <f>IF($V415,$X415,$W415)</f>
        <v/>
      </c>
      <c r="Z415">
        <f>IF($V415,IF($P415="","",$P415),IF($O415="","",$O415))</f>
        <v/>
      </c>
      <c r="AA415">
        <f>IF(OR($Q415="",$Z415=""),"",IF(AND($Z415&gt;0,$Z415&gt;=$Q415),"yes","below the line"))</f>
        <v/>
      </c>
      <c r="AB415">
        <f>IF($V415,IF($M415="","",$M415),IF($K415="","",$K415))</f>
        <v/>
      </c>
      <c r="AC415">
        <f>IF($V415,IF($N415="","",$N415),IF($L415="","",$L415))</f>
        <v/>
      </c>
      <c r="AD415">
        <f>$Y415</f>
        <v/>
      </c>
      <c r="AE415">
        <f>IF($V415,IF($S415="","",$S415),IF($R415="","",$R415))</f>
        <v/>
      </c>
      <c r="AF415">
        <f>IF($V415,IF($U415="","",$U415),IF($T415="","",$T415))</f>
        <v/>
      </c>
      <c r="AG415">
        <f>IF($V415,IF($O415="","",$O415),IF($P415="","",$P415))</f>
        <v/>
      </c>
      <c r="AH415" t="n">
        <v>0.03756359363130909</v>
      </c>
      <c r="AI415">
        <f>IF($Y415="worse","Yes",IF($Y415="worse, not significant","Not sure",IF(OR($Y415="too few losses to test",$Y415="too few loans to test"),"Too few losses",IF($Y415="","","No"))))</f>
        <v/>
      </c>
      <c r="AJ415">
        <f>IF($AA415="yes","Yes",IF($AA415="","","No"))</f>
        <v/>
      </c>
      <c r="AM415">
        <f>IF(AND(ISNUMBER($AC415),ISNUMBER(IF($V415,IF($AL415="","",$AL415),IF($AK415="","",$AK415)))),IF(AND(ABS($AC415-significance_bar)&lt;=2.0*IF($V415,IF($AL415="","",$AL415),IF($AK415="","",$AK415)),OR($Y415="worse",$Y415="better",$Y415="worse, not significant",$Y415="better, not significant")),IF(ROUND($AC415,3)=ROUND(significance_bar,3),TEXT($AC415,"0.0000"),TEXT($AC415,"0.000")),""),"")</f>
        <v/>
      </c>
      <c r="AN415">
        <f>IF(AND(ISNUMBER($AC415),ISNUMBER(IF($V415,IF($AL415="","",$AL415),IF($AK415="","",$AK415)))),IF(AND(ABS($AC415-significance_bar)&lt;=2.0*IF($V415,IF($AL415="","",$AL415),IF($AK415="","",$AK415)),OR($Y415="worse",$Y415="worse, not significant")),IF(ROUND($AC415,3)=ROUND(significance_bar,3),TEXT($AC415,"0.0000"),TEXT($AC415,"0.000")),""),"")</f>
        <v/>
      </c>
      <c r="AO415">
        <f>IF(OR($AI415="",$AN415=""),$AI415,$AI415&amp;" · borderline (p "&amp;$AN415&amp;")")</f>
        <v/>
      </c>
    </row>
    <row r="416">
      <c r="A416" t="inlineStr">
        <is>
          <t>three-way</t>
        </is>
      </c>
      <c r="B416" t="inlineStr">
        <is>
          <t>SHORT_HIST x CHANNEL / REV_DEBT</t>
        </is>
      </c>
      <c r="C416" t="inlineStr">
        <is>
          <t>0.0 - 88.9</t>
        </is>
      </c>
      <c r="D416" t="inlineStr">
        <is>
          <t>Broker / REV_DEBT low half</t>
        </is>
      </c>
      <c r="E416" t="inlineStr">
        <is>
          <t>gco_rate</t>
        </is>
      </c>
      <c r="F416" t="inlineStr">
        <is>
          <t>GCO per booked dollar</t>
        </is>
      </c>
      <c r="G416" t="n">
        <v>254</v>
      </c>
      <c r="H416" t="n">
        <v>7941137.180000004</v>
      </c>
      <c r="I416" t="b">
        <v>1</v>
      </c>
      <c r="J416" t="b">
        <v>0</v>
      </c>
      <c r="K416" t="n">
        <v>0.4968555674260862</v>
      </c>
      <c r="M416" t="n">
        <v>0.442259431556483</v>
      </c>
      <c r="O416" t="n">
        <v>-168850.0782314001</v>
      </c>
      <c r="P416" t="n">
        <v>-210278.0238258582</v>
      </c>
      <c r="Q416">
        <f>'_live'!$C$22</f>
        <v/>
      </c>
      <c r="T416" t="n">
        <v>0.04225965005069966</v>
      </c>
      <c r="U416" t="n">
        <v>0.04747652827045836</v>
      </c>
      <c r="V416">
        <f>AND(judged_band,NOT($J416))</f>
        <v/>
      </c>
      <c r="W416">
        <f>IF($K416="","",IF($I416,"too few losses to test",IF(AND($K416&gt;better_at,$K416&lt;worse_at),"in line",IF($K416&gt;=worse_at,IF(AND(ISNUMBER($L416),$L416&lt;significance_bar),"worse","worse, not significant"),IF(AND(ISNUMBER($L416),$L416&lt;significance_bar),"better","better, not significant")))))</f>
        <v/>
      </c>
      <c r="X416">
        <f>IF($M416="","",IF($I416,"too few losses to test",IF(AND($M416&gt;better_at,$M416&lt;worse_at),"in line",IF($M416&gt;=worse_at,IF(AND(ISNUMBER($N416),$N416&lt;significance_bar),"worse","worse, not significant"),IF(AND(ISNUMBER($N416),$N416&lt;significance_bar),"better","better, not significant")))))</f>
        <v/>
      </c>
      <c r="Y416">
        <f>IF($V416,$X416,$W416)</f>
        <v/>
      </c>
      <c r="Z416">
        <f>IF($V416,IF($P416="","",$P416),IF($O416="","",$O416))</f>
        <v/>
      </c>
      <c r="AA416">
        <f>IF(OR($Q416="",$Z416=""),"",IF(AND($Z416&gt;0,$Z416&gt;=$Q416),"yes","below the line"))</f>
        <v/>
      </c>
      <c r="AB416">
        <f>IF($V416,IF($M416="","",$M416),IF($K416="","",$K416))</f>
        <v/>
      </c>
      <c r="AC416">
        <f>IF($V416,IF($N416="","",$N416),IF($L416="","",$L416))</f>
        <v/>
      </c>
      <c r="AD416">
        <f>$Y416</f>
        <v/>
      </c>
      <c r="AE416">
        <f>IF($V416,IF($S416="","",$S416),IF($R416="","",$R416))</f>
        <v/>
      </c>
      <c r="AF416">
        <f>IF($V416,IF($U416="","",$U416),IF($T416="","",$T416))</f>
        <v/>
      </c>
      <c r="AG416">
        <f>IF($V416,IF($O416="","",$O416),IF($P416="","",$P416))</f>
        <v/>
      </c>
      <c r="AH416" t="n">
        <v>0.02099694240516821</v>
      </c>
      <c r="AI416">
        <f>IF($Y416="worse","Yes",IF($Y416="worse, not significant","Not sure",IF(OR($Y416="too few losses to test",$Y416="too few loans to test"),"Too few losses",IF($Y416="","","No"))))</f>
        <v/>
      </c>
      <c r="AJ416">
        <f>IF($AA416="yes","Yes",IF($AA416="","","No"))</f>
        <v/>
      </c>
      <c r="AM416">
        <f>IF(AND(ISNUMBER($AC416),ISNUMBER(IF($V416,IF($AL416="","",$AL416),IF($AK416="","",$AK416)))),IF(AND(ABS($AC416-significance_bar)&lt;=2.0*IF($V416,IF($AL416="","",$AL416),IF($AK416="","",$AK416)),OR($Y416="worse",$Y416="better",$Y416="worse, not significant",$Y416="better, not significant")),IF(ROUND($AC416,3)=ROUND(significance_bar,3),TEXT($AC416,"0.0000"),TEXT($AC416,"0.000")),""),"")</f>
        <v/>
      </c>
      <c r="AN416">
        <f>IF(AND(ISNUMBER($AC416),ISNUMBER(IF($V416,IF($AL416="","",$AL416),IF($AK416="","",$AK416)))),IF(AND(ABS($AC416-significance_bar)&lt;=2.0*IF($V416,IF($AL416="","",$AL416),IF($AK416="","",$AK416)),OR($Y416="worse",$Y416="worse, not significant")),IF(ROUND($AC416,3)=ROUND(significance_bar,3),TEXT($AC416,"0.0000"),TEXT($AC416,"0.000")),""),"")</f>
        <v/>
      </c>
      <c r="AO416">
        <f>IF(OR($AI416="",$AN416=""),$AI416,$AI416&amp;" · borderline (p "&amp;$AN416&amp;")")</f>
        <v/>
      </c>
    </row>
    <row r="417">
      <c r="A417" t="inlineStr">
        <is>
          <t>three-way</t>
        </is>
      </c>
      <c r="B417" t="inlineStr">
        <is>
          <t>SHORT_HIST x CHANNEL / REV_DEBT</t>
        </is>
      </c>
      <c r="C417" t="inlineStr">
        <is>
          <t>0.0 - 88.9</t>
        </is>
      </c>
      <c r="D417" t="inlineStr">
        <is>
          <t>Broker / REV_DEBT low half</t>
        </is>
      </c>
      <c r="E417" t="inlineStr">
        <is>
          <t>ranr_rate</t>
        </is>
      </c>
      <c r="F417" t="inlineStr">
        <is>
          <t>Profit after losses: RANR per booked dollar</t>
        </is>
      </c>
      <c r="G417" t="n">
        <v>254</v>
      </c>
      <c r="H417" t="n">
        <v>7941137.180000004</v>
      </c>
      <c r="I417" t="b">
        <v>0</v>
      </c>
      <c r="J417" t="b">
        <v>0</v>
      </c>
      <c r="K417" t="n">
        <v>-0.02819906212455923</v>
      </c>
      <c r="L417" t="n">
        <v>0.1108689131086891</v>
      </c>
      <c r="M417" t="n">
        <v>-0.02993593092046874</v>
      </c>
      <c r="N417" t="n">
        <v>0.1102043641789667</v>
      </c>
      <c r="O417" t="n">
        <v>223932.6206784673</v>
      </c>
      <c r="P417" t="n">
        <v>237725.3340504462</v>
      </c>
      <c r="Q417">
        <f>'_live'!$C$23</f>
        <v/>
      </c>
      <c r="R417" t="inlineStr">
        <is>
          <t>shuffled: 303 of 10,000</t>
        </is>
      </c>
      <c r="S417" t="inlineStr">
        <is>
          <t>shuffled: 322 of 10,000</t>
        </is>
      </c>
      <c r="T417" t="n">
        <v>0.1288577753392325</v>
      </c>
      <c r="U417" t="n">
        <v>0.130594644135142</v>
      </c>
      <c r="V417">
        <f>AND(judged_band,NOT($J417))</f>
        <v/>
      </c>
      <c r="W417">
        <f>IF($K417="","",IF(profit_kind="test",IF(OR(NOT(AND(ISNUMBER($L417),$L417&lt;significance_bar)),$K417=0),"in line",IF($K417&lt;0,"worse","better")),IF(OR($K417=0,IF(profit_kind="points",ABS($K417),ABS($K417*$H417))&lt;profit_line*(1-1E-9)),"in line",IF(AND(ISNUMBER($L417),$L417&lt;significance_bar),IF($K417&lt;0,"worse","better"),IF($K417&lt;0,"worse, not significant","better, not significant")))))</f>
        <v/>
      </c>
      <c r="X417">
        <f>IF($M417="","",IF(profit_kind="test",IF(OR(NOT(AND(ISNUMBER($N417),$N417&lt;significance_bar)),$M417=0),"in line",IF($M417&lt;0,"worse","better")),IF(OR($M417=0,IF(profit_kind="points",ABS($M417),ABS($M417*$H417))&lt;profit_line*(1-1E-9)),"in line",IF(AND(ISNUMBER($N417),$N417&lt;significance_bar),IF($M417&lt;0,"worse","better"),IF($M417&lt;0,"worse, not significant","better, not significant")))))</f>
        <v/>
      </c>
      <c r="Y417">
        <f>IF($V417,$X417,$W417)</f>
        <v/>
      </c>
      <c r="Z417">
        <f>IF($V417,IF($P417="","",$P417),IF($O417="","",$O417))</f>
        <v/>
      </c>
      <c r="AA417">
        <f>IF(OR($Q417="",$Z417=""),"",IF(AND($Z417&gt;0,$Z417&gt;=$Q417),"yes","below the line"))</f>
        <v/>
      </c>
      <c r="AB417">
        <f>IF($V417,IF($M417="","",$M417),IF($K417="","",$K417))</f>
        <v/>
      </c>
      <c r="AC417">
        <f>IF($V417,IF($N417="","",$N417),IF($L417="","",$L417))</f>
        <v/>
      </c>
      <c r="AD417">
        <f>IF($Y417="","",IF($Y417="in line",IF(profit_kind="test",IF(ROUND($AB417*100,2)=0,"0.00",TEXT($AB417*100,"+0.00;-0.00"))&amp;" points against "&amp;IF($V417,"its band","the book")&amp;", "&amp;IF($AC417="","not tested","not significant"),IF(profit_kind="points","within "&amp;TEXT(profit_line*100,"0.00")&amp;" points of "&amp;IF($V417,"its band","the book")&amp;" ("&amp;IF(ROUND($AB417*100,2)=0,"0.00",TEXT($AB417*100,"+0.00;-0.00"))&amp;")","within $"&amp;TEXT(profit_line,"#,##0")&amp;" of "&amp;IF($V417,"its band","the book")&amp;" ("&amp;IF(ROUND($AB417*100,2)=0,"0.00",TEXT($AB417*100,"+0.00;-0.00"))&amp;" points)")),IF(LEFT($Y417,5)="worse","short of ","ahead of ")&amp;IF($V417,"its band","the book")&amp;" by "&amp;TEXT(ABS($AB417)*100,"0.00")&amp;" points"&amp;IF($Z417="",""," ($"&amp;TEXT(ABS($Z417),"#,##0")&amp;")")&amp;IF(RIGHT($Y417,15)="not significant"," (not significant)","")))</f>
        <v/>
      </c>
      <c r="AE417">
        <f>IF($V417,IF($S417="","",$S417),IF($R417="","",$R417))</f>
        <v/>
      </c>
      <c r="AF417">
        <f>IF($V417,IF($U417="","",$U417),IF($T417="","",$T417))</f>
        <v/>
      </c>
      <c r="AG417">
        <f>IF($V417,IF($O417="","",$O417),IF($P417="","",$P417))</f>
        <v/>
      </c>
      <c r="AH417" t="n">
        <v>0.1006587132146733</v>
      </c>
      <c r="AI417">
        <f>IF($Y417="worse","Yes",IF($Y417="worse, not significant","Not sure",IF(OR($Y417="too few losses to test",$Y417="too few loans to test"),"Too few losses",IF($Y417="","","No"))))</f>
        <v/>
      </c>
      <c r="AJ417">
        <f>IF($AA417="yes","Yes",IF($AA417="","","No"))</f>
        <v/>
      </c>
      <c r="AK417" t="n">
        <v>0.006219615513015083</v>
      </c>
      <c r="AL417" t="n">
        <v>0.005413282869976568</v>
      </c>
      <c r="AM417">
        <f>IF(AND(ISNUMBER($AC417),ISNUMBER(IF($V417,IF($AL417="","",$AL417),IF($AK417="","",$AK417)))),IF(AND(ABS($AC417-significance_bar)&lt;=2.0*IF($V417,IF($AL417="","",$AL417),IF($AK417="","",$AK417)),OR($Y417="worse",$Y417="better",$Y417="worse, not significant",$Y417="better, not significant",AND(profit_kind="test",$Y417="in line",ISNUMBER($AB417),$AB417&lt;&gt;0))),IF(ROUND($AC417,3)=ROUND(significance_bar,3),TEXT($AC417,"0.0000"),TEXT($AC417,"0.000")),""),"")</f>
        <v/>
      </c>
      <c r="AN417">
        <f>IF(AND(ISNUMBER($AC417),ISNUMBER(IF($V417,IF($AL417="","",$AL417),IF($AK417="","",$AK417)))),IF(AND(ABS($AC417-significance_bar)&lt;=2.0*IF($V417,IF($AL417="","",$AL417),IF($AK417="","",$AK417)),OR($Y417="worse",$Y417="worse, not significant",AND(profit_kind="test",$Y417="in line",ISNUMBER($AB417),$AB417&lt;0))),IF(ROUND($AC417,3)=ROUND(significance_bar,3),TEXT($AC417,"0.0000"),TEXT($AC417,"0.000")),""),"")</f>
        <v/>
      </c>
      <c r="AO417">
        <f>IF(OR($AI417="",$AN417=""),$AI417,$AI417&amp;" · borderline (p "&amp;$AN417&amp;")")</f>
        <v/>
      </c>
    </row>
    <row r="418">
      <c r="A418" t="inlineStr">
        <is>
          <t>three-way</t>
        </is>
      </c>
      <c r="B418" t="inlineStr">
        <is>
          <t>SHORT_HIST x CHANNEL / REV_DEBT</t>
        </is>
      </c>
      <c r="C418" t="inlineStr">
        <is>
          <t>0.0 - 88.9</t>
        </is>
      </c>
      <c r="D418" t="inlineStr">
        <is>
          <t>Broker / REV_DEBT low half</t>
        </is>
      </c>
      <c r="E418" t="inlineStr">
        <is>
          <t>contribution_rate</t>
        </is>
      </c>
      <c r="F418" t="inlineStr">
        <is>
          <t>Contribution before losses per booked dollar</t>
        </is>
      </c>
      <c r="G418" t="n">
        <v>254</v>
      </c>
      <c r="H418" t="n">
        <v>7941137.180000004</v>
      </c>
      <c r="I418" t="b">
        <v>0</v>
      </c>
      <c r="J418" t="b">
        <v>0</v>
      </c>
      <c r="K418" t="n">
        <v>-0.04945895742527245</v>
      </c>
      <c r="L418" t="n">
        <v>0.00023997600239976</v>
      </c>
      <c r="M418" t="n">
        <v>-0.05641551678575887</v>
      </c>
      <c r="N418" t="n">
        <v>0.00023997600239976</v>
      </c>
      <c r="O418" t="n">
        <v>392760.3656938685</v>
      </c>
      <c r="P418" t="n">
        <v>448003.3578763042</v>
      </c>
      <c r="Q418">
        <f>'_live'!$C$24</f>
        <v/>
      </c>
      <c r="R418" t="inlineStr">
        <is>
          <t>shuffled: 0 of 10,000</t>
        </is>
      </c>
      <c r="S418" t="inlineStr">
        <is>
          <t>shuffled: 0 of 10,000</t>
        </is>
      </c>
      <c r="T418" t="n">
        <v>0.171114613045114</v>
      </c>
      <c r="U418" t="n">
        <v>0.1780711724056004</v>
      </c>
      <c r="V418">
        <f>AND(judged_band,NOT($J418))</f>
        <v/>
      </c>
      <c r="W418">
        <f>IF($K418="","",IF(profit_kind="test",IF(OR(NOT(AND(ISNUMBER($L418),$L418&lt;significance_bar)),$K418=0),"in line",IF($K418&lt;0,"worse","better")),IF(OR($K418=0,IF(profit_kind="points",ABS($K418),ABS($K418*$H418))&lt;profit_line*(1-1E-9)),"in line",IF(AND(ISNUMBER($L418),$L418&lt;significance_bar),IF($K418&lt;0,"worse","better"),IF($K418&lt;0,"worse, not significant","better, not significant")))))</f>
        <v/>
      </c>
      <c r="X418">
        <f>IF($M418="","",IF(profit_kind="test",IF(OR(NOT(AND(ISNUMBER($N418),$N418&lt;significance_bar)),$M418=0),"in line",IF($M418&lt;0,"worse","better")),IF(OR($M418=0,IF(profit_kind="points",ABS($M418),ABS($M418*$H418))&lt;profit_line*(1-1E-9)),"in line",IF(AND(ISNUMBER($N418),$N418&lt;significance_bar),IF($M418&lt;0,"worse","better"),IF($M418&lt;0,"worse, not significant","better, not significant")))))</f>
        <v/>
      </c>
      <c r="Y418">
        <f>IF($V418,$X418,$W418)</f>
        <v/>
      </c>
      <c r="Z418">
        <f>IF($V418,IF($P418="","",$P418),IF($O418="","",$O418))</f>
        <v/>
      </c>
      <c r="AA418">
        <f>IF(OR($Q418="",$Z418=""),"",IF(AND($Z418&gt;0,$Z418&gt;=$Q418),"yes","below the line"))</f>
        <v/>
      </c>
      <c r="AB418">
        <f>IF($V418,IF($M418="","",$M418),IF($K418="","",$K418))</f>
        <v/>
      </c>
      <c r="AC418">
        <f>IF($V418,IF($N418="","",$N418),IF($L418="","",$L418))</f>
        <v/>
      </c>
      <c r="AD418">
        <f>IF($Y418="","",IF($Y418="in line",IF(profit_kind="test",IF(ROUND($AB418*100,2)=0,"0.00",TEXT($AB418*100,"+0.00;-0.00"))&amp;" points against "&amp;IF($V418,"its band","the book")&amp;", "&amp;IF($AC418="","not tested","not significant"),IF(profit_kind="points","within "&amp;TEXT(profit_line*100,"0.00")&amp;" points of "&amp;IF($V418,"its band","the book")&amp;" ("&amp;IF(ROUND($AB418*100,2)=0,"0.00",TEXT($AB418*100,"+0.00;-0.00"))&amp;")","within $"&amp;TEXT(profit_line,"#,##0")&amp;" of "&amp;IF($V418,"its band","the book")&amp;" ("&amp;IF(ROUND($AB418*100,2)=0,"0.00",TEXT($AB418*100,"+0.00;-0.00"))&amp;" points)")),IF(LEFT($Y418,5)="worse","short of ","ahead of ")&amp;IF($V418,"its band","the book")&amp;" by "&amp;TEXT(ABS($AB418)*100,"0.00")&amp;" points"&amp;IF($Z418="",""," ($"&amp;TEXT(ABS($Z418),"#,##0")&amp;")")&amp;IF(RIGHT($Y418,15)="not significant"," (not significant)","")))</f>
        <v/>
      </c>
      <c r="AE418">
        <f>IF($V418,IF($S418="","",$S418),IF($R418="","",$R418))</f>
        <v/>
      </c>
      <c r="AF418">
        <f>IF($V418,IF($U418="","",$U418),IF($T418="","",$T418))</f>
        <v/>
      </c>
      <c r="AG418">
        <f>IF($V418,IF($O418="","",$O418),IF($P418="","",$P418))</f>
        <v/>
      </c>
      <c r="AH418" t="n">
        <v>0.1216556556198415</v>
      </c>
      <c r="AI418">
        <f>IF($Y418="worse","Yes",IF($Y418="worse, not significant","Not sure",IF(OR($Y418="too few losses to test",$Y418="too few loans to test"),"Too few losses",IF($Y418="","","No"))))</f>
        <v/>
      </c>
      <c r="AJ418">
        <f>IF($AA418="yes","Yes",IF($AA418="","","No"))</f>
        <v/>
      </c>
      <c r="AK418" t="n">
        <v>0.00023997600239976</v>
      </c>
      <c r="AL418" t="n">
        <v>0.00023997600239976</v>
      </c>
      <c r="AM418">
        <f>IF(AND(ISNUMBER($AC418),ISNUMBER(IF($V418,IF($AL418="","",$AL418),IF($AK418="","",$AK418)))),IF(AND(ABS($AC418-significance_bar)&lt;=2.0*IF($V418,IF($AL418="","",$AL418),IF($AK418="","",$AK418)),OR($Y418="worse",$Y418="better",$Y418="worse, not significant",$Y418="better, not significant",AND(profit_kind="test",$Y418="in line",ISNUMBER($AB418),$AB418&lt;&gt;0))),IF(ROUND($AC418,3)=ROUND(significance_bar,3),TEXT($AC418,"0.0000"),TEXT($AC418,"0.000")),""),"")</f>
        <v/>
      </c>
      <c r="AN418">
        <f>IF(AND(ISNUMBER($AC418),ISNUMBER(IF($V418,IF($AL418="","",$AL418),IF($AK418="","",$AK418)))),IF(AND(ABS($AC418-significance_bar)&lt;=2.0*IF($V418,IF($AL418="","",$AL418),IF($AK418="","",$AK418)),OR($Y418="worse",$Y418="worse, not significant",AND(profit_kind="test",$Y418="in line",ISNUMBER($AB418),$AB418&lt;0))),IF(ROUND($AC418,3)=ROUND(significance_bar,3),TEXT($AC418,"0.0000"),TEXT($AC418,"0.000")),""),"")</f>
        <v/>
      </c>
      <c r="AO418">
        <f>IF(OR($AI418="",$AN418=""),$AI418,$AI418&amp;" · borderline (p "&amp;$AN418&amp;")")</f>
        <v/>
      </c>
    </row>
    <row r="419">
      <c r="A419" t="inlineStr">
        <is>
          <t>three-way</t>
        </is>
      </c>
      <c r="B419" t="inlineStr">
        <is>
          <t>SHORT_HIST x CHANNEL / REV_DEBT</t>
        </is>
      </c>
      <c r="C419" t="inlineStr">
        <is>
          <t>0.0 - 88.9</t>
        </is>
      </c>
      <c r="D419" t="inlineStr">
        <is>
          <t>Online / REV_DEBT low half</t>
        </is>
      </c>
      <c r="E419" t="inlineStr">
        <is>
          <t>outcome_loans</t>
        </is>
      </c>
      <c r="F419" t="inlineStr">
        <is>
          <t>Outcome, share of loans</t>
        </is>
      </c>
      <c r="G419" t="n">
        <v>264</v>
      </c>
      <c r="H419" t="n">
        <v>264</v>
      </c>
      <c r="I419" t="b">
        <v>0</v>
      </c>
      <c r="J419" t="b">
        <v>0</v>
      </c>
      <c r="K419" t="n">
        <v>0.727630192655027</v>
      </c>
      <c r="L419" t="n">
        <v>0.2518920063567158</v>
      </c>
      <c r="M419" t="n">
        <v>0.6734006734006733</v>
      </c>
      <c r="N419" t="n">
        <v>0.1718203152472824</v>
      </c>
      <c r="O419" t="n">
        <v>-5.614867485455722</v>
      </c>
      <c r="P419" t="n">
        <v>-7.275000000000002</v>
      </c>
      <c r="Q419">
        <f>'_live'!$C$20</f>
        <v/>
      </c>
      <c r="R419" t="inlineStr">
        <is>
          <t>z test</t>
        </is>
      </c>
      <c r="S419" t="inlineStr">
        <is>
          <t>z test</t>
        </is>
      </c>
      <c r="T419" t="n">
        <v>0.07808661926308985</v>
      </c>
      <c r="U419" t="n">
        <v>0.08437500000000001</v>
      </c>
      <c r="V419">
        <f>AND(judged_band,NOT($J419))</f>
        <v/>
      </c>
      <c r="W419">
        <f>IF($K419="","",IF($I419,"too few losses to test",IF(AND($K419&gt;better_at,$K419&lt;worse_at),"in line",IF($K419&gt;=worse_at,IF(AND(ISNUMBER($L419),$L419&lt;significance_bar),"worse","worse, not significant"),IF(AND(ISNUMBER($L419),$L419&lt;significance_bar),"better","better, not significant")))))</f>
        <v/>
      </c>
      <c r="X419">
        <f>IF($M419="","",IF($I419,"too few losses to test",IF(AND($M419&gt;better_at,$M419&lt;worse_at),"in line",IF($M419&gt;=worse_at,IF(AND(ISNUMBER($N419),$N419&lt;significance_bar),"worse","worse, not significant"),IF(AND(ISNUMBER($N419),$N419&lt;significance_bar),"better","better, not significant")))))</f>
        <v/>
      </c>
      <c r="Y419">
        <f>IF($V419,$X419,$W419)</f>
        <v/>
      </c>
      <c r="Z419">
        <f>IF($V419,IF($P419="","",$P419),IF($O419="","",$O419))</f>
        <v/>
      </c>
      <c r="AA419">
        <f>IF(OR($Q419="",$Z419=""),"",IF(AND($Z419&gt;0,$Z419&gt;=$Q419),"yes","below the line"))</f>
        <v/>
      </c>
      <c r="AB419">
        <f>IF($V419,IF($M419="","",$M419),IF($K419="","",$K419))</f>
        <v/>
      </c>
      <c r="AC419">
        <f>IF($V419,IF($N419="","",$N419),IF($L419="","",$L419))</f>
        <v/>
      </c>
      <c r="AD419">
        <f>$Y419</f>
        <v/>
      </c>
      <c r="AE419">
        <f>IF($V419,IF($S419="","",$S419),IF($R419="","",$R419))</f>
        <v/>
      </c>
      <c r="AF419">
        <f>IF($V419,IF($U419="","",$U419),IF($T419="","",$T419))</f>
        <v/>
      </c>
      <c r="AG419">
        <f>IF($V419,IF($O419="","",$O419),IF($P419="","",$P419))</f>
        <v/>
      </c>
      <c r="AH419" t="n">
        <v>0.05681818181818182</v>
      </c>
      <c r="AI419">
        <f>IF($Y419="worse","Yes",IF($Y419="worse, not significant","Not sure",IF(OR($Y419="too few losses to test",$Y419="too few loans to test"),"Too few losses",IF($Y419="","","No"))))</f>
        <v/>
      </c>
      <c r="AJ419">
        <f>IF($AA419="yes","Yes",IF($AA419="","","No"))</f>
        <v/>
      </c>
      <c r="AM419">
        <f>IF(AND(ISNUMBER($AC419),ISNUMBER(IF($V419,IF($AL419="","",$AL419),IF($AK419="","",$AK419)))),IF(AND(ABS($AC419-significance_bar)&lt;=2.0*IF($V419,IF($AL419="","",$AL419),IF($AK419="","",$AK419)),OR($Y419="worse",$Y419="better",$Y419="worse, not significant",$Y419="better, not significant")),IF(ROUND($AC419,3)=ROUND(significance_bar,3),TEXT($AC419,"0.0000"),TEXT($AC419,"0.000")),""),"")</f>
        <v/>
      </c>
      <c r="AN419">
        <f>IF(AND(ISNUMBER($AC419),ISNUMBER(IF($V419,IF($AL419="","",$AL419),IF($AK419="","",$AK419)))),IF(AND(ABS($AC419-significance_bar)&lt;=2.0*IF($V419,IF($AL419="","",$AL419),IF($AK419="","",$AK419)),OR($Y419="worse",$Y419="worse, not significant")),IF(ROUND($AC419,3)=ROUND(significance_bar,3),TEXT($AC419,"0.0000"),TEXT($AC419,"0.000")),""),"")</f>
        <v/>
      </c>
      <c r="AO419">
        <f>IF(OR($AI419="",$AN419=""),$AI419,$AI419&amp;" · borderline (p "&amp;$AN419&amp;")")</f>
        <v/>
      </c>
    </row>
    <row r="420">
      <c r="A420" t="inlineStr">
        <is>
          <t>three-way</t>
        </is>
      </c>
      <c r="B420" t="inlineStr">
        <is>
          <t>SHORT_HIST x CHANNEL / REV_DEBT</t>
        </is>
      </c>
      <c r="C420" t="inlineStr">
        <is>
          <t>0.0 - 88.9</t>
        </is>
      </c>
      <c r="D420" t="inlineStr">
        <is>
          <t>Online / REV_DEBT low half</t>
        </is>
      </c>
      <c r="E420" t="inlineStr">
        <is>
          <t>outcome_booked</t>
        </is>
      </c>
      <c r="F420" t="inlineStr">
        <is>
          <t>Outcome, share of booked dollars</t>
        </is>
      </c>
      <c r="G420" t="n">
        <v>264</v>
      </c>
      <c r="H420" t="n">
        <v>8590132.67</v>
      </c>
      <c r="I420" t="b">
        <v>0</v>
      </c>
      <c r="J420" t="b">
        <v>0</v>
      </c>
      <c r="K420" t="n">
        <v>0.8713002820982199</v>
      </c>
      <c r="L420" t="n">
        <v>0.6289291070892911</v>
      </c>
      <c r="M420" t="n">
        <v>0.8105367239817485</v>
      </c>
      <c r="N420" t="n">
        <v>0.480951904809519</v>
      </c>
      <c r="O420" t="n">
        <v>-83082.85220802447</v>
      </c>
      <c r="P420" t="n">
        <v>-131478.2765725928</v>
      </c>
      <c r="Q420">
        <f>'_live'!$C$21</f>
        <v/>
      </c>
      <c r="R420" t="inlineStr">
        <is>
          <t>shuffled: 5,955 of 10,000</t>
        </is>
      </c>
      <c r="S420" t="inlineStr">
        <is>
          <t>shuffled: 4,436 of 10,000</t>
        </is>
      </c>
      <c r="T420" t="n">
        <v>0.07515085587240697</v>
      </c>
      <c r="U420" t="n">
        <v>0.08078469486229632</v>
      </c>
      <c r="V420">
        <f>AND(judged_band,NOT($J420))</f>
        <v/>
      </c>
      <c r="W420">
        <f>IF($K420="","",IF($I420,"too few losses to test",IF(AND($K420&gt;better_at,$K420&lt;worse_at),"in line",IF($K420&gt;=worse_at,IF(AND(ISNUMBER($L420),$L420&lt;significance_bar),"worse","worse, not significant"),IF(AND(ISNUMBER($L420),$L420&lt;significance_bar),"better","better, not significant")))))</f>
        <v/>
      </c>
      <c r="X420">
        <f>IF($M420="","",IF($I420,"too few losses to test",IF(AND($M420&gt;better_at,$M420&lt;worse_at),"in line",IF($M420&gt;=worse_at,IF(AND(ISNUMBER($N420),$N420&lt;significance_bar),"worse","worse, not significant"),IF(AND(ISNUMBER($N420),$N420&lt;significance_bar),"better","better, not significant")))))</f>
        <v/>
      </c>
      <c r="Y420">
        <f>IF($V420,$X420,$W420)</f>
        <v/>
      </c>
      <c r="Z420">
        <f>IF($V420,IF($P420="","",$P420),IF($O420="","",$O420))</f>
        <v/>
      </c>
      <c r="AA420">
        <f>IF(OR($Q420="",$Z420=""),"",IF(AND($Z420&gt;0,$Z420&gt;=$Q420),"yes","below the line"))</f>
        <v/>
      </c>
      <c r="AB420">
        <f>IF($V420,IF($M420="","",$M420),IF($K420="","",$K420))</f>
        <v/>
      </c>
      <c r="AC420">
        <f>IF($V420,IF($N420="","",$N420),IF($L420="","",$L420))</f>
        <v/>
      </c>
      <c r="AD420">
        <f>$Y420</f>
        <v/>
      </c>
      <c r="AE420">
        <f>IF($V420,IF($S420="","",$S420),IF($R420="","",$R420))</f>
        <v/>
      </c>
      <c r="AF420">
        <f>IF($V420,IF($U420="","",$U420),IF($T420="","",$T420))</f>
        <v/>
      </c>
      <c r="AG420">
        <f>IF($V420,IF($O420="","",$O420),IF($P420="","",$P420))</f>
        <v/>
      </c>
      <c r="AH420" t="n">
        <v>0.06547896192155085</v>
      </c>
      <c r="AI420">
        <f>IF($Y420="worse","Yes",IF($Y420="worse, not significant","Not sure",IF(OR($Y420="too few losses to test",$Y420="too few loans to test"),"Too few losses",IF($Y420="","","No"))))</f>
        <v/>
      </c>
      <c r="AJ420">
        <f>IF($AA420="yes","Yes",IF($AA420="","","No"))</f>
        <v/>
      </c>
      <c r="AK420" t="n">
        <v>0.005084628301348386</v>
      </c>
      <c r="AL420" t="n">
        <v>0.005382531890016144</v>
      </c>
      <c r="AM420">
        <f>IF(AND(ISNUMBER($AC420),ISNUMBER(IF($V420,IF($AL420="","",$AL420),IF($AK420="","",$AK420)))),IF(AND(ABS($AC420-significance_bar)&lt;=2.0*IF($V420,IF($AL420="","",$AL420),IF($AK420="","",$AK420)),OR($Y420="worse",$Y420="better",$Y420="worse, not significant",$Y420="better, not significant")),IF(ROUND($AC420,3)=ROUND(significance_bar,3),TEXT($AC420,"0.0000"),TEXT($AC420,"0.000")),""),"")</f>
        <v/>
      </c>
      <c r="AN420">
        <f>IF(AND(ISNUMBER($AC420),ISNUMBER(IF($V420,IF($AL420="","",$AL420),IF($AK420="","",$AK420)))),IF(AND(ABS($AC420-significance_bar)&lt;=2.0*IF($V420,IF($AL420="","",$AL420),IF($AK420="","",$AK420)),OR($Y420="worse",$Y420="worse, not significant")),IF(ROUND($AC420,3)=ROUND(significance_bar,3),TEXT($AC420,"0.0000"),TEXT($AC420,"0.000")),""),"")</f>
        <v/>
      </c>
      <c r="AO420">
        <f>IF(OR($AI420="",$AN420=""),$AI420,$AI420&amp;" · borderline (p "&amp;$AN420&amp;")")</f>
        <v/>
      </c>
    </row>
    <row r="421">
      <c r="A421" t="inlineStr">
        <is>
          <t>three-way</t>
        </is>
      </c>
      <c r="B421" t="inlineStr">
        <is>
          <t>SHORT_HIST x CHANNEL / REV_DEBT</t>
        </is>
      </c>
      <c r="C421" t="inlineStr">
        <is>
          <t>0.0 - 88.9</t>
        </is>
      </c>
      <c r="D421" t="inlineStr">
        <is>
          <t>Online / REV_DEBT low half</t>
        </is>
      </c>
      <c r="E421" t="inlineStr">
        <is>
          <t>gco_rate</t>
        </is>
      </c>
      <c r="F421" t="inlineStr">
        <is>
          <t>GCO per booked dollar</t>
        </is>
      </c>
      <c r="G421" t="n">
        <v>264</v>
      </c>
      <c r="H421" t="n">
        <v>8590132.67</v>
      </c>
      <c r="I421" t="b">
        <v>0</v>
      </c>
      <c r="J421" t="b">
        <v>0</v>
      </c>
      <c r="K421" t="n">
        <v>0.7863733527060167</v>
      </c>
      <c r="L421" t="n">
        <v>0.4648807846488079</v>
      </c>
      <c r="M421" t="n">
        <v>0.7261724703771381</v>
      </c>
      <c r="N421" t="n">
        <v>0.4013709740137098</v>
      </c>
      <c r="O421" t="n">
        <v>-76895.92001429928</v>
      </c>
      <c r="P421" t="n">
        <v>-106736.7534626551</v>
      </c>
      <c r="Q421">
        <f>'_live'!$C$22</f>
        <v/>
      </c>
      <c r="R421" t="inlineStr">
        <is>
          <t>shuffled: 3,933 of 10,000</t>
        </is>
      </c>
      <c r="S421" t="inlineStr">
        <is>
          <t>shuffled: 2,778 of 10,000</t>
        </is>
      </c>
      <c r="T421" t="n">
        <v>0.04190327831273173</v>
      </c>
      <c r="U421" t="n">
        <v>0.04537712843760481</v>
      </c>
      <c r="V421">
        <f>AND(judged_band,NOT($J421))</f>
        <v/>
      </c>
      <c r="W421">
        <f>IF($K421="","",IF($I421,"too few losses to test",IF(AND($K421&gt;better_at,$K421&lt;worse_at),"in line",IF($K421&gt;=worse_at,IF(AND(ISNUMBER($L421),$L421&lt;significance_bar),"worse","worse, not significant"),IF(AND(ISNUMBER($L421),$L421&lt;significance_bar),"better","better, not significant")))))</f>
        <v/>
      </c>
      <c r="X421">
        <f>IF($M421="","",IF($I421,"too few losses to test",IF(AND($M421&gt;better_at,$M421&lt;worse_at),"in line",IF($M421&gt;=worse_at,IF(AND(ISNUMBER($N421),$N421&lt;significance_bar),"worse","worse, not significant"),IF(AND(ISNUMBER($N421),$N421&lt;significance_bar),"better","better, not significant")))))</f>
        <v/>
      </c>
      <c r="Y421">
        <f>IF($V421,$X421,$W421)</f>
        <v/>
      </c>
      <c r="Z421">
        <f>IF($V421,IF($P421="","",$P421),IF($O421="","",$O421))</f>
        <v/>
      </c>
      <c r="AA421">
        <f>IF(OR($Q421="",$Z421=""),"",IF(AND($Z421&gt;0,$Z421&gt;=$Q421),"yes","below the line"))</f>
        <v/>
      </c>
      <c r="AB421">
        <f>IF($V421,IF($M421="","",$M421),IF($K421="","",$K421))</f>
        <v/>
      </c>
      <c r="AC421">
        <f>IF($V421,IF($N421="","",$N421),IF($L421="","",$L421))</f>
        <v/>
      </c>
      <c r="AD421">
        <f>$Y421</f>
        <v/>
      </c>
      <c r="AE421">
        <f>IF($V421,IF($S421="","",$S421),IF($R421="","",$R421))</f>
        <v/>
      </c>
      <c r="AF421">
        <f>IF($V421,IF($U421="","",$U421),IF($T421="","",$T421))</f>
        <v/>
      </c>
      <c r="AG421">
        <f>IF($V421,IF($O421="","",$O421),IF($P421="","",$P421))</f>
        <v/>
      </c>
      <c r="AH421" t="n">
        <v>0.03295162145615617</v>
      </c>
      <c r="AI421">
        <f>IF($Y421="worse","Yes",IF($Y421="worse, not significant","Not sure",IF(OR($Y421="too few losses to test",$Y421="too few loans to test"),"Too few losses",IF($Y421="","","No"))))</f>
        <v/>
      </c>
      <c r="AJ421">
        <f>IF($AA421="yes","Yes",IF($AA421="","","No"))</f>
        <v/>
      </c>
      <c r="AK421" t="n">
        <v>0.005773131037315648</v>
      </c>
      <c r="AL421" t="n">
        <v>0.006470389592556577</v>
      </c>
      <c r="AM421">
        <f>IF(AND(ISNUMBER($AC421),ISNUMBER(IF($V421,IF($AL421="","",$AL421),IF($AK421="","",$AK421)))),IF(AND(ABS($AC421-significance_bar)&lt;=2.0*IF($V421,IF($AL421="","",$AL421),IF($AK421="","",$AK421)),OR($Y421="worse",$Y421="better",$Y421="worse, not significant",$Y421="better, not significant")),IF(ROUND($AC421,3)=ROUND(significance_bar,3),TEXT($AC421,"0.0000"),TEXT($AC421,"0.000")),""),"")</f>
        <v/>
      </c>
      <c r="AN421">
        <f>IF(AND(ISNUMBER($AC421),ISNUMBER(IF($V421,IF($AL421="","",$AL421),IF($AK421="","",$AK421)))),IF(AND(ABS($AC421-significance_bar)&lt;=2.0*IF($V421,IF($AL421="","",$AL421),IF($AK421="","",$AK421)),OR($Y421="worse",$Y421="worse, not significant")),IF(ROUND($AC421,3)=ROUND(significance_bar,3),TEXT($AC421,"0.0000"),TEXT($AC421,"0.000")),""),"")</f>
        <v/>
      </c>
      <c r="AO421">
        <f>IF(OR($AI421="",$AN421=""),$AI421,$AI421&amp;" · borderline (p "&amp;$AN421&amp;")")</f>
        <v/>
      </c>
    </row>
    <row r="422">
      <c r="A422" t="inlineStr">
        <is>
          <t>three-way</t>
        </is>
      </c>
      <c r="B422" t="inlineStr">
        <is>
          <t>SHORT_HIST x CHANNEL / REV_DEBT</t>
        </is>
      </c>
      <c r="C422" t="inlineStr">
        <is>
          <t>0.0 - 88.9</t>
        </is>
      </c>
      <c r="D422" t="inlineStr">
        <is>
          <t>Online / REV_DEBT low half</t>
        </is>
      </c>
      <c r="E422" t="inlineStr">
        <is>
          <t>ranr_rate</t>
        </is>
      </c>
      <c r="F422" t="inlineStr">
        <is>
          <t>Profit after losses: RANR per booked dollar</t>
        </is>
      </c>
      <c r="G422" t="n">
        <v>264</v>
      </c>
      <c r="H422" t="n">
        <v>8590132.67</v>
      </c>
      <c r="I422" t="b">
        <v>0</v>
      </c>
      <c r="J422" t="b">
        <v>0</v>
      </c>
      <c r="K422" t="n">
        <v>-0.007460747827124789</v>
      </c>
      <c r="L422" t="n">
        <v>0.6878687131286871</v>
      </c>
      <c r="M422" t="n">
        <v>-0.006050772856749667</v>
      </c>
      <c r="N422" t="n">
        <v>0.7446755324467553</v>
      </c>
      <c r="O422" t="n">
        <v>64088.81365241623</v>
      </c>
      <c r="P422" t="n">
        <v>51976.94159551454</v>
      </c>
      <c r="Q422">
        <f>'_live'!$C$23</f>
        <v/>
      </c>
      <c r="R422" t="inlineStr">
        <is>
          <t>shuffled: 5,669 of 10,000</t>
        </is>
      </c>
      <c r="S422" t="inlineStr">
        <is>
          <t>shuffled: 6,619 of 10,000</t>
        </is>
      </c>
      <c r="T422" t="n">
        <v>0.1282383900192331</v>
      </c>
      <c r="U422" t="n">
        <v>0.1268284150488579</v>
      </c>
      <c r="V422">
        <f>AND(judged_band,NOT($J422))</f>
        <v/>
      </c>
      <c r="W422">
        <f>IF($K422="","",IF(profit_kind="test",IF(OR(NOT(AND(ISNUMBER($L422),$L422&lt;significance_bar)),$K422=0),"in line",IF($K422&lt;0,"worse","better")),IF(OR($K422=0,IF(profit_kind="points",ABS($K422),ABS($K422*$H422))&lt;profit_line*(1-1E-9)),"in line",IF(AND(ISNUMBER($L422),$L422&lt;significance_bar),IF($K422&lt;0,"worse","better"),IF($K422&lt;0,"worse, not significant","better, not significant")))))</f>
        <v/>
      </c>
      <c r="X422">
        <f>IF($M422="","",IF(profit_kind="test",IF(OR(NOT(AND(ISNUMBER($N422),$N422&lt;significance_bar)),$M422=0),"in line",IF($M422&lt;0,"worse","better")),IF(OR($M422=0,IF(profit_kind="points",ABS($M422),ABS($M422*$H422))&lt;profit_line*(1-1E-9)),"in line",IF(AND(ISNUMBER($N422),$N422&lt;significance_bar),IF($M422&lt;0,"worse","better"),IF($M422&lt;0,"worse, not significant","better, not significant")))))</f>
        <v/>
      </c>
      <c r="Y422">
        <f>IF($V422,$X422,$W422)</f>
        <v/>
      </c>
      <c r="Z422">
        <f>IF($V422,IF($P422="","",$P422),IF($O422="","",$O422))</f>
        <v/>
      </c>
      <c r="AA422">
        <f>IF(OR($Q422="",$Z422=""),"",IF(AND($Z422&gt;0,$Z422&gt;=$Q422),"yes","below the line"))</f>
        <v/>
      </c>
      <c r="AB422">
        <f>IF($V422,IF($M422="","",$M422),IF($K422="","",$K422))</f>
        <v/>
      </c>
      <c r="AC422">
        <f>IF($V422,IF($N422="","",$N422),IF($L422="","",$L422))</f>
        <v/>
      </c>
      <c r="AD422">
        <f>IF($Y422="","",IF($Y422="in line",IF(profit_kind="test",IF(ROUND($AB422*100,2)=0,"0.00",TEXT($AB422*100,"+0.00;-0.00"))&amp;" points against "&amp;IF($V422,"its band","the book")&amp;", "&amp;IF($AC422="","not tested","not significant"),IF(profit_kind="points","within "&amp;TEXT(profit_line*100,"0.00")&amp;" points of "&amp;IF($V422,"its band","the book")&amp;" ("&amp;IF(ROUND($AB422*100,2)=0,"0.00",TEXT($AB422*100,"+0.00;-0.00"))&amp;")","within $"&amp;TEXT(profit_line,"#,##0")&amp;" of "&amp;IF($V422,"its band","the book")&amp;" ("&amp;IF(ROUND($AB422*100,2)=0,"0.00",TEXT($AB422*100,"+0.00;-0.00"))&amp;" points)")),IF(LEFT($Y422,5)="worse","short of ","ahead of ")&amp;IF($V422,"its band","the book")&amp;" by "&amp;TEXT(ABS($AB422)*100,"0.00")&amp;" points"&amp;IF($Z422="",""," ($"&amp;TEXT(ABS($Z422),"#,##0")&amp;")")&amp;IF(RIGHT($Y422,15)="not significant"," (not significant)","")))</f>
        <v/>
      </c>
      <c r="AE422">
        <f>IF($V422,IF($S422="","",$S422),IF($R422="","",$R422))</f>
        <v/>
      </c>
      <c r="AF422">
        <f>IF($V422,IF($U422="","",$U422),IF($T422="","",$T422))</f>
        <v/>
      </c>
      <c r="AG422">
        <f>IF($V422,IF($O422="","",$O422),IF($P422="","",$P422))</f>
        <v/>
      </c>
      <c r="AH422" t="n">
        <v>0.1207776421921083</v>
      </c>
      <c r="AI422">
        <f>IF($Y422="worse","Yes",IF($Y422="worse, not significant","Not sure",IF(OR($Y422="too few losses to test",$Y422="too few loans to test"),"Too few losses",IF($Y422="","","No"))))</f>
        <v/>
      </c>
      <c r="AJ422">
        <f>IF($AA422="yes","Yes",IF($AA422="","","No"))</f>
        <v/>
      </c>
      <c r="AK422" t="n">
        <v>0.005483511062890791</v>
      </c>
      <c r="AL422" t="n">
        <v>0.005321826052942178</v>
      </c>
      <c r="AM422">
        <f>IF(AND(ISNUMBER($AC422),ISNUMBER(IF($V422,IF($AL422="","",$AL422),IF($AK422="","",$AK422)))),IF(AND(ABS($AC422-significance_bar)&lt;=2.0*IF($V422,IF($AL422="","",$AL422),IF($AK422="","",$AK422)),OR($Y422="worse",$Y422="better",$Y422="worse, not significant",$Y422="better, not significant",AND(profit_kind="test",$Y422="in line",ISNUMBER($AB422),$AB422&lt;&gt;0))),IF(ROUND($AC422,3)=ROUND(significance_bar,3),TEXT($AC422,"0.0000"),TEXT($AC422,"0.000")),""),"")</f>
        <v/>
      </c>
      <c r="AN422">
        <f>IF(AND(ISNUMBER($AC422),ISNUMBER(IF($V422,IF($AL422="","",$AL422),IF($AK422="","",$AK422)))),IF(AND(ABS($AC422-significance_bar)&lt;=2.0*IF($V422,IF($AL422="","",$AL422),IF($AK422="","",$AK422)),OR($Y422="worse",$Y422="worse, not significant",AND(profit_kind="test",$Y422="in line",ISNUMBER($AB422),$AB422&lt;0))),IF(ROUND($AC422,3)=ROUND(significance_bar,3),TEXT($AC422,"0.0000"),TEXT($AC422,"0.000")),""),"")</f>
        <v/>
      </c>
      <c r="AO422">
        <f>IF(OR($AI422="",$AN422=""),$AI422,$AI422&amp;" · borderline (p "&amp;$AN422&amp;")")</f>
        <v/>
      </c>
    </row>
    <row r="423">
      <c r="A423" t="inlineStr">
        <is>
          <t>three-way</t>
        </is>
      </c>
      <c r="B423" t="inlineStr">
        <is>
          <t>SHORT_HIST x CHANNEL / REV_DEBT</t>
        </is>
      </c>
      <c r="C423" t="inlineStr">
        <is>
          <t>0.0 - 88.9</t>
        </is>
      </c>
      <c r="D423" t="inlineStr">
        <is>
          <t>Online / REV_DEBT low half</t>
        </is>
      </c>
      <c r="E423" t="inlineStr">
        <is>
          <t>contribution_rate</t>
        </is>
      </c>
      <c r="F423" t="inlineStr">
        <is>
          <t>Contribution before losses per booked dollar</t>
        </is>
      </c>
      <c r="G423" t="n">
        <v>264</v>
      </c>
      <c r="H423" t="n">
        <v>8590132.67</v>
      </c>
      <c r="I423" t="b">
        <v>0</v>
      </c>
      <c r="J423" t="b">
        <v>0</v>
      </c>
      <c r="K423" t="n">
        <v>-0.01640948648056897</v>
      </c>
      <c r="L423" t="n">
        <v>0.06206275924131724</v>
      </c>
      <c r="M423" t="n">
        <v>-0.01847627983819825</v>
      </c>
      <c r="N423" t="n">
        <v>0.04158204869168255</v>
      </c>
      <c r="O423" t="n">
        <v>140959.6659146589</v>
      </c>
      <c r="P423" t="n">
        <v>158713.6950581691</v>
      </c>
      <c r="Q423">
        <f>'_live'!$C$24</f>
        <v/>
      </c>
      <c r="R423" t="inlineStr">
        <is>
          <t>shuffled: 499 of 10,000</t>
        </is>
      </c>
      <c r="S423" t="inlineStr">
        <is>
          <t>shuffled: 334 of 10,000</t>
        </is>
      </c>
      <c r="T423" t="n">
        <v>0.1701387501288335</v>
      </c>
      <c r="U423" t="n">
        <v>0.1722055434864627</v>
      </c>
      <c r="V423">
        <f>AND(judged_band,NOT($J423))</f>
        <v/>
      </c>
      <c r="W423">
        <f>IF($K423="","",IF(profit_kind="test",IF(OR(NOT(AND(ISNUMBER($L423),$L423&lt;significance_bar)),$K423=0),"in line",IF($K423&lt;0,"worse","better")),IF(OR($K423=0,IF(profit_kind="points",ABS($K423),ABS($K423*$H423))&lt;profit_line*(1-1E-9)),"in line",IF(AND(ISNUMBER($L423),$L423&lt;significance_bar),IF($K423&lt;0,"worse","better"),IF($K423&lt;0,"worse, not significant","better, not significant")))))</f>
        <v/>
      </c>
      <c r="X423">
        <f>IF($M423="","",IF(profit_kind="test",IF(OR(NOT(AND(ISNUMBER($N423),$N423&lt;significance_bar)),$M423=0),"in line",IF($M423&lt;0,"worse","better")),IF(OR($M423=0,IF(profit_kind="points",ABS($M423),ABS($M423*$H423))&lt;profit_line*(1-1E-9)),"in line",IF(AND(ISNUMBER($N423),$N423&lt;significance_bar),IF($M423&lt;0,"worse","better"),IF($M423&lt;0,"worse, not significant","better, not significant")))))</f>
        <v/>
      </c>
      <c r="Y423">
        <f>IF($V423,$X423,$W423)</f>
        <v/>
      </c>
      <c r="Z423">
        <f>IF($V423,IF($P423="","",$P423),IF($O423="","",$O423))</f>
        <v/>
      </c>
      <c r="AA423">
        <f>IF(OR($Q423="",$Z423=""),"",IF(AND($Z423&gt;0,$Z423&gt;=$Q423),"yes","below the line"))</f>
        <v/>
      </c>
      <c r="AB423">
        <f>IF($V423,IF($M423="","",$M423),IF($K423="","",$K423))</f>
        <v/>
      </c>
      <c r="AC423">
        <f>IF($V423,IF($N423="","",$N423),IF($L423="","",$L423))</f>
        <v/>
      </c>
      <c r="AD423">
        <f>IF($Y423="","",IF($Y423="in line",IF(profit_kind="test",IF(ROUND($AB423*100,2)=0,"0.00",TEXT($AB423*100,"+0.00;-0.00"))&amp;" points against "&amp;IF($V423,"its band","the book")&amp;", "&amp;IF($AC423="","not tested","not significant"),IF(profit_kind="points","within "&amp;TEXT(profit_line*100,"0.00")&amp;" points of "&amp;IF($V423,"its band","the book")&amp;" ("&amp;IF(ROUND($AB423*100,2)=0,"0.00",TEXT($AB423*100,"+0.00;-0.00"))&amp;")","within $"&amp;TEXT(profit_line,"#,##0")&amp;" of "&amp;IF($V423,"its band","the book")&amp;" ("&amp;IF(ROUND($AB423*100,2)=0,"0.00",TEXT($AB423*100,"+0.00;-0.00"))&amp;" points)")),IF(LEFT($Y423,5)="worse","short of ","ahead of ")&amp;IF($V423,"its band","the book")&amp;" by "&amp;TEXT(ABS($AB423)*100,"0.00")&amp;" points"&amp;IF($Z423="",""," ($"&amp;TEXT(ABS($Z423),"#,##0")&amp;")")&amp;IF(RIGHT($Y423,15)="not significant"," (not significant)","")))</f>
        <v/>
      </c>
      <c r="AE423">
        <f>IF($V423,IF($S423="","",$S423),IF($R423="","",$R423))</f>
        <v/>
      </c>
      <c r="AF423">
        <f>IF($V423,IF($U423="","",$U423),IF($T423="","",$T423))</f>
        <v/>
      </c>
      <c r="AG423">
        <f>IF($V423,IF($O423="","",$O423),IF($P423="","",$P423))</f>
        <v/>
      </c>
      <c r="AH423" t="n">
        <v>0.1537292636482645</v>
      </c>
      <c r="AI423">
        <f>IF($Y423="worse","Yes",IF($Y423="worse, not significant","Not sure",IF(OR($Y423="too few losses to test",$Y423="too few loans to test"),"Too few losses",IF($Y423="","","No"))))</f>
        <v/>
      </c>
      <c r="AJ423">
        <f>IF($AA423="yes","Yes",IF($AA423="","","No"))</f>
        <v/>
      </c>
      <c r="AK423" t="n">
        <v>0.002705395334889852</v>
      </c>
      <c r="AL423" t="n">
        <v>0.002233607578654059</v>
      </c>
      <c r="AM423">
        <f>IF(AND(ISNUMBER($AC423),ISNUMBER(IF($V423,IF($AL423="","",$AL423),IF($AK423="","",$AK423)))),IF(AND(ABS($AC423-significance_bar)&lt;=2.0*IF($V423,IF($AL423="","",$AL423),IF($AK423="","",$AK423)),OR($Y423="worse",$Y423="better",$Y423="worse, not significant",$Y423="better, not significant",AND(profit_kind="test",$Y423="in line",ISNUMBER($AB423),$AB423&lt;&gt;0))),IF(ROUND($AC423,3)=ROUND(significance_bar,3),TEXT($AC423,"0.0000"),TEXT($AC423,"0.000")),""),"")</f>
        <v/>
      </c>
      <c r="AN423">
        <f>IF(AND(ISNUMBER($AC423),ISNUMBER(IF($V423,IF($AL423="","",$AL423),IF($AK423="","",$AK423)))),IF(AND(ABS($AC423-significance_bar)&lt;=2.0*IF($V423,IF($AL423="","",$AL423),IF($AK423="","",$AK423)),OR($Y423="worse",$Y423="worse, not significant",AND(profit_kind="test",$Y423="in line",ISNUMBER($AB423),$AB423&lt;0))),IF(ROUND($AC423,3)=ROUND(significance_bar,3),TEXT($AC423,"0.0000"),TEXT($AC423,"0.000")),""),"")</f>
        <v/>
      </c>
      <c r="AO423">
        <f>IF(OR($AI423="",$AN423=""),$AI423,$AI423&amp;" · borderline (p "&amp;$AN423&amp;")")</f>
        <v/>
      </c>
    </row>
    <row r="424">
      <c r="A424" t="inlineStr">
        <is>
          <t>three-way</t>
        </is>
      </c>
      <c r="B424" t="inlineStr">
        <is>
          <t>SHORT_HIST x CHANNEL / REV_DEBT</t>
        </is>
      </c>
      <c r="C424" t="inlineStr">
        <is>
          <t>346.0 - 435.0</t>
        </is>
      </c>
      <c r="D424" t="inlineStr">
        <is>
          <t>Broker / REV_DEBT low half</t>
        </is>
      </c>
      <c r="E424" t="inlineStr">
        <is>
          <t>outcome_loans</t>
        </is>
      </c>
      <c r="F424" t="inlineStr">
        <is>
          <t>Outcome, share of loans</t>
        </is>
      </c>
      <c r="G424" t="n">
        <v>252</v>
      </c>
      <c r="H424" t="n">
        <v>252</v>
      </c>
      <c r="I424" t="b">
        <v>0</v>
      </c>
      <c r="J424" t="b">
        <v>0</v>
      </c>
      <c r="K424" t="n">
        <v>0.6077508433356869</v>
      </c>
      <c r="L424" t="n">
        <v>0.132058635140815</v>
      </c>
      <c r="M424" t="n">
        <v>0.6084142394822006</v>
      </c>
      <c r="N424" t="n">
        <v>0.1296084920362366</v>
      </c>
      <c r="O424" t="n">
        <v>-7.74493352265393</v>
      </c>
      <c r="P424" t="n">
        <v>-7.723404255319149</v>
      </c>
      <c r="Q424">
        <f>'_live'!$C$20</f>
        <v/>
      </c>
      <c r="R424" t="inlineStr">
        <is>
          <t>z test</t>
        </is>
      </c>
      <c r="S424" t="inlineStr">
        <is>
          <t>z test</t>
        </is>
      </c>
      <c r="T424" t="n">
        <v>0.07835291080418226</v>
      </c>
      <c r="U424" t="n">
        <v>0.07826747720364742</v>
      </c>
      <c r="V424">
        <f>AND(judged_band,NOT($J424))</f>
        <v/>
      </c>
      <c r="W424">
        <f>IF($K424="","",IF($I424,"too few losses to test",IF(AND($K424&gt;better_at,$K424&lt;worse_at),"in line",IF($K424&gt;=worse_at,IF(AND(ISNUMBER($L424),$L424&lt;significance_bar),"worse","worse, not significant"),IF(AND(ISNUMBER($L424),$L424&lt;significance_bar),"better","better, not significant")))))</f>
        <v/>
      </c>
      <c r="X424">
        <f>IF($M424="","",IF($I424,"too few losses to test",IF(AND($M424&gt;better_at,$M424&lt;worse_at),"in line",IF($M424&gt;=worse_at,IF(AND(ISNUMBER($N424),$N424&lt;significance_bar),"worse","worse, not significant"),IF(AND(ISNUMBER($N424),$N424&lt;significance_bar),"better","better, not significant")))))</f>
        <v/>
      </c>
      <c r="Y424">
        <f>IF($V424,$X424,$W424)</f>
        <v/>
      </c>
      <c r="Z424">
        <f>IF($V424,IF($P424="","",$P424),IF($O424="","",$O424))</f>
        <v/>
      </c>
      <c r="AA424">
        <f>IF(OR($Q424="",$Z424=""),"",IF(AND($Z424&gt;0,$Z424&gt;=$Q424),"yes","below the line"))</f>
        <v/>
      </c>
      <c r="AB424">
        <f>IF($V424,IF($M424="","",$M424),IF($K424="","",$K424))</f>
        <v/>
      </c>
      <c r="AC424">
        <f>IF($V424,IF($N424="","",$N424),IF($L424="","",$L424))</f>
        <v/>
      </c>
      <c r="AD424">
        <f>$Y424</f>
        <v/>
      </c>
      <c r="AE424">
        <f>IF($V424,IF($S424="","",$S424),IF($R424="","",$R424))</f>
        <v/>
      </c>
      <c r="AF424">
        <f>IF($V424,IF($U424="","",$U424),IF($T424="","",$T424))</f>
        <v/>
      </c>
      <c r="AG424">
        <f>IF($V424,IF($O424="","",$O424),IF($P424="","",$P424))</f>
        <v/>
      </c>
      <c r="AH424" t="n">
        <v>0.04761904761904762</v>
      </c>
      <c r="AI424">
        <f>IF($Y424="worse","Yes",IF($Y424="worse, not significant","Not sure",IF(OR($Y424="too few losses to test",$Y424="too few loans to test"),"Too few losses",IF($Y424="","","No"))))</f>
        <v/>
      </c>
      <c r="AJ424">
        <f>IF($AA424="yes","Yes",IF($AA424="","","No"))</f>
        <v/>
      </c>
      <c r="AM424">
        <f>IF(AND(ISNUMBER($AC424),ISNUMBER(IF($V424,IF($AL424="","",$AL424),IF($AK424="","",$AK424)))),IF(AND(ABS($AC424-significance_bar)&lt;=2.0*IF($V424,IF($AL424="","",$AL424),IF($AK424="","",$AK424)),OR($Y424="worse",$Y424="better",$Y424="worse, not significant",$Y424="better, not significant")),IF(ROUND($AC424,3)=ROUND(significance_bar,3),TEXT($AC424,"0.0000"),TEXT($AC424,"0.000")),""),"")</f>
        <v/>
      </c>
      <c r="AN424">
        <f>IF(AND(ISNUMBER($AC424),ISNUMBER(IF($V424,IF($AL424="","",$AL424),IF($AK424="","",$AK424)))),IF(AND(ABS($AC424-significance_bar)&lt;=2.0*IF($V424,IF($AL424="","",$AL424),IF($AK424="","",$AK424)),OR($Y424="worse",$Y424="worse, not significant")),IF(ROUND($AC424,3)=ROUND(significance_bar,3),TEXT($AC424,"0.0000"),TEXT($AC424,"0.000")),""),"")</f>
        <v/>
      </c>
      <c r="AO424">
        <f>IF(OR($AI424="",$AN424=""),$AI424,$AI424&amp;" · borderline (p "&amp;$AN424&amp;")")</f>
        <v/>
      </c>
    </row>
    <row r="425">
      <c r="A425" t="inlineStr">
        <is>
          <t>three-way</t>
        </is>
      </c>
      <c r="B425" t="inlineStr">
        <is>
          <t>SHORT_HIST x CHANNEL / REV_DEBT</t>
        </is>
      </c>
      <c r="C425" t="inlineStr">
        <is>
          <t>346.0 - 435.0</t>
        </is>
      </c>
      <c r="D425" t="inlineStr">
        <is>
          <t>Broker / REV_DEBT low half</t>
        </is>
      </c>
      <c r="E425" t="inlineStr">
        <is>
          <t>outcome_booked</t>
        </is>
      </c>
      <c r="F425" t="inlineStr">
        <is>
          <t>Outcome, share of booked dollars</t>
        </is>
      </c>
      <c r="G425" t="n">
        <v>252</v>
      </c>
      <c r="H425" t="n">
        <v>8002657.719999996</v>
      </c>
      <c r="I425" t="b">
        <v>0</v>
      </c>
      <c r="J425" t="b">
        <v>0</v>
      </c>
      <c r="K425" t="n">
        <v>0.6006066073881212</v>
      </c>
      <c r="L425" t="n">
        <v>0.1842101504135301</v>
      </c>
      <c r="M425" t="n">
        <v>0.618548113399456</v>
      </c>
      <c r="N425" t="n">
        <v>0.2307269273072693</v>
      </c>
      <c r="O425" t="n">
        <v>-242168.3889560269</v>
      </c>
      <c r="P425" t="n">
        <v>-224580.9750244774</v>
      </c>
      <c r="Q425">
        <f>'_live'!$C$21</f>
        <v/>
      </c>
      <c r="R425" t="inlineStr">
        <is>
          <t>shuffled: 991 of 10,000</t>
        </is>
      </c>
      <c r="S425" t="inlineStr">
        <is>
          <t>shuffled: 1,419 of 10,000</t>
        </is>
      </c>
      <c r="T425" t="n">
        <v>0.07576739130560083</v>
      </c>
      <c r="U425" t="n">
        <v>0.07356969467194428</v>
      </c>
      <c r="V425">
        <f>AND(judged_band,NOT($J425))</f>
        <v/>
      </c>
      <c r="W425">
        <f>IF($K425="","",IF($I425,"too few losses to test",IF(AND($K425&gt;better_at,$K425&lt;worse_at),"in line",IF($K425&gt;=worse_at,IF(AND(ISNUMBER($L425),$L425&lt;significance_bar),"worse","worse, not significant"),IF(AND(ISNUMBER($L425),$L425&lt;significance_bar),"better","better, not significant")))))</f>
        <v/>
      </c>
      <c r="X425">
        <f>IF($M425="","",IF($I425,"too few losses to test",IF(AND($M425&gt;better_at,$M425&lt;worse_at),"in line",IF($M425&gt;=worse_at,IF(AND(ISNUMBER($N425),$N425&lt;significance_bar),"worse","worse, not significant"),IF(AND(ISNUMBER($N425),$N425&lt;significance_bar),"better","better, not significant")))))</f>
        <v/>
      </c>
      <c r="Y425">
        <f>IF($V425,$X425,$W425)</f>
        <v/>
      </c>
      <c r="Z425">
        <f>IF($V425,IF($P425="","",$P425),IF($O425="","",$O425))</f>
        <v/>
      </c>
      <c r="AA425">
        <f>IF(OR($Q425="",$Z425=""),"",IF(AND($Z425&gt;0,$Z425&gt;=$Q425),"yes","below the line"))</f>
        <v/>
      </c>
      <c r="AB425">
        <f>IF($V425,IF($M425="","",$M425),IF($K425="","",$K425))</f>
        <v/>
      </c>
      <c r="AC425">
        <f>IF($V425,IF($N425="","",$N425),IF($L425="","",$L425))</f>
        <v/>
      </c>
      <c r="AD425">
        <f>$Y425</f>
        <v/>
      </c>
      <c r="AE425">
        <f>IF($V425,IF($S425="","",$S425),IF($R425="","",$R425))</f>
        <v/>
      </c>
      <c r="AF425">
        <f>IF($V425,IF($U425="","",$U425),IF($T425="","",$T425))</f>
        <v/>
      </c>
      <c r="AG425">
        <f>IF($V425,IF($O425="","",$O425),IF($P425="","",$P425))</f>
        <v/>
      </c>
      <c r="AH425" t="n">
        <v>0.04550639584270515</v>
      </c>
      <c r="AI425">
        <f>IF($Y425="worse","Yes",IF($Y425="worse, not significant","Not sure",IF(OR($Y425="too few losses to test",$Y425="too few loans to test"),"Too few losses",IF($Y425="","","No"))))</f>
        <v/>
      </c>
      <c r="AJ425">
        <f>IF($AA425="yes","Yes",IF($AA425="","","No"))</f>
        <v/>
      </c>
      <c r="AK425" t="n">
        <v>0.005551316830611664</v>
      </c>
      <c r="AL425" t="n">
        <v>0.005671828117015347</v>
      </c>
      <c r="AM425">
        <f>IF(AND(ISNUMBER($AC425),ISNUMBER(IF($V425,IF($AL425="","",$AL425),IF($AK425="","",$AK425)))),IF(AND(ABS($AC425-significance_bar)&lt;=2.0*IF($V425,IF($AL425="","",$AL425),IF($AK425="","",$AK425)),OR($Y425="worse",$Y425="better",$Y425="worse, not significant",$Y425="better, not significant")),IF(ROUND($AC425,3)=ROUND(significance_bar,3),TEXT($AC425,"0.0000"),TEXT($AC425,"0.000")),""),"")</f>
        <v/>
      </c>
      <c r="AN425">
        <f>IF(AND(ISNUMBER($AC425),ISNUMBER(IF($V425,IF($AL425="","",$AL425),IF($AK425="","",$AK425)))),IF(AND(ABS($AC425-significance_bar)&lt;=2.0*IF($V425,IF($AL425="","",$AL425),IF($AK425="","",$AK425)),OR($Y425="worse",$Y425="worse, not significant")),IF(ROUND($AC425,3)=ROUND(significance_bar,3),TEXT($AC425,"0.0000"),TEXT($AC425,"0.000")),""),"")</f>
        <v/>
      </c>
      <c r="AO425">
        <f>IF(OR($AI425="",$AN425=""),$AI425,$AI425&amp;" · borderline (p "&amp;$AN425&amp;")")</f>
        <v/>
      </c>
    </row>
    <row r="426">
      <c r="A426" t="inlineStr">
        <is>
          <t>three-way</t>
        </is>
      </c>
      <c r="B426" t="inlineStr">
        <is>
          <t>SHORT_HIST x CHANNEL / REV_DEBT</t>
        </is>
      </c>
      <c r="C426" t="inlineStr">
        <is>
          <t>346.0 - 435.0</t>
        </is>
      </c>
      <c r="D426" t="inlineStr">
        <is>
          <t>Broker / REV_DEBT low half</t>
        </is>
      </c>
      <c r="E426" t="inlineStr">
        <is>
          <t>gco_rate</t>
        </is>
      </c>
      <c r="F426" t="inlineStr">
        <is>
          <t>GCO per booked dollar</t>
        </is>
      </c>
      <c r="G426" t="n">
        <v>252</v>
      </c>
      <c r="H426" t="n">
        <v>8002657.719999996</v>
      </c>
      <c r="I426" t="b">
        <v>0</v>
      </c>
      <c r="J426" t="b">
        <v>0</v>
      </c>
      <c r="K426" t="n">
        <v>0.6153866981031347</v>
      </c>
      <c r="L426" t="n">
        <v>0.2311911665976259</v>
      </c>
      <c r="M426" t="n">
        <v>0.6170792764068999</v>
      </c>
      <c r="N426" t="n">
        <v>0.2477877212278772</v>
      </c>
      <c r="O426" t="n">
        <v>-129604.03454497</v>
      </c>
      <c r="P426" t="n">
        <v>-128679.7577941944</v>
      </c>
      <c r="Q426">
        <f>'_live'!$C$22</f>
        <v/>
      </c>
      <c r="R426" t="inlineStr">
        <is>
          <t>shuffled: 1,244 of 10,000</t>
        </is>
      </c>
      <c r="S426" t="inlineStr">
        <is>
          <t>shuffled: 1,524 of 10,000</t>
        </is>
      </c>
      <c r="T426" t="n">
        <v>0.04210755055821257</v>
      </c>
      <c r="U426" t="n">
        <v>0.04199205433394376</v>
      </c>
      <c r="V426">
        <f>AND(judged_band,NOT($J426))</f>
        <v/>
      </c>
      <c r="W426">
        <f>IF($K426="","",IF($I426,"too few losses to test",IF(AND($K426&gt;better_at,$K426&lt;worse_at),"in line",IF($K426&gt;=worse_at,IF(AND(ISNUMBER($L426),$L426&lt;significance_bar),"worse","worse, not significant"),IF(AND(ISNUMBER($L426),$L426&lt;significance_bar),"better","better, not significant")))))</f>
        <v/>
      </c>
      <c r="X426">
        <f>IF($M426="","",IF($I426,"too few losses to test",IF(AND($M426&gt;better_at,$M426&lt;worse_at),"in line",IF($M426&gt;=worse_at,IF(AND(ISNUMBER($N426),$N426&lt;significance_bar),"worse","worse, not significant"),IF(AND(ISNUMBER($N426),$N426&lt;significance_bar),"better","better, not significant")))))</f>
        <v/>
      </c>
      <c r="Y426">
        <f>IF($V426,$X426,$W426)</f>
        <v/>
      </c>
      <c r="Z426">
        <f>IF($V426,IF($P426="","",$P426),IF($O426="","",$O426))</f>
        <v/>
      </c>
      <c r="AA426">
        <f>IF(OR($Q426="",$Z426=""),"",IF(AND($Z426&gt;0,$Z426&gt;=$Q426),"yes","below the line"))</f>
        <v/>
      </c>
      <c r="AB426">
        <f>IF($V426,IF($M426="","",$M426),IF($K426="","",$K426))</f>
        <v/>
      </c>
      <c r="AC426">
        <f>IF($V426,IF($N426="","",$N426),IF($L426="","",$L426))</f>
        <v/>
      </c>
      <c r="AD426">
        <f>$Y426</f>
        <v/>
      </c>
      <c r="AE426">
        <f>IF($V426,IF($S426="","",$S426),IF($R426="","",$R426))</f>
        <v/>
      </c>
      <c r="AF426">
        <f>IF($V426,IF($U426="","",$U426),IF($T426="","",$T426))</f>
        <v/>
      </c>
      <c r="AG426">
        <f>IF($V426,IF($O426="","",$O426),IF($P426="","",$P426))</f>
        <v/>
      </c>
      <c r="AH426" t="n">
        <v>0.02591242650322924</v>
      </c>
      <c r="AI426">
        <f>IF($Y426="worse","Yes",IF($Y426="worse, not significant","Not sure",IF(OR($Y426="too few losses to test",$Y426="too few loans to test"),"Too few losses",IF($Y426="","","No"))))</f>
        <v/>
      </c>
      <c r="AJ426">
        <f>IF($AA426="yes","Yes",IF($AA426="","","No"))</f>
        <v/>
      </c>
      <c r="AK426" t="n">
        <v>0.006131114647179044</v>
      </c>
      <c r="AL426" t="n">
        <v>0.005841714578820128</v>
      </c>
      <c r="AM426">
        <f>IF(AND(ISNUMBER($AC426),ISNUMBER(IF($V426,IF($AL426="","",$AL426),IF($AK426="","",$AK426)))),IF(AND(ABS($AC426-significance_bar)&lt;=2.0*IF($V426,IF($AL426="","",$AL426),IF($AK426="","",$AK426)),OR($Y426="worse",$Y426="better",$Y426="worse, not significant",$Y426="better, not significant")),IF(ROUND($AC426,3)=ROUND(significance_bar,3),TEXT($AC426,"0.0000"),TEXT($AC426,"0.000")),""),"")</f>
        <v/>
      </c>
      <c r="AN426">
        <f>IF(AND(ISNUMBER($AC426),ISNUMBER(IF($V426,IF($AL426="","",$AL426),IF($AK426="","",$AK426)))),IF(AND(ABS($AC426-significance_bar)&lt;=2.0*IF($V426,IF($AL426="","",$AL426),IF($AK426="","",$AK426)),OR($Y426="worse",$Y426="worse, not significant")),IF(ROUND($AC426,3)=ROUND(significance_bar,3),TEXT($AC426,"0.0000"),TEXT($AC426,"0.000")),""),"")</f>
        <v/>
      </c>
      <c r="AO426">
        <f>IF(OR($AI426="",$AN426=""),$AI426,$AI426&amp;" · borderline (p "&amp;$AN426&amp;")")</f>
        <v/>
      </c>
    </row>
    <row r="427">
      <c r="A427" t="inlineStr">
        <is>
          <t>three-way</t>
        </is>
      </c>
      <c r="B427" t="inlineStr">
        <is>
          <t>SHORT_HIST x CHANNEL / REV_DEBT</t>
        </is>
      </c>
      <c r="C427" t="inlineStr">
        <is>
          <t>346.0 - 435.0</t>
        </is>
      </c>
      <c r="D427" t="inlineStr">
        <is>
          <t>Broker / REV_DEBT low half</t>
        </is>
      </c>
      <c r="E427" t="inlineStr">
        <is>
          <t>ranr_rate</t>
        </is>
      </c>
      <c r="F427" t="inlineStr">
        <is>
          <t>Profit after losses: RANR per booked dollar</t>
        </is>
      </c>
      <c r="G427" t="n">
        <v>252</v>
      </c>
      <c r="H427" t="n">
        <v>8002657.719999996</v>
      </c>
      <c r="I427" t="b">
        <v>0</v>
      </c>
      <c r="J427" t="b">
        <v>0</v>
      </c>
      <c r="K427" t="n">
        <v>-0.01784190958820983</v>
      </c>
      <c r="L427" t="n">
        <v>0.2823146256802891</v>
      </c>
      <c r="M427" t="n">
        <v>-0.01777120913025862</v>
      </c>
      <c r="N427" t="n">
        <v>0.2976745803680502</v>
      </c>
      <c r="O427" t="n">
        <v>142782.6955056294</v>
      </c>
      <c r="P427" t="n">
        <v>142216.9039399986</v>
      </c>
      <c r="Q427">
        <f>'_live'!$C$23</f>
        <v/>
      </c>
      <c r="R427" t="inlineStr">
        <is>
          <t>shuffled: 1,646 of 10,000</t>
        </is>
      </c>
      <c r="S427" t="inlineStr">
        <is>
          <t>shuffled: 1,901 of 10,000</t>
        </is>
      </c>
      <c r="T427" t="n">
        <v>0.1285433241677654</v>
      </c>
      <c r="U427" t="n">
        <v>0.1284726237098142</v>
      </c>
      <c r="V427">
        <f>AND(judged_band,NOT($J427))</f>
        <v/>
      </c>
      <c r="W427">
        <f>IF($K427="","",IF(profit_kind="test",IF(OR(NOT(AND(ISNUMBER($L427),$L427&lt;significance_bar)),$K427=0),"in line",IF($K427&lt;0,"worse","better")),IF(OR($K427=0,IF(profit_kind="points",ABS($K427),ABS($K427*$H427))&lt;profit_line*(1-1E-9)),"in line",IF(AND(ISNUMBER($L427),$L427&lt;significance_bar),IF($K427&lt;0,"worse","better"),IF($K427&lt;0,"worse, not significant","better, not significant")))))</f>
        <v/>
      </c>
      <c r="X427">
        <f>IF($M427="","",IF(profit_kind="test",IF(OR(NOT(AND(ISNUMBER($N427),$N427&lt;significance_bar)),$M427=0),"in line",IF($M427&lt;0,"worse","better")),IF(OR($M427=0,IF(profit_kind="points",ABS($M427),ABS($M427*$H427))&lt;profit_line*(1-1E-9)),"in line",IF(AND(ISNUMBER($N427),$N427&lt;significance_bar),IF($M427&lt;0,"worse","better"),IF($M427&lt;0,"worse, not significant","better, not significant")))))</f>
        <v/>
      </c>
      <c r="Y427">
        <f>IF($V427,$X427,$W427)</f>
        <v/>
      </c>
      <c r="Z427">
        <f>IF($V427,IF($P427="","",$P427),IF($O427="","",$O427))</f>
        <v/>
      </c>
      <c r="AA427">
        <f>IF(OR($Q427="",$Z427=""),"",IF(AND($Z427&gt;0,$Z427&gt;=$Q427),"yes","below the line"))</f>
        <v/>
      </c>
      <c r="AB427">
        <f>IF($V427,IF($M427="","",$M427),IF($K427="","",$K427))</f>
        <v/>
      </c>
      <c r="AC427">
        <f>IF($V427,IF($N427="","",$N427),IF($L427="","",$L427))</f>
        <v/>
      </c>
      <c r="AD427">
        <f>IF($Y427="","",IF($Y427="in line",IF(profit_kind="test",IF(ROUND($AB427*100,2)=0,"0.00",TEXT($AB427*100,"+0.00;-0.00"))&amp;" points against "&amp;IF($V427,"its band","the book")&amp;", "&amp;IF($AC427="","not tested","not significant"),IF(profit_kind="points","within "&amp;TEXT(profit_line*100,"0.00")&amp;" points of "&amp;IF($V427,"its band","the book")&amp;" ("&amp;IF(ROUND($AB427*100,2)=0,"0.00",TEXT($AB427*100,"+0.00;-0.00"))&amp;")","within $"&amp;TEXT(profit_line,"#,##0")&amp;" of "&amp;IF($V427,"its band","the book")&amp;" ("&amp;IF(ROUND($AB427*100,2)=0,"0.00",TEXT($AB427*100,"+0.00;-0.00"))&amp;" points)")),IF(LEFT($Y427,5)="worse","short of ","ahead of ")&amp;IF($V427,"its band","the book")&amp;" by "&amp;TEXT(ABS($AB427)*100,"0.00")&amp;" points"&amp;IF($Z427="",""," ($"&amp;TEXT(ABS($Z427),"#,##0")&amp;")")&amp;IF(RIGHT($Y427,15)="not significant"," (not significant)","")))</f>
        <v/>
      </c>
      <c r="AE427">
        <f>IF($V427,IF($S427="","",$S427),IF($R427="","",$R427))</f>
        <v/>
      </c>
      <c r="AF427">
        <f>IF($V427,IF($U427="","",$U427),IF($T427="","",$T427))</f>
        <v/>
      </c>
      <c r="AG427">
        <f>IF($V427,IF($O427="","",$O427),IF($P427="","",$P427))</f>
        <v/>
      </c>
      <c r="AH427" t="n">
        <v>0.1107014145795555</v>
      </c>
      <c r="AI427">
        <f>IF($Y427="worse","Yes",IF($Y427="worse, not significant","Not sure",IF(OR($Y427="too few losses to test",$Y427="too few loans to test"),"Too few losses",IF($Y427="","","No"))))</f>
        <v/>
      </c>
      <c r="AJ427">
        <f>IF($AA427="yes","Yes",IF($AA427="","","No"))</f>
        <v/>
      </c>
      <c r="AK427" t="n">
        <v>0.006358194569723679</v>
      </c>
      <c r="AL427" t="n">
        <v>0.006142599403705253</v>
      </c>
      <c r="AM427">
        <f>IF(AND(ISNUMBER($AC427),ISNUMBER(IF($V427,IF($AL427="","",$AL427),IF($AK427="","",$AK427)))),IF(AND(ABS($AC427-significance_bar)&lt;=2.0*IF($V427,IF($AL427="","",$AL427),IF($AK427="","",$AK427)),OR($Y427="worse",$Y427="better",$Y427="worse, not significant",$Y427="better, not significant",AND(profit_kind="test",$Y427="in line",ISNUMBER($AB427),$AB427&lt;&gt;0))),IF(ROUND($AC427,3)=ROUND(significance_bar,3),TEXT($AC427,"0.0000"),TEXT($AC427,"0.000")),""),"")</f>
        <v/>
      </c>
      <c r="AN427">
        <f>IF(AND(ISNUMBER($AC427),ISNUMBER(IF($V427,IF($AL427="","",$AL427),IF($AK427="","",$AK427)))),IF(AND(ABS($AC427-significance_bar)&lt;=2.0*IF($V427,IF($AL427="","",$AL427),IF($AK427="","",$AK427)),OR($Y427="worse",$Y427="worse, not significant",AND(profit_kind="test",$Y427="in line",ISNUMBER($AB427),$AB427&lt;0))),IF(ROUND($AC427,3)=ROUND(significance_bar,3),TEXT($AC427,"0.0000"),TEXT($AC427,"0.000")),""),"")</f>
        <v/>
      </c>
      <c r="AO427">
        <f>IF(OR($AI427="",$AN427=""),$AI427,$AI427&amp;" · borderline (p "&amp;$AN427&amp;")")</f>
        <v/>
      </c>
    </row>
    <row r="428">
      <c r="A428" t="inlineStr">
        <is>
          <t>three-way</t>
        </is>
      </c>
      <c r="B428" t="inlineStr">
        <is>
          <t>SHORT_HIST x CHANNEL / REV_DEBT</t>
        </is>
      </c>
      <c r="C428" t="inlineStr">
        <is>
          <t>346.0 - 435.0</t>
        </is>
      </c>
      <c r="D428" t="inlineStr">
        <is>
          <t>Broker / REV_DEBT low half</t>
        </is>
      </c>
      <c r="E428" t="inlineStr">
        <is>
          <t>contribution_rate</t>
        </is>
      </c>
      <c r="F428" t="inlineStr">
        <is>
          <t>Contribution before losses per booked dollar</t>
        </is>
      </c>
      <c r="G428" t="n">
        <v>252</v>
      </c>
      <c r="H428" t="n">
        <v>8002657.719999996</v>
      </c>
      <c r="I428" t="b">
        <v>0</v>
      </c>
      <c r="J428" t="b">
        <v>0</v>
      </c>
      <c r="K428" t="n">
        <v>-0.03403417069632866</v>
      </c>
      <c r="L428" t="n">
        <v>0.0003789094774733053</v>
      </c>
      <c r="M428" t="n">
        <v>-0.03385083696097307</v>
      </c>
      <c r="N428" t="n">
        <v>0.0005399460053994601</v>
      </c>
      <c r="O428" t="n">
        <v>272363.8188667723</v>
      </c>
      <c r="P428" t="n">
        <v>270896.6617341924</v>
      </c>
      <c r="Q428">
        <f>'_live'!$C$24</f>
        <v/>
      </c>
      <c r="R428" t="inlineStr">
        <is>
          <t>shuffled: 1 of 10,000</t>
        </is>
      </c>
      <c r="S428" t="inlineStr">
        <is>
          <t>shuffled: 2 of 10,000</t>
        </is>
      </c>
      <c r="T428" t="n">
        <v>0.1706480117791135</v>
      </c>
      <c r="U428" t="n">
        <v>0.1704646780437579</v>
      </c>
      <c r="V428">
        <f>AND(judged_band,NOT($J428))</f>
        <v/>
      </c>
      <c r="W428">
        <f>IF($K428="","",IF(profit_kind="test",IF(OR(NOT(AND(ISNUMBER($L428),$L428&lt;significance_bar)),$K428=0),"in line",IF($K428&lt;0,"worse","better")),IF(OR($K428=0,IF(profit_kind="points",ABS($K428),ABS($K428*$H428))&lt;profit_line*(1-1E-9)),"in line",IF(AND(ISNUMBER($L428),$L428&lt;significance_bar),IF($K428&lt;0,"worse","better"),IF($K428&lt;0,"worse, not significant","better, not significant")))))</f>
        <v/>
      </c>
      <c r="X428">
        <f>IF($M428="","",IF(profit_kind="test",IF(OR(NOT(AND(ISNUMBER($N428),$N428&lt;significance_bar)),$M428=0),"in line",IF($M428&lt;0,"worse","better")),IF(OR($M428=0,IF(profit_kind="points",ABS($M428),ABS($M428*$H428))&lt;profit_line*(1-1E-9)),"in line",IF(AND(ISNUMBER($N428),$N428&lt;significance_bar),IF($M428&lt;0,"worse","better"),IF($M428&lt;0,"worse, not significant","better, not significant")))))</f>
        <v/>
      </c>
      <c r="Y428">
        <f>IF($V428,$X428,$W428)</f>
        <v/>
      </c>
      <c r="Z428">
        <f>IF($V428,IF($P428="","",$P428),IF($O428="","",$O428))</f>
        <v/>
      </c>
      <c r="AA428">
        <f>IF(OR($Q428="",$Z428=""),"",IF(AND($Z428&gt;0,$Z428&gt;=$Q428),"yes","below the line"))</f>
        <v/>
      </c>
      <c r="AB428">
        <f>IF($V428,IF($M428="","",$M428),IF($K428="","",$K428))</f>
        <v/>
      </c>
      <c r="AC428">
        <f>IF($V428,IF($N428="","",$N428),IF($L428="","",$L428))</f>
        <v/>
      </c>
      <c r="AD428">
        <f>IF($Y428="","",IF($Y428="in line",IF(profit_kind="test",IF(ROUND($AB428*100,2)=0,"0.00",TEXT($AB428*100,"+0.00;-0.00"))&amp;" points against "&amp;IF($V428,"its band","the book")&amp;", "&amp;IF($AC428="","not tested","not significant"),IF(profit_kind="points","within "&amp;TEXT(profit_line*100,"0.00")&amp;" points of "&amp;IF($V428,"its band","the book")&amp;" ("&amp;IF(ROUND($AB428*100,2)=0,"0.00",TEXT($AB428*100,"+0.00;-0.00"))&amp;")","within $"&amp;TEXT(profit_line,"#,##0")&amp;" of "&amp;IF($V428,"its band","the book")&amp;" ("&amp;IF(ROUND($AB428*100,2)=0,"0.00",TEXT($AB428*100,"+0.00;-0.00"))&amp;" points)")),IF(LEFT($Y428,5)="worse","short of ","ahead of ")&amp;IF($V428,"its band","the book")&amp;" by "&amp;TEXT(ABS($AB428)*100,"0.00")&amp;" points"&amp;IF($Z428="",""," ($"&amp;TEXT(ABS($Z428),"#,##0")&amp;")")&amp;IF(RIGHT($Y428,15)="not significant"," (not significant)","")))</f>
        <v/>
      </c>
      <c r="AE428">
        <f>IF($V428,IF($S428="","",$S428),IF($R428="","",$R428))</f>
        <v/>
      </c>
      <c r="AF428">
        <f>IF($V428,IF($U428="","",$U428),IF($T428="","",$T428))</f>
        <v/>
      </c>
      <c r="AG428">
        <f>IF($V428,IF($O428="","",$O428),IF($P428="","",$P428))</f>
        <v/>
      </c>
      <c r="AH428" t="n">
        <v>0.1366138410827848</v>
      </c>
      <c r="AI428">
        <f>IF($Y428="worse","Yes",IF($Y428="worse, not significant","Not sure",IF(OR($Y428="too few losses to test",$Y428="too few loans to test"),"Too few losses",IF($Y428="","","No"))))</f>
        <v/>
      </c>
      <c r="AJ428">
        <f>IF($AA428="yes","Yes",IF($AA428="","","No"))</f>
        <v/>
      </c>
      <c r="AK428" t="n">
        <v>0.0002679160641692481</v>
      </c>
      <c r="AL428" t="n">
        <v>0.0003117067962092391</v>
      </c>
      <c r="AM428">
        <f>IF(AND(ISNUMBER($AC428),ISNUMBER(IF($V428,IF($AL428="","",$AL428),IF($AK428="","",$AK428)))),IF(AND(ABS($AC428-significance_bar)&lt;=2.0*IF($V428,IF($AL428="","",$AL428),IF($AK428="","",$AK428)),OR($Y428="worse",$Y428="better",$Y428="worse, not significant",$Y428="better, not significant",AND(profit_kind="test",$Y428="in line",ISNUMBER($AB428),$AB428&lt;&gt;0))),IF(ROUND($AC428,3)=ROUND(significance_bar,3),TEXT($AC428,"0.0000"),TEXT($AC428,"0.000")),""),"")</f>
        <v/>
      </c>
      <c r="AN428">
        <f>IF(AND(ISNUMBER($AC428),ISNUMBER(IF($V428,IF($AL428="","",$AL428),IF($AK428="","",$AK428)))),IF(AND(ABS($AC428-significance_bar)&lt;=2.0*IF($V428,IF($AL428="","",$AL428),IF($AK428="","",$AK428)),OR($Y428="worse",$Y428="worse, not significant",AND(profit_kind="test",$Y428="in line",ISNUMBER($AB428),$AB428&lt;0))),IF(ROUND($AC428,3)=ROUND(significance_bar,3),TEXT($AC428,"0.0000"),TEXT($AC428,"0.000")),""),"")</f>
        <v/>
      </c>
      <c r="AO428">
        <f>IF(OR($AI428="",$AN428=""),$AI428,$AI428&amp;" · borderline (p "&amp;$AN428&amp;")")</f>
        <v/>
      </c>
    </row>
    <row r="429">
      <c r="A429" t="inlineStr">
        <is>
          <t>three-way</t>
        </is>
      </c>
      <c r="B429" t="inlineStr">
        <is>
          <t>SHORT_HIST x CHANNEL / REV_DEBT</t>
        </is>
      </c>
      <c r="C429" t="inlineStr">
        <is>
          <t>172.0 - 256.3</t>
        </is>
      </c>
      <c r="D429" t="inlineStr">
        <is>
          <t>Online / REV_DEBT high half</t>
        </is>
      </c>
      <c r="E429" t="inlineStr">
        <is>
          <t>outcome_loans</t>
        </is>
      </c>
      <c r="F429" t="inlineStr">
        <is>
          <t>Outcome, share of loans</t>
        </is>
      </c>
      <c r="G429" t="n">
        <v>258</v>
      </c>
      <c r="H429" t="n">
        <v>258</v>
      </c>
      <c r="I429" t="b">
        <v>0</v>
      </c>
      <c r="J429" t="b">
        <v>0</v>
      </c>
      <c r="K429" t="n">
        <v>1.315515641136254</v>
      </c>
      <c r="L429" t="n">
        <v>0.2208708647693041</v>
      </c>
      <c r="M429" t="n">
        <v>1.683838681189285</v>
      </c>
      <c r="N429" t="n">
        <v>0.04577454646198458</v>
      </c>
      <c r="O429" t="n">
        <v>6.235886836326056</v>
      </c>
      <c r="P429" t="n">
        <v>10.55909090909091</v>
      </c>
      <c r="Q429">
        <f>'_live'!$C$20</f>
        <v/>
      </c>
      <c r="R429" t="inlineStr">
        <is>
          <t>z test</t>
        </is>
      </c>
      <c r="S429" t="inlineStr">
        <is>
          <t>z test</t>
        </is>
      </c>
      <c r="T429" t="n">
        <v>0.07660508978168196</v>
      </c>
      <c r="U429" t="n">
        <v>0.05984848484848485</v>
      </c>
      <c r="V429">
        <f>AND(judged_band,NOT($J429))</f>
        <v/>
      </c>
      <c r="W429">
        <f>IF($K429="","",IF($I429,"too few losses to test",IF(AND($K429&gt;better_at,$K429&lt;worse_at),"in line",IF($K429&gt;=worse_at,IF(AND(ISNUMBER($L429),$L429&lt;significance_bar),"worse","worse, not significant"),IF(AND(ISNUMBER($L429),$L429&lt;significance_bar),"better","better, not significant")))))</f>
        <v/>
      </c>
      <c r="X429">
        <f>IF($M429="","",IF($I429,"too few losses to test",IF(AND($M429&gt;better_at,$M429&lt;worse_at),"in line",IF($M429&gt;=worse_at,IF(AND(ISNUMBER($N429),$N429&lt;significance_bar),"worse","worse, not significant"),IF(AND(ISNUMBER($N429),$N429&lt;significance_bar),"better","better, not significant")))))</f>
        <v/>
      </c>
      <c r="Y429">
        <f>IF($V429,$X429,$W429)</f>
        <v/>
      </c>
      <c r="Z429">
        <f>IF($V429,IF($P429="","",$P429),IF($O429="","",$O429))</f>
        <v/>
      </c>
      <c r="AA429">
        <f>IF(OR($Q429="",$Z429=""),"",IF(AND($Z429&gt;0,$Z429&gt;=$Q429),"yes","below the line"))</f>
        <v/>
      </c>
      <c r="AB429">
        <f>IF($V429,IF($M429="","",$M429),IF($K429="","",$K429))</f>
        <v/>
      </c>
      <c r="AC429">
        <f>IF($V429,IF($N429="","",$N429),IF($L429="","",$L429))</f>
        <v/>
      </c>
      <c r="AD429">
        <f>$Y429</f>
        <v/>
      </c>
      <c r="AE429">
        <f>IF($V429,IF($S429="","",$S429),IF($R429="","",$R429))</f>
        <v/>
      </c>
      <c r="AF429">
        <f>IF($V429,IF($U429="","",$U429),IF($T429="","",$T429))</f>
        <v/>
      </c>
      <c r="AG429">
        <f>IF($V429,IF($O429="","",$O429),IF($P429="","",$P429))</f>
        <v/>
      </c>
      <c r="AH429" t="n">
        <v>0.1007751937984496</v>
      </c>
      <c r="AI429">
        <f>IF($Y429="worse","Yes",IF($Y429="worse, not significant","Not sure",IF(OR($Y429="too few losses to test",$Y429="too few loans to test"),"Too few losses",IF($Y429="","","No"))))</f>
        <v/>
      </c>
      <c r="AJ429">
        <f>IF($AA429="yes","Yes",IF($AA429="","","No"))</f>
        <v/>
      </c>
      <c r="AM429">
        <f>IF(AND(ISNUMBER($AC429),ISNUMBER(IF($V429,IF($AL429="","",$AL429),IF($AK429="","",$AK429)))),IF(AND(ABS($AC429-significance_bar)&lt;=2.0*IF($V429,IF($AL429="","",$AL429),IF($AK429="","",$AK429)),OR($Y429="worse",$Y429="better",$Y429="worse, not significant",$Y429="better, not significant")),IF(ROUND($AC429,3)=ROUND(significance_bar,3),TEXT($AC429,"0.0000"),TEXT($AC429,"0.000")),""),"")</f>
        <v/>
      </c>
      <c r="AN429">
        <f>IF(AND(ISNUMBER($AC429),ISNUMBER(IF($V429,IF($AL429="","",$AL429),IF($AK429="","",$AK429)))),IF(AND(ABS($AC429-significance_bar)&lt;=2.0*IF($V429,IF($AL429="","",$AL429),IF($AK429="","",$AK429)),OR($Y429="worse",$Y429="worse, not significant")),IF(ROUND($AC429,3)=ROUND(significance_bar,3),TEXT($AC429,"0.0000"),TEXT($AC429,"0.000")),""),"")</f>
        <v/>
      </c>
      <c r="AO429">
        <f>IF(OR($AI429="",$AN429=""),$AI429,$AI429&amp;" · borderline (p "&amp;$AN429&amp;")")</f>
        <v/>
      </c>
    </row>
    <row r="430">
      <c r="A430" t="inlineStr">
        <is>
          <t>three-way</t>
        </is>
      </c>
      <c r="B430" t="inlineStr">
        <is>
          <t>SHORT_HIST x CHANNEL / REV_DEBT</t>
        </is>
      </c>
      <c r="C430" t="inlineStr">
        <is>
          <t>172.0 - 256.3</t>
        </is>
      </c>
      <c r="D430" t="inlineStr">
        <is>
          <t>Online / REV_DEBT high half</t>
        </is>
      </c>
      <c r="E430" t="inlineStr">
        <is>
          <t>outcome_booked</t>
        </is>
      </c>
      <c r="F430" t="inlineStr">
        <is>
          <t>Outcome, share of booked dollars</t>
        </is>
      </c>
      <c r="G430" t="n">
        <v>258</v>
      </c>
      <c r="H430" t="n">
        <v>8622383.43</v>
      </c>
      <c r="I430" t="b">
        <v>0</v>
      </c>
      <c r="J430" t="b">
        <v>0</v>
      </c>
      <c r="K430" t="n">
        <v>1.127315269676391</v>
      </c>
      <c r="L430" t="n">
        <v>0.6289291070892911</v>
      </c>
      <c r="M430" t="n">
        <v>1.413648919617854</v>
      </c>
      <c r="N430" t="n">
        <v>0.2431441066419674</v>
      </c>
      <c r="O430" t="n">
        <v>81796.2276087536</v>
      </c>
      <c r="P430" t="n">
        <v>211928.0776833914</v>
      </c>
      <c r="Q430">
        <f>'_live'!$C$21</f>
        <v/>
      </c>
      <c r="R430" t="inlineStr">
        <is>
          <t>shuffled: 6,047 of 10,000</t>
        </is>
      </c>
      <c r="S430" t="inlineStr">
        <is>
          <t>shuffled: 1,737 of 10,000</t>
        </is>
      </c>
      <c r="T430" t="n">
        <v>0.07451186758360694</v>
      </c>
      <c r="U430" t="n">
        <v>0.05941953828381403</v>
      </c>
      <c r="V430">
        <f>AND(judged_band,NOT($J430))</f>
        <v/>
      </c>
      <c r="W430">
        <f>IF($K430="","",IF($I430,"too few losses to test",IF(AND($K430&gt;better_at,$K430&lt;worse_at),"in line",IF($K430&gt;=worse_at,IF(AND(ISNUMBER($L430),$L430&lt;significance_bar),"worse","worse, not significant"),IF(AND(ISNUMBER($L430),$L430&lt;significance_bar),"better","better, not significant")))))</f>
        <v/>
      </c>
      <c r="X430">
        <f>IF($M430="","",IF($I430,"too few losses to test",IF(AND($M430&gt;better_at,$M430&lt;worse_at),"in line",IF($M430&gt;=worse_at,IF(AND(ISNUMBER($N430),$N430&lt;significance_bar),"worse","worse, not significant"),IF(AND(ISNUMBER($N430),$N430&lt;significance_bar),"better","better, not significant")))))</f>
        <v/>
      </c>
      <c r="Y430">
        <f>IF($V430,$X430,$W430)</f>
        <v/>
      </c>
      <c r="Z430">
        <f>IF($V430,IF($P430="","",$P430),IF($O430="","",$O430))</f>
        <v/>
      </c>
      <c r="AA430">
        <f>IF(OR($Q430="",$Z430=""),"",IF(AND($Z430&gt;0,$Z430&gt;=$Q430),"yes","below the line"))</f>
        <v/>
      </c>
      <c r="AB430">
        <f>IF($V430,IF($M430="","",$M430),IF($K430="","",$K430))</f>
        <v/>
      </c>
      <c r="AC430">
        <f>IF($V430,IF($N430="","",$N430),IF($L430="","",$L430))</f>
        <v/>
      </c>
      <c r="AD430">
        <f>$Y430</f>
        <v/>
      </c>
      <c r="AE430">
        <f>IF($V430,IF($S430="","",$S430),IF($R430="","",$R430))</f>
        <v/>
      </c>
      <c r="AF430">
        <f>IF($V430,IF($U430="","",$U430),IF($T430="","",$T430))</f>
        <v/>
      </c>
      <c r="AG430">
        <f>IF($V430,IF($O430="","",$O430),IF($P430="","",$P430))</f>
        <v/>
      </c>
      <c r="AH430" t="n">
        <v>0.0839983660991054</v>
      </c>
      <c r="AI430">
        <f>IF($Y430="worse","Yes",IF($Y430="worse, not significant","Not sure",IF(OR($Y430="too few losses to test",$Y430="too few loans to test"),"Too few losses",IF($Y430="","","No"))))</f>
        <v/>
      </c>
      <c r="AJ430">
        <f>IF($AA430="yes","Yes",IF($AA430="","","No"))</f>
        <v/>
      </c>
      <c r="AK430" t="n">
        <v>0.005084628301348386</v>
      </c>
      <c r="AL430" t="n">
        <v>0.005230721343729232</v>
      </c>
      <c r="AM430">
        <f>IF(AND(ISNUMBER($AC430),ISNUMBER(IF($V430,IF($AL430="","",$AL430),IF($AK430="","",$AK430)))),IF(AND(ABS($AC430-significance_bar)&lt;=2.0*IF($V430,IF($AL430="","",$AL430),IF($AK430="","",$AK430)),OR($Y430="worse",$Y430="better",$Y430="worse, not significant",$Y430="better, not significant")),IF(ROUND($AC430,3)=ROUND(significance_bar,3),TEXT($AC430,"0.0000"),TEXT($AC430,"0.000")),""),"")</f>
        <v/>
      </c>
      <c r="AN430">
        <f>IF(AND(ISNUMBER($AC430),ISNUMBER(IF($V430,IF($AL430="","",$AL430),IF($AK430="","",$AK430)))),IF(AND(ABS($AC430-significance_bar)&lt;=2.0*IF($V430,IF($AL430="","",$AL430),IF($AK430="","",$AK430)),OR($Y430="worse",$Y430="worse, not significant")),IF(ROUND($AC430,3)=ROUND(significance_bar,3),TEXT($AC430,"0.0000"),TEXT($AC430,"0.000")),""),"")</f>
        <v/>
      </c>
      <c r="AO430">
        <f>IF(OR($AI430="",$AN430=""),$AI430,$AI430&amp;" · borderline (p "&amp;$AN430&amp;")")</f>
        <v/>
      </c>
    </row>
    <row r="431">
      <c r="A431" t="inlineStr">
        <is>
          <t>three-way</t>
        </is>
      </c>
      <c r="B431" t="inlineStr">
        <is>
          <t>SHORT_HIST x CHANNEL / REV_DEBT</t>
        </is>
      </c>
      <c r="C431" t="inlineStr">
        <is>
          <t>172.0 - 256.3</t>
        </is>
      </c>
      <c r="D431" t="inlineStr">
        <is>
          <t>Online / REV_DEBT high half</t>
        </is>
      </c>
      <c r="E431" t="inlineStr">
        <is>
          <t>gco_rate</t>
        </is>
      </c>
      <c r="F431" t="inlineStr">
        <is>
          <t>GCO per booked dollar</t>
        </is>
      </c>
      <c r="G431" t="n">
        <v>258</v>
      </c>
      <c r="H431" t="n">
        <v>8622383.43</v>
      </c>
      <c r="I431" t="b">
        <v>0</v>
      </c>
      <c r="J431" t="b">
        <v>0</v>
      </c>
      <c r="K431" t="n">
        <v>1.056210366552966</v>
      </c>
      <c r="L431" t="n">
        <v>0.8217178282171782</v>
      </c>
      <c r="M431" t="n">
        <v>1.305283129213163</v>
      </c>
      <c r="N431" t="n">
        <v>0.4086543726579722</v>
      </c>
      <c r="O431" t="n">
        <v>20126.90769479045</v>
      </c>
      <c r="P431" t="n">
        <v>88452.30261170131</v>
      </c>
      <c r="Q431">
        <f>'_live'!$C$22</f>
        <v/>
      </c>
      <c r="R431" t="inlineStr">
        <is>
          <t>shuffled: 8,217 of 10,000</t>
        </is>
      </c>
      <c r="S431" t="inlineStr">
        <is>
          <t>shuffled: 3,300 of 10,000</t>
        </is>
      </c>
      <c r="T431" t="n">
        <v>0.04152726275885524</v>
      </c>
      <c r="U431" t="n">
        <v>0.03360307387632595</v>
      </c>
      <c r="V431">
        <f>AND(judged_band,NOT($J431))</f>
        <v/>
      </c>
      <c r="W431">
        <f>IF($K431="","",IF($I431,"too few losses to test",IF(AND($K431&gt;better_at,$K431&lt;worse_at),"in line",IF($K431&gt;=worse_at,IF(AND(ISNUMBER($L431),$L431&lt;significance_bar),"worse","worse, not significant"),IF(AND(ISNUMBER($L431),$L431&lt;significance_bar),"better","better, not significant")))))</f>
        <v/>
      </c>
      <c r="X431">
        <f>IF($M431="","",IF($I431,"too few losses to test",IF(AND($M431&gt;better_at,$M431&lt;worse_at),"in line",IF($M431&gt;=worse_at,IF(AND(ISNUMBER($N431),$N431&lt;significance_bar),"worse","worse, not significant"),IF(AND(ISNUMBER($N431),$N431&lt;significance_bar),"better","better, not significant")))))</f>
        <v/>
      </c>
      <c r="Y431">
        <f>IF($V431,$X431,$W431)</f>
        <v/>
      </c>
      <c r="Z431">
        <f>IF($V431,IF($P431="","",$P431),IF($O431="","",$O431))</f>
        <v/>
      </c>
      <c r="AA431">
        <f>IF(OR($Q431="",$Z431=""),"",IF(AND($Z431&gt;0,$Z431&gt;=$Q431),"yes","below the line"))</f>
        <v/>
      </c>
      <c r="AB431">
        <f>IF($V431,IF($M431="","",$M431),IF($K431="","",$K431))</f>
        <v/>
      </c>
      <c r="AC431">
        <f>IF($V431,IF($N431="","",$N431),IF($L431="","",$L431))</f>
        <v/>
      </c>
      <c r="AD431">
        <f>$Y431</f>
        <v/>
      </c>
      <c r="AE431">
        <f>IF($V431,IF($S431="","",$S431),IF($R431="","",$R431))</f>
        <v/>
      </c>
      <c r="AF431">
        <f>IF($V431,IF($U431="","",$U431),IF($T431="","",$T431))</f>
        <v/>
      </c>
      <c r="AG431">
        <f>IF($V431,IF($O431="","",$O431),IF($P431="","",$P431))</f>
        <v/>
      </c>
      <c r="AH431" t="n">
        <v>0.04386152542047182</v>
      </c>
      <c r="AI431">
        <f>IF($Y431="worse","Yes",IF($Y431="worse, not significant","Not sure",IF(OR($Y431="too few losses to test",$Y431="too few loans to test"),"Too few losses",IF($Y431="","","No"))))</f>
        <v/>
      </c>
      <c r="AJ431">
        <f>IF($AA431="yes","Yes",IF($AA431="","","No"))</f>
        <v/>
      </c>
      <c r="AK431" t="n">
        <v>0.003827500999441047</v>
      </c>
      <c r="AL431" t="n">
        <v>0.005821981076250175</v>
      </c>
      <c r="AM431">
        <f>IF(AND(ISNUMBER($AC431),ISNUMBER(IF($V431,IF($AL431="","",$AL431),IF($AK431="","",$AK431)))),IF(AND(ABS($AC431-significance_bar)&lt;=2.0*IF($V431,IF($AL431="","",$AL431),IF($AK431="","",$AK431)),OR($Y431="worse",$Y431="better",$Y431="worse, not significant",$Y431="better, not significant")),IF(ROUND($AC431,3)=ROUND(significance_bar,3),TEXT($AC431,"0.0000"),TEXT($AC431,"0.000")),""),"")</f>
        <v/>
      </c>
      <c r="AN431">
        <f>IF(AND(ISNUMBER($AC431),ISNUMBER(IF($V431,IF($AL431="","",$AL431),IF($AK431="","",$AK431)))),IF(AND(ABS($AC431-significance_bar)&lt;=2.0*IF($V431,IF($AL431="","",$AL431),IF($AK431="","",$AK431)),OR($Y431="worse",$Y431="worse, not significant")),IF(ROUND($AC431,3)=ROUND(significance_bar,3),TEXT($AC431,"0.0000"),TEXT($AC431,"0.000")),""),"")</f>
        <v/>
      </c>
      <c r="AO431">
        <f>IF(OR($AI431="",$AN431=""),$AI431,$AI431&amp;" · borderline (p "&amp;$AN431&amp;")")</f>
        <v/>
      </c>
    </row>
    <row r="432">
      <c r="A432" t="inlineStr">
        <is>
          <t>three-way</t>
        </is>
      </c>
      <c r="B432" t="inlineStr">
        <is>
          <t>SHORT_HIST x CHANNEL / REV_DEBT</t>
        </is>
      </c>
      <c r="C432" t="inlineStr">
        <is>
          <t>172.0 - 256.3</t>
        </is>
      </c>
      <c r="D432" t="inlineStr">
        <is>
          <t>Online / REV_DEBT high half</t>
        </is>
      </c>
      <c r="E432" t="inlineStr">
        <is>
          <t>ranr_rate</t>
        </is>
      </c>
      <c r="F432" t="inlineStr">
        <is>
          <t>Profit after losses: RANR per booked dollar</t>
        </is>
      </c>
      <c r="G432" t="n">
        <v>258</v>
      </c>
      <c r="H432" t="n">
        <v>8622383.43</v>
      </c>
      <c r="I432" t="b">
        <v>0</v>
      </c>
      <c r="J432" t="b">
        <v>0</v>
      </c>
      <c r="K432" t="n">
        <v>0.0348703587442078</v>
      </c>
      <c r="L432" t="n">
        <v>0.06839316068393161</v>
      </c>
      <c r="M432" t="n">
        <v>0.03541876627749946</v>
      </c>
      <c r="N432" t="n">
        <v>0.05471452854714529</v>
      </c>
      <c r="O432" t="n">
        <v>-300665.603434213</v>
      </c>
      <c r="P432" t="n">
        <v>-305394.1834621541</v>
      </c>
      <c r="Q432">
        <f>'_live'!$C$23</f>
        <v/>
      </c>
      <c r="R432" t="inlineStr">
        <is>
          <t>shuffled: 71 of 10,000</t>
        </is>
      </c>
      <c r="S432" t="inlineStr">
        <is>
          <t>shuffled: 53 of 10,000</t>
        </is>
      </c>
      <c r="T432" t="n">
        <v>0.1268249881768233</v>
      </c>
      <c r="U432" t="n">
        <v>0.1262765806435316</v>
      </c>
      <c r="V432">
        <f>AND(judged_band,NOT($J432))</f>
        <v/>
      </c>
      <c r="W432">
        <f>IF($K432="","",IF(profit_kind="test",IF(OR(NOT(AND(ISNUMBER($L432),$L432&lt;significance_bar)),$K432=0),"in line",IF($K432&lt;0,"worse","better")),IF(OR($K432=0,IF(profit_kind="points",ABS($K432),ABS($K432*$H432))&lt;profit_line*(1-1E-9)),"in line",IF(AND(ISNUMBER($L432),$L432&lt;significance_bar),IF($K432&lt;0,"worse","better"),IF($K432&lt;0,"worse, not significant","better, not significant")))))</f>
        <v/>
      </c>
      <c r="X432">
        <f>IF($M432="","",IF(profit_kind="test",IF(OR(NOT(AND(ISNUMBER($N432),$N432&lt;significance_bar)),$M432=0),"in line",IF($M432&lt;0,"worse","better")),IF(OR($M432=0,IF(profit_kind="points",ABS($M432),ABS($M432*$H432))&lt;profit_line*(1-1E-9)),"in line",IF(AND(ISNUMBER($N432),$N432&lt;significance_bar),IF($M432&lt;0,"worse","better"),IF($M432&lt;0,"worse, not significant","better, not significant")))))</f>
        <v/>
      </c>
      <c r="Y432">
        <f>IF($V432,$X432,$W432)</f>
        <v/>
      </c>
      <c r="Z432">
        <f>IF($V432,IF($P432="","",$P432),IF($O432="","",$O432))</f>
        <v/>
      </c>
      <c r="AA432">
        <f>IF(OR($Q432="",$Z432=""),"",IF(AND($Z432&gt;0,$Z432&gt;=$Q432),"yes","below the line"))</f>
        <v/>
      </c>
      <c r="AB432">
        <f>IF($V432,IF($M432="","",$M432),IF($K432="","",$K432))</f>
        <v/>
      </c>
      <c r="AC432">
        <f>IF($V432,IF($N432="","",$N432),IF($L432="","",$L432))</f>
        <v/>
      </c>
      <c r="AD432">
        <f>IF($Y432="","",IF($Y432="in line",IF(profit_kind="test",IF(ROUND($AB432*100,2)=0,"0.00",TEXT($AB432*100,"+0.00;-0.00"))&amp;" points against "&amp;IF($V432,"its band","the book")&amp;", "&amp;IF($AC432="","not tested","not significant"),IF(profit_kind="points","within "&amp;TEXT(profit_line*100,"0.00")&amp;" points of "&amp;IF($V432,"its band","the book")&amp;" ("&amp;IF(ROUND($AB432*100,2)=0,"0.00",TEXT($AB432*100,"+0.00;-0.00"))&amp;")","within $"&amp;TEXT(profit_line,"#,##0")&amp;" of "&amp;IF($V432,"its band","the book")&amp;" ("&amp;IF(ROUND($AB432*100,2)=0,"0.00",TEXT($AB432*100,"+0.00;-0.00"))&amp;" points)")),IF(LEFT($Y432,5)="worse","short of ","ahead of ")&amp;IF($V432,"its band","the book")&amp;" by "&amp;TEXT(ABS($AB432)*100,"0.00")&amp;" points"&amp;IF($Z432="",""," ($"&amp;TEXT(ABS($Z432),"#,##0")&amp;")")&amp;IF(RIGHT($Y432,15)="not significant"," (not significant)","")))</f>
        <v/>
      </c>
      <c r="AE432">
        <f>IF($V432,IF($S432="","",$S432),IF($R432="","",$R432))</f>
        <v/>
      </c>
      <c r="AF432">
        <f>IF($V432,IF($U432="","",$U432),IF($T432="","",$T432))</f>
        <v/>
      </c>
      <c r="AG432">
        <f>IF($V432,IF($O432="","",$O432),IF($P432="","",$P432))</f>
        <v/>
      </c>
      <c r="AH432" t="n">
        <v>0.1616953469210311</v>
      </c>
      <c r="AI432">
        <f>IF($Y432="worse","Yes",IF($Y432="worse, not significant","Not sure",IF(OR($Y432="too few losses to test",$Y432="too few loans to test"),"Too few losses",IF($Y432="","","No"))))</f>
        <v/>
      </c>
      <c r="AJ432">
        <f>IF($AA432="yes","Yes",IF($AA432="","","No"))</f>
        <v/>
      </c>
      <c r="AK432" t="n">
        <v>0.007815758579479321</v>
      </c>
      <c r="AL432" t="n">
        <v>0.006252606863583457</v>
      </c>
      <c r="AM432">
        <f>IF(AND(ISNUMBER($AC432),ISNUMBER(IF($V432,IF($AL432="","",$AL432),IF($AK432="","",$AK432)))),IF(AND(ABS($AC432-significance_bar)&lt;=2.0*IF($V432,IF($AL432="","",$AL432),IF($AK432="","",$AK432)),OR($Y432="worse",$Y432="better",$Y432="worse, not significant",$Y432="better, not significant",AND(profit_kind="test",$Y432="in line",ISNUMBER($AB432),$AB432&lt;&gt;0))),IF(ROUND($AC432,3)=ROUND(significance_bar,3),TEXT($AC432,"0.0000"),TEXT($AC432,"0.000")),""),"")</f>
        <v/>
      </c>
      <c r="AN432">
        <f>IF(AND(ISNUMBER($AC432),ISNUMBER(IF($V432,IF($AL432="","",$AL432),IF($AK432="","",$AK432)))),IF(AND(ABS($AC432-significance_bar)&lt;=2.0*IF($V432,IF($AL432="","",$AL432),IF($AK432="","",$AK432)),OR($Y432="worse",$Y432="worse, not significant",AND(profit_kind="test",$Y432="in line",ISNUMBER($AB432),$AB432&lt;0))),IF(ROUND($AC432,3)=ROUND(significance_bar,3),TEXT($AC432,"0.0000"),TEXT($AC432,"0.000")),""),"")</f>
        <v/>
      </c>
      <c r="AO432">
        <f>IF(OR($AI432="",$AN432=""),$AI432,$AI432&amp;" · borderline (p "&amp;$AN432&amp;")")</f>
        <v/>
      </c>
    </row>
    <row r="433">
      <c r="A433" t="inlineStr">
        <is>
          <t>three-way</t>
        </is>
      </c>
      <c r="B433" t="inlineStr">
        <is>
          <t>SHORT_HIST x CHANNEL / REV_DEBT</t>
        </is>
      </c>
      <c r="C433" t="inlineStr">
        <is>
          <t>172.0 - 256.3</t>
        </is>
      </c>
      <c r="D433" t="inlineStr">
        <is>
          <t>Online / REV_DEBT high half</t>
        </is>
      </c>
      <c r="E433" t="inlineStr">
        <is>
          <t>contribution_rate</t>
        </is>
      </c>
      <c r="F433" t="inlineStr">
        <is>
          <t>Contribution before losses per booked dollar</t>
        </is>
      </c>
      <c r="G433" t="n">
        <v>258</v>
      </c>
      <c r="H433" t="n">
        <v>8622383.43</v>
      </c>
      <c r="I433" t="b">
        <v>0</v>
      </c>
      <c r="J433" t="b">
        <v>0</v>
      </c>
      <c r="K433" t="n">
        <v>0.03720776488050306</v>
      </c>
      <c r="L433" t="n">
        <v>0.00023997600239976</v>
      </c>
      <c r="M433" t="n">
        <v>0.04567721782164527</v>
      </c>
      <c r="N433" t="n">
        <v>0.00023997600239976</v>
      </c>
      <c r="O433" t="n">
        <v>-320819.6153729856</v>
      </c>
      <c r="P433" t="n">
        <v>-393846.4860738548</v>
      </c>
      <c r="Q433">
        <f>'_live'!$C$24</f>
        <v/>
      </c>
      <c r="R433" t="inlineStr">
        <is>
          <t>shuffled: 0 of 10,000</t>
        </is>
      </c>
      <c r="S433" t="inlineStr">
        <is>
          <t>shuffled: 0 of 10,000</t>
        </is>
      </c>
      <c r="T433" t="n">
        <v>0.1683491074609998</v>
      </c>
      <c r="U433" t="n">
        <v>0.1598796545198576</v>
      </c>
      <c r="V433">
        <f>AND(judged_band,NOT($J433))</f>
        <v/>
      </c>
      <c r="W433">
        <f>IF($K433="","",IF(profit_kind="test",IF(OR(NOT(AND(ISNUMBER($L433),$L433&lt;significance_bar)),$K433=0),"in line",IF($K433&lt;0,"worse","better")),IF(OR($K433=0,IF(profit_kind="points",ABS($K433),ABS($K433*$H433))&lt;profit_line*(1-1E-9)),"in line",IF(AND(ISNUMBER($L433),$L433&lt;significance_bar),IF($K433&lt;0,"worse","better"),IF($K433&lt;0,"worse, not significant","better, not significant")))))</f>
        <v/>
      </c>
      <c r="X433">
        <f>IF($M433="","",IF(profit_kind="test",IF(OR(NOT(AND(ISNUMBER($N433),$N433&lt;significance_bar)),$M433=0),"in line",IF($M433&lt;0,"worse","better")),IF(OR($M433=0,IF(profit_kind="points",ABS($M433),ABS($M433*$H433))&lt;profit_line*(1-1E-9)),"in line",IF(AND(ISNUMBER($N433),$N433&lt;significance_bar),IF($M433&lt;0,"worse","better"),IF($M433&lt;0,"worse, not significant","better, not significant")))))</f>
        <v/>
      </c>
      <c r="Y433">
        <f>IF($V433,$X433,$W433)</f>
        <v/>
      </c>
      <c r="Z433">
        <f>IF($V433,IF($P433="","",$P433),IF($O433="","",$O433))</f>
        <v/>
      </c>
      <c r="AA433">
        <f>IF(OR($Q433="",$Z433=""),"",IF(AND($Z433&gt;0,$Z433&gt;=$Q433),"yes","below the line"))</f>
        <v/>
      </c>
      <c r="AB433">
        <f>IF($V433,IF($M433="","",$M433),IF($K433="","",$K433))</f>
        <v/>
      </c>
      <c r="AC433">
        <f>IF($V433,IF($N433="","",$N433),IF($L433="","",$L433))</f>
        <v/>
      </c>
      <c r="AD433">
        <f>IF($Y433="","",IF($Y433="in line",IF(profit_kind="test",IF(ROUND($AB433*100,2)=0,"0.00",TEXT($AB433*100,"+0.00;-0.00"))&amp;" points against "&amp;IF($V433,"its band","the book")&amp;", "&amp;IF($AC433="","not tested","not significant"),IF(profit_kind="points","within "&amp;TEXT(profit_line*100,"0.00")&amp;" points of "&amp;IF($V433,"its band","the book")&amp;" ("&amp;IF(ROUND($AB433*100,2)=0,"0.00",TEXT($AB433*100,"+0.00;-0.00"))&amp;")","within $"&amp;TEXT(profit_line,"#,##0")&amp;" of "&amp;IF($V433,"its band","the book")&amp;" ("&amp;IF(ROUND($AB433*100,2)=0,"0.00",TEXT($AB433*100,"+0.00;-0.00"))&amp;" points)")),IF(LEFT($Y433,5)="worse","short of ","ahead of ")&amp;IF($V433,"its band","the book")&amp;" by "&amp;TEXT(ABS($AB433)*100,"0.00")&amp;" points"&amp;IF($Z433="",""," ($"&amp;TEXT(ABS($Z433),"#,##0")&amp;")")&amp;IF(RIGHT($Y433,15)="not significant"," (not significant)","")))</f>
        <v/>
      </c>
      <c r="AE433">
        <f>IF($V433,IF($S433="","",$S433),IF($R433="","",$R433))</f>
        <v/>
      </c>
      <c r="AF433">
        <f>IF($V433,IF($U433="","",$U433),IF($T433="","",$T433))</f>
        <v/>
      </c>
      <c r="AG433">
        <f>IF($V433,IF($O433="","",$O433),IF($P433="","",$P433))</f>
        <v/>
      </c>
      <c r="AH433" t="n">
        <v>0.2055568723415029</v>
      </c>
      <c r="AI433">
        <f>IF($Y433="worse","Yes",IF($Y433="worse, not significant","Not sure",IF(OR($Y433="too few losses to test",$Y433="too few loans to test"),"Too few losses",IF($Y433="","","No"))))</f>
        <v/>
      </c>
      <c r="AJ433">
        <f>IF($AA433="yes","Yes",IF($AA433="","","No"))</f>
        <v/>
      </c>
      <c r="AK433" t="n">
        <v>0.00023997600239976</v>
      </c>
      <c r="AL433" t="n">
        <v>0.00023997600239976</v>
      </c>
      <c r="AM433">
        <f>IF(AND(ISNUMBER($AC433),ISNUMBER(IF($V433,IF($AL433="","",$AL433),IF($AK433="","",$AK433)))),IF(AND(ABS($AC433-significance_bar)&lt;=2.0*IF($V433,IF($AL433="","",$AL433),IF($AK433="","",$AK433)),OR($Y433="worse",$Y433="better",$Y433="worse, not significant",$Y433="better, not significant",AND(profit_kind="test",$Y433="in line",ISNUMBER($AB433),$AB433&lt;&gt;0))),IF(ROUND($AC433,3)=ROUND(significance_bar,3),TEXT($AC433,"0.0000"),TEXT($AC433,"0.000")),""),"")</f>
        <v/>
      </c>
      <c r="AN433">
        <f>IF(AND(ISNUMBER($AC433),ISNUMBER(IF($V433,IF($AL433="","",$AL433),IF($AK433="","",$AK433)))),IF(AND(ABS($AC433-significance_bar)&lt;=2.0*IF($V433,IF($AL433="","",$AL433),IF($AK433="","",$AK433)),OR($Y433="worse",$Y433="worse, not significant",AND(profit_kind="test",$Y433="in line",ISNUMBER($AB433),$AB433&lt;0))),IF(ROUND($AC433,3)=ROUND(significance_bar,3),TEXT($AC433,"0.0000"),TEXT($AC433,"0.000")),""),"")</f>
        <v/>
      </c>
      <c r="AO433">
        <f>IF(OR($AI433="",$AN433=""),$AI433,$AI433&amp;" · borderline (p "&amp;$AN433&amp;")")</f>
        <v/>
      </c>
    </row>
    <row r="434">
      <c r="A434" t="inlineStr">
        <is>
          <t>three-way</t>
        </is>
      </c>
      <c r="B434" t="inlineStr">
        <is>
          <t>SHORT_HIST x CHANNEL / REV_DEBT</t>
        </is>
      </c>
      <c r="C434" t="inlineStr">
        <is>
          <t>89.0 - 171.9</t>
        </is>
      </c>
      <c r="D434" t="inlineStr">
        <is>
          <t>Branch / REV_DEBT high half</t>
        </is>
      </c>
      <c r="E434" t="inlineStr">
        <is>
          <t>outcome_loans</t>
        </is>
      </c>
      <c r="F434" t="inlineStr">
        <is>
          <t>Outcome, share of loans</t>
        </is>
      </c>
      <c r="G434" t="n">
        <v>245</v>
      </c>
      <c r="H434" t="n">
        <v>245</v>
      </c>
      <c r="I434" t="b">
        <v>0</v>
      </c>
      <c r="J434" t="b">
        <v>0</v>
      </c>
      <c r="K434" t="n">
        <v>1.332027760599189</v>
      </c>
      <c r="L434" t="n">
        <v>0.2177583398798231</v>
      </c>
      <c r="M434" t="n">
        <v>1.287284144427002</v>
      </c>
      <c r="N434" t="n">
        <v>0.2780016939502524</v>
      </c>
      <c r="O434" t="n">
        <v>6.231622388444674</v>
      </c>
      <c r="P434" t="n">
        <v>5.579268292682926</v>
      </c>
      <c r="Q434">
        <f>'_live'!$C$20</f>
        <v/>
      </c>
      <c r="R434" t="inlineStr">
        <is>
          <t>z test</t>
        </is>
      </c>
      <c r="S434" t="inlineStr">
        <is>
          <t>z test</t>
        </is>
      </c>
      <c r="T434" t="n">
        <v>0.07660562290430746</v>
      </c>
      <c r="U434" t="n">
        <v>0.07926829268292683</v>
      </c>
      <c r="V434">
        <f>AND(judged_band,NOT($J434))</f>
        <v/>
      </c>
      <c r="W434">
        <f>IF($K434="","",IF($I434,"too few losses to test",IF(AND($K434&gt;better_at,$K434&lt;worse_at),"in line",IF($K434&gt;=worse_at,IF(AND(ISNUMBER($L434),$L434&lt;significance_bar),"worse","worse, not significant"),IF(AND(ISNUMBER($L434),$L434&lt;significance_bar),"better","better, not significant")))))</f>
        <v/>
      </c>
      <c r="X434">
        <f>IF($M434="","",IF($I434,"too few losses to test",IF(AND($M434&gt;better_at,$M434&lt;worse_at),"in line",IF($M434&gt;=worse_at,IF(AND(ISNUMBER($N434),$N434&lt;significance_bar),"worse","worse, not significant"),IF(AND(ISNUMBER($N434),$N434&lt;significance_bar),"better","better, not significant")))))</f>
        <v/>
      </c>
      <c r="Y434">
        <f>IF($V434,$X434,$W434)</f>
        <v/>
      </c>
      <c r="Z434">
        <f>IF($V434,IF($P434="","",$P434),IF($O434="","",$O434))</f>
        <v/>
      </c>
      <c r="AA434">
        <f>IF(OR($Q434="",$Z434=""),"",IF(AND($Z434&gt;0,$Z434&gt;=$Q434),"yes","below the line"))</f>
        <v/>
      </c>
      <c r="AB434">
        <f>IF($V434,IF($M434="","",$M434),IF($K434="","",$K434))</f>
        <v/>
      </c>
      <c r="AC434">
        <f>IF($V434,IF($N434="","",$N434),IF($L434="","",$L434))</f>
        <v/>
      </c>
      <c r="AD434">
        <f>$Y434</f>
        <v/>
      </c>
      <c r="AE434">
        <f>IF($V434,IF($S434="","",$S434),IF($R434="","",$R434))</f>
        <v/>
      </c>
      <c r="AF434">
        <f>IF($V434,IF($U434="","",$U434),IF($T434="","",$T434))</f>
        <v/>
      </c>
      <c r="AG434">
        <f>IF($V434,IF($O434="","",$O434),IF($P434="","",$P434))</f>
        <v/>
      </c>
      <c r="AH434" t="n">
        <v>0.1020408163265306</v>
      </c>
      <c r="AI434">
        <f>IF($Y434="worse","Yes",IF($Y434="worse, not significant","Not sure",IF(OR($Y434="too few losses to test",$Y434="too few loans to test"),"Too few losses",IF($Y434="","","No"))))</f>
        <v/>
      </c>
      <c r="AJ434">
        <f>IF($AA434="yes","Yes",IF($AA434="","","No"))</f>
        <v/>
      </c>
      <c r="AM434">
        <f>IF(AND(ISNUMBER($AC434),ISNUMBER(IF($V434,IF($AL434="","",$AL434),IF($AK434="","",$AK434)))),IF(AND(ABS($AC434-significance_bar)&lt;=2.0*IF($V434,IF($AL434="","",$AL434),IF($AK434="","",$AK434)),OR($Y434="worse",$Y434="better",$Y434="worse, not significant",$Y434="better, not significant")),IF(ROUND($AC434,3)=ROUND(significance_bar,3),TEXT($AC434,"0.0000"),TEXT($AC434,"0.000")),""),"")</f>
        <v/>
      </c>
      <c r="AN434">
        <f>IF(AND(ISNUMBER($AC434),ISNUMBER(IF($V434,IF($AL434="","",$AL434),IF($AK434="","",$AK434)))),IF(AND(ABS($AC434-significance_bar)&lt;=2.0*IF($V434,IF($AL434="","",$AL434),IF($AK434="","",$AK434)),OR($Y434="worse",$Y434="worse, not significant")),IF(ROUND($AC434,3)=ROUND(significance_bar,3),TEXT($AC434,"0.0000"),TEXT($AC434,"0.000")),""),"")</f>
        <v/>
      </c>
      <c r="AO434">
        <f>IF(OR($AI434="",$AN434=""),$AI434,$AI434&amp;" · borderline (p "&amp;$AN434&amp;")")</f>
        <v/>
      </c>
    </row>
    <row r="435">
      <c r="A435" t="inlineStr">
        <is>
          <t>three-way</t>
        </is>
      </c>
      <c r="B435" t="inlineStr">
        <is>
          <t>SHORT_HIST x CHANNEL / REV_DEBT</t>
        </is>
      </c>
      <c r="C435" t="inlineStr">
        <is>
          <t>89.0 - 171.9</t>
        </is>
      </c>
      <c r="D435" t="inlineStr">
        <is>
          <t>Branch / REV_DEBT high half</t>
        </is>
      </c>
      <c r="E435" t="inlineStr">
        <is>
          <t>outcome_booked</t>
        </is>
      </c>
      <c r="F435" t="inlineStr">
        <is>
          <t>Outcome, share of booked dollars</t>
        </is>
      </c>
      <c r="G435" t="n">
        <v>245</v>
      </c>
      <c r="H435" t="n">
        <v>7615012.440000001</v>
      </c>
      <c r="I435" t="b">
        <v>0</v>
      </c>
      <c r="J435" t="b">
        <v>0</v>
      </c>
      <c r="K435" t="n">
        <v>1.49947559125122</v>
      </c>
      <c r="L435" t="n">
        <v>0.1262055612620556</v>
      </c>
      <c r="M435" t="n">
        <v>1.440332944537492</v>
      </c>
      <c r="N435" t="n">
        <v>0.1920341299203413</v>
      </c>
      <c r="O435" t="n">
        <v>280478.1738190682</v>
      </c>
      <c r="P435" t="n">
        <v>257420.1192330327</v>
      </c>
      <c r="Q435">
        <f>'_live'!$C$21</f>
        <v/>
      </c>
      <c r="R435" t="inlineStr">
        <is>
          <t>shuffled: 485 of 10,000</t>
        </is>
      </c>
      <c r="S435" t="inlineStr">
        <is>
          <t>shuffled: 1,107 of 10,000</t>
        </is>
      </c>
      <c r="T435" t="n">
        <v>0.0737418764060393</v>
      </c>
      <c r="U435" t="n">
        <v>0.07676984973736528</v>
      </c>
      <c r="V435">
        <f>AND(judged_band,NOT($J435))</f>
        <v/>
      </c>
      <c r="W435">
        <f>IF($K435="","",IF($I435,"too few losses to test",IF(AND($K435&gt;better_at,$K435&lt;worse_at),"in line",IF($K435&gt;=worse_at,IF(AND(ISNUMBER($L435),$L435&lt;significance_bar),"worse","worse, not significant"),IF(AND(ISNUMBER($L435),$L435&lt;significance_bar),"better","better, not significant")))))</f>
        <v/>
      </c>
      <c r="X435">
        <f>IF($M435="","",IF($I435,"too few losses to test",IF(AND($M435&gt;better_at,$M435&lt;worse_at),"in line",IF($M435&gt;=worse_at,IF(AND(ISNUMBER($N435),$N435&lt;significance_bar),"worse","worse, not significant"),IF(AND(ISNUMBER($N435),$N435&lt;significance_bar),"better","better, not significant")))))</f>
        <v/>
      </c>
      <c r="Y435">
        <f>IF($V435,$X435,$W435)</f>
        <v/>
      </c>
      <c r="Z435">
        <f>IF($V435,IF($P435="","",$P435),IF($O435="","",$O435))</f>
        <v/>
      </c>
      <c r="AA435">
        <f>IF(OR($Q435="",$Z435=""),"",IF(AND($Z435&gt;0,$Z435&gt;=$Q435),"yes","below the line"))</f>
        <v/>
      </c>
      <c r="AB435">
        <f>IF($V435,IF($M435="","",$M435),IF($K435="","",$K435))</f>
        <v/>
      </c>
      <c r="AC435">
        <f>IF($V435,IF($N435="","",$N435),IF($L435="","",$L435))</f>
        <v/>
      </c>
      <c r="AD435">
        <f>$Y435</f>
        <v/>
      </c>
      <c r="AE435">
        <f>IF($V435,IF($S435="","",$S435),IF($R435="","",$R435))</f>
        <v/>
      </c>
      <c r="AF435">
        <f>IF($V435,IF($U435="","",$U435),IF($T435="","",$T435))</f>
        <v/>
      </c>
      <c r="AG435">
        <f>IF($V435,IF($O435="","",$O435),IF($P435="","",$P435))</f>
        <v/>
      </c>
      <c r="AH435" t="n">
        <v>0.1105741437239202</v>
      </c>
      <c r="AI435">
        <f>IF($Y435="worse","Yes",IF($Y435="worse, not significant","Not sure",IF(OR($Y435="too few losses to test",$Y435="too few loans to test"),"Too few losses",IF($Y435="","","No"))))</f>
        <v/>
      </c>
      <c r="AJ435">
        <f>IF($AA435="yes","Yes",IF($AA435="","","No"))</f>
        <v/>
      </c>
      <c r="AK435" t="n">
        <v>0.005313908262274209</v>
      </c>
      <c r="AL435" t="n">
        <v>0.005440423250762104</v>
      </c>
      <c r="AM435">
        <f>IF(AND(ISNUMBER($AC435),ISNUMBER(IF($V435,IF($AL435="","",$AL435),IF($AK435="","",$AK435)))),IF(AND(ABS($AC435-significance_bar)&lt;=2.0*IF($V435,IF($AL435="","",$AL435),IF($AK435="","",$AK435)),OR($Y435="worse",$Y435="better",$Y435="worse, not significant",$Y435="better, not significant")),IF(ROUND($AC435,3)=ROUND(significance_bar,3),TEXT($AC435,"0.0000"),TEXT($AC435,"0.000")),""),"")</f>
        <v/>
      </c>
      <c r="AN435">
        <f>IF(AND(ISNUMBER($AC435),ISNUMBER(IF($V435,IF($AL435="","",$AL435),IF($AK435="","",$AK435)))),IF(AND(ABS($AC435-significance_bar)&lt;=2.0*IF($V435,IF($AL435="","",$AL435),IF($AK435="","",$AK435)),OR($Y435="worse",$Y435="worse, not significant")),IF(ROUND($AC435,3)=ROUND(significance_bar,3),TEXT($AC435,"0.0000"),TEXT($AC435,"0.000")),""),"")</f>
        <v/>
      </c>
      <c r="AO435">
        <f>IF(OR($AI435="",$AN435=""),$AI435,$AI435&amp;" · borderline (p "&amp;$AN435&amp;")")</f>
        <v/>
      </c>
    </row>
    <row r="436">
      <c r="A436" t="inlineStr">
        <is>
          <t>three-way</t>
        </is>
      </c>
      <c r="B436" t="inlineStr">
        <is>
          <t>SHORT_HIST x CHANNEL / REV_DEBT</t>
        </is>
      </c>
      <c r="C436" t="inlineStr">
        <is>
          <t>89.0 - 171.9</t>
        </is>
      </c>
      <c r="D436" t="inlineStr">
        <is>
          <t>Branch / REV_DEBT high half</t>
        </is>
      </c>
      <c r="E436" t="inlineStr">
        <is>
          <t>gco_rate</t>
        </is>
      </c>
      <c r="F436" t="inlineStr">
        <is>
          <t>GCO per booked dollar</t>
        </is>
      </c>
      <c r="G436" t="n">
        <v>245</v>
      </c>
      <c r="H436" t="n">
        <v>7615012.440000001</v>
      </c>
      <c r="I436" t="b">
        <v>0</v>
      </c>
      <c r="J436" t="b">
        <v>0</v>
      </c>
      <c r="K436" t="n">
        <v>1.510742453425284</v>
      </c>
      <c r="L436" t="n">
        <v>0.1250238612502386</v>
      </c>
      <c r="M436" t="n">
        <v>1.467840185058921</v>
      </c>
      <c r="N436" t="n">
        <v>0.2037796220377963</v>
      </c>
      <c r="O436" t="n">
        <v>159412.922878221</v>
      </c>
      <c r="P436" t="n">
        <v>150290.2301237341</v>
      </c>
      <c r="Q436">
        <f>'_live'!$C$22</f>
        <v/>
      </c>
      <c r="R436" t="inlineStr">
        <is>
          <t>shuffled: 509 of 10,000</t>
        </is>
      </c>
      <c r="S436" t="inlineStr">
        <is>
          <t>shuffled: 1,018 of 10,000</t>
        </is>
      </c>
      <c r="T436" t="n">
        <v>0.04098745466025516</v>
      </c>
      <c r="U436" t="n">
        <v>0.0421854425593382</v>
      </c>
      <c r="V436">
        <f>AND(judged_band,NOT($J436))</f>
        <v/>
      </c>
      <c r="W436">
        <f>IF($K436="","",IF($I436,"too few losses to test",IF(AND($K436&gt;better_at,$K436&lt;worse_at),"in line",IF($K436&gt;=worse_at,IF(AND(ISNUMBER($L436),$L436&lt;significance_bar),"worse","worse, not significant"),IF(AND(ISNUMBER($L436),$L436&lt;significance_bar),"better","better, not significant")))))</f>
        <v/>
      </c>
      <c r="X436">
        <f>IF($M436="","",IF($I436,"too few losses to test",IF(AND($M436&gt;better_at,$M436&lt;worse_at),"in line",IF($M436&gt;=worse_at,IF(AND(ISNUMBER($N436),$N436&lt;significance_bar),"worse","worse, not significant"),IF(AND(ISNUMBER($N436),$N436&lt;significance_bar),"better","better, not significant")))))</f>
        <v/>
      </c>
      <c r="Y436">
        <f>IF($V436,$X436,$W436)</f>
        <v/>
      </c>
      <c r="Z436">
        <f>IF($V436,IF($P436="","",$P436),IF($O436="","",$O436))</f>
        <v/>
      </c>
      <c r="AA436">
        <f>IF(OR($Q436="",$Z436=""),"",IF(AND($Z436&gt;0,$Z436&gt;=$Q436),"yes","below the line"))</f>
        <v/>
      </c>
      <c r="AB436">
        <f>IF($V436,IF($M436="","",$M436),IF($K436="","",$K436))</f>
        <v/>
      </c>
      <c r="AC436">
        <f>IF($V436,IF($N436="","",$N436),IF($L436="","",$L436))</f>
        <v/>
      </c>
      <c r="AD436">
        <f>$Y436</f>
        <v/>
      </c>
      <c r="AE436">
        <f>IF($V436,IF($S436="","",$S436),IF($R436="","",$R436))</f>
        <v/>
      </c>
      <c r="AF436">
        <f>IF($V436,IF($U436="","",$U436),IF($T436="","",$T436))</f>
        <v/>
      </c>
      <c r="AG436">
        <f>IF($V436,IF($O436="","",$O436),IF($P436="","",$P436))</f>
        <v/>
      </c>
      <c r="AH436" t="n">
        <v>0.06192148781309147</v>
      </c>
      <c r="AI436">
        <f>IF($Y436="worse","Yes",IF($Y436="worse, not significant","Not sure",IF(OR($Y436="too few losses to test",$Y436="too few loans to test"),"Too few losses",IF($Y436="","","No"))))</f>
        <v/>
      </c>
      <c r="AJ436">
        <f>IF($AA436="yes","Yes",IF($AA436="","","No"))</f>
        <v/>
      </c>
      <c r="AK436" t="n">
        <v>0.005290368407694992</v>
      </c>
      <c r="AL436" t="n">
        <v>0.006050067022089304</v>
      </c>
      <c r="AM436">
        <f>IF(AND(ISNUMBER($AC436),ISNUMBER(IF($V436,IF($AL436="","",$AL436),IF($AK436="","",$AK436)))),IF(AND(ABS($AC436-significance_bar)&lt;=2.0*IF($V436,IF($AL436="","",$AL436),IF($AK436="","",$AK436)),OR($Y436="worse",$Y436="better",$Y436="worse, not significant",$Y436="better, not significant")),IF(ROUND($AC436,3)=ROUND(significance_bar,3),TEXT($AC436,"0.0000"),TEXT($AC436,"0.000")),""),"")</f>
        <v/>
      </c>
      <c r="AN436">
        <f>IF(AND(ISNUMBER($AC436),ISNUMBER(IF($V436,IF($AL436="","",$AL436),IF($AK436="","",$AK436)))),IF(AND(ABS($AC436-significance_bar)&lt;=2.0*IF($V436,IF($AL436="","",$AL436),IF($AK436="","",$AK436)),OR($Y436="worse",$Y436="worse, not significant")),IF(ROUND($AC436,3)=ROUND(significance_bar,3),TEXT($AC436,"0.0000"),TEXT($AC436,"0.000")),""),"")</f>
        <v/>
      </c>
      <c r="AO436">
        <f>IF(OR($AI436="",$AN436=""),$AI436,$AI436&amp;" · borderline (p "&amp;$AN436&amp;")")</f>
        <v/>
      </c>
    </row>
    <row r="437">
      <c r="A437" t="inlineStr">
        <is>
          <t>three-way</t>
        </is>
      </c>
      <c r="B437" t="inlineStr">
        <is>
          <t>SHORT_HIST x CHANNEL / REV_DEBT</t>
        </is>
      </c>
      <c r="C437" t="inlineStr">
        <is>
          <t>89.0 - 171.9</t>
        </is>
      </c>
      <c r="D437" t="inlineStr">
        <is>
          <t>Branch / REV_DEBT high half</t>
        </is>
      </c>
      <c r="E437" t="inlineStr">
        <is>
          <t>ranr_rate</t>
        </is>
      </c>
      <c r="F437" t="inlineStr">
        <is>
          <t>Profit after losses: RANR per booked dollar</t>
        </is>
      </c>
      <c r="G437" t="n">
        <v>245</v>
      </c>
      <c r="H437" t="n">
        <v>7615012.440000001</v>
      </c>
      <c r="I437" t="b">
        <v>0</v>
      </c>
      <c r="J437" t="b">
        <v>0</v>
      </c>
      <c r="K437" t="n">
        <v>0.007007415715567761</v>
      </c>
      <c r="L437" t="n">
        <v>0.6878687131286871</v>
      </c>
      <c r="M437" t="n">
        <v>0.01185458485840823</v>
      </c>
      <c r="N437" t="n">
        <v>0.5846646104620308</v>
      </c>
      <c r="O437" t="n">
        <v>-53361.55784629995</v>
      </c>
      <c r="P437" t="n">
        <v>-90272.8111678143</v>
      </c>
      <c r="Q437">
        <f>'_live'!$C$23</f>
        <v/>
      </c>
      <c r="R437" t="inlineStr">
        <is>
          <t>shuffled: 5,926 of 10,000</t>
        </is>
      </c>
      <c r="S437" t="inlineStr">
        <is>
          <t>shuffled: 4,222 of 10,000</t>
        </is>
      </c>
      <c r="T437" t="n">
        <v>0.1277832767603069</v>
      </c>
      <c r="U437" t="n">
        <v>0.1229361076174665</v>
      </c>
      <c r="V437">
        <f>AND(judged_band,NOT($J437))</f>
        <v/>
      </c>
      <c r="W437">
        <f>IF($K437="","",IF(profit_kind="test",IF(OR(NOT(AND(ISNUMBER($L437),$L437&lt;significance_bar)),$K437=0),"in line",IF($K437&lt;0,"worse","better")),IF(OR($K437=0,IF(profit_kind="points",ABS($K437),ABS($K437*$H437))&lt;profit_line*(1-1E-9)),"in line",IF(AND(ISNUMBER($L437),$L437&lt;significance_bar),IF($K437&lt;0,"worse","better"),IF($K437&lt;0,"worse, not significant","better, not significant")))))</f>
        <v/>
      </c>
      <c r="X437">
        <f>IF($M437="","",IF(profit_kind="test",IF(OR(NOT(AND(ISNUMBER($N437),$N437&lt;significance_bar)),$M437=0),"in line",IF($M437&lt;0,"worse","better")),IF(OR($M437=0,IF(profit_kind="points",ABS($M437),ABS($M437*$H437))&lt;profit_line*(1-1E-9)),"in line",IF(AND(ISNUMBER($N437),$N437&lt;significance_bar),IF($M437&lt;0,"worse","better"),IF($M437&lt;0,"worse, not significant","better, not significant")))))</f>
        <v/>
      </c>
      <c r="Y437">
        <f>IF($V437,$X437,$W437)</f>
        <v/>
      </c>
      <c r="Z437">
        <f>IF($V437,IF($P437="","",$P437),IF($O437="","",$O437))</f>
        <v/>
      </c>
      <c r="AA437">
        <f>IF(OR($Q437="",$Z437=""),"",IF(AND($Z437&gt;0,$Z437&gt;=$Q437),"yes","below the line"))</f>
        <v/>
      </c>
      <c r="AB437">
        <f>IF($V437,IF($M437="","",$M437),IF($K437="","",$K437))</f>
        <v/>
      </c>
      <c r="AC437">
        <f>IF($V437,IF($N437="","",$N437),IF($L437="","",$L437))</f>
        <v/>
      </c>
      <c r="AD437">
        <f>IF($Y437="","",IF($Y437="in line",IF(profit_kind="test",IF(ROUND($AB437*100,2)=0,"0.00",TEXT($AB437*100,"+0.00;-0.00"))&amp;" points against "&amp;IF($V437,"its band","the book")&amp;", "&amp;IF($AC437="","not tested","not significant"),IF(profit_kind="points","within "&amp;TEXT(profit_line*100,"0.00")&amp;" points of "&amp;IF($V437,"its band","the book")&amp;" ("&amp;IF(ROUND($AB437*100,2)=0,"0.00",TEXT($AB437*100,"+0.00;-0.00"))&amp;")","within $"&amp;TEXT(profit_line,"#,##0")&amp;" of "&amp;IF($V437,"its band","the book")&amp;" ("&amp;IF(ROUND($AB437*100,2)=0,"0.00",TEXT($AB437*100,"+0.00;-0.00"))&amp;" points)")),IF(LEFT($Y437,5)="worse","short of ","ahead of ")&amp;IF($V437,"its band","the book")&amp;" by "&amp;TEXT(ABS($AB437)*100,"0.00")&amp;" points"&amp;IF($Z437="",""," ($"&amp;TEXT(ABS($Z437),"#,##0")&amp;")")&amp;IF(RIGHT($Y437,15)="not significant"," (not significant)","")))</f>
        <v/>
      </c>
      <c r="AE437">
        <f>IF($V437,IF($S437="","",$S437),IF($R437="","",$R437))</f>
        <v/>
      </c>
      <c r="AF437">
        <f>IF($V437,IF($U437="","",$U437),IF($T437="","",$T437))</f>
        <v/>
      </c>
      <c r="AG437">
        <f>IF($V437,IF($O437="","",$O437),IF($P437="","",$P437))</f>
        <v/>
      </c>
      <c r="AH437" t="n">
        <v>0.1347906924758747</v>
      </c>
      <c r="AI437">
        <f>IF($Y437="worse","Yes",IF($Y437="worse, not significant","Not sure",IF(OR($Y437="too few losses to test",$Y437="too few loans to test"),"Too few losses",IF($Y437="","","No"))))</f>
        <v/>
      </c>
      <c r="AJ437">
        <f>IF($AA437="yes","Yes",IF($AA437="","","No"))</f>
        <v/>
      </c>
      <c r="AK437" t="n">
        <v>0.005483511062890791</v>
      </c>
      <c r="AL437" t="n">
        <v>0.006838880813109486</v>
      </c>
      <c r="AM437">
        <f>IF(AND(ISNUMBER($AC437),ISNUMBER(IF($V437,IF($AL437="","",$AL437),IF($AK437="","",$AK437)))),IF(AND(ABS($AC437-significance_bar)&lt;=2.0*IF($V437,IF($AL437="","",$AL437),IF($AK437="","",$AK437)),OR($Y437="worse",$Y437="better",$Y437="worse, not significant",$Y437="better, not significant",AND(profit_kind="test",$Y437="in line",ISNUMBER($AB437),$AB437&lt;&gt;0))),IF(ROUND($AC437,3)=ROUND(significance_bar,3),TEXT($AC437,"0.0000"),TEXT($AC437,"0.000")),""),"")</f>
        <v/>
      </c>
      <c r="AN437">
        <f>IF(AND(ISNUMBER($AC437),ISNUMBER(IF($V437,IF($AL437="","",$AL437),IF($AK437="","",$AK437)))),IF(AND(ABS($AC437-significance_bar)&lt;=2.0*IF($V437,IF($AL437="","",$AL437),IF($AK437="","",$AK437)),OR($Y437="worse",$Y437="worse, not significant",AND(profit_kind="test",$Y437="in line",ISNUMBER($AB437),$AB437&lt;0))),IF(ROUND($AC437,3)=ROUND(significance_bar,3),TEXT($AC437,"0.0000"),TEXT($AC437,"0.000")),""),"")</f>
        <v/>
      </c>
      <c r="AO437">
        <f>IF(OR($AI437="",$AN437=""),$AI437,$AI437&amp;" · borderline (p "&amp;$AN437&amp;")")</f>
        <v/>
      </c>
    </row>
    <row r="438">
      <c r="A438" t="inlineStr">
        <is>
          <t>three-way</t>
        </is>
      </c>
      <c r="B438" t="inlineStr">
        <is>
          <t>SHORT_HIST x CHANNEL / REV_DEBT</t>
        </is>
      </c>
      <c r="C438" t="inlineStr">
        <is>
          <t>89.0 - 171.9</t>
        </is>
      </c>
      <c r="D438" t="inlineStr">
        <is>
          <t>Branch / REV_DEBT high half</t>
        </is>
      </c>
      <c r="E438" t="inlineStr">
        <is>
          <t>contribution_rate</t>
        </is>
      </c>
      <c r="F438" t="inlineStr">
        <is>
          <t>Contribution before losses per booked dollar</t>
        </is>
      </c>
      <c r="G438" t="n">
        <v>245</v>
      </c>
      <c r="H438" t="n">
        <v>7615012.440000001</v>
      </c>
      <c r="I438" t="b">
        <v>0</v>
      </c>
      <c r="J438" t="b">
        <v>0</v>
      </c>
      <c r="K438" t="n">
        <v>0.02794442783222187</v>
      </c>
      <c r="L438" t="n">
        <v>0.001714114302855429</v>
      </c>
      <c r="M438" t="n">
        <v>0.03159063011216129</v>
      </c>
      <c r="N438" t="n">
        <v>0.002034579150780574</v>
      </c>
      <c r="O438" t="n">
        <v>-212797.1655710519</v>
      </c>
      <c r="P438" t="n">
        <v>-240563.041291547</v>
      </c>
      <c r="Q438">
        <f>'_live'!$C$24</f>
        <v/>
      </c>
      <c r="R438" t="inlineStr">
        <is>
          <t>shuffled: 9 of 10,000</t>
        </is>
      </c>
      <c r="S438" t="inlineStr">
        <is>
          <t>shuffled: 12 of 10,000</t>
        </is>
      </c>
      <c r="T438" t="n">
        <v>0.1687677524567441</v>
      </c>
      <c r="U438" t="n">
        <v>0.1651215501768047</v>
      </c>
      <c r="V438">
        <f>AND(judged_band,NOT($J438))</f>
        <v/>
      </c>
      <c r="W438">
        <f>IF($K438="","",IF(profit_kind="test",IF(OR(NOT(AND(ISNUMBER($L438),$L438&lt;significance_bar)),$K438=0),"in line",IF($K438&lt;0,"worse","better")),IF(OR($K438=0,IF(profit_kind="points",ABS($K438),ABS($K438*$H438))&lt;profit_line*(1-1E-9)),"in line",IF(AND(ISNUMBER($L438),$L438&lt;significance_bar),IF($K438&lt;0,"worse","better"),IF($K438&lt;0,"worse, not significant","better, not significant")))))</f>
        <v/>
      </c>
      <c r="X438">
        <f>IF($M438="","",IF(profit_kind="test",IF(OR(NOT(AND(ISNUMBER($N438),$N438&lt;significance_bar)),$M438=0),"in line",IF($M438&lt;0,"worse","better")),IF(OR($M438=0,IF(profit_kind="points",ABS($M438),ABS($M438*$H438))&lt;profit_line*(1-1E-9)),"in line",IF(AND(ISNUMBER($N438),$N438&lt;significance_bar),IF($M438&lt;0,"worse","better"),IF($M438&lt;0,"worse, not significant","better, not significant")))))</f>
        <v/>
      </c>
      <c r="Y438">
        <f>IF($V438,$X438,$W438)</f>
        <v/>
      </c>
      <c r="Z438">
        <f>IF($V438,IF($P438="","",$P438),IF($O438="","",$O438))</f>
        <v/>
      </c>
      <c r="AA438">
        <f>IF(OR($Q438="",$Z438=""),"",IF(AND($Z438&gt;0,$Z438&gt;=$Q438),"yes","below the line"))</f>
        <v/>
      </c>
      <c r="AB438">
        <f>IF($V438,IF($M438="","",$M438),IF($K438="","",$K438))</f>
        <v/>
      </c>
      <c r="AC438">
        <f>IF($V438,IF($N438="","",$N438),IF($L438="","",$L438))</f>
        <v/>
      </c>
      <c r="AD438">
        <f>IF($Y438="","",IF($Y438="in line",IF(profit_kind="test",IF(ROUND($AB438*100,2)=0,"0.00",TEXT($AB438*100,"+0.00;-0.00"))&amp;" points against "&amp;IF($V438,"its band","the book")&amp;", "&amp;IF($AC438="","not tested","not significant"),IF(profit_kind="points","within "&amp;TEXT(profit_line*100,"0.00")&amp;" points of "&amp;IF($V438,"its band","the book")&amp;" ("&amp;IF(ROUND($AB438*100,2)=0,"0.00",TEXT($AB438*100,"+0.00;-0.00"))&amp;")","within $"&amp;TEXT(profit_line,"#,##0")&amp;" of "&amp;IF($V438,"its band","the book")&amp;" ("&amp;IF(ROUND($AB438*100,2)=0,"0.00",TEXT($AB438*100,"+0.00;-0.00"))&amp;" points)")),IF(LEFT($Y438,5)="worse","short of ","ahead of ")&amp;IF($V438,"its band","the book")&amp;" by "&amp;TEXT(ABS($AB438)*100,"0.00")&amp;" points"&amp;IF($Z438="",""," ($"&amp;TEXT(ABS($Z438),"#,##0")&amp;")")&amp;IF(RIGHT($Y438,15)="not significant"," (not significant)","")))</f>
        <v/>
      </c>
      <c r="AE438">
        <f>IF($V438,IF($S438="","",$S438),IF($R438="","",$R438))</f>
        <v/>
      </c>
      <c r="AF438">
        <f>IF($V438,IF($U438="","",$U438),IF($T438="","",$T438))</f>
        <v/>
      </c>
      <c r="AG438">
        <f>IF($V438,IF($O438="","",$O438),IF($P438="","",$P438))</f>
        <v/>
      </c>
      <c r="AH438" t="n">
        <v>0.196712180288966</v>
      </c>
      <c r="AI438">
        <f>IF($Y438="worse","Yes",IF($Y438="worse, not significant","Not sure",IF(OR($Y438="too few losses to test",$Y438="too few loans to test"),"Too few losses",IF($Y438="","","No"))))</f>
        <v/>
      </c>
      <c r="AJ438">
        <f>IF($AA438="yes","Yes",IF($AA438="","","No"))</f>
        <v/>
      </c>
      <c r="AK438" t="n">
        <v>0.0005418065590406437</v>
      </c>
      <c r="AL438" t="n">
        <v>0.0005639520510173001</v>
      </c>
      <c r="AM438">
        <f>IF(AND(ISNUMBER($AC438),ISNUMBER(IF($V438,IF($AL438="","",$AL438),IF($AK438="","",$AK438)))),IF(AND(ABS($AC438-significance_bar)&lt;=2.0*IF($V438,IF($AL438="","",$AL438),IF($AK438="","",$AK438)),OR($Y438="worse",$Y438="better",$Y438="worse, not significant",$Y438="better, not significant",AND(profit_kind="test",$Y438="in line",ISNUMBER($AB438),$AB438&lt;&gt;0))),IF(ROUND($AC438,3)=ROUND(significance_bar,3),TEXT($AC438,"0.0000"),TEXT($AC438,"0.000")),""),"")</f>
        <v/>
      </c>
      <c r="AN438">
        <f>IF(AND(ISNUMBER($AC438),ISNUMBER(IF($V438,IF($AL438="","",$AL438),IF($AK438="","",$AK438)))),IF(AND(ABS($AC438-significance_bar)&lt;=2.0*IF($V438,IF($AL438="","",$AL438),IF($AK438="","",$AK438)),OR($Y438="worse",$Y438="worse, not significant",AND(profit_kind="test",$Y438="in line",ISNUMBER($AB438),$AB438&lt;0))),IF(ROUND($AC438,3)=ROUND(significance_bar,3),TEXT($AC438,"0.0000"),TEXT($AC438,"0.000")),""),"")</f>
        <v/>
      </c>
      <c r="AO438">
        <f>IF(OR($AI438="",$AN438=""),$AI438,$AI438&amp;" · borderline (p "&amp;$AN438&amp;")")</f>
        <v/>
      </c>
    </row>
    <row r="439">
      <c r="A439" t="inlineStr">
        <is>
          <t>three-way</t>
        </is>
      </c>
      <c r="B439" t="inlineStr">
        <is>
          <t>SHORT_HIST x CHANNEL / REV_DEBT</t>
        </is>
      </c>
      <c r="C439" t="inlineStr">
        <is>
          <t>89.0 - 171.9</t>
        </is>
      </c>
      <c r="D439" t="inlineStr">
        <is>
          <t>Online / REV_DEBT high half</t>
        </is>
      </c>
      <c r="E439" t="inlineStr">
        <is>
          <t>outcome_loans</t>
        </is>
      </c>
      <c r="F439" t="inlineStr">
        <is>
          <t>Outcome, share of loans</t>
        </is>
      </c>
      <c r="G439" t="n">
        <v>272</v>
      </c>
      <c r="H439" t="n">
        <v>272</v>
      </c>
      <c r="I439" t="b">
        <v>0</v>
      </c>
      <c r="J439" t="b">
        <v>0</v>
      </c>
      <c r="K439" t="n">
        <v>1.245548556690804</v>
      </c>
      <c r="L439" t="n">
        <v>0.2859581626486083</v>
      </c>
      <c r="M439" t="n">
        <v>1.19253283837807</v>
      </c>
      <c r="N439" t="n">
        <v>0.4539594836865311</v>
      </c>
      <c r="O439" t="n">
        <v>5.125663258703248</v>
      </c>
      <c r="P439" t="n">
        <v>4.197665369649805</v>
      </c>
      <c r="Q439">
        <f>'_live'!$C$20</f>
        <v/>
      </c>
      <c r="R439" t="inlineStr">
        <is>
          <t>z test</t>
        </is>
      </c>
      <c r="S439" t="inlineStr">
        <is>
          <t>z test</t>
        </is>
      </c>
      <c r="T439" t="n">
        <v>0.07674388507829688</v>
      </c>
      <c r="U439" t="n">
        <v>0.08015564202334631</v>
      </c>
      <c r="V439">
        <f>AND(judged_band,NOT($J439))</f>
        <v/>
      </c>
      <c r="W439">
        <f>IF($K439="","",IF($I439,"too few losses to test",IF(AND($K439&gt;better_at,$K439&lt;worse_at),"in line",IF($K439&gt;=worse_at,IF(AND(ISNUMBER($L439),$L439&lt;significance_bar),"worse","worse, not significant"),IF(AND(ISNUMBER($L439),$L439&lt;significance_bar),"better","better, not significant")))))</f>
        <v/>
      </c>
      <c r="X439">
        <f>IF($M439="","",IF($I439,"too few losses to test",IF(AND($M439&gt;better_at,$M439&lt;worse_at),"in line",IF($M439&gt;=worse_at,IF(AND(ISNUMBER($N439),$N439&lt;significance_bar),"worse","worse, not significant"),IF(AND(ISNUMBER($N439),$N439&lt;significance_bar),"better","better, not significant")))))</f>
        <v/>
      </c>
      <c r="Y439">
        <f>IF($V439,$X439,$W439)</f>
        <v/>
      </c>
      <c r="Z439">
        <f>IF($V439,IF($P439="","",$P439),IF($O439="","",$O439))</f>
        <v/>
      </c>
      <c r="AA439">
        <f>IF(OR($Q439="",$Z439=""),"",IF(AND($Z439&gt;0,$Z439&gt;=$Q439),"yes","below the line"))</f>
        <v/>
      </c>
      <c r="AB439">
        <f>IF($V439,IF($M439="","",$M439),IF($K439="","",$K439))</f>
        <v/>
      </c>
      <c r="AC439">
        <f>IF($V439,IF($N439="","",$N439),IF($L439="","",$L439))</f>
        <v/>
      </c>
      <c r="AD439">
        <f>$Y439</f>
        <v/>
      </c>
      <c r="AE439">
        <f>IF($V439,IF($S439="","",$S439),IF($R439="","",$R439))</f>
        <v/>
      </c>
      <c r="AF439">
        <f>IF($V439,IF($U439="","",$U439),IF($T439="","",$T439))</f>
        <v/>
      </c>
      <c r="AG439">
        <f>IF($V439,IF($O439="","",$O439),IF($P439="","",$P439))</f>
        <v/>
      </c>
      <c r="AH439" t="n">
        <v>0.09558823529411764</v>
      </c>
      <c r="AI439">
        <f>IF($Y439="worse","Yes",IF($Y439="worse, not significant","Not sure",IF(OR($Y439="too few losses to test",$Y439="too few loans to test"),"Too few losses",IF($Y439="","","No"))))</f>
        <v/>
      </c>
      <c r="AJ439">
        <f>IF($AA439="yes","Yes",IF($AA439="","","No"))</f>
        <v/>
      </c>
      <c r="AM439">
        <f>IF(AND(ISNUMBER($AC439),ISNUMBER(IF($V439,IF($AL439="","",$AL439),IF($AK439="","",$AK439)))),IF(AND(ABS($AC439-significance_bar)&lt;=2.0*IF($V439,IF($AL439="","",$AL439),IF($AK439="","",$AK439)),OR($Y439="worse",$Y439="better",$Y439="worse, not significant",$Y439="better, not significant")),IF(ROUND($AC439,3)=ROUND(significance_bar,3),TEXT($AC439,"0.0000"),TEXT($AC439,"0.000")),""),"")</f>
        <v/>
      </c>
      <c r="AN439">
        <f>IF(AND(ISNUMBER($AC439),ISNUMBER(IF($V439,IF($AL439="","",$AL439),IF($AK439="","",$AK439)))),IF(AND(ABS($AC439-significance_bar)&lt;=2.0*IF($V439,IF($AL439="","",$AL439),IF($AK439="","",$AK439)),OR($Y439="worse",$Y439="worse, not significant")),IF(ROUND($AC439,3)=ROUND(significance_bar,3),TEXT($AC439,"0.0000"),TEXT($AC439,"0.000")),""),"")</f>
        <v/>
      </c>
      <c r="AO439">
        <f>IF(OR($AI439="",$AN439=""),$AI439,$AI439&amp;" · borderline (p "&amp;$AN439&amp;")")</f>
        <v/>
      </c>
    </row>
    <row r="440">
      <c r="A440" t="inlineStr">
        <is>
          <t>three-way</t>
        </is>
      </c>
      <c r="B440" t="inlineStr">
        <is>
          <t>SHORT_HIST x CHANNEL / REV_DEBT</t>
        </is>
      </c>
      <c r="C440" t="inlineStr">
        <is>
          <t>89.0 - 171.9</t>
        </is>
      </c>
      <c r="D440" t="inlineStr">
        <is>
          <t>Online / REV_DEBT high half</t>
        </is>
      </c>
      <c r="E440" t="inlineStr">
        <is>
          <t>outcome_booked</t>
        </is>
      </c>
      <c r="F440" t="inlineStr">
        <is>
          <t>Outcome, share of booked dollars</t>
        </is>
      </c>
      <c r="G440" t="n">
        <v>272</v>
      </c>
      <c r="H440" t="n">
        <v>8389229.100000007</v>
      </c>
      <c r="I440" t="b">
        <v>0</v>
      </c>
      <c r="J440" t="b">
        <v>0</v>
      </c>
      <c r="K440" t="n">
        <v>1.286172105849134</v>
      </c>
      <c r="L440" t="n">
        <v>0.3271567580084097</v>
      </c>
      <c r="M440" t="n">
        <v>1.204340178340857</v>
      </c>
      <c r="N440" t="n">
        <v>0.480951904809519</v>
      </c>
      <c r="O440" t="n">
        <v>177990.3568352489</v>
      </c>
      <c r="P440" t="n">
        <v>135729.0638629545</v>
      </c>
      <c r="Q440">
        <f>'_live'!$C$21</f>
        <v/>
      </c>
      <c r="R440" t="inlineStr">
        <is>
          <t>shuffled: 2,390 of 10,000</t>
        </is>
      </c>
      <c r="S440" t="inlineStr">
        <is>
          <t>shuffled: 4,350 of 10,000</t>
        </is>
      </c>
      <c r="T440" t="n">
        <v>0.07413906757710913</v>
      </c>
      <c r="U440" t="n">
        <v>0.07917663330198536</v>
      </c>
      <c r="V440">
        <f>AND(judged_band,NOT($J440))</f>
        <v/>
      </c>
      <c r="W440">
        <f>IF($K440="","",IF($I440,"too few losses to test",IF(AND($K440&gt;better_at,$K440&lt;worse_at),"in line",IF($K440&gt;=worse_at,IF(AND(ISNUMBER($L440),$L440&lt;significance_bar),"worse","worse, not significant"),IF(AND(ISNUMBER($L440),$L440&lt;significance_bar),"better","better, not significant")))))</f>
        <v/>
      </c>
      <c r="X440">
        <f>IF($M440="","",IF($I440,"too few losses to test",IF(AND($M440&gt;better_at,$M440&lt;worse_at),"in line",IF($M440&gt;=worse_at,IF(AND(ISNUMBER($N440),$N440&lt;significance_bar),"worse","worse, not significant"),IF(AND(ISNUMBER($N440),$N440&lt;significance_bar),"better","better, not significant")))))</f>
        <v/>
      </c>
      <c r="Y440">
        <f>IF($V440,$X440,$W440)</f>
        <v/>
      </c>
      <c r="Z440">
        <f>IF($V440,IF($P440="","",$P440),IF($O440="","",$O440))</f>
        <v/>
      </c>
      <c r="AA440">
        <f>IF(OR($Q440="",$Z440=""),"",IF(AND($Z440&gt;0,$Z440&gt;=$Q440),"yes","below the line"))</f>
        <v/>
      </c>
      <c r="AB440">
        <f>IF($V440,IF($M440="","",$M440),IF($K440="","",$K440))</f>
        <v/>
      </c>
      <c r="AC440">
        <f>IF($V440,IF($N440="","",$N440),IF($L440="","",$L440))</f>
        <v/>
      </c>
      <c r="AD440">
        <f>$Y440</f>
        <v/>
      </c>
      <c r="AE440">
        <f>IF($V440,IF($S440="","",$S440),IF($R440="","",$R440))</f>
        <v/>
      </c>
      <c r="AF440">
        <f>IF($V440,IF($U440="","",$U440),IF($T440="","",$T440))</f>
        <v/>
      </c>
      <c r="AG440">
        <f>IF($V440,IF($O440="","",$O440),IF($P440="","",$P440))</f>
        <v/>
      </c>
      <c r="AH440" t="n">
        <v>0.09535560067134168</v>
      </c>
      <c r="AI440">
        <f>IF($Y440="worse","Yes",IF($Y440="worse, not significant","Not sure",IF(OR($Y440="too few losses to test",$Y440="too few loans to test"),"Too few losses",IF($Y440="","","No"))))</f>
        <v/>
      </c>
      <c r="AJ440">
        <f>IF($AA440="yes","Yes",IF($AA440="","","No"))</f>
        <v/>
      </c>
      <c r="AK440" t="n">
        <v>0.005836579913432434</v>
      </c>
      <c r="AL440" t="n">
        <v>0.005382531890016144</v>
      </c>
      <c r="AM440">
        <f>IF(AND(ISNUMBER($AC440),ISNUMBER(IF($V440,IF($AL440="","",$AL440),IF($AK440="","",$AK440)))),IF(AND(ABS($AC440-significance_bar)&lt;=2.0*IF($V440,IF($AL440="","",$AL440),IF($AK440="","",$AK440)),OR($Y440="worse",$Y440="better",$Y440="worse, not significant",$Y440="better, not significant")),IF(ROUND($AC440,3)=ROUND(significance_bar,3),TEXT($AC440,"0.0000"),TEXT($AC440,"0.000")),""),"")</f>
        <v/>
      </c>
      <c r="AN440">
        <f>IF(AND(ISNUMBER($AC440),ISNUMBER(IF($V440,IF($AL440="","",$AL440),IF($AK440="","",$AK440)))),IF(AND(ABS($AC440-significance_bar)&lt;=2.0*IF($V440,IF($AL440="","",$AL440),IF($AK440="","",$AK440)),OR($Y440="worse",$Y440="worse, not significant")),IF(ROUND($AC440,3)=ROUND(significance_bar,3),TEXT($AC440,"0.0000"),TEXT($AC440,"0.000")),""),"")</f>
        <v/>
      </c>
      <c r="AO440">
        <f>IF(OR($AI440="",$AN440=""),$AI440,$AI440&amp;" · borderline (p "&amp;$AN440&amp;")")</f>
        <v/>
      </c>
    </row>
    <row r="441">
      <c r="A441" t="inlineStr">
        <is>
          <t>three-way</t>
        </is>
      </c>
      <c r="B441" t="inlineStr">
        <is>
          <t>SHORT_HIST x CHANNEL / REV_DEBT</t>
        </is>
      </c>
      <c r="C441" t="inlineStr">
        <is>
          <t>89.0 - 171.9</t>
        </is>
      </c>
      <c r="D441" t="inlineStr">
        <is>
          <t>Online / REV_DEBT high half</t>
        </is>
      </c>
      <c r="E441" t="inlineStr">
        <is>
          <t>gco_rate</t>
        </is>
      </c>
      <c r="F441" t="inlineStr">
        <is>
          <t>GCO per booked dollar</t>
        </is>
      </c>
      <c r="G441" t="n">
        <v>272</v>
      </c>
      <c r="H441" t="n">
        <v>8389229.100000007</v>
      </c>
      <c r="I441" t="b">
        <v>0</v>
      </c>
      <c r="J441" t="b">
        <v>0</v>
      </c>
      <c r="K441" t="n">
        <v>1.340526738257583</v>
      </c>
      <c r="L441" t="n">
        <v>0.2901959804019598</v>
      </c>
      <c r="M441" t="n">
        <v>1.277858766165531</v>
      </c>
      <c r="N441" t="n">
        <v>0.4042595740425957</v>
      </c>
      <c r="O441" t="n">
        <v>117554.6234784776</v>
      </c>
      <c r="P441" t="n">
        <v>100624.8447845842</v>
      </c>
      <c r="Q441">
        <f>'_live'!$C$22</f>
        <v/>
      </c>
      <c r="R441" t="inlineStr">
        <is>
          <t>shuffled: 1,785 of 10,000</t>
        </is>
      </c>
      <c r="S441" t="inlineStr">
        <is>
          <t>shuffled: 3,057 of 10,000</t>
        </is>
      </c>
      <c r="T441" t="n">
        <v>0.04114967804628463</v>
      </c>
      <c r="U441" t="n">
        <v>0.04316771551934559</v>
      </c>
      <c r="V441">
        <f>AND(judged_band,NOT($J441))</f>
        <v/>
      </c>
      <c r="W441">
        <f>IF($K441="","",IF($I441,"too few losses to test",IF(AND($K441&gt;better_at,$K441&lt;worse_at),"in line",IF($K441&gt;=worse_at,IF(AND(ISNUMBER($L441),$L441&lt;significance_bar),"worse","worse, not significant"),IF(AND(ISNUMBER($L441),$L441&lt;significance_bar),"better","better, not significant")))))</f>
        <v/>
      </c>
      <c r="X441">
        <f>IF($M441="","",IF($I441,"too few losses to test",IF(AND($M441&gt;better_at,$M441&lt;worse_at),"in line",IF($M441&gt;=worse_at,IF(AND(ISNUMBER($N441),$N441&lt;significance_bar),"worse","worse, not significant"),IF(AND(ISNUMBER($N441),$N441&lt;significance_bar),"better","better, not significant")))))</f>
        <v/>
      </c>
      <c r="Y441">
        <f>IF($V441,$X441,$W441)</f>
        <v/>
      </c>
      <c r="Z441">
        <f>IF($V441,IF($P441="","",$P441),IF($O441="","",$O441))</f>
        <v/>
      </c>
      <c r="AA441">
        <f>IF(OR($Q441="",$Z441=""),"",IF(AND($Z441&gt;0,$Z441&gt;=$Q441),"yes","below the line"))</f>
        <v/>
      </c>
      <c r="AB441">
        <f>IF($V441,IF($M441="","",$M441),IF($K441="","",$K441))</f>
        <v/>
      </c>
      <c r="AC441">
        <f>IF($V441,IF($N441="","",$N441),IF($L441="","",$L441))</f>
        <v/>
      </c>
      <c r="AD441">
        <f>$Y441</f>
        <v/>
      </c>
      <c r="AE441">
        <f>IF($V441,IF($S441="","",$S441),IF($R441="","",$R441))</f>
        <v/>
      </c>
      <c r="AF441">
        <f>IF($V441,IF($U441="","",$U441),IF($T441="","",$T441))</f>
        <v/>
      </c>
      <c r="AG441">
        <f>IF($V441,IF($O441="","",$O441),IF($P441="","",$P441))</f>
        <v/>
      </c>
      <c r="AH441" t="n">
        <v>0.0551622436917356</v>
      </c>
      <c r="AI441">
        <f>IF($Y441="worse","Yes",IF($Y441="worse, not significant","Not sure",IF(OR($Y441="too few losses to test",$Y441="too few loans to test"),"Too few losses",IF($Y441="","","No"))))</f>
        <v/>
      </c>
      <c r="AJ441">
        <f>IF($AA441="yes","Yes",IF($AA441="","","No"))</f>
        <v/>
      </c>
      <c r="AK441" t="n">
        <v>0.006223783102838096</v>
      </c>
      <c r="AL441" t="n">
        <v>0.006017571296214724</v>
      </c>
      <c r="AM441">
        <f>IF(AND(ISNUMBER($AC441),ISNUMBER(IF($V441,IF($AL441="","",$AL441),IF($AK441="","",$AK441)))),IF(AND(ABS($AC441-significance_bar)&lt;=2.0*IF($V441,IF($AL441="","",$AL441),IF($AK441="","",$AK441)),OR($Y441="worse",$Y441="better",$Y441="worse, not significant",$Y441="better, not significant")),IF(ROUND($AC441,3)=ROUND(significance_bar,3),TEXT($AC441,"0.0000"),TEXT($AC441,"0.000")),""),"")</f>
        <v/>
      </c>
      <c r="AN441">
        <f>IF(AND(ISNUMBER($AC441),ISNUMBER(IF($V441,IF($AL441="","",$AL441),IF($AK441="","",$AK441)))),IF(AND(ABS($AC441-significance_bar)&lt;=2.0*IF($V441,IF($AL441="","",$AL441),IF($AK441="","",$AK441)),OR($Y441="worse",$Y441="worse, not significant")),IF(ROUND($AC441,3)=ROUND(significance_bar,3),TEXT($AC441,"0.0000"),TEXT($AC441,"0.000")),""),"")</f>
        <v/>
      </c>
      <c r="AO441">
        <f>IF(OR($AI441="",$AN441=""),$AI441,$AI441&amp;" · borderline (p "&amp;$AN441&amp;")")</f>
        <v/>
      </c>
    </row>
    <row r="442">
      <c r="A442" t="inlineStr">
        <is>
          <t>three-way</t>
        </is>
      </c>
      <c r="B442" t="inlineStr">
        <is>
          <t>SHORT_HIST x CHANNEL / REV_DEBT</t>
        </is>
      </c>
      <c r="C442" t="inlineStr">
        <is>
          <t>89.0 - 171.9</t>
        </is>
      </c>
      <c r="D442" t="inlineStr">
        <is>
          <t>Online / REV_DEBT high half</t>
        </is>
      </c>
      <c r="E442" t="inlineStr">
        <is>
          <t>ranr_rate</t>
        </is>
      </c>
      <c r="F442" t="inlineStr">
        <is>
          <t>Profit after losses: RANR per booked dollar</t>
        </is>
      </c>
      <c r="G442" t="n">
        <v>272</v>
      </c>
      <c r="H442" t="n">
        <v>8389229.100000007</v>
      </c>
      <c r="I442" t="b">
        <v>0</v>
      </c>
      <c r="J442" t="b">
        <v>0</v>
      </c>
      <c r="K442" t="n">
        <v>0.02417356653928762</v>
      </c>
      <c r="L442" t="n">
        <v>0.1473083460884681</v>
      </c>
      <c r="M442" t="n">
        <v>0.0319589264069418</v>
      </c>
      <c r="N442" t="n">
        <v>0.09039096090390961</v>
      </c>
      <c r="O442" t="n">
        <v>-202797.5878621782</v>
      </c>
      <c r="P442" t="n">
        <v>-268110.7554178749</v>
      </c>
      <c r="Q442">
        <f>'_live'!$C$23</f>
        <v/>
      </c>
      <c r="R442" t="inlineStr">
        <is>
          <t>shuffled: 531 of 10,000</t>
        </is>
      </c>
      <c r="S442" t="inlineStr">
        <is>
          <t>shuffled: 225 of 10,000</t>
        </is>
      </c>
      <c r="T442" t="n">
        <v>0.1272042209620692</v>
      </c>
      <c r="U442" t="n">
        <v>0.119418861094415</v>
      </c>
      <c r="V442">
        <f>AND(judged_band,NOT($J442))</f>
        <v/>
      </c>
      <c r="W442">
        <f>IF($K442="","",IF(profit_kind="test",IF(OR(NOT(AND(ISNUMBER($L442),$L442&lt;significance_bar)),$K442=0),"in line",IF($K442&lt;0,"worse","better")),IF(OR($K442=0,IF(profit_kind="points",ABS($K442),ABS($K442*$H442))&lt;profit_line*(1-1E-9)),"in line",IF(AND(ISNUMBER($L442),$L442&lt;significance_bar),IF($K442&lt;0,"worse","better"),IF($K442&lt;0,"worse, not significant","better, not significant")))))</f>
        <v/>
      </c>
      <c r="X442">
        <f>IF($M442="","",IF(profit_kind="test",IF(OR(NOT(AND(ISNUMBER($N442),$N442&lt;significance_bar)),$M442=0),"in line",IF($M442&lt;0,"worse","better")),IF(OR($M442=0,IF(profit_kind="points",ABS($M442),ABS($M442*$H442))&lt;profit_line*(1-1E-9)),"in line",IF(AND(ISNUMBER($N442),$N442&lt;significance_bar),IF($M442&lt;0,"worse","better"),IF($M442&lt;0,"worse, not significant","better, not significant")))))</f>
        <v/>
      </c>
      <c r="Y442">
        <f>IF($V442,$X442,$W442)</f>
        <v/>
      </c>
      <c r="Z442">
        <f>IF($V442,IF($P442="","",$P442),IF($O442="","",$O442))</f>
        <v/>
      </c>
      <c r="AA442">
        <f>IF(OR($Q442="",$Z442=""),"",IF(AND($Z442&gt;0,$Z442&gt;=$Q442),"yes","below the line"))</f>
        <v/>
      </c>
      <c r="AB442">
        <f>IF($V442,IF($M442="","",$M442),IF($K442="","",$K442))</f>
        <v/>
      </c>
      <c r="AC442">
        <f>IF($V442,IF($N442="","",$N442),IF($L442="","",$L442))</f>
        <v/>
      </c>
      <c r="AD442">
        <f>IF($Y442="","",IF($Y442="in line",IF(profit_kind="test",IF(ROUND($AB442*100,2)=0,"0.00",TEXT($AB442*100,"+0.00;-0.00"))&amp;" points against "&amp;IF($V442,"its band","the book")&amp;", "&amp;IF($AC442="","not tested","not significant"),IF(profit_kind="points","within "&amp;TEXT(profit_line*100,"0.00")&amp;" points of "&amp;IF($V442,"its band","the book")&amp;" ("&amp;IF(ROUND($AB442*100,2)=0,"0.00",TEXT($AB442*100,"+0.00;-0.00"))&amp;")","within $"&amp;TEXT(profit_line,"#,##0")&amp;" of "&amp;IF($V442,"its band","the book")&amp;" ("&amp;IF(ROUND($AB442*100,2)=0,"0.00",TEXT($AB442*100,"+0.00;-0.00"))&amp;" points)")),IF(LEFT($Y442,5)="worse","short of ","ahead of ")&amp;IF($V442,"its band","the book")&amp;" by "&amp;TEXT(ABS($AB442)*100,"0.00")&amp;" points"&amp;IF($Z442="",""," ($"&amp;TEXT(ABS($Z442),"#,##0")&amp;")")&amp;IF(RIGHT($Y442,15)="not significant"," (not significant)","")))</f>
        <v/>
      </c>
      <c r="AE442">
        <f>IF($V442,IF($S442="","",$S442),IF($R442="","",$R442))</f>
        <v/>
      </c>
      <c r="AF442">
        <f>IF($V442,IF($U442="","",$U442),IF($T442="","",$T442))</f>
        <v/>
      </c>
      <c r="AG442">
        <f>IF($V442,IF($O442="","",$O442),IF($P442="","",$P442))</f>
        <v/>
      </c>
      <c r="AH442" t="n">
        <v>0.1513777875013568</v>
      </c>
      <c r="AI442">
        <f>IF($Y442="worse","Yes",IF($Y442="worse, not significant","Not sure",IF(OR($Y442="too few losses to test",$Y442="too few loans to test"),"Too few losses",IF($Y442="","","No"))))</f>
        <v/>
      </c>
      <c r="AJ442">
        <f>IF($AA442="yes","Yes",IF($AA442="","","No"))</f>
        <v/>
      </c>
      <c r="AK442" t="n">
        <v>0.006214749035362256</v>
      </c>
      <c r="AL442" t="n">
        <v>0.005944689376262702</v>
      </c>
      <c r="AM442">
        <f>IF(AND(ISNUMBER($AC442),ISNUMBER(IF($V442,IF($AL442="","",$AL442),IF($AK442="","",$AK442)))),IF(AND(ABS($AC442-significance_bar)&lt;=2.0*IF($V442,IF($AL442="","",$AL442),IF($AK442="","",$AK442)),OR($Y442="worse",$Y442="better",$Y442="worse, not significant",$Y442="better, not significant",AND(profit_kind="test",$Y442="in line",ISNUMBER($AB442),$AB442&lt;&gt;0))),IF(ROUND($AC442,3)=ROUND(significance_bar,3),TEXT($AC442,"0.0000"),TEXT($AC442,"0.000")),""),"")</f>
        <v/>
      </c>
      <c r="AN442">
        <f>IF(AND(ISNUMBER($AC442),ISNUMBER(IF($V442,IF($AL442="","",$AL442),IF($AK442="","",$AK442)))),IF(AND(ABS($AC442-significance_bar)&lt;=2.0*IF($V442,IF($AL442="","",$AL442),IF($AK442="","",$AK442)),OR($Y442="worse",$Y442="worse, not significant",AND(profit_kind="test",$Y442="in line",ISNUMBER($AB442),$AB442&lt;0))),IF(ROUND($AC442,3)=ROUND(significance_bar,3),TEXT($AC442,"0.0000"),TEXT($AC442,"0.000")),""),"")</f>
        <v/>
      </c>
      <c r="AO442">
        <f>IF(OR($AI442="",$AN442=""),$AI442,$AI442&amp;" · borderline (p "&amp;$AN442&amp;")")</f>
        <v/>
      </c>
    </row>
    <row r="443">
      <c r="A443" t="inlineStr">
        <is>
          <t>three-way</t>
        </is>
      </c>
      <c r="B443" t="inlineStr">
        <is>
          <t>SHORT_HIST x CHANNEL / REV_DEBT</t>
        </is>
      </c>
      <c r="C443" t="inlineStr">
        <is>
          <t>89.0 - 171.9</t>
        </is>
      </c>
      <c r="D443" t="inlineStr">
        <is>
          <t>Online / REV_DEBT high half</t>
        </is>
      </c>
      <c r="E443" t="inlineStr">
        <is>
          <t>contribution_rate</t>
        </is>
      </c>
      <c r="F443" t="inlineStr">
        <is>
          <t>Contribution before losses per booked dollar</t>
        </is>
      </c>
      <c r="G443" t="n">
        <v>272</v>
      </c>
      <c r="H443" t="n">
        <v>8389229.100000007</v>
      </c>
      <c r="I443" t="b">
        <v>0</v>
      </c>
      <c r="J443" t="b">
        <v>0</v>
      </c>
      <c r="K443" t="n">
        <v>0.03818921243805384</v>
      </c>
      <c r="L443" t="n">
        <v>0.00023997600239976</v>
      </c>
      <c r="M443" t="n">
        <v>0.04395345457933197</v>
      </c>
      <c r="N443" t="n">
        <v>0.00023997600239976</v>
      </c>
      <c r="O443" t="n">
        <v>-320378.0522914035</v>
      </c>
      <c r="P443" t="n">
        <v>-368735.6002024603</v>
      </c>
      <c r="Q443">
        <f>'_live'!$C$24</f>
        <v/>
      </c>
      <c r="R443" t="inlineStr">
        <is>
          <t>shuffled: 0 of 10,000</t>
        </is>
      </c>
      <c r="S443" t="inlineStr">
        <is>
          <t>shuffled: 0 of 10,000</t>
        </is>
      </c>
      <c r="T443" t="n">
        <v>0.1683508187550387</v>
      </c>
      <c r="U443" t="n">
        <v>0.1625865766137606</v>
      </c>
      <c r="V443">
        <f>AND(judged_band,NOT($J443))</f>
        <v/>
      </c>
      <c r="W443">
        <f>IF($K443="","",IF(profit_kind="test",IF(OR(NOT(AND(ISNUMBER($L443),$L443&lt;significance_bar)),$K443=0),"in line",IF($K443&lt;0,"worse","better")),IF(OR($K443=0,IF(profit_kind="points",ABS($K443),ABS($K443*$H443))&lt;profit_line*(1-1E-9)),"in line",IF(AND(ISNUMBER($L443),$L443&lt;significance_bar),IF($K443&lt;0,"worse","better"),IF($K443&lt;0,"worse, not significant","better, not significant")))))</f>
        <v/>
      </c>
      <c r="X443">
        <f>IF($M443="","",IF(profit_kind="test",IF(OR(NOT(AND(ISNUMBER($N443),$N443&lt;significance_bar)),$M443=0),"in line",IF($M443&lt;0,"worse","better")),IF(OR($M443=0,IF(profit_kind="points",ABS($M443),ABS($M443*$H443))&lt;profit_line*(1-1E-9)),"in line",IF(AND(ISNUMBER($N443),$N443&lt;significance_bar),IF($M443&lt;0,"worse","better"),IF($M443&lt;0,"worse, not significant","better, not significant")))))</f>
        <v/>
      </c>
      <c r="Y443">
        <f>IF($V443,$X443,$W443)</f>
        <v/>
      </c>
      <c r="Z443">
        <f>IF($V443,IF($P443="","",$P443),IF($O443="","",$O443))</f>
        <v/>
      </c>
      <c r="AA443">
        <f>IF(OR($Q443="",$Z443=""),"",IF(AND($Z443&gt;0,$Z443&gt;=$Q443),"yes","below the line"))</f>
        <v/>
      </c>
      <c r="AB443">
        <f>IF($V443,IF($M443="","",$M443),IF($K443="","",$K443))</f>
        <v/>
      </c>
      <c r="AC443">
        <f>IF($V443,IF($N443="","",$N443),IF($L443="","",$L443))</f>
        <v/>
      </c>
      <c r="AD443">
        <f>IF($Y443="","",IF($Y443="in line",IF(profit_kind="test",IF(ROUND($AB443*100,2)=0,"0.00",TEXT($AB443*100,"+0.00;-0.00"))&amp;" points against "&amp;IF($V443,"its band","the book")&amp;", "&amp;IF($AC443="","not tested","not significant"),IF(profit_kind="points","within "&amp;TEXT(profit_line*100,"0.00")&amp;" points of "&amp;IF($V443,"its band","the book")&amp;" ("&amp;IF(ROUND($AB443*100,2)=0,"0.00",TEXT($AB443*100,"+0.00;-0.00"))&amp;")","within $"&amp;TEXT(profit_line,"#,##0")&amp;" of "&amp;IF($V443,"its band","the book")&amp;" ("&amp;IF(ROUND($AB443*100,2)=0,"0.00",TEXT($AB443*100,"+0.00;-0.00"))&amp;" points)")),IF(LEFT($Y443,5)="worse","short of ","ahead of ")&amp;IF($V443,"its band","the book")&amp;" by "&amp;TEXT(ABS($AB443)*100,"0.00")&amp;" points"&amp;IF($Z443="",""," ($"&amp;TEXT(ABS($Z443),"#,##0")&amp;")")&amp;IF(RIGHT($Y443,15)="not significant"," (not significant)","")))</f>
        <v/>
      </c>
      <c r="AE443">
        <f>IF($V443,IF($S443="","",$S443),IF($R443="","",$R443))</f>
        <v/>
      </c>
      <c r="AF443">
        <f>IF($V443,IF($U443="","",$U443),IF($T443="","",$T443))</f>
        <v/>
      </c>
      <c r="AG443">
        <f>IF($V443,IF($O443="","",$O443),IF($P443="","",$P443))</f>
        <v/>
      </c>
      <c r="AH443" t="n">
        <v>0.2065400311930925</v>
      </c>
      <c r="AI443">
        <f>IF($Y443="worse","Yes",IF($Y443="worse, not significant","Not sure",IF(OR($Y443="too few losses to test",$Y443="too few loans to test"),"Too few losses",IF($Y443="","","No"))))</f>
        <v/>
      </c>
      <c r="AJ443">
        <f>IF($AA443="yes","Yes",IF($AA443="","","No"))</f>
        <v/>
      </c>
      <c r="AK443" t="n">
        <v>0.00023997600239976</v>
      </c>
      <c r="AL443" t="n">
        <v>0.00023997600239976</v>
      </c>
      <c r="AM443">
        <f>IF(AND(ISNUMBER($AC443),ISNUMBER(IF($V443,IF($AL443="","",$AL443),IF($AK443="","",$AK443)))),IF(AND(ABS($AC443-significance_bar)&lt;=2.0*IF($V443,IF($AL443="","",$AL443),IF($AK443="","",$AK443)),OR($Y443="worse",$Y443="better",$Y443="worse, not significant",$Y443="better, not significant",AND(profit_kind="test",$Y443="in line",ISNUMBER($AB443),$AB443&lt;&gt;0))),IF(ROUND($AC443,3)=ROUND(significance_bar,3),TEXT($AC443,"0.0000"),TEXT($AC443,"0.000")),""),"")</f>
        <v/>
      </c>
      <c r="AN443">
        <f>IF(AND(ISNUMBER($AC443),ISNUMBER(IF($V443,IF($AL443="","",$AL443),IF($AK443="","",$AK443)))),IF(AND(ABS($AC443-significance_bar)&lt;=2.0*IF($V443,IF($AL443="","",$AL443),IF($AK443="","",$AK443)),OR($Y443="worse",$Y443="worse, not significant",AND(profit_kind="test",$Y443="in line",ISNUMBER($AB443),$AB443&lt;0))),IF(ROUND($AC443,3)=ROUND(significance_bar,3),TEXT($AC443,"0.0000"),TEXT($AC443,"0.000")),""),"")</f>
        <v/>
      </c>
      <c r="AO443">
        <f>IF(OR($AI443="",$AN443=""),$AI443,$AI443&amp;" · borderline (p "&amp;$AN443&amp;")")</f>
        <v/>
      </c>
    </row>
    <row r="444">
      <c r="A444" t="inlineStr">
        <is>
          <t>three-way</t>
        </is>
      </c>
      <c r="B444" t="inlineStr">
        <is>
          <t>SHORT_HIST x CHANNEL / REV_DEBT</t>
        </is>
      </c>
      <c r="C444" t="inlineStr">
        <is>
          <t>89.0 - 171.9</t>
        </is>
      </c>
      <c r="D444" t="inlineStr">
        <is>
          <t>Online / REV_DEBT low half</t>
        </is>
      </c>
      <c r="E444" t="inlineStr">
        <is>
          <t>outcome_loans</t>
        </is>
      </c>
      <c r="F444" t="inlineStr">
        <is>
          <t>Outcome, share of loans</t>
        </is>
      </c>
      <c r="G444" t="n">
        <v>273</v>
      </c>
      <c r="H444" t="n">
        <v>273</v>
      </c>
      <c r="I444" t="b">
        <v>0</v>
      </c>
      <c r="J444" t="b">
        <v>0</v>
      </c>
      <c r="K444" t="n">
        <v>0.5120132060921535</v>
      </c>
      <c r="L444" t="n">
        <v>0.06577891082837894</v>
      </c>
      <c r="M444" t="n">
        <v>0.4384429130191843</v>
      </c>
      <c r="N444" t="n">
        <v>0.01845529053383389</v>
      </c>
      <c r="O444" t="n">
        <v>-10.48382086461299</v>
      </c>
      <c r="P444" t="n">
        <v>-14.08878504672897</v>
      </c>
      <c r="Q444">
        <f>'_live'!$C$20</f>
        <v/>
      </c>
      <c r="R444" t="inlineStr">
        <is>
          <t>z test</t>
        </is>
      </c>
      <c r="S444" t="inlineStr">
        <is>
          <t>z test</t>
        </is>
      </c>
      <c r="T444" t="n">
        <v>0.07869531452239192</v>
      </c>
      <c r="U444" t="n">
        <v>0.09190031152647975</v>
      </c>
      <c r="V444">
        <f>AND(judged_band,NOT($J444))</f>
        <v/>
      </c>
      <c r="W444">
        <f>IF($K444="","",IF($I444,"too few losses to test",IF(AND($K444&gt;better_at,$K444&lt;worse_at),"in line",IF($K444&gt;=worse_at,IF(AND(ISNUMBER($L444),$L444&lt;significance_bar),"worse","worse, not significant"),IF(AND(ISNUMBER($L444),$L444&lt;significance_bar),"better","better, not significant")))))</f>
        <v/>
      </c>
      <c r="X444">
        <f>IF($M444="","",IF($I444,"too few losses to test",IF(AND($M444&gt;better_at,$M444&lt;worse_at),"in line",IF($M444&gt;=worse_at,IF(AND(ISNUMBER($N444),$N444&lt;significance_bar),"worse","worse, not significant"),IF(AND(ISNUMBER($N444),$N444&lt;significance_bar),"better","better, not significant")))))</f>
        <v/>
      </c>
      <c r="Y444">
        <f>IF($V444,$X444,$W444)</f>
        <v/>
      </c>
      <c r="Z444">
        <f>IF($V444,IF($P444="","",$P444),IF($O444="","",$O444))</f>
        <v/>
      </c>
      <c r="AA444">
        <f>IF(OR($Q444="",$Z444=""),"",IF(AND($Z444&gt;0,$Z444&gt;=$Q444),"yes","below the line"))</f>
        <v/>
      </c>
      <c r="AB444">
        <f>IF($V444,IF($M444="","",$M444),IF($K444="","",$K444))</f>
        <v/>
      </c>
      <c r="AC444">
        <f>IF($V444,IF($N444="","",$N444),IF($L444="","",$L444))</f>
        <v/>
      </c>
      <c r="AD444">
        <f>$Y444</f>
        <v/>
      </c>
      <c r="AE444">
        <f>IF($V444,IF($S444="","",$S444),IF($R444="","",$R444))</f>
        <v/>
      </c>
      <c r="AF444">
        <f>IF($V444,IF($U444="","",$U444),IF($T444="","",$T444))</f>
        <v/>
      </c>
      <c r="AG444">
        <f>IF($V444,IF($O444="","",$O444),IF($P444="","",$P444))</f>
        <v/>
      </c>
      <c r="AH444" t="n">
        <v>0.0402930402930403</v>
      </c>
      <c r="AI444">
        <f>IF($Y444="worse","Yes",IF($Y444="worse, not significant","Not sure",IF(OR($Y444="too few losses to test",$Y444="too few loans to test"),"Too few losses",IF($Y444="","","No"))))</f>
        <v/>
      </c>
      <c r="AJ444">
        <f>IF($AA444="yes","Yes",IF($AA444="","","No"))</f>
        <v/>
      </c>
      <c r="AM444">
        <f>IF(AND(ISNUMBER($AC444),ISNUMBER(IF($V444,IF($AL444="","",$AL444),IF($AK444="","",$AK444)))),IF(AND(ABS($AC444-significance_bar)&lt;=2.0*IF($V444,IF($AL444="","",$AL444),IF($AK444="","",$AK444)),OR($Y444="worse",$Y444="better",$Y444="worse, not significant",$Y444="better, not significant")),IF(ROUND($AC444,3)=ROUND(significance_bar,3),TEXT($AC444,"0.0000"),TEXT($AC444,"0.000")),""),"")</f>
        <v/>
      </c>
      <c r="AN444">
        <f>IF(AND(ISNUMBER($AC444),ISNUMBER(IF($V444,IF($AL444="","",$AL444),IF($AK444="","",$AK444)))),IF(AND(ABS($AC444-significance_bar)&lt;=2.0*IF($V444,IF($AL444="","",$AL444),IF($AK444="","",$AK444)),OR($Y444="worse",$Y444="worse, not significant")),IF(ROUND($AC444,3)=ROUND(significance_bar,3),TEXT($AC444,"0.0000"),TEXT($AC444,"0.000")),""),"")</f>
        <v/>
      </c>
      <c r="AO444">
        <f>IF(OR($AI444="",$AN444=""),$AI444,$AI444&amp;" · borderline (p "&amp;$AN444&amp;")")</f>
        <v/>
      </c>
    </row>
    <row r="445">
      <c r="A445" t="inlineStr">
        <is>
          <t>three-way</t>
        </is>
      </c>
      <c r="B445" t="inlineStr">
        <is>
          <t>SHORT_HIST x CHANNEL / REV_DEBT</t>
        </is>
      </c>
      <c r="C445" t="inlineStr">
        <is>
          <t>89.0 - 171.9</t>
        </is>
      </c>
      <c r="D445" t="inlineStr">
        <is>
          <t>Online / REV_DEBT low half</t>
        </is>
      </c>
      <c r="E445" t="inlineStr">
        <is>
          <t>outcome_booked</t>
        </is>
      </c>
      <c r="F445" t="inlineStr">
        <is>
          <t>Outcome, share of booked dollars</t>
        </is>
      </c>
      <c r="G445" t="n">
        <v>273</v>
      </c>
      <c r="H445" t="n">
        <v>9087947.420000002</v>
      </c>
      <c r="I445" t="b">
        <v>0</v>
      </c>
      <c r="J445" t="b">
        <v>0</v>
      </c>
      <c r="K445" t="n">
        <v>0.6027542841730443</v>
      </c>
      <c r="L445" t="n">
        <v>0.1757824217578242</v>
      </c>
      <c r="M445" t="n">
        <v>0.5095321240817201</v>
      </c>
      <c r="N445" t="n">
        <v>0.07461253874612539</v>
      </c>
      <c r="O445" t="n">
        <v>-273976.5412561516</v>
      </c>
      <c r="P445" t="n">
        <v>-400159.8027852176</v>
      </c>
      <c r="Q445">
        <f>'_live'!$C$21</f>
        <v/>
      </c>
      <c r="R445" t="inlineStr">
        <is>
          <t>shuffled: 878 of 10,000</t>
        </is>
      </c>
      <c r="S445" t="inlineStr">
        <is>
          <t>shuffled: 286 of 10,000</t>
        </is>
      </c>
      <c r="T445" t="n">
        <v>0.07589066368697713</v>
      </c>
      <c r="U445" t="n">
        <v>0.08977534585969441</v>
      </c>
      <c r="V445">
        <f>AND(judged_band,NOT($J445))</f>
        <v/>
      </c>
      <c r="W445">
        <f>IF($K445="","",IF($I445,"too few losses to test",IF(AND($K445&gt;better_at,$K445&lt;worse_at),"in line",IF($K445&gt;=worse_at,IF(AND(ISNUMBER($L445),$L445&lt;significance_bar),"worse","worse, not significant"),IF(AND(ISNUMBER($L445),$L445&lt;significance_bar),"better","better, not significant")))))</f>
        <v/>
      </c>
      <c r="X445">
        <f>IF($M445="","",IF($I445,"too few losses to test",IF(AND($M445&gt;better_at,$M445&lt;worse_at),"in line",IF($M445&gt;=worse_at,IF(AND(ISNUMBER($N445),$N445&lt;significance_bar),"worse","worse, not significant"),IF(AND(ISNUMBER($N445),$N445&lt;significance_bar),"better","better, not significant")))))</f>
        <v/>
      </c>
      <c r="Y445">
        <f>IF($V445,$X445,$W445)</f>
        <v/>
      </c>
      <c r="Z445">
        <f>IF($V445,IF($P445="","",$P445),IF($O445="","",$O445))</f>
        <v/>
      </c>
      <c r="AA445">
        <f>IF(OR($Q445="",$Z445=""),"",IF(AND($Z445&gt;0,$Z445&gt;=$Q445),"yes","below the line"))</f>
        <v/>
      </c>
      <c r="AB445">
        <f>IF($V445,IF($M445="","",$M445),IF($K445="","",$K445))</f>
        <v/>
      </c>
      <c r="AC445">
        <f>IF($V445,IF($N445="","",$N445),IF($L445="","",$L445))</f>
        <v/>
      </c>
      <c r="AD445">
        <f>$Y445</f>
        <v/>
      </c>
      <c r="AE445">
        <f>IF($V445,IF($S445="","",$S445),IF($R445="","",$R445))</f>
        <v/>
      </c>
      <c r="AF445">
        <f>IF($V445,IF($U445="","",$U445),IF($T445="","",$T445))</f>
        <v/>
      </c>
      <c r="AG445">
        <f>IF($V445,IF($O445="","",$O445),IF($P445="","",$P445))</f>
        <v/>
      </c>
      <c r="AH445" t="n">
        <v>0.04574342266606115</v>
      </c>
      <c r="AI445">
        <f>IF($Y445="worse","Yes",IF($Y445="worse, not significant","Not sure",IF(OR($Y445="too few losses to test",$Y445="too few loans to test"),"Too few losses",IF($Y445="","","No"))))</f>
        <v/>
      </c>
      <c r="AJ445">
        <f>IF($AA445="yes","Yes",IF($AA445="","","No"))</f>
        <v/>
      </c>
      <c r="AK445" t="n">
        <v>0.005662732412154073</v>
      </c>
      <c r="AL445" t="n">
        <v>0.004340801421417293</v>
      </c>
      <c r="AM445">
        <f>IF(AND(ISNUMBER($AC445),ISNUMBER(IF($V445,IF($AL445="","",$AL445),IF($AK445="","",$AK445)))),IF(AND(ABS($AC445-significance_bar)&lt;=2.0*IF($V445,IF($AL445="","",$AL445),IF($AK445="","",$AK445)),OR($Y445="worse",$Y445="better",$Y445="worse, not significant",$Y445="better, not significant")),IF(ROUND($AC445,3)=ROUND(significance_bar,3),TEXT($AC445,"0.0000"),TEXT($AC445,"0.000")),""),"")</f>
        <v/>
      </c>
      <c r="AN445">
        <f>IF(AND(ISNUMBER($AC445),ISNUMBER(IF($V445,IF($AL445="","",$AL445),IF($AK445="","",$AK445)))),IF(AND(ABS($AC445-significance_bar)&lt;=2.0*IF($V445,IF($AL445="","",$AL445),IF($AK445="","",$AK445)),OR($Y445="worse",$Y445="worse, not significant")),IF(ROUND($AC445,3)=ROUND(significance_bar,3),TEXT($AC445,"0.0000"),TEXT($AC445,"0.000")),""),"")</f>
        <v/>
      </c>
      <c r="AO445">
        <f>IF(OR($AI445="",$AN445=""),$AI445,$AI445&amp;" · borderline (p "&amp;$AN445&amp;")")</f>
        <v/>
      </c>
    </row>
    <row r="446">
      <c r="A446" t="inlineStr">
        <is>
          <t>three-way</t>
        </is>
      </c>
      <c r="B446" t="inlineStr">
        <is>
          <t>SHORT_HIST x CHANNEL / REV_DEBT</t>
        </is>
      </c>
      <c r="C446" t="inlineStr">
        <is>
          <t>89.0 - 171.9</t>
        </is>
      </c>
      <c r="D446" t="inlineStr">
        <is>
          <t>Online / REV_DEBT low half</t>
        </is>
      </c>
      <c r="E446" t="inlineStr">
        <is>
          <t>gco_rate</t>
        </is>
      </c>
      <c r="F446" t="inlineStr">
        <is>
          <t>GCO per booked dollar</t>
        </is>
      </c>
      <c r="G446" t="n">
        <v>273</v>
      </c>
      <c r="H446" t="n">
        <v>9087947.420000002</v>
      </c>
      <c r="I446" t="b">
        <v>0</v>
      </c>
      <c r="J446" t="b">
        <v>0</v>
      </c>
      <c r="K446" t="n">
        <v>0.5167719518815406</v>
      </c>
      <c r="L446" t="n">
        <v>0.1250238612502386</v>
      </c>
      <c r="M446" t="n">
        <v>0.4351890651922134</v>
      </c>
      <c r="N446" t="n">
        <v>0.04224577542245775</v>
      </c>
      <c r="O446" t="n">
        <v>-185875.1729955091</v>
      </c>
      <c r="P446" t="n">
        <v>-257984.3178297186</v>
      </c>
      <c r="Q446">
        <f>'_live'!$C$22</f>
        <v/>
      </c>
      <c r="R446" t="inlineStr">
        <is>
          <t>shuffled: 448 of 10,000</t>
        </is>
      </c>
      <c r="S446" t="inlineStr">
        <is>
          <t>shuffled: 129 of 10,000</t>
        </is>
      </c>
      <c r="T446" t="n">
        <v>0.04232563143455213</v>
      </c>
      <c r="U446" t="n">
        <v>0.05026022232748772</v>
      </c>
      <c r="V446">
        <f>AND(judged_band,NOT($J446))</f>
        <v/>
      </c>
      <c r="W446">
        <f>IF($K446="","",IF($I446,"too few losses to test",IF(AND($K446&gt;better_at,$K446&lt;worse_at),"in line",IF($K446&gt;=worse_at,IF(AND(ISNUMBER($L446),$L446&lt;significance_bar),"worse","worse, not significant"),IF(AND(ISNUMBER($L446),$L446&lt;significance_bar),"better","better, not significant")))))</f>
        <v/>
      </c>
      <c r="X446">
        <f>IF($M446="","",IF($I446,"too few losses to test",IF(AND($M446&gt;better_at,$M446&lt;worse_at),"in line",IF($M446&gt;=worse_at,IF(AND(ISNUMBER($N446),$N446&lt;significance_bar),"worse","worse, not significant"),IF(AND(ISNUMBER($N446),$N446&lt;significance_bar),"better","better, not significant")))))</f>
        <v/>
      </c>
      <c r="Y446">
        <f>IF($V446,$X446,$W446)</f>
        <v/>
      </c>
      <c r="Z446">
        <f>IF($V446,IF($P446="","",$P446),IF($O446="","",$O446))</f>
        <v/>
      </c>
      <c r="AA446">
        <f>IF(OR($Q446="",$Z446=""),"",IF(AND($Z446&gt;0,$Z446&gt;=$Q446),"yes","below the line"))</f>
        <v/>
      </c>
      <c r="AB446">
        <f>IF($V446,IF($M446="","",$M446),IF($K446="","",$K446))</f>
        <v/>
      </c>
      <c r="AC446">
        <f>IF($V446,IF($N446="","",$N446),IF($L446="","",$L446))</f>
        <v/>
      </c>
      <c r="AD446">
        <f>$Y446</f>
        <v/>
      </c>
      <c r="AE446">
        <f>IF($V446,IF($S446="","",$S446),IF($R446="","",$R446))</f>
        <v/>
      </c>
      <c r="AF446">
        <f>IF($V446,IF($U446="","",$U446),IF($T446="","",$T446))</f>
        <v/>
      </c>
      <c r="AG446">
        <f>IF($V446,IF($O446="","",$O446),IF($P446="","",$P446))</f>
        <v/>
      </c>
      <c r="AH446" t="n">
        <v>0.0218726991710522</v>
      </c>
      <c r="AI446">
        <f>IF($Y446="worse","Yes",IF($Y446="worse, not significant","Not sure",IF(OR($Y446="too few losses to test",$Y446="too few loans to test"),"Too few losses",IF($Y446="","","No"))))</f>
        <v/>
      </c>
      <c r="AJ446">
        <f>IF($AA446="yes","Yes",IF($AA446="","","No"))</f>
        <v/>
      </c>
      <c r="AK446" t="n">
        <v>0.005290368407694992</v>
      </c>
      <c r="AL446" t="n">
        <v>0.0036812235001687</v>
      </c>
      <c r="AM446">
        <f>IF(AND(ISNUMBER($AC446),ISNUMBER(IF($V446,IF($AL446="","",$AL446),IF($AK446="","",$AK446)))),IF(AND(ABS($AC446-significance_bar)&lt;=2.0*IF($V446,IF($AL446="","",$AL446),IF($AK446="","",$AK446)),OR($Y446="worse",$Y446="better",$Y446="worse, not significant",$Y446="better, not significant")),IF(ROUND($AC446,3)=ROUND(significance_bar,3),TEXT($AC446,"0.0000"),TEXT($AC446,"0.000")),""),"")</f>
        <v/>
      </c>
      <c r="AN446">
        <f>IF(AND(ISNUMBER($AC446),ISNUMBER(IF($V446,IF($AL446="","",$AL446),IF($AK446="","",$AK446)))),IF(AND(ABS($AC446-significance_bar)&lt;=2.0*IF($V446,IF($AL446="","",$AL446),IF($AK446="","",$AK446)),OR($Y446="worse",$Y446="worse, not significant")),IF(ROUND($AC446,3)=ROUND(significance_bar,3),TEXT($AC446,"0.0000"),TEXT($AC446,"0.000")),""),"")</f>
        <v/>
      </c>
      <c r="AO446">
        <f>IF(OR($AI446="",$AN446=""),$AI446,$AI446&amp;" · borderline (p "&amp;$AN446&amp;")")</f>
        <v/>
      </c>
    </row>
    <row r="447">
      <c r="A447" t="inlineStr">
        <is>
          <t>three-way</t>
        </is>
      </c>
      <c r="B447" t="inlineStr">
        <is>
          <t>SHORT_HIST x CHANNEL / REV_DEBT</t>
        </is>
      </c>
      <c r="C447" t="inlineStr">
        <is>
          <t>89.0 - 171.9</t>
        </is>
      </c>
      <c r="D447" t="inlineStr">
        <is>
          <t>Online / REV_DEBT low half</t>
        </is>
      </c>
      <c r="E447" t="inlineStr">
        <is>
          <t>ranr_rate</t>
        </is>
      </c>
      <c r="F447" t="inlineStr">
        <is>
          <t>Profit after losses: RANR per booked dollar</t>
        </is>
      </c>
      <c r="G447" t="n">
        <v>273</v>
      </c>
      <c r="H447" t="n">
        <v>9087947.420000002</v>
      </c>
      <c r="I447" t="b">
        <v>0</v>
      </c>
      <c r="J447" t="b">
        <v>0</v>
      </c>
      <c r="K447" t="n">
        <v>0.009852970555678964</v>
      </c>
      <c r="L447" t="n">
        <v>0.6269133086691331</v>
      </c>
      <c r="M447" t="n">
        <v>0.01557376303149709</v>
      </c>
      <c r="N447" t="n">
        <v>0.4043595640435956</v>
      </c>
      <c r="O447" t="n">
        <v>-89543.27834081859</v>
      </c>
      <c r="P447" t="n">
        <v>-141533.5395617853</v>
      </c>
      <c r="Q447">
        <f>'_live'!$C$23</f>
        <v/>
      </c>
      <c r="R447" t="inlineStr">
        <is>
          <t>shuffled: 4,353 of 10,000</t>
        </is>
      </c>
      <c r="S447" t="inlineStr">
        <is>
          <t>shuffled: 2,695 of 10,000</t>
        </is>
      </c>
      <c r="T447" t="n">
        <v>0.1276430747284386</v>
      </c>
      <c r="U447" t="n">
        <v>0.1219222822526205</v>
      </c>
      <c r="V447">
        <f>AND(judged_band,NOT($J447))</f>
        <v/>
      </c>
      <c r="W447">
        <f>IF($K447="","",IF(profit_kind="test",IF(OR(NOT(AND(ISNUMBER($L447),$L447&lt;significance_bar)),$K447=0),"in line",IF($K447&lt;0,"worse","better")),IF(OR($K447=0,IF(profit_kind="points",ABS($K447),ABS($K447*$H447))&lt;profit_line*(1-1E-9)),"in line",IF(AND(ISNUMBER($L447),$L447&lt;significance_bar),IF($K447&lt;0,"worse","better"),IF($K447&lt;0,"worse, not significant","better, not significant")))))</f>
        <v/>
      </c>
      <c r="X447">
        <f>IF($M447="","",IF(profit_kind="test",IF(OR(NOT(AND(ISNUMBER($N447),$N447&lt;significance_bar)),$M447=0),"in line",IF($M447&lt;0,"worse","better")),IF(OR($M447=0,IF(profit_kind="points",ABS($M447),ABS($M447*$H447))&lt;profit_line*(1-1E-9)),"in line",IF(AND(ISNUMBER($N447),$N447&lt;significance_bar),IF($M447&lt;0,"worse","better"),IF($M447&lt;0,"worse, not significant","better, not significant")))))</f>
        <v/>
      </c>
      <c r="Y447">
        <f>IF($V447,$X447,$W447)</f>
        <v/>
      </c>
      <c r="Z447">
        <f>IF($V447,IF($P447="","",$P447),IF($O447="","",$O447))</f>
        <v/>
      </c>
      <c r="AA447">
        <f>IF(OR($Q447="",$Z447=""),"",IF(AND($Z447&gt;0,$Z447&gt;=$Q447),"yes","below the line"))</f>
        <v/>
      </c>
      <c r="AB447">
        <f>IF($V447,IF($M447="","",$M447),IF($K447="","",$K447))</f>
        <v/>
      </c>
      <c r="AC447">
        <f>IF($V447,IF($N447="","",$N447),IF($L447="","",$L447))</f>
        <v/>
      </c>
      <c r="AD447">
        <f>IF($Y447="","",IF($Y447="in line",IF(profit_kind="test",IF(ROUND($AB447*100,2)=0,"0.00",TEXT($AB447*100,"+0.00;-0.00"))&amp;" points against "&amp;IF($V447,"its band","the book")&amp;", "&amp;IF($AC447="","not tested","not significant"),IF(profit_kind="points","within "&amp;TEXT(profit_line*100,"0.00")&amp;" points of "&amp;IF($V447,"its band","the book")&amp;" ("&amp;IF(ROUND($AB447*100,2)=0,"0.00",TEXT($AB447*100,"+0.00;-0.00"))&amp;")","within $"&amp;TEXT(profit_line,"#,##0")&amp;" of "&amp;IF($V447,"its band","the book")&amp;" ("&amp;IF(ROUND($AB447*100,2)=0,"0.00",TEXT($AB447*100,"+0.00;-0.00"))&amp;" points)")),IF(LEFT($Y447,5)="worse","short of ","ahead of ")&amp;IF($V447,"its band","the book")&amp;" by "&amp;TEXT(ABS($AB447)*100,"0.00")&amp;" points"&amp;IF($Z447="",""," ($"&amp;TEXT(ABS($Z447),"#,##0")&amp;")")&amp;IF(RIGHT($Y447,15)="not significant"," (not significant)","")))</f>
        <v/>
      </c>
      <c r="AE447">
        <f>IF($V447,IF($S447="","",$S447),IF($R447="","",$R447))</f>
        <v/>
      </c>
      <c r="AF447">
        <f>IF($V447,IF($U447="","",$U447),IF($T447="","",$T447))</f>
        <v/>
      </c>
      <c r="AG447">
        <f>IF($V447,IF($O447="","",$O447),IF($P447="","",$P447))</f>
        <v/>
      </c>
      <c r="AH447" t="n">
        <v>0.1374960452841175</v>
      </c>
      <c r="AI447">
        <f>IF($Y447="worse","Yes",IF($Y447="worse, not significant","Not sure",IF(OR($Y447="too few losses to test",$Y447="too few loans to test"),"Too few losses",IF($Y447="","","No"))))</f>
        <v/>
      </c>
      <c r="AJ447">
        <f>IF($AA447="yes","Yes",IF($AA447="","","No"))</f>
        <v/>
      </c>
      <c r="AK447" t="n">
        <v>0.007139571891206587</v>
      </c>
      <c r="AL447" t="n">
        <v>0.006656070079497862</v>
      </c>
      <c r="AM447">
        <f>IF(AND(ISNUMBER($AC447),ISNUMBER(IF($V447,IF($AL447="","",$AL447),IF($AK447="","",$AK447)))),IF(AND(ABS($AC447-significance_bar)&lt;=2.0*IF($V447,IF($AL447="","",$AL447),IF($AK447="","",$AK447)),OR($Y447="worse",$Y447="better",$Y447="worse, not significant",$Y447="better, not significant",AND(profit_kind="test",$Y447="in line",ISNUMBER($AB447),$AB447&lt;&gt;0))),IF(ROUND($AC447,3)=ROUND(significance_bar,3),TEXT($AC447,"0.0000"),TEXT($AC447,"0.000")),""),"")</f>
        <v/>
      </c>
      <c r="AN447">
        <f>IF(AND(ISNUMBER($AC447),ISNUMBER(IF($V447,IF($AL447="","",$AL447),IF($AK447="","",$AK447)))),IF(AND(ABS($AC447-significance_bar)&lt;=2.0*IF($V447,IF($AL447="","",$AL447),IF($AK447="","",$AK447)),OR($Y447="worse",$Y447="worse, not significant",AND(profit_kind="test",$Y447="in line",ISNUMBER($AB447),$AB447&lt;0))),IF(ROUND($AC447,3)=ROUND(significance_bar,3),TEXT($AC447,"0.0000"),TEXT($AC447,"0.000")),""),"")</f>
        <v/>
      </c>
      <c r="AO447">
        <f>IF(OR($AI447="",$AN447=""),$AI447,$AI447&amp;" · borderline (p "&amp;$AN447&amp;")")</f>
        <v/>
      </c>
    </row>
    <row r="448">
      <c r="A448" t="inlineStr">
        <is>
          <t>three-way</t>
        </is>
      </c>
      <c r="B448" t="inlineStr">
        <is>
          <t>SHORT_HIST x CHANNEL / REV_DEBT</t>
        </is>
      </c>
      <c r="C448" t="inlineStr">
        <is>
          <t>89.0 - 171.9</t>
        </is>
      </c>
      <c r="D448" t="inlineStr">
        <is>
          <t>Online / REV_DEBT low half</t>
        </is>
      </c>
      <c r="E448" t="inlineStr">
        <is>
          <t>contribution_rate</t>
        </is>
      </c>
      <c r="F448" t="inlineStr">
        <is>
          <t>Contribution before losses per booked dollar</t>
        </is>
      </c>
      <c r="G448" t="n">
        <v>273</v>
      </c>
      <c r="H448" t="n">
        <v>9087947.420000002</v>
      </c>
      <c r="I448" t="b">
        <v>0</v>
      </c>
      <c r="J448" t="b">
        <v>0</v>
      </c>
      <c r="K448" t="n">
        <v>-0.01059694276800391</v>
      </c>
      <c r="L448" t="n">
        <v>0.2299124926217056</v>
      </c>
      <c r="M448" t="n">
        <v>-0.01281376012493832</v>
      </c>
      <c r="N448" t="n">
        <v>0.1778447155284472</v>
      </c>
      <c r="O448" t="n">
        <v>96304.45868836879</v>
      </c>
      <c r="P448" t="n">
        <v>116450.7782679321</v>
      </c>
      <c r="Q448">
        <f>'_live'!$C$24</f>
        <v/>
      </c>
      <c r="R448" t="inlineStr">
        <is>
          <t>shuffled: 1,979 of 10,000</t>
        </is>
      </c>
      <c r="S448" t="inlineStr">
        <is>
          <t>shuffled: 1,580 of 10,000</t>
        </is>
      </c>
      <c r="T448" t="n">
        <v>0.1699656872231737</v>
      </c>
      <c r="U448" t="n">
        <v>0.1721825045801081</v>
      </c>
      <c r="V448">
        <f>AND(judged_band,NOT($J448))</f>
        <v/>
      </c>
      <c r="W448">
        <f>IF($K448="","",IF(profit_kind="test",IF(OR(NOT(AND(ISNUMBER($L448),$L448&lt;significance_bar)),$K448=0),"in line",IF($K448&lt;0,"worse","better")),IF(OR($K448=0,IF(profit_kind="points",ABS($K448),ABS($K448*$H448))&lt;profit_line*(1-1E-9)),"in line",IF(AND(ISNUMBER($L448),$L448&lt;significance_bar),IF($K448&lt;0,"worse","better"),IF($K448&lt;0,"worse, not significant","better, not significant")))))</f>
        <v/>
      </c>
      <c r="X448">
        <f>IF($M448="","",IF(profit_kind="test",IF(OR(NOT(AND(ISNUMBER($N448),$N448&lt;significance_bar)),$M448=0),"in line",IF($M448&lt;0,"worse","better")),IF(OR($M448=0,IF(profit_kind="points",ABS($M448),ABS($M448*$H448))&lt;profit_line*(1-1E-9)),"in line",IF(AND(ISNUMBER($N448),$N448&lt;significance_bar),IF($M448&lt;0,"worse","better"),IF($M448&lt;0,"worse, not significant","better, not significant")))))</f>
        <v/>
      </c>
      <c r="Y448">
        <f>IF($V448,$X448,$W448)</f>
        <v/>
      </c>
      <c r="Z448">
        <f>IF($V448,IF($P448="","",$P448),IF($O448="","",$O448))</f>
        <v/>
      </c>
      <c r="AA448">
        <f>IF(OR($Q448="",$Z448=""),"",IF(AND($Z448&gt;0,$Z448&gt;=$Q448),"yes","below the line"))</f>
        <v/>
      </c>
      <c r="AB448">
        <f>IF($V448,IF($M448="","",$M448),IF($K448="","",$K448))</f>
        <v/>
      </c>
      <c r="AC448">
        <f>IF($V448,IF($N448="","",$N448),IF($L448="","",$L448))</f>
        <v/>
      </c>
      <c r="AD448">
        <f>IF($Y448="","",IF($Y448="in line",IF(profit_kind="test",IF(ROUND($AB448*100,2)=0,"0.00",TEXT($AB448*100,"+0.00;-0.00"))&amp;" points against "&amp;IF($V448,"its band","the book")&amp;", "&amp;IF($AC448="","not tested","not significant"),IF(profit_kind="points","within "&amp;TEXT(profit_line*100,"0.00")&amp;" points of "&amp;IF($V448,"its band","the book")&amp;" ("&amp;IF(ROUND($AB448*100,2)=0,"0.00",TEXT($AB448*100,"+0.00;-0.00"))&amp;")","within $"&amp;TEXT(profit_line,"#,##0")&amp;" of "&amp;IF($V448,"its band","the book")&amp;" ("&amp;IF(ROUND($AB448*100,2)=0,"0.00",TEXT($AB448*100,"+0.00;-0.00"))&amp;" points)")),IF(LEFT($Y448,5)="worse","short of ","ahead of ")&amp;IF($V448,"its band","the book")&amp;" by "&amp;TEXT(ABS($AB448)*100,"0.00")&amp;" points"&amp;IF($Z448="",""," ($"&amp;TEXT(ABS($Z448),"#,##0")&amp;")")&amp;IF(RIGHT($Y448,15)="not significant"," (not significant)","")))</f>
        <v/>
      </c>
      <c r="AE448">
        <f>IF($V448,IF($S448="","",$S448),IF($R448="","",$R448))</f>
        <v/>
      </c>
      <c r="AF448">
        <f>IF($V448,IF($U448="","",$U448),IF($T448="","",$T448))</f>
        <v/>
      </c>
      <c r="AG448">
        <f>IF($V448,IF($O448="","",$O448),IF($P448="","",$P448))</f>
        <v/>
      </c>
      <c r="AH448" t="n">
        <v>0.1593687444551698</v>
      </c>
      <c r="AI448">
        <f>IF($Y448="worse","Yes",IF($Y448="worse, not significant","Not sure",IF(OR($Y448="too few losses to test",$Y448="too few loans to test"),"Too few losses",IF($Y448="","","No"))))</f>
        <v/>
      </c>
      <c r="AJ448">
        <f>IF($AA448="yes","Yes",IF($AA448="","","No"))</f>
        <v/>
      </c>
      <c r="AK448" t="n">
        <v>0.004627476617536331</v>
      </c>
      <c r="AL448" t="n">
        <v>0.004104224191343703</v>
      </c>
      <c r="AM448">
        <f>IF(AND(ISNUMBER($AC448),ISNUMBER(IF($V448,IF($AL448="","",$AL448),IF($AK448="","",$AK448)))),IF(AND(ABS($AC448-significance_bar)&lt;=2.0*IF($V448,IF($AL448="","",$AL448),IF($AK448="","",$AK448)),OR($Y448="worse",$Y448="better",$Y448="worse, not significant",$Y448="better, not significant",AND(profit_kind="test",$Y448="in line",ISNUMBER($AB448),$AB448&lt;&gt;0))),IF(ROUND($AC448,3)=ROUND(significance_bar,3),TEXT($AC448,"0.0000"),TEXT($AC448,"0.000")),""),"")</f>
        <v/>
      </c>
      <c r="AN448">
        <f>IF(AND(ISNUMBER($AC448),ISNUMBER(IF($V448,IF($AL448="","",$AL448),IF($AK448="","",$AK448)))),IF(AND(ABS($AC448-significance_bar)&lt;=2.0*IF($V448,IF($AL448="","",$AL448),IF($AK448="","",$AK448)),OR($Y448="worse",$Y448="worse, not significant",AND(profit_kind="test",$Y448="in line",ISNUMBER($AB448),$AB448&lt;0))),IF(ROUND($AC448,3)=ROUND(significance_bar,3),TEXT($AC448,"0.0000"),TEXT($AC448,"0.000")),""),"")</f>
        <v/>
      </c>
      <c r="AO448">
        <f>IF(OR($AI448="",$AN448=""),$AI448,$AI448&amp;" · borderline (p "&amp;$AN448&amp;")")</f>
        <v/>
      </c>
    </row>
    <row r="449">
      <c r="A449" t="inlineStr">
        <is>
          <t>three-way</t>
        </is>
      </c>
      <c r="B449" t="inlineStr">
        <is>
          <t>SHORT_HIST x CHANNEL / REV_DEBT</t>
        </is>
      </c>
      <c r="C449" t="inlineStr">
        <is>
          <t>346.0 - 435.0</t>
        </is>
      </c>
      <c r="D449" t="inlineStr">
        <is>
          <t>Branch / REV_DEBT high half</t>
        </is>
      </c>
      <c r="E449" t="inlineStr">
        <is>
          <t>outcome_loans</t>
        </is>
      </c>
      <c r="F449" t="inlineStr">
        <is>
          <t>Outcome, share of loans</t>
        </is>
      </c>
      <c r="G449" t="n">
        <v>266</v>
      </c>
      <c r="H449" t="n">
        <v>266</v>
      </c>
      <c r="I449" t="b">
        <v>0</v>
      </c>
      <c r="J449" t="b">
        <v>0</v>
      </c>
      <c r="K449" t="n">
        <v>0.8706917043023532</v>
      </c>
      <c r="L449" t="n">
        <v>0.546421208229924</v>
      </c>
      <c r="M449" t="n">
        <v>0.9083016820401518</v>
      </c>
      <c r="N449" t="n">
        <v>0.7248154881662354</v>
      </c>
      <c r="O449" t="n">
        <v>-2.673218673218674</v>
      </c>
      <c r="P449" t="n">
        <v>-1.817204301075268</v>
      </c>
      <c r="Q449">
        <f>'_live'!$C$20</f>
        <v/>
      </c>
      <c r="R449" t="inlineStr">
        <is>
          <t>z test</t>
        </is>
      </c>
      <c r="S449" t="inlineStr">
        <is>
          <t>z test</t>
        </is>
      </c>
      <c r="T449" t="n">
        <v>0.0777188671925514</v>
      </c>
      <c r="U449" t="n">
        <v>0.07450076804915515</v>
      </c>
      <c r="V449">
        <f>AND(judged_band,NOT($J449))</f>
        <v/>
      </c>
      <c r="W449">
        <f>IF($K449="","",IF($I449,"too few losses to test",IF(AND($K449&gt;better_at,$K449&lt;worse_at),"in line",IF($K449&gt;=worse_at,IF(AND(ISNUMBER($L449),$L449&lt;significance_bar),"worse","worse, not significant"),IF(AND(ISNUMBER($L449),$L449&lt;significance_bar),"better","better, not significant")))))</f>
        <v/>
      </c>
      <c r="X449">
        <f>IF($M449="","",IF($I449,"too few losses to test",IF(AND($M449&gt;better_at,$M449&lt;worse_at),"in line",IF($M449&gt;=worse_at,IF(AND(ISNUMBER($N449),$N449&lt;significance_bar),"worse","worse, not significant"),IF(AND(ISNUMBER($N449),$N449&lt;significance_bar),"better","better, not significant")))))</f>
        <v/>
      </c>
      <c r="Y449">
        <f>IF($V449,$X449,$W449)</f>
        <v/>
      </c>
      <c r="Z449">
        <f>IF($V449,IF($P449="","",$P449),IF($O449="","",$O449))</f>
        <v/>
      </c>
      <c r="AA449">
        <f>IF(OR($Q449="",$Z449=""),"",IF(AND($Z449&gt;0,$Z449&gt;=$Q449),"yes","below the line"))</f>
        <v/>
      </c>
      <c r="AB449">
        <f>IF($V449,IF($M449="","",$M449),IF($K449="","",$K449))</f>
        <v/>
      </c>
      <c r="AC449">
        <f>IF($V449,IF($N449="","",$N449),IF($L449="","",$L449))</f>
        <v/>
      </c>
      <c r="AD449">
        <f>$Y449</f>
        <v/>
      </c>
      <c r="AE449">
        <f>IF($V449,IF($S449="","",$S449),IF($R449="","",$R449))</f>
        <v/>
      </c>
      <c r="AF449">
        <f>IF($V449,IF($U449="","",$U449),IF($T449="","",$T449))</f>
        <v/>
      </c>
      <c r="AG449">
        <f>IF($V449,IF($O449="","",$O449),IF($P449="","",$P449))</f>
        <v/>
      </c>
      <c r="AH449" t="n">
        <v>0.06766917293233082</v>
      </c>
      <c r="AI449">
        <f>IF($Y449="worse","Yes",IF($Y449="worse, not significant","Not sure",IF(OR($Y449="too few losses to test",$Y449="too few loans to test"),"Too few losses",IF($Y449="","","No"))))</f>
        <v/>
      </c>
      <c r="AJ449">
        <f>IF($AA449="yes","Yes",IF($AA449="","","No"))</f>
        <v/>
      </c>
      <c r="AM449">
        <f>IF(AND(ISNUMBER($AC449),ISNUMBER(IF($V449,IF($AL449="","",$AL449),IF($AK449="","",$AK449)))),IF(AND(ABS($AC449-significance_bar)&lt;=2.0*IF($V449,IF($AL449="","",$AL449),IF($AK449="","",$AK449)),OR($Y449="worse",$Y449="better",$Y449="worse, not significant",$Y449="better, not significant")),IF(ROUND($AC449,3)=ROUND(significance_bar,3),TEXT($AC449,"0.0000"),TEXT($AC449,"0.000")),""),"")</f>
        <v/>
      </c>
      <c r="AN449">
        <f>IF(AND(ISNUMBER($AC449),ISNUMBER(IF($V449,IF($AL449="","",$AL449),IF($AK449="","",$AK449)))),IF(AND(ABS($AC449-significance_bar)&lt;=2.0*IF($V449,IF($AL449="","",$AL449),IF($AK449="","",$AK449)),OR($Y449="worse",$Y449="worse, not significant")),IF(ROUND($AC449,3)=ROUND(significance_bar,3),TEXT($AC449,"0.0000"),TEXT($AC449,"0.000")),""),"")</f>
        <v/>
      </c>
      <c r="AO449">
        <f>IF(OR($AI449="",$AN449=""),$AI449,$AI449&amp;" · borderline (p "&amp;$AN449&amp;")")</f>
        <v/>
      </c>
    </row>
    <row r="450">
      <c r="A450" t="inlineStr">
        <is>
          <t>three-way</t>
        </is>
      </c>
      <c r="B450" t="inlineStr">
        <is>
          <t>SHORT_HIST x CHANNEL / REV_DEBT</t>
        </is>
      </c>
      <c r="C450" t="inlineStr">
        <is>
          <t>346.0 - 435.0</t>
        </is>
      </c>
      <c r="D450" t="inlineStr">
        <is>
          <t>Branch / REV_DEBT high half</t>
        </is>
      </c>
      <c r="E450" t="inlineStr">
        <is>
          <t>outcome_booked</t>
        </is>
      </c>
      <c r="F450" t="inlineStr">
        <is>
          <t>Outcome, share of booked dollars</t>
        </is>
      </c>
      <c r="G450" t="n">
        <v>266</v>
      </c>
      <c r="H450" t="n">
        <v>8735044.280000005</v>
      </c>
      <c r="I450" t="b">
        <v>0</v>
      </c>
      <c r="J450" t="b">
        <v>0</v>
      </c>
      <c r="K450" t="n">
        <v>0.8603784686211932</v>
      </c>
      <c r="L450" t="n">
        <v>0.6289291070892911</v>
      </c>
      <c r="M450" t="n">
        <v>0.923180045448622</v>
      </c>
      <c r="N450" t="n">
        <v>0.777022297770223</v>
      </c>
      <c r="O450" t="n">
        <v>-91694.70771010884</v>
      </c>
      <c r="P450" t="n">
        <v>-47018.52967379312</v>
      </c>
      <c r="Q450">
        <f>'_live'!$C$21</f>
        <v/>
      </c>
      <c r="R450" t="inlineStr">
        <is>
          <t>shuffled: 5,636 of 10,000</t>
        </is>
      </c>
      <c r="S450" t="inlineStr">
        <is>
          <t>shuffled: 7,770 of 10,000</t>
        </is>
      </c>
      <c r="T450" t="n">
        <v>0.07518423108784841</v>
      </c>
      <c r="U450" t="n">
        <v>0.0700696401820407</v>
      </c>
      <c r="V450">
        <f>AND(judged_band,NOT($J450))</f>
        <v/>
      </c>
      <c r="W450">
        <f>IF($K450="","",IF($I450,"too few losses to test",IF(AND($K450&gt;better_at,$K450&lt;worse_at),"in line",IF($K450&gt;=worse_at,IF(AND(ISNUMBER($L450),$L450&lt;significance_bar),"worse","worse, not significant"),IF(AND(ISNUMBER($L450),$L450&lt;significance_bar),"better","better, not significant")))))</f>
        <v/>
      </c>
      <c r="X450">
        <f>IF($M450="","",IF($I450,"too few losses to test",IF(AND($M450&gt;better_at,$M450&lt;worse_at),"in line",IF($M450&gt;=worse_at,IF(AND(ISNUMBER($N450),$N450&lt;significance_bar),"worse","worse, not significant"),IF(AND(ISNUMBER($N450),$N450&lt;significance_bar),"better","better, not significant")))))</f>
        <v/>
      </c>
      <c r="Y450">
        <f>IF($V450,$X450,$W450)</f>
        <v/>
      </c>
      <c r="Z450">
        <f>IF($V450,IF($P450="","",$P450),IF($O450="","",$O450))</f>
        <v/>
      </c>
      <c r="AA450">
        <f>IF(OR($Q450="",$Z450=""),"",IF(AND($Z450&gt;0,$Z450&gt;=$Q450),"yes","below the line"))</f>
        <v/>
      </c>
      <c r="AB450">
        <f>IF($V450,IF($M450="","",$M450),IF($K450="","",$K450))</f>
        <v/>
      </c>
      <c r="AC450">
        <f>IF($V450,IF($N450="","",$N450),IF($L450="","",$L450))</f>
        <v/>
      </c>
      <c r="AD450">
        <f>$Y450</f>
        <v/>
      </c>
      <c r="AE450">
        <f>IF($V450,IF($S450="","",$S450),IF($R450="","",$R450))</f>
        <v/>
      </c>
      <c r="AF450">
        <f>IF($V450,IF($U450="","",$U450),IF($T450="","",$T450))</f>
        <v/>
      </c>
      <c r="AG450">
        <f>IF($V450,IF($O450="","",$O450),IF($P450="","",$P450))</f>
        <v/>
      </c>
      <c r="AH450" t="n">
        <v>0.06468689360782492</v>
      </c>
      <c r="AI450">
        <f>IF($Y450="worse","Yes",IF($Y450="worse, not significant","Not sure",IF(OR($Y450="too few losses to test",$Y450="too few loans to test"),"Too few losses",IF($Y450="","","No"))))</f>
        <v/>
      </c>
      <c r="AJ450">
        <f>IF($AA450="yes","Yes",IF($AA450="","","No"))</f>
        <v/>
      </c>
      <c r="AK450" t="n">
        <v>0.005084628301348386</v>
      </c>
      <c r="AL450" t="n">
        <v>0.004162434942892272</v>
      </c>
      <c r="AM450">
        <f>IF(AND(ISNUMBER($AC450),ISNUMBER(IF($V450,IF($AL450="","",$AL450),IF($AK450="","",$AK450)))),IF(AND(ABS($AC450-significance_bar)&lt;=2.0*IF($V450,IF($AL450="","",$AL450),IF($AK450="","",$AK450)),OR($Y450="worse",$Y450="better",$Y450="worse, not significant",$Y450="better, not significant")),IF(ROUND($AC450,3)=ROUND(significance_bar,3),TEXT($AC450,"0.0000"),TEXT($AC450,"0.000")),""),"")</f>
        <v/>
      </c>
      <c r="AN450">
        <f>IF(AND(ISNUMBER($AC450),ISNUMBER(IF($V450,IF($AL450="","",$AL450),IF($AK450="","",$AK450)))),IF(AND(ABS($AC450-significance_bar)&lt;=2.0*IF($V450,IF($AL450="","",$AL450),IF($AK450="","",$AK450)),OR($Y450="worse",$Y450="worse, not significant")),IF(ROUND($AC450,3)=ROUND(significance_bar,3),TEXT($AC450,"0.0000"),TEXT($AC450,"0.000")),""),"")</f>
        <v/>
      </c>
      <c r="AO450">
        <f>IF(OR($AI450="",$AN450=""),$AI450,$AI450&amp;" · borderline (p "&amp;$AN450&amp;")")</f>
        <v/>
      </c>
    </row>
    <row r="451">
      <c r="A451" t="inlineStr">
        <is>
          <t>three-way</t>
        </is>
      </c>
      <c r="B451" t="inlineStr">
        <is>
          <t>SHORT_HIST x CHANNEL / REV_DEBT</t>
        </is>
      </c>
      <c r="C451" t="inlineStr">
        <is>
          <t>346.0 - 435.0</t>
        </is>
      </c>
      <c r="D451" t="inlineStr">
        <is>
          <t>Branch / REV_DEBT high half</t>
        </is>
      </c>
      <c r="E451" t="inlineStr">
        <is>
          <t>gco_rate</t>
        </is>
      </c>
      <c r="F451" t="inlineStr">
        <is>
          <t>GCO per booked dollar</t>
        </is>
      </c>
      <c r="G451" t="n">
        <v>266</v>
      </c>
      <c r="H451" t="n">
        <v>8735044.280000005</v>
      </c>
      <c r="I451" t="b">
        <v>0</v>
      </c>
      <c r="J451" t="b">
        <v>0</v>
      </c>
      <c r="K451" t="n">
        <v>0.7962893874509674</v>
      </c>
      <c r="L451" t="n">
        <v>0.4682923012046621</v>
      </c>
      <c r="M451" t="n">
        <v>0.8191816326664786</v>
      </c>
      <c r="N451" t="n">
        <v>0.5528780455287805</v>
      </c>
      <c r="O451" t="n">
        <v>-74547.38667040766</v>
      </c>
      <c r="P451" t="n">
        <v>-64320.88833744306</v>
      </c>
      <c r="Q451">
        <f>'_live'!$C$22</f>
        <v/>
      </c>
      <c r="R451" t="inlineStr">
        <is>
          <t>shuffled: 4,142 of 10,000</t>
        </is>
      </c>
      <c r="S451" t="inlineStr">
        <is>
          <t>shuffled: 5,103 of 10,000</t>
        </is>
      </c>
      <c r="T451" t="n">
        <v>0.04189417648497684</v>
      </c>
      <c r="U451" t="n">
        <v>0.04072343275373103</v>
      </c>
      <c r="V451">
        <f>AND(judged_band,NOT($J451))</f>
        <v/>
      </c>
      <c r="W451">
        <f>IF($K451="","",IF($I451,"too few losses to test",IF(AND($K451&gt;better_at,$K451&lt;worse_at),"in line",IF($K451&gt;=worse_at,IF(AND(ISNUMBER($L451),$L451&lt;significance_bar),"worse","worse, not significant"),IF(AND(ISNUMBER($L451),$L451&lt;significance_bar),"better","better, not significant")))))</f>
        <v/>
      </c>
      <c r="X451">
        <f>IF($M451="","",IF($I451,"too few losses to test",IF(AND($M451&gt;better_at,$M451&lt;worse_at),"in line",IF($M451&gt;=worse_at,IF(AND(ISNUMBER($N451),$N451&lt;significance_bar),"worse","worse, not significant"),IF(AND(ISNUMBER($N451),$N451&lt;significance_bar),"better","better, not significant")))))</f>
        <v/>
      </c>
      <c r="Y451">
        <f>IF($V451,$X451,$W451)</f>
        <v/>
      </c>
      <c r="Z451">
        <f>IF($V451,IF($P451="","",$P451),IF($O451="","",$O451))</f>
        <v/>
      </c>
      <c r="AA451">
        <f>IF(OR($Q451="",$Z451=""),"",IF(AND($Z451&gt;0,$Z451&gt;=$Q451),"yes","below the line"))</f>
        <v/>
      </c>
      <c r="AB451">
        <f>IF($V451,IF($M451="","",$M451),IF($K451="","",$K451))</f>
        <v/>
      </c>
      <c r="AC451">
        <f>IF($V451,IF($N451="","",$N451),IF($L451="","",$L451))</f>
        <v/>
      </c>
      <c r="AD451">
        <f>$Y451</f>
        <v/>
      </c>
      <c r="AE451">
        <f>IF($V451,IF($S451="","",$S451),IF($R451="","",$R451))</f>
        <v/>
      </c>
      <c r="AF451">
        <f>IF($V451,IF($U451="","",$U451),IF($T451="","",$T451))</f>
        <v/>
      </c>
      <c r="AG451">
        <f>IF($V451,IF($O451="","",$O451),IF($P451="","",$P451))</f>
        <v/>
      </c>
      <c r="AH451" t="n">
        <v>0.03335988813098494</v>
      </c>
      <c r="AI451">
        <f>IF($Y451="worse","Yes",IF($Y451="worse, not significant","Not sure",IF(OR($Y451="too few losses to test",$Y451="too few loans to test"),"Too few losses",IF($Y451="","","No"))))</f>
        <v/>
      </c>
      <c r="AJ451">
        <f>IF($AA451="yes","Yes",IF($AA451="","","No"))</f>
        <v/>
      </c>
      <c r="AK451" t="n">
        <v>0.005568448853514416</v>
      </c>
      <c r="AL451" t="n">
        <v>0.005415506280688703</v>
      </c>
      <c r="AM451">
        <f>IF(AND(ISNUMBER($AC451),ISNUMBER(IF($V451,IF($AL451="","",$AL451),IF($AK451="","",$AK451)))),IF(AND(ABS($AC451-significance_bar)&lt;=2.0*IF($V451,IF($AL451="","",$AL451),IF($AK451="","",$AK451)),OR($Y451="worse",$Y451="better",$Y451="worse, not significant",$Y451="better, not significant")),IF(ROUND($AC451,3)=ROUND(significance_bar,3),TEXT($AC451,"0.0000"),TEXT($AC451,"0.000")),""),"")</f>
        <v/>
      </c>
      <c r="AN451">
        <f>IF(AND(ISNUMBER($AC451),ISNUMBER(IF($V451,IF($AL451="","",$AL451),IF($AK451="","",$AK451)))),IF(AND(ABS($AC451-significance_bar)&lt;=2.0*IF($V451,IF($AL451="","",$AL451),IF($AK451="","",$AK451)),OR($Y451="worse",$Y451="worse, not significant")),IF(ROUND($AC451,3)=ROUND(significance_bar,3),TEXT($AC451,"0.0000"),TEXT($AC451,"0.000")),""),"")</f>
        <v/>
      </c>
      <c r="AO451">
        <f>IF(OR($AI451="",$AN451=""),$AI451,$AI451&amp;" · borderline (p "&amp;$AN451&amp;")")</f>
        <v/>
      </c>
    </row>
    <row r="452">
      <c r="A452" t="inlineStr">
        <is>
          <t>three-way</t>
        </is>
      </c>
      <c r="B452" t="inlineStr">
        <is>
          <t>SHORT_HIST x CHANNEL / REV_DEBT</t>
        </is>
      </c>
      <c r="C452" t="inlineStr">
        <is>
          <t>346.0 - 435.0</t>
        </is>
      </c>
      <c r="D452" t="inlineStr">
        <is>
          <t>Branch / REV_DEBT high half</t>
        </is>
      </c>
      <c r="E452" t="inlineStr">
        <is>
          <t>ranr_rate</t>
        </is>
      </c>
      <c r="F452" t="inlineStr">
        <is>
          <t>Profit after losses: RANR per booked dollar</t>
        </is>
      </c>
      <c r="G452" t="n">
        <v>266</v>
      </c>
      <c r="H452" t="n">
        <v>8735044.280000005</v>
      </c>
      <c r="I452" t="b">
        <v>0</v>
      </c>
      <c r="J452" t="b">
        <v>0</v>
      </c>
      <c r="K452" t="n">
        <v>0.03456729469629541</v>
      </c>
      <c r="L452" t="n">
        <v>0.06839316068393161</v>
      </c>
      <c r="M452" t="n">
        <v>0.04314722173088394</v>
      </c>
      <c r="N452" t="n">
        <v>0.0287971202879712</v>
      </c>
      <c r="O452" t="n">
        <v>-301946.8498119498</v>
      </c>
      <c r="P452" t="n">
        <v>-376892.8923782496</v>
      </c>
      <c r="Q452">
        <f>'_live'!$C$23</f>
        <v/>
      </c>
      <c r="R452" t="inlineStr">
        <is>
          <t>shuffled: 73 of 10,000</t>
        </is>
      </c>
      <c r="S452" t="inlineStr">
        <is>
          <t>shuffled: 15 of 10,000</t>
        </is>
      </c>
      <c r="T452" t="n">
        <v>0.1268200234227147</v>
      </c>
      <c r="U452" t="n">
        <v>0.1182400963881261</v>
      </c>
      <c r="V452">
        <f>AND(judged_band,NOT($J452))</f>
        <v/>
      </c>
      <c r="W452">
        <f>IF($K452="","",IF(profit_kind="test",IF(OR(NOT(AND(ISNUMBER($L452),$L452&lt;significance_bar)),$K452=0),"in line",IF($K452&lt;0,"worse","better")),IF(OR($K452=0,IF(profit_kind="points",ABS($K452),ABS($K452*$H452))&lt;profit_line*(1-1E-9)),"in line",IF(AND(ISNUMBER($L452),$L452&lt;significance_bar),IF($K452&lt;0,"worse","better"),IF($K452&lt;0,"worse, not significant","better, not significant")))))</f>
        <v/>
      </c>
      <c r="X452">
        <f>IF($M452="","",IF(profit_kind="test",IF(OR(NOT(AND(ISNUMBER($N452),$N452&lt;significance_bar)),$M452=0),"in line",IF($M452&lt;0,"worse","better")),IF(OR($M452=0,IF(profit_kind="points",ABS($M452),ABS($M452*$H452))&lt;profit_line*(1-1E-9)),"in line",IF(AND(ISNUMBER($N452),$N452&lt;significance_bar),IF($M452&lt;0,"worse","better"),IF($M452&lt;0,"worse, not significant","better, not significant")))))</f>
        <v/>
      </c>
      <c r="Y452">
        <f>IF($V452,$X452,$W452)</f>
        <v/>
      </c>
      <c r="Z452">
        <f>IF($V452,IF($P452="","",$P452),IF($O452="","",$O452))</f>
        <v/>
      </c>
      <c r="AA452">
        <f>IF(OR($Q452="",$Z452=""),"",IF(AND($Z452&gt;0,$Z452&gt;=$Q452),"yes","below the line"))</f>
        <v/>
      </c>
      <c r="AB452">
        <f>IF($V452,IF($M452="","",$M452),IF($K452="","",$K452))</f>
        <v/>
      </c>
      <c r="AC452">
        <f>IF($V452,IF($N452="","",$N452),IF($L452="","",$L452))</f>
        <v/>
      </c>
      <c r="AD452">
        <f>IF($Y452="","",IF($Y452="in line",IF(profit_kind="test",IF(ROUND($AB452*100,2)=0,"0.00",TEXT($AB452*100,"+0.00;-0.00"))&amp;" points against "&amp;IF($V452,"its band","the book")&amp;", "&amp;IF($AC452="","not tested","not significant"),IF(profit_kind="points","within "&amp;TEXT(profit_line*100,"0.00")&amp;" points of "&amp;IF($V452,"its band","the book")&amp;" ("&amp;IF(ROUND($AB452*100,2)=0,"0.00",TEXT($AB452*100,"+0.00;-0.00"))&amp;")","within $"&amp;TEXT(profit_line,"#,##0")&amp;" of "&amp;IF($V452,"its band","the book")&amp;" ("&amp;IF(ROUND($AB452*100,2)=0,"0.00",TEXT($AB452*100,"+0.00;-0.00"))&amp;" points)")),IF(LEFT($Y452,5)="worse","short of ","ahead of ")&amp;IF($V452,"its band","the book")&amp;" by "&amp;TEXT(ABS($AB452)*100,"0.00")&amp;" points"&amp;IF($Z452="",""," ($"&amp;TEXT(ABS($Z452),"#,##0")&amp;")")&amp;IF(RIGHT($Y452,15)="not significant"," (not significant)","")))</f>
        <v/>
      </c>
      <c r="AE452">
        <f>IF($V452,IF($S452="","",$S452),IF($R452="","",$R452))</f>
        <v/>
      </c>
      <c r="AF452">
        <f>IF($V452,IF($U452="","",$U452),IF($T452="","",$T452))</f>
        <v/>
      </c>
      <c r="AG452">
        <f>IF($V452,IF($O452="","",$O452),IF($P452="","",$P452))</f>
        <v/>
      </c>
      <c r="AH452" t="n">
        <v>0.1613873181190101</v>
      </c>
      <c r="AI452">
        <f>IF($Y452="worse","Yes",IF($Y452="worse, not significant","Not sure",IF(OR($Y452="too few losses to test",$Y452="too few loans to test"),"Too few losses",IF($Y452="","","No"))))</f>
        <v/>
      </c>
      <c r="AJ452">
        <f>IF($AA452="yes","Yes",IF($AA452="","","No"))</f>
        <v/>
      </c>
      <c r="AK452" t="n">
        <v>0.007815758579479321</v>
      </c>
      <c r="AL452" t="n">
        <v>0.007193878585621263</v>
      </c>
      <c r="AM452">
        <f>IF(AND(ISNUMBER($AC452),ISNUMBER(IF($V452,IF($AL452="","",$AL452),IF($AK452="","",$AK452)))),IF(AND(ABS($AC452-significance_bar)&lt;=2.0*IF($V452,IF($AL452="","",$AL452),IF($AK452="","",$AK452)),OR($Y452="worse",$Y452="better",$Y452="worse, not significant",$Y452="better, not significant",AND(profit_kind="test",$Y452="in line",ISNUMBER($AB452),$AB452&lt;&gt;0))),IF(ROUND($AC452,3)=ROUND(significance_bar,3),TEXT($AC452,"0.0000"),TEXT($AC452,"0.000")),""),"")</f>
        <v/>
      </c>
      <c r="AN452">
        <f>IF(AND(ISNUMBER($AC452),ISNUMBER(IF($V452,IF($AL452="","",$AL452),IF($AK452="","",$AK452)))),IF(AND(ABS($AC452-significance_bar)&lt;=2.0*IF($V452,IF($AL452="","",$AL452),IF($AK452="","",$AK452)),OR($Y452="worse",$Y452="worse, not significant",AND(profit_kind="test",$Y452="in line",ISNUMBER($AB452),$AB452&lt;0))),IF(ROUND($AC452,3)=ROUND(significance_bar,3),TEXT($AC452,"0.0000"),TEXT($AC452,"0.000")),""),"")</f>
        <v/>
      </c>
      <c r="AO452">
        <f>IF(OR($AI452="",$AN452=""),$AI452,$AI452&amp;" · borderline (p "&amp;$AN452&amp;")")</f>
        <v/>
      </c>
    </row>
    <row r="453">
      <c r="A453" t="inlineStr">
        <is>
          <t>three-way</t>
        </is>
      </c>
      <c r="B453" t="inlineStr">
        <is>
          <t>SHORT_HIST x CHANNEL / REV_DEBT</t>
        </is>
      </c>
      <c r="C453" t="inlineStr">
        <is>
          <t>346.0 - 435.0</t>
        </is>
      </c>
      <c r="D453" t="inlineStr">
        <is>
          <t>Branch / REV_DEBT high half</t>
        </is>
      </c>
      <c r="E453" t="inlineStr">
        <is>
          <t>contribution_rate</t>
        </is>
      </c>
      <c r="F453" t="inlineStr">
        <is>
          <t>Contribution before losses per booked dollar</t>
        </is>
      </c>
      <c r="G453" t="n">
        <v>266</v>
      </c>
      <c r="H453" t="n">
        <v>8735044.280000005</v>
      </c>
      <c r="I453" t="b">
        <v>0</v>
      </c>
      <c r="J453" t="b">
        <v>0</v>
      </c>
      <c r="K453" t="n">
        <v>0.02603615202790829</v>
      </c>
      <c r="L453" t="n">
        <v>0.002347591327823739</v>
      </c>
      <c r="M453" t="n">
        <v>0.03578367710813793</v>
      </c>
      <c r="N453" t="n">
        <v>0.00023997600239976</v>
      </c>
      <c r="O453" t="n">
        <v>-227426.9408445908</v>
      </c>
      <c r="P453" t="n">
        <v>-312572.0040408073</v>
      </c>
      <c r="Q453">
        <f>'_live'!$C$24</f>
        <v/>
      </c>
      <c r="R453" t="inlineStr">
        <is>
          <t>shuffled: 14 of 10,000</t>
        </is>
      </c>
      <c r="S453" t="inlineStr">
        <is>
          <t>shuffled: 0 of 10,000</t>
        </is>
      </c>
      <c r="T453" t="n">
        <v>0.1687110542220868</v>
      </c>
      <c r="U453" t="n">
        <v>0.1589635291418571</v>
      </c>
      <c r="V453">
        <f>AND(judged_band,NOT($J453))</f>
        <v/>
      </c>
      <c r="W453">
        <f>IF($K453="","",IF(profit_kind="test",IF(OR(NOT(AND(ISNUMBER($L453),$L453&lt;significance_bar)),$K453=0),"in line",IF($K453&lt;0,"worse","better")),IF(OR($K453=0,IF(profit_kind="points",ABS($K453),ABS($K453*$H453))&lt;profit_line*(1-1E-9)),"in line",IF(AND(ISNUMBER($L453),$L453&lt;significance_bar),IF($K453&lt;0,"worse","better"),IF($K453&lt;0,"worse, not significant","better, not significant")))))</f>
        <v/>
      </c>
      <c r="X453">
        <f>IF($M453="","",IF(profit_kind="test",IF(OR(NOT(AND(ISNUMBER($N453),$N453&lt;significance_bar)),$M453=0),"in line",IF($M453&lt;0,"worse","better")),IF(OR($M453=0,IF(profit_kind="points",ABS($M453),ABS($M453*$H453))&lt;profit_line*(1-1E-9)),"in line",IF(AND(ISNUMBER($N453),$N453&lt;significance_bar),IF($M453&lt;0,"worse","better"),IF($M453&lt;0,"worse, not significant","better, not significant")))))</f>
        <v/>
      </c>
      <c r="Y453">
        <f>IF($V453,$X453,$W453)</f>
        <v/>
      </c>
      <c r="Z453">
        <f>IF($V453,IF($P453="","",$P453),IF($O453="","",$O453))</f>
        <v/>
      </c>
      <c r="AA453">
        <f>IF(OR($Q453="",$Z453=""),"",IF(AND($Z453&gt;0,$Z453&gt;=$Q453),"yes","below the line"))</f>
        <v/>
      </c>
      <c r="AB453">
        <f>IF($V453,IF($M453="","",$M453),IF($K453="","",$K453))</f>
        <v/>
      </c>
      <c r="AC453">
        <f>IF($V453,IF($N453="","",$N453),IF($L453="","",$L453))</f>
        <v/>
      </c>
      <c r="AD453">
        <f>IF($Y453="","",IF($Y453="in line",IF(profit_kind="test",IF(ROUND($AB453*100,2)=0,"0.00",TEXT($AB453*100,"+0.00;-0.00"))&amp;" points against "&amp;IF($V453,"its band","the book")&amp;", "&amp;IF($AC453="","not tested","not significant"),IF(profit_kind="points","within "&amp;TEXT(profit_line*100,"0.00")&amp;" points of "&amp;IF($V453,"its band","the book")&amp;" ("&amp;IF(ROUND($AB453*100,2)=0,"0.00",TEXT($AB453*100,"+0.00;-0.00"))&amp;")","within $"&amp;TEXT(profit_line,"#,##0")&amp;" of "&amp;IF($V453,"its band","the book")&amp;" ("&amp;IF(ROUND($AB453*100,2)=0,"0.00",TEXT($AB453*100,"+0.00;-0.00"))&amp;" points)")),IF(LEFT($Y453,5)="worse","short of ","ahead of ")&amp;IF($V453,"its band","the book")&amp;" by "&amp;TEXT(ABS($AB453)*100,"0.00")&amp;" points"&amp;IF($Z453="",""," ($"&amp;TEXT(ABS($Z453),"#,##0")&amp;")")&amp;IF(RIGHT($Y453,15)="not significant"," (not significant)","")))</f>
        <v/>
      </c>
      <c r="AE453">
        <f>IF($V453,IF($S453="","",$S453),IF($R453="","",$R453))</f>
        <v/>
      </c>
      <c r="AF453">
        <f>IF($V453,IF($U453="","",$U453),IF($T453="","",$T453))</f>
        <v/>
      </c>
      <c r="AG453">
        <f>IF($V453,IF($O453="","",$O453),IF($P453="","",$P453))</f>
        <v/>
      </c>
      <c r="AH453" t="n">
        <v>0.1947472062499951</v>
      </c>
      <c r="AI453">
        <f>IF($Y453="worse","Yes",IF($Y453="worse, not significant","Not sure",IF(OR($Y453="too few losses to test",$Y453="too few loans to test"),"Too few losses",IF($Y453="","","No"))))</f>
        <v/>
      </c>
      <c r="AJ453">
        <f>IF($AA453="yes","Yes",IF($AA453="","","No"))</f>
        <v/>
      </c>
      <c r="AK453" t="n">
        <v>0.0006057210239823701</v>
      </c>
      <c r="AL453" t="n">
        <v>0.00023997600239976</v>
      </c>
      <c r="AM453">
        <f>IF(AND(ISNUMBER($AC453),ISNUMBER(IF($V453,IF($AL453="","",$AL453),IF($AK453="","",$AK453)))),IF(AND(ABS($AC453-significance_bar)&lt;=2.0*IF($V453,IF($AL453="","",$AL453),IF($AK453="","",$AK453)),OR($Y453="worse",$Y453="better",$Y453="worse, not significant",$Y453="better, not significant",AND(profit_kind="test",$Y453="in line",ISNUMBER($AB453),$AB453&lt;&gt;0))),IF(ROUND($AC453,3)=ROUND(significance_bar,3),TEXT($AC453,"0.0000"),TEXT($AC453,"0.000")),""),"")</f>
        <v/>
      </c>
      <c r="AN453">
        <f>IF(AND(ISNUMBER($AC453),ISNUMBER(IF($V453,IF($AL453="","",$AL453),IF($AK453="","",$AK453)))),IF(AND(ABS($AC453-significance_bar)&lt;=2.0*IF($V453,IF($AL453="","",$AL453),IF($AK453="","",$AK453)),OR($Y453="worse",$Y453="worse, not significant",AND(profit_kind="test",$Y453="in line",ISNUMBER($AB453),$AB453&lt;0))),IF(ROUND($AC453,3)=ROUND(significance_bar,3),TEXT($AC453,"0.0000"),TEXT($AC453,"0.000")),""),"")</f>
        <v/>
      </c>
      <c r="AO453">
        <f>IF(OR($AI453="",$AN453=""),$AI453,$AI453&amp;" · borderline (p "&amp;$AN453&amp;")")</f>
        <v/>
      </c>
    </row>
    <row r="454">
      <c r="A454" t="inlineStr">
        <is>
          <t>three-way</t>
        </is>
      </c>
      <c r="B454" t="inlineStr">
        <is>
          <t>SHORT_HIST x CHANNEL / REV_DEBT</t>
        </is>
      </c>
      <c r="C454" t="inlineStr">
        <is>
          <t>172.0 - 256.3</t>
        </is>
      </c>
      <c r="D454" t="inlineStr">
        <is>
          <t>Branch / REV_DEBT low half</t>
        </is>
      </c>
      <c r="E454" t="inlineStr">
        <is>
          <t>outcome_loans</t>
        </is>
      </c>
      <c r="F454" t="inlineStr">
        <is>
          <t>Outcome, share of loans</t>
        </is>
      </c>
      <c r="G454" t="n">
        <v>260</v>
      </c>
      <c r="H454" t="n">
        <v>260</v>
      </c>
      <c r="I454" t="b">
        <v>1</v>
      </c>
      <c r="J454" t="b">
        <v>0</v>
      </c>
      <c r="K454" t="n">
        <v>0.3897268034747577</v>
      </c>
      <c r="M454" t="n">
        <v>0.418080888183981</v>
      </c>
      <c r="O454" t="n">
        <v>-12.52719989662747</v>
      </c>
      <c r="P454" t="n">
        <v>-11.1350531107739</v>
      </c>
      <c r="Q454">
        <f>'_live'!$C$20</f>
        <v/>
      </c>
      <c r="T454" t="n">
        <v>0.07895076883318258</v>
      </c>
      <c r="U454" t="n">
        <v>0.07359635811836115</v>
      </c>
      <c r="V454">
        <f>AND(judged_band,NOT($J454))</f>
        <v/>
      </c>
      <c r="W454">
        <f>IF($K454="","",IF($I454,"too few losses to test",IF(AND($K454&gt;better_at,$K454&lt;worse_at),"in line",IF($K454&gt;=worse_at,IF(AND(ISNUMBER($L454),$L454&lt;significance_bar),"worse","worse, not significant"),IF(AND(ISNUMBER($L454),$L454&lt;significance_bar),"better","better, not significant")))))</f>
        <v/>
      </c>
      <c r="X454">
        <f>IF($M454="","",IF($I454,"too few losses to test",IF(AND($M454&gt;better_at,$M454&lt;worse_at),"in line",IF($M454&gt;=worse_at,IF(AND(ISNUMBER($N454),$N454&lt;significance_bar),"worse","worse, not significant"),IF(AND(ISNUMBER($N454),$N454&lt;significance_bar),"better","better, not significant")))))</f>
        <v/>
      </c>
      <c r="Y454">
        <f>IF($V454,$X454,$W454)</f>
        <v/>
      </c>
      <c r="Z454">
        <f>IF($V454,IF($P454="","",$P454),IF($O454="","",$O454))</f>
        <v/>
      </c>
      <c r="AA454">
        <f>IF(OR($Q454="",$Z454=""),"",IF(AND($Z454&gt;0,$Z454&gt;=$Q454),"yes","below the line"))</f>
        <v/>
      </c>
      <c r="AB454">
        <f>IF($V454,IF($M454="","",$M454),IF($K454="","",$K454))</f>
        <v/>
      </c>
      <c r="AC454">
        <f>IF($V454,IF($N454="","",$N454),IF($L454="","",$L454))</f>
        <v/>
      </c>
      <c r="AD454">
        <f>$Y454</f>
        <v/>
      </c>
      <c r="AE454">
        <f>IF($V454,IF($S454="","",$S454),IF($R454="","",$R454))</f>
        <v/>
      </c>
      <c r="AF454">
        <f>IF($V454,IF($U454="","",$U454),IF($T454="","",$T454))</f>
        <v/>
      </c>
      <c r="AG454">
        <f>IF($V454,IF($O454="","",$O454),IF($P454="","",$P454))</f>
        <v/>
      </c>
      <c r="AH454" t="n">
        <v>0.03076923076923077</v>
      </c>
      <c r="AI454">
        <f>IF($Y454="worse","Yes",IF($Y454="worse, not significant","Not sure",IF(OR($Y454="too few losses to test",$Y454="too few loans to test"),"Too few losses",IF($Y454="","","No"))))</f>
        <v/>
      </c>
      <c r="AJ454">
        <f>IF($AA454="yes","Yes",IF($AA454="","","No"))</f>
        <v/>
      </c>
      <c r="AM454">
        <f>IF(AND(ISNUMBER($AC454),ISNUMBER(IF($V454,IF($AL454="","",$AL454),IF($AK454="","",$AK454)))),IF(AND(ABS($AC454-significance_bar)&lt;=2.0*IF($V454,IF($AL454="","",$AL454),IF($AK454="","",$AK454)),OR($Y454="worse",$Y454="better",$Y454="worse, not significant",$Y454="better, not significant")),IF(ROUND($AC454,3)=ROUND(significance_bar,3),TEXT($AC454,"0.0000"),TEXT($AC454,"0.000")),""),"")</f>
        <v/>
      </c>
      <c r="AN454">
        <f>IF(AND(ISNUMBER($AC454),ISNUMBER(IF($V454,IF($AL454="","",$AL454),IF($AK454="","",$AK454)))),IF(AND(ABS($AC454-significance_bar)&lt;=2.0*IF($V454,IF($AL454="","",$AL454),IF($AK454="","",$AK454)),OR($Y454="worse",$Y454="worse, not significant")),IF(ROUND($AC454,3)=ROUND(significance_bar,3),TEXT($AC454,"0.0000"),TEXT($AC454,"0.000")),""),"")</f>
        <v/>
      </c>
      <c r="AO454">
        <f>IF(OR($AI454="",$AN454=""),$AI454,$AI454&amp;" · borderline (p "&amp;$AN454&amp;")")</f>
        <v/>
      </c>
    </row>
    <row r="455">
      <c r="A455" t="inlineStr">
        <is>
          <t>three-way</t>
        </is>
      </c>
      <c r="B455" t="inlineStr">
        <is>
          <t>SHORT_HIST x CHANNEL / REV_DEBT</t>
        </is>
      </c>
      <c r="C455" t="inlineStr">
        <is>
          <t>172.0 - 256.3</t>
        </is>
      </c>
      <c r="D455" t="inlineStr">
        <is>
          <t>Branch / REV_DEBT low half</t>
        </is>
      </c>
      <c r="E455" t="inlineStr">
        <is>
          <t>outcome_booked</t>
        </is>
      </c>
      <c r="F455" t="inlineStr">
        <is>
          <t>Outcome, share of booked dollars</t>
        </is>
      </c>
      <c r="G455" t="n">
        <v>260</v>
      </c>
      <c r="H455" t="n">
        <v>8463067.510000002</v>
      </c>
      <c r="I455" t="b">
        <v>1</v>
      </c>
      <c r="J455" t="b">
        <v>0</v>
      </c>
      <c r="K455" t="n">
        <v>0.2769256707953423</v>
      </c>
      <c r="M455" t="n">
        <v>0.2956729108654808</v>
      </c>
      <c r="O455" t="n">
        <v>-469033.296328513</v>
      </c>
      <c r="P455" t="n">
        <v>-427904.4493382156</v>
      </c>
      <c r="Q455">
        <f>'_live'!$C$21</f>
        <v/>
      </c>
      <c r="T455" t="n">
        <v>0.07664660544915265</v>
      </c>
      <c r="U455" t="n">
        <v>0.07178680172648363</v>
      </c>
      <c r="V455">
        <f>AND(judged_band,NOT($J455))</f>
        <v/>
      </c>
      <c r="W455">
        <f>IF($K455="","",IF($I455,"too few losses to test",IF(AND($K455&gt;better_at,$K455&lt;worse_at),"in line",IF($K455&gt;=worse_at,IF(AND(ISNUMBER($L455),$L455&lt;significance_bar),"worse","worse, not significant"),IF(AND(ISNUMBER($L455),$L455&lt;significance_bar),"better","better, not significant")))))</f>
        <v/>
      </c>
      <c r="X455">
        <f>IF($M455="","",IF($I455,"too few losses to test",IF(AND($M455&gt;better_at,$M455&lt;worse_at),"in line",IF($M455&gt;=worse_at,IF(AND(ISNUMBER($N455),$N455&lt;significance_bar),"worse","worse, not significant"),IF(AND(ISNUMBER($N455),$N455&lt;significance_bar),"better","better, not significant")))))</f>
        <v/>
      </c>
      <c r="Y455">
        <f>IF($V455,$X455,$W455)</f>
        <v/>
      </c>
      <c r="Z455">
        <f>IF($V455,IF($P455="","",$P455),IF($O455="","",$O455))</f>
        <v/>
      </c>
      <c r="AA455">
        <f>IF(OR($Q455="",$Z455=""),"",IF(AND($Z455&gt;0,$Z455&gt;=$Q455),"yes","below the line"))</f>
        <v/>
      </c>
      <c r="AB455">
        <f>IF($V455,IF($M455="","",$M455),IF($K455="","",$K455))</f>
        <v/>
      </c>
      <c r="AC455">
        <f>IF($V455,IF($N455="","",$N455),IF($L455="","",$L455))</f>
        <v/>
      </c>
      <c r="AD455">
        <f>$Y455</f>
        <v/>
      </c>
      <c r="AE455">
        <f>IF($V455,IF($S455="","",$S455),IF($R455="","",$R455))</f>
        <v/>
      </c>
      <c r="AF455">
        <f>IF($V455,IF($U455="","",$U455),IF($T455="","",$T455))</f>
        <v/>
      </c>
      <c r="AG455">
        <f>IF($V455,IF($O455="","",$O455),IF($P455="","",$P455))</f>
        <v/>
      </c>
      <c r="AH455" t="n">
        <v>0.02122541262819254</v>
      </c>
      <c r="AI455">
        <f>IF($Y455="worse","Yes",IF($Y455="worse, not significant","Not sure",IF(OR($Y455="too few losses to test",$Y455="too few loans to test"),"Too few losses",IF($Y455="","","No"))))</f>
        <v/>
      </c>
      <c r="AJ455">
        <f>IF($AA455="yes","Yes",IF($AA455="","","No"))</f>
        <v/>
      </c>
      <c r="AM455">
        <f>IF(AND(ISNUMBER($AC455),ISNUMBER(IF($V455,IF($AL455="","",$AL455),IF($AK455="","",$AK455)))),IF(AND(ABS($AC455-significance_bar)&lt;=2.0*IF($V455,IF($AL455="","",$AL455),IF($AK455="","",$AK455)),OR($Y455="worse",$Y455="better",$Y455="worse, not significant",$Y455="better, not significant")),IF(ROUND($AC455,3)=ROUND(significance_bar,3),TEXT($AC455,"0.0000"),TEXT($AC455,"0.000")),""),"")</f>
        <v/>
      </c>
      <c r="AN455">
        <f>IF(AND(ISNUMBER($AC455),ISNUMBER(IF($V455,IF($AL455="","",$AL455),IF($AK455="","",$AK455)))),IF(AND(ABS($AC455-significance_bar)&lt;=2.0*IF($V455,IF($AL455="","",$AL455),IF($AK455="","",$AK455)),OR($Y455="worse",$Y455="worse, not significant")),IF(ROUND($AC455,3)=ROUND(significance_bar,3),TEXT($AC455,"0.0000"),TEXT($AC455,"0.000")),""),"")</f>
        <v/>
      </c>
      <c r="AO455">
        <f>IF(OR($AI455="",$AN455=""),$AI455,$AI455&amp;" · borderline (p "&amp;$AN455&amp;")")</f>
        <v/>
      </c>
    </row>
    <row r="456">
      <c r="A456" t="inlineStr">
        <is>
          <t>three-way</t>
        </is>
      </c>
      <c r="B456" t="inlineStr">
        <is>
          <t>SHORT_HIST x CHANNEL / REV_DEBT</t>
        </is>
      </c>
      <c r="C456" t="inlineStr">
        <is>
          <t>172.0 - 256.3</t>
        </is>
      </c>
      <c r="D456" t="inlineStr">
        <is>
          <t>Branch / REV_DEBT low half</t>
        </is>
      </c>
      <c r="E456" t="inlineStr">
        <is>
          <t>gco_rate</t>
        </is>
      </c>
      <c r="F456" t="inlineStr">
        <is>
          <t>GCO per booked dollar</t>
        </is>
      </c>
      <c r="G456" t="n">
        <v>260</v>
      </c>
      <c r="H456" t="n">
        <v>8463067.510000002</v>
      </c>
      <c r="I456" t="b">
        <v>1</v>
      </c>
      <c r="J456" t="b">
        <v>0</v>
      </c>
      <c r="K456" t="n">
        <v>0.2786974560847231</v>
      </c>
      <c r="M456" t="n">
        <v>0.2976776801387196</v>
      </c>
      <c r="O456" t="n">
        <v>-260130.6773880758</v>
      </c>
      <c r="P456" t="n">
        <v>-237135.902077717</v>
      </c>
      <c r="Q456">
        <f>'_live'!$C$22</f>
        <v/>
      </c>
      <c r="T456" t="n">
        <v>0.04261341138564021</v>
      </c>
      <c r="U456" t="n">
        <v>0.03989633802149795</v>
      </c>
      <c r="V456">
        <f>AND(judged_band,NOT($J456))</f>
        <v/>
      </c>
      <c r="W456">
        <f>IF($K456="","",IF($I456,"too few losses to test",IF(AND($K456&gt;better_at,$K456&lt;worse_at),"in line",IF($K456&gt;=worse_at,IF(AND(ISNUMBER($L456),$L456&lt;significance_bar),"worse","worse, not significant"),IF(AND(ISNUMBER($L456),$L456&lt;significance_bar),"better","better, not significant")))))</f>
        <v/>
      </c>
      <c r="X456">
        <f>IF($M456="","",IF($I456,"too few losses to test",IF(AND($M456&gt;better_at,$M456&lt;worse_at),"in line",IF($M456&gt;=worse_at,IF(AND(ISNUMBER($N456),$N456&lt;significance_bar),"worse","worse, not significant"),IF(AND(ISNUMBER($N456),$N456&lt;significance_bar),"better","better, not significant")))))</f>
        <v/>
      </c>
      <c r="Y456">
        <f>IF($V456,$X456,$W456)</f>
        <v/>
      </c>
      <c r="Z456">
        <f>IF($V456,IF($P456="","",$P456),IF($O456="","",$O456))</f>
        <v/>
      </c>
      <c r="AA456">
        <f>IF(OR($Q456="",$Z456=""),"",IF(AND($Z456&gt;0,$Z456&gt;=$Q456),"yes","below the line"))</f>
        <v/>
      </c>
      <c r="AB456">
        <f>IF($V456,IF($M456="","",$M456),IF($K456="","",$K456))</f>
        <v/>
      </c>
      <c r="AC456">
        <f>IF($V456,IF($N456="","",$N456),IF($L456="","",$L456))</f>
        <v/>
      </c>
      <c r="AD456">
        <f>$Y456</f>
        <v/>
      </c>
      <c r="AE456">
        <f>IF($V456,IF($S456="","",$S456),IF($R456="","",$R456))</f>
        <v/>
      </c>
      <c r="AF456">
        <f>IF($V456,IF($U456="","",$U456),IF($T456="","",$T456))</f>
        <v/>
      </c>
      <c r="AG456">
        <f>IF($V456,IF($O456="","",$O456),IF($P456="","",$P456))</f>
        <v/>
      </c>
      <c r="AH456" t="n">
        <v>0.0118762493482697</v>
      </c>
      <c r="AI456">
        <f>IF($Y456="worse","Yes",IF($Y456="worse, not significant","Not sure",IF(OR($Y456="too few losses to test",$Y456="too few loans to test"),"Too few losses",IF($Y456="","","No"))))</f>
        <v/>
      </c>
      <c r="AJ456">
        <f>IF($AA456="yes","Yes",IF($AA456="","","No"))</f>
        <v/>
      </c>
      <c r="AM456">
        <f>IF(AND(ISNUMBER($AC456),ISNUMBER(IF($V456,IF($AL456="","",$AL456),IF($AK456="","",$AK456)))),IF(AND(ABS($AC456-significance_bar)&lt;=2.0*IF($V456,IF($AL456="","",$AL456),IF($AK456="","",$AK456)),OR($Y456="worse",$Y456="better",$Y456="worse, not significant",$Y456="better, not significant")),IF(ROUND($AC456,3)=ROUND(significance_bar,3),TEXT($AC456,"0.0000"),TEXT($AC456,"0.000")),""),"")</f>
        <v/>
      </c>
      <c r="AN456">
        <f>IF(AND(ISNUMBER($AC456),ISNUMBER(IF($V456,IF($AL456="","",$AL456),IF($AK456="","",$AK456)))),IF(AND(ABS($AC456-significance_bar)&lt;=2.0*IF($V456,IF($AL456="","",$AL456),IF($AK456="","",$AK456)),OR($Y456="worse",$Y456="worse, not significant")),IF(ROUND($AC456,3)=ROUND(significance_bar,3),TEXT($AC456,"0.0000"),TEXT($AC456,"0.000")),""),"")</f>
        <v/>
      </c>
      <c r="AO456">
        <f>IF(OR($AI456="",$AN456=""),$AI456,$AI456&amp;" · borderline (p "&amp;$AN456&amp;")")</f>
        <v/>
      </c>
    </row>
    <row r="457">
      <c r="A457" t="inlineStr">
        <is>
          <t>three-way</t>
        </is>
      </c>
      <c r="B457" t="inlineStr">
        <is>
          <t>SHORT_HIST x CHANNEL / REV_DEBT</t>
        </is>
      </c>
      <c r="C457" t="inlineStr">
        <is>
          <t>172.0 - 256.3</t>
        </is>
      </c>
      <c r="D457" t="inlineStr">
        <is>
          <t>Branch / REV_DEBT low half</t>
        </is>
      </c>
      <c r="E457" t="inlineStr">
        <is>
          <t>ranr_rate</t>
        </is>
      </c>
      <c r="F457" t="inlineStr">
        <is>
          <t>Profit after losses: RANR per booked dollar</t>
        </is>
      </c>
      <c r="G457" t="n">
        <v>260</v>
      </c>
      <c r="H457" t="n">
        <v>8463067.510000002</v>
      </c>
      <c r="I457" t="b">
        <v>0</v>
      </c>
      <c r="J457" t="b">
        <v>0</v>
      </c>
      <c r="K457" t="n">
        <v>-0.02329061724020733</v>
      </c>
      <c r="L457" t="n">
        <v>0.1662583741625838</v>
      </c>
      <c r="M457" t="n">
        <v>-0.03194131308064509</v>
      </c>
      <c r="N457" t="n">
        <v>0.08022054937363407</v>
      </c>
      <c r="O457" t="n">
        <v>197110.0660534444</v>
      </c>
      <c r="P457" t="n">
        <v>270321.4889595454</v>
      </c>
      <c r="Q457">
        <f>'_live'!$C$23</f>
        <v/>
      </c>
      <c r="R457" t="inlineStr">
        <is>
          <t>shuffled: 738 of 10,000</t>
        </is>
      </c>
      <c r="S457" t="inlineStr">
        <is>
          <t>shuffled: 155 of 10,000</t>
        </is>
      </c>
      <c r="T457" t="n">
        <v>0.1287538395228332</v>
      </c>
      <c r="U457" t="n">
        <v>0.137404535363271</v>
      </c>
      <c r="V457">
        <f>AND(judged_band,NOT($J457))</f>
        <v/>
      </c>
      <c r="W457">
        <f>IF($K457="","",IF(profit_kind="test",IF(OR(NOT(AND(ISNUMBER($L457),$L457&lt;significance_bar)),$K457=0),"in line",IF($K457&lt;0,"worse","better")),IF(OR($K457=0,IF(profit_kind="points",ABS($K457),ABS($K457*$H457))&lt;profit_line*(1-1E-9)),"in line",IF(AND(ISNUMBER($L457),$L457&lt;significance_bar),IF($K457&lt;0,"worse","better"),IF($K457&lt;0,"worse, not significant","better, not significant")))))</f>
        <v/>
      </c>
      <c r="X457">
        <f>IF($M457="","",IF(profit_kind="test",IF(OR(NOT(AND(ISNUMBER($N457),$N457&lt;significance_bar)),$M457=0),"in line",IF($M457&lt;0,"worse","better")),IF(OR($M457=0,IF(profit_kind="points",ABS($M457),ABS($M457*$H457))&lt;profit_line*(1-1E-9)),"in line",IF(AND(ISNUMBER($N457),$N457&lt;significance_bar),IF($M457&lt;0,"worse","better"),IF($M457&lt;0,"worse, not significant","better, not significant")))))</f>
        <v/>
      </c>
      <c r="Y457">
        <f>IF($V457,$X457,$W457)</f>
        <v/>
      </c>
      <c r="Z457">
        <f>IF($V457,IF($P457="","",$P457),IF($O457="","",$O457))</f>
        <v/>
      </c>
      <c r="AA457">
        <f>IF(OR($Q457="",$Z457=""),"",IF(AND($Z457&gt;0,$Z457&gt;=$Q457),"yes","below the line"))</f>
        <v/>
      </c>
      <c r="AB457">
        <f>IF($V457,IF($M457="","",$M457),IF($K457="","",$K457))</f>
        <v/>
      </c>
      <c r="AC457">
        <f>IF($V457,IF($N457="","",$N457),IF($L457="","",$L457))</f>
        <v/>
      </c>
      <c r="AD457">
        <f>IF($Y457="","",IF($Y457="in line",IF(profit_kind="test",IF(ROUND($AB457*100,2)=0,"0.00",TEXT($AB457*100,"+0.00;-0.00"))&amp;" points against "&amp;IF($V457,"its band","the book")&amp;", "&amp;IF($AC457="","not tested","not significant"),IF(profit_kind="points","within "&amp;TEXT(profit_line*100,"0.00")&amp;" points of "&amp;IF($V457,"its band","the book")&amp;" ("&amp;IF(ROUND($AB457*100,2)=0,"0.00",TEXT($AB457*100,"+0.00;-0.00"))&amp;")","within $"&amp;TEXT(profit_line,"#,##0")&amp;" of "&amp;IF($V457,"its band","the book")&amp;" ("&amp;IF(ROUND($AB457*100,2)=0,"0.00",TEXT($AB457*100,"+0.00;-0.00"))&amp;" points)")),IF(LEFT($Y457,5)="worse","short of ","ahead of ")&amp;IF($V457,"its band","the book")&amp;" by "&amp;TEXT(ABS($AB457)*100,"0.00")&amp;" points"&amp;IF($Z457="",""," ($"&amp;TEXT(ABS($Z457),"#,##0")&amp;")")&amp;IF(RIGHT($Y457,15)="not significant"," (not significant)","")))</f>
        <v/>
      </c>
      <c r="AE457">
        <f>IF($V457,IF($S457="","",$S457),IF($R457="","",$R457))</f>
        <v/>
      </c>
      <c r="AF457">
        <f>IF($V457,IF($U457="","",$U457),IF($T457="","",$T457))</f>
        <v/>
      </c>
      <c r="AG457">
        <f>IF($V457,IF($O457="","",$O457),IF($P457="","",$P457))</f>
        <v/>
      </c>
      <c r="AH457" t="n">
        <v>0.1054632222826259</v>
      </c>
      <c r="AI457">
        <f>IF($Y457="worse","Yes",IF($Y457="worse, not significant","Not sure",IF(OR($Y457="too few losses to test",$Y457="too few loans to test"),"Too few losses",IF($Y457="","","No"))))</f>
        <v/>
      </c>
      <c r="AJ457">
        <f>IF($AA457="yes","Yes",IF($AA457="","","No"))</f>
        <v/>
      </c>
      <c r="AK457" t="n">
        <v>0.005885911100981969</v>
      </c>
      <c r="AL457" t="n">
        <v>0.006372813262667519</v>
      </c>
      <c r="AM457">
        <f>IF(AND(ISNUMBER($AC457),ISNUMBER(IF($V457,IF($AL457="","",$AL457),IF($AK457="","",$AK457)))),IF(AND(ABS($AC457-significance_bar)&lt;=2.0*IF($V457,IF($AL457="","",$AL457),IF($AK457="","",$AK457)),OR($Y457="worse",$Y457="better",$Y457="worse, not significant",$Y457="better, not significant",AND(profit_kind="test",$Y457="in line",ISNUMBER($AB457),$AB457&lt;&gt;0))),IF(ROUND($AC457,3)=ROUND(significance_bar,3),TEXT($AC457,"0.0000"),TEXT($AC457,"0.000")),""),"")</f>
        <v/>
      </c>
      <c r="AN457">
        <f>IF(AND(ISNUMBER($AC457),ISNUMBER(IF($V457,IF($AL457="","",$AL457),IF($AK457="","",$AK457)))),IF(AND(ABS($AC457-significance_bar)&lt;=2.0*IF($V457,IF($AL457="","",$AL457),IF($AK457="","",$AK457)),OR($Y457="worse",$Y457="worse, not significant",AND(profit_kind="test",$Y457="in line",ISNUMBER($AB457),$AB457&lt;0))),IF(ROUND($AC457,3)=ROUND(significance_bar,3),TEXT($AC457,"0.0000"),TEXT($AC457,"0.000")),""),"")</f>
        <v/>
      </c>
      <c r="AO457">
        <f>IF(OR($AI457="",$AN457=""),$AI457,$AI457&amp;" · borderline (p "&amp;$AN457&amp;")")</f>
        <v/>
      </c>
    </row>
    <row r="458">
      <c r="A458" t="inlineStr">
        <is>
          <t>three-way</t>
        </is>
      </c>
      <c r="B458" t="inlineStr">
        <is>
          <t>SHORT_HIST x CHANNEL / REV_DEBT</t>
        </is>
      </c>
      <c r="C458" t="inlineStr">
        <is>
          <t>172.0 - 256.3</t>
        </is>
      </c>
      <c r="D458" t="inlineStr">
        <is>
          <t>Branch / REV_DEBT low half</t>
        </is>
      </c>
      <c r="E458" t="inlineStr">
        <is>
          <t>contribution_rate</t>
        </is>
      </c>
      <c r="F458" t="inlineStr">
        <is>
          <t>Contribution before losses per booked dollar</t>
        </is>
      </c>
      <c r="G458" t="n">
        <v>260</v>
      </c>
      <c r="H458" t="n">
        <v>8463067.510000002</v>
      </c>
      <c r="I458" t="b">
        <v>0</v>
      </c>
      <c r="J458" t="b">
        <v>0</v>
      </c>
      <c r="K458" t="n">
        <v>-0.05402494452390366</v>
      </c>
      <c r="L458" t="n">
        <v>0.00023997600239976</v>
      </c>
      <c r="M458" t="n">
        <v>-0.05996140175387332</v>
      </c>
      <c r="N458" t="n">
        <v>0.00023997600239976</v>
      </c>
      <c r="O458" t="n">
        <v>457216.7527298016</v>
      </c>
      <c r="P458" t="n">
        <v>507457.3910372624</v>
      </c>
      <c r="Q458">
        <f>'_live'!$C$24</f>
        <v/>
      </c>
      <c r="R458" t="inlineStr">
        <is>
          <t>shuffled: 0 of 10,000</t>
        </is>
      </c>
      <c r="S458" t="inlineStr">
        <is>
          <t>shuffled: 0 of 10,000</t>
        </is>
      </c>
      <c r="T458" t="n">
        <v>0.1713644161547993</v>
      </c>
      <c r="U458" t="n">
        <v>0.1773008733847689</v>
      </c>
      <c r="V458">
        <f>AND(judged_band,NOT($J458))</f>
        <v/>
      </c>
      <c r="W458">
        <f>IF($K458="","",IF(profit_kind="test",IF(OR(NOT(AND(ISNUMBER($L458),$L458&lt;significance_bar)),$K458=0),"in line",IF($K458&lt;0,"worse","better")),IF(OR($K458=0,IF(profit_kind="points",ABS($K458),ABS($K458*$H458))&lt;profit_line*(1-1E-9)),"in line",IF(AND(ISNUMBER($L458),$L458&lt;significance_bar),IF($K458&lt;0,"worse","better"),IF($K458&lt;0,"worse, not significant","better, not significant")))))</f>
        <v/>
      </c>
      <c r="X458">
        <f>IF($M458="","",IF(profit_kind="test",IF(OR(NOT(AND(ISNUMBER($N458),$N458&lt;significance_bar)),$M458=0),"in line",IF($M458&lt;0,"worse","better")),IF(OR($M458=0,IF(profit_kind="points",ABS($M458),ABS($M458*$H458))&lt;profit_line*(1-1E-9)),"in line",IF(AND(ISNUMBER($N458),$N458&lt;significance_bar),IF($M458&lt;0,"worse","better"),IF($M458&lt;0,"worse, not significant","better, not significant")))))</f>
        <v/>
      </c>
      <c r="Y458">
        <f>IF($V458,$X458,$W458)</f>
        <v/>
      </c>
      <c r="Z458">
        <f>IF($V458,IF($P458="","",$P458),IF($O458="","",$O458))</f>
        <v/>
      </c>
      <c r="AA458">
        <f>IF(OR($Q458="",$Z458=""),"",IF(AND($Z458&gt;0,$Z458&gt;=$Q458),"yes","below the line"))</f>
        <v/>
      </c>
      <c r="AB458">
        <f>IF($V458,IF($M458="","",$M458),IF($K458="","",$K458))</f>
        <v/>
      </c>
      <c r="AC458">
        <f>IF($V458,IF($N458="","",$N458),IF($L458="","",$L458))</f>
        <v/>
      </c>
      <c r="AD458">
        <f>IF($Y458="","",IF($Y458="in line",IF(profit_kind="test",IF(ROUND($AB458*100,2)=0,"0.00",TEXT($AB458*100,"+0.00;-0.00"))&amp;" points against "&amp;IF($V458,"its band","the book")&amp;", "&amp;IF($AC458="","not tested","not significant"),IF(profit_kind="points","within "&amp;TEXT(profit_line*100,"0.00")&amp;" points of "&amp;IF($V458,"its band","the book")&amp;" ("&amp;IF(ROUND($AB458*100,2)=0,"0.00",TEXT($AB458*100,"+0.00;-0.00"))&amp;")","within $"&amp;TEXT(profit_line,"#,##0")&amp;" of "&amp;IF($V458,"its band","the book")&amp;" ("&amp;IF(ROUND($AB458*100,2)=0,"0.00",TEXT($AB458*100,"+0.00;-0.00"))&amp;" points)")),IF(LEFT($Y458,5)="worse","short of ","ahead of ")&amp;IF($V458,"its band","the book")&amp;" by "&amp;TEXT(ABS($AB458)*100,"0.00")&amp;" points"&amp;IF($Z458="",""," ($"&amp;TEXT(ABS($Z458),"#,##0")&amp;")")&amp;IF(RIGHT($Y458,15)="not significant"," (not significant)","")))</f>
        <v/>
      </c>
      <c r="AE458">
        <f>IF($V458,IF($S458="","",$S458),IF($R458="","",$R458))</f>
        <v/>
      </c>
      <c r="AF458">
        <f>IF($V458,IF($U458="","",$U458),IF($T458="","",$T458))</f>
        <v/>
      </c>
      <c r="AG458">
        <f>IF($V458,IF($O458="","",$O458),IF($P458="","",$P458))</f>
        <v/>
      </c>
      <c r="AH458" t="n">
        <v>0.1173394716308956</v>
      </c>
      <c r="AI458">
        <f>IF($Y458="worse","Yes",IF($Y458="worse, not significant","Not sure",IF(OR($Y458="too few losses to test",$Y458="too few loans to test"),"Too few losses",IF($Y458="","","No"))))</f>
        <v/>
      </c>
      <c r="AJ458">
        <f>IF($AA458="yes","Yes",IF($AA458="","","No"))</f>
        <v/>
      </c>
      <c r="AK458" t="n">
        <v>0.00023997600239976</v>
      </c>
      <c r="AL458" t="n">
        <v>0.00023997600239976</v>
      </c>
      <c r="AM458">
        <f>IF(AND(ISNUMBER($AC458),ISNUMBER(IF($V458,IF($AL458="","",$AL458),IF($AK458="","",$AK458)))),IF(AND(ABS($AC458-significance_bar)&lt;=2.0*IF($V458,IF($AL458="","",$AL458),IF($AK458="","",$AK458)),OR($Y458="worse",$Y458="better",$Y458="worse, not significant",$Y458="better, not significant",AND(profit_kind="test",$Y458="in line",ISNUMBER($AB458),$AB458&lt;&gt;0))),IF(ROUND($AC458,3)=ROUND(significance_bar,3),TEXT($AC458,"0.0000"),TEXT($AC458,"0.000")),""),"")</f>
        <v/>
      </c>
      <c r="AN458">
        <f>IF(AND(ISNUMBER($AC458),ISNUMBER(IF($V458,IF($AL458="","",$AL458),IF($AK458="","",$AK458)))),IF(AND(ABS($AC458-significance_bar)&lt;=2.0*IF($V458,IF($AL458="","",$AL458),IF($AK458="","",$AK458)),OR($Y458="worse",$Y458="worse, not significant",AND(profit_kind="test",$Y458="in line",ISNUMBER($AB458),$AB458&lt;0))),IF(ROUND($AC458,3)=ROUND(significance_bar,3),TEXT($AC458,"0.0000"),TEXT($AC458,"0.000")),""),"")</f>
        <v/>
      </c>
      <c r="AO458">
        <f>IF(OR($AI458="",$AN458=""),$AI458,$AI458&amp;" · borderline (p "&amp;$AN458&amp;")")</f>
        <v/>
      </c>
    </row>
    <row r="459">
      <c r="A459" t="inlineStr">
        <is>
          <t>three-way</t>
        </is>
      </c>
      <c r="B459" t="inlineStr">
        <is>
          <t>SHORT_HIST x CHANNEL / REV_DEBT</t>
        </is>
      </c>
      <c r="C459" t="inlineStr">
        <is>
          <t>256.4 - 345.9</t>
        </is>
      </c>
      <c r="D459" t="inlineStr">
        <is>
          <t>Broker / REV_DEBT high half</t>
        </is>
      </c>
      <c r="E459" t="inlineStr">
        <is>
          <t>outcome_loans</t>
        </is>
      </c>
      <c r="F459" t="inlineStr">
        <is>
          <t>Outcome, share of loans</t>
        </is>
      </c>
      <c r="G459" t="n">
        <v>256</v>
      </c>
      <c r="H459" t="n">
        <v>256</v>
      </c>
      <c r="I459" t="b">
        <v>0</v>
      </c>
      <c r="J459" t="b">
        <v>0</v>
      </c>
      <c r="K459" t="n">
        <v>1.757892628205128</v>
      </c>
      <c r="L459" t="n">
        <v>0.003860203866312452</v>
      </c>
      <c r="M459" t="n">
        <v>1.72125</v>
      </c>
      <c r="N459" t="n">
        <v>0.01632229732339725</v>
      </c>
      <c r="O459" t="n">
        <v>14.65865943432778</v>
      </c>
      <c r="P459" t="n">
        <v>14.24691358024691</v>
      </c>
      <c r="Q459">
        <f>'_live'!$C$20</f>
        <v/>
      </c>
      <c r="R459" t="inlineStr">
        <is>
          <t>z test</t>
        </is>
      </c>
      <c r="S459" t="inlineStr">
        <is>
          <t>z test</t>
        </is>
      </c>
      <c r="T459" t="n">
        <v>0.07555211158465711</v>
      </c>
      <c r="U459" t="n">
        <v>0.07716049382716049</v>
      </c>
      <c r="V459">
        <f>AND(judged_band,NOT($J459))</f>
        <v/>
      </c>
      <c r="W459">
        <f>IF($K459="","",IF($I459,"too few losses to test",IF(AND($K459&gt;better_at,$K459&lt;worse_at),"in line",IF($K459&gt;=worse_at,IF(AND(ISNUMBER($L459),$L459&lt;significance_bar),"worse","worse, not significant"),IF(AND(ISNUMBER($L459),$L459&lt;significance_bar),"better","better, not significant")))))</f>
        <v/>
      </c>
      <c r="X459">
        <f>IF($M459="","",IF($I459,"too few losses to test",IF(AND($M459&gt;better_at,$M459&lt;worse_at),"in line",IF($M459&gt;=worse_at,IF(AND(ISNUMBER($N459),$N459&lt;significance_bar),"worse","worse, not significant"),IF(AND(ISNUMBER($N459),$N459&lt;significance_bar),"better","better, not significant")))))</f>
        <v/>
      </c>
      <c r="Y459">
        <f>IF($V459,$X459,$W459)</f>
        <v/>
      </c>
      <c r="Z459">
        <f>IF($V459,IF($P459="","",$P459),IF($O459="","",$O459))</f>
        <v/>
      </c>
      <c r="AA459">
        <f>IF(OR($Q459="",$Z459=""),"",IF(AND($Z459&gt;0,$Z459&gt;=$Q459),"yes","below the line"))</f>
        <v/>
      </c>
      <c r="AB459">
        <f>IF($V459,IF($M459="","",$M459),IF($K459="","",$K459))</f>
        <v/>
      </c>
      <c r="AC459">
        <f>IF($V459,IF($N459="","",$N459),IF($L459="","",$L459))</f>
        <v/>
      </c>
      <c r="AD459">
        <f>$Y459</f>
        <v/>
      </c>
      <c r="AE459">
        <f>IF($V459,IF($S459="","",$S459),IF($R459="","",$R459))</f>
        <v/>
      </c>
      <c r="AF459">
        <f>IF($V459,IF($U459="","",$U459),IF($T459="","",$T459))</f>
        <v/>
      </c>
      <c r="AG459">
        <f>IF($V459,IF($O459="","",$O459),IF($P459="","",$P459))</f>
        <v/>
      </c>
      <c r="AH459" t="n">
        <v>0.1328125</v>
      </c>
      <c r="AI459">
        <f>IF($Y459="worse","Yes",IF($Y459="worse, not significant","Not sure",IF(OR($Y459="too few losses to test",$Y459="too few loans to test"),"Too few losses",IF($Y459="","","No"))))</f>
        <v/>
      </c>
      <c r="AJ459">
        <f>IF($AA459="yes","Yes",IF($AA459="","","No"))</f>
        <v/>
      </c>
      <c r="AM459">
        <f>IF(AND(ISNUMBER($AC459),ISNUMBER(IF($V459,IF($AL459="","",$AL459),IF($AK459="","",$AK459)))),IF(AND(ABS($AC459-significance_bar)&lt;=2.0*IF($V459,IF($AL459="","",$AL459),IF($AK459="","",$AK459)),OR($Y459="worse",$Y459="better",$Y459="worse, not significant",$Y459="better, not significant")),IF(ROUND($AC459,3)=ROUND(significance_bar,3),TEXT($AC459,"0.0000"),TEXT($AC459,"0.000")),""),"")</f>
        <v/>
      </c>
      <c r="AN459">
        <f>IF(AND(ISNUMBER($AC459),ISNUMBER(IF($V459,IF($AL459="","",$AL459),IF($AK459="","",$AK459)))),IF(AND(ABS($AC459-significance_bar)&lt;=2.0*IF($V459,IF($AL459="","",$AL459),IF($AK459="","",$AK459)),OR($Y459="worse",$Y459="worse, not significant")),IF(ROUND($AC459,3)=ROUND(significance_bar,3),TEXT($AC459,"0.0000"),TEXT($AC459,"0.000")),""),"")</f>
        <v/>
      </c>
      <c r="AO459">
        <f>IF(OR($AI459="",$AN459=""),$AI459,$AI459&amp;" · borderline (p "&amp;$AN459&amp;")")</f>
        <v/>
      </c>
    </row>
    <row r="460">
      <c r="A460" t="inlineStr">
        <is>
          <t>three-way</t>
        </is>
      </c>
      <c r="B460" t="inlineStr">
        <is>
          <t>SHORT_HIST x CHANNEL / REV_DEBT</t>
        </is>
      </c>
      <c r="C460" t="inlineStr">
        <is>
          <t>256.4 - 345.9</t>
        </is>
      </c>
      <c r="D460" t="inlineStr">
        <is>
          <t>Broker / REV_DEBT high half</t>
        </is>
      </c>
      <c r="E460" t="inlineStr">
        <is>
          <t>outcome_booked</t>
        </is>
      </c>
      <c r="F460" t="inlineStr">
        <is>
          <t>Outcome, share of booked dollars</t>
        </is>
      </c>
      <c r="G460" t="n">
        <v>256</v>
      </c>
      <c r="H460" t="n">
        <v>8462894.640000002</v>
      </c>
      <c r="I460" t="b">
        <v>0</v>
      </c>
      <c r="J460" t="b">
        <v>0</v>
      </c>
      <c r="K460" t="n">
        <v>1.655144980045127</v>
      </c>
      <c r="L460" t="n">
        <v>0.04122444898367306</v>
      </c>
      <c r="M460" t="n">
        <v>1.625303209808229</v>
      </c>
      <c r="N460" t="n">
        <v>0.06874868068748681</v>
      </c>
      <c r="O460" t="n">
        <v>406155.6696409202</v>
      </c>
      <c r="P460" t="n">
        <v>394772.9695943759</v>
      </c>
      <c r="Q460">
        <f>'_live'!$C$21</f>
        <v/>
      </c>
      <c r="R460" t="inlineStr">
        <is>
          <t>shuffled: 99 of 10,000</t>
        </is>
      </c>
      <c r="S460" t="inlineStr">
        <is>
          <t>shuffled: 227 of 10,000</t>
        </is>
      </c>
      <c r="T460" t="n">
        <v>0.07325481371691513</v>
      </c>
      <c r="U460" t="n">
        <v>0.07459982633148128</v>
      </c>
      <c r="V460">
        <f>AND(judged_band,NOT($J460))</f>
        <v/>
      </c>
      <c r="W460">
        <f>IF($K460="","",IF($I460,"too few losses to test",IF(AND($K460&gt;better_at,$K460&lt;worse_at),"in line",IF($K460&gt;=worse_at,IF(AND(ISNUMBER($L460),$L460&lt;significance_bar),"worse","worse, not significant"),IF(AND(ISNUMBER($L460),$L460&lt;significance_bar),"better","better, not significant")))))</f>
        <v/>
      </c>
      <c r="X460">
        <f>IF($M460="","",IF($I460,"too few losses to test",IF(AND($M460&gt;better_at,$M460&lt;worse_at),"in line",IF($M460&gt;=worse_at,IF(AND(ISNUMBER($N460),$N460&lt;significance_bar),"worse","worse, not significant"),IF(AND(ISNUMBER($N460),$N460&lt;significance_bar),"better","better, not significant")))))</f>
        <v/>
      </c>
      <c r="Y460">
        <f>IF($V460,$X460,$W460)</f>
        <v/>
      </c>
      <c r="Z460">
        <f>IF($V460,IF($P460="","",$P460),IF($O460="","",$O460))</f>
        <v/>
      </c>
      <c r="AA460">
        <f>IF(OR($Q460="",$Z460=""),"",IF(AND($Z460&gt;0,$Z460&gt;=$Q460),"yes","below the line"))</f>
        <v/>
      </c>
      <c r="AB460">
        <f>IF($V460,IF($M460="","",$M460),IF($K460="","",$K460))</f>
        <v/>
      </c>
      <c r="AC460">
        <f>IF($V460,IF($N460="","",$N460),IF($L460="","",$L460))</f>
        <v/>
      </c>
      <c r="AD460">
        <f>$Y460</f>
        <v/>
      </c>
      <c r="AE460">
        <f>IF($V460,IF($S460="","",$S460),IF($R460="","",$R460))</f>
        <v/>
      </c>
      <c r="AF460">
        <f>IF($V460,IF($U460="","",$U460),IF($T460="","",$T460))</f>
        <v/>
      </c>
      <c r="AG460">
        <f>IF($V460,IF($O460="","",$O460),IF($P460="","",$P460))</f>
        <v/>
      </c>
      <c r="AH460" t="n">
        <v>0.121247337187693</v>
      </c>
      <c r="AI460">
        <f>IF($Y460="worse","Yes",IF($Y460="worse, not significant","Not sure",IF(OR($Y460="too few losses to test",$Y460="too few loans to test"),"Too few losses",IF($Y460="","","No"))))</f>
        <v/>
      </c>
      <c r="AJ460">
        <f>IF($AA460="yes","Yes",IF($AA460="","","No"))</f>
        <v/>
      </c>
      <c r="AK460" t="n">
        <v>0.003891271344244059</v>
      </c>
      <c r="AL460" t="n">
        <v>0.004403191100413208</v>
      </c>
      <c r="AM460">
        <f>IF(AND(ISNUMBER($AC460),ISNUMBER(IF($V460,IF($AL460="","",$AL460),IF($AK460="","",$AK460)))),IF(AND(ABS($AC460-significance_bar)&lt;=2.0*IF($V460,IF($AL460="","",$AL460),IF($AK460="","",$AK460)),OR($Y460="worse",$Y460="better",$Y460="worse, not significant",$Y460="better, not significant")),IF(ROUND($AC460,3)=ROUND(significance_bar,3),TEXT($AC460,"0.0000"),TEXT($AC460,"0.000")),""),"")</f>
        <v/>
      </c>
      <c r="AN460">
        <f>IF(AND(ISNUMBER($AC460),ISNUMBER(IF($V460,IF($AL460="","",$AL460),IF($AK460="","",$AK460)))),IF(AND(ABS($AC460-significance_bar)&lt;=2.0*IF($V460,IF($AL460="","",$AL460),IF($AK460="","",$AK460)),OR($Y460="worse",$Y460="worse, not significant")),IF(ROUND($AC460,3)=ROUND(significance_bar,3),TEXT($AC460,"0.0000"),TEXT($AC460,"0.000")),""),"")</f>
        <v/>
      </c>
      <c r="AO460">
        <f>IF(OR($AI460="",$AN460=""),$AI460,$AI460&amp;" · borderline (p "&amp;$AN460&amp;")")</f>
        <v/>
      </c>
    </row>
    <row r="461">
      <c r="A461" t="inlineStr">
        <is>
          <t>three-way</t>
        </is>
      </c>
      <c r="B461" t="inlineStr">
        <is>
          <t>SHORT_HIST x CHANNEL / REV_DEBT</t>
        </is>
      </c>
      <c r="C461" t="inlineStr">
        <is>
          <t>256.4 - 345.9</t>
        </is>
      </c>
      <c r="D461" t="inlineStr">
        <is>
          <t>Broker / REV_DEBT high half</t>
        </is>
      </c>
      <c r="E461" t="inlineStr">
        <is>
          <t>gco_rate</t>
        </is>
      </c>
      <c r="F461" t="inlineStr">
        <is>
          <t>GCO per booked dollar</t>
        </is>
      </c>
      <c r="G461" t="n">
        <v>256</v>
      </c>
      <c r="H461" t="n">
        <v>8462894.640000002</v>
      </c>
      <c r="I461" t="b">
        <v>0</v>
      </c>
      <c r="J461" t="b">
        <v>0</v>
      </c>
      <c r="K461" t="n">
        <v>1.593476189438343</v>
      </c>
      <c r="L461" t="n">
        <v>0.08133472367049009</v>
      </c>
      <c r="M461" t="n">
        <v>1.573830589275991</v>
      </c>
      <c r="N461" t="n">
        <v>0.1097090290970903</v>
      </c>
      <c r="O461" t="n">
        <v>204973.7350525224</v>
      </c>
      <c r="P461" t="n">
        <v>200662.4947138437</v>
      </c>
      <c r="Q461">
        <f>'_live'!$C$22</f>
        <v/>
      </c>
      <c r="R461" t="inlineStr">
        <is>
          <t>shuffled: 218 of 10,000</t>
        </is>
      </c>
      <c r="S461" t="inlineStr">
        <is>
          <t>shuffled: 421 of 10,000</t>
        </is>
      </c>
      <c r="T461" t="n">
        <v>0.04081088204915636</v>
      </c>
      <c r="U461" t="n">
        <v>0.04132031062201151</v>
      </c>
      <c r="V461">
        <f>AND(judged_band,NOT($J461))</f>
        <v/>
      </c>
      <c r="W461">
        <f>IF($K461="","",IF($I461,"too few losses to test",IF(AND($K461&gt;better_at,$K461&lt;worse_at),"in line",IF($K461&gt;=worse_at,IF(AND(ISNUMBER($L461),$L461&lt;significance_bar),"worse","worse, not significant"),IF(AND(ISNUMBER($L461),$L461&lt;significance_bar),"better","better, not significant")))))</f>
        <v/>
      </c>
      <c r="X461">
        <f>IF($M461="","",IF($I461,"too few losses to test",IF(AND($M461&gt;better_at,$M461&lt;worse_at),"in line",IF($M461&gt;=worse_at,IF(AND(ISNUMBER($N461),$N461&lt;significance_bar),"worse","worse, not significant"),IF(AND(ISNUMBER($N461),$N461&lt;significance_bar),"better","better, not significant")))))</f>
        <v/>
      </c>
      <c r="Y461">
        <f>IF($V461,$X461,$W461)</f>
        <v/>
      </c>
      <c r="Z461">
        <f>IF($V461,IF($P461="","",$P461),IF($O461="","",$O461))</f>
        <v/>
      </c>
      <c r="AA461">
        <f>IF(OR($Q461="",$Z461=""),"",IF(AND($Z461&gt;0,$Z461&gt;=$Q461),"yes","below the line"))</f>
        <v/>
      </c>
      <c r="AB461">
        <f>IF($V461,IF($M461="","",$M461),IF($K461="","",$K461))</f>
        <v/>
      </c>
      <c r="AC461">
        <f>IF($V461,IF($N461="","",$N461),IF($L461="","",$L461))</f>
        <v/>
      </c>
      <c r="AD461">
        <f>$Y461</f>
        <v/>
      </c>
      <c r="AE461">
        <f>IF($V461,IF($S461="","",$S461),IF($R461="","",$R461))</f>
        <v/>
      </c>
      <c r="AF461">
        <f>IF($V461,IF($U461="","",$U461),IF($T461="","",$T461))</f>
        <v/>
      </c>
      <c r="AG461">
        <f>IF($V461,IF($O461="","",$O461),IF($P461="","",$P461))</f>
        <v/>
      </c>
      <c r="AH461" t="n">
        <v>0.06503116881530736</v>
      </c>
      <c r="AI461">
        <f>IF($Y461="worse","Yes",IF($Y461="worse, not significant","Not sure",IF(OR($Y461="too few losses to test",$Y461="too few loans to test"),"Too few losses",IF($Y461="","","No"))))</f>
        <v/>
      </c>
      <c r="AJ461">
        <f>IF($AA461="yes","Yes",IF($AA461="","","No"))</f>
        <v/>
      </c>
      <c r="AK461" t="n">
        <v>0.00543585379614024</v>
      </c>
      <c r="AL461" t="n">
        <v>0.005226924569830795</v>
      </c>
      <c r="AM461">
        <f>IF(AND(ISNUMBER($AC461),ISNUMBER(IF($V461,IF($AL461="","",$AL461),IF($AK461="","",$AK461)))),IF(AND(ABS($AC461-significance_bar)&lt;=2.0*IF($V461,IF($AL461="","",$AL461),IF($AK461="","",$AK461)),OR($Y461="worse",$Y461="better",$Y461="worse, not significant",$Y461="better, not significant")),IF(ROUND($AC461,3)=ROUND(significance_bar,3),TEXT($AC461,"0.0000"),TEXT($AC461,"0.000")),""),"")</f>
        <v/>
      </c>
      <c r="AN461">
        <f>IF(AND(ISNUMBER($AC461),ISNUMBER(IF($V461,IF($AL461="","",$AL461),IF($AK461="","",$AK461)))),IF(AND(ABS($AC461-significance_bar)&lt;=2.0*IF($V461,IF($AL461="","",$AL461),IF($AK461="","",$AK461)),OR($Y461="worse",$Y461="worse, not significant")),IF(ROUND($AC461,3)=ROUND(significance_bar,3),TEXT($AC461,"0.0000"),TEXT($AC461,"0.000")),""),"")</f>
        <v/>
      </c>
      <c r="AO461">
        <f>IF(OR($AI461="",$AN461=""),$AI461,$AI461&amp;" · borderline (p "&amp;$AN461&amp;")")</f>
        <v/>
      </c>
    </row>
    <row r="462">
      <c r="A462" t="inlineStr">
        <is>
          <t>three-way</t>
        </is>
      </c>
      <c r="B462" t="inlineStr">
        <is>
          <t>SHORT_HIST x CHANNEL / REV_DEBT</t>
        </is>
      </c>
      <c r="C462" t="inlineStr">
        <is>
          <t>256.4 - 345.9</t>
        </is>
      </c>
      <c r="D462" t="inlineStr">
        <is>
          <t>Broker / REV_DEBT high half</t>
        </is>
      </c>
      <c r="E462" t="inlineStr">
        <is>
          <t>ranr_rate</t>
        </is>
      </c>
      <c r="F462" t="inlineStr">
        <is>
          <t>Profit after losses: RANR per booked dollar</t>
        </is>
      </c>
      <c r="G462" t="n">
        <v>256</v>
      </c>
      <c r="H462" t="n">
        <v>8462894.640000002</v>
      </c>
      <c r="I462" t="b">
        <v>0</v>
      </c>
      <c r="J462" t="b">
        <v>0</v>
      </c>
      <c r="K462" t="n">
        <v>0.009659345097953992</v>
      </c>
      <c r="L462" t="n">
        <v>0.6271680524255268</v>
      </c>
      <c r="M462" t="n">
        <v>0.007449190042997489</v>
      </c>
      <c r="N462" t="n">
        <v>0.7068067386809705</v>
      </c>
      <c r="O462" t="n">
        <v>-81746.01985538518</v>
      </c>
      <c r="P462" t="n">
        <v>-63041.71048722486</v>
      </c>
      <c r="Q462">
        <f>'_live'!$C$23</f>
        <v/>
      </c>
      <c r="R462" t="inlineStr">
        <is>
          <t>shuffled: 4,529 of 10,000</t>
        </is>
      </c>
      <c r="S462" t="inlineStr">
        <is>
          <t>shuffled: 6,055 of 10,000</t>
        </is>
      </c>
      <c r="T462" t="n">
        <v>0.1276732886449611</v>
      </c>
      <c r="U462" t="n">
        <v>0.1298834436999176</v>
      </c>
      <c r="V462">
        <f>AND(judged_band,NOT($J462))</f>
        <v/>
      </c>
      <c r="W462">
        <f>IF($K462="","",IF(profit_kind="test",IF(OR(NOT(AND(ISNUMBER($L462),$L462&lt;significance_bar)),$K462=0),"in line",IF($K462&lt;0,"worse","better")),IF(OR($K462=0,IF(profit_kind="points",ABS($K462),ABS($K462*$H462))&lt;profit_line*(1-1E-9)),"in line",IF(AND(ISNUMBER($L462),$L462&lt;significance_bar),IF($K462&lt;0,"worse","better"),IF($K462&lt;0,"worse, not significant","better, not significant")))))</f>
        <v/>
      </c>
      <c r="X462">
        <f>IF($M462="","",IF(profit_kind="test",IF(OR(NOT(AND(ISNUMBER($N462),$N462&lt;significance_bar)),$M462=0),"in line",IF($M462&lt;0,"worse","better")),IF(OR($M462=0,IF(profit_kind="points",ABS($M462),ABS($M462*$H462))&lt;profit_line*(1-1E-9)),"in line",IF(AND(ISNUMBER($N462),$N462&lt;significance_bar),IF($M462&lt;0,"worse","better"),IF($M462&lt;0,"worse, not significant","better, not significant")))))</f>
        <v/>
      </c>
      <c r="Y462">
        <f>IF($V462,$X462,$W462)</f>
        <v/>
      </c>
      <c r="Z462">
        <f>IF($V462,IF($P462="","",$P462),IF($O462="","",$O462))</f>
        <v/>
      </c>
      <c r="AA462">
        <f>IF(OR($Q462="",$Z462=""),"",IF(AND($Z462&gt;0,$Z462&gt;=$Q462),"yes","below the line"))</f>
        <v/>
      </c>
      <c r="AB462">
        <f>IF($V462,IF($M462="","",$M462),IF($K462="","",$K462))</f>
        <v/>
      </c>
      <c r="AC462">
        <f>IF($V462,IF($N462="","",$N462),IF($L462="","",$L462))</f>
        <v/>
      </c>
      <c r="AD462">
        <f>IF($Y462="","",IF($Y462="in line",IF(profit_kind="test",IF(ROUND($AB462*100,2)=0,"0.00",TEXT($AB462*100,"+0.00;-0.00"))&amp;" points against "&amp;IF($V462,"its band","the book")&amp;", "&amp;IF($AC462="","not tested","not significant"),IF(profit_kind="points","within "&amp;TEXT(profit_line*100,"0.00")&amp;" points of "&amp;IF($V462,"its band","the book")&amp;" ("&amp;IF(ROUND($AB462*100,2)=0,"0.00",TEXT($AB462*100,"+0.00;-0.00"))&amp;")","within $"&amp;TEXT(profit_line,"#,##0")&amp;" of "&amp;IF($V462,"its band","the book")&amp;" ("&amp;IF(ROUND($AB462*100,2)=0,"0.00",TEXT($AB462*100,"+0.00;-0.00"))&amp;" points)")),IF(LEFT($Y462,5)="worse","short of ","ahead of ")&amp;IF($V462,"its band","the book")&amp;" by "&amp;TEXT(ABS($AB462)*100,"0.00")&amp;" points"&amp;IF($Z462="",""," ($"&amp;TEXT(ABS($Z462),"#,##0")&amp;")")&amp;IF(RIGHT($Y462,15)="not significant"," (not significant)","")))</f>
        <v/>
      </c>
      <c r="AE462">
        <f>IF($V462,IF($S462="","",$S462),IF($R462="","",$R462))</f>
        <v/>
      </c>
      <c r="AF462">
        <f>IF($V462,IF($U462="","",$U462),IF($T462="","",$T462))</f>
        <v/>
      </c>
      <c r="AG462">
        <f>IF($V462,IF($O462="","",$O462),IF($P462="","",$P462))</f>
        <v/>
      </c>
      <c r="AH462" t="n">
        <v>0.137332633742915</v>
      </c>
      <c r="AI462">
        <f>IF($Y462="worse","Yes",IF($Y462="worse, not significant","Not sure",IF(OR($Y462="too few losses to test",$Y462="too few loans to test"),"Too few losses",IF($Y462="","","No"))))</f>
        <v/>
      </c>
      <c r="AJ462">
        <f>IF($AA462="yes","Yes",IF($AA462="","","No"))</f>
        <v/>
      </c>
      <c r="AK462" t="n">
        <v>0.006892363659474333</v>
      </c>
      <c r="AL462" t="n">
        <v>0.005667733759803545</v>
      </c>
      <c r="AM462">
        <f>IF(AND(ISNUMBER($AC462),ISNUMBER(IF($V462,IF($AL462="","",$AL462),IF($AK462="","",$AK462)))),IF(AND(ABS($AC462-significance_bar)&lt;=2.0*IF($V462,IF($AL462="","",$AL462),IF($AK462="","",$AK462)),OR($Y462="worse",$Y462="better",$Y462="worse, not significant",$Y462="better, not significant",AND(profit_kind="test",$Y462="in line",ISNUMBER($AB462),$AB462&lt;&gt;0))),IF(ROUND($AC462,3)=ROUND(significance_bar,3),TEXT($AC462,"0.0000"),TEXT($AC462,"0.000")),""),"")</f>
        <v/>
      </c>
      <c r="AN462">
        <f>IF(AND(ISNUMBER($AC462),ISNUMBER(IF($V462,IF($AL462="","",$AL462),IF($AK462="","",$AK462)))),IF(AND(ABS($AC462-significance_bar)&lt;=2.0*IF($V462,IF($AL462="","",$AL462),IF($AK462="","",$AK462)),OR($Y462="worse",$Y462="worse, not significant",AND(profit_kind="test",$Y462="in line",ISNUMBER($AB462),$AB462&lt;0))),IF(ROUND($AC462,3)=ROUND(significance_bar,3),TEXT($AC462,"0.0000"),TEXT($AC462,"0.000")),""),"")</f>
        <v/>
      </c>
      <c r="AO462">
        <f>IF(OR($AI462="",$AN462=""),$AI462,$AI462&amp;" · borderline (p "&amp;$AN462&amp;")")</f>
        <v/>
      </c>
    </row>
    <row r="463">
      <c r="A463" t="inlineStr">
        <is>
          <t>three-way</t>
        </is>
      </c>
      <c r="B463" t="inlineStr">
        <is>
          <t>SHORT_HIST x CHANNEL / REV_DEBT</t>
        </is>
      </c>
      <c r="C463" t="inlineStr">
        <is>
          <t>256.4 - 345.9</t>
        </is>
      </c>
      <c r="D463" t="inlineStr">
        <is>
          <t>Broker / REV_DEBT high half</t>
        </is>
      </c>
      <c r="E463" t="inlineStr">
        <is>
          <t>contribution_rate</t>
        </is>
      </c>
      <c r="F463" t="inlineStr">
        <is>
          <t>Contribution before losses per booked dollar</t>
        </is>
      </c>
      <c r="G463" t="n">
        <v>256</v>
      </c>
      <c r="H463" t="n">
        <v>8462894.640000002</v>
      </c>
      <c r="I463" t="b">
        <v>0</v>
      </c>
      <c r="J463" t="b">
        <v>0</v>
      </c>
      <c r="K463" t="n">
        <v>0.03388263843837372</v>
      </c>
      <c r="L463" t="n">
        <v>0.0005399460053994601</v>
      </c>
      <c r="M463" t="n">
        <v>0.03117632924227243</v>
      </c>
      <c r="N463" t="n">
        <v>0.00215978402159784</v>
      </c>
      <c r="O463" t="n">
        <v>-286745.199229171</v>
      </c>
      <c r="P463" t="n">
        <v>-263841.9896393027</v>
      </c>
      <c r="Q463">
        <f>'_live'!$C$24</f>
        <v/>
      </c>
      <c r="R463" t="inlineStr">
        <is>
          <t>shuffled: 2 of 10,000</t>
        </is>
      </c>
      <c r="S463" t="inlineStr">
        <is>
          <t>shuffled: 14 of 10,000</t>
        </is>
      </c>
      <c r="T463" t="n">
        <v>0.1684811641198487</v>
      </c>
      <c r="U463" t="n">
        <v>0.17118747331595</v>
      </c>
      <c r="V463">
        <f>AND(judged_band,NOT($J463))</f>
        <v/>
      </c>
      <c r="W463">
        <f>IF($K463="","",IF(profit_kind="test",IF(OR(NOT(AND(ISNUMBER($L463),$L463&lt;significance_bar)),$K463=0),"in line",IF($K463&lt;0,"worse","better")),IF(OR($K463=0,IF(profit_kind="points",ABS($K463),ABS($K463*$H463))&lt;profit_line*(1-1E-9)),"in line",IF(AND(ISNUMBER($L463),$L463&lt;significance_bar),IF($K463&lt;0,"worse","better"),IF($K463&lt;0,"worse, not significant","better, not significant")))))</f>
        <v/>
      </c>
      <c r="X463">
        <f>IF($M463="","",IF(profit_kind="test",IF(OR(NOT(AND(ISNUMBER($N463),$N463&lt;significance_bar)),$M463=0),"in line",IF($M463&lt;0,"worse","better")),IF(OR($M463=0,IF(profit_kind="points",ABS($M463),ABS($M463*$H463))&lt;profit_line*(1-1E-9)),"in line",IF(AND(ISNUMBER($N463),$N463&lt;significance_bar),IF($M463&lt;0,"worse","better"),IF($M463&lt;0,"worse, not significant","better, not significant")))))</f>
        <v/>
      </c>
      <c r="Y463">
        <f>IF($V463,$X463,$W463)</f>
        <v/>
      </c>
      <c r="Z463">
        <f>IF($V463,IF($P463="","",$P463),IF($O463="","",$O463))</f>
        <v/>
      </c>
      <c r="AA463">
        <f>IF(OR($Q463="",$Z463=""),"",IF(AND($Z463&gt;0,$Z463&gt;=$Q463),"yes","below the line"))</f>
        <v/>
      </c>
      <c r="AB463">
        <f>IF($V463,IF($M463="","",$M463),IF($K463="","",$K463))</f>
        <v/>
      </c>
      <c r="AC463">
        <f>IF($V463,IF($N463="","",$N463),IF($L463="","",$L463))</f>
        <v/>
      </c>
      <c r="AD463">
        <f>IF($Y463="","",IF($Y463="in line",IF(profit_kind="test",IF(ROUND($AB463*100,2)=0,"0.00",TEXT($AB463*100,"+0.00;-0.00"))&amp;" points against "&amp;IF($V463,"its band","the book")&amp;", "&amp;IF($AC463="","not tested","not significant"),IF(profit_kind="points","within "&amp;TEXT(profit_line*100,"0.00")&amp;" points of "&amp;IF($V463,"its band","the book")&amp;" ("&amp;IF(ROUND($AB463*100,2)=0,"0.00",TEXT($AB463*100,"+0.00;-0.00"))&amp;")","within $"&amp;TEXT(profit_line,"#,##0")&amp;" of "&amp;IF($V463,"its band","the book")&amp;" ("&amp;IF(ROUND($AB463*100,2)=0,"0.00",TEXT($AB463*100,"+0.00;-0.00"))&amp;" points)")),IF(LEFT($Y463,5)="worse","short of ","ahead of ")&amp;IF($V463,"its band","the book")&amp;" by "&amp;TEXT(ABS($AB463)*100,"0.00")&amp;" points"&amp;IF($Z463="",""," ($"&amp;TEXT(ABS($Z463),"#,##0")&amp;")")&amp;IF(RIGHT($Y463,15)="not significant"," (not significant)","")))</f>
        <v/>
      </c>
      <c r="AE463">
        <f>IF($V463,IF($S463="","",$S463),IF($R463="","",$R463))</f>
        <v/>
      </c>
      <c r="AF463">
        <f>IF($V463,IF($U463="","",$U463),IF($T463="","",$T463))</f>
        <v/>
      </c>
      <c r="AG463">
        <f>IF($V463,IF($O463="","",$O463),IF($P463="","",$P463))</f>
        <v/>
      </c>
      <c r="AH463" t="n">
        <v>0.2023638025582224</v>
      </c>
      <c r="AI463">
        <f>IF($Y463="worse","Yes",IF($Y463="worse, not significant","Not sure",IF(OR($Y463="too few losses to test",$Y463="too few loans to test"),"Too few losses",IF($Y463="","","No"))))</f>
        <v/>
      </c>
      <c r="AJ463">
        <f>IF($AA463="yes","Yes",IF($AA463="","","No"))</f>
        <v/>
      </c>
      <c r="AK463" t="n">
        <v>0.0003117067962092391</v>
      </c>
      <c r="AL463" t="n">
        <v>0.0005572633420637805</v>
      </c>
      <c r="AM463">
        <f>IF(AND(ISNUMBER($AC463),ISNUMBER(IF($V463,IF($AL463="","",$AL463),IF($AK463="","",$AK463)))),IF(AND(ABS($AC463-significance_bar)&lt;=2.0*IF($V463,IF($AL463="","",$AL463),IF($AK463="","",$AK463)),OR($Y463="worse",$Y463="better",$Y463="worse, not significant",$Y463="better, not significant",AND(profit_kind="test",$Y463="in line",ISNUMBER($AB463),$AB463&lt;&gt;0))),IF(ROUND($AC463,3)=ROUND(significance_bar,3),TEXT($AC463,"0.0000"),TEXT($AC463,"0.000")),""),"")</f>
        <v/>
      </c>
      <c r="AN463">
        <f>IF(AND(ISNUMBER($AC463),ISNUMBER(IF($V463,IF($AL463="","",$AL463),IF($AK463="","",$AK463)))),IF(AND(ABS($AC463-significance_bar)&lt;=2.0*IF($V463,IF($AL463="","",$AL463),IF($AK463="","",$AK463)),OR($Y463="worse",$Y463="worse, not significant",AND(profit_kind="test",$Y463="in line",ISNUMBER($AB463),$AB463&lt;0))),IF(ROUND($AC463,3)=ROUND(significance_bar,3),TEXT($AC463,"0.0000"),TEXT($AC463,"0.000")),""),"")</f>
        <v/>
      </c>
      <c r="AO463">
        <f>IF(OR($AI463="",$AN463=""),$AI463,$AI463&amp;" · borderline (p "&amp;$AN463&amp;")")</f>
        <v/>
      </c>
    </row>
    <row r="464">
      <c r="A464" t="inlineStr">
        <is>
          <t>three-way</t>
        </is>
      </c>
      <c r="B464" t="inlineStr">
        <is>
          <t>SHORT_HIST x CHANNEL / REV_DEBT</t>
        </is>
      </c>
      <c r="C464" t="inlineStr">
        <is>
          <t>172.0 - 256.3</t>
        </is>
      </c>
      <c r="D464" t="inlineStr">
        <is>
          <t>Online / REV_DEBT low half</t>
        </is>
      </c>
      <c r="E464" t="inlineStr">
        <is>
          <t>outcome_loans</t>
        </is>
      </c>
      <c r="F464" t="inlineStr">
        <is>
          <t>Outcome, share of loans</t>
        </is>
      </c>
      <c r="G464" t="n">
        <v>259</v>
      </c>
      <c r="H464" t="n">
        <v>259</v>
      </c>
      <c r="I464" t="b">
        <v>0</v>
      </c>
      <c r="J464" t="b">
        <v>0</v>
      </c>
      <c r="K464" t="n">
        <v>0.5907908379078066</v>
      </c>
      <c r="L464" t="n">
        <v>0.1145172785195748</v>
      </c>
      <c r="M464" t="n">
        <v>0.6571179474405281</v>
      </c>
      <c r="N464" t="n">
        <v>0.1900425495538029</v>
      </c>
      <c r="O464" t="n">
        <v>-8.311757105943151</v>
      </c>
      <c r="P464" t="n">
        <v>-6.261561789234268</v>
      </c>
      <c r="Q464">
        <f>'_live'!$C$20</f>
        <v/>
      </c>
      <c r="R464" t="inlineStr">
        <is>
          <t>z test</t>
        </is>
      </c>
      <c r="S464" t="inlineStr">
        <is>
          <t>z test</t>
        </is>
      </c>
      <c r="T464" t="n">
        <v>0.07842377260981911</v>
      </c>
      <c r="U464" t="n">
        <v>0.07050796057619409</v>
      </c>
      <c r="V464">
        <f>AND(judged_band,NOT($J464))</f>
        <v/>
      </c>
      <c r="W464">
        <f>IF($K464="","",IF($I464,"too few losses to test",IF(AND($K464&gt;better_at,$K464&lt;worse_at),"in line",IF($K464&gt;=worse_at,IF(AND(ISNUMBER($L464),$L464&lt;significance_bar),"worse","worse, not significant"),IF(AND(ISNUMBER($L464),$L464&lt;significance_bar),"better","better, not significant")))))</f>
        <v/>
      </c>
      <c r="X464">
        <f>IF($M464="","",IF($I464,"too few losses to test",IF(AND($M464&gt;better_at,$M464&lt;worse_at),"in line",IF($M464&gt;=worse_at,IF(AND(ISNUMBER($N464),$N464&lt;significance_bar),"worse","worse, not significant"),IF(AND(ISNUMBER($N464),$N464&lt;significance_bar),"better","better, not significant")))))</f>
        <v/>
      </c>
      <c r="Y464">
        <f>IF($V464,$X464,$W464)</f>
        <v/>
      </c>
      <c r="Z464">
        <f>IF($V464,IF($P464="","",$P464),IF($O464="","",$O464))</f>
        <v/>
      </c>
      <c r="AA464">
        <f>IF(OR($Q464="",$Z464=""),"",IF(AND($Z464&gt;0,$Z464&gt;=$Q464),"yes","below the line"))</f>
        <v/>
      </c>
      <c r="AB464">
        <f>IF($V464,IF($M464="","",$M464),IF($K464="","",$K464))</f>
        <v/>
      </c>
      <c r="AC464">
        <f>IF($V464,IF($N464="","",$N464),IF($L464="","",$L464))</f>
        <v/>
      </c>
      <c r="AD464">
        <f>$Y464</f>
        <v/>
      </c>
      <c r="AE464">
        <f>IF($V464,IF($S464="","",$S464),IF($R464="","",$R464))</f>
        <v/>
      </c>
      <c r="AF464">
        <f>IF($V464,IF($U464="","",$U464),IF($T464="","",$T464))</f>
        <v/>
      </c>
      <c r="AG464">
        <f>IF($V464,IF($O464="","",$O464),IF($P464="","",$P464))</f>
        <v/>
      </c>
      <c r="AH464" t="n">
        <v>0.04633204633204633</v>
      </c>
      <c r="AI464">
        <f>IF($Y464="worse","Yes",IF($Y464="worse, not significant","Not sure",IF(OR($Y464="too few losses to test",$Y464="too few loans to test"),"Too few losses",IF($Y464="","","No"))))</f>
        <v/>
      </c>
      <c r="AJ464">
        <f>IF($AA464="yes","Yes",IF($AA464="","","No"))</f>
        <v/>
      </c>
      <c r="AM464">
        <f>IF(AND(ISNUMBER($AC464),ISNUMBER(IF($V464,IF($AL464="","",$AL464),IF($AK464="","",$AK464)))),IF(AND(ABS($AC464-significance_bar)&lt;=2.0*IF($V464,IF($AL464="","",$AL464),IF($AK464="","",$AK464)),OR($Y464="worse",$Y464="better",$Y464="worse, not significant",$Y464="better, not significant")),IF(ROUND($AC464,3)=ROUND(significance_bar,3),TEXT($AC464,"0.0000"),TEXT($AC464,"0.000")),""),"")</f>
        <v/>
      </c>
      <c r="AN464">
        <f>IF(AND(ISNUMBER($AC464),ISNUMBER(IF($V464,IF($AL464="","",$AL464),IF($AK464="","",$AK464)))),IF(AND(ABS($AC464-significance_bar)&lt;=2.0*IF($V464,IF($AL464="","",$AL464),IF($AK464="","",$AK464)),OR($Y464="worse",$Y464="worse, not significant")),IF(ROUND($AC464,3)=ROUND(significance_bar,3),TEXT($AC464,"0.0000"),TEXT($AC464,"0.000")),""),"")</f>
        <v/>
      </c>
      <c r="AO464">
        <f>IF(OR($AI464="",$AN464=""),$AI464,$AI464&amp;" · borderline (p "&amp;$AN464&amp;")")</f>
        <v/>
      </c>
    </row>
    <row r="465">
      <c r="A465" t="inlineStr">
        <is>
          <t>three-way</t>
        </is>
      </c>
      <c r="B465" t="inlineStr">
        <is>
          <t>SHORT_HIST x CHANNEL / REV_DEBT</t>
        </is>
      </c>
      <c r="C465" t="inlineStr">
        <is>
          <t>172.0 - 256.3</t>
        </is>
      </c>
      <c r="D465" t="inlineStr">
        <is>
          <t>Online / REV_DEBT low half</t>
        </is>
      </c>
      <c r="E465" t="inlineStr">
        <is>
          <t>outcome_booked</t>
        </is>
      </c>
      <c r="F465" t="inlineStr">
        <is>
          <t>Outcome, share of booked dollars</t>
        </is>
      </c>
      <c r="G465" t="n">
        <v>259</v>
      </c>
      <c r="H465" t="n">
        <v>8452784.050000008</v>
      </c>
      <c r="I465" t="b">
        <v>0</v>
      </c>
      <c r="J465" t="b">
        <v>0</v>
      </c>
      <c r="K465" t="n">
        <v>0.5100408575777925</v>
      </c>
      <c r="L465" t="n">
        <v>0.1233432212334322</v>
      </c>
      <c r="M465" t="n">
        <v>0.567538167623592</v>
      </c>
      <c r="N465" t="n">
        <v>0.1882954561686689</v>
      </c>
      <c r="O465" t="n">
        <v>-314960.4216165243</v>
      </c>
      <c r="P465" t="n">
        <v>-249835.2964825943</v>
      </c>
      <c r="Q465">
        <f>'_live'!$C$21</f>
        <v/>
      </c>
      <c r="R465" t="inlineStr">
        <is>
          <t>shuffled: 426 of 10,000</t>
        </is>
      </c>
      <c r="S465" t="inlineStr">
        <is>
          <t>shuffled: 1,013 of 10,000</t>
        </is>
      </c>
      <c r="T465" t="n">
        <v>0.07604949656989328</v>
      </c>
      <c r="U465" t="n">
        <v>0.06834491962238094</v>
      </c>
      <c r="V465">
        <f>AND(judged_band,NOT($J465))</f>
        <v/>
      </c>
      <c r="W465">
        <f>IF($K465="","",IF($I465,"too few losses to test",IF(AND($K465&gt;better_at,$K465&lt;worse_at),"in line",IF($K465&gt;=worse_at,IF(AND(ISNUMBER($L465),$L465&lt;significance_bar),"worse","worse, not significant"),IF(AND(ISNUMBER($L465),$L465&lt;significance_bar),"better","better, not significant")))))</f>
        <v/>
      </c>
      <c r="X465">
        <f>IF($M465="","",IF($I465,"too few losses to test",IF(AND($M465&gt;better_at,$M465&lt;worse_at),"in line",IF($M465&gt;=worse_at,IF(AND(ISNUMBER($N465),$N465&lt;significance_bar),"worse","worse, not significant"),IF(AND(ISNUMBER($N465),$N465&lt;significance_bar),"better","better, not significant")))))</f>
        <v/>
      </c>
      <c r="Y465">
        <f>IF($V465,$X465,$W465)</f>
        <v/>
      </c>
      <c r="Z465">
        <f>IF($V465,IF($P465="","",$P465),IF($O465="","",$O465))</f>
        <v/>
      </c>
      <c r="AA465">
        <f>IF(OR($Q465="",$Z465=""),"",IF(AND($Z465&gt;0,$Z465&gt;=$Q465),"yes","below the line"))</f>
        <v/>
      </c>
      <c r="AB465">
        <f>IF($V465,IF($M465="","",$M465),IF($K465="","",$K465))</f>
        <v/>
      </c>
      <c r="AC465">
        <f>IF($V465,IF($N465="","",$N465),IF($L465="","",$L465))</f>
        <v/>
      </c>
      <c r="AD465">
        <f>$Y465</f>
        <v/>
      </c>
      <c r="AE465">
        <f>IF($V465,IF($S465="","",$S465),IF($R465="","",$R465))</f>
        <v/>
      </c>
      <c r="AF465">
        <f>IF($V465,IF($U465="","",$U465),IF($T465="","",$T465))</f>
        <v/>
      </c>
      <c r="AG465">
        <f>IF($V465,IF($O465="","",$O465),IF($P465="","",$P465))</f>
        <v/>
      </c>
      <c r="AH465" t="n">
        <v>0.03878835044886775</v>
      </c>
      <c r="AI465">
        <f>IF($Y465="worse","Yes",IF($Y465="worse, not significant","Not sure",IF(OR($Y465="too few losses to test",$Y465="too few loans to test"),"Too few losses",IF($Y465="","","No"))))</f>
        <v/>
      </c>
      <c r="AJ465">
        <f>IF($AA465="yes","Yes",IF($AA465="","","No"))</f>
        <v/>
      </c>
      <c r="AK465" t="n">
        <v>0.005840473534883855</v>
      </c>
      <c r="AL465" t="n">
        <v>0.005605679108210995</v>
      </c>
      <c r="AM465">
        <f>IF(AND(ISNUMBER($AC465),ISNUMBER(IF($V465,IF($AL465="","",$AL465),IF($AK465="","",$AK465)))),IF(AND(ABS($AC465-significance_bar)&lt;=2.0*IF($V465,IF($AL465="","",$AL465),IF($AK465="","",$AK465)),OR($Y465="worse",$Y465="better",$Y465="worse, not significant",$Y465="better, not significant")),IF(ROUND($AC465,3)=ROUND(significance_bar,3),TEXT($AC465,"0.0000"),TEXT($AC465,"0.000")),""),"")</f>
        <v/>
      </c>
      <c r="AN465">
        <f>IF(AND(ISNUMBER($AC465),ISNUMBER(IF($V465,IF($AL465="","",$AL465),IF($AK465="","",$AK465)))),IF(AND(ABS($AC465-significance_bar)&lt;=2.0*IF($V465,IF($AL465="","",$AL465),IF($AK465="","",$AK465)),OR($Y465="worse",$Y465="worse, not significant")),IF(ROUND($AC465,3)=ROUND(significance_bar,3),TEXT($AC465,"0.0000"),TEXT($AC465,"0.000")),""),"")</f>
        <v/>
      </c>
      <c r="AO465">
        <f>IF(OR($AI465="",$AN465=""),$AI465,$AI465&amp;" · borderline (p "&amp;$AN465&amp;")")</f>
        <v/>
      </c>
    </row>
    <row r="466">
      <c r="A466" t="inlineStr">
        <is>
          <t>three-way</t>
        </is>
      </c>
      <c r="B466" t="inlineStr">
        <is>
          <t>SHORT_HIST x CHANNEL / REV_DEBT</t>
        </is>
      </c>
      <c r="C466" t="inlineStr">
        <is>
          <t>172.0 - 256.3</t>
        </is>
      </c>
      <c r="D466" t="inlineStr">
        <is>
          <t>Online / REV_DEBT low half</t>
        </is>
      </c>
      <c r="E466" t="inlineStr">
        <is>
          <t>gco_rate</t>
        </is>
      </c>
      <c r="F466" t="inlineStr">
        <is>
          <t>GCO per booked dollar</t>
        </is>
      </c>
      <c r="G466" t="n">
        <v>259</v>
      </c>
      <c r="H466" t="n">
        <v>8452784.050000008</v>
      </c>
      <c r="I466" t="b">
        <v>0</v>
      </c>
      <c r="J466" t="b">
        <v>0</v>
      </c>
      <c r="K466" t="n">
        <v>0.5270868465980688</v>
      </c>
      <c r="L466" t="n">
        <v>0.1306369363063694</v>
      </c>
      <c r="M466" t="n">
        <v>0.5883591435370846</v>
      </c>
      <c r="N466" t="n">
        <v>0.2402159784021598</v>
      </c>
      <c r="O466" t="n">
        <v>-168931.3689148898</v>
      </c>
      <c r="P466" t="n">
        <v>-131730.7160301034</v>
      </c>
      <c r="Q466">
        <f>'_live'!$C$22</f>
        <v/>
      </c>
      <c r="R466" t="inlineStr">
        <is>
          <t>shuffled: 602 of 10,000</t>
        </is>
      </c>
      <c r="S466" t="inlineStr">
        <is>
          <t>shuffled: 1,385 of 10,000</t>
        </is>
      </c>
      <c r="T466" t="n">
        <v>0.04225996509574729</v>
      </c>
      <c r="U466" t="n">
        <v>0.03785897097774586</v>
      </c>
      <c r="V466">
        <f>AND(judged_band,NOT($J466))</f>
        <v/>
      </c>
      <c r="W466">
        <f>IF($K466="","",IF($I466,"too few losses to test",IF(AND($K466&gt;better_at,$K466&lt;worse_at),"in line",IF($K466&gt;=worse_at,IF(AND(ISNUMBER($L466),$L466&lt;significance_bar),"worse","worse, not significant"),IF(AND(ISNUMBER($L466),$L466&lt;significance_bar),"better","better, not significant")))))</f>
        <v/>
      </c>
      <c r="X466">
        <f>IF($M466="","",IF($I466,"too few losses to test",IF(AND($M466&gt;better_at,$M466&lt;worse_at),"in line",IF($M466&gt;=worse_at,IF(AND(ISNUMBER($N466),$N466&lt;significance_bar),"worse","worse, not significant"),IF(AND(ISNUMBER($N466),$N466&lt;significance_bar),"better","better, not significant")))))</f>
        <v/>
      </c>
      <c r="Y466">
        <f>IF($V466,$X466,$W466)</f>
        <v/>
      </c>
      <c r="Z466">
        <f>IF($V466,IF($P466="","",$P466),IF($O466="","",$O466))</f>
        <v/>
      </c>
      <c r="AA466">
        <f>IF(OR($Q466="",$Z466=""),"",IF(AND($Z466&gt;0,$Z466&gt;=$Q466),"yes","below the line"))</f>
        <v/>
      </c>
      <c r="AB466">
        <f>IF($V466,IF($M466="","",$M466),IF($K466="","",$K466))</f>
        <v/>
      </c>
      <c r="AC466">
        <f>IF($V466,IF($N466="","",$N466),IF($L466="","",$L466))</f>
        <v/>
      </c>
      <c r="AD466">
        <f>$Y466</f>
        <v/>
      </c>
      <c r="AE466">
        <f>IF($V466,IF($S466="","",$S466),IF($R466="","",$R466))</f>
        <v/>
      </c>
      <c r="AF466">
        <f>IF($V466,IF($U466="","",$U466),IF($T466="","",$T466))</f>
        <v/>
      </c>
      <c r="AG466">
        <f>IF($V466,IF($O466="","",$O466),IF($P466="","",$P466))</f>
        <v/>
      </c>
      <c r="AH466" t="n">
        <v>0.02227467173966189</v>
      </c>
      <c r="AI466">
        <f>IF($Y466="worse","Yes",IF($Y466="worse, not significant","Not sure",IF(OR($Y466="too few losses to test",$Y466="too few loans to test"),"Too few losses",IF($Y466="","","No"))))</f>
        <v/>
      </c>
      <c r="AJ466">
        <f>IF($AA466="yes","Yes",IF($AA466="","","No"))</f>
        <v/>
      </c>
      <c r="AK466" t="n">
        <v>0.005157331540660853</v>
      </c>
      <c r="AL466" t="n">
        <v>0.005988911806697748</v>
      </c>
      <c r="AM466">
        <f>IF(AND(ISNUMBER($AC466),ISNUMBER(IF($V466,IF($AL466="","",$AL466),IF($AK466="","",$AK466)))),IF(AND(ABS($AC466-significance_bar)&lt;=2.0*IF($V466,IF($AL466="","",$AL466),IF($AK466="","",$AK466)),OR($Y466="worse",$Y466="better",$Y466="worse, not significant",$Y466="better, not significant")),IF(ROUND($AC466,3)=ROUND(significance_bar,3),TEXT($AC466,"0.0000"),TEXT($AC466,"0.000")),""),"")</f>
        <v/>
      </c>
      <c r="AN466">
        <f>IF(AND(ISNUMBER($AC466),ISNUMBER(IF($V466,IF($AL466="","",$AL466),IF($AK466="","",$AK466)))),IF(AND(ABS($AC466-significance_bar)&lt;=2.0*IF($V466,IF($AL466="","",$AL466),IF($AK466="","",$AK466)),OR($Y466="worse",$Y466="worse, not significant")),IF(ROUND($AC466,3)=ROUND(significance_bar,3),TEXT($AC466,"0.0000"),TEXT($AC466,"0.000")),""),"")</f>
        <v/>
      </c>
      <c r="AO466">
        <f>IF(OR($AI466="",$AN466=""),$AI466,$AI466&amp;" · borderline (p "&amp;$AN466&amp;")")</f>
        <v/>
      </c>
    </row>
    <row r="467">
      <c r="A467" t="inlineStr">
        <is>
          <t>three-way</t>
        </is>
      </c>
      <c r="B467" t="inlineStr">
        <is>
          <t>SHORT_HIST x CHANNEL / REV_DEBT</t>
        </is>
      </c>
      <c r="C467" t="inlineStr">
        <is>
          <t>172.0 - 256.3</t>
        </is>
      </c>
      <c r="D467" t="inlineStr">
        <is>
          <t>Online / REV_DEBT low half</t>
        </is>
      </c>
      <c r="E467" t="inlineStr">
        <is>
          <t>ranr_rate</t>
        </is>
      </c>
      <c r="F467" t="inlineStr">
        <is>
          <t>Profit after losses: RANR per booked dollar</t>
        </is>
      </c>
      <c r="G467" t="n">
        <v>259</v>
      </c>
      <c r="H467" t="n">
        <v>8452784.050000008</v>
      </c>
      <c r="I467" t="b">
        <v>0</v>
      </c>
      <c r="J467" t="b">
        <v>0</v>
      </c>
      <c r="K467" t="n">
        <v>0.02048269731350258</v>
      </c>
      <c r="L467" t="n">
        <v>0.1996000399960004</v>
      </c>
      <c r="M467" t="n">
        <v>0.018673229087244</v>
      </c>
      <c r="N467" t="n">
        <v>0.2503386025033861</v>
      </c>
      <c r="O467" t="n">
        <v>-173135.8171525525</v>
      </c>
      <c r="P467" t="n">
        <v>-157840.7729906524</v>
      </c>
      <c r="Q467">
        <f>'_live'!$C$23</f>
        <v/>
      </c>
      <c r="R467" t="inlineStr">
        <is>
          <t>shuffled: 1,108 of 10,000</t>
        </is>
      </c>
      <c r="S467" t="inlineStr">
        <is>
          <t>shuffled: 1,529 of 10,000</t>
        </is>
      </c>
      <c r="T467" t="n">
        <v>0.127319158573257</v>
      </c>
      <c r="U467" t="n">
        <v>0.1291286267995155</v>
      </c>
      <c r="V467">
        <f>AND(judged_band,NOT($J467))</f>
        <v/>
      </c>
      <c r="W467">
        <f>IF($K467="","",IF(profit_kind="test",IF(OR(NOT(AND(ISNUMBER($L467),$L467&lt;significance_bar)),$K467=0),"in line",IF($K467&lt;0,"worse","better")),IF(OR($K467=0,IF(profit_kind="points",ABS($K467),ABS($K467*$H467))&lt;profit_line*(1-1E-9)),"in line",IF(AND(ISNUMBER($L467),$L467&lt;significance_bar),IF($K467&lt;0,"worse","better"),IF($K467&lt;0,"worse, not significant","better, not significant")))))</f>
        <v/>
      </c>
      <c r="X467">
        <f>IF($M467="","",IF(profit_kind="test",IF(OR(NOT(AND(ISNUMBER($N467),$N467&lt;significance_bar)),$M467=0),"in line",IF($M467&lt;0,"worse","better")),IF(OR($M467=0,IF(profit_kind="points",ABS($M467),ABS($M467*$H467))&lt;profit_line*(1-1E-9)),"in line",IF(AND(ISNUMBER($N467),$N467&lt;significance_bar),IF($M467&lt;0,"worse","better"),IF($M467&lt;0,"worse, not significant","better, not significant")))))</f>
        <v/>
      </c>
      <c r="Y467">
        <f>IF($V467,$X467,$W467)</f>
        <v/>
      </c>
      <c r="Z467">
        <f>IF($V467,IF($P467="","",$P467),IF($O467="","",$O467))</f>
        <v/>
      </c>
      <c r="AA467">
        <f>IF(OR($Q467="",$Z467=""),"",IF(AND($Z467&gt;0,$Z467&gt;=$Q467),"yes","below the line"))</f>
        <v/>
      </c>
      <c r="AB467">
        <f>IF($V467,IF($M467="","",$M467),IF($K467="","",$K467))</f>
        <v/>
      </c>
      <c r="AC467">
        <f>IF($V467,IF($N467="","",$N467),IF($L467="","",$L467))</f>
        <v/>
      </c>
      <c r="AD467">
        <f>IF($Y467="","",IF($Y467="in line",IF(profit_kind="test",IF(ROUND($AB467*100,2)=0,"0.00",TEXT($AB467*100,"+0.00;-0.00"))&amp;" points against "&amp;IF($V467,"its band","the book")&amp;", "&amp;IF($AC467="","not tested","not significant"),IF(profit_kind="points","within "&amp;TEXT(profit_line*100,"0.00")&amp;" points of "&amp;IF($V467,"its band","the book")&amp;" ("&amp;IF(ROUND($AB467*100,2)=0,"0.00",TEXT($AB467*100,"+0.00;-0.00"))&amp;")","within $"&amp;TEXT(profit_line,"#,##0")&amp;" of "&amp;IF($V467,"its band","the book")&amp;" ("&amp;IF(ROUND($AB467*100,2)=0,"0.00",TEXT($AB467*100,"+0.00;-0.00"))&amp;" points)")),IF(LEFT($Y467,5)="worse","short of ","ahead of ")&amp;IF($V467,"its band","the book")&amp;" by "&amp;TEXT(ABS($AB467)*100,"0.00")&amp;" points"&amp;IF($Z467="",""," ($"&amp;TEXT(ABS($Z467),"#,##0")&amp;")")&amp;IF(RIGHT($Y467,15)="not significant"," (not significant)","")))</f>
        <v/>
      </c>
      <c r="AE467">
        <f>IF($V467,IF($S467="","",$S467),IF($R467="","",$R467))</f>
        <v/>
      </c>
      <c r="AF467">
        <f>IF($V467,IF($U467="","",$U467),IF($T467="","",$T467))</f>
        <v/>
      </c>
      <c r="AG467">
        <f>IF($V467,IF($O467="","",$O467),IF($P467="","",$P467))</f>
        <v/>
      </c>
      <c r="AH467" t="n">
        <v>0.1478018558867595</v>
      </c>
      <c r="AI467">
        <f>IF($Y467="worse","Yes",IF($Y467="worse, not significant","Not sure",IF(OR($Y467="too few losses to test",$Y467="too few loans to test"),"Too few losses",IF($Y467="","","No"))))</f>
        <v/>
      </c>
      <c r="AJ467">
        <f>IF($AA467="yes","Yes",IF($AA467="","","No"))</f>
        <v/>
      </c>
      <c r="AK467" t="n">
        <v>0.005651901414801887</v>
      </c>
      <c r="AL467" t="n">
        <v>0.005890463224664793</v>
      </c>
      <c r="AM467">
        <f>IF(AND(ISNUMBER($AC467),ISNUMBER(IF($V467,IF($AL467="","",$AL467),IF($AK467="","",$AK467)))),IF(AND(ABS($AC467-significance_bar)&lt;=2.0*IF($V467,IF($AL467="","",$AL467),IF($AK467="","",$AK467)),OR($Y467="worse",$Y467="better",$Y467="worse, not significant",$Y467="better, not significant",AND(profit_kind="test",$Y467="in line",ISNUMBER($AB467),$AB467&lt;&gt;0))),IF(ROUND($AC467,3)=ROUND(significance_bar,3),TEXT($AC467,"0.0000"),TEXT($AC467,"0.000")),""),"")</f>
        <v/>
      </c>
      <c r="AN467">
        <f>IF(AND(ISNUMBER($AC467),ISNUMBER(IF($V467,IF($AL467="","",$AL467),IF($AK467="","",$AK467)))),IF(AND(ABS($AC467-significance_bar)&lt;=2.0*IF($V467,IF($AL467="","",$AL467),IF($AK467="","",$AK467)),OR($Y467="worse",$Y467="worse, not significant",AND(profit_kind="test",$Y467="in line",ISNUMBER($AB467),$AB467&lt;0))),IF(ROUND($AC467,3)=ROUND(significance_bar,3),TEXT($AC467,"0.0000"),TEXT($AC467,"0.000")),""),"")</f>
        <v/>
      </c>
      <c r="AO467">
        <f>IF(OR($AI467="",$AN467=""),$AI467,$AI467&amp;" · borderline (p "&amp;$AN467&amp;")")</f>
        <v/>
      </c>
    </row>
    <row r="468">
      <c r="A468" t="inlineStr">
        <is>
          <t>three-way</t>
        </is>
      </c>
      <c r="B468" t="inlineStr">
        <is>
          <t>SHORT_HIST x CHANNEL / REV_DEBT</t>
        </is>
      </c>
      <c r="C468" t="inlineStr">
        <is>
          <t>172.0 - 256.3</t>
        </is>
      </c>
      <c r="D468" t="inlineStr">
        <is>
          <t>Online / REV_DEBT low half</t>
        </is>
      </c>
      <c r="E468" t="inlineStr">
        <is>
          <t>contribution_rate</t>
        </is>
      </c>
      <c r="F468" t="inlineStr">
        <is>
          <t>Contribution before losses per booked dollar</t>
        </is>
      </c>
      <c r="G468" t="n">
        <v>259</v>
      </c>
      <c r="H468" t="n">
        <v>8452784.050000008</v>
      </c>
      <c r="I468" t="b">
        <v>0</v>
      </c>
      <c r="J468" t="b">
        <v>0</v>
      </c>
      <c r="K468" t="n">
        <v>0.0005004667191921275</v>
      </c>
      <c r="L468" t="n">
        <v>0.9513048695130488</v>
      </c>
      <c r="M468" t="n">
        <v>0.003088929849160038</v>
      </c>
      <c r="N468" t="n">
        <v>0.7555130201265587</v>
      </c>
      <c r="O468" t="n">
        <v>-4230.337101543089</v>
      </c>
      <c r="P468" t="n">
        <v>-26110.05696054897</v>
      </c>
      <c r="Q468">
        <f>'_live'!$C$24</f>
        <v/>
      </c>
      <c r="R468" t="inlineStr">
        <is>
          <t>shuffled: 9,513 of 10,000</t>
        </is>
      </c>
      <c r="S468" t="inlineStr">
        <is>
          <t>shuffled: 7,345 of 10,000</t>
        </is>
      </c>
      <c r="T468" t="n">
        <v>0.1695760609072293</v>
      </c>
      <c r="U468" t="n">
        <v>0.1669875977772614</v>
      </c>
      <c r="V468">
        <f>AND(judged_band,NOT($J468))</f>
        <v/>
      </c>
      <c r="W468">
        <f>IF($K468="","",IF(profit_kind="test",IF(OR(NOT(AND(ISNUMBER($L468),$L468&lt;significance_bar)),$K468=0),"in line",IF($K468&lt;0,"worse","better")),IF(OR($K468=0,IF(profit_kind="points",ABS($K468),ABS($K468*$H468))&lt;profit_line*(1-1E-9)),"in line",IF(AND(ISNUMBER($L468),$L468&lt;significance_bar),IF($K468&lt;0,"worse","better"),IF($K468&lt;0,"worse, not significant","better, not significant")))))</f>
        <v/>
      </c>
      <c r="X468">
        <f>IF($M468="","",IF(profit_kind="test",IF(OR(NOT(AND(ISNUMBER($N468),$N468&lt;significance_bar)),$M468=0),"in line",IF($M468&lt;0,"worse","better")),IF(OR($M468=0,IF(profit_kind="points",ABS($M468),ABS($M468*$H468))&lt;profit_line*(1-1E-9)),"in line",IF(AND(ISNUMBER($N468),$N468&lt;significance_bar),IF($M468&lt;0,"worse","better"),IF($M468&lt;0,"worse, not significant","better, not significant")))))</f>
        <v/>
      </c>
      <c r="Y468">
        <f>IF($V468,$X468,$W468)</f>
        <v/>
      </c>
      <c r="Z468">
        <f>IF($V468,IF($P468="","",$P468),IF($O468="","",$O468))</f>
        <v/>
      </c>
      <c r="AA468">
        <f>IF(OR($Q468="",$Z468=""),"",IF(AND($Z468&gt;0,$Z468&gt;=$Q468),"yes","below the line"))</f>
        <v/>
      </c>
      <c r="AB468">
        <f>IF($V468,IF($M468="","",$M468),IF($K468="","",$K468))</f>
        <v/>
      </c>
      <c r="AC468">
        <f>IF($V468,IF($N468="","",$N468),IF($L468="","",$L468))</f>
        <v/>
      </c>
      <c r="AD468">
        <f>IF($Y468="","",IF($Y468="in line",IF(profit_kind="test",IF(ROUND($AB468*100,2)=0,"0.00",TEXT($AB468*100,"+0.00;-0.00"))&amp;" points against "&amp;IF($V468,"its band","the book")&amp;", "&amp;IF($AC468="","not tested","not significant"),IF(profit_kind="points","within "&amp;TEXT(profit_line*100,"0.00")&amp;" points of "&amp;IF($V468,"its band","the book")&amp;" ("&amp;IF(ROUND($AB468*100,2)=0,"0.00",TEXT($AB468*100,"+0.00;-0.00"))&amp;")","within $"&amp;TEXT(profit_line,"#,##0")&amp;" of "&amp;IF($V468,"its band","the book")&amp;" ("&amp;IF(ROUND($AB468*100,2)=0,"0.00",TEXT($AB468*100,"+0.00;-0.00"))&amp;" points)")),IF(LEFT($Y468,5)="worse","short of ","ahead of ")&amp;IF($V468,"its band","the book")&amp;" by "&amp;TEXT(ABS($AB468)*100,"0.00")&amp;" points"&amp;IF($Z468="",""," ($"&amp;TEXT(ABS($Z468),"#,##0")&amp;")")&amp;IF(RIGHT($Y468,15)="not significant"," (not significant)","")))</f>
        <v/>
      </c>
      <c r="AE468">
        <f>IF($V468,IF($S468="","",$S468),IF($R468="","",$R468))</f>
        <v/>
      </c>
      <c r="AF468">
        <f>IF($V468,IF($U468="","",$U468),IF($T468="","",$T468))</f>
        <v/>
      </c>
      <c r="AG468">
        <f>IF($V468,IF($O468="","",$O468),IF($P468="","",$P468))</f>
        <v/>
      </c>
      <c r="AH468" t="n">
        <v>0.1700765276264214</v>
      </c>
      <c r="AI468">
        <f>IF($Y468="worse","Yes",IF($Y468="worse, not significant","Not sure",IF(OR($Y468="too few losses to test",$Y468="too few loans to test"),"Too few losses",IF($Y468="","","No"))))</f>
        <v/>
      </c>
      <c r="AJ468">
        <f>IF($AA468="yes","Yes",IF($AA468="","","No"))</f>
        <v/>
      </c>
      <c r="AK468" t="n">
        <v>0.00215229911382712</v>
      </c>
      <c r="AL468" t="n">
        <v>0.004542016984062642</v>
      </c>
      <c r="AM468">
        <f>IF(AND(ISNUMBER($AC468),ISNUMBER(IF($V468,IF($AL468="","",$AL468),IF($AK468="","",$AK468)))),IF(AND(ABS($AC468-significance_bar)&lt;=2.0*IF($V468,IF($AL468="","",$AL468),IF($AK468="","",$AK468)),OR($Y468="worse",$Y468="better",$Y468="worse, not significant",$Y468="better, not significant",AND(profit_kind="test",$Y468="in line",ISNUMBER($AB468),$AB468&lt;&gt;0))),IF(ROUND($AC468,3)=ROUND(significance_bar,3),TEXT($AC468,"0.0000"),TEXT($AC468,"0.000")),""),"")</f>
        <v/>
      </c>
      <c r="AN468">
        <f>IF(AND(ISNUMBER($AC468),ISNUMBER(IF($V468,IF($AL468="","",$AL468),IF($AK468="","",$AK468)))),IF(AND(ABS($AC468-significance_bar)&lt;=2.0*IF($V468,IF($AL468="","",$AL468),IF($AK468="","",$AK468)),OR($Y468="worse",$Y468="worse, not significant",AND(profit_kind="test",$Y468="in line",ISNUMBER($AB468),$AB468&lt;0))),IF(ROUND($AC468,3)=ROUND(significance_bar,3),TEXT($AC468,"0.0000"),TEXT($AC468,"0.000")),""),"")</f>
        <v/>
      </c>
      <c r="AO468">
        <f>IF(OR($AI468="",$AN468=""),$AI468,$AI468&amp;" · borderline (p "&amp;$AN468&amp;")")</f>
        <v/>
      </c>
    </row>
    <row r="469">
      <c r="A469" t="inlineStr">
        <is>
          <t>three-way</t>
        </is>
      </c>
      <c r="B469" t="inlineStr">
        <is>
          <t>SHORT_HIST x CHANNEL / REV_DEBT</t>
        </is>
      </c>
      <c r="C469" t="inlineStr">
        <is>
          <t>256.4 - 345.9</t>
        </is>
      </c>
      <c r="D469" t="inlineStr">
        <is>
          <t>Online / REV_DEBT high half</t>
        </is>
      </c>
      <c r="E469" t="inlineStr">
        <is>
          <t>outcome_loans</t>
        </is>
      </c>
      <c r="F469" t="inlineStr">
        <is>
          <t>Outcome, share of loans</t>
        </is>
      </c>
      <c r="G469" t="n">
        <v>268</v>
      </c>
      <c r="H469" t="n">
        <v>268</v>
      </c>
      <c r="I469" t="b">
        <v>0</v>
      </c>
      <c r="J469" t="b">
        <v>0</v>
      </c>
      <c r="K469" t="n">
        <v>1.78129080156678</v>
      </c>
      <c r="L469" t="n">
        <v>0.002515936886188889</v>
      </c>
      <c r="M469" t="n">
        <v>1.759975632043862</v>
      </c>
      <c r="N469" t="n">
        <v>0.01094071531476508</v>
      </c>
      <c r="O469" t="n">
        <v>15.7899366188074</v>
      </c>
      <c r="P469" t="n">
        <v>15.54517133956386</v>
      </c>
      <c r="Q469">
        <f>'_live'!$C$20</f>
        <v/>
      </c>
      <c r="R469" t="inlineStr">
        <is>
          <t>z test</t>
        </is>
      </c>
      <c r="S469" t="inlineStr">
        <is>
          <t>z test</t>
        </is>
      </c>
      <c r="T469" t="n">
        <v>0.07541068425818134</v>
      </c>
      <c r="U469" t="n">
        <v>0.0763239875389408</v>
      </c>
      <c r="V469">
        <f>AND(judged_band,NOT($J469))</f>
        <v/>
      </c>
      <c r="W469">
        <f>IF($K469="","",IF($I469,"too few losses to test",IF(AND($K469&gt;better_at,$K469&lt;worse_at),"in line",IF($K469&gt;=worse_at,IF(AND(ISNUMBER($L469),$L469&lt;significance_bar),"worse","worse, not significant"),IF(AND(ISNUMBER($L469),$L469&lt;significance_bar),"better","better, not significant")))))</f>
        <v/>
      </c>
      <c r="X469">
        <f>IF($M469="","",IF($I469,"too few losses to test",IF(AND($M469&gt;better_at,$M469&lt;worse_at),"in line",IF($M469&gt;=worse_at,IF(AND(ISNUMBER($N469),$N469&lt;significance_bar),"worse","worse, not significant"),IF(AND(ISNUMBER($N469),$N469&lt;significance_bar),"better","better, not significant")))))</f>
        <v/>
      </c>
      <c r="Y469">
        <f>IF($V469,$X469,$W469)</f>
        <v/>
      </c>
      <c r="Z469">
        <f>IF($V469,IF($P469="","",$P469),IF($O469="","",$O469))</f>
        <v/>
      </c>
      <c r="AA469">
        <f>IF(OR($Q469="",$Z469=""),"",IF(AND($Z469&gt;0,$Z469&gt;=$Q469),"yes","below the line"))</f>
        <v/>
      </c>
      <c r="AB469">
        <f>IF($V469,IF($M469="","",$M469),IF($K469="","",$K469))</f>
        <v/>
      </c>
      <c r="AC469">
        <f>IF($V469,IF($N469="","",$N469),IF($L469="","",$L469))</f>
        <v/>
      </c>
      <c r="AD469">
        <f>$Y469</f>
        <v/>
      </c>
      <c r="AE469">
        <f>IF($V469,IF($S469="","",$S469),IF($R469="","",$R469))</f>
        <v/>
      </c>
      <c r="AF469">
        <f>IF($V469,IF($U469="","",$U469),IF($T469="","",$T469))</f>
        <v/>
      </c>
      <c r="AG469">
        <f>IF($V469,IF($O469="","",$O469),IF($P469="","",$P469))</f>
        <v/>
      </c>
      <c r="AH469" t="n">
        <v>0.1343283582089552</v>
      </c>
      <c r="AI469">
        <f>IF($Y469="worse","Yes",IF($Y469="worse, not significant","Not sure",IF(OR($Y469="too few losses to test",$Y469="too few loans to test"),"Too few losses",IF($Y469="","","No"))))</f>
        <v/>
      </c>
      <c r="AJ469">
        <f>IF($AA469="yes","Yes",IF($AA469="","","No"))</f>
        <v/>
      </c>
      <c r="AM469">
        <f>IF(AND(ISNUMBER($AC469),ISNUMBER(IF($V469,IF($AL469="","",$AL469),IF($AK469="","",$AK469)))),IF(AND(ABS($AC469-significance_bar)&lt;=2.0*IF($V469,IF($AL469="","",$AL469),IF($AK469="","",$AK469)),OR($Y469="worse",$Y469="better",$Y469="worse, not significant",$Y469="better, not significant")),IF(ROUND($AC469,3)=ROUND(significance_bar,3),TEXT($AC469,"0.0000"),TEXT($AC469,"0.000")),""),"")</f>
        <v/>
      </c>
      <c r="AN469">
        <f>IF(AND(ISNUMBER($AC469),ISNUMBER(IF($V469,IF($AL469="","",$AL469),IF($AK469="","",$AK469)))),IF(AND(ABS($AC469-significance_bar)&lt;=2.0*IF($V469,IF($AL469="","",$AL469),IF($AK469="","",$AK469)),OR($Y469="worse",$Y469="worse, not significant")),IF(ROUND($AC469,3)=ROUND(significance_bar,3),TEXT($AC469,"0.0000"),TEXT($AC469,"0.000")),""),"")</f>
        <v/>
      </c>
      <c r="AO469">
        <f>IF(OR($AI469="",$AN469=""),$AI469,$AI469&amp;" · borderline (p "&amp;$AN469&amp;")")</f>
        <v/>
      </c>
    </row>
    <row r="470">
      <c r="A470" t="inlineStr">
        <is>
          <t>three-way</t>
        </is>
      </c>
      <c r="B470" t="inlineStr">
        <is>
          <t>SHORT_HIST x CHANNEL / REV_DEBT</t>
        </is>
      </c>
      <c r="C470" t="inlineStr">
        <is>
          <t>256.4 - 345.9</t>
        </is>
      </c>
      <c r="D470" t="inlineStr">
        <is>
          <t>Online / REV_DEBT high half</t>
        </is>
      </c>
      <c r="E470" t="inlineStr">
        <is>
          <t>outcome_booked</t>
        </is>
      </c>
      <c r="F470" t="inlineStr">
        <is>
          <t>Outcome, share of booked dollars</t>
        </is>
      </c>
      <c r="G470" t="n">
        <v>268</v>
      </c>
      <c r="H470" t="n">
        <v>8489093.599999992</v>
      </c>
      <c r="I470" t="b">
        <v>0</v>
      </c>
      <c r="J470" t="b">
        <v>0</v>
      </c>
      <c r="K470" t="n">
        <v>1.99475316856376</v>
      </c>
      <c r="L470" t="n">
        <v>0.0017331600173316</v>
      </c>
      <c r="M470" t="n">
        <v>2.07325286039507</v>
      </c>
      <c r="N470" t="n">
        <v>0.0017331600173316</v>
      </c>
      <c r="O470" t="n">
        <v>611871.7045484302</v>
      </c>
      <c r="P470" t="n">
        <v>635161.2341885759</v>
      </c>
      <c r="Q470">
        <f>'_live'!$C$21</f>
        <v/>
      </c>
      <c r="R470" t="inlineStr">
        <is>
          <t>shuffled: 1 of 10,000</t>
        </is>
      </c>
      <c r="S470" t="inlineStr">
        <is>
          <t>shuffled: 1 of 10,000</t>
        </is>
      </c>
      <c r="T470" t="n">
        <v>0.07245756195356011</v>
      </c>
      <c r="U470" t="n">
        <v>0.06971409713416576</v>
      </c>
      <c r="V470">
        <f>AND(judged_band,NOT($J470))</f>
        <v/>
      </c>
      <c r="W470">
        <f>IF($K470="","",IF($I470,"too few losses to test",IF(AND($K470&gt;better_at,$K470&lt;worse_at),"in line",IF($K470&gt;=worse_at,IF(AND(ISNUMBER($L470),$L470&lt;significance_bar),"worse","worse, not significant"),IF(AND(ISNUMBER($L470),$L470&lt;significance_bar),"better","better, not significant")))))</f>
        <v/>
      </c>
      <c r="X470">
        <f>IF($M470="","",IF($I470,"too few losses to test",IF(AND($M470&gt;better_at,$M470&lt;worse_at),"in line",IF($M470&gt;=worse_at,IF(AND(ISNUMBER($N470),$N470&lt;significance_bar),"worse","worse, not significant"),IF(AND(ISNUMBER($N470),$N470&lt;significance_bar),"better","better, not significant")))))</f>
        <v/>
      </c>
      <c r="Y470">
        <f>IF($V470,$X470,$W470)</f>
        <v/>
      </c>
      <c r="Z470">
        <f>IF($V470,IF($P470="","",$P470),IF($O470="","",$O470))</f>
        <v/>
      </c>
      <c r="AA470">
        <f>IF(OR($Q470="",$Z470=""),"",IF(AND($Z470&gt;0,$Z470&gt;=$Q470),"yes","below the line"))</f>
        <v/>
      </c>
      <c r="AB470">
        <f>IF($V470,IF($M470="","",$M470),IF($K470="","",$K470))</f>
        <v/>
      </c>
      <c r="AC470">
        <f>IF($V470,IF($N470="","",$N470),IF($L470="","",$L470))</f>
        <v/>
      </c>
      <c r="AD470">
        <f>$Y470</f>
        <v/>
      </c>
      <c r="AE470">
        <f>IF($V470,IF($S470="","",$S470),IF($R470="","",$R470))</f>
        <v/>
      </c>
      <c r="AF470">
        <f>IF($V470,IF($U470="","",$U470),IF($T470="","",$T470))</f>
        <v/>
      </c>
      <c r="AG470">
        <f>IF($V470,IF($O470="","",$O470),IF($P470="","",$P470))</f>
        <v/>
      </c>
      <c r="AH470" t="n">
        <v>0.144534951293269</v>
      </c>
      <c r="AI470">
        <f>IF($Y470="worse","Yes",IF($Y470="worse, not significant","Not sure",IF(OR($Y470="too few losses to test",$Y470="too few loans to test"),"Too few losses",IF($Y470="","","No"))))</f>
        <v/>
      </c>
      <c r="AJ470">
        <f>IF($AA470="yes","Yes",IF($AA470="","","No"))</f>
        <v/>
      </c>
      <c r="AK470" t="n">
        <v>0.001225467923144524</v>
      </c>
      <c r="AL470" t="n">
        <v>0.001225467923144524</v>
      </c>
      <c r="AM470">
        <f>IF(AND(ISNUMBER($AC470),ISNUMBER(IF($V470,IF($AL470="","",$AL470),IF($AK470="","",$AK470)))),IF(AND(ABS($AC470-significance_bar)&lt;=2.0*IF($V470,IF($AL470="","",$AL470),IF($AK470="","",$AK470)),OR($Y470="worse",$Y470="better",$Y470="worse, not significant",$Y470="better, not significant")),IF(ROUND($AC470,3)=ROUND(significance_bar,3),TEXT($AC470,"0.0000"),TEXT($AC470,"0.000")),""),"")</f>
        <v/>
      </c>
      <c r="AN470">
        <f>IF(AND(ISNUMBER($AC470),ISNUMBER(IF($V470,IF($AL470="","",$AL470),IF($AK470="","",$AK470)))),IF(AND(ABS($AC470-significance_bar)&lt;=2.0*IF($V470,IF($AL470="","",$AL470),IF($AK470="","",$AK470)),OR($Y470="worse",$Y470="worse, not significant")),IF(ROUND($AC470,3)=ROUND(significance_bar,3),TEXT($AC470,"0.0000"),TEXT($AC470,"0.000")),""),"")</f>
        <v/>
      </c>
      <c r="AO470">
        <f>IF(OR($AI470="",$AN470=""),$AI470,$AI470&amp;" · borderline (p "&amp;$AN470&amp;")")</f>
        <v/>
      </c>
    </row>
    <row r="471">
      <c r="A471" t="inlineStr">
        <is>
          <t>three-way</t>
        </is>
      </c>
      <c r="B471" t="inlineStr">
        <is>
          <t>SHORT_HIST x CHANNEL / REV_DEBT</t>
        </is>
      </c>
      <c r="C471" t="inlineStr">
        <is>
          <t>256.4 - 345.9</t>
        </is>
      </c>
      <c r="D471" t="inlineStr">
        <is>
          <t>Online / REV_DEBT high half</t>
        </is>
      </c>
      <c r="E471" t="inlineStr">
        <is>
          <t>gco_rate</t>
        </is>
      </c>
      <c r="F471" t="inlineStr">
        <is>
          <t>GCO per booked dollar</t>
        </is>
      </c>
      <c r="G471" t="n">
        <v>268</v>
      </c>
      <c r="H471" t="n">
        <v>8489093.599999992</v>
      </c>
      <c r="I471" t="b">
        <v>0</v>
      </c>
      <c r="J471" t="b">
        <v>0</v>
      </c>
      <c r="K471" t="n">
        <v>2.097277355606961</v>
      </c>
      <c r="L471" t="n">
        <v>0.0012998700129987</v>
      </c>
      <c r="M471" t="n">
        <v>2.257806967046616</v>
      </c>
      <c r="N471" t="n">
        <v>0.0017331600173316</v>
      </c>
      <c r="O471" t="n">
        <v>374045.3644917911</v>
      </c>
      <c r="P471" t="n">
        <v>398282.2162079189</v>
      </c>
      <c r="Q471">
        <f>'_live'!$C$22</f>
        <v/>
      </c>
      <c r="R471" t="inlineStr">
        <is>
          <t>shuffled: 0 of 10,000</t>
        </is>
      </c>
      <c r="S471" t="inlineStr">
        <is>
          <t>shuffled: 1 of 10,000</t>
        </is>
      </c>
      <c r="T471" t="n">
        <v>0.04015563870189973</v>
      </c>
      <c r="U471" t="n">
        <v>0.03730058104107622</v>
      </c>
      <c r="V471">
        <f>AND(judged_band,NOT($J471))</f>
        <v/>
      </c>
      <c r="W471">
        <f>IF($K471="","",IF($I471,"too few losses to test",IF(AND($K471&gt;better_at,$K471&lt;worse_at),"in line",IF($K471&gt;=worse_at,IF(AND(ISNUMBER($L471),$L471&lt;significance_bar),"worse","worse, not significant"),IF(AND(ISNUMBER($L471),$L471&lt;significance_bar),"better","better, not significant")))))</f>
        <v/>
      </c>
      <c r="X471">
        <f>IF($M471="","",IF($I471,"too few losses to test",IF(AND($M471&gt;better_at,$M471&lt;worse_at),"in line",IF($M471&gt;=worse_at,IF(AND(ISNUMBER($N471),$N471&lt;significance_bar),"worse","worse, not significant"),IF(AND(ISNUMBER($N471),$N471&lt;significance_bar),"better","better, not significant")))))</f>
        <v/>
      </c>
      <c r="Y471">
        <f>IF($V471,$X471,$W471)</f>
        <v/>
      </c>
      <c r="Z471">
        <f>IF($V471,IF($P471="","",$P471),IF($O471="","",$O471))</f>
        <v/>
      </c>
      <c r="AA471">
        <f>IF(OR($Q471="",$Z471=""),"",IF(AND($Z471&gt;0,$Z471&gt;=$Q471),"yes","below the line"))</f>
        <v/>
      </c>
      <c r="AB471">
        <f>IF($V471,IF($M471="","",$M471),IF($K471="","",$K471))</f>
        <v/>
      </c>
      <c r="AC471">
        <f>IF($V471,IF($N471="","",$N471),IF($L471="","",$L471))</f>
        <v/>
      </c>
      <c r="AD471">
        <f>$Y471</f>
        <v/>
      </c>
      <c r="AE471">
        <f>IF($V471,IF($S471="","",$S471),IF($R471="","",$R471))</f>
        <v/>
      </c>
      <c r="AF471">
        <f>IF($V471,IF($U471="","",$U471),IF($T471="","",$T471))</f>
        <v/>
      </c>
      <c r="AG471">
        <f>IF($V471,IF($O471="","",$O471),IF($P471="","",$P471))</f>
        <v/>
      </c>
      <c r="AH471" t="n">
        <v>0.08421751174942879</v>
      </c>
      <c r="AI471">
        <f>IF($Y471="worse","Yes",IF($Y471="worse, not significant","Not sure",IF(OR($Y471="too few losses to test",$Y471="too few loans to test"),"Too few losses",IF($Y471="","","No"))))</f>
        <v/>
      </c>
      <c r="AJ471">
        <f>IF($AA471="yes","Yes",IF($AA471="","","No"))</f>
        <v/>
      </c>
      <c r="AK471" t="n">
        <v>0.0012998700129987</v>
      </c>
      <c r="AL471" t="n">
        <v>0.001225467923144524</v>
      </c>
      <c r="AM471">
        <f>IF(AND(ISNUMBER($AC471),ISNUMBER(IF($V471,IF($AL471="","",$AL471),IF($AK471="","",$AK471)))),IF(AND(ABS($AC471-significance_bar)&lt;=2.0*IF($V471,IF($AL471="","",$AL471),IF($AK471="","",$AK471)),OR($Y471="worse",$Y471="better",$Y471="worse, not significant",$Y471="better, not significant")),IF(ROUND($AC471,3)=ROUND(significance_bar,3),TEXT($AC471,"0.0000"),TEXT($AC471,"0.000")),""),"")</f>
        <v/>
      </c>
      <c r="AN471">
        <f>IF(AND(ISNUMBER($AC471),ISNUMBER(IF($V471,IF($AL471="","",$AL471),IF($AK471="","",$AK471)))),IF(AND(ABS($AC471-significance_bar)&lt;=2.0*IF($V471,IF($AL471="","",$AL471),IF($AK471="","",$AK471)),OR($Y471="worse",$Y471="worse, not significant")),IF(ROUND($AC471,3)=ROUND(significance_bar,3),TEXT($AC471,"0.0000"),TEXT($AC471,"0.000")),""),"")</f>
        <v/>
      </c>
      <c r="AO471">
        <f>IF(OR($AI471="",$AN471=""),$AI471,$AI471&amp;" · borderline (p "&amp;$AN471&amp;")")</f>
        <v/>
      </c>
    </row>
    <row r="472">
      <c r="A472" t="inlineStr">
        <is>
          <t>three-way</t>
        </is>
      </c>
      <c r="B472" t="inlineStr">
        <is>
          <t>SHORT_HIST x CHANNEL / REV_DEBT</t>
        </is>
      </c>
      <c r="C472" t="inlineStr">
        <is>
          <t>256.4 - 345.9</t>
        </is>
      </c>
      <c r="D472" t="inlineStr">
        <is>
          <t>Online / REV_DEBT high half</t>
        </is>
      </c>
      <c r="E472" t="inlineStr">
        <is>
          <t>ranr_rate</t>
        </is>
      </c>
      <c r="F472" t="inlineStr">
        <is>
          <t>Profit after losses: RANR per booked dollar</t>
        </is>
      </c>
      <c r="G472" t="n">
        <v>268</v>
      </c>
      <c r="H472" t="n">
        <v>8489093.599999992</v>
      </c>
      <c r="I472" t="b">
        <v>0</v>
      </c>
      <c r="J472" t="b">
        <v>0</v>
      </c>
      <c r="K472" t="n">
        <v>0.02050906753855763</v>
      </c>
      <c r="L472" t="n">
        <v>0.1996000399960004</v>
      </c>
      <c r="M472" t="n">
        <v>0.0201334858230891</v>
      </c>
      <c r="N472" t="n">
        <v>0.2503386025033861</v>
      </c>
      <c r="O472" t="n">
        <v>-174103.3939835373</v>
      </c>
      <c r="P472" t="n">
        <v>-170915.0456464763</v>
      </c>
      <c r="Q472">
        <f>'_live'!$C$23</f>
        <v/>
      </c>
      <c r="R472" t="inlineStr">
        <is>
          <t>shuffled: 1,004 of 10,000</t>
        </is>
      </c>
      <c r="S472" t="inlineStr">
        <is>
          <t>shuffled: 1,506 of 10,000</t>
        </is>
      </c>
      <c r="T472" t="n">
        <v>0.1273154092701327</v>
      </c>
      <c r="U472" t="n">
        <v>0.1276909909856012</v>
      </c>
      <c r="V472">
        <f>AND(judged_band,NOT($J472))</f>
        <v/>
      </c>
      <c r="W472">
        <f>IF($K472="","",IF(profit_kind="test",IF(OR(NOT(AND(ISNUMBER($L472),$L472&lt;significance_bar)),$K472=0),"in line",IF($K472&lt;0,"worse","better")),IF(OR($K472=0,IF(profit_kind="points",ABS($K472),ABS($K472*$H472))&lt;profit_line*(1-1E-9)),"in line",IF(AND(ISNUMBER($L472),$L472&lt;significance_bar),IF($K472&lt;0,"worse","better"),IF($K472&lt;0,"worse, not significant","better, not significant")))))</f>
        <v/>
      </c>
      <c r="X472">
        <f>IF($M472="","",IF(profit_kind="test",IF(OR(NOT(AND(ISNUMBER($N472),$N472&lt;significance_bar)),$M472=0),"in line",IF($M472&lt;0,"worse","better")),IF(OR($M472=0,IF(profit_kind="points",ABS($M472),ABS($M472*$H472))&lt;profit_line*(1-1E-9)),"in line",IF(AND(ISNUMBER($N472),$N472&lt;significance_bar),IF($M472&lt;0,"worse","better"),IF($M472&lt;0,"worse, not significant","better, not significant")))))</f>
        <v/>
      </c>
      <c r="Y472">
        <f>IF($V472,$X472,$W472)</f>
        <v/>
      </c>
      <c r="Z472">
        <f>IF($V472,IF($P472="","",$P472),IF($O472="","",$O472))</f>
        <v/>
      </c>
      <c r="AA472">
        <f>IF(OR($Q472="",$Z472=""),"",IF(AND($Z472&gt;0,$Z472&gt;=$Q472),"yes","below the line"))</f>
        <v/>
      </c>
      <c r="AB472">
        <f>IF($V472,IF($M472="","",$M472),IF($K472="","",$K472))</f>
        <v/>
      </c>
      <c r="AC472">
        <f>IF($V472,IF($N472="","",$N472),IF($L472="","",$L472))</f>
        <v/>
      </c>
      <c r="AD472">
        <f>IF($Y472="","",IF($Y472="in line",IF(profit_kind="test",IF(ROUND($AB472*100,2)=0,"0.00",TEXT($AB472*100,"+0.00;-0.00"))&amp;" points against "&amp;IF($V472,"its band","the book")&amp;", "&amp;IF($AC472="","not tested","not significant"),IF(profit_kind="points","within "&amp;TEXT(profit_line*100,"0.00")&amp;" points of "&amp;IF($V472,"its band","the book")&amp;" ("&amp;IF(ROUND($AB472*100,2)=0,"0.00",TEXT($AB472*100,"+0.00;-0.00"))&amp;")","within $"&amp;TEXT(profit_line,"#,##0")&amp;" of "&amp;IF($V472,"its band","the book")&amp;" ("&amp;IF(ROUND($AB472*100,2)=0,"0.00",TEXT($AB472*100,"+0.00;-0.00"))&amp;" points)")),IF(LEFT($Y472,5)="worse","short of ","ahead of ")&amp;IF($V472,"its band","the book")&amp;" by "&amp;TEXT(ABS($AB472)*100,"0.00")&amp;" points"&amp;IF($Z472="",""," ($"&amp;TEXT(ABS($Z472),"#,##0")&amp;")")&amp;IF(RIGHT($Y472,15)="not significant"," (not significant)","")))</f>
        <v/>
      </c>
      <c r="AE472">
        <f>IF($V472,IF($S472="","",$S472),IF($R472="","",$R472))</f>
        <v/>
      </c>
      <c r="AF472">
        <f>IF($V472,IF($U472="","",$U472),IF($T472="","",$T472))</f>
        <v/>
      </c>
      <c r="AG472">
        <f>IF($V472,IF($O472="","",$O472),IF($P472="","",$P472))</f>
        <v/>
      </c>
      <c r="AH472" t="n">
        <v>0.1478244768086903</v>
      </c>
      <c r="AI472">
        <f>IF($Y472="worse","Yes",IF($Y472="worse, not significant","Not sure",IF(OR($Y472="too few losses to test",$Y472="too few loans to test"),"Too few losses",IF($Y472="","","No"))))</f>
        <v/>
      </c>
      <c r="AJ472">
        <f>IF($AA472="yes","Yes",IF($AA472="","","No"))</f>
        <v/>
      </c>
      <c r="AK472" t="n">
        <v>0.005651901414801887</v>
      </c>
      <c r="AL472" t="n">
        <v>0.005890463224664793</v>
      </c>
      <c r="AM472">
        <f>IF(AND(ISNUMBER($AC472),ISNUMBER(IF($V472,IF($AL472="","",$AL472),IF($AK472="","",$AK472)))),IF(AND(ABS($AC472-significance_bar)&lt;=2.0*IF($V472,IF($AL472="","",$AL472),IF($AK472="","",$AK472)),OR($Y472="worse",$Y472="better",$Y472="worse, not significant",$Y472="better, not significant",AND(profit_kind="test",$Y472="in line",ISNUMBER($AB472),$AB472&lt;&gt;0))),IF(ROUND($AC472,3)=ROUND(significance_bar,3),TEXT($AC472,"0.0000"),TEXT($AC472,"0.000")),""),"")</f>
        <v/>
      </c>
      <c r="AN472">
        <f>IF(AND(ISNUMBER($AC472),ISNUMBER(IF($V472,IF($AL472="","",$AL472),IF($AK472="","",$AK472)))),IF(AND(ABS($AC472-significance_bar)&lt;=2.0*IF($V472,IF($AL472="","",$AL472),IF($AK472="","",$AK472)),OR($Y472="worse",$Y472="worse, not significant",AND(profit_kind="test",$Y472="in line",ISNUMBER($AB472),$AB472&lt;0))),IF(ROUND($AC472,3)=ROUND(significance_bar,3),TEXT($AC472,"0.0000"),TEXT($AC472,"0.000")),""),"")</f>
        <v/>
      </c>
      <c r="AO472">
        <f>IF(OR($AI472="",$AN472=""),$AI472,$AI472&amp;" · borderline (p "&amp;$AN472&amp;")")</f>
        <v/>
      </c>
    </row>
    <row r="473">
      <c r="A473" t="inlineStr">
        <is>
          <t>three-way</t>
        </is>
      </c>
      <c r="B473" t="inlineStr">
        <is>
          <t>SHORT_HIST x CHANNEL / REV_DEBT</t>
        </is>
      </c>
      <c r="C473" t="inlineStr">
        <is>
          <t>256.4 - 345.9</t>
        </is>
      </c>
      <c r="D473" t="inlineStr">
        <is>
          <t>Online / REV_DEBT high half</t>
        </is>
      </c>
      <c r="E473" t="inlineStr">
        <is>
          <t>contribution_rate</t>
        </is>
      </c>
      <c r="F473" t="inlineStr">
        <is>
          <t>Contribution before losses per booked dollar</t>
        </is>
      </c>
      <c r="G473" t="n">
        <v>268</v>
      </c>
      <c r="H473" t="n">
        <v>8489093.599999992</v>
      </c>
      <c r="I473" t="b">
        <v>0</v>
      </c>
      <c r="J473" t="b">
        <v>0</v>
      </c>
      <c r="K473" t="n">
        <v>0.06457400438976602</v>
      </c>
      <c r="L473" t="n">
        <v>0.00023997600239976</v>
      </c>
      <c r="M473" t="n">
        <v>0.06706884717067216</v>
      </c>
      <c r="N473" t="n">
        <v>0.00023997600239976</v>
      </c>
      <c r="O473" t="n">
        <v>-548174.7673915341</v>
      </c>
      <c r="P473" t="n">
        <v>-569353.7212759305</v>
      </c>
      <c r="Q473">
        <f>'_live'!$C$24</f>
        <v/>
      </c>
      <c r="R473" t="inlineStr">
        <is>
          <t>shuffled: 0 of 10,000</t>
        </is>
      </c>
      <c r="S473" t="inlineStr">
        <is>
          <t>shuffled: 0 of 10,000</t>
        </is>
      </c>
      <c r="T473" t="n">
        <v>0.1674679841683531</v>
      </c>
      <c r="U473" t="n">
        <v>0.164973141387447</v>
      </c>
      <c r="V473">
        <f>AND(judged_band,NOT($J473))</f>
        <v/>
      </c>
      <c r="W473">
        <f>IF($K473="","",IF(profit_kind="test",IF(OR(NOT(AND(ISNUMBER($L473),$L473&lt;significance_bar)),$K473=0),"in line",IF($K473&lt;0,"worse","better")),IF(OR($K473=0,IF(profit_kind="points",ABS($K473),ABS($K473*$H473))&lt;profit_line*(1-1E-9)),"in line",IF(AND(ISNUMBER($L473),$L473&lt;significance_bar),IF($K473&lt;0,"worse","better"),IF($K473&lt;0,"worse, not significant","better, not significant")))))</f>
        <v/>
      </c>
      <c r="X473">
        <f>IF($M473="","",IF(profit_kind="test",IF(OR(NOT(AND(ISNUMBER($N473),$N473&lt;significance_bar)),$M473=0),"in line",IF($M473&lt;0,"worse","better")),IF(OR($M473=0,IF(profit_kind="points",ABS($M473),ABS($M473*$H473))&lt;profit_line*(1-1E-9)),"in line",IF(AND(ISNUMBER($N473),$N473&lt;significance_bar),IF($M473&lt;0,"worse","better"),IF($M473&lt;0,"worse, not significant","better, not significant")))))</f>
        <v/>
      </c>
      <c r="Y473">
        <f>IF($V473,$X473,$W473)</f>
        <v/>
      </c>
      <c r="Z473">
        <f>IF($V473,IF($P473="","",$P473),IF($O473="","",$O473))</f>
        <v/>
      </c>
      <c r="AA473">
        <f>IF(OR($Q473="",$Z473=""),"",IF(AND($Z473&gt;0,$Z473&gt;=$Q473),"yes","below the line"))</f>
        <v/>
      </c>
      <c r="AB473">
        <f>IF($V473,IF($M473="","",$M473),IF($K473="","",$K473))</f>
        <v/>
      </c>
      <c r="AC473">
        <f>IF($V473,IF($N473="","",$N473),IF($L473="","",$L473))</f>
        <v/>
      </c>
      <c r="AD473">
        <f>IF($Y473="","",IF($Y473="in line",IF(profit_kind="test",IF(ROUND($AB473*100,2)=0,"0.00",TEXT($AB473*100,"+0.00;-0.00"))&amp;" points against "&amp;IF($V473,"its band","the book")&amp;", "&amp;IF($AC473="","not tested","not significant"),IF(profit_kind="points","within "&amp;TEXT(profit_line*100,"0.00")&amp;" points of "&amp;IF($V473,"its band","the book")&amp;" ("&amp;IF(ROUND($AB473*100,2)=0,"0.00",TEXT($AB473*100,"+0.00;-0.00"))&amp;")","within $"&amp;TEXT(profit_line,"#,##0")&amp;" of "&amp;IF($V473,"its band","the book")&amp;" ("&amp;IF(ROUND($AB473*100,2)=0,"0.00",TEXT($AB473*100,"+0.00;-0.00"))&amp;" points)")),IF(LEFT($Y473,5)="worse","short of ","ahead of ")&amp;IF($V473,"its band","the book")&amp;" by "&amp;TEXT(ABS($AB473)*100,"0.00")&amp;" points"&amp;IF($Z473="",""," ($"&amp;TEXT(ABS($Z473),"#,##0")&amp;")")&amp;IF(RIGHT($Y473,15)="not significant"," (not significant)","")))</f>
        <v/>
      </c>
      <c r="AE473">
        <f>IF($V473,IF($S473="","",$S473),IF($R473="","",$R473))</f>
        <v/>
      </c>
      <c r="AF473">
        <f>IF($V473,IF($U473="","",$U473),IF($T473="","",$T473))</f>
        <v/>
      </c>
      <c r="AG473">
        <f>IF($V473,IF($O473="","",$O473),IF($P473="","",$P473))</f>
        <v/>
      </c>
      <c r="AH473" t="n">
        <v>0.2320419885581191</v>
      </c>
      <c r="AI473">
        <f>IF($Y473="worse","Yes",IF($Y473="worse, not significant","Not sure",IF(OR($Y473="too few losses to test",$Y473="too few loans to test"),"Too few losses",IF($Y473="","","No"))))</f>
        <v/>
      </c>
      <c r="AJ473">
        <f>IF($AA473="yes","Yes",IF($AA473="","","No"))</f>
        <v/>
      </c>
      <c r="AK473" t="n">
        <v>0.00023997600239976</v>
      </c>
      <c r="AL473" t="n">
        <v>0.00023997600239976</v>
      </c>
      <c r="AM473">
        <f>IF(AND(ISNUMBER($AC473),ISNUMBER(IF($V473,IF($AL473="","",$AL473),IF($AK473="","",$AK473)))),IF(AND(ABS($AC473-significance_bar)&lt;=2.0*IF($V473,IF($AL473="","",$AL473),IF($AK473="","",$AK473)),OR($Y473="worse",$Y473="better",$Y473="worse, not significant",$Y473="better, not significant",AND(profit_kind="test",$Y473="in line",ISNUMBER($AB473),$AB473&lt;&gt;0))),IF(ROUND($AC473,3)=ROUND(significance_bar,3),TEXT($AC473,"0.0000"),TEXT($AC473,"0.000")),""),"")</f>
        <v/>
      </c>
      <c r="AN473">
        <f>IF(AND(ISNUMBER($AC473),ISNUMBER(IF($V473,IF($AL473="","",$AL473),IF($AK473="","",$AK473)))),IF(AND(ABS($AC473-significance_bar)&lt;=2.0*IF($V473,IF($AL473="","",$AL473),IF($AK473="","",$AK473)),OR($Y473="worse",$Y473="worse, not significant",AND(profit_kind="test",$Y473="in line",ISNUMBER($AB473),$AB473&lt;0))),IF(ROUND($AC473,3)=ROUND(significance_bar,3),TEXT($AC473,"0.0000"),TEXT($AC473,"0.000")),""),"")</f>
        <v/>
      </c>
      <c r="AO473">
        <f>IF(OR($AI473="",$AN473=""),$AI473,$AI473&amp;" · borderline (p "&amp;$AN473&amp;")")</f>
        <v/>
      </c>
    </row>
    <row r="474">
      <c r="A474" t="inlineStr">
        <is>
          <t>three-way</t>
        </is>
      </c>
      <c r="B474" t="inlineStr">
        <is>
          <t>SHORT_HIST x CHANNEL / REV_DEBT</t>
        </is>
      </c>
      <c r="C474" t="inlineStr">
        <is>
          <t>346.0 - 435.0</t>
        </is>
      </c>
      <c r="D474" t="inlineStr">
        <is>
          <t>Online / REV_DEBT low half</t>
        </is>
      </c>
      <c r="E474" t="inlineStr">
        <is>
          <t>outcome_loans</t>
        </is>
      </c>
      <c r="F474" t="inlineStr">
        <is>
          <t>Outcome, share of loans</t>
        </is>
      </c>
      <c r="G474" t="n">
        <v>266</v>
      </c>
      <c r="H474" t="n">
        <v>266</v>
      </c>
      <c r="I474" t="b">
        <v>0</v>
      </c>
      <c r="J474" t="b">
        <v>0</v>
      </c>
      <c r="K474" t="n">
        <v>0.5259633458646616</v>
      </c>
      <c r="L474" t="n">
        <v>0.06577891082837894</v>
      </c>
      <c r="M474" t="n">
        <v>0.5177125506072875</v>
      </c>
      <c r="N474" t="n">
        <v>0.06083953968831643</v>
      </c>
      <c r="O474" t="n">
        <v>-9.914004914004913</v>
      </c>
      <c r="P474" t="n">
        <v>-10.24731182795699</v>
      </c>
      <c r="Q474">
        <f>'_live'!$C$20</f>
        <v/>
      </c>
      <c r="R474" t="inlineStr">
        <is>
          <t>z test</t>
        </is>
      </c>
      <c r="S474" t="inlineStr">
        <is>
          <t>z test</t>
        </is>
      </c>
      <c r="T474" t="n">
        <v>0.07862407862407862</v>
      </c>
      <c r="U474" t="n">
        <v>0.07987711213517665</v>
      </c>
      <c r="V474">
        <f>AND(judged_band,NOT($J474))</f>
        <v/>
      </c>
      <c r="W474">
        <f>IF($K474="","",IF($I474,"too few losses to test",IF(AND($K474&gt;better_at,$K474&lt;worse_at),"in line",IF($K474&gt;=worse_at,IF(AND(ISNUMBER($L474),$L474&lt;significance_bar),"worse","worse, not significant"),IF(AND(ISNUMBER($L474),$L474&lt;significance_bar),"better","better, not significant")))))</f>
        <v/>
      </c>
      <c r="X474">
        <f>IF($M474="","",IF($I474,"too few losses to test",IF(AND($M474&gt;better_at,$M474&lt;worse_at),"in line",IF($M474&gt;=worse_at,IF(AND(ISNUMBER($N474),$N474&lt;significance_bar),"worse","worse, not significant"),IF(AND(ISNUMBER($N474),$N474&lt;significance_bar),"better","better, not significant")))))</f>
        <v/>
      </c>
      <c r="Y474">
        <f>IF($V474,$X474,$W474)</f>
        <v/>
      </c>
      <c r="Z474">
        <f>IF($V474,IF($P474="","",$P474),IF($O474="","",$O474))</f>
        <v/>
      </c>
      <c r="AA474">
        <f>IF(OR($Q474="",$Z474=""),"",IF(AND($Z474&gt;0,$Z474&gt;=$Q474),"yes","below the line"))</f>
        <v/>
      </c>
      <c r="AB474">
        <f>IF($V474,IF($M474="","",$M474),IF($K474="","",$K474))</f>
        <v/>
      </c>
      <c r="AC474">
        <f>IF($V474,IF($N474="","",$N474),IF($L474="","",$L474))</f>
        <v/>
      </c>
      <c r="AD474">
        <f>$Y474</f>
        <v/>
      </c>
      <c r="AE474">
        <f>IF($V474,IF($S474="","",$S474),IF($R474="","",$R474))</f>
        <v/>
      </c>
      <c r="AF474">
        <f>IF($V474,IF($U474="","",$U474),IF($T474="","",$T474))</f>
        <v/>
      </c>
      <c r="AG474">
        <f>IF($V474,IF($O474="","",$O474),IF($P474="","",$P474))</f>
        <v/>
      </c>
      <c r="AH474" t="n">
        <v>0.04135338345864661</v>
      </c>
      <c r="AI474">
        <f>IF($Y474="worse","Yes",IF($Y474="worse, not significant","Not sure",IF(OR($Y474="too few losses to test",$Y474="too few loans to test"),"Too few losses",IF($Y474="","","No"))))</f>
        <v/>
      </c>
      <c r="AJ474">
        <f>IF($AA474="yes","Yes",IF($AA474="","","No"))</f>
        <v/>
      </c>
      <c r="AM474">
        <f>IF(AND(ISNUMBER($AC474),ISNUMBER(IF($V474,IF($AL474="","",$AL474),IF($AK474="","",$AK474)))),IF(AND(ABS($AC474-significance_bar)&lt;=2.0*IF($V474,IF($AL474="","",$AL474),IF($AK474="","",$AK474)),OR($Y474="worse",$Y474="better",$Y474="worse, not significant",$Y474="better, not significant")),IF(ROUND($AC474,3)=ROUND(significance_bar,3),TEXT($AC474,"0.0000"),TEXT($AC474,"0.000")),""),"")</f>
        <v/>
      </c>
      <c r="AN474">
        <f>IF(AND(ISNUMBER($AC474),ISNUMBER(IF($V474,IF($AL474="","",$AL474),IF($AK474="","",$AK474)))),IF(AND(ABS($AC474-significance_bar)&lt;=2.0*IF($V474,IF($AL474="","",$AL474),IF($AK474="","",$AK474)),OR($Y474="worse",$Y474="worse, not significant")),IF(ROUND($AC474,3)=ROUND(significance_bar,3),TEXT($AC474,"0.0000"),TEXT($AC474,"0.000")),""),"")</f>
        <v/>
      </c>
      <c r="AO474">
        <f>IF(OR($AI474="",$AN474=""),$AI474,$AI474&amp;" · borderline (p "&amp;$AN474&amp;")")</f>
        <v/>
      </c>
    </row>
    <row r="475">
      <c r="A475" t="inlineStr">
        <is>
          <t>three-way</t>
        </is>
      </c>
      <c r="B475" t="inlineStr">
        <is>
          <t>SHORT_HIST x CHANNEL / REV_DEBT</t>
        </is>
      </c>
      <c r="C475" t="inlineStr">
        <is>
          <t>346.0 - 435.0</t>
        </is>
      </c>
      <c r="D475" t="inlineStr">
        <is>
          <t>Online / REV_DEBT low half</t>
        </is>
      </c>
      <c r="E475" t="inlineStr">
        <is>
          <t>outcome_booked</t>
        </is>
      </c>
      <c r="F475" t="inlineStr">
        <is>
          <t>Outcome, share of booked dollars</t>
        </is>
      </c>
      <c r="G475" t="n">
        <v>266</v>
      </c>
      <c r="H475" t="n">
        <v>8954625.759999996</v>
      </c>
      <c r="I475" t="b">
        <v>0</v>
      </c>
      <c r="J475" t="b">
        <v>0</v>
      </c>
      <c r="K475" t="n">
        <v>0.401615432097413</v>
      </c>
      <c r="L475" t="n">
        <v>0.04122444898367306</v>
      </c>
      <c r="M475" t="n">
        <v>0.3965848008767522</v>
      </c>
      <c r="N475" t="n">
        <v>0.04456697187424114</v>
      </c>
      <c r="O475" t="n">
        <v>-409459.1386191403</v>
      </c>
      <c r="P475" t="n">
        <v>-418139.0761517307</v>
      </c>
      <c r="Q475">
        <f>'_live'!$C$21</f>
        <v/>
      </c>
      <c r="R475" t="inlineStr">
        <is>
          <t>shuffled: 110 of 10,000</t>
        </is>
      </c>
      <c r="S475" t="inlineStr">
        <is>
          <t>shuffled: 106 of 10,000</t>
        </is>
      </c>
      <c r="T475" t="n">
        <v>0.07641572601233317</v>
      </c>
      <c r="U475" t="n">
        <v>0.07738505044478051</v>
      </c>
      <c r="V475">
        <f>AND(judged_band,NOT($J475))</f>
        <v/>
      </c>
      <c r="W475">
        <f>IF($K475="","",IF($I475,"too few losses to test",IF(AND($K475&gt;better_at,$K475&lt;worse_at),"in line",IF($K475&gt;=worse_at,IF(AND(ISNUMBER($L475),$L475&lt;significance_bar),"worse","worse, not significant"),IF(AND(ISNUMBER($L475),$L475&lt;significance_bar),"better","better, not significant")))))</f>
        <v/>
      </c>
      <c r="X475">
        <f>IF($M475="","",IF($I475,"too few losses to test",IF(AND($M475&gt;better_at,$M475&lt;worse_at),"in line",IF($M475&gt;=worse_at,IF(AND(ISNUMBER($N475),$N475&lt;significance_bar),"worse","worse, not significant"),IF(AND(ISNUMBER($N475),$N475&lt;significance_bar),"better","better, not significant")))))</f>
        <v/>
      </c>
      <c r="Y475">
        <f>IF($V475,$X475,$W475)</f>
        <v/>
      </c>
      <c r="Z475">
        <f>IF($V475,IF($P475="","",$P475),IF($O475="","",$O475))</f>
        <v/>
      </c>
      <c r="AA475">
        <f>IF(OR($Q475="",$Z475=""),"",IF(AND($Z475&gt;0,$Z475&gt;=$Q475),"yes","below the line"))</f>
        <v/>
      </c>
      <c r="AB475">
        <f>IF($V475,IF($M475="","",$M475),IF($K475="","",$K475))</f>
        <v/>
      </c>
      <c r="AC475">
        <f>IF($V475,IF($N475="","",$N475),IF($L475="","",$L475))</f>
        <v/>
      </c>
      <c r="AD475">
        <f>$Y475</f>
        <v/>
      </c>
      <c r="AE475">
        <f>IF($V475,IF($S475="","",$S475),IF($R475="","",$R475))</f>
        <v/>
      </c>
      <c r="AF475">
        <f>IF($V475,IF($U475="","",$U475),IF($T475="","",$T475))</f>
        <v/>
      </c>
      <c r="AG475">
        <f>IF($V475,IF($O475="","",$O475),IF($P475="","",$P475))</f>
        <v/>
      </c>
      <c r="AH475" t="n">
        <v>0.03068973482148071</v>
      </c>
      <c r="AI475">
        <f>IF($Y475="worse","Yes",IF($Y475="worse, not significant","Not sure",IF(OR($Y475="too few losses to test",$Y475="too few loans to test"),"Too few losses",IF($Y475="","","No"))))</f>
        <v/>
      </c>
      <c r="AJ475">
        <f>IF($AA475="yes","Yes",IF($AA475="","","No"))</f>
        <v/>
      </c>
      <c r="AK475" t="n">
        <v>0.003891271344244059</v>
      </c>
      <c r="AL475" t="n">
        <v>0.004044109938904081</v>
      </c>
      <c r="AM475">
        <f>IF(AND(ISNUMBER($AC475),ISNUMBER(IF($V475,IF($AL475="","",$AL475),IF($AK475="","",$AK475)))),IF(AND(ABS($AC475-significance_bar)&lt;=2.0*IF($V475,IF($AL475="","",$AL475),IF($AK475="","",$AK475)),OR($Y475="worse",$Y475="better",$Y475="worse, not significant",$Y475="better, not significant")),IF(ROUND($AC475,3)=ROUND(significance_bar,3),TEXT($AC475,"0.0000"),TEXT($AC475,"0.000")),""),"")</f>
        <v/>
      </c>
      <c r="AN475">
        <f>IF(AND(ISNUMBER($AC475),ISNUMBER(IF($V475,IF($AL475="","",$AL475),IF($AK475="","",$AK475)))),IF(AND(ABS($AC475-significance_bar)&lt;=2.0*IF($V475,IF($AL475="","",$AL475),IF($AK475="","",$AK475)),OR($Y475="worse",$Y475="worse, not significant")),IF(ROUND($AC475,3)=ROUND(significance_bar,3),TEXT($AC475,"0.0000"),TEXT($AC475,"0.000")),""),"")</f>
        <v/>
      </c>
      <c r="AO475">
        <f>IF(OR($AI475="",$AN475=""),$AI475,$AI475&amp;" · borderline (p "&amp;$AN475&amp;")")</f>
        <v/>
      </c>
    </row>
    <row r="476">
      <c r="A476" t="inlineStr">
        <is>
          <t>three-way</t>
        </is>
      </c>
      <c r="B476" t="inlineStr">
        <is>
          <t>SHORT_HIST x CHANNEL / REV_DEBT</t>
        </is>
      </c>
      <c r="C476" t="inlineStr">
        <is>
          <t>346.0 - 435.0</t>
        </is>
      </c>
      <c r="D476" t="inlineStr">
        <is>
          <t>Online / REV_DEBT low half</t>
        </is>
      </c>
      <c r="E476" t="inlineStr">
        <is>
          <t>gco_rate</t>
        </is>
      </c>
      <c r="F476" t="inlineStr">
        <is>
          <t>GCO per booked dollar</t>
        </is>
      </c>
      <c r="G476" t="n">
        <v>266</v>
      </c>
      <c r="H476" t="n">
        <v>8954625.759999996</v>
      </c>
      <c r="I476" t="b">
        <v>0</v>
      </c>
      <c r="J476" t="b">
        <v>0</v>
      </c>
      <c r="K476" t="n">
        <v>0.367462815597274</v>
      </c>
      <c r="L476" t="n">
        <v>0.04462887044628871</v>
      </c>
      <c r="M476" t="n">
        <v>0.3507805288058118</v>
      </c>
      <c r="N476" t="n">
        <v>0.03293004032930041</v>
      </c>
      <c r="O476" t="n">
        <v>-240946.9495502799</v>
      </c>
      <c r="P476" t="n">
        <v>-259062.6643932231</v>
      </c>
      <c r="Q476">
        <f>'_live'!$C$22</f>
        <v/>
      </c>
      <c r="R476" t="inlineStr">
        <is>
          <t>shuffled: 102 of 10,000</t>
        </is>
      </c>
      <c r="S476" t="inlineStr">
        <is>
          <t>shuffled: 75 of 10,000</t>
        </is>
      </c>
      <c r="T476" t="n">
        <v>0.04253906413954703</v>
      </c>
      <c r="U476" t="n">
        <v>0.04456212075056314</v>
      </c>
      <c r="V476">
        <f>AND(judged_band,NOT($J476))</f>
        <v/>
      </c>
      <c r="W476">
        <f>IF($K476="","",IF($I476,"too few losses to test",IF(AND($K476&gt;better_at,$K476&lt;worse_at),"in line",IF($K476&gt;=worse_at,IF(AND(ISNUMBER($L476),$L476&lt;significance_bar),"worse","worse, not significant"),IF(AND(ISNUMBER($L476),$L476&lt;significance_bar),"better","better, not significant")))))</f>
        <v/>
      </c>
      <c r="X476">
        <f>IF($M476="","",IF($I476,"too few losses to test",IF(AND($M476&gt;better_at,$M476&lt;worse_at),"in line",IF($M476&gt;=worse_at,IF(AND(ISNUMBER($N476),$N476&lt;significance_bar),"worse","worse, not significant"),IF(AND(ISNUMBER($N476),$N476&lt;significance_bar),"better","better, not significant")))))</f>
        <v/>
      </c>
      <c r="Y476">
        <f>IF($V476,$X476,$W476)</f>
        <v/>
      </c>
      <c r="Z476">
        <f>IF($V476,IF($P476="","",$P476),IF($O476="","",$O476))</f>
        <v/>
      </c>
      <c r="AA476">
        <f>IF(OR($Q476="",$Z476=""),"",IF(AND($Z476&gt;0,$Z476&gt;=$Q476),"yes","below the line"))</f>
        <v/>
      </c>
      <c r="AB476">
        <f>IF($V476,IF($M476="","",$M476),IF($K476="","",$K476))</f>
        <v/>
      </c>
      <c r="AC476">
        <f>IF($V476,IF($N476="","",$N476),IF($L476="","",$L476))</f>
        <v/>
      </c>
      <c r="AD476">
        <f>$Y476</f>
        <v/>
      </c>
      <c r="AE476">
        <f>IF($V476,IF($S476="","",$S476),IF($R476="","",$R476))</f>
        <v/>
      </c>
      <c r="AF476">
        <f>IF($V476,IF($U476="","",$U476),IF($T476="","",$T476))</f>
        <v/>
      </c>
      <c r="AG476">
        <f>IF($V476,IF($O476="","",$O476),IF($P476="","",$P476))</f>
        <v/>
      </c>
      <c r="AH476" t="n">
        <v>0.01563152428159098</v>
      </c>
      <c r="AI476">
        <f>IF($Y476="worse","Yes",IF($Y476="worse, not significant","Not sure",IF(OR($Y476="too few losses to test",$Y476="too few loans to test"),"Too few losses",IF($Y476="","","No"))))</f>
        <v/>
      </c>
      <c r="AJ476">
        <f>IF($AA476="yes","Yes",IF($AA476="","","No"))</f>
        <v/>
      </c>
      <c r="AK476" t="n">
        <v>0.004374928980641927</v>
      </c>
      <c r="AL476" t="n">
        <v>0.003763143019749303</v>
      </c>
      <c r="AM476">
        <f>IF(AND(ISNUMBER($AC476),ISNUMBER(IF($V476,IF($AL476="","",$AL476),IF($AK476="","",$AK476)))),IF(AND(ABS($AC476-significance_bar)&lt;=2.0*IF($V476,IF($AL476="","",$AL476),IF($AK476="","",$AK476)),OR($Y476="worse",$Y476="better",$Y476="worse, not significant",$Y476="better, not significant")),IF(ROUND($AC476,3)=ROUND(significance_bar,3),TEXT($AC476,"0.0000"),TEXT($AC476,"0.000")),""),"")</f>
        <v/>
      </c>
      <c r="AN476">
        <f>IF(AND(ISNUMBER($AC476),ISNUMBER(IF($V476,IF($AL476="","",$AL476),IF($AK476="","",$AK476)))),IF(AND(ABS($AC476-significance_bar)&lt;=2.0*IF($V476,IF($AL476="","",$AL476),IF($AK476="","",$AK476)),OR($Y476="worse",$Y476="worse, not significant")),IF(ROUND($AC476,3)=ROUND(significance_bar,3),TEXT($AC476,"0.0000"),TEXT($AC476,"0.000")),""),"")</f>
        <v/>
      </c>
      <c r="AO476">
        <f>IF(OR($AI476="",$AN476=""),$AI476,$AI476&amp;" · borderline (p "&amp;$AN476&amp;")")</f>
        <v/>
      </c>
    </row>
    <row r="477">
      <c r="A477" t="inlineStr">
        <is>
          <t>three-way</t>
        </is>
      </c>
      <c r="B477" t="inlineStr">
        <is>
          <t>SHORT_HIST x CHANNEL / REV_DEBT</t>
        </is>
      </c>
      <c r="C477" t="inlineStr">
        <is>
          <t>346.0 - 435.0</t>
        </is>
      </c>
      <c r="D477" t="inlineStr">
        <is>
          <t>Online / REV_DEBT low half</t>
        </is>
      </c>
      <c r="E477" t="inlineStr">
        <is>
          <t>ranr_rate</t>
        </is>
      </c>
      <c r="F477" t="inlineStr">
        <is>
          <t>Profit after losses: RANR per booked dollar</t>
        </is>
      </c>
      <c r="G477" t="n">
        <v>266</v>
      </c>
      <c r="H477" t="n">
        <v>8954625.759999996</v>
      </c>
      <c r="I477" t="b">
        <v>0</v>
      </c>
      <c r="J477" t="b">
        <v>0</v>
      </c>
      <c r="K477" t="n">
        <v>-0.0056299443512383</v>
      </c>
      <c r="L477" t="n">
        <v>0.7158920471589204</v>
      </c>
      <c r="M477" t="n">
        <v>-0.003781266730957536</v>
      </c>
      <c r="N477" t="n">
        <v>0.8241058247116465</v>
      </c>
      <c r="O477" t="n">
        <v>50414.04471496493</v>
      </c>
      <c r="P477" t="n">
        <v>33859.8284744632</v>
      </c>
      <c r="Q477">
        <f>'_live'!$C$23</f>
        <v/>
      </c>
      <c r="R477" t="inlineStr">
        <is>
          <t>shuffled: 6,562 of 10,000</t>
        </is>
      </c>
      <c r="S477" t="inlineStr">
        <is>
          <t>shuffled: 7,783 of 10,000</t>
        </is>
      </c>
      <c r="T477" t="n">
        <v>0.1281854010965352</v>
      </c>
      <c r="U477" t="n">
        <v>0.1263367234762544</v>
      </c>
      <c r="V477">
        <f>AND(judged_band,NOT($J477))</f>
        <v/>
      </c>
      <c r="W477">
        <f>IF($K477="","",IF(profit_kind="test",IF(OR(NOT(AND(ISNUMBER($L477),$L477&lt;significance_bar)),$K477=0),"in line",IF($K477&lt;0,"worse","better")),IF(OR($K477=0,IF(profit_kind="points",ABS($K477),ABS($K477*$H477))&lt;profit_line*(1-1E-9)),"in line",IF(AND(ISNUMBER($L477),$L477&lt;significance_bar),IF($K477&lt;0,"worse","better"),IF($K477&lt;0,"worse, not significant","better, not significant")))))</f>
        <v/>
      </c>
      <c r="X477">
        <f>IF($M477="","",IF(profit_kind="test",IF(OR(NOT(AND(ISNUMBER($N477),$N477&lt;significance_bar)),$M477=0),"in line",IF($M477&lt;0,"worse","better")),IF(OR($M477=0,IF(profit_kind="points",ABS($M477),ABS($M477*$H477))&lt;profit_line*(1-1E-9)),"in line",IF(AND(ISNUMBER($N477),$N477&lt;significance_bar),IF($M477&lt;0,"worse","better"),IF($M477&lt;0,"worse, not significant","better, not significant")))))</f>
        <v/>
      </c>
      <c r="Y477">
        <f>IF($V477,$X477,$W477)</f>
        <v/>
      </c>
      <c r="Z477">
        <f>IF($V477,IF($P477="","",$P477),IF($O477="","",$O477))</f>
        <v/>
      </c>
      <c r="AA477">
        <f>IF(OR($Q477="",$Z477=""),"",IF(AND($Z477&gt;0,$Z477&gt;=$Q477),"yes","below the line"))</f>
        <v/>
      </c>
      <c r="AB477">
        <f>IF($V477,IF($M477="","",$M477),IF($K477="","",$K477))</f>
        <v/>
      </c>
      <c r="AC477">
        <f>IF($V477,IF($N477="","",$N477),IF($L477="","",$L477))</f>
        <v/>
      </c>
      <c r="AD477">
        <f>IF($Y477="","",IF($Y477="in line",IF(profit_kind="test",IF(ROUND($AB477*100,2)=0,"0.00",TEXT($AB477*100,"+0.00;-0.00"))&amp;" points against "&amp;IF($V477,"its band","the book")&amp;", "&amp;IF($AC477="","not tested","not significant"),IF(profit_kind="points","within "&amp;TEXT(profit_line*100,"0.00")&amp;" points of "&amp;IF($V477,"its band","the book")&amp;" ("&amp;IF(ROUND($AB477*100,2)=0,"0.00",TEXT($AB477*100,"+0.00;-0.00"))&amp;")","within $"&amp;TEXT(profit_line,"#,##0")&amp;" of "&amp;IF($V477,"its band","the book")&amp;" ("&amp;IF(ROUND($AB477*100,2)=0,"0.00",TEXT($AB477*100,"+0.00;-0.00"))&amp;" points)")),IF(LEFT($Y477,5)="worse","short of ","ahead of ")&amp;IF($V477,"its band","the book")&amp;" by "&amp;TEXT(ABS($AB477)*100,"0.00")&amp;" points"&amp;IF($Z477="",""," ($"&amp;TEXT(ABS($Z477),"#,##0")&amp;")")&amp;IF(RIGHT($Y477,15)="not significant"," (not significant)","")))</f>
        <v/>
      </c>
      <c r="AE477">
        <f>IF($V477,IF($S477="","",$S477),IF($R477="","",$R477))</f>
        <v/>
      </c>
      <c r="AF477">
        <f>IF($V477,IF($U477="","",$U477),IF($T477="","",$T477))</f>
        <v/>
      </c>
      <c r="AG477">
        <f>IF($V477,IF($O477="","",$O477),IF($P477="","",$P477))</f>
        <v/>
      </c>
      <c r="AH477" t="n">
        <v>0.1225554567452969</v>
      </c>
      <c r="AI477">
        <f>IF($Y477="worse","Yes",IF($Y477="worse, not significant","Not sure",IF(OR($Y477="too few losses to test",$Y477="too few loans to test"),"Too few losses",IF($Y477="","","No"))))</f>
        <v/>
      </c>
      <c r="AJ477">
        <f>IF($AA477="yes","Yes",IF($AA477="","","No"))</f>
        <v/>
      </c>
      <c r="AK477" t="n">
        <v>0.005181425664523192</v>
      </c>
      <c r="AL477" t="n">
        <v>0.004398093082306417</v>
      </c>
      <c r="AM477">
        <f>IF(AND(ISNUMBER($AC477),ISNUMBER(IF($V477,IF($AL477="","",$AL477),IF($AK477="","",$AK477)))),IF(AND(ABS($AC477-significance_bar)&lt;=2.0*IF($V477,IF($AL477="","",$AL477),IF($AK477="","",$AK477)),OR($Y477="worse",$Y477="better",$Y477="worse, not significant",$Y477="better, not significant",AND(profit_kind="test",$Y477="in line",ISNUMBER($AB477),$AB477&lt;&gt;0))),IF(ROUND($AC477,3)=ROUND(significance_bar,3),TEXT($AC477,"0.0000"),TEXT($AC477,"0.000")),""),"")</f>
        <v/>
      </c>
      <c r="AN477">
        <f>IF(AND(ISNUMBER($AC477),ISNUMBER(IF($V477,IF($AL477="","",$AL477),IF($AK477="","",$AK477)))),IF(AND(ABS($AC477-significance_bar)&lt;=2.0*IF($V477,IF($AL477="","",$AL477),IF($AK477="","",$AK477)),OR($Y477="worse",$Y477="worse, not significant",AND(profit_kind="test",$Y477="in line",ISNUMBER($AB477),$AB477&lt;0))),IF(ROUND($AC477,3)=ROUND(significance_bar,3),TEXT($AC477,"0.0000"),TEXT($AC477,"0.000")),""),"")</f>
        <v/>
      </c>
      <c r="AO477">
        <f>IF(OR($AI477="",$AN477=""),$AI477,$AI477&amp;" · borderline (p "&amp;$AN477&amp;")")</f>
        <v/>
      </c>
    </row>
    <row r="478">
      <c r="A478" t="inlineStr">
        <is>
          <t>three-way</t>
        </is>
      </c>
      <c r="B478" t="inlineStr">
        <is>
          <t>SHORT_HIST x CHANNEL / REV_DEBT</t>
        </is>
      </c>
      <c r="C478" t="inlineStr">
        <is>
          <t>346.0 - 435.0</t>
        </is>
      </c>
      <c r="D478" t="inlineStr">
        <is>
          <t>Online / REV_DEBT low half</t>
        </is>
      </c>
      <c r="E478" t="inlineStr">
        <is>
          <t>contribution_rate</t>
        </is>
      </c>
      <c r="F478" t="inlineStr">
        <is>
          <t>Contribution before losses per booked dollar</t>
        </is>
      </c>
      <c r="G478" t="n">
        <v>266</v>
      </c>
      <c r="H478" t="n">
        <v>8954625.759999996</v>
      </c>
      <c r="I478" t="b">
        <v>0</v>
      </c>
      <c r="J478" t="b">
        <v>0</v>
      </c>
      <c r="K478" t="n">
        <v>-0.03253455329298049</v>
      </c>
      <c r="L478" t="n">
        <v>0.0003789094774733053</v>
      </c>
      <c r="M478" t="n">
        <v>-0.0327118631999298</v>
      </c>
      <c r="N478" t="n">
        <v>0.0006856457211421715</v>
      </c>
      <c r="O478" t="n">
        <v>291334.749007416</v>
      </c>
      <c r="P478" t="n">
        <v>292922.4928676875</v>
      </c>
      <c r="Q478">
        <f>'_live'!$C$24</f>
        <v/>
      </c>
      <c r="R478" t="inlineStr">
        <is>
          <t>shuffled: 1 of 10,000</t>
        </is>
      </c>
      <c r="S478" t="inlineStr">
        <is>
          <t>shuffled: 3 of 10,000</t>
        </is>
      </c>
      <c r="T478" t="n">
        <v>0.1707215343198683</v>
      </c>
      <c r="U478" t="n">
        <v>0.1708988442268176</v>
      </c>
      <c r="V478">
        <f>AND(judged_band,NOT($J478))</f>
        <v/>
      </c>
      <c r="W478">
        <f>IF($K478="","",IF(profit_kind="test",IF(OR(NOT(AND(ISNUMBER($L478),$L478&lt;significance_bar)),$K478=0),"in line",IF($K478&lt;0,"worse","better")),IF(OR($K478=0,IF(profit_kind="points",ABS($K478),ABS($K478*$H478))&lt;profit_line*(1-1E-9)),"in line",IF(AND(ISNUMBER($L478),$L478&lt;significance_bar),IF($K478&lt;0,"worse","better"),IF($K478&lt;0,"worse, not significant","better, not significant")))))</f>
        <v/>
      </c>
      <c r="X478">
        <f>IF($M478="","",IF(profit_kind="test",IF(OR(NOT(AND(ISNUMBER($N478),$N478&lt;significance_bar)),$M478=0),"in line",IF($M478&lt;0,"worse","better")),IF(OR($M478=0,IF(profit_kind="points",ABS($M478),ABS($M478*$H478))&lt;profit_line*(1-1E-9)),"in line",IF(AND(ISNUMBER($N478),$N478&lt;significance_bar),IF($M478&lt;0,"worse","better"),IF($M478&lt;0,"worse, not significant","better, not significant")))))</f>
        <v/>
      </c>
      <c r="Y478">
        <f>IF($V478,$X478,$W478)</f>
        <v/>
      </c>
      <c r="Z478">
        <f>IF($V478,IF($P478="","",$P478),IF($O478="","",$O478))</f>
        <v/>
      </c>
      <c r="AA478">
        <f>IF(OR($Q478="",$Z478=""),"",IF(AND($Z478&gt;0,$Z478&gt;=$Q478),"yes","below the line"))</f>
        <v/>
      </c>
      <c r="AB478">
        <f>IF($V478,IF($M478="","",$M478),IF($K478="","",$K478))</f>
        <v/>
      </c>
      <c r="AC478">
        <f>IF($V478,IF($N478="","",$N478),IF($L478="","",$L478))</f>
        <v/>
      </c>
      <c r="AD478">
        <f>IF($Y478="","",IF($Y478="in line",IF(profit_kind="test",IF(ROUND($AB478*100,2)=0,"0.00",TEXT($AB478*100,"+0.00;-0.00"))&amp;" points against "&amp;IF($V478,"its band","the book")&amp;", "&amp;IF($AC478="","not tested","not significant"),IF(profit_kind="points","within "&amp;TEXT(profit_line*100,"0.00")&amp;" points of "&amp;IF($V478,"its band","the book")&amp;" ("&amp;IF(ROUND($AB478*100,2)=0,"0.00",TEXT($AB478*100,"+0.00;-0.00"))&amp;")","within $"&amp;TEXT(profit_line,"#,##0")&amp;" of "&amp;IF($V478,"its band","the book")&amp;" ("&amp;IF(ROUND($AB478*100,2)=0,"0.00",TEXT($AB478*100,"+0.00;-0.00"))&amp;" points)")),IF(LEFT($Y478,5)="worse","short of ","ahead of ")&amp;IF($V478,"its band","the book")&amp;" by "&amp;TEXT(ABS($AB478)*100,"0.00")&amp;" points"&amp;IF($Z478="",""," ($"&amp;TEXT(ABS($Z478),"#,##0")&amp;")")&amp;IF(RIGHT($Y478,15)="not significant"," (not significant)","")))</f>
        <v/>
      </c>
      <c r="AE478">
        <f>IF($V478,IF($S478="","",$S478),IF($R478="","",$R478))</f>
        <v/>
      </c>
      <c r="AF478">
        <f>IF($V478,IF($U478="","",$U478),IF($T478="","",$T478))</f>
        <v/>
      </c>
      <c r="AG478">
        <f>IF($V478,IF($O478="","",$O478),IF($P478="","",$P478))</f>
        <v/>
      </c>
      <c r="AH478" t="n">
        <v>0.1381869810268878</v>
      </c>
      <c r="AI478">
        <f>IF($Y478="worse","Yes",IF($Y478="worse, not significant","Not sure",IF(OR($Y478="too few losses to test",$Y478="too few loans to test"),"Too few losses",IF($Y478="","","No"))))</f>
        <v/>
      </c>
      <c r="AJ478">
        <f>IF($AA478="yes","Yes",IF($AA478="","","No"))</f>
        <v/>
      </c>
      <c r="AK478" t="n">
        <v>0.0002679160641692481</v>
      </c>
      <c r="AL478" t="n">
        <v>0.0003427714332846643</v>
      </c>
      <c r="AM478">
        <f>IF(AND(ISNUMBER($AC478),ISNUMBER(IF($V478,IF($AL478="","",$AL478),IF($AK478="","",$AK478)))),IF(AND(ABS($AC478-significance_bar)&lt;=2.0*IF($V478,IF($AL478="","",$AL478),IF($AK478="","",$AK478)),OR($Y478="worse",$Y478="better",$Y478="worse, not significant",$Y478="better, not significant",AND(profit_kind="test",$Y478="in line",ISNUMBER($AB478),$AB478&lt;&gt;0))),IF(ROUND($AC478,3)=ROUND(significance_bar,3),TEXT($AC478,"0.0000"),TEXT($AC478,"0.000")),""),"")</f>
        <v/>
      </c>
      <c r="AN478">
        <f>IF(AND(ISNUMBER($AC478),ISNUMBER(IF($V478,IF($AL478="","",$AL478),IF($AK478="","",$AK478)))),IF(AND(ABS($AC478-significance_bar)&lt;=2.0*IF($V478,IF($AL478="","",$AL478),IF($AK478="","",$AK478)),OR($Y478="worse",$Y478="worse, not significant",AND(profit_kind="test",$Y478="in line",ISNUMBER($AB478),$AB478&lt;0))),IF(ROUND($AC478,3)=ROUND(significance_bar,3),TEXT($AC478,"0.0000"),TEXT($AC478,"0.000")),""),"")</f>
        <v/>
      </c>
      <c r="AO478">
        <f>IF(OR($AI478="",$AN478=""),$AI478,$AI478&amp;" · borderline (p "&amp;$AN478&amp;")")</f>
        <v/>
      </c>
    </row>
    <row r="479">
      <c r="A479" t="inlineStr">
        <is>
          <t>three-way</t>
        </is>
      </c>
      <c r="B479" t="inlineStr">
        <is>
          <t>SHORT_HIST x CHANNEL / REV_DEBT</t>
        </is>
      </c>
      <c r="C479" t="inlineStr">
        <is>
          <t>(marked missing)</t>
        </is>
      </c>
      <c r="D479" t="inlineStr">
        <is>
          <t>Broker / REV_DEBT high half</t>
        </is>
      </c>
      <c r="E479" t="inlineStr">
        <is>
          <t>outcome_loans</t>
        </is>
      </c>
      <c r="F479" t="inlineStr">
        <is>
          <t>Outcome, share of loans</t>
        </is>
      </c>
      <c r="G479" t="n">
        <v>33</v>
      </c>
      <c r="H479" t="n">
        <v>33</v>
      </c>
      <c r="I479" t="b">
        <v>1</v>
      </c>
      <c r="J479" t="b">
        <v>0</v>
      </c>
      <c r="K479" t="n">
        <v>0.7824763027356221</v>
      </c>
      <c r="M479" t="n">
        <v>0.9201101928374655</v>
      </c>
      <c r="O479" t="n">
        <v>-0.5559879487823252</v>
      </c>
      <c r="P479" t="n">
        <v>-0.1736526946107788</v>
      </c>
      <c r="Q479">
        <f>'_live'!$C$20</f>
        <v/>
      </c>
      <c r="T479" t="n">
        <v>0.07745418026613106</v>
      </c>
      <c r="U479" t="n">
        <v>0.0658682634730539</v>
      </c>
      <c r="V479">
        <f>AND(judged_band,NOT($J479))</f>
        <v/>
      </c>
      <c r="W479">
        <f>IF($K479="","",IF($I479,"too few losses to test",IF(AND($K479&gt;better_at,$K479&lt;worse_at),"in line",IF($K479&gt;=worse_at,IF(AND(ISNUMBER($L479),$L479&lt;significance_bar),"worse","worse, not significant"),IF(AND(ISNUMBER($L479),$L479&lt;significance_bar),"better","better, not significant")))))</f>
        <v/>
      </c>
      <c r="X479">
        <f>IF($M479="","",IF($I479,"too few losses to test",IF(AND($M479&gt;better_at,$M479&lt;worse_at),"in line",IF($M479&gt;=worse_at,IF(AND(ISNUMBER($N479),$N479&lt;significance_bar),"worse","worse, not significant"),IF(AND(ISNUMBER($N479),$N479&lt;significance_bar),"better","better, not significant")))))</f>
        <v/>
      </c>
      <c r="Y479">
        <f>IF($V479,$X479,$W479)</f>
        <v/>
      </c>
      <c r="Z479">
        <f>IF($V479,IF($P479="","",$P479),IF($O479="","",$O479))</f>
        <v/>
      </c>
      <c r="AA479">
        <f>IF(OR($Q479="",$Z479=""),"",IF(AND($Z479&gt;0,$Z479&gt;=$Q479),"yes","below the line"))</f>
        <v/>
      </c>
      <c r="AB479">
        <f>IF($V479,IF($M479="","",$M479),IF($K479="","",$K479))</f>
        <v/>
      </c>
      <c r="AC479">
        <f>IF($V479,IF($N479="","",$N479),IF($L479="","",$L479))</f>
        <v/>
      </c>
      <c r="AD479">
        <f>$Y479</f>
        <v/>
      </c>
      <c r="AE479">
        <f>IF($V479,IF($S479="","",$S479),IF($R479="","",$R479))</f>
        <v/>
      </c>
      <c r="AF479">
        <f>IF($V479,IF($U479="","",$U479),IF($T479="","",$T479))</f>
        <v/>
      </c>
      <c r="AG479">
        <f>IF($V479,IF($O479="","",$O479),IF($P479="","",$P479))</f>
        <v/>
      </c>
      <c r="AH479" t="n">
        <v>0.06060606060606061</v>
      </c>
      <c r="AI479">
        <f>IF($Y479="worse","Yes",IF($Y479="worse, not significant","Not sure",IF(OR($Y479="too few losses to test",$Y479="too few loans to test"),"Too few losses",IF($Y479="","","No"))))</f>
        <v/>
      </c>
      <c r="AJ479">
        <f>IF($AA479="yes","Yes",IF($AA479="","","No"))</f>
        <v/>
      </c>
      <c r="AM479">
        <f>IF(AND(ISNUMBER($AC479),ISNUMBER(IF($V479,IF($AL479="","",$AL479),IF($AK479="","",$AK479)))),IF(AND(ABS($AC479-significance_bar)&lt;=2.0*IF($V479,IF($AL479="","",$AL479),IF($AK479="","",$AK479)),OR($Y479="worse",$Y479="better",$Y479="worse, not significant",$Y479="better, not significant")),IF(ROUND($AC479,3)=ROUND(significance_bar,3),TEXT($AC479,"0.0000"),TEXT($AC479,"0.000")),""),"")</f>
        <v/>
      </c>
      <c r="AN479">
        <f>IF(AND(ISNUMBER($AC479),ISNUMBER(IF($V479,IF($AL479="","",$AL479),IF($AK479="","",$AK479)))),IF(AND(ABS($AC479-significance_bar)&lt;=2.0*IF($V479,IF($AL479="","",$AL479),IF($AK479="","",$AK479)),OR($Y479="worse",$Y479="worse, not significant")),IF(ROUND($AC479,3)=ROUND(significance_bar,3),TEXT($AC479,"0.0000"),TEXT($AC479,"0.000")),""),"")</f>
        <v/>
      </c>
      <c r="AO479">
        <f>IF(OR($AI479="",$AN479=""),$AI479,$AI479&amp;" · borderline (p "&amp;$AN479&amp;")")</f>
        <v/>
      </c>
    </row>
    <row r="480">
      <c r="A480" t="inlineStr">
        <is>
          <t>three-way</t>
        </is>
      </c>
      <c r="B480" t="inlineStr">
        <is>
          <t>SHORT_HIST x CHANNEL / REV_DEBT</t>
        </is>
      </c>
      <c r="C480" t="inlineStr">
        <is>
          <t>(marked missing)</t>
        </is>
      </c>
      <c r="D480" t="inlineStr">
        <is>
          <t>Broker / REV_DEBT high half</t>
        </is>
      </c>
      <c r="E480" t="inlineStr">
        <is>
          <t>outcome_booked</t>
        </is>
      </c>
      <c r="F480" t="inlineStr">
        <is>
          <t>Outcome, share of booked dollars</t>
        </is>
      </c>
      <c r="G480" t="n">
        <v>33</v>
      </c>
      <c r="H480" t="n">
        <v>999165.1900000001</v>
      </c>
      <c r="I480" t="b">
        <v>1</v>
      </c>
      <c r="J480" t="b">
        <v>0</v>
      </c>
      <c r="K480" t="n">
        <v>0.5336382134346574</v>
      </c>
      <c r="M480" t="n">
        <v>0.5251390380700275</v>
      </c>
      <c r="O480" t="n">
        <v>-34931.27369971604</v>
      </c>
      <c r="P480" t="n">
        <v>-36143.528605057</v>
      </c>
      <c r="Q480">
        <f>'_live'!$C$21</f>
        <v/>
      </c>
      <c r="T480" t="n">
        <v>0.07496424460075118</v>
      </c>
      <c r="U480" t="n">
        <v>0.07617751235414535</v>
      </c>
      <c r="V480">
        <f>AND(judged_band,NOT($J480))</f>
        <v/>
      </c>
      <c r="W480">
        <f>IF($K480="","",IF($I480,"too few losses to test",IF(AND($K480&gt;better_at,$K480&lt;worse_at),"in line",IF($K480&gt;=worse_at,IF(AND(ISNUMBER($L480),$L480&lt;significance_bar),"worse","worse, not significant"),IF(AND(ISNUMBER($L480),$L480&lt;significance_bar),"better","better, not significant")))))</f>
        <v/>
      </c>
      <c r="X480">
        <f>IF($M480="","",IF($I480,"too few losses to test",IF(AND($M480&gt;better_at,$M480&lt;worse_at),"in line",IF($M480&gt;=worse_at,IF(AND(ISNUMBER($N480),$N480&lt;significance_bar),"worse","worse, not significant"),IF(AND(ISNUMBER($N480),$N480&lt;significance_bar),"better","better, not significant")))))</f>
        <v/>
      </c>
      <c r="Y480">
        <f>IF($V480,$X480,$W480)</f>
        <v/>
      </c>
      <c r="Z480">
        <f>IF($V480,IF($P480="","",$P480),IF($O480="","",$O480))</f>
        <v/>
      </c>
      <c r="AA480">
        <f>IF(OR($Q480="",$Z480=""),"",IF(AND($Z480&gt;0,$Z480&gt;=$Q480),"yes","below the line"))</f>
        <v/>
      </c>
      <c r="AB480">
        <f>IF($V480,IF($M480="","",$M480),IF($K480="","",$K480))</f>
        <v/>
      </c>
      <c r="AC480">
        <f>IF($V480,IF($N480="","",$N480),IF($L480="","",$L480))</f>
        <v/>
      </c>
      <c r="AD480">
        <f>$Y480</f>
        <v/>
      </c>
      <c r="AE480">
        <f>IF($V480,IF($S480="","",$S480),IF($R480="","",$R480))</f>
        <v/>
      </c>
      <c r="AF480">
        <f>IF($V480,IF($U480="","",$U480),IF($T480="","",$T480))</f>
        <v/>
      </c>
      <c r="AG480">
        <f>IF($V480,IF($O480="","",$O480),IF($P480="","",$P480))</f>
        <v/>
      </c>
      <c r="AH480" t="n">
        <v>0.04000378556022353</v>
      </c>
      <c r="AI480">
        <f>IF($Y480="worse","Yes",IF($Y480="worse, not significant","Not sure",IF(OR($Y480="too few losses to test",$Y480="too few loans to test"),"Too few losses",IF($Y480="","","No"))))</f>
        <v/>
      </c>
      <c r="AJ480">
        <f>IF($AA480="yes","Yes",IF($AA480="","","No"))</f>
        <v/>
      </c>
      <c r="AM480">
        <f>IF(AND(ISNUMBER($AC480),ISNUMBER(IF($V480,IF($AL480="","",$AL480),IF($AK480="","",$AK480)))),IF(AND(ABS($AC480-significance_bar)&lt;=2.0*IF($V480,IF($AL480="","",$AL480),IF($AK480="","",$AK480)),OR($Y480="worse",$Y480="better",$Y480="worse, not significant",$Y480="better, not significant")),IF(ROUND($AC480,3)=ROUND(significance_bar,3),TEXT($AC480,"0.0000"),TEXT($AC480,"0.000")),""),"")</f>
        <v/>
      </c>
      <c r="AN480">
        <f>IF(AND(ISNUMBER($AC480),ISNUMBER(IF($V480,IF($AL480="","",$AL480),IF($AK480="","",$AK480)))),IF(AND(ABS($AC480-significance_bar)&lt;=2.0*IF($V480,IF($AL480="","",$AL480),IF($AK480="","",$AK480)),OR($Y480="worse",$Y480="worse, not significant")),IF(ROUND($AC480,3)=ROUND(significance_bar,3),TEXT($AC480,"0.0000"),TEXT($AC480,"0.000")),""),"")</f>
        <v/>
      </c>
      <c r="AO480">
        <f>IF(OR($AI480="",$AN480=""),$AI480,$AI480&amp;" · borderline (p "&amp;$AN480&amp;")")</f>
        <v/>
      </c>
    </row>
    <row r="481">
      <c r="A481" t="inlineStr">
        <is>
          <t>three-way</t>
        </is>
      </c>
      <c r="B481" t="inlineStr">
        <is>
          <t>SHORT_HIST x CHANNEL / REV_DEBT</t>
        </is>
      </c>
      <c r="C481" t="inlineStr">
        <is>
          <t>(marked missing)</t>
        </is>
      </c>
      <c r="D481" t="inlineStr">
        <is>
          <t>Broker / REV_DEBT high half</t>
        </is>
      </c>
      <c r="E481" t="inlineStr">
        <is>
          <t>gco_rate</t>
        </is>
      </c>
      <c r="F481" t="inlineStr">
        <is>
          <t>GCO per booked dollar</t>
        </is>
      </c>
      <c r="G481" t="n">
        <v>33</v>
      </c>
      <c r="H481" t="n">
        <v>999165.1900000001</v>
      </c>
      <c r="I481" t="b">
        <v>1</v>
      </c>
      <c r="J481" t="b">
        <v>0</v>
      </c>
      <c r="K481" t="n">
        <v>0.5314524848437951</v>
      </c>
      <c r="M481" t="n">
        <v>0.5134635922157856</v>
      </c>
      <c r="O481" t="n">
        <v>-19513.17373593449</v>
      </c>
      <c r="P481" t="n">
        <v>-20972.21994670635</v>
      </c>
      <c r="Q481">
        <f>'_live'!$C$22</f>
        <v/>
      </c>
      <c r="T481" t="n">
        <v>0.04168088935918043</v>
      </c>
      <c r="U481" t="n">
        <v>0.04314115461398964</v>
      </c>
      <c r="V481">
        <f>AND(judged_band,NOT($J481))</f>
        <v/>
      </c>
      <c r="W481">
        <f>IF($K481="","",IF($I481,"too few losses to test",IF(AND($K481&gt;better_at,$K481&lt;worse_at),"in line",IF($K481&gt;=worse_at,IF(AND(ISNUMBER($L481),$L481&lt;significance_bar),"worse","worse, not significant"),IF(AND(ISNUMBER($L481),$L481&lt;significance_bar),"better","better, not significant")))))</f>
        <v/>
      </c>
      <c r="X481">
        <f>IF($M481="","",IF($I481,"too few losses to test",IF(AND($M481&gt;better_at,$M481&lt;worse_at),"in line",IF($M481&gt;=worse_at,IF(AND(ISNUMBER($N481),$N481&lt;significance_bar),"worse","worse, not significant"),IF(AND(ISNUMBER($N481),$N481&lt;significance_bar),"better","better, not significant")))))</f>
        <v/>
      </c>
      <c r="Y481">
        <f>IF($V481,$X481,$W481)</f>
        <v/>
      </c>
      <c r="Z481">
        <f>IF($V481,IF($P481="","",$P481),IF($O481="","",$O481))</f>
        <v/>
      </c>
      <c r="AA481">
        <f>IF(OR($Q481="",$Z481=""),"",IF(AND($Z481&gt;0,$Z481&gt;=$Q481),"yes","below the line"))</f>
        <v/>
      </c>
      <c r="AB481">
        <f>IF($V481,IF($M481="","",$M481),IF($K481="","",$K481))</f>
        <v/>
      </c>
      <c r="AC481">
        <f>IF($V481,IF($N481="","",$N481),IF($L481="","",$L481))</f>
        <v/>
      </c>
      <c r="AD481">
        <f>$Y481</f>
        <v/>
      </c>
      <c r="AE481">
        <f>IF($V481,IF($S481="","",$S481),IF($R481="","",$R481))</f>
        <v/>
      </c>
      <c r="AF481">
        <f>IF($V481,IF($U481="","",$U481),IF($T481="","",$T481))</f>
        <v/>
      </c>
      <c r="AG481">
        <f>IF($V481,IF($O481="","",$O481),IF($P481="","",$P481))</f>
        <v/>
      </c>
      <c r="AH481" t="n">
        <v>0.02215141222043574</v>
      </c>
      <c r="AI481">
        <f>IF($Y481="worse","Yes",IF($Y481="worse, not significant","Not sure",IF(OR($Y481="too few losses to test",$Y481="too few loans to test"),"Too few losses",IF($Y481="","","No"))))</f>
        <v/>
      </c>
      <c r="AJ481">
        <f>IF($AA481="yes","Yes",IF($AA481="","","No"))</f>
        <v/>
      </c>
      <c r="AM481">
        <f>IF(AND(ISNUMBER($AC481),ISNUMBER(IF($V481,IF($AL481="","",$AL481),IF($AK481="","",$AK481)))),IF(AND(ABS($AC481-significance_bar)&lt;=2.0*IF($V481,IF($AL481="","",$AL481),IF($AK481="","",$AK481)),OR($Y481="worse",$Y481="better",$Y481="worse, not significant",$Y481="better, not significant")),IF(ROUND($AC481,3)=ROUND(significance_bar,3),TEXT($AC481,"0.0000"),TEXT($AC481,"0.000")),""),"")</f>
        <v/>
      </c>
      <c r="AN481">
        <f>IF(AND(ISNUMBER($AC481),ISNUMBER(IF($V481,IF($AL481="","",$AL481),IF($AK481="","",$AK481)))),IF(AND(ABS($AC481-significance_bar)&lt;=2.0*IF($V481,IF($AL481="","",$AL481),IF($AK481="","",$AK481)),OR($Y481="worse",$Y481="worse, not significant")),IF(ROUND($AC481,3)=ROUND(significance_bar,3),TEXT($AC481,"0.0000"),TEXT($AC481,"0.000")),""),"")</f>
        <v/>
      </c>
      <c r="AO481">
        <f>IF(OR($AI481="",$AN481=""),$AI481,$AI481&amp;" · borderline (p "&amp;$AN481&amp;")")</f>
        <v/>
      </c>
    </row>
    <row r="482">
      <c r="A482" t="inlineStr">
        <is>
          <t>three-way</t>
        </is>
      </c>
      <c r="B482" t="inlineStr">
        <is>
          <t>SHORT_HIST x CHANNEL / REV_DEBT</t>
        </is>
      </c>
      <c r="C482" t="inlineStr">
        <is>
          <t>(marked missing)</t>
        </is>
      </c>
      <c r="D482" t="inlineStr">
        <is>
          <t>Broker / REV_DEBT high half</t>
        </is>
      </c>
      <c r="E482" t="inlineStr">
        <is>
          <t>ranr_rate</t>
        </is>
      </c>
      <c r="F482" t="inlineStr">
        <is>
          <t>Profit after losses: RANR per booked dollar</t>
        </is>
      </c>
      <c r="G482" t="n">
        <v>33</v>
      </c>
      <c r="H482" t="n">
        <v>999165.1900000001</v>
      </c>
      <c r="I482" t="b">
        <v>0</v>
      </c>
      <c r="J482" t="b">
        <v>0</v>
      </c>
      <c r="K482" t="n">
        <v>0.02323084900592451</v>
      </c>
      <c r="L482" t="n">
        <v>0.6867313268673132</v>
      </c>
      <c r="M482" t="n">
        <v>0.0238298424777072</v>
      </c>
      <c r="N482" t="n">
        <v>0.7068067386809705</v>
      </c>
      <c r="O482" t="n">
        <v>-23211.45566086586</v>
      </c>
      <c r="P482" t="n">
        <v>-23809.94908690838</v>
      </c>
      <c r="Q482">
        <f>'_live'!$C$23</f>
        <v/>
      </c>
      <c r="R482" t="inlineStr">
        <is>
          <t>shuffled: 5,150 of 10,000</t>
        </is>
      </c>
      <c r="S482" t="inlineStr">
        <is>
          <t>shuffled: 5,743 of 10,000</t>
        </is>
      </c>
      <c r="T482" t="n">
        <v>0.1279001066271475</v>
      </c>
      <c r="U482" t="n">
        <v>0.1273011131553648</v>
      </c>
      <c r="V482">
        <f>AND(judged_band,NOT($J482))</f>
        <v/>
      </c>
      <c r="W482">
        <f>IF($K482="","",IF(profit_kind="test",IF(OR(NOT(AND(ISNUMBER($L482),$L482&lt;significance_bar)),$K482=0),"in line",IF($K482&lt;0,"worse","better")),IF(OR($K482=0,IF(profit_kind="points",ABS($K482),ABS($K482*$H482))&lt;profit_line*(1-1E-9)),"in line",IF(AND(ISNUMBER($L482),$L482&lt;significance_bar),IF($K482&lt;0,"worse","better"),IF($K482&lt;0,"worse, not significant","better, not significant")))))</f>
        <v/>
      </c>
      <c r="X482">
        <f>IF($M482="","",IF(profit_kind="test",IF(OR(NOT(AND(ISNUMBER($N482),$N482&lt;significance_bar)),$M482=0),"in line",IF($M482&lt;0,"worse","better")),IF(OR($M482=0,IF(profit_kind="points",ABS($M482),ABS($M482*$H482))&lt;profit_line*(1-1E-9)),"in line",IF(AND(ISNUMBER($N482),$N482&lt;significance_bar),IF($M482&lt;0,"worse","better"),IF($M482&lt;0,"worse, not significant","better, not significant")))))</f>
        <v/>
      </c>
      <c r="Y482">
        <f>IF($V482,$X482,$W482)</f>
        <v/>
      </c>
      <c r="Z482">
        <f>IF($V482,IF($P482="","",$P482),IF($O482="","",$O482))</f>
        <v/>
      </c>
      <c r="AA482">
        <f>IF(OR($Q482="",$Z482=""),"",IF(AND($Z482&gt;0,$Z482&gt;=$Q482),"yes","below the line"))</f>
        <v/>
      </c>
      <c r="AB482">
        <f>IF($V482,IF($M482="","",$M482),IF($K482="","",$K482))</f>
        <v/>
      </c>
      <c r="AC482">
        <f>IF($V482,IF($N482="","",$N482),IF($L482="","",$L482))</f>
        <v/>
      </c>
      <c r="AD482">
        <f>IF($Y482="","",IF($Y482="in line",IF(profit_kind="test",IF(ROUND($AB482*100,2)=0,"0.00",TEXT($AB482*100,"+0.00;-0.00"))&amp;" points against "&amp;IF($V482,"its band","the book")&amp;", "&amp;IF($AC482="","not tested","not significant"),IF(profit_kind="points","within "&amp;TEXT(profit_line*100,"0.00")&amp;" points of "&amp;IF($V482,"its band","the book")&amp;" ("&amp;IF(ROUND($AB482*100,2)=0,"0.00",TEXT($AB482*100,"+0.00;-0.00"))&amp;")","within $"&amp;TEXT(profit_line,"#,##0")&amp;" of "&amp;IF($V482,"its band","the book")&amp;" ("&amp;IF(ROUND($AB482*100,2)=0,"0.00",TEXT($AB482*100,"+0.00;-0.00"))&amp;" points)")),IF(LEFT($Y482,5)="worse","short of ","ahead of ")&amp;IF($V482,"its band","the book")&amp;" by "&amp;TEXT(ABS($AB482)*100,"0.00")&amp;" points"&amp;IF($Z482="",""," ($"&amp;TEXT(ABS($Z482),"#,##0")&amp;")")&amp;IF(RIGHT($Y482,15)="not significant"," (not significant)","")))</f>
        <v/>
      </c>
      <c r="AE482">
        <f>IF($V482,IF($S482="","",$S482),IF($R482="","",$R482))</f>
        <v/>
      </c>
      <c r="AF482">
        <f>IF($V482,IF($U482="","",$U482),IF($T482="","",$T482))</f>
        <v/>
      </c>
      <c r="AG482">
        <f>IF($V482,IF($O482="","",$O482),IF($P482="","",$P482))</f>
        <v/>
      </c>
      <c r="AH482" t="n">
        <v>0.151130955633072</v>
      </c>
      <c r="AI482">
        <f>IF($Y482="worse","Yes",IF($Y482="worse, not significant","Not sure",IF(OR($Y482="too few losses to test",$Y482="too few loans to test"),"Too few losses",IF($Y482="","","No"))))</f>
        <v/>
      </c>
      <c r="AJ482">
        <f>IF($AA482="yes","Yes",IF($AA482="","","No"))</f>
        <v/>
      </c>
      <c r="AK482" t="n">
        <v>0.006663646553167995</v>
      </c>
      <c r="AL482" t="n">
        <v>0.005667733759803545</v>
      </c>
      <c r="AM482">
        <f>IF(AND(ISNUMBER($AC482),ISNUMBER(IF($V482,IF($AL482="","",$AL482),IF($AK482="","",$AK482)))),IF(AND(ABS($AC482-significance_bar)&lt;=2.0*IF($V482,IF($AL482="","",$AL482),IF($AK482="","",$AK482)),OR($Y482="worse",$Y482="better",$Y482="worse, not significant",$Y482="better, not significant",AND(profit_kind="test",$Y482="in line",ISNUMBER($AB482),$AB482&lt;&gt;0))),IF(ROUND($AC482,3)=ROUND(significance_bar,3),TEXT($AC482,"0.0000"),TEXT($AC482,"0.000")),""),"")</f>
        <v/>
      </c>
      <c r="AN482">
        <f>IF(AND(ISNUMBER($AC482),ISNUMBER(IF($V482,IF($AL482="","",$AL482),IF($AK482="","",$AK482)))),IF(AND(ABS($AC482-significance_bar)&lt;=2.0*IF($V482,IF($AL482="","",$AL482),IF($AK482="","",$AK482)),OR($Y482="worse",$Y482="worse, not significant",AND(profit_kind="test",$Y482="in line",ISNUMBER($AB482),$AB482&lt;0))),IF(ROUND($AC482,3)=ROUND(significance_bar,3),TEXT($AC482,"0.0000"),TEXT($AC482,"0.000")),""),"")</f>
        <v/>
      </c>
      <c r="AO482">
        <f>IF(OR($AI482="",$AN482=""),$AI482,$AI482&amp;" · borderline (p "&amp;$AN482&amp;")")</f>
        <v/>
      </c>
    </row>
    <row r="483">
      <c r="A483" t="inlineStr">
        <is>
          <t>three-way</t>
        </is>
      </c>
      <c r="B483" t="inlineStr">
        <is>
          <t>SHORT_HIST x CHANNEL / REV_DEBT</t>
        </is>
      </c>
      <c r="C483" t="inlineStr">
        <is>
          <t>(marked missing)</t>
        </is>
      </c>
      <c r="D483" t="inlineStr">
        <is>
          <t>Broker / REV_DEBT high half</t>
        </is>
      </c>
      <c r="E483" t="inlineStr">
        <is>
          <t>contribution_rate</t>
        </is>
      </c>
      <c r="F483" t="inlineStr">
        <is>
          <t>Contribution before losses per booked dollar</t>
        </is>
      </c>
      <c r="G483" t="n">
        <v>33</v>
      </c>
      <c r="H483" t="n">
        <v>999165.1900000001</v>
      </c>
      <c r="I483" t="b">
        <v>0</v>
      </c>
      <c r="J483" t="b">
        <v>0</v>
      </c>
      <c r="K483" t="n">
        <v>0.003704256115460797</v>
      </c>
      <c r="L483" t="n">
        <v>0.8993957747082435</v>
      </c>
      <c r="M483" t="n">
        <v>0.00284010008415328</v>
      </c>
      <c r="N483" t="n">
        <v>0.9182081791820819</v>
      </c>
      <c r="O483" t="n">
        <v>-3701.163765413046</v>
      </c>
      <c r="P483" t="n">
        <v>-2837.729140202049</v>
      </c>
      <c r="Q483">
        <f>'_live'!$C$24</f>
        <v/>
      </c>
      <c r="R483" t="inlineStr">
        <is>
          <t>shuffled: 8,744 of 10,000</t>
        </is>
      </c>
      <c r="S483" t="inlineStr">
        <is>
          <t>shuffled: 9,182 of 10,000</t>
        </is>
      </c>
      <c r="T483" t="n">
        <v>0.1695781117380469</v>
      </c>
      <c r="U483" t="n">
        <v>0.1704422677693544</v>
      </c>
      <c r="V483">
        <f>AND(judged_band,NOT($J483))</f>
        <v/>
      </c>
      <c r="W483">
        <f>IF($K483="","",IF(profit_kind="test",IF(OR(NOT(AND(ISNUMBER($L483),$L483&lt;significance_bar)),$K483=0),"in line",IF($K483&lt;0,"worse","better")),IF(OR($K483=0,IF(profit_kind="points",ABS($K483),ABS($K483*$H483))&lt;profit_line*(1-1E-9)),"in line",IF(AND(ISNUMBER($L483),$L483&lt;significance_bar),IF($K483&lt;0,"worse","better"),IF($K483&lt;0,"worse, not significant","better, not significant")))))</f>
        <v/>
      </c>
      <c r="X483">
        <f>IF($M483="","",IF(profit_kind="test",IF(OR(NOT(AND(ISNUMBER($N483),$N483&lt;significance_bar)),$M483=0),"in line",IF($M483&lt;0,"worse","better")),IF(OR($M483=0,IF(profit_kind="points",ABS($M483),ABS($M483*$H483))&lt;profit_line*(1-1E-9)),"in line",IF(AND(ISNUMBER($N483),$N483&lt;significance_bar),IF($M483&lt;0,"worse","better"),IF($M483&lt;0,"worse, not significant","better, not significant")))))</f>
        <v/>
      </c>
      <c r="Y483">
        <f>IF($V483,$X483,$W483)</f>
        <v/>
      </c>
      <c r="Z483">
        <f>IF($V483,IF($P483="","",$P483),IF($O483="","",$O483))</f>
        <v/>
      </c>
      <c r="AA483">
        <f>IF(OR($Q483="",$Z483=""),"",IF(AND($Z483&gt;0,$Z483&gt;=$Q483),"yes","below the line"))</f>
        <v/>
      </c>
      <c r="AB483">
        <f>IF($V483,IF($M483="","",$M483),IF($K483="","",$K483))</f>
        <v/>
      </c>
      <c r="AC483">
        <f>IF($V483,IF($N483="","",$N483),IF($L483="","",$L483))</f>
        <v/>
      </c>
      <c r="AD483">
        <f>IF($Y483="","",IF($Y483="in line",IF(profit_kind="test",IF(ROUND($AB483*100,2)=0,"0.00",TEXT($AB483*100,"+0.00;-0.00"))&amp;" points against "&amp;IF($V483,"its band","the book")&amp;", "&amp;IF($AC483="","not tested","not significant"),IF(profit_kind="points","within "&amp;TEXT(profit_line*100,"0.00")&amp;" points of "&amp;IF($V483,"its band","the book")&amp;" ("&amp;IF(ROUND($AB483*100,2)=0,"0.00",TEXT($AB483*100,"+0.00;-0.00"))&amp;")","within $"&amp;TEXT(profit_line,"#,##0")&amp;" of "&amp;IF($V483,"its band","the book")&amp;" ("&amp;IF(ROUND($AB483*100,2)=0,"0.00",TEXT($AB483*100,"+0.00;-0.00"))&amp;" points)")),IF(LEFT($Y483,5)="worse","short of ","ahead of ")&amp;IF($V483,"its band","the book")&amp;" by "&amp;TEXT(ABS($AB483)*100,"0.00")&amp;" points"&amp;IF($Z483="",""," ($"&amp;TEXT(ABS($Z483),"#,##0")&amp;")")&amp;IF(RIGHT($Y483,15)="not significant"," (not significant)","")))</f>
        <v/>
      </c>
      <c r="AE483">
        <f>IF($V483,IF($S483="","",$S483),IF($R483="","",$R483))</f>
        <v/>
      </c>
      <c r="AF483">
        <f>IF($V483,IF($U483="","",$U483),IF($T483="","",$T483))</f>
        <v/>
      </c>
      <c r="AG483">
        <f>IF($V483,IF($O483="","",$O483),IF($P483="","",$P483))</f>
        <v/>
      </c>
      <c r="AH483" t="n">
        <v>0.1732823678535077</v>
      </c>
      <c r="AI483">
        <f>IF($Y483="worse","Yes",IF($Y483="worse, not significant","Not sure",IF(OR($Y483="too few losses to test",$Y483="too few loans to test"),"Too few losses",IF($Y483="","","No"))))</f>
        <v/>
      </c>
      <c r="AJ483">
        <f>IF($AA483="yes","Yes",IF($AA483="","","No"))</f>
        <v/>
      </c>
      <c r="AK483" t="n">
        <v>0.003408519286724417</v>
      </c>
      <c r="AL483" t="n">
        <v>0.002740472931178263</v>
      </c>
      <c r="AM483">
        <f>IF(AND(ISNUMBER($AC483),ISNUMBER(IF($V483,IF($AL483="","",$AL483),IF($AK483="","",$AK483)))),IF(AND(ABS($AC483-significance_bar)&lt;=2.0*IF($V483,IF($AL483="","",$AL483),IF($AK483="","",$AK483)),OR($Y483="worse",$Y483="better",$Y483="worse, not significant",$Y483="better, not significant",AND(profit_kind="test",$Y483="in line",ISNUMBER($AB483),$AB483&lt;&gt;0))),IF(ROUND($AC483,3)=ROUND(significance_bar,3),TEXT($AC483,"0.0000"),TEXT($AC483,"0.000")),""),"")</f>
        <v/>
      </c>
      <c r="AN483">
        <f>IF(AND(ISNUMBER($AC483),ISNUMBER(IF($V483,IF($AL483="","",$AL483),IF($AK483="","",$AK483)))),IF(AND(ABS($AC483-significance_bar)&lt;=2.0*IF($V483,IF($AL483="","",$AL483),IF($AK483="","",$AK483)),OR($Y483="worse",$Y483="worse, not significant",AND(profit_kind="test",$Y483="in line",ISNUMBER($AB483),$AB483&lt;0))),IF(ROUND($AC483,3)=ROUND(significance_bar,3),TEXT($AC483,"0.0000"),TEXT($AC483,"0.000")),""),"")</f>
        <v/>
      </c>
      <c r="AO483">
        <f>IF(OR($AI483="",$AN483=""),$AI483,$AI483&amp;" · borderline (p "&amp;$AN483&amp;")")</f>
        <v/>
      </c>
    </row>
    <row r="484">
      <c r="A484" t="inlineStr">
        <is>
          <t>three-way</t>
        </is>
      </c>
      <c r="B484" t="inlineStr">
        <is>
          <t>SHORT_HIST x CHANNEL / REV_DEBT</t>
        </is>
      </c>
      <c r="C484" t="inlineStr">
        <is>
          <t>346.0 - 435.0</t>
        </is>
      </c>
      <c r="D484" t="inlineStr">
        <is>
          <t>Broker / REV_DEBT high half</t>
        </is>
      </c>
      <c r="E484" t="inlineStr">
        <is>
          <t>outcome_loans</t>
        </is>
      </c>
      <c r="F484" t="inlineStr">
        <is>
          <t>Outcome, share of loans</t>
        </is>
      </c>
      <c r="G484" t="n">
        <v>252</v>
      </c>
      <c r="H484" t="n">
        <v>252</v>
      </c>
      <c r="I484" t="b">
        <v>0</v>
      </c>
      <c r="J484" t="b">
        <v>0</v>
      </c>
      <c r="K484" t="n">
        <v>1.954392352588229</v>
      </c>
      <c r="L484" t="n">
        <v>0.0003593584228799553</v>
      </c>
      <c r="M484" t="n">
        <v>2.477207977207977</v>
      </c>
      <c r="N484" t="n">
        <v>2.409244473799133e-05</v>
      </c>
      <c r="O484" t="n">
        <v>18.06828449722473</v>
      </c>
      <c r="P484" t="n">
        <v>22.06382978723404</v>
      </c>
      <c r="Q484">
        <f>'_live'!$C$20</f>
        <v/>
      </c>
      <c r="R484" t="inlineStr">
        <is>
          <t>z test</t>
        </is>
      </c>
      <c r="S484" t="inlineStr">
        <is>
          <t>z test</t>
        </is>
      </c>
      <c r="T484" t="n">
        <v>0.07512585516974313</v>
      </c>
      <c r="U484" t="n">
        <v>0.05927051671732523</v>
      </c>
      <c r="V484">
        <f>AND(judged_band,NOT($J484))</f>
        <v/>
      </c>
      <c r="W484">
        <f>IF($K484="","",IF($I484,"too few losses to test",IF(AND($K484&gt;better_at,$K484&lt;worse_at),"in line",IF($K484&gt;=worse_at,IF(AND(ISNUMBER($L484),$L484&lt;significance_bar),"worse","worse, not significant"),IF(AND(ISNUMBER($L484),$L484&lt;significance_bar),"better","better, not significant")))))</f>
        <v/>
      </c>
      <c r="X484">
        <f>IF($M484="","",IF($I484,"too few losses to test",IF(AND($M484&gt;better_at,$M484&lt;worse_at),"in line",IF($M484&gt;=worse_at,IF(AND(ISNUMBER($N484),$N484&lt;significance_bar),"worse","worse, not significant"),IF(AND(ISNUMBER($N484),$N484&lt;significance_bar),"better","better, not significant")))))</f>
        <v/>
      </c>
      <c r="Y484">
        <f>IF($V484,$X484,$W484)</f>
        <v/>
      </c>
      <c r="Z484">
        <f>IF($V484,IF($P484="","",$P484),IF($O484="","",$O484))</f>
        <v/>
      </c>
      <c r="AA484">
        <f>IF(OR($Q484="",$Z484=""),"",IF(AND($Z484&gt;0,$Z484&gt;=$Q484),"yes","below the line"))</f>
        <v/>
      </c>
      <c r="AB484">
        <f>IF($V484,IF($M484="","",$M484),IF($K484="","",$K484))</f>
        <v/>
      </c>
      <c r="AC484">
        <f>IF($V484,IF($N484="","",$N484),IF($L484="","",$L484))</f>
        <v/>
      </c>
      <c r="AD484">
        <f>$Y484</f>
        <v/>
      </c>
      <c r="AE484">
        <f>IF($V484,IF($S484="","",$S484),IF($R484="","",$R484))</f>
        <v/>
      </c>
      <c r="AF484">
        <f>IF($V484,IF($U484="","",$U484),IF($T484="","",$T484))</f>
        <v/>
      </c>
      <c r="AG484">
        <f>IF($V484,IF($O484="","",$O484),IF($P484="","",$P484))</f>
        <v/>
      </c>
      <c r="AH484" t="n">
        <v>0.1468253968253968</v>
      </c>
      <c r="AI484">
        <f>IF($Y484="worse","Yes",IF($Y484="worse, not significant","Not sure",IF(OR($Y484="too few losses to test",$Y484="too few loans to test"),"Too few losses",IF($Y484="","","No"))))</f>
        <v/>
      </c>
      <c r="AJ484">
        <f>IF($AA484="yes","Yes",IF($AA484="","","No"))</f>
        <v/>
      </c>
      <c r="AM484">
        <f>IF(AND(ISNUMBER($AC484),ISNUMBER(IF($V484,IF($AL484="","",$AL484),IF($AK484="","",$AK484)))),IF(AND(ABS($AC484-significance_bar)&lt;=2.0*IF($V484,IF($AL484="","",$AL484),IF($AK484="","",$AK484)),OR($Y484="worse",$Y484="better",$Y484="worse, not significant",$Y484="better, not significant")),IF(ROUND($AC484,3)=ROUND(significance_bar,3),TEXT($AC484,"0.0000"),TEXT($AC484,"0.000")),""),"")</f>
        <v/>
      </c>
      <c r="AN484">
        <f>IF(AND(ISNUMBER($AC484),ISNUMBER(IF($V484,IF($AL484="","",$AL484),IF($AK484="","",$AK484)))),IF(AND(ABS($AC484-significance_bar)&lt;=2.0*IF($V484,IF($AL484="","",$AL484),IF($AK484="","",$AK484)),OR($Y484="worse",$Y484="worse, not significant")),IF(ROUND($AC484,3)=ROUND(significance_bar,3),TEXT($AC484,"0.0000"),TEXT($AC484,"0.000")),""),"")</f>
        <v/>
      </c>
      <c r="AO484">
        <f>IF(OR($AI484="",$AN484=""),$AI484,$AI484&amp;" · borderline (p "&amp;$AN484&amp;")")</f>
        <v/>
      </c>
    </row>
    <row r="485">
      <c r="A485" t="inlineStr">
        <is>
          <t>three-way</t>
        </is>
      </c>
      <c r="B485" t="inlineStr">
        <is>
          <t>SHORT_HIST x CHANNEL / REV_DEBT</t>
        </is>
      </c>
      <c r="C485" t="inlineStr">
        <is>
          <t>346.0 - 435.0</t>
        </is>
      </c>
      <c r="D485" t="inlineStr">
        <is>
          <t>Broker / REV_DEBT high half</t>
        </is>
      </c>
      <c r="E485" t="inlineStr">
        <is>
          <t>outcome_booked</t>
        </is>
      </c>
      <c r="F485" t="inlineStr">
        <is>
          <t>Outcome, share of booked dollars</t>
        </is>
      </c>
      <c r="G485" t="n">
        <v>252</v>
      </c>
      <c r="H485" t="n">
        <v>7824849.610000002</v>
      </c>
      <c r="I485" t="b">
        <v>0</v>
      </c>
      <c r="J485" t="b">
        <v>0</v>
      </c>
      <c r="K485" t="n">
        <v>2.119029500647943</v>
      </c>
      <c r="L485" t="n">
        <v>0.0017331600173316</v>
      </c>
      <c r="M485" t="n">
        <v>2.85140692993865</v>
      </c>
      <c r="N485" t="n">
        <v>0.0012998700129987</v>
      </c>
      <c r="O485" t="n">
        <v>633714.3981536665</v>
      </c>
      <c r="P485" t="n">
        <v>779169.1083809818</v>
      </c>
      <c r="Q485">
        <f>'_live'!$C$21</f>
        <v/>
      </c>
      <c r="R485" t="inlineStr">
        <is>
          <t>shuffled: 1 of 10,000</t>
        </is>
      </c>
      <c r="S485" t="inlineStr">
        <is>
          <t>shuffled: 0 of 10,000</t>
        </is>
      </c>
      <c r="T485" t="n">
        <v>0.07237291067199605</v>
      </c>
      <c r="U485" t="n">
        <v>0.05378409203944021</v>
      </c>
      <c r="V485">
        <f>AND(judged_band,NOT($J485))</f>
        <v/>
      </c>
      <c r="W485">
        <f>IF($K485="","",IF($I485,"too few losses to test",IF(AND($K485&gt;better_at,$K485&lt;worse_at),"in line",IF($K485&gt;=worse_at,IF(AND(ISNUMBER($L485),$L485&lt;significance_bar),"worse","worse, not significant"),IF(AND(ISNUMBER($L485),$L485&lt;significance_bar),"better","better, not significant")))))</f>
        <v/>
      </c>
      <c r="X485">
        <f>IF($M485="","",IF($I485,"too few losses to test",IF(AND($M485&gt;better_at,$M485&lt;worse_at),"in line",IF($M485&gt;=worse_at,IF(AND(ISNUMBER($N485),$N485&lt;significance_bar),"worse","worse, not significant"),IF(AND(ISNUMBER($N485),$N485&lt;significance_bar),"better","better, not significant")))))</f>
        <v/>
      </c>
      <c r="Y485">
        <f>IF($V485,$X485,$W485)</f>
        <v/>
      </c>
      <c r="Z485">
        <f>IF($V485,IF($P485="","",$P485),IF($O485="","",$O485))</f>
        <v/>
      </c>
      <c r="AA485">
        <f>IF(OR($Q485="",$Z485=""),"",IF(AND($Z485&gt;0,$Z485&gt;=$Q485),"yes","below the line"))</f>
        <v/>
      </c>
      <c r="AB485">
        <f>IF($V485,IF($M485="","",$M485),IF($K485="","",$K485))</f>
        <v/>
      </c>
      <c r="AC485">
        <f>IF($V485,IF($N485="","",$N485),IF($L485="","",$L485))</f>
        <v/>
      </c>
      <c r="AD485">
        <f>$Y485</f>
        <v/>
      </c>
      <c r="AE485">
        <f>IF($V485,IF($S485="","",$S485),IF($R485="","",$R485))</f>
        <v/>
      </c>
      <c r="AF485">
        <f>IF($V485,IF($U485="","",$U485),IF($T485="","",$T485))</f>
        <v/>
      </c>
      <c r="AG485">
        <f>IF($V485,IF($O485="","",$O485),IF($P485="","",$P485))</f>
        <v/>
      </c>
      <c r="AH485" t="n">
        <v>0.153360332761718</v>
      </c>
      <c r="AI485">
        <f>IF($Y485="worse","Yes",IF($Y485="worse, not significant","Not sure",IF(OR($Y485="too few losses to test",$Y485="too few loans to test"),"Too few losses",IF($Y485="","","No"))))</f>
        <v/>
      </c>
      <c r="AJ485">
        <f>IF($AA485="yes","Yes",IF($AA485="","","No"))</f>
        <v/>
      </c>
      <c r="AK485" t="n">
        <v>0.001225467923144524</v>
      </c>
      <c r="AL485" t="n">
        <v>0.0012998700129987</v>
      </c>
      <c r="AM485">
        <f>IF(AND(ISNUMBER($AC485),ISNUMBER(IF($V485,IF($AL485="","",$AL485),IF($AK485="","",$AK485)))),IF(AND(ABS($AC485-significance_bar)&lt;=2.0*IF($V485,IF($AL485="","",$AL485),IF($AK485="","",$AK485)),OR($Y485="worse",$Y485="better",$Y485="worse, not significant",$Y485="better, not significant")),IF(ROUND($AC485,3)=ROUND(significance_bar,3),TEXT($AC485,"0.0000"),TEXT($AC485,"0.000")),""),"")</f>
        <v/>
      </c>
      <c r="AN485">
        <f>IF(AND(ISNUMBER($AC485),ISNUMBER(IF($V485,IF($AL485="","",$AL485),IF($AK485="","",$AK485)))),IF(AND(ABS($AC485-significance_bar)&lt;=2.0*IF($V485,IF($AL485="","",$AL485),IF($AK485="","",$AK485)),OR($Y485="worse",$Y485="worse, not significant")),IF(ROUND($AC485,3)=ROUND(significance_bar,3),TEXT($AC485,"0.0000"),TEXT($AC485,"0.000")),""),"")</f>
        <v/>
      </c>
      <c r="AO485">
        <f>IF(OR($AI485="",$AN485=""),$AI485,$AI485&amp;" · borderline (p "&amp;$AN485&amp;")")</f>
        <v/>
      </c>
    </row>
    <row r="486">
      <c r="A486" t="inlineStr">
        <is>
          <t>three-way</t>
        </is>
      </c>
      <c r="B486" t="inlineStr">
        <is>
          <t>SHORT_HIST x CHANNEL / REV_DEBT</t>
        </is>
      </c>
      <c r="C486" t="inlineStr">
        <is>
          <t>346.0 - 435.0</t>
        </is>
      </c>
      <c r="D486" t="inlineStr">
        <is>
          <t>Broker / REV_DEBT high half</t>
        </is>
      </c>
      <c r="E486" t="inlineStr">
        <is>
          <t>gco_rate</t>
        </is>
      </c>
      <c r="F486" t="inlineStr">
        <is>
          <t>GCO per booked dollar</t>
        </is>
      </c>
      <c r="G486" t="n">
        <v>252</v>
      </c>
      <c r="H486" t="n">
        <v>7824849.610000002</v>
      </c>
      <c r="I486" t="b">
        <v>0</v>
      </c>
      <c r="J486" t="b">
        <v>0</v>
      </c>
      <c r="K486" t="n">
        <v>2.283989339861535</v>
      </c>
      <c r="L486" t="n">
        <v>0.0012998700129987</v>
      </c>
      <c r="M486" t="n">
        <v>3.051801189724343</v>
      </c>
      <c r="N486" t="n">
        <v>0.0012998700129987</v>
      </c>
      <c r="O486" t="n">
        <v>402342.8101778334</v>
      </c>
      <c r="P486" t="n">
        <v>481180.4109795897</v>
      </c>
      <c r="Q486">
        <f>'_live'!$C$22</f>
        <v/>
      </c>
      <c r="R486" t="inlineStr">
        <is>
          <t>shuffled: 0 of 10,000</t>
        </is>
      </c>
      <c r="S486" t="inlineStr">
        <is>
          <t>shuffled: 0 of 10,000</t>
        </is>
      </c>
      <c r="T486" t="n">
        <v>0.04004597090552472</v>
      </c>
      <c r="U486" t="n">
        <v>0.02997068451267145</v>
      </c>
      <c r="V486">
        <f>AND(judged_band,NOT($J486))</f>
        <v/>
      </c>
      <c r="W486">
        <f>IF($K486="","",IF($I486,"too few losses to test",IF(AND($K486&gt;better_at,$K486&lt;worse_at),"in line",IF($K486&gt;=worse_at,IF(AND(ISNUMBER($L486),$L486&lt;significance_bar),"worse","worse, not significant"),IF(AND(ISNUMBER($L486),$L486&lt;significance_bar),"better","better, not significant")))))</f>
        <v/>
      </c>
      <c r="X486">
        <f>IF($M486="","",IF($I486,"too few losses to test",IF(AND($M486&gt;better_at,$M486&lt;worse_at),"in line",IF($M486&gt;=worse_at,IF(AND(ISNUMBER($N486),$N486&lt;significance_bar),"worse","worse, not significant"),IF(AND(ISNUMBER($N486),$N486&lt;significance_bar),"better","better, not significant")))))</f>
        <v/>
      </c>
      <c r="Y486">
        <f>IF($V486,$X486,$W486)</f>
        <v/>
      </c>
      <c r="Z486">
        <f>IF($V486,IF($P486="","",$P486),IF($O486="","",$O486))</f>
        <v/>
      </c>
      <c r="AA486">
        <f>IF(OR($Q486="",$Z486=""),"",IF(AND($Z486&gt;0,$Z486&gt;=$Q486),"yes","below the line"))</f>
        <v/>
      </c>
      <c r="AB486">
        <f>IF($V486,IF($M486="","",$M486),IF($K486="","",$K486))</f>
        <v/>
      </c>
      <c r="AC486">
        <f>IF($V486,IF($N486="","",$N486),IF($L486="","",$L486))</f>
        <v/>
      </c>
      <c r="AD486">
        <f>$Y486</f>
        <v/>
      </c>
      <c r="AE486">
        <f>IF($V486,IF($S486="","",$S486),IF($R486="","",$R486))</f>
        <v/>
      </c>
      <c r="AF486">
        <f>IF($V486,IF($U486="","",$U486),IF($T486="","",$T486))</f>
        <v/>
      </c>
      <c r="AG486">
        <f>IF($V486,IF($O486="","",$O486),IF($P486="","",$P486))</f>
        <v/>
      </c>
      <c r="AH486" t="n">
        <v>0.09146457065262367</v>
      </c>
      <c r="AI486">
        <f>IF($Y486="worse","Yes",IF($Y486="worse, not significant","Not sure",IF(OR($Y486="too few losses to test",$Y486="too few loans to test"),"Too few losses",IF($Y486="","","No"))))</f>
        <v/>
      </c>
      <c r="AJ486">
        <f>IF($AA486="yes","Yes",IF($AA486="","","No"))</f>
        <v/>
      </c>
      <c r="AK486" t="n">
        <v>0.0012998700129987</v>
      </c>
      <c r="AL486" t="n">
        <v>0.0012998700129987</v>
      </c>
      <c r="AM486">
        <f>IF(AND(ISNUMBER($AC486),ISNUMBER(IF($V486,IF($AL486="","",$AL486),IF($AK486="","",$AK486)))),IF(AND(ABS($AC486-significance_bar)&lt;=2.0*IF($V486,IF($AL486="","",$AL486),IF($AK486="","",$AK486)),OR($Y486="worse",$Y486="better",$Y486="worse, not significant",$Y486="better, not significant")),IF(ROUND($AC486,3)=ROUND(significance_bar,3),TEXT($AC486,"0.0000"),TEXT($AC486,"0.000")),""),"")</f>
        <v/>
      </c>
      <c r="AN486">
        <f>IF(AND(ISNUMBER($AC486),ISNUMBER(IF($V486,IF($AL486="","",$AL486),IF($AK486="","",$AK486)))),IF(AND(ABS($AC486-significance_bar)&lt;=2.0*IF($V486,IF($AL486="","",$AL486),IF($AK486="","",$AK486)),OR($Y486="worse",$Y486="worse, not significant")),IF(ROUND($AC486,3)=ROUND(significance_bar,3),TEXT($AC486,"0.0000"),TEXT($AC486,"0.000")),""),"")</f>
        <v/>
      </c>
      <c r="AO486">
        <f>IF(OR($AI486="",$AN486=""),$AI486,$AI486&amp;" · borderline (p "&amp;$AN486&amp;")")</f>
        <v/>
      </c>
    </row>
    <row r="487">
      <c r="A487" t="inlineStr">
        <is>
          <t>three-way</t>
        </is>
      </c>
      <c r="B487" t="inlineStr">
        <is>
          <t>SHORT_HIST x CHANNEL / REV_DEBT</t>
        </is>
      </c>
      <c r="C487" t="inlineStr">
        <is>
          <t>346.0 - 435.0</t>
        </is>
      </c>
      <c r="D487" t="inlineStr">
        <is>
          <t>Broker / REV_DEBT high half</t>
        </is>
      </c>
      <c r="E487" t="inlineStr">
        <is>
          <t>ranr_rate</t>
        </is>
      </c>
      <c r="F487" t="inlineStr">
        <is>
          <t>Profit after losses: RANR per booked dollar</t>
        </is>
      </c>
      <c r="G487" t="n">
        <v>252</v>
      </c>
      <c r="H487" t="n">
        <v>7824849.610000002</v>
      </c>
      <c r="I487" t="b">
        <v>0</v>
      </c>
      <c r="J487" t="b">
        <v>0</v>
      </c>
      <c r="K487" t="n">
        <v>-0.03284060017824378</v>
      </c>
      <c r="L487" t="n">
        <v>0.08135186481351865</v>
      </c>
      <c r="M487" t="n">
        <v>-0.03490838851685271</v>
      </c>
      <c r="N487" t="n">
        <v>0.05471452854714529</v>
      </c>
      <c r="O487" t="n">
        <v>256972.7574968968</v>
      </c>
      <c r="P487" t="n">
        <v>273152.8902718235</v>
      </c>
      <c r="Q487">
        <f>'_live'!$C$23</f>
        <v/>
      </c>
      <c r="R487" t="inlineStr">
        <is>
          <t>shuffled: 112 of 10,000</t>
        </is>
      </c>
      <c r="S487" t="inlineStr">
        <is>
          <t>shuffled: 67 of 10,000</t>
        </is>
      </c>
      <c r="T487" t="n">
        <v>0.1289858039197378</v>
      </c>
      <c r="U487" t="n">
        <v>0.1310535922583468</v>
      </c>
      <c r="V487">
        <f>AND(judged_band,NOT($J487))</f>
        <v/>
      </c>
      <c r="W487">
        <f>IF($K487="","",IF(profit_kind="test",IF(OR(NOT(AND(ISNUMBER($L487),$L487&lt;significance_bar)),$K487=0),"in line",IF($K487&lt;0,"worse","better")),IF(OR($K487=0,IF(profit_kind="points",ABS($K487),ABS($K487*$H487))&lt;profit_line*(1-1E-9)),"in line",IF(AND(ISNUMBER($L487),$L487&lt;significance_bar),IF($K487&lt;0,"worse","better"),IF($K487&lt;0,"worse, not significant","better, not significant")))))</f>
        <v/>
      </c>
      <c r="X487">
        <f>IF($M487="","",IF(profit_kind="test",IF(OR(NOT(AND(ISNUMBER($N487),$N487&lt;significance_bar)),$M487=0),"in line",IF($M487&lt;0,"worse","better")),IF(OR($M487=0,IF(profit_kind="points",ABS($M487),ABS($M487*$H487))&lt;profit_line*(1-1E-9)),"in line",IF(AND(ISNUMBER($N487),$N487&lt;significance_bar),IF($M487&lt;0,"worse","better"),IF($M487&lt;0,"worse, not significant","better, not significant")))))</f>
        <v/>
      </c>
      <c r="Y487">
        <f>IF($V487,$X487,$W487)</f>
        <v/>
      </c>
      <c r="Z487">
        <f>IF($V487,IF($P487="","",$P487),IF($O487="","",$O487))</f>
        <v/>
      </c>
      <c r="AA487">
        <f>IF(OR($Q487="",$Z487=""),"",IF(AND($Z487&gt;0,$Z487&gt;=$Q487),"yes","below the line"))</f>
        <v/>
      </c>
      <c r="AB487">
        <f>IF($V487,IF($M487="","",$M487),IF($K487="","",$K487))</f>
        <v/>
      </c>
      <c r="AC487">
        <f>IF($V487,IF($N487="","",$N487),IF($L487="","",$L487))</f>
        <v/>
      </c>
      <c r="AD487">
        <f>IF($Y487="","",IF($Y487="in line",IF(profit_kind="test",IF(ROUND($AB487*100,2)=0,"0.00",TEXT($AB487*100,"+0.00;-0.00"))&amp;" points against "&amp;IF($V487,"its band","the book")&amp;", "&amp;IF($AC487="","not tested","not significant"),IF(profit_kind="points","within "&amp;TEXT(profit_line*100,"0.00")&amp;" points of "&amp;IF($V487,"its band","the book")&amp;" ("&amp;IF(ROUND($AB487*100,2)=0,"0.00",TEXT($AB487*100,"+0.00;-0.00"))&amp;")","within $"&amp;TEXT(profit_line,"#,##0")&amp;" of "&amp;IF($V487,"its band","the book")&amp;" ("&amp;IF(ROUND($AB487*100,2)=0,"0.00",TEXT($AB487*100,"+0.00;-0.00"))&amp;" points)")),IF(LEFT($Y487,5)="worse","short of ","ahead of ")&amp;IF($V487,"its band","the book")&amp;" by "&amp;TEXT(ABS($AB487)*100,"0.00")&amp;" points"&amp;IF($Z487="",""," ($"&amp;TEXT(ABS($Z487),"#,##0")&amp;")")&amp;IF(RIGHT($Y487,15)="not significant"," (not significant)","")))</f>
        <v/>
      </c>
      <c r="AE487">
        <f>IF($V487,IF($S487="","",$S487),IF($R487="","",$R487))</f>
        <v/>
      </c>
      <c r="AF487">
        <f>IF($V487,IF($U487="","",$U487),IF($T487="","",$T487))</f>
        <v/>
      </c>
      <c r="AG487">
        <f>IF($V487,IF($O487="","",$O487),IF($P487="","",$P487))</f>
        <v/>
      </c>
      <c r="AH487" t="n">
        <v>0.09614520374149405</v>
      </c>
      <c r="AI487">
        <f>IF($Y487="worse","Yes",IF($Y487="worse, not significant","Not sure",IF(OR($Y487="too few losses to test",$Y487="too few loans to test"),"Too few losses",IF($Y487="","","No"))))</f>
        <v/>
      </c>
      <c r="AJ487">
        <f>IF($AA487="yes","Yes",IF($AA487="","","No"))</f>
        <v/>
      </c>
      <c r="AK487" t="n">
        <v>0.007609962554104306</v>
      </c>
      <c r="AL487" t="n">
        <v>0.006252606863583457</v>
      </c>
      <c r="AM487">
        <f>IF(AND(ISNUMBER($AC487),ISNUMBER(IF($V487,IF($AL487="","",$AL487),IF($AK487="","",$AK487)))),IF(AND(ABS($AC487-significance_bar)&lt;=2.0*IF($V487,IF($AL487="","",$AL487),IF($AK487="","",$AK487)),OR($Y487="worse",$Y487="better",$Y487="worse, not significant",$Y487="better, not significant",AND(profit_kind="test",$Y487="in line",ISNUMBER($AB487),$AB487&lt;&gt;0))),IF(ROUND($AC487,3)=ROUND(significance_bar,3),TEXT($AC487,"0.0000"),TEXT($AC487,"0.000")),""),"")</f>
        <v/>
      </c>
      <c r="AN487">
        <f>IF(AND(ISNUMBER($AC487),ISNUMBER(IF($V487,IF($AL487="","",$AL487),IF($AK487="","",$AK487)))),IF(AND(ABS($AC487-significance_bar)&lt;=2.0*IF($V487,IF($AL487="","",$AL487),IF($AK487="","",$AK487)),OR($Y487="worse",$Y487="worse, not significant",AND(profit_kind="test",$Y487="in line",ISNUMBER($AB487),$AB487&lt;0))),IF(ROUND($AC487,3)=ROUND(significance_bar,3),TEXT($AC487,"0.0000"),TEXT($AC487,"0.000")),""),"")</f>
        <v/>
      </c>
      <c r="AO487">
        <f>IF(OR($AI487="",$AN487=""),$AI487,$AI487&amp;" · borderline (p "&amp;$AN487&amp;")")</f>
        <v/>
      </c>
    </row>
    <row r="488">
      <c r="A488" t="inlineStr">
        <is>
          <t>three-way</t>
        </is>
      </c>
      <c r="B488" t="inlineStr">
        <is>
          <t>SHORT_HIST x CHANNEL / REV_DEBT</t>
        </is>
      </c>
      <c r="C488" t="inlineStr">
        <is>
          <t>346.0 - 435.0</t>
        </is>
      </c>
      <c r="D488" t="inlineStr">
        <is>
          <t>Broker / REV_DEBT high half</t>
        </is>
      </c>
      <c r="E488" t="inlineStr">
        <is>
          <t>contribution_rate</t>
        </is>
      </c>
      <c r="F488" t="inlineStr">
        <is>
          <t>Contribution before losses per booked dollar</t>
        </is>
      </c>
      <c r="G488" t="n">
        <v>252</v>
      </c>
      <c r="H488" t="n">
        <v>7824849.610000002</v>
      </c>
      <c r="I488" t="b">
        <v>0</v>
      </c>
      <c r="J488" t="b">
        <v>0</v>
      </c>
      <c r="K488" t="n">
        <v>0.01858079030017434</v>
      </c>
      <c r="L488" t="n">
        <v>0.03959604039596041</v>
      </c>
      <c r="M488" t="n">
        <v>0.02658549762309942</v>
      </c>
      <c r="N488" t="n">
        <v>0.004707221585533754</v>
      </c>
      <c r="O488" t="n">
        <v>-145391.8897338111</v>
      </c>
      <c r="P488" t="n">
        <v>-208027.5207077654</v>
      </c>
      <c r="Q488">
        <f>'_live'!$C$24</f>
        <v/>
      </c>
      <c r="R488" t="inlineStr">
        <is>
          <t>shuffled: 307 of 10,000</t>
        </is>
      </c>
      <c r="S488" t="inlineStr">
        <is>
          <t>shuffled: 33 of 10,000</t>
        </is>
      </c>
      <c r="T488" t="n">
        <v>0.1690289840939433</v>
      </c>
      <c r="U488" t="n">
        <v>0.1610242767710182</v>
      </c>
      <c r="V488">
        <f>AND(judged_band,NOT($J488))</f>
        <v/>
      </c>
      <c r="W488">
        <f>IF($K488="","",IF(profit_kind="test",IF(OR(NOT(AND(ISNUMBER($L488),$L488&lt;significance_bar)),$K488=0),"in line",IF($K488&lt;0,"worse","better")),IF(OR($K488=0,IF(profit_kind="points",ABS($K488),ABS($K488*$H488))&lt;profit_line*(1-1E-9)),"in line",IF(AND(ISNUMBER($L488),$L488&lt;significance_bar),IF($K488&lt;0,"worse","better"),IF($K488&lt;0,"worse, not significant","better, not significant")))))</f>
        <v/>
      </c>
      <c r="X488">
        <f>IF($M488="","",IF(profit_kind="test",IF(OR(NOT(AND(ISNUMBER($N488),$N488&lt;significance_bar)),$M488=0),"in line",IF($M488&lt;0,"worse","better")),IF(OR($M488=0,IF(profit_kind="points",ABS($M488),ABS($M488*$H488))&lt;profit_line*(1-1E-9)),"in line",IF(AND(ISNUMBER($N488),$N488&lt;significance_bar),IF($M488&lt;0,"worse","better"),IF($M488&lt;0,"worse, not significant","better, not significant")))))</f>
        <v/>
      </c>
      <c r="Y488">
        <f>IF($V488,$X488,$W488)</f>
        <v/>
      </c>
      <c r="Z488">
        <f>IF($V488,IF($P488="","",$P488),IF($O488="","",$O488))</f>
        <v/>
      </c>
      <c r="AA488">
        <f>IF(OR($Q488="",$Z488=""),"",IF(AND($Z488&gt;0,$Z488&gt;=$Q488),"yes","below the line"))</f>
        <v/>
      </c>
      <c r="AB488">
        <f>IF($V488,IF($M488="","",$M488),IF($K488="","",$K488))</f>
        <v/>
      </c>
      <c r="AC488">
        <f>IF($V488,IF($N488="","",$N488),IF($L488="","",$L488))</f>
        <v/>
      </c>
      <c r="AD488">
        <f>IF($Y488="","",IF($Y488="in line",IF(profit_kind="test",IF(ROUND($AB488*100,2)=0,"0.00",TEXT($AB488*100,"+0.00;-0.00"))&amp;" points against "&amp;IF($V488,"its band","the book")&amp;", "&amp;IF($AC488="","not tested","not significant"),IF(profit_kind="points","within "&amp;TEXT(profit_line*100,"0.00")&amp;" points of "&amp;IF($V488,"its band","the book")&amp;" ("&amp;IF(ROUND($AB488*100,2)=0,"0.00",TEXT($AB488*100,"+0.00;-0.00"))&amp;")","within $"&amp;TEXT(profit_line,"#,##0")&amp;" of "&amp;IF($V488,"its band","the book")&amp;" ("&amp;IF(ROUND($AB488*100,2)=0,"0.00",TEXT($AB488*100,"+0.00;-0.00"))&amp;" points)")),IF(LEFT($Y488,5)="worse","short of ","ahead of ")&amp;IF($V488,"its band","the book")&amp;" by "&amp;TEXT(ABS($AB488)*100,"0.00")&amp;" points"&amp;IF($Z488="",""," ($"&amp;TEXT(ABS($Z488),"#,##0")&amp;")")&amp;IF(RIGHT($Y488,15)="not significant"," (not significant)","")))</f>
        <v/>
      </c>
      <c r="AE488">
        <f>IF($V488,IF($S488="","",$S488),IF($R488="","",$R488))</f>
        <v/>
      </c>
      <c r="AF488">
        <f>IF($V488,IF($U488="","",$U488),IF($T488="","",$T488))</f>
        <v/>
      </c>
      <c r="AG488">
        <f>IF($V488,IF($O488="","",$O488),IF($P488="","",$P488))</f>
        <v/>
      </c>
      <c r="AH488" t="n">
        <v>0.1876097743941176</v>
      </c>
      <c r="AI488">
        <f>IF($Y488="worse","Yes",IF($Y488="worse, not significant","Not sure",IF(OR($Y488="too few losses to test",$Y488="too few loans to test"),"Too few losses",IF($Y488="","","No"))))</f>
        <v/>
      </c>
      <c r="AJ488">
        <f>IF($AA488="yes","Yes",IF($AA488="","","No"))</f>
        <v/>
      </c>
      <c r="AK488" t="n">
        <v>0.002221291254648244</v>
      </c>
      <c r="AL488" t="n">
        <v>0.0008059487261028672</v>
      </c>
      <c r="AM488">
        <f>IF(AND(ISNUMBER($AC488),ISNUMBER(IF($V488,IF($AL488="","",$AL488),IF($AK488="","",$AK488)))),IF(AND(ABS($AC488-significance_bar)&lt;=2.0*IF($V488,IF($AL488="","",$AL488),IF($AK488="","",$AK488)),OR($Y488="worse",$Y488="better",$Y488="worse, not significant",$Y488="better, not significant",AND(profit_kind="test",$Y488="in line",ISNUMBER($AB488),$AB488&lt;&gt;0))),IF(ROUND($AC488,3)=ROUND(significance_bar,3),TEXT($AC488,"0.0000"),TEXT($AC488,"0.000")),""),"")</f>
        <v/>
      </c>
      <c r="AN488">
        <f>IF(AND(ISNUMBER($AC488),ISNUMBER(IF($V488,IF($AL488="","",$AL488),IF($AK488="","",$AK488)))),IF(AND(ABS($AC488-significance_bar)&lt;=2.0*IF($V488,IF($AL488="","",$AL488),IF($AK488="","",$AK488)),OR($Y488="worse",$Y488="worse, not significant",AND(profit_kind="test",$Y488="in line",ISNUMBER($AB488),$AB488&lt;0))),IF(ROUND($AC488,3)=ROUND(significance_bar,3),TEXT($AC488,"0.0000"),TEXT($AC488,"0.000")),""),"")</f>
        <v/>
      </c>
      <c r="AO488">
        <f>IF(OR($AI488="",$AN488=""),$AI488,$AI488&amp;" · borderline (p "&amp;$AN488&amp;")")</f>
        <v/>
      </c>
    </row>
    <row r="489">
      <c r="A489" t="inlineStr">
        <is>
          <t>three-way</t>
        </is>
      </c>
      <c r="B489" t="inlineStr">
        <is>
          <t>SHORT_HIST x CHANNEL / REV_DEBT</t>
        </is>
      </c>
      <c r="C489" t="inlineStr">
        <is>
          <t>256.4 - 345.9</t>
        </is>
      </c>
      <c r="D489" t="inlineStr">
        <is>
          <t>Branch / REV_DEBT high half</t>
        </is>
      </c>
      <c r="E489" t="inlineStr">
        <is>
          <t>outcome_loans</t>
        </is>
      </c>
      <c r="F489" t="inlineStr">
        <is>
          <t>Outcome, share of loans</t>
        </is>
      </c>
      <c r="G489" t="n">
        <v>251</v>
      </c>
      <c r="H489" t="n">
        <v>251</v>
      </c>
      <c r="I489" t="b">
        <v>0</v>
      </c>
      <c r="J489" t="b">
        <v>0</v>
      </c>
      <c r="K489" t="n">
        <v>1.517266527111891</v>
      </c>
      <c r="L489" t="n">
        <v>0.06577891082837894</v>
      </c>
      <c r="M489" t="n">
        <v>1.431568962246253</v>
      </c>
      <c r="N489" t="n">
        <v>0.1248756625078022</v>
      </c>
      <c r="O489" t="n">
        <v>9.886680433660299</v>
      </c>
      <c r="P489" t="n">
        <v>8.742505764796313</v>
      </c>
      <c r="Q489">
        <f>'_live'!$C$20</f>
        <v/>
      </c>
      <c r="R489" t="inlineStr">
        <is>
          <t>z test</t>
        </is>
      </c>
      <c r="S489" t="inlineStr">
        <is>
          <t>z test</t>
        </is>
      </c>
      <c r="T489" t="n">
        <v>0.07614868353123387</v>
      </c>
      <c r="U489" t="n">
        <v>0.08070714834742505</v>
      </c>
      <c r="V489">
        <f>AND(judged_band,NOT($J489))</f>
        <v/>
      </c>
      <c r="W489">
        <f>IF($K489="","",IF($I489,"too few losses to test",IF(AND($K489&gt;better_at,$K489&lt;worse_at),"in line",IF($K489&gt;=worse_at,IF(AND(ISNUMBER($L489),$L489&lt;significance_bar),"worse","worse, not significant"),IF(AND(ISNUMBER($L489),$L489&lt;significance_bar),"better","better, not significant")))))</f>
        <v/>
      </c>
      <c r="X489">
        <f>IF($M489="","",IF($I489,"too few losses to test",IF(AND($M489&gt;better_at,$M489&lt;worse_at),"in line",IF($M489&gt;=worse_at,IF(AND(ISNUMBER($N489),$N489&lt;significance_bar),"worse","worse, not significant"),IF(AND(ISNUMBER($N489),$N489&lt;significance_bar),"better","better, not significant")))))</f>
        <v/>
      </c>
      <c r="Y489">
        <f>IF($V489,$X489,$W489)</f>
        <v/>
      </c>
      <c r="Z489">
        <f>IF($V489,IF($P489="","",$P489),IF($O489="","",$O489))</f>
        <v/>
      </c>
      <c r="AA489">
        <f>IF(OR($Q489="",$Z489=""),"",IF(AND($Z489&gt;0,$Z489&gt;=$Q489),"yes","below the line"))</f>
        <v/>
      </c>
      <c r="AB489">
        <f>IF($V489,IF($M489="","",$M489),IF($K489="","",$K489))</f>
        <v/>
      </c>
      <c r="AC489">
        <f>IF($V489,IF($N489="","",$N489),IF($L489="","",$L489))</f>
        <v/>
      </c>
      <c r="AD489">
        <f>$Y489</f>
        <v/>
      </c>
      <c r="AE489">
        <f>IF($V489,IF($S489="","",$S489),IF($R489="","",$R489))</f>
        <v/>
      </c>
      <c r="AF489">
        <f>IF($V489,IF($U489="","",$U489),IF($T489="","",$T489))</f>
        <v/>
      </c>
      <c r="AG489">
        <f>IF($V489,IF($O489="","",$O489),IF($P489="","",$P489))</f>
        <v/>
      </c>
      <c r="AH489" t="n">
        <v>0.1155378486055777</v>
      </c>
      <c r="AI489">
        <f>IF($Y489="worse","Yes",IF($Y489="worse, not significant","Not sure",IF(OR($Y489="too few losses to test",$Y489="too few loans to test"),"Too few losses",IF($Y489="","","No"))))</f>
        <v/>
      </c>
      <c r="AJ489">
        <f>IF($AA489="yes","Yes",IF($AA489="","","No"))</f>
        <v/>
      </c>
      <c r="AM489">
        <f>IF(AND(ISNUMBER($AC489),ISNUMBER(IF($V489,IF($AL489="","",$AL489),IF($AK489="","",$AK489)))),IF(AND(ABS($AC489-significance_bar)&lt;=2.0*IF($V489,IF($AL489="","",$AL489),IF($AK489="","",$AK489)),OR($Y489="worse",$Y489="better",$Y489="worse, not significant",$Y489="better, not significant")),IF(ROUND($AC489,3)=ROUND(significance_bar,3),TEXT($AC489,"0.0000"),TEXT($AC489,"0.000")),""),"")</f>
        <v/>
      </c>
      <c r="AN489">
        <f>IF(AND(ISNUMBER($AC489),ISNUMBER(IF($V489,IF($AL489="","",$AL489),IF($AK489="","",$AK489)))),IF(AND(ABS($AC489-significance_bar)&lt;=2.0*IF($V489,IF($AL489="","",$AL489),IF($AK489="","",$AK489)),OR($Y489="worse",$Y489="worse, not significant")),IF(ROUND($AC489,3)=ROUND(significance_bar,3),TEXT($AC489,"0.0000"),TEXT($AC489,"0.000")),""),"")</f>
        <v/>
      </c>
      <c r="AO489">
        <f>IF(OR($AI489="",$AN489=""),$AI489,$AI489&amp;" · borderline (p "&amp;$AN489&amp;")")</f>
        <v/>
      </c>
    </row>
    <row r="490">
      <c r="A490" t="inlineStr">
        <is>
          <t>three-way</t>
        </is>
      </c>
      <c r="B490" t="inlineStr">
        <is>
          <t>SHORT_HIST x CHANNEL / REV_DEBT</t>
        </is>
      </c>
      <c r="C490" t="inlineStr">
        <is>
          <t>256.4 - 345.9</t>
        </is>
      </c>
      <c r="D490" t="inlineStr">
        <is>
          <t>Branch / REV_DEBT high half</t>
        </is>
      </c>
      <c r="E490" t="inlineStr">
        <is>
          <t>outcome_booked</t>
        </is>
      </c>
      <c r="F490" t="inlineStr">
        <is>
          <t>Outcome, share of booked dollars</t>
        </is>
      </c>
      <c r="G490" t="n">
        <v>251</v>
      </c>
      <c r="H490" t="n">
        <v>7896328.579999998</v>
      </c>
      <c r="I490" t="b">
        <v>0</v>
      </c>
      <c r="J490" t="b">
        <v>0</v>
      </c>
      <c r="K490" t="n">
        <v>1.409292701440874</v>
      </c>
      <c r="L490" t="n">
        <v>0.1845815418458154</v>
      </c>
      <c r="M490" t="n">
        <v>1.326634485516255</v>
      </c>
      <c r="N490" t="n">
        <v>0.2962403759624038</v>
      </c>
      <c r="O490" t="n">
        <v>238848.5046039246</v>
      </c>
      <c r="P490" t="n">
        <v>202488.5551251335</v>
      </c>
      <c r="Q490">
        <f>'_live'!$C$21</f>
        <v/>
      </c>
      <c r="R490" t="inlineStr">
        <is>
          <t>shuffled: 1,064 of 10,000</t>
        </is>
      </c>
      <c r="S490" t="inlineStr">
        <is>
          <t>shuffled: 2,278 of 10,000</t>
        </is>
      </c>
      <c r="T490" t="n">
        <v>0.07390321204137069</v>
      </c>
      <c r="U490" t="n">
        <v>0.07850787724880449</v>
      </c>
      <c r="V490">
        <f>AND(judged_band,NOT($J490))</f>
        <v/>
      </c>
      <c r="W490">
        <f>IF($K490="","",IF($I490,"too few losses to test",IF(AND($K490&gt;better_at,$K490&lt;worse_at),"in line",IF($K490&gt;=worse_at,IF(AND(ISNUMBER($L490),$L490&lt;significance_bar),"worse","worse, not significant"),IF(AND(ISNUMBER($L490),$L490&lt;significance_bar),"better","better, not significant")))))</f>
        <v/>
      </c>
      <c r="X490">
        <f>IF($M490="","",IF($I490,"too few losses to test",IF(AND($M490&gt;better_at,$M490&lt;worse_at),"in line",IF($M490&gt;=worse_at,IF(AND(ISNUMBER($N490),$N490&lt;significance_bar),"worse","worse, not significant"),IF(AND(ISNUMBER($N490),$N490&lt;significance_bar),"better","better, not significant")))))</f>
        <v/>
      </c>
      <c r="Y490">
        <f>IF($V490,$X490,$W490)</f>
        <v/>
      </c>
      <c r="Z490">
        <f>IF($V490,IF($P490="","",$P490),IF($O490="","",$O490))</f>
        <v/>
      </c>
      <c r="AA490">
        <f>IF(OR($Q490="",$Z490=""),"",IF(AND($Z490&gt;0,$Z490&gt;=$Q490),"yes","below the line"))</f>
        <v/>
      </c>
      <c r="AB490">
        <f>IF($V490,IF($M490="","",$M490),IF($K490="","",$K490))</f>
        <v/>
      </c>
      <c r="AC490">
        <f>IF($V490,IF($N490="","",$N490),IF($L490="","",$L490))</f>
        <v/>
      </c>
      <c r="AD490">
        <f>$Y490</f>
        <v/>
      </c>
      <c r="AE490">
        <f>IF($V490,IF($S490="","",$S490),IF($R490="","",$R490))</f>
        <v/>
      </c>
      <c r="AF490">
        <f>IF($V490,IF($U490="","",$U490),IF($T490="","",$T490))</f>
        <v/>
      </c>
      <c r="AG490">
        <f>IF($V490,IF($O490="","",$O490),IF($P490="","",$P490))</f>
        <v/>
      </c>
      <c r="AH490" t="n">
        <v>0.104151257342941</v>
      </c>
      <c r="AI490">
        <f>IF($Y490="worse","Yes",IF($Y490="worse, not significant","Not sure",IF(OR($Y490="too few losses to test",$Y490="too few loans to test"),"Too few losses",IF($Y490="","","No"))))</f>
        <v/>
      </c>
      <c r="AJ490">
        <f>IF($AA490="yes","Yes",IF($AA490="","","No"))</f>
        <v/>
      </c>
      <c r="AK490" t="n">
        <v>0.005346690505436376</v>
      </c>
      <c r="AL490" t="n">
        <v>0.005453018690604119</v>
      </c>
      <c r="AM490">
        <f>IF(AND(ISNUMBER($AC490),ISNUMBER(IF($V490,IF($AL490="","",$AL490),IF($AK490="","",$AK490)))),IF(AND(ABS($AC490-significance_bar)&lt;=2.0*IF($V490,IF($AL490="","",$AL490),IF($AK490="","",$AK490)),OR($Y490="worse",$Y490="better",$Y490="worse, not significant",$Y490="better, not significant")),IF(ROUND($AC490,3)=ROUND(significance_bar,3),TEXT($AC490,"0.0000"),TEXT($AC490,"0.000")),""),"")</f>
        <v/>
      </c>
      <c r="AN490">
        <f>IF(AND(ISNUMBER($AC490),ISNUMBER(IF($V490,IF($AL490="","",$AL490),IF($AK490="","",$AK490)))),IF(AND(ABS($AC490-significance_bar)&lt;=2.0*IF($V490,IF($AL490="","",$AL490),IF($AK490="","",$AK490)),OR($Y490="worse",$Y490="worse, not significant")),IF(ROUND($AC490,3)=ROUND(significance_bar,3),TEXT($AC490,"0.0000"),TEXT($AC490,"0.000")),""),"")</f>
        <v/>
      </c>
      <c r="AO490">
        <f>IF(OR($AI490="",$AN490=""),$AI490,$AI490&amp;" · borderline (p "&amp;$AN490&amp;")")</f>
        <v/>
      </c>
    </row>
    <row r="491">
      <c r="A491" t="inlineStr">
        <is>
          <t>three-way</t>
        </is>
      </c>
      <c r="B491" t="inlineStr">
        <is>
          <t>SHORT_HIST x CHANNEL / REV_DEBT</t>
        </is>
      </c>
      <c r="C491" t="inlineStr">
        <is>
          <t>256.4 - 345.9</t>
        </is>
      </c>
      <c r="D491" t="inlineStr">
        <is>
          <t>Branch / REV_DEBT high half</t>
        </is>
      </c>
      <c r="E491" t="inlineStr">
        <is>
          <t>gco_rate</t>
        </is>
      </c>
      <c r="F491" t="inlineStr">
        <is>
          <t>GCO per booked dollar</t>
        </is>
      </c>
      <c r="G491" t="n">
        <v>251</v>
      </c>
      <c r="H491" t="n">
        <v>7896328.579999998</v>
      </c>
      <c r="I491" t="b">
        <v>0</v>
      </c>
      <c r="J491" t="b">
        <v>0</v>
      </c>
      <c r="K491" t="n">
        <v>1.235638496402764</v>
      </c>
      <c r="L491" t="n">
        <v>0.464610681788964</v>
      </c>
      <c r="M491" t="n">
        <v>1.151572162735767</v>
      </c>
      <c r="N491" t="n">
        <v>0.6000199980002</v>
      </c>
      <c r="O491" t="n">
        <v>76859.79722827941</v>
      </c>
      <c r="P491" t="n">
        <v>53048.45150495163</v>
      </c>
      <c r="Q491">
        <f>'_live'!$C$22</f>
        <v/>
      </c>
      <c r="R491" t="inlineStr">
        <is>
          <t>shuffled: 3,752 of 10,000</t>
        </is>
      </c>
      <c r="S491" t="inlineStr">
        <is>
          <t>shuffled: 5,769 of 10,000</t>
        </is>
      </c>
      <c r="T491" t="n">
        <v>0.04130739234913154</v>
      </c>
      <c r="U491" t="n">
        <v>0.04432288815608639</v>
      </c>
      <c r="V491">
        <f>AND(judged_band,NOT($J491))</f>
        <v/>
      </c>
      <c r="W491">
        <f>IF($K491="","",IF($I491,"too few losses to test",IF(AND($K491&gt;better_at,$K491&lt;worse_at),"in line",IF($K491&gt;=worse_at,IF(AND(ISNUMBER($L491),$L491&lt;significance_bar),"worse","worse, not significant"),IF(AND(ISNUMBER($L491),$L491&lt;significance_bar),"better","better, not significant")))))</f>
        <v/>
      </c>
      <c r="X491">
        <f>IF($M491="","",IF($I491,"too few losses to test",IF(AND($M491&gt;better_at,$M491&lt;worse_at),"in line",IF($M491&gt;=worse_at,IF(AND(ISNUMBER($N491),$N491&lt;significance_bar),"worse","worse, not significant"),IF(AND(ISNUMBER($N491),$N491&lt;significance_bar),"better","better, not significant")))))</f>
        <v/>
      </c>
      <c r="Y491">
        <f>IF($V491,$X491,$W491)</f>
        <v/>
      </c>
      <c r="Z491">
        <f>IF($V491,IF($P491="","",$P491),IF($O491="","",$O491))</f>
        <v/>
      </c>
      <c r="AA491">
        <f>IF(OR($Q491="",$Z491=""),"",IF(AND($Z491&gt;0,$Z491&gt;=$Q491),"yes","below the line"))</f>
        <v/>
      </c>
      <c r="AB491">
        <f>IF($V491,IF($M491="","",$M491),IF($K491="","",$K491))</f>
        <v/>
      </c>
      <c r="AC491">
        <f>IF($V491,IF($N491="","",$N491),IF($L491="","",$L491))</f>
        <v/>
      </c>
      <c r="AD491">
        <f>$Y491</f>
        <v/>
      </c>
      <c r="AE491">
        <f>IF($V491,IF($S491="","",$S491),IF($R491="","",$R491))</f>
        <v/>
      </c>
      <c r="AF491">
        <f>IF($V491,IF($U491="","",$U491),IF($T491="","",$T491))</f>
        <v/>
      </c>
      <c r="AG491">
        <f>IF($V491,IF($O491="","",$O491),IF($P491="","",$P491))</f>
        <v/>
      </c>
      <c r="AH491" t="n">
        <v>0.05104100417259994</v>
      </c>
      <c r="AI491">
        <f>IF($Y491="worse","Yes",IF($Y491="worse, not significant","Not sure",IF(OR($Y491="too few losses to test",$Y491="too few loans to test"),"Too few losses",IF($Y491="","","No"))))</f>
        <v/>
      </c>
      <c r="AJ491">
        <f>IF($AA491="yes","Yes",IF($AA491="","","No"))</f>
        <v/>
      </c>
      <c r="AK491" t="n">
        <v>0.005994740920662813</v>
      </c>
      <c r="AL491" t="n">
        <v>0.005138061890635885</v>
      </c>
      <c r="AM491">
        <f>IF(AND(ISNUMBER($AC491),ISNUMBER(IF($V491,IF($AL491="","",$AL491),IF($AK491="","",$AK491)))),IF(AND(ABS($AC491-significance_bar)&lt;=2.0*IF($V491,IF($AL491="","",$AL491),IF($AK491="","",$AK491)),OR($Y491="worse",$Y491="better",$Y491="worse, not significant",$Y491="better, not significant")),IF(ROUND($AC491,3)=ROUND(significance_bar,3),TEXT($AC491,"0.0000"),TEXT($AC491,"0.000")),""),"")</f>
        <v/>
      </c>
      <c r="AN491">
        <f>IF(AND(ISNUMBER($AC491),ISNUMBER(IF($V491,IF($AL491="","",$AL491),IF($AK491="","",$AK491)))),IF(AND(ABS($AC491-significance_bar)&lt;=2.0*IF($V491,IF($AL491="","",$AL491),IF($AK491="","",$AK491)),OR($Y491="worse",$Y491="worse, not significant")),IF(ROUND($AC491,3)=ROUND(significance_bar,3),TEXT($AC491,"0.0000"),TEXT($AC491,"0.000")),""),"")</f>
        <v/>
      </c>
      <c r="AO491">
        <f>IF(OR($AI491="",$AN491=""),$AI491,$AI491&amp;" · borderline (p "&amp;$AN491&amp;")")</f>
        <v/>
      </c>
    </row>
    <row r="492">
      <c r="A492" t="inlineStr">
        <is>
          <t>three-way</t>
        </is>
      </c>
      <c r="B492" t="inlineStr">
        <is>
          <t>SHORT_HIST x CHANNEL / REV_DEBT</t>
        </is>
      </c>
      <c r="C492" t="inlineStr">
        <is>
          <t>256.4 - 345.9</t>
        </is>
      </c>
      <c r="D492" t="inlineStr">
        <is>
          <t>Branch / REV_DEBT high half</t>
        </is>
      </c>
      <c r="E492" t="inlineStr">
        <is>
          <t>ranr_rate</t>
        </is>
      </c>
      <c r="F492" t="inlineStr">
        <is>
          <t>Profit after losses: RANR per booked dollar</t>
        </is>
      </c>
      <c r="G492" t="n">
        <v>251</v>
      </c>
      <c r="H492" t="n">
        <v>7896328.579999998</v>
      </c>
      <c r="I492" t="b">
        <v>0</v>
      </c>
      <c r="J492" t="b">
        <v>0</v>
      </c>
      <c r="K492" t="n">
        <v>0.02921960234213769</v>
      </c>
      <c r="L492" t="n">
        <v>0.1108689131086891</v>
      </c>
      <c r="M492" t="n">
        <v>0.02995890323479658</v>
      </c>
      <c r="N492" t="n">
        <v>0.1102043641789667</v>
      </c>
      <c r="O492" t="n">
        <v>-230727.5810704567</v>
      </c>
      <c r="P492" t="n">
        <v>-236565.3438383786</v>
      </c>
      <c r="Q492">
        <f>'_live'!$C$23</f>
        <v/>
      </c>
      <c r="R492" t="inlineStr">
        <is>
          <t>shuffled: 263 of 10,000</t>
        </is>
      </c>
      <c r="S492" t="inlineStr">
        <is>
          <t>shuffled: 397 of 10,000</t>
        </is>
      </c>
      <c r="T492" t="n">
        <v>0.1270959938865087</v>
      </c>
      <c r="U492" t="n">
        <v>0.1263566929938498</v>
      </c>
      <c r="V492">
        <f>AND(judged_band,NOT($J492))</f>
        <v/>
      </c>
      <c r="W492">
        <f>IF($K492="","",IF(profit_kind="test",IF(OR(NOT(AND(ISNUMBER($L492),$L492&lt;significance_bar)),$K492=0),"in line",IF($K492&lt;0,"worse","better")),IF(OR($K492=0,IF(profit_kind="points",ABS($K492),ABS($K492*$H492))&lt;profit_line*(1-1E-9)),"in line",IF(AND(ISNUMBER($L492),$L492&lt;significance_bar),IF($K492&lt;0,"worse","better"),IF($K492&lt;0,"worse, not significant","better, not significant")))))</f>
        <v/>
      </c>
      <c r="X492">
        <f>IF($M492="","",IF(profit_kind="test",IF(OR(NOT(AND(ISNUMBER($N492),$N492&lt;significance_bar)),$M492=0),"in line",IF($M492&lt;0,"worse","better")),IF(OR($M492=0,IF(profit_kind="points",ABS($M492),ABS($M492*$H492))&lt;profit_line*(1-1E-9)),"in line",IF(AND(ISNUMBER($N492),$N492&lt;significance_bar),IF($M492&lt;0,"worse","better"),IF($M492&lt;0,"worse, not significant","better, not significant")))))</f>
        <v/>
      </c>
      <c r="Y492">
        <f>IF($V492,$X492,$W492)</f>
        <v/>
      </c>
      <c r="Z492">
        <f>IF($V492,IF($P492="","",$P492),IF($O492="","",$O492))</f>
        <v/>
      </c>
      <c r="AA492">
        <f>IF(OR($Q492="",$Z492=""),"",IF(AND($Z492&gt;0,$Z492&gt;=$Q492),"yes","below the line"))</f>
        <v/>
      </c>
      <c r="AB492">
        <f>IF($V492,IF($M492="","",$M492),IF($K492="","",$K492))</f>
        <v/>
      </c>
      <c r="AC492">
        <f>IF($V492,IF($N492="","",$N492),IF($L492="","",$L492))</f>
        <v/>
      </c>
      <c r="AD492">
        <f>IF($Y492="","",IF($Y492="in line",IF(profit_kind="test",IF(ROUND($AB492*100,2)=0,"0.00",TEXT($AB492*100,"+0.00;-0.00"))&amp;" points against "&amp;IF($V492,"its band","the book")&amp;", "&amp;IF($AC492="","not tested","not significant"),IF(profit_kind="points","within "&amp;TEXT(profit_line*100,"0.00")&amp;" points of "&amp;IF($V492,"its band","the book")&amp;" ("&amp;IF(ROUND($AB492*100,2)=0,"0.00",TEXT($AB492*100,"+0.00;-0.00"))&amp;")","within $"&amp;TEXT(profit_line,"#,##0")&amp;" of "&amp;IF($V492,"its band","the book")&amp;" ("&amp;IF(ROUND($AB492*100,2)=0,"0.00",TEXT($AB492*100,"+0.00;-0.00"))&amp;" points)")),IF(LEFT($Y492,5)="worse","short of ","ahead of ")&amp;IF($V492,"its band","the book")&amp;" by "&amp;TEXT(ABS($AB492)*100,"0.00")&amp;" points"&amp;IF($Z492="",""," ($"&amp;TEXT(ABS($Z492),"#,##0")&amp;")")&amp;IF(RIGHT($Y492,15)="not significant"," (not significant)","")))</f>
        <v/>
      </c>
      <c r="AE492">
        <f>IF($V492,IF($S492="","",$S492),IF($R492="","",$R492))</f>
        <v/>
      </c>
      <c r="AF492">
        <f>IF($V492,IF($U492="","",$U492),IF($T492="","",$T492))</f>
        <v/>
      </c>
      <c r="AG492">
        <f>IF($V492,IF($O492="","",$O492),IF($P492="","",$P492))</f>
        <v/>
      </c>
      <c r="AH492" t="n">
        <v>0.1563155962286464</v>
      </c>
      <c r="AI492">
        <f>IF($Y492="worse","Yes",IF($Y492="worse, not significant","Not sure",IF(OR($Y492="too few losses to test",$Y492="too few loans to test"),"Too few losses",IF($Y492="","","No"))))</f>
        <v/>
      </c>
      <c r="AJ492">
        <f>IF($AA492="yes","Yes",IF($AA492="","","No"))</f>
        <v/>
      </c>
      <c r="AK492" t="n">
        <v>0.006219615513015083</v>
      </c>
      <c r="AL492" t="n">
        <v>0.005413282869976568</v>
      </c>
      <c r="AM492">
        <f>IF(AND(ISNUMBER($AC492),ISNUMBER(IF($V492,IF($AL492="","",$AL492),IF($AK492="","",$AK492)))),IF(AND(ABS($AC492-significance_bar)&lt;=2.0*IF($V492,IF($AL492="","",$AL492),IF($AK492="","",$AK492)),OR($Y492="worse",$Y492="better",$Y492="worse, not significant",$Y492="better, not significant",AND(profit_kind="test",$Y492="in line",ISNUMBER($AB492),$AB492&lt;&gt;0))),IF(ROUND($AC492,3)=ROUND(significance_bar,3),TEXT($AC492,"0.0000"),TEXT($AC492,"0.000")),""),"")</f>
        <v/>
      </c>
      <c r="AN492">
        <f>IF(AND(ISNUMBER($AC492),ISNUMBER(IF($V492,IF($AL492="","",$AL492),IF($AK492="","",$AK492)))),IF(AND(ABS($AC492-significance_bar)&lt;=2.0*IF($V492,IF($AL492="","",$AL492),IF($AK492="","",$AK492)),OR($Y492="worse",$Y492="worse, not significant",AND(profit_kind="test",$Y492="in line",ISNUMBER($AB492),$AB492&lt;0))),IF(ROUND($AC492,3)=ROUND(significance_bar,3),TEXT($AC492,"0.0000"),TEXT($AC492,"0.000")),""),"")</f>
        <v/>
      </c>
      <c r="AO492">
        <f>IF(OR($AI492="",$AN492=""),$AI492,$AI492&amp;" · borderline (p "&amp;$AN492&amp;")")</f>
        <v/>
      </c>
    </row>
    <row r="493">
      <c r="A493" t="inlineStr">
        <is>
          <t>three-way</t>
        </is>
      </c>
      <c r="B493" t="inlineStr">
        <is>
          <t>SHORT_HIST x CHANNEL / REV_DEBT</t>
        </is>
      </c>
      <c r="C493" t="inlineStr">
        <is>
          <t>256.4 - 345.9</t>
        </is>
      </c>
      <c r="D493" t="inlineStr">
        <is>
          <t>Branch / REV_DEBT high half</t>
        </is>
      </c>
      <c r="E493" t="inlineStr">
        <is>
          <t>contribution_rate</t>
        </is>
      </c>
      <c r="F493" t="inlineStr">
        <is>
          <t>Contribution before losses per booked dollar</t>
        </is>
      </c>
      <c r="G493" t="n">
        <v>251</v>
      </c>
      <c r="H493" t="n">
        <v>7896328.579999998</v>
      </c>
      <c r="I493" t="b">
        <v>0</v>
      </c>
      <c r="J493" t="b">
        <v>0</v>
      </c>
      <c r="K493" t="n">
        <v>0.0389563055197262</v>
      </c>
      <c r="L493" t="n">
        <v>0.0003789094774733053</v>
      </c>
      <c r="M493" t="n">
        <v>0.03669646830041165</v>
      </c>
      <c r="N493" t="n">
        <v>0.0003789094774733053</v>
      </c>
      <c r="O493" t="n">
        <v>-307611.7886466256</v>
      </c>
      <c r="P493" t="n">
        <v>-289767.3714256044</v>
      </c>
      <c r="Q493">
        <f>'_live'!$C$24</f>
        <v/>
      </c>
      <c r="R493" t="inlineStr">
        <is>
          <t>shuffled: 1 of 10,000</t>
        </is>
      </c>
      <c r="S493" t="inlineStr">
        <is>
          <t>shuffled: 1 of 10,000</t>
        </is>
      </c>
      <c r="T493" t="n">
        <v>0.1684002948815201</v>
      </c>
      <c r="U493" t="n">
        <v>0.1706601321008347</v>
      </c>
      <c r="V493">
        <f>AND(judged_band,NOT($J493))</f>
        <v/>
      </c>
      <c r="W493">
        <f>IF($K493="","",IF(profit_kind="test",IF(OR(NOT(AND(ISNUMBER($L493),$L493&lt;significance_bar)),$K493=0),"in line",IF($K493&lt;0,"worse","better")),IF(OR($K493=0,IF(profit_kind="points",ABS($K493),ABS($K493*$H493))&lt;profit_line*(1-1E-9)),"in line",IF(AND(ISNUMBER($L493),$L493&lt;significance_bar),IF($K493&lt;0,"worse","better"),IF($K493&lt;0,"worse, not significant","better, not significant")))))</f>
        <v/>
      </c>
      <c r="X493">
        <f>IF($M493="","",IF(profit_kind="test",IF(OR(NOT(AND(ISNUMBER($N493),$N493&lt;significance_bar)),$M493=0),"in line",IF($M493&lt;0,"worse","better")),IF(OR($M493=0,IF(profit_kind="points",ABS($M493),ABS($M493*$H493))&lt;profit_line*(1-1E-9)),"in line",IF(AND(ISNUMBER($N493),$N493&lt;significance_bar),IF($M493&lt;0,"worse","better"),IF($M493&lt;0,"worse, not significant","better, not significant")))))</f>
        <v/>
      </c>
      <c r="Y493">
        <f>IF($V493,$X493,$W493)</f>
        <v/>
      </c>
      <c r="Z493">
        <f>IF($V493,IF($P493="","",$P493),IF($O493="","",$O493))</f>
        <v/>
      </c>
      <c r="AA493">
        <f>IF(OR($Q493="",$Z493=""),"",IF(AND($Z493&gt;0,$Z493&gt;=$Q493),"yes","below the line"))</f>
        <v/>
      </c>
      <c r="AB493">
        <f>IF($V493,IF($M493="","",$M493),IF($K493="","",$K493))</f>
        <v/>
      </c>
      <c r="AC493">
        <f>IF($V493,IF($N493="","",$N493),IF($L493="","",$L493))</f>
        <v/>
      </c>
      <c r="AD493">
        <f>IF($Y493="","",IF($Y493="in line",IF(profit_kind="test",IF(ROUND($AB493*100,2)=0,"0.00",TEXT($AB493*100,"+0.00;-0.00"))&amp;" points against "&amp;IF($V493,"its band","the book")&amp;", "&amp;IF($AC493="","not tested","not significant"),IF(profit_kind="points","within "&amp;TEXT(profit_line*100,"0.00")&amp;" points of "&amp;IF($V493,"its band","the book")&amp;" ("&amp;IF(ROUND($AB493*100,2)=0,"0.00",TEXT($AB493*100,"+0.00;-0.00"))&amp;")","within $"&amp;TEXT(profit_line,"#,##0")&amp;" of "&amp;IF($V493,"its band","the book")&amp;" ("&amp;IF(ROUND($AB493*100,2)=0,"0.00",TEXT($AB493*100,"+0.00;-0.00"))&amp;" points)")),IF(LEFT($Y493,5)="worse","short of ","ahead of ")&amp;IF($V493,"its band","the book")&amp;" by "&amp;TEXT(ABS($AB493)*100,"0.00")&amp;" points"&amp;IF($Z493="",""," ($"&amp;TEXT(ABS($Z493),"#,##0")&amp;")")&amp;IF(RIGHT($Y493,15)="not significant"," (not significant)","")))</f>
        <v/>
      </c>
      <c r="AE493">
        <f>IF($V493,IF($S493="","",$S493),IF($R493="","",$R493))</f>
        <v/>
      </c>
      <c r="AF493">
        <f>IF($V493,IF($U493="","",$U493),IF($T493="","",$T493))</f>
        <v/>
      </c>
      <c r="AG493">
        <f>IF($V493,IF($O493="","",$O493),IF($P493="","",$P493))</f>
        <v/>
      </c>
      <c r="AH493" t="n">
        <v>0.2073566004012463</v>
      </c>
      <c r="AI493">
        <f>IF($Y493="worse","Yes",IF($Y493="worse, not significant","Not sure",IF(OR($Y493="too few losses to test",$Y493="too few loans to test"),"Too few losses",IF($Y493="","","No"))))</f>
        <v/>
      </c>
      <c r="AJ493">
        <f>IF($AA493="yes","Yes",IF($AA493="","","No"))</f>
        <v/>
      </c>
      <c r="AK493" t="n">
        <v>0.0002679160641692481</v>
      </c>
      <c r="AL493" t="n">
        <v>0.0002679160641692481</v>
      </c>
      <c r="AM493">
        <f>IF(AND(ISNUMBER($AC493),ISNUMBER(IF($V493,IF($AL493="","",$AL493),IF($AK493="","",$AK493)))),IF(AND(ABS($AC493-significance_bar)&lt;=2.0*IF($V493,IF($AL493="","",$AL493),IF($AK493="","",$AK493)),OR($Y493="worse",$Y493="better",$Y493="worse, not significant",$Y493="better, not significant",AND(profit_kind="test",$Y493="in line",ISNUMBER($AB493),$AB493&lt;&gt;0))),IF(ROUND($AC493,3)=ROUND(significance_bar,3),TEXT($AC493,"0.0000"),TEXT($AC493,"0.000")),""),"")</f>
        <v/>
      </c>
      <c r="AN493">
        <f>IF(AND(ISNUMBER($AC493),ISNUMBER(IF($V493,IF($AL493="","",$AL493),IF($AK493="","",$AK493)))),IF(AND(ABS($AC493-significance_bar)&lt;=2.0*IF($V493,IF($AL493="","",$AL493),IF($AK493="","",$AK493)),OR($Y493="worse",$Y493="worse, not significant",AND(profit_kind="test",$Y493="in line",ISNUMBER($AB493),$AB493&lt;0))),IF(ROUND($AC493,3)=ROUND(significance_bar,3),TEXT($AC493,"0.0000"),TEXT($AC493,"0.000")),""),"")</f>
        <v/>
      </c>
      <c r="AO493">
        <f>IF(OR($AI493="",$AN493=""),$AI493,$AI493&amp;" · borderline (p "&amp;$AN493&amp;")")</f>
        <v/>
      </c>
    </row>
    <row r="494">
      <c r="A494" t="inlineStr">
        <is>
          <t>three-way</t>
        </is>
      </c>
      <c r="B494" t="inlineStr">
        <is>
          <t>SHORT_HIST x CHANNEL / REV_DEBT</t>
        </is>
      </c>
      <c r="C494" t="inlineStr">
        <is>
          <t>346.0 - 435.0</t>
        </is>
      </c>
      <c r="D494" t="inlineStr">
        <is>
          <t>Branch / REV_DEBT low half</t>
        </is>
      </c>
      <c r="E494" t="inlineStr">
        <is>
          <t>outcome_loans</t>
        </is>
      </c>
      <c r="F494" t="inlineStr">
        <is>
          <t>Outcome, share of loans</t>
        </is>
      </c>
      <c r="G494" t="n">
        <v>267</v>
      </c>
      <c r="H494" t="n">
        <v>267</v>
      </c>
      <c r="I494" t="b">
        <v>0</v>
      </c>
      <c r="J494" t="b">
        <v>0</v>
      </c>
      <c r="K494" t="n">
        <v>0.5239256849990144</v>
      </c>
      <c r="L494" t="n">
        <v>0.06577891082837894</v>
      </c>
      <c r="M494" t="n">
        <v>0.5153774128493229</v>
      </c>
      <c r="N494" t="n">
        <v>0.06083953968831643</v>
      </c>
      <c r="O494" t="n">
        <v>-9.995344024831866</v>
      </c>
      <c r="P494" t="n">
        <v>-10.34358186010761</v>
      </c>
      <c r="Q494">
        <f>'_live'!$C$20</f>
        <v/>
      </c>
      <c r="R494" t="inlineStr">
        <is>
          <t>z test</t>
        </is>
      </c>
      <c r="S494" t="inlineStr">
        <is>
          <t>z test</t>
        </is>
      </c>
      <c r="T494" t="n">
        <v>0.07863424728401448</v>
      </c>
      <c r="U494" t="n">
        <v>0.07993850883935434</v>
      </c>
      <c r="V494">
        <f>AND(judged_band,NOT($J494))</f>
        <v/>
      </c>
      <c r="W494">
        <f>IF($K494="","",IF($I494,"too few losses to test",IF(AND($K494&gt;better_at,$K494&lt;worse_at),"in line",IF($K494&gt;=worse_at,IF(AND(ISNUMBER($L494),$L494&lt;significance_bar),"worse","worse, not significant"),IF(AND(ISNUMBER($L494),$L494&lt;significance_bar),"better","better, not significant")))))</f>
        <v/>
      </c>
      <c r="X494">
        <f>IF($M494="","",IF($I494,"too few losses to test",IF(AND($M494&gt;better_at,$M494&lt;worse_at),"in line",IF($M494&gt;=worse_at,IF(AND(ISNUMBER($N494),$N494&lt;significance_bar),"worse","worse, not significant"),IF(AND(ISNUMBER($N494),$N494&lt;significance_bar),"better","better, not significant")))))</f>
        <v/>
      </c>
      <c r="Y494">
        <f>IF($V494,$X494,$W494)</f>
        <v/>
      </c>
      <c r="Z494">
        <f>IF($V494,IF($P494="","",$P494),IF($O494="","",$O494))</f>
        <v/>
      </c>
      <c r="AA494">
        <f>IF(OR($Q494="",$Z494=""),"",IF(AND($Z494&gt;0,$Z494&gt;=$Q494),"yes","below the line"))</f>
        <v/>
      </c>
      <c r="AB494">
        <f>IF($V494,IF($M494="","",$M494),IF($K494="","",$K494))</f>
        <v/>
      </c>
      <c r="AC494">
        <f>IF($V494,IF($N494="","",$N494),IF($L494="","",$L494))</f>
        <v/>
      </c>
      <c r="AD494">
        <f>$Y494</f>
        <v/>
      </c>
      <c r="AE494">
        <f>IF($V494,IF($S494="","",$S494),IF($R494="","",$R494))</f>
        <v/>
      </c>
      <c r="AF494">
        <f>IF($V494,IF($U494="","",$U494),IF($T494="","",$T494))</f>
        <v/>
      </c>
      <c r="AG494">
        <f>IF($V494,IF($O494="","",$O494),IF($P494="","",$P494))</f>
        <v/>
      </c>
      <c r="AH494" t="n">
        <v>0.04119850187265917</v>
      </c>
      <c r="AI494">
        <f>IF($Y494="worse","Yes",IF($Y494="worse, not significant","Not sure",IF(OR($Y494="too few losses to test",$Y494="too few loans to test"),"Too few losses",IF($Y494="","","No"))))</f>
        <v/>
      </c>
      <c r="AJ494">
        <f>IF($AA494="yes","Yes",IF($AA494="","","No"))</f>
        <v/>
      </c>
      <c r="AM494">
        <f>IF(AND(ISNUMBER($AC494),ISNUMBER(IF($V494,IF($AL494="","",$AL494),IF($AK494="","",$AK494)))),IF(AND(ABS($AC494-significance_bar)&lt;=2.0*IF($V494,IF($AL494="","",$AL494),IF($AK494="","",$AK494)),OR($Y494="worse",$Y494="better",$Y494="worse, not significant",$Y494="better, not significant")),IF(ROUND($AC494,3)=ROUND(significance_bar,3),TEXT($AC494,"0.0000"),TEXT($AC494,"0.000")),""),"")</f>
        <v/>
      </c>
      <c r="AN494">
        <f>IF(AND(ISNUMBER($AC494),ISNUMBER(IF($V494,IF($AL494="","",$AL494),IF($AK494="","",$AK494)))),IF(AND(ABS($AC494-significance_bar)&lt;=2.0*IF($V494,IF($AL494="","",$AL494),IF($AK494="","",$AK494)),OR($Y494="worse",$Y494="worse, not significant")),IF(ROUND($AC494,3)=ROUND(significance_bar,3),TEXT($AC494,"0.0000"),TEXT($AC494,"0.000")),""),"")</f>
        <v/>
      </c>
      <c r="AO494">
        <f>IF(OR($AI494="",$AN494=""),$AI494,$AI494&amp;" · borderline (p "&amp;$AN494&amp;")")</f>
        <v/>
      </c>
    </row>
    <row r="495">
      <c r="A495" t="inlineStr">
        <is>
          <t>three-way</t>
        </is>
      </c>
      <c r="B495" t="inlineStr">
        <is>
          <t>SHORT_HIST x CHANNEL / REV_DEBT</t>
        </is>
      </c>
      <c r="C495" t="inlineStr">
        <is>
          <t>346.0 - 435.0</t>
        </is>
      </c>
      <c r="D495" t="inlineStr">
        <is>
          <t>Branch / REV_DEBT low half</t>
        </is>
      </c>
      <c r="E495" t="inlineStr">
        <is>
          <t>outcome_booked</t>
        </is>
      </c>
      <c r="F495" t="inlineStr">
        <is>
          <t>Outcome, share of booked dollars</t>
        </is>
      </c>
      <c r="G495" t="n">
        <v>267</v>
      </c>
      <c r="H495" t="n">
        <v>8747553.449999996</v>
      </c>
      <c r="I495" t="b">
        <v>0</v>
      </c>
      <c r="J495" t="b">
        <v>0</v>
      </c>
      <c r="K495" t="n">
        <v>0.5042430360783592</v>
      </c>
      <c r="L495" t="n">
        <v>0.1140635936406359</v>
      </c>
      <c r="M495" t="n">
        <v>0.5079466027027179</v>
      </c>
      <c r="N495" t="n">
        <v>0.108716401087164</v>
      </c>
      <c r="O495" t="n">
        <v>-330054.5332656814</v>
      </c>
      <c r="P495" t="n">
        <v>-325200.318573991</v>
      </c>
      <c r="Q495">
        <f>'_live'!$C$21</f>
        <v/>
      </c>
      <c r="R495" t="inlineStr">
        <is>
          <t>shuffled: 350 of 10,000</t>
        </is>
      </c>
      <c r="S495" t="inlineStr">
        <is>
          <t>shuffled: 459 of 10,000</t>
        </is>
      </c>
      <c r="T495" t="n">
        <v>0.07610799374603211</v>
      </c>
      <c r="U495" t="n">
        <v>0.07555307119317931</v>
      </c>
      <c r="V495">
        <f>AND(judged_band,NOT($J495))</f>
        <v/>
      </c>
      <c r="W495">
        <f>IF($K495="","",IF($I495,"too few losses to test",IF(AND($K495&gt;better_at,$K495&lt;worse_at),"in line",IF($K495&gt;=worse_at,IF(AND(ISNUMBER($L495),$L495&lt;significance_bar),"worse","worse, not significant"),IF(AND(ISNUMBER($L495),$L495&lt;significance_bar),"better","better, not significant")))))</f>
        <v/>
      </c>
      <c r="X495">
        <f>IF($M495="","",IF($I495,"too few losses to test",IF(AND($M495&gt;better_at,$M495&lt;worse_at),"in line",IF($M495&gt;=worse_at,IF(AND(ISNUMBER($N495),$N495&lt;significance_bar),"worse","worse, not significant"),IF(AND(ISNUMBER($N495),$N495&lt;significance_bar),"better","better, not significant")))))</f>
        <v/>
      </c>
      <c r="Y495">
        <f>IF($V495,$X495,$W495)</f>
        <v/>
      </c>
      <c r="Z495">
        <f>IF($V495,IF($P495="","",$P495),IF($O495="","",$O495))</f>
        <v/>
      </c>
      <c r="AA495">
        <f>IF(OR($Q495="",$Z495=""),"",IF(AND($Z495&gt;0,$Z495&gt;=$Q495),"yes","below the line"))</f>
        <v/>
      </c>
      <c r="AB495">
        <f>IF($V495,IF($M495="","",$M495),IF($K495="","",$K495))</f>
        <v/>
      </c>
      <c r="AC495">
        <f>IF($V495,IF($N495="","",$N495),IF($L495="","",$L495))</f>
        <v/>
      </c>
      <c r="AD495">
        <f>$Y495</f>
        <v/>
      </c>
      <c r="AE495">
        <f>IF($V495,IF($S495="","",$S495),IF($R495="","",$R495))</f>
        <v/>
      </c>
      <c r="AF495">
        <f>IF($V495,IF($U495="","",$U495),IF($T495="","",$T495))</f>
        <v/>
      </c>
      <c r="AG495">
        <f>IF($V495,IF($O495="","",$O495),IF($P495="","",$P495))</f>
        <v/>
      </c>
      <c r="AH495" t="n">
        <v>0.038376925836332</v>
      </c>
      <c r="AI495">
        <f>IF($Y495="worse","Yes",IF($Y495="worse, not significant","Not sure",IF(OR($Y495="too few losses to test",$Y495="too few loans to test"),"Too few losses",IF($Y495="","","No"))))</f>
        <v/>
      </c>
      <c r="AJ495">
        <f>IF($AA495="yes","Yes",IF($AA495="","","No"))</f>
        <v/>
      </c>
      <c r="AK495" t="n">
        <v>0.005980770652163905</v>
      </c>
      <c r="AL495" t="n">
        <v>0.004951229979186502</v>
      </c>
      <c r="AM495">
        <f>IF(AND(ISNUMBER($AC495),ISNUMBER(IF($V495,IF($AL495="","",$AL495),IF($AK495="","",$AK495)))),IF(AND(ABS($AC495-significance_bar)&lt;=2.0*IF($V495,IF($AL495="","",$AL495),IF($AK495="","",$AK495)),OR($Y495="worse",$Y495="better",$Y495="worse, not significant",$Y495="better, not significant")),IF(ROUND($AC495,3)=ROUND(significance_bar,3),TEXT($AC495,"0.0000"),TEXT($AC495,"0.000")),""),"")</f>
        <v/>
      </c>
      <c r="AN495">
        <f>IF(AND(ISNUMBER($AC495),ISNUMBER(IF($V495,IF($AL495="","",$AL495),IF($AK495="","",$AK495)))),IF(AND(ABS($AC495-significance_bar)&lt;=2.0*IF($V495,IF($AL495="","",$AL495),IF($AK495="","",$AK495)),OR($Y495="worse",$Y495="worse, not significant")),IF(ROUND($AC495,3)=ROUND(significance_bar,3),TEXT($AC495,"0.0000"),TEXT($AC495,"0.000")),""),"")</f>
        <v/>
      </c>
      <c r="AO495">
        <f>IF(OR($AI495="",$AN495=""),$AI495,$AI495&amp;" · borderline (p "&amp;$AN495&amp;")")</f>
        <v/>
      </c>
    </row>
    <row r="496">
      <c r="A496" t="inlineStr">
        <is>
          <t>three-way</t>
        </is>
      </c>
      <c r="B496" t="inlineStr">
        <is>
          <t>SHORT_HIST x CHANNEL / REV_DEBT</t>
        </is>
      </c>
      <c r="C496" t="inlineStr">
        <is>
          <t>346.0 - 435.0</t>
        </is>
      </c>
      <c r="D496" t="inlineStr">
        <is>
          <t>Branch / REV_DEBT low half</t>
        </is>
      </c>
      <c r="E496" t="inlineStr">
        <is>
          <t>gco_rate</t>
        </is>
      </c>
      <c r="F496" t="inlineStr">
        <is>
          <t>GCO per booked dollar</t>
        </is>
      </c>
      <c r="G496" t="n">
        <v>267</v>
      </c>
      <c r="H496" t="n">
        <v>8747553.449999996</v>
      </c>
      <c r="I496" t="b">
        <v>0</v>
      </c>
      <c r="J496" t="b">
        <v>0</v>
      </c>
      <c r="K496" t="n">
        <v>0.5317249607387098</v>
      </c>
      <c r="L496" t="n">
        <v>0.1250238612502386</v>
      </c>
      <c r="M496" t="n">
        <v>0.5228668913105157</v>
      </c>
      <c r="N496" t="n">
        <v>0.140602606406026</v>
      </c>
      <c r="O496" t="n">
        <v>-173175.2161143842</v>
      </c>
      <c r="P496" t="n">
        <v>-179440.3833300984</v>
      </c>
      <c r="Q496">
        <f>'_live'!$C$22</f>
        <v/>
      </c>
      <c r="R496" t="inlineStr">
        <is>
          <t>shuffled: 528 of 10,000</t>
        </is>
      </c>
      <c r="S496" t="inlineStr">
        <is>
          <t>shuffled: 621 of 10,000</t>
        </is>
      </c>
      <c r="T496" t="n">
        <v>0.0422764122823833</v>
      </c>
      <c r="U496" t="n">
        <v>0.042992631651779</v>
      </c>
      <c r="V496">
        <f>AND(judged_band,NOT($J496))</f>
        <v/>
      </c>
      <c r="W496">
        <f>IF($K496="","",IF($I496,"too few losses to test",IF(AND($K496&gt;better_at,$K496&lt;worse_at),"in line",IF($K496&gt;=worse_at,IF(AND(ISNUMBER($L496),$L496&lt;significance_bar),"worse","worse, not significant"),IF(AND(ISNUMBER($L496),$L496&lt;significance_bar),"better","better, not significant")))))</f>
        <v/>
      </c>
      <c r="X496">
        <f>IF($M496="","",IF($I496,"too few losses to test",IF(AND($M496&gt;better_at,$M496&lt;worse_at),"in line",IF($M496&gt;=worse_at,IF(AND(ISNUMBER($N496),$N496&lt;significance_bar),"worse","worse, not significant"),IF(AND(ISNUMBER($N496),$N496&lt;significance_bar),"better","better, not significant")))))</f>
        <v/>
      </c>
      <c r="Y496">
        <f>IF($V496,$X496,$W496)</f>
        <v/>
      </c>
      <c r="Z496">
        <f>IF($V496,IF($P496="","",$P496),IF($O496="","",$O496))</f>
        <v/>
      </c>
      <c r="AA496">
        <f>IF(OR($Q496="",$Z496=""),"",IF(AND($Z496&gt;0,$Z496&gt;=$Q496),"yes","below the line"))</f>
        <v/>
      </c>
      <c r="AB496">
        <f>IF($V496,IF($M496="","",$M496),IF($K496="","",$K496))</f>
        <v/>
      </c>
      <c r="AC496">
        <f>IF($V496,IF($N496="","",$N496),IF($L496="","",$L496))</f>
        <v/>
      </c>
      <c r="AD496">
        <f>$Y496</f>
        <v/>
      </c>
      <c r="AE496">
        <f>IF($V496,IF($S496="","",$S496),IF($R496="","",$R496))</f>
        <v/>
      </c>
      <c r="AF496">
        <f>IF($V496,IF($U496="","",$U496),IF($T496="","",$T496))</f>
        <v/>
      </c>
      <c r="AG496">
        <f>IF($V496,IF($O496="","",$O496),IF($P496="","",$P496))</f>
        <v/>
      </c>
      <c r="AH496" t="n">
        <v>0.02247942366102377</v>
      </c>
      <c r="AI496">
        <f>IF($Y496="worse","Yes",IF($Y496="worse, not significant","Not sure",IF(OR($Y496="too few losses to test",$Y496="too few loans to test"),"Too few losses",IF($Y496="","","No"))))</f>
        <v/>
      </c>
      <c r="AJ496">
        <f>IF($AA496="yes","Yes",IF($AA496="","","No"))</f>
        <v/>
      </c>
      <c r="AK496" t="n">
        <v>0.005290368407694992</v>
      </c>
      <c r="AL496" t="n">
        <v>0.005337320372792155</v>
      </c>
      <c r="AM496">
        <f>IF(AND(ISNUMBER($AC496),ISNUMBER(IF($V496,IF($AL496="","",$AL496),IF($AK496="","",$AK496)))),IF(AND(ABS($AC496-significance_bar)&lt;=2.0*IF($V496,IF($AL496="","",$AL496),IF($AK496="","",$AK496)),OR($Y496="worse",$Y496="better",$Y496="worse, not significant",$Y496="better, not significant")),IF(ROUND($AC496,3)=ROUND(significance_bar,3),TEXT($AC496,"0.0000"),TEXT($AC496,"0.000")),""),"")</f>
        <v/>
      </c>
      <c r="AN496">
        <f>IF(AND(ISNUMBER($AC496),ISNUMBER(IF($V496,IF($AL496="","",$AL496),IF($AK496="","",$AK496)))),IF(AND(ABS($AC496-significance_bar)&lt;=2.0*IF($V496,IF($AL496="","",$AL496),IF($AK496="","",$AK496)),OR($Y496="worse",$Y496="worse, not significant")),IF(ROUND($AC496,3)=ROUND(significance_bar,3),TEXT($AC496,"0.0000"),TEXT($AC496,"0.000")),""),"")</f>
        <v/>
      </c>
      <c r="AO496">
        <f>IF(OR($AI496="",$AN496=""),$AI496,$AI496&amp;" · borderline (p "&amp;$AN496&amp;")")</f>
        <v/>
      </c>
    </row>
    <row r="497">
      <c r="A497" t="inlineStr">
        <is>
          <t>three-way</t>
        </is>
      </c>
      <c r="B497" t="inlineStr">
        <is>
          <t>SHORT_HIST x CHANNEL / REV_DEBT</t>
        </is>
      </c>
      <c r="C497" t="inlineStr">
        <is>
          <t>346.0 - 435.0</t>
        </is>
      </c>
      <c r="D497" t="inlineStr">
        <is>
          <t>Branch / REV_DEBT low half</t>
        </is>
      </c>
      <c r="E497" t="inlineStr">
        <is>
          <t>ranr_rate</t>
        </is>
      </c>
      <c r="F497" t="inlineStr">
        <is>
          <t>Profit after losses: RANR per booked dollar</t>
        </is>
      </c>
      <c r="G497" t="n">
        <v>267</v>
      </c>
      <c r="H497" t="n">
        <v>8747553.449999996</v>
      </c>
      <c r="I497" t="b">
        <v>0</v>
      </c>
      <c r="J497" t="b">
        <v>0</v>
      </c>
      <c r="K497" t="n">
        <v>-0.02064930522595584</v>
      </c>
      <c r="L497" t="n">
        <v>0.1996000399960004</v>
      </c>
      <c r="M497" t="n">
        <v>-0.02130162929105919</v>
      </c>
      <c r="N497" t="n">
        <v>0.1996852946284319</v>
      </c>
      <c r="O497" t="n">
        <v>180630.901169413</v>
      </c>
      <c r="P497" t="n">
        <v>186337.1407956257</v>
      </c>
      <c r="Q497">
        <f>'_live'!$C$23</f>
        <v/>
      </c>
      <c r="R497" t="inlineStr">
        <is>
          <t>shuffled: 1,029 of 10,000</t>
        </is>
      </c>
      <c r="S497" t="inlineStr">
        <is>
          <t>shuffled: 1,053 of 10,000</t>
        </is>
      </c>
      <c r="T497" t="n">
        <v>0.128689983731327</v>
      </c>
      <c r="U497" t="n">
        <v>0.1293423077964304</v>
      </c>
      <c r="V497">
        <f>AND(judged_band,NOT($J497))</f>
        <v/>
      </c>
      <c r="W497">
        <f>IF($K497="","",IF(profit_kind="test",IF(OR(NOT(AND(ISNUMBER($L497),$L497&lt;significance_bar)),$K497=0),"in line",IF($K497&lt;0,"worse","better")),IF(OR($K497=0,IF(profit_kind="points",ABS($K497),ABS($K497*$H497))&lt;profit_line*(1-1E-9)),"in line",IF(AND(ISNUMBER($L497),$L497&lt;significance_bar),IF($K497&lt;0,"worse","better"),IF($K497&lt;0,"worse, not significant","better, not significant")))))</f>
        <v/>
      </c>
      <c r="X497">
        <f>IF($M497="","",IF(profit_kind="test",IF(OR(NOT(AND(ISNUMBER($N497),$N497&lt;significance_bar)),$M497=0),"in line",IF($M497&lt;0,"worse","better")),IF(OR($M497=0,IF(profit_kind="points",ABS($M497),ABS($M497*$H497))&lt;profit_line*(1-1E-9)),"in line",IF(AND(ISNUMBER($N497),$N497&lt;significance_bar),IF($M497&lt;0,"worse","better"),IF($M497&lt;0,"worse, not significant","better, not significant")))))</f>
        <v/>
      </c>
      <c r="Y497">
        <f>IF($V497,$X497,$W497)</f>
        <v/>
      </c>
      <c r="Z497">
        <f>IF($V497,IF($P497="","",$P497),IF($O497="","",$O497))</f>
        <v/>
      </c>
      <c r="AA497">
        <f>IF(OR($Q497="",$Z497=""),"",IF(AND($Z497&gt;0,$Z497&gt;=$Q497),"yes","below the line"))</f>
        <v/>
      </c>
      <c r="AB497">
        <f>IF($V497,IF($M497="","",$M497),IF($K497="","",$K497))</f>
        <v/>
      </c>
      <c r="AC497">
        <f>IF($V497,IF($N497="","",$N497),IF($L497="","",$L497))</f>
        <v/>
      </c>
      <c r="AD497">
        <f>IF($Y497="","",IF($Y497="in line",IF(profit_kind="test",IF(ROUND($AB497*100,2)=0,"0.00",TEXT($AB497*100,"+0.00;-0.00"))&amp;" points against "&amp;IF($V497,"its band","the book")&amp;", "&amp;IF($AC497="","not tested","not significant"),IF(profit_kind="points","within "&amp;TEXT(profit_line*100,"0.00")&amp;" points of "&amp;IF($V497,"its band","the book")&amp;" ("&amp;IF(ROUND($AB497*100,2)=0,"0.00",TEXT($AB497*100,"+0.00;-0.00"))&amp;")","within $"&amp;TEXT(profit_line,"#,##0")&amp;" of "&amp;IF($V497,"its band","the book")&amp;" ("&amp;IF(ROUND($AB497*100,2)=0,"0.00",TEXT($AB497*100,"+0.00;-0.00"))&amp;" points)")),IF(LEFT($Y497,5)="worse","short of ","ahead of ")&amp;IF($V497,"its band","the book")&amp;" by "&amp;TEXT(ABS($AB497)*100,"0.00")&amp;" points"&amp;IF($Z497="",""," ($"&amp;TEXT(ABS($Z497),"#,##0")&amp;")")&amp;IF(RIGHT($Y497,15)="not significant"," (not significant)","")))</f>
        <v/>
      </c>
      <c r="AE497">
        <f>IF($V497,IF($S497="","",$S497),IF($R497="","",$R497))</f>
        <v/>
      </c>
      <c r="AF497">
        <f>IF($V497,IF($U497="","",$U497),IF($T497="","",$T497))</f>
        <v/>
      </c>
      <c r="AG497">
        <f>IF($V497,IF($O497="","",$O497),IF($P497="","",$P497))</f>
        <v/>
      </c>
      <c r="AH497" t="n">
        <v>0.1080406785053712</v>
      </c>
      <c r="AI497">
        <f>IF($Y497="worse","Yes",IF($Y497="worse, not significant","Not sure",IF(OR($Y497="too few losses to test",$Y497="too few loans to test"),"Too few losses",IF($Y497="","","No"))))</f>
        <v/>
      </c>
      <c r="AJ497">
        <f>IF($AA497="yes","Yes",IF($AA497="","","No"))</f>
        <v/>
      </c>
      <c r="AK497" t="n">
        <v>0.005651901414801887</v>
      </c>
      <c r="AL497" t="n">
        <v>0.005817876482603343</v>
      </c>
      <c r="AM497">
        <f>IF(AND(ISNUMBER($AC497),ISNUMBER(IF($V497,IF($AL497="","",$AL497),IF($AK497="","",$AK497)))),IF(AND(ABS($AC497-significance_bar)&lt;=2.0*IF($V497,IF($AL497="","",$AL497),IF($AK497="","",$AK497)),OR($Y497="worse",$Y497="better",$Y497="worse, not significant",$Y497="better, not significant",AND(profit_kind="test",$Y497="in line",ISNUMBER($AB497),$AB497&lt;&gt;0))),IF(ROUND($AC497,3)=ROUND(significance_bar,3),TEXT($AC497,"0.0000"),TEXT($AC497,"0.000")),""),"")</f>
        <v/>
      </c>
      <c r="AN497">
        <f>IF(AND(ISNUMBER($AC497),ISNUMBER(IF($V497,IF($AL497="","",$AL497),IF($AK497="","",$AK497)))),IF(AND(ABS($AC497-significance_bar)&lt;=2.0*IF($V497,IF($AL497="","",$AL497),IF($AK497="","",$AK497)),OR($Y497="worse",$Y497="worse, not significant",AND(profit_kind="test",$Y497="in line",ISNUMBER($AB497),$AB497&lt;0))),IF(ROUND($AC497,3)=ROUND(significance_bar,3),TEXT($AC497,"0.0000"),TEXT($AC497,"0.000")),""),"")</f>
        <v/>
      </c>
      <c r="AO497">
        <f>IF(OR($AI497="",$AN497=""),$AI497,$AI497&amp;" · borderline (p "&amp;$AN497&amp;")")</f>
        <v/>
      </c>
    </row>
    <row r="498">
      <c r="A498" t="inlineStr">
        <is>
          <t>three-way</t>
        </is>
      </c>
      <c r="B498" t="inlineStr">
        <is>
          <t>SHORT_HIST x CHANNEL / REV_DEBT</t>
        </is>
      </c>
      <c r="C498" t="inlineStr">
        <is>
          <t>346.0 - 435.0</t>
        </is>
      </c>
      <c r="D498" t="inlineStr">
        <is>
          <t>Branch / REV_DEBT low half</t>
        </is>
      </c>
      <c r="E498" t="inlineStr">
        <is>
          <t>contribution_rate</t>
        </is>
      </c>
      <c r="F498" t="inlineStr">
        <is>
          <t>Contribution before losses per booked dollar</t>
        </is>
      </c>
      <c r="G498" t="n">
        <v>267</v>
      </c>
      <c r="H498" t="n">
        <v>8747553.449999996</v>
      </c>
      <c r="I498" t="b">
        <v>0</v>
      </c>
      <c r="J498" t="b">
        <v>0</v>
      </c>
      <c r="K498" t="n">
        <v>-0.04044344569299901</v>
      </c>
      <c r="L498" t="n">
        <v>0.00023997600239976</v>
      </c>
      <c r="M498" t="n">
        <v>-0.04181483728181429</v>
      </c>
      <c r="N498" t="n">
        <v>0.0003789094774733053</v>
      </c>
      <c r="O498" t="n">
        <v>353781.202901681</v>
      </c>
      <c r="P498" t="n">
        <v>365777.5241257229</v>
      </c>
      <c r="Q498">
        <f>'_live'!$C$24</f>
        <v/>
      </c>
      <c r="R498" t="inlineStr">
        <is>
          <t>shuffled: 0 of 10,000</t>
        </is>
      </c>
      <c r="S498" t="inlineStr">
        <is>
          <t>shuffled: 1 of 10,000</t>
        </is>
      </c>
      <c r="T498" t="n">
        <v>0.170963547859394</v>
      </c>
      <c r="U498" t="n">
        <v>0.1723349394482093</v>
      </c>
      <c r="V498">
        <f>AND(judged_band,NOT($J498))</f>
        <v/>
      </c>
      <c r="W498">
        <f>IF($K498="","",IF(profit_kind="test",IF(OR(NOT(AND(ISNUMBER($L498),$L498&lt;significance_bar)),$K498=0),"in line",IF($K498&lt;0,"worse","better")),IF(OR($K498=0,IF(profit_kind="points",ABS($K498),ABS($K498*$H498))&lt;profit_line*(1-1E-9)),"in line",IF(AND(ISNUMBER($L498),$L498&lt;significance_bar),IF($K498&lt;0,"worse","better"),IF($K498&lt;0,"worse, not significant","better, not significant")))))</f>
        <v/>
      </c>
      <c r="X498">
        <f>IF($M498="","",IF(profit_kind="test",IF(OR(NOT(AND(ISNUMBER($N498),$N498&lt;significance_bar)),$M498=0),"in line",IF($M498&lt;0,"worse","better")),IF(OR($M498=0,IF(profit_kind="points",ABS($M498),ABS($M498*$H498))&lt;profit_line*(1-1E-9)),"in line",IF(AND(ISNUMBER($N498),$N498&lt;significance_bar),IF($M498&lt;0,"worse","better"),IF($M498&lt;0,"worse, not significant","better, not significant")))))</f>
        <v/>
      </c>
      <c r="Y498">
        <f>IF($V498,$X498,$W498)</f>
        <v/>
      </c>
      <c r="Z498">
        <f>IF($V498,IF($P498="","",$P498),IF($O498="","",$O498))</f>
        <v/>
      </c>
      <c r="AA498">
        <f>IF(OR($Q498="",$Z498=""),"",IF(AND($Z498&gt;0,$Z498&gt;=$Q498),"yes","below the line"))</f>
        <v/>
      </c>
      <c r="AB498">
        <f>IF($V498,IF($M498="","",$M498),IF($K498="","",$K498))</f>
        <v/>
      </c>
      <c r="AC498">
        <f>IF($V498,IF($N498="","",$N498),IF($L498="","",$L498))</f>
        <v/>
      </c>
      <c r="AD498">
        <f>IF($Y498="","",IF($Y498="in line",IF(profit_kind="test",IF(ROUND($AB498*100,2)=0,"0.00",TEXT($AB498*100,"+0.00;-0.00"))&amp;" points against "&amp;IF($V498,"its band","the book")&amp;", "&amp;IF($AC498="","not tested","not significant"),IF(profit_kind="points","within "&amp;TEXT(profit_line*100,"0.00")&amp;" points of "&amp;IF($V498,"its band","the book")&amp;" ("&amp;IF(ROUND($AB498*100,2)=0,"0.00",TEXT($AB498*100,"+0.00;-0.00"))&amp;")","within $"&amp;TEXT(profit_line,"#,##0")&amp;" of "&amp;IF($V498,"its band","the book")&amp;" ("&amp;IF(ROUND($AB498*100,2)=0,"0.00",TEXT($AB498*100,"+0.00;-0.00"))&amp;" points)")),IF(LEFT($Y498,5)="worse","short of ","ahead of ")&amp;IF($V498,"its band","the book")&amp;" by "&amp;TEXT(ABS($AB498)*100,"0.00")&amp;" points"&amp;IF($Z498="",""," ($"&amp;TEXT(ABS($Z498),"#,##0")&amp;")")&amp;IF(RIGHT($Y498,15)="not significant"," (not significant)","")))</f>
        <v/>
      </c>
      <c r="AE498">
        <f>IF($V498,IF($S498="","",$S498),IF($R498="","",$R498))</f>
        <v/>
      </c>
      <c r="AF498">
        <f>IF($V498,IF($U498="","",$U498),IF($T498="","",$T498))</f>
        <v/>
      </c>
      <c r="AG498">
        <f>IF($V498,IF($O498="","",$O498),IF($P498="","",$P498))</f>
        <v/>
      </c>
      <c r="AH498" t="n">
        <v>0.130520102166395</v>
      </c>
      <c r="AI498">
        <f>IF($Y498="worse","Yes",IF($Y498="worse, not significant","Not sure",IF(OR($Y498="too few losses to test",$Y498="too few loans to test"),"Too few losses",IF($Y498="","","No"))))</f>
        <v/>
      </c>
      <c r="AJ498">
        <f>IF($AA498="yes","Yes",IF($AA498="","","No"))</f>
        <v/>
      </c>
      <c r="AK498" t="n">
        <v>0.00023997600239976</v>
      </c>
      <c r="AL498" t="n">
        <v>0.0002679160641692481</v>
      </c>
      <c r="AM498">
        <f>IF(AND(ISNUMBER($AC498),ISNUMBER(IF($V498,IF($AL498="","",$AL498),IF($AK498="","",$AK498)))),IF(AND(ABS($AC498-significance_bar)&lt;=2.0*IF($V498,IF($AL498="","",$AL498),IF($AK498="","",$AK498)),OR($Y498="worse",$Y498="better",$Y498="worse, not significant",$Y498="better, not significant",AND(profit_kind="test",$Y498="in line",ISNUMBER($AB498),$AB498&lt;&gt;0))),IF(ROUND($AC498,3)=ROUND(significance_bar,3),TEXT($AC498,"0.0000"),TEXT($AC498,"0.000")),""),"")</f>
        <v/>
      </c>
      <c r="AN498">
        <f>IF(AND(ISNUMBER($AC498),ISNUMBER(IF($V498,IF($AL498="","",$AL498),IF($AK498="","",$AK498)))),IF(AND(ABS($AC498-significance_bar)&lt;=2.0*IF($V498,IF($AL498="","",$AL498),IF($AK498="","",$AK498)),OR($Y498="worse",$Y498="worse, not significant",AND(profit_kind="test",$Y498="in line",ISNUMBER($AB498),$AB498&lt;0))),IF(ROUND($AC498,3)=ROUND(significance_bar,3),TEXT($AC498,"0.0000"),TEXT($AC498,"0.000")),""),"")</f>
        <v/>
      </c>
      <c r="AO498">
        <f>IF(OR($AI498="",$AN498=""),$AI498,$AI498&amp;" · borderline (p "&amp;$AN498&amp;")")</f>
        <v/>
      </c>
    </row>
    <row r="499">
      <c r="A499" t="inlineStr">
        <is>
          <t>three-way</t>
        </is>
      </c>
      <c r="B499" t="inlineStr">
        <is>
          <t>SHORT_HIST x CHANNEL / REV_DEBT</t>
        </is>
      </c>
      <c r="C499" t="inlineStr">
        <is>
          <t>172.0 - 256.3</t>
        </is>
      </c>
      <c r="D499" t="inlineStr">
        <is>
          <t>Broker / REV_DEBT low half</t>
        </is>
      </c>
      <c r="E499" t="inlineStr">
        <is>
          <t>outcome_loans</t>
        </is>
      </c>
      <c r="F499" t="inlineStr">
        <is>
          <t>Outcome, share of loans</t>
        </is>
      </c>
      <c r="G499" t="n">
        <v>271</v>
      </c>
      <c r="H499" t="n">
        <v>271</v>
      </c>
      <c r="I499" t="b">
        <v>1</v>
      </c>
      <c r="J499" t="b">
        <v>0</v>
      </c>
      <c r="K499" t="n">
        <v>0.3733761723869285</v>
      </c>
      <c r="M499" t="n">
        <v>0.3977631528892608</v>
      </c>
      <c r="O499" t="n">
        <v>-13.42611283643892</v>
      </c>
      <c r="P499" t="n">
        <v>-12.11247130833971</v>
      </c>
      <c r="Q499">
        <f>'_live'!$C$20</f>
        <v/>
      </c>
      <c r="T499" t="n">
        <v>0.0790631469979296</v>
      </c>
      <c r="U499" t="n">
        <v>0.07421576128538639</v>
      </c>
      <c r="V499">
        <f>AND(judged_band,NOT($J499))</f>
        <v/>
      </c>
      <c r="W499">
        <f>IF($K499="","",IF($I499,"too few losses to test",IF(AND($K499&gt;better_at,$K499&lt;worse_at),"in line",IF($K499&gt;=worse_at,IF(AND(ISNUMBER($L499),$L499&lt;significance_bar),"worse","worse, not significant"),IF(AND(ISNUMBER($L499),$L499&lt;significance_bar),"better","better, not significant")))))</f>
        <v/>
      </c>
      <c r="X499">
        <f>IF($M499="","",IF($I499,"too few losses to test",IF(AND($M499&gt;better_at,$M499&lt;worse_at),"in line",IF($M499&gt;=worse_at,IF(AND(ISNUMBER($N499),$N499&lt;significance_bar),"worse","worse, not significant"),IF(AND(ISNUMBER($N499),$N499&lt;significance_bar),"better","better, not significant")))))</f>
        <v/>
      </c>
      <c r="Y499">
        <f>IF($V499,$X499,$W499)</f>
        <v/>
      </c>
      <c r="Z499">
        <f>IF($V499,IF($P499="","",$P499),IF($O499="","",$O499))</f>
        <v/>
      </c>
      <c r="AA499">
        <f>IF(OR($Q499="",$Z499=""),"",IF(AND($Z499&gt;0,$Z499&gt;=$Q499),"yes","below the line"))</f>
        <v/>
      </c>
      <c r="AB499">
        <f>IF($V499,IF($M499="","",$M499),IF($K499="","",$K499))</f>
        <v/>
      </c>
      <c r="AC499">
        <f>IF($V499,IF($N499="","",$N499),IF($L499="","",$L499))</f>
        <v/>
      </c>
      <c r="AD499">
        <f>$Y499</f>
        <v/>
      </c>
      <c r="AE499">
        <f>IF($V499,IF($S499="","",$S499),IF($R499="","",$R499))</f>
        <v/>
      </c>
      <c r="AF499">
        <f>IF($V499,IF($U499="","",$U499),IF($T499="","",$T499))</f>
        <v/>
      </c>
      <c r="AG499">
        <f>IF($V499,IF($O499="","",$O499),IF($P499="","",$P499))</f>
        <v/>
      </c>
      <c r="AH499" t="n">
        <v>0.02952029520295203</v>
      </c>
      <c r="AI499">
        <f>IF($Y499="worse","Yes",IF($Y499="worse, not significant","Not sure",IF(OR($Y499="too few losses to test",$Y499="too few loans to test"),"Too few losses",IF($Y499="","","No"))))</f>
        <v/>
      </c>
      <c r="AJ499">
        <f>IF($AA499="yes","Yes",IF($AA499="","","No"))</f>
        <v/>
      </c>
      <c r="AM499">
        <f>IF(AND(ISNUMBER($AC499),ISNUMBER(IF($V499,IF($AL499="","",$AL499),IF($AK499="","",$AK499)))),IF(AND(ABS($AC499-significance_bar)&lt;=2.0*IF($V499,IF($AL499="","",$AL499),IF($AK499="","",$AK499)),OR($Y499="worse",$Y499="better",$Y499="worse, not significant",$Y499="better, not significant")),IF(ROUND($AC499,3)=ROUND(significance_bar,3),TEXT($AC499,"0.0000"),TEXT($AC499,"0.000")),""),"")</f>
        <v/>
      </c>
      <c r="AN499">
        <f>IF(AND(ISNUMBER($AC499),ISNUMBER(IF($V499,IF($AL499="","",$AL499),IF($AK499="","",$AK499)))),IF(AND(ABS($AC499-significance_bar)&lt;=2.0*IF($V499,IF($AL499="","",$AL499),IF($AK499="","",$AK499)),OR($Y499="worse",$Y499="worse, not significant")),IF(ROUND($AC499,3)=ROUND(significance_bar,3),TEXT($AC499,"0.0000"),TEXT($AC499,"0.000")),""),"")</f>
        <v/>
      </c>
      <c r="AO499">
        <f>IF(OR($AI499="",$AN499=""),$AI499,$AI499&amp;" · borderline (p "&amp;$AN499&amp;")")</f>
        <v/>
      </c>
    </row>
    <row r="500">
      <c r="A500" t="inlineStr">
        <is>
          <t>three-way</t>
        </is>
      </c>
      <c r="B500" t="inlineStr">
        <is>
          <t>SHORT_HIST x CHANNEL / REV_DEBT</t>
        </is>
      </c>
      <c r="C500" t="inlineStr">
        <is>
          <t>172.0 - 256.3</t>
        </is>
      </c>
      <c r="D500" t="inlineStr">
        <is>
          <t>Broker / REV_DEBT low half</t>
        </is>
      </c>
      <c r="E500" t="inlineStr">
        <is>
          <t>outcome_booked</t>
        </is>
      </c>
      <c r="F500" t="inlineStr">
        <is>
          <t>Outcome, share of booked dollars</t>
        </is>
      </c>
      <c r="G500" t="n">
        <v>271</v>
      </c>
      <c r="H500" t="n">
        <v>9174417.660000006</v>
      </c>
      <c r="I500" t="b">
        <v>1</v>
      </c>
      <c r="J500" t="b">
        <v>0</v>
      </c>
      <c r="K500" t="n">
        <v>0.3659803966007711</v>
      </c>
      <c r="M500" t="n">
        <v>0.3936822627887827</v>
      </c>
      <c r="O500" t="n">
        <v>-445299.9411262363</v>
      </c>
      <c r="P500" t="n">
        <v>-395878.7588673491</v>
      </c>
      <c r="Q500">
        <f>'_live'!$C$21</f>
        <v/>
      </c>
      <c r="T500" t="n">
        <v>0.07655462691527778</v>
      </c>
      <c r="U500" t="n">
        <v>0.07116778013214504</v>
      </c>
      <c r="V500">
        <f>AND(judged_band,NOT($J500))</f>
        <v/>
      </c>
      <c r="W500">
        <f>IF($K500="","",IF($I500,"too few losses to test",IF(AND($K500&gt;better_at,$K500&lt;worse_at),"in line",IF($K500&gt;=worse_at,IF(AND(ISNUMBER($L500),$L500&lt;significance_bar),"worse","worse, not significant"),IF(AND(ISNUMBER($L500),$L500&lt;significance_bar),"better","better, not significant")))))</f>
        <v/>
      </c>
      <c r="X500">
        <f>IF($M500="","",IF($I500,"too few losses to test",IF(AND($M500&gt;better_at,$M500&lt;worse_at),"in line",IF($M500&gt;=worse_at,IF(AND(ISNUMBER($N500),$N500&lt;significance_bar),"worse","worse, not significant"),IF(AND(ISNUMBER($N500),$N500&lt;significance_bar),"better","better, not significant")))))</f>
        <v/>
      </c>
      <c r="Y500">
        <f>IF($V500,$X500,$W500)</f>
        <v/>
      </c>
      <c r="Z500">
        <f>IF($V500,IF($P500="","",$P500),IF($O500="","",$O500))</f>
        <v/>
      </c>
      <c r="AA500">
        <f>IF(OR($Q500="",$Z500=""),"",IF(AND($Z500&gt;0,$Z500&gt;=$Q500),"yes","below the line"))</f>
        <v/>
      </c>
      <c r="AB500">
        <f>IF($V500,IF($M500="","",$M500),IF($K500="","",$K500))</f>
        <v/>
      </c>
      <c r="AC500">
        <f>IF($V500,IF($N500="","",$N500),IF($L500="","",$L500))</f>
        <v/>
      </c>
      <c r="AD500">
        <f>$Y500</f>
        <v/>
      </c>
      <c r="AE500">
        <f>IF($V500,IF($S500="","",$S500),IF($R500="","",$R500))</f>
        <v/>
      </c>
      <c r="AF500">
        <f>IF($V500,IF($U500="","",$U500),IF($T500="","",$T500))</f>
        <v/>
      </c>
      <c r="AG500">
        <f>IF($V500,IF($O500="","",$O500),IF($P500="","",$P500))</f>
        <v/>
      </c>
      <c r="AH500" t="n">
        <v>0.02801749272007743</v>
      </c>
      <c r="AI500">
        <f>IF($Y500="worse","Yes",IF($Y500="worse, not significant","Not sure",IF(OR($Y500="too few losses to test",$Y500="too few loans to test"),"Too few losses",IF($Y500="","","No"))))</f>
        <v/>
      </c>
      <c r="AJ500">
        <f>IF($AA500="yes","Yes",IF($AA500="","","No"))</f>
        <v/>
      </c>
      <c r="AM500">
        <f>IF(AND(ISNUMBER($AC500),ISNUMBER(IF($V500,IF($AL500="","",$AL500),IF($AK500="","",$AK500)))),IF(AND(ABS($AC500-significance_bar)&lt;=2.0*IF($V500,IF($AL500="","",$AL500),IF($AK500="","",$AK500)),OR($Y500="worse",$Y500="better",$Y500="worse, not significant",$Y500="better, not significant")),IF(ROUND($AC500,3)=ROUND(significance_bar,3),TEXT($AC500,"0.0000"),TEXT($AC500,"0.000")),""),"")</f>
        <v/>
      </c>
      <c r="AN500">
        <f>IF(AND(ISNUMBER($AC500),ISNUMBER(IF($V500,IF($AL500="","",$AL500),IF($AK500="","",$AK500)))),IF(AND(ABS($AC500-significance_bar)&lt;=2.0*IF($V500,IF($AL500="","",$AL500),IF($AK500="","",$AK500)),OR($Y500="worse",$Y500="worse, not significant")),IF(ROUND($AC500,3)=ROUND(significance_bar,3),TEXT($AC500,"0.0000"),TEXT($AC500,"0.000")),""),"")</f>
        <v/>
      </c>
      <c r="AO500">
        <f>IF(OR($AI500="",$AN500=""),$AI500,$AI500&amp;" · borderline (p "&amp;$AN500&amp;")")</f>
        <v/>
      </c>
    </row>
    <row r="501">
      <c r="A501" t="inlineStr">
        <is>
          <t>three-way</t>
        </is>
      </c>
      <c r="B501" t="inlineStr">
        <is>
          <t>SHORT_HIST x CHANNEL / REV_DEBT</t>
        </is>
      </c>
      <c r="C501" t="inlineStr">
        <is>
          <t>172.0 - 256.3</t>
        </is>
      </c>
      <c r="D501" t="inlineStr">
        <is>
          <t>Broker / REV_DEBT low half</t>
        </is>
      </c>
      <c r="E501" t="inlineStr">
        <is>
          <t>gco_rate</t>
        </is>
      </c>
      <c r="F501" t="inlineStr">
        <is>
          <t>GCO per booked dollar</t>
        </is>
      </c>
      <c r="G501" t="n">
        <v>271</v>
      </c>
      <c r="H501" t="n">
        <v>9174417.660000006</v>
      </c>
      <c r="I501" t="b">
        <v>1</v>
      </c>
      <c r="J501" t="b">
        <v>0</v>
      </c>
      <c r="K501" t="n">
        <v>0.3866414134120178</v>
      </c>
      <c r="M501" t="n">
        <v>0.417598431772902</v>
      </c>
      <c r="O501" t="n">
        <v>-239341.135279275</v>
      </c>
      <c r="P501" t="n">
        <v>-210414.1507762425</v>
      </c>
      <c r="Q501">
        <f>'_live'!$C$22</f>
        <v/>
      </c>
      <c r="T501" t="n">
        <v>0.04253284074700331</v>
      </c>
      <c r="U501" t="n">
        <v>0.0393798357743659</v>
      </c>
      <c r="V501">
        <f>AND(judged_band,NOT($J501))</f>
        <v/>
      </c>
      <c r="W501">
        <f>IF($K501="","",IF($I501,"too few losses to test",IF(AND($K501&gt;better_at,$K501&lt;worse_at),"in line",IF($K501&gt;=worse_at,IF(AND(ISNUMBER($L501),$L501&lt;significance_bar),"worse","worse, not significant"),IF(AND(ISNUMBER($L501),$L501&lt;significance_bar),"better","better, not significant")))))</f>
        <v/>
      </c>
      <c r="X501">
        <f>IF($M501="","",IF($I501,"too few losses to test",IF(AND($M501&gt;better_at,$M501&lt;worse_at),"in line",IF($M501&gt;=worse_at,IF(AND(ISNUMBER($N501),$N501&lt;significance_bar),"worse","worse, not significant"),IF(AND(ISNUMBER($N501),$N501&lt;significance_bar),"better","better, not significant")))))</f>
        <v/>
      </c>
      <c r="Y501">
        <f>IF($V501,$X501,$W501)</f>
        <v/>
      </c>
      <c r="Z501">
        <f>IF($V501,IF($P501="","",$P501),IF($O501="","",$O501))</f>
        <v/>
      </c>
      <c r="AA501">
        <f>IF(OR($Q501="",$Z501=""),"",IF(AND($Z501&gt;0,$Z501&gt;=$Q501),"yes","below the line"))</f>
        <v/>
      </c>
      <c r="AB501">
        <f>IF($V501,IF($M501="","",$M501),IF($K501="","",$K501))</f>
        <v/>
      </c>
      <c r="AC501">
        <f>IF($V501,IF($N501="","",$N501),IF($L501="","",$L501))</f>
        <v/>
      </c>
      <c r="AD501">
        <f>$Y501</f>
        <v/>
      </c>
      <c r="AE501">
        <f>IF($V501,IF($S501="","",$S501),IF($R501="","",$R501))</f>
        <v/>
      </c>
      <c r="AF501">
        <f>IF($V501,IF($U501="","",$U501),IF($T501="","",$T501))</f>
        <v/>
      </c>
      <c r="AG501">
        <f>IF($V501,IF($O501="","",$O501),IF($P501="","",$P501))</f>
        <v/>
      </c>
      <c r="AH501" t="n">
        <v>0.01644495766284962</v>
      </c>
      <c r="AI501">
        <f>IF($Y501="worse","Yes",IF($Y501="worse, not significant","Not sure",IF(OR($Y501="too few losses to test",$Y501="too few loans to test"),"Too few losses",IF($Y501="","","No"))))</f>
        <v/>
      </c>
      <c r="AJ501">
        <f>IF($AA501="yes","Yes",IF($AA501="","","No"))</f>
        <v/>
      </c>
      <c r="AM501">
        <f>IF(AND(ISNUMBER($AC501),ISNUMBER(IF($V501,IF($AL501="","",$AL501),IF($AK501="","",$AK501)))),IF(AND(ABS($AC501-significance_bar)&lt;=2.0*IF($V501,IF($AL501="","",$AL501),IF($AK501="","",$AK501)),OR($Y501="worse",$Y501="better",$Y501="worse, not significant",$Y501="better, not significant")),IF(ROUND($AC501,3)=ROUND(significance_bar,3),TEXT($AC501,"0.0000"),TEXT($AC501,"0.000")),""),"")</f>
        <v/>
      </c>
      <c r="AN501">
        <f>IF(AND(ISNUMBER($AC501),ISNUMBER(IF($V501,IF($AL501="","",$AL501),IF($AK501="","",$AK501)))),IF(AND(ABS($AC501-significance_bar)&lt;=2.0*IF($V501,IF($AL501="","",$AL501),IF($AK501="","",$AK501)),OR($Y501="worse",$Y501="worse, not significant")),IF(ROUND($AC501,3)=ROUND(significance_bar,3),TEXT($AC501,"0.0000"),TEXT($AC501,"0.000")),""),"")</f>
        <v/>
      </c>
      <c r="AO501">
        <f>IF(OR($AI501="",$AN501=""),$AI501,$AI501&amp;" · borderline (p "&amp;$AN501&amp;")")</f>
        <v/>
      </c>
    </row>
    <row r="502">
      <c r="A502" t="inlineStr">
        <is>
          <t>three-way</t>
        </is>
      </c>
      <c r="B502" t="inlineStr">
        <is>
          <t>SHORT_HIST x CHANNEL / REV_DEBT</t>
        </is>
      </c>
      <c r="C502" t="inlineStr">
        <is>
          <t>172.0 - 256.3</t>
        </is>
      </c>
      <c r="D502" t="inlineStr">
        <is>
          <t>Broker / REV_DEBT low half</t>
        </is>
      </c>
      <c r="E502" t="inlineStr">
        <is>
          <t>ranr_rate</t>
        </is>
      </c>
      <c r="F502" t="inlineStr">
        <is>
          <t>Profit after losses: RANR per booked dollar</t>
        </is>
      </c>
      <c r="G502" t="n">
        <v>271</v>
      </c>
      <c r="H502" t="n">
        <v>9174417.660000006</v>
      </c>
      <c r="I502" t="b">
        <v>0</v>
      </c>
      <c r="J502" t="b">
        <v>0</v>
      </c>
      <c r="K502" t="n">
        <v>-0.01439406986384233</v>
      </c>
      <c r="L502" t="n">
        <v>0.410686204106862</v>
      </c>
      <c r="M502" t="n">
        <v>-0.02196731977836315</v>
      </c>
      <c r="N502" t="n">
        <v>0.1801937453313492</v>
      </c>
      <c r="O502" t="n">
        <v>132057.208758109</v>
      </c>
      <c r="P502" t="n">
        <v>201537.3665174823</v>
      </c>
      <c r="Q502">
        <f>'_live'!$C$23</f>
        <v/>
      </c>
      <c r="R502" t="inlineStr">
        <is>
          <t>shuffled: 2,509 of 10,000</t>
        </is>
      </c>
      <c r="S502" t="inlineStr">
        <is>
          <t>shuffled: 850 of 10,000</t>
        </is>
      </c>
      <c r="T502" t="n">
        <v>0.1285017635395192</v>
      </c>
      <c r="U502" t="n">
        <v>0.13607501345404</v>
      </c>
      <c r="V502">
        <f>AND(judged_band,NOT($J502))</f>
        <v/>
      </c>
      <c r="W502">
        <f>IF($K502="","",IF(profit_kind="test",IF(OR(NOT(AND(ISNUMBER($L502),$L502&lt;significance_bar)),$K502=0),"in line",IF($K502&lt;0,"worse","better")),IF(OR($K502=0,IF(profit_kind="points",ABS($K502),ABS($K502*$H502))&lt;profit_line*(1-1E-9)),"in line",IF(AND(ISNUMBER($L502),$L502&lt;significance_bar),IF($K502&lt;0,"worse","better"),IF($K502&lt;0,"worse, not significant","better, not significant")))))</f>
        <v/>
      </c>
      <c r="X502">
        <f>IF($M502="","",IF(profit_kind="test",IF(OR(NOT(AND(ISNUMBER($N502),$N502&lt;significance_bar)),$M502=0),"in line",IF($M502&lt;0,"worse","better")),IF(OR($M502=0,IF(profit_kind="points",ABS($M502),ABS($M502*$H502))&lt;profit_line*(1-1E-9)),"in line",IF(AND(ISNUMBER($N502),$N502&lt;significance_bar),IF($M502&lt;0,"worse","better"),IF($M502&lt;0,"worse, not significant","better, not significant")))))</f>
        <v/>
      </c>
      <c r="Y502">
        <f>IF($V502,$X502,$W502)</f>
        <v/>
      </c>
      <c r="Z502">
        <f>IF($V502,IF($P502="","",$P502),IF($O502="","",$O502))</f>
        <v/>
      </c>
      <c r="AA502">
        <f>IF(OR($Q502="",$Z502=""),"",IF(AND($Z502&gt;0,$Z502&gt;=$Q502),"yes","below the line"))</f>
        <v/>
      </c>
      <c r="AB502">
        <f>IF($V502,IF($M502="","",$M502),IF($K502="","",$K502))</f>
        <v/>
      </c>
      <c r="AC502">
        <f>IF($V502,IF($N502="","",$N502),IF($L502="","",$L502))</f>
        <v/>
      </c>
      <c r="AD502">
        <f>IF($Y502="","",IF($Y502="in line",IF(profit_kind="test",IF(ROUND($AB502*100,2)=0,"0.00",TEXT($AB502*100,"+0.00;-0.00"))&amp;" points against "&amp;IF($V502,"its band","the book")&amp;", "&amp;IF($AC502="","not tested","not significant"),IF(profit_kind="points","within "&amp;TEXT(profit_line*100,"0.00")&amp;" points of "&amp;IF($V502,"its band","the book")&amp;" ("&amp;IF(ROUND($AB502*100,2)=0,"0.00",TEXT($AB502*100,"+0.00;-0.00"))&amp;")","within $"&amp;TEXT(profit_line,"#,##0")&amp;" of "&amp;IF($V502,"its band","the book")&amp;" ("&amp;IF(ROUND($AB502*100,2)=0,"0.00",TEXT($AB502*100,"+0.00;-0.00"))&amp;" points)")),IF(LEFT($Y502,5)="worse","short of ","ahead of ")&amp;IF($V502,"its band","the book")&amp;" by "&amp;TEXT(ABS($AB502)*100,"0.00")&amp;" points"&amp;IF($Z502="",""," ($"&amp;TEXT(ABS($Z502),"#,##0")&amp;")")&amp;IF(RIGHT($Y502,15)="not significant"," (not significant)","")))</f>
        <v/>
      </c>
      <c r="AE502">
        <f>IF($V502,IF($S502="","",$S502),IF($R502="","",$R502))</f>
        <v/>
      </c>
      <c r="AF502">
        <f>IF($V502,IF($U502="","",$U502),IF($T502="","",$T502))</f>
        <v/>
      </c>
      <c r="AG502">
        <f>IF($V502,IF($O502="","",$O502),IF($P502="","",$P502))</f>
        <v/>
      </c>
      <c r="AH502" t="n">
        <v>0.1141076936756769</v>
      </c>
      <c r="AI502">
        <f>IF($Y502="worse","Yes",IF($Y502="worse, not significant","Not sure",IF(OR($Y502="too few losses to test",$Y502="too few loans to test"),"Too few losses",IF($Y502="","","No"))))</f>
        <v/>
      </c>
      <c r="AJ502">
        <f>IF($AA502="yes","Yes",IF($AA502="","","No"))</f>
        <v/>
      </c>
      <c r="AK502" t="n">
        <v>0.007094848920963576</v>
      </c>
      <c r="AL502" t="n">
        <v>0.005908612095600698</v>
      </c>
      <c r="AM502">
        <f>IF(AND(ISNUMBER($AC502),ISNUMBER(IF($V502,IF($AL502="","",$AL502),IF($AK502="","",$AK502)))),IF(AND(ABS($AC502-significance_bar)&lt;=2.0*IF($V502,IF($AL502="","",$AL502),IF($AK502="","",$AK502)),OR($Y502="worse",$Y502="better",$Y502="worse, not significant",$Y502="better, not significant",AND(profit_kind="test",$Y502="in line",ISNUMBER($AB502),$AB502&lt;&gt;0))),IF(ROUND($AC502,3)=ROUND(significance_bar,3),TEXT($AC502,"0.0000"),TEXT($AC502,"0.000")),""),"")</f>
        <v/>
      </c>
      <c r="AN502">
        <f>IF(AND(ISNUMBER($AC502),ISNUMBER(IF($V502,IF($AL502="","",$AL502),IF($AK502="","",$AK502)))),IF(AND(ABS($AC502-significance_bar)&lt;=2.0*IF($V502,IF($AL502="","",$AL502),IF($AK502="","",$AK502)),OR($Y502="worse",$Y502="worse, not significant",AND(profit_kind="test",$Y502="in line",ISNUMBER($AB502),$AB502&lt;0))),IF(ROUND($AC502,3)=ROUND(significance_bar,3),TEXT($AC502,"0.0000"),TEXT($AC502,"0.000")),""),"")</f>
        <v/>
      </c>
      <c r="AO502">
        <f>IF(OR($AI502="",$AN502=""),$AI502,$AI502&amp;" · borderline (p "&amp;$AN502&amp;")")</f>
        <v/>
      </c>
    </row>
    <row r="503">
      <c r="A503" t="inlineStr">
        <is>
          <t>three-way</t>
        </is>
      </c>
      <c r="B503" t="inlineStr">
        <is>
          <t>SHORT_HIST x CHANNEL / REV_DEBT</t>
        </is>
      </c>
      <c r="C503" t="inlineStr">
        <is>
          <t>172.0 - 256.3</t>
        </is>
      </c>
      <c r="D503" t="inlineStr">
        <is>
          <t>Broker / REV_DEBT low half</t>
        </is>
      </c>
      <c r="E503" t="inlineStr">
        <is>
          <t>contribution_rate</t>
        </is>
      </c>
      <c r="F503" t="inlineStr">
        <is>
          <t>Contribution before losses per booked dollar</t>
        </is>
      </c>
      <c r="G503" t="n">
        <v>271</v>
      </c>
      <c r="H503" t="n">
        <v>9174417.660000006</v>
      </c>
      <c r="I503" t="b">
        <v>0</v>
      </c>
      <c r="J503" t="b">
        <v>0</v>
      </c>
      <c r="K503" t="n">
        <v>-0.04047906989299846</v>
      </c>
      <c r="L503" t="n">
        <v>0.00023997600239976</v>
      </c>
      <c r="M503" t="n">
        <v>-0.04490219788987951</v>
      </c>
      <c r="N503" t="n">
        <v>0.00023997600239976</v>
      </c>
      <c r="O503" t="n">
        <v>371371.8936866994</v>
      </c>
      <c r="P503" t="n">
        <v>411951.5172937254</v>
      </c>
      <c r="Q503">
        <f>'_live'!$C$24</f>
        <v/>
      </c>
      <c r="R503" t="inlineStr">
        <is>
          <t>shuffled: 0 of 10,000</t>
        </is>
      </c>
      <c r="S503" t="inlineStr">
        <is>
          <t>shuffled: 0 of 10,000</t>
        </is>
      </c>
      <c r="T503" t="n">
        <v>0.1710317212315249</v>
      </c>
      <c r="U503" t="n">
        <v>0.1754548492284059</v>
      </c>
      <c r="V503">
        <f>AND(judged_band,NOT($J503))</f>
        <v/>
      </c>
      <c r="W503">
        <f>IF($K503="","",IF(profit_kind="test",IF(OR(NOT(AND(ISNUMBER($L503),$L503&lt;significance_bar)),$K503=0),"in line",IF($K503&lt;0,"worse","better")),IF(OR($K503=0,IF(profit_kind="points",ABS($K503),ABS($K503*$H503))&lt;profit_line*(1-1E-9)),"in line",IF(AND(ISNUMBER($L503),$L503&lt;significance_bar),IF($K503&lt;0,"worse","better"),IF($K503&lt;0,"worse, not significant","better, not significant")))))</f>
        <v/>
      </c>
      <c r="X503">
        <f>IF($M503="","",IF(profit_kind="test",IF(OR(NOT(AND(ISNUMBER($N503),$N503&lt;significance_bar)),$M503=0),"in line",IF($M503&lt;0,"worse","better")),IF(OR($M503=0,IF(profit_kind="points",ABS($M503),ABS($M503*$H503))&lt;profit_line*(1-1E-9)),"in line",IF(AND(ISNUMBER($N503),$N503&lt;significance_bar),IF($M503&lt;0,"worse","better"),IF($M503&lt;0,"worse, not significant","better, not significant")))))</f>
        <v/>
      </c>
      <c r="Y503">
        <f>IF($V503,$X503,$W503)</f>
        <v/>
      </c>
      <c r="Z503">
        <f>IF($V503,IF($P503="","",$P503),IF($O503="","",$O503))</f>
        <v/>
      </c>
      <c r="AA503">
        <f>IF(OR($Q503="",$Z503=""),"",IF(AND($Z503&gt;0,$Z503&gt;=$Q503),"yes","below the line"))</f>
        <v/>
      </c>
      <c r="AB503">
        <f>IF($V503,IF($M503="","",$M503),IF($K503="","",$K503))</f>
        <v/>
      </c>
      <c r="AC503">
        <f>IF($V503,IF($N503="","",$N503),IF($L503="","",$L503))</f>
        <v/>
      </c>
      <c r="AD503">
        <f>IF($Y503="","",IF($Y503="in line",IF(profit_kind="test",IF(ROUND($AB503*100,2)=0,"0.00",TEXT($AB503*100,"+0.00;-0.00"))&amp;" points against "&amp;IF($V503,"its band","the book")&amp;", "&amp;IF($AC503="","not tested","not significant"),IF(profit_kind="points","within "&amp;TEXT(profit_line*100,"0.00")&amp;" points of "&amp;IF($V503,"its band","the book")&amp;" ("&amp;IF(ROUND($AB503*100,2)=0,"0.00",TEXT($AB503*100,"+0.00;-0.00"))&amp;")","within $"&amp;TEXT(profit_line,"#,##0")&amp;" of "&amp;IF($V503,"its band","the book")&amp;" ("&amp;IF(ROUND($AB503*100,2)=0,"0.00",TEXT($AB503*100,"+0.00;-0.00"))&amp;" points)")),IF(LEFT($Y503,5)="worse","short of ","ahead of ")&amp;IF($V503,"its band","the book")&amp;" by "&amp;TEXT(ABS($AB503)*100,"0.00")&amp;" points"&amp;IF($Z503="",""," ($"&amp;TEXT(ABS($Z503),"#,##0")&amp;")")&amp;IF(RIGHT($Y503,15)="not significant"," (not significant)","")))</f>
        <v/>
      </c>
      <c r="AE503">
        <f>IF($V503,IF($S503="","",$S503),IF($R503="","",$R503))</f>
        <v/>
      </c>
      <c r="AF503">
        <f>IF($V503,IF($U503="","",$U503),IF($T503="","",$T503))</f>
        <v/>
      </c>
      <c r="AG503">
        <f>IF($V503,IF($O503="","",$O503),IF($P503="","",$P503))</f>
        <v/>
      </c>
      <c r="AH503" t="n">
        <v>0.1305526513385264</v>
      </c>
      <c r="AI503">
        <f>IF($Y503="worse","Yes",IF($Y503="worse, not significant","Not sure",IF(OR($Y503="too few losses to test",$Y503="too few loans to test"),"Too few losses",IF($Y503="","","No"))))</f>
        <v/>
      </c>
      <c r="AJ503">
        <f>IF($AA503="yes","Yes",IF($AA503="","","No"))</f>
        <v/>
      </c>
      <c r="AK503" t="n">
        <v>0.00023997600239976</v>
      </c>
      <c r="AL503" t="n">
        <v>0.00023997600239976</v>
      </c>
      <c r="AM503">
        <f>IF(AND(ISNUMBER($AC503),ISNUMBER(IF($V503,IF($AL503="","",$AL503),IF($AK503="","",$AK503)))),IF(AND(ABS($AC503-significance_bar)&lt;=2.0*IF($V503,IF($AL503="","",$AL503),IF($AK503="","",$AK503)),OR($Y503="worse",$Y503="better",$Y503="worse, not significant",$Y503="better, not significant",AND(profit_kind="test",$Y503="in line",ISNUMBER($AB503),$AB503&lt;&gt;0))),IF(ROUND($AC503,3)=ROUND(significance_bar,3),TEXT($AC503,"0.0000"),TEXT($AC503,"0.000")),""),"")</f>
        <v/>
      </c>
      <c r="AN503">
        <f>IF(AND(ISNUMBER($AC503),ISNUMBER(IF($V503,IF($AL503="","",$AL503),IF($AK503="","",$AK503)))),IF(AND(ABS($AC503-significance_bar)&lt;=2.0*IF($V503,IF($AL503="","",$AL503),IF($AK503="","",$AK503)),OR($Y503="worse",$Y503="worse, not significant",AND(profit_kind="test",$Y503="in line",ISNUMBER($AB503),$AB503&lt;0))),IF(ROUND($AC503,3)=ROUND(significance_bar,3),TEXT($AC503,"0.0000"),TEXT($AC503,"0.000")),""),"")</f>
        <v/>
      </c>
      <c r="AO503">
        <f>IF(OR($AI503="",$AN503=""),$AI503,$AI503&amp;" · borderline (p "&amp;$AN503&amp;")")</f>
        <v/>
      </c>
    </row>
    <row r="504">
      <c r="A504" t="inlineStr">
        <is>
          <t>three-way</t>
        </is>
      </c>
      <c r="B504" t="inlineStr">
        <is>
          <t>SHORT_HIST x CHANNEL / REV_DEBT</t>
        </is>
      </c>
      <c r="C504" t="inlineStr">
        <is>
          <t>89.0 - 171.9</t>
        </is>
      </c>
      <c r="D504" t="inlineStr">
        <is>
          <t>Broker / REV_DEBT low half</t>
        </is>
      </c>
      <c r="E504" t="inlineStr">
        <is>
          <t>outcome_loans</t>
        </is>
      </c>
      <c r="F504" t="inlineStr">
        <is>
          <t>Outcome, share of loans</t>
        </is>
      </c>
      <c r="G504" t="n">
        <v>261</v>
      </c>
      <c r="H504" t="n">
        <v>261</v>
      </c>
      <c r="I504" t="b">
        <v>0</v>
      </c>
      <c r="J504" t="b">
        <v>0</v>
      </c>
      <c r="K504" t="n">
        <v>0.7362792113876837</v>
      </c>
      <c r="L504" t="n">
        <v>0.2610623851079334</v>
      </c>
      <c r="M504" t="n">
        <v>0.6533575317604355</v>
      </c>
      <c r="N504" t="n">
        <v>0.1409754354227917</v>
      </c>
      <c r="O504" t="n">
        <v>-5.372706125613853</v>
      </c>
      <c r="P504" t="n">
        <v>-7.958333333333332</v>
      </c>
      <c r="Q504">
        <f>'_live'!$C$20</f>
        <v/>
      </c>
      <c r="R504" t="inlineStr">
        <is>
          <t>z test</t>
        </is>
      </c>
      <c r="S504" t="inlineStr">
        <is>
          <t>z test</t>
        </is>
      </c>
      <c r="T504" t="n">
        <v>0.07805634530886534</v>
      </c>
      <c r="U504" t="n">
        <v>0.08796296296296297</v>
      </c>
      <c r="V504">
        <f>AND(judged_band,NOT($J504))</f>
        <v/>
      </c>
      <c r="W504">
        <f>IF($K504="","",IF($I504,"too few losses to test",IF(AND($K504&gt;better_at,$K504&lt;worse_at),"in line",IF($K504&gt;=worse_at,IF(AND(ISNUMBER($L504),$L504&lt;significance_bar),"worse","worse, not significant"),IF(AND(ISNUMBER($L504),$L504&lt;significance_bar),"better","better, not significant")))))</f>
        <v/>
      </c>
      <c r="X504">
        <f>IF($M504="","",IF($I504,"too few losses to test",IF(AND($M504&gt;better_at,$M504&lt;worse_at),"in line",IF($M504&gt;=worse_at,IF(AND(ISNUMBER($N504),$N504&lt;significance_bar),"worse","worse, not significant"),IF(AND(ISNUMBER($N504),$N504&lt;significance_bar),"better","better, not significant")))))</f>
        <v/>
      </c>
      <c r="Y504">
        <f>IF($V504,$X504,$W504)</f>
        <v/>
      </c>
      <c r="Z504">
        <f>IF($V504,IF($P504="","",$P504),IF($O504="","",$O504))</f>
        <v/>
      </c>
      <c r="AA504">
        <f>IF(OR($Q504="",$Z504=""),"",IF(AND($Z504&gt;0,$Z504&gt;=$Q504),"yes","below the line"))</f>
        <v/>
      </c>
      <c r="AB504">
        <f>IF($V504,IF($M504="","",$M504),IF($K504="","",$K504))</f>
        <v/>
      </c>
      <c r="AC504">
        <f>IF($V504,IF($N504="","",$N504),IF($L504="","",$L504))</f>
        <v/>
      </c>
      <c r="AD504">
        <f>$Y504</f>
        <v/>
      </c>
      <c r="AE504">
        <f>IF($V504,IF($S504="","",$S504),IF($R504="","",$R504))</f>
        <v/>
      </c>
      <c r="AF504">
        <f>IF($V504,IF($U504="","",$U504),IF($T504="","",$T504))</f>
        <v/>
      </c>
      <c r="AG504">
        <f>IF($V504,IF($O504="","",$O504),IF($P504="","",$P504))</f>
        <v/>
      </c>
      <c r="AH504" t="n">
        <v>0.05747126436781609</v>
      </c>
      <c r="AI504">
        <f>IF($Y504="worse","Yes",IF($Y504="worse, not significant","Not sure",IF(OR($Y504="too few losses to test",$Y504="too few loans to test"),"Too few losses",IF($Y504="","","No"))))</f>
        <v/>
      </c>
      <c r="AJ504">
        <f>IF($AA504="yes","Yes",IF($AA504="","","No"))</f>
        <v/>
      </c>
      <c r="AM504">
        <f>IF(AND(ISNUMBER($AC504),ISNUMBER(IF($V504,IF($AL504="","",$AL504),IF($AK504="","",$AK504)))),IF(AND(ABS($AC504-significance_bar)&lt;=2.0*IF($V504,IF($AL504="","",$AL504),IF($AK504="","",$AK504)),OR($Y504="worse",$Y504="better",$Y504="worse, not significant",$Y504="better, not significant")),IF(ROUND($AC504,3)=ROUND(significance_bar,3),TEXT($AC504,"0.0000"),TEXT($AC504,"0.000")),""),"")</f>
        <v/>
      </c>
      <c r="AN504">
        <f>IF(AND(ISNUMBER($AC504),ISNUMBER(IF($V504,IF($AL504="","",$AL504),IF($AK504="","",$AK504)))),IF(AND(ABS($AC504-significance_bar)&lt;=2.0*IF($V504,IF($AL504="","",$AL504),IF($AK504="","",$AK504)),OR($Y504="worse",$Y504="worse, not significant")),IF(ROUND($AC504,3)=ROUND(significance_bar,3),TEXT($AC504,"0.0000"),TEXT($AC504,"0.000")),""),"")</f>
        <v/>
      </c>
      <c r="AO504">
        <f>IF(OR($AI504="",$AN504=""),$AI504,$AI504&amp;" · borderline (p "&amp;$AN504&amp;")")</f>
        <v/>
      </c>
    </row>
    <row r="505">
      <c r="A505" t="inlineStr">
        <is>
          <t>three-way</t>
        </is>
      </c>
      <c r="B505" t="inlineStr">
        <is>
          <t>SHORT_HIST x CHANNEL / REV_DEBT</t>
        </is>
      </c>
      <c r="C505" t="inlineStr">
        <is>
          <t>89.0 - 171.9</t>
        </is>
      </c>
      <c r="D505" t="inlineStr">
        <is>
          <t>Broker / REV_DEBT low half</t>
        </is>
      </c>
      <c r="E505" t="inlineStr">
        <is>
          <t>outcome_booked</t>
        </is>
      </c>
      <c r="F505" t="inlineStr">
        <is>
          <t>Outcome, share of booked dollars</t>
        </is>
      </c>
      <c r="G505" t="n">
        <v>261</v>
      </c>
      <c r="H505" t="n">
        <v>8678100.160000004</v>
      </c>
      <c r="I505" t="b">
        <v>0</v>
      </c>
      <c r="J505" t="b">
        <v>0</v>
      </c>
      <c r="K505" t="n">
        <v>0.7819900666173825</v>
      </c>
      <c r="L505" t="n">
        <v>0.4372290043722901</v>
      </c>
      <c r="M505" t="n">
        <v>0.6806209641776937</v>
      </c>
      <c r="N505" t="n">
        <v>0.2431441066419674</v>
      </c>
      <c r="O505" t="n">
        <v>-142615.306687277</v>
      </c>
      <c r="P505" t="n">
        <v>-240044.7311729194</v>
      </c>
      <c r="Q505">
        <f>'_live'!$C$21</f>
        <v/>
      </c>
      <c r="R505" t="inlineStr">
        <is>
          <t>shuffled: 3,699 of 10,000</t>
        </is>
      </c>
      <c r="S505" t="inlineStr">
        <is>
          <t>shuffled: 1,776 of 10,000</t>
        </is>
      </c>
      <c r="T505" t="n">
        <v>0.07538157368850612</v>
      </c>
      <c r="U505" t="n">
        <v>0.08660861908891808</v>
      </c>
      <c r="V505">
        <f>AND(judged_band,NOT($J505))</f>
        <v/>
      </c>
      <c r="W505">
        <f>IF($K505="","",IF($I505,"too few losses to test",IF(AND($K505&gt;better_at,$K505&lt;worse_at),"in line",IF($K505&gt;=worse_at,IF(AND(ISNUMBER($L505),$L505&lt;significance_bar),"worse","worse, not significant"),IF(AND(ISNUMBER($L505),$L505&lt;significance_bar),"better","better, not significant")))))</f>
        <v/>
      </c>
      <c r="X505">
        <f>IF($M505="","",IF($I505,"too few losses to test",IF(AND($M505&gt;better_at,$M505&lt;worse_at),"in line",IF($M505&gt;=worse_at,IF(AND(ISNUMBER($N505),$N505&lt;significance_bar),"worse","worse, not significant"),IF(AND(ISNUMBER($N505),$N505&lt;significance_bar),"better","better, not significant")))))</f>
        <v/>
      </c>
      <c r="Y505">
        <f>IF($V505,$X505,$W505)</f>
        <v/>
      </c>
      <c r="Z505">
        <f>IF($V505,IF($P505="","",$P505),IF($O505="","",$O505))</f>
        <v/>
      </c>
      <c r="AA505">
        <f>IF(OR($Q505="",$Z505=""),"",IF(AND($Z505&gt;0,$Z505&gt;=$Q505),"yes","below the line"))</f>
        <v/>
      </c>
      <c r="AB505">
        <f>IF($V505,IF($M505="","",$M505),IF($K505="","",$K505))</f>
        <v/>
      </c>
      <c r="AC505">
        <f>IF($V505,IF($N505="","",$N505),IF($L505="","",$L505))</f>
        <v/>
      </c>
      <c r="AD505">
        <f>$Y505</f>
        <v/>
      </c>
      <c r="AE505">
        <f>IF($V505,IF($S505="","",$S505),IF($R505="","",$R505))</f>
        <v/>
      </c>
      <c r="AF505">
        <f>IF($V505,IF($U505="","",$U505),IF($T505="","",$T505))</f>
        <v/>
      </c>
      <c r="AG505">
        <f>IF($V505,IF($O505="","",$O505),IF($P505="","",$P505))</f>
        <v/>
      </c>
      <c r="AH505" t="n">
        <v>0.05894764183039803</v>
      </c>
      <c r="AI505">
        <f>IF($Y505="worse","Yes",IF($Y505="worse, not significant","Not sure",IF(OR($Y505="too few losses to test",$Y505="too few loans to test"),"Too few losses",IF($Y505="","","No"))))</f>
        <v/>
      </c>
      <c r="AJ505">
        <f>IF($AA505="yes","Yes",IF($AA505="","","No"))</f>
        <v/>
      </c>
      <c r="AK505" t="n">
        <v>0.005705751350357372</v>
      </c>
      <c r="AL505" t="n">
        <v>0.005230721343729232</v>
      </c>
      <c r="AM505">
        <f>IF(AND(ISNUMBER($AC505),ISNUMBER(IF($V505,IF($AL505="","",$AL505),IF($AK505="","",$AK505)))),IF(AND(ABS($AC505-significance_bar)&lt;=2.0*IF($V505,IF($AL505="","",$AL505),IF($AK505="","",$AK505)),OR($Y505="worse",$Y505="better",$Y505="worse, not significant",$Y505="better, not significant")),IF(ROUND($AC505,3)=ROUND(significance_bar,3),TEXT($AC505,"0.0000"),TEXT($AC505,"0.000")),""),"")</f>
        <v/>
      </c>
      <c r="AN505">
        <f>IF(AND(ISNUMBER($AC505),ISNUMBER(IF($V505,IF($AL505="","",$AL505),IF($AK505="","",$AK505)))),IF(AND(ABS($AC505-significance_bar)&lt;=2.0*IF($V505,IF($AL505="","",$AL505),IF($AK505="","",$AK505)),OR($Y505="worse",$Y505="worse, not significant")),IF(ROUND($AC505,3)=ROUND(significance_bar,3),TEXT($AC505,"0.0000"),TEXT($AC505,"0.000")),""),"")</f>
        <v/>
      </c>
      <c r="AO505">
        <f>IF(OR($AI505="",$AN505=""),$AI505,$AI505&amp;" · borderline (p "&amp;$AN505&amp;")")</f>
        <v/>
      </c>
    </row>
    <row r="506">
      <c r="A506" t="inlineStr">
        <is>
          <t>three-way</t>
        </is>
      </c>
      <c r="B506" t="inlineStr">
        <is>
          <t>SHORT_HIST x CHANNEL / REV_DEBT</t>
        </is>
      </c>
      <c r="C506" t="inlineStr">
        <is>
          <t>89.0 - 171.9</t>
        </is>
      </c>
      <c r="D506" t="inlineStr">
        <is>
          <t>Broker / REV_DEBT low half</t>
        </is>
      </c>
      <c r="E506" t="inlineStr">
        <is>
          <t>gco_rate</t>
        </is>
      </c>
      <c r="F506" t="inlineStr">
        <is>
          <t>GCO per booked dollar</t>
        </is>
      </c>
      <c r="G506" t="n">
        <v>261</v>
      </c>
      <c r="H506" t="n">
        <v>8678100.160000004</v>
      </c>
      <c r="I506" t="b">
        <v>0</v>
      </c>
      <c r="J506" t="b">
        <v>0</v>
      </c>
      <c r="K506" t="n">
        <v>0.8429703352843433</v>
      </c>
      <c r="L506" t="n">
        <v>0.5658767456587676</v>
      </c>
      <c r="M506" t="n">
        <v>0.7468533240652782</v>
      </c>
      <c r="N506" t="n">
        <v>0.4042595740425957</v>
      </c>
      <c r="O506" t="n">
        <v>-56997.3102605099</v>
      </c>
      <c r="P506" t="n">
        <v>-103710.2928655953</v>
      </c>
      <c r="Q506">
        <f>'_live'!$C$22</f>
        <v/>
      </c>
      <c r="R506" t="inlineStr">
        <is>
          <t>shuffled: 5,223 of 10,000</t>
        </is>
      </c>
      <c r="S506" t="inlineStr">
        <is>
          <t>shuffled: 3,109 of 10,000</t>
        </is>
      </c>
      <c r="T506" t="n">
        <v>0.04182616051535751</v>
      </c>
      <c r="U506" t="n">
        <v>0.04720901871517407</v>
      </c>
      <c r="V506">
        <f>AND(judged_band,NOT($J506))</f>
        <v/>
      </c>
      <c r="W506">
        <f>IF($K506="","",IF($I506,"too few losses to test",IF(AND($K506&gt;better_at,$K506&lt;worse_at),"in line",IF($K506&gt;=worse_at,IF(AND(ISNUMBER($L506),$L506&lt;significance_bar),"worse","worse, not significant"),IF(AND(ISNUMBER($L506),$L506&lt;significance_bar),"better","better, not significant")))))</f>
        <v/>
      </c>
      <c r="X506">
        <f>IF($M506="","",IF($I506,"too few losses to test",IF(AND($M506&gt;better_at,$M506&lt;worse_at),"in line",IF($M506&gt;=worse_at,IF(AND(ISNUMBER($N506),$N506&lt;significance_bar),"worse","worse, not significant"),IF(AND(ISNUMBER($N506),$N506&lt;significance_bar),"better","better, not significant")))))</f>
        <v/>
      </c>
      <c r="Y506">
        <f>IF($V506,$X506,$W506)</f>
        <v/>
      </c>
      <c r="Z506">
        <f>IF($V506,IF($P506="","",$P506),IF($O506="","",$O506))</f>
        <v/>
      </c>
      <c r="AA506">
        <f>IF(OR($Q506="",$Z506=""),"",IF(AND($Z506&gt;0,$Z506&gt;=$Q506),"yes","below the line"))</f>
        <v/>
      </c>
      <c r="AB506">
        <f>IF($V506,IF($M506="","",$M506),IF($K506="","",$K506))</f>
        <v/>
      </c>
      <c r="AC506">
        <f>IF($V506,IF($N506="","",$N506),IF($L506="","",$L506))</f>
        <v/>
      </c>
      <c r="AD506">
        <f>$Y506</f>
        <v/>
      </c>
      <c r="AE506">
        <f>IF($V506,IF($S506="","",$S506),IF($R506="","",$R506))</f>
        <v/>
      </c>
      <c r="AF506">
        <f>IF($V506,IF($U506="","",$U506),IF($T506="","",$T506))</f>
        <v/>
      </c>
      <c r="AG506">
        <f>IF($V506,IF($O506="","",$O506),IF($P506="","",$P506))</f>
        <v/>
      </c>
      <c r="AH506" t="n">
        <v>0.03525821255328768</v>
      </c>
      <c r="AI506">
        <f>IF($Y506="worse","Yes",IF($Y506="worse, not significant","Not sure",IF(OR($Y506="too few losses to test",$Y506="too few loans to test"),"Too few losses",IF($Y506="","","No"))))</f>
        <v/>
      </c>
      <c r="AJ506">
        <f>IF($AA506="yes","Yes",IF($AA506="","","No"))</f>
        <v/>
      </c>
      <c r="AK506" t="n">
        <v>0.005411253550268866</v>
      </c>
      <c r="AL506" t="n">
        <v>0.006017571296214724</v>
      </c>
      <c r="AM506">
        <f>IF(AND(ISNUMBER($AC506),ISNUMBER(IF($V506,IF($AL506="","",$AL506),IF($AK506="","",$AK506)))),IF(AND(ABS($AC506-significance_bar)&lt;=2.0*IF($V506,IF($AL506="","",$AL506),IF($AK506="","",$AK506)),OR($Y506="worse",$Y506="better",$Y506="worse, not significant",$Y506="better, not significant")),IF(ROUND($AC506,3)=ROUND(significance_bar,3),TEXT($AC506,"0.0000"),TEXT($AC506,"0.000")),""),"")</f>
        <v/>
      </c>
      <c r="AN506">
        <f>IF(AND(ISNUMBER($AC506),ISNUMBER(IF($V506,IF($AL506="","",$AL506),IF($AK506="","",$AK506)))),IF(AND(ABS($AC506-significance_bar)&lt;=2.0*IF($V506,IF($AL506="","",$AL506),IF($AK506="","",$AK506)),OR($Y506="worse",$Y506="worse, not significant")),IF(ROUND($AC506,3)=ROUND(significance_bar,3),TEXT($AC506,"0.0000"),TEXT($AC506,"0.000")),""),"")</f>
        <v/>
      </c>
      <c r="AO506">
        <f>IF(OR($AI506="",$AN506=""),$AI506,$AI506&amp;" · borderline (p "&amp;$AN506&amp;")")</f>
        <v/>
      </c>
    </row>
    <row r="507">
      <c r="A507" t="inlineStr">
        <is>
          <t>three-way</t>
        </is>
      </c>
      <c r="B507" t="inlineStr">
        <is>
          <t>SHORT_HIST x CHANNEL / REV_DEBT</t>
        </is>
      </c>
      <c r="C507" t="inlineStr">
        <is>
          <t>89.0 - 171.9</t>
        </is>
      </c>
      <c r="D507" t="inlineStr">
        <is>
          <t>Broker / REV_DEBT low half</t>
        </is>
      </c>
      <c r="E507" t="inlineStr">
        <is>
          <t>ranr_rate</t>
        </is>
      </c>
      <c r="F507" t="inlineStr">
        <is>
          <t>Profit after losses: RANR per booked dollar</t>
        </is>
      </c>
      <c r="G507" t="n">
        <v>261</v>
      </c>
      <c r="H507" t="n">
        <v>8678100.160000004</v>
      </c>
      <c r="I507" t="b">
        <v>0</v>
      </c>
      <c r="J507" t="b">
        <v>0</v>
      </c>
      <c r="K507" t="n">
        <v>-0.028927837276999</v>
      </c>
      <c r="L507" t="n">
        <v>0.1108689131086891</v>
      </c>
      <c r="M507" t="n">
        <v>-0.02980147795836187</v>
      </c>
      <c r="N507" t="n">
        <v>0.1102043641789667</v>
      </c>
      <c r="O507" t="n">
        <v>251038.6693019792</v>
      </c>
      <c r="P507" t="n">
        <v>258620.2106386968</v>
      </c>
      <c r="Q507">
        <f>'_live'!$C$23</f>
        <v/>
      </c>
      <c r="R507" t="inlineStr">
        <is>
          <t>shuffled: 193 of 10,000</t>
        </is>
      </c>
      <c r="S507" t="inlineStr">
        <is>
          <t>shuffled: 379 of 10,000</t>
        </is>
      </c>
      <c r="T507" t="n">
        <v>0.1289628096781472</v>
      </c>
      <c r="U507" t="n">
        <v>0.1298364503595101</v>
      </c>
      <c r="V507">
        <f>AND(judged_band,NOT($J507))</f>
        <v/>
      </c>
      <c r="W507">
        <f>IF($K507="","",IF(profit_kind="test",IF(OR(NOT(AND(ISNUMBER($L507),$L507&lt;significance_bar)),$K507=0),"in line",IF($K507&lt;0,"worse","better")),IF(OR($K507=0,IF(profit_kind="points",ABS($K507),ABS($K507*$H507))&lt;profit_line*(1-1E-9)),"in line",IF(AND(ISNUMBER($L507),$L507&lt;significance_bar),IF($K507&lt;0,"worse","better"),IF($K507&lt;0,"worse, not significant","better, not significant")))))</f>
        <v/>
      </c>
      <c r="X507">
        <f>IF($M507="","",IF(profit_kind="test",IF(OR(NOT(AND(ISNUMBER($N507),$N507&lt;significance_bar)),$M507=0),"in line",IF($M507&lt;0,"worse","better")),IF(OR($M507=0,IF(profit_kind="points",ABS($M507),ABS($M507*$H507))&lt;profit_line*(1-1E-9)),"in line",IF(AND(ISNUMBER($N507),$N507&lt;significance_bar),IF($M507&lt;0,"worse","better"),IF($M507&lt;0,"worse, not significant","better, not significant")))))</f>
        <v/>
      </c>
      <c r="Y507">
        <f>IF($V507,$X507,$W507)</f>
        <v/>
      </c>
      <c r="Z507">
        <f>IF($V507,IF($P507="","",$P507),IF($O507="","",$O507))</f>
        <v/>
      </c>
      <c r="AA507">
        <f>IF(OR($Q507="",$Z507=""),"",IF(AND($Z507&gt;0,$Z507&gt;=$Q507),"yes","below the line"))</f>
        <v/>
      </c>
      <c r="AB507">
        <f>IF($V507,IF($M507="","",$M507),IF($K507="","",$K507))</f>
        <v/>
      </c>
      <c r="AC507">
        <f>IF($V507,IF($N507="","",$N507),IF($L507="","",$L507))</f>
        <v/>
      </c>
      <c r="AD507">
        <f>IF($Y507="","",IF($Y507="in line",IF(profit_kind="test",IF(ROUND($AB507*100,2)=0,"0.00",TEXT($AB507*100,"+0.00;-0.00"))&amp;" points against "&amp;IF($V507,"its band","the book")&amp;", "&amp;IF($AC507="","not tested","not significant"),IF(profit_kind="points","within "&amp;TEXT(profit_line*100,"0.00")&amp;" points of "&amp;IF($V507,"its band","the book")&amp;" ("&amp;IF(ROUND($AB507*100,2)=0,"0.00",TEXT($AB507*100,"+0.00;-0.00"))&amp;")","within $"&amp;TEXT(profit_line,"#,##0")&amp;" of "&amp;IF($V507,"its band","the book")&amp;" ("&amp;IF(ROUND($AB507*100,2)=0,"0.00",TEXT($AB507*100,"+0.00;-0.00"))&amp;" points)")),IF(LEFT($Y507,5)="worse","short of ","ahead of ")&amp;IF($V507,"its band","the book")&amp;" by "&amp;TEXT(ABS($AB507)*100,"0.00")&amp;" points"&amp;IF($Z507="",""," ($"&amp;TEXT(ABS($Z507),"#,##0")&amp;")")&amp;IF(RIGHT($Y507,15)="not significant"," (not significant)","")))</f>
        <v/>
      </c>
      <c r="AE507">
        <f>IF($V507,IF($S507="","",$S507),IF($R507="","",$R507))</f>
        <v/>
      </c>
      <c r="AF507">
        <f>IF($V507,IF($U507="","",$U507),IF($T507="","",$T507))</f>
        <v/>
      </c>
      <c r="AG507">
        <f>IF($V507,IF($O507="","",$O507),IF($P507="","",$P507))</f>
        <v/>
      </c>
      <c r="AH507" t="n">
        <v>0.1000349724011482</v>
      </c>
      <c r="AI507">
        <f>IF($Y507="worse","Yes",IF($Y507="worse, not significant","Not sure",IF(OR($Y507="too few losses to test",$Y507="too few loans to test"),"Too few losses",IF($Y507="","","No"))))</f>
        <v/>
      </c>
      <c r="AJ507">
        <f>IF($AA507="yes","Yes",IF($AA507="","","No"))</f>
        <v/>
      </c>
      <c r="AK507" t="n">
        <v>0.006219615513015083</v>
      </c>
      <c r="AL507" t="n">
        <v>0.005413282869976568</v>
      </c>
      <c r="AM507">
        <f>IF(AND(ISNUMBER($AC507),ISNUMBER(IF($V507,IF($AL507="","",$AL507),IF($AK507="","",$AK507)))),IF(AND(ABS($AC507-significance_bar)&lt;=2.0*IF($V507,IF($AL507="","",$AL507),IF($AK507="","",$AK507)),OR($Y507="worse",$Y507="better",$Y507="worse, not significant",$Y507="better, not significant",AND(profit_kind="test",$Y507="in line",ISNUMBER($AB507),$AB507&lt;&gt;0))),IF(ROUND($AC507,3)=ROUND(significance_bar,3),TEXT($AC507,"0.0000"),TEXT($AC507,"0.000")),""),"")</f>
        <v/>
      </c>
      <c r="AN507">
        <f>IF(AND(ISNUMBER($AC507),ISNUMBER(IF($V507,IF($AL507="","",$AL507),IF($AK507="","",$AK507)))),IF(AND(ABS($AC507-significance_bar)&lt;=2.0*IF($V507,IF($AL507="","",$AL507),IF($AK507="","",$AK507)),OR($Y507="worse",$Y507="worse, not significant",AND(profit_kind="test",$Y507="in line",ISNUMBER($AB507),$AB507&lt;0))),IF(ROUND($AC507,3)=ROUND(significance_bar,3),TEXT($AC507,"0.0000"),TEXT($AC507,"0.000")),""),"")</f>
        <v/>
      </c>
      <c r="AO507">
        <f>IF(OR($AI507="",$AN507=""),$AI507,$AI507&amp;" · borderline (p "&amp;$AN507&amp;")")</f>
        <v/>
      </c>
    </row>
    <row r="508">
      <c r="A508" t="inlineStr">
        <is>
          <t>three-way</t>
        </is>
      </c>
      <c r="B508" t="inlineStr">
        <is>
          <t>SHORT_HIST x CHANNEL / REV_DEBT</t>
        </is>
      </c>
      <c r="C508" t="inlineStr">
        <is>
          <t>89.0 - 171.9</t>
        </is>
      </c>
      <c r="D508" t="inlineStr">
        <is>
          <t>Broker / REV_DEBT low half</t>
        </is>
      </c>
      <c r="E508" t="inlineStr">
        <is>
          <t>contribution_rate</t>
        </is>
      </c>
      <c r="F508" t="inlineStr">
        <is>
          <t>Contribution before losses per booked dollar</t>
        </is>
      </c>
      <c r="G508" t="n">
        <v>261</v>
      </c>
      <c r="H508" t="n">
        <v>8678100.160000004</v>
      </c>
      <c r="I508" t="b">
        <v>0</v>
      </c>
      <c r="J508" t="b">
        <v>0</v>
      </c>
      <c r="K508" t="n">
        <v>-0.03549298129861522</v>
      </c>
      <c r="L508" t="n">
        <v>0.00023997600239976</v>
      </c>
      <c r="M508" t="n">
        <v>-0.04175228412024837</v>
      </c>
      <c r="N508" t="n">
        <v>0.00023997600239976</v>
      </c>
      <c r="O508" t="n">
        <v>308011.6466863898</v>
      </c>
      <c r="P508" t="n">
        <v>362330.503504293</v>
      </c>
      <c r="Q508">
        <f>'_live'!$C$24</f>
        <v/>
      </c>
      <c r="R508" t="inlineStr">
        <is>
          <t>shuffled: 0 of 10,000</t>
        </is>
      </c>
      <c r="S508" t="inlineStr">
        <is>
          <t>shuffled: 0 of 10,000</t>
        </is>
      </c>
      <c r="T508" t="n">
        <v>0.1707861662530511</v>
      </c>
      <c r="U508" t="n">
        <v>0.1770454690746842</v>
      </c>
      <c r="V508">
        <f>AND(judged_band,NOT($J508))</f>
        <v/>
      </c>
      <c r="W508">
        <f>IF($K508="","",IF(profit_kind="test",IF(OR(NOT(AND(ISNUMBER($L508),$L508&lt;significance_bar)),$K508=0),"in line",IF($K508&lt;0,"worse","better")),IF(OR($K508=0,IF(profit_kind="points",ABS($K508),ABS($K508*$H508))&lt;profit_line*(1-1E-9)),"in line",IF(AND(ISNUMBER($L508),$L508&lt;significance_bar),IF($K508&lt;0,"worse","better"),IF($K508&lt;0,"worse, not significant","better, not significant")))))</f>
        <v/>
      </c>
      <c r="X508">
        <f>IF($M508="","",IF(profit_kind="test",IF(OR(NOT(AND(ISNUMBER($N508),$N508&lt;significance_bar)),$M508=0),"in line",IF($M508&lt;0,"worse","better")),IF(OR($M508=0,IF(profit_kind="points",ABS($M508),ABS($M508*$H508))&lt;profit_line*(1-1E-9)),"in line",IF(AND(ISNUMBER($N508),$N508&lt;significance_bar),IF($M508&lt;0,"worse","better"),IF($M508&lt;0,"worse, not significant","better, not significant")))))</f>
        <v/>
      </c>
      <c r="Y508">
        <f>IF($V508,$X508,$W508)</f>
        <v/>
      </c>
      <c r="Z508">
        <f>IF($V508,IF($P508="","",$P508),IF($O508="","",$O508))</f>
        <v/>
      </c>
      <c r="AA508">
        <f>IF(OR($Q508="",$Z508=""),"",IF(AND($Z508&gt;0,$Z508&gt;=$Q508),"yes","below the line"))</f>
        <v/>
      </c>
      <c r="AB508">
        <f>IF($V508,IF($M508="","",$M508),IF($K508="","",$K508))</f>
        <v/>
      </c>
      <c r="AC508">
        <f>IF($V508,IF($N508="","",$N508),IF($L508="","",$L508))</f>
        <v/>
      </c>
      <c r="AD508">
        <f>IF($Y508="","",IF($Y508="in line",IF(profit_kind="test",IF(ROUND($AB508*100,2)=0,"0.00",TEXT($AB508*100,"+0.00;-0.00"))&amp;" points against "&amp;IF($V508,"its band","the book")&amp;", "&amp;IF($AC508="","not tested","not significant"),IF(profit_kind="points","within "&amp;TEXT(profit_line*100,"0.00")&amp;" points of "&amp;IF($V508,"its band","the book")&amp;" ("&amp;IF(ROUND($AB508*100,2)=0,"0.00",TEXT($AB508*100,"+0.00;-0.00"))&amp;")","within $"&amp;TEXT(profit_line,"#,##0")&amp;" of "&amp;IF($V508,"its band","the book")&amp;" ("&amp;IF(ROUND($AB508*100,2)=0,"0.00",TEXT($AB508*100,"+0.00;-0.00"))&amp;" points)")),IF(LEFT($Y508,5)="worse","short of ","ahead of ")&amp;IF($V508,"its band","the book")&amp;" by "&amp;TEXT(ABS($AB508)*100,"0.00")&amp;" points"&amp;IF($Z508="",""," ($"&amp;TEXT(ABS($Z508),"#,##0")&amp;")")&amp;IF(RIGHT($Y508,15)="not significant"," (not significant)","")))</f>
        <v/>
      </c>
      <c r="AE508">
        <f>IF($V508,IF($S508="","",$S508),IF($R508="","",$R508))</f>
        <v/>
      </c>
      <c r="AF508">
        <f>IF($V508,IF($U508="","",$U508),IF($T508="","",$T508))</f>
        <v/>
      </c>
      <c r="AG508">
        <f>IF($V508,IF($O508="","",$O508),IF($P508="","",$P508))</f>
        <v/>
      </c>
      <c r="AH508" t="n">
        <v>0.1352931849544358</v>
      </c>
      <c r="AI508">
        <f>IF($Y508="worse","Yes",IF($Y508="worse, not significant","Not sure",IF(OR($Y508="too few losses to test",$Y508="too few loans to test"),"Too few losses",IF($Y508="","","No"))))</f>
        <v/>
      </c>
      <c r="AJ508">
        <f>IF($AA508="yes","Yes",IF($AA508="","","No"))</f>
        <v/>
      </c>
      <c r="AK508" t="n">
        <v>0.00023997600239976</v>
      </c>
      <c r="AL508" t="n">
        <v>0.00023997600239976</v>
      </c>
      <c r="AM508">
        <f>IF(AND(ISNUMBER($AC508),ISNUMBER(IF($V508,IF($AL508="","",$AL508),IF($AK508="","",$AK508)))),IF(AND(ABS($AC508-significance_bar)&lt;=2.0*IF($V508,IF($AL508="","",$AL508),IF($AK508="","",$AK508)),OR($Y508="worse",$Y508="better",$Y508="worse, not significant",$Y508="better, not significant",AND(profit_kind="test",$Y508="in line",ISNUMBER($AB508),$AB508&lt;&gt;0))),IF(ROUND($AC508,3)=ROUND(significance_bar,3),TEXT($AC508,"0.0000"),TEXT($AC508,"0.000")),""),"")</f>
        <v/>
      </c>
      <c r="AN508">
        <f>IF(AND(ISNUMBER($AC508),ISNUMBER(IF($V508,IF($AL508="","",$AL508),IF($AK508="","",$AK508)))),IF(AND(ABS($AC508-significance_bar)&lt;=2.0*IF($V508,IF($AL508="","",$AL508),IF($AK508="","",$AK508)),OR($Y508="worse",$Y508="worse, not significant",AND(profit_kind="test",$Y508="in line",ISNUMBER($AB508),$AB508&lt;0))),IF(ROUND($AC508,3)=ROUND(significance_bar,3),TEXT($AC508,"0.0000"),TEXT($AC508,"0.000")),""),"")</f>
        <v/>
      </c>
      <c r="AO508">
        <f>IF(OR($AI508="",$AN508=""),$AI508,$AI508&amp;" · borderline (p "&amp;$AN508&amp;")")</f>
        <v/>
      </c>
    </row>
    <row r="509">
      <c r="A509" t="inlineStr">
        <is>
          <t>three-way</t>
        </is>
      </c>
      <c r="B509" t="inlineStr">
        <is>
          <t>SHORT_HIST x CHANNEL / REV_DEBT</t>
        </is>
      </c>
      <c r="C509" t="inlineStr">
        <is>
          <t>89.0 - 171.9</t>
        </is>
      </c>
      <c r="D509" t="inlineStr">
        <is>
          <t>Branch / REV_DEBT low half</t>
        </is>
      </c>
      <c r="E509" t="inlineStr">
        <is>
          <t>outcome_loans</t>
        </is>
      </c>
      <c r="F509" t="inlineStr">
        <is>
          <t>Outcome, share of loans</t>
        </is>
      </c>
      <c r="G509" t="n">
        <v>245</v>
      </c>
      <c r="H509" t="n">
        <v>245</v>
      </c>
      <c r="I509" t="b">
        <v>0</v>
      </c>
      <c r="J509" t="b">
        <v>0</v>
      </c>
      <c r="K509" t="n">
        <v>0.5725966702470462</v>
      </c>
      <c r="L509" t="n">
        <v>0.1145172785195748</v>
      </c>
      <c r="M509" t="n">
        <v>0.4992044275337253</v>
      </c>
      <c r="N509" t="n">
        <v>0.04911232566181315</v>
      </c>
      <c r="O509" t="n">
        <v>-8.210729945834409</v>
      </c>
      <c r="P509" t="n">
        <v>-11.03506097560976</v>
      </c>
      <c r="Q509">
        <f>'_live'!$C$20</f>
        <v/>
      </c>
      <c r="R509" t="inlineStr">
        <is>
          <t>z test</t>
        </is>
      </c>
      <c r="S509" t="inlineStr">
        <is>
          <t>z test</t>
        </is>
      </c>
      <c r="T509" t="n">
        <v>0.07841114263605881</v>
      </c>
      <c r="U509" t="n">
        <v>0.0899390243902439</v>
      </c>
      <c r="V509">
        <f>AND(judged_band,NOT($J509))</f>
        <v/>
      </c>
      <c r="W509">
        <f>IF($K509="","",IF($I509,"too few losses to test",IF(AND($K509&gt;better_at,$K509&lt;worse_at),"in line",IF($K509&gt;=worse_at,IF(AND(ISNUMBER($L509),$L509&lt;significance_bar),"worse","worse, not significant"),IF(AND(ISNUMBER($L509),$L509&lt;significance_bar),"better","better, not significant")))))</f>
        <v/>
      </c>
      <c r="X509">
        <f>IF($M509="","",IF($I509,"too few losses to test",IF(AND($M509&gt;better_at,$M509&lt;worse_at),"in line",IF($M509&gt;=worse_at,IF(AND(ISNUMBER($N509),$N509&lt;significance_bar),"worse","worse, not significant"),IF(AND(ISNUMBER($N509),$N509&lt;significance_bar),"better","better, not significant")))))</f>
        <v/>
      </c>
      <c r="Y509">
        <f>IF($V509,$X509,$W509)</f>
        <v/>
      </c>
      <c r="Z509">
        <f>IF($V509,IF($P509="","",$P509),IF($O509="","",$O509))</f>
        <v/>
      </c>
      <c r="AA509">
        <f>IF(OR($Q509="",$Z509=""),"",IF(AND($Z509&gt;0,$Z509&gt;=$Q509),"yes","below the line"))</f>
        <v/>
      </c>
      <c r="AB509">
        <f>IF($V509,IF($M509="","",$M509),IF($K509="","",$K509))</f>
        <v/>
      </c>
      <c r="AC509">
        <f>IF($V509,IF($N509="","",$N509),IF($L509="","",$L509))</f>
        <v/>
      </c>
      <c r="AD509">
        <f>$Y509</f>
        <v/>
      </c>
      <c r="AE509">
        <f>IF($V509,IF($S509="","",$S509),IF($R509="","",$R509))</f>
        <v/>
      </c>
      <c r="AF509">
        <f>IF($V509,IF($U509="","",$U509),IF($T509="","",$T509))</f>
        <v/>
      </c>
      <c r="AG509">
        <f>IF($V509,IF($O509="","",$O509),IF($P509="","",$P509))</f>
        <v/>
      </c>
      <c r="AH509" t="n">
        <v>0.04489795918367347</v>
      </c>
      <c r="AI509">
        <f>IF($Y509="worse","Yes",IF($Y509="worse, not significant","Not sure",IF(OR($Y509="too few losses to test",$Y509="too few loans to test"),"Too few losses",IF($Y509="","","No"))))</f>
        <v/>
      </c>
      <c r="AJ509">
        <f>IF($AA509="yes","Yes",IF($AA509="","","No"))</f>
        <v/>
      </c>
      <c r="AM509">
        <f>IF(AND(ISNUMBER($AC509),ISNUMBER(IF($V509,IF($AL509="","",$AL509),IF($AK509="","",$AK509)))),IF(AND(ABS($AC509-significance_bar)&lt;=2.0*IF($V509,IF($AL509="","",$AL509),IF($AK509="","",$AK509)),OR($Y509="worse",$Y509="better",$Y509="worse, not significant",$Y509="better, not significant")),IF(ROUND($AC509,3)=ROUND(significance_bar,3),TEXT($AC509,"0.0000"),TEXT($AC509,"0.000")),""),"")</f>
        <v/>
      </c>
      <c r="AN509">
        <f>IF(AND(ISNUMBER($AC509),ISNUMBER(IF($V509,IF($AL509="","",$AL509),IF($AK509="","",$AK509)))),IF(AND(ABS($AC509-significance_bar)&lt;=2.0*IF($V509,IF($AL509="","",$AL509),IF($AK509="","",$AK509)),OR($Y509="worse",$Y509="worse, not significant")),IF(ROUND($AC509,3)=ROUND(significance_bar,3),TEXT($AC509,"0.0000"),TEXT($AC509,"0.000")),""),"")</f>
        <v/>
      </c>
      <c r="AO509">
        <f>IF(OR($AI509="",$AN509=""),$AI509,$AI509&amp;" · borderline (p "&amp;$AN509&amp;")")</f>
        <v/>
      </c>
    </row>
    <row r="510">
      <c r="A510" t="inlineStr">
        <is>
          <t>three-way</t>
        </is>
      </c>
      <c r="B510" t="inlineStr">
        <is>
          <t>SHORT_HIST x CHANNEL / REV_DEBT</t>
        </is>
      </c>
      <c r="C510" t="inlineStr">
        <is>
          <t>89.0 - 171.9</t>
        </is>
      </c>
      <c r="D510" t="inlineStr">
        <is>
          <t>Branch / REV_DEBT low half</t>
        </is>
      </c>
      <c r="E510" t="inlineStr">
        <is>
          <t>outcome_booked</t>
        </is>
      </c>
      <c r="F510" t="inlineStr">
        <is>
          <t>Outcome, share of booked dollars</t>
        </is>
      </c>
      <c r="G510" t="n">
        <v>245</v>
      </c>
      <c r="H510" t="n">
        <v>8018383.929999999</v>
      </c>
      <c r="I510" t="b">
        <v>0</v>
      </c>
      <c r="J510" t="b">
        <v>0</v>
      </c>
      <c r="K510" t="n">
        <v>0.5593220710071558</v>
      </c>
      <c r="L510" t="n">
        <v>0.1575009165750092</v>
      </c>
      <c r="M510" t="n">
        <v>0.4752334208179259</v>
      </c>
      <c r="N510" t="n">
        <v>0.06874868068748681</v>
      </c>
      <c r="O510" t="n">
        <v>-268080.8069119057</v>
      </c>
      <c r="P510" t="n">
        <v>-375721.0893364575</v>
      </c>
      <c r="Q510">
        <f>'_live'!$C$21</f>
        <v/>
      </c>
      <c r="R510" t="inlineStr">
        <is>
          <t>shuffled: 726 of 10,000</t>
        </is>
      </c>
      <c r="S510" t="inlineStr">
        <is>
          <t>shuffled: 237 of 10,000</t>
        </is>
      </c>
      <c r="T510" t="n">
        <v>0.07586781478944546</v>
      </c>
      <c r="U510" t="n">
        <v>0.0892920014290782</v>
      </c>
      <c r="V510">
        <f>AND(judged_band,NOT($J510))</f>
        <v/>
      </c>
      <c r="W510">
        <f>IF($K510="","",IF($I510,"too few losses to test",IF(AND($K510&gt;better_at,$K510&lt;worse_at),"in line",IF($K510&gt;=worse_at,IF(AND(ISNUMBER($L510),$L510&lt;significance_bar),"worse","worse, not significant"),IF(AND(ISNUMBER($L510),$L510&lt;significance_bar),"better","better, not significant")))))</f>
        <v/>
      </c>
      <c r="X510">
        <f>IF($M510="","",IF($I510,"too few losses to test",IF(AND($M510&gt;better_at,$M510&lt;worse_at),"in line",IF($M510&gt;=worse_at,IF(AND(ISNUMBER($N510),$N510&lt;significance_bar),"worse","worse, not significant"),IF(AND(ISNUMBER($N510),$N510&lt;significance_bar),"better","better, not significant")))))</f>
        <v/>
      </c>
      <c r="Y510">
        <f>IF($V510,$X510,$W510)</f>
        <v/>
      </c>
      <c r="Z510">
        <f>IF($V510,IF($P510="","",$P510),IF($O510="","",$O510))</f>
        <v/>
      </c>
      <c r="AA510">
        <f>IF(OR($Q510="",$Z510=""),"",IF(AND($Z510&gt;0,$Z510&gt;=$Q510),"yes","below the line"))</f>
        <v/>
      </c>
      <c r="AB510">
        <f>IF($V510,IF($M510="","",$M510),IF($K510="","",$K510))</f>
        <v/>
      </c>
      <c r="AC510">
        <f>IF($V510,IF($N510="","",$N510),IF($L510="","",$L510))</f>
        <v/>
      </c>
      <c r="AD510">
        <f>$Y510</f>
        <v/>
      </c>
      <c r="AE510">
        <f>IF($V510,IF($S510="","",$S510),IF($R510="","",$R510))</f>
        <v/>
      </c>
      <c r="AF510">
        <f>IF($V510,IF($U510="","",$U510),IF($T510="","",$T510))</f>
        <v/>
      </c>
      <c r="AG510">
        <f>IF($V510,IF($O510="","",$O510),IF($P510="","",$P510))</f>
        <v/>
      </c>
      <c r="AH510" t="n">
        <v>0.04243454329081996</v>
      </c>
      <c r="AI510">
        <f>IF($Y510="worse","Yes",IF($Y510="worse, not significant","Not sure",IF(OR($Y510="too few losses to test",$Y510="too few loans to test"),"Too few losses",IF($Y510="","","No"))))</f>
        <v/>
      </c>
      <c r="AJ510">
        <f>IF($AA510="yes","Yes",IF($AA510="","","No"))</f>
        <v/>
      </c>
      <c r="AK510" t="n">
        <v>0.005625348408681474</v>
      </c>
      <c r="AL510" t="n">
        <v>0.004403191100413208</v>
      </c>
      <c r="AM510">
        <f>IF(AND(ISNUMBER($AC510),ISNUMBER(IF($V510,IF($AL510="","",$AL510),IF($AK510="","",$AK510)))),IF(AND(ABS($AC510-significance_bar)&lt;=2.0*IF($V510,IF($AL510="","",$AL510),IF($AK510="","",$AK510)),OR($Y510="worse",$Y510="better",$Y510="worse, not significant",$Y510="better, not significant")),IF(ROUND($AC510,3)=ROUND(significance_bar,3),TEXT($AC510,"0.0000"),TEXT($AC510,"0.000")),""),"")</f>
        <v/>
      </c>
      <c r="AN510">
        <f>IF(AND(ISNUMBER($AC510),ISNUMBER(IF($V510,IF($AL510="","",$AL510),IF($AK510="","",$AK510)))),IF(AND(ABS($AC510-significance_bar)&lt;=2.0*IF($V510,IF($AL510="","",$AL510),IF($AK510="","",$AK510)),OR($Y510="worse",$Y510="worse, not significant")),IF(ROUND($AC510,3)=ROUND(significance_bar,3),TEXT($AC510,"0.0000"),TEXT($AC510,"0.000")),""),"")</f>
        <v/>
      </c>
      <c r="AO510">
        <f>IF(OR($AI510="",$AN510=""),$AI510,$AI510&amp;" · borderline (p "&amp;$AN510&amp;")")</f>
        <v/>
      </c>
    </row>
    <row r="511">
      <c r="A511" t="inlineStr">
        <is>
          <t>three-way</t>
        </is>
      </c>
      <c r="B511" t="inlineStr">
        <is>
          <t>SHORT_HIST x CHANNEL / REV_DEBT</t>
        </is>
      </c>
      <c r="C511" t="inlineStr">
        <is>
          <t>89.0 - 171.9</t>
        </is>
      </c>
      <c r="D511" t="inlineStr">
        <is>
          <t>Branch / REV_DEBT low half</t>
        </is>
      </c>
      <c r="E511" t="inlineStr">
        <is>
          <t>gco_rate</t>
        </is>
      </c>
      <c r="F511" t="inlineStr">
        <is>
          <t>GCO per booked dollar</t>
        </is>
      </c>
      <c r="G511" t="n">
        <v>245</v>
      </c>
      <c r="H511" t="n">
        <v>8018383.929999999</v>
      </c>
      <c r="I511" t="b">
        <v>0</v>
      </c>
      <c r="J511" t="b">
        <v>0</v>
      </c>
      <c r="K511" t="n">
        <v>0.4733665208872217</v>
      </c>
      <c r="L511" t="n">
        <v>0.1192630736926307</v>
      </c>
      <c r="M511" t="n">
        <v>0.4012843967109795</v>
      </c>
      <c r="N511" t="n">
        <v>0.04224577542245775</v>
      </c>
      <c r="O511" t="n">
        <v>-178611.6654802849</v>
      </c>
      <c r="P511" t="n">
        <v>-239534.0170613128</v>
      </c>
      <c r="Q511">
        <f>'_live'!$C$22</f>
        <v/>
      </c>
      <c r="R511" t="inlineStr">
        <is>
          <t>shuffled: 366 of 10,000</t>
        </is>
      </c>
      <c r="S511" t="inlineStr">
        <is>
          <t>shuffled: 117 of 10,000</t>
        </is>
      </c>
      <c r="T511" t="n">
        <v>0.04229748144278306</v>
      </c>
      <c r="U511" t="n">
        <v>0.04989531563392136</v>
      </c>
      <c r="V511">
        <f>AND(judged_band,NOT($J511))</f>
        <v/>
      </c>
      <c r="W511">
        <f>IF($K511="","",IF($I511,"too few losses to test",IF(AND($K511&gt;better_at,$K511&lt;worse_at),"in line",IF($K511&gt;=worse_at,IF(AND(ISNUMBER($L511),$L511&lt;significance_bar),"worse","worse, not significant"),IF(AND(ISNUMBER($L511),$L511&lt;significance_bar),"better","better, not significant")))))</f>
        <v/>
      </c>
      <c r="X511">
        <f>IF($M511="","",IF($I511,"too few losses to test",IF(AND($M511&gt;better_at,$M511&lt;worse_at),"in line",IF($M511&gt;=worse_at,IF(AND(ISNUMBER($N511),$N511&lt;significance_bar),"worse","worse, not significant"),IF(AND(ISNUMBER($N511),$N511&lt;significance_bar),"better","better, not significant")))))</f>
        <v/>
      </c>
      <c r="Y511">
        <f>IF($V511,$X511,$W511)</f>
        <v/>
      </c>
      <c r="Z511">
        <f>IF($V511,IF($P511="","",$P511),IF($O511="","",$O511))</f>
        <v/>
      </c>
      <c r="AA511">
        <f>IF(OR($Q511="",$Z511=""),"",IF(AND($Z511&gt;0,$Z511&gt;=$Q511),"yes","below the line"))</f>
        <v/>
      </c>
      <c r="AB511">
        <f>IF($V511,IF($M511="","",$M511),IF($K511="","",$K511))</f>
        <v/>
      </c>
      <c r="AC511">
        <f>IF($V511,IF($N511="","",$N511),IF($L511="","",$L511))</f>
        <v/>
      </c>
      <c r="AD511">
        <f>$Y511</f>
        <v/>
      </c>
      <c r="AE511">
        <f>IF($V511,IF($S511="","",$S511),IF($R511="","",$R511))</f>
        <v/>
      </c>
      <c r="AF511">
        <f>IF($V511,IF($U511="","",$U511),IF($T511="","",$T511))</f>
        <v/>
      </c>
      <c r="AG511">
        <f>IF($V511,IF($O511="","",$O511),IF($P511="","",$P511))</f>
        <v/>
      </c>
      <c r="AH511" t="n">
        <v>0.02002221163286204</v>
      </c>
      <c r="AI511">
        <f>IF($Y511="worse","Yes",IF($Y511="worse, not significant","Not sure",IF(OR($Y511="too few losses to test",$Y511="too few loans to test"),"Too few losses",IF($Y511="","","No"))))</f>
        <v/>
      </c>
      <c r="AJ511">
        <f>IF($AA511="yes","Yes",IF($AA511="","","No"))</f>
        <v/>
      </c>
      <c r="AK511" t="n">
        <v>0.006110493505065167</v>
      </c>
      <c r="AL511" t="n">
        <v>0.0036812235001687</v>
      </c>
      <c r="AM511">
        <f>IF(AND(ISNUMBER($AC511),ISNUMBER(IF($V511,IF($AL511="","",$AL511),IF($AK511="","",$AK511)))),IF(AND(ABS($AC511-significance_bar)&lt;=2.0*IF($V511,IF($AL511="","",$AL511),IF($AK511="","",$AK511)),OR($Y511="worse",$Y511="better",$Y511="worse, not significant",$Y511="better, not significant")),IF(ROUND($AC511,3)=ROUND(significance_bar,3),TEXT($AC511,"0.0000"),TEXT($AC511,"0.000")),""),"")</f>
        <v/>
      </c>
      <c r="AN511">
        <f>IF(AND(ISNUMBER($AC511),ISNUMBER(IF($V511,IF($AL511="","",$AL511),IF($AK511="","",$AK511)))),IF(AND(ABS($AC511-significance_bar)&lt;=2.0*IF($V511,IF($AL511="","",$AL511),IF($AK511="","",$AK511)),OR($Y511="worse",$Y511="worse, not significant")),IF(ROUND($AC511,3)=ROUND(significance_bar,3),TEXT($AC511,"0.0000"),TEXT($AC511,"0.000")),""),"")</f>
        <v/>
      </c>
      <c r="AO511">
        <f>IF(OR($AI511="",$AN511=""),$AI511,$AI511&amp;" · borderline (p "&amp;$AN511&amp;")")</f>
        <v/>
      </c>
    </row>
    <row r="512">
      <c r="A512" t="inlineStr">
        <is>
          <t>three-way</t>
        </is>
      </c>
      <c r="B512" t="inlineStr">
        <is>
          <t>SHORT_HIST x CHANNEL / REV_DEBT</t>
        </is>
      </c>
      <c r="C512" t="inlineStr">
        <is>
          <t>89.0 - 171.9</t>
        </is>
      </c>
      <c r="D512" t="inlineStr">
        <is>
          <t>Branch / REV_DEBT low half</t>
        </is>
      </c>
      <c r="E512" t="inlineStr">
        <is>
          <t>ranr_rate</t>
        </is>
      </c>
      <c r="F512" t="inlineStr">
        <is>
          <t>Profit after losses: RANR per booked dollar</t>
        </is>
      </c>
      <c r="G512" t="n">
        <v>245</v>
      </c>
      <c r="H512" t="n">
        <v>8018383.929999999</v>
      </c>
      <c r="I512" t="b">
        <v>0</v>
      </c>
      <c r="J512" t="b">
        <v>0</v>
      </c>
      <c r="K512" t="n">
        <v>-0.02851229577325189</v>
      </c>
      <c r="L512" t="n">
        <v>0.1108689131086891</v>
      </c>
      <c r="M512" t="n">
        <v>-0.02894871988041615</v>
      </c>
      <c r="N512" t="n">
        <v>0.121873526933021</v>
      </c>
      <c r="O512" t="n">
        <v>228622.5342356499</v>
      </c>
      <c r="P512" t="n">
        <v>232121.9502832004</v>
      </c>
      <c r="Q512">
        <f>'_live'!$C$23</f>
        <v/>
      </c>
      <c r="R512" t="inlineStr">
        <is>
          <t>shuffled: 296 of 10,000</t>
        </is>
      </c>
      <c r="S512" t="inlineStr">
        <is>
          <t>shuffled: 473 of 10,000</t>
        </is>
      </c>
      <c r="T512" t="n">
        <v>0.1288759484775194</v>
      </c>
      <c r="U512" t="n">
        <v>0.1293123725846837</v>
      </c>
      <c r="V512">
        <f>AND(judged_band,NOT($J512))</f>
        <v/>
      </c>
      <c r="W512">
        <f>IF($K512="","",IF(profit_kind="test",IF(OR(NOT(AND(ISNUMBER($L512),$L512&lt;significance_bar)),$K512=0),"in line",IF($K512&lt;0,"worse","better")),IF(OR($K512=0,IF(profit_kind="points",ABS($K512),ABS($K512*$H512))&lt;profit_line*(1-1E-9)),"in line",IF(AND(ISNUMBER($L512),$L512&lt;significance_bar),IF($K512&lt;0,"worse","better"),IF($K512&lt;0,"worse, not significant","better, not significant")))))</f>
        <v/>
      </c>
      <c r="X512">
        <f>IF($M512="","",IF(profit_kind="test",IF(OR(NOT(AND(ISNUMBER($N512),$N512&lt;significance_bar)),$M512=0),"in line",IF($M512&lt;0,"worse","better")),IF(OR($M512=0,IF(profit_kind="points",ABS($M512),ABS($M512*$H512))&lt;profit_line*(1-1E-9)),"in line",IF(AND(ISNUMBER($N512),$N512&lt;significance_bar),IF($M512&lt;0,"worse","better"),IF($M512&lt;0,"worse, not significant","better, not significant")))))</f>
        <v/>
      </c>
      <c r="Y512">
        <f>IF($V512,$X512,$W512)</f>
        <v/>
      </c>
      <c r="Z512">
        <f>IF($V512,IF($P512="","",$P512),IF($O512="","",$O512))</f>
        <v/>
      </c>
      <c r="AA512">
        <f>IF(OR($Q512="",$Z512=""),"",IF(AND($Z512&gt;0,$Z512&gt;=$Q512),"yes","below the line"))</f>
        <v/>
      </c>
      <c r="AB512">
        <f>IF($V512,IF($M512="","",$M512),IF($K512="","",$K512))</f>
        <v/>
      </c>
      <c r="AC512">
        <f>IF($V512,IF($N512="","",$N512),IF($L512="","",$L512))</f>
        <v/>
      </c>
      <c r="AD512">
        <f>IF($Y512="","",IF($Y512="in line",IF(profit_kind="test",IF(ROUND($AB512*100,2)=0,"0.00",TEXT($AB512*100,"+0.00;-0.00"))&amp;" points against "&amp;IF($V512,"its band","the book")&amp;", "&amp;IF($AC512="","not tested","not significant"),IF(profit_kind="points","within "&amp;TEXT(profit_line*100,"0.00")&amp;" points of "&amp;IF($V512,"its band","the book")&amp;" ("&amp;IF(ROUND($AB512*100,2)=0,"0.00",TEXT($AB512*100,"+0.00;-0.00"))&amp;")","within $"&amp;TEXT(profit_line,"#,##0")&amp;" of "&amp;IF($V512,"its band","the book")&amp;" ("&amp;IF(ROUND($AB512*100,2)=0,"0.00",TEXT($AB512*100,"+0.00;-0.00"))&amp;" points)")),IF(LEFT($Y512,5)="worse","short of ","ahead of ")&amp;IF($V512,"its band","the book")&amp;" by "&amp;TEXT(ABS($AB512)*100,"0.00")&amp;" points"&amp;IF($Z512="",""," ($"&amp;TEXT(ABS($Z512),"#,##0")&amp;")")&amp;IF(RIGHT($Y512,15)="not significant"," (not significant)","")))</f>
        <v/>
      </c>
      <c r="AE512">
        <f>IF($V512,IF($S512="","",$S512),IF($R512="","",$R512))</f>
        <v/>
      </c>
      <c r="AF512">
        <f>IF($V512,IF($U512="","",$U512),IF($T512="","",$T512))</f>
        <v/>
      </c>
      <c r="AG512">
        <f>IF($V512,IF($O512="","",$O512),IF($P512="","",$P512))</f>
        <v/>
      </c>
      <c r="AH512" t="n">
        <v>0.1003636527042675</v>
      </c>
      <c r="AI512">
        <f>IF($Y512="worse","Yes",IF($Y512="worse, not significant","Not sure",IF(OR($Y512="too few losses to test",$Y512="too few loans to test"),"Too few losses",IF($Y512="","","No"))))</f>
        <v/>
      </c>
      <c r="AJ512">
        <f>IF($AA512="yes","Yes",IF($AA512="","","No"))</f>
        <v/>
      </c>
      <c r="AK512" t="n">
        <v>0.006219615513015083</v>
      </c>
      <c r="AL512" t="n">
        <v>0.00546384400115199</v>
      </c>
      <c r="AM512">
        <f>IF(AND(ISNUMBER($AC512),ISNUMBER(IF($V512,IF($AL512="","",$AL512),IF($AK512="","",$AK512)))),IF(AND(ABS($AC512-significance_bar)&lt;=2.0*IF($V512,IF($AL512="","",$AL512),IF($AK512="","",$AK512)),OR($Y512="worse",$Y512="better",$Y512="worse, not significant",$Y512="better, not significant",AND(profit_kind="test",$Y512="in line",ISNUMBER($AB512),$AB512&lt;&gt;0))),IF(ROUND($AC512,3)=ROUND(significance_bar,3),TEXT($AC512,"0.0000"),TEXT($AC512,"0.000")),""),"")</f>
        <v/>
      </c>
      <c r="AN512">
        <f>IF(AND(ISNUMBER($AC512),ISNUMBER(IF($V512,IF($AL512="","",$AL512),IF($AK512="","",$AK512)))),IF(AND(ABS($AC512-significance_bar)&lt;=2.0*IF($V512,IF($AL512="","",$AL512),IF($AK512="","",$AK512)),OR($Y512="worse",$Y512="worse, not significant",AND(profit_kind="test",$Y512="in line",ISNUMBER($AB512),$AB512&lt;0))),IF(ROUND($AC512,3)=ROUND(significance_bar,3),TEXT($AC512,"0.0000"),TEXT($AC512,"0.000")),""),"")</f>
        <v/>
      </c>
      <c r="AO512">
        <f>IF(OR($AI512="",$AN512=""),$AI512,$AI512&amp;" · borderline (p "&amp;$AN512&amp;")")</f>
        <v/>
      </c>
    </row>
    <row r="513">
      <c r="A513" t="inlineStr">
        <is>
          <t>three-way</t>
        </is>
      </c>
      <c r="B513" t="inlineStr">
        <is>
          <t>SHORT_HIST x CHANNEL / REV_DEBT</t>
        </is>
      </c>
      <c r="C513" t="inlineStr">
        <is>
          <t>89.0 - 171.9</t>
        </is>
      </c>
      <c r="D513" t="inlineStr">
        <is>
          <t>Branch / REV_DEBT low half</t>
        </is>
      </c>
      <c r="E513" t="inlineStr">
        <is>
          <t>contribution_rate</t>
        </is>
      </c>
      <c r="F513" t="inlineStr">
        <is>
          <t>Contribution before losses per booked dollar</t>
        </is>
      </c>
      <c r="G513" t="n">
        <v>245</v>
      </c>
      <c r="H513" t="n">
        <v>8018383.929999999</v>
      </c>
      <c r="I513" t="b">
        <v>0</v>
      </c>
      <c r="J513" t="b">
        <v>0</v>
      </c>
      <c r="K513" t="n">
        <v>-0.05078475525405556</v>
      </c>
      <c r="L513" t="n">
        <v>0.00023997600239976</v>
      </c>
      <c r="M513" t="n">
        <v>-0.05882182388147543</v>
      </c>
      <c r="N513" t="n">
        <v>0.00023997600239976</v>
      </c>
      <c r="O513" t="n">
        <v>407211.6654181021</v>
      </c>
      <c r="P513" t="n">
        <v>471655.9673445128</v>
      </c>
      <c r="Q513">
        <f>'_live'!$C$24</f>
        <v/>
      </c>
      <c r="R513" t="inlineStr">
        <is>
          <t>shuffled: 0 of 10,000</t>
        </is>
      </c>
      <c r="S513" t="inlineStr">
        <is>
          <t>shuffled: 0 of 10,000</t>
        </is>
      </c>
      <c r="T513" t="n">
        <v>0.1711706195911851</v>
      </c>
      <c r="U513" t="n">
        <v>0.179207688218605</v>
      </c>
      <c r="V513">
        <f>AND(judged_band,NOT($J513))</f>
        <v/>
      </c>
      <c r="W513">
        <f>IF($K513="","",IF(profit_kind="test",IF(OR(NOT(AND(ISNUMBER($L513),$L513&lt;significance_bar)),$K513=0),"in line",IF($K513&lt;0,"worse","better")),IF(OR($K513=0,IF(profit_kind="points",ABS($K513),ABS($K513*$H513))&lt;profit_line*(1-1E-9)),"in line",IF(AND(ISNUMBER($L513),$L513&lt;significance_bar),IF($K513&lt;0,"worse","better"),IF($K513&lt;0,"worse, not significant","better, not significant")))))</f>
        <v/>
      </c>
      <c r="X513">
        <f>IF($M513="","",IF(profit_kind="test",IF(OR(NOT(AND(ISNUMBER($N513),$N513&lt;significance_bar)),$M513=0),"in line",IF($M513&lt;0,"worse","better")),IF(OR($M513=0,IF(profit_kind="points",ABS($M513),ABS($M513*$H513))&lt;profit_line*(1-1E-9)),"in line",IF(AND(ISNUMBER($N513),$N513&lt;significance_bar),IF($M513&lt;0,"worse","better"),IF($M513&lt;0,"worse, not significant","better, not significant")))))</f>
        <v/>
      </c>
      <c r="Y513">
        <f>IF($V513,$X513,$W513)</f>
        <v/>
      </c>
      <c r="Z513">
        <f>IF($V513,IF($P513="","",$P513),IF($O513="","",$O513))</f>
        <v/>
      </c>
      <c r="AA513">
        <f>IF(OR($Q513="",$Z513=""),"",IF(AND($Z513&gt;0,$Z513&gt;=$Q513),"yes","below the line"))</f>
        <v/>
      </c>
      <c r="AB513">
        <f>IF($V513,IF($M513="","",$M513),IF($K513="","",$K513))</f>
        <v/>
      </c>
      <c r="AC513">
        <f>IF($V513,IF($N513="","",$N513),IF($L513="","",$L513))</f>
        <v/>
      </c>
      <c r="AD513">
        <f>IF($Y513="","",IF($Y513="in line",IF(profit_kind="test",IF(ROUND($AB513*100,2)=0,"0.00",TEXT($AB513*100,"+0.00;-0.00"))&amp;" points against "&amp;IF($V513,"its band","the book")&amp;", "&amp;IF($AC513="","not tested","not significant"),IF(profit_kind="points","within "&amp;TEXT(profit_line*100,"0.00")&amp;" points of "&amp;IF($V513,"its band","the book")&amp;" ("&amp;IF(ROUND($AB513*100,2)=0,"0.00",TEXT($AB513*100,"+0.00;-0.00"))&amp;")","within $"&amp;TEXT(profit_line,"#,##0")&amp;" of "&amp;IF($V513,"its band","the book")&amp;" ("&amp;IF(ROUND($AB513*100,2)=0,"0.00",TEXT($AB513*100,"+0.00;-0.00"))&amp;" points)")),IF(LEFT($Y513,5)="worse","short of ","ahead of ")&amp;IF($V513,"its band","the book")&amp;" by "&amp;TEXT(ABS($AB513)*100,"0.00")&amp;" points"&amp;IF($Z513="",""," ($"&amp;TEXT(ABS($Z513),"#,##0")&amp;")")&amp;IF(RIGHT($Y513,15)="not significant"," (not significant)","")))</f>
        <v/>
      </c>
      <c r="AE513">
        <f>IF($V513,IF($S513="","",$S513),IF($R513="","",$R513))</f>
        <v/>
      </c>
      <c r="AF513">
        <f>IF($V513,IF($U513="","",$U513),IF($T513="","",$T513))</f>
        <v/>
      </c>
      <c r="AG513">
        <f>IF($V513,IF($O513="","",$O513),IF($P513="","",$P513))</f>
        <v/>
      </c>
      <c r="AH513" t="n">
        <v>0.1203858643371296</v>
      </c>
      <c r="AI513">
        <f>IF($Y513="worse","Yes",IF($Y513="worse, not significant","Not sure",IF(OR($Y513="too few losses to test",$Y513="too few loans to test"),"Too few losses",IF($Y513="","","No"))))</f>
        <v/>
      </c>
      <c r="AJ513">
        <f>IF($AA513="yes","Yes",IF($AA513="","","No"))</f>
        <v/>
      </c>
      <c r="AK513" t="n">
        <v>0.00023997600239976</v>
      </c>
      <c r="AL513" t="n">
        <v>0.00023997600239976</v>
      </c>
      <c r="AM513">
        <f>IF(AND(ISNUMBER($AC513),ISNUMBER(IF($V513,IF($AL513="","",$AL513),IF($AK513="","",$AK513)))),IF(AND(ABS($AC513-significance_bar)&lt;=2.0*IF($V513,IF($AL513="","",$AL513),IF($AK513="","",$AK513)),OR($Y513="worse",$Y513="better",$Y513="worse, not significant",$Y513="better, not significant",AND(profit_kind="test",$Y513="in line",ISNUMBER($AB513),$AB513&lt;&gt;0))),IF(ROUND($AC513,3)=ROUND(significance_bar,3),TEXT($AC513,"0.0000"),TEXT($AC513,"0.000")),""),"")</f>
        <v/>
      </c>
      <c r="AN513">
        <f>IF(AND(ISNUMBER($AC513),ISNUMBER(IF($V513,IF($AL513="","",$AL513),IF($AK513="","",$AK513)))),IF(AND(ABS($AC513-significance_bar)&lt;=2.0*IF($V513,IF($AL513="","",$AL513),IF($AK513="","",$AK513)),OR($Y513="worse",$Y513="worse, not significant",AND(profit_kind="test",$Y513="in line",ISNUMBER($AB513),$AB513&lt;0))),IF(ROUND($AC513,3)=ROUND(significance_bar,3),TEXT($AC513,"0.0000"),TEXT($AC513,"0.000")),""),"")</f>
        <v/>
      </c>
      <c r="AO513">
        <f>IF(OR($AI513="",$AN513=""),$AI513,$AI513&amp;" · borderline (p "&amp;$AN513&amp;")")</f>
        <v/>
      </c>
    </row>
    <row r="514">
      <c r="A514" t="inlineStr">
        <is>
          <t>three-way</t>
        </is>
      </c>
      <c r="B514" t="inlineStr">
        <is>
          <t>SHORT_HIST x CHANNEL / REV_DEBT</t>
        </is>
      </c>
      <c r="C514" t="inlineStr">
        <is>
          <t>0.0 - 88.9</t>
        </is>
      </c>
      <c r="D514" t="inlineStr">
        <is>
          <t>Online / REV_DEBT high half</t>
        </is>
      </c>
      <c r="E514" t="inlineStr">
        <is>
          <t>outcome_loans</t>
        </is>
      </c>
      <c r="F514" t="inlineStr">
        <is>
          <t>Outcome, share of loans</t>
        </is>
      </c>
      <c r="G514" t="n">
        <v>264</v>
      </c>
      <c r="H514" t="n">
        <v>264</v>
      </c>
      <c r="I514" t="b">
        <v>0</v>
      </c>
      <c r="J514" t="b">
        <v>0</v>
      </c>
      <c r="K514" t="n">
        <v>1.38811977644465</v>
      </c>
      <c r="L514" t="n">
        <v>0.132058635140815</v>
      </c>
      <c r="M514" t="n">
        <v>1.42902711323764</v>
      </c>
      <c r="N514" t="n">
        <v>0.1296084920362366</v>
      </c>
      <c r="O514" t="n">
        <v>7.828829993535873</v>
      </c>
      <c r="P514" t="n">
        <v>8.40625</v>
      </c>
      <c r="Q514">
        <f>'_live'!$C$20</f>
        <v/>
      </c>
      <c r="R514" t="inlineStr">
        <is>
          <t>z test</t>
        </is>
      </c>
      <c r="S514" t="inlineStr">
        <is>
          <t>z test</t>
        </is>
      </c>
      <c r="T514" t="n">
        <v>0.07640594699418229</v>
      </c>
      <c r="U514" t="n">
        <v>0.07421875</v>
      </c>
      <c r="V514">
        <f>AND(judged_band,NOT($J514))</f>
        <v/>
      </c>
      <c r="W514">
        <f>IF($K514="","",IF($I514,"too few losses to test",IF(AND($K514&gt;better_at,$K514&lt;worse_at),"in line",IF($K514&gt;=worse_at,IF(AND(ISNUMBER($L514),$L514&lt;significance_bar),"worse","worse, not significant"),IF(AND(ISNUMBER($L514),$L514&lt;significance_bar),"better","better, not significant")))))</f>
        <v/>
      </c>
      <c r="X514">
        <f>IF($M514="","",IF($I514,"too few losses to test",IF(AND($M514&gt;better_at,$M514&lt;worse_at),"in line",IF($M514&gt;=worse_at,IF(AND(ISNUMBER($N514),$N514&lt;significance_bar),"worse","worse, not significant"),IF(AND(ISNUMBER($N514),$N514&lt;significance_bar),"better","better, not significant")))))</f>
        <v/>
      </c>
      <c r="Y514">
        <f>IF($V514,$X514,$W514)</f>
        <v/>
      </c>
      <c r="Z514">
        <f>IF($V514,IF($P514="","",$P514),IF($O514="","",$O514))</f>
        <v/>
      </c>
      <c r="AA514">
        <f>IF(OR($Q514="",$Z514=""),"",IF(AND($Z514&gt;0,$Z514&gt;=$Q514),"yes","below the line"))</f>
        <v/>
      </c>
      <c r="AB514">
        <f>IF($V514,IF($M514="","",$M514),IF($K514="","",$K514))</f>
        <v/>
      </c>
      <c r="AC514">
        <f>IF($V514,IF($N514="","",$N514),IF($L514="","",$L514))</f>
        <v/>
      </c>
      <c r="AD514">
        <f>$Y514</f>
        <v/>
      </c>
      <c r="AE514">
        <f>IF($V514,IF($S514="","",$S514),IF($R514="","",$R514))</f>
        <v/>
      </c>
      <c r="AF514">
        <f>IF($V514,IF($U514="","",$U514),IF($T514="","",$T514))</f>
        <v/>
      </c>
      <c r="AG514">
        <f>IF($V514,IF($O514="","",$O514),IF($P514="","",$P514))</f>
        <v/>
      </c>
      <c r="AH514" t="n">
        <v>0.1060606060606061</v>
      </c>
      <c r="AI514">
        <f>IF($Y514="worse","Yes",IF($Y514="worse, not significant","Not sure",IF(OR($Y514="too few losses to test",$Y514="too few loans to test"),"Too few losses",IF($Y514="","","No"))))</f>
        <v/>
      </c>
      <c r="AJ514">
        <f>IF($AA514="yes","Yes",IF($AA514="","","No"))</f>
        <v/>
      </c>
      <c r="AM514">
        <f>IF(AND(ISNUMBER($AC514),ISNUMBER(IF($V514,IF($AL514="","",$AL514),IF($AK514="","",$AK514)))),IF(AND(ABS($AC514-significance_bar)&lt;=2.0*IF($V514,IF($AL514="","",$AL514),IF($AK514="","",$AK514)),OR($Y514="worse",$Y514="better",$Y514="worse, not significant",$Y514="better, not significant")),IF(ROUND($AC514,3)=ROUND(significance_bar,3),TEXT($AC514,"0.0000"),TEXT($AC514,"0.000")),""),"")</f>
        <v/>
      </c>
      <c r="AN514">
        <f>IF(AND(ISNUMBER($AC514),ISNUMBER(IF($V514,IF($AL514="","",$AL514),IF($AK514="","",$AK514)))),IF(AND(ABS($AC514-significance_bar)&lt;=2.0*IF($V514,IF($AL514="","",$AL514),IF($AK514="","",$AK514)),OR($Y514="worse",$Y514="worse, not significant")),IF(ROUND($AC514,3)=ROUND(significance_bar,3),TEXT($AC514,"0.0000"),TEXT($AC514,"0.000")),""),"")</f>
        <v/>
      </c>
      <c r="AO514">
        <f>IF(OR($AI514="",$AN514=""),$AI514,$AI514&amp;" · borderline (p "&amp;$AN514&amp;")")</f>
        <v/>
      </c>
    </row>
    <row r="515">
      <c r="A515" t="inlineStr">
        <is>
          <t>three-way</t>
        </is>
      </c>
      <c r="B515" t="inlineStr">
        <is>
          <t>SHORT_HIST x CHANNEL / REV_DEBT</t>
        </is>
      </c>
      <c r="C515" t="inlineStr">
        <is>
          <t>0.0 - 88.9</t>
        </is>
      </c>
      <c r="D515" t="inlineStr">
        <is>
          <t>Online / REV_DEBT high half</t>
        </is>
      </c>
      <c r="E515" t="inlineStr">
        <is>
          <t>outcome_booked</t>
        </is>
      </c>
      <c r="F515" t="inlineStr">
        <is>
          <t>Outcome, share of booked dollars</t>
        </is>
      </c>
      <c r="G515" t="n">
        <v>264</v>
      </c>
      <c r="H515" t="n">
        <v>8527575.040000001</v>
      </c>
      <c r="I515" t="b">
        <v>0</v>
      </c>
      <c r="J515" t="b">
        <v>0</v>
      </c>
      <c r="K515" t="n">
        <v>1.305710621844348</v>
      </c>
      <c r="L515" t="n">
        <v>0.3135575331355753</v>
      </c>
      <c r="M515" t="n">
        <v>1.30320707962616</v>
      </c>
      <c r="N515" t="n">
        <v>0.3231105460882483</v>
      </c>
      <c r="O515" t="n">
        <v>193125.4306411148</v>
      </c>
      <c r="P515" t="n">
        <v>191911.8450104016</v>
      </c>
      <c r="Q515">
        <f>'_live'!$C$21</f>
        <v/>
      </c>
      <c r="R515" t="inlineStr">
        <is>
          <t>shuffled: 2,170 of 10,000</t>
        </is>
      </c>
      <c r="S515" t="inlineStr">
        <is>
          <t>shuffled: 2,609 of 10,000</t>
        </is>
      </c>
      <c r="T515" t="n">
        <v>0.07408041165227731</v>
      </c>
      <c r="U515" t="n">
        <v>0.07422272475125571</v>
      </c>
      <c r="V515">
        <f>AND(judged_band,NOT($J515))</f>
        <v/>
      </c>
      <c r="W515">
        <f>IF($K515="","",IF($I515,"too few losses to test",IF(AND($K515&gt;better_at,$K515&lt;worse_at),"in line",IF($K515&gt;=worse_at,IF(AND(ISNUMBER($L515),$L515&lt;significance_bar),"worse","worse, not significant"),IF(AND(ISNUMBER($L515),$L515&lt;significance_bar),"better","better, not significant")))))</f>
        <v/>
      </c>
      <c r="X515">
        <f>IF($M515="","",IF($I515,"too few losses to test",IF(AND($M515&gt;better_at,$M515&lt;worse_at),"in line",IF($M515&gt;=worse_at,IF(AND(ISNUMBER($N515),$N515&lt;significance_bar),"worse","worse, not significant"),IF(AND(ISNUMBER($N515),$N515&lt;significance_bar),"better","better, not significant")))))</f>
        <v/>
      </c>
      <c r="Y515">
        <f>IF($V515,$X515,$W515)</f>
        <v/>
      </c>
      <c r="Z515">
        <f>IF($V515,IF($P515="","",$P515),IF($O515="","",$O515))</f>
        <v/>
      </c>
      <c r="AA515">
        <f>IF(OR($Q515="",$Z515=""),"",IF(AND($Z515&gt;0,$Z515&gt;=$Q515),"yes","below the line"))</f>
        <v/>
      </c>
      <c r="AB515">
        <f>IF($V515,IF($M515="","",$M515),IF($K515="","",$K515))</f>
        <v/>
      </c>
      <c r="AC515">
        <f>IF($V515,IF($N515="","",$N515),IF($L515="","",$L515))</f>
        <v/>
      </c>
      <c r="AD515">
        <f>$Y515</f>
        <v/>
      </c>
      <c r="AE515">
        <f>IF($V515,IF($S515="","",$S515),IF($R515="","",$R515))</f>
        <v/>
      </c>
      <c r="AF515">
        <f>IF($V515,IF($U515="","",$U515),IF($T515="","",$T515))</f>
        <v/>
      </c>
      <c r="AG515">
        <f>IF($V515,IF($O515="","",$O515),IF($P515="","",$P515))</f>
        <v/>
      </c>
      <c r="AH515" t="n">
        <v>0.09672758036498029</v>
      </c>
      <c r="AI515">
        <f>IF($Y515="worse","Yes",IF($Y515="worse, not significant","Not sure",IF(OR($Y515="too few losses to test",$Y515="too few loans to test"),"Too few losses",IF($Y515="","","No"))))</f>
        <v/>
      </c>
      <c r="AJ515">
        <f>IF($AA515="yes","Yes",IF($AA515="","","No"))</f>
        <v/>
      </c>
      <c r="AK515" t="n">
        <v>0.005954814104279992</v>
      </c>
      <c r="AL515" t="n">
        <v>0.005437289798206144</v>
      </c>
      <c r="AM515">
        <f>IF(AND(ISNUMBER($AC515),ISNUMBER(IF($V515,IF($AL515="","",$AL515),IF($AK515="","",$AK515)))),IF(AND(ABS($AC515-significance_bar)&lt;=2.0*IF($V515,IF($AL515="","",$AL515),IF($AK515="","",$AK515)),OR($Y515="worse",$Y515="better",$Y515="worse, not significant",$Y515="better, not significant")),IF(ROUND($AC515,3)=ROUND(significance_bar,3),TEXT($AC515,"0.0000"),TEXT($AC515,"0.000")),""),"")</f>
        <v/>
      </c>
      <c r="AN515">
        <f>IF(AND(ISNUMBER($AC515),ISNUMBER(IF($V515,IF($AL515="","",$AL515),IF($AK515="","",$AK515)))),IF(AND(ABS($AC515-significance_bar)&lt;=2.0*IF($V515,IF($AL515="","",$AL515),IF($AK515="","",$AK515)),OR($Y515="worse",$Y515="worse, not significant")),IF(ROUND($AC515,3)=ROUND(significance_bar,3),TEXT($AC515,"0.0000"),TEXT($AC515,"0.000")),""),"")</f>
        <v/>
      </c>
      <c r="AO515">
        <f>IF(OR($AI515="",$AN515=""),$AI515,$AI515&amp;" · borderline (p "&amp;$AN515&amp;")")</f>
        <v/>
      </c>
    </row>
    <row r="516">
      <c r="A516" t="inlineStr">
        <is>
          <t>three-way</t>
        </is>
      </c>
      <c r="B516" t="inlineStr">
        <is>
          <t>SHORT_HIST x CHANNEL / REV_DEBT</t>
        </is>
      </c>
      <c r="C516" t="inlineStr">
        <is>
          <t>0.0 - 88.9</t>
        </is>
      </c>
      <c r="D516" t="inlineStr">
        <is>
          <t>Online / REV_DEBT high half</t>
        </is>
      </c>
      <c r="E516" t="inlineStr">
        <is>
          <t>gco_rate</t>
        </is>
      </c>
      <c r="F516" t="inlineStr">
        <is>
          <t>GCO per booked dollar</t>
        </is>
      </c>
      <c r="G516" t="n">
        <v>264</v>
      </c>
      <c r="H516" t="n">
        <v>8527575.040000001</v>
      </c>
      <c r="I516" t="b">
        <v>0</v>
      </c>
      <c r="J516" t="b">
        <v>0</v>
      </c>
      <c r="K516" t="n">
        <v>1.248054848600608</v>
      </c>
      <c r="L516" t="n">
        <v>0.4489751024897511</v>
      </c>
      <c r="M516" t="n">
        <v>1.241650800227482</v>
      </c>
      <c r="N516" t="n">
        <v>0.4586177745861778</v>
      </c>
      <c r="O516" t="n">
        <v>87292.26392012212</v>
      </c>
      <c r="P516" t="n">
        <v>85477.2365953949</v>
      </c>
      <c r="Q516">
        <f>'_live'!$C$22</f>
        <v/>
      </c>
      <c r="R516" t="inlineStr">
        <is>
          <t>shuffled: 3,343 of 10,000</t>
        </is>
      </c>
      <c r="S516" t="inlineStr">
        <is>
          <t>shuffled: 3,880 of 10,000</t>
        </is>
      </c>
      <c r="T516" t="n">
        <v>0.0412669609389773</v>
      </c>
      <c r="U516" t="n">
        <v>0.04147980307947018</v>
      </c>
      <c r="V516">
        <f>AND(judged_band,NOT($J516))</f>
        <v/>
      </c>
      <c r="W516">
        <f>IF($K516="","",IF($I516,"too few losses to test",IF(AND($K516&gt;better_at,$K516&lt;worse_at),"in line",IF($K516&gt;=worse_at,IF(AND(ISNUMBER($L516),$L516&lt;significance_bar),"worse","worse, not significant"),IF(AND(ISNUMBER($L516),$L516&lt;significance_bar),"better","better, not significant")))))</f>
        <v/>
      </c>
      <c r="X516">
        <f>IF($M516="","",IF($I516,"too few losses to test",IF(AND($M516&gt;better_at,$M516&lt;worse_at),"in line",IF($M516&gt;=worse_at,IF(AND(ISNUMBER($N516),$N516&lt;significance_bar),"worse","worse, not significant"),IF(AND(ISNUMBER($N516),$N516&lt;significance_bar),"better","better, not significant")))))</f>
        <v/>
      </c>
      <c r="Y516">
        <f>IF($V516,$X516,$W516)</f>
        <v/>
      </c>
      <c r="Z516">
        <f>IF($V516,IF($P516="","",$P516),IF($O516="","",$O516))</f>
        <v/>
      </c>
      <c r="AA516">
        <f>IF(OR($Q516="",$Z516=""),"",IF(AND($Z516&gt;0,$Z516&gt;=$Q516),"yes","below the line"))</f>
        <v/>
      </c>
      <c r="AB516">
        <f>IF($V516,IF($M516="","",$M516),IF($K516="","",$K516))</f>
        <v/>
      </c>
      <c r="AC516">
        <f>IF($V516,IF($N516="","",$N516),IF($L516="","",$L516))</f>
        <v/>
      </c>
      <c r="AD516">
        <f>$Y516</f>
        <v/>
      </c>
      <c r="AE516">
        <f>IF($V516,IF($S516="","",$S516),IF($R516="","",$R516))</f>
        <v/>
      </c>
      <c r="AF516">
        <f>IF($V516,IF($U516="","",$U516),IF($T516="","",$T516))</f>
        <v/>
      </c>
      <c r="AG516">
        <f>IF($V516,IF($O516="","",$O516),IF($P516="","",$P516))</f>
        <v/>
      </c>
      <c r="AH516" t="n">
        <v>0.05150343068690252</v>
      </c>
      <c r="AI516">
        <f>IF($Y516="worse","Yes",IF($Y516="worse, not significant","Not sure",IF(OR($Y516="too few losses to test",$Y516="too few loans to test"),"Too few losses",IF($Y516="","","No"))))</f>
        <v/>
      </c>
      <c r="AJ516">
        <f>IF($AA516="yes","Yes",IF($AA516="","","No"))</f>
        <v/>
      </c>
      <c r="AK516" t="n">
        <v>0.006181334731115876</v>
      </c>
      <c r="AL516" t="n">
        <v>0.005759102025008405</v>
      </c>
      <c r="AM516">
        <f>IF(AND(ISNUMBER($AC516),ISNUMBER(IF($V516,IF($AL516="","",$AL516),IF($AK516="","",$AK516)))),IF(AND(ABS($AC516-significance_bar)&lt;=2.0*IF($V516,IF($AL516="","",$AL516),IF($AK516="","",$AK516)),OR($Y516="worse",$Y516="better",$Y516="worse, not significant",$Y516="better, not significant")),IF(ROUND($AC516,3)=ROUND(significance_bar,3),TEXT($AC516,"0.0000"),TEXT($AC516,"0.000")),""),"")</f>
        <v/>
      </c>
      <c r="AN516">
        <f>IF(AND(ISNUMBER($AC516),ISNUMBER(IF($V516,IF($AL516="","",$AL516),IF($AK516="","",$AK516)))),IF(AND(ABS($AC516-significance_bar)&lt;=2.0*IF($V516,IF($AL516="","",$AL516),IF($AK516="","",$AK516)),OR($Y516="worse",$Y516="worse, not significant")),IF(ROUND($AC516,3)=ROUND(significance_bar,3),TEXT($AC516,"0.0000"),TEXT($AC516,"0.000")),""),"")</f>
        <v/>
      </c>
      <c r="AO516">
        <f>IF(OR($AI516="",$AN516=""),$AI516,$AI516&amp;" · borderline (p "&amp;$AN516&amp;")")</f>
        <v/>
      </c>
    </row>
    <row r="517">
      <c r="A517" t="inlineStr">
        <is>
          <t>three-way</t>
        </is>
      </c>
      <c r="B517" t="inlineStr">
        <is>
          <t>SHORT_HIST x CHANNEL / REV_DEBT</t>
        </is>
      </c>
      <c r="C517" t="inlineStr">
        <is>
          <t>0.0 - 88.9</t>
        </is>
      </c>
      <c r="D517" t="inlineStr">
        <is>
          <t>Online / REV_DEBT high half</t>
        </is>
      </c>
      <c r="E517" t="inlineStr">
        <is>
          <t>ranr_rate</t>
        </is>
      </c>
      <c r="F517" t="inlineStr">
        <is>
          <t>Profit after losses: RANR per booked dollar</t>
        </is>
      </c>
      <c r="G517" t="n">
        <v>264</v>
      </c>
      <c r="H517" t="n">
        <v>8527575.040000001</v>
      </c>
      <c r="I517" t="b">
        <v>0</v>
      </c>
      <c r="J517" t="b">
        <v>0</v>
      </c>
      <c r="K517" t="n">
        <v>0.03883113969880048</v>
      </c>
      <c r="L517" t="n">
        <v>0.06839316068393161</v>
      </c>
      <c r="M517" t="n">
        <v>0.04807612250093769</v>
      </c>
      <c r="N517" t="n">
        <v>0.0251974802519748</v>
      </c>
      <c r="O517" t="n">
        <v>-331135.4576702442</v>
      </c>
      <c r="P517" t="n">
        <v>-409972.7422589787</v>
      </c>
      <c r="Q517">
        <f>'_live'!$C$23</f>
        <v/>
      </c>
      <c r="R517" t="inlineStr">
        <is>
          <t>shuffled: 23 of 10,000</t>
        </is>
      </c>
      <c r="S517" t="inlineStr">
        <is>
          <t>shuffled: 6 of 10,000</t>
        </is>
      </c>
      <c r="T517" t="n">
        <v>0.1267069192896549</v>
      </c>
      <c r="U517" t="n">
        <v>0.1174619364875177</v>
      </c>
      <c r="V517">
        <f>AND(judged_band,NOT($J517))</f>
        <v/>
      </c>
      <c r="W517">
        <f>IF($K517="","",IF(profit_kind="test",IF(OR(NOT(AND(ISNUMBER($L517),$L517&lt;significance_bar)),$K517=0),"in line",IF($K517&lt;0,"worse","better")),IF(OR($K517=0,IF(profit_kind="points",ABS($K517),ABS($K517*$H517))&lt;profit_line*(1-1E-9)),"in line",IF(AND(ISNUMBER($L517),$L517&lt;significance_bar),IF($K517&lt;0,"worse","better"),IF($K517&lt;0,"worse, not significant","better, not significant")))))</f>
        <v/>
      </c>
      <c r="X517">
        <f>IF($M517="","",IF(profit_kind="test",IF(OR(NOT(AND(ISNUMBER($N517),$N517&lt;significance_bar)),$M517=0),"in line",IF($M517&lt;0,"worse","better")),IF(OR($M517=0,IF(profit_kind="points",ABS($M517),ABS($M517*$H517))&lt;profit_line*(1-1E-9)),"in line",IF(AND(ISNUMBER($N517),$N517&lt;significance_bar),IF($M517&lt;0,"worse","better"),IF($M517&lt;0,"worse, not significant","better, not significant")))))</f>
        <v/>
      </c>
      <c r="Y517">
        <f>IF($V517,$X517,$W517)</f>
        <v/>
      </c>
      <c r="Z517">
        <f>IF($V517,IF($P517="","",$P517),IF($O517="","",$O517))</f>
        <v/>
      </c>
      <c r="AA517">
        <f>IF(OR($Q517="",$Z517=""),"",IF(AND($Z517&gt;0,$Z517&gt;=$Q517),"yes","below the line"))</f>
        <v/>
      </c>
      <c r="AB517">
        <f>IF($V517,IF($M517="","",$M517),IF($K517="","",$K517))</f>
        <v/>
      </c>
      <c r="AC517">
        <f>IF($V517,IF($N517="","",$N517),IF($L517="","",$L517))</f>
        <v/>
      </c>
      <c r="AD517">
        <f>IF($Y517="","",IF($Y517="in line",IF(profit_kind="test",IF(ROUND($AB517*100,2)=0,"0.00",TEXT($AB517*100,"+0.00;-0.00"))&amp;" points against "&amp;IF($V517,"its band","the book")&amp;", "&amp;IF($AC517="","not tested","not significant"),IF(profit_kind="points","within "&amp;TEXT(profit_line*100,"0.00")&amp;" points of "&amp;IF($V517,"its band","the book")&amp;" ("&amp;IF(ROUND($AB517*100,2)=0,"0.00",TEXT($AB517*100,"+0.00;-0.00"))&amp;")","within $"&amp;TEXT(profit_line,"#,##0")&amp;" of "&amp;IF($V517,"its band","the book")&amp;" ("&amp;IF(ROUND($AB517*100,2)=0,"0.00",TEXT($AB517*100,"+0.00;-0.00"))&amp;" points)")),IF(LEFT($Y517,5)="worse","short of ","ahead of ")&amp;IF($V517,"its band","the book")&amp;" by "&amp;TEXT(ABS($AB517)*100,"0.00")&amp;" points"&amp;IF($Z517="",""," ($"&amp;TEXT(ABS($Z517),"#,##0")&amp;")")&amp;IF(RIGHT($Y517,15)="not significant"," (not significant)","")))</f>
        <v/>
      </c>
      <c r="AE517">
        <f>IF($V517,IF($S517="","",$S517),IF($R517="","",$R517))</f>
        <v/>
      </c>
      <c r="AF517">
        <f>IF($V517,IF($U517="","",$U517),IF($T517="","",$T517))</f>
        <v/>
      </c>
      <c r="AG517">
        <f>IF($V517,IF($O517="","",$O517),IF($P517="","",$P517))</f>
        <v/>
      </c>
      <c r="AH517" t="n">
        <v>0.1655380589884554</v>
      </c>
      <c r="AI517">
        <f>IF($Y517="worse","Yes",IF($Y517="worse, not significant","Not sure",IF(OR($Y517="too few losses to test",$Y517="too few loans to test"),"Too few losses",IF($Y517="","","No"))))</f>
        <v/>
      </c>
      <c r="AJ517">
        <f>IF($AA517="yes","Yes",IF($AA517="","","No"))</f>
        <v/>
      </c>
      <c r="AK517" t="n">
        <v>0.007815758579479321</v>
      </c>
      <c r="AL517" t="n">
        <v>0.009520894790197213</v>
      </c>
      <c r="AM517">
        <f>IF(AND(ISNUMBER($AC517),ISNUMBER(IF($V517,IF($AL517="","",$AL517),IF($AK517="","",$AK517)))),IF(AND(ABS($AC517-significance_bar)&lt;=2.0*IF($V517,IF($AL517="","",$AL517),IF($AK517="","",$AK517)),OR($Y517="worse",$Y517="better",$Y517="worse, not significant",$Y517="better, not significant",AND(profit_kind="test",$Y517="in line",ISNUMBER($AB517),$AB517&lt;&gt;0))),IF(ROUND($AC517,3)=ROUND(significance_bar,3),TEXT($AC517,"0.0000"),TEXT($AC517,"0.000")),""),"")</f>
        <v/>
      </c>
      <c r="AN517">
        <f>IF(AND(ISNUMBER($AC517),ISNUMBER(IF($V517,IF($AL517="","",$AL517),IF($AK517="","",$AK517)))),IF(AND(ABS($AC517-significance_bar)&lt;=2.0*IF($V517,IF($AL517="","",$AL517),IF($AK517="","",$AK517)),OR($Y517="worse",$Y517="worse, not significant",AND(profit_kind="test",$Y517="in line",ISNUMBER($AB517),$AB517&lt;0))),IF(ROUND($AC517,3)=ROUND(significance_bar,3),TEXT($AC517,"0.0000"),TEXT($AC517,"0.000")),""),"")</f>
        <v/>
      </c>
      <c r="AO517">
        <f>IF(OR($AI517="",$AN517=""),$AI517,$AI517&amp;" · borderline (p "&amp;$AN517&amp;")")</f>
        <v/>
      </c>
    </row>
    <row r="518">
      <c r="A518" t="inlineStr">
        <is>
          <t>three-way</t>
        </is>
      </c>
      <c r="B518" t="inlineStr">
        <is>
          <t>SHORT_HIST x CHANNEL / REV_DEBT</t>
        </is>
      </c>
      <c r="C518" t="inlineStr">
        <is>
          <t>0.0 - 88.9</t>
        </is>
      </c>
      <c r="D518" t="inlineStr">
        <is>
          <t>Online / REV_DEBT high half</t>
        </is>
      </c>
      <c r="E518" t="inlineStr">
        <is>
          <t>contribution_rate</t>
        </is>
      </c>
      <c r="F518" t="inlineStr">
        <is>
          <t>Contribution before losses per booked dollar</t>
        </is>
      </c>
      <c r="G518" t="n">
        <v>264</v>
      </c>
      <c r="H518" t="n">
        <v>8527575.040000001</v>
      </c>
      <c r="I518" t="b">
        <v>0</v>
      </c>
      <c r="J518" t="b">
        <v>0</v>
      </c>
      <c r="K518" t="n">
        <v>0.04907077050636574</v>
      </c>
      <c r="L518" t="n">
        <v>0.00023997600239976</v>
      </c>
      <c r="M518" t="n">
        <v>0.05809975010837001</v>
      </c>
      <c r="N518" t="n">
        <v>0.00023997600239976</v>
      </c>
      <c r="O518" t="n">
        <v>-418454.6777636528</v>
      </c>
      <c r="P518" t="n">
        <v>-495449.9788543736</v>
      </c>
      <c r="Q518">
        <f>'_live'!$C$24</f>
        <v/>
      </c>
      <c r="R518" t="inlineStr">
        <is>
          <t>shuffled: 0 of 10,000</t>
        </is>
      </c>
      <c r="S518" t="inlineStr">
        <is>
          <t>shuffled: 0 of 10,000</t>
        </is>
      </c>
      <c r="T518" t="n">
        <v>0.1679707191689922</v>
      </c>
      <c r="U518" t="n">
        <v>0.1589417395669879</v>
      </c>
      <c r="V518">
        <f>AND(judged_band,NOT($J518))</f>
        <v/>
      </c>
      <c r="W518">
        <f>IF($K518="","",IF(profit_kind="test",IF(OR(NOT(AND(ISNUMBER($L518),$L518&lt;significance_bar)),$K518=0),"in line",IF($K518&lt;0,"worse","better")),IF(OR($K518=0,IF(profit_kind="points",ABS($K518),ABS($K518*$H518))&lt;profit_line*(1-1E-9)),"in line",IF(AND(ISNUMBER($L518),$L518&lt;significance_bar),IF($K518&lt;0,"worse","better"),IF($K518&lt;0,"worse, not significant","better, not significant")))))</f>
        <v/>
      </c>
      <c r="X518">
        <f>IF($M518="","",IF(profit_kind="test",IF(OR(NOT(AND(ISNUMBER($N518),$N518&lt;significance_bar)),$M518=0),"in line",IF($M518&lt;0,"worse","better")),IF(OR($M518=0,IF(profit_kind="points",ABS($M518),ABS($M518*$H518))&lt;profit_line*(1-1E-9)),"in line",IF(AND(ISNUMBER($N518),$N518&lt;significance_bar),IF($M518&lt;0,"worse","better"),IF($M518&lt;0,"worse, not significant","better, not significant")))))</f>
        <v/>
      </c>
      <c r="Y518">
        <f>IF($V518,$X518,$W518)</f>
        <v/>
      </c>
      <c r="Z518">
        <f>IF($V518,IF($P518="","",$P518),IF($O518="","",$O518))</f>
        <v/>
      </c>
      <c r="AA518">
        <f>IF(OR($Q518="",$Z518=""),"",IF(AND($Z518&gt;0,$Z518&gt;=$Q518),"yes","below the line"))</f>
        <v/>
      </c>
      <c r="AB518">
        <f>IF($V518,IF($M518="","",$M518),IF($K518="","",$K518))</f>
        <v/>
      </c>
      <c r="AC518">
        <f>IF($V518,IF($N518="","",$N518),IF($L518="","",$L518))</f>
        <v/>
      </c>
      <c r="AD518">
        <f>IF($Y518="","",IF($Y518="in line",IF(profit_kind="test",IF(ROUND($AB518*100,2)=0,"0.00",TEXT($AB518*100,"+0.00;-0.00"))&amp;" points against "&amp;IF($V518,"its band","the book")&amp;", "&amp;IF($AC518="","not tested","not significant"),IF(profit_kind="points","within "&amp;TEXT(profit_line*100,"0.00")&amp;" points of "&amp;IF($V518,"its band","the book")&amp;" ("&amp;IF(ROUND($AB518*100,2)=0,"0.00",TEXT($AB518*100,"+0.00;-0.00"))&amp;")","within $"&amp;TEXT(profit_line,"#,##0")&amp;" of "&amp;IF($V518,"its band","the book")&amp;" ("&amp;IF(ROUND($AB518*100,2)=0,"0.00",TEXT($AB518*100,"+0.00;-0.00"))&amp;" points)")),IF(LEFT($Y518,5)="worse","short of ","ahead of ")&amp;IF($V518,"its band","the book")&amp;" by "&amp;TEXT(ABS($AB518)*100,"0.00")&amp;" points"&amp;IF($Z518="",""," ($"&amp;TEXT(ABS($Z518),"#,##0")&amp;")")&amp;IF(RIGHT($Y518,15)="not significant"," (not significant)","")))</f>
        <v/>
      </c>
      <c r="AE518">
        <f>IF($V518,IF($S518="","",$S518),IF($R518="","",$R518))</f>
        <v/>
      </c>
      <c r="AF518">
        <f>IF($V518,IF($U518="","",$U518),IF($T518="","",$T518))</f>
        <v/>
      </c>
      <c r="AG518">
        <f>IF($V518,IF($O518="","",$O518),IF($P518="","",$P518))</f>
        <v/>
      </c>
      <c r="AH518" t="n">
        <v>0.2170414896753579</v>
      </c>
      <c r="AI518">
        <f>IF($Y518="worse","Yes",IF($Y518="worse, not significant","Not sure",IF(OR($Y518="too few losses to test",$Y518="too few loans to test"),"Too few losses",IF($Y518="","","No"))))</f>
        <v/>
      </c>
      <c r="AJ518">
        <f>IF($AA518="yes","Yes",IF($AA518="","","No"))</f>
        <v/>
      </c>
      <c r="AK518" t="n">
        <v>0.00023997600239976</v>
      </c>
      <c r="AL518" t="n">
        <v>0.00023997600239976</v>
      </c>
      <c r="AM518">
        <f>IF(AND(ISNUMBER($AC518),ISNUMBER(IF($V518,IF($AL518="","",$AL518),IF($AK518="","",$AK518)))),IF(AND(ABS($AC518-significance_bar)&lt;=2.0*IF($V518,IF($AL518="","",$AL518),IF($AK518="","",$AK518)),OR($Y518="worse",$Y518="better",$Y518="worse, not significant",$Y518="better, not significant",AND(profit_kind="test",$Y518="in line",ISNUMBER($AB518),$AB518&lt;&gt;0))),IF(ROUND($AC518,3)=ROUND(significance_bar,3),TEXT($AC518,"0.0000"),TEXT($AC518,"0.000")),""),"")</f>
        <v/>
      </c>
      <c r="AN518">
        <f>IF(AND(ISNUMBER($AC518),ISNUMBER(IF($V518,IF($AL518="","",$AL518),IF($AK518="","",$AK518)))),IF(AND(ABS($AC518-significance_bar)&lt;=2.0*IF($V518,IF($AL518="","",$AL518),IF($AK518="","",$AK518)),OR($Y518="worse",$Y518="worse, not significant",AND(profit_kind="test",$Y518="in line",ISNUMBER($AB518),$AB518&lt;0))),IF(ROUND($AC518,3)=ROUND(significance_bar,3),TEXT($AC518,"0.0000"),TEXT($AC518,"0.000")),""),"")</f>
        <v/>
      </c>
      <c r="AO518">
        <f>IF(OR($AI518="",$AN518=""),$AI518,$AI518&amp;" · borderline (p "&amp;$AN518&amp;")")</f>
        <v/>
      </c>
    </row>
    <row r="519">
      <c r="A519" t="inlineStr">
        <is>
          <t>three-way</t>
        </is>
      </c>
      <c r="B519" t="inlineStr">
        <is>
          <t>SHORT_HIST x CHANNEL / REV_DEBT</t>
        </is>
      </c>
      <c r="C519" t="inlineStr">
        <is>
          <t>0.0 - 88.9</t>
        </is>
      </c>
      <c r="D519" t="inlineStr">
        <is>
          <t>Branch / REV_DEBT low half</t>
        </is>
      </c>
      <c r="E519" t="inlineStr">
        <is>
          <t>outcome_loans</t>
        </is>
      </c>
      <c r="F519" t="inlineStr">
        <is>
          <t>Outcome, share of loans</t>
        </is>
      </c>
      <c r="G519" t="n">
        <v>255</v>
      </c>
      <c r="H519" t="n">
        <v>255</v>
      </c>
      <c r="I519" t="b">
        <v>0</v>
      </c>
      <c r="J519" t="b">
        <v>0</v>
      </c>
      <c r="K519" t="n">
        <v>0.6514722060441338</v>
      </c>
      <c r="L519" t="n">
        <v>0.176743108524642</v>
      </c>
      <c r="M519" t="n">
        <v>0.597397504456328</v>
      </c>
      <c r="N519" t="n">
        <v>0.1190804788556492</v>
      </c>
      <c r="O519" t="n">
        <v>-6.954803719008265</v>
      </c>
      <c r="P519" t="n">
        <v>-8.761055081458494</v>
      </c>
      <c r="Q519">
        <f>'_live'!$C$20</f>
        <v/>
      </c>
      <c r="R519" t="inlineStr">
        <is>
          <t>z test</t>
        </is>
      </c>
      <c r="S519" t="inlineStr">
        <is>
          <t>z test</t>
        </is>
      </c>
      <c r="T519" t="n">
        <v>0.07825413223140495</v>
      </c>
      <c r="U519" t="n">
        <v>0.08533747090768037</v>
      </c>
      <c r="V519">
        <f>AND(judged_band,NOT($J519))</f>
        <v/>
      </c>
      <c r="W519">
        <f>IF($K519="","",IF($I519,"too few losses to test",IF(AND($K519&gt;better_at,$K519&lt;worse_at),"in line",IF($K519&gt;=worse_at,IF(AND(ISNUMBER($L519),$L519&lt;significance_bar),"worse","worse, not significant"),IF(AND(ISNUMBER($L519),$L519&lt;significance_bar),"better","better, not significant")))))</f>
        <v/>
      </c>
      <c r="X519">
        <f>IF($M519="","",IF($I519,"too few losses to test",IF(AND($M519&gt;better_at,$M519&lt;worse_at),"in line",IF($M519&gt;=worse_at,IF(AND(ISNUMBER($N519),$N519&lt;significance_bar),"worse","worse, not significant"),IF(AND(ISNUMBER($N519),$N519&lt;significance_bar),"better","better, not significant")))))</f>
        <v/>
      </c>
      <c r="Y519">
        <f>IF($V519,$X519,$W519)</f>
        <v/>
      </c>
      <c r="Z519">
        <f>IF($V519,IF($P519="","",$P519),IF($O519="","",$O519))</f>
        <v/>
      </c>
      <c r="AA519">
        <f>IF(OR($Q519="",$Z519=""),"",IF(AND($Z519&gt;0,$Z519&gt;=$Q519),"yes","below the line"))</f>
        <v/>
      </c>
      <c r="AB519">
        <f>IF($V519,IF($M519="","",$M519),IF($K519="","",$K519))</f>
        <v/>
      </c>
      <c r="AC519">
        <f>IF($V519,IF($N519="","",$N519),IF($L519="","",$L519))</f>
        <v/>
      </c>
      <c r="AD519">
        <f>$Y519</f>
        <v/>
      </c>
      <c r="AE519">
        <f>IF($V519,IF($S519="","",$S519),IF($R519="","",$R519))</f>
        <v/>
      </c>
      <c r="AF519">
        <f>IF($V519,IF($U519="","",$U519),IF($T519="","",$T519))</f>
        <v/>
      </c>
      <c r="AG519">
        <f>IF($V519,IF($O519="","",$O519),IF($P519="","",$P519))</f>
        <v/>
      </c>
      <c r="AH519" t="n">
        <v>0.05098039215686274</v>
      </c>
      <c r="AI519">
        <f>IF($Y519="worse","Yes",IF($Y519="worse, not significant","Not sure",IF(OR($Y519="too few losses to test",$Y519="too few loans to test"),"Too few losses",IF($Y519="","","No"))))</f>
        <v/>
      </c>
      <c r="AJ519">
        <f>IF($AA519="yes","Yes",IF($AA519="","","No"))</f>
        <v/>
      </c>
      <c r="AM519">
        <f>IF(AND(ISNUMBER($AC519),ISNUMBER(IF($V519,IF($AL519="","",$AL519),IF($AK519="","",$AK519)))),IF(AND(ABS($AC519-significance_bar)&lt;=2.0*IF($V519,IF($AL519="","",$AL519),IF($AK519="","",$AK519)),OR($Y519="worse",$Y519="better",$Y519="worse, not significant",$Y519="better, not significant")),IF(ROUND($AC519,3)=ROUND(significance_bar,3),TEXT($AC519,"0.0000"),TEXT($AC519,"0.000")),""),"")</f>
        <v/>
      </c>
      <c r="AN519">
        <f>IF(AND(ISNUMBER($AC519),ISNUMBER(IF($V519,IF($AL519="","",$AL519),IF($AK519="","",$AK519)))),IF(AND(ABS($AC519-significance_bar)&lt;=2.0*IF($V519,IF($AL519="","",$AL519),IF($AK519="","",$AK519)),OR($Y519="worse",$Y519="worse, not significant")),IF(ROUND($AC519,3)=ROUND(significance_bar,3),TEXT($AC519,"0.0000"),TEXT($AC519,"0.000")),""),"")</f>
        <v/>
      </c>
      <c r="AO519">
        <f>IF(OR($AI519="",$AN519=""),$AI519,$AI519&amp;" · borderline (p "&amp;$AN519&amp;")")</f>
        <v/>
      </c>
    </row>
    <row r="520">
      <c r="A520" t="inlineStr">
        <is>
          <t>three-way</t>
        </is>
      </c>
      <c r="B520" t="inlineStr">
        <is>
          <t>SHORT_HIST x CHANNEL / REV_DEBT</t>
        </is>
      </c>
      <c r="C520" t="inlineStr">
        <is>
          <t>0.0 - 88.9</t>
        </is>
      </c>
      <c r="D520" t="inlineStr">
        <is>
          <t>Branch / REV_DEBT low half</t>
        </is>
      </c>
      <c r="E520" t="inlineStr">
        <is>
          <t>outcome_booked</t>
        </is>
      </c>
      <c r="F520" t="inlineStr">
        <is>
          <t>Outcome, share of booked dollars</t>
        </is>
      </c>
      <c r="G520" t="n">
        <v>255</v>
      </c>
      <c r="H520" t="n">
        <v>7992995.199999996</v>
      </c>
      <c r="I520" t="b">
        <v>0</v>
      </c>
      <c r="J520" t="b">
        <v>0</v>
      </c>
      <c r="K520" t="n">
        <v>0.6224606743839124</v>
      </c>
      <c r="L520" t="n">
        <v>0.1850689931006899</v>
      </c>
      <c r="M520" t="n">
        <v>0.5602910984787358</v>
      </c>
      <c r="N520" t="n">
        <v>0.142985701429857</v>
      </c>
      <c r="O520" t="n">
        <v>-228480.9104006303</v>
      </c>
      <c r="P520" t="n">
        <v>-295631.8210959636</v>
      </c>
      <c r="Q520">
        <f>'_live'!$C$21</f>
        <v/>
      </c>
      <c r="R520" t="inlineStr">
        <is>
          <t>shuffled: 1,138 of 10,000</t>
        </is>
      </c>
      <c r="S520" t="inlineStr">
        <is>
          <t>shuffled: 659 of 10,000</t>
        </is>
      </c>
      <c r="T520" t="n">
        <v>0.0757143455310258</v>
      </c>
      <c r="U520" t="n">
        <v>0.08411556547612639</v>
      </c>
      <c r="V520">
        <f>AND(judged_band,NOT($J520))</f>
        <v/>
      </c>
      <c r="W520">
        <f>IF($K520="","",IF($I520,"too few losses to test",IF(AND($K520&gt;better_at,$K520&lt;worse_at),"in line",IF($K520&gt;=worse_at,IF(AND(ISNUMBER($L520),$L520&lt;significance_bar),"worse","worse, not significant"),IF(AND(ISNUMBER($L520),$L520&lt;significance_bar),"better","better, not significant")))))</f>
        <v/>
      </c>
      <c r="X520">
        <f>IF($M520="","",IF($I520,"too few losses to test",IF(AND($M520&gt;better_at,$M520&lt;worse_at),"in line",IF($M520&gt;=worse_at,IF(AND(ISNUMBER($N520),$N520&lt;significance_bar),"worse","worse, not significant"),IF(AND(ISNUMBER($N520),$N520&lt;significance_bar),"better","better, not significant")))))</f>
        <v/>
      </c>
      <c r="Y520">
        <f>IF($V520,$X520,$W520)</f>
        <v/>
      </c>
      <c r="Z520">
        <f>IF($V520,IF($P520="","",$P520),IF($O520="","",$O520))</f>
        <v/>
      </c>
      <c r="AA520">
        <f>IF(OR($Q520="",$Z520=""),"",IF(AND($Z520&gt;0,$Z520&gt;=$Q520),"yes","below the line"))</f>
        <v/>
      </c>
      <c r="AB520">
        <f>IF($V520,IF($M520="","",$M520),IF($K520="","",$K520))</f>
        <v/>
      </c>
      <c r="AC520">
        <f>IF($V520,IF($N520="","",$N520),IF($L520="","",$L520))</f>
        <v/>
      </c>
      <c r="AD520">
        <f>$Y520</f>
        <v/>
      </c>
      <c r="AE520">
        <f>IF($V520,IF($S520="","",$S520),IF($R520="","",$R520))</f>
        <v/>
      </c>
      <c r="AF520">
        <f>IF($V520,IF($U520="","",$U520),IF($T520="","",$T520))</f>
        <v/>
      </c>
      <c r="AG520">
        <f>IF($V520,IF($O520="","",$O520),IF($P520="","",$P520))</f>
        <v/>
      </c>
      <c r="AH520" t="n">
        <v>0.04712920257977888</v>
      </c>
      <c r="AI520">
        <f>IF($Y520="worse","Yes",IF($Y520="worse, not significant","Not sure",IF(OR($Y520="too few losses to test",$Y520="too few loans to test"),"Too few losses",IF($Y520="","","No"))))</f>
        <v/>
      </c>
      <c r="AJ520">
        <f>IF($AA520="yes","Yes",IF($AA520="","","No"))</f>
        <v/>
      </c>
      <c r="AK520" t="n">
        <v>0.005162233834119856</v>
      </c>
      <c r="AL520" t="n">
        <v>0.005379195500115564</v>
      </c>
      <c r="AM520">
        <f>IF(AND(ISNUMBER($AC520),ISNUMBER(IF($V520,IF($AL520="","",$AL520),IF($AK520="","",$AK520)))),IF(AND(ABS($AC520-significance_bar)&lt;=2.0*IF($V520,IF($AL520="","",$AL520),IF($AK520="","",$AK520)),OR($Y520="worse",$Y520="better",$Y520="worse, not significant",$Y520="better, not significant")),IF(ROUND($AC520,3)=ROUND(significance_bar,3),TEXT($AC520,"0.0000"),TEXT($AC520,"0.000")),""),"")</f>
        <v/>
      </c>
      <c r="AN520">
        <f>IF(AND(ISNUMBER($AC520),ISNUMBER(IF($V520,IF($AL520="","",$AL520),IF($AK520="","",$AK520)))),IF(AND(ABS($AC520-significance_bar)&lt;=2.0*IF($V520,IF($AL520="","",$AL520),IF($AK520="","",$AK520)),OR($Y520="worse",$Y520="worse, not significant")),IF(ROUND($AC520,3)=ROUND(significance_bar,3),TEXT($AC520,"0.0000"),TEXT($AC520,"0.000")),""),"")</f>
        <v/>
      </c>
      <c r="AO520">
        <f>IF(OR($AI520="",$AN520=""),$AI520,$AI520&amp;" · borderline (p "&amp;$AN520&amp;")")</f>
        <v/>
      </c>
    </row>
    <row r="521">
      <c r="A521" t="inlineStr">
        <is>
          <t>three-way</t>
        </is>
      </c>
      <c r="B521" t="inlineStr">
        <is>
          <t>SHORT_HIST x CHANNEL / REV_DEBT</t>
        </is>
      </c>
      <c r="C521" t="inlineStr">
        <is>
          <t>0.0 - 88.9</t>
        </is>
      </c>
      <c r="D521" t="inlineStr">
        <is>
          <t>Branch / REV_DEBT low half</t>
        </is>
      </c>
      <c r="E521" t="inlineStr">
        <is>
          <t>gco_rate</t>
        </is>
      </c>
      <c r="F521" t="inlineStr">
        <is>
          <t>GCO per booked dollar</t>
        </is>
      </c>
      <c r="G521" t="n">
        <v>255</v>
      </c>
      <c r="H521" t="n">
        <v>7992995.199999996</v>
      </c>
      <c r="I521" t="b">
        <v>0</v>
      </c>
      <c r="J521" t="b">
        <v>0</v>
      </c>
      <c r="K521" t="n">
        <v>0.7367945722383734</v>
      </c>
      <c r="L521" t="n">
        <v>0.4249130642491307</v>
      </c>
      <c r="M521" t="n">
        <v>0.6778767646489686</v>
      </c>
      <c r="N521" t="n">
        <v>0.3194621714299158</v>
      </c>
      <c r="O521" t="n">
        <v>-88248.66818089286</v>
      </c>
      <c r="P521" t="n">
        <v>-117389.9834045008</v>
      </c>
      <c r="Q521">
        <f>'_live'!$C$22</f>
        <v/>
      </c>
      <c r="R521" t="inlineStr">
        <is>
          <t>shuffled: 2,941 of 10,000</t>
        </is>
      </c>
      <c r="S521" t="inlineStr">
        <is>
          <t>shuffled: 2,088 of 10,000</t>
        </is>
      </c>
      <c r="T521" t="n">
        <v>0.04194727630774669</v>
      </c>
      <c r="U521" t="n">
        <v>0.04559313302283742</v>
      </c>
      <c r="V521">
        <f>AND(judged_band,NOT($J521))</f>
        <v/>
      </c>
      <c r="W521">
        <f>IF($K521="","",IF($I521,"too few losses to test",IF(AND($K521&gt;better_at,$K521&lt;worse_at),"in line",IF($K521&gt;=worse_at,IF(AND(ISNUMBER($L521),$L521&lt;significance_bar),"worse","worse, not significant"),IF(AND(ISNUMBER($L521),$L521&lt;significance_bar),"better","better, not significant")))))</f>
        <v/>
      </c>
      <c r="X521">
        <f>IF($M521="","",IF($I521,"too few losses to test",IF(AND($M521&gt;better_at,$M521&lt;worse_at),"in line",IF($M521&gt;=worse_at,IF(AND(ISNUMBER($N521),$N521&lt;significance_bar),"worse","worse, not significant"),IF(AND(ISNUMBER($N521),$N521&lt;significance_bar),"better","better, not significant")))))</f>
        <v/>
      </c>
      <c r="Y521">
        <f>IF($V521,$X521,$W521)</f>
        <v/>
      </c>
      <c r="Z521">
        <f>IF($V521,IF($P521="","",$P521),IF($O521="","",$O521))</f>
        <v/>
      </c>
      <c r="AA521">
        <f>IF(OR($Q521="",$Z521=""),"",IF(AND($Z521&gt;0,$Z521&gt;=$Q521),"yes","below the line"))</f>
        <v/>
      </c>
      <c r="AB521">
        <f>IF($V521,IF($M521="","",$M521),IF($K521="","",$K521))</f>
        <v/>
      </c>
      <c r="AC521">
        <f>IF($V521,IF($N521="","",$N521),IF($L521="","",$L521))</f>
        <v/>
      </c>
      <c r="AD521">
        <f>$Y521</f>
        <v/>
      </c>
      <c r="AE521">
        <f>IF($V521,IF($S521="","",$S521),IF($R521="","",$R521))</f>
        <v/>
      </c>
      <c r="AF521">
        <f>IF($V521,IF($U521="","",$U521),IF($T521="","",$T521))</f>
        <v/>
      </c>
      <c r="AG521">
        <f>IF($V521,IF($O521="","",$O521),IF($P521="","",$P521))</f>
        <v/>
      </c>
      <c r="AH521" t="n">
        <v>0.03090652550373108</v>
      </c>
      <c r="AI521">
        <f>IF($Y521="worse","Yes",IF($Y521="worse, not significant","Not sure",IF(OR($Y521="too few losses to test",$Y521="too few loans to test"),"Too few losses",IF($Y521="","","No"))))</f>
        <v/>
      </c>
      <c r="AJ521">
        <f>IF($AA521="yes","Yes",IF($AA521="","","No"))</f>
        <v/>
      </c>
      <c r="AK521" t="n">
        <v>0.006581885769723873</v>
      </c>
      <c r="AL521" t="n">
        <v>0.006217178816703632</v>
      </c>
      <c r="AM521">
        <f>IF(AND(ISNUMBER($AC521),ISNUMBER(IF($V521,IF($AL521="","",$AL521),IF($AK521="","",$AK521)))),IF(AND(ABS($AC521-significance_bar)&lt;=2.0*IF($V521,IF($AL521="","",$AL521),IF($AK521="","",$AK521)),OR($Y521="worse",$Y521="better",$Y521="worse, not significant",$Y521="better, not significant")),IF(ROUND($AC521,3)=ROUND(significance_bar,3),TEXT($AC521,"0.0000"),TEXT($AC521,"0.000")),""),"")</f>
        <v/>
      </c>
      <c r="AN521">
        <f>IF(AND(ISNUMBER($AC521),ISNUMBER(IF($V521,IF($AL521="","",$AL521),IF($AK521="","",$AK521)))),IF(AND(ABS($AC521-significance_bar)&lt;=2.0*IF($V521,IF($AL521="","",$AL521),IF($AK521="","",$AK521)),OR($Y521="worse",$Y521="worse, not significant")),IF(ROUND($AC521,3)=ROUND(significance_bar,3),TEXT($AC521,"0.0000"),TEXT($AC521,"0.000")),""),"")</f>
        <v/>
      </c>
      <c r="AO521">
        <f>IF(OR($AI521="",$AN521=""),$AI521,$AI521&amp;" · borderline (p "&amp;$AN521&amp;")")</f>
        <v/>
      </c>
    </row>
    <row r="522">
      <c r="A522" t="inlineStr">
        <is>
          <t>three-way</t>
        </is>
      </c>
      <c r="B522" t="inlineStr">
        <is>
          <t>SHORT_HIST x CHANNEL / REV_DEBT</t>
        </is>
      </c>
      <c r="C522" t="inlineStr">
        <is>
          <t>0.0 - 88.9</t>
        </is>
      </c>
      <c r="D522" t="inlineStr">
        <is>
          <t>Branch / REV_DEBT low half</t>
        </is>
      </c>
      <c r="E522" t="inlineStr">
        <is>
          <t>ranr_rate</t>
        </is>
      </c>
      <c r="F522" t="inlineStr">
        <is>
          <t>Profit after losses: RANR per booked dollar</t>
        </is>
      </c>
      <c r="G522" t="n">
        <v>255</v>
      </c>
      <c r="H522" t="n">
        <v>7992995.199999996</v>
      </c>
      <c r="I522" t="b">
        <v>0</v>
      </c>
      <c r="J522" t="b">
        <v>0</v>
      </c>
      <c r="K522" t="n">
        <v>-0.03441876003837659</v>
      </c>
      <c r="L522" t="n">
        <v>0.06839316068393161</v>
      </c>
      <c r="M522" t="n">
        <v>-0.03715949202013001</v>
      </c>
      <c r="N522" t="n">
        <v>0.05471452854714529</v>
      </c>
      <c r="O522" t="n">
        <v>275108.9837766957</v>
      </c>
      <c r="P522" t="n">
        <v>297015.6413513373</v>
      </c>
      <c r="Q522">
        <f>'_live'!$C$23</f>
        <v/>
      </c>
      <c r="R522" t="inlineStr">
        <is>
          <t>shuffled: 75 of 10,000</t>
        </is>
      </c>
      <c r="S522" t="inlineStr">
        <is>
          <t>shuffled: 75 of 10,000</t>
        </is>
      </c>
      <c r="T522" t="n">
        <v>0.1290560807263711</v>
      </c>
      <c r="U522" t="n">
        <v>0.1317968127081245</v>
      </c>
      <c r="V522">
        <f>AND(judged_band,NOT($J522))</f>
        <v/>
      </c>
      <c r="W522">
        <f>IF($K522="","",IF(profit_kind="test",IF(OR(NOT(AND(ISNUMBER($L522),$L522&lt;significance_bar)),$K522=0),"in line",IF($K522&lt;0,"worse","better")),IF(OR($K522=0,IF(profit_kind="points",ABS($K522),ABS($K522*$H522))&lt;profit_line*(1-1E-9)),"in line",IF(AND(ISNUMBER($L522),$L522&lt;significance_bar),IF($K522&lt;0,"worse","better"),IF($K522&lt;0,"worse, not significant","better, not significant")))))</f>
        <v/>
      </c>
      <c r="X522">
        <f>IF($M522="","",IF(profit_kind="test",IF(OR(NOT(AND(ISNUMBER($N522),$N522&lt;significance_bar)),$M522=0),"in line",IF($M522&lt;0,"worse","better")),IF(OR($M522=0,IF(profit_kind="points",ABS($M522),ABS($M522*$H522))&lt;profit_line*(1-1E-9)),"in line",IF(AND(ISNUMBER($N522),$N522&lt;significance_bar),IF($M522&lt;0,"worse","better"),IF($M522&lt;0,"worse, not significant","better, not significant")))))</f>
        <v/>
      </c>
      <c r="Y522">
        <f>IF($V522,$X522,$W522)</f>
        <v/>
      </c>
      <c r="Z522">
        <f>IF($V522,IF($P522="","",$P522),IF($O522="","",$O522))</f>
        <v/>
      </c>
      <c r="AA522">
        <f>IF(OR($Q522="",$Z522=""),"",IF(AND($Z522&gt;0,$Z522&gt;=$Q522),"yes","below the line"))</f>
        <v/>
      </c>
      <c r="AB522">
        <f>IF($V522,IF($M522="","",$M522),IF($K522="","",$K522))</f>
        <v/>
      </c>
      <c r="AC522">
        <f>IF($V522,IF($N522="","",$N522),IF($L522="","",$L522))</f>
        <v/>
      </c>
      <c r="AD522">
        <f>IF($Y522="","",IF($Y522="in line",IF(profit_kind="test",IF(ROUND($AB522*100,2)=0,"0.00",TEXT($AB522*100,"+0.00;-0.00"))&amp;" points against "&amp;IF($V522,"its band","the book")&amp;", "&amp;IF($AC522="","not tested","not significant"),IF(profit_kind="points","within "&amp;TEXT(profit_line*100,"0.00")&amp;" points of "&amp;IF($V522,"its band","the book")&amp;" ("&amp;IF(ROUND($AB522*100,2)=0,"0.00",TEXT($AB522*100,"+0.00;-0.00"))&amp;")","within $"&amp;TEXT(profit_line,"#,##0")&amp;" of "&amp;IF($V522,"its band","the book")&amp;" ("&amp;IF(ROUND($AB522*100,2)=0,"0.00",TEXT($AB522*100,"+0.00;-0.00"))&amp;" points)")),IF(LEFT($Y522,5)="worse","short of ","ahead of ")&amp;IF($V522,"its band","the book")&amp;" by "&amp;TEXT(ABS($AB522)*100,"0.00")&amp;" points"&amp;IF($Z522="",""," ($"&amp;TEXT(ABS($Z522),"#,##0")&amp;")")&amp;IF(RIGHT($Y522,15)="not significant"," (not significant)","")))</f>
        <v/>
      </c>
      <c r="AE522">
        <f>IF($V522,IF($S522="","",$S522),IF($R522="","",$R522))</f>
        <v/>
      </c>
      <c r="AF522">
        <f>IF($V522,IF($U522="","",$U522),IF($T522="","",$T522))</f>
        <v/>
      </c>
      <c r="AG522">
        <f>IF($V522,IF($O522="","",$O522),IF($P522="","",$P522))</f>
        <v/>
      </c>
      <c r="AH522" t="n">
        <v>0.09463732068799451</v>
      </c>
      <c r="AI522">
        <f>IF($Y522="worse","Yes",IF($Y522="worse, not significant","Not sure",IF(OR($Y522="too few losses to test",$Y522="too few loans to test"),"Too few losses",IF($Y522="","","No"))))</f>
        <v/>
      </c>
      <c r="AJ522">
        <f>IF($AA522="yes","Yes",IF($AA522="","","No"))</f>
        <v/>
      </c>
      <c r="AK522" t="n">
        <v>0.007815758579479321</v>
      </c>
      <c r="AL522" t="n">
        <v>0.006252606863583457</v>
      </c>
      <c r="AM522">
        <f>IF(AND(ISNUMBER($AC522),ISNUMBER(IF($V522,IF($AL522="","",$AL522),IF($AK522="","",$AK522)))),IF(AND(ABS($AC522-significance_bar)&lt;=2.0*IF($V522,IF($AL522="","",$AL522),IF($AK522="","",$AK522)),OR($Y522="worse",$Y522="better",$Y522="worse, not significant",$Y522="better, not significant",AND(profit_kind="test",$Y522="in line",ISNUMBER($AB522),$AB522&lt;&gt;0))),IF(ROUND($AC522,3)=ROUND(significance_bar,3),TEXT($AC522,"0.0000"),TEXT($AC522,"0.000")),""),"")</f>
        <v/>
      </c>
      <c r="AN522">
        <f>IF(AND(ISNUMBER($AC522),ISNUMBER(IF($V522,IF($AL522="","",$AL522),IF($AK522="","",$AK522)))),IF(AND(ABS($AC522-significance_bar)&lt;=2.0*IF($V522,IF($AL522="","",$AL522),IF($AK522="","",$AK522)),OR($Y522="worse",$Y522="worse, not significant",AND(profit_kind="test",$Y522="in line",ISNUMBER($AB522),$AB522&lt;0))),IF(ROUND($AC522,3)=ROUND(significance_bar,3),TEXT($AC522,"0.0000"),TEXT($AC522,"0.000")),""),"")</f>
        <v/>
      </c>
      <c r="AO522">
        <f>IF(OR($AI522="",$AN522=""),$AI522,$AI522&amp;" · borderline (p "&amp;$AN522&amp;")")</f>
        <v/>
      </c>
    </row>
    <row r="523">
      <c r="A523" t="inlineStr">
        <is>
          <t>three-way</t>
        </is>
      </c>
      <c r="B523" t="inlineStr">
        <is>
          <t>SHORT_HIST x CHANNEL / REV_DEBT</t>
        </is>
      </c>
      <c r="C523" t="inlineStr">
        <is>
          <t>0.0 - 88.9</t>
        </is>
      </c>
      <c r="D523" t="inlineStr">
        <is>
          <t>Branch / REV_DEBT low half</t>
        </is>
      </c>
      <c r="E523" t="inlineStr">
        <is>
          <t>contribution_rate</t>
        </is>
      </c>
      <c r="F523" t="inlineStr">
        <is>
          <t>Contribution before losses per booked dollar</t>
        </is>
      </c>
      <c r="G523" t="n">
        <v>255</v>
      </c>
      <c r="H523" t="n">
        <v>7992995.199999996</v>
      </c>
      <c r="I523" t="b">
        <v>0</v>
      </c>
      <c r="J523" t="b">
        <v>0</v>
      </c>
      <c r="K523" t="n">
        <v>-0.04545672938832904</v>
      </c>
      <c r="L523" t="n">
        <v>0.00023997600239976</v>
      </c>
      <c r="M523" t="n">
        <v>-0.0518460995392363</v>
      </c>
      <c r="N523" t="n">
        <v>0.00023997600239976</v>
      </c>
      <c r="O523" t="n">
        <v>363335.4198086127</v>
      </c>
      <c r="P523" t="n">
        <v>414405.6247558377</v>
      </c>
      <c r="Q523">
        <f>'_live'!$C$24</f>
        <v/>
      </c>
      <c r="R523" t="inlineStr">
        <is>
          <t>shuffled: 0 of 10,000</t>
        </is>
      </c>
      <c r="S523" t="inlineStr">
        <is>
          <t>shuffled: 0 of 10,000</t>
        </is>
      </c>
      <c r="T523" t="n">
        <v>0.1710005755800547</v>
      </c>
      <c r="U523" t="n">
        <v>0.1773899457309619</v>
      </c>
      <c r="V523">
        <f>AND(judged_band,NOT($J523))</f>
        <v/>
      </c>
      <c r="W523">
        <f>IF($K523="","",IF(profit_kind="test",IF(OR(NOT(AND(ISNUMBER($L523),$L523&lt;significance_bar)),$K523=0),"in line",IF($K523&lt;0,"worse","better")),IF(OR($K523=0,IF(profit_kind="points",ABS($K523),ABS($K523*$H523))&lt;profit_line*(1-1E-9)),"in line",IF(AND(ISNUMBER($L523),$L523&lt;significance_bar),IF($K523&lt;0,"worse","better"),IF($K523&lt;0,"worse, not significant","better, not significant")))))</f>
        <v/>
      </c>
      <c r="X523">
        <f>IF($M523="","",IF(profit_kind="test",IF(OR(NOT(AND(ISNUMBER($N523),$N523&lt;significance_bar)),$M523=0),"in line",IF($M523&lt;0,"worse","better")),IF(OR($M523=0,IF(profit_kind="points",ABS($M523),ABS($M523*$H523))&lt;profit_line*(1-1E-9)),"in line",IF(AND(ISNUMBER($N523),$N523&lt;significance_bar),IF($M523&lt;0,"worse","better"),IF($M523&lt;0,"worse, not significant","better, not significant")))))</f>
        <v/>
      </c>
      <c r="Y523">
        <f>IF($V523,$X523,$W523)</f>
        <v/>
      </c>
      <c r="Z523">
        <f>IF($V523,IF($P523="","",$P523),IF($O523="","",$O523))</f>
        <v/>
      </c>
      <c r="AA523">
        <f>IF(OR($Q523="",$Z523=""),"",IF(AND($Z523&gt;0,$Z523&gt;=$Q523),"yes","below the line"))</f>
        <v/>
      </c>
      <c r="AB523">
        <f>IF($V523,IF($M523="","",$M523),IF($K523="","",$K523))</f>
        <v/>
      </c>
      <c r="AC523">
        <f>IF($V523,IF($N523="","",$N523),IF($L523="","",$L523))</f>
        <v/>
      </c>
      <c r="AD523">
        <f>IF($Y523="","",IF($Y523="in line",IF(profit_kind="test",IF(ROUND($AB523*100,2)=0,"0.00",TEXT($AB523*100,"+0.00;-0.00"))&amp;" points against "&amp;IF($V523,"its band","the book")&amp;", "&amp;IF($AC523="","not tested","not significant"),IF(profit_kind="points","within "&amp;TEXT(profit_line*100,"0.00")&amp;" points of "&amp;IF($V523,"its band","the book")&amp;" ("&amp;IF(ROUND($AB523*100,2)=0,"0.00",TEXT($AB523*100,"+0.00;-0.00"))&amp;")","within $"&amp;TEXT(profit_line,"#,##0")&amp;" of "&amp;IF($V523,"its band","the book")&amp;" ("&amp;IF(ROUND($AB523*100,2)=0,"0.00",TEXT($AB523*100,"+0.00;-0.00"))&amp;" points)")),IF(LEFT($Y523,5)="worse","short of ","ahead of ")&amp;IF($V523,"its band","the book")&amp;" by "&amp;TEXT(ABS($AB523)*100,"0.00")&amp;" points"&amp;IF($Z523="",""," ($"&amp;TEXT(ABS($Z523),"#,##0")&amp;")")&amp;IF(RIGHT($Y523,15)="not significant"," (not significant)","")))</f>
        <v/>
      </c>
      <c r="AE523">
        <f>IF($V523,IF($S523="","",$S523),IF($R523="","",$R523))</f>
        <v/>
      </c>
      <c r="AF523">
        <f>IF($V523,IF($U523="","",$U523),IF($T523="","",$T523))</f>
        <v/>
      </c>
      <c r="AG523">
        <f>IF($V523,IF($O523="","",$O523),IF($P523="","",$P523))</f>
        <v/>
      </c>
      <c r="AH523" t="n">
        <v>0.1255438461917256</v>
      </c>
      <c r="AI523">
        <f>IF($Y523="worse","Yes",IF($Y523="worse, not significant","Not sure",IF(OR($Y523="too few losses to test",$Y523="too few loans to test"),"Too few losses",IF($Y523="","","No"))))</f>
        <v/>
      </c>
      <c r="AJ523">
        <f>IF($AA523="yes","Yes",IF($AA523="","","No"))</f>
        <v/>
      </c>
      <c r="AK523" t="n">
        <v>0.00023997600239976</v>
      </c>
      <c r="AL523" t="n">
        <v>0.00023997600239976</v>
      </c>
      <c r="AM523">
        <f>IF(AND(ISNUMBER($AC523),ISNUMBER(IF($V523,IF($AL523="","",$AL523),IF($AK523="","",$AK523)))),IF(AND(ABS($AC523-significance_bar)&lt;=2.0*IF($V523,IF($AL523="","",$AL523),IF($AK523="","",$AK523)),OR($Y523="worse",$Y523="better",$Y523="worse, not significant",$Y523="better, not significant",AND(profit_kind="test",$Y523="in line",ISNUMBER($AB523),$AB523&lt;&gt;0))),IF(ROUND($AC523,3)=ROUND(significance_bar,3),TEXT($AC523,"0.0000"),TEXT($AC523,"0.000")),""),"")</f>
        <v/>
      </c>
      <c r="AN523">
        <f>IF(AND(ISNUMBER($AC523),ISNUMBER(IF($V523,IF($AL523="","",$AL523),IF($AK523="","",$AK523)))),IF(AND(ABS($AC523-significance_bar)&lt;=2.0*IF($V523,IF($AL523="","",$AL523),IF($AK523="","",$AK523)),OR($Y523="worse",$Y523="worse, not significant",AND(profit_kind="test",$Y523="in line",ISNUMBER($AB523),$AB523&lt;0))),IF(ROUND($AC523,3)=ROUND(significance_bar,3),TEXT($AC523,"0.0000"),TEXT($AC523,"0.000")),""),"")</f>
        <v/>
      </c>
      <c r="AO523">
        <f>IF(OR($AI523="",$AN523=""),$AI523,$AI523&amp;" · borderline (p "&amp;$AN523&amp;")")</f>
        <v/>
      </c>
    </row>
    <row r="524">
      <c r="A524" t="inlineStr">
        <is>
          <t>three-way</t>
        </is>
      </c>
      <c r="B524" t="inlineStr">
        <is>
          <t>SHORT_HIST x CHANNEL / REV_DEBT</t>
        </is>
      </c>
      <c r="C524" t="inlineStr">
        <is>
          <t>0.0 - 88.9</t>
        </is>
      </c>
      <c r="D524" t="inlineStr">
        <is>
          <t>Broker / REV_DEBT high half</t>
        </is>
      </c>
      <c r="E524" t="inlineStr">
        <is>
          <t>outcome_loans</t>
        </is>
      </c>
      <c r="F524" t="inlineStr">
        <is>
          <t>Outcome, share of loans</t>
        </is>
      </c>
      <c r="G524" t="n">
        <v>254</v>
      </c>
      <c r="H524" t="n">
        <v>254</v>
      </c>
      <c r="I524" t="b">
        <v>0</v>
      </c>
      <c r="J524" t="b">
        <v>0</v>
      </c>
      <c r="K524" t="n">
        <v>1.827439057275375</v>
      </c>
      <c r="L524" t="n">
        <v>0.002170222829393084</v>
      </c>
      <c r="M524" t="n">
        <v>2.019953471725125</v>
      </c>
      <c r="N524" t="n">
        <v>0.001180344147362687</v>
      </c>
      <c r="O524" t="n">
        <v>15.84751452550032</v>
      </c>
      <c r="P524" t="n">
        <v>17.67286821705427</v>
      </c>
      <c r="Q524">
        <f>'_live'!$C$20</f>
        <v/>
      </c>
      <c r="R524" t="inlineStr">
        <is>
          <t>z test</t>
        </is>
      </c>
      <c r="S524" t="inlineStr">
        <is>
          <t>z test</t>
        </is>
      </c>
      <c r="T524" t="n">
        <v>0.07540348612007747</v>
      </c>
      <c r="U524" t="n">
        <v>0.06821705426356589</v>
      </c>
      <c r="V524">
        <f>AND(judged_band,NOT($J524))</f>
        <v/>
      </c>
      <c r="W524">
        <f>IF($K524="","",IF($I524,"too few losses to test",IF(AND($K524&gt;better_at,$K524&lt;worse_at),"in line",IF($K524&gt;=worse_at,IF(AND(ISNUMBER($L524),$L524&lt;significance_bar),"worse","worse, not significant"),IF(AND(ISNUMBER($L524),$L524&lt;significance_bar),"better","better, not significant")))))</f>
        <v/>
      </c>
      <c r="X524">
        <f>IF($M524="","",IF($I524,"too few losses to test",IF(AND($M524&gt;better_at,$M524&lt;worse_at),"in line",IF($M524&gt;=worse_at,IF(AND(ISNUMBER($N524),$N524&lt;significance_bar),"worse","worse, not significant"),IF(AND(ISNUMBER($N524),$N524&lt;significance_bar),"better","better, not significant")))))</f>
        <v/>
      </c>
      <c r="Y524">
        <f>IF($V524,$X524,$W524)</f>
        <v/>
      </c>
      <c r="Z524">
        <f>IF($V524,IF($P524="","",$P524),IF($O524="","",$O524))</f>
        <v/>
      </c>
      <c r="AA524">
        <f>IF(OR($Q524="",$Z524=""),"",IF(AND($Z524&gt;0,$Z524&gt;=$Q524),"yes","below the line"))</f>
        <v/>
      </c>
      <c r="AB524">
        <f>IF($V524,IF($M524="","",$M524),IF($K524="","",$K524))</f>
        <v/>
      </c>
      <c r="AC524">
        <f>IF($V524,IF($N524="","",$N524),IF($L524="","",$L524))</f>
        <v/>
      </c>
      <c r="AD524">
        <f>$Y524</f>
        <v/>
      </c>
      <c r="AE524">
        <f>IF($V524,IF($S524="","",$S524),IF($R524="","",$R524))</f>
        <v/>
      </c>
      <c r="AF524">
        <f>IF($V524,IF($U524="","",$U524),IF($T524="","",$T524))</f>
        <v/>
      </c>
      <c r="AG524">
        <f>IF($V524,IF($O524="","",$O524),IF($P524="","",$P524))</f>
        <v/>
      </c>
      <c r="AH524" t="n">
        <v>0.1377952755905512</v>
      </c>
      <c r="AI524">
        <f>IF($Y524="worse","Yes",IF($Y524="worse, not significant","Not sure",IF(OR($Y524="too few losses to test",$Y524="too few loans to test"),"Too few losses",IF($Y524="","","No"))))</f>
        <v/>
      </c>
      <c r="AJ524">
        <f>IF($AA524="yes","Yes",IF($AA524="","","No"))</f>
        <v/>
      </c>
      <c r="AM524">
        <f>IF(AND(ISNUMBER($AC524),ISNUMBER(IF($V524,IF($AL524="","",$AL524),IF($AK524="","",$AK524)))),IF(AND(ABS($AC524-significance_bar)&lt;=2.0*IF($V524,IF($AL524="","",$AL524),IF($AK524="","",$AK524)),OR($Y524="worse",$Y524="better",$Y524="worse, not significant",$Y524="better, not significant")),IF(ROUND($AC524,3)=ROUND(significance_bar,3),TEXT($AC524,"0.0000"),TEXT($AC524,"0.000")),""),"")</f>
        <v/>
      </c>
      <c r="AN524">
        <f>IF(AND(ISNUMBER($AC524),ISNUMBER(IF($V524,IF($AL524="","",$AL524),IF($AK524="","",$AK524)))),IF(AND(ABS($AC524-significance_bar)&lt;=2.0*IF($V524,IF($AL524="","",$AL524),IF($AK524="","",$AK524)),OR($Y524="worse",$Y524="worse, not significant")),IF(ROUND($AC524,3)=ROUND(significance_bar,3),TEXT($AC524,"0.0000"),TEXT($AC524,"0.000")),""),"")</f>
        <v/>
      </c>
      <c r="AO524">
        <f>IF(OR($AI524="",$AN524=""),$AI524,$AI524&amp;" · borderline (p "&amp;$AN524&amp;")")</f>
        <v/>
      </c>
    </row>
    <row r="525">
      <c r="A525" t="inlineStr">
        <is>
          <t>three-way</t>
        </is>
      </c>
      <c r="B525" t="inlineStr">
        <is>
          <t>SHORT_HIST x CHANNEL / REV_DEBT</t>
        </is>
      </c>
      <c r="C525" t="inlineStr">
        <is>
          <t>0.0 - 88.9</t>
        </is>
      </c>
      <c r="D525" t="inlineStr">
        <is>
          <t>Broker / REV_DEBT high half</t>
        </is>
      </c>
      <c r="E525" t="inlineStr">
        <is>
          <t>outcome_booked</t>
        </is>
      </c>
      <c r="F525" t="inlineStr">
        <is>
          <t>Outcome, share of booked dollars</t>
        </is>
      </c>
      <c r="G525" t="n">
        <v>254</v>
      </c>
      <c r="H525" t="n">
        <v>7947556.889999998</v>
      </c>
      <c r="I525" t="b">
        <v>0</v>
      </c>
      <c r="J525" t="b">
        <v>0</v>
      </c>
      <c r="K525" t="n">
        <v>1.775805843219559</v>
      </c>
      <c r="L525" t="n">
        <v>0.0103989601039896</v>
      </c>
      <c r="M525" t="n">
        <v>1.903402143148933</v>
      </c>
      <c r="N525" t="n">
        <v>0.01195880411958804</v>
      </c>
      <c r="O525" t="n">
        <v>450609.4390005294</v>
      </c>
      <c r="P525" t="n">
        <v>489545.7466931416</v>
      </c>
      <c r="Q525">
        <f>'_live'!$C$21</f>
        <v/>
      </c>
      <c r="R525" t="inlineStr">
        <is>
          <t>shuffled: 19 of 10,000</t>
        </is>
      </c>
      <c r="S525" t="inlineStr">
        <is>
          <t>shuffled: 22 of 10,000</t>
        </is>
      </c>
      <c r="T525" t="n">
        <v>0.07308253329149442</v>
      </c>
      <c r="U525" t="n">
        <v>0.06818337896878629</v>
      </c>
      <c r="V525">
        <f>AND(judged_band,NOT($J525))</f>
        <v/>
      </c>
      <c r="W525">
        <f>IF($K525="","",IF($I525,"too few losses to test",IF(AND($K525&gt;better_at,$K525&lt;worse_at),"in line",IF($K525&gt;=worse_at,IF(AND(ISNUMBER($L525),$L525&lt;significance_bar),"worse","worse, not significant"),IF(AND(ISNUMBER($L525),$L525&lt;significance_bar),"better","better, not significant")))))</f>
        <v/>
      </c>
      <c r="X525">
        <f>IF($M525="","",IF($I525,"too few losses to test",IF(AND($M525&gt;better_at,$M525&lt;worse_at),"in line",IF($M525&gt;=worse_at,IF(AND(ISNUMBER($N525),$N525&lt;significance_bar),"worse","worse, not significant"),IF(AND(ISNUMBER($N525),$N525&lt;significance_bar),"better","better, not significant")))))</f>
        <v/>
      </c>
      <c r="Y525">
        <f>IF($V525,$X525,$W525)</f>
        <v/>
      </c>
      <c r="Z525">
        <f>IF($V525,IF($P525="","",$P525),IF($O525="","",$O525))</f>
        <v/>
      </c>
      <c r="AA525">
        <f>IF(OR($Q525="",$Z525=""),"",IF(AND($Z525&gt;0,$Z525&gt;=$Q525),"yes","below the line"))</f>
        <v/>
      </c>
      <c r="AB525">
        <f>IF($V525,IF($M525="","",$M525),IF($K525="","",$K525))</f>
        <v/>
      </c>
      <c r="AC525">
        <f>IF($V525,IF($N525="","",$N525),IF($L525="","",$L525))</f>
        <v/>
      </c>
      <c r="AD525">
        <f>$Y525</f>
        <v/>
      </c>
      <c r="AE525">
        <f>IF($V525,IF($S525="","",$S525),IF($R525="","",$R525))</f>
        <v/>
      </c>
      <c r="AF525">
        <f>IF($V525,IF($U525="","",$U525),IF($T525="","",$T525))</f>
        <v/>
      </c>
      <c r="AG525">
        <f>IF($V525,IF($O525="","",$O525),IF($P525="","",$P525))</f>
        <v/>
      </c>
      <c r="AH525" t="n">
        <v>0.1297803896563237</v>
      </c>
      <c r="AI525">
        <f>IF($Y525="worse","Yes",IF($Y525="worse, not significant","Not sure",IF(OR($Y525="too few losses to test",$Y525="too few loans to test"),"Too few losses",IF($Y525="","","No"))))</f>
        <v/>
      </c>
      <c r="AJ525">
        <f>IF($AA525="yes","Yes",IF($AA525="","","No"))</f>
        <v/>
      </c>
      <c r="AK525" t="n">
        <v>0.002323068104242783</v>
      </c>
      <c r="AL525" t="n">
        <v>0.002490838582202531</v>
      </c>
      <c r="AM525">
        <f>IF(AND(ISNUMBER($AC525),ISNUMBER(IF($V525,IF($AL525="","",$AL525),IF($AK525="","",$AK525)))),IF(AND(ABS($AC525-significance_bar)&lt;=2.0*IF($V525,IF($AL525="","",$AL525),IF($AK525="","",$AK525)),OR($Y525="worse",$Y525="better",$Y525="worse, not significant",$Y525="better, not significant")),IF(ROUND($AC525,3)=ROUND(significance_bar,3),TEXT($AC525,"0.0000"),TEXT($AC525,"0.000")),""),"")</f>
        <v/>
      </c>
      <c r="AN525">
        <f>IF(AND(ISNUMBER($AC525),ISNUMBER(IF($V525,IF($AL525="","",$AL525),IF($AK525="","",$AK525)))),IF(AND(ABS($AC525-significance_bar)&lt;=2.0*IF($V525,IF($AL525="","",$AL525),IF($AK525="","",$AK525)),OR($Y525="worse",$Y525="worse, not significant")),IF(ROUND($AC525,3)=ROUND(significance_bar,3),TEXT($AC525,"0.0000"),TEXT($AC525,"0.000")),""),"")</f>
        <v/>
      </c>
      <c r="AO525">
        <f>IF(OR($AI525="",$AN525=""),$AI525,$AI525&amp;" · borderline (p "&amp;$AN525&amp;")")</f>
        <v/>
      </c>
    </row>
    <row r="526">
      <c r="A526" t="inlineStr">
        <is>
          <t>three-way</t>
        </is>
      </c>
      <c r="B526" t="inlineStr">
        <is>
          <t>SHORT_HIST x CHANNEL / REV_DEBT</t>
        </is>
      </c>
      <c r="C526" t="inlineStr">
        <is>
          <t>0.0 - 88.9</t>
        </is>
      </c>
      <c r="D526" t="inlineStr">
        <is>
          <t>Broker / REV_DEBT high half</t>
        </is>
      </c>
      <c r="E526" t="inlineStr">
        <is>
          <t>gco_rate</t>
        </is>
      </c>
      <c r="F526" t="inlineStr">
        <is>
          <t>GCO per booked dollar</t>
        </is>
      </c>
      <c r="G526" t="n">
        <v>254</v>
      </c>
      <c r="H526" t="n">
        <v>7947556.889999998</v>
      </c>
      <c r="I526" t="b">
        <v>0</v>
      </c>
      <c r="J526" t="b">
        <v>0</v>
      </c>
      <c r="K526" t="n">
        <v>1.760535074672182</v>
      </c>
      <c r="L526" t="n">
        <v>0.01767823217678232</v>
      </c>
      <c r="M526" t="n">
        <v>1.895148764090256</v>
      </c>
      <c r="N526" t="n">
        <v>0.01975802419758024</v>
      </c>
      <c r="O526" t="n">
        <v>245722.5701053443</v>
      </c>
      <c r="P526" t="n">
        <v>268671.9905240917</v>
      </c>
      <c r="Q526">
        <f>'_live'!$C$22</f>
        <v/>
      </c>
      <c r="R526" t="inlineStr">
        <is>
          <t>shuffled: 33 of 10,000</t>
        </is>
      </c>
      <c r="S526" t="inlineStr">
        <is>
          <t>shuffled: 37 of 10,000</t>
        </is>
      </c>
      <c r="T526" t="n">
        <v>0.04065295843319919</v>
      </c>
      <c r="U526" t="n">
        <v>0.03776535149481749</v>
      </c>
      <c r="V526">
        <f>AND(judged_band,NOT($J526))</f>
        <v/>
      </c>
      <c r="W526">
        <f>IF($K526="","",IF($I526,"too few losses to test",IF(AND($K526&gt;better_at,$K526&lt;worse_at),"in line",IF($K526&gt;=worse_at,IF(AND(ISNUMBER($L526),$L526&lt;significance_bar),"worse","worse, not significant"),IF(AND(ISNUMBER($L526),$L526&lt;significance_bar),"better","better, not significant")))))</f>
        <v/>
      </c>
      <c r="X526">
        <f>IF($M526="","",IF($I526,"too few losses to test",IF(AND($M526&gt;better_at,$M526&lt;worse_at),"in line",IF($M526&gt;=worse_at,IF(AND(ISNUMBER($N526),$N526&lt;significance_bar),"worse","worse, not significant"),IF(AND(ISNUMBER($N526),$N526&lt;significance_bar),"better","better, not significant")))))</f>
        <v/>
      </c>
      <c r="Y526">
        <f>IF($V526,$X526,$W526)</f>
        <v/>
      </c>
      <c r="Z526">
        <f>IF($V526,IF($P526="","",$P526),IF($O526="","",$O526))</f>
        <v/>
      </c>
      <c r="AA526">
        <f>IF(OR($Q526="",$Z526=""),"",IF(AND($Z526&gt;0,$Z526&gt;=$Q526),"yes","below the line"))</f>
        <v/>
      </c>
      <c r="AB526">
        <f>IF($V526,IF($M526="","",$M526),IF($K526="","",$K526))</f>
        <v/>
      </c>
      <c r="AC526">
        <f>IF($V526,IF($N526="","",$N526),IF($L526="","",$L526))</f>
        <v/>
      </c>
      <c r="AD526">
        <f>$Y526</f>
        <v/>
      </c>
      <c r="AE526">
        <f>IF($V526,IF($S526="","",$S526),IF($R526="","",$R526))</f>
        <v/>
      </c>
      <c r="AF526">
        <f>IF($V526,IF($U526="","",$U526),IF($T526="","",$T526))</f>
        <v/>
      </c>
      <c r="AG526">
        <f>IF($V526,IF($O526="","",$O526),IF($P526="","",$P526))</f>
        <v/>
      </c>
      <c r="AH526" t="n">
        <v>0.07157095921083748</v>
      </c>
      <c r="AI526">
        <f>IF($Y526="worse","Yes",IF($Y526="worse, not significant","Not sure",IF(OR($Y526="too few losses to test",$Y526="too few loans to test"),"Too few losses",IF($Y526="","","No"))))</f>
        <v/>
      </c>
      <c r="AJ526">
        <f>IF($AA526="yes","Yes",IF($AA526="","","No"))</f>
        <v/>
      </c>
      <c r="AK526" t="n">
        <v>0.003026785215808546</v>
      </c>
      <c r="AL526" t="n">
        <v>0.003199239695728113</v>
      </c>
      <c r="AM526">
        <f>IF(AND(ISNUMBER($AC526),ISNUMBER(IF($V526,IF($AL526="","",$AL526),IF($AK526="","",$AK526)))),IF(AND(ABS($AC526-significance_bar)&lt;=2.0*IF($V526,IF($AL526="","",$AL526),IF($AK526="","",$AK526)),OR($Y526="worse",$Y526="better",$Y526="worse, not significant",$Y526="better, not significant")),IF(ROUND($AC526,3)=ROUND(significance_bar,3),TEXT($AC526,"0.0000"),TEXT($AC526,"0.000")),""),"")</f>
        <v/>
      </c>
      <c r="AN526">
        <f>IF(AND(ISNUMBER($AC526),ISNUMBER(IF($V526,IF($AL526="","",$AL526),IF($AK526="","",$AK526)))),IF(AND(ABS($AC526-significance_bar)&lt;=2.0*IF($V526,IF($AL526="","",$AL526),IF($AK526="","",$AK526)),OR($Y526="worse",$Y526="worse, not significant")),IF(ROUND($AC526,3)=ROUND(significance_bar,3),TEXT($AC526,"0.0000"),TEXT($AC526,"0.000")),""),"")</f>
        <v/>
      </c>
      <c r="AO526">
        <f>IF(OR($AI526="",$AN526=""),$AI526,$AI526&amp;" · borderline (p "&amp;$AN526&amp;")")</f>
        <v/>
      </c>
    </row>
    <row r="527">
      <c r="A527" t="inlineStr">
        <is>
          <t>three-way</t>
        </is>
      </c>
      <c r="B527" t="inlineStr">
        <is>
          <t>SHORT_HIST x CHANNEL / REV_DEBT</t>
        </is>
      </c>
      <c r="C527" t="inlineStr">
        <is>
          <t>0.0 - 88.9</t>
        </is>
      </c>
      <c r="D527" t="inlineStr">
        <is>
          <t>Broker / REV_DEBT high half</t>
        </is>
      </c>
      <c r="E527" t="inlineStr">
        <is>
          <t>ranr_rate</t>
        </is>
      </c>
      <c r="F527" t="inlineStr">
        <is>
          <t>Profit after losses: RANR per booked dollar</t>
        </is>
      </c>
      <c r="G527" t="n">
        <v>254</v>
      </c>
      <c r="H527" t="n">
        <v>7947556.889999998</v>
      </c>
      <c r="I527" t="b">
        <v>0</v>
      </c>
      <c r="J527" t="b">
        <v>0</v>
      </c>
      <c r="K527" t="n">
        <v>0.003885072116792787</v>
      </c>
      <c r="L527" t="n">
        <v>0.7832816718328168</v>
      </c>
      <c r="M527" t="n">
        <v>0.007129885108713555</v>
      </c>
      <c r="N527" t="n">
        <v>0.7068067386809705</v>
      </c>
      <c r="O527" t="n">
        <v>-30876.83166996331</v>
      </c>
      <c r="P527" t="n">
        <v>-56665.16752066475</v>
      </c>
      <c r="Q527">
        <f>'_live'!$C$23</f>
        <v/>
      </c>
      <c r="R527" t="inlineStr">
        <is>
          <t>shuffled: 7,615 of 10,000</t>
        </is>
      </c>
      <c r="S527" t="inlineStr">
        <is>
          <t>shuffled: 6,020 of 10,000</t>
        </is>
      </c>
      <c r="T527" t="n">
        <v>0.1278704037474386</v>
      </c>
      <c r="U527" t="n">
        <v>0.1246255907555178</v>
      </c>
      <c r="V527">
        <f>AND(judged_band,NOT($J527))</f>
        <v/>
      </c>
      <c r="W527">
        <f>IF($K527="","",IF(profit_kind="test",IF(OR(NOT(AND(ISNUMBER($L527),$L527&lt;significance_bar)),$K527=0),"in line",IF($K527&lt;0,"worse","better")),IF(OR($K527=0,IF(profit_kind="points",ABS($K527),ABS($K527*$H527))&lt;profit_line*(1-1E-9)),"in line",IF(AND(ISNUMBER($L527),$L527&lt;significance_bar),IF($K527&lt;0,"worse","better"),IF($K527&lt;0,"worse, not significant","better, not significant")))))</f>
        <v/>
      </c>
      <c r="X527">
        <f>IF($M527="","",IF(profit_kind="test",IF(OR(NOT(AND(ISNUMBER($N527),$N527&lt;significance_bar)),$M527=0),"in line",IF($M527&lt;0,"worse","better")),IF(OR($M527=0,IF(profit_kind="points",ABS($M527),ABS($M527*$H527))&lt;profit_line*(1-1E-9)),"in line",IF(AND(ISNUMBER($N527),$N527&lt;significance_bar),IF($M527&lt;0,"worse","better"),IF($M527&lt;0,"worse, not significant","better, not significant")))))</f>
        <v/>
      </c>
      <c r="Y527">
        <f>IF($V527,$X527,$W527)</f>
        <v/>
      </c>
      <c r="Z527">
        <f>IF($V527,IF($P527="","",$P527),IF($O527="","",$O527))</f>
        <v/>
      </c>
      <c r="AA527">
        <f>IF(OR($Q527="",$Z527=""),"",IF(AND($Z527&gt;0,$Z527&gt;=$Q527),"yes","below the line"))</f>
        <v/>
      </c>
      <c r="AB527">
        <f>IF($V527,IF($M527="","",$M527),IF($K527="","",$K527))</f>
        <v/>
      </c>
      <c r="AC527">
        <f>IF($V527,IF($N527="","",$N527),IF($L527="","",$L527))</f>
        <v/>
      </c>
      <c r="AD527">
        <f>IF($Y527="","",IF($Y527="in line",IF(profit_kind="test",IF(ROUND($AB527*100,2)=0,"0.00",TEXT($AB527*100,"+0.00;-0.00"))&amp;" points against "&amp;IF($V527,"its band","the book")&amp;", "&amp;IF($AC527="","not tested","not significant"),IF(profit_kind="points","within "&amp;TEXT(profit_line*100,"0.00")&amp;" points of "&amp;IF($V527,"its band","the book")&amp;" ("&amp;IF(ROUND($AB527*100,2)=0,"0.00",TEXT($AB527*100,"+0.00;-0.00"))&amp;")","within $"&amp;TEXT(profit_line,"#,##0")&amp;" of "&amp;IF($V527,"its band","the book")&amp;" ("&amp;IF(ROUND($AB527*100,2)=0,"0.00",TEXT($AB527*100,"+0.00;-0.00"))&amp;" points)")),IF(LEFT($Y527,5)="worse","short of ","ahead of ")&amp;IF($V527,"its band","the book")&amp;" by "&amp;TEXT(ABS($AB527)*100,"0.00")&amp;" points"&amp;IF($Z527="",""," ($"&amp;TEXT(ABS($Z527),"#,##0")&amp;")")&amp;IF(RIGHT($Y527,15)="not significant"," (not significant)","")))</f>
        <v/>
      </c>
      <c r="AE527">
        <f>IF($V527,IF($S527="","",$S527),IF($R527="","",$R527))</f>
        <v/>
      </c>
      <c r="AF527">
        <f>IF($V527,IF($U527="","",$U527),IF($T527="","",$T527))</f>
        <v/>
      </c>
      <c r="AG527">
        <f>IF($V527,IF($O527="","",$O527),IF($P527="","",$P527))</f>
        <v/>
      </c>
      <c r="AH527" t="n">
        <v>0.1317554758642314</v>
      </c>
      <c r="AI527">
        <f>IF($Y527="worse","Yes",IF($Y527="worse, not significant","Not sure",IF(OR($Y527="too few losses to test",$Y527="too few loans to test"),"Too few losses",IF($Y527="","","No"))))</f>
        <v/>
      </c>
      <c r="AJ527">
        <f>IF($AA527="yes","Yes",IF($AA527="","","No"))</f>
        <v/>
      </c>
      <c r="AK527" t="n">
        <v>0.004383274697548453</v>
      </c>
      <c r="AL527" t="n">
        <v>0.005667733759803545</v>
      </c>
      <c r="AM527">
        <f>IF(AND(ISNUMBER($AC527),ISNUMBER(IF($V527,IF($AL527="","",$AL527),IF($AK527="","",$AK527)))),IF(AND(ABS($AC527-significance_bar)&lt;=2.0*IF($V527,IF($AL527="","",$AL527),IF($AK527="","",$AK527)),OR($Y527="worse",$Y527="better",$Y527="worse, not significant",$Y527="better, not significant",AND(profit_kind="test",$Y527="in line",ISNUMBER($AB527),$AB527&lt;&gt;0))),IF(ROUND($AC527,3)=ROUND(significance_bar,3),TEXT($AC527,"0.0000"),TEXT($AC527,"0.000")),""),"")</f>
        <v/>
      </c>
      <c r="AN527">
        <f>IF(AND(ISNUMBER($AC527),ISNUMBER(IF($V527,IF($AL527="","",$AL527),IF($AK527="","",$AK527)))),IF(AND(ABS($AC527-significance_bar)&lt;=2.0*IF($V527,IF($AL527="","",$AL527),IF($AK527="","",$AK527)),OR($Y527="worse",$Y527="worse, not significant",AND(profit_kind="test",$Y527="in line",ISNUMBER($AB527),$AB527&lt;0))),IF(ROUND($AC527,3)=ROUND(significance_bar,3),TEXT($AC527,"0.0000"),TEXT($AC527,"0.000")),""),"")</f>
        <v/>
      </c>
      <c r="AO527">
        <f>IF(OR($AI527="",$AN527=""),$AI527,$AI527&amp;" · borderline (p "&amp;$AN527&amp;")")</f>
        <v/>
      </c>
    </row>
    <row r="528">
      <c r="A528" t="inlineStr">
        <is>
          <t>three-way</t>
        </is>
      </c>
      <c r="B528" t="inlineStr">
        <is>
          <t>SHORT_HIST x CHANNEL / REV_DEBT</t>
        </is>
      </c>
      <c r="C528" t="inlineStr">
        <is>
          <t>0.0 - 88.9</t>
        </is>
      </c>
      <c r="D528" t="inlineStr">
        <is>
          <t>Broker / REV_DEBT high half</t>
        </is>
      </c>
      <c r="E528" t="inlineStr">
        <is>
          <t>contribution_rate</t>
        </is>
      </c>
      <c r="F528" t="inlineStr">
        <is>
          <t>Contribution before losses per booked dollar</t>
        </is>
      </c>
      <c r="G528" t="n">
        <v>254</v>
      </c>
      <c r="H528" t="n">
        <v>7947556.889999998</v>
      </c>
      <c r="I528" t="b">
        <v>0</v>
      </c>
      <c r="J528" t="b">
        <v>0</v>
      </c>
      <c r="K528" t="n">
        <v>0.03480604199366552</v>
      </c>
      <c r="L528" t="n">
        <v>0.00023997600239976</v>
      </c>
      <c r="M528" t="n">
        <v>0.04093549282473352</v>
      </c>
      <c r="N528" t="n">
        <v>0.00023997600239976</v>
      </c>
      <c r="O528" t="n">
        <v>-276622.9988603857</v>
      </c>
      <c r="P528" t="n">
        <v>-325337.1580447564</v>
      </c>
      <c r="Q528">
        <f>'_live'!$C$24</f>
        <v/>
      </c>
      <c r="R528" t="inlineStr">
        <is>
          <t>shuffled: 0 of 10,000</t>
        </is>
      </c>
      <c r="S528" t="inlineStr">
        <is>
          <t>shuffled: 0 of 10,000</t>
        </is>
      </c>
      <c r="T528" t="n">
        <v>0.1685203930814033</v>
      </c>
      <c r="U528" t="n">
        <v>0.1623909422503353</v>
      </c>
      <c r="V528">
        <f>AND(judged_band,NOT($J528))</f>
        <v/>
      </c>
      <c r="W528">
        <f>IF($K528="","",IF(profit_kind="test",IF(OR(NOT(AND(ISNUMBER($L528),$L528&lt;significance_bar)),$K528=0),"in line",IF($K528&lt;0,"worse","better")),IF(OR($K528=0,IF(profit_kind="points",ABS($K528),ABS($K528*$H528))&lt;profit_line*(1-1E-9)),"in line",IF(AND(ISNUMBER($L528),$L528&lt;significance_bar),IF($K528&lt;0,"worse","better"),IF($K528&lt;0,"worse, not significant","better, not significant")))))</f>
        <v/>
      </c>
      <c r="X528">
        <f>IF($M528="","",IF(profit_kind="test",IF(OR(NOT(AND(ISNUMBER($N528),$N528&lt;significance_bar)),$M528=0),"in line",IF($M528&lt;0,"worse","better")),IF(OR($M528=0,IF(profit_kind="points",ABS($M528),ABS($M528*$H528))&lt;profit_line*(1-1E-9)),"in line",IF(AND(ISNUMBER($N528),$N528&lt;significance_bar),IF($M528&lt;0,"worse","better"),IF($M528&lt;0,"worse, not significant","better, not significant")))))</f>
        <v/>
      </c>
      <c r="Y528">
        <f>IF($V528,$X528,$W528)</f>
        <v/>
      </c>
      <c r="Z528">
        <f>IF($V528,IF($P528="","",$P528),IF($O528="","",$O528))</f>
        <v/>
      </c>
      <c r="AA528">
        <f>IF(OR($Q528="",$Z528=""),"",IF(AND($Z528&gt;0,$Z528&gt;=$Q528),"yes","below the line"))</f>
        <v/>
      </c>
      <c r="AB528">
        <f>IF($V528,IF($M528="","",$M528),IF($K528="","",$K528))</f>
        <v/>
      </c>
      <c r="AC528">
        <f>IF($V528,IF($N528="","",$N528),IF($L528="","",$L528))</f>
        <v/>
      </c>
      <c r="AD528">
        <f>IF($Y528="","",IF($Y528="in line",IF(profit_kind="test",IF(ROUND($AB528*100,2)=0,"0.00",TEXT($AB528*100,"+0.00;-0.00"))&amp;" points against "&amp;IF($V528,"its band","the book")&amp;", "&amp;IF($AC528="","not tested","not significant"),IF(profit_kind="points","within "&amp;TEXT(profit_line*100,"0.00")&amp;" points of "&amp;IF($V528,"its band","the book")&amp;" ("&amp;IF(ROUND($AB528*100,2)=0,"0.00",TEXT($AB528*100,"+0.00;-0.00"))&amp;")","within $"&amp;TEXT(profit_line,"#,##0")&amp;" of "&amp;IF($V528,"its band","the book")&amp;" ("&amp;IF(ROUND($AB528*100,2)=0,"0.00",TEXT($AB528*100,"+0.00;-0.00"))&amp;" points)")),IF(LEFT($Y528,5)="worse","short of ","ahead of ")&amp;IF($V528,"its band","the book")&amp;" by "&amp;TEXT(ABS($AB528)*100,"0.00")&amp;" points"&amp;IF($Z528="",""," ($"&amp;TEXT(ABS($Z528),"#,##0")&amp;")")&amp;IF(RIGHT($Y528,15)="not significant"," (not significant)","")))</f>
        <v/>
      </c>
      <c r="AE528">
        <f>IF($V528,IF($S528="","",$S528),IF($R528="","",$R528))</f>
        <v/>
      </c>
      <c r="AF528">
        <f>IF($V528,IF($U528="","",$U528),IF($T528="","",$T528))</f>
        <v/>
      </c>
      <c r="AG528">
        <f>IF($V528,IF($O528="","",$O528),IF($P528="","",$P528))</f>
        <v/>
      </c>
      <c r="AH528" t="n">
        <v>0.2033264350750688</v>
      </c>
      <c r="AI528">
        <f>IF($Y528="worse","Yes",IF($Y528="worse, not significant","Not sure",IF(OR($Y528="too few losses to test",$Y528="too few loans to test"),"Too few losses",IF($Y528="","","No"))))</f>
        <v/>
      </c>
      <c r="AJ528">
        <f>IF($AA528="yes","Yes",IF($AA528="","","No"))</f>
        <v/>
      </c>
      <c r="AK528" t="n">
        <v>0.00023997600239976</v>
      </c>
      <c r="AL528" t="n">
        <v>0.00023997600239976</v>
      </c>
      <c r="AM528">
        <f>IF(AND(ISNUMBER($AC528),ISNUMBER(IF($V528,IF($AL528="","",$AL528),IF($AK528="","",$AK528)))),IF(AND(ABS($AC528-significance_bar)&lt;=2.0*IF($V528,IF($AL528="","",$AL528),IF($AK528="","",$AK528)),OR($Y528="worse",$Y528="better",$Y528="worse, not significant",$Y528="better, not significant",AND(profit_kind="test",$Y528="in line",ISNUMBER($AB528),$AB528&lt;&gt;0))),IF(ROUND($AC528,3)=ROUND(significance_bar,3),TEXT($AC528,"0.0000"),TEXT($AC528,"0.000")),""),"")</f>
        <v/>
      </c>
      <c r="AN528">
        <f>IF(AND(ISNUMBER($AC528),ISNUMBER(IF($V528,IF($AL528="","",$AL528),IF($AK528="","",$AK528)))),IF(AND(ABS($AC528-significance_bar)&lt;=2.0*IF($V528,IF($AL528="","",$AL528),IF($AK528="","",$AK528)),OR($Y528="worse",$Y528="worse, not significant",AND(profit_kind="test",$Y528="in line",ISNUMBER($AB528),$AB528&lt;0))),IF(ROUND($AC528,3)=ROUND(significance_bar,3),TEXT($AC528,"0.0000"),TEXT($AC528,"0.000")),""),"")</f>
        <v/>
      </c>
      <c r="AO528">
        <f>IF(OR($AI528="",$AN528=""),$AI528,$AI528&amp;" · borderline (p "&amp;$AN528&amp;")")</f>
        <v/>
      </c>
    </row>
    <row r="529">
      <c r="A529" t="inlineStr">
        <is>
          <t>three-way</t>
        </is>
      </c>
      <c r="B529" t="inlineStr">
        <is>
          <t>SHORT_HIST x CHANNEL / REV_DEBT</t>
        </is>
      </c>
      <c r="C529" t="inlineStr">
        <is>
          <t>346.0 - 435.0</t>
        </is>
      </c>
      <c r="D529" t="inlineStr">
        <is>
          <t>Online / REV_DEBT high half</t>
        </is>
      </c>
      <c r="E529" t="inlineStr">
        <is>
          <t>outcome_loans</t>
        </is>
      </c>
      <c r="F529" t="inlineStr">
        <is>
          <t>Outcome, share of loans</t>
        </is>
      </c>
      <c r="G529" t="n">
        <v>265</v>
      </c>
      <c r="H529" t="n">
        <v>265</v>
      </c>
      <c r="I529" t="b">
        <v>0</v>
      </c>
      <c r="J529" t="b">
        <v>0</v>
      </c>
      <c r="K529" t="n">
        <v>1.279608005345382</v>
      </c>
      <c r="L529" t="n">
        <v>0.2518920063567158</v>
      </c>
      <c r="M529" t="n">
        <v>1.436421454314183</v>
      </c>
      <c r="N529" t="n">
        <v>0.1296084920362366</v>
      </c>
      <c r="O529" t="n">
        <v>5.681277476079647</v>
      </c>
      <c r="P529" t="n">
        <v>7.899462778204143</v>
      </c>
      <c r="Q529">
        <f>'_live'!$C$20</f>
        <v/>
      </c>
      <c r="R529" t="inlineStr">
        <is>
          <t>z test</t>
        </is>
      </c>
      <c r="S529" t="inlineStr">
        <is>
          <t>z test</t>
        </is>
      </c>
      <c r="T529" t="n">
        <v>0.07667442461856737</v>
      </c>
      <c r="U529" t="n">
        <v>0.06830391404451266</v>
      </c>
      <c r="V529">
        <f>AND(judged_band,NOT($J529))</f>
        <v/>
      </c>
      <c r="W529">
        <f>IF($K529="","",IF($I529,"too few losses to test",IF(AND($K529&gt;better_at,$K529&lt;worse_at),"in line",IF($K529&gt;=worse_at,IF(AND(ISNUMBER($L529),$L529&lt;significance_bar),"worse","worse, not significant"),IF(AND(ISNUMBER($L529),$L529&lt;significance_bar),"better","better, not significant")))))</f>
        <v/>
      </c>
      <c r="X529">
        <f>IF($M529="","",IF($I529,"too few losses to test",IF(AND($M529&gt;better_at,$M529&lt;worse_at),"in line",IF($M529&gt;=worse_at,IF(AND(ISNUMBER($N529),$N529&lt;significance_bar),"worse","worse, not significant"),IF(AND(ISNUMBER($N529),$N529&lt;significance_bar),"better","better, not significant")))))</f>
        <v/>
      </c>
      <c r="Y529">
        <f>IF($V529,$X529,$W529)</f>
        <v/>
      </c>
      <c r="Z529">
        <f>IF($V529,IF($P529="","",$P529),IF($O529="","",$O529))</f>
        <v/>
      </c>
      <c r="AA529">
        <f>IF(OR($Q529="",$Z529=""),"",IF(AND($Z529&gt;0,$Z529&gt;=$Q529),"yes","below the line"))</f>
        <v/>
      </c>
      <c r="AB529">
        <f>IF($V529,IF($M529="","",$M529),IF($K529="","",$K529))</f>
        <v/>
      </c>
      <c r="AC529">
        <f>IF($V529,IF($N529="","",$N529),IF($L529="","",$L529))</f>
        <v/>
      </c>
      <c r="AD529">
        <f>$Y529</f>
        <v/>
      </c>
      <c r="AE529">
        <f>IF($V529,IF($S529="","",$S529),IF($R529="","",$R529))</f>
        <v/>
      </c>
      <c r="AF529">
        <f>IF($V529,IF($U529="","",$U529),IF($T529="","",$T529))</f>
        <v/>
      </c>
      <c r="AG529">
        <f>IF($V529,IF($O529="","",$O529),IF($P529="","",$P529))</f>
        <v/>
      </c>
      <c r="AH529" t="n">
        <v>0.09811320754716982</v>
      </c>
      <c r="AI529">
        <f>IF($Y529="worse","Yes",IF($Y529="worse, not significant","Not sure",IF(OR($Y529="too few losses to test",$Y529="too few loans to test"),"Too few losses",IF($Y529="","","No"))))</f>
        <v/>
      </c>
      <c r="AJ529">
        <f>IF($AA529="yes","Yes",IF($AA529="","","No"))</f>
        <v/>
      </c>
      <c r="AM529">
        <f>IF(AND(ISNUMBER($AC529),ISNUMBER(IF($V529,IF($AL529="","",$AL529),IF($AK529="","",$AK529)))),IF(AND(ABS($AC529-significance_bar)&lt;=2.0*IF($V529,IF($AL529="","",$AL529),IF($AK529="","",$AK529)),OR($Y529="worse",$Y529="better",$Y529="worse, not significant",$Y529="better, not significant")),IF(ROUND($AC529,3)=ROUND(significance_bar,3),TEXT($AC529,"0.0000"),TEXT($AC529,"0.000")),""),"")</f>
        <v/>
      </c>
      <c r="AN529">
        <f>IF(AND(ISNUMBER($AC529),ISNUMBER(IF($V529,IF($AL529="","",$AL529),IF($AK529="","",$AK529)))),IF(AND(ABS($AC529-significance_bar)&lt;=2.0*IF($V529,IF($AL529="","",$AL529),IF($AK529="","",$AK529)),OR($Y529="worse",$Y529="worse, not significant")),IF(ROUND($AC529,3)=ROUND(significance_bar,3),TEXT($AC529,"0.0000"),TEXT($AC529,"0.000")),""),"")</f>
        <v/>
      </c>
      <c r="AO529">
        <f>IF(OR($AI529="",$AN529=""),$AI529,$AI529&amp;" · borderline (p "&amp;$AN529&amp;")")</f>
        <v/>
      </c>
    </row>
    <row r="530">
      <c r="A530" t="inlineStr">
        <is>
          <t>three-way</t>
        </is>
      </c>
      <c r="B530" t="inlineStr">
        <is>
          <t>SHORT_HIST x CHANNEL / REV_DEBT</t>
        </is>
      </c>
      <c r="C530" t="inlineStr">
        <is>
          <t>346.0 - 435.0</t>
        </is>
      </c>
      <c r="D530" t="inlineStr">
        <is>
          <t>Online / REV_DEBT high half</t>
        </is>
      </c>
      <c r="E530" t="inlineStr">
        <is>
          <t>outcome_booked</t>
        </is>
      </c>
      <c r="F530" t="inlineStr">
        <is>
          <t>Outcome, share of booked dollars</t>
        </is>
      </c>
      <c r="G530" t="n">
        <v>265</v>
      </c>
      <c r="H530" t="n">
        <v>8466606.610000003</v>
      </c>
      <c r="I530" t="b">
        <v>0</v>
      </c>
      <c r="J530" t="b">
        <v>0</v>
      </c>
      <c r="K530" t="n">
        <v>1.220935283277438</v>
      </c>
      <c r="L530" t="n">
        <v>0.4372290043722901</v>
      </c>
      <c r="M530" t="n">
        <v>1.39923627347908</v>
      </c>
      <c r="N530" t="n">
        <v>0.2431441066419674</v>
      </c>
      <c r="O530" t="n">
        <v>138965.3810274706</v>
      </c>
      <c r="P530" t="n">
        <v>219115.5134763202</v>
      </c>
      <c r="Q530">
        <f>'_live'!$C$21</f>
        <v/>
      </c>
      <c r="R530" t="inlineStr">
        <is>
          <t>shuffled: 3,639 of 10,000</t>
        </is>
      </c>
      <c r="S530" t="inlineStr">
        <is>
          <t>shuffled: 1,703 of 10,000</t>
        </is>
      </c>
      <c r="T530" t="n">
        <v>0.07429030873238235</v>
      </c>
      <c r="U530" t="n">
        <v>0.06482369050611643</v>
      </c>
      <c r="V530">
        <f>AND(judged_band,NOT($J530))</f>
        <v/>
      </c>
      <c r="W530">
        <f>IF($K530="","",IF($I530,"too few losses to test",IF(AND($K530&gt;better_at,$K530&lt;worse_at),"in line",IF($K530&gt;=worse_at,IF(AND(ISNUMBER($L530),$L530&lt;significance_bar),"worse","worse, not significant"),IF(AND(ISNUMBER($L530),$L530&lt;significance_bar),"better","better, not significant")))))</f>
        <v/>
      </c>
      <c r="X530">
        <f>IF($M530="","",IF($I530,"too few losses to test",IF(AND($M530&gt;better_at,$M530&lt;worse_at),"in line",IF($M530&gt;=worse_at,IF(AND(ISNUMBER($N530),$N530&lt;significance_bar),"worse","worse, not significant"),IF(AND(ISNUMBER($N530),$N530&lt;significance_bar),"better","better, not significant")))))</f>
        <v/>
      </c>
      <c r="Y530">
        <f>IF($V530,$X530,$W530)</f>
        <v/>
      </c>
      <c r="Z530">
        <f>IF($V530,IF($P530="","",$P530),IF($O530="","",$O530))</f>
        <v/>
      </c>
      <c r="AA530">
        <f>IF(OR($Q530="",$Z530=""),"",IF(AND($Z530&gt;0,$Z530&gt;=$Q530),"yes","below the line"))</f>
        <v/>
      </c>
      <c r="AB530">
        <f>IF($V530,IF($M530="","",$M530),IF($K530="","",$K530))</f>
        <v/>
      </c>
      <c r="AC530">
        <f>IF($V530,IF($N530="","",$N530),IF($L530="","",$L530))</f>
        <v/>
      </c>
      <c r="AD530">
        <f>$Y530</f>
        <v/>
      </c>
      <c r="AE530">
        <f>IF($V530,IF($S530="","",$S530),IF($R530="","",$R530))</f>
        <v/>
      </c>
      <c r="AF530">
        <f>IF($V530,IF($U530="","",$U530),IF($T530="","",$T530))</f>
        <v/>
      </c>
      <c r="AG530">
        <f>IF($V530,IF($O530="","",$O530),IF($P530="","",$P530))</f>
        <v/>
      </c>
      <c r="AH530" t="n">
        <v>0.09070365913693959</v>
      </c>
      <c r="AI530">
        <f>IF($Y530="worse","Yes",IF($Y530="worse, not significant","Not sure",IF(OR($Y530="too few losses to test",$Y530="too few loans to test"),"Too few losses",IF($Y530="","","No"))))</f>
        <v/>
      </c>
      <c r="AJ530">
        <f>IF($AA530="yes","Yes",IF($AA530="","","No"))</f>
        <v/>
      </c>
      <c r="AK530" t="n">
        <v>0.005705751350357372</v>
      </c>
      <c r="AL530" t="n">
        <v>0.005230721343729232</v>
      </c>
      <c r="AM530">
        <f>IF(AND(ISNUMBER($AC530),ISNUMBER(IF($V530,IF($AL530="","",$AL530),IF($AK530="","",$AK530)))),IF(AND(ABS($AC530-significance_bar)&lt;=2.0*IF($V530,IF($AL530="","",$AL530),IF($AK530="","",$AK530)),OR($Y530="worse",$Y530="better",$Y530="worse, not significant",$Y530="better, not significant")),IF(ROUND($AC530,3)=ROUND(significance_bar,3),TEXT($AC530,"0.0000"),TEXT($AC530,"0.000")),""),"")</f>
        <v/>
      </c>
      <c r="AN530">
        <f>IF(AND(ISNUMBER($AC530),ISNUMBER(IF($V530,IF($AL530="","",$AL530),IF($AK530="","",$AK530)))),IF(AND(ABS($AC530-significance_bar)&lt;=2.0*IF($V530,IF($AL530="","",$AL530),IF($AK530="","",$AK530)),OR($Y530="worse",$Y530="worse, not significant")),IF(ROUND($AC530,3)=ROUND(significance_bar,3),TEXT($AC530,"0.0000"),TEXT($AC530,"0.000")),""),"")</f>
        <v/>
      </c>
      <c r="AO530">
        <f>IF(OR($AI530="",$AN530=""),$AI530,$AI530&amp;" · borderline (p "&amp;$AN530&amp;")")</f>
        <v/>
      </c>
    </row>
    <row r="531">
      <c r="A531" t="inlineStr">
        <is>
          <t>three-way</t>
        </is>
      </c>
      <c r="B531" t="inlineStr">
        <is>
          <t>SHORT_HIST x CHANNEL / REV_DEBT</t>
        </is>
      </c>
      <c r="C531" t="inlineStr">
        <is>
          <t>346.0 - 435.0</t>
        </is>
      </c>
      <c r="D531" t="inlineStr">
        <is>
          <t>Online / REV_DEBT high half</t>
        </is>
      </c>
      <c r="E531" t="inlineStr">
        <is>
          <t>gco_rate</t>
        </is>
      </c>
      <c r="F531" t="inlineStr">
        <is>
          <t>GCO per booked dollar</t>
        </is>
      </c>
      <c r="G531" t="n">
        <v>265</v>
      </c>
      <c r="H531" t="n">
        <v>8466606.610000003</v>
      </c>
      <c r="I531" t="b">
        <v>0</v>
      </c>
      <c r="J531" t="b">
        <v>0</v>
      </c>
      <c r="K531" t="n">
        <v>1.291279685941866</v>
      </c>
      <c r="L531" t="n">
        <v>0.3817030061699713</v>
      </c>
      <c r="M531" t="n">
        <v>1.450045376917783</v>
      </c>
      <c r="N531" t="n">
        <v>0.2402159784021598</v>
      </c>
      <c r="O531" t="n">
        <v>101633.4686235848</v>
      </c>
      <c r="P531" t="n">
        <v>139836.8333711941</v>
      </c>
      <c r="Q531">
        <f>'_live'!$C$22</f>
        <v/>
      </c>
      <c r="R531" t="inlineStr">
        <is>
          <t>shuffled: 2,495 of 10,000</t>
        </is>
      </c>
      <c r="S531" t="inlineStr">
        <is>
          <t>shuffled: 1,361 of 10,000</t>
        </is>
      </c>
      <c r="T531" t="n">
        <v>0.04121138107022727</v>
      </c>
      <c r="U531" t="n">
        <v>0.03669914062876316</v>
      </c>
      <c r="V531">
        <f>AND(judged_band,NOT($J531))</f>
        <v/>
      </c>
      <c r="W531">
        <f>IF($K531="","",IF($I531,"too few losses to test",IF(AND($K531&gt;better_at,$K531&lt;worse_at),"in line",IF($K531&gt;=worse_at,IF(AND(ISNUMBER($L531),$L531&lt;significance_bar),"worse","worse, not significant"),IF(AND(ISNUMBER($L531),$L531&lt;significance_bar),"better","better, not significant")))))</f>
        <v/>
      </c>
      <c r="X531">
        <f>IF($M531="","",IF($I531,"too few losses to test",IF(AND($M531&gt;better_at,$M531&lt;worse_at),"in line",IF($M531&gt;=worse_at,IF(AND(ISNUMBER($N531),$N531&lt;significance_bar),"worse","worse, not significant"),IF(AND(ISNUMBER($N531),$N531&lt;significance_bar),"better","better, not significant")))))</f>
        <v/>
      </c>
      <c r="Y531">
        <f>IF($V531,$X531,$W531)</f>
        <v/>
      </c>
      <c r="Z531">
        <f>IF($V531,IF($P531="","",$P531),IF($O531="","",$O531))</f>
        <v/>
      </c>
      <c r="AA531">
        <f>IF(OR($Q531="",$Z531=""),"",IF(AND($Z531&gt;0,$Z531&gt;=$Q531),"yes","below the line"))</f>
        <v/>
      </c>
      <c r="AB531">
        <f>IF($V531,IF($M531="","",$M531),IF($K531="","",$K531))</f>
        <v/>
      </c>
      <c r="AC531">
        <f>IF($V531,IF($N531="","",$N531),IF($L531="","",$L531))</f>
        <v/>
      </c>
      <c r="AD531">
        <f>$Y531</f>
        <v/>
      </c>
      <c r="AE531">
        <f>IF($V531,IF($S531="","",$S531),IF($R531="","",$R531))</f>
        <v/>
      </c>
      <c r="AF531">
        <f>IF($V531,IF($U531="","",$U531),IF($T531="","",$T531))</f>
        <v/>
      </c>
      <c r="AG531">
        <f>IF($V531,IF($O531="","",$O531),IF($P531="","",$P531))</f>
        <v/>
      </c>
      <c r="AH531" t="n">
        <v>0.05321541920559361</v>
      </c>
      <c r="AI531">
        <f>IF($Y531="worse","Yes",IF($Y531="worse, not significant","Not sure",IF(OR($Y531="too few losses to test",$Y531="too few loans to test"),"Too few losses",IF($Y531="","","No"))))</f>
        <v/>
      </c>
      <c r="AJ531">
        <f>IF($AA531="yes","Yes",IF($AA531="","","No"))</f>
        <v/>
      </c>
      <c r="AK531" t="n">
        <v>0.006618790549192224</v>
      </c>
      <c r="AL531" t="n">
        <v>0.005988911806697748</v>
      </c>
      <c r="AM531">
        <f>IF(AND(ISNUMBER($AC531),ISNUMBER(IF($V531,IF($AL531="","",$AL531),IF($AK531="","",$AK531)))),IF(AND(ABS($AC531-significance_bar)&lt;=2.0*IF($V531,IF($AL531="","",$AL531),IF($AK531="","",$AK531)),OR($Y531="worse",$Y531="better",$Y531="worse, not significant",$Y531="better, not significant")),IF(ROUND($AC531,3)=ROUND(significance_bar,3),TEXT($AC531,"0.0000"),TEXT($AC531,"0.000")),""),"")</f>
        <v/>
      </c>
      <c r="AN531">
        <f>IF(AND(ISNUMBER($AC531),ISNUMBER(IF($V531,IF($AL531="","",$AL531),IF($AK531="","",$AK531)))),IF(AND(ABS($AC531-significance_bar)&lt;=2.0*IF($V531,IF($AL531="","",$AL531),IF($AK531="","",$AK531)),OR($Y531="worse",$Y531="worse, not significant")),IF(ROUND($AC531,3)=ROUND(significance_bar,3),TEXT($AC531,"0.0000"),TEXT($AC531,"0.000")),""),"")</f>
        <v/>
      </c>
      <c r="AO531">
        <f>IF(OR($AI531="",$AN531=""),$AI531,$AI531&amp;" · borderline (p "&amp;$AN531&amp;")")</f>
        <v/>
      </c>
    </row>
    <row r="532">
      <c r="A532" t="inlineStr">
        <is>
          <t>three-way</t>
        </is>
      </c>
      <c r="B532" t="inlineStr">
        <is>
          <t>SHORT_HIST x CHANNEL / REV_DEBT</t>
        </is>
      </c>
      <c r="C532" t="inlineStr">
        <is>
          <t>346.0 - 435.0</t>
        </is>
      </c>
      <c r="D532" t="inlineStr">
        <is>
          <t>Online / REV_DEBT high half</t>
        </is>
      </c>
      <c r="E532" t="inlineStr">
        <is>
          <t>ranr_rate</t>
        </is>
      </c>
      <c r="F532" t="inlineStr">
        <is>
          <t>Profit after losses: RANR per booked dollar</t>
        </is>
      </c>
      <c r="G532" t="n">
        <v>265</v>
      </c>
      <c r="H532" t="n">
        <v>8466606.610000003</v>
      </c>
      <c r="I532" t="b">
        <v>0</v>
      </c>
      <c r="J532" t="b">
        <v>0</v>
      </c>
      <c r="K532" t="n">
        <v>0.0245757957949809</v>
      </c>
      <c r="L532" t="n">
        <v>0.1473083460884681</v>
      </c>
      <c r="M532" t="n">
        <v>0.03131677256880366</v>
      </c>
      <c r="N532" t="n">
        <v>0.08774122587741226</v>
      </c>
      <c r="O532" t="n">
        <v>-208073.5951237956</v>
      </c>
      <c r="P532" t="n">
        <v>-265146.7936348999</v>
      </c>
      <c r="Q532">
        <f>'_live'!$C$23</f>
        <v/>
      </c>
      <c r="R532" t="inlineStr">
        <is>
          <t>shuffled: 522 of 10,000</t>
        </is>
      </c>
      <c r="S532" t="inlineStr">
        <is>
          <t>shuffled: 194 of 10,000</t>
        </is>
      </c>
      <c r="T532" t="n">
        <v>0.1271837767452625</v>
      </c>
      <c r="U532" t="n">
        <v>0.1204427999714397</v>
      </c>
      <c r="V532">
        <f>AND(judged_band,NOT($J532))</f>
        <v/>
      </c>
      <c r="W532">
        <f>IF($K532="","",IF(profit_kind="test",IF(OR(NOT(AND(ISNUMBER($L532),$L532&lt;significance_bar)),$K532=0),"in line",IF($K532&lt;0,"worse","better")),IF(OR($K532=0,IF(profit_kind="points",ABS($K532),ABS($K532*$H532))&lt;profit_line*(1-1E-9)),"in line",IF(AND(ISNUMBER($L532),$L532&lt;significance_bar),IF($K532&lt;0,"worse","better"),IF($K532&lt;0,"worse, not significant","better, not significant")))))</f>
        <v/>
      </c>
      <c r="X532">
        <f>IF($M532="","",IF(profit_kind="test",IF(OR(NOT(AND(ISNUMBER($N532),$N532&lt;significance_bar)),$M532=0),"in line",IF($M532&lt;0,"worse","better")),IF(OR($M532=0,IF(profit_kind="points",ABS($M532),ABS($M532*$H532))&lt;profit_line*(1-1E-9)),"in line",IF(AND(ISNUMBER($N532),$N532&lt;significance_bar),IF($M532&lt;0,"worse","better"),IF($M532&lt;0,"worse, not significant","better, not significant")))))</f>
        <v/>
      </c>
      <c r="Y532">
        <f>IF($V532,$X532,$W532)</f>
        <v/>
      </c>
      <c r="Z532">
        <f>IF($V532,IF($P532="","",$P532),IF($O532="","",$O532))</f>
        <v/>
      </c>
      <c r="AA532">
        <f>IF(OR($Q532="",$Z532=""),"",IF(AND($Z532&gt;0,$Z532&gt;=$Q532),"yes","below the line"))</f>
        <v/>
      </c>
      <c r="AB532">
        <f>IF($V532,IF($M532="","",$M532),IF($K532="","",$K532))</f>
        <v/>
      </c>
      <c r="AC532">
        <f>IF($V532,IF($N532="","",$N532),IF($L532="","",$L532))</f>
        <v/>
      </c>
      <c r="AD532">
        <f>IF($Y532="","",IF($Y532="in line",IF(profit_kind="test",IF(ROUND($AB532*100,2)=0,"0.00",TEXT($AB532*100,"+0.00;-0.00"))&amp;" points against "&amp;IF($V532,"its band","the book")&amp;", "&amp;IF($AC532="","not tested","not significant"),IF(profit_kind="points","within "&amp;TEXT(profit_line*100,"0.00")&amp;" points of "&amp;IF($V532,"its band","the book")&amp;" ("&amp;IF(ROUND($AB532*100,2)=0,"0.00",TEXT($AB532*100,"+0.00;-0.00"))&amp;")","within $"&amp;TEXT(profit_line,"#,##0")&amp;" of "&amp;IF($V532,"its band","the book")&amp;" ("&amp;IF(ROUND($AB532*100,2)=0,"0.00",TEXT($AB532*100,"+0.00;-0.00"))&amp;" points)")),IF(LEFT($Y532,5)="worse","short of ","ahead of ")&amp;IF($V532,"its band","the book")&amp;" by "&amp;TEXT(ABS($AB532)*100,"0.00")&amp;" points"&amp;IF($Z532="",""," ($"&amp;TEXT(ABS($Z532),"#,##0")&amp;")")&amp;IF(RIGHT($Y532,15)="not significant"," (not significant)","")))</f>
        <v/>
      </c>
      <c r="AE532">
        <f>IF($V532,IF($S532="","",$S532),IF($R532="","",$R532))</f>
        <v/>
      </c>
      <c r="AF532">
        <f>IF($V532,IF($U532="","",$U532),IF($T532="","",$T532))</f>
        <v/>
      </c>
      <c r="AG532">
        <f>IF($V532,IF($O532="","",$O532),IF($P532="","",$P532))</f>
        <v/>
      </c>
      <c r="AH532" t="n">
        <v>0.1517595725402434</v>
      </c>
      <c r="AI532">
        <f>IF($Y532="worse","Yes",IF($Y532="worse, not significant","Not sure",IF(OR($Y532="too few losses to test",$Y532="too few loans to test"),"Too few losses",IF($Y532="","","No"))))</f>
        <v/>
      </c>
      <c r="AJ532">
        <f>IF($AA532="yes","Yes",IF($AA532="","","No"))</f>
        <v/>
      </c>
      <c r="AK532" t="n">
        <v>0.006214749035362256</v>
      </c>
      <c r="AL532" t="n">
        <v>0.006222033379289154</v>
      </c>
      <c r="AM532">
        <f>IF(AND(ISNUMBER($AC532),ISNUMBER(IF($V532,IF($AL532="","",$AL532),IF($AK532="","",$AK532)))),IF(AND(ABS($AC532-significance_bar)&lt;=2.0*IF($V532,IF($AL532="","",$AL532),IF($AK532="","",$AK532)),OR($Y532="worse",$Y532="better",$Y532="worse, not significant",$Y532="better, not significant",AND(profit_kind="test",$Y532="in line",ISNUMBER($AB532),$AB532&lt;&gt;0))),IF(ROUND($AC532,3)=ROUND(significance_bar,3),TEXT($AC532,"0.0000"),TEXT($AC532,"0.000")),""),"")</f>
        <v/>
      </c>
      <c r="AN532">
        <f>IF(AND(ISNUMBER($AC532),ISNUMBER(IF($V532,IF($AL532="","",$AL532),IF($AK532="","",$AK532)))),IF(AND(ABS($AC532-significance_bar)&lt;=2.0*IF($V532,IF($AL532="","",$AL532),IF($AK532="","",$AK532)),OR($Y532="worse",$Y532="worse, not significant",AND(profit_kind="test",$Y532="in line",ISNUMBER($AB532),$AB532&lt;0))),IF(ROUND($AC532,3)=ROUND(significance_bar,3),TEXT($AC532,"0.0000"),TEXT($AC532,"0.000")),""),"")</f>
        <v/>
      </c>
      <c r="AO532">
        <f>IF(OR($AI532="",$AN532=""),$AI532,$AI532&amp;" · borderline (p "&amp;$AN532&amp;")")</f>
        <v/>
      </c>
    </row>
    <row r="533">
      <c r="A533" t="inlineStr">
        <is>
          <t>three-way</t>
        </is>
      </c>
      <c r="B533" t="inlineStr">
        <is>
          <t>SHORT_HIST x CHANNEL / REV_DEBT</t>
        </is>
      </c>
      <c r="C533" t="inlineStr">
        <is>
          <t>346.0 - 435.0</t>
        </is>
      </c>
      <c r="D533" t="inlineStr">
        <is>
          <t>Online / REV_DEBT high half</t>
        </is>
      </c>
      <c r="E533" t="inlineStr">
        <is>
          <t>contribution_rate</t>
        </is>
      </c>
      <c r="F533" t="inlineStr">
        <is>
          <t>Contribution before losses per booked dollar</t>
        </is>
      </c>
      <c r="G533" t="n">
        <v>265</v>
      </c>
      <c r="H533" t="n">
        <v>8466606.610000003</v>
      </c>
      <c r="I533" t="b">
        <v>0</v>
      </c>
      <c r="J533" t="b">
        <v>0</v>
      </c>
      <c r="K533" t="n">
        <v>0.03658291838966629</v>
      </c>
      <c r="L533" t="n">
        <v>0.0003789094774733053</v>
      </c>
      <c r="M533" t="n">
        <v>0.04783305114563408</v>
      </c>
      <c r="N533" t="n">
        <v>0.00023997600239976</v>
      </c>
      <c r="O533" t="n">
        <v>-309733.1786510393</v>
      </c>
      <c r="P533" t="n">
        <v>-404983.6270060937</v>
      </c>
      <c r="Q533">
        <f>'_live'!$C$24</f>
        <v/>
      </c>
      <c r="R533" t="inlineStr">
        <is>
          <t>shuffled: 1 of 10,000</t>
        </is>
      </c>
      <c r="S533" t="inlineStr">
        <is>
          <t>shuffled: 0 of 10,000</t>
        </is>
      </c>
      <c r="T533" t="n">
        <v>0.1683920733561706</v>
      </c>
      <c r="U533" t="n">
        <v>0.1571419406002028</v>
      </c>
      <c r="V533">
        <f>AND(judged_band,NOT($J533))</f>
        <v/>
      </c>
      <c r="W533">
        <f>IF($K533="","",IF(profit_kind="test",IF(OR(NOT(AND(ISNUMBER($L533),$L533&lt;significance_bar)),$K533=0),"in line",IF($K533&lt;0,"worse","better")),IF(OR($K533=0,IF(profit_kind="points",ABS($K533),ABS($K533*$H533))&lt;profit_line*(1-1E-9)),"in line",IF(AND(ISNUMBER($L533),$L533&lt;significance_bar),IF($K533&lt;0,"worse","better"),IF($K533&lt;0,"worse, not significant","better, not significant")))))</f>
        <v/>
      </c>
      <c r="X533">
        <f>IF($M533="","",IF(profit_kind="test",IF(OR(NOT(AND(ISNUMBER($N533),$N533&lt;significance_bar)),$M533=0),"in line",IF($M533&lt;0,"worse","better")),IF(OR($M533=0,IF(profit_kind="points",ABS($M533),ABS($M533*$H533))&lt;profit_line*(1-1E-9)),"in line",IF(AND(ISNUMBER($N533),$N533&lt;significance_bar),IF($M533&lt;0,"worse","better"),IF($M533&lt;0,"worse, not significant","better, not significant")))))</f>
        <v/>
      </c>
      <c r="Y533">
        <f>IF($V533,$X533,$W533)</f>
        <v/>
      </c>
      <c r="Z533">
        <f>IF($V533,IF($P533="","",$P533),IF($O533="","",$O533))</f>
        <v/>
      </c>
      <c r="AA533">
        <f>IF(OR($Q533="",$Z533=""),"",IF(AND($Z533&gt;0,$Z533&gt;=$Q533),"yes","below the line"))</f>
        <v/>
      </c>
      <c r="AB533">
        <f>IF($V533,IF($M533="","",$M533),IF($K533="","",$K533))</f>
        <v/>
      </c>
      <c r="AC533">
        <f>IF($V533,IF($N533="","",$N533),IF($L533="","",$L533))</f>
        <v/>
      </c>
      <c r="AD533">
        <f>IF($Y533="","",IF($Y533="in line",IF(profit_kind="test",IF(ROUND($AB533*100,2)=0,"0.00",TEXT($AB533*100,"+0.00;-0.00"))&amp;" points against "&amp;IF($V533,"its band","the book")&amp;", "&amp;IF($AC533="","not tested","not significant"),IF(profit_kind="points","within "&amp;TEXT(profit_line*100,"0.00")&amp;" points of "&amp;IF($V533,"its band","the book")&amp;" ("&amp;IF(ROUND($AB533*100,2)=0,"0.00",TEXT($AB533*100,"+0.00;-0.00"))&amp;")","within $"&amp;TEXT(profit_line,"#,##0")&amp;" of "&amp;IF($V533,"its band","the book")&amp;" ("&amp;IF(ROUND($AB533*100,2)=0,"0.00",TEXT($AB533*100,"+0.00;-0.00"))&amp;" points)")),IF(LEFT($Y533,5)="worse","short of ","ahead of ")&amp;IF($V533,"its band","the book")&amp;" by "&amp;TEXT(ABS($AB533)*100,"0.00")&amp;" points"&amp;IF($Z533="",""," ($"&amp;TEXT(ABS($Z533),"#,##0")&amp;")")&amp;IF(RIGHT($Y533,15)="not significant"," (not significant)","")))</f>
        <v/>
      </c>
      <c r="AE533">
        <f>IF($V533,IF($S533="","",$S533),IF($R533="","",$R533))</f>
        <v/>
      </c>
      <c r="AF533">
        <f>IF($V533,IF($U533="","",$U533),IF($T533="","",$T533))</f>
        <v/>
      </c>
      <c r="AG533">
        <f>IF($V533,IF($O533="","",$O533),IF($P533="","",$P533))</f>
        <v/>
      </c>
      <c r="AH533" t="n">
        <v>0.2049749917458369</v>
      </c>
      <c r="AI533">
        <f>IF($Y533="worse","Yes",IF($Y533="worse, not significant","Not sure",IF(OR($Y533="too few losses to test",$Y533="too few loans to test"),"Too few losses",IF($Y533="","","No"))))</f>
        <v/>
      </c>
      <c r="AJ533">
        <f>IF($AA533="yes","Yes",IF($AA533="","","No"))</f>
        <v/>
      </c>
      <c r="AK533" t="n">
        <v>0.0002679160641692481</v>
      </c>
      <c r="AL533" t="n">
        <v>0.00023997600239976</v>
      </c>
      <c r="AM533">
        <f>IF(AND(ISNUMBER($AC533),ISNUMBER(IF($V533,IF($AL533="","",$AL533),IF($AK533="","",$AK533)))),IF(AND(ABS($AC533-significance_bar)&lt;=2.0*IF($V533,IF($AL533="","",$AL533),IF($AK533="","",$AK533)),OR($Y533="worse",$Y533="better",$Y533="worse, not significant",$Y533="better, not significant",AND(profit_kind="test",$Y533="in line",ISNUMBER($AB533),$AB533&lt;&gt;0))),IF(ROUND($AC533,3)=ROUND(significance_bar,3),TEXT($AC533,"0.0000"),TEXT($AC533,"0.000")),""),"")</f>
        <v/>
      </c>
      <c r="AN533">
        <f>IF(AND(ISNUMBER($AC533),ISNUMBER(IF($V533,IF($AL533="","",$AL533),IF($AK533="","",$AK533)))),IF(AND(ABS($AC533-significance_bar)&lt;=2.0*IF($V533,IF($AL533="","",$AL533),IF($AK533="","",$AK533)),OR($Y533="worse",$Y533="worse, not significant",AND(profit_kind="test",$Y533="in line",ISNUMBER($AB533),$AB533&lt;0))),IF(ROUND($AC533,3)=ROUND(significance_bar,3),TEXT($AC533,"0.0000"),TEXT($AC533,"0.000")),""),"")</f>
        <v/>
      </c>
      <c r="AO533">
        <f>IF(OR($AI533="",$AN533=""),$AI533,$AI533&amp;" · borderline (p "&amp;$AN533&amp;")")</f>
        <v/>
      </c>
    </row>
    <row r="534">
      <c r="A534" t="inlineStr">
        <is>
          <t>three-way</t>
        </is>
      </c>
      <c r="B534" t="inlineStr">
        <is>
          <t>SHORT_HIST x CHANNEL / REV_DEBT</t>
        </is>
      </c>
      <c r="C534" t="inlineStr">
        <is>
          <t>(marked missing)</t>
        </is>
      </c>
      <c r="D534" t="inlineStr">
        <is>
          <t>Online / REV_DEBT low half</t>
        </is>
      </c>
      <c r="E534" t="inlineStr">
        <is>
          <t>outcome_loans</t>
        </is>
      </c>
      <c r="F534" t="inlineStr">
        <is>
          <t>Outcome, share of loans</t>
        </is>
      </c>
      <c r="G534" t="n">
        <v>31</v>
      </c>
      <c r="H534" t="n">
        <v>31</v>
      </c>
      <c r="I534" t="b">
        <v>1</v>
      </c>
      <c r="J534" t="b">
        <v>0</v>
      </c>
      <c r="K534" t="n">
        <v>0.8331677733047523</v>
      </c>
      <c r="M534" t="n">
        <v>0.9912023460410557</v>
      </c>
      <c r="O534" t="n">
        <v>-0.4004769076305221</v>
      </c>
      <c r="P534" t="n">
        <v>-0.0177514792899407</v>
      </c>
      <c r="Q534">
        <f>'_live'!$C$20</f>
        <v/>
      </c>
      <c r="T534" t="n">
        <v>0.0774347389558233</v>
      </c>
      <c r="U534" t="n">
        <v>0.0650887573964497</v>
      </c>
      <c r="V534">
        <f>AND(judged_band,NOT($J534))</f>
        <v/>
      </c>
      <c r="W534">
        <f>IF($K534="","",IF($I534,"too few losses to test",IF(AND($K534&gt;better_at,$K534&lt;worse_at),"in line",IF($K534&gt;=worse_at,IF(AND(ISNUMBER($L534),$L534&lt;significance_bar),"worse","worse, not significant"),IF(AND(ISNUMBER($L534),$L534&lt;significance_bar),"better","better, not significant")))))</f>
        <v/>
      </c>
      <c r="X534">
        <f>IF($M534="","",IF($I534,"too few losses to test",IF(AND($M534&gt;better_at,$M534&lt;worse_at),"in line",IF($M534&gt;=worse_at,IF(AND(ISNUMBER($N534),$N534&lt;significance_bar),"worse","worse, not significant"),IF(AND(ISNUMBER($N534),$N534&lt;significance_bar),"better","better, not significant")))))</f>
        <v/>
      </c>
      <c r="Y534">
        <f>IF($V534,$X534,$W534)</f>
        <v/>
      </c>
      <c r="Z534">
        <f>IF($V534,IF($P534="","",$P534),IF($O534="","",$O534))</f>
        <v/>
      </c>
      <c r="AA534">
        <f>IF(OR($Q534="",$Z534=""),"",IF(AND($Z534&gt;0,$Z534&gt;=$Q534),"yes","below the line"))</f>
        <v/>
      </c>
      <c r="AB534">
        <f>IF($V534,IF($M534="","",$M534),IF($K534="","",$K534))</f>
        <v/>
      </c>
      <c r="AC534">
        <f>IF($V534,IF($N534="","",$N534),IF($L534="","",$L534))</f>
        <v/>
      </c>
      <c r="AD534">
        <f>$Y534</f>
        <v/>
      </c>
      <c r="AE534">
        <f>IF($V534,IF($S534="","",$S534),IF($R534="","",$R534))</f>
        <v/>
      </c>
      <c r="AF534">
        <f>IF($V534,IF($U534="","",$U534),IF($T534="","",$T534))</f>
        <v/>
      </c>
      <c r="AG534">
        <f>IF($V534,IF($O534="","",$O534),IF($P534="","",$P534))</f>
        <v/>
      </c>
      <c r="AH534" t="n">
        <v>0.06451612903225806</v>
      </c>
      <c r="AI534">
        <f>IF($Y534="worse","Yes",IF($Y534="worse, not significant","Not sure",IF(OR($Y534="too few losses to test",$Y534="too few loans to test"),"Too few losses",IF($Y534="","","No"))))</f>
        <v/>
      </c>
      <c r="AJ534">
        <f>IF($AA534="yes","Yes",IF($AA534="","","No"))</f>
        <v/>
      </c>
      <c r="AM534">
        <f>IF(AND(ISNUMBER($AC534),ISNUMBER(IF($V534,IF($AL534="","",$AL534),IF($AK534="","",$AK534)))),IF(AND(ABS($AC534-significance_bar)&lt;=2.0*IF($V534,IF($AL534="","",$AL534),IF($AK534="","",$AK534)),OR($Y534="worse",$Y534="better",$Y534="worse, not significant",$Y534="better, not significant")),IF(ROUND($AC534,3)=ROUND(significance_bar,3),TEXT($AC534,"0.0000"),TEXT($AC534,"0.000")),""),"")</f>
        <v/>
      </c>
      <c r="AN534">
        <f>IF(AND(ISNUMBER($AC534),ISNUMBER(IF($V534,IF($AL534="","",$AL534),IF($AK534="","",$AK534)))),IF(AND(ABS($AC534-significance_bar)&lt;=2.0*IF($V534,IF($AL534="","",$AL534),IF($AK534="","",$AK534)),OR($Y534="worse",$Y534="worse, not significant")),IF(ROUND($AC534,3)=ROUND(significance_bar,3),TEXT($AC534,"0.0000"),TEXT($AC534,"0.000")),""),"")</f>
        <v/>
      </c>
      <c r="AO534">
        <f>IF(OR($AI534="",$AN534=""),$AI534,$AI534&amp;" · borderline (p "&amp;$AN534&amp;")")</f>
        <v/>
      </c>
    </row>
    <row r="535">
      <c r="A535" t="inlineStr">
        <is>
          <t>three-way</t>
        </is>
      </c>
      <c r="B535" t="inlineStr">
        <is>
          <t>SHORT_HIST x CHANNEL / REV_DEBT</t>
        </is>
      </c>
      <c r="C535" t="inlineStr">
        <is>
          <t>(marked missing)</t>
        </is>
      </c>
      <c r="D535" t="inlineStr">
        <is>
          <t>Online / REV_DEBT low half</t>
        </is>
      </c>
      <c r="E535" t="inlineStr">
        <is>
          <t>outcome_booked</t>
        </is>
      </c>
      <c r="F535" t="inlineStr">
        <is>
          <t>Outcome, share of booked dollars</t>
        </is>
      </c>
      <c r="G535" t="n">
        <v>31</v>
      </c>
      <c r="H535" t="n">
        <v>899816.88</v>
      </c>
      <c r="I535" t="b">
        <v>1</v>
      </c>
      <c r="J535" t="b">
        <v>0</v>
      </c>
      <c r="K535" t="n">
        <v>1.001332261176996</v>
      </c>
      <c r="M535" t="n">
        <v>1.071258267679104</v>
      </c>
      <c r="O535" t="n">
        <v>89.70376458625833</v>
      </c>
      <c r="P535" t="n">
        <v>4484.774169949633</v>
      </c>
      <c r="Q535">
        <f>'_live'!$C$21</f>
        <v/>
      </c>
      <c r="T535" t="n">
        <v>0.07482852092685097</v>
      </c>
      <c r="U535" t="n">
        <v>0.06994411555165576</v>
      </c>
      <c r="V535">
        <f>AND(judged_band,NOT($J535))</f>
        <v/>
      </c>
      <c r="W535">
        <f>IF($K535="","",IF($I535,"too few losses to test",IF(AND($K535&gt;better_at,$K535&lt;worse_at),"in line",IF($K535&gt;=worse_at,IF(AND(ISNUMBER($L535),$L535&lt;significance_bar),"worse","worse, not significant"),IF(AND(ISNUMBER($L535),$L535&lt;significance_bar),"better","better, not significant")))))</f>
        <v/>
      </c>
      <c r="X535">
        <f>IF($M535="","",IF($I535,"too few losses to test",IF(AND($M535&gt;better_at,$M535&lt;worse_at),"in line",IF($M535&gt;=worse_at,IF(AND(ISNUMBER($N535),$N535&lt;significance_bar),"worse","worse, not significant"),IF(AND(ISNUMBER($N535),$N535&lt;significance_bar),"better","better, not significant")))))</f>
        <v/>
      </c>
      <c r="Y535">
        <f>IF($V535,$X535,$W535)</f>
        <v/>
      </c>
      <c r="Z535">
        <f>IF($V535,IF($P535="","",$P535),IF($O535="","",$O535))</f>
        <v/>
      </c>
      <c r="AA535">
        <f>IF(OR($Q535="",$Z535=""),"",IF(AND($Z535&gt;0,$Z535&gt;=$Q535),"yes","below the line"))</f>
        <v/>
      </c>
      <c r="AB535">
        <f>IF($V535,IF($M535="","",$M535),IF($K535="","",$K535))</f>
        <v/>
      </c>
      <c r="AC535">
        <f>IF($V535,IF($N535="","",$N535),IF($L535="","",$L535))</f>
        <v/>
      </c>
      <c r="AD535">
        <f>$Y535</f>
        <v/>
      </c>
      <c r="AE535">
        <f>IF($V535,IF($S535="","",$S535),IF($R535="","",$R535))</f>
        <v/>
      </c>
      <c r="AF535">
        <f>IF($V535,IF($U535="","",$U535),IF($T535="","",$T535))</f>
        <v/>
      </c>
      <c r="AG535">
        <f>IF($V535,IF($O535="","",$O535),IF($P535="","",$P535))</f>
        <v/>
      </c>
      <c r="AH535" t="n">
        <v>0.07492821206021386</v>
      </c>
      <c r="AI535">
        <f>IF($Y535="worse","Yes",IF($Y535="worse, not significant","Not sure",IF(OR($Y535="too few losses to test",$Y535="too few loans to test"),"Too few losses",IF($Y535="","","No"))))</f>
        <v/>
      </c>
      <c r="AJ535">
        <f>IF($AA535="yes","Yes",IF($AA535="","","No"))</f>
        <v/>
      </c>
      <c r="AM535">
        <f>IF(AND(ISNUMBER($AC535),ISNUMBER(IF($V535,IF($AL535="","",$AL535),IF($AK535="","",$AK535)))),IF(AND(ABS($AC535-significance_bar)&lt;=2.0*IF($V535,IF($AL535="","",$AL535),IF($AK535="","",$AK535)),OR($Y535="worse",$Y535="better",$Y535="worse, not significant",$Y535="better, not significant")),IF(ROUND($AC535,3)=ROUND(significance_bar,3),TEXT($AC535,"0.0000"),TEXT($AC535,"0.000")),""),"")</f>
        <v/>
      </c>
      <c r="AN535">
        <f>IF(AND(ISNUMBER($AC535),ISNUMBER(IF($V535,IF($AL535="","",$AL535),IF($AK535="","",$AK535)))),IF(AND(ABS($AC535-significance_bar)&lt;=2.0*IF($V535,IF($AL535="","",$AL535),IF($AK535="","",$AK535)),OR($Y535="worse",$Y535="worse, not significant")),IF(ROUND($AC535,3)=ROUND(significance_bar,3),TEXT($AC535,"0.0000"),TEXT($AC535,"0.000")),""),"")</f>
        <v/>
      </c>
      <c r="AO535">
        <f>IF(OR($AI535="",$AN535=""),$AI535,$AI535&amp;" · borderline (p "&amp;$AN535&amp;")")</f>
        <v/>
      </c>
    </row>
    <row r="536">
      <c r="A536" t="inlineStr">
        <is>
          <t>three-way</t>
        </is>
      </c>
      <c r="B536" t="inlineStr">
        <is>
          <t>SHORT_HIST x CHANNEL / REV_DEBT</t>
        </is>
      </c>
      <c r="C536" t="inlineStr">
        <is>
          <t>(marked missing)</t>
        </is>
      </c>
      <c r="D536" t="inlineStr">
        <is>
          <t>Online / REV_DEBT low half</t>
        </is>
      </c>
      <c r="E536" t="inlineStr">
        <is>
          <t>gco_rate</t>
        </is>
      </c>
      <c r="F536" t="inlineStr">
        <is>
          <t>GCO per booked dollar</t>
        </is>
      </c>
      <c r="G536" t="n">
        <v>31</v>
      </c>
      <c r="H536" t="n">
        <v>899816.88</v>
      </c>
      <c r="I536" t="b">
        <v>1</v>
      </c>
      <c r="J536" t="b">
        <v>0</v>
      </c>
      <c r="K536" t="n">
        <v>0.7933147135995584</v>
      </c>
      <c r="M536" t="n">
        <v>0.8050644910589164</v>
      </c>
      <c r="O536" t="n">
        <v>-7743.282989911157</v>
      </c>
      <c r="P536" t="n">
        <v>-7196.50057343359</v>
      </c>
      <c r="Q536">
        <f>'_live'!$C$22</f>
        <v/>
      </c>
      <c r="T536" t="n">
        <v>0.04163527471268505</v>
      </c>
      <c r="U536" t="n">
        <v>0.04102761505589181</v>
      </c>
      <c r="V536">
        <f>AND(judged_band,NOT($J536))</f>
        <v/>
      </c>
      <c r="W536">
        <f>IF($K536="","",IF($I536,"too few losses to test",IF(AND($K536&gt;better_at,$K536&lt;worse_at),"in line",IF($K536&gt;=worse_at,IF(AND(ISNUMBER($L536),$L536&lt;significance_bar),"worse","worse, not significant"),IF(AND(ISNUMBER($L536),$L536&lt;significance_bar),"better","better, not significant")))))</f>
        <v/>
      </c>
      <c r="X536">
        <f>IF($M536="","",IF($I536,"too few losses to test",IF(AND($M536&gt;better_at,$M536&lt;worse_at),"in line",IF($M536&gt;=worse_at,IF(AND(ISNUMBER($N536),$N536&lt;significance_bar),"worse","worse, not significant"),IF(AND(ISNUMBER($N536),$N536&lt;significance_bar),"better","better, not significant")))))</f>
        <v/>
      </c>
      <c r="Y536">
        <f>IF($V536,$X536,$W536)</f>
        <v/>
      </c>
      <c r="Z536">
        <f>IF($V536,IF($P536="","",$P536),IF($O536="","",$O536))</f>
        <v/>
      </c>
      <c r="AA536">
        <f>IF(OR($Q536="",$Z536=""),"",IF(AND($Z536&gt;0,$Z536&gt;=$Q536),"yes","below the line"))</f>
        <v/>
      </c>
      <c r="AB536">
        <f>IF($V536,IF($M536="","",$M536),IF($K536="","",$K536))</f>
        <v/>
      </c>
      <c r="AC536">
        <f>IF($V536,IF($N536="","",$N536),IF($L536="","",$L536))</f>
        <v/>
      </c>
      <c r="AD536">
        <f>$Y536</f>
        <v/>
      </c>
      <c r="AE536">
        <f>IF($V536,IF($S536="","",$S536),IF($R536="","",$R536))</f>
        <v/>
      </c>
      <c r="AF536">
        <f>IF($V536,IF($U536="","",$U536),IF($T536="","",$T536))</f>
        <v/>
      </c>
      <c r="AG536">
        <f>IF($V536,IF($O536="","",$O536),IF($P536="","",$P536))</f>
        <v/>
      </c>
      <c r="AH536" t="n">
        <v>0.03302987603433268</v>
      </c>
      <c r="AI536">
        <f>IF($Y536="worse","Yes",IF($Y536="worse, not significant","Not sure",IF(OR($Y536="too few losses to test",$Y536="too few loans to test"),"Too few losses",IF($Y536="","","No"))))</f>
        <v/>
      </c>
      <c r="AJ536">
        <f>IF($AA536="yes","Yes",IF($AA536="","","No"))</f>
        <v/>
      </c>
      <c r="AM536">
        <f>IF(AND(ISNUMBER($AC536),ISNUMBER(IF($V536,IF($AL536="","",$AL536),IF($AK536="","",$AK536)))),IF(AND(ABS($AC536-significance_bar)&lt;=2.0*IF($V536,IF($AL536="","",$AL536),IF($AK536="","",$AK536)),OR($Y536="worse",$Y536="better",$Y536="worse, not significant",$Y536="better, not significant")),IF(ROUND($AC536,3)=ROUND(significance_bar,3),TEXT($AC536,"0.0000"),TEXT($AC536,"0.000")),""),"")</f>
        <v/>
      </c>
      <c r="AN536">
        <f>IF(AND(ISNUMBER($AC536),ISNUMBER(IF($V536,IF($AL536="","",$AL536),IF($AK536="","",$AK536)))),IF(AND(ABS($AC536-significance_bar)&lt;=2.0*IF($V536,IF($AL536="","",$AL536),IF($AK536="","",$AK536)),OR($Y536="worse",$Y536="worse, not significant")),IF(ROUND($AC536,3)=ROUND(significance_bar,3),TEXT($AC536,"0.0000"),TEXT($AC536,"0.000")),""),"")</f>
        <v/>
      </c>
      <c r="AO536">
        <f>IF(OR($AI536="",$AN536=""),$AI536,$AI536&amp;" · borderline (p "&amp;$AN536&amp;")")</f>
        <v/>
      </c>
    </row>
    <row r="537">
      <c r="A537" t="inlineStr">
        <is>
          <t>three-way</t>
        </is>
      </c>
      <c r="B537" t="inlineStr">
        <is>
          <t>SHORT_HIST x CHANNEL / REV_DEBT</t>
        </is>
      </c>
      <c r="C537" t="inlineStr">
        <is>
          <t>(marked missing)</t>
        </is>
      </c>
      <c r="D537" t="inlineStr">
        <is>
          <t>Online / REV_DEBT low half</t>
        </is>
      </c>
      <c r="E537" t="inlineStr">
        <is>
          <t>ranr_rate</t>
        </is>
      </c>
      <c r="F537" t="inlineStr">
        <is>
          <t>Profit after losses: RANR per booked dollar</t>
        </is>
      </c>
      <c r="G537" t="n">
        <v>31</v>
      </c>
      <c r="H537" t="n">
        <v>899816.88</v>
      </c>
      <c r="I537" t="b">
        <v>0</v>
      </c>
      <c r="J537" t="b">
        <v>0</v>
      </c>
      <c r="K537" t="n">
        <v>0.0221708914436492</v>
      </c>
      <c r="L537" t="n">
        <v>0.6878687131286871</v>
      </c>
      <c r="M537" t="n">
        <v>0.02219337575621461</v>
      </c>
      <c r="N537" t="n">
        <v>0.7068067386809705</v>
      </c>
      <c r="O537" t="n">
        <v>-19949.74236564312</v>
      </c>
      <c r="P537" t="n">
        <v>-19969.97412962466</v>
      </c>
      <c r="Q537">
        <f>'_live'!$C$23</f>
        <v/>
      </c>
      <c r="R537" t="inlineStr">
        <is>
          <t>shuffled: 5,448 of 10,000</t>
        </is>
      </c>
      <c r="S537" t="inlineStr">
        <is>
          <t>shuffled: 6,086 of 10,000</t>
        </is>
      </c>
      <c r="T537" t="n">
        <v>0.127912745573696</v>
      </c>
      <c r="U537" t="n">
        <v>0.1278902612611306</v>
      </c>
      <c r="V537">
        <f>AND(judged_band,NOT($J537))</f>
        <v/>
      </c>
      <c r="W537">
        <f>IF($K537="","",IF(profit_kind="test",IF(OR(NOT(AND(ISNUMBER($L537),$L537&lt;significance_bar)),$K537=0),"in line",IF($K537&lt;0,"worse","better")),IF(OR($K537=0,IF(profit_kind="points",ABS($K537),ABS($K537*$H537))&lt;profit_line*(1-1E-9)),"in line",IF(AND(ISNUMBER($L537),$L537&lt;significance_bar),IF($K537&lt;0,"worse","better"),IF($K537&lt;0,"worse, not significant","better, not significant")))))</f>
        <v/>
      </c>
      <c r="X537">
        <f>IF($M537="","",IF(profit_kind="test",IF(OR(NOT(AND(ISNUMBER($N537),$N537&lt;significance_bar)),$M537=0),"in line",IF($M537&lt;0,"worse","better")),IF(OR($M537=0,IF(profit_kind="points",ABS($M537),ABS($M537*$H537))&lt;profit_line*(1-1E-9)),"in line",IF(AND(ISNUMBER($N537),$N537&lt;significance_bar),IF($M537&lt;0,"worse","better"),IF($M537&lt;0,"worse, not significant","better, not significant")))))</f>
        <v/>
      </c>
      <c r="Y537">
        <f>IF($V537,$X537,$W537)</f>
        <v/>
      </c>
      <c r="Z537">
        <f>IF($V537,IF($P537="","",$P537),IF($O537="","",$O537))</f>
        <v/>
      </c>
      <c r="AA537">
        <f>IF(OR($Q537="",$Z537=""),"",IF(AND($Z537&gt;0,$Z537&gt;=$Q537),"yes","below the line"))</f>
        <v/>
      </c>
      <c r="AB537">
        <f>IF($V537,IF($M537="","",$M537),IF($K537="","",$K537))</f>
        <v/>
      </c>
      <c r="AC537">
        <f>IF($V537,IF($N537="","",$N537),IF($L537="","",$L537))</f>
        <v/>
      </c>
      <c r="AD537">
        <f>IF($Y537="","",IF($Y537="in line",IF(profit_kind="test",IF(ROUND($AB537*100,2)=0,"0.00",TEXT($AB537*100,"+0.00;-0.00"))&amp;" points against "&amp;IF($V537,"its band","the book")&amp;", "&amp;IF($AC537="","not tested","not significant"),IF(profit_kind="points","within "&amp;TEXT(profit_line*100,"0.00")&amp;" points of "&amp;IF($V537,"its band","the book")&amp;" ("&amp;IF(ROUND($AB537*100,2)=0,"0.00",TEXT($AB537*100,"+0.00;-0.00"))&amp;")","within $"&amp;TEXT(profit_line,"#,##0")&amp;" of "&amp;IF($V537,"its band","the book")&amp;" ("&amp;IF(ROUND($AB537*100,2)=0,"0.00",TEXT($AB537*100,"+0.00;-0.00"))&amp;" points)")),IF(LEFT($Y537,5)="worse","short of ","ahead of ")&amp;IF($V537,"its band","the book")&amp;" by "&amp;TEXT(ABS($AB537)*100,"0.00")&amp;" points"&amp;IF($Z537="",""," ($"&amp;TEXT(ABS($Z537),"#,##0")&amp;")")&amp;IF(RIGHT($Y537,15)="not significant"," (not significant)","")))</f>
        <v/>
      </c>
      <c r="AE537">
        <f>IF($V537,IF($S537="","",$S537),IF($R537="","",$R537))</f>
        <v/>
      </c>
      <c r="AF537">
        <f>IF($V537,IF($U537="","",$U537),IF($T537="","",$T537))</f>
        <v/>
      </c>
      <c r="AG537">
        <f>IF($V537,IF($O537="","",$O537),IF($P537="","",$P537))</f>
        <v/>
      </c>
      <c r="AH537" t="n">
        <v>0.1500836370173452</v>
      </c>
      <c r="AI537">
        <f>IF($Y537="worse","Yes",IF($Y537="worse, not significant","Not sure",IF(OR($Y537="too few losses to test",$Y537="too few loans to test"),"Too few losses",IF($Y537="","","No"))))</f>
        <v/>
      </c>
      <c r="AJ537">
        <f>IF($AA537="yes","Yes",IF($AA537="","","No"))</f>
        <v/>
      </c>
      <c r="AK537" t="n">
        <v>0.005483511062890791</v>
      </c>
      <c r="AL537" t="n">
        <v>0.005667733759803545</v>
      </c>
      <c r="AM537">
        <f>IF(AND(ISNUMBER($AC537),ISNUMBER(IF($V537,IF($AL537="","",$AL537),IF($AK537="","",$AK537)))),IF(AND(ABS($AC537-significance_bar)&lt;=2.0*IF($V537,IF($AL537="","",$AL537),IF($AK537="","",$AK537)),OR($Y537="worse",$Y537="better",$Y537="worse, not significant",$Y537="better, not significant",AND(profit_kind="test",$Y537="in line",ISNUMBER($AB537),$AB537&lt;&gt;0))),IF(ROUND($AC537,3)=ROUND(significance_bar,3),TEXT($AC537,"0.0000"),TEXT($AC537,"0.000")),""),"")</f>
        <v/>
      </c>
      <c r="AN537">
        <f>IF(AND(ISNUMBER($AC537),ISNUMBER(IF($V537,IF($AL537="","",$AL537),IF($AK537="","",$AK537)))),IF(AND(ABS($AC537-significance_bar)&lt;=2.0*IF($V537,IF($AL537="","",$AL537),IF($AK537="","",$AK537)),OR($Y537="worse",$Y537="worse, not significant",AND(profit_kind="test",$Y537="in line",ISNUMBER($AB537),$AB537&lt;0))),IF(ROUND($AC537,3)=ROUND(significance_bar,3),TEXT($AC537,"0.0000"),TEXT($AC537,"0.000")),""),"")</f>
        <v/>
      </c>
      <c r="AO537">
        <f>IF(OR($AI537="",$AN537=""),$AI537,$AI537&amp;" · borderline (p "&amp;$AN537&amp;")")</f>
        <v/>
      </c>
    </row>
    <row r="538">
      <c r="A538" t="inlineStr">
        <is>
          <t>three-way</t>
        </is>
      </c>
      <c r="B538" t="inlineStr">
        <is>
          <t>SHORT_HIST x CHANNEL / REV_DEBT</t>
        </is>
      </c>
      <c r="C538" t="inlineStr">
        <is>
          <t>(marked missing)</t>
        </is>
      </c>
      <c r="D538" t="inlineStr">
        <is>
          <t>Online / REV_DEBT low half</t>
        </is>
      </c>
      <c r="E538" t="inlineStr">
        <is>
          <t>contribution_rate</t>
        </is>
      </c>
      <c r="F538" t="inlineStr">
        <is>
          <t>Contribution before losses per booked dollar</t>
        </is>
      </c>
      <c r="G538" t="n">
        <v>31</v>
      </c>
      <c r="H538" t="n">
        <v>899816.88</v>
      </c>
      <c r="I538" t="b">
        <v>0</v>
      </c>
      <c r="J538" t="b">
        <v>0</v>
      </c>
      <c r="K538" t="n">
        <v>0.01356837394852192</v>
      </c>
      <c r="L538" t="n">
        <v>0.6048453978131598</v>
      </c>
      <c r="M538" t="n">
        <v>0.01419563673465549</v>
      </c>
      <c r="N538" t="n">
        <v>0.650582000623467</v>
      </c>
      <c r="O538" t="n">
        <v>-12209.05191303228</v>
      </c>
      <c r="P538" t="n">
        <v>-12773.47355619111</v>
      </c>
      <c r="Q538">
        <f>'_live'!$C$24</f>
        <v/>
      </c>
      <c r="R538" t="inlineStr">
        <is>
          <t>shuffled: 5,712 of 10,000</t>
        </is>
      </c>
      <c r="S538" t="inlineStr">
        <is>
          <t>shuffled: 6,144 of 10,000</t>
        </is>
      </c>
      <c r="T538" t="n">
        <v>0.1695451391031559</v>
      </c>
      <c r="U538" t="n">
        <v>0.1689178763170223</v>
      </c>
      <c r="V538">
        <f>AND(judged_band,NOT($J538))</f>
        <v/>
      </c>
      <c r="W538">
        <f>IF($K538="","",IF(profit_kind="test",IF(OR(NOT(AND(ISNUMBER($L538),$L538&lt;significance_bar)),$K538=0),"in line",IF($K538&lt;0,"worse","better")),IF(OR($K538=0,IF(profit_kind="points",ABS($K538),ABS($K538*$H538))&lt;profit_line*(1-1E-9)),"in line",IF(AND(ISNUMBER($L538),$L538&lt;significance_bar),IF($K538&lt;0,"worse","better"),IF($K538&lt;0,"worse, not significant","better, not significant")))))</f>
        <v/>
      </c>
      <c r="X538">
        <f>IF($M538="","",IF(profit_kind="test",IF(OR(NOT(AND(ISNUMBER($N538),$N538&lt;significance_bar)),$M538=0),"in line",IF($M538&lt;0,"worse","better")),IF(OR($M538=0,IF(profit_kind="points",ABS($M538),ABS($M538*$H538))&lt;profit_line*(1-1E-9)),"in line",IF(AND(ISNUMBER($N538),$N538&lt;significance_bar),IF($M538&lt;0,"worse","better"),IF($M538&lt;0,"worse, not significant","better, not significant")))))</f>
        <v/>
      </c>
      <c r="Y538">
        <f>IF($V538,$X538,$W538)</f>
        <v/>
      </c>
      <c r="Z538">
        <f>IF($V538,IF($P538="","",$P538),IF($O538="","",$O538))</f>
        <v/>
      </c>
      <c r="AA538">
        <f>IF(OR($Q538="",$Z538=""),"",IF(AND($Z538&gt;0,$Z538&gt;=$Q538),"yes","below the line"))</f>
        <v/>
      </c>
      <c r="AB538">
        <f>IF($V538,IF($M538="","",$M538),IF($K538="","",$K538))</f>
        <v/>
      </c>
      <c r="AC538">
        <f>IF($V538,IF($N538="","",$N538),IF($L538="","",$L538))</f>
        <v/>
      </c>
      <c r="AD538">
        <f>IF($Y538="","",IF($Y538="in line",IF(profit_kind="test",IF(ROUND($AB538*100,2)=0,"0.00",TEXT($AB538*100,"+0.00;-0.00"))&amp;" points against "&amp;IF($V538,"its band","the book")&amp;", "&amp;IF($AC538="","not tested","not significant"),IF(profit_kind="points","within "&amp;TEXT(profit_line*100,"0.00")&amp;" points of "&amp;IF($V538,"its band","the book")&amp;" ("&amp;IF(ROUND($AB538*100,2)=0,"0.00",TEXT($AB538*100,"+0.00;-0.00"))&amp;")","within $"&amp;TEXT(profit_line,"#,##0")&amp;" of "&amp;IF($V538,"its band","the book")&amp;" ("&amp;IF(ROUND($AB538*100,2)=0,"0.00",TEXT($AB538*100,"+0.00;-0.00"))&amp;" points)")),IF(LEFT($Y538,5)="worse","short of ","ahead of ")&amp;IF($V538,"its band","the book")&amp;" by "&amp;TEXT(ABS($AB538)*100,"0.00")&amp;" points"&amp;IF($Z538="",""," ($"&amp;TEXT(ABS($Z538),"#,##0")&amp;")")&amp;IF(RIGHT($Y538,15)="not significant"," (not significant)","")))</f>
        <v/>
      </c>
      <c r="AE538">
        <f>IF($V538,IF($S538="","",$S538),IF($R538="","",$R538))</f>
        <v/>
      </c>
      <c r="AF538">
        <f>IF($V538,IF($U538="","",$U538),IF($T538="","",$T538))</f>
        <v/>
      </c>
      <c r="AG538">
        <f>IF($V538,IF($O538="","",$O538),IF($P538="","",$P538))</f>
        <v/>
      </c>
      <c r="AH538" t="n">
        <v>0.1831135130516778</v>
      </c>
      <c r="AI538">
        <f>IF($Y538="worse","Yes",IF($Y538="worse, not significant","Not sure",IF(OR($Y538="too few losses to test",$Y538="too few loans to test"),"Too few losses",IF($Y538="","","No"))))</f>
        <v/>
      </c>
      <c r="AJ538">
        <f>IF($AA538="yes","Yes",IF($AA538="","","No"))</f>
        <v/>
      </c>
      <c r="AK538" t="n">
        <v>0.005240100987626414</v>
      </c>
      <c r="AL538" t="n">
        <v>0.005153587008450263</v>
      </c>
      <c r="AM538">
        <f>IF(AND(ISNUMBER($AC538),ISNUMBER(IF($V538,IF($AL538="","",$AL538),IF($AK538="","",$AK538)))),IF(AND(ABS($AC538-significance_bar)&lt;=2.0*IF($V538,IF($AL538="","",$AL538),IF($AK538="","",$AK538)),OR($Y538="worse",$Y538="better",$Y538="worse, not significant",$Y538="better, not significant",AND(profit_kind="test",$Y538="in line",ISNUMBER($AB538),$AB538&lt;&gt;0))),IF(ROUND($AC538,3)=ROUND(significance_bar,3),TEXT($AC538,"0.0000"),TEXT($AC538,"0.000")),""),"")</f>
        <v/>
      </c>
      <c r="AN538">
        <f>IF(AND(ISNUMBER($AC538),ISNUMBER(IF($V538,IF($AL538="","",$AL538),IF($AK538="","",$AK538)))),IF(AND(ABS($AC538-significance_bar)&lt;=2.0*IF($V538,IF($AL538="","",$AL538),IF($AK538="","",$AK538)),OR($Y538="worse",$Y538="worse, not significant",AND(profit_kind="test",$Y538="in line",ISNUMBER($AB538),$AB538&lt;0))),IF(ROUND($AC538,3)=ROUND(significance_bar,3),TEXT($AC538,"0.0000"),TEXT($AC538,"0.000")),""),"")</f>
        <v/>
      </c>
      <c r="AO538">
        <f>IF(OR($AI538="",$AN538=""),$AI538,$AI538&amp;" · borderline (p "&amp;$AN538&amp;")")</f>
        <v/>
      </c>
    </row>
    <row r="539">
      <c r="A539" t="inlineStr">
        <is>
          <t>three-way</t>
        </is>
      </c>
      <c r="B539" t="inlineStr">
        <is>
          <t>SHORT_HIST x CHANNEL / REV_DEBT</t>
        </is>
      </c>
      <c r="C539" t="inlineStr">
        <is>
          <t>(marked missing)</t>
        </is>
      </c>
      <c r="D539" t="inlineStr">
        <is>
          <t>Branch / REV_DEBT high half</t>
        </is>
      </c>
      <c r="E539" t="inlineStr">
        <is>
          <t>outcome_loans</t>
        </is>
      </c>
      <c r="F539" t="inlineStr">
        <is>
          <t>Outcome, share of loans</t>
        </is>
      </c>
      <c r="G539" t="n">
        <v>36</v>
      </c>
      <c r="H539" t="n">
        <v>36</v>
      </c>
      <c r="I539" t="b">
        <v>1</v>
      </c>
      <c r="J539" t="b">
        <v>0</v>
      </c>
      <c r="K539" t="n">
        <v>1.077245670995671</v>
      </c>
      <c r="M539" t="n">
        <v>1.366666666666667</v>
      </c>
      <c r="O539" t="n">
        <v>0.2151199296747457</v>
      </c>
      <c r="P539" t="n">
        <v>0.8048780487804876</v>
      </c>
      <c r="Q539">
        <f>'_live'!$C$20</f>
        <v/>
      </c>
      <c r="T539" t="n">
        <v>0.07735777973125707</v>
      </c>
      <c r="U539" t="n">
        <v>0.06097560975609756</v>
      </c>
      <c r="V539">
        <f>AND(judged_band,NOT($J539))</f>
        <v/>
      </c>
      <c r="W539">
        <f>IF($K539="","",IF($I539,"too few losses to test",IF(AND($K539&gt;better_at,$K539&lt;worse_at),"in line",IF($K539&gt;=worse_at,IF(AND(ISNUMBER($L539),$L539&lt;significance_bar),"worse","worse, not significant"),IF(AND(ISNUMBER($L539),$L539&lt;significance_bar),"better","better, not significant")))))</f>
        <v/>
      </c>
      <c r="X539">
        <f>IF($M539="","",IF($I539,"too few losses to test",IF(AND($M539&gt;better_at,$M539&lt;worse_at),"in line",IF($M539&gt;=worse_at,IF(AND(ISNUMBER($N539),$N539&lt;significance_bar),"worse","worse, not significant"),IF(AND(ISNUMBER($N539),$N539&lt;significance_bar),"better","better, not significant")))))</f>
        <v/>
      </c>
      <c r="Y539">
        <f>IF($V539,$X539,$W539)</f>
        <v/>
      </c>
      <c r="Z539">
        <f>IF($V539,IF($P539="","",$P539),IF($O539="","",$O539))</f>
        <v/>
      </c>
      <c r="AA539">
        <f>IF(OR($Q539="",$Z539=""),"",IF(AND($Z539&gt;0,$Z539&gt;=$Q539),"yes","below the line"))</f>
        <v/>
      </c>
      <c r="AB539">
        <f>IF($V539,IF($M539="","",$M539),IF($K539="","",$K539))</f>
        <v/>
      </c>
      <c r="AC539">
        <f>IF($V539,IF($N539="","",$N539),IF($L539="","",$L539))</f>
        <v/>
      </c>
      <c r="AD539">
        <f>$Y539</f>
        <v/>
      </c>
      <c r="AE539">
        <f>IF($V539,IF($S539="","",$S539),IF($R539="","",$R539))</f>
        <v/>
      </c>
      <c r="AF539">
        <f>IF($V539,IF($U539="","",$U539),IF($T539="","",$T539))</f>
        <v/>
      </c>
      <c r="AG539">
        <f>IF($V539,IF($O539="","",$O539),IF($P539="","",$P539))</f>
        <v/>
      </c>
      <c r="AH539" t="n">
        <v>0.08333333333333333</v>
      </c>
      <c r="AI539">
        <f>IF($Y539="worse","Yes",IF($Y539="worse, not significant","Not sure",IF(OR($Y539="too few losses to test",$Y539="too few loans to test"),"Too few losses",IF($Y539="","","No"))))</f>
        <v/>
      </c>
      <c r="AJ539">
        <f>IF($AA539="yes","Yes",IF($AA539="","","No"))</f>
        <v/>
      </c>
      <c r="AM539">
        <f>IF(AND(ISNUMBER($AC539),ISNUMBER(IF($V539,IF($AL539="","",$AL539),IF($AK539="","",$AK539)))),IF(AND(ABS($AC539-significance_bar)&lt;=2.0*IF($V539,IF($AL539="","",$AL539),IF($AK539="","",$AK539)),OR($Y539="worse",$Y539="better",$Y539="worse, not significant",$Y539="better, not significant")),IF(ROUND($AC539,3)=ROUND(significance_bar,3),TEXT($AC539,"0.0000"),TEXT($AC539,"0.000")),""),"")</f>
        <v/>
      </c>
      <c r="AN539">
        <f>IF(AND(ISNUMBER($AC539),ISNUMBER(IF($V539,IF($AL539="","",$AL539),IF($AK539="","",$AK539)))),IF(AND(ABS($AC539-significance_bar)&lt;=2.0*IF($V539,IF($AL539="","",$AL539),IF($AK539="","",$AK539)),OR($Y539="worse",$Y539="worse, not significant")),IF(ROUND($AC539,3)=ROUND(significance_bar,3),TEXT($AC539,"0.0000"),TEXT($AC539,"0.000")),""),"")</f>
        <v/>
      </c>
      <c r="AO539">
        <f>IF(OR($AI539="",$AN539=""),$AI539,$AI539&amp;" · borderline (p "&amp;$AN539&amp;")")</f>
        <v/>
      </c>
    </row>
    <row r="540">
      <c r="A540" t="inlineStr">
        <is>
          <t>three-way</t>
        </is>
      </c>
      <c r="B540" t="inlineStr">
        <is>
          <t>SHORT_HIST x CHANNEL / REV_DEBT</t>
        </is>
      </c>
      <c r="C540" t="inlineStr">
        <is>
          <t>(marked missing)</t>
        </is>
      </c>
      <c r="D540" t="inlineStr">
        <is>
          <t>Branch / REV_DEBT high half</t>
        </is>
      </c>
      <c r="E540" t="inlineStr">
        <is>
          <t>outcome_booked</t>
        </is>
      </c>
      <c r="F540" t="inlineStr">
        <is>
          <t>Outcome, share of booked dollars</t>
        </is>
      </c>
      <c r="G540" t="n">
        <v>36</v>
      </c>
      <c r="H540" t="n">
        <v>1134743.13</v>
      </c>
      <c r="I540" t="b">
        <v>1</v>
      </c>
      <c r="J540" t="b">
        <v>0</v>
      </c>
      <c r="K540" t="n">
        <v>1.538289461392963</v>
      </c>
      <c r="M540" t="n">
        <v>1.87292595970206</v>
      </c>
      <c r="O540" t="n">
        <v>45599.04606507989</v>
      </c>
      <c r="P540" t="n">
        <v>60734.39988115079</v>
      </c>
      <c r="Q540">
        <f>'_live'!$C$21</f>
        <v/>
      </c>
      <c r="T540" t="n">
        <v>0.0746521496322433</v>
      </c>
      <c r="U540" t="n">
        <v>0.06131401748944646</v>
      </c>
      <c r="V540">
        <f>AND(judged_band,NOT($J540))</f>
        <v/>
      </c>
      <c r="W540">
        <f>IF($K540="","",IF($I540,"too few losses to test",IF(AND($K540&gt;better_at,$K540&lt;worse_at),"in line",IF($K540&gt;=worse_at,IF(AND(ISNUMBER($L540),$L540&lt;significance_bar),"worse","worse, not significant"),IF(AND(ISNUMBER($L540),$L540&lt;significance_bar),"better","better, not significant")))))</f>
        <v/>
      </c>
      <c r="X540">
        <f>IF($M540="","",IF($I540,"too few losses to test",IF(AND($M540&gt;better_at,$M540&lt;worse_at),"in line",IF($M540&gt;=worse_at,IF(AND(ISNUMBER($N540),$N540&lt;significance_bar),"worse","worse, not significant"),IF(AND(ISNUMBER($N540),$N540&lt;significance_bar),"better","better, not significant")))))</f>
        <v/>
      </c>
      <c r="Y540">
        <f>IF($V540,$X540,$W540)</f>
        <v/>
      </c>
      <c r="Z540">
        <f>IF($V540,IF($P540="","",$P540),IF($O540="","",$O540))</f>
        <v/>
      </c>
      <c r="AA540">
        <f>IF(OR($Q540="",$Z540=""),"",IF(AND($Z540&gt;0,$Z540&gt;=$Q540),"yes","below the line"))</f>
        <v/>
      </c>
      <c r="AB540">
        <f>IF($V540,IF($M540="","",$M540),IF($K540="","",$K540))</f>
        <v/>
      </c>
      <c r="AC540">
        <f>IF($V540,IF($N540="","",$N540),IF($L540="","",$L540))</f>
        <v/>
      </c>
      <c r="AD540">
        <f>$Y540</f>
        <v/>
      </c>
      <c r="AE540">
        <f>IF($V540,IF($S540="","",$S540),IF($R540="","",$R540))</f>
        <v/>
      </c>
      <c r="AF540">
        <f>IF($V540,IF($U540="","",$U540),IF($T540="","",$T540))</f>
        <v/>
      </c>
      <c r="AG540">
        <f>IF($V540,IF($O540="","",$O540),IF($P540="","",$P540))</f>
        <v/>
      </c>
      <c r="AH540" t="n">
        <v>0.1148366150496104</v>
      </c>
      <c r="AI540">
        <f>IF($Y540="worse","Yes",IF($Y540="worse, not significant","Not sure",IF(OR($Y540="too few losses to test",$Y540="too few loans to test"),"Too few losses",IF($Y540="","","No"))))</f>
        <v/>
      </c>
      <c r="AJ540">
        <f>IF($AA540="yes","Yes",IF($AA540="","","No"))</f>
        <v/>
      </c>
      <c r="AM540">
        <f>IF(AND(ISNUMBER($AC540),ISNUMBER(IF($V540,IF($AL540="","",$AL540),IF($AK540="","",$AK540)))),IF(AND(ABS($AC540-significance_bar)&lt;=2.0*IF($V540,IF($AL540="","",$AL540),IF($AK540="","",$AK540)),OR($Y540="worse",$Y540="better",$Y540="worse, not significant",$Y540="better, not significant")),IF(ROUND($AC540,3)=ROUND(significance_bar,3),TEXT($AC540,"0.0000"),TEXT($AC540,"0.000")),""),"")</f>
        <v/>
      </c>
      <c r="AN540">
        <f>IF(AND(ISNUMBER($AC540),ISNUMBER(IF($V540,IF($AL540="","",$AL540),IF($AK540="","",$AK540)))),IF(AND(ABS($AC540-significance_bar)&lt;=2.0*IF($V540,IF($AL540="","",$AL540),IF($AK540="","",$AK540)),OR($Y540="worse",$Y540="worse, not significant")),IF(ROUND($AC540,3)=ROUND(significance_bar,3),TEXT($AC540,"0.0000"),TEXT($AC540,"0.000")),""),"")</f>
        <v/>
      </c>
      <c r="AO540">
        <f>IF(OR($AI540="",$AN540=""),$AI540,$AI540&amp;" · borderline (p "&amp;$AN540&amp;")")</f>
        <v/>
      </c>
    </row>
    <row r="541">
      <c r="A541" t="inlineStr">
        <is>
          <t>three-way</t>
        </is>
      </c>
      <c r="B541" t="inlineStr">
        <is>
          <t>SHORT_HIST x CHANNEL / REV_DEBT</t>
        </is>
      </c>
      <c r="C541" t="inlineStr">
        <is>
          <t>(marked missing)</t>
        </is>
      </c>
      <c r="D541" t="inlineStr">
        <is>
          <t>Branch / REV_DEBT high half</t>
        </is>
      </c>
      <c r="E541" t="inlineStr">
        <is>
          <t>gco_rate</t>
        </is>
      </c>
      <c r="F541" t="inlineStr">
        <is>
          <t>GCO per booked dollar</t>
        </is>
      </c>
      <c r="G541" t="n">
        <v>36</v>
      </c>
      <c r="H541" t="n">
        <v>1134743.13</v>
      </c>
      <c r="I541" t="b">
        <v>1</v>
      </c>
      <c r="J541" t="b">
        <v>0</v>
      </c>
      <c r="K541" t="n">
        <v>2.009221501519075</v>
      </c>
      <c r="M541" t="n">
        <v>2.702482803301205</v>
      </c>
      <c r="O541" t="n">
        <v>47436.11263038226</v>
      </c>
      <c r="P541" t="n">
        <v>59493.59446179389</v>
      </c>
      <c r="Q541">
        <f>'_live'!$C$22</f>
        <v/>
      </c>
      <c r="T541" t="n">
        <v>0.0414214249260251</v>
      </c>
      <c r="U541" t="n">
        <v>0.03079568812917696</v>
      </c>
      <c r="V541">
        <f>AND(judged_band,NOT($J541))</f>
        <v/>
      </c>
      <c r="W541">
        <f>IF($K541="","",IF($I541,"too few losses to test",IF(AND($K541&gt;better_at,$K541&lt;worse_at),"in line",IF($K541&gt;=worse_at,IF(AND(ISNUMBER($L541),$L541&lt;significance_bar),"worse","worse, not significant"),IF(AND(ISNUMBER($L541),$L541&lt;significance_bar),"better","better, not significant")))))</f>
        <v/>
      </c>
      <c r="X541">
        <f>IF($M541="","",IF($I541,"too few losses to test",IF(AND($M541&gt;better_at,$M541&lt;worse_at),"in line",IF($M541&gt;=worse_at,IF(AND(ISNUMBER($N541),$N541&lt;significance_bar),"worse","worse, not significant"),IF(AND(ISNUMBER($N541),$N541&lt;significance_bar),"better","better, not significant")))))</f>
        <v/>
      </c>
      <c r="Y541">
        <f>IF($V541,$X541,$W541)</f>
        <v/>
      </c>
      <c r="Z541">
        <f>IF($V541,IF($P541="","",$P541),IF($O541="","",$O541))</f>
        <v/>
      </c>
      <c r="AA541">
        <f>IF(OR($Q541="",$Z541=""),"",IF(AND($Z541&gt;0,$Z541&gt;=$Q541),"yes","below the line"))</f>
        <v/>
      </c>
      <c r="AB541">
        <f>IF($V541,IF($M541="","",$M541),IF($K541="","",$K541))</f>
        <v/>
      </c>
      <c r="AC541">
        <f>IF($V541,IF($N541="","",$N541),IF($L541="","",$L541))</f>
        <v/>
      </c>
      <c r="AD541">
        <f>$Y541</f>
        <v/>
      </c>
      <c r="AE541">
        <f>IF($V541,IF($S541="","",$S541),IF($R541="","",$R541))</f>
        <v/>
      </c>
      <c r="AF541">
        <f>IF($V541,IF($U541="","",$U541),IF($T541="","",$T541))</f>
        <v/>
      </c>
      <c r="AG541">
        <f>IF($V541,IF($O541="","",$O541),IF($P541="","",$P541))</f>
        <v/>
      </c>
      <c r="AH541" t="n">
        <v>0.08322481758492779</v>
      </c>
      <c r="AI541">
        <f>IF($Y541="worse","Yes",IF($Y541="worse, not significant","Not sure",IF(OR($Y541="too few losses to test",$Y541="too few loans to test"),"Too few losses",IF($Y541="","","No"))))</f>
        <v/>
      </c>
      <c r="AJ541">
        <f>IF($AA541="yes","Yes",IF($AA541="","","No"))</f>
        <v/>
      </c>
      <c r="AM541">
        <f>IF(AND(ISNUMBER($AC541),ISNUMBER(IF($V541,IF($AL541="","",$AL541),IF($AK541="","",$AK541)))),IF(AND(ABS($AC541-significance_bar)&lt;=2.0*IF($V541,IF($AL541="","",$AL541),IF($AK541="","",$AK541)),OR($Y541="worse",$Y541="better",$Y541="worse, not significant",$Y541="better, not significant")),IF(ROUND($AC541,3)=ROUND(significance_bar,3),TEXT($AC541,"0.0000"),TEXT($AC541,"0.000")),""),"")</f>
        <v/>
      </c>
      <c r="AN541">
        <f>IF(AND(ISNUMBER($AC541),ISNUMBER(IF($V541,IF($AL541="","",$AL541),IF($AK541="","",$AK541)))),IF(AND(ABS($AC541-significance_bar)&lt;=2.0*IF($V541,IF($AL541="","",$AL541),IF($AK541="","",$AK541)),OR($Y541="worse",$Y541="worse, not significant")),IF(ROUND($AC541,3)=ROUND(significance_bar,3),TEXT($AC541,"0.0000"),TEXT($AC541,"0.000")),""),"")</f>
        <v/>
      </c>
      <c r="AO541">
        <f>IF(OR($AI541="",$AN541=""),$AI541,$AI541&amp;" · borderline (p "&amp;$AN541&amp;")")</f>
        <v/>
      </c>
    </row>
    <row r="542">
      <c r="A542" t="inlineStr">
        <is>
          <t>three-way</t>
        </is>
      </c>
      <c r="B542" t="inlineStr">
        <is>
          <t>SHORT_HIST x CHANNEL / REV_DEBT</t>
        </is>
      </c>
      <c r="C542" t="inlineStr">
        <is>
          <t>(marked missing)</t>
        </is>
      </c>
      <c r="D542" t="inlineStr">
        <is>
          <t>Branch / REV_DEBT high half</t>
        </is>
      </c>
      <c r="E542" t="inlineStr">
        <is>
          <t>ranr_rate</t>
        </is>
      </c>
      <c r="F542" t="inlineStr">
        <is>
          <t>Profit after losses: RANR per booked dollar</t>
        </is>
      </c>
      <c r="G542" t="n">
        <v>36</v>
      </c>
      <c r="H542" t="n">
        <v>1134743.13</v>
      </c>
      <c r="I542" t="b">
        <v>0</v>
      </c>
      <c r="J542" t="b">
        <v>0</v>
      </c>
      <c r="K542" t="n">
        <v>-0.002573481123426063</v>
      </c>
      <c r="L542" t="n">
        <v>0.943005699430057</v>
      </c>
      <c r="M542" t="n">
        <v>-0.006691192962070214</v>
      </c>
      <c r="N542" t="n">
        <v>0.8969274501121316</v>
      </c>
      <c r="O542" t="n">
        <v>2920.24002499241</v>
      </c>
      <c r="P542" t="n">
        <v>7592.785245213541</v>
      </c>
      <c r="Q542">
        <f>'_live'!$C$23</f>
        <v/>
      </c>
      <c r="R542" t="inlineStr">
        <is>
          <t>shuffled: 9,430 of 10,000</t>
        </is>
      </c>
      <c r="S542" t="inlineStr">
        <is>
          <t>shuffled: 8,720 of 10,000</t>
        </is>
      </c>
      <c r="T542" t="n">
        <v>0.1280013654059244</v>
      </c>
      <c r="U542" t="n">
        <v>0.1321190772445686</v>
      </c>
      <c r="V542">
        <f>AND(judged_band,NOT($J542))</f>
        <v/>
      </c>
      <c r="W542">
        <f>IF($K542="","",IF(profit_kind="test",IF(OR(NOT(AND(ISNUMBER($L542),$L542&lt;significance_bar)),$K542=0),"in line",IF($K542&lt;0,"worse","better")),IF(OR($K542=0,IF(profit_kind="points",ABS($K542),ABS($K542*$H542))&lt;profit_line*(1-1E-9)),"in line",IF(AND(ISNUMBER($L542),$L542&lt;significance_bar),IF($K542&lt;0,"worse","better"),IF($K542&lt;0,"worse, not significant","better, not significant")))))</f>
        <v/>
      </c>
      <c r="X542">
        <f>IF($M542="","",IF(profit_kind="test",IF(OR(NOT(AND(ISNUMBER($N542),$N542&lt;significance_bar)),$M542=0),"in line",IF($M542&lt;0,"worse","better")),IF(OR($M542=0,IF(profit_kind="points",ABS($M542),ABS($M542*$H542))&lt;profit_line*(1-1E-9)),"in line",IF(AND(ISNUMBER($N542),$N542&lt;significance_bar),IF($M542&lt;0,"worse","better"),IF($M542&lt;0,"worse, not significant","better, not significant")))))</f>
        <v/>
      </c>
      <c r="Y542">
        <f>IF($V542,$X542,$W542)</f>
        <v/>
      </c>
      <c r="Z542">
        <f>IF($V542,IF($P542="","",$P542),IF($O542="","",$O542))</f>
        <v/>
      </c>
      <c r="AA542">
        <f>IF(OR($Q542="",$Z542=""),"",IF(AND($Z542&gt;0,$Z542&gt;=$Q542),"yes","below the line"))</f>
        <v/>
      </c>
      <c r="AB542">
        <f>IF($V542,IF($M542="","",$M542),IF($K542="","",$K542))</f>
        <v/>
      </c>
      <c r="AC542">
        <f>IF($V542,IF($N542="","",$N542),IF($L542="","",$L542))</f>
        <v/>
      </c>
      <c r="AD542">
        <f>IF($Y542="","",IF($Y542="in line",IF(profit_kind="test",IF(ROUND($AB542*100,2)=0,"0.00",TEXT($AB542*100,"+0.00;-0.00"))&amp;" points against "&amp;IF($V542,"its band","the book")&amp;", "&amp;IF($AC542="","not tested","not significant"),IF(profit_kind="points","within "&amp;TEXT(profit_line*100,"0.00")&amp;" points of "&amp;IF($V542,"its band","the book")&amp;" ("&amp;IF(ROUND($AB542*100,2)=0,"0.00",TEXT($AB542*100,"+0.00;-0.00"))&amp;")","within $"&amp;TEXT(profit_line,"#,##0")&amp;" of "&amp;IF($V542,"its band","the book")&amp;" ("&amp;IF(ROUND($AB542*100,2)=0,"0.00",TEXT($AB542*100,"+0.00;-0.00"))&amp;" points)")),IF(LEFT($Y542,5)="worse","short of ","ahead of ")&amp;IF($V542,"its band","the book")&amp;" by "&amp;TEXT(ABS($AB542)*100,"0.00")&amp;" points"&amp;IF($Z542="",""," ($"&amp;TEXT(ABS($Z542),"#,##0")&amp;")")&amp;IF(RIGHT($Y542,15)="not significant"," (not significant)","")))</f>
        <v/>
      </c>
      <c r="AE542">
        <f>IF($V542,IF($S542="","",$S542),IF($R542="","",$R542))</f>
        <v/>
      </c>
      <c r="AF542">
        <f>IF($V542,IF($U542="","",$U542),IF($T542="","",$T542))</f>
        <v/>
      </c>
      <c r="AG542">
        <f>IF($V542,IF($O542="","",$O542),IF($P542="","",$P542))</f>
        <v/>
      </c>
      <c r="AH542" t="n">
        <v>0.1254278842824984</v>
      </c>
      <c r="AI542">
        <f>IF($Y542="worse","Yes",IF($Y542="worse, not significant","Not sure",IF(OR($Y542="too few losses to test",$Y542="too few loans to test"),"Too few losses",IF($Y542="","","No"))))</f>
        <v/>
      </c>
      <c r="AJ542">
        <f>IF($AA542="yes","Yes",IF($AA542="","","No"))</f>
        <v/>
      </c>
      <c r="AK542" t="n">
        <v>0.002318317283559048</v>
      </c>
      <c r="AL542" t="n">
        <v>0.003436205726118761</v>
      </c>
      <c r="AM542">
        <f>IF(AND(ISNUMBER($AC542),ISNUMBER(IF($V542,IF($AL542="","",$AL542),IF($AK542="","",$AK542)))),IF(AND(ABS($AC542-significance_bar)&lt;=2.0*IF($V542,IF($AL542="","",$AL542),IF($AK542="","",$AK542)),OR($Y542="worse",$Y542="better",$Y542="worse, not significant",$Y542="better, not significant",AND(profit_kind="test",$Y542="in line",ISNUMBER($AB542),$AB542&lt;&gt;0))),IF(ROUND($AC542,3)=ROUND(significance_bar,3),TEXT($AC542,"0.0000"),TEXT($AC542,"0.000")),""),"")</f>
        <v/>
      </c>
      <c r="AN542">
        <f>IF(AND(ISNUMBER($AC542),ISNUMBER(IF($V542,IF($AL542="","",$AL542),IF($AK542="","",$AK542)))),IF(AND(ABS($AC542-significance_bar)&lt;=2.0*IF($V542,IF($AL542="","",$AL542),IF($AK542="","",$AK542)),OR($Y542="worse",$Y542="worse, not significant",AND(profit_kind="test",$Y542="in line",ISNUMBER($AB542),$AB542&lt;0))),IF(ROUND($AC542,3)=ROUND(significance_bar,3),TEXT($AC542,"0.0000"),TEXT($AC542,"0.000")),""),"")</f>
        <v/>
      </c>
      <c r="AO542">
        <f>IF(OR($AI542="",$AN542=""),$AI542,$AI542&amp;" · borderline (p "&amp;$AN542&amp;")")</f>
        <v/>
      </c>
    </row>
    <row r="543">
      <c r="A543" t="inlineStr">
        <is>
          <t>three-way</t>
        </is>
      </c>
      <c r="B543" t="inlineStr">
        <is>
          <t>SHORT_HIST x CHANNEL / REV_DEBT</t>
        </is>
      </c>
      <c r="C543" t="inlineStr">
        <is>
          <t>(marked missing)</t>
        </is>
      </c>
      <c r="D543" t="inlineStr">
        <is>
          <t>Branch / REV_DEBT high half</t>
        </is>
      </c>
      <c r="E543" t="inlineStr">
        <is>
          <t>contribution_rate</t>
        </is>
      </c>
      <c r="F543" t="inlineStr">
        <is>
          <t>Contribution before losses per booked dollar</t>
        </is>
      </c>
      <c r="G543" t="n">
        <v>36</v>
      </c>
      <c r="H543" t="n">
        <v>1134743.13</v>
      </c>
      <c r="I543" t="b">
        <v>0</v>
      </c>
      <c r="J543" t="b">
        <v>0</v>
      </c>
      <c r="K543" t="n">
        <v>0.03923278166370725</v>
      </c>
      <c r="L543" t="n">
        <v>0.09455054494550545</v>
      </c>
      <c r="M543" t="n">
        <v>0.04573793649368066</v>
      </c>
      <c r="N543" t="n">
        <v>0.09150052736661818</v>
      </c>
      <c r="O543" t="n">
        <v>-44519.12946368178</v>
      </c>
      <c r="P543" t="n">
        <v>-51900.80921658041</v>
      </c>
      <c r="Q543">
        <f>'_live'!$C$24</f>
        <v/>
      </c>
      <c r="R543" t="inlineStr">
        <is>
          <t>shuffled: 787 of 10,000</t>
        </is>
      </c>
      <c r="S543" t="inlineStr">
        <is>
          <t>shuffled: 787 of 10,000</t>
        </is>
      </c>
      <c r="T543" t="n">
        <v>0.1694199202037189</v>
      </c>
      <c r="U543" t="n">
        <v>0.1629147653737455</v>
      </c>
      <c r="V543">
        <f>AND(judged_band,NOT($J543))</f>
        <v/>
      </c>
      <c r="W543">
        <f>IF($K543="","",IF(profit_kind="test",IF(OR(NOT(AND(ISNUMBER($L543),$L543&lt;significance_bar)),$K543=0),"in line",IF($K543&lt;0,"worse","better")),IF(OR($K543=0,IF(profit_kind="points",ABS($K543),ABS($K543*$H543))&lt;profit_line*(1-1E-9)),"in line",IF(AND(ISNUMBER($L543),$L543&lt;significance_bar),IF($K543&lt;0,"worse","better"),IF($K543&lt;0,"worse, not significant","better, not significant")))))</f>
        <v/>
      </c>
      <c r="X543">
        <f>IF($M543="","",IF(profit_kind="test",IF(OR(NOT(AND(ISNUMBER($N543),$N543&lt;significance_bar)),$M543=0),"in line",IF($M543&lt;0,"worse","better")),IF(OR($M543=0,IF(profit_kind="points",ABS($M543),ABS($M543*$H543))&lt;profit_line*(1-1E-9)),"in line",IF(AND(ISNUMBER($N543),$N543&lt;significance_bar),IF($M543&lt;0,"worse","better"),IF($M543&lt;0,"worse, not significant","better, not significant")))))</f>
        <v/>
      </c>
      <c r="Y543">
        <f>IF($V543,$X543,$W543)</f>
        <v/>
      </c>
      <c r="Z543">
        <f>IF($V543,IF($P543="","",$P543),IF($O543="","",$O543))</f>
        <v/>
      </c>
      <c r="AA543">
        <f>IF(OR($Q543="",$Z543=""),"",IF(AND($Z543&gt;0,$Z543&gt;=$Q543),"yes","below the line"))</f>
        <v/>
      </c>
      <c r="AB543">
        <f>IF($V543,IF($M543="","",$M543),IF($K543="","",$K543))</f>
        <v/>
      </c>
      <c r="AC543">
        <f>IF($V543,IF($N543="","",$N543),IF($L543="","",$L543))</f>
        <v/>
      </c>
      <c r="AD543">
        <f>IF($Y543="","",IF($Y543="in line",IF(profit_kind="test",IF(ROUND($AB543*100,2)=0,"0.00",TEXT($AB543*100,"+0.00;-0.00"))&amp;" points against "&amp;IF($V543,"its band","the book")&amp;", "&amp;IF($AC543="","not tested","not significant"),IF(profit_kind="points","within "&amp;TEXT(profit_line*100,"0.00")&amp;" points of "&amp;IF($V543,"its band","the book")&amp;" ("&amp;IF(ROUND($AB543*100,2)=0,"0.00",TEXT($AB543*100,"+0.00;-0.00"))&amp;")","within $"&amp;TEXT(profit_line,"#,##0")&amp;" of "&amp;IF($V543,"its band","the book")&amp;" ("&amp;IF(ROUND($AB543*100,2)=0,"0.00",TEXT($AB543*100,"+0.00;-0.00"))&amp;" points)")),IF(LEFT($Y543,5)="worse","short of ","ahead of ")&amp;IF($V543,"its band","the book")&amp;" by "&amp;TEXT(ABS($AB543)*100,"0.00")&amp;" points"&amp;IF($Z543="",""," ($"&amp;TEXT(ABS($Z543),"#,##0")&amp;")")&amp;IF(RIGHT($Y543,15)="not significant"," (not significant)","")))</f>
        <v/>
      </c>
      <c r="AE543">
        <f>IF($V543,IF($S543="","",$S543),IF($R543="","",$R543))</f>
        <v/>
      </c>
      <c r="AF543">
        <f>IF($V543,IF($U543="","",$U543),IF($T543="","",$T543))</f>
        <v/>
      </c>
      <c r="AG543">
        <f>IF($V543,IF($O543="","",$O543),IF($P543="","",$P543))</f>
        <v/>
      </c>
      <c r="AH543" t="n">
        <v>0.2086527018674262</v>
      </c>
      <c r="AI543">
        <f>IF($Y543="worse","Yes",IF($Y543="worse, not significant","Not sure",IF(OR($Y543="too few losses to test",$Y543="too few loans to test"),"Too few losses",IF($Y543="","","No"))))</f>
        <v/>
      </c>
      <c r="AJ543">
        <f>IF($AA543="yes","Yes",IF($AA543="","","No"))</f>
        <v/>
      </c>
      <c r="AK543" t="n">
        <v>0.00323296842522649</v>
      </c>
      <c r="AL543" t="n">
        <v>0.003128679121186926</v>
      </c>
      <c r="AM543">
        <f>IF(AND(ISNUMBER($AC543),ISNUMBER(IF($V543,IF($AL543="","",$AL543),IF($AK543="","",$AK543)))),IF(AND(ABS($AC543-significance_bar)&lt;=2.0*IF($V543,IF($AL543="","",$AL543),IF($AK543="","",$AK543)),OR($Y543="worse",$Y543="better",$Y543="worse, not significant",$Y543="better, not significant",AND(profit_kind="test",$Y543="in line",ISNUMBER($AB543),$AB543&lt;&gt;0))),IF(ROUND($AC543,3)=ROUND(significance_bar,3),TEXT($AC543,"0.0000"),TEXT($AC543,"0.000")),""),"")</f>
        <v/>
      </c>
      <c r="AN543">
        <f>IF(AND(ISNUMBER($AC543),ISNUMBER(IF($V543,IF($AL543="","",$AL543),IF($AK543="","",$AK543)))),IF(AND(ABS($AC543-significance_bar)&lt;=2.0*IF($V543,IF($AL543="","",$AL543),IF($AK543="","",$AK543)),OR($Y543="worse",$Y543="worse, not significant",AND(profit_kind="test",$Y543="in line",ISNUMBER($AB543),$AB543&lt;0))),IF(ROUND($AC543,3)=ROUND(significance_bar,3),TEXT($AC543,"0.0000"),TEXT($AC543,"0.000")),""),"")</f>
        <v/>
      </c>
      <c r="AO543">
        <f>IF(OR($AI543="",$AN543=""),$AI543,$AI543&amp;" · borderline (p "&amp;$AN543&amp;")")</f>
        <v/>
      </c>
    </row>
    <row r="544">
      <c r="A544" t="inlineStr">
        <is>
          <t>three-way</t>
        </is>
      </c>
      <c r="B544" t="inlineStr">
        <is>
          <t>SHORT_HIST x CHANNEL / REV_DEBT</t>
        </is>
      </c>
      <c r="C544" t="inlineStr">
        <is>
          <t>(marked missing)</t>
        </is>
      </c>
      <c r="D544" t="inlineStr">
        <is>
          <t>Branch / REV_DEBT low half</t>
        </is>
      </c>
      <c r="E544" t="inlineStr">
        <is>
          <t>outcome_loans</t>
        </is>
      </c>
      <c r="F544" t="inlineStr">
        <is>
          <t>Outcome, share of loans</t>
        </is>
      </c>
      <c r="G544" t="n">
        <v>36</v>
      </c>
      <c r="H544" t="n">
        <v>36</v>
      </c>
      <c r="I544" t="b">
        <v>1</v>
      </c>
      <c r="J544" t="b">
        <v>0</v>
      </c>
      <c r="K544" t="n">
        <v>1.077245670995671</v>
      </c>
      <c r="M544" t="n">
        <v>1.366666666666667</v>
      </c>
      <c r="O544" t="n">
        <v>0.2151199296747457</v>
      </c>
      <c r="P544" t="n">
        <v>0.8048780487804876</v>
      </c>
      <c r="Q544">
        <f>'_live'!$C$20</f>
        <v/>
      </c>
      <c r="T544" t="n">
        <v>0.07735777973125707</v>
      </c>
      <c r="U544" t="n">
        <v>0.06097560975609756</v>
      </c>
      <c r="V544">
        <f>AND(judged_band,NOT($J544))</f>
        <v/>
      </c>
      <c r="W544">
        <f>IF($K544="","",IF($I544,"too few losses to test",IF(AND($K544&gt;better_at,$K544&lt;worse_at),"in line",IF($K544&gt;=worse_at,IF(AND(ISNUMBER($L544),$L544&lt;significance_bar),"worse","worse, not significant"),IF(AND(ISNUMBER($L544),$L544&lt;significance_bar),"better","better, not significant")))))</f>
        <v/>
      </c>
      <c r="X544">
        <f>IF($M544="","",IF($I544,"too few losses to test",IF(AND($M544&gt;better_at,$M544&lt;worse_at),"in line",IF($M544&gt;=worse_at,IF(AND(ISNUMBER($N544),$N544&lt;significance_bar),"worse","worse, not significant"),IF(AND(ISNUMBER($N544),$N544&lt;significance_bar),"better","better, not significant")))))</f>
        <v/>
      </c>
      <c r="Y544">
        <f>IF($V544,$X544,$W544)</f>
        <v/>
      </c>
      <c r="Z544">
        <f>IF($V544,IF($P544="","",$P544),IF($O544="","",$O544))</f>
        <v/>
      </c>
      <c r="AA544">
        <f>IF(OR($Q544="",$Z544=""),"",IF(AND($Z544&gt;0,$Z544&gt;=$Q544),"yes","below the line"))</f>
        <v/>
      </c>
      <c r="AB544">
        <f>IF($V544,IF($M544="","",$M544),IF($K544="","",$K544))</f>
        <v/>
      </c>
      <c r="AC544">
        <f>IF($V544,IF($N544="","",$N544),IF($L544="","",$L544))</f>
        <v/>
      </c>
      <c r="AD544">
        <f>$Y544</f>
        <v/>
      </c>
      <c r="AE544">
        <f>IF($V544,IF($S544="","",$S544),IF($R544="","",$R544))</f>
        <v/>
      </c>
      <c r="AF544">
        <f>IF($V544,IF($U544="","",$U544),IF($T544="","",$T544))</f>
        <v/>
      </c>
      <c r="AG544">
        <f>IF($V544,IF($O544="","",$O544),IF($P544="","",$P544))</f>
        <v/>
      </c>
      <c r="AH544" t="n">
        <v>0.08333333333333333</v>
      </c>
      <c r="AI544">
        <f>IF($Y544="worse","Yes",IF($Y544="worse, not significant","Not sure",IF(OR($Y544="too few losses to test",$Y544="too few loans to test"),"Too few losses",IF($Y544="","","No"))))</f>
        <v/>
      </c>
      <c r="AJ544">
        <f>IF($AA544="yes","Yes",IF($AA544="","","No"))</f>
        <v/>
      </c>
      <c r="AM544">
        <f>IF(AND(ISNUMBER($AC544),ISNUMBER(IF($V544,IF($AL544="","",$AL544),IF($AK544="","",$AK544)))),IF(AND(ABS($AC544-significance_bar)&lt;=2.0*IF($V544,IF($AL544="","",$AL544),IF($AK544="","",$AK544)),OR($Y544="worse",$Y544="better",$Y544="worse, not significant",$Y544="better, not significant")),IF(ROUND($AC544,3)=ROUND(significance_bar,3),TEXT($AC544,"0.0000"),TEXT($AC544,"0.000")),""),"")</f>
        <v/>
      </c>
      <c r="AN544">
        <f>IF(AND(ISNUMBER($AC544),ISNUMBER(IF($V544,IF($AL544="","",$AL544),IF($AK544="","",$AK544)))),IF(AND(ABS($AC544-significance_bar)&lt;=2.0*IF($V544,IF($AL544="","",$AL544),IF($AK544="","",$AK544)),OR($Y544="worse",$Y544="worse, not significant")),IF(ROUND($AC544,3)=ROUND(significance_bar,3),TEXT($AC544,"0.0000"),TEXT($AC544,"0.000")),""),"")</f>
        <v/>
      </c>
      <c r="AO544">
        <f>IF(OR($AI544="",$AN544=""),$AI544,$AI544&amp;" · borderline (p "&amp;$AN544&amp;")")</f>
        <v/>
      </c>
    </row>
    <row r="545">
      <c r="A545" t="inlineStr">
        <is>
          <t>three-way</t>
        </is>
      </c>
      <c r="B545" t="inlineStr">
        <is>
          <t>SHORT_HIST x CHANNEL / REV_DEBT</t>
        </is>
      </c>
      <c r="C545" t="inlineStr">
        <is>
          <t>(marked missing)</t>
        </is>
      </c>
      <c r="D545" t="inlineStr">
        <is>
          <t>Branch / REV_DEBT low half</t>
        </is>
      </c>
      <c r="E545" t="inlineStr">
        <is>
          <t>outcome_booked</t>
        </is>
      </c>
      <c r="F545" t="inlineStr">
        <is>
          <t>Outcome, share of booked dollars</t>
        </is>
      </c>
      <c r="G545" t="n">
        <v>36</v>
      </c>
      <c r="H545" t="n">
        <v>1338866.16</v>
      </c>
      <c r="I545" t="b">
        <v>1</v>
      </c>
      <c r="J545" t="b">
        <v>0</v>
      </c>
      <c r="K545" t="n">
        <v>0.9142863264552302</v>
      </c>
      <c r="M545" t="n">
        <v>0.9613461990841351</v>
      </c>
      <c r="O545" t="n">
        <v>-8591.117264680914</v>
      </c>
      <c r="P545" t="n">
        <v>-3684.632301707592</v>
      </c>
      <c r="Q545">
        <f>'_live'!$C$21</f>
        <v/>
      </c>
      <c r="T545" t="n">
        <v>0.0748621634179483</v>
      </c>
      <c r="U545" t="n">
        <v>0.07119750662882358</v>
      </c>
      <c r="V545">
        <f>AND(judged_band,NOT($J545))</f>
        <v/>
      </c>
      <c r="W545">
        <f>IF($K545="","",IF($I545,"too few losses to test",IF(AND($K545&gt;better_at,$K545&lt;worse_at),"in line",IF($K545&gt;=worse_at,IF(AND(ISNUMBER($L545),$L545&lt;significance_bar),"worse","worse, not significant"),IF(AND(ISNUMBER($L545),$L545&lt;significance_bar),"better","better, not significant")))))</f>
        <v/>
      </c>
      <c r="X545">
        <f>IF($M545="","",IF($I545,"too few losses to test",IF(AND($M545&gt;better_at,$M545&lt;worse_at),"in line",IF($M545&gt;=worse_at,IF(AND(ISNUMBER($N545),$N545&lt;significance_bar),"worse","worse, not significant"),IF(AND(ISNUMBER($N545),$N545&lt;significance_bar),"better","better, not significant")))))</f>
        <v/>
      </c>
      <c r="Y545">
        <f>IF($V545,$X545,$W545)</f>
        <v/>
      </c>
      <c r="Z545">
        <f>IF($V545,IF($P545="","",$P545),IF($O545="","",$O545))</f>
        <v/>
      </c>
      <c r="AA545">
        <f>IF(OR($Q545="",$Z545=""),"",IF(AND($Z545&gt;0,$Z545&gt;=$Q545),"yes","below the line"))</f>
        <v/>
      </c>
      <c r="AB545">
        <f>IF($V545,IF($M545="","",$M545),IF($K545="","",$K545))</f>
        <v/>
      </c>
      <c r="AC545">
        <f>IF($V545,IF($N545="","",$N545),IF($L545="","",$L545))</f>
        <v/>
      </c>
      <c r="AD545">
        <f>$Y545</f>
        <v/>
      </c>
      <c r="AE545">
        <f>IF($V545,IF($S545="","",$S545),IF($R545="","",$R545))</f>
        <v/>
      </c>
      <c r="AF545">
        <f>IF($V545,IF($U545="","",$U545),IF($T545="","",$T545))</f>
        <v/>
      </c>
      <c r="AG545">
        <f>IF($V545,IF($O545="","",$O545),IF($P545="","",$P545))</f>
        <v/>
      </c>
      <c r="AH545" t="n">
        <v>0.06844545238188707</v>
      </c>
      <c r="AI545">
        <f>IF($Y545="worse","Yes",IF($Y545="worse, not significant","Not sure",IF(OR($Y545="too few losses to test",$Y545="too few loans to test"),"Too few losses",IF($Y545="","","No"))))</f>
        <v/>
      </c>
      <c r="AJ545">
        <f>IF($AA545="yes","Yes",IF($AA545="","","No"))</f>
        <v/>
      </c>
      <c r="AM545">
        <f>IF(AND(ISNUMBER($AC545),ISNUMBER(IF($V545,IF($AL545="","",$AL545),IF($AK545="","",$AK545)))),IF(AND(ABS($AC545-significance_bar)&lt;=2.0*IF($V545,IF($AL545="","",$AL545),IF($AK545="","",$AK545)),OR($Y545="worse",$Y545="better",$Y545="worse, not significant",$Y545="better, not significant")),IF(ROUND($AC545,3)=ROUND(significance_bar,3),TEXT($AC545,"0.0000"),TEXT($AC545,"0.000")),""),"")</f>
        <v/>
      </c>
      <c r="AN545">
        <f>IF(AND(ISNUMBER($AC545),ISNUMBER(IF($V545,IF($AL545="","",$AL545),IF($AK545="","",$AK545)))),IF(AND(ABS($AC545-significance_bar)&lt;=2.0*IF($V545,IF($AL545="","",$AL545),IF($AK545="","",$AK545)),OR($Y545="worse",$Y545="worse, not significant")),IF(ROUND($AC545,3)=ROUND(significance_bar,3),TEXT($AC545,"0.0000"),TEXT($AC545,"0.000")),""),"")</f>
        <v/>
      </c>
      <c r="AO545">
        <f>IF(OR($AI545="",$AN545=""),$AI545,$AI545&amp;" · borderline (p "&amp;$AN545&amp;")")</f>
        <v/>
      </c>
    </row>
    <row r="546">
      <c r="A546" t="inlineStr">
        <is>
          <t>three-way</t>
        </is>
      </c>
      <c r="B546" t="inlineStr">
        <is>
          <t>SHORT_HIST x CHANNEL / REV_DEBT</t>
        </is>
      </c>
      <c r="C546" t="inlineStr">
        <is>
          <t>(marked missing)</t>
        </is>
      </c>
      <c r="D546" t="inlineStr">
        <is>
          <t>Branch / REV_DEBT low half</t>
        </is>
      </c>
      <c r="E546" t="inlineStr">
        <is>
          <t>gco_rate</t>
        </is>
      </c>
      <c r="F546" t="inlineStr">
        <is>
          <t>GCO per booked dollar</t>
        </is>
      </c>
      <c r="G546" t="n">
        <v>36</v>
      </c>
      <c r="H546" t="n">
        <v>1338866.16</v>
      </c>
      <c r="I546" t="b">
        <v>1</v>
      </c>
      <c r="J546" t="b">
        <v>0</v>
      </c>
      <c r="K546" t="n">
        <v>0.7438014379690907</v>
      </c>
      <c r="M546" t="n">
        <v>0.7337093651152234</v>
      </c>
      <c r="O546" t="n">
        <v>-14290.25145054428</v>
      </c>
      <c r="P546" t="n">
        <v>-15057.47071175106</v>
      </c>
      <c r="Q546">
        <f>'_live'!$C$22</f>
        <v/>
      </c>
      <c r="T546" t="n">
        <v>0.04166064773087123</v>
      </c>
      <c r="U546" t="n">
        <v>0.0422336842927982</v>
      </c>
      <c r="V546">
        <f>AND(judged_band,NOT($J546))</f>
        <v/>
      </c>
      <c r="W546">
        <f>IF($K546="","",IF($I546,"too few losses to test",IF(AND($K546&gt;better_at,$K546&lt;worse_at),"in line",IF($K546&gt;=worse_at,IF(AND(ISNUMBER($L546),$L546&lt;significance_bar),"worse","worse, not significant"),IF(AND(ISNUMBER($L546),$L546&lt;significance_bar),"better","better, not significant")))))</f>
        <v/>
      </c>
      <c r="X546">
        <f>IF($M546="","",IF($I546,"too few losses to test",IF(AND($M546&gt;better_at,$M546&lt;worse_at),"in line",IF($M546&gt;=worse_at,IF(AND(ISNUMBER($N546),$N546&lt;significance_bar),"worse","worse, not significant"),IF(AND(ISNUMBER($N546),$N546&lt;significance_bar),"better","better, not significant")))))</f>
        <v/>
      </c>
      <c r="Y546">
        <f>IF($V546,$X546,$W546)</f>
        <v/>
      </c>
      <c r="Z546">
        <f>IF($V546,IF($P546="","",$P546),IF($O546="","",$O546))</f>
        <v/>
      </c>
      <c r="AA546">
        <f>IF(OR($Q546="",$Z546=""),"",IF(AND($Z546&gt;0,$Z546&gt;=$Q546),"yes","below the line"))</f>
        <v/>
      </c>
      <c r="AB546">
        <f>IF($V546,IF($M546="","",$M546),IF($K546="","",$K546))</f>
        <v/>
      </c>
      <c r="AC546">
        <f>IF($V546,IF($N546="","",$N546),IF($L546="","",$L546))</f>
        <v/>
      </c>
      <c r="AD546">
        <f>$Y546</f>
        <v/>
      </c>
      <c r="AE546">
        <f>IF($V546,IF($S546="","",$S546),IF($R546="","",$R546))</f>
        <v/>
      </c>
      <c r="AF546">
        <f>IF($V546,IF($U546="","",$U546),IF($T546="","",$T546))</f>
        <v/>
      </c>
      <c r="AG546">
        <f>IF($V546,IF($O546="","",$O546),IF($P546="","",$P546))</f>
        <v/>
      </c>
      <c r="AH546" t="n">
        <v>0.03098724968894575</v>
      </c>
      <c r="AI546">
        <f>IF($Y546="worse","Yes",IF($Y546="worse, not significant","Not sure",IF(OR($Y546="too few losses to test",$Y546="too few loans to test"),"Too few losses",IF($Y546="","","No"))))</f>
        <v/>
      </c>
      <c r="AJ546">
        <f>IF($AA546="yes","Yes",IF($AA546="","","No"))</f>
        <v/>
      </c>
      <c r="AM546">
        <f>IF(AND(ISNUMBER($AC546),ISNUMBER(IF($V546,IF($AL546="","",$AL546),IF($AK546="","",$AK546)))),IF(AND(ABS($AC546-significance_bar)&lt;=2.0*IF($V546,IF($AL546="","",$AL546),IF($AK546="","",$AK546)),OR($Y546="worse",$Y546="better",$Y546="worse, not significant",$Y546="better, not significant")),IF(ROUND($AC546,3)=ROUND(significance_bar,3),TEXT($AC546,"0.0000"),TEXT($AC546,"0.000")),""),"")</f>
        <v/>
      </c>
      <c r="AN546">
        <f>IF(AND(ISNUMBER($AC546),ISNUMBER(IF($V546,IF($AL546="","",$AL546),IF($AK546="","",$AK546)))),IF(AND(ABS($AC546-significance_bar)&lt;=2.0*IF($V546,IF($AL546="","",$AL546),IF($AK546="","",$AK546)),OR($Y546="worse",$Y546="worse, not significant")),IF(ROUND($AC546,3)=ROUND(significance_bar,3),TEXT($AC546,"0.0000"),TEXT($AC546,"0.000")),""),"")</f>
        <v/>
      </c>
      <c r="AO546">
        <f>IF(OR($AI546="",$AN546=""),$AI546,$AI546&amp;" · borderline (p "&amp;$AN546&amp;")")</f>
        <v/>
      </c>
    </row>
    <row r="547">
      <c r="A547" t="inlineStr">
        <is>
          <t>three-way</t>
        </is>
      </c>
      <c r="B547" t="inlineStr">
        <is>
          <t>SHORT_HIST x CHANNEL / REV_DEBT</t>
        </is>
      </c>
      <c r="C547" t="inlineStr">
        <is>
          <t>(marked missing)</t>
        </is>
      </c>
      <c r="D547" t="inlineStr">
        <is>
          <t>Branch / REV_DEBT low half</t>
        </is>
      </c>
      <c r="E547" t="inlineStr">
        <is>
          <t>ranr_rate</t>
        </is>
      </c>
      <c r="F547" t="inlineStr">
        <is>
          <t>Profit after losses: RANR per booked dollar</t>
        </is>
      </c>
      <c r="G547" t="n">
        <v>36</v>
      </c>
      <c r="H547" t="n">
        <v>1338866.16</v>
      </c>
      <c r="I547" t="b">
        <v>0</v>
      </c>
      <c r="J547" t="b">
        <v>0</v>
      </c>
      <c r="K547" t="n">
        <v>-0.01714989250140131</v>
      </c>
      <c r="L547" t="n">
        <v>0.6878687131286871</v>
      </c>
      <c r="M547" t="n">
        <v>-0.02520188045278557</v>
      </c>
      <c r="N547" t="n">
        <v>0.7068067386809705</v>
      </c>
      <c r="O547" t="n">
        <v>22961.41071776397</v>
      </c>
      <c r="P547" t="n">
        <v>33741.94490660008</v>
      </c>
      <c r="Q547">
        <f>'_live'!$C$23</f>
        <v/>
      </c>
      <c r="R547" t="inlineStr">
        <is>
          <t>shuffled: 6,114 of 10,000</t>
        </is>
      </c>
      <c r="S547" t="inlineStr">
        <is>
          <t>shuffled: 5,417 of 10,000</t>
        </is>
      </c>
      <c r="T547" t="n">
        <v>0.1280790237597491</v>
      </c>
      <c r="U547" t="n">
        <v>0.1361310117111333</v>
      </c>
      <c r="V547">
        <f>AND(judged_band,NOT($J547))</f>
        <v/>
      </c>
      <c r="W547">
        <f>IF($K547="","",IF(profit_kind="test",IF(OR(NOT(AND(ISNUMBER($L547),$L547&lt;significance_bar)),$K547=0),"in line",IF($K547&lt;0,"worse","better")),IF(OR($K547=0,IF(profit_kind="points",ABS($K547),ABS($K547*$H547))&lt;profit_line*(1-1E-9)),"in line",IF(AND(ISNUMBER($L547),$L547&lt;significance_bar),IF($K547&lt;0,"worse","better"),IF($K547&lt;0,"worse, not significant","better, not significant")))))</f>
        <v/>
      </c>
      <c r="X547">
        <f>IF($M547="","",IF(profit_kind="test",IF(OR(NOT(AND(ISNUMBER($N547),$N547&lt;significance_bar)),$M547=0),"in line",IF($M547&lt;0,"worse","better")),IF(OR($M547=0,IF(profit_kind="points",ABS($M547),ABS($M547*$H547))&lt;profit_line*(1-1E-9)),"in line",IF(AND(ISNUMBER($N547),$N547&lt;significance_bar),IF($M547&lt;0,"worse","better"),IF($M547&lt;0,"worse, not significant","better, not significant")))))</f>
        <v/>
      </c>
      <c r="Y547">
        <f>IF($V547,$X547,$W547)</f>
        <v/>
      </c>
      <c r="Z547">
        <f>IF($V547,IF($P547="","",$P547),IF($O547="","",$O547))</f>
        <v/>
      </c>
      <c r="AA547">
        <f>IF(OR($Q547="",$Z547=""),"",IF(AND($Z547&gt;0,$Z547&gt;=$Q547),"yes","below the line"))</f>
        <v/>
      </c>
      <c r="AB547">
        <f>IF($V547,IF($M547="","",$M547),IF($K547="","",$K547))</f>
        <v/>
      </c>
      <c r="AC547">
        <f>IF($V547,IF($N547="","",$N547),IF($L547="","",$L547))</f>
        <v/>
      </c>
      <c r="AD547">
        <f>IF($Y547="","",IF($Y547="in line",IF(profit_kind="test",IF(ROUND($AB547*100,2)=0,"0.00",TEXT($AB547*100,"+0.00;-0.00"))&amp;" points against "&amp;IF($V547,"its band","the book")&amp;", "&amp;IF($AC547="","not tested","not significant"),IF(profit_kind="points","within "&amp;TEXT(profit_line*100,"0.00")&amp;" points of "&amp;IF($V547,"its band","the book")&amp;" ("&amp;IF(ROUND($AB547*100,2)=0,"0.00",TEXT($AB547*100,"+0.00;-0.00"))&amp;")","within $"&amp;TEXT(profit_line,"#,##0")&amp;" of "&amp;IF($V547,"its band","the book")&amp;" ("&amp;IF(ROUND($AB547*100,2)=0,"0.00",TEXT($AB547*100,"+0.00;-0.00"))&amp;" points)")),IF(LEFT($Y547,5)="worse","short of ","ahead of ")&amp;IF($V547,"its band","the book")&amp;" by "&amp;TEXT(ABS($AB547)*100,"0.00")&amp;" points"&amp;IF($Z547="",""," ($"&amp;TEXT(ABS($Z547),"#,##0")&amp;")")&amp;IF(RIGHT($Y547,15)="not significant"," (not significant)","")))</f>
        <v/>
      </c>
      <c r="AE547">
        <f>IF($V547,IF($S547="","",$S547),IF($R547="","",$R547))</f>
        <v/>
      </c>
      <c r="AF547">
        <f>IF($V547,IF($U547="","",$U547),IF($T547="","",$T547))</f>
        <v/>
      </c>
      <c r="AG547">
        <f>IF($V547,IF($O547="","",$O547),IF($P547="","",$P547))</f>
        <v/>
      </c>
      <c r="AH547" t="n">
        <v>0.1109291312583477</v>
      </c>
      <c r="AI547">
        <f>IF($Y547="worse","Yes",IF($Y547="worse, not significant","Not sure",IF(OR($Y547="too few losses to test",$Y547="too few loans to test"),"Too few losses",IF($Y547="","","No"))))</f>
        <v/>
      </c>
      <c r="AJ547">
        <f>IF($AA547="yes","Yes",IF($AA547="","","No"))</f>
        <v/>
      </c>
      <c r="AK547" t="n">
        <v>0.005483511062890791</v>
      </c>
      <c r="AL547" t="n">
        <v>0.005667733759803545</v>
      </c>
      <c r="AM547">
        <f>IF(AND(ISNUMBER($AC547),ISNUMBER(IF($V547,IF($AL547="","",$AL547),IF($AK547="","",$AK547)))),IF(AND(ABS($AC547-significance_bar)&lt;=2.0*IF($V547,IF($AL547="","",$AL547),IF($AK547="","",$AK547)),OR($Y547="worse",$Y547="better",$Y547="worse, not significant",$Y547="better, not significant",AND(profit_kind="test",$Y547="in line",ISNUMBER($AB547),$AB547&lt;&gt;0))),IF(ROUND($AC547,3)=ROUND(significance_bar,3),TEXT($AC547,"0.0000"),TEXT($AC547,"0.000")),""),"")</f>
        <v/>
      </c>
      <c r="AN547">
        <f>IF(AND(ISNUMBER($AC547),ISNUMBER(IF($V547,IF($AL547="","",$AL547),IF($AK547="","",$AK547)))),IF(AND(ABS($AC547-significance_bar)&lt;=2.0*IF($V547,IF($AL547="","",$AL547),IF($AK547="","",$AK547)),OR($Y547="worse",$Y547="worse, not significant",AND(profit_kind="test",$Y547="in line",ISNUMBER($AB547),$AB547&lt;0))),IF(ROUND($AC547,3)=ROUND(significance_bar,3),TEXT($AC547,"0.0000"),TEXT($AC547,"0.000")),""),"")</f>
        <v/>
      </c>
      <c r="AO547">
        <f>IF(OR($AI547="",$AN547=""),$AI547,$AI547&amp;" · borderline (p "&amp;$AN547&amp;")")</f>
        <v/>
      </c>
    </row>
    <row r="548">
      <c r="A548" t="inlineStr">
        <is>
          <t>three-way</t>
        </is>
      </c>
      <c r="B548" t="inlineStr">
        <is>
          <t>SHORT_HIST x CHANNEL / REV_DEBT</t>
        </is>
      </c>
      <c r="C548" t="inlineStr">
        <is>
          <t>(marked missing)</t>
        </is>
      </c>
      <c r="D548" t="inlineStr">
        <is>
          <t>Branch / REV_DEBT low half</t>
        </is>
      </c>
      <c r="E548" t="inlineStr">
        <is>
          <t>contribution_rate</t>
        </is>
      </c>
      <c r="F548" t="inlineStr">
        <is>
          <t>Contribution before losses per booked dollar</t>
        </is>
      </c>
      <c r="G548" t="n">
        <v>36</v>
      </c>
      <c r="H548" t="n">
        <v>1338866.16</v>
      </c>
      <c r="I548" t="b">
        <v>0</v>
      </c>
      <c r="J548" t="b">
        <v>0</v>
      </c>
      <c r="K548" t="n">
        <v>-0.02782043013876775</v>
      </c>
      <c r="L548" t="n">
        <v>0.2352139786021398</v>
      </c>
      <c r="M548" t="n">
        <v>-0.03644831505663801</v>
      </c>
      <c r="N548" t="n">
        <v>0.1835816418358164</v>
      </c>
      <c r="O548" t="n">
        <v>37247.83246944024</v>
      </c>
      <c r="P548" t="n">
        <v>48799.41561835111</v>
      </c>
      <c r="Q548">
        <f>'_live'!$C$24</f>
        <v/>
      </c>
      <c r="R548" t="inlineStr">
        <is>
          <t>shuffled: 2,090 of 10,000</t>
        </is>
      </c>
      <c r="S548" t="inlineStr">
        <is>
          <t>shuffled: 1,682 of 10,000</t>
        </is>
      </c>
      <c r="T548" t="n">
        <v>0.1697368110860612</v>
      </c>
      <c r="U548" t="n">
        <v>0.1783646960039315</v>
      </c>
      <c r="V548">
        <f>AND(judged_band,NOT($J548))</f>
        <v/>
      </c>
      <c r="W548">
        <f>IF($K548="","",IF(profit_kind="test",IF(OR(NOT(AND(ISNUMBER($L548),$L548&lt;significance_bar)),$K548=0),"in line",IF($K548&lt;0,"worse","better")),IF(OR($K548=0,IF(profit_kind="points",ABS($K548),ABS($K548*$H548))&lt;profit_line*(1-1E-9)),"in line",IF(AND(ISNUMBER($L548),$L548&lt;significance_bar),IF($K548&lt;0,"worse","better"),IF($K548&lt;0,"worse, not significant","better, not significant")))))</f>
        <v/>
      </c>
      <c r="X548">
        <f>IF($M548="","",IF(profit_kind="test",IF(OR(NOT(AND(ISNUMBER($N548),$N548&lt;significance_bar)),$M548=0),"in line",IF($M548&lt;0,"worse","better")),IF(OR($M548=0,IF(profit_kind="points",ABS($M548),ABS($M548*$H548))&lt;profit_line*(1-1E-9)),"in line",IF(AND(ISNUMBER($N548),$N548&lt;significance_bar),IF($M548&lt;0,"worse","better"),IF($M548&lt;0,"worse, not significant","better, not significant")))))</f>
        <v/>
      </c>
      <c r="Y548">
        <f>IF($V548,$X548,$W548)</f>
        <v/>
      </c>
      <c r="Z548">
        <f>IF($V548,IF($P548="","",$P548),IF($O548="","",$O548))</f>
        <v/>
      </c>
      <c r="AA548">
        <f>IF(OR($Q548="",$Z548=""),"",IF(AND($Z548&gt;0,$Z548&gt;=$Q548),"yes","below the line"))</f>
        <v/>
      </c>
      <c r="AB548">
        <f>IF($V548,IF($M548="","",$M548),IF($K548="","",$K548))</f>
        <v/>
      </c>
      <c r="AC548">
        <f>IF($V548,IF($N548="","",$N548),IF($L548="","",$L548))</f>
        <v/>
      </c>
      <c r="AD548">
        <f>IF($Y548="","",IF($Y548="in line",IF(profit_kind="test",IF(ROUND($AB548*100,2)=0,"0.00",TEXT($AB548*100,"+0.00;-0.00"))&amp;" points against "&amp;IF($V548,"its band","the book")&amp;", "&amp;IF($AC548="","not tested","not significant"),IF(profit_kind="points","within "&amp;TEXT(profit_line*100,"0.00")&amp;" points of "&amp;IF($V548,"its band","the book")&amp;" ("&amp;IF(ROUND($AB548*100,2)=0,"0.00",TEXT($AB548*100,"+0.00;-0.00"))&amp;")","within $"&amp;TEXT(profit_line,"#,##0")&amp;" of "&amp;IF($V548,"its band","the book")&amp;" ("&amp;IF(ROUND($AB548*100,2)=0,"0.00",TEXT($AB548*100,"+0.00;-0.00"))&amp;" points)")),IF(LEFT($Y548,5)="worse","short of ","ahead of ")&amp;IF($V548,"its band","the book")&amp;" by "&amp;TEXT(ABS($AB548)*100,"0.00")&amp;" points"&amp;IF($Z548="",""," ($"&amp;TEXT(ABS($Z548),"#,##0")&amp;")")&amp;IF(RIGHT($Y548,15)="not significant"," (not significant)","")))</f>
        <v/>
      </c>
      <c r="AE548">
        <f>IF($V548,IF($S548="","",$S548),IF($R548="","",$R548))</f>
        <v/>
      </c>
      <c r="AF548">
        <f>IF($V548,IF($U548="","",$U548),IF($T548="","",$T548))</f>
        <v/>
      </c>
      <c r="AG548">
        <f>IF($V548,IF($O548="","",$O548),IF($P548="","",$P548))</f>
        <v/>
      </c>
      <c r="AH548" t="n">
        <v>0.1419163809472935</v>
      </c>
      <c r="AI548">
        <f>IF($Y548="worse","Yes",IF($Y548="worse, not significant","Not sure",IF(OR($Y548="too few losses to test",$Y548="too few loans to test"),"Too few losses",IF($Y548="","","No"))))</f>
        <v/>
      </c>
      <c r="AJ548">
        <f>IF($AA548="yes","Yes",IF($AA548="","","No"))</f>
        <v/>
      </c>
      <c r="AK548" t="n">
        <v>0.00457482360531594</v>
      </c>
      <c r="AL548" t="n">
        <v>0.004081282430604073</v>
      </c>
      <c r="AM548">
        <f>IF(AND(ISNUMBER($AC548),ISNUMBER(IF($V548,IF($AL548="","",$AL548),IF($AK548="","",$AK548)))),IF(AND(ABS($AC548-significance_bar)&lt;=2.0*IF($V548,IF($AL548="","",$AL548),IF($AK548="","",$AK548)),OR($Y548="worse",$Y548="better",$Y548="worse, not significant",$Y548="better, not significant",AND(profit_kind="test",$Y548="in line",ISNUMBER($AB548),$AB548&lt;&gt;0))),IF(ROUND($AC548,3)=ROUND(significance_bar,3),TEXT($AC548,"0.0000"),TEXT($AC548,"0.000")),""),"")</f>
        <v/>
      </c>
      <c r="AN548">
        <f>IF(AND(ISNUMBER($AC548),ISNUMBER(IF($V548,IF($AL548="","",$AL548),IF($AK548="","",$AK548)))),IF(AND(ABS($AC548-significance_bar)&lt;=2.0*IF($V548,IF($AL548="","",$AL548),IF($AK548="","",$AK548)),OR($Y548="worse",$Y548="worse, not significant",AND(profit_kind="test",$Y548="in line",ISNUMBER($AB548),$AB548&lt;0))),IF(ROUND($AC548,3)=ROUND(significance_bar,3),TEXT($AC548,"0.0000"),TEXT($AC548,"0.000")),""),"")</f>
        <v/>
      </c>
      <c r="AO548">
        <f>IF(OR($AI548="",$AN548=""),$AI548,$AI548&amp;" · borderline (p "&amp;$AN548&amp;")")</f>
        <v/>
      </c>
    </row>
    <row r="549">
      <c r="A549" t="inlineStr">
        <is>
          <t>three-way</t>
        </is>
      </c>
      <c r="B549" t="inlineStr">
        <is>
          <t>SHORT_HIST x CHANNEL / REV_DEBT</t>
        </is>
      </c>
      <c r="C549" t="inlineStr">
        <is>
          <t>(marked missing)</t>
        </is>
      </c>
      <c r="D549" t="inlineStr">
        <is>
          <t>Broker / REV_DEBT low half</t>
        </is>
      </c>
      <c r="E549" t="inlineStr">
        <is>
          <t>outcome_loans</t>
        </is>
      </c>
      <c r="F549" t="inlineStr">
        <is>
          <t>Outcome, share of loans</t>
        </is>
      </c>
      <c r="G549" t="n">
        <v>34</v>
      </c>
      <c r="H549" t="n">
        <v>34</v>
      </c>
      <c r="I549" t="b">
        <v>1</v>
      </c>
      <c r="J549" t="b">
        <v>0</v>
      </c>
      <c r="K549" t="n">
        <v>0.7593669558585184</v>
      </c>
      <c r="M549" t="n">
        <v>0.8877005347593582</v>
      </c>
      <c r="O549" t="n">
        <v>-0.6337727558066542</v>
      </c>
      <c r="P549" t="n">
        <v>-0.2530120481927711</v>
      </c>
      <c r="Q549">
        <f>'_live'!$C$20</f>
        <v/>
      </c>
      <c r="T549" t="n">
        <v>0.07746390458254865</v>
      </c>
      <c r="U549" t="n">
        <v>0.06626506024096386</v>
      </c>
      <c r="V549">
        <f>AND(judged_band,NOT($J549))</f>
        <v/>
      </c>
      <c r="W549">
        <f>IF($K549="","",IF($I549,"too few losses to test",IF(AND($K549&gt;better_at,$K549&lt;worse_at),"in line",IF($K549&gt;=worse_at,IF(AND(ISNUMBER($L549),$L549&lt;significance_bar),"worse","worse, not significant"),IF(AND(ISNUMBER($L549),$L549&lt;significance_bar),"better","better, not significant")))))</f>
        <v/>
      </c>
      <c r="X549">
        <f>IF($M549="","",IF($I549,"too few losses to test",IF(AND($M549&gt;better_at,$M549&lt;worse_at),"in line",IF($M549&gt;=worse_at,IF(AND(ISNUMBER($N549),$N549&lt;significance_bar),"worse","worse, not significant"),IF(AND(ISNUMBER($N549),$N549&lt;significance_bar),"better","better, not significant")))))</f>
        <v/>
      </c>
      <c r="Y549">
        <f>IF($V549,$X549,$W549)</f>
        <v/>
      </c>
      <c r="Z549">
        <f>IF($V549,IF($P549="","",$P549),IF($O549="","",$O549))</f>
        <v/>
      </c>
      <c r="AA549">
        <f>IF(OR($Q549="",$Z549=""),"",IF(AND($Z549&gt;0,$Z549&gt;=$Q549),"yes","below the line"))</f>
        <v/>
      </c>
      <c r="AB549">
        <f>IF($V549,IF($M549="","",$M549),IF($K549="","",$K549))</f>
        <v/>
      </c>
      <c r="AC549">
        <f>IF($V549,IF($N549="","",$N549),IF($L549="","",$L549))</f>
        <v/>
      </c>
      <c r="AD549">
        <f>$Y549</f>
        <v/>
      </c>
      <c r="AE549">
        <f>IF($V549,IF($S549="","",$S549),IF($R549="","",$R549))</f>
        <v/>
      </c>
      <c r="AF549">
        <f>IF($V549,IF($U549="","",$U549),IF($T549="","",$T549))</f>
        <v/>
      </c>
      <c r="AG549">
        <f>IF($V549,IF($O549="","",$O549),IF($P549="","",$P549))</f>
        <v/>
      </c>
      <c r="AH549" t="n">
        <v>0.05882352941176471</v>
      </c>
      <c r="AI549">
        <f>IF($Y549="worse","Yes",IF($Y549="worse, not significant","Not sure",IF(OR($Y549="too few losses to test",$Y549="too few loans to test"),"Too few losses",IF($Y549="","","No"))))</f>
        <v/>
      </c>
      <c r="AJ549">
        <f>IF($AA549="yes","Yes",IF($AA549="","","No"))</f>
        <v/>
      </c>
      <c r="AM549">
        <f>IF(AND(ISNUMBER($AC549),ISNUMBER(IF($V549,IF($AL549="","",$AL549),IF($AK549="","",$AK549)))),IF(AND(ABS($AC549-significance_bar)&lt;=2.0*IF($V549,IF($AL549="","",$AL549),IF($AK549="","",$AK549)),OR($Y549="worse",$Y549="better",$Y549="worse, not significant",$Y549="better, not significant")),IF(ROUND($AC549,3)=ROUND(significance_bar,3),TEXT($AC549,"0.0000"),TEXT($AC549,"0.000")),""),"")</f>
        <v/>
      </c>
      <c r="AN549">
        <f>IF(AND(ISNUMBER($AC549),ISNUMBER(IF($V549,IF($AL549="","",$AL549),IF($AK549="","",$AK549)))),IF(AND(ABS($AC549-significance_bar)&lt;=2.0*IF($V549,IF($AL549="","",$AL549),IF($AK549="","",$AK549)),OR($Y549="worse",$Y549="worse, not significant")),IF(ROUND($AC549,3)=ROUND(significance_bar,3),TEXT($AC549,"0.0000"),TEXT($AC549,"0.000")),""),"")</f>
        <v/>
      </c>
      <c r="AO549">
        <f>IF(OR($AI549="",$AN549=""),$AI549,$AI549&amp;" · borderline (p "&amp;$AN549&amp;")")</f>
        <v/>
      </c>
    </row>
    <row r="550">
      <c r="A550" t="inlineStr">
        <is>
          <t>three-way</t>
        </is>
      </c>
      <c r="B550" t="inlineStr">
        <is>
          <t>SHORT_HIST x CHANNEL / REV_DEBT</t>
        </is>
      </c>
      <c r="C550" t="inlineStr">
        <is>
          <t>(marked missing)</t>
        </is>
      </c>
      <c r="D550" t="inlineStr">
        <is>
          <t>Broker / REV_DEBT low half</t>
        </is>
      </c>
      <c r="E550" t="inlineStr">
        <is>
          <t>outcome_booked</t>
        </is>
      </c>
      <c r="F550" t="inlineStr">
        <is>
          <t>Outcome, share of booked dollars</t>
        </is>
      </c>
      <c r="G550" t="n">
        <v>34</v>
      </c>
      <c r="H550" t="n">
        <v>1196104.74</v>
      </c>
      <c r="I550" t="b">
        <v>1</v>
      </c>
      <c r="J550" t="b">
        <v>0</v>
      </c>
      <c r="K550" t="n">
        <v>0.8780388495766611</v>
      </c>
      <c r="M550" t="n">
        <v>0.9164669792798082</v>
      </c>
      <c r="O550" t="n">
        <v>-10922.08370504118</v>
      </c>
      <c r="P550" t="n">
        <v>-7167.027737164884</v>
      </c>
      <c r="Q550">
        <f>'_live'!$C$21</f>
        <v/>
      </c>
      <c r="T550" t="n">
        <v>0.07487119707011709</v>
      </c>
      <c r="U550" t="n">
        <v>0.07173179310130054</v>
      </c>
      <c r="V550">
        <f>AND(judged_band,NOT($J550))</f>
        <v/>
      </c>
      <c r="W550">
        <f>IF($K550="","",IF($I550,"too few losses to test",IF(AND($K550&gt;better_at,$K550&lt;worse_at),"in line",IF($K550&gt;=worse_at,IF(AND(ISNUMBER($L550),$L550&lt;significance_bar),"worse","worse, not significant"),IF(AND(ISNUMBER($L550),$L550&lt;significance_bar),"better","better, not significant")))))</f>
        <v/>
      </c>
      <c r="X550">
        <f>IF($M550="","",IF($I550,"too few losses to test",IF(AND($M550&gt;better_at,$M550&lt;worse_at),"in line",IF($M550&gt;=worse_at,IF(AND(ISNUMBER($N550),$N550&lt;significance_bar),"worse","worse, not significant"),IF(AND(ISNUMBER($N550),$N550&lt;significance_bar),"better","better, not significant")))))</f>
        <v/>
      </c>
      <c r="Y550">
        <f>IF($V550,$X550,$W550)</f>
        <v/>
      </c>
      <c r="Z550">
        <f>IF($V550,IF($P550="","",$P550),IF($O550="","",$O550))</f>
        <v/>
      </c>
      <c r="AA550">
        <f>IF(OR($Q550="",$Z550=""),"",IF(AND($Z550&gt;0,$Z550&gt;=$Q550),"yes","below the line"))</f>
        <v/>
      </c>
      <c r="AB550">
        <f>IF($V550,IF($M550="","",$M550),IF($K550="","",$K550))</f>
        <v/>
      </c>
      <c r="AC550">
        <f>IF($V550,IF($N550="","",$N550),IF($L550="","",$L550))</f>
        <v/>
      </c>
      <c r="AD550">
        <f>$Y550</f>
        <v/>
      </c>
      <c r="AE550">
        <f>IF($V550,IF($S550="","",$S550),IF($R550="","",$R550))</f>
        <v/>
      </c>
      <c r="AF550">
        <f>IF($V550,IF($U550="","",$U550),IF($T550="","",$T550))</f>
        <v/>
      </c>
      <c r="AG550">
        <f>IF($V550,IF($O550="","",$O550),IF($P550="","",$P550))</f>
        <v/>
      </c>
      <c r="AH550" t="n">
        <v>0.0657398197418731</v>
      </c>
      <c r="AI550">
        <f>IF($Y550="worse","Yes",IF($Y550="worse, not significant","Not sure",IF(OR($Y550="too few losses to test",$Y550="too few loans to test"),"Too few losses",IF($Y550="","","No"))))</f>
        <v/>
      </c>
      <c r="AJ550">
        <f>IF($AA550="yes","Yes",IF($AA550="","","No"))</f>
        <v/>
      </c>
      <c r="AM550">
        <f>IF(AND(ISNUMBER($AC550),ISNUMBER(IF($V550,IF($AL550="","",$AL550),IF($AK550="","",$AK550)))),IF(AND(ABS($AC550-significance_bar)&lt;=2.0*IF($V550,IF($AL550="","",$AL550),IF($AK550="","",$AK550)),OR($Y550="worse",$Y550="better",$Y550="worse, not significant",$Y550="better, not significant")),IF(ROUND($AC550,3)=ROUND(significance_bar,3),TEXT($AC550,"0.0000"),TEXT($AC550,"0.000")),""),"")</f>
        <v/>
      </c>
      <c r="AN550">
        <f>IF(AND(ISNUMBER($AC550),ISNUMBER(IF($V550,IF($AL550="","",$AL550),IF($AK550="","",$AK550)))),IF(AND(ABS($AC550-significance_bar)&lt;=2.0*IF($V550,IF($AL550="","",$AL550),IF($AK550="","",$AK550)),OR($Y550="worse",$Y550="worse, not significant")),IF(ROUND($AC550,3)=ROUND(significance_bar,3),TEXT($AC550,"0.0000"),TEXT($AC550,"0.000")),""),"")</f>
        <v/>
      </c>
      <c r="AO550">
        <f>IF(OR($AI550="",$AN550=""),$AI550,$AI550&amp;" · borderline (p "&amp;$AN550&amp;")")</f>
        <v/>
      </c>
    </row>
    <row r="551">
      <c r="A551" t="inlineStr">
        <is>
          <t>three-way</t>
        </is>
      </c>
      <c r="B551" t="inlineStr">
        <is>
          <t>SHORT_HIST x CHANNEL / REV_DEBT</t>
        </is>
      </c>
      <c r="C551" t="inlineStr">
        <is>
          <t>(marked missing)</t>
        </is>
      </c>
      <c r="D551" t="inlineStr">
        <is>
          <t>Broker / REV_DEBT low half</t>
        </is>
      </c>
      <c r="E551" t="inlineStr">
        <is>
          <t>gco_rate</t>
        </is>
      </c>
      <c r="F551" t="inlineStr">
        <is>
          <t>GCO per booked dollar</t>
        </is>
      </c>
      <c r="G551" t="n">
        <v>34</v>
      </c>
      <c r="H551" t="n">
        <v>1196104.74</v>
      </c>
      <c r="I551" t="b">
        <v>1</v>
      </c>
      <c r="J551" t="b">
        <v>0</v>
      </c>
      <c r="K551" t="n">
        <v>0.745910638193427</v>
      </c>
      <c r="M551" t="n">
        <v>0.7413018966637036</v>
      </c>
      <c r="O551" t="n">
        <v>-12659.47869679722</v>
      </c>
      <c r="P551" t="n">
        <v>-12969.23245263977</v>
      </c>
      <c r="Q551">
        <f>'_live'!$C$22</f>
        <v/>
      </c>
      <c r="T551" t="n">
        <v>0.0416543276108054</v>
      </c>
      <c r="U551" t="n">
        <v>0.04191329636620265</v>
      </c>
      <c r="V551">
        <f>AND(judged_band,NOT($J551))</f>
        <v/>
      </c>
      <c r="W551">
        <f>IF($K551="","",IF($I551,"too few losses to test",IF(AND($K551&gt;better_at,$K551&lt;worse_at),"in line",IF($K551&gt;=worse_at,IF(AND(ISNUMBER($L551),$L551&lt;significance_bar),"worse","worse, not significant"),IF(AND(ISNUMBER($L551),$L551&lt;significance_bar),"better","better, not significant")))))</f>
        <v/>
      </c>
      <c r="X551">
        <f>IF($M551="","",IF($I551,"too few losses to test",IF(AND($M551&gt;better_at,$M551&lt;worse_at),"in line",IF($M551&gt;=worse_at,IF(AND(ISNUMBER($N551),$N551&lt;significance_bar),"worse","worse, not significant"),IF(AND(ISNUMBER($N551),$N551&lt;significance_bar),"better","better, not significant")))))</f>
        <v/>
      </c>
      <c r="Y551">
        <f>IF($V551,$X551,$W551)</f>
        <v/>
      </c>
      <c r="Z551">
        <f>IF($V551,IF($P551="","",$P551),IF($O551="","",$O551))</f>
        <v/>
      </c>
      <c r="AA551">
        <f>IF(OR($Q551="",$Z551=""),"",IF(AND($Z551&gt;0,$Z551&gt;=$Q551),"yes","below the line"))</f>
        <v/>
      </c>
      <c r="AB551">
        <f>IF($V551,IF($M551="","",$M551),IF($K551="","",$K551))</f>
        <v/>
      </c>
      <c r="AC551">
        <f>IF($V551,IF($N551="","",$N551),IF($L551="","",$L551))</f>
        <v/>
      </c>
      <c r="AD551">
        <f>$Y551</f>
        <v/>
      </c>
      <c r="AE551">
        <f>IF($V551,IF($S551="","",$S551),IF($R551="","",$R551))</f>
        <v/>
      </c>
      <c r="AF551">
        <f>IF($V551,IF($U551="","",$U551),IF($T551="","",$T551))</f>
        <v/>
      </c>
      <c r="AG551">
        <f>IF($V551,IF($O551="","",$O551),IF($P551="","",$P551))</f>
        <v/>
      </c>
      <c r="AH551" t="n">
        <v>0.03107040609169394</v>
      </c>
      <c r="AI551">
        <f>IF($Y551="worse","Yes",IF($Y551="worse, not significant","Not sure",IF(OR($Y551="too few losses to test",$Y551="too few loans to test"),"Too few losses",IF($Y551="","","No"))))</f>
        <v/>
      </c>
      <c r="AJ551">
        <f>IF($AA551="yes","Yes",IF($AA551="","","No"))</f>
        <v/>
      </c>
      <c r="AM551">
        <f>IF(AND(ISNUMBER($AC551),ISNUMBER(IF($V551,IF($AL551="","",$AL551),IF($AK551="","",$AK551)))),IF(AND(ABS($AC551-significance_bar)&lt;=2.0*IF($V551,IF($AL551="","",$AL551),IF($AK551="","",$AK551)),OR($Y551="worse",$Y551="better",$Y551="worse, not significant",$Y551="better, not significant")),IF(ROUND($AC551,3)=ROUND(significance_bar,3),TEXT($AC551,"0.0000"),TEXT($AC551,"0.000")),""),"")</f>
        <v/>
      </c>
      <c r="AN551">
        <f>IF(AND(ISNUMBER($AC551),ISNUMBER(IF($V551,IF($AL551="","",$AL551),IF($AK551="","",$AK551)))),IF(AND(ABS($AC551-significance_bar)&lt;=2.0*IF($V551,IF($AL551="","",$AL551),IF($AK551="","",$AK551)),OR($Y551="worse",$Y551="worse, not significant")),IF(ROUND($AC551,3)=ROUND(significance_bar,3),TEXT($AC551,"0.0000"),TEXT($AC551,"0.000")),""),"")</f>
        <v/>
      </c>
      <c r="AO551">
        <f>IF(OR($AI551="",$AN551=""),$AI551,$AI551&amp;" · borderline (p "&amp;$AN551&amp;")")</f>
        <v/>
      </c>
    </row>
    <row r="552">
      <c r="A552" t="inlineStr">
        <is>
          <t>three-way</t>
        </is>
      </c>
      <c r="B552" t="inlineStr">
        <is>
          <t>SHORT_HIST x CHANNEL / REV_DEBT</t>
        </is>
      </c>
      <c r="C552" t="inlineStr">
        <is>
          <t>(marked missing)</t>
        </is>
      </c>
      <c r="D552" t="inlineStr">
        <is>
          <t>Broker / REV_DEBT low half</t>
        </is>
      </c>
      <c r="E552" t="inlineStr">
        <is>
          <t>ranr_rate</t>
        </is>
      </c>
      <c r="F552" t="inlineStr">
        <is>
          <t>Profit after losses: RANR per booked dollar</t>
        </is>
      </c>
      <c r="G552" t="n">
        <v>34</v>
      </c>
      <c r="H552" t="n">
        <v>1196104.74</v>
      </c>
      <c r="I552" t="b">
        <v>0</v>
      </c>
      <c r="J552" t="b">
        <v>0</v>
      </c>
      <c r="K552" t="n">
        <v>-0.06244113958457087</v>
      </c>
      <c r="L552" t="n">
        <v>0.1662583741625838</v>
      </c>
      <c r="M552" t="n">
        <v>-0.07975116352501899</v>
      </c>
      <c r="N552" t="n">
        <v>0.1262123787621238</v>
      </c>
      <c r="O552" t="n">
        <v>74686.14302810683</v>
      </c>
      <c r="P552" t="n">
        <v>95390.7447127903</v>
      </c>
      <c r="Q552">
        <f>'_live'!$C$23</f>
        <v/>
      </c>
      <c r="R552" t="inlineStr">
        <is>
          <t>shuffled: 723 of 10,000</t>
        </is>
      </c>
      <c r="S552" t="inlineStr">
        <is>
          <t>shuffled: 539 of 10,000</t>
        </is>
      </c>
      <c r="T552" t="n">
        <v>0.1282794540452259</v>
      </c>
      <c r="U552" t="n">
        <v>0.145589477985674</v>
      </c>
      <c r="V552">
        <f>AND(judged_band,NOT($J552))</f>
        <v/>
      </c>
      <c r="W552">
        <f>IF($K552="","",IF(profit_kind="test",IF(OR(NOT(AND(ISNUMBER($L552),$L552&lt;significance_bar)),$K552=0),"in line",IF($K552&lt;0,"worse","better")),IF(OR($K552=0,IF(profit_kind="points",ABS($K552),ABS($K552*$H552))&lt;profit_line*(1-1E-9)),"in line",IF(AND(ISNUMBER($L552),$L552&lt;significance_bar),IF($K552&lt;0,"worse","better"),IF($K552&lt;0,"worse, not significant","better, not significant")))))</f>
        <v/>
      </c>
      <c r="X552">
        <f>IF($M552="","",IF(profit_kind="test",IF(OR(NOT(AND(ISNUMBER($N552),$N552&lt;significance_bar)),$M552=0),"in line",IF($M552&lt;0,"worse","better")),IF(OR($M552=0,IF(profit_kind="points",ABS($M552),ABS($M552*$H552))&lt;profit_line*(1-1E-9)),"in line",IF(AND(ISNUMBER($N552),$N552&lt;significance_bar),IF($M552&lt;0,"worse","better"),IF($M552&lt;0,"worse, not significant","better, not significant")))))</f>
        <v/>
      </c>
      <c r="Y552">
        <f>IF($V552,$X552,$W552)</f>
        <v/>
      </c>
      <c r="Z552">
        <f>IF($V552,IF($P552="","",$P552),IF($O552="","",$O552))</f>
        <v/>
      </c>
      <c r="AA552">
        <f>IF(OR($Q552="",$Z552=""),"",IF(AND($Z552&gt;0,$Z552&gt;=$Q552),"yes","below the line"))</f>
        <v/>
      </c>
      <c r="AB552">
        <f>IF($V552,IF($M552="","",$M552),IF($K552="","",$K552))</f>
        <v/>
      </c>
      <c r="AC552">
        <f>IF($V552,IF($N552="","",$N552),IF($L552="","",$L552))</f>
        <v/>
      </c>
      <c r="AD552">
        <f>IF($Y552="","",IF($Y552="in line",IF(profit_kind="test",IF(ROUND($AB552*100,2)=0,"0.00",TEXT($AB552*100,"+0.00;-0.00"))&amp;" points against "&amp;IF($V552,"its band","the book")&amp;", "&amp;IF($AC552="","not tested","not significant"),IF(profit_kind="points","within "&amp;TEXT(profit_line*100,"0.00")&amp;" points of "&amp;IF($V552,"its band","the book")&amp;" ("&amp;IF(ROUND($AB552*100,2)=0,"0.00",TEXT($AB552*100,"+0.00;-0.00"))&amp;")","within $"&amp;TEXT(profit_line,"#,##0")&amp;" of "&amp;IF($V552,"its band","the book")&amp;" ("&amp;IF(ROUND($AB552*100,2)=0,"0.00",TEXT($AB552*100,"+0.00;-0.00"))&amp;" points)")),IF(LEFT($Y552,5)="worse","short of ","ahead of ")&amp;IF($V552,"its band","the book")&amp;" by "&amp;TEXT(ABS($AB552)*100,"0.00")&amp;" points"&amp;IF($Z552="",""," ($"&amp;TEXT(ABS($Z552),"#,##0")&amp;")")&amp;IF(RIGHT($Y552,15)="not significant"," (not significant)","")))</f>
        <v/>
      </c>
      <c r="AE552">
        <f>IF($V552,IF($S552="","",$S552),IF($R552="","",$R552))</f>
        <v/>
      </c>
      <c r="AF552">
        <f>IF($V552,IF($U552="","",$U552),IF($T552="","",$T552))</f>
        <v/>
      </c>
      <c r="AG552">
        <f>IF($V552,IF($O552="","",$O552),IF($P552="","",$P552))</f>
        <v/>
      </c>
      <c r="AH552" t="n">
        <v>0.065838314460655</v>
      </c>
      <c r="AI552">
        <f>IF($Y552="worse","Yes",IF($Y552="worse, not significant","Not sure",IF(OR($Y552="too few losses to test",$Y552="too few loans to test"),"Too few losses",IF($Y552="","","No"))))</f>
        <v/>
      </c>
      <c r="AJ552">
        <f>IF($AA552="yes","Yes",IF($AA552="","","No"))</f>
        <v/>
      </c>
      <c r="AK552" t="n">
        <v>0.005885911100981969</v>
      </c>
      <c r="AL552" t="n">
        <v>0.005177337999995603</v>
      </c>
      <c r="AM552">
        <f>IF(AND(ISNUMBER($AC552),ISNUMBER(IF($V552,IF($AL552="","",$AL552),IF($AK552="","",$AK552)))),IF(AND(ABS($AC552-significance_bar)&lt;=2.0*IF($V552,IF($AL552="","",$AL552),IF($AK552="","",$AK552)),OR($Y552="worse",$Y552="better",$Y552="worse, not significant",$Y552="better, not significant",AND(profit_kind="test",$Y552="in line",ISNUMBER($AB552),$AB552&lt;&gt;0))),IF(ROUND($AC552,3)=ROUND(significance_bar,3),TEXT($AC552,"0.0000"),TEXT($AC552,"0.000")),""),"")</f>
        <v/>
      </c>
      <c r="AN552">
        <f>IF(AND(ISNUMBER($AC552),ISNUMBER(IF($V552,IF($AL552="","",$AL552),IF($AK552="","",$AK552)))),IF(AND(ABS($AC552-significance_bar)&lt;=2.0*IF($V552,IF($AL552="","",$AL552),IF($AK552="","",$AK552)),OR($Y552="worse",$Y552="worse, not significant",AND(profit_kind="test",$Y552="in line",ISNUMBER($AB552),$AB552&lt;0))),IF(ROUND($AC552,3)=ROUND(significance_bar,3),TEXT($AC552,"0.0000"),TEXT($AC552,"0.000")),""),"")</f>
        <v/>
      </c>
      <c r="AO552">
        <f>IF(OR($AI552="",$AN552=""),$AI552,$AI552&amp;" · borderline (p "&amp;$AN552&amp;")")</f>
        <v/>
      </c>
    </row>
    <row r="553">
      <c r="A553" t="inlineStr">
        <is>
          <t>three-way</t>
        </is>
      </c>
      <c r="B553" t="inlineStr">
        <is>
          <t>SHORT_HIST x CHANNEL / REV_DEBT</t>
        </is>
      </c>
      <c r="C553" t="inlineStr">
        <is>
          <t>(marked missing)</t>
        </is>
      </c>
      <c r="D553" t="inlineStr">
        <is>
          <t>Broker / REV_DEBT low half</t>
        </is>
      </c>
      <c r="E553" t="inlineStr">
        <is>
          <t>contribution_rate</t>
        </is>
      </c>
      <c r="F553" t="inlineStr">
        <is>
          <t>Contribution before losses per booked dollar</t>
        </is>
      </c>
      <c r="G553" t="n">
        <v>34</v>
      </c>
      <c r="H553" t="n">
        <v>1196104.74</v>
      </c>
      <c r="I553" t="b">
        <v>0</v>
      </c>
      <c r="J553" t="b">
        <v>0</v>
      </c>
      <c r="K553" t="n">
        <v>-0.07302223325852265</v>
      </c>
      <c r="L553" t="n">
        <v>0.0035996400359964</v>
      </c>
      <c r="M553" t="n">
        <v>-0.09059405379952763</v>
      </c>
      <c r="N553" t="n">
        <v>0.0014725800147258</v>
      </c>
      <c r="O553" t="n">
        <v>87342.23932590458</v>
      </c>
      <c r="P553" t="n">
        <v>108359.97716543</v>
      </c>
      <c r="Q553">
        <f>'_live'!$C$24</f>
        <v/>
      </c>
      <c r="R553" t="inlineStr">
        <is>
          <t>shuffled: 23 of 10,000</t>
        </is>
      </c>
      <c r="S553" t="inlineStr">
        <is>
          <t>shuffled: 8 of 10,000</t>
        </is>
      </c>
      <c r="T553" t="n">
        <v>0.1699309538108716</v>
      </c>
      <c r="U553" t="n">
        <v>0.1875027743518766</v>
      </c>
      <c r="V553">
        <f>AND(judged_band,NOT($J553))</f>
        <v/>
      </c>
      <c r="W553">
        <f>IF($K553="","",IF(profit_kind="test",IF(OR(NOT(AND(ISNUMBER($L553),$L553&lt;significance_bar)),$K553=0),"in line",IF($K553&lt;0,"worse","better")),IF(OR($K553=0,IF(profit_kind="points",ABS($K553),ABS($K553*$H553))&lt;profit_line*(1-1E-9)),"in line",IF(AND(ISNUMBER($L553),$L553&lt;significance_bar),IF($K553&lt;0,"worse","better"),IF($K553&lt;0,"worse, not significant","better, not significant")))))</f>
        <v/>
      </c>
      <c r="X553">
        <f>IF($M553="","",IF(profit_kind="test",IF(OR(NOT(AND(ISNUMBER($N553),$N553&lt;significance_bar)),$M553=0),"in line",IF($M553&lt;0,"worse","better")),IF(OR($M553=0,IF(profit_kind="points",ABS($M553),ABS($M553*$H553))&lt;profit_line*(1-1E-9)),"in line",IF(AND(ISNUMBER($N553),$N553&lt;significance_bar),IF($M553&lt;0,"worse","better"),IF($M553&lt;0,"worse, not significant","better, not significant")))))</f>
        <v/>
      </c>
      <c r="Y553">
        <f>IF($V553,$X553,$W553)</f>
        <v/>
      </c>
      <c r="Z553">
        <f>IF($V553,IF($P553="","",$P553),IF($O553="","",$O553))</f>
        <v/>
      </c>
      <c r="AA553">
        <f>IF(OR($Q553="",$Z553=""),"",IF(AND($Z553&gt;0,$Z553&gt;=$Q553),"yes","below the line"))</f>
        <v/>
      </c>
      <c r="AB553">
        <f>IF($V553,IF($M553="","",$M553),IF($K553="","",$K553))</f>
        <v/>
      </c>
      <c r="AC553">
        <f>IF($V553,IF($N553="","",$N553),IF($L553="","",$L553))</f>
        <v/>
      </c>
      <c r="AD553">
        <f>IF($Y553="","",IF($Y553="in line",IF(profit_kind="test",IF(ROUND($AB553*100,2)=0,"0.00",TEXT($AB553*100,"+0.00;-0.00"))&amp;" points against "&amp;IF($V553,"its band","the book")&amp;", "&amp;IF($AC553="","not tested","not significant"),IF(profit_kind="points","within "&amp;TEXT(profit_line*100,"0.00")&amp;" points of "&amp;IF($V553,"its band","the book")&amp;" ("&amp;IF(ROUND($AB553*100,2)=0,"0.00",TEXT($AB553*100,"+0.00;-0.00"))&amp;")","within $"&amp;TEXT(profit_line,"#,##0")&amp;" of "&amp;IF($V553,"its band","the book")&amp;" ("&amp;IF(ROUND($AB553*100,2)=0,"0.00",TEXT($AB553*100,"+0.00;-0.00"))&amp;" points)")),IF(LEFT($Y553,5)="worse","short of ","ahead of ")&amp;IF($V553,"its band","the book")&amp;" by "&amp;TEXT(ABS($AB553)*100,"0.00")&amp;" points"&amp;IF($Z553="",""," ($"&amp;TEXT(ABS($Z553),"#,##0")&amp;")")&amp;IF(RIGHT($Y553,15)="not significant"," (not significant)","")))</f>
        <v/>
      </c>
      <c r="AE553">
        <f>IF($V553,IF($S553="","",$S553),IF($R553="","",$R553))</f>
        <v/>
      </c>
      <c r="AF553">
        <f>IF($V553,IF($U553="","",$U553),IF($T553="","",$T553))</f>
        <v/>
      </c>
      <c r="AG553">
        <f>IF($V553,IF($O553="","",$O553),IF($P553="","",$P553))</f>
        <v/>
      </c>
      <c r="AH553" t="n">
        <v>0.09690872055234896</v>
      </c>
      <c r="AI553">
        <f>IF($Y553="worse","Yes",IF($Y553="worse, not significant","Not sure",IF(OR($Y553="too few losses to test",$Y553="too few loans to test"),"Too few losses",IF($Y553="","","No"))))</f>
        <v/>
      </c>
      <c r="AJ553">
        <f>IF($AA553="yes","Yes",IF($AA553="","","No"))</f>
        <v/>
      </c>
      <c r="AK553" t="n">
        <v>0.0007339279695995959</v>
      </c>
      <c r="AL553" t="n">
        <v>0.0004906636216221208</v>
      </c>
      <c r="AM553">
        <f>IF(AND(ISNUMBER($AC553),ISNUMBER(IF($V553,IF($AL553="","",$AL553),IF($AK553="","",$AK553)))),IF(AND(ABS($AC553-significance_bar)&lt;=2.0*IF($V553,IF($AL553="","",$AL553),IF($AK553="","",$AK553)),OR($Y553="worse",$Y553="better",$Y553="worse, not significant",$Y553="better, not significant",AND(profit_kind="test",$Y553="in line",ISNUMBER($AB553),$AB553&lt;&gt;0))),IF(ROUND($AC553,3)=ROUND(significance_bar,3),TEXT($AC553,"0.0000"),TEXT($AC553,"0.000")),""),"")</f>
        <v/>
      </c>
      <c r="AN553">
        <f>IF(AND(ISNUMBER($AC553),ISNUMBER(IF($V553,IF($AL553="","",$AL553),IF($AK553="","",$AK553)))),IF(AND(ABS($AC553-significance_bar)&lt;=2.0*IF($V553,IF($AL553="","",$AL553),IF($AK553="","",$AK553)),OR($Y553="worse",$Y553="worse, not significant",AND(profit_kind="test",$Y553="in line",ISNUMBER($AB553),$AB553&lt;0))),IF(ROUND($AC553,3)=ROUND(significance_bar,3),TEXT($AC553,"0.0000"),TEXT($AC553,"0.000")),""),"")</f>
        <v/>
      </c>
      <c r="AO553">
        <f>IF(OR($AI553="",$AN553=""),$AI553,$AI553&amp;" · borderline (p "&amp;$AN553&amp;")")</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292"/>
  <sheetViews>
    <sheetView tabSelected="0" workbookViewId="0">
      <selection activeCell="A1" sqref="A1"/>
    </sheetView>
  </sheetViews>
  <sheetFormatPr baseColWidth="8" defaultRowHeight="15"/>
  <sheetData>
    <row r="1">
      <c r="A1" s="143" t="inlineStr">
        <is>
          <t>Pockets</t>
        </is>
      </c>
      <c r="B1" s="143" t="inlineStr">
        <is>
          <t>Measure</t>
        </is>
      </c>
      <c r="C1" s="143" t="inlineStr">
        <is>
          <t>_pockets row</t>
        </is>
      </c>
      <c r="D1" s="143" t="inlineStr">
        <is>
          <t>Band</t>
        </is>
      </c>
      <c r="E1" s="143" t="inlineStr">
        <is>
          <t>Segment</t>
        </is>
      </c>
      <c r="F1" s="143" t="inlineStr">
        <is>
          <t>Half</t>
        </is>
      </c>
      <c r="G1" s="143" t="inlineStr">
        <is>
          <t>Loans</t>
        </is>
      </c>
      <c r="H1" s="143" t="inlineStr">
        <is>
          <t>Could have caught (last Run)</t>
        </is>
      </c>
      <c r="I1" s="143" t="inlineStr">
        <is>
          <t>Holds fixed?</t>
        </is>
      </c>
      <c r="J1" s="143" t="inlineStr">
        <is>
          <t>Order (last Run)</t>
        </is>
      </c>
      <c r="K1" s="143" t="inlineStr">
        <is>
          <t>Worse? (live)</t>
        </is>
      </c>
      <c r="L1" s="143" t="inlineStr">
        <is>
          <t>Material? (live)</t>
        </is>
      </c>
      <c r="M1" s="143" t="inlineStr">
        <is>
          <t>Shown now (1: yes)</t>
        </is>
      </c>
      <c r="N1" s="143" t="inlineStr">
        <is>
          <t>Shown so far</t>
        </is>
      </c>
      <c r="O1" s="143" t="inlineStr">
        <is>
          <t>Kind (key)</t>
        </is>
      </c>
      <c r="P1" s="143" t="inlineStr">
        <is>
          <t>Measure (key)</t>
        </is>
      </c>
    </row>
    <row r="2">
      <c r="A2" t="inlineStr">
        <is>
          <t>Two-way</t>
        </is>
      </c>
      <c r="B2" t="inlineStr">
        <is>
          <t>Bad loans</t>
        </is>
      </c>
      <c r="C2" t="n">
        <v>29</v>
      </c>
      <c r="D2" t="inlineStr">
        <is>
          <t>FICO 496 - 653</t>
        </is>
      </c>
      <c r="E2" t="inlineStr">
        <is>
          <t>Broker</t>
        </is>
      </c>
      <c r="G2" t="n">
        <v>523</v>
      </c>
      <c r="H2" t="n">
        <v>1.464786027829929</v>
      </c>
      <c r="J2" t="n">
        <v>1</v>
      </c>
      <c r="K2">
        <f>'_pockets'!$AI$29</f>
        <v/>
      </c>
      <c r="L2">
        <f>'_pockets'!$AJ$29</f>
        <v/>
      </c>
      <c r="M2">
        <f>IF(AND($A2='Pockets'!$D$18,$B2='Pockets'!$C$18,OR('Pockets'!$E$18="All",AND('Pockets'!$E$18="Worse and material",$K2="Yes",$L2="Yes"),AND('Pockets'!$E$18="Worse or not sure",OR($K2="Yes",$K2="Not sure")))),1,0)</f>
        <v/>
      </c>
      <c r="N2">
        <f>$M2</f>
        <v/>
      </c>
      <c r="O2" t="inlineStr">
        <is>
          <t>grids</t>
        </is>
      </c>
      <c r="P2" t="inlineStr">
        <is>
          <t>outcome_loans</t>
        </is>
      </c>
    </row>
    <row r="3">
      <c r="A3" t="inlineStr">
        <is>
          <t>Two-way</t>
        </is>
      </c>
      <c r="B3" t="inlineStr">
        <is>
          <t>Bad loans</t>
        </is>
      </c>
      <c r="C3" t="n">
        <v>39</v>
      </c>
      <c r="D3" t="inlineStr">
        <is>
          <t>FICO 712 - 745</t>
        </is>
      </c>
      <c r="E3" t="inlineStr">
        <is>
          <t>Online</t>
        </is>
      </c>
      <c r="G3" t="n">
        <v>564</v>
      </c>
      <c r="H3" t="n">
        <v>1.448150295811065</v>
      </c>
      <c r="J3" t="n">
        <v>2</v>
      </c>
      <c r="K3">
        <f>'_pockets'!$AI$39</f>
        <v/>
      </c>
      <c r="L3">
        <f>'_pockets'!$AJ$39</f>
        <v/>
      </c>
      <c r="M3">
        <f>IF(AND($A3='Pockets'!$D$18,$B3='Pockets'!$C$18,OR('Pockets'!$E$18="All",AND('Pockets'!$E$18="Worse and material",$K3="Yes",$L3="Yes"),AND('Pockets'!$E$18="Worse or not sure",OR($K3="Yes",$K3="Not sure")))),1,0)</f>
        <v/>
      </c>
      <c r="N3">
        <f>$N2+$M3</f>
        <v/>
      </c>
      <c r="O3" t="inlineStr">
        <is>
          <t>grids</t>
        </is>
      </c>
      <c r="P3" t="inlineStr">
        <is>
          <t>outcome_loans</t>
        </is>
      </c>
    </row>
    <row r="4">
      <c r="A4" t="inlineStr">
        <is>
          <t>Two-way</t>
        </is>
      </c>
      <c r="B4" t="inlineStr">
        <is>
          <t>Bad loans</t>
        </is>
      </c>
      <c r="C4" t="n">
        <v>104</v>
      </c>
      <c r="D4" t="inlineStr">
        <is>
          <t>SHORT_HIST 89.0 - 171.9</t>
        </is>
      </c>
      <c r="E4" t="inlineStr">
        <is>
          <t>Broker</t>
        </is>
      </c>
      <c r="G4" t="n">
        <v>522</v>
      </c>
      <c r="H4" t="n">
        <v>1.465217552398334</v>
      </c>
      <c r="J4" t="n">
        <v>3</v>
      </c>
      <c r="K4">
        <f>'_pockets'!$AI$104</f>
        <v/>
      </c>
      <c r="L4">
        <f>'_pockets'!$AJ$104</f>
        <v/>
      </c>
      <c r="M4">
        <f>IF(AND($A4='Pockets'!$D$18,$B4='Pockets'!$C$18,OR('Pockets'!$E$18="All",AND('Pockets'!$E$18="Worse and material",$K4="Yes",$L4="Yes"),AND('Pockets'!$E$18="Worse or not sure",OR($K4="Yes",$K4="Not sure")))),1,0)</f>
        <v/>
      </c>
      <c r="N4">
        <f>$N3+$M4</f>
        <v/>
      </c>
      <c r="O4" t="inlineStr">
        <is>
          <t>grids</t>
        </is>
      </c>
      <c r="P4" t="inlineStr">
        <is>
          <t>outcome_loans</t>
        </is>
      </c>
    </row>
    <row r="5">
      <c r="A5" t="inlineStr">
        <is>
          <t>Two-way</t>
        </is>
      </c>
      <c r="B5" t="inlineStr">
        <is>
          <t>Bad loans</t>
        </is>
      </c>
      <c r="C5" t="n">
        <v>149</v>
      </c>
      <c r="D5" t="inlineStr">
        <is>
          <t>SHORT_HIST 346.0 - 435.0</t>
        </is>
      </c>
      <c r="E5" t="inlineStr">
        <is>
          <t>Broker</t>
        </is>
      </c>
      <c r="G5" t="n">
        <v>504</v>
      </c>
      <c r="H5" t="n">
        <v>1.473216021871699</v>
      </c>
      <c r="J5" t="n">
        <v>4</v>
      </c>
      <c r="K5">
        <f>'_pockets'!$AI$149</f>
        <v/>
      </c>
      <c r="L5">
        <f>'_pockets'!$AJ$149</f>
        <v/>
      </c>
      <c r="M5">
        <f>IF(AND($A5='Pockets'!$D$18,$B5='Pockets'!$C$18,OR('Pockets'!$E$18="All",AND('Pockets'!$E$18="Worse and material",$K5="Yes",$L5="Yes"),AND('Pockets'!$E$18="Worse or not sure",OR($K5="Yes",$K5="Not sure")))),1,0)</f>
        <v/>
      </c>
      <c r="N5">
        <f>$N4+$M5</f>
        <v/>
      </c>
      <c r="O5" t="inlineStr">
        <is>
          <t>grids</t>
        </is>
      </c>
      <c r="P5" t="inlineStr">
        <is>
          <t>outcome_loans</t>
        </is>
      </c>
    </row>
    <row r="6">
      <c r="A6" t="inlineStr">
        <is>
          <t>Two-way</t>
        </is>
      </c>
      <c r="B6" t="inlineStr">
        <is>
          <t>Bad loans</t>
        </is>
      </c>
      <c r="C6" t="n">
        <v>64</v>
      </c>
      <c r="D6" t="inlineStr">
        <is>
          <t>FICO 686 - 711</t>
        </is>
      </c>
      <c r="E6" t="inlineStr">
        <is>
          <t>Online</t>
        </is>
      </c>
      <c r="G6" t="n">
        <v>546</v>
      </c>
      <c r="H6" t="n">
        <v>1.455209255059828</v>
      </c>
      <c r="J6" t="n">
        <v>5</v>
      </c>
      <c r="K6">
        <f>'_pockets'!$AI$64</f>
        <v/>
      </c>
      <c r="L6">
        <f>'_pockets'!$AJ$64</f>
        <v/>
      </c>
      <c r="M6">
        <f>IF(AND($A6='Pockets'!$D$18,$B6='Pockets'!$C$18,OR('Pockets'!$E$18="All",AND('Pockets'!$E$18="Worse and material",$K6="Yes",$L6="Yes"),AND('Pockets'!$E$18="Worse or not sure",OR($K6="Yes",$K6="Not sure")))),1,0)</f>
        <v/>
      </c>
      <c r="N6">
        <f>$N5+$M6</f>
        <v/>
      </c>
      <c r="O6" t="inlineStr">
        <is>
          <t>grids</t>
        </is>
      </c>
      <c r="P6" t="inlineStr">
        <is>
          <t>outcome_loans</t>
        </is>
      </c>
    </row>
    <row r="7">
      <c r="A7" t="inlineStr">
        <is>
          <t>Two-way</t>
        </is>
      </c>
      <c r="B7" t="inlineStr">
        <is>
          <t>Bad loans</t>
        </is>
      </c>
      <c r="C7" t="n">
        <v>124</v>
      </c>
      <c r="D7" t="inlineStr">
        <is>
          <t>SHORT_HIST 172.0 - 256.3</t>
        </is>
      </c>
      <c r="E7" t="inlineStr">
        <is>
          <t>Broker</t>
        </is>
      </c>
      <c r="G7" t="n">
        <v>541</v>
      </c>
      <c r="H7" t="n">
        <v>1.457236078558245</v>
      </c>
      <c r="J7" t="n">
        <v>6</v>
      </c>
      <c r="K7">
        <f>'_pockets'!$AI$124</f>
        <v/>
      </c>
      <c r="L7">
        <f>'_pockets'!$AJ$124</f>
        <v/>
      </c>
      <c r="M7">
        <f>IF(AND($A7='Pockets'!$D$18,$B7='Pockets'!$C$18,OR('Pockets'!$E$18="All",AND('Pockets'!$E$18="Worse and material",$K7="Yes",$L7="Yes"),AND('Pockets'!$E$18="Worse or not sure",OR($K7="Yes",$K7="Not sure")))),1,0)</f>
        <v/>
      </c>
      <c r="N7">
        <f>$N6+$M7</f>
        <v/>
      </c>
      <c r="O7" t="inlineStr">
        <is>
          <t>grids</t>
        </is>
      </c>
      <c r="P7" t="inlineStr">
        <is>
          <t>outcome_loans</t>
        </is>
      </c>
    </row>
    <row r="8">
      <c r="A8" t="inlineStr">
        <is>
          <t>Two-way</t>
        </is>
      </c>
      <c r="B8" t="inlineStr">
        <is>
          <t>Bad loans</t>
        </is>
      </c>
      <c r="C8" t="n">
        <v>134</v>
      </c>
      <c r="D8" t="inlineStr">
        <is>
          <t>SHORT_HIST 256.4 - 345.9</t>
        </is>
      </c>
      <c r="E8" t="inlineStr">
        <is>
          <t>Online</t>
        </is>
      </c>
      <c r="G8" t="n">
        <v>536</v>
      </c>
      <c r="H8" t="n">
        <v>1.459292871738605</v>
      </c>
      <c r="J8" t="n">
        <v>7</v>
      </c>
      <c r="K8">
        <f>'_pockets'!$AI$134</f>
        <v/>
      </c>
      <c r="L8">
        <f>'_pockets'!$AJ$134</f>
        <v/>
      </c>
      <c r="M8">
        <f>IF(AND($A8='Pockets'!$D$18,$B8='Pockets'!$C$18,OR('Pockets'!$E$18="All",AND('Pockets'!$E$18="Worse and material",$K8="Yes",$L8="Yes"),AND('Pockets'!$E$18="Worse or not sure",OR($K8="Yes",$K8="Not sure")))),1,0)</f>
        <v/>
      </c>
      <c r="N8">
        <f>$N7+$M8</f>
        <v/>
      </c>
      <c r="O8" t="inlineStr">
        <is>
          <t>grids</t>
        </is>
      </c>
      <c r="P8" t="inlineStr">
        <is>
          <t>outcome_loans</t>
        </is>
      </c>
    </row>
    <row r="9">
      <c r="A9" t="inlineStr">
        <is>
          <t>Two-way</t>
        </is>
      </c>
      <c r="B9" t="inlineStr">
        <is>
          <t>Bad loans</t>
        </is>
      </c>
      <c r="C9" t="n">
        <v>94</v>
      </c>
      <c r="D9" t="inlineStr">
        <is>
          <t>FICO (marked missing)</t>
        </is>
      </c>
      <c r="E9" t="inlineStr">
        <is>
          <t>Broker</t>
        </is>
      </c>
      <c r="G9" t="n">
        <v>54</v>
      </c>
      <c r="H9" t="n">
        <v>2.515266476498722</v>
      </c>
      <c r="J9" t="n">
        <v>8</v>
      </c>
      <c r="K9">
        <f>'_pockets'!$AI$94</f>
        <v/>
      </c>
      <c r="L9">
        <f>'_pockets'!$AJ$94</f>
        <v/>
      </c>
      <c r="M9">
        <f>IF(AND($A9='Pockets'!$D$18,$B9='Pockets'!$C$18,OR('Pockets'!$E$18="All",AND('Pockets'!$E$18="Worse and material",$K9="Yes",$L9="Yes"),AND('Pockets'!$E$18="Worse or not sure",OR($K9="Yes",$K9="Not sure")))),1,0)</f>
        <v/>
      </c>
      <c r="N9">
        <f>$N8+$M9</f>
        <v/>
      </c>
      <c r="O9" t="inlineStr">
        <is>
          <t>grids</t>
        </is>
      </c>
      <c r="P9" t="inlineStr">
        <is>
          <t>outcome_loans</t>
        </is>
      </c>
    </row>
    <row r="10">
      <c r="A10" t="inlineStr">
        <is>
          <t>Two-way</t>
        </is>
      </c>
      <c r="B10" t="inlineStr">
        <is>
          <t>Bad loans</t>
        </is>
      </c>
      <c r="C10" t="n">
        <v>154</v>
      </c>
      <c r="D10" t="inlineStr">
        <is>
          <t>SHORT_HIST 172.0 - 256.3</t>
        </is>
      </c>
      <c r="E10" t="inlineStr">
        <is>
          <t>Online</t>
        </is>
      </c>
      <c r="G10" t="n">
        <v>517</v>
      </c>
      <c r="H10" t="n">
        <v>1.467395006424662</v>
      </c>
      <c r="J10" t="n">
        <v>9</v>
      </c>
      <c r="K10">
        <f>'_pockets'!$AI$154</f>
        <v/>
      </c>
      <c r="L10">
        <f>'_pockets'!$AJ$154</f>
        <v/>
      </c>
      <c r="M10">
        <f>IF(AND($A10='Pockets'!$D$18,$B10='Pockets'!$C$18,OR('Pockets'!$E$18="All",AND('Pockets'!$E$18="Worse and material",$K10="Yes",$L10="Yes"),AND('Pockets'!$E$18="Worse or not sure",OR($K10="Yes",$K10="Not sure")))),1,0)</f>
        <v/>
      </c>
      <c r="N10">
        <f>$N9+$M10</f>
        <v/>
      </c>
      <c r="O10" t="inlineStr">
        <is>
          <t>grids</t>
        </is>
      </c>
      <c r="P10" t="inlineStr">
        <is>
          <t>outcome_loans</t>
        </is>
      </c>
    </row>
    <row r="11">
      <c r="A11" t="inlineStr">
        <is>
          <t>Two-way</t>
        </is>
      </c>
      <c r="B11" t="inlineStr">
        <is>
          <t>Bad loans</t>
        </is>
      </c>
      <c r="C11" t="n">
        <v>139</v>
      </c>
      <c r="D11" t="inlineStr">
        <is>
          <t>SHORT_HIST 0.0 - 88.9</t>
        </is>
      </c>
      <c r="E11" t="inlineStr">
        <is>
          <t>Broker</t>
        </is>
      </c>
      <c r="G11" t="n">
        <v>508</v>
      </c>
      <c r="H11" t="n">
        <v>1.471399804894518</v>
      </c>
      <c r="J11" t="n">
        <v>10</v>
      </c>
      <c r="K11">
        <f>'_pockets'!$AI$139</f>
        <v/>
      </c>
      <c r="L11">
        <f>'_pockets'!$AJ$139</f>
        <v/>
      </c>
      <c r="M11">
        <f>IF(AND($A11='Pockets'!$D$18,$B11='Pockets'!$C$18,OR('Pockets'!$E$18="All",AND('Pockets'!$E$18="Worse and material",$K11="Yes",$L11="Yes"),AND('Pockets'!$E$18="Worse or not sure",OR($K11="Yes",$K11="Not sure")))),1,0)</f>
        <v/>
      </c>
      <c r="N11">
        <f>$N10+$M11</f>
        <v/>
      </c>
      <c r="O11" t="inlineStr">
        <is>
          <t>grids</t>
        </is>
      </c>
      <c r="P11" t="inlineStr">
        <is>
          <t>outcome_loans</t>
        </is>
      </c>
    </row>
    <row r="12">
      <c r="A12" t="inlineStr">
        <is>
          <t>Two-way</t>
        </is>
      </c>
      <c r="B12" t="inlineStr">
        <is>
          <t>Bad loans</t>
        </is>
      </c>
      <c r="C12" t="n">
        <v>24</v>
      </c>
      <c r="D12" t="inlineStr">
        <is>
          <t>FICO 746 - 921</t>
        </is>
      </c>
      <c r="E12" t="inlineStr">
        <is>
          <t>Branch</t>
        </is>
      </c>
      <c r="G12" t="n">
        <v>518</v>
      </c>
      <c r="H12" t="n">
        <v>1.466956849722849</v>
      </c>
      <c r="J12" t="n">
        <v>11</v>
      </c>
      <c r="K12">
        <f>'_pockets'!$AI$24</f>
        <v/>
      </c>
      <c r="L12">
        <f>'_pockets'!$AJ$24</f>
        <v/>
      </c>
      <c r="M12">
        <f>IF(AND($A12='Pockets'!$D$18,$B12='Pockets'!$C$18,OR('Pockets'!$E$18="All",AND('Pockets'!$E$18="Worse and material",$K12="Yes",$L12="Yes"),AND('Pockets'!$E$18="Worse or not sure",OR($K12="Yes",$K12="Not sure")))),1,0)</f>
        <v/>
      </c>
      <c r="N12">
        <f>$N11+$M12</f>
        <v/>
      </c>
      <c r="O12" t="inlineStr">
        <is>
          <t>grids</t>
        </is>
      </c>
      <c r="P12" t="inlineStr">
        <is>
          <t>outcome_loans</t>
        </is>
      </c>
    </row>
    <row r="13">
      <c r="A13" t="inlineStr">
        <is>
          <t>Two-way</t>
        </is>
      </c>
      <c r="B13" t="inlineStr">
        <is>
          <t>Bad loans</t>
        </is>
      </c>
      <c r="C13" t="n">
        <v>54</v>
      </c>
      <c r="D13" t="inlineStr">
        <is>
          <t>FICO 654 - 685</t>
        </is>
      </c>
      <c r="E13" t="inlineStr">
        <is>
          <t>Branch</t>
        </is>
      </c>
      <c r="G13" t="n">
        <v>503</v>
      </c>
      <c r="H13" t="n">
        <v>1.473673649827915</v>
      </c>
      <c r="J13" t="n">
        <v>12</v>
      </c>
      <c r="K13">
        <f>'_pockets'!$AI$54</f>
        <v/>
      </c>
      <c r="L13">
        <f>'_pockets'!$AJ$54</f>
        <v/>
      </c>
      <c r="M13">
        <f>IF(AND($A13='Pockets'!$D$18,$B13='Pockets'!$C$18,OR('Pockets'!$E$18="All",AND('Pockets'!$E$18="Worse and material",$K13="Yes",$L13="Yes"),AND('Pockets'!$E$18="Worse or not sure",OR($K13="Yes",$K13="Not sure")))),1,0)</f>
        <v/>
      </c>
      <c r="N13">
        <f>$N12+$M13</f>
        <v/>
      </c>
      <c r="O13" t="inlineStr">
        <is>
          <t>grids</t>
        </is>
      </c>
      <c r="P13" t="inlineStr">
        <is>
          <t>outcome_loans</t>
        </is>
      </c>
    </row>
    <row r="14">
      <c r="A14" t="inlineStr">
        <is>
          <t>Two-way</t>
        </is>
      </c>
      <c r="B14" t="inlineStr">
        <is>
          <t>Bad loans</t>
        </is>
      </c>
      <c r="C14" t="n">
        <v>184</v>
      </c>
      <c r="D14" t="inlineStr">
        <is>
          <t>SHORT_HIST (marked missing)</t>
        </is>
      </c>
      <c r="E14" t="inlineStr">
        <is>
          <t>Branch</t>
        </is>
      </c>
      <c r="G14" t="n">
        <v>72</v>
      </c>
      <c r="H14" t="n">
        <v>2.296496758272323</v>
      </c>
      <c r="J14" t="n">
        <v>13</v>
      </c>
      <c r="K14">
        <f>'_pockets'!$AI$184</f>
        <v/>
      </c>
      <c r="L14">
        <f>'_pockets'!$AJ$184</f>
        <v/>
      </c>
      <c r="M14">
        <f>IF(AND($A14='Pockets'!$D$18,$B14='Pockets'!$C$18,OR('Pockets'!$E$18="All",AND('Pockets'!$E$18="Worse and material",$K14="Yes",$L14="Yes"),AND('Pockets'!$E$18="Worse or not sure",OR($K14="Yes",$K14="Not sure")))),1,0)</f>
        <v/>
      </c>
      <c r="N14">
        <f>$N13+$M14</f>
        <v/>
      </c>
      <c r="O14" t="inlineStr">
        <is>
          <t>grids</t>
        </is>
      </c>
      <c r="P14" t="inlineStr">
        <is>
          <t>outcome_loans</t>
        </is>
      </c>
    </row>
    <row r="15">
      <c r="A15" t="inlineStr">
        <is>
          <t>Two-way</t>
        </is>
      </c>
      <c r="B15" t="inlineStr">
        <is>
          <t>Bad loans</t>
        </is>
      </c>
      <c r="C15" t="n">
        <v>144</v>
      </c>
      <c r="D15" t="inlineStr">
        <is>
          <t>SHORT_HIST 0.0 - 88.9</t>
        </is>
      </c>
      <c r="E15" t="inlineStr">
        <is>
          <t>Online</t>
        </is>
      </c>
      <c r="G15" t="n">
        <v>528</v>
      </c>
      <c r="H15" t="n">
        <v>1.462647883543678</v>
      </c>
      <c r="J15" t="n">
        <v>14</v>
      </c>
      <c r="K15">
        <f>'_pockets'!$AI$144</f>
        <v/>
      </c>
      <c r="L15">
        <f>'_pockets'!$AJ$144</f>
        <v/>
      </c>
      <c r="M15">
        <f>IF(AND($A15='Pockets'!$D$18,$B15='Pockets'!$C$18,OR('Pockets'!$E$18="All",AND('Pockets'!$E$18="Worse and material",$K15="Yes",$L15="Yes"),AND('Pockets'!$E$18="Worse or not sure",OR($K15="Yes",$K15="Not sure")))),1,0)</f>
        <v/>
      </c>
      <c r="N15">
        <f>$N14+$M15</f>
        <v/>
      </c>
      <c r="O15" t="inlineStr">
        <is>
          <t>grids</t>
        </is>
      </c>
      <c r="P15" t="inlineStr">
        <is>
          <t>outcome_loans</t>
        </is>
      </c>
    </row>
    <row r="16">
      <c r="A16" t="inlineStr">
        <is>
          <t>Two-way</t>
        </is>
      </c>
      <c r="B16" t="inlineStr">
        <is>
          <t>Bad loans</t>
        </is>
      </c>
      <c r="C16" t="n">
        <v>129</v>
      </c>
      <c r="D16" t="inlineStr">
        <is>
          <t>SHORT_HIST 256.4 - 345.9</t>
        </is>
      </c>
      <c r="E16" t="inlineStr">
        <is>
          <t>Broker</t>
        </is>
      </c>
      <c r="G16" t="n">
        <v>513</v>
      </c>
      <c r="H16" t="n">
        <v>1.469161161755481</v>
      </c>
      <c r="J16" t="n">
        <v>15</v>
      </c>
      <c r="K16">
        <f>'_pockets'!$AI$129</f>
        <v/>
      </c>
      <c r="L16">
        <f>'_pockets'!$AJ$129</f>
        <v/>
      </c>
      <c r="M16">
        <f>IF(AND($A16='Pockets'!$D$18,$B16='Pockets'!$C$18,OR('Pockets'!$E$18="All",AND('Pockets'!$E$18="Worse and material",$K16="Yes",$L16="Yes"),AND('Pockets'!$E$18="Worse or not sure",OR($K16="Yes",$K16="Not sure")))),1,0)</f>
        <v/>
      </c>
      <c r="N16">
        <f>$N15+$M16</f>
        <v/>
      </c>
      <c r="O16" t="inlineStr">
        <is>
          <t>grids</t>
        </is>
      </c>
      <c r="P16" t="inlineStr">
        <is>
          <t>outcome_loans</t>
        </is>
      </c>
    </row>
    <row r="17">
      <c r="A17" t="inlineStr">
        <is>
          <t>Two-way</t>
        </is>
      </c>
      <c r="B17" t="inlineStr">
        <is>
          <t>Bad loans</t>
        </is>
      </c>
      <c r="C17" t="n">
        <v>79</v>
      </c>
      <c r="D17" t="inlineStr">
        <is>
          <t>FICO 496 - 653</t>
        </is>
      </c>
      <c r="E17" t="inlineStr">
        <is>
          <t>Online</t>
        </is>
      </c>
      <c r="G17" t="n">
        <v>531</v>
      </c>
      <c r="H17" t="n">
        <v>1.461380354433167</v>
      </c>
      <c r="J17" t="n">
        <v>16</v>
      </c>
      <c r="K17">
        <f>'_pockets'!$AI$79</f>
        <v/>
      </c>
      <c r="L17">
        <f>'_pockets'!$AJ$79</f>
        <v/>
      </c>
      <c r="M17">
        <f>IF(AND($A17='Pockets'!$D$18,$B17='Pockets'!$C$18,OR('Pockets'!$E$18="All",AND('Pockets'!$E$18="Worse and material",$K17="Yes",$L17="Yes"),AND('Pockets'!$E$18="Worse or not sure",OR($K17="Yes",$K17="Not sure")))),1,0)</f>
        <v/>
      </c>
      <c r="N17">
        <f>$N16+$M17</f>
        <v/>
      </c>
      <c r="O17" t="inlineStr">
        <is>
          <t>grids</t>
        </is>
      </c>
      <c r="P17" t="inlineStr">
        <is>
          <t>outcome_loans</t>
        </is>
      </c>
    </row>
    <row r="18">
      <c r="A18" t="inlineStr">
        <is>
          <t>Two-way</t>
        </is>
      </c>
      <c r="B18" t="inlineStr">
        <is>
          <t>Bad loans</t>
        </is>
      </c>
      <c r="C18" t="n">
        <v>19</v>
      </c>
      <c r="D18" t="inlineStr">
        <is>
          <t>FICO 496 - 653</t>
        </is>
      </c>
      <c r="E18" t="inlineStr">
        <is>
          <t>Branch</t>
        </is>
      </c>
      <c r="G18" t="n">
        <v>501</v>
      </c>
      <c r="H18" t="n">
        <v>1.474593245223238</v>
      </c>
      <c r="J18" t="n">
        <v>17</v>
      </c>
      <c r="K18">
        <f>'_pockets'!$AI$19</f>
        <v/>
      </c>
      <c r="L18">
        <f>'_pockets'!$AJ$19</f>
        <v/>
      </c>
      <c r="M18">
        <f>IF(AND($A18='Pockets'!$D$18,$B18='Pockets'!$C$18,OR('Pockets'!$E$18="All",AND('Pockets'!$E$18="Worse and material",$K18="Yes",$L18="Yes"),AND('Pockets'!$E$18="Worse or not sure",OR($K18="Yes",$K18="Not sure")))),1,0)</f>
        <v/>
      </c>
      <c r="N18">
        <f>$N17+$M18</f>
        <v/>
      </c>
      <c r="O18" t="inlineStr">
        <is>
          <t>grids</t>
        </is>
      </c>
      <c r="P18" t="inlineStr">
        <is>
          <t>outcome_loans</t>
        </is>
      </c>
    </row>
    <row r="19">
      <c r="A19" t="inlineStr">
        <is>
          <t>Two-way</t>
        </is>
      </c>
      <c r="B19" t="inlineStr">
        <is>
          <t>Bad loans</t>
        </is>
      </c>
      <c r="C19" t="n">
        <v>69</v>
      </c>
      <c r="D19" t="inlineStr">
        <is>
          <t>FICO 654 - 685</t>
        </is>
      </c>
      <c r="E19" t="inlineStr">
        <is>
          <t>Online</t>
        </is>
      </c>
      <c r="G19" t="n">
        <v>505</v>
      </c>
      <c r="H19" t="n">
        <v>1.472759830638605</v>
      </c>
      <c r="J19" t="n">
        <v>18</v>
      </c>
      <c r="K19">
        <f>'_pockets'!$AI$69</f>
        <v/>
      </c>
      <c r="L19">
        <f>'_pockets'!$AJ$69</f>
        <v/>
      </c>
      <c r="M19">
        <f>IF(AND($A19='Pockets'!$D$18,$B19='Pockets'!$C$18,OR('Pockets'!$E$18="All",AND('Pockets'!$E$18="Worse and material",$K19="Yes",$L19="Yes"),AND('Pockets'!$E$18="Worse or not sure",OR($K19="Yes",$K19="Not sure")))),1,0)</f>
        <v/>
      </c>
      <c r="N19">
        <f>$N18+$M19</f>
        <v/>
      </c>
      <c r="O19" t="inlineStr">
        <is>
          <t>grids</t>
        </is>
      </c>
      <c r="P19" t="inlineStr">
        <is>
          <t>outcome_loans</t>
        </is>
      </c>
    </row>
    <row r="20">
      <c r="A20" t="inlineStr">
        <is>
          <t>Two-way</t>
        </is>
      </c>
      <c r="B20" t="inlineStr">
        <is>
          <t>Bad loans</t>
        </is>
      </c>
      <c r="C20" t="n">
        <v>74</v>
      </c>
      <c r="D20" t="inlineStr">
        <is>
          <t>FICO 654 - 685</t>
        </is>
      </c>
      <c r="E20" t="inlineStr">
        <is>
          <t>Broker</t>
        </is>
      </c>
      <c r="G20" t="n">
        <v>531</v>
      </c>
      <c r="H20" t="n">
        <v>1.461380354433167</v>
      </c>
      <c r="J20" t="n">
        <v>19</v>
      </c>
      <c r="K20">
        <f>'_pockets'!$AI$74</f>
        <v/>
      </c>
      <c r="L20">
        <f>'_pockets'!$AJ$74</f>
        <v/>
      </c>
      <c r="M20">
        <f>IF(AND($A20='Pockets'!$D$18,$B20='Pockets'!$C$18,OR('Pockets'!$E$18="All",AND('Pockets'!$E$18="Worse and material",$K20="Yes",$L20="Yes"),AND('Pockets'!$E$18="Worse or not sure",OR($K20="Yes",$K20="Not sure")))),1,0)</f>
        <v/>
      </c>
      <c r="N20">
        <f>$N19+$M20</f>
        <v/>
      </c>
      <c r="O20" t="inlineStr">
        <is>
          <t>grids</t>
        </is>
      </c>
      <c r="P20" t="inlineStr">
        <is>
          <t>outcome_loans</t>
        </is>
      </c>
    </row>
    <row r="21">
      <c r="A21" t="inlineStr">
        <is>
          <t>Two-way</t>
        </is>
      </c>
      <c r="B21" t="inlineStr">
        <is>
          <t>Bad dollars</t>
        </is>
      </c>
      <c r="C21" t="n">
        <v>30</v>
      </c>
      <c r="D21" t="inlineStr">
        <is>
          <t>FICO 496 - 653</t>
        </is>
      </c>
      <c r="E21" t="inlineStr">
        <is>
          <t>Broker</t>
        </is>
      </c>
      <c r="G21" t="n">
        <v>523</v>
      </c>
      <c r="H21" t="n">
        <v>1.507862277408946</v>
      </c>
      <c r="J21" t="n">
        <v>1</v>
      </c>
      <c r="K21">
        <f>'_pockets'!$AI$30</f>
        <v/>
      </c>
      <c r="L21">
        <f>'_pockets'!$AJ$30</f>
        <v/>
      </c>
      <c r="M21">
        <f>IF(AND($A21='Pockets'!$D$18,$B21='Pockets'!$C$18,OR('Pockets'!$E$18="All",AND('Pockets'!$E$18="Worse and material",$K21="Yes",$L21="Yes"),AND('Pockets'!$E$18="Worse or not sure",OR($K21="Yes",$K21="Not sure")))),1,0)</f>
        <v/>
      </c>
      <c r="N21">
        <f>$N20+$M21</f>
        <v/>
      </c>
      <c r="O21" t="inlineStr">
        <is>
          <t>grids</t>
        </is>
      </c>
      <c r="P21" t="inlineStr">
        <is>
          <t>outcome_booked</t>
        </is>
      </c>
    </row>
    <row r="22">
      <c r="A22" t="inlineStr">
        <is>
          <t>Two-way</t>
        </is>
      </c>
      <c r="B22" t="inlineStr">
        <is>
          <t>Bad dollars</t>
        </is>
      </c>
      <c r="C22" t="n">
        <v>40</v>
      </c>
      <c r="D22" t="inlineStr">
        <is>
          <t>FICO 712 - 745</t>
        </is>
      </c>
      <c r="E22" t="inlineStr">
        <is>
          <t>Online</t>
        </is>
      </c>
      <c r="G22" t="n">
        <v>564</v>
      </c>
      <c r="H22" t="n">
        <v>1.487935097568543</v>
      </c>
      <c r="J22" t="n">
        <v>2</v>
      </c>
      <c r="K22">
        <f>'_pockets'!$AI$40</f>
        <v/>
      </c>
      <c r="L22">
        <f>'_pockets'!$AJ$40</f>
        <v/>
      </c>
      <c r="M22">
        <f>IF(AND($A22='Pockets'!$D$18,$B22='Pockets'!$C$18,OR('Pockets'!$E$18="All",AND('Pockets'!$E$18="Worse and material",$K22="Yes",$L22="Yes"),AND('Pockets'!$E$18="Worse or not sure",OR($K22="Yes",$K22="Not sure")))),1,0)</f>
        <v/>
      </c>
      <c r="N22">
        <f>$N21+$M22</f>
        <v/>
      </c>
      <c r="O22" t="inlineStr">
        <is>
          <t>grids</t>
        </is>
      </c>
      <c r="P22" t="inlineStr">
        <is>
          <t>outcome_booked</t>
        </is>
      </c>
    </row>
    <row r="23">
      <c r="A23" t="inlineStr">
        <is>
          <t>Two-way</t>
        </is>
      </c>
      <c r="B23" t="inlineStr">
        <is>
          <t>Bad dollars</t>
        </is>
      </c>
      <c r="C23" t="n">
        <v>65</v>
      </c>
      <c r="D23" t="inlineStr">
        <is>
          <t>FICO 686 - 711</t>
        </is>
      </c>
      <c r="E23" t="inlineStr">
        <is>
          <t>Online</t>
        </is>
      </c>
      <c r="G23" t="n">
        <v>546</v>
      </c>
      <c r="H23" t="n">
        <v>1.496396790753007</v>
      </c>
      <c r="J23" t="n">
        <v>3</v>
      </c>
      <c r="K23">
        <f>'_pockets'!$AI$65</f>
        <v/>
      </c>
      <c r="L23">
        <f>'_pockets'!$AJ$65</f>
        <v/>
      </c>
      <c r="M23">
        <f>IF(AND($A23='Pockets'!$D$18,$B23='Pockets'!$C$18,OR('Pockets'!$E$18="All",AND('Pockets'!$E$18="Worse and material",$K23="Yes",$L23="Yes"),AND('Pockets'!$E$18="Worse or not sure",OR($K23="Yes",$K23="Not sure")))),1,0)</f>
        <v/>
      </c>
      <c r="N23">
        <f>$N22+$M23</f>
        <v/>
      </c>
      <c r="O23" t="inlineStr">
        <is>
          <t>grids</t>
        </is>
      </c>
      <c r="P23" t="inlineStr">
        <is>
          <t>outcome_booked</t>
        </is>
      </c>
    </row>
    <row r="24">
      <c r="A24" t="inlineStr">
        <is>
          <t>Two-way</t>
        </is>
      </c>
      <c r="B24" t="inlineStr">
        <is>
          <t>Bad dollars</t>
        </is>
      </c>
      <c r="C24" t="n">
        <v>150</v>
      </c>
      <c r="D24" t="inlineStr">
        <is>
          <t>SHORT_HIST 346.0 - 435.0</t>
        </is>
      </c>
      <c r="E24" t="inlineStr">
        <is>
          <t>Broker</t>
        </is>
      </c>
      <c r="G24" t="n">
        <v>504</v>
      </c>
      <c r="H24" t="n">
        <v>1.517942546975812</v>
      </c>
      <c r="J24" t="n">
        <v>4</v>
      </c>
      <c r="K24">
        <f>'_pockets'!$AI$150</f>
        <v/>
      </c>
      <c r="L24">
        <f>'_pockets'!$AJ$150</f>
        <v/>
      </c>
      <c r="M24">
        <f>IF(AND($A24='Pockets'!$D$18,$B24='Pockets'!$C$18,OR('Pockets'!$E$18="All",AND('Pockets'!$E$18="Worse and material",$K24="Yes",$L24="Yes"),AND('Pockets'!$E$18="Worse or not sure",OR($K24="Yes",$K24="Not sure")))),1,0)</f>
        <v/>
      </c>
      <c r="N24">
        <f>$N23+$M24</f>
        <v/>
      </c>
      <c r="O24" t="inlineStr">
        <is>
          <t>grids</t>
        </is>
      </c>
      <c r="P24" t="inlineStr">
        <is>
          <t>outcome_booked</t>
        </is>
      </c>
    </row>
    <row r="25">
      <c r="A25" t="inlineStr">
        <is>
          <t>Two-way</t>
        </is>
      </c>
      <c r="B25" t="inlineStr">
        <is>
          <t>Bad dollars</t>
        </is>
      </c>
      <c r="C25" t="n">
        <v>125</v>
      </c>
      <c r="D25" t="inlineStr">
        <is>
          <t>SHORT_HIST 172.0 - 256.3</t>
        </is>
      </c>
      <c r="E25" t="inlineStr">
        <is>
          <t>Broker</t>
        </is>
      </c>
      <c r="G25" t="n">
        <v>541</v>
      </c>
      <c r="H25" t="n">
        <v>1.498824665397178</v>
      </c>
      <c r="J25" t="n">
        <v>5</v>
      </c>
      <c r="K25">
        <f>'_pockets'!$AI$125</f>
        <v/>
      </c>
      <c r="L25">
        <f>'_pockets'!$AJ$125</f>
        <v/>
      </c>
      <c r="M25">
        <f>IF(AND($A25='Pockets'!$D$18,$B25='Pockets'!$C$18,OR('Pockets'!$E$18="All",AND('Pockets'!$E$18="Worse and material",$K25="Yes",$L25="Yes"),AND('Pockets'!$E$18="Worse or not sure",OR($K25="Yes",$K25="Not sure")))),1,0)</f>
        <v/>
      </c>
      <c r="N25">
        <f>$N24+$M25</f>
        <v/>
      </c>
      <c r="O25" t="inlineStr">
        <is>
          <t>grids</t>
        </is>
      </c>
      <c r="P25" t="inlineStr">
        <is>
          <t>outcome_booked</t>
        </is>
      </c>
    </row>
    <row r="26">
      <c r="A26" t="inlineStr">
        <is>
          <t>Two-way</t>
        </is>
      </c>
      <c r="B26" t="inlineStr">
        <is>
          <t>Bad dollars</t>
        </is>
      </c>
      <c r="C26" t="n">
        <v>105</v>
      </c>
      <c r="D26" t="inlineStr">
        <is>
          <t>SHORT_HIST 89.0 - 171.9</t>
        </is>
      </c>
      <c r="E26" t="inlineStr">
        <is>
          <t>Broker</t>
        </is>
      </c>
      <c r="G26" t="n">
        <v>522</v>
      </c>
      <c r="H26" t="n">
        <v>1.508378545251152</v>
      </c>
      <c r="J26" t="n">
        <v>6</v>
      </c>
      <c r="K26">
        <f>'_pockets'!$AI$105</f>
        <v/>
      </c>
      <c r="L26">
        <f>'_pockets'!$AJ$105</f>
        <v/>
      </c>
      <c r="M26">
        <f>IF(AND($A26='Pockets'!$D$18,$B26='Pockets'!$C$18,OR('Pockets'!$E$18="All",AND('Pockets'!$E$18="Worse and material",$K26="Yes",$L26="Yes"),AND('Pockets'!$E$18="Worse or not sure",OR($K26="Yes",$K26="Not sure")))),1,0)</f>
        <v/>
      </c>
      <c r="N26">
        <f>$N25+$M26</f>
        <v/>
      </c>
      <c r="O26" t="inlineStr">
        <is>
          <t>grids</t>
        </is>
      </c>
      <c r="P26" t="inlineStr">
        <is>
          <t>outcome_booked</t>
        </is>
      </c>
    </row>
    <row r="27">
      <c r="A27" t="inlineStr">
        <is>
          <t>Two-way</t>
        </is>
      </c>
      <c r="B27" t="inlineStr">
        <is>
          <t>Bad dollars</t>
        </is>
      </c>
      <c r="C27" t="n">
        <v>135</v>
      </c>
      <c r="D27" t="inlineStr">
        <is>
          <t>SHORT_HIST 256.4 - 345.9</t>
        </is>
      </c>
      <c r="E27" t="inlineStr">
        <is>
          <t>Online</t>
        </is>
      </c>
      <c r="G27" t="n">
        <v>536</v>
      </c>
      <c r="H27" t="n">
        <v>1.501287695565131</v>
      </c>
      <c r="J27" t="n">
        <v>7</v>
      </c>
      <c r="K27">
        <f>'_pockets'!$AI$135</f>
        <v/>
      </c>
      <c r="L27">
        <f>'_pockets'!$AJ$135</f>
        <v/>
      </c>
      <c r="M27">
        <f>IF(AND($A27='Pockets'!$D$18,$B27='Pockets'!$C$18,OR('Pockets'!$E$18="All",AND('Pockets'!$E$18="Worse and material",$K27="Yes",$L27="Yes"),AND('Pockets'!$E$18="Worse or not sure",OR($K27="Yes",$K27="Not sure")))),1,0)</f>
        <v/>
      </c>
      <c r="N27">
        <f>$N26+$M27</f>
        <v/>
      </c>
      <c r="O27" t="inlineStr">
        <is>
          <t>grids</t>
        </is>
      </c>
      <c r="P27" t="inlineStr">
        <is>
          <t>outcome_booked</t>
        </is>
      </c>
    </row>
    <row r="28">
      <c r="A28" t="inlineStr">
        <is>
          <t>Two-way</t>
        </is>
      </c>
      <c r="B28" t="inlineStr">
        <is>
          <t>Bad dollars</t>
        </is>
      </c>
      <c r="C28" t="n">
        <v>55</v>
      </c>
      <c r="D28" t="inlineStr">
        <is>
          <t>FICO 654 - 685</t>
        </is>
      </c>
      <c r="E28" t="inlineStr">
        <is>
          <t>Branch</t>
        </is>
      </c>
      <c r="G28" t="n">
        <v>503</v>
      </c>
      <c r="H28" t="n">
        <v>1.518489457951721</v>
      </c>
      <c r="J28" t="n">
        <v>8</v>
      </c>
      <c r="K28">
        <f>'_pockets'!$AI$55</f>
        <v/>
      </c>
      <c r="L28">
        <f>'_pockets'!$AJ$55</f>
        <v/>
      </c>
      <c r="M28">
        <f>IF(AND($A28='Pockets'!$D$18,$B28='Pockets'!$C$18,OR('Pockets'!$E$18="All",AND('Pockets'!$E$18="Worse and material",$K28="Yes",$L28="Yes"),AND('Pockets'!$E$18="Worse or not sure",OR($K28="Yes",$K28="Not sure")))),1,0)</f>
        <v/>
      </c>
      <c r="N28">
        <f>$N27+$M28</f>
        <v/>
      </c>
      <c r="O28" t="inlineStr">
        <is>
          <t>grids</t>
        </is>
      </c>
      <c r="P28" t="inlineStr">
        <is>
          <t>outcome_booked</t>
        </is>
      </c>
    </row>
    <row r="29">
      <c r="A29" t="inlineStr">
        <is>
          <t>Two-way</t>
        </is>
      </c>
      <c r="B29" t="inlineStr">
        <is>
          <t>Bad dollars</t>
        </is>
      </c>
      <c r="C29" t="n">
        <v>95</v>
      </c>
      <c r="D29" t="inlineStr">
        <is>
          <t>FICO (marked missing)</t>
        </is>
      </c>
      <c r="E29" t="inlineStr">
        <is>
          <t>Broker</t>
        </is>
      </c>
      <c r="G29" t="n">
        <v>54</v>
      </c>
      <c r="H29" t="n">
        <v>2.775118494361108</v>
      </c>
      <c r="J29" t="n">
        <v>9</v>
      </c>
      <c r="K29">
        <f>'_pockets'!$AI$95</f>
        <v/>
      </c>
      <c r="L29">
        <f>'_pockets'!$AJ$95</f>
        <v/>
      </c>
      <c r="M29">
        <f>IF(AND($A29='Pockets'!$D$18,$B29='Pockets'!$C$18,OR('Pockets'!$E$18="All",AND('Pockets'!$E$18="Worse and material",$K29="Yes",$L29="Yes"),AND('Pockets'!$E$18="Worse or not sure",OR($K29="Yes",$K29="Not sure")))),1,0)</f>
        <v/>
      </c>
      <c r="N29">
        <f>$N28+$M29</f>
        <v/>
      </c>
      <c r="O29" t="inlineStr">
        <is>
          <t>grids</t>
        </is>
      </c>
      <c r="P29" t="inlineStr">
        <is>
          <t>outcome_booked</t>
        </is>
      </c>
    </row>
    <row r="30">
      <c r="A30" t="inlineStr">
        <is>
          <t>Two-way</t>
        </is>
      </c>
      <c r="B30" t="inlineStr">
        <is>
          <t>Bad dollars</t>
        </is>
      </c>
      <c r="C30" t="n">
        <v>140</v>
      </c>
      <c r="D30" t="inlineStr">
        <is>
          <t>SHORT_HIST 0.0 - 88.9</t>
        </is>
      </c>
      <c r="E30" t="inlineStr">
        <is>
          <t>Broker</t>
        </is>
      </c>
      <c r="G30" t="n">
        <v>508</v>
      </c>
      <c r="H30" t="n">
        <v>1.515771687689139</v>
      </c>
      <c r="J30" t="n">
        <v>10</v>
      </c>
      <c r="K30">
        <f>'_pockets'!$AI$140</f>
        <v/>
      </c>
      <c r="L30">
        <f>'_pockets'!$AJ$140</f>
        <v/>
      </c>
      <c r="M30">
        <f>IF(AND($A30='Pockets'!$D$18,$B30='Pockets'!$C$18,OR('Pockets'!$E$18="All",AND('Pockets'!$E$18="Worse and material",$K30="Yes",$L30="Yes"),AND('Pockets'!$E$18="Worse or not sure",OR($K30="Yes",$K30="Not sure")))),1,0)</f>
        <v/>
      </c>
      <c r="N30">
        <f>$N29+$M30</f>
        <v/>
      </c>
      <c r="O30" t="inlineStr">
        <is>
          <t>grids</t>
        </is>
      </c>
      <c r="P30" t="inlineStr">
        <is>
          <t>outcome_booked</t>
        </is>
      </c>
    </row>
    <row r="31">
      <c r="A31" t="inlineStr">
        <is>
          <t>Two-way</t>
        </is>
      </c>
      <c r="B31" t="inlineStr">
        <is>
          <t>Bad dollars</t>
        </is>
      </c>
      <c r="C31" t="n">
        <v>25</v>
      </c>
      <c r="D31" t="inlineStr">
        <is>
          <t>FICO 746 - 921</t>
        </is>
      </c>
      <c r="E31" t="inlineStr">
        <is>
          <t>Branch</t>
        </is>
      </c>
      <c r="G31" t="n">
        <v>518</v>
      </c>
      <c r="H31" t="n">
        <v>1.510459107688015</v>
      </c>
      <c r="J31" t="n">
        <v>11</v>
      </c>
      <c r="K31">
        <f>'_pockets'!$AI$25</f>
        <v/>
      </c>
      <c r="L31">
        <f>'_pockets'!$AJ$25</f>
        <v/>
      </c>
      <c r="M31">
        <f>IF(AND($A31='Pockets'!$D$18,$B31='Pockets'!$C$18,OR('Pockets'!$E$18="All",AND('Pockets'!$E$18="Worse and material",$K31="Yes",$L31="Yes"),AND('Pockets'!$E$18="Worse or not sure",OR($K31="Yes",$K31="Not sure")))),1,0)</f>
        <v/>
      </c>
      <c r="N31">
        <f>$N30+$M31</f>
        <v/>
      </c>
      <c r="O31" t="inlineStr">
        <is>
          <t>grids</t>
        </is>
      </c>
      <c r="P31" t="inlineStr">
        <is>
          <t>outcome_booked</t>
        </is>
      </c>
    </row>
    <row r="32">
      <c r="A32" t="inlineStr">
        <is>
          <t>Two-way</t>
        </is>
      </c>
      <c r="B32" t="inlineStr">
        <is>
          <t>Bad dollars</t>
        </is>
      </c>
      <c r="C32" t="n">
        <v>145</v>
      </c>
      <c r="D32" t="inlineStr">
        <is>
          <t>SHORT_HIST 0.0 - 88.9</t>
        </is>
      </c>
      <c r="E32" t="inlineStr">
        <is>
          <t>Online</t>
        </is>
      </c>
      <c r="G32" t="n">
        <v>528</v>
      </c>
      <c r="H32" t="n">
        <v>1.505303797159908</v>
      </c>
      <c r="J32" t="n">
        <v>12</v>
      </c>
      <c r="K32">
        <f>'_pockets'!$AI$145</f>
        <v/>
      </c>
      <c r="L32">
        <f>'_pockets'!$AJ$145</f>
        <v/>
      </c>
      <c r="M32">
        <f>IF(AND($A32='Pockets'!$D$18,$B32='Pockets'!$C$18,OR('Pockets'!$E$18="All",AND('Pockets'!$E$18="Worse and material",$K32="Yes",$L32="Yes"),AND('Pockets'!$E$18="Worse or not sure",OR($K32="Yes",$K32="Not sure")))),1,0)</f>
        <v/>
      </c>
      <c r="N32">
        <f>$N31+$M32</f>
        <v/>
      </c>
      <c r="O32" t="inlineStr">
        <is>
          <t>grids</t>
        </is>
      </c>
      <c r="P32" t="inlineStr">
        <is>
          <t>outcome_booked</t>
        </is>
      </c>
    </row>
    <row r="33">
      <c r="A33" t="inlineStr">
        <is>
          <t>Two-way</t>
        </is>
      </c>
      <c r="B33" t="inlineStr">
        <is>
          <t>Bad dollars</t>
        </is>
      </c>
      <c r="C33" t="n">
        <v>185</v>
      </c>
      <c r="D33" t="inlineStr">
        <is>
          <t>SHORT_HIST (marked missing)</t>
        </is>
      </c>
      <c r="E33" t="inlineStr">
        <is>
          <t>Branch</t>
        </is>
      </c>
      <c r="G33" t="n">
        <v>72</v>
      </c>
      <c r="H33" t="n">
        <v>2.505339969899459</v>
      </c>
      <c r="J33" t="n">
        <v>13</v>
      </c>
      <c r="K33">
        <f>'_pockets'!$AI$185</f>
        <v/>
      </c>
      <c r="L33">
        <f>'_pockets'!$AJ$185</f>
        <v/>
      </c>
      <c r="M33">
        <f>IF(AND($A33='Pockets'!$D$18,$B33='Pockets'!$C$18,OR('Pockets'!$E$18="All",AND('Pockets'!$E$18="Worse and material",$K33="Yes",$L33="Yes"),AND('Pockets'!$E$18="Worse or not sure",OR($K33="Yes",$K33="Not sure")))),1,0)</f>
        <v/>
      </c>
      <c r="N33">
        <f>$N32+$M33</f>
        <v/>
      </c>
      <c r="O33" t="inlineStr">
        <is>
          <t>grids</t>
        </is>
      </c>
      <c r="P33" t="inlineStr">
        <is>
          <t>outcome_booked</t>
        </is>
      </c>
    </row>
    <row r="34">
      <c r="A34" t="inlineStr">
        <is>
          <t>Two-way</t>
        </is>
      </c>
      <c r="B34" t="inlineStr">
        <is>
          <t>Bad dollars</t>
        </is>
      </c>
      <c r="C34" t="n">
        <v>20</v>
      </c>
      <c r="D34" t="inlineStr">
        <is>
          <t>FICO 496 - 653</t>
        </is>
      </c>
      <c r="E34" t="inlineStr">
        <is>
          <t>Branch</t>
        </is>
      </c>
      <c r="G34" t="n">
        <v>501</v>
      </c>
      <c r="H34" t="n">
        <v>1.519588375545581</v>
      </c>
      <c r="J34" t="n">
        <v>14</v>
      </c>
      <c r="K34">
        <f>'_pockets'!$AI$20</f>
        <v/>
      </c>
      <c r="L34">
        <f>'_pockets'!$AJ$20</f>
        <v/>
      </c>
      <c r="M34">
        <f>IF(AND($A34='Pockets'!$D$18,$B34='Pockets'!$C$18,OR('Pockets'!$E$18="All",AND('Pockets'!$E$18="Worse and material",$K34="Yes",$L34="Yes"),AND('Pockets'!$E$18="Worse or not sure",OR($K34="Yes",$K34="Not sure")))),1,0)</f>
        <v/>
      </c>
      <c r="N34">
        <f>$N33+$M34</f>
        <v/>
      </c>
      <c r="O34" t="inlineStr">
        <is>
          <t>grids</t>
        </is>
      </c>
      <c r="P34" t="inlineStr">
        <is>
          <t>outcome_booked</t>
        </is>
      </c>
    </row>
    <row r="35">
      <c r="A35" t="inlineStr">
        <is>
          <t>Two-way</t>
        </is>
      </c>
      <c r="B35" t="inlineStr">
        <is>
          <t>Bad dollars</t>
        </is>
      </c>
      <c r="C35" t="n">
        <v>80</v>
      </c>
      <c r="D35" t="inlineStr">
        <is>
          <t>FICO 496 - 653</t>
        </is>
      </c>
      <c r="E35" t="inlineStr">
        <is>
          <t>Online</t>
        </is>
      </c>
      <c r="G35" t="n">
        <v>531</v>
      </c>
      <c r="H35" t="n">
        <v>1.50378673024631</v>
      </c>
      <c r="J35" t="n">
        <v>15</v>
      </c>
      <c r="K35">
        <f>'_pockets'!$AI$80</f>
        <v/>
      </c>
      <c r="L35">
        <f>'_pockets'!$AJ$80</f>
        <v/>
      </c>
      <c r="M35">
        <f>IF(AND($A35='Pockets'!$D$18,$B35='Pockets'!$C$18,OR('Pockets'!$E$18="All",AND('Pockets'!$E$18="Worse and material",$K35="Yes",$L35="Yes"),AND('Pockets'!$E$18="Worse or not sure",OR($K35="Yes",$K35="Not sure")))),1,0)</f>
        <v/>
      </c>
      <c r="N35">
        <f>$N34+$M35</f>
        <v/>
      </c>
      <c r="O35" t="inlineStr">
        <is>
          <t>grids</t>
        </is>
      </c>
      <c r="P35" t="inlineStr">
        <is>
          <t>outcome_booked</t>
        </is>
      </c>
    </row>
    <row r="36">
      <c r="A36" t="inlineStr">
        <is>
          <t>Two-way</t>
        </is>
      </c>
      <c r="B36" t="inlineStr">
        <is>
          <t>Bad dollars</t>
        </is>
      </c>
      <c r="C36" t="n">
        <v>130</v>
      </c>
      <c r="D36" t="inlineStr">
        <is>
          <t>SHORT_HIST 256.4 - 345.9</t>
        </is>
      </c>
      <c r="E36" t="inlineStr">
        <is>
          <t>Broker</t>
        </is>
      </c>
      <c r="G36" t="n">
        <v>513</v>
      </c>
      <c r="H36" t="n">
        <v>1.513095246902511</v>
      </c>
      <c r="J36" t="n">
        <v>16</v>
      </c>
      <c r="K36">
        <f>'_pockets'!$AI$130</f>
        <v/>
      </c>
      <c r="L36">
        <f>'_pockets'!$AJ$130</f>
        <v/>
      </c>
      <c r="M36">
        <f>IF(AND($A36='Pockets'!$D$18,$B36='Pockets'!$C$18,OR('Pockets'!$E$18="All",AND('Pockets'!$E$18="Worse and material",$K36="Yes",$L36="Yes"),AND('Pockets'!$E$18="Worse or not sure",OR($K36="Yes",$K36="Not sure")))),1,0)</f>
        <v/>
      </c>
      <c r="N36">
        <f>$N35+$M36</f>
        <v/>
      </c>
      <c r="O36" t="inlineStr">
        <is>
          <t>grids</t>
        </is>
      </c>
      <c r="P36" t="inlineStr">
        <is>
          <t>outcome_booked</t>
        </is>
      </c>
    </row>
    <row r="37">
      <c r="A37" t="inlineStr">
        <is>
          <t>Two-way</t>
        </is>
      </c>
      <c r="B37" t="inlineStr">
        <is>
          <t>Bad dollars</t>
        </is>
      </c>
      <c r="C37" t="n">
        <v>70</v>
      </c>
      <c r="D37" t="inlineStr">
        <is>
          <t>FICO 654 - 685</t>
        </is>
      </c>
      <c r="E37" t="inlineStr">
        <is>
          <t>Online</t>
        </is>
      </c>
      <c r="G37" t="n">
        <v>505</v>
      </c>
      <c r="H37" t="n">
        <v>1.517397323008664</v>
      </c>
      <c r="J37" t="n">
        <v>17</v>
      </c>
      <c r="K37">
        <f>'_pockets'!$AI$70</f>
        <v/>
      </c>
      <c r="L37">
        <f>'_pockets'!$AJ$70</f>
        <v/>
      </c>
      <c r="M37">
        <f>IF(AND($A37='Pockets'!$D$18,$B37='Pockets'!$C$18,OR('Pockets'!$E$18="All",AND('Pockets'!$E$18="Worse and material",$K37="Yes",$L37="Yes"),AND('Pockets'!$E$18="Worse or not sure",OR($K37="Yes",$K37="Not sure")))),1,0)</f>
        <v/>
      </c>
      <c r="N37">
        <f>$N36+$M37</f>
        <v/>
      </c>
      <c r="O37" t="inlineStr">
        <is>
          <t>grids</t>
        </is>
      </c>
      <c r="P37" t="inlineStr">
        <is>
          <t>outcome_booked</t>
        </is>
      </c>
    </row>
    <row r="38">
      <c r="A38" t="inlineStr">
        <is>
          <t>Two-way</t>
        </is>
      </c>
      <c r="B38" t="inlineStr">
        <is>
          <t>Bad dollars</t>
        </is>
      </c>
      <c r="C38" t="n">
        <v>75</v>
      </c>
      <c r="D38" t="inlineStr">
        <is>
          <t>FICO 654 - 685</t>
        </is>
      </c>
      <c r="E38" t="inlineStr">
        <is>
          <t>Broker</t>
        </is>
      </c>
      <c r="G38" t="n">
        <v>531</v>
      </c>
      <c r="H38" t="n">
        <v>1.50378673024631</v>
      </c>
      <c r="J38" t="n">
        <v>18</v>
      </c>
      <c r="K38">
        <f>'_pockets'!$AI$75</f>
        <v/>
      </c>
      <c r="L38">
        <f>'_pockets'!$AJ$75</f>
        <v/>
      </c>
      <c r="M38">
        <f>IF(AND($A38='Pockets'!$D$18,$B38='Pockets'!$C$18,OR('Pockets'!$E$18="All",AND('Pockets'!$E$18="Worse and material",$K38="Yes",$L38="Yes"),AND('Pockets'!$E$18="Worse or not sure",OR($K38="Yes",$K38="Not sure")))),1,0)</f>
        <v/>
      </c>
      <c r="N38">
        <f>$N37+$M38</f>
        <v/>
      </c>
      <c r="O38" t="inlineStr">
        <is>
          <t>grids</t>
        </is>
      </c>
      <c r="P38" t="inlineStr">
        <is>
          <t>outcome_booked</t>
        </is>
      </c>
    </row>
    <row r="39">
      <c r="A39" t="inlineStr">
        <is>
          <t>Two-way</t>
        </is>
      </c>
      <c r="B39" t="inlineStr">
        <is>
          <t>Bad dollars</t>
        </is>
      </c>
      <c r="C39" t="n">
        <v>160</v>
      </c>
      <c r="D39" t="inlineStr">
        <is>
          <t>SHORT_HIST 89.0 - 171.9</t>
        </is>
      </c>
      <c r="E39" t="inlineStr">
        <is>
          <t>Branch</t>
        </is>
      </c>
      <c r="G39" t="n">
        <v>490</v>
      </c>
      <c r="H39" t="n">
        <v>1.525756834963121</v>
      </c>
      <c r="J39" t="n">
        <v>19</v>
      </c>
      <c r="K39">
        <f>'_pockets'!$AI$160</f>
        <v/>
      </c>
      <c r="L39">
        <f>'_pockets'!$AJ$160</f>
        <v/>
      </c>
      <c r="M39">
        <f>IF(AND($A39='Pockets'!$D$18,$B39='Pockets'!$C$18,OR('Pockets'!$E$18="All",AND('Pockets'!$E$18="Worse and material",$K39="Yes",$L39="Yes"),AND('Pockets'!$E$18="Worse or not sure",OR($K39="Yes",$K39="Not sure")))),1,0)</f>
        <v/>
      </c>
      <c r="N39">
        <f>$N38+$M39</f>
        <v/>
      </c>
      <c r="O39" t="inlineStr">
        <is>
          <t>grids</t>
        </is>
      </c>
      <c r="P39" t="inlineStr">
        <is>
          <t>outcome_booked</t>
        </is>
      </c>
    </row>
    <row r="40">
      <c r="A40" t="inlineStr">
        <is>
          <t>Two-way</t>
        </is>
      </c>
      <c r="B40" t="inlineStr">
        <is>
          <t>Charge-offs</t>
        </is>
      </c>
      <c r="C40" t="n">
        <v>31</v>
      </c>
      <c r="D40" t="inlineStr">
        <is>
          <t>FICO 496 - 653</t>
        </is>
      </c>
      <c r="E40" t="inlineStr">
        <is>
          <t>Broker</t>
        </is>
      </c>
      <c r="G40" t="n">
        <v>523</v>
      </c>
      <c r="H40" t="n">
        <v>1.526452452779882</v>
      </c>
      <c r="J40" t="n">
        <v>1</v>
      </c>
      <c r="K40">
        <f>'_pockets'!$AI$31</f>
        <v/>
      </c>
      <c r="L40">
        <f>'_pockets'!$AJ$31</f>
        <v/>
      </c>
      <c r="M40">
        <f>IF(AND($A40='Pockets'!$D$18,$B40='Pockets'!$C$18,OR('Pockets'!$E$18="All",AND('Pockets'!$E$18="Worse and material",$K40="Yes",$L40="Yes"),AND('Pockets'!$E$18="Worse or not sure",OR($K40="Yes",$K40="Not sure")))),1,0)</f>
        <v/>
      </c>
      <c r="N40">
        <f>$N39+$M40</f>
        <v/>
      </c>
      <c r="O40" t="inlineStr">
        <is>
          <t>grids</t>
        </is>
      </c>
      <c r="P40" t="inlineStr">
        <is>
          <t>gco_rate</t>
        </is>
      </c>
    </row>
    <row r="41">
      <c r="A41" t="inlineStr">
        <is>
          <t>Two-way</t>
        </is>
      </c>
      <c r="B41" t="inlineStr">
        <is>
          <t>Charge-offs</t>
        </is>
      </c>
      <c r="C41" t="n">
        <v>151</v>
      </c>
      <c r="D41" t="inlineStr">
        <is>
          <t>SHORT_HIST 346.0 - 435.0</t>
        </is>
      </c>
      <c r="E41" t="inlineStr">
        <is>
          <t>Broker</t>
        </is>
      </c>
      <c r="G41" t="n">
        <v>504</v>
      </c>
      <c r="H41" t="n">
        <v>1.536920158884618</v>
      </c>
      <c r="J41" t="n">
        <v>2</v>
      </c>
      <c r="K41">
        <f>'_pockets'!$AI$151</f>
        <v/>
      </c>
      <c r="L41">
        <f>'_pockets'!$AJ$151</f>
        <v/>
      </c>
      <c r="M41">
        <f>IF(AND($A41='Pockets'!$D$18,$B41='Pockets'!$C$18,OR('Pockets'!$E$18="All",AND('Pockets'!$E$18="Worse and material",$K41="Yes",$L41="Yes"),AND('Pockets'!$E$18="Worse or not sure",OR($K41="Yes",$K41="Not sure")))),1,0)</f>
        <v/>
      </c>
      <c r="N41">
        <f>$N40+$M41</f>
        <v/>
      </c>
      <c r="O41" t="inlineStr">
        <is>
          <t>grids</t>
        </is>
      </c>
      <c r="P41" t="inlineStr">
        <is>
          <t>gco_rate</t>
        </is>
      </c>
    </row>
    <row r="42">
      <c r="A42" t="inlineStr">
        <is>
          <t>Two-way</t>
        </is>
      </c>
      <c r="B42" t="inlineStr">
        <is>
          <t>Charge-offs</t>
        </is>
      </c>
      <c r="C42" t="n">
        <v>41</v>
      </c>
      <c r="D42" t="inlineStr">
        <is>
          <t>FICO 712 - 745</t>
        </is>
      </c>
      <c r="E42" t="inlineStr">
        <is>
          <t>Online</t>
        </is>
      </c>
      <c r="G42" t="n">
        <v>564</v>
      </c>
      <c r="H42" t="n">
        <v>1.50576113984669</v>
      </c>
      <c r="J42" t="n">
        <v>3</v>
      </c>
      <c r="K42">
        <f>'_pockets'!$AI$41</f>
        <v/>
      </c>
      <c r="L42">
        <f>'_pockets'!$AJ$41</f>
        <v/>
      </c>
      <c r="M42">
        <f>IF(AND($A42='Pockets'!$D$18,$B42='Pockets'!$C$18,OR('Pockets'!$E$18="All",AND('Pockets'!$E$18="Worse and material",$K42="Yes",$L42="Yes"),AND('Pockets'!$E$18="Worse or not sure",OR($K42="Yes",$K42="Not sure")))),1,0)</f>
        <v/>
      </c>
      <c r="N42">
        <f>$N41+$M42</f>
        <v/>
      </c>
      <c r="O42" t="inlineStr">
        <is>
          <t>grids</t>
        </is>
      </c>
      <c r="P42" t="inlineStr">
        <is>
          <t>gco_rate</t>
        </is>
      </c>
    </row>
    <row r="43">
      <c r="A43" t="inlineStr">
        <is>
          <t>Two-way</t>
        </is>
      </c>
      <c r="B43" t="inlineStr">
        <is>
          <t>Charge-offs</t>
        </is>
      </c>
      <c r="C43" t="n">
        <v>126</v>
      </c>
      <c r="D43" t="inlineStr">
        <is>
          <t>SHORT_HIST 172.0 - 256.3</t>
        </is>
      </c>
      <c r="E43" t="inlineStr">
        <is>
          <t>Broker</t>
        </is>
      </c>
      <c r="G43" t="n">
        <v>541</v>
      </c>
      <c r="H43" t="n">
        <v>1.517067988866568</v>
      </c>
      <c r="J43" t="n">
        <v>4</v>
      </c>
      <c r="K43">
        <f>'_pockets'!$AI$126</f>
        <v/>
      </c>
      <c r="L43">
        <f>'_pockets'!$AJ$126</f>
        <v/>
      </c>
      <c r="M43">
        <f>IF(AND($A43='Pockets'!$D$18,$B43='Pockets'!$C$18,OR('Pockets'!$E$18="All",AND('Pockets'!$E$18="Worse and material",$K43="Yes",$L43="Yes"),AND('Pockets'!$E$18="Worse or not sure",OR($K43="Yes",$K43="Not sure")))),1,0)</f>
        <v/>
      </c>
      <c r="N43">
        <f>$N42+$M43</f>
        <v/>
      </c>
      <c r="O43" t="inlineStr">
        <is>
          <t>grids</t>
        </is>
      </c>
      <c r="P43" t="inlineStr">
        <is>
          <t>gco_rate</t>
        </is>
      </c>
    </row>
    <row r="44">
      <c r="A44" t="inlineStr">
        <is>
          <t>Two-way</t>
        </is>
      </c>
      <c r="B44" t="inlineStr">
        <is>
          <t>Charge-offs</t>
        </is>
      </c>
      <c r="C44" t="n">
        <v>66</v>
      </c>
      <c r="D44" t="inlineStr">
        <is>
          <t>FICO 686 - 711</t>
        </is>
      </c>
      <c r="E44" t="inlineStr">
        <is>
          <t>Online</t>
        </is>
      </c>
      <c r="G44" t="n">
        <v>546</v>
      </c>
      <c r="H44" t="n">
        <v>1.514547018225334</v>
      </c>
      <c r="J44" t="n">
        <v>5</v>
      </c>
      <c r="K44">
        <f>'_pockets'!$AI$66</f>
        <v/>
      </c>
      <c r="L44">
        <f>'_pockets'!$AJ$66</f>
        <v/>
      </c>
      <c r="M44">
        <f>IF(AND($A44='Pockets'!$D$18,$B44='Pockets'!$C$18,OR('Pockets'!$E$18="All",AND('Pockets'!$E$18="Worse and material",$K44="Yes",$L44="Yes"),AND('Pockets'!$E$18="Worse or not sure",OR($K44="Yes",$K44="Not sure")))),1,0)</f>
        <v/>
      </c>
      <c r="N44">
        <f>$N43+$M44</f>
        <v/>
      </c>
      <c r="O44" t="inlineStr">
        <is>
          <t>grids</t>
        </is>
      </c>
      <c r="P44" t="inlineStr">
        <is>
          <t>gco_rate</t>
        </is>
      </c>
    </row>
    <row r="45">
      <c r="A45" t="inlineStr">
        <is>
          <t>Two-way</t>
        </is>
      </c>
      <c r="B45" t="inlineStr">
        <is>
          <t>Charge-offs</t>
        </is>
      </c>
      <c r="C45" t="n">
        <v>106</v>
      </c>
      <c r="D45" t="inlineStr">
        <is>
          <t>SHORT_HIST 89.0 - 171.9</t>
        </is>
      </c>
      <c r="E45" t="inlineStr">
        <is>
          <t>Broker</t>
        </is>
      </c>
      <c r="G45" t="n">
        <v>522</v>
      </c>
      <c r="H45" t="n">
        <v>1.526988548916686</v>
      </c>
      <c r="J45" t="n">
        <v>6</v>
      </c>
      <c r="K45">
        <f>'_pockets'!$AI$106</f>
        <v/>
      </c>
      <c r="L45">
        <f>'_pockets'!$AJ$106</f>
        <v/>
      </c>
      <c r="M45">
        <f>IF(AND($A45='Pockets'!$D$18,$B45='Pockets'!$C$18,OR('Pockets'!$E$18="All",AND('Pockets'!$E$18="Worse and material",$K45="Yes",$L45="Yes"),AND('Pockets'!$E$18="Worse or not sure",OR($K45="Yes",$K45="Not sure")))),1,0)</f>
        <v/>
      </c>
      <c r="N45">
        <f>$N44+$M45</f>
        <v/>
      </c>
      <c r="O45" t="inlineStr">
        <is>
          <t>grids</t>
        </is>
      </c>
      <c r="P45" t="inlineStr">
        <is>
          <t>gco_rate</t>
        </is>
      </c>
    </row>
    <row r="46">
      <c r="A46" t="inlineStr">
        <is>
          <t>Two-way</t>
        </is>
      </c>
      <c r="B46" t="inlineStr">
        <is>
          <t>Charge-offs</t>
        </is>
      </c>
      <c r="C46" t="n">
        <v>136</v>
      </c>
      <c r="D46" t="inlineStr">
        <is>
          <t>SHORT_HIST 256.4 - 345.9</t>
        </is>
      </c>
      <c r="E46" t="inlineStr">
        <is>
          <t>Online</t>
        </is>
      </c>
      <c r="G46" t="n">
        <v>536</v>
      </c>
      <c r="H46" t="n">
        <v>1.519625498920002</v>
      </c>
      <c r="J46" t="n">
        <v>7</v>
      </c>
      <c r="K46">
        <f>'_pockets'!$AI$136</f>
        <v/>
      </c>
      <c r="L46">
        <f>'_pockets'!$AJ$136</f>
        <v/>
      </c>
      <c r="M46">
        <f>IF(AND($A46='Pockets'!$D$18,$B46='Pockets'!$C$18,OR('Pockets'!$E$18="All",AND('Pockets'!$E$18="Worse and material",$K46="Yes",$L46="Yes"),AND('Pockets'!$E$18="Worse or not sure",OR($K46="Yes",$K46="Not sure")))),1,0)</f>
        <v/>
      </c>
      <c r="N46">
        <f>$N45+$M46</f>
        <v/>
      </c>
      <c r="O46" t="inlineStr">
        <is>
          <t>grids</t>
        </is>
      </c>
      <c r="P46" t="inlineStr">
        <is>
          <t>gco_rate</t>
        </is>
      </c>
    </row>
    <row r="47">
      <c r="A47" t="inlineStr">
        <is>
          <t>Two-way</t>
        </is>
      </c>
      <c r="B47" t="inlineStr">
        <is>
          <t>Charge-offs</t>
        </is>
      </c>
      <c r="C47" t="n">
        <v>56</v>
      </c>
      <c r="D47" t="inlineStr">
        <is>
          <t>FICO 654 - 685</t>
        </is>
      </c>
      <c r="E47" t="inlineStr">
        <is>
          <t>Branch</t>
        </is>
      </c>
      <c r="G47" t="n">
        <v>503</v>
      </c>
      <c r="H47" t="n">
        <v>1.537488107510056</v>
      </c>
      <c r="J47" t="n">
        <v>8</v>
      </c>
      <c r="K47">
        <f>'_pockets'!$AI$56</f>
        <v/>
      </c>
      <c r="L47">
        <f>'_pockets'!$AJ$56</f>
        <v/>
      </c>
      <c r="M47">
        <f>IF(AND($A47='Pockets'!$D$18,$B47='Pockets'!$C$18,OR('Pockets'!$E$18="All",AND('Pockets'!$E$18="Worse and material",$K47="Yes",$L47="Yes"),AND('Pockets'!$E$18="Worse or not sure",OR($K47="Yes",$K47="Not sure")))),1,0)</f>
        <v/>
      </c>
      <c r="N47">
        <f>$N46+$M47</f>
        <v/>
      </c>
      <c r="O47" t="inlineStr">
        <is>
          <t>grids</t>
        </is>
      </c>
      <c r="P47" t="inlineStr">
        <is>
          <t>gco_rate</t>
        </is>
      </c>
    </row>
    <row r="48">
      <c r="A48" t="inlineStr">
        <is>
          <t>Two-way</t>
        </is>
      </c>
      <c r="B48" t="inlineStr">
        <is>
          <t>Charge-offs</t>
        </is>
      </c>
      <c r="C48" t="n">
        <v>26</v>
      </c>
      <c r="D48" t="inlineStr">
        <is>
          <t>FICO 746 - 921</t>
        </is>
      </c>
      <c r="E48" t="inlineStr">
        <is>
          <t>Branch</t>
        </is>
      </c>
      <c r="G48" t="n">
        <v>518</v>
      </c>
      <c r="H48" t="n">
        <v>1.529149035433254</v>
      </c>
      <c r="J48" t="n">
        <v>9</v>
      </c>
      <c r="K48">
        <f>'_pockets'!$AI$26</f>
        <v/>
      </c>
      <c r="L48">
        <f>'_pockets'!$AJ$26</f>
        <v/>
      </c>
      <c r="M48">
        <f>IF(AND($A48='Pockets'!$D$18,$B48='Pockets'!$C$18,OR('Pockets'!$E$18="All",AND('Pockets'!$E$18="Worse and material",$K48="Yes",$L48="Yes"),AND('Pockets'!$E$18="Worse or not sure",OR($K48="Yes",$K48="Not sure")))),1,0)</f>
        <v/>
      </c>
      <c r="N48">
        <f>$N47+$M48</f>
        <v/>
      </c>
      <c r="O48" t="inlineStr">
        <is>
          <t>grids</t>
        </is>
      </c>
      <c r="P48" t="inlineStr">
        <is>
          <t>gco_rate</t>
        </is>
      </c>
    </row>
    <row r="49">
      <c r="A49" t="inlineStr">
        <is>
          <t>Two-way</t>
        </is>
      </c>
      <c r="B49" t="inlineStr">
        <is>
          <t>Charge-offs</t>
        </is>
      </c>
      <c r="C49" t="n">
        <v>141</v>
      </c>
      <c r="D49" t="inlineStr">
        <is>
          <t>SHORT_HIST 0.0 - 88.9</t>
        </is>
      </c>
      <c r="E49" t="inlineStr">
        <is>
          <t>Broker</t>
        </is>
      </c>
      <c r="G49" t="n">
        <v>508</v>
      </c>
      <c r="H49" t="n">
        <v>1.534665811909525</v>
      </c>
      <c r="J49" t="n">
        <v>10</v>
      </c>
      <c r="K49">
        <f>'_pockets'!$AI$141</f>
        <v/>
      </c>
      <c r="L49">
        <f>'_pockets'!$AJ$141</f>
        <v/>
      </c>
      <c r="M49">
        <f>IF(AND($A49='Pockets'!$D$18,$B49='Pockets'!$C$18,OR('Pockets'!$E$18="All",AND('Pockets'!$E$18="Worse and material",$K49="Yes",$L49="Yes"),AND('Pockets'!$E$18="Worse or not sure",OR($K49="Yes",$K49="Not sure")))),1,0)</f>
        <v/>
      </c>
      <c r="N49">
        <f>$N48+$M49</f>
        <v/>
      </c>
      <c r="O49" t="inlineStr">
        <is>
          <t>grids</t>
        </is>
      </c>
      <c r="P49" t="inlineStr">
        <is>
          <t>gco_rate</t>
        </is>
      </c>
    </row>
    <row r="50">
      <c r="A50" t="inlineStr">
        <is>
          <t>Two-way</t>
        </is>
      </c>
      <c r="B50" t="inlineStr">
        <is>
          <t>Charge-offs</t>
        </is>
      </c>
      <c r="C50" t="n">
        <v>96</v>
      </c>
      <c r="D50" t="inlineStr">
        <is>
          <t>FICO (marked missing)</t>
        </is>
      </c>
      <c r="E50" t="inlineStr">
        <is>
          <t>Broker</t>
        </is>
      </c>
      <c r="G50" t="n">
        <v>54</v>
      </c>
      <c r="H50" t="n">
        <v>2.845904937669949</v>
      </c>
      <c r="J50" t="n">
        <v>11</v>
      </c>
      <c r="K50">
        <f>'_pockets'!$AI$96</f>
        <v/>
      </c>
      <c r="L50">
        <f>'_pockets'!$AJ$96</f>
        <v/>
      </c>
      <c r="M50">
        <f>IF(AND($A50='Pockets'!$D$18,$B50='Pockets'!$C$18,OR('Pockets'!$E$18="All",AND('Pockets'!$E$18="Worse and material",$K50="Yes",$L50="Yes"),AND('Pockets'!$E$18="Worse or not sure",OR($K50="Yes",$K50="Not sure")))),1,0)</f>
        <v/>
      </c>
      <c r="N50">
        <f>$N49+$M50</f>
        <v/>
      </c>
      <c r="O50" t="inlineStr">
        <is>
          <t>grids</t>
        </is>
      </c>
      <c r="P50" t="inlineStr">
        <is>
          <t>gco_rate</t>
        </is>
      </c>
    </row>
    <row r="51">
      <c r="A51" t="inlineStr">
        <is>
          <t>Two-way</t>
        </is>
      </c>
      <c r="B51" t="inlineStr">
        <is>
          <t>Charge-offs</t>
        </is>
      </c>
      <c r="C51" t="n">
        <v>186</v>
      </c>
      <c r="D51" t="inlineStr">
        <is>
          <t>SHORT_HIST (marked missing)</t>
        </is>
      </c>
      <c r="E51" t="inlineStr">
        <is>
          <t>Branch</t>
        </is>
      </c>
      <c r="G51" t="n">
        <v>72</v>
      </c>
      <c r="H51" t="n">
        <v>2.564539646285009</v>
      </c>
      <c r="J51" t="n">
        <v>12</v>
      </c>
      <c r="K51">
        <f>'_pockets'!$AI$186</f>
        <v/>
      </c>
      <c r="L51">
        <f>'_pockets'!$AJ$186</f>
        <v/>
      </c>
      <c r="M51">
        <f>IF(AND($A51='Pockets'!$D$18,$B51='Pockets'!$C$18,OR('Pockets'!$E$18="All",AND('Pockets'!$E$18="Worse and material",$K51="Yes",$L51="Yes"),AND('Pockets'!$E$18="Worse or not sure",OR($K51="Yes",$K51="Not sure")))),1,0)</f>
        <v/>
      </c>
      <c r="N51">
        <f>$N50+$M51</f>
        <v/>
      </c>
      <c r="O51" t="inlineStr">
        <is>
          <t>grids</t>
        </is>
      </c>
      <c r="P51" t="inlineStr">
        <is>
          <t>gco_rate</t>
        </is>
      </c>
    </row>
    <row r="52">
      <c r="A52" t="inlineStr">
        <is>
          <t>Two-way</t>
        </is>
      </c>
      <c r="B52" t="inlineStr">
        <is>
          <t>Charge-offs</t>
        </is>
      </c>
      <c r="C52" t="n">
        <v>81</v>
      </c>
      <c r="D52" t="inlineStr">
        <is>
          <t>FICO 496 - 653</t>
        </is>
      </c>
      <c r="E52" t="inlineStr">
        <is>
          <t>Online</t>
        </is>
      </c>
      <c r="G52" t="n">
        <v>531</v>
      </c>
      <c r="H52" t="n">
        <v>1.522220431423272</v>
      </c>
      <c r="J52" t="n">
        <v>13</v>
      </c>
      <c r="K52">
        <f>'_pockets'!$AI$81</f>
        <v/>
      </c>
      <c r="L52">
        <f>'_pockets'!$AJ$81</f>
        <v/>
      </c>
      <c r="M52">
        <f>IF(AND($A52='Pockets'!$D$18,$B52='Pockets'!$C$18,OR('Pockets'!$E$18="All",AND('Pockets'!$E$18="Worse and material",$K52="Yes",$L52="Yes"),AND('Pockets'!$E$18="Worse or not sure",OR($K52="Yes",$K52="Not sure")))),1,0)</f>
        <v/>
      </c>
      <c r="N52">
        <f>$N51+$M52</f>
        <v/>
      </c>
      <c r="O52" t="inlineStr">
        <is>
          <t>grids</t>
        </is>
      </c>
      <c r="P52" t="inlineStr">
        <is>
          <t>gco_rate</t>
        </is>
      </c>
    </row>
    <row r="53">
      <c r="A53" t="inlineStr">
        <is>
          <t>Two-way</t>
        </is>
      </c>
      <c r="B53" t="inlineStr">
        <is>
          <t>Charge-offs</t>
        </is>
      </c>
      <c r="C53" t="n">
        <v>21</v>
      </c>
      <c r="D53" t="inlineStr">
        <is>
          <t>FICO 496 - 653</t>
        </is>
      </c>
      <c r="E53" t="inlineStr">
        <is>
          <t>Branch</t>
        </is>
      </c>
      <c r="G53" t="n">
        <v>502</v>
      </c>
      <c r="H53" t="n">
        <v>1.5380578187653</v>
      </c>
      <c r="J53" t="n">
        <v>14</v>
      </c>
      <c r="K53">
        <f>'_pockets'!$AI$21</f>
        <v/>
      </c>
      <c r="L53">
        <f>'_pockets'!$AJ$21</f>
        <v/>
      </c>
      <c r="M53">
        <f>IF(AND($A53='Pockets'!$D$18,$B53='Pockets'!$C$18,OR('Pockets'!$E$18="All",AND('Pockets'!$E$18="Worse and material",$K53="Yes",$L53="Yes"),AND('Pockets'!$E$18="Worse or not sure",OR($K53="Yes",$K53="Not sure")))),1,0)</f>
        <v/>
      </c>
      <c r="N53">
        <f>$N52+$M53</f>
        <v/>
      </c>
      <c r="O53" t="inlineStr">
        <is>
          <t>grids</t>
        </is>
      </c>
      <c r="P53" t="inlineStr">
        <is>
          <t>gco_rate</t>
        </is>
      </c>
    </row>
    <row r="54">
      <c r="A54" t="inlineStr">
        <is>
          <t>Two-way</t>
        </is>
      </c>
      <c r="B54" t="inlineStr">
        <is>
          <t>Charge-offs</t>
        </is>
      </c>
      <c r="C54" t="n">
        <v>131</v>
      </c>
      <c r="D54" t="inlineStr">
        <is>
          <t>SHORT_HIST 256.4 - 345.9</t>
        </is>
      </c>
      <c r="E54" t="inlineStr">
        <is>
          <t>Broker</t>
        </is>
      </c>
      <c r="G54" t="n">
        <v>513</v>
      </c>
      <c r="H54" t="n">
        <v>1.531886477631144</v>
      </c>
      <c r="J54" t="n">
        <v>15</v>
      </c>
      <c r="K54">
        <f>'_pockets'!$AI$131</f>
        <v/>
      </c>
      <c r="L54">
        <f>'_pockets'!$AJ$131</f>
        <v/>
      </c>
      <c r="M54">
        <f>IF(AND($A54='Pockets'!$D$18,$B54='Pockets'!$C$18,OR('Pockets'!$E$18="All",AND('Pockets'!$E$18="Worse and material",$K54="Yes",$L54="Yes"),AND('Pockets'!$E$18="Worse or not sure",OR($K54="Yes",$K54="Not sure")))),1,0)</f>
        <v/>
      </c>
      <c r="N54">
        <f>$N53+$M54</f>
        <v/>
      </c>
      <c r="O54" t="inlineStr">
        <is>
          <t>grids</t>
        </is>
      </c>
      <c r="P54" t="inlineStr">
        <is>
          <t>gco_rate</t>
        </is>
      </c>
    </row>
    <row r="55">
      <c r="A55" t="inlineStr">
        <is>
          <t>Two-way</t>
        </is>
      </c>
      <c r="B55" t="inlineStr">
        <is>
          <t>Charge-offs</t>
        </is>
      </c>
      <c r="C55" t="n">
        <v>71</v>
      </c>
      <c r="D55" t="inlineStr">
        <is>
          <t>FICO 654 - 685</t>
        </is>
      </c>
      <c r="E55" t="inlineStr">
        <is>
          <t>Online</t>
        </is>
      </c>
      <c r="G55" t="n">
        <v>505</v>
      </c>
      <c r="H55" t="n">
        <v>1.536353963902831</v>
      </c>
      <c r="J55" t="n">
        <v>16</v>
      </c>
      <c r="K55">
        <f>'_pockets'!$AI$71</f>
        <v/>
      </c>
      <c r="L55">
        <f>'_pockets'!$AJ$71</f>
        <v/>
      </c>
      <c r="M55">
        <f>IF(AND($A55='Pockets'!$D$18,$B55='Pockets'!$C$18,OR('Pockets'!$E$18="All",AND('Pockets'!$E$18="Worse and material",$K55="Yes",$L55="Yes"),AND('Pockets'!$E$18="Worse or not sure",OR($K55="Yes",$K55="Not sure")))),1,0)</f>
        <v/>
      </c>
      <c r="N55">
        <f>$N54+$M55</f>
        <v/>
      </c>
      <c r="O55" t="inlineStr">
        <is>
          <t>grids</t>
        </is>
      </c>
      <c r="P55" t="inlineStr">
        <is>
          <t>gco_rate</t>
        </is>
      </c>
    </row>
    <row r="56">
      <c r="A56" t="inlineStr">
        <is>
          <t>Two-way</t>
        </is>
      </c>
      <c r="B56" t="inlineStr">
        <is>
          <t>Charge-offs</t>
        </is>
      </c>
      <c r="C56" t="n">
        <v>76</v>
      </c>
      <c r="D56" t="inlineStr">
        <is>
          <t>FICO 654 - 685</t>
        </is>
      </c>
      <c r="E56" t="inlineStr">
        <is>
          <t>Broker</t>
        </is>
      </c>
      <c r="G56" t="n">
        <v>531</v>
      </c>
      <c r="H56" t="n">
        <v>1.522220431423272</v>
      </c>
      <c r="J56" t="n">
        <v>17</v>
      </c>
      <c r="K56">
        <f>'_pockets'!$AI$76</f>
        <v/>
      </c>
      <c r="L56">
        <f>'_pockets'!$AJ$76</f>
        <v/>
      </c>
      <c r="M56">
        <f>IF(AND($A56='Pockets'!$D$18,$B56='Pockets'!$C$18,OR('Pockets'!$E$18="All",AND('Pockets'!$E$18="Worse and material",$K56="Yes",$L56="Yes"),AND('Pockets'!$E$18="Worse or not sure",OR($K56="Yes",$K56="Not sure")))),1,0)</f>
        <v/>
      </c>
      <c r="N56">
        <f>$N55+$M56</f>
        <v/>
      </c>
      <c r="O56" t="inlineStr">
        <is>
          <t>grids</t>
        </is>
      </c>
      <c r="P56" t="inlineStr">
        <is>
          <t>gco_rate</t>
        </is>
      </c>
    </row>
    <row r="57">
      <c r="A57" t="inlineStr">
        <is>
          <t>Two-way</t>
        </is>
      </c>
      <c r="B57" t="inlineStr">
        <is>
          <t>Charge-offs</t>
        </is>
      </c>
      <c r="C57" t="n">
        <v>146</v>
      </c>
      <c r="D57" t="inlineStr">
        <is>
          <t>SHORT_HIST 0.0 - 88.9</t>
        </is>
      </c>
      <c r="E57" t="inlineStr">
        <is>
          <t>Online</t>
        </is>
      </c>
      <c r="G57" t="n">
        <v>528</v>
      </c>
      <c r="H57" t="n">
        <v>1.523795732241543</v>
      </c>
      <c r="J57" t="n">
        <v>18</v>
      </c>
      <c r="K57">
        <f>'_pockets'!$AI$146</f>
        <v/>
      </c>
      <c r="L57">
        <f>'_pockets'!$AJ$146</f>
        <v/>
      </c>
      <c r="M57">
        <f>IF(AND($A57='Pockets'!$D$18,$B57='Pockets'!$C$18,OR('Pockets'!$E$18="All",AND('Pockets'!$E$18="Worse and material",$K57="Yes",$L57="Yes"),AND('Pockets'!$E$18="Worse or not sure",OR($K57="Yes",$K57="Not sure")))),1,0)</f>
        <v/>
      </c>
      <c r="N57">
        <f>$N56+$M57</f>
        <v/>
      </c>
      <c r="O57" t="inlineStr">
        <is>
          <t>grids</t>
        </is>
      </c>
      <c r="P57" t="inlineStr">
        <is>
          <t>gco_rate</t>
        </is>
      </c>
    </row>
    <row r="58">
      <c r="A58" t="inlineStr">
        <is>
          <t>Two-way</t>
        </is>
      </c>
      <c r="B58" t="inlineStr">
        <is>
          <t>Kept after losses</t>
        </is>
      </c>
      <c r="C58" t="n">
        <v>32</v>
      </c>
      <c r="D58" t="inlineStr">
        <is>
          <t>FICO 496 - 653</t>
        </is>
      </c>
      <c r="E58" t="inlineStr">
        <is>
          <t>Broker</t>
        </is>
      </c>
      <c r="G58" t="n">
        <v>523</v>
      </c>
      <c r="H58" t="n">
        <v>-2.57623637023422</v>
      </c>
      <c r="J58" t="n">
        <v>1</v>
      </c>
      <c r="K58">
        <f>'_pockets'!$AI$32</f>
        <v/>
      </c>
      <c r="L58">
        <f>'_pockets'!$AJ$32</f>
        <v/>
      </c>
      <c r="M58">
        <f>IF(AND($A58='Pockets'!$D$18,$B58='Pockets'!$C$18,OR('Pockets'!$E$18="All",AND('Pockets'!$E$18="Worse and material",$K58="Yes",$L58="Yes"),AND('Pockets'!$E$18="Worse or not sure",OR($K58="Yes",$K58="Not sure")))),1,0)</f>
        <v/>
      </c>
      <c r="N58">
        <f>$N57+$M58</f>
        <v/>
      </c>
      <c r="O58" t="inlineStr">
        <is>
          <t>grids</t>
        </is>
      </c>
      <c r="P58" t="inlineStr">
        <is>
          <t>ranr_rate</t>
        </is>
      </c>
    </row>
    <row r="59">
      <c r="A59" t="inlineStr">
        <is>
          <t>Two-way</t>
        </is>
      </c>
      <c r="B59" t="inlineStr">
        <is>
          <t>Kept after losses</t>
        </is>
      </c>
      <c r="C59" t="n">
        <v>152</v>
      </c>
      <c r="D59" t="inlineStr">
        <is>
          <t>SHORT_HIST 346.0 - 435.0</t>
        </is>
      </c>
      <c r="E59" t="inlineStr">
        <is>
          <t>Broker</t>
        </is>
      </c>
      <c r="G59" t="n">
        <v>504</v>
      </c>
      <c r="H59" t="n">
        <v>-2.621018649369142</v>
      </c>
      <c r="J59" t="n">
        <v>2</v>
      </c>
      <c r="K59">
        <f>'_pockets'!$AI$152</f>
        <v/>
      </c>
      <c r="L59">
        <f>'_pockets'!$AJ$152</f>
        <v/>
      </c>
      <c r="M59">
        <f>IF(AND($A59='Pockets'!$D$18,$B59='Pockets'!$C$18,OR('Pockets'!$E$18="All",AND('Pockets'!$E$18="Worse and material",$K59="Yes",$L59="Yes"),AND('Pockets'!$E$18="Worse or not sure",OR($K59="Yes",$K59="Not sure")))),1,0)</f>
        <v/>
      </c>
      <c r="N59">
        <f>$N58+$M59</f>
        <v/>
      </c>
      <c r="O59" t="inlineStr">
        <is>
          <t>grids</t>
        </is>
      </c>
      <c r="P59" t="inlineStr">
        <is>
          <t>ranr_rate</t>
        </is>
      </c>
    </row>
    <row r="60">
      <c r="A60" t="inlineStr">
        <is>
          <t>Two-way</t>
        </is>
      </c>
      <c r="B60" t="inlineStr">
        <is>
          <t>Kept after losses</t>
        </is>
      </c>
      <c r="C60" t="n">
        <v>127</v>
      </c>
      <c r="D60" t="inlineStr">
        <is>
          <t>SHORT_HIST 172.0 - 256.3</t>
        </is>
      </c>
      <c r="E60" t="inlineStr">
        <is>
          <t>Broker</t>
        </is>
      </c>
      <c r="G60" t="n">
        <v>541</v>
      </c>
      <c r="H60" t="n">
        <v>-2.536070812743882</v>
      </c>
      <c r="J60" t="n">
        <v>3</v>
      </c>
      <c r="K60">
        <f>'_pockets'!$AI$127</f>
        <v/>
      </c>
      <c r="L60">
        <f>'_pockets'!$AJ$127</f>
        <v/>
      </c>
      <c r="M60">
        <f>IF(AND($A60='Pockets'!$D$18,$B60='Pockets'!$C$18,OR('Pockets'!$E$18="All",AND('Pockets'!$E$18="Worse and material",$K60="Yes",$L60="Yes"),AND('Pockets'!$E$18="Worse or not sure",OR($K60="Yes",$K60="Not sure")))),1,0)</f>
        <v/>
      </c>
      <c r="N60">
        <f>$N59+$M60</f>
        <v/>
      </c>
      <c r="O60" t="inlineStr">
        <is>
          <t>grids</t>
        </is>
      </c>
      <c r="P60" t="inlineStr">
        <is>
          <t>ranr_rate</t>
        </is>
      </c>
    </row>
    <row r="61">
      <c r="A61" t="inlineStr">
        <is>
          <t>Two-way</t>
        </is>
      </c>
      <c r="B61" t="inlineStr">
        <is>
          <t>Kept after losses</t>
        </is>
      </c>
      <c r="C61" t="n">
        <v>37</v>
      </c>
      <c r="D61" t="inlineStr">
        <is>
          <t>FICO 686 - 711</t>
        </is>
      </c>
      <c r="E61" t="inlineStr">
        <is>
          <t>Broker</t>
        </is>
      </c>
      <c r="G61" t="n">
        <v>501</v>
      </c>
      <c r="H61" t="n">
        <v>-2.628328334371023</v>
      </c>
      <c r="J61" t="n">
        <v>4</v>
      </c>
      <c r="K61">
        <f>'_pockets'!$AI$37</f>
        <v/>
      </c>
      <c r="L61">
        <f>'_pockets'!$AJ$37</f>
        <v/>
      </c>
      <c r="M61">
        <f>IF(AND($A61='Pockets'!$D$18,$B61='Pockets'!$C$18,OR('Pockets'!$E$18="All",AND('Pockets'!$E$18="Worse and material",$K61="Yes",$L61="Yes"),AND('Pockets'!$E$18="Worse or not sure",OR($K61="Yes",$K61="Not sure")))),1,0)</f>
        <v/>
      </c>
      <c r="N61">
        <f>$N60+$M61</f>
        <v/>
      </c>
      <c r="O61" t="inlineStr">
        <is>
          <t>grids</t>
        </is>
      </c>
      <c r="P61" t="inlineStr">
        <is>
          <t>ranr_rate</t>
        </is>
      </c>
    </row>
    <row r="62">
      <c r="A62" t="inlineStr">
        <is>
          <t>Two-way</t>
        </is>
      </c>
      <c r="B62" t="inlineStr">
        <is>
          <t>Kept after losses</t>
        </is>
      </c>
      <c r="C62" t="n">
        <v>107</v>
      </c>
      <c r="D62" t="inlineStr">
        <is>
          <t>SHORT_HIST 89.0 - 171.9</t>
        </is>
      </c>
      <c r="E62" t="inlineStr">
        <is>
          <t>Broker</t>
        </is>
      </c>
      <c r="G62" t="n">
        <v>522</v>
      </c>
      <c r="H62" t="n">
        <v>-2.578530400781553</v>
      </c>
      <c r="J62" t="n">
        <v>5</v>
      </c>
      <c r="K62">
        <f>'_pockets'!$AI$107</f>
        <v/>
      </c>
      <c r="L62">
        <f>'_pockets'!$AJ$107</f>
        <v/>
      </c>
      <c r="M62">
        <f>IF(AND($A62='Pockets'!$D$18,$B62='Pockets'!$C$18,OR('Pockets'!$E$18="All",AND('Pockets'!$E$18="Worse and material",$K62="Yes",$L62="Yes"),AND('Pockets'!$E$18="Worse or not sure",OR($K62="Yes",$K62="Not sure")))),1,0)</f>
        <v/>
      </c>
      <c r="N62">
        <f>$N61+$M62</f>
        <v/>
      </c>
      <c r="O62" t="inlineStr">
        <is>
          <t>grids</t>
        </is>
      </c>
      <c r="P62" t="inlineStr">
        <is>
          <t>ranr_rate</t>
        </is>
      </c>
    </row>
    <row r="63">
      <c r="A63" t="inlineStr">
        <is>
          <t>Two-way</t>
        </is>
      </c>
      <c r="B63" t="inlineStr">
        <is>
          <t>Kept after losses</t>
        </is>
      </c>
      <c r="C63" t="n">
        <v>57</v>
      </c>
      <c r="D63" t="inlineStr">
        <is>
          <t>FICO 654 - 685</t>
        </is>
      </c>
      <c r="E63" t="inlineStr">
        <is>
          <t>Branch</t>
        </is>
      </c>
      <c r="G63" t="n">
        <v>503</v>
      </c>
      <c r="H63" t="n">
        <v>-2.62344773470867</v>
      </c>
      <c r="J63" t="n">
        <v>6</v>
      </c>
      <c r="K63">
        <f>'_pockets'!$AI$57</f>
        <v/>
      </c>
      <c r="L63">
        <f>'_pockets'!$AJ$57</f>
        <v/>
      </c>
      <c r="M63">
        <f>IF(AND($A63='Pockets'!$D$18,$B63='Pockets'!$C$18,OR('Pockets'!$E$18="All",AND('Pockets'!$E$18="Worse and material",$K63="Yes",$L63="Yes"),AND('Pockets'!$E$18="Worse or not sure",OR($K63="Yes",$K63="Not sure")))),1,0)</f>
        <v/>
      </c>
      <c r="N63">
        <f>$N62+$M63</f>
        <v/>
      </c>
      <c r="O63" t="inlineStr">
        <is>
          <t>grids</t>
        </is>
      </c>
      <c r="P63" t="inlineStr">
        <is>
          <t>ranr_rate</t>
        </is>
      </c>
    </row>
    <row r="64">
      <c r="A64" t="inlineStr">
        <is>
          <t>Two-way</t>
        </is>
      </c>
      <c r="B64" t="inlineStr">
        <is>
          <t>Kept after losses</t>
        </is>
      </c>
      <c r="C64" t="n">
        <v>87</v>
      </c>
      <c r="D64" t="inlineStr">
        <is>
          <t>FICO 686 - 711</t>
        </is>
      </c>
      <c r="E64" t="inlineStr">
        <is>
          <t>Branch</t>
        </is>
      </c>
      <c r="G64" t="n">
        <v>515</v>
      </c>
      <c r="H64" t="n">
        <v>-2.59478090908457</v>
      </c>
      <c r="J64" t="n">
        <v>7</v>
      </c>
      <c r="K64">
        <f>'_pockets'!$AI$87</f>
        <v/>
      </c>
      <c r="L64">
        <f>'_pockets'!$AJ$87</f>
        <v/>
      </c>
      <c r="M64">
        <f>IF(AND($A64='Pockets'!$D$18,$B64='Pockets'!$C$18,OR('Pockets'!$E$18="All",AND('Pockets'!$E$18="Worse and material",$K64="Yes",$L64="Yes"),AND('Pockets'!$E$18="Worse or not sure",OR($K64="Yes",$K64="Not sure")))),1,0)</f>
        <v/>
      </c>
      <c r="N64">
        <f>$N63+$M64</f>
        <v/>
      </c>
      <c r="O64" t="inlineStr">
        <is>
          <t>grids</t>
        </is>
      </c>
      <c r="P64" t="inlineStr">
        <is>
          <t>ranr_rate</t>
        </is>
      </c>
    </row>
    <row r="65">
      <c r="A65" t="inlineStr">
        <is>
          <t>Two-way</t>
        </is>
      </c>
      <c r="B65" t="inlineStr">
        <is>
          <t>Kept after losses</t>
        </is>
      </c>
      <c r="C65" t="n">
        <v>132</v>
      </c>
      <c r="D65" t="inlineStr">
        <is>
          <t>SHORT_HIST 256.4 - 345.9</t>
        </is>
      </c>
      <c r="E65" t="inlineStr">
        <is>
          <t>Broker</t>
        </is>
      </c>
      <c r="G65" t="n">
        <v>513</v>
      </c>
      <c r="H65" t="n">
        <v>-2.599486725231767</v>
      </c>
      <c r="J65" t="n">
        <v>8</v>
      </c>
      <c r="K65">
        <f>'_pockets'!$AI$132</f>
        <v/>
      </c>
      <c r="L65">
        <f>'_pockets'!$AJ$132</f>
        <v/>
      </c>
      <c r="M65">
        <f>IF(AND($A65='Pockets'!$D$18,$B65='Pockets'!$C$18,OR('Pockets'!$E$18="All",AND('Pockets'!$E$18="Worse and material",$K65="Yes",$L65="Yes"),AND('Pockets'!$E$18="Worse or not sure",OR($K65="Yes",$K65="Not sure")))),1,0)</f>
        <v/>
      </c>
      <c r="N65">
        <f>$N64+$M65</f>
        <v/>
      </c>
      <c r="O65" t="inlineStr">
        <is>
          <t>grids</t>
        </is>
      </c>
      <c r="P65" t="inlineStr">
        <is>
          <t>ranr_rate</t>
        </is>
      </c>
    </row>
    <row r="66">
      <c r="A66" t="inlineStr">
        <is>
          <t>Two-way</t>
        </is>
      </c>
      <c r="B66" t="inlineStr">
        <is>
          <t>Kept after losses</t>
        </is>
      </c>
      <c r="C66" t="n">
        <v>17</v>
      </c>
      <c r="D66" t="inlineStr">
        <is>
          <t>FICO 712 - 745</t>
        </is>
      </c>
      <c r="E66" t="inlineStr">
        <is>
          <t>Branch</t>
        </is>
      </c>
      <c r="G66" t="n">
        <v>537</v>
      </c>
      <c r="H66" t="n">
        <v>-2.544816269941326</v>
      </c>
      <c r="J66" t="n">
        <v>9</v>
      </c>
      <c r="K66">
        <f>'_pockets'!$AI$17</f>
        <v/>
      </c>
      <c r="L66">
        <f>'_pockets'!$AJ$17</f>
        <v/>
      </c>
      <c r="M66">
        <f>IF(AND($A66='Pockets'!$D$18,$B66='Pockets'!$C$18,OR('Pockets'!$E$18="All",AND('Pockets'!$E$18="Worse and material",$K66="Yes",$L66="Yes"),AND('Pockets'!$E$18="Worse or not sure",OR($K66="Yes",$K66="Not sure")))),1,0)</f>
        <v/>
      </c>
      <c r="N66">
        <f>$N65+$M66</f>
        <v/>
      </c>
      <c r="O66" t="inlineStr">
        <is>
          <t>grids</t>
        </is>
      </c>
      <c r="P66" t="inlineStr">
        <is>
          <t>ranr_rate</t>
        </is>
      </c>
    </row>
    <row r="67">
      <c r="A67" t="inlineStr">
        <is>
          <t>Two-way</t>
        </is>
      </c>
      <c r="B67" t="inlineStr">
        <is>
          <t>Kept after losses</t>
        </is>
      </c>
      <c r="C67" t="n">
        <v>142</v>
      </c>
      <c r="D67" t="inlineStr">
        <is>
          <t>SHORT_HIST 0.0 - 88.9</t>
        </is>
      </c>
      <c r="E67" t="inlineStr">
        <is>
          <t>Broker</t>
        </is>
      </c>
      <c r="G67" t="n">
        <v>508</v>
      </c>
      <c r="H67" t="n">
        <v>-2.611376209546791</v>
      </c>
      <c r="J67" t="n">
        <v>10</v>
      </c>
      <c r="K67">
        <f>'_pockets'!$AI$142</f>
        <v/>
      </c>
      <c r="L67">
        <f>'_pockets'!$AJ$142</f>
        <v/>
      </c>
      <c r="M67">
        <f>IF(AND($A67='Pockets'!$D$18,$B67='Pockets'!$C$18,OR('Pockets'!$E$18="All",AND('Pockets'!$E$18="Worse and material",$K67="Yes",$L67="Yes"),AND('Pockets'!$E$18="Worse or not sure",OR($K67="Yes",$K67="Not sure")))),1,0)</f>
        <v/>
      </c>
      <c r="N67">
        <f>$N66+$M67</f>
        <v/>
      </c>
      <c r="O67" t="inlineStr">
        <is>
          <t>grids</t>
        </is>
      </c>
      <c r="P67" t="inlineStr">
        <is>
          <t>ranr_rate</t>
        </is>
      </c>
    </row>
    <row r="68">
      <c r="A68" t="inlineStr">
        <is>
          <t>Two-way</t>
        </is>
      </c>
      <c r="B68" t="inlineStr">
        <is>
          <t>Kept after losses</t>
        </is>
      </c>
      <c r="C68" t="n">
        <v>117</v>
      </c>
      <c r="D68" t="inlineStr">
        <is>
          <t>SHORT_HIST 0.0 - 88.9</t>
        </is>
      </c>
      <c r="E68" t="inlineStr">
        <is>
          <t>Branch</t>
        </is>
      </c>
      <c r="G68" t="n">
        <v>509</v>
      </c>
      <c r="H68" t="n">
        <v>-2.608983892862613</v>
      </c>
      <c r="J68" t="n">
        <v>11</v>
      </c>
      <c r="K68">
        <f>'_pockets'!$AI$117</f>
        <v/>
      </c>
      <c r="L68">
        <f>'_pockets'!$AJ$117</f>
        <v/>
      </c>
      <c r="M68">
        <f>IF(AND($A68='Pockets'!$D$18,$B68='Pockets'!$C$18,OR('Pockets'!$E$18="All",AND('Pockets'!$E$18="Worse and material",$K68="Yes",$L68="Yes"),AND('Pockets'!$E$18="Worse or not sure",OR($K68="Yes",$K68="Not sure")))),1,0)</f>
        <v/>
      </c>
      <c r="N68">
        <f>$N67+$M68</f>
        <v/>
      </c>
      <c r="O68" t="inlineStr">
        <is>
          <t>grids</t>
        </is>
      </c>
      <c r="P68" t="inlineStr">
        <is>
          <t>ranr_rate</t>
        </is>
      </c>
    </row>
    <row r="69">
      <c r="A69" t="inlineStr">
        <is>
          <t>Two-way</t>
        </is>
      </c>
      <c r="B69" t="inlineStr">
        <is>
          <t>Kept after losses</t>
        </is>
      </c>
      <c r="C69" t="n">
        <v>162</v>
      </c>
      <c r="D69" t="inlineStr">
        <is>
          <t>SHORT_HIST 89.0 - 171.9</t>
        </is>
      </c>
      <c r="E69" t="inlineStr">
        <is>
          <t>Branch</t>
        </is>
      </c>
      <c r="G69" t="n">
        <v>490</v>
      </c>
      <c r="H69" t="n">
        <v>-2.655718908530015</v>
      </c>
      <c r="J69" t="n">
        <v>12</v>
      </c>
      <c r="K69">
        <f>'_pockets'!$AI$162</f>
        <v/>
      </c>
      <c r="L69">
        <f>'_pockets'!$AJ$162</f>
        <v/>
      </c>
      <c r="M69">
        <f>IF(AND($A69='Pockets'!$D$18,$B69='Pockets'!$C$18,OR('Pockets'!$E$18="All",AND('Pockets'!$E$18="Worse and material",$K69="Yes",$L69="Yes"),AND('Pockets'!$E$18="Worse or not sure",OR($K69="Yes",$K69="Not sure")))),1,0)</f>
        <v/>
      </c>
      <c r="N69">
        <f>$N68+$M69</f>
        <v/>
      </c>
      <c r="O69" t="inlineStr">
        <is>
          <t>grids</t>
        </is>
      </c>
      <c r="P69" t="inlineStr">
        <is>
          <t>ranr_rate</t>
        </is>
      </c>
    </row>
    <row r="70">
      <c r="A70" t="inlineStr">
        <is>
          <t>Two-way</t>
        </is>
      </c>
      <c r="B70" t="inlineStr">
        <is>
          <t>Kept after losses</t>
        </is>
      </c>
      <c r="C70" t="n">
        <v>77</v>
      </c>
      <c r="D70" t="inlineStr">
        <is>
          <t>FICO 654 - 685</t>
        </is>
      </c>
      <c r="E70" t="inlineStr">
        <is>
          <t>Broker</t>
        </is>
      </c>
      <c r="G70" t="n">
        <v>531</v>
      </c>
      <c r="H70" t="n">
        <v>-2.558125122195801</v>
      </c>
      <c r="J70" t="n">
        <v>13</v>
      </c>
      <c r="K70">
        <f>'_pockets'!$AI$77</f>
        <v/>
      </c>
      <c r="L70">
        <f>'_pockets'!$AJ$77</f>
        <v/>
      </c>
      <c r="M70">
        <f>IF(AND($A70='Pockets'!$D$18,$B70='Pockets'!$C$18,OR('Pockets'!$E$18="All",AND('Pockets'!$E$18="Worse and material",$K70="Yes",$L70="Yes"),AND('Pockets'!$E$18="Worse or not sure",OR($K70="Yes",$K70="Not sure")))),1,0)</f>
        <v/>
      </c>
      <c r="N70">
        <f>$N69+$M70</f>
        <v/>
      </c>
      <c r="O70" t="inlineStr">
        <is>
          <t>grids</t>
        </is>
      </c>
      <c r="P70" t="inlineStr">
        <is>
          <t>ranr_rate</t>
        </is>
      </c>
    </row>
    <row r="71">
      <c r="A71" t="inlineStr">
        <is>
          <t>Two-way</t>
        </is>
      </c>
      <c r="B71" t="inlineStr">
        <is>
          <t>Kept after losses</t>
        </is>
      </c>
      <c r="C71" t="n">
        <v>62</v>
      </c>
      <c r="D71" t="inlineStr">
        <is>
          <t>FICO 712 - 745</t>
        </is>
      </c>
      <c r="E71" t="inlineStr">
        <is>
          <t>Broker</t>
        </is>
      </c>
      <c r="G71" t="n">
        <v>509</v>
      </c>
      <c r="H71" t="n">
        <v>-2.608983892862613</v>
      </c>
      <c r="J71" t="n">
        <v>14</v>
      </c>
      <c r="K71">
        <f>'_pockets'!$AI$62</f>
        <v/>
      </c>
      <c r="L71">
        <f>'_pockets'!$AJ$62</f>
        <v/>
      </c>
      <c r="M71">
        <f>IF(AND($A71='Pockets'!$D$18,$B71='Pockets'!$C$18,OR('Pockets'!$E$18="All",AND('Pockets'!$E$18="Worse and material",$K71="Yes",$L71="Yes"),AND('Pockets'!$E$18="Worse or not sure",OR($K71="Yes",$K71="Not sure")))),1,0)</f>
        <v/>
      </c>
      <c r="N71">
        <f>$N70+$M71</f>
        <v/>
      </c>
      <c r="O71" t="inlineStr">
        <is>
          <t>grids</t>
        </is>
      </c>
      <c r="P71" t="inlineStr">
        <is>
          <t>ranr_rate</t>
        </is>
      </c>
    </row>
    <row r="72">
      <c r="A72" t="inlineStr">
        <is>
          <t>Two-way</t>
        </is>
      </c>
      <c r="B72" t="inlineStr">
        <is>
          <t>Kept after losses</t>
        </is>
      </c>
      <c r="C72" t="n">
        <v>122</v>
      </c>
      <c r="D72" t="inlineStr">
        <is>
          <t>SHORT_HIST 172.0 - 256.3</t>
        </is>
      </c>
      <c r="E72" t="inlineStr">
        <is>
          <t>Branch</t>
        </is>
      </c>
      <c r="G72" t="n">
        <v>520</v>
      </c>
      <c r="H72" t="n">
        <v>-2.583138899359265</v>
      </c>
      <c r="J72" t="n">
        <v>15</v>
      </c>
      <c r="K72">
        <f>'_pockets'!$AI$122</f>
        <v/>
      </c>
      <c r="L72">
        <f>'_pockets'!$AJ$122</f>
        <v/>
      </c>
      <c r="M72">
        <f>IF(AND($A72='Pockets'!$D$18,$B72='Pockets'!$C$18,OR('Pockets'!$E$18="All",AND('Pockets'!$E$18="Worse and material",$K72="Yes",$L72="Yes"),AND('Pockets'!$E$18="Worse or not sure",OR($K72="Yes",$K72="Not sure")))),1,0)</f>
        <v/>
      </c>
      <c r="N72">
        <f>$N71+$M72</f>
        <v/>
      </c>
      <c r="O72" t="inlineStr">
        <is>
          <t>grids</t>
        </is>
      </c>
      <c r="P72" t="inlineStr">
        <is>
          <t>ranr_rate</t>
        </is>
      </c>
    </row>
    <row r="73">
      <c r="A73" t="inlineStr">
        <is>
          <t>Two-way</t>
        </is>
      </c>
      <c r="B73" t="inlineStr">
        <is>
          <t>Kept after losses</t>
        </is>
      </c>
      <c r="C73" t="n">
        <v>182</v>
      </c>
      <c r="D73" t="inlineStr">
        <is>
          <t>SHORT_HIST (marked missing)</t>
        </is>
      </c>
      <c r="E73" t="inlineStr">
        <is>
          <t>Broker</t>
        </is>
      </c>
      <c r="G73" t="n">
        <v>67</v>
      </c>
      <c r="H73" t="n">
        <v>-6.987831816215779</v>
      </c>
      <c r="J73" t="n">
        <v>16</v>
      </c>
      <c r="K73">
        <f>'_pockets'!$AI$182</f>
        <v/>
      </c>
      <c r="L73">
        <f>'_pockets'!$AJ$182</f>
        <v/>
      </c>
      <c r="M73">
        <f>IF(AND($A73='Pockets'!$D$18,$B73='Pockets'!$C$18,OR('Pockets'!$E$18="All",AND('Pockets'!$E$18="Worse and material",$K73="Yes",$L73="Yes"),AND('Pockets'!$E$18="Worse or not sure",OR($K73="Yes",$K73="Not sure")))),1,0)</f>
        <v/>
      </c>
      <c r="N73">
        <f>$N72+$M73</f>
        <v/>
      </c>
      <c r="O73" t="inlineStr">
        <is>
          <t>grids</t>
        </is>
      </c>
      <c r="P73" t="inlineStr">
        <is>
          <t>ranr_rate</t>
        </is>
      </c>
    </row>
    <row r="74">
      <c r="A74" t="inlineStr">
        <is>
          <t>Two-way</t>
        </is>
      </c>
      <c r="B74" t="inlineStr">
        <is>
          <t>Kept after losses</t>
        </is>
      </c>
      <c r="C74" t="n">
        <v>97</v>
      </c>
      <c r="D74" t="inlineStr">
        <is>
          <t>FICO (marked missing)</t>
        </is>
      </c>
      <c r="E74" t="inlineStr">
        <is>
          <t>Broker</t>
        </is>
      </c>
      <c r="G74" t="n">
        <v>54</v>
      </c>
      <c r="H74" t="n">
        <v>-7.77727341693524</v>
      </c>
      <c r="J74" t="n">
        <v>17</v>
      </c>
      <c r="K74">
        <f>'_pockets'!$AI$97</f>
        <v/>
      </c>
      <c r="L74">
        <f>'_pockets'!$AJ$97</f>
        <v/>
      </c>
      <c r="M74">
        <f>IF(AND($A74='Pockets'!$D$18,$B74='Pockets'!$C$18,OR('Pockets'!$E$18="All",AND('Pockets'!$E$18="Worse and material",$K74="Yes",$L74="Yes"),AND('Pockets'!$E$18="Worse or not sure",OR($K74="Yes",$K74="Not sure")))),1,0)</f>
        <v/>
      </c>
      <c r="N74">
        <f>$N73+$M74</f>
        <v/>
      </c>
      <c r="O74" t="inlineStr">
        <is>
          <t>grids</t>
        </is>
      </c>
      <c r="P74" t="inlineStr">
        <is>
          <t>ranr_rate</t>
        </is>
      </c>
    </row>
    <row r="75">
      <c r="A75" t="inlineStr">
        <is>
          <t>Two-way</t>
        </is>
      </c>
      <c r="B75" t="inlineStr">
        <is>
          <t>Kept after losses</t>
        </is>
      </c>
      <c r="C75" t="n">
        <v>187</v>
      </c>
      <c r="D75" t="inlineStr">
        <is>
          <t>SHORT_HIST (marked missing)</t>
        </is>
      </c>
      <c r="E75" t="inlineStr">
        <is>
          <t>Branch</t>
        </is>
      </c>
      <c r="G75" t="n">
        <v>72</v>
      </c>
      <c r="H75" t="n">
        <v>-6.742959024969948</v>
      </c>
      <c r="J75" t="n">
        <v>18</v>
      </c>
      <c r="K75">
        <f>'_pockets'!$AI$187</f>
        <v/>
      </c>
      <c r="L75">
        <f>'_pockets'!$AJ$187</f>
        <v/>
      </c>
      <c r="M75">
        <f>IF(AND($A75='Pockets'!$D$18,$B75='Pockets'!$C$18,OR('Pockets'!$E$18="All",AND('Pockets'!$E$18="Worse and material",$K75="Yes",$L75="Yes"),AND('Pockets'!$E$18="Worse or not sure",OR($K75="Yes",$K75="Not sure")))),1,0)</f>
        <v/>
      </c>
      <c r="N75">
        <f>$N74+$M75</f>
        <v/>
      </c>
      <c r="O75" t="inlineStr">
        <is>
          <t>grids</t>
        </is>
      </c>
      <c r="P75" t="inlineStr">
        <is>
          <t>ranr_rate</t>
        </is>
      </c>
    </row>
    <row r="76">
      <c r="A76" t="inlineStr">
        <is>
          <t>Two-way</t>
        </is>
      </c>
      <c r="B76" t="inlineStr">
        <is>
          <t>Kept after losses</t>
        </is>
      </c>
      <c r="C76" t="n">
        <v>27</v>
      </c>
      <c r="D76" t="inlineStr">
        <is>
          <t>FICO 746 - 921</t>
        </is>
      </c>
      <c r="E76" t="inlineStr">
        <is>
          <t>Branch</t>
        </is>
      </c>
      <c r="G76" t="n">
        <v>518</v>
      </c>
      <c r="H76" t="n">
        <v>-2.587774867455973</v>
      </c>
      <c r="J76" t="n">
        <v>19</v>
      </c>
      <c r="K76">
        <f>'_pockets'!$AI$27</f>
        <v/>
      </c>
      <c r="L76">
        <f>'_pockets'!$AJ$27</f>
        <v/>
      </c>
      <c r="M76">
        <f>IF(AND($A76='Pockets'!$D$18,$B76='Pockets'!$C$18,OR('Pockets'!$E$18="All",AND('Pockets'!$E$18="Worse and material",$K76="Yes",$L76="Yes"),AND('Pockets'!$E$18="Worse or not sure",OR($K76="Yes",$K76="Not sure")))),1,0)</f>
        <v/>
      </c>
      <c r="N76">
        <f>$N75+$M76</f>
        <v/>
      </c>
      <c r="O76" t="inlineStr">
        <is>
          <t>grids</t>
        </is>
      </c>
      <c r="P76" t="inlineStr">
        <is>
          <t>ranr_rate</t>
        </is>
      </c>
    </row>
    <row r="77">
      <c r="A77" t="inlineStr">
        <is>
          <t>Two-way</t>
        </is>
      </c>
      <c r="B77" t="inlineStr">
        <is>
          <t>Kept after losses</t>
        </is>
      </c>
      <c r="C77" t="n">
        <v>92</v>
      </c>
      <c r="D77" t="inlineStr">
        <is>
          <t>FICO (marked missing)</t>
        </is>
      </c>
      <c r="E77" t="inlineStr">
        <is>
          <t>Branch</t>
        </is>
      </c>
      <c r="G77" t="n">
        <v>51</v>
      </c>
      <c r="H77" t="n">
        <v>-8.001237848606335</v>
      </c>
      <c r="J77" t="n">
        <v>20</v>
      </c>
      <c r="K77">
        <f>'_pockets'!$AI$92</f>
        <v/>
      </c>
      <c r="L77">
        <f>'_pockets'!$AJ$92</f>
        <v/>
      </c>
      <c r="M77">
        <f>IF(AND($A77='Pockets'!$D$18,$B77='Pockets'!$C$18,OR('Pockets'!$E$18="All",AND('Pockets'!$E$18="Worse and material",$K77="Yes",$L77="Yes"),AND('Pockets'!$E$18="Worse or not sure",OR($K77="Yes",$K77="Not sure")))),1,0)</f>
        <v/>
      </c>
      <c r="N77">
        <f>$N76+$M77</f>
        <v/>
      </c>
      <c r="O77" t="inlineStr">
        <is>
          <t>grids</t>
        </is>
      </c>
      <c r="P77" t="inlineStr">
        <is>
          <t>ranr_rate</t>
        </is>
      </c>
    </row>
    <row r="78">
      <c r="A78" t="inlineStr">
        <is>
          <t>Two-way</t>
        </is>
      </c>
      <c r="B78" t="inlineStr">
        <is>
          <t>Kept after losses</t>
        </is>
      </c>
      <c r="C78" t="n">
        <v>52</v>
      </c>
      <c r="D78" t="inlineStr">
        <is>
          <t>FICO 746 - 921</t>
        </is>
      </c>
      <c r="E78" t="inlineStr">
        <is>
          <t>Online</t>
        </is>
      </c>
      <c r="G78" t="n">
        <v>517</v>
      </c>
      <c r="H78" t="n">
        <v>-2.590103235738988</v>
      </c>
      <c r="J78" t="n">
        <v>21</v>
      </c>
      <c r="K78">
        <f>'_pockets'!$AI$52</f>
        <v/>
      </c>
      <c r="L78">
        <f>'_pockets'!$AJ$52</f>
        <v/>
      </c>
      <c r="M78">
        <f>IF(AND($A78='Pockets'!$D$18,$B78='Pockets'!$C$18,OR('Pockets'!$E$18="All",AND('Pockets'!$E$18="Worse and material",$K78="Yes",$L78="Yes"),AND('Pockets'!$E$18="Worse or not sure",OR($K78="Yes",$K78="Not sure")))),1,0)</f>
        <v/>
      </c>
      <c r="N78">
        <f>$N77+$M78</f>
        <v/>
      </c>
      <c r="O78" t="inlineStr">
        <is>
          <t>grids</t>
        </is>
      </c>
      <c r="P78" t="inlineStr">
        <is>
          <t>ranr_rate</t>
        </is>
      </c>
    </row>
    <row r="79">
      <c r="A79" t="inlineStr">
        <is>
          <t>Two-way</t>
        </is>
      </c>
      <c r="B79" t="inlineStr">
        <is>
          <t>Kept after losses</t>
        </is>
      </c>
      <c r="C79" t="n">
        <v>47</v>
      </c>
      <c r="D79" t="inlineStr">
        <is>
          <t>FICO 746 - 921</t>
        </is>
      </c>
      <c r="E79" t="inlineStr">
        <is>
          <t>Broker</t>
        </is>
      </c>
      <c r="G79" t="n">
        <v>536</v>
      </c>
      <c r="H79" t="n">
        <v>-2.54701839930311</v>
      </c>
      <c r="J79" t="n">
        <v>22</v>
      </c>
      <c r="K79">
        <f>'_pockets'!$AI$47</f>
        <v/>
      </c>
      <c r="L79">
        <f>'_pockets'!$AJ$47</f>
        <v/>
      </c>
      <c r="M79">
        <f>IF(AND($A79='Pockets'!$D$18,$B79='Pockets'!$C$18,OR('Pockets'!$E$18="All",AND('Pockets'!$E$18="Worse and material",$K79="Yes",$L79="Yes"),AND('Pockets'!$E$18="Worse or not sure",OR($K79="Yes",$K79="Not sure")))),1,0)</f>
        <v/>
      </c>
      <c r="N79">
        <f>$N78+$M79</f>
        <v/>
      </c>
      <c r="O79" t="inlineStr">
        <is>
          <t>grids</t>
        </is>
      </c>
      <c r="P79" t="inlineStr">
        <is>
          <t>ranr_rate</t>
        </is>
      </c>
    </row>
    <row r="80">
      <c r="A80" t="inlineStr">
        <is>
          <t>Two-way</t>
        </is>
      </c>
      <c r="B80" t="inlineStr">
        <is>
          <t>Kept after losses</t>
        </is>
      </c>
      <c r="C80" t="n">
        <v>42</v>
      </c>
      <c r="D80" t="inlineStr">
        <is>
          <t>FICO 712 - 745</t>
        </is>
      </c>
      <c r="E80" t="inlineStr">
        <is>
          <t>Online</t>
        </is>
      </c>
      <c r="G80" t="n">
        <v>564</v>
      </c>
      <c r="H80" t="n">
        <v>-2.487660781617332</v>
      </c>
      <c r="J80" t="n">
        <v>23</v>
      </c>
      <c r="K80">
        <f>'_pockets'!$AI$42</f>
        <v/>
      </c>
      <c r="L80">
        <f>'_pockets'!$AJ$42</f>
        <v/>
      </c>
      <c r="M80">
        <f>IF(AND($A80='Pockets'!$D$18,$B80='Pockets'!$C$18,OR('Pockets'!$E$18="All",AND('Pockets'!$E$18="Worse and material",$K80="Yes",$L80="Yes"),AND('Pockets'!$E$18="Worse or not sure",OR($K80="Yes",$K80="Not sure")))),1,0)</f>
        <v/>
      </c>
      <c r="N80">
        <f>$N79+$M80</f>
        <v/>
      </c>
      <c r="O80" t="inlineStr">
        <is>
          <t>grids</t>
        </is>
      </c>
      <c r="P80" t="inlineStr">
        <is>
          <t>ranr_rate</t>
        </is>
      </c>
    </row>
    <row r="81">
      <c r="A81" t="inlineStr">
        <is>
          <t>Two-way</t>
        </is>
      </c>
      <c r="B81" t="inlineStr">
        <is>
          <t>Earned before losses</t>
        </is>
      </c>
      <c r="C81" t="n">
        <v>38</v>
      </c>
      <c r="D81" t="inlineStr">
        <is>
          <t>FICO 686 - 711</t>
        </is>
      </c>
      <c r="E81" t="inlineStr">
        <is>
          <t>Broker</t>
        </is>
      </c>
      <c r="G81" t="n">
        <v>501</v>
      </c>
      <c r="H81" t="n">
        <v>-1.726562587794613</v>
      </c>
      <c r="J81" t="n">
        <v>1</v>
      </c>
      <c r="K81">
        <f>'_pockets'!$AI$38</f>
        <v/>
      </c>
      <c r="L81">
        <f>'_pockets'!$AJ$38</f>
        <v/>
      </c>
      <c r="M81">
        <f>IF(AND($A81='Pockets'!$D$18,$B81='Pockets'!$C$18,OR('Pockets'!$E$18="All",AND('Pockets'!$E$18="Worse and material",$K81="Yes",$L81="Yes"),AND('Pockets'!$E$18="Worse or not sure",OR($K81="Yes",$K81="Not sure")))),1,0)</f>
        <v/>
      </c>
      <c r="N81">
        <f>$N80+$M81</f>
        <v/>
      </c>
      <c r="O81" t="inlineStr">
        <is>
          <t>grids</t>
        </is>
      </c>
      <c r="P81" t="inlineStr">
        <is>
          <t>contribution_rate</t>
        </is>
      </c>
    </row>
    <row r="82">
      <c r="A82" t="inlineStr">
        <is>
          <t>Two-way</t>
        </is>
      </c>
      <c r="B82" t="inlineStr">
        <is>
          <t>Earned before losses</t>
        </is>
      </c>
      <c r="C82" t="n">
        <v>88</v>
      </c>
      <c r="D82" t="inlineStr">
        <is>
          <t>FICO 686 - 711</t>
        </is>
      </c>
      <c r="E82" t="inlineStr">
        <is>
          <t>Branch</t>
        </is>
      </c>
      <c r="G82" t="n">
        <v>515</v>
      </c>
      <c r="H82" t="n">
        <v>-1.704525321854186</v>
      </c>
      <c r="J82" t="n">
        <v>2</v>
      </c>
      <c r="K82">
        <f>'_pockets'!$AI$88</f>
        <v/>
      </c>
      <c r="L82">
        <f>'_pockets'!$AJ$88</f>
        <v/>
      </c>
      <c r="M82">
        <f>IF(AND($A82='Pockets'!$D$18,$B82='Pockets'!$C$18,OR('Pockets'!$E$18="All",AND('Pockets'!$E$18="Worse and material",$K82="Yes",$L82="Yes"),AND('Pockets'!$E$18="Worse or not sure",OR($K82="Yes",$K82="Not sure")))),1,0)</f>
        <v/>
      </c>
      <c r="N82">
        <f>$N81+$M82</f>
        <v/>
      </c>
      <c r="O82" t="inlineStr">
        <is>
          <t>grids</t>
        </is>
      </c>
      <c r="P82" t="inlineStr">
        <is>
          <t>contribution_rate</t>
        </is>
      </c>
    </row>
    <row r="83">
      <c r="A83" t="inlineStr">
        <is>
          <t>Two-way</t>
        </is>
      </c>
      <c r="B83" t="inlineStr">
        <is>
          <t>Earned before losses</t>
        </is>
      </c>
      <c r="C83" t="n">
        <v>18</v>
      </c>
      <c r="D83" t="inlineStr">
        <is>
          <t>FICO 712 - 745</t>
        </is>
      </c>
      <c r="E83" t="inlineStr">
        <is>
          <t>Branch</t>
        </is>
      </c>
      <c r="G83" t="n">
        <v>536</v>
      </c>
      <c r="H83" t="n">
        <v>-1.673150190798175</v>
      </c>
      <c r="J83" t="n">
        <v>3</v>
      </c>
      <c r="K83">
        <f>'_pockets'!$AI$18</f>
        <v/>
      </c>
      <c r="L83">
        <f>'_pockets'!$AJ$18</f>
        <v/>
      </c>
      <c r="M83">
        <f>IF(AND($A83='Pockets'!$D$18,$B83='Pockets'!$C$18,OR('Pockets'!$E$18="All",AND('Pockets'!$E$18="Worse and material",$K83="Yes",$L83="Yes"),AND('Pockets'!$E$18="Worse or not sure",OR($K83="Yes",$K83="Not sure")))),1,0)</f>
        <v/>
      </c>
      <c r="N83">
        <f>$N82+$M83</f>
        <v/>
      </c>
      <c r="O83" t="inlineStr">
        <is>
          <t>grids</t>
        </is>
      </c>
      <c r="P83" t="inlineStr">
        <is>
          <t>contribution_rate</t>
        </is>
      </c>
    </row>
    <row r="84">
      <c r="A84" t="inlineStr">
        <is>
          <t>Two-way</t>
        </is>
      </c>
      <c r="B84" t="inlineStr">
        <is>
          <t>Earned before losses</t>
        </is>
      </c>
      <c r="C84" t="n">
        <v>123</v>
      </c>
      <c r="D84" t="inlineStr">
        <is>
          <t>SHORT_HIST 172.0 - 256.3</t>
        </is>
      </c>
      <c r="E84" t="inlineStr">
        <is>
          <t>Branch</t>
        </is>
      </c>
      <c r="G84" t="n">
        <v>520</v>
      </c>
      <c r="H84" t="n">
        <v>-1.696877699806696</v>
      </c>
      <c r="J84" t="n">
        <v>4</v>
      </c>
      <c r="K84">
        <f>'_pockets'!$AI$123</f>
        <v/>
      </c>
      <c r="L84">
        <f>'_pockets'!$AJ$123</f>
        <v/>
      </c>
      <c r="M84">
        <f>IF(AND($A84='Pockets'!$D$18,$B84='Pockets'!$C$18,OR('Pockets'!$E$18="All",AND('Pockets'!$E$18="Worse and material",$K84="Yes",$L84="Yes"),AND('Pockets'!$E$18="Worse or not sure",OR($K84="Yes",$K84="Not sure")))),1,0)</f>
        <v/>
      </c>
      <c r="N84">
        <f>$N83+$M84</f>
        <v/>
      </c>
      <c r="O84" t="inlineStr">
        <is>
          <t>grids</t>
        </is>
      </c>
      <c r="P84" t="inlineStr">
        <is>
          <t>contribution_rate</t>
        </is>
      </c>
    </row>
    <row r="85">
      <c r="A85" t="inlineStr">
        <is>
          <t>Two-way</t>
        </is>
      </c>
      <c r="B85" t="inlineStr">
        <is>
          <t>Earned before losses</t>
        </is>
      </c>
      <c r="C85" t="n">
        <v>63</v>
      </c>
      <c r="D85" t="inlineStr">
        <is>
          <t>FICO 712 - 745</t>
        </is>
      </c>
      <c r="E85" t="inlineStr">
        <is>
          <t>Broker</t>
        </is>
      </c>
      <c r="G85" t="n">
        <v>509</v>
      </c>
      <c r="H85" t="n">
        <v>-1.713855245385327</v>
      </c>
      <c r="J85" t="n">
        <v>5</v>
      </c>
      <c r="K85">
        <f>'_pockets'!$AI$63</f>
        <v/>
      </c>
      <c r="L85">
        <f>'_pockets'!$AJ$63</f>
        <v/>
      </c>
      <c r="M85">
        <f>IF(AND($A85='Pockets'!$D$18,$B85='Pockets'!$C$18,OR('Pockets'!$E$18="All",AND('Pockets'!$E$18="Worse and material",$K85="Yes",$L85="Yes"),AND('Pockets'!$E$18="Worse or not sure",OR($K85="Yes",$K85="Not sure")))),1,0)</f>
        <v/>
      </c>
      <c r="N85">
        <f>$N84+$M85</f>
        <v/>
      </c>
      <c r="O85" t="inlineStr">
        <is>
          <t>grids</t>
        </is>
      </c>
      <c r="P85" t="inlineStr">
        <is>
          <t>contribution_rate</t>
        </is>
      </c>
    </row>
    <row r="86">
      <c r="A86" t="inlineStr">
        <is>
          <t>Two-way</t>
        </is>
      </c>
      <c r="B86" t="inlineStr">
        <is>
          <t>Earned before losses</t>
        </is>
      </c>
      <c r="C86" t="n">
        <v>133</v>
      </c>
      <c r="D86" t="inlineStr">
        <is>
          <t>SHORT_HIST 256.4 - 345.9</t>
        </is>
      </c>
      <c r="E86" t="inlineStr">
        <is>
          <t>Broker</t>
        </is>
      </c>
      <c r="G86" t="n">
        <v>513</v>
      </c>
      <c r="H86" t="n">
        <v>-1.707616566921085</v>
      </c>
      <c r="J86" t="n">
        <v>6</v>
      </c>
      <c r="K86">
        <f>'_pockets'!$AI$133</f>
        <v/>
      </c>
      <c r="L86">
        <f>'_pockets'!$AJ$133</f>
        <v/>
      </c>
      <c r="M86">
        <f>IF(AND($A86='Pockets'!$D$18,$B86='Pockets'!$C$18,OR('Pockets'!$E$18="All",AND('Pockets'!$E$18="Worse and material",$K86="Yes",$L86="Yes"),AND('Pockets'!$E$18="Worse or not sure",OR($K86="Yes",$K86="Not sure")))),1,0)</f>
        <v/>
      </c>
      <c r="N86">
        <f>$N85+$M86</f>
        <v/>
      </c>
      <c r="O86" t="inlineStr">
        <is>
          <t>grids</t>
        </is>
      </c>
      <c r="P86" t="inlineStr">
        <is>
          <t>contribution_rate</t>
        </is>
      </c>
    </row>
    <row r="87">
      <c r="A87" t="inlineStr">
        <is>
          <t>Two-way</t>
        </is>
      </c>
      <c r="B87" t="inlineStr">
        <is>
          <t>Earned before losses</t>
        </is>
      </c>
      <c r="C87" t="n">
        <v>163</v>
      </c>
      <c r="D87" t="inlineStr">
        <is>
          <t>SHORT_HIST 89.0 - 171.9</t>
        </is>
      </c>
      <c r="E87" t="inlineStr">
        <is>
          <t>Branch</t>
        </is>
      </c>
      <c r="G87" t="n">
        <v>490</v>
      </c>
      <c r="H87" t="n">
        <v>-1.744555428340416</v>
      </c>
      <c r="J87" t="n">
        <v>7</v>
      </c>
      <c r="K87">
        <f>'_pockets'!$AI$163</f>
        <v/>
      </c>
      <c r="L87">
        <f>'_pockets'!$AJ$163</f>
        <v/>
      </c>
      <c r="M87">
        <f>IF(AND($A87='Pockets'!$D$18,$B87='Pockets'!$C$18,OR('Pockets'!$E$18="All",AND('Pockets'!$E$18="Worse and material",$K87="Yes",$L87="Yes"),AND('Pockets'!$E$18="Worse or not sure",OR($K87="Yes",$K87="Not sure")))),1,0)</f>
        <v/>
      </c>
      <c r="N87">
        <f>$N86+$M87</f>
        <v/>
      </c>
      <c r="O87" t="inlineStr">
        <is>
          <t>grids</t>
        </is>
      </c>
      <c r="P87" t="inlineStr">
        <is>
          <t>contribution_rate</t>
        </is>
      </c>
    </row>
    <row r="88">
      <c r="A88" t="inlineStr">
        <is>
          <t>Two-way</t>
        </is>
      </c>
      <c r="B88" t="inlineStr">
        <is>
          <t>Earned before losses</t>
        </is>
      </c>
      <c r="C88" t="n">
        <v>118</v>
      </c>
      <c r="D88" t="inlineStr">
        <is>
          <t>SHORT_HIST 0.0 - 88.9</t>
        </is>
      </c>
      <c r="E88" t="inlineStr">
        <is>
          <t>Branch</t>
        </is>
      </c>
      <c r="G88" t="n">
        <v>509</v>
      </c>
      <c r="H88" t="n">
        <v>-1.713855245385327</v>
      </c>
      <c r="J88" t="n">
        <v>8</v>
      </c>
      <c r="K88">
        <f>'_pockets'!$AI$118</f>
        <v/>
      </c>
      <c r="L88">
        <f>'_pockets'!$AJ$118</f>
        <v/>
      </c>
      <c r="M88">
        <f>IF(AND($A88='Pockets'!$D$18,$B88='Pockets'!$C$18,OR('Pockets'!$E$18="All",AND('Pockets'!$E$18="Worse and material",$K88="Yes",$L88="Yes"),AND('Pockets'!$E$18="Worse or not sure",OR($K88="Yes",$K88="Not sure")))),1,0)</f>
        <v/>
      </c>
      <c r="N88">
        <f>$N87+$M88</f>
        <v/>
      </c>
      <c r="O88" t="inlineStr">
        <is>
          <t>grids</t>
        </is>
      </c>
      <c r="P88" t="inlineStr">
        <is>
          <t>contribution_rate</t>
        </is>
      </c>
    </row>
    <row r="89">
      <c r="A89" t="inlineStr">
        <is>
          <t>Two-way</t>
        </is>
      </c>
      <c r="B89" t="inlineStr">
        <is>
          <t>Earned before losses</t>
        </is>
      </c>
      <c r="C89" t="n">
        <v>183</v>
      </c>
      <c r="D89" t="inlineStr">
        <is>
          <t>SHORT_HIST (marked missing)</t>
        </is>
      </c>
      <c r="E89" t="inlineStr">
        <is>
          <t>Broker</t>
        </is>
      </c>
      <c r="G89" t="n">
        <v>67</v>
      </c>
      <c r="H89" t="n">
        <v>-4.590326406192506</v>
      </c>
      <c r="J89" t="n">
        <v>9</v>
      </c>
      <c r="K89">
        <f>'_pockets'!$AI$183</f>
        <v/>
      </c>
      <c r="L89">
        <f>'_pockets'!$AJ$183</f>
        <v/>
      </c>
      <c r="M89">
        <f>IF(AND($A89='Pockets'!$D$18,$B89='Pockets'!$C$18,OR('Pockets'!$E$18="All",AND('Pockets'!$E$18="Worse and material",$K89="Yes",$L89="Yes"),AND('Pockets'!$E$18="Worse or not sure",OR($K89="Yes",$K89="Not sure")))),1,0)</f>
        <v/>
      </c>
      <c r="N89">
        <f>$N88+$M89</f>
        <v/>
      </c>
      <c r="O89" t="inlineStr">
        <is>
          <t>grids</t>
        </is>
      </c>
      <c r="P89" t="inlineStr">
        <is>
          <t>contribution_rate</t>
        </is>
      </c>
    </row>
    <row r="90">
      <c r="A90" t="inlineStr">
        <is>
          <t>Two-way</t>
        </is>
      </c>
      <c r="B90" t="inlineStr">
        <is>
          <t>Earned before losses</t>
        </is>
      </c>
      <c r="C90" t="n">
        <v>113</v>
      </c>
      <c r="D90" t="inlineStr">
        <is>
          <t>SHORT_HIST 256.4 - 345.9</t>
        </is>
      </c>
      <c r="E90" t="inlineStr">
        <is>
          <t>Branch</t>
        </is>
      </c>
      <c r="G90" t="n">
        <v>501</v>
      </c>
      <c r="H90" t="n">
        <v>-1.726562587794613</v>
      </c>
      <c r="J90" t="n">
        <v>10</v>
      </c>
      <c r="K90">
        <f>'_pockets'!$AI$113</f>
        <v/>
      </c>
      <c r="L90">
        <f>'_pockets'!$AJ$113</f>
        <v/>
      </c>
      <c r="M90">
        <f>IF(AND($A90='Pockets'!$D$18,$B90='Pockets'!$C$18,OR('Pockets'!$E$18="All",AND('Pockets'!$E$18="Worse and material",$K90="Yes",$L90="Yes"),AND('Pockets'!$E$18="Worse or not sure",OR($K90="Yes",$K90="Not sure")))),1,0)</f>
        <v/>
      </c>
      <c r="N90">
        <f>$N89+$M90</f>
        <v/>
      </c>
      <c r="O90" t="inlineStr">
        <is>
          <t>grids</t>
        </is>
      </c>
      <c r="P90" t="inlineStr">
        <is>
          <t>contribution_rate</t>
        </is>
      </c>
    </row>
    <row r="91">
      <c r="A91" t="inlineStr">
        <is>
          <t>Two-way</t>
        </is>
      </c>
      <c r="B91" t="inlineStr">
        <is>
          <t>Earned before losses</t>
        </is>
      </c>
      <c r="C91" t="n">
        <v>78</v>
      </c>
      <c r="D91" t="inlineStr">
        <is>
          <t>FICO 654 - 685</t>
        </is>
      </c>
      <c r="E91" t="inlineStr">
        <is>
          <t>Broker</t>
        </is>
      </c>
      <c r="G91" t="n">
        <v>531</v>
      </c>
      <c r="H91" t="n">
        <v>-1.680446181873959</v>
      </c>
      <c r="J91" t="n">
        <v>11</v>
      </c>
      <c r="K91">
        <f>'_pockets'!$AI$78</f>
        <v/>
      </c>
      <c r="L91">
        <f>'_pockets'!$AJ$78</f>
        <v/>
      </c>
      <c r="M91">
        <f>IF(AND($A91='Pockets'!$D$18,$B91='Pockets'!$C$18,OR('Pockets'!$E$18="All",AND('Pockets'!$E$18="Worse and material",$K91="Yes",$L91="Yes"),AND('Pockets'!$E$18="Worse or not sure",OR($K91="Yes",$K91="Not sure")))),1,0)</f>
        <v/>
      </c>
      <c r="N91">
        <f>$N90+$M91</f>
        <v/>
      </c>
      <c r="O91" t="inlineStr">
        <is>
          <t>grids</t>
        </is>
      </c>
      <c r="P91" t="inlineStr">
        <is>
          <t>contribution_rate</t>
        </is>
      </c>
    </row>
    <row r="92">
      <c r="A92" t="inlineStr">
        <is>
          <t>Two-way</t>
        </is>
      </c>
      <c r="B92" t="inlineStr">
        <is>
          <t>Earned before losses</t>
        </is>
      </c>
      <c r="C92" t="n">
        <v>58</v>
      </c>
      <c r="D92" t="inlineStr">
        <is>
          <t>FICO 654 - 685</t>
        </is>
      </c>
      <c r="E92" t="inlineStr">
        <is>
          <t>Branch</t>
        </is>
      </c>
      <c r="G92" t="n">
        <v>503</v>
      </c>
      <c r="H92" t="n">
        <v>-1.723356527093468</v>
      </c>
      <c r="J92" t="n">
        <v>12</v>
      </c>
      <c r="K92">
        <f>'_pockets'!$AI$58</f>
        <v/>
      </c>
      <c r="L92">
        <f>'_pockets'!$AJ$58</f>
        <v/>
      </c>
      <c r="M92">
        <f>IF(AND($A92='Pockets'!$D$18,$B92='Pockets'!$C$18,OR('Pockets'!$E$18="All",AND('Pockets'!$E$18="Worse and material",$K92="Yes",$L92="Yes"),AND('Pockets'!$E$18="Worse or not sure",OR($K92="Yes",$K92="Not sure")))),1,0)</f>
        <v/>
      </c>
      <c r="N92">
        <f>$N91+$M92</f>
        <v/>
      </c>
      <c r="O92" t="inlineStr">
        <is>
          <t>grids</t>
        </is>
      </c>
      <c r="P92" t="inlineStr">
        <is>
          <t>contribution_rate</t>
        </is>
      </c>
    </row>
    <row r="93">
      <c r="A93" t="inlineStr">
        <is>
          <t>Two-way</t>
        </is>
      </c>
      <c r="B93" t="inlineStr">
        <is>
          <t>Earned before losses</t>
        </is>
      </c>
      <c r="C93" t="n">
        <v>143</v>
      </c>
      <c r="D93" t="inlineStr">
        <is>
          <t>SHORT_HIST 0.0 - 88.9</t>
        </is>
      </c>
      <c r="E93" t="inlineStr">
        <is>
          <t>Broker</t>
        </is>
      </c>
      <c r="G93" t="n">
        <v>508</v>
      </c>
      <c r="H93" t="n">
        <v>-1.715426755512434</v>
      </c>
      <c r="J93" t="n">
        <v>13</v>
      </c>
      <c r="K93">
        <f>'_pockets'!$AI$143</f>
        <v/>
      </c>
      <c r="L93">
        <f>'_pockets'!$AJ$143</f>
        <v/>
      </c>
      <c r="M93">
        <f>IF(AND($A93='Pockets'!$D$18,$B93='Pockets'!$C$18,OR('Pockets'!$E$18="All",AND('Pockets'!$E$18="Worse and material",$K93="Yes",$L93="Yes"),AND('Pockets'!$E$18="Worse or not sure",OR($K93="Yes",$K93="Not sure")))),1,0)</f>
        <v/>
      </c>
      <c r="N93">
        <f>$N92+$M93</f>
        <v/>
      </c>
      <c r="O93" t="inlineStr">
        <is>
          <t>grids</t>
        </is>
      </c>
      <c r="P93" t="inlineStr">
        <is>
          <t>contribution_rate</t>
        </is>
      </c>
    </row>
    <row r="94">
      <c r="A94" t="inlineStr">
        <is>
          <t>Two-way</t>
        </is>
      </c>
      <c r="B94" t="inlineStr">
        <is>
          <t>Earned before losses</t>
        </is>
      </c>
      <c r="C94" t="n">
        <v>128</v>
      </c>
      <c r="D94" t="inlineStr">
        <is>
          <t>SHORT_HIST 172.0 - 256.3</t>
        </is>
      </c>
      <c r="E94" t="inlineStr">
        <is>
          <t>Broker</t>
        </is>
      </c>
      <c r="G94" t="n">
        <v>541</v>
      </c>
      <c r="H94" t="n">
        <v>-1.665958736692606</v>
      </c>
      <c r="J94" t="n">
        <v>14</v>
      </c>
      <c r="K94">
        <f>'_pockets'!$AI$128</f>
        <v/>
      </c>
      <c r="L94">
        <f>'_pockets'!$AJ$128</f>
        <v/>
      </c>
      <c r="M94">
        <f>IF(AND($A94='Pockets'!$D$18,$B94='Pockets'!$C$18,OR('Pockets'!$E$18="All",AND('Pockets'!$E$18="Worse and material",$K94="Yes",$L94="Yes"),AND('Pockets'!$E$18="Worse or not sure",OR($K94="Yes",$K94="Not sure")))),1,0)</f>
        <v/>
      </c>
      <c r="N94">
        <f>$N93+$M94</f>
        <v/>
      </c>
      <c r="O94" t="inlineStr">
        <is>
          <t>grids</t>
        </is>
      </c>
      <c r="P94" t="inlineStr">
        <is>
          <t>contribution_rate</t>
        </is>
      </c>
    </row>
    <row r="95">
      <c r="A95" t="inlineStr">
        <is>
          <t>Two-way</t>
        </is>
      </c>
      <c r="B95" t="inlineStr">
        <is>
          <t>Earned before losses</t>
        </is>
      </c>
      <c r="C95" t="n">
        <v>83</v>
      </c>
      <c r="D95" t="inlineStr">
        <is>
          <t>FICO 496 - 653</t>
        </is>
      </c>
      <c r="E95" t="inlineStr">
        <is>
          <t>Online</t>
        </is>
      </c>
      <c r="G95" t="n">
        <v>531</v>
      </c>
      <c r="H95" t="n">
        <v>-1.680446181873959</v>
      </c>
      <c r="J95" t="n">
        <v>15</v>
      </c>
      <c r="K95">
        <f>'_pockets'!$AI$83</f>
        <v/>
      </c>
      <c r="L95">
        <f>'_pockets'!$AJ$83</f>
        <v/>
      </c>
      <c r="M95">
        <f>IF(AND($A95='Pockets'!$D$18,$B95='Pockets'!$C$18,OR('Pockets'!$E$18="All",AND('Pockets'!$E$18="Worse and material",$K95="Yes",$L95="Yes"),AND('Pockets'!$E$18="Worse or not sure",OR($K95="Yes",$K95="Not sure")))),1,0)</f>
        <v/>
      </c>
      <c r="N95">
        <f>$N94+$M95</f>
        <v/>
      </c>
      <c r="O95" t="inlineStr">
        <is>
          <t>grids</t>
        </is>
      </c>
      <c r="P95" t="inlineStr">
        <is>
          <t>contribution_rate</t>
        </is>
      </c>
    </row>
    <row r="96">
      <c r="A96" t="inlineStr">
        <is>
          <t>Two-way</t>
        </is>
      </c>
      <c r="B96" t="inlineStr">
        <is>
          <t>Earned before losses</t>
        </is>
      </c>
      <c r="C96" t="n">
        <v>153</v>
      </c>
      <c r="D96" t="inlineStr">
        <is>
          <t>SHORT_HIST 346.0 - 435.0</t>
        </is>
      </c>
      <c r="E96" t="inlineStr">
        <is>
          <t>Broker</t>
        </is>
      </c>
      <c r="G96" t="n">
        <v>504</v>
      </c>
      <c r="H96" t="n">
        <v>-1.721760863564476</v>
      </c>
      <c r="J96" t="n">
        <v>16</v>
      </c>
      <c r="K96">
        <f>'_pockets'!$AI$153</f>
        <v/>
      </c>
      <c r="L96">
        <f>'_pockets'!$AJ$153</f>
        <v/>
      </c>
      <c r="M96">
        <f>IF(AND($A96='Pockets'!$D$18,$B96='Pockets'!$C$18,OR('Pockets'!$E$18="All",AND('Pockets'!$E$18="Worse and material",$K96="Yes",$L96="Yes"),AND('Pockets'!$E$18="Worse or not sure",OR($K96="Yes",$K96="Not sure")))),1,0)</f>
        <v/>
      </c>
      <c r="N96">
        <f>$N95+$M96</f>
        <v/>
      </c>
      <c r="O96" t="inlineStr">
        <is>
          <t>grids</t>
        </is>
      </c>
      <c r="P96" t="inlineStr">
        <is>
          <t>contribution_rate</t>
        </is>
      </c>
    </row>
    <row r="97">
      <c r="A97" t="inlineStr">
        <is>
          <t>Two-way</t>
        </is>
      </c>
      <c r="B97" t="inlineStr">
        <is>
          <t>Earned before losses</t>
        </is>
      </c>
      <c r="C97" t="n">
        <v>93</v>
      </c>
      <c r="D97" t="inlineStr">
        <is>
          <t>FICO (marked missing)</t>
        </is>
      </c>
      <c r="E97" t="inlineStr">
        <is>
          <t>Branch</t>
        </is>
      </c>
      <c r="G97" t="n">
        <v>51</v>
      </c>
      <c r="H97" t="n">
        <v>-5.256035016781256</v>
      </c>
      <c r="J97" t="n">
        <v>17</v>
      </c>
      <c r="K97">
        <f>'_pockets'!$AI$93</f>
        <v/>
      </c>
      <c r="L97">
        <f>'_pockets'!$AJ$93</f>
        <v/>
      </c>
      <c r="M97">
        <f>IF(AND($A97='Pockets'!$D$18,$B97='Pockets'!$C$18,OR('Pockets'!$E$18="All",AND('Pockets'!$E$18="Worse and material",$K97="Yes",$L97="Yes"),AND('Pockets'!$E$18="Worse or not sure",OR($K97="Yes",$K97="Not sure")))),1,0)</f>
        <v/>
      </c>
      <c r="N97">
        <f>$N96+$M97</f>
        <v/>
      </c>
      <c r="O97" t="inlineStr">
        <is>
          <t>grids</t>
        </is>
      </c>
      <c r="P97" t="inlineStr">
        <is>
          <t>contribution_rate</t>
        </is>
      </c>
    </row>
    <row r="98">
      <c r="A98" t="inlineStr">
        <is>
          <t>Two-way</t>
        </is>
      </c>
      <c r="B98" t="inlineStr">
        <is>
          <t>Earned before losses</t>
        </is>
      </c>
      <c r="C98" t="n">
        <v>173</v>
      </c>
      <c r="D98" t="inlineStr">
        <is>
          <t>SHORT_HIST 346.0 - 435.0</t>
        </is>
      </c>
      <c r="E98" t="inlineStr">
        <is>
          <t>Branch</t>
        </is>
      </c>
      <c r="G98" t="n">
        <v>533</v>
      </c>
      <c r="H98" t="n">
        <v>-1.677515083826069</v>
      </c>
      <c r="J98" t="n">
        <v>18</v>
      </c>
      <c r="K98">
        <f>'_pockets'!$AI$173</f>
        <v/>
      </c>
      <c r="L98">
        <f>'_pockets'!$AJ$173</f>
        <v/>
      </c>
      <c r="M98">
        <f>IF(AND($A98='Pockets'!$D$18,$B98='Pockets'!$C$18,OR('Pockets'!$E$18="All",AND('Pockets'!$E$18="Worse and material",$K98="Yes",$L98="Yes"),AND('Pockets'!$E$18="Worse or not sure",OR($K98="Yes",$K98="Not sure")))),1,0)</f>
        <v/>
      </c>
      <c r="N98">
        <f>$N97+$M98</f>
        <v/>
      </c>
      <c r="O98" t="inlineStr">
        <is>
          <t>grids</t>
        </is>
      </c>
      <c r="P98" t="inlineStr">
        <is>
          <t>contribution_rate</t>
        </is>
      </c>
    </row>
    <row r="99">
      <c r="A99" t="inlineStr">
        <is>
          <t>Two-way</t>
        </is>
      </c>
      <c r="B99" t="inlineStr">
        <is>
          <t>Earned before losses</t>
        </is>
      </c>
      <c r="C99" t="n">
        <v>23</v>
      </c>
      <c r="D99" t="inlineStr">
        <is>
          <t>FICO 496 - 653</t>
        </is>
      </c>
      <c r="E99" t="inlineStr">
        <is>
          <t>Branch</t>
        </is>
      </c>
      <c r="G99" t="n">
        <v>502</v>
      </c>
      <c r="H99" t="n">
        <v>-1.724957093665302</v>
      </c>
      <c r="J99" t="n">
        <v>19</v>
      </c>
      <c r="K99">
        <f>'_pockets'!$AI$23</f>
        <v/>
      </c>
      <c r="L99">
        <f>'_pockets'!$AJ$23</f>
        <v/>
      </c>
      <c r="M99">
        <f>IF(AND($A99='Pockets'!$D$18,$B99='Pockets'!$C$18,OR('Pockets'!$E$18="All",AND('Pockets'!$E$18="Worse and material",$K99="Yes",$L99="Yes"),AND('Pockets'!$E$18="Worse or not sure",OR($K99="Yes",$K99="Not sure")))),1,0)</f>
        <v/>
      </c>
      <c r="N99">
        <f>$N98+$M99</f>
        <v/>
      </c>
      <c r="O99" t="inlineStr">
        <is>
          <t>grids</t>
        </is>
      </c>
      <c r="P99" t="inlineStr">
        <is>
          <t>contribution_rate</t>
        </is>
      </c>
    </row>
    <row r="100">
      <c r="A100" t="inlineStr">
        <is>
          <t>Two-way</t>
        </is>
      </c>
      <c r="B100" t="inlineStr">
        <is>
          <t>Earned before losses</t>
        </is>
      </c>
      <c r="C100" t="n">
        <v>53</v>
      </c>
      <c r="D100" t="inlineStr">
        <is>
          <t>FICO 746 - 921</t>
        </is>
      </c>
      <c r="E100" t="inlineStr">
        <is>
          <t>Online</t>
        </is>
      </c>
      <c r="G100" t="n">
        <v>517</v>
      </c>
      <c r="H100" t="n">
        <v>-1.701452563848922</v>
      </c>
      <c r="J100" t="n">
        <v>20</v>
      </c>
      <c r="K100">
        <f>'_pockets'!$AI$53</f>
        <v/>
      </c>
      <c r="L100">
        <f>'_pockets'!$AJ$53</f>
        <v/>
      </c>
      <c r="M100">
        <f>IF(AND($A100='Pockets'!$D$18,$B100='Pockets'!$C$18,OR('Pockets'!$E$18="All",AND('Pockets'!$E$18="Worse and material",$K100="Yes",$L100="Yes"),AND('Pockets'!$E$18="Worse or not sure",OR($K100="Yes",$K100="Not sure")))),1,0)</f>
        <v/>
      </c>
      <c r="N100">
        <f>$N99+$M100</f>
        <v/>
      </c>
      <c r="O100" t="inlineStr">
        <is>
          <t>grids</t>
        </is>
      </c>
      <c r="P100" t="inlineStr">
        <is>
          <t>contribution_rate</t>
        </is>
      </c>
    </row>
    <row r="101">
      <c r="A101" t="inlineStr">
        <is>
          <t>Two-way</t>
        </is>
      </c>
      <c r="B101" t="inlineStr">
        <is>
          <t>Earned before losses</t>
        </is>
      </c>
      <c r="C101" t="n">
        <v>108</v>
      </c>
      <c r="D101" t="inlineStr">
        <is>
          <t>SHORT_HIST 89.0 - 171.9</t>
        </is>
      </c>
      <c r="E101" t="inlineStr">
        <is>
          <t>Broker</t>
        </is>
      </c>
      <c r="G101" t="n">
        <v>522</v>
      </c>
      <c r="H101" t="n">
        <v>-1.693850382842272</v>
      </c>
      <c r="J101" t="n">
        <v>21</v>
      </c>
      <c r="K101">
        <f>'_pockets'!$AI$108</f>
        <v/>
      </c>
      <c r="L101">
        <f>'_pockets'!$AJ$108</f>
        <v/>
      </c>
      <c r="M101">
        <f>IF(AND($A101='Pockets'!$D$18,$B101='Pockets'!$C$18,OR('Pockets'!$E$18="All",AND('Pockets'!$E$18="Worse and material",$K101="Yes",$L101="Yes"),AND('Pockets'!$E$18="Worse or not sure",OR($K101="Yes",$K101="Not sure")))),1,0)</f>
        <v/>
      </c>
      <c r="N101">
        <f>$N100+$M101</f>
        <v/>
      </c>
      <c r="O101" t="inlineStr">
        <is>
          <t>grids</t>
        </is>
      </c>
      <c r="P101" t="inlineStr">
        <is>
          <t>contribution_rate</t>
        </is>
      </c>
    </row>
    <row r="102">
      <c r="A102" t="inlineStr">
        <is>
          <t>Two-way</t>
        </is>
      </c>
      <c r="B102" t="inlineStr">
        <is>
          <t>Earned before losses</t>
        </is>
      </c>
      <c r="C102" t="n">
        <v>98</v>
      </c>
      <c r="D102" t="inlineStr">
        <is>
          <t>FICO (marked missing)</t>
        </is>
      </c>
      <c r="E102" t="inlineStr">
        <is>
          <t>Broker</t>
        </is>
      </c>
      <c r="G102" t="n">
        <v>54</v>
      </c>
      <c r="H102" t="n">
        <v>-5.108912290708759</v>
      </c>
      <c r="J102" t="n">
        <v>22</v>
      </c>
      <c r="K102">
        <f>'_pockets'!$AI$98</f>
        <v/>
      </c>
      <c r="L102">
        <f>'_pockets'!$AJ$98</f>
        <v/>
      </c>
      <c r="M102">
        <f>IF(AND($A102='Pockets'!$D$18,$B102='Pockets'!$C$18,OR('Pockets'!$E$18="All",AND('Pockets'!$E$18="Worse and material",$K102="Yes",$L102="Yes"),AND('Pockets'!$E$18="Worse or not sure",OR($K102="Yes",$K102="Not sure")))),1,0)</f>
        <v/>
      </c>
      <c r="N102">
        <f>$N101+$M102</f>
        <v/>
      </c>
      <c r="O102" t="inlineStr">
        <is>
          <t>grids</t>
        </is>
      </c>
      <c r="P102" t="inlineStr">
        <is>
          <t>contribution_rate</t>
        </is>
      </c>
    </row>
    <row r="103">
      <c r="A103" t="inlineStr">
        <is>
          <t>Two-way</t>
        </is>
      </c>
      <c r="B103" t="inlineStr">
        <is>
          <t>Earned before losses</t>
        </is>
      </c>
      <c r="C103" t="n">
        <v>13</v>
      </c>
      <c r="D103" t="inlineStr">
        <is>
          <t>FICO (blank)</t>
        </is>
      </c>
      <c r="E103" t="inlineStr">
        <is>
          <t>Broker</t>
        </is>
      </c>
      <c r="G103" t="n">
        <v>1</v>
      </c>
      <c r="J103" t="n">
        <v>23</v>
      </c>
      <c r="K103">
        <f>'_pockets'!$AI$13</f>
        <v/>
      </c>
      <c r="L103">
        <f>'_pockets'!$AJ$13</f>
        <v/>
      </c>
      <c r="M103">
        <f>IF(AND($A103='Pockets'!$D$18,$B103='Pockets'!$C$18,OR('Pockets'!$E$18="All",AND('Pockets'!$E$18="Worse and material",$K103="Yes",$L103="Yes"),AND('Pockets'!$E$18="Worse or not sure",OR($K103="Yes",$K103="Not sure")))),1,0)</f>
        <v/>
      </c>
      <c r="N103">
        <f>$N102+$M103</f>
        <v/>
      </c>
      <c r="O103" t="inlineStr">
        <is>
          <t>grids</t>
        </is>
      </c>
      <c r="P103" t="inlineStr">
        <is>
          <t>contribution_rate</t>
        </is>
      </c>
    </row>
    <row r="104">
      <c r="A104" t="inlineStr">
        <is>
          <t>Two-way</t>
        </is>
      </c>
      <c r="B104" t="inlineStr">
        <is>
          <t>Earned before losses</t>
        </is>
      </c>
      <c r="C104" t="n">
        <v>48</v>
      </c>
      <c r="D104" t="inlineStr">
        <is>
          <t>FICO 746 - 921</t>
        </is>
      </c>
      <c r="E104" t="inlineStr">
        <is>
          <t>Broker</t>
        </is>
      </c>
      <c r="G104" t="n">
        <v>536</v>
      </c>
      <c r="H104" t="n">
        <v>-1.673150190798175</v>
      </c>
      <c r="J104" t="n">
        <v>24</v>
      </c>
      <c r="K104">
        <f>'_pockets'!$AI$48</f>
        <v/>
      </c>
      <c r="L104">
        <f>'_pockets'!$AJ$48</f>
        <v/>
      </c>
      <c r="M104">
        <f>IF(AND($A104='Pockets'!$D$18,$B104='Pockets'!$C$18,OR('Pockets'!$E$18="All",AND('Pockets'!$E$18="Worse and material",$K104="Yes",$L104="Yes"),AND('Pockets'!$E$18="Worse or not sure",OR($K104="Yes",$K104="Not sure")))),1,0)</f>
        <v/>
      </c>
      <c r="N104">
        <f>$N103+$M104</f>
        <v/>
      </c>
      <c r="O104" t="inlineStr">
        <is>
          <t>grids</t>
        </is>
      </c>
      <c r="P104" t="inlineStr">
        <is>
          <t>contribution_rate</t>
        </is>
      </c>
    </row>
    <row r="105">
      <c r="A105" t="inlineStr">
        <is>
          <t>Two-way</t>
        </is>
      </c>
      <c r="B105" t="inlineStr">
        <is>
          <t>Earned before losses</t>
        </is>
      </c>
      <c r="C105" t="n">
        <v>28</v>
      </c>
      <c r="D105" t="inlineStr">
        <is>
          <t>FICO 746 - 921</t>
        </is>
      </c>
      <c r="E105" t="inlineStr">
        <is>
          <t>Branch</t>
        </is>
      </c>
      <c r="G105" t="n">
        <v>518</v>
      </c>
      <c r="H105" t="n">
        <v>-1.699923061552088</v>
      </c>
      <c r="J105" t="n">
        <v>25</v>
      </c>
      <c r="K105">
        <f>'_pockets'!$AI$28</f>
        <v/>
      </c>
      <c r="L105">
        <f>'_pockets'!$AJ$28</f>
        <v/>
      </c>
      <c r="M105">
        <f>IF(AND($A105='Pockets'!$D$18,$B105='Pockets'!$C$18,OR('Pockets'!$E$18="All",AND('Pockets'!$E$18="Worse and material",$K105="Yes",$L105="Yes"),AND('Pockets'!$E$18="Worse or not sure",OR($K105="Yes",$K105="Not sure")))),1,0)</f>
        <v/>
      </c>
      <c r="N105">
        <f>$N104+$M105</f>
        <v/>
      </c>
      <c r="O105" t="inlineStr">
        <is>
          <t>grids</t>
        </is>
      </c>
      <c r="P105" t="inlineStr">
        <is>
          <t>contribution_rate</t>
        </is>
      </c>
    </row>
    <row r="106">
      <c r="A106" t="inlineStr">
        <is>
          <t>Two-way</t>
        </is>
      </c>
      <c r="B106" t="inlineStr">
        <is>
          <t>Earned before losses</t>
        </is>
      </c>
      <c r="C106" t="n">
        <v>43</v>
      </c>
      <c r="D106" t="inlineStr">
        <is>
          <t>FICO 712 - 745</t>
        </is>
      </c>
      <c r="E106" t="inlineStr">
        <is>
          <t>Online</t>
        </is>
      </c>
      <c r="G106" t="n">
        <v>564</v>
      </c>
      <c r="H106" t="n">
        <v>-1.634158262403751</v>
      </c>
      <c r="J106" t="n">
        <v>26</v>
      </c>
      <c r="K106">
        <f>'_pockets'!$AI$43</f>
        <v/>
      </c>
      <c r="L106">
        <f>'_pockets'!$AJ$43</f>
        <v/>
      </c>
      <c r="M106">
        <f>IF(AND($A106='Pockets'!$D$18,$B106='Pockets'!$C$18,OR('Pockets'!$E$18="All",AND('Pockets'!$E$18="Worse and material",$K106="Yes",$L106="Yes"),AND('Pockets'!$E$18="Worse or not sure",OR($K106="Yes",$K106="Not sure")))),1,0)</f>
        <v/>
      </c>
      <c r="N106">
        <f>$N105+$M106</f>
        <v/>
      </c>
      <c r="O106" t="inlineStr">
        <is>
          <t>grids</t>
        </is>
      </c>
      <c r="P106" t="inlineStr">
        <is>
          <t>contribution_rate</t>
        </is>
      </c>
    </row>
    <row r="107">
      <c r="A107" t="inlineStr">
        <is>
          <t>Split by REV_DEBT</t>
        </is>
      </c>
      <c r="B107" t="inlineStr">
        <is>
          <t>Bad loans</t>
        </is>
      </c>
      <c r="C107" t="n">
        <v>269</v>
      </c>
      <c r="D107" t="inlineStr">
        <is>
          <t>FICO 496 - 653</t>
        </is>
      </c>
      <c r="E107" t="inlineStr">
        <is>
          <t>Broker</t>
        </is>
      </c>
      <c r="F107" t="inlineStr">
        <is>
          <t>high</t>
        </is>
      </c>
      <c r="G107" t="n">
        <v>261</v>
      </c>
      <c r="H107" t="n">
        <v>1.657586474286191</v>
      </c>
      <c r="I107" t="inlineStr">
        <is>
          <t>Yes</t>
        </is>
      </c>
      <c r="J107" t="n">
        <v>1</v>
      </c>
      <c r="K107">
        <f>'_pockets'!$AI$269</f>
        <v/>
      </c>
      <c r="L107">
        <f>'_pockets'!$AJ$269</f>
        <v/>
      </c>
      <c r="M107">
        <f>IF(AND($A107='Pockets'!$D$18,$B107='Pockets'!$C$18,OR('Pockets'!$E$18="All",AND('Pockets'!$E$18="Worse and material",$K107="Yes",$L107="Yes"),AND('Pockets'!$E$18="Worse or not sure",OR($K107="Yes",$K107="Not sure")))),1,0)</f>
        <v/>
      </c>
      <c r="N107">
        <f>$N106+$M107</f>
        <v/>
      </c>
      <c r="O107" t="inlineStr">
        <is>
          <t>three-way</t>
        </is>
      </c>
      <c r="P107" t="inlineStr">
        <is>
          <t>outcome_loans</t>
        </is>
      </c>
    </row>
    <row r="108">
      <c r="A108" t="inlineStr">
        <is>
          <t>Split by REV_DEBT</t>
        </is>
      </c>
      <c r="B108" t="inlineStr">
        <is>
          <t>Bad loans</t>
        </is>
      </c>
      <c r="C108" t="n">
        <v>259</v>
      </c>
      <c r="D108" t="inlineStr">
        <is>
          <t>FICO 686 - 711</t>
        </is>
      </c>
      <c r="E108" t="inlineStr">
        <is>
          <t>Online</t>
        </is>
      </c>
      <c r="F108" t="inlineStr">
        <is>
          <t>high</t>
        </is>
      </c>
      <c r="G108" t="n">
        <v>273</v>
      </c>
      <c r="H108" t="n">
        <v>1.642660826290603</v>
      </c>
      <c r="I108" t="inlineStr">
        <is>
          <t>Yes</t>
        </is>
      </c>
      <c r="J108" t="n">
        <v>2</v>
      </c>
      <c r="K108">
        <f>'_pockets'!$AI$259</f>
        <v/>
      </c>
      <c r="L108">
        <f>'_pockets'!$AJ$259</f>
        <v/>
      </c>
      <c r="M108">
        <f>IF(AND($A108='Pockets'!$D$18,$B108='Pockets'!$C$18,OR('Pockets'!$E$18="All",AND('Pockets'!$E$18="Worse and material",$K108="Yes",$L108="Yes"),AND('Pockets'!$E$18="Worse or not sure",OR($K108="Yes",$K108="Not sure")))),1,0)</f>
        <v/>
      </c>
      <c r="N108">
        <f>$N107+$M108</f>
        <v/>
      </c>
      <c r="O108" t="inlineStr">
        <is>
          <t>three-way</t>
        </is>
      </c>
      <c r="P108" t="inlineStr">
        <is>
          <t>outcome_loans</t>
        </is>
      </c>
    </row>
    <row r="109">
      <c r="A109" t="inlineStr">
        <is>
          <t>Split by REV_DEBT</t>
        </is>
      </c>
      <c r="B109" t="inlineStr">
        <is>
          <t>Bad loans</t>
        </is>
      </c>
      <c r="C109" t="n">
        <v>244</v>
      </c>
      <c r="D109" t="inlineStr">
        <is>
          <t>FICO 712 - 745</t>
        </is>
      </c>
      <c r="E109" t="inlineStr">
        <is>
          <t>Online</t>
        </is>
      </c>
      <c r="F109" t="inlineStr">
        <is>
          <t>high</t>
        </is>
      </c>
      <c r="G109" t="n">
        <v>282</v>
      </c>
      <c r="H109" t="n">
        <v>1.632126292275921</v>
      </c>
      <c r="I109" t="inlineStr">
        <is>
          <t>Yes</t>
        </is>
      </c>
      <c r="J109" t="n">
        <v>3</v>
      </c>
      <c r="K109">
        <f>'_pockets'!$AI$244</f>
        <v/>
      </c>
      <c r="L109">
        <f>'_pockets'!$AJ$244</f>
        <v/>
      </c>
      <c r="M109">
        <f>IF(AND($A109='Pockets'!$D$18,$B109='Pockets'!$C$18,OR('Pockets'!$E$18="All",AND('Pockets'!$E$18="Worse and material",$K109="Yes",$L109="Yes"),AND('Pockets'!$E$18="Worse or not sure",OR($K109="Yes",$K109="Not sure")))),1,0)</f>
        <v/>
      </c>
      <c r="N109">
        <f>$N108+$M109</f>
        <v/>
      </c>
      <c r="O109" t="inlineStr">
        <is>
          <t>three-way</t>
        </is>
      </c>
      <c r="P109" t="inlineStr">
        <is>
          <t>outcome_loans</t>
        </is>
      </c>
    </row>
    <row r="110">
      <c r="A110" t="inlineStr">
        <is>
          <t>Split by REV_DEBT</t>
        </is>
      </c>
      <c r="B110" t="inlineStr">
        <is>
          <t>Bad loans</t>
        </is>
      </c>
      <c r="C110" t="n">
        <v>309</v>
      </c>
      <c r="D110" t="inlineStr">
        <is>
          <t>FICO 654 - 685</t>
        </is>
      </c>
      <c r="E110" t="inlineStr">
        <is>
          <t>Broker</t>
        </is>
      </c>
      <c r="F110" t="inlineStr">
        <is>
          <t>high</t>
        </is>
      </c>
      <c r="G110" t="n">
        <v>265</v>
      </c>
      <c r="H110" t="n">
        <v>1.652493453789482</v>
      </c>
      <c r="I110" t="inlineStr">
        <is>
          <t>Yes</t>
        </is>
      </c>
      <c r="J110" t="n">
        <v>4</v>
      </c>
      <c r="K110">
        <f>'_pockets'!$AI$309</f>
        <v/>
      </c>
      <c r="L110">
        <f>'_pockets'!$AJ$309</f>
        <v/>
      </c>
      <c r="M110">
        <f>IF(AND($A110='Pockets'!$D$18,$B110='Pockets'!$C$18,OR('Pockets'!$E$18="All",AND('Pockets'!$E$18="Worse and material",$K110="Yes",$L110="Yes"),AND('Pockets'!$E$18="Worse or not sure",OR($K110="Yes",$K110="Not sure")))),1,0)</f>
        <v/>
      </c>
      <c r="N110">
        <f>$N109+$M110</f>
        <v/>
      </c>
      <c r="O110" t="inlineStr">
        <is>
          <t>three-way</t>
        </is>
      </c>
      <c r="P110" t="inlineStr">
        <is>
          <t>outcome_loans</t>
        </is>
      </c>
    </row>
    <row r="111">
      <c r="A111" t="inlineStr">
        <is>
          <t>Split by REV_DEBT</t>
        </is>
      </c>
      <c r="B111" t="inlineStr">
        <is>
          <t>Bad loans</t>
        </is>
      </c>
      <c r="C111" t="n">
        <v>284</v>
      </c>
      <c r="D111" t="inlineStr">
        <is>
          <t>FICO 654 - 685</t>
        </is>
      </c>
      <c r="E111" t="inlineStr">
        <is>
          <t>Online</t>
        </is>
      </c>
      <c r="F111" t="inlineStr">
        <is>
          <t>high</t>
        </is>
      </c>
      <c r="G111" t="n">
        <v>252</v>
      </c>
      <c r="H111" t="n">
        <v>1.669506997135689</v>
      </c>
      <c r="I111" t="inlineStr">
        <is>
          <t>Yes</t>
        </is>
      </c>
      <c r="J111" t="n">
        <v>5</v>
      </c>
      <c r="K111">
        <f>'_pockets'!$AI$284</f>
        <v/>
      </c>
      <c r="L111">
        <f>'_pockets'!$AJ$284</f>
        <v/>
      </c>
      <c r="M111">
        <f>IF(AND($A111='Pockets'!$D$18,$B111='Pockets'!$C$18,OR('Pockets'!$E$18="All",AND('Pockets'!$E$18="Worse and material",$K111="Yes",$L111="Yes"),AND('Pockets'!$E$18="Worse or not sure",OR($K111="Yes",$K111="Not sure")))),1,0)</f>
        <v/>
      </c>
      <c r="N111">
        <f>$N110+$M111</f>
        <v/>
      </c>
      <c r="O111" t="inlineStr">
        <is>
          <t>three-way</t>
        </is>
      </c>
      <c r="P111" t="inlineStr">
        <is>
          <t>outcome_loans</t>
        </is>
      </c>
    </row>
    <row r="112">
      <c r="A112" t="inlineStr">
        <is>
          <t>Split by REV_DEBT</t>
        </is>
      </c>
      <c r="B112" t="inlineStr">
        <is>
          <t>Bad loans</t>
        </is>
      </c>
      <c r="C112" t="n">
        <v>249</v>
      </c>
      <c r="D112" t="inlineStr">
        <is>
          <t>FICO 654 - 685</t>
        </is>
      </c>
      <c r="E112" t="inlineStr">
        <is>
          <t>Branch</t>
        </is>
      </c>
      <c r="F112" t="inlineStr">
        <is>
          <t>high</t>
        </is>
      </c>
      <c r="G112" t="n">
        <v>251</v>
      </c>
      <c r="H112" t="n">
        <v>1.670872794280719</v>
      </c>
      <c r="I112" t="inlineStr">
        <is>
          <t>Yes</t>
        </is>
      </c>
      <c r="J112" t="n">
        <v>6</v>
      </c>
      <c r="K112">
        <f>'_pockets'!$AI$249</f>
        <v/>
      </c>
      <c r="L112">
        <f>'_pockets'!$AJ$249</f>
        <v/>
      </c>
      <c r="M112">
        <f>IF(AND($A112='Pockets'!$D$18,$B112='Pockets'!$C$18,OR('Pockets'!$E$18="All",AND('Pockets'!$E$18="Worse and material",$K112="Yes",$L112="Yes"),AND('Pockets'!$E$18="Worse or not sure",OR($K112="Yes",$K112="Not sure")))),1,0)</f>
        <v/>
      </c>
      <c r="N112">
        <f>$N111+$M112</f>
        <v/>
      </c>
      <c r="O112" t="inlineStr">
        <is>
          <t>three-way</t>
        </is>
      </c>
      <c r="P112" t="inlineStr">
        <is>
          <t>outcome_loans</t>
        </is>
      </c>
    </row>
    <row r="113">
      <c r="A113" t="inlineStr">
        <is>
          <t>Split by REV_DEBT</t>
        </is>
      </c>
      <c r="B113" t="inlineStr">
        <is>
          <t>Bad loans</t>
        </is>
      </c>
      <c r="C113" t="n">
        <v>369</v>
      </c>
      <c r="D113" t="inlineStr">
        <is>
          <t>FICO (marked missing)</t>
        </is>
      </c>
      <c r="E113" t="inlineStr">
        <is>
          <t>Broker</t>
        </is>
      </c>
      <c r="F113" t="inlineStr">
        <is>
          <t>high</t>
        </is>
      </c>
      <c r="G113" t="n">
        <v>27</v>
      </c>
      <c r="H113" t="n">
        <v>3.214461347627554</v>
      </c>
      <c r="I113" t="inlineStr">
        <is>
          <t>Yes</t>
        </is>
      </c>
      <c r="J113" t="n">
        <v>7</v>
      </c>
      <c r="K113">
        <f>'_pockets'!$AI$369</f>
        <v/>
      </c>
      <c r="L113">
        <f>'_pockets'!$AJ$369</f>
        <v/>
      </c>
      <c r="M113">
        <f>IF(AND($A113='Pockets'!$D$18,$B113='Pockets'!$C$18,OR('Pockets'!$E$18="All",AND('Pockets'!$E$18="Worse and material",$K113="Yes",$L113="Yes"),AND('Pockets'!$E$18="Worse or not sure",OR($K113="Yes",$K113="Not sure")))),1,0)</f>
        <v/>
      </c>
      <c r="N113">
        <f>$N112+$M113</f>
        <v/>
      </c>
      <c r="O113" t="inlineStr">
        <is>
          <t>three-way</t>
        </is>
      </c>
      <c r="P113" t="inlineStr">
        <is>
          <t>outcome_loans</t>
        </is>
      </c>
    </row>
    <row r="114">
      <c r="A114" t="inlineStr">
        <is>
          <t>Split by REV_DEBT</t>
        </is>
      </c>
      <c r="B114" t="inlineStr">
        <is>
          <t>Bad loans</t>
        </is>
      </c>
      <c r="C114" t="n">
        <v>229</v>
      </c>
      <c r="D114" t="inlineStr">
        <is>
          <t>FICO 712 - 745</t>
        </is>
      </c>
      <c r="E114" t="inlineStr">
        <is>
          <t>Online</t>
        </is>
      </c>
      <c r="F114" t="inlineStr">
        <is>
          <t>low</t>
        </is>
      </c>
      <c r="G114" t="n">
        <v>282</v>
      </c>
      <c r="H114" t="n">
        <v>1.632126292275921</v>
      </c>
      <c r="I114" t="inlineStr">
        <is>
          <t>Yes</t>
        </is>
      </c>
      <c r="J114" t="n">
        <v>8</v>
      </c>
      <c r="K114">
        <f>'_pockets'!$AI$229</f>
        <v/>
      </c>
      <c r="L114">
        <f>'_pockets'!$AJ$229</f>
        <v/>
      </c>
      <c r="M114">
        <f>IF(AND($A114='Pockets'!$D$18,$B114='Pockets'!$C$18,OR('Pockets'!$E$18="All",AND('Pockets'!$E$18="Worse and material",$K114="Yes",$L114="Yes"),AND('Pockets'!$E$18="Worse or not sure",OR($K114="Yes",$K114="Not sure")))),1,0)</f>
        <v/>
      </c>
      <c r="N114">
        <f>$N113+$M114</f>
        <v/>
      </c>
      <c r="O114" t="inlineStr">
        <is>
          <t>three-way</t>
        </is>
      </c>
      <c r="P114" t="inlineStr">
        <is>
          <t>outcome_loans</t>
        </is>
      </c>
    </row>
    <row r="115">
      <c r="A115" t="inlineStr">
        <is>
          <t>Split by REV_DEBT</t>
        </is>
      </c>
      <c r="B115" t="inlineStr">
        <is>
          <t>Bad loans</t>
        </is>
      </c>
      <c r="C115" t="n">
        <v>319</v>
      </c>
      <c r="D115" t="inlineStr">
        <is>
          <t>FICO 746 - 921</t>
        </is>
      </c>
      <c r="E115" t="inlineStr">
        <is>
          <t>Broker</t>
        </is>
      </c>
      <c r="F115" t="inlineStr">
        <is>
          <t>high</t>
        </is>
      </c>
      <c r="G115" t="n">
        <v>268</v>
      </c>
      <c r="H115" t="n">
        <v>1.648752231649387</v>
      </c>
      <c r="I115" t="inlineStr">
        <is>
          <t>Yes</t>
        </is>
      </c>
      <c r="J115" t="n">
        <v>9</v>
      </c>
      <c r="K115">
        <f>'_pockets'!$AI$319</f>
        <v/>
      </c>
      <c r="L115">
        <f>'_pockets'!$AJ$319</f>
        <v/>
      </c>
      <c r="M115">
        <f>IF(AND($A115='Pockets'!$D$18,$B115='Pockets'!$C$18,OR('Pockets'!$E$18="All",AND('Pockets'!$E$18="Worse and material",$K115="Yes",$L115="Yes"),AND('Pockets'!$E$18="Worse or not sure",OR($K115="Yes",$K115="Not sure")))),1,0)</f>
        <v/>
      </c>
      <c r="N115">
        <f>$N114+$M115</f>
        <v/>
      </c>
      <c r="O115" t="inlineStr">
        <is>
          <t>three-way</t>
        </is>
      </c>
      <c r="P115" t="inlineStr">
        <is>
          <t>outcome_loans</t>
        </is>
      </c>
    </row>
    <row r="116">
      <c r="A116" t="inlineStr">
        <is>
          <t>Split by REV_DEBT</t>
        </is>
      </c>
      <c r="B116" t="inlineStr">
        <is>
          <t>Bad loans</t>
        </is>
      </c>
      <c r="C116" t="n">
        <v>339</v>
      </c>
      <c r="D116" t="inlineStr">
        <is>
          <t>FICO 686 - 711</t>
        </is>
      </c>
      <c r="E116" t="inlineStr">
        <is>
          <t>Branch</t>
        </is>
      </c>
      <c r="F116" t="inlineStr">
        <is>
          <t>high</t>
        </is>
      </c>
      <c r="G116" t="n">
        <v>257</v>
      </c>
      <c r="H116" t="n">
        <v>1.662803545702996</v>
      </c>
      <c r="I116" t="inlineStr">
        <is>
          <t>Yes</t>
        </is>
      </c>
      <c r="J116" t="n">
        <v>10</v>
      </c>
      <c r="K116">
        <f>'_pockets'!$AI$339</f>
        <v/>
      </c>
      <c r="L116">
        <f>'_pockets'!$AJ$339</f>
        <v/>
      </c>
      <c r="M116">
        <f>IF(AND($A116='Pockets'!$D$18,$B116='Pockets'!$C$18,OR('Pockets'!$E$18="All",AND('Pockets'!$E$18="Worse and material",$K116="Yes",$L116="Yes"),AND('Pockets'!$E$18="Worse or not sure",OR($K116="Yes",$K116="Not sure")))),1,0)</f>
        <v/>
      </c>
      <c r="N116">
        <f>$N115+$M116</f>
        <v/>
      </c>
      <c r="O116" t="inlineStr">
        <is>
          <t>three-way</t>
        </is>
      </c>
      <c r="P116" t="inlineStr">
        <is>
          <t>outcome_loans</t>
        </is>
      </c>
    </row>
    <row r="117">
      <c r="A117" t="inlineStr">
        <is>
          <t>Split by REV_DEBT</t>
        </is>
      </c>
      <c r="B117" t="inlineStr">
        <is>
          <t>Bad loans</t>
        </is>
      </c>
      <c r="C117" t="n">
        <v>324</v>
      </c>
      <c r="D117" t="inlineStr">
        <is>
          <t>FICO 746 - 921</t>
        </is>
      </c>
      <c r="E117" t="inlineStr">
        <is>
          <t>Branch</t>
        </is>
      </c>
      <c r="F117" t="inlineStr">
        <is>
          <t>high</t>
        </is>
      </c>
      <c r="G117" t="n">
        <v>259</v>
      </c>
      <c r="H117" t="n">
        <v>1.660179196729962</v>
      </c>
      <c r="I117" t="inlineStr">
        <is>
          <t>Yes</t>
        </is>
      </c>
      <c r="J117" t="n">
        <v>11</v>
      </c>
      <c r="K117">
        <f>'_pockets'!$AI$324</f>
        <v/>
      </c>
      <c r="L117">
        <f>'_pockets'!$AJ$324</f>
        <v/>
      </c>
      <c r="M117">
        <f>IF(AND($A117='Pockets'!$D$18,$B117='Pockets'!$C$18,OR('Pockets'!$E$18="All",AND('Pockets'!$E$18="Worse and material",$K117="Yes",$L117="Yes"),AND('Pockets'!$E$18="Worse or not sure",OR($K117="Yes",$K117="Not sure")))),1,0)</f>
        <v/>
      </c>
      <c r="N117">
        <f>$N116+$M117</f>
        <v/>
      </c>
      <c r="O117" t="inlineStr">
        <is>
          <t>three-way</t>
        </is>
      </c>
      <c r="P117" t="inlineStr">
        <is>
          <t>outcome_loans</t>
        </is>
      </c>
    </row>
    <row r="118">
      <c r="A118" t="inlineStr">
        <is>
          <t>Split by REV_DEBT</t>
        </is>
      </c>
      <c r="B118" t="inlineStr">
        <is>
          <t>Bad loans</t>
        </is>
      </c>
      <c r="C118" t="n">
        <v>329</v>
      </c>
      <c r="D118" t="inlineStr">
        <is>
          <t>FICO 686 - 711</t>
        </is>
      </c>
      <c r="E118" t="inlineStr">
        <is>
          <t>Broker</t>
        </is>
      </c>
      <c r="F118" t="inlineStr">
        <is>
          <t>high</t>
        </is>
      </c>
      <c r="G118" t="n">
        <v>250</v>
      </c>
      <c r="H118" t="n">
        <v>1.672247160480332</v>
      </c>
      <c r="I118" t="inlineStr">
        <is>
          <t>Yes</t>
        </is>
      </c>
      <c r="J118" t="n">
        <v>12</v>
      </c>
      <c r="K118">
        <f>'_pockets'!$AI$329</f>
        <v/>
      </c>
      <c r="L118">
        <f>'_pockets'!$AJ$329</f>
        <v/>
      </c>
      <c r="M118">
        <f>IF(AND($A118='Pockets'!$D$18,$B118='Pockets'!$C$18,OR('Pockets'!$E$18="All",AND('Pockets'!$E$18="Worse and material",$K118="Yes",$L118="Yes"),AND('Pockets'!$E$18="Worse or not sure",OR($K118="Yes",$K118="Not sure")))),1,0)</f>
        <v/>
      </c>
      <c r="N118">
        <f>$N117+$M118</f>
        <v/>
      </c>
      <c r="O118" t="inlineStr">
        <is>
          <t>three-way</t>
        </is>
      </c>
      <c r="P118" t="inlineStr">
        <is>
          <t>outcome_loans</t>
        </is>
      </c>
    </row>
    <row r="119">
      <c r="A119" t="inlineStr">
        <is>
          <t>Split by REV_DEBT</t>
        </is>
      </c>
      <c r="B119" t="inlineStr">
        <is>
          <t>Bad loans</t>
        </is>
      </c>
      <c r="C119" t="n">
        <v>204</v>
      </c>
      <c r="D119" t="inlineStr">
        <is>
          <t>FICO 712 - 745</t>
        </is>
      </c>
      <c r="E119" t="inlineStr">
        <is>
          <t>Branch</t>
        </is>
      </c>
      <c r="F119" t="inlineStr">
        <is>
          <t>high</t>
        </is>
      </c>
      <c r="G119" t="n">
        <v>269</v>
      </c>
      <c r="H119" t="n">
        <v>1.647519737139675</v>
      </c>
      <c r="I119" t="inlineStr">
        <is>
          <t>Yes</t>
        </is>
      </c>
      <c r="J119" t="n">
        <v>13</v>
      </c>
      <c r="K119">
        <f>'_pockets'!$AI$204</f>
        <v/>
      </c>
      <c r="L119">
        <f>'_pockets'!$AJ$204</f>
        <v/>
      </c>
      <c r="M119">
        <f>IF(AND($A119='Pockets'!$D$18,$B119='Pockets'!$C$18,OR('Pockets'!$E$18="All",AND('Pockets'!$E$18="Worse and material",$K119="Yes",$L119="Yes"),AND('Pockets'!$E$18="Worse or not sure",OR($K119="Yes",$K119="Not sure")))),1,0)</f>
        <v/>
      </c>
      <c r="N119">
        <f>$N118+$M119</f>
        <v/>
      </c>
      <c r="O119" t="inlineStr">
        <is>
          <t>three-way</t>
        </is>
      </c>
      <c r="P119" t="inlineStr">
        <is>
          <t>outcome_loans</t>
        </is>
      </c>
    </row>
    <row r="120">
      <c r="A120" t="inlineStr">
        <is>
          <t>Split by REV_DEBT</t>
        </is>
      </c>
      <c r="B120" t="inlineStr">
        <is>
          <t>Bad loans</t>
        </is>
      </c>
      <c r="C120" t="n">
        <v>274</v>
      </c>
      <c r="D120" t="inlineStr">
        <is>
          <t>FICO 496 - 653</t>
        </is>
      </c>
      <c r="E120" t="inlineStr">
        <is>
          <t>Branch</t>
        </is>
      </c>
      <c r="F120" t="inlineStr">
        <is>
          <t>high</t>
        </is>
      </c>
      <c r="G120" t="n">
        <v>251</v>
      </c>
      <c r="H120" t="n">
        <v>1.670872794280719</v>
      </c>
      <c r="I120" t="inlineStr">
        <is>
          <t>Yes</t>
        </is>
      </c>
      <c r="J120" t="n">
        <v>14</v>
      </c>
      <c r="K120">
        <f>'_pockets'!$AI$274</f>
        <v/>
      </c>
      <c r="L120">
        <f>'_pockets'!$AJ$274</f>
        <v/>
      </c>
      <c r="M120">
        <f>IF(AND($A120='Pockets'!$D$18,$B120='Pockets'!$C$18,OR('Pockets'!$E$18="All",AND('Pockets'!$E$18="Worse and material",$K120="Yes",$L120="Yes"),AND('Pockets'!$E$18="Worse or not sure",OR($K120="Yes",$K120="Not sure")))),1,0)</f>
        <v/>
      </c>
      <c r="N120">
        <f>$N119+$M120</f>
        <v/>
      </c>
      <c r="O120" t="inlineStr">
        <is>
          <t>three-way</t>
        </is>
      </c>
      <c r="P120" t="inlineStr">
        <is>
          <t>outcome_loans</t>
        </is>
      </c>
    </row>
    <row r="121">
      <c r="A121" t="inlineStr">
        <is>
          <t>Split by REV_DEBT</t>
        </is>
      </c>
      <c r="B121" t="inlineStr">
        <is>
          <t>Bad loans</t>
        </is>
      </c>
      <c r="C121" t="n">
        <v>219</v>
      </c>
      <c r="D121" t="inlineStr">
        <is>
          <t>FICO 496 - 653</t>
        </is>
      </c>
      <c r="E121" t="inlineStr">
        <is>
          <t>Broker</t>
        </is>
      </c>
      <c r="F121" t="inlineStr">
        <is>
          <t>low</t>
        </is>
      </c>
      <c r="G121" t="n">
        <v>262</v>
      </c>
      <c r="H121" t="n">
        <v>1.656301779239856</v>
      </c>
      <c r="I121" t="inlineStr">
        <is>
          <t>Yes</t>
        </is>
      </c>
      <c r="J121" t="n">
        <v>15</v>
      </c>
      <c r="K121">
        <f>'_pockets'!$AI$219</f>
        <v/>
      </c>
      <c r="L121">
        <f>'_pockets'!$AJ$219</f>
        <v/>
      </c>
      <c r="M121">
        <f>IF(AND($A121='Pockets'!$D$18,$B121='Pockets'!$C$18,OR('Pockets'!$E$18="All",AND('Pockets'!$E$18="Worse and material",$K121="Yes",$L121="Yes"),AND('Pockets'!$E$18="Worse or not sure",OR($K121="Yes",$K121="Not sure")))),1,0)</f>
        <v/>
      </c>
      <c r="N121">
        <f>$N120+$M121</f>
        <v/>
      </c>
      <c r="O121" t="inlineStr">
        <is>
          <t>three-way</t>
        </is>
      </c>
      <c r="P121" t="inlineStr">
        <is>
          <t>outcome_loans</t>
        </is>
      </c>
    </row>
    <row r="122">
      <c r="A122" t="inlineStr">
        <is>
          <t>Split by REV_DEBT</t>
        </is>
      </c>
      <c r="B122" t="inlineStr">
        <is>
          <t>Bad loans</t>
        </is>
      </c>
      <c r="C122" t="n">
        <v>334</v>
      </c>
      <c r="D122" t="inlineStr">
        <is>
          <t>FICO 496 - 653</t>
        </is>
      </c>
      <c r="E122" t="inlineStr">
        <is>
          <t>Online</t>
        </is>
      </c>
      <c r="F122" t="inlineStr">
        <is>
          <t>high</t>
        </is>
      </c>
      <c r="G122" t="n">
        <v>265</v>
      </c>
      <c r="H122" t="n">
        <v>1.652493453789482</v>
      </c>
      <c r="I122" t="inlineStr">
        <is>
          <t>Yes</t>
        </is>
      </c>
      <c r="J122" t="n">
        <v>16</v>
      </c>
      <c r="K122">
        <f>'_pockets'!$AI$334</f>
        <v/>
      </c>
      <c r="L122">
        <f>'_pockets'!$AJ$334</f>
        <v/>
      </c>
      <c r="M122">
        <f>IF(AND($A122='Pockets'!$D$18,$B122='Pockets'!$C$18,OR('Pockets'!$E$18="All",AND('Pockets'!$E$18="Worse and material",$K122="Yes",$L122="Yes"),AND('Pockets'!$E$18="Worse or not sure",OR($K122="Yes",$K122="Not sure")))),1,0)</f>
        <v/>
      </c>
      <c r="N122">
        <f>$N121+$M122</f>
        <v/>
      </c>
      <c r="O122" t="inlineStr">
        <is>
          <t>three-way</t>
        </is>
      </c>
      <c r="P122" t="inlineStr">
        <is>
          <t>outcome_loans</t>
        </is>
      </c>
    </row>
    <row r="123">
      <c r="A123" t="inlineStr">
        <is>
          <t>Split by REV_DEBT</t>
        </is>
      </c>
      <c r="B123" t="inlineStr">
        <is>
          <t>Bad loans</t>
        </is>
      </c>
      <c r="C123" t="n">
        <v>354</v>
      </c>
      <c r="D123" t="inlineStr">
        <is>
          <t>FICO 496 - 653</t>
        </is>
      </c>
      <c r="E123" t="inlineStr">
        <is>
          <t>Online</t>
        </is>
      </c>
      <c r="F123" t="inlineStr">
        <is>
          <t>low</t>
        </is>
      </c>
      <c r="G123" t="n">
        <v>266</v>
      </c>
      <c r="H123" t="n">
        <v>1.651239019720465</v>
      </c>
      <c r="I123" t="inlineStr">
        <is>
          <t>Yes</t>
        </is>
      </c>
      <c r="J123" t="n">
        <v>17</v>
      </c>
      <c r="K123">
        <f>'_pockets'!$AI$354</f>
        <v/>
      </c>
      <c r="L123">
        <f>'_pockets'!$AJ$354</f>
        <v/>
      </c>
      <c r="M123">
        <f>IF(AND($A123='Pockets'!$D$18,$B123='Pockets'!$C$18,OR('Pockets'!$E$18="All",AND('Pockets'!$E$18="Worse and material",$K123="Yes",$L123="Yes"),AND('Pockets'!$E$18="Worse or not sure",OR($K123="Yes",$K123="Not sure")))),1,0)</f>
        <v/>
      </c>
      <c r="N123">
        <f>$N122+$M123</f>
        <v/>
      </c>
      <c r="O123" t="inlineStr">
        <is>
          <t>three-way</t>
        </is>
      </c>
      <c r="P123" t="inlineStr">
        <is>
          <t>outcome_loans</t>
        </is>
      </c>
    </row>
    <row r="124">
      <c r="A124" t="inlineStr">
        <is>
          <t>Split by REV_DEBT</t>
        </is>
      </c>
      <c r="B124" t="inlineStr">
        <is>
          <t>Bad loans</t>
        </is>
      </c>
      <c r="C124" t="n">
        <v>379</v>
      </c>
      <c r="D124" t="inlineStr">
        <is>
          <t>SHORT_HIST 89.0 - 171.9</t>
        </is>
      </c>
      <c r="E124" t="inlineStr">
        <is>
          <t>Broker</t>
        </is>
      </c>
      <c r="F124" t="inlineStr">
        <is>
          <t>high</t>
        </is>
      </c>
      <c r="G124" t="n">
        <v>261</v>
      </c>
      <c r="H124" t="n">
        <v>1.657586474286191</v>
      </c>
      <c r="I124" t="inlineStr">
        <is>
          <t>No: may be mostly FICO</t>
        </is>
      </c>
      <c r="J124" t="n">
        <v>18</v>
      </c>
      <c r="K124">
        <f>'_pockets'!$AI$379</f>
        <v/>
      </c>
      <c r="L124">
        <f>'_pockets'!$AJ$379</f>
        <v/>
      </c>
      <c r="M124">
        <f>IF(AND($A124='Pockets'!$D$18,$B124='Pockets'!$C$18,OR('Pockets'!$E$18="All",AND('Pockets'!$E$18="Worse and material",$K124="Yes",$L124="Yes"),AND('Pockets'!$E$18="Worse or not sure",OR($K124="Yes",$K124="Not sure")))),1,0)</f>
        <v/>
      </c>
      <c r="N124">
        <f>$N123+$M124</f>
        <v/>
      </c>
      <c r="O124" t="inlineStr">
        <is>
          <t>three-way</t>
        </is>
      </c>
      <c r="P124" t="inlineStr">
        <is>
          <t>outcome_loans</t>
        </is>
      </c>
    </row>
    <row r="125">
      <c r="A125" t="inlineStr">
        <is>
          <t>Split by REV_DEBT</t>
        </is>
      </c>
      <c r="B125" t="inlineStr">
        <is>
          <t>Bad loans</t>
        </is>
      </c>
      <c r="C125" t="n">
        <v>484</v>
      </c>
      <c r="D125" t="inlineStr">
        <is>
          <t>SHORT_HIST 346.0 - 435.0</t>
        </is>
      </c>
      <c r="E125" t="inlineStr">
        <is>
          <t>Broker</t>
        </is>
      </c>
      <c r="F125" t="inlineStr">
        <is>
          <t>high</t>
        </is>
      </c>
      <c r="G125" t="n">
        <v>252</v>
      </c>
      <c r="H125" t="n">
        <v>1.669506997135689</v>
      </c>
      <c r="I125" t="inlineStr">
        <is>
          <t>No: may be mostly FICO</t>
        </is>
      </c>
      <c r="J125" t="n">
        <v>19</v>
      </c>
      <c r="K125">
        <f>'_pockets'!$AI$484</f>
        <v/>
      </c>
      <c r="L125">
        <f>'_pockets'!$AJ$484</f>
        <v/>
      </c>
      <c r="M125">
        <f>IF(AND($A125='Pockets'!$D$18,$B125='Pockets'!$C$18,OR('Pockets'!$E$18="All",AND('Pockets'!$E$18="Worse and material",$K125="Yes",$L125="Yes"),AND('Pockets'!$E$18="Worse or not sure",OR($K125="Yes",$K125="Not sure")))),1,0)</f>
        <v/>
      </c>
      <c r="N125">
        <f>$N124+$M125</f>
        <v/>
      </c>
      <c r="O125" t="inlineStr">
        <is>
          <t>three-way</t>
        </is>
      </c>
      <c r="P125" t="inlineStr">
        <is>
          <t>outcome_loans</t>
        </is>
      </c>
    </row>
    <row r="126">
      <c r="A126" t="inlineStr">
        <is>
          <t>Split by REV_DEBT</t>
        </is>
      </c>
      <c r="B126" t="inlineStr">
        <is>
          <t>Bad loans</t>
        </is>
      </c>
      <c r="C126" t="n">
        <v>399</v>
      </c>
      <c r="D126" t="inlineStr">
        <is>
          <t>SHORT_HIST 172.0 - 256.3</t>
        </is>
      </c>
      <c r="E126" t="inlineStr">
        <is>
          <t>Broker</t>
        </is>
      </c>
      <c r="F126" t="inlineStr">
        <is>
          <t>high</t>
        </is>
      </c>
      <c r="G126" t="n">
        <v>270</v>
      </c>
      <c r="H126" t="n">
        <v>1.64629441685791</v>
      </c>
      <c r="I126" t="inlineStr">
        <is>
          <t>No: may be mostly FICO</t>
        </is>
      </c>
      <c r="J126" t="n">
        <v>20</v>
      </c>
      <c r="K126">
        <f>'_pockets'!$AI$399</f>
        <v/>
      </c>
      <c r="L126">
        <f>'_pockets'!$AJ$399</f>
        <v/>
      </c>
      <c r="M126">
        <f>IF(AND($A126='Pockets'!$D$18,$B126='Pockets'!$C$18,OR('Pockets'!$E$18="All",AND('Pockets'!$E$18="Worse and material",$K126="Yes",$L126="Yes"),AND('Pockets'!$E$18="Worse or not sure",OR($K126="Yes",$K126="Not sure")))),1,0)</f>
        <v/>
      </c>
      <c r="N126">
        <f>$N125+$M126</f>
        <v/>
      </c>
      <c r="O126" t="inlineStr">
        <is>
          <t>three-way</t>
        </is>
      </c>
      <c r="P126" t="inlineStr">
        <is>
          <t>outcome_loans</t>
        </is>
      </c>
    </row>
    <row r="127">
      <c r="A127" t="inlineStr">
        <is>
          <t>Split by REV_DEBT</t>
        </is>
      </c>
      <c r="B127" t="inlineStr">
        <is>
          <t>Bad loans</t>
        </is>
      </c>
      <c r="C127" t="n">
        <v>524</v>
      </c>
      <c r="D127" t="inlineStr">
        <is>
          <t>SHORT_HIST 0.0 - 88.9</t>
        </is>
      </c>
      <c r="E127" t="inlineStr">
        <is>
          <t>Broker</t>
        </is>
      </c>
      <c r="F127" t="inlineStr">
        <is>
          <t>high</t>
        </is>
      </c>
      <c r="G127" t="n">
        <v>254</v>
      </c>
      <c r="H127" t="n">
        <v>1.666800763360692</v>
      </c>
      <c r="I127" t="inlineStr">
        <is>
          <t>No: may be mostly FICO</t>
        </is>
      </c>
      <c r="J127" t="n">
        <v>21</v>
      </c>
      <c r="K127">
        <f>'_pockets'!$AI$524</f>
        <v/>
      </c>
      <c r="L127">
        <f>'_pockets'!$AJ$524</f>
        <v/>
      </c>
      <c r="M127">
        <f>IF(AND($A127='Pockets'!$D$18,$B127='Pockets'!$C$18,OR('Pockets'!$E$18="All",AND('Pockets'!$E$18="Worse and material",$K127="Yes",$L127="Yes"),AND('Pockets'!$E$18="Worse or not sure",OR($K127="Yes",$K127="Not sure")))),1,0)</f>
        <v/>
      </c>
      <c r="N127">
        <f>$N126+$M127</f>
        <v/>
      </c>
      <c r="O127" t="inlineStr">
        <is>
          <t>three-way</t>
        </is>
      </c>
      <c r="P127" t="inlineStr">
        <is>
          <t>outcome_loans</t>
        </is>
      </c>
    </row>
    <row r="128">
      <c r="A128" t="inlineStr">
        <is>
          <t>Split by REV_DEBT</t>
        </is>
      </c>
      <c r="B128" t="inlineStr">
        <is>
          <t>Bad loans</t>
        </is>
      </c>
      <c r="C128" t="n">
        <v>469</v>
      </c>
      <c r="D128" t="inlineStr">
        <is>
          <t>SHORT_HIST 256.4 - 345.9</t>
        </is>
      </c>
      <c r="E128" t="inlineStr">
        <is>
          <t>Online</t>
        </is>
      </c>
      <c r="F128" t="inlineStr">
        <is>
          <t>high</t>
        </is>
      </c>
      <c r="G128" t="n">
        <v>268</v>
      </c>
      <c r="H128" t="n">
        <v>1.648752231649387</v>
      </c>
      <c r="I128" t="inlineStr">
        <is>
          <t>No: may be mostly FICO</t>
        </is>
      </c>
      <c r="J128" t="n">
        <v>22</v>
      </c>
      <c r="K128">
        <f>'_pockets'!$AI$469</f>
        <v/>
      </c>
      <c r="L128">
        <f>'_pockets'!$AJ$469</f>
        <v/>
      </c>
      <c r="M128">
        <f>IF(AND($A128='Pockets'!$D$18,$B128='Pockets'!$C$18,OR('Pockets'!$E$18="All",AND('Pockets'!$E$18="Worse and material",$K128="Yes",$L128="Yes"),AND('Pockets'!$E$18="Worse or not sure",OR($K128="Yes",$K128="Not sure")))),1,0)</f>
        <v/>
      </c>
      <c r="N128">
        <f>$N127+$M128</f>
        <v/>
      </c>
      <c r="O128" t="inlineStr">
        <is>
          <t>three-way</t>
        </is>
      </c>
      <c r="P128" t="inlineStr">
        <is>
          <t>outcome_loans</t>
        </is>
      </c>
    </row>
    <row r="129">
      <c r="A129" t="inlineStr">
        <is>
          <t>Split by REV_DEBT</t>
        </is>
      </c>
      <c r="B129" t="inlineStr">
        <is>
          <t>Bad loans</t>
        </is>
      </c>
      <c r="C129" t="n">
        <v>459</v>
      </c>
      <c r="D129" t="inlineStr">
        <is>
          <t>SHORT_HIST 256.4 - 345.9</t>
        </is>
      </c>
      <c r="E129" t="inlineStr">
        <is>
          <t>Broker</t>
        </is>
      </c>
      <c r="F129" t="inlineStr">
        <is>
          <t>high</t>
        </is>
      </c>
      <c r="G129" t="n">
        <v>256</v>
      </c>
      <c r="H129" t="n">
        <v>1.6641277779581</v>
      </c>
      <c r="I129" t="inlineStr">
        <is>
          <t>No: may be mostly FICO</t>
        </is>
      </c>
      <c r="J129" t="n">
        <v>23</v>
      </c>
      <c r="K129">
        <f>'_pockets'!$AI$459</f>
        <v/>
      </c>
      <c r="L129">
        <f>'_pockets'!$AJ$459</f>
        <v/>
      </c>
      <c r="M129">
        <f>IF(AND($A129='Pockets'!$D$18,$B129='Pockets'!$C$18,OR('Pockets'!$E$18="All",AND('Pockets'!$E$18="Worse and material",$K129="Yes",$L129="Yes"),AND('Pockets'!$E$18="Worse or not sure",OR($K129="Yes",$K129="Not sure")))),1,0)</f>
        <v/>
      </c>
      <c r="N129">
        <f>$N128+$M129</f>
        <v/>
      </c>
      <c r="O129" t="inlineStr">
        <is>
          <t>three-way</t>
        </is>
      </c>
      <c r="P129" t="inlineStr">
        <is>
          <t>outcome_loans</t>
        </is>
      </c>
    </row>
    <row r="130">
      <c r="A130" t="inlineStr">
        <is>
          <t>Split by REV_DEBT</t>
        </is>
      </c>
      <c r="B130" t="inlineStr">
        <is>
          <t>Bad loans</t>
        </is>
      </c>
      <c r="C130" t="n">
        <v>429</v>
      </c>
      <c r="D130" t="inlineStr">
        <is>
          <t>SHORT_HIST 172.0 - 256.3</t>
        </is>
      </c>
      <c r="E130" t="inlineStr">
        <is>
          <t>Online</t>
        </is>
      </c>
      <c r="F130" t="inlineStr">
        <is>
          <t>high</t>
        </is>
      </c>
      <c r="G130" t="n">
        <v>258</v>
      </c>
      <c r="H130" t="n">
        <v>1.661487378609934</v>
      </c>
      <c r="I130" t="inlineStr">
        <is>
          <t>No: may be mostly FICO</t>
        </is>
      </c>
      <c r="J130" t="n">
        <v>24</v>
      </c>
      <c r="K130">
        <f>'_pockets'!$AI$429</f>
        <v/>
      </c>
      <c r="L130">
        <f>'_pockets'!$AJ$429</f>
        <v/>
      </c>
      <c r="M130">
        <f>IF(AND($A130='Pockets'!$D$18,$B130='Pockets'!$C$18,OR('Pockets'!$E$18="All",AND('Pockets'!$E$18="Worse and material",$K130="Yes",$L130="Yes"),AND('Pockets'!$E$18="Worse or not sure",OR($K130="Yes",$K130="Not sure")))),1,0)</f>
        <v/>
      </c>
      <c r="N130">
        <f>$N129+$M130</f>
        <v/>
      </c>
      <c r="O130" t="inlineStr">
        <is>
          <t>three-way</t>
        </is>
      </c>
      <c r="P130" t="inlineStr">
        <is>
          <t>outcome_loans</t>
        </is>
      </c>
    </row>
    <row r="131">
      <c r="A131" t="inlineStr">
        <is>
          <t>Split by REV_DEBT</t>
        </is>
      </c>
      <c r="B131" t="inlineStr">
        <is>
          <t>Bad loans</t>
        </is>
      </c>
      <c r="C131" t="n">
        <v>489</v>
      </c>
      <c r="D131" t="inlineStr">
        <is>
          <t>SHORT_HIST 256.4 - 345.9</t>
        </is>
      </c>
      <c r="E131" t="inlineStr">
        <is>
          <t>Branch</t>
        </is>
      </c>
      <c r="F131" t="inlineStr">
        <is>
          <t>high</t>
        </is>
      </c>
      <c r="G131" t="n">
        <v>251</v>
      </c>
      <c r="H131" t="n">
        <v>1.670872794280719</v>
      </c>
      <c r="I131" t="inlineStr">
        <is>
          <t>No: may be mostly FICO</t>
        </is>
      </c>
      <c r="J131" t="n">
        <v>25</v>
      </c>
      <c r="K131">
        <f>'_pockets'!$AI$489</f>
        <v/>
      </c>
      <c r="L131">
        <f>'_pockets'!$AJ$489</f>
        <v/>
      </c>
      <c r="M131">
        <f>IF(AND($A131='Pockets'!$D$18,$B131='Pockets'!$C$18,OR('Pockets'!$E$18="All",AND('Pockets'!$E$18="Worse and material",$K131="Yes",$L131="Yes"),AND('Pockets'!$E$18="Worse or not sure",OR($K131="Yes",$K131="Not sure")))),1,0)</f>
        <v/>
      </c>
      <c r="N131">
        <f>$N130+$M131</f>
        <v/>
      </c>
      <c r="O131" t="inlineStr">
        <is>
          <t>three-way</t>
        </is>
      </c>
      <c r="P131" t="inlineStr">
        <is>
          <t>outcome_loans</t>
        </is>
      </c>
    </row>
    <row r="132">
      <c r="A132" t="inlineStr">
        <is>
          <t>Split by REV_DEBT</t>
        </is>
      </c>
      <c r="B132" t="inlineStr">
        <is>
          <t>Bad loans</t>
        </is>
      </c>
      <c r="C132" t="n">
        <v>514</v>
      </c>
      <c r="D132" t="inlineStr">
        <is>
          <t>SHORT_HIST 0.0 - 88.9</t>
        </is>
      </c>
      <c r="E132" t="inlineStr">
        <is>
          <t>Online</t>
        </is>
      </c>
      <c r="F132" t="inlineStr">
        <is>
          <t>high</t>
        </is>
      </c>
      <c r="G132" t="n">
        <v>264</v>
      </c>
      <c r="H132" t="n">
        <v>1.653755343133904</v>
      </c>
      <c r="I132" t="inlineStr">
        <is>
          <t>No: may be mostly FICO</t>
        </is>
      </c>
      <c r="J132" t="n">
        <v>26</v>
      </c>
      <c r="K132">
        <f>'_pockets'!$AI$514</f>
        <v/>
      </c>
      <c r="L132">
        <f>'_pockets'!$AJ$514</f>
        <v/>
      </c>
      <c r="M132">
        <f>IF(AND($A132='Pockets'!$D$18,$B132='Pockets'!$C$18,OR('Pockets'!$E$18="All",AND('Pockets'!$E$18="Worse and material",$K132="Yes",$L132="Yes"),AND('Pockets'!$E$18="Worse or not sure",OR($K132="Yes",$K132="Not sure")))),1,0)</f>
        <v/>
      </c>
      <c r="N132">
        <f>$N131+$M132</f>
        <v/>
      </c>
      <c r="O132" t="inlineStr">
        <is>
          <t>three-way</t>
        </is>
      </c>
      <c r="P132" t="inlineStr">
        <is>
          <t>outcome_loans</t>
        </is>
      </c>
    </row>
    <row r="133">
      <c r="A133" t="inlineStr">
        <is>
          <t>Split by REV_DEBT</t>
        </is>
      </c>
      <c r="B133" t="inlineStr">
        <is>
          <t>Bad loans</t>
        </is>
      </c>
      <c r="C133" t="n">
        <v>529</v>
      </c>
      <c r="D133" t="inlineStr">
        <is>
          <t>SHORT_HIST 346.0 - 435.0</t>
        </is>
      </c>
      <c r="E133" t="inlineStr">
        <is>
          <t>Online</t>
        </is>
      </c>
      <c r="F133" t="inlineStr">
        <is>
          <t>high</t>
        </is>
      </c>
      <c r="G133" t="n">
        <v>265</v>
      </c>
      <c r="H133" t="n">
        <v>1.652493453789482</v>
      </c>
      <c r="I133" t="inlineStr">
        <is>
          <t>No: may be mostly FICO</t>
        </is>
      </c>
      <c r="J133" t="n">
        <v>27</v>
      </c>
      <c r="K133">
        <f>'_pockets'!$AI$529</f>
        <v/>
      </c>
      <c r="L133">
        <f>'_pockets'!$AJ$529</f>
        <v/>
      </c>
      <c r="M133">
        <f>IF(AND($A133='Pockets'!$D$18,$B133='Pockets'!$C$18,OR('Pockets'!$E$18="All",AND('Pockets'!$E$18="Worse and material",$K133="Yes",$L133="Yes"),AND('Pockets'!$E$18="Worse or not sure",OR($K133="Yes",$K133="Not sure")))),1,0)</f>
        <v/>
      </c>
      <c r="N133">
        <f>$N132+$M133</f>
        <v/>
      </c>
      <c r="O133" t="inlineStr">
        <is>
          <t>three-way</t>
        </is>
      </c>
      <c r="P133" t="inlineStr">
        <is>
          <t>outcome_loans</t>
        </is>
      </c>
    </row>
    <row r="134">
      <c r="A134" t="inlineStr">
        <is>
          <t>Split by REV_DEBT</t>
        </is>
      </c>
      <c r="B134" t="inlineStr">
        <is>
          <t>Bad loans</t>
        </is>
      </c>
      <c r="C134" t="n">
        <v>434</v>
      </c>
      <c r="D134" t="inlineStr">
        <is>
          <t>SHORT_HIST 89.0 - 171.9</t>
        </is>
      </c>
      <c r="E134" t="inlineStr">
        <is>
          <t>Branch</t>
        </is>
      </c>
      <c r="F134" t="inlineStr">
        <is>
          <t>high</t>
        </is>
      </c>
      <c r="G134" t="n">
        <v>245</v>
      </c>
      <c r="H134" t="n">
        <v>1.679250659664616</v>
      </c>
      <c r="I134" t="inlineStr">
        <is>
          <t>No: may be mostly FICO</t>
        </is>
      </c>
      <c r="J134" t="n">
        <v>28</v>
      </c>
      <c r="K134">
        <f>'_pockets'!$AI$434</f>
        <v/>
      </c>
      <c r="L134">
        <f>'_pockets'!$AJ$434</f>
        <v/>
      </c>
      <c r="M134">
        <f>IF(AND($A134='Pockets'!$D$18,$B134='Pockets'!$C$18,OR('Pockets'!$E$18="All",AND('Pockets'!$E$18="Worse and material",$K134="Yes",$L134="Yes"),AND('Pockets'!$E$18="Worse or not sure",OR($K134="Yes",$K134="Not sure")))),1,0)</f>
        <v/>
      </c>
      <c r="N134">
        <f>$N133+$M134</f>
        <v/>
      </c>
      <c r="O134" t="inlineStr">
        <is>
          <t>three-way</t>
        </is>
      </c>
      <c r="P134" t="inlineStr">
        <is>
          <t>outcome_loans</t>
        </is>
      </c>
    </row>
    <row r="135">
      <c r="A135" t="inlineStr">
        <is>
          <t>Split by REV_DEBT</t>
        </is>
      </c>
      <c r="B135" t="inlineStr">
        <is>
          <t>Bad loans</t>
        </is>
      </c>
      <c r="C135" t="n">
        <v>439</v>
      </c>
      <c r="D135" t="inlineStr">
        <is>
          <t>SHORT_HIST 89.0 - 171.9</t>
        </is>
      </c>
      <c r="E135" t="inlineStr">
        <is>
          <t>Online</t>
        </is>
      </c>
      <c r="F135" t="inlineStr">
        <is>
          <t>high</t>
        </is>
      </c>
      <c r="G135" t="n">
        <v>272</v>
      </c>
      <c r="H135" t="n">
        <v>1.643865028056036</v>
      </c>
      <c r="I135" t="inlineStr">
        <is>
          <t>No: may be mostly FICO</t>
        </is>
      </c>
      <c r="J135" t="n">
        <v>29</v>
      </c>
      <c r="K135">
        <f>'_pockets'!$AI$439</f>
        <v/>
      </c>
      <c r="L135">
        <f>'_pockets'!$AJ$439</f>
        <v/>
      </c>
      <c r="M135">
        <f>IF(AND($A135='Pockets'!$D$18,$B135='Pockets'!$C$18,OR('Pockets'!$E$18="All",AND('Pockets'!$E$18="Worse and material",$K135="Yes",$L135="Yes"),AND('Pockets'!$E$18="Worse or not sure",OR($K135="Yes",$K135="Not sure")))),1,0)</f>
        <v/>
      </c>
      <c r="N135">
        <f>$N134+$M135</f>
        <v/>
      </c>
      <c r="O135" t="inlineStr">
        <is>
          <t>three-way</t>
        </is>
      </c>
      <c r="P135" t="inlineStr">
        <is>
          <t>outcome_loans</t>
        </is>
      </c>
    </row>
    <row r="136">
      <c r="A136" t="inlineStr">
        <is>
          <t>Split by REV_DEBT</t>
        </is>
      </c>
      <c r="B136" t="inlineStr">
        <is>
          <t>Bad loans</t>
        </is>
      </c>
      <c r="C136" t="n">
        <v>389</v>
      </c>
      <c r="D136" t="inlineStr">
        <is>
          <t>SHORT_HIST 0.0 - 88.9</t>
        </is>
      </c>
      <c r="E136" t="inlineStr">
        <is>
          <t>Branch</t>
        </is>
      </c>
      <c r="F136" t="inlineStr">
        <is>
          <t>high</t>
        </is>
      </c>
      <c r="G136" t="n">
        <v>253</v>
      </c>
      <c r="H136" t="n">
        <v>1.668149682077287</v>
      </c>
      <c r="I136" t="inlineStr">
        <is>
          <t>No: may be mostly FICO</t>
        </is>
      </c>
      <c r="J136" t="n">
        <v>30</v>
      </c>
      <c r="K136">
        <f>'_pockets'!$AI$389</f>
        <v/>
      </c>
      <c r="L136">
        <f>'_pockets'!$AJ$389</f>
        <v/>
      </c>
      <c r="M136">
        <f>IF(AND($A136='Pockets'!$D$18,$B136='Pockets'!$C$18,OR('Pockets'!$E$18="All",AND('Pockets'!$E$18="Worse and material",$K136="Yes",$L136="Yes"),AND('Pockets'!$E$18="Worse or not sure",OR($K136="Yes",$K136="Not sure")))),1,0)</f>
        <v/>
      </c>
      <c r="N136">
        <f>$N135+$M136</f>
        <v/>
      </c>
      <c r="O136" t="inlineStr">
        <is>
          <t>three-way</t>
        </is>
      </c>
      <c r="P136" t="inlineStr">
        <is>
          <t>outcome_loans</t>
        </is>
      </c>
    </row>
    <row r="137">
      <c r="A137" t="inlineStr">
        <is>
          <t>Split by REV_DEBT</t>
        </is>
      </c>
      <c r="B137" t="inlineStr">
        <is>
          <t>Bad loans</t>
        </is>
      </c>
      <c r="C137" t="n">
        <v>539</v>
      </c>
      <c r="D137" t="inlineStr">
        <is>
          <t>SHORT_HIST (marked missing)</t>
        </is>
      </c>
      <c r="E137" t="inlineStr">
        <is>
          <t>Branch</t>
        </is>
      </c>
      <c r="F137" t="inlineStr">
        <is>
          <t>high</t>
        </is>
      </c>
      <c r="G137" t="n">
        <v>36</v>
      </c>
      <c r="H137" t="n">
        <v>2.890952952258553</v>
      </c>
      <c r="I137" t="inlineStr">
        <is>
          <t>No: may be mostly FICO</t>
        </is>
      </c>
      <c r="J137" t="n">
        <v>31</v>
      </c>
      <c r="K137">
        <f>'_pockets'!$AI$539</f>
        <v/>
      </c>
      <c r="L137">
        <f>'_pockets'!$AJ$539</f>
        <v/>
      </c>
      <c r="M137">
        <f>IF(AND($A137='Pockets'!$D$18,$B137='Pockets'!$C$18,OR('Pockets'!$E$18="All",AND('Pockets'!$E$18="Worse and material",$K137="Yes",$L137="Yes"),AND('Pockets'!$E$18="Worse or not sure",OR($K137="Yes",$K137="Not sure")))),1,0)</f>
        <v/>
      </c>
      <c r="N137">
        <f>$N136+$M137</f>
        <v/>
      </c>
      <c r="O137" t="inlineStr">
        <is>
          <t>three-way</t>
        </is>
      </c>
      <c r="P137" t="inlineStr">
        <is>
          <t>outcome_loans</t>
        </is>
      </c>
    </row>
    <row r="138">
      <c r="A138" t="inlineStr">
        <is>
          <t>Split by REV_DEBT</t>
        </is>
      </c>
      <c r="B138" t="inlineStr">
        <is>
          <t>Bad loans</t>
        </is>
      </c>
      <c r="C138" t="n">
        <v>544</v>
      </c>
      <c r="D138" t="inlineStr">
        <is>
          <t>SHORT_HIST (marked missing)</t>
        </is>
      </c>
      <c r="E138" t="inlineStr">
        <is>
          <t>Branch</t>
        </is>
      </c>
      <c r="F138" t="inlineStr">
        <is>
          <t>low</t>
        </is>
      </c>
      <c r="G138" t="n">
        <v>36</v>
      </c>
      <c r="H138" t="n">
        <v>2.890952952258553</v>
      </c>
      <c r="I138" t="inlineStr">
        <is>
          <t>No: may be mostly FICO</t>
        </is>
      </c>
      <c r="J138" t="n">
        <v>32</v>
      </c>
      <c r="K138">
        <f>'_pockets'!$AI$544</f>
        <v/>
      </c>
      <c r="L138">
        <f>'_pockets'!$AJ$544</f>
        <v/>
      </c>
      <c r="M138">
        <f>IF(AND($A138='Pockets'!$D$18,$B138='Pockets'!$C$18,OR('Pockets'!$E$18="All",AND('Pockets'!$E$18="Worse and material",$K138="Yes",$L138="Yes"),AND('Pockets'!$E$18="Worse or not sure",OR($K138="Yes",$K138="Not sure")))),1,0)</f>
        <v/>
      </c>
      <c r="N138">
        <f>$N137+$M138</f>
        <v/>
      </c>
      <c r="O138" t="inlineStr">
        <is>
          <t>three-way</t>
        </is>
      </c>
      <c r="P138" t="inlineStr">
        <is>
          <t>outcome_loans</t>
        </is>
      </c>
    </row>
    <row r="139">
      <c r="A139" t="inlineStr">
        <is>
          <t>Split by REV_DEBT</t>
        </is>
      </c>
      <c r="B139" t="inlineStr">
        <is>
          <t>Bad dollars</t>
        </is>
      </c>
      <c r="C139" t="n">
        <v>270</v>
      </c>
      <c r="D139" t="inlineStr">
        <is>
          <t>FICO 496 - 653</t>
        </is>
      </c>
      <c r="E139" t="inlineStr">
        <is>
          <t>Broker</t>
        </is>
      </c>
      <c r="F139" t="inlineStr">
        <is>
          <t>high</t>
        </is>
      </c>
      <c r="G139" t="n">
        <v>261</v>
      </c>
      <c r="H139" t="n">
        <v>1.737114000364497</v>
      </c>
      <c r="I139" t="inlineStr">
        <is>
          <t>Yes</t>
        </is>
      </c>
      <c r="J139" t="n">
        <v>1</v>
      </c>
      <c r="K139">
        <f>'_pockets'!$AI$270</f>
        <v/>
      </c>
      <c r="L139">
        <f>'_pockets'!$AJ$270</f>
        <v/>
      </c>
      <c r="M139">
        <f>IF(AND($A139='Pockets'!$D$18,$B139='Pockets'!$C$18,OR('Pockets'!$E$18="All",AND('Pockets'!$E$18="Worse and material",$K139="Yes",$L139="Yes"),AND('Pockets'!$E$18="Worse or not sure",OR($K139="Yes",$K139="Not sure")))),1,0)</f>
        <v/>
      </c>
      <c r="N139">
        <f>$N138+$M139</f>
        <v/>
      </c>
      <c r="O139" t="inlineStr">
        <is>
          <t>three-way</t>
        </is>
      </c>
      <c r="P139" t="inlineStr">
        <is>
          <t>outcome_booked</t>
        </is>
      </c>
    </row>
    <row r="140">
      <c r="A140" t="inlineStr">
        <is>
          <t>Split by REV_DEBT</t>
        </is>
      </c>
      <c r="B140" t="inlineStr">
        <is>
          <t>Bad dollars</t>
        </is>
      </c>
      <c r="C140" t="n">
        <v>260</v>
      </c>
      <c r="D140" t="inlineStr">
        <is>
          <t>FICO 686 - 711</t>
        </is>
      </c>
      <c r="E140" t="inlineStr">
        <is>
          <t>Online</t>
        </is>
      </c>
      <c r="F140" t="inlineStr">
        <is>
          <t>high</t>
        </is>
      </c>
      <c r="G140" t="n">
        <v>273</v>
      </c>
      <c r="H140" t="n">
        <v>1.719400137746503</v>
      </c>
      <c r="I140" t="inlineStr">
        <is>
          <t>Yes</t>
        </is>
      </c>
      <c r="J140" t="n">
        <v>2</v>
      </c>
      <c r="K140">
        <f>'_pockets'!$AI$260</f>
        <v/>
      </c>
      <c r="L140">
        <f>'_pockets'!$AJ$260</f>
        <v/>
      </c>
      <c r="M140">
        <f>IF(AND($A140='Pockets'!$D$18,$B140='Pockets'!$C$18,OR('Pockets'!$E$18="All",AND('Pockets'!$E$18="Worse and material",$K140="Yes",$L140="Yes"),AND('Pockets'!$E$18="Worse or not sure",OR($K140="Yes",$K140="Not sure")))),1,0)</f>
        <v/>
      </c>
      <c r="N140">
        <f>$N139+$M140</f>
        <v/>
      </c>
      <c r="O140" t="inlineStr">
        <is>
          <t>three-way</t>
        </is>
      </c>
      <c r="P140" t="inlineStr">
        <is>
          <t>outcome_booked</t>
        </is>
      </c>
    </row>
    <row r="141">
      <c r="A141" t="inlineStr">
        <is>
          <t>Split by REV_DEBT</t>
        </is>
      </c>
      <c r="B141" t="inlineStr">
        <is>
          <t>Bad dollars</t>
        </is>
      </c>
      <c r="C141" t="n">
        <v>245</v>
      </c>
      <c r="D141" t="inlineStr">
        <is>
          <t>FICO 712 - 745</t>
        </is>
      </c>
      <c r="E141" t="inlineStr">
        <is>
          <t>Online</t>
        </is>
      </c>
      <c r="F141" t="inlineStr">
        <is>
          <t>high</t>
        </is>
      </c>
      <c r="G141" t="n">
        <v>282</v>
      </c>
      <c r="H141" t="n">
        <v>1.70689860495267</v>
      </c>
      <c r="I141" t="inlineStr">
        <is>
          <t>Yes</t>
        </is>
      </c>
      <c r="J141" t="n">
        <v>3</v>
      </c>
      <c r="K141">
        <f>'_pockets'!$AI$245</f>
        <v/>
      </c>
      <c r="L141">
        <f>'_pockets'!$AJ$245</f>
        <v/>
      </c>
      <c r="M141">
        <f>IF(AND($A141='Pockets'!$D$18,$B141='Pockets'!$C$18,OR('Pockets'!$E$18="All",AND('Pockets'!$E$18="Worse and material",$K141="Yes",$L141="Yes"),AND('Pockets'!$E$18="Worse or not sure",OR($K141="Yes",$K141="Not sure")))),1,0)</f>
        <v/>
      </c>
      <c r="N141">
        <f>$N140+$M141</f>
        <v/>
      </c>
      <c r="O141" t="inlineStr">
        <is>
          <t>three-way</t>
        </is>
      </c>
      <c r="P141" t="inlineStr">
        <is>
          <t>outcome_booked</t>
        </is>
      </c>
    </row>
    <row r="142">
      <c r="A142" t="inlineStr">
        <is>
          <t>Split by REV_DEBT</t>
        </is>
      </c>
      <c r="B142" t="inlineStr">
        <is>
          <t>Bad dollars</t>
        </is>
      </c>
      <c r="C142" t="n">
        <v>310</v>
      </c>
      <c r="D142" t="inlineStr">
        <is>
          <t>FICO 654 - 685</t>
        </is>
      </c>
      <c r="E142" t="inlineStr">
        <is>
          <t>Broker</t>
        </is>
      </c>
      <c r="F142" t="inlineStr">
        <is>
          <t>high</t>
        </is>
      </c>
      <c r="G142" t="n">
        <v>265</v>
      </c>
      <c r="H142" t="n">
        <v>1.731069331063485</v>
      </c>
      <c r="I142" t="inlineStr">
        <is>
          <t>Yes</t>
        </is>
      </c>
      <c r="J142" t="n">
        <v>4</v>
      </c>
      <c r="K142">
        <f>'_pockets'!$AI$310</f>
        <v/>
      </c>
      <c r="L142">
        <f>'_pockets'!$AJ$310</f>
        <v/>
      </c>
      <c r="M142">
        <f>IF(AND($A142='Pockets'!$D$18,$B142='Pockets'!$C$18,OR('Pockets'!$E$18="All",AND('Pockets'!$E$18="Worse and material",$K142="Yes",$L142="Yes"),AND('Pockets'!$E$18="Worse or not sure",OR($K142="Yes",$K142="Not sure")))),1,0)</f>
        <v/>
      </c>
      <c r="N142">
        <f>$N141+$M142</f>
        <v/>
      </c>
      <c r="O142" t="inlineStr">
        <is>
          <t>three-way</t>
        </is>
      </c>
      <c r="P142" t="inlineStr">
        <is>
          <t>outcome_booked</t>
        </is>
      </c>
    </row>
    <row r="143">
      <c r="A143" t="inlineStr">
        <is>
          <t>Split by REV_DEBT</t>
        </is>
      </c>
      <c r="B143" t="inlineStr">
        <is>
          <t>Bad dollars</t>
        </is>
      </c>
      <c r="C143" t="n">
        <v>285</v>
      </c>
      <c r="D143" t="inlineStr">
        <is>
          <t>FICO 654 - 685</t>
        </is>
      </c>
      <c r="E143" t="inlineStr">
        <is>
          <t>Online</t>
        </is>
      </c>
      <c r="F143" t="inlineStr">
        <is>
          <t>high</t>
        </is>
      </c>
      <c r="G143" t="n">
        <v>252</v>
      </c>
      <c r="H143" t="n">
        <v>1.751263197656776</v>
      </c>
      <c r="I143" t="inlineStr">
        <is>
          <t>Yes</t>
        </is>
      </c>
      <c r="J143" t="n">
        <v>5</v>
      </c>
      <c r="K143">
        <f>'_pockets'!$AI$285</f>
        <v/>
      </c>
      <c r="L143">
        <f>'_pockets'!$AJ$285</f>
        <v/>
      </c>
      <c r="M143">
        <f>IF(AND($A143='Pockets'!$D$18,$B143='Pockets'!$C$18,OR('Pockets'!$E$18="All",AND('Pockets'!$E$18="Worse and material",$K143="Yes",$L143="Yes"),AND('Pockets'!$E$18="Worse or not sure",OR($K143="Yes",$K143="Not sure")))),1,0)</f>
        <v/>
      </c>
      <c r="N143">
        <f>$N142+$M143</f>
        <v/>
      </c>
      <c r="O143" t="inlineStr">
        <is>
          <t>three-way</t>
        </is>
      </c>
      <c r="P143" t="inlineStr">
        <is>
          <t>outcome_booked</t>
        </is>
      </c>
    </row>
    <row r="144">
      <c r="A144" t="inlineStr">
        <is>
          <t>Split by REV_DEBT</t>
        </is>
      </c>
      <c r="B144" t="inlineStr">
        <is>
          <t>Bad dollars</t>
        </is>
      </c>
      <c r="C144" t="n">
        <v>250</v>
      </c>
      <c r="D144" t="inlineStr">
        <is>
          <t>FICO 654 - 685</t>
        </is>
      </c>
      <c r="E144" t="inlineStr">
        <is>
          <t>Branch</t>
        </is>
      </c>
      <c r="F144" t="inlineStr">
        <is>
          <t>high</t>
        </is>
      </c>
      <c r="G144" t="n">
        <v>251</v>
      </c>
      <c r="H144" t="n">
        <v>1.752884479335255</v>
      </c>
      <c r="I144" t="inlineStr">
        <is>
          <t>Yes</t>
        </is>
      </c>
      <c r="J144" t="n">
        <v>6</v>
      </c>
      <c r="K144">
        <f>'_pockets'!$AI$250</f>
        <v/>
      </c>
      <c r="L144">
        <f>'_pockets'!$AJ$250</f>
        <v/>
      </c>
      <c r="M144">
        <f>IF(AND($A144='Pockets'!$D$18,$B144='Pockets'!$C$18,OR('Pockets'!$E$18="All",AND('Pockets'!$E$18="Worse and material",$K144="Yes",$L144="Yes"),AND('Pockets'!$E$18="Worse or not sure",OR($K144="Yes",$K144="Not sure")))),1,0)</f>
        <v/>
      </c>
      <c r="N144">
        <f>$N143+$M144</f>
        <v/>
      </c>
      <c r="O144" t="inlineStr">
        <is>
          <t>three-way</t>
        </is>
      </c>
      <c r="P144" t="inlineStr">
        <is>
          <t>outcome_booked</t>
        </is>
      </c>
    </row>
    <row r="145">
      <c r="A145" t="inlineStr">
        <is>
          <t>Split by REV_DEBT</t>
        </is>
      </c>
      <c r="B145" t="inlineStr">
        <is>
          <t>Bad dollars</t>
        </is>
      </c>
      <c r="C145" t="n">
        <v>320</v>
      </c>
      <c r="D145" t="inlineStr">
        <is>
          <t>FICO 746 - 921</t>
        </is>
      </c>
      <c r="E145" t="inlineStr">
        <is>
          <t>Broker</t>
        </is>
      </c>
      <c r="F145" t="inlineStr">
        <is>
          <t>high</t>
        </is>
      </c>
      <c r="G145" t="n">
        <v>268</v>
      </c>
      <c r="H145" t="n">
        <v>1.726629217318258</v>
      </c>
      <c r="I145" t="inlineStr">
        <is>
          <t>Yes</t>
        </is>
      </c>
      <c r="J145" t="n">
        <v>7</v>
      </c>
      <c r="K145">
        <f>'_pockets'!$AI$320</f>
        <v/>
      </c>
      <c r="L145">
        <f>'_pockets'!$AJ$320</f>
        <v/>
      </c>
      <c r="M145">
        <f>IF(AND($A145='Pockets'!$D$18,$B145='Pockets'!$C$18,OR('Pockets'!$E$18="All",AND('Pockets'!$E$18="Worse and material",$K145="Yes",$L145="Yes"),AND('Pockets'!$E$18="Worse or not sure",OR($K145="Yes",$K145="Not sure")))),1,0)</f>
        <v/>
      </c>
      <c r="N145">
        <f>$N144+$M145</f>
        <v/>
      </c>
      <c r="O145" t="inlineStr">
        <is>
          <t>three-way</t>
        </is>
      </c>
      <c r="P145" t="inlineStr">
        <is>
          <t>outcome_booked</t>
        </is>
      </c>
    </row>
    <row r="146">
      <c r="A146" t="inlineStr">
        <is>
          <t>Split by REV_DEBT</t>
        </is>
      </c>
      <c r="B146" t="inlineStr">
        <is>
          <t>Bad dollars</t>
        </is>
      </c>
      <c r="C146" t="n">
        <v>370</v>
      </c>
      <c r="D146" t="inlineStr">
        <is>
          <t>FICO (marked missing)</t>
        </is>
      </c>
      <c r="E146" t="inlineStr">
        <is>
          <t>Broker</t>
        </is>
      </c>
      <c r="F146" t="inlineStr">
        <is>
          <t>high</t>
        </is>
      </c>
      <c r="G146" t="n">
        <v>27</v>
      </c>
      <c r="H146" t="n">
        <v>3.666908086258942</v>
      </c>
      <c r="I146" t="inlineStr">
        <is>
          <t>Yes</t>
        </is>
      </c>
      <c r="J146" t="n">
        <v>8</v>
      </c>
      <c r="K146">
        <f>'_pockets'!$AI$370</f>
        <v/>
      </c>
      <c r="L146">
        <f>'_pockets'!$AJ$370</f>
        <v/>
      </c>
      <c r="M146">
        <f>IF(AND($A146='Pockets'!$D$18,$B146='Pockets'!$C$18,OR('Pockets'!$E$18="All",AND('Pockets'!$E$18="Worse and material",$K146="Yes",$L146="Yes"),AND('Pockets'!$E$18="Worse or not sure",OR($K146="Yes",$K146="Not sure")))),1,0)</f>
        <v/>
      </c>
      <c r="N146">
        <f>$N145+$M146</f>
        <v/>
      </c>
      <c r="O146" t="inlineStr">
        <is>
          <t>three-way</t>
        </is>
      </c>
      <c r="P146" t="inlineStr">
        <is>
          <t>outcome_booked</t>
        </is>
      </c>
    </row>
    <row r="147">
      <c r="A147" t="inlineStr">
        <is>
          <t>Split by REV_DEBT</t>
        </is>
      </c>
      <c r="B147" t="inlineStr">
        <is>
          <t>Bad dollars</t>
        </is>
      </c>
      <c r="C147" t="n">
        <v>220</v>
      </c>
      <c r="D147" t="inlineStr">
        <is>
          <t>FICO 496 - 653</t>
        </is>
      </c>
      <c r="E147" t="inlineStr">
        <is>
          <t>Broker</t>
        </is>
      </c>
      <c r="F147" t="inlineStr">
        <is>
          <t>low</t>
        </is>
      </c>
      <c r="G147" t="n">
        <v>262</v>
      </c>
      <c r="H147" t="n">
        <v>1.735589228311301</v>
      </c>
      <c r="I147" t="inlineStr">
        <is>
          <t>Yes</t>
        </is>
      </c>
      <c r="J147" t="n">
        <v>9</v>
      </c>
      <c r="K147">
        <f>'_pockets'!$AI$220</f>
        <v/>
      </c>
      <c r="L147">
        <f>'_pockets'!$AJ$220</f>
        <v/>
      </c>
      <c r="M147">
        <f>IF(AND($A147='Pockets'!$D$18,$B147='Pockets'!$C$18,OR('Pockets'!$E$18="All",AND('Pockets'!$E$18="Worse and material",$K147="Yes",$L147="Yes"),AND('Pockets'!$E$18="Worse or not sure",OR($K147="Yes",$K147="Not sure")))),1,0)</f>
        <v/>
      </c>
      <c r="N147">
        <f>$N146+$M147</f>
        <v/>
      </c>
      <c r="O147" t="inlineStr">
        <is>
          <t>three-way</t>
        </is>
      </c>
      <c r="P147" t="inlineStr">
        <is>
          <t>outcome_booked</t>
        </is>
      </c>
    </row>
    <row r="148">
      <c r="A148" t="inlineStr">
        <is>
          <t>Split by REV_DEBT</t>
        </is>
      </c>
      <c r="B148" t="inlineStr">
        <is>
          <t>Bad dollars</t>
        </is>
      </c>
      <c r="C148" t="n">
        <v>330</v>
      </c>
      <c r="D148" t="inlineStr">
        <is>
          <t>FICO 686 - 711</t>
        </is>
      </c>
      <c r="E148" t="inlineStr">
        <is>
          <t>Broker</t>
        </is>
      </c>
      <c r="F148" t="inlineStr">
        <is>
          <t>high</t>
        </is>
      </c>
      <c r="G148" t="n">
        <v>250</v>
      </c>
      <c r="H148" t="n">
        <v>1.75451596370724</v>
      </c>
      <c r="I148" t="inlineStr">
        <is>
          <t>Yes</t>
        </is>
      </c>
      <c r="J148" t="n">
        <v>10</v>
      </c>
      <c r="K148">
        <f>'_pockets'!$AI$330</f>
        <v/>
      </c>
      <c r="L148">
        <f>'_pockets'!$AJ$330</f>
        <v/>
      </c>
      <c r="M148">
        <f>IF(AND($A148='Pockets'!$D$18,$B148='Pockets'!$C$18,OR('Pockets'!$E$18="All",AND('Pockets'!$E$18="Worse and material",$K148="Yes",$L148="Yes"),AND('Pockets'!$E$18="Worse or not sure",OR($K148="Yes",$K148="Not sure")))),1,0)</f>
        <v/>
      </c>
      <c r="N148">
        <f>$N147+$M148</f>
        <v/>
      </c>
      <c r="O148" t="inlineStr">
        <is>
          <t>three-way</t>
        </is>
      </c>
      <c r="P148" t="inlineStr">
        <is>
          <t>outcome_booked</t>
        </is>
      </c>
    </row>
    <row r="149">
      <c r="A149" t="inlineStr">
        <is>
          <t>Split by REV_DEBT</t>
        </is>
      </c>
      <c r="B149" t="inlineStr">
        <is>
          <t>Bad dollars</t>
        </is>
      </c>
      <c r="C149" t="n">
        <v>230</v>
      </c>
      <c r="D149" t="inlineStr">
        <is>
          <t>FICO 712 - 745</t>
        </is>
      </c>
      <c r="E149" t="inlineStr">
        <is>
          <t>Online</t>
        </is>
      </c>
      <c r="F149" t="inlineStr">
        <is>
          <t>low</t>
        </is>
      </c>
      <c r="G149" t="n">
        <v>282</v>
      </c>
      <c r="H149" t="n">
        <v>1.70689860495267</v>
      </c>
      <c r="I149" t="inlineStr">
        <is>
          <t>Yes</t>
        </is>
      </c>
      <c r="J149" t="n">
        <v>11</v>
      </c>
      <c r="K149">
        <f>'_pockets'!$AI$230</f>
        <v/>
      </c>
      <c r="L149">
        <f>'_pockets'!$AJ$230</f>
        <v/>
      </c>
      <c r="M149">
        <f>IF(AND($A149='Pockets'!$D$18,$B149='Pockets'!$C$18,OR('Pockets'!$E$18="All",AND('Pockets'!$E$18="Worse and material",$K149="Yes",$L149="Yes"),AND('Pockets'!$E$18="Worse or not sure",OR($K149="Yes",$K149="Not sure")))),1,0)</f>
        <v/>
      </c>
      <c r="N149">
        <f>$N148+$M149</f>
        <v/>
      </c>
      <c r="O149" t="inlineStr">
        <is>
          <t>three-way</t>
        </is>
      </c>
      <c r="P149" t="inlineStr">
        <is>
          <t>outcome_booked</t>
        </is>
      </c>
    </row>
    <row r="150">
      <c r="A150" t="inlineStr">
        <is>
          <t>Split by REV_DEBT</t>
        </is>
      </c>
      <c r="B150" t="inlineStr">
        <is>
          <t>Bad dollars</t>
        </is>
      </c>
      <c r="C150" t="n">
        <v>325</v>
      </c>
      <c r="D150" t="inlineStr">
        <is>
          <t>FICO 746 - 921</t>
        </is>
      </c>
      <c r="E150" t="inlineStr">
        <is>
          <t>Branch</t>
        </is>
      </c>
      <c r="F150" t="inlineStr">
        <is>
          <t>high</t>
        </is>
      </c>
      <c r="G150" t="n">
        <v>259</v>
      </c>
      <c r="H150" t="n">
        <v>1.74019129750391</v>
      </c>
      <c r="I150" t="inlineStr">
        <is>
          <t>Yes</t>
        </is>
      </c>
      <c r="J150" t="n">
        <v>12</v>
      </c>
      <c r="K150">
        <f>'_pockets'!$AI$325</f>
        <v/>
      </c>
      <c r="L150">
        <f>'_pockets'!$AJ$325</f>
        <v/>
      </c>
      <c r="M150">
        <f>IF(AND($A150='Pockets'!$D$18,$B150='Pockets'!$C$18,OR('Pockets'!$E$18="All",AND('Pockets'!$E$18="Worse and material",$K150="Yes",$L150="Yes"),AND('Pockets'!$E$18="Worse or not sure",OR($K150="Yes",$K150="Not sure")))),1,0)</f>
        <v/>
      </c>
      <c r="N150">
        <f>$N149+$M150</f>
        <v/>
      </c>
      <c r="O150" t="inlineStr">
        <is>
          <t>three-way</t>
        </is>
      </c>
      <c r="P150" t="inlineStr">
        <is>
          <t>outcome_booked</t>
        </is>
      </c>
    </row>
    <row r="151">
      <c r="A151" t="inlineStr">
        <is>
          <t>Split by REV_DEBT</t>
        </is>
      </c>
      <c r="B151" t="inlineStr">
        <is>
          <t>Bad dollars</t>
        </is>
      </c>
      <c r="C151" t="n">
        <v>340</v>
      </c>
      <c r="D151" t="inlineStr">
        <is>
          <t>FICO 686 - 711</t>
        </is>
      </c>
      <c r="E151" t="inlineStr">
        <is>
          <t>Branch</t>
        </is>
      </c>
      <c r="F151" t="inlineStr">
        <is>
          <t>high</t>
        </is>
      </c>
      <c r="G151" t="n">
        <v>257</v>
      </c>
      <c r="H151" t="n">
        <v>1.743306219572847</v>
      </c>
      <c r="I151" t="inlineStr">
        <is>
          <t>Yes</t>
        </is>
      </c>
      <c r="J151" t="n">
        <v>13</v>
      </c>
      <c r="K151">
        <f>'_pockets'!$AI$340</f>
        <v/>
      </c>
      <c r="L151">
        <f>'_pockets'!$AJ$340</f>
        <v/>
      </c>
      <c r="M151">
        <f>IF(AND($A151='Pockets'!$D$18,$B151='Pockets'!$C$18,OR('Pockets'!$E$18="All",AND('Pockets'!$E$18="Worse and material",$K151="Yes",$L151="Yes"),AND('Pockets'!$E$18="Worse or not sure",OR($K151="Yes",$K151="Not sure")))),1,0)</f>
        <v/>
      </c>
      <c r="N151">
        <f>$N150+$M151</f>
        <v/>
      </c>
      <c r="O151" t="inlineStr">
        <is>
          <t>three-way</t>
        </is>
      </c>
      <c r="P151" t="inlineStr">
        <is>
          <t>outcome_booked</t>
        </is>
      </c>
    </row>
    <row r="152">
      <c r="A152" t="inlineStr">
        <is>
          <t>Split by REV_DEBT</t>
        </is>
      </c>
      <c r="B152" t="inlineStr">
        <is>
          <t>Bad dollars</t>
        </is>
      </c>
      <c r="C152" t="n">
        <v>205</v>
      </c>
      <c r="D152" t="inlineStr">
        <is>
          <t>FICO 712 - 745</t>
        </is>
      </c>
      <c r="E152" t="inlineStr">
        <is>
          <t>Branch</t>
        </is>
      </c>
      <c r="F152" t="inlineStr">
        <is>
          <t>high</t>
        </is>
      </c>
      <c r="G152" t="n">
        <v>268</v>
      </c>
      <c r="H152" t="n">
        <v>1.726629217318258</v>
      </c>
      <c r="I152" t="inlineStr">
        <is>
          <t>Yes</t>
        </is>
      </c>
      <c r="J152" t="n">
        <v>14</v>
      </c>
      <c r="K152">
        <f>'_pockets'!$AI$205</f>
        <v/>
      </c>
      <c r="L152">
        <f>'_pockets'!$AJ$205</f>
        <v/>
      </c>
      <c r="M152">
        <f>IF(AND($A152='Pockets'!$D$18,$B152='Pockets'!$C$18,OR('Pockets'!$E$18="All",AND('Pockets'!$E$18="Worse and material",$K152="Yes",$L152="Yes"),AND('Pockets'!$E$18="Worse or not sure",OR($K152="Yes",$K152="Not sure")))),1,0)</f>
        <v/>
      </c>
      <c r="N152">
        <f>$N151+$M152</f>
        <v/>
      </c>
      <c r="O152" t="inlineStr">
        <is>
          <t>three-way</t>
        </is>
      </c>
      <c r="P152" t="inlineStr">
        <is>
          <t>outcome_booked</t>
        </is>
      </c>
    </row>
    <row r="153">
      <c r="A153" t="inlineStr">
        <is>
          <t>Split by REV_DEBT</t>
        </is>
      </c>
      <c r="B153" t="inlineStr">
        <is>
          <t>Bad dollars</t>
        </is>
      </c>
      <c r="C153" t="n">
        <v>275</v>
      </c>
      <c r="D153" t="inlineStr">
        <is>
          <t>FICO 496 - 653</t>
        </is>
      </c>
      <c r="E153" t="inlineStr">
        <is>
          <t>Branch</t>
        </is>
      </c>
      <c r="F153" t="inlineStr">
        <is>
          <t>high</t>
        </is>
      </c>
      <c r="G153" t="n">
        <v>251</v>
      </c>
      <c r="H153" t="n">
        <v>1.752884479335255</v>
      </c>
      <c r="I153" t="inlineStr">
        <is>
          <t>Yes</t>
        </is>
      </c>
      <c r="J153" t="n">
        <v>15</v>
      </c>
      <c r="K153">
        <f>'_pockets'!$AI$275</f>
        <v/>
      </c>
      <c r="L153">
        <f>'_pockets'!$AJ$275</f>
        <v/>
      </c>
      <c r="M153">
        <f>IF(AND($A153='Pockets'!$D$18,$B153='Pockets'!$C$18,OR('Pockets'!$E$18="All",AND('Pockets'!$E$18="Worse and material",$K153="Yes",$L153="Yes"),AND('Pockets'!$E$18="Worse or not sure",OR($K153="Yes",$K153="Not sure")))),1,0)</f>
        <v/>
      </c>
      <c r="N153">
        <f>$N152+$M153</f>
        <v/>
      </c>
      <c r="O153" t="inlineStr">
        <is>
          <t>three-way</t>
        </is>
      </c>
      <c r="P153" t="inlineStr">
        <is>
          <t>outcome_booked</t>
        </is>
      </c>
    </row>
    <row r="154">
      <c r="A154" t="inlineStr">
        <is>
          <t>Split by REV_DEBT</t>
        </is>
      </c>
      <c r="B154" t="inlineStr">
        <is>
          <t>Bad dollars</t>
        </is>
      </c>
      <c r="C154" t="n">
        <v>215</v>
      </c>
      <c r="D154" t="inlineStr">
        <is>
          <t>FICO 746 - 921</t>
        </is>
      </c>
      <c r="E154" t="inlineStr">
        <is>
          <t>Branch</t>
        </is>
      </c>
      <c r="F154" t="inlineStr">
        <is>
          <t>low</t>
        </is>
      </c>
      <c r="G154" t="n">
        <v>259</v>
      </c>
      <c r="H154" t="n">
        <v>1.74019129750391</v>
      </c>
      <c r="I154" t="inlineStr">
        <is>
          <t>Yes</t>
        </is>
      </c>
      <c r="J154" t="n">
        <v>16</v>
      </c>
      <c r="K154">
        <f>'_pockets'!$AI$215</f>
        <v/>
      </c>
      <c r="L154">
        <f>'_pockets'!$AJ$215</f>
        <v/>
      </c>
      <c r="M154">
        <f>IF(AND($A154='Pockets'!$D$18,$B154='Pockets'!$C$18,OR('Pockets'!$E$18="All",AND('Pockets'!$E$18="Worse and material",$K154="Yes",$L154="Yes"),AND('Pockets'!$E$18="Worse or not sure",OR($K154="Yes",$K154="Not sure")))),1,0)</f>
        <v/>
      </c>
      <c r="N154">
        <f>$N153+$M154</f>
        <v/>
      </c>
      <c r="O154" t="inlineStr">
        <is>
          <t>three-way</t>
        </is>
      </c>
      <c r="P154" t="inlineStr">
        <is>
          <t>outcome_booked</t>
        </is>
      </c>
    </row>
    <row r="155">
      <c r="A155" t="inlineStr">
        <is>
          <t>Split by REV_DEBT</t>
        </is>
      </c>
      <c r="B155" t="inlineStr">
        <is>
          <t>Bad dollars</t>
        </is>
      </c>
      <c r="C155" t="n">
        <v>335</v>
      </c>
      <c r="D155" t="inlineStr">
        <is>
          <t>FICO 496 - 653</t>
        </is>
      </c>
      <c r="E155" t="inlineStr">
        <is>
          <t>Online</t>
        </is>
      </c>
      <c r="F155" t="inlineStr">
        <is>
          <t>high</t>
        </is>
      </c>
      <c r="G155" t="n">
        <v>265</v>
      </c>
      <c r="H155" t="n">
        <v>1.731069331063485</v>
      </c>
      <c r="I155" t="inlineStr">
        <is>
          <t>Yes</t>
        </is>
      </c>
      <c r="J155" t="n">
        <v>17</v>
      </c>
      <c r="K155">
        <f>'_pockets'!$AI$335</f>
        <v/>
      </c>
      <c r="L155">
        <f>'_pockets'!$AJ$335</f>
        <v/>
      </c>
      <c r="M155">
        <f>IF(AND($A155='Pockets'!$D$18,$B155='Pockets'!$C$18,OR('Pockets'!$E$18="All",AND('Pockets'!$E$18="Worse and material",$K155="Yes",$L155="Yes"),AND('Pockets'!$E$18="Worse or not sure",OR($K155="Yes",$K155="Not sure")))),1,0)</f>
        <v/>
      </c>
      <c r="N155">
        <f>$N154+$M155</f>
        <v/>
      </c>
      <c r="O155" t="inlineStr">
        <is>
          <t>three-way</t>
        </is>
      </c>
      <c r="P155" t="inlineStr">
        <is>
          <t>outcome_booked</t>
        </is>
      </c>
    </row>
    <row r="156">
      <c r="A156" t="inlineStr">
        <is>
          <t>Split by REV_DEBT</t>
        </is>
      </c>
      <c r="B156" t="inlineStr">
        <is>
          <t>Bad dollars</t>
        </is>
      </c>
      <c r="C156" t="n">
        <v>400</v>
      </c>
      <c r="D156" t="inlineStr">
        <is>
          <t>SHORT_HIST 172.0 - 256.3</t>
        </is>
      </c>
      <c r="E156" t="inlineStr">
        <is>
          <t>Broker</t>
        </is>
      </c>
      <c r="F156" t="inlineStr">
        <is>
          <t>high</t>
        </is>
      </c>
      <c r="G156" t="n">
        <v>270</v>
      </c>
      <c r="H156" t="n">
        <v>1.723712329541575</v>
      </c>
      <c r="I156" t="inlineStr">
        <is>
          <t>No: may be mostly FICO</t>
        </is>
      </c>
      <c r="J156" t="n">
        <v>18</v>
      </c>
      <c r="K156">
        <f>'_pockets'!$AI$400</f>
        <v/>
      </c>
      <c r="L156">
        <f>'_pockets'!$AJ$400</f>
        <v/>
      </c>
      <c r="M156">
        <f>IF(AND($A156='Pockets'!$D$18,$B156='Pockets'!$C$18,OR('Pockets'!$E$18="All",AND('Pockets'!$E$18="Worse and material",$K156="Yes",$L156="Yes"),AND('Pockets'!$E$18="Worse or not sure",OR($K156="Yes",$K156="Not sure")))),1,0)</f>
        <v/>
      </c>
      <c r="N156">
        <f>$N155+$M156</f>
        <v/>
      </c>
      <c r="O156" t="inlineStr">
        <is>
          <t>three-way</t>
        </is>
      </c>
      <c r="P156" t="inlineStr">
        <is>
          <t>outcome_booked</t>
        </is>
      </c>
    </row>
    <row r="157">
      <c r="A157" t="inlineStr">
        <is>
          <t>Split by REV_DEBT</t>
        </is>
      </c>
      <c r="B157" t="inlineStr">
        <is>
          <t>Bad dollars</t>
        </is>
      </c>
      <c r="C157" t="n">
        <v>485</v>
      </c>
      <c r="D157" t="inlineStr">
        <is>
          <t>SHORT_HIST 346.0 - 435.0</t>
        </is>
      </c>
      <c r="E157" t="inlineStr">
        <is>
          <t>Broker</t>
        </is>
      </c>
      <c r="F157" t="inlineStr">
        <is>
          <t>high</t>
        </is>
      </c>
      <c r="G157" t="n">
        <v>252</v>
      </c>
      <c r="H157" t="n">
        <v>1.751263197656776</v>
      </c>
      <c r="I157" t="inlineStr">
        <is>
          <t>No: may be mostly FICO</t>
        </is>
      </c>
      <c r="J157" t="n">
        <v>19</v>
      </c>
      <c r="K157">
        <f>'_pockets'!$AI$485</f>
        <v/>
      </c>
      <c r="L157">
        <f>'_pockets'!$AJ$485</f>
        <v/>
      </c>
      <c r="M157">
        <f>IF(AND($A157='Pockets'!$D$18,$B157='Pockets'!$C$18,OR('Pockets'!$E$18="All",AND('Pockets'!$E$18="Worse and material",$K157="Yes",$L157="Yes"),AND('Pockets'!$E$18="Worse or not sure",OR($K157="Yes",$K157="Not sure")))),1,0)</f>
        <v/>
      </c>
      <c r="N157">
        <f>$N156+$M157</f>
        <v/>
      </c>
      <c r="O157" t="inlineStr">
        <is>
          <t>three-way</t>
        </is>
      </c>
      <c r="P157" t="inlineStr">
        <is>
          <t>outcome_booked</t>
        </is>
      </c>
    </row>
    <row r="158">
      <c r="A158" t="inlineStr">
        <is>
          <t>Split by REV_DEBT</t>
        </is>
      </c>
      <c r="B158" t="inlineStr">
        <is>
          <t>Bad dollars</t>
        </is>
      </c>
      <c r="C158" t="n">
        <v>470</v>
      </c>
      <c r="D158" t="inlineStr">
        <is>
          <t>SHORT_HIST 256.4 - 345.9</t>
        </is>
      </c>
      <c r="E158" t="inlineStr">
        <is>
          <t>Online</t>
        </is>
      </c>
      <c r="F158" t="inlineStr">
        <is>
          <t>high</t>
        </is>
      </c>
      <c r="G158" t="n">
        <v>268</v>
      </c>
      <c r="H158" t="n">
        <v>1.726629217318258</v>
      </c>
      <c r="I158" t="inlineStr">
        <is>
          <t>No: may be mostly FICO</t>
        </is>
      </c>
      <c r="J158" t="n">
        <v>20</v>
      </c>
      <c r="K158">
        <f>'_pockets'!$AI$470</f>
        <v/>
      </c>
      <c r="L158">
        <f>'_pockets'!$AJ$470</f>
        <v/>
      </c>
      <c r="M158">
        <f>IF(AND($A158='Pockets'!$D$18,$B158='Pockets'!$C$18,OR('Pockets'!$E$18="All",AND('Pockets'!$E$18="Worse and material",$K158="Yes",$L158="Yes"),AND('Pockets'!$E$18="Worse or not sure",OR($K158="Yes",$K158="Not sure")))),1,0)</f>
        <v/>
      </c>
      <c r="N158">
        <f>$N157+$M158</f>
        <v/>
      </c>
      <c r="O158" t="inlineStr">
        <is>
          <t>three-way</t>
        </is>
      </c>
      <c r="P158" t="inlineStr">
        <is>
          <t>outcome_booked</t>
        </is>
      </c>
    </row>
    <row r="159">
      <c r="A159" t="inlineStr">
        <is>
          <t>Split by REV_DEBT</t>
        </is>
      </c>
      <c r="B159" t="inlineStr">
        <is>
          <t>Bad dollars</t>
        </is>
      </c>
      <c r="C159" t="n">
        <v>380</v>
      </c>
      <c r="D159" t="inlineStr">
        <is>
          <t>SHORT_HIST 89.0 - 171.9</t>
        </is>
      </c>
      <c r="E159" t="inlineStr">
        <is>
          <t>Broker</t>
        </is>
      </c>
      <c r="F159" t="inlineStr">
        <is>
          <t>high</t>
        </is>
      </c>
      <c r="G159" t="n">
        <v>261</v>
      </c>
      <c r="H159" t="n">
        <v>1.737114000364497</v>
      </c>
      <c r="I159" t="inlineStr">
        <is>
          <t>No: may be mostly FICO</t>
        </is>
      </c>
      <c r="J159" t="n">
        <v>21</v>
      </c>
      <c r="K159">
        <f>'_pockets'!$AI$380</f>
        <v/>
      </c>
      <c r="L159">
        <f>'_pockets'!$AJ$380</f>
        <v/>
      </c>
      <c r="M159">
        <f>IF(AND($A159='Pockets'!$D$18,$B159='Pockets'!$C$18,OR('Pockets'!$E$18="All",AND('Pockets'!$E$18="Worse and material",$K159="Yes",$L159="Yes"),AND('Pockets'!$E$18="Worse or not sure",OR($K159="Yes",$K159="Not sure")))),1,0)</f>
        <v/>
      </c>
      <c r="N159">
        <f>$N158+$M159</f>
        <v/>
      </c>
      <c r="O159" t="inlineStr">
        <is>
          <t>three-way</t>
        </is>
      </c>
      <c r="P159" t="inlineStr">
        <is>
          <t>outcome_booked</t>
        </is>
      </c>
    </row>
    <row r="160">
      <c r="A160" t="inlineStr">
        <is>
          <t>Split by REV_DEBT</t>
        </is>
      </c>
      <c r="B160" t="inlineStr">
        <is>
          <t>Bad dollars</t>
        </is>
      </c>
      <c r="C160" t="n">
        <v>525</v>
      </c>
      <c r="D160" t="inlineStr">
        <is>
          <t>SHORT_HIST 0.0 - 88.9</t>
        </is>
      </c>
      <c r="E160" t="inlineStr">
        <is>
          <t>Broker</t>
        </is>
      </c>
      <c r="F160" t="inlineStr">
        <is>
          <t>high</t>
        </is>
      </c>
      <c r="G160" t="n">
        <v>254</v>
      </c>
      <c r="H160" t="n">
        <v>1.748050825405188</v>
      </c>
      <c r="I160" t="inlineStr">
        <is>
          <t>No: may be mostly FICO</t>
        </is>
      </c>
      <c r="J160" t="n">
        <v>22</v>
      </c>
      <c r="K160">
        <f>'_pockets'!$AI$525</f>
        <v/>
      </c>
      <c r="L160">
        <f>'_pockets'!$AJ$525</f>
        <v/>
      </c>
      <c r="M160">
        <f>IF(AND($A160='Pockets'!$D$18,$B160='Pockets'!$C$18,OR('Pockets'!$E$18="All",AND('Pockets'!$E$18="Worse and material",$K160="Yes",$L160="Yes"),AND('Pockets'!$E$18="Worse or not sure",OR($K160="Yes",$K160="Not sure")))),1,0)</f>
        <v/>
      </c>
      <c r="N160">
        <f>$N159+$M160</f>
        <v/>
      </c>
      <c r="O160" t="inlineStr">
        <is>
          <t>three-way</t>
        </is>
      </c>
      <c r="P160" t="inlineStr">
        <is>
          <t>outcome_booked</t>
        </is>
      </c>
    </row>
    <row r="161">
      <c r="A161" t="inlineStr">
        <is>
          <t>Split by REV_DEBT</t>
        </is>
      </c>
      <c r="B161" t="inlineStr">
        <is>
          <t>Bad dollars</t>
        </is>
      </c>
      <c r="C161" t="n">
        <v>460</v>
      </c>
      <c r="D161" t="inlineStr">
        <is>
          <t>SHORT_HIST 256.4 - 345.9</t>
        </is>
      </c>
      <c r="E161" t="inlineStr">
        <is>
          <t>Broker</t>
        </is>
      </c>
      <c r="F161" t="inlineStr">
        <is>
          <t>high</t>
        </is>
      </c>
      <c r="G161" t="n">
        <v>256</v>
      </c>
      <c r="H161" t="n">
        <v>1.744878027698212</v>
      </c>
      <c r="I161" t="inlineStr">
        <is>
          <t>No: may be mostly FICO</t>
        </is>
      </c>
      <c r="J161" t="n">
        <v>23</v>
      </c>
      <c r="K161">
        <f>'_pockets'!$AI$460</f>
        <v/>
      </c>
      <c r="L161">
        <f>'_pockets'!$AJ$460</f>
        <v/>
      </c>
      <c r="M161">
        <f>IF(AND($A161='Pockets'!$D$18,$B161='Pockets'!$C$18,OR('Pockets'!$E$18="All",AND('Pockets'!$E$18="Worse and material",$K161="Yes",$L161="Yes"),AND('Pockets'!$E$18="Worse or not sure",OR($K161="Yes",$K161="Not sure")))),1,0)</f>
        <v/>
      </c>
      <c r="N161">
        <f>$N160+$M161</f>
        <v/>
      </c>
      <c r="O161" t="inlineStr">
        <is>
          <t>three-way</t>
        </is>
      </c>
      <c r="P161" t="inlineStr">
        <is>
          <t>outcome_booked</t>
        </is>
      </c>
    </row>
    <row r="162">
      <c r="A162" t="inlineStr">
        <is>
          <t>Split by REV_DEBT</t>
        </is>
      </c>
      <c r="B162" t="inlineStr">
        <is>
          <t>Bad dollars</t>
        </is>
      </c>
      <c r="C162" t="n">
        <v>435</v>
      </c>
      <c r="D162" t="inlineStr">
        <is>
          <t>SHORT_HIST 89.0 - 171.9</t>
        </is>
      </c>
      <c r="E162" t="inlineStr">
        <is>
          <t>Branch</t>
        </is>
      </c>
      <c r="F162" t="inlineStr">
        <is>
          <t>high</t>
        </is>
      </c>
      <c r="G162" t="n">
        <v>245</v>
      </c>
      <c r="H162" t="n">
        <v>1.762830195018993</v>
      </c>
      <c r="I162" t="inlineStr">
        <is>
          <t>No: may be mostly FICO</t>
        </is>
      </c>
      <c r="J162" t="n">
        <v>24</v>
      </c>
      <c r="K162">
        <f>'_pockets'!$AI$435</f>
        <v/>
      </c>
      <c r="L162">
        <f>'_pockets'!$AJ$435</f>
        <v/>
      </c>
      <c r="M162">
        <f>IF(AND($A162='Pockets'!$D$18,$B162='Pockets'!$C$18,OR('Pockets'!$E$18="All",AND('Pockets'!$E$18="Worse and material",$K162="Yes",$L162="Yes"),AND('Pockets'!$E$18="Worse or not sure",OR($K162="Yes",$K162="Not sure")))),1,0)</f>
        <v/>
      </c>
      <c r="N162">
        <f>$N161+$M162</f>
        <v/>
      </c>
      <c r="O162" t="inlineStr">
        <is>
          <t>three-way</t>
        </is>
      </c>
      <c r="P162" t="inlineStr">
        <is>
          <t>outcome_booked</t>
        </is>
      </c>
    </row>
    <row r="163">
      <c r="A163" t="inlineStr">
        <is>
          <t>Split by REV_DEBT</t>
        </is>
      </c>
      <c r="B163" t="inlineStr">
        <is>
          <t>Bad dollars</t>
        </is>
      </c>
      <c r="C163" t="n">
        <v>530</v>
      </c>
      <c r="D163" t="inlineStr">
        <is>
          <t>SHORT_HIST 346.0 - 435.0</t>
        </is>
      </c>
      <c r="E163" t="inlineStr">
        <is>
          <t>Online</t>
        </is>
      </c>
      <c r="F163" t="inlineStr">
        <is>
          <t>high</t>
        </is>
      </c>
      <c r="G163" t="n">
        <v>265</v>
      </c>
      <c r="H163" t="n">
        <v>1.731069331063485</v>
      </c>
      <c r="I163" t="inlineStr">
        <is>
          <t>No: may be mostly FICO</t>
        </is>
      </c>
      <c r="J163" t="n">
        <v>25</v>
      </c>
      <c r="K163">
        <f>'_pockets'!$AI$530</f>
        <v/>
      </c>
      <c r="L163">
        <f>'_pockets'!$AJ$530</f>
        <v/>
      </c>
      <c r="M163">
        <f>IF(AND($A163='Pockets'!$D$18,$B163='Pockets'!$C$18,OR('Pockets'!$E$18="All",AND('Pockets'!$E$18="Worse and material",$K163="Yes",$L163="Yes"),AND('Pockets'!$E$18="Worse or not sure",OR($K163="Yes",$K163="Not sure")))),1,0)</f>
        <v/>
      </c>
      <c r="N163">
        <f>$N162+$M163</f>
        <v/>
      </c>
      <c r="O163" t="inlineStr">
        <is>
          <t>three-way</t>
        </is>
      </c>
      <c r="P163" t="inlineStr">
        <is>
          <t>outcome_booked</t>
        </is>
      </c>
    </row>
    <row r="164">
      <c r="A164" t="inlineStr">
        <is>
          <t>Split by REV_DEBT</t>
        </is>
      </c>
      <c r="B164" t="inlineStr">
        <is>
          <t>Bad dollars</t>
        </is>
      </c>
      <c r="C164" t="n">
        <v>430</v>
      </c>
      <c r="D164" t="inlineStr">
        <is>
          <t>SHORT_HIST 172.0 - 256.3</t>
        </is>
      </c>
      <c r="E164" t="inlineStr">
        <is>
          <t>Online</t>
        </is>
      </c>
      <c r="F164" t="inlineStr">
        <is>
          <t>high</t>
        </is>
      </c>
      <c r="G164" t="n">
        <v>258</v>
      </c>
      <c r="H164" t="n">
        <v>1.741744008205755</v>
      </c>
      <c r="I164" t="inlineStr">
        <is>
          <t>No: may be mostly FICO</t>
        </is>
      </c>
      <c r="J164" t="n">
        <v>26</v>
      </c>
      <c r="K164">
        <f>'_pockets'!$AI$430</f>
        <v/>
      </c>
      <c r="L164">
        <f>'_pockets'!$AJ$430</f>
        <v/>
      </c>
      <c r="M164">
        <f>IF(AND($A164='Pockets'!$D$18,$B164='Pockets'!$C$18,OR('Pockets'!$E$18="All",AND('Pockets'!$E$18="Worse and material",$K164="Yes",$L164="Yes"),AND('Pockets'!$E$18="Worse or not sure",OR($K164="Yes",$K164="Not sure")))),1,0)</f>
        <v/>
      </c>
      <c r="N164">
        <f>$N163+$M164</f>
        <v/>
      </c>
      <c r="O164" t="inlineStr">
        <is>
          <t>three-way</t>
        </is>
      </c>
      <c r="P164" t="inlineStr">
        <is>
          <t>outcome_booked</t>
        </is>
      </c>
    </row>
    <row r="165">
      <c r="A165" t="inlineStr">
        <is>
          <t>Split by REV_DEBT</t>
        </is>
      </c>
      <c r="B165" t="inlineStr">
        <is>
          <t>Bad dollars</t>
        </is>
      </c>
      <c r="C165" t="n">
        <v>490</v>
      </c>
      <c r="D165" t="inlineStr">
        <is>
          <t>SHORT_HIST 256.4 - 345.9</t>
        </is>
      </c>
      <c r="E165" t="inlineStr">
        <is>
          <t>Branch</t>
        </is>
      </c>
      <c r="F165" t="inlineStr">
        <is>
          <t>high</t>
        </is>
      </c>
      <c r="G165" t="n">
        <v>251</v>
      </c>
      <c r="H165" t="n">
        <v>1.752884479335255</v>
      </c>
      <c r="I165" t="inlineStr">
        <is>
          <t>No: may be mostly FICO</t>
        </is>
      </c>
      <c r="J165" t="n">
        <v>27</v>
      </c>
      <c r="K165">
        <f>'_pockets'!$AI$490</f>
        <v/>
      </c>
      <c r="L165">
        <f>'_pockets'!$AJ$490</f>
        <v/>
      </c>
      <c r="M165">
        <f>IF(AND($A165='Pockets'!$D$18,$B165='Pockets'!$C$18,OR('Pockets'!$E$18="All",AND('Pockets'!$E$18="Worse and material",$K165="Yes",$L165="Yes"),AND('Pockets'!$E$18="Worse or not sure",OR($K165="Yes",$K165="Not sure")))),1,0)</f>
        <v/>
      </c>
      <c r="N165">
        <f>$N164+$M165</f>
        <v/>
      </c>
      <c r="O165" t="inlineStr">
        <is>
          <t>three-way</t>
        </is>
      </c>
      <c r="P165" t="inlineStr">
        <is>
          <t>outcome_booked</t>
        </is>
      </c>
    </row>
    <row r="166">
      <c r="A166" t="inlineStr">
        <is>
          <t>Split by REV_DEBT</t>
        </is>
      </c>
      <c r="B166" t="inlineStr">
        <is>
          <t>Bad dollars</t>
        </is>
      </c>
      <c r="C166" t="n">
        <v>515</v>
      </c>
      <c r="D166" t="inlineStr">
        <is>
          <t>SHORT_HIST 0.0 - 88.9</t>
        </is>
      </c>
      <c r="E166" t="inlineStr">
        <is>
          <t>Online</t>
        </is>
      </c>
      <c r="F166" t="inlineStr">
        <is>
          <t>high</t>
        </is>
      </c>
      <c r="G166" t="n">
        <v>264</v>
      </c>
      <c r="H166" t="n">
        <v>1.732566982710399</v>
      </c>
      <c r="I166" t="inlineStr">
        <is>
          <t>No: may be mostly FICO</t>
        </is>
      </c>
      <c r="J166" t="n">
        <v>28</v>
      </c>
      <c r="K166">
        <f>'_pockets'!$AI$515</f>
        <v/>
      </c>
      <c r="L166">
        <f>'_pockets'!$AJ$515</f>
        <v/>
      </c>
      <c r="M166">
        <f>IF(AND($A166='Pockets'!$D$18,$B166='Pockets'!$C$18,OR('Pockets'!$E$18="All",AND('Pockets'!$E$18="Worse and material",$K166="Yes",$L166="Yes"),AND('Pockets'!$E$18="Worse or not sure",OR($K166="Yes",$K166="Not sure")))),1,0)</f>
        <v/>
      </c>
      <c r="N166">
        <f>$N165+$M166</f>
        <v/>
      </c>
      <c r="O166" t="inlineStr">
        <is>
          <t>three-way</t>
        </is>
      </c>
      <c r="P166" t="inlineStr">
        <is>
          <t>outcome_booked</t>
        </is>
      </c>
    </row>
    <row r="167">
      <c r="A167" t="inlineStr">
        <is>
          <t>Split by REV_DEBT</t>
        </is>
      </c>
      <c r="B167" t="inlineStr">
        <is>
          <t>Bad dollars</t>
        </is>
      </c>
      <c r="C167" t="n">
        <v>440</v>
      </c>
      <c r="D167" t="inlineStr">
        <is>
          <t>SHORT_HIST 89.0 - 171.9</t>
        </is>
      </c>
      <c r="E167" t="inlineStr">
        <is>
          <t>Online</t>
        </is>
      </c>
      <c r="F167" t="inlineStr">
        <is>
          <t>high</t>
        </is>
      </c>
      <c r="G167" t="n">
        <v>272</v>
      </c>
      <c r="H167" t="n">
        <v>1.720829223303436</v>
      </c>
      <c r="I167" t="inlineStr">
        <is>
          <t>No: may be mostly FICO</t>
        </is>
      </c>
      <c r="J167" t="n">
        <v>29</v>
      </c>
      <c r="K167">
        <f>'_pockets'!$AI$440</f>
        <v/>
      </c>
      <c r="L167">
        <f>'_pockets'!$AJ$440</f>
        <v/>
      </c>
      <c r="M167">
        <f>IF(AND($A167='Pockets'!$D$18,$B167='Pockets'!$C$18,OR('Pockets'!$E$18="All",AND('Pockets'!$E$18="Worse and material",$K167="Yes",$L167="Yes"),AND('Pockets'!$E$18="Worse or not sure",OR($K167="Yes",$K167="Not sure")))),1,0)</f>
        <v/>
      </c>
      <c r="N167">
        <f>$N166+$M167</f>
        <v/>
      </c>
      <c r="O167" t="inlineStr">
        <is>
          <t>three-way</t>
        </is>
      </c>
      <c r="P167" t="inlineStr">
        <is>
          <t>outcome_booked</t>
        </is>
      </c>
    </row>
    <row r="168">
      <c r="A168" t="inlineStr">
        <is>
          <t>Split by REV_DEBT</t>
        </is>
      </c>
      <c r="B168" t="inlineStr">
        <is>
          <t>Bad dollars</t>
        </is>
      </c>
      <c r="C168" t="n">
        <v>390</v>
      </c>
      <c r="D168" t="inlineStr">
        <is>
          <t>SHORT_HIST 0.0 - 88.9</t>
        </is>
      </c>
      <c r="E168" t="inlineStr">
        <is>
          <t>Branch</t>
        </is>
      </c>
      <c r="F168" t="inlineStr">
        <is>
          <t>high</t>
        </is>
      </c>
      <c r="G168" t="n">
        <v>253</v>
      </c>
      <c r="H168" t="n">
        <v>1.749652014056595</v>
      </c>
      <c r="I168" t="inlineStr">
        <is>
          <t>No: may be mostly FICO</t>
        </is>
      </c>
      <c r="J168" t="n">
        <v>30</v>
      </c>
      <c r="K168">
        <f>'_pockets'!$AI$390</f>
        <v/>
      </c>
      <c r="L168">
        <f>'_pockets'!$AJ$390</f>
        <v/>
      </c>
      <c r="M168">
        <f>IF(AND($A168='Pockets'!$D$18,$B168='Pockets'!$C$18,OR('Pockets'!$E$18="All",AND('Pockets'!$E$18="Worse and material",$K168="Yes",$L168="Yes"),AND('Pockets'!$E$18="Worse or not sure",OR($K168="Yes",$K168="Not sure")))),1,0)</f>
        <v/>
      </c>
      <c r="N168">
        <f>$N167+$M168</f>
        <v/>
      </c>
      <c r="O168" t="inlineStr">
        <is>
          <t>three-way</t>
        </is>
      </c>
      <c r="P168" t="inlineStr">
        <is>
          <t>outcome_booked</t>
        </is>
      </c>
    </row>
    <row r="169">
      <c r="A169" t="inlineStr">
        <is>
          <t>Split by REV_DEBT</t>
        </is>
      </c>
      <c r="B169" t="inlineStr">
        <is>
          <t>Bad dollars</t>
        </is>
      </c>
      <c r="C169" t="n">
        <v>540</v>
      </c>
      <c r="D169" t="inlineStr">
        <is>
          <t>SHORT_HIST (marked missing)</t>
        </is>
      </c>
      <c r="E169" t="inlineStr">
        <is>
          <t>Branch</t>
        </is>
      </c>
      <c r="F169" t="inlineStr">
        <is>
          <t>high</t>
        </is>
      </c>
      <c r="G169" t="n">
        <v>36</v>
      </c>
      <c r="H169" t="n">
        <v>3.248325025675372</v>
      </c>
      <c r="I169" t="inlineStr">
        <is>
          <t>No: may be mostly FICO</t>
        </is>
      </c>
      <c r="J169" t="n">
        <v>31</v>
      </c>
      <c r="K169">
        <f>'_pockets'!$AI$540</f>
        <v/>
      </c>
      <c r="L169">
        <f>'_pockets'!$AJ$540</f>
        <v/>
      </c>
      <c r="M169">
        <f>IF(AND($A169='Pockets'!$D$18,$B169='Pockets'!$C$18,OR('Pockets'!$E$18="All",AND('Pockets'!$E$18="Worse and material",$K169="Yes",$L169="Yes"),AND('Pockets'!$E$18="Worse or not sure",OR($K169="Yes",$K169="Not sure")))),1,0)</f>
        <v/>
      </c>
      <c r="N169">
        <f>$N168+$M169</f>
        <v/>
      </c>
      <c r="O169" t="inlineStr">
        <is>
          <t>three-way</t>
        </is>
      </c>
      <c r="P169" t="inlineStr">
        <is>
          <t>outcome_booked</t>
        </is>
      </c>
    </row>
    <row r="170">
      <c r="A170" t="inlineStr">
        <is>
          <t>Split by REV_DEBT</t>
        </is>
      </c>
      <c r="B170" t="inlineStr">
        <is>
          <t>Bad dollars</t>
        </is>
      </c>
      <c r="C170" t="n">
        <v>395</v>
      </c>
      <c r="D170" t="inlineStr">
        <is>
          <t>SHORT_HIST 172.0 - 256.3</t>
        </is>
      </c>
      <c r="E170" t="inlineStr">
        <is>
          <t>Branch</t>
        </is>
      </c>
      <c r="F170" t="inlineStr">
        <is>
          <t>high</t>
        </is>
      </c>
      <c r="G170" t="n">
        <v>260</v>
      </c>
      <c r="H170" t="n">
        <v>1.738647992707129</v>
      </c>
      <c r="I170" t="inlineStr">
        <is>
          <t>No: may be mostly FICO</t>
        </is>
      </c>
      <c r="J170" t="n">
        <v>32</v>
      </c>
      <c r="K170">
        <f>'_pockets'!$AI$395</f>
        <v/>
      </c>
      <c r="L170">
        <f>'_pockets'!$AJ$395</f>
        <v/>
      </c>
      <c r="M170">
        <f>IF(AND($A170='Pockets'!$D$18,$B170='Pockets'!$C$18,OR('Pockets'!$E$18="All",AND('Pockets'!$E$18="Worse and material",$K170="Yes",$L170="Yes"),AND('Pockets'!$E$18="Worse or not sure",OR($K170="Yes",$K170="Not sure")))),1,0)</f>
        <v/>
      </c>
      <c r="N170">
        <f>$N169+$M170</f>
        <v/>
      </c>
      <c r="O170" t="inlineStr">
        <is>
          <t>three-way</t>
        </is>
      </c>
      <c r="P170" t="inlineStr">
        <is>
          <t>outcome_booked</t>
        </is>
      </c>
    </row>
    <row r="171">
      <c r="A171" t="inlineStr">
        <is>
          <t>Split by REV_DEBT</t>
        </is>
      </c>
      <c r="B171" t="inlineStr">
        <is>
          <t>Bad dollars</t>
        </is>
      </c>
      <c r="C171" t="n">
        <v>535</v>
      </c>
      <c r="D171" t="inlineStr">
        <is>
          <t>SHORT_HIST (marked missing)</t>
        </is>
      </c>
      <c r="E171" t="inlineStr">
        <is>
          <t>Online</t>
        </is>
      </c>
      <c r="F171" t="inlineStr">
        <is>
          <t>low</t>
        </is>
      </c>
      <c r="G171" t="n">
        <v>31</v>
      </c>
      <c r="H171" t="n">
        <v>3.456157967158963</v>
      </c>
      <c r="I171" t="inlineStr">
        <is>
          <t>No: may be mostly FICO</t>
        </is>
      </c>
      <c r="J171" t="n">
        <v>33</v>
      </c>
      <c r="K171">
        <f>'_pockets'!$AI$535</f>
        <v/>
      </c>
      <c r="L171">
        <f>'_pockets'!$AJ$535</f>
        <v/>
      </c>
      <c r="M171">
        <f>IF(AND($A171='Pockets'!$D$18,$B171='Pockets'!$C$18,OR('Pockets'!$E$18="All",AND('Pockets'!$E$18="Worse and material",$K171="Yes",$L171="Yes"),AND('Pockets'!$E$18="Worse or not sure",OR($K171="Yes",$K171="Not sure")))),1,0)</f>
        <v/>
      </c>
      <c r="N171">
        <f>$N170+$M171</f>
        <v/>
      </c>
      <c r="O171" t="inlineStr">
        <is>
          <t>three-way</t>
        </is>
      </c>
      <c r="P171" t="inlineStr">
        <is>
          <t>outcome_booked</t>
        </is>
      </c>
    </row>
    <row r="172">
      <c r="A172" t="inlineStr">
        <is>
          <t>Split by REV_DEBT</t>
        </is>
      </c>
      <c r="B172" t="inlineStr">
        <is>
          <t>Charge-offs</t>
        </is>
      </c>
      <c r="C172" t="n">
        <v>271</v>
      </c>
      <c r="D172" t="inlineStr">
        <is>
          <t>FICO 496 - 653</t>
        </is>
      </c>
      <c r="E172" t="inlineStr">
        <is>
          <t>Broker</t>
        </is>
      </c>
      <c r="F172" t="inlineStr">
        <is>
          <t>high</t>
        </is>
      </c>
      <c r="G172" t="n">
        <v>261</v>
      </c>
      <c r="H172" t="n">
        <v>1.764653942743428</v>
      </c>
      <c r="I172" t="inlineStr">
        <is>
          <t>Yes</t>
        </is>
      </c>
      <c r="J172" t="n">
        <v>1</v>
      </c>
      <c r="K172">
        <f>'_pockets'!$AI$271</f>
        <v/>
      </c>
      <c r="L172">
        <f>'_pockets'!$AJ$271</f>
        <v/>
      </c>
      <c r="M172">
        <f>IF(AND($A172='Pockets'!$D$18,$B172='Pockets'!$C$18,OR('Pockets'!$E$18="All",AND('Pockets'!$E$18="Worse and material",$K172="Yes",$L172="Yes"),AND('Pockets'!$E$18="Worse or not sure",OR($K172="Yes",$K172="Not sure")))),1,0)</f>
        <v/>
      </c>
      <c r="N172">
        <f>$N171+$M172</f>
        <v/>
      </c>
      <c r="O172" t="inlineStr">
        <is>
          <t>three-way</t>
        </is>
      </c>
      <c r="P172" t="inlineStr">
        <is>
          <t>gco_rate</t>
        </is>
      </c>
    </row>
    <row r="173">
      <c r="A173" t="inlineStr">
        <is>
          <t>Split by REV_DEBT</t>
        </is>
      </c>
      <c r="B173" t="inlineStr">
        <is>
          <t>Charge-offs</t>
        </is>
      </c>
      <c r="C173" t="n">
        <v>261</v>
      </c>
      <c r="D173" t="inlineStr">
        <is>
          <t>FICO 686 - 711</t>
        </is>
      </c>
      <c r="E173" t="inlineStr">
        <is>
          <t>Online</t>
        </is>
      </c>
      <c r="F173" t="inlineStr">
        <is>
          <t>high</t>
        </is>
      </c>
      <c r="G173" t="n">
        <v>273</v>
      </c>
      <c r="H173" t="n">
        <v>1.746238791535965</v>
      </c>
      <c r="I173" t="inlineStr">
        <is>
          <t>Yes</t>
        </is>
      </c>
      <c r="J173" t="n">
        <v>2</v>
      </c>
      <c r="K173">
        <f>'_pockets'!$AI$261</f>
        <v/>
      </c>
      <c r="L173">
        <f>'_pockets'!$AJ$261</f>
        <v/>
      </c>
      <c r="M173">
        <f>IF(AND($A173='Pockets'!$D$18,$B173='Pockets'!$C$18,OR('Pockets'!$E$18="All",AND('Pockets'!$E$18="Worse and material",$K173="Yes",$L173="Yes"),AND('Pockets'!$E$18="Worse or not sure",OR($K173="Yes",$K173="Not sure")))),1,0)</f>
        <v/>
      </c>
      <c r="N173">
        <f>$N172+$M173</f>
        <v/>
      </c>
      <c r="O173" t="inlineStr">
        <is>
          <t>three-way</t>
        </is>
      </c>
      <c r="P173" t="inlineStr">
        <is>
          <t>gco_rate</t>
        </is>
      </c>
    </row>
    <row r="174">
      <c r="A174" t="inlineStr">
        <is>
          <t>Split by REV_DEBT</t>
        </is>
      </c>
      <c r="B174" t="inlineStr">
        <is>
          <t>Charge-offs</t>
        </is>
      </c>
      <c r="C174" t="n">
        <v>246</v>
      </c>
      <c r="D174" t="inlineStr">
        <is>
          <t>FICO 712 - 745</t>
        </is>
      </c>
      <c r="E174" t="inlineStr">
        <is>
          <t>Online</t>
        </is>
      </c>
      <c r="F174" t="inlineStr">
        <is>
          <t>high</t>
        </is>
      </c>
      <c r="G174" t="n">
        <v>282</v>
      </c>
      <c r="H174" t="n">
        <v>1.733243256317988</v>
      </c>
      <c r="I174" t="inlineStr">
        <is>
          <t>Yes</t>
        </is>
      </c>
      <c r="J174" t="n">
        <v>3</v>
      </c>
      <c r="K174">
        <f>'_pockets'!$AI$246</f>
        <v/>
      </c>
      <c r="L174">
        <f>'_pockets'!$AJ$246</f>
        <v/>
      </c>
      <c r="M174">
        <f>IF(AND($A174='Pockets'!$D$18,$B174='Pockets'!$C$18,OR('Pockets'!$E$18="All",AND('Pockets'!$E$18="Worse and material",$K174="Yes",$L174="Yes"),AND('Pockets'!$E$18="Worse or not sure",OR($K174="Yes",$K174="Not sure")))),1,0)</f>
        <v/>
      </c>
      <c r="N174">
        <f>$N173+$M174</f>
        <v/>
      </c>
      <c r="O174" t="inlineStr">
        <is>
          <t>three-way</t>
        </is>
      </c>
      <c r="P174" t="inlineStr">
        <is>
          <t>gco_rate</t>
        </is>
      </c>
    </row>
    <row r="175">
      <c r="A175" t="inlineStr">
        <is>
          <t>Split by REV_DEBT</t>
        </is>
      </c>
      <c r="B175" t="inlineStr">
        <is>
          <t>Charge-offs</t>
        </is>
      </c>
      <c r="C175" t="n">
        <v>311</v>
      </c>
      <c r="D175" t="inlineStr">
        <is>
          <t>FICO 654 - 685</t>
        </is>
      </c>
      <c r="E175" t="inlineStr">
        <is>
          <t>Broker</t>
        </is>
      </c>
      <c r="F175" t="inlineStr">
        <is>
          <t>high</t>
        </is>
      </c>
      <c r="G175" t="n">
        <v>265</v>
      </c>
      <c r="H175" t="n">
        <v>1.758369793334915</v>
      </c>
      <c r="I175" t="inlineStr">
        <is>
          <t>Yes</t>
        </is>
      </c>
      <c r="J175" t="n">
        <v>4</v>
      </c>
      <c r="K175">
        <f>'_pockets'!$AI$311</f>
        <v/>
      </c>
      <c r="L175">
        <f>'_pockets'!$AJ$311</f>
        <v/>
      </c>
      <c r="M175">
        <f>IF(AND($A175='Pockets'!$D$18,$B175='Pockets'!$C$18,OR('Pockets'!$E$18="All",AND('Pockets'!$E$18="Worse and material",$K175="Yes",$L175="Yes"),AND('Pockets'!$E$18="Worse or not sure",OR($K175="Yes",$K175="Not sure")))),1,0)</f>
        <v/>
      </c>
      <c r="N175">
        <f>$N174+$M175</f>
        <v/>
      </c>
      <c r="O175" t="inlineStr">
        <is>
          <t>three-way</t>
        </is>
      </c>
      <c r="P175" t="inlineStr">
        <is>
          <t>gco_rate</t>
        </is>
      </c>
    </row>
    <row r="176">
      <c r="A176" t="inlineStr">
        <is>
          <t>Split by REV_DEBT</t>
        </is>
      </c>
      <c r="B176" t="inlineStr">
        <is>
          <t>Charge-offs</t>
        </is>
      </c>
      <c r="C176" t="n">
        <v>286</v>
      </c>
      <c r="D176" t="inlineStr">
        <is>
          <t>FICO 654 - 685</t>
        </is>
      </c>
      <c r="E176" t="inlineStr">
        <is>
          <t>Online</t>
        </is>
      </c>
      <c r="F176" t="inlineStr">
        <is>
          <t>high</t>
        </is>
      </c>
      <c r="G176" t="n">
        <v>252</v>
      </c>
      <c r="H176" t="n">
        <v>1.779364402594206</v>
      </c>
      <c r="I176" t="inlineStr">
        <is>
          <t>Yes</t>
        </is>
      </c>
      <c r="J176" t="n">
        <v>5</v>
      </c>
      <c r="K176">
        <f>'_pockets'!$AI$286</f>
        <v/>
      </c>
      <c r="L176">
        <f>'_pockets'!$AJ$286</f>
        <v/>
      </c>
      <c r="M176">
        <f>IF(AND($A176='Pockets'!$D$18,$B176='Pockets'!$C$18,OR('Pockets'!$E$18="All",AND('Pockets'!$E$18="Worse and material",$K176="Yes",$L176="Yes"),AND('Pockets'!$E$18="Worse or not sure",OR($K176="Yes",$K176="Not sure")))),1,0)</f>
        <v/>
      </c>
      <c r="N176">
        <f>$N175+$M176</f>
        <v/>
      </c>
      <c r="O176" t="inlineStr">
        <is>
          <t>three-way</t>
        </is>
      </c>
      <c r="P176" t="inlineStr">
        <is>
          <t>gco_rate</t>
        </is>
      </c>
    </row>
    <row r="177">
      <c r="A177" t="inlineStr">
        <is>
          <t>Split by REV_DEBT</t>
        </is>
      </c>
      <c r="B177" t="inlineStr">
        <is>
          <t>Charge-offs</t>
        </is>
      </c>
      <c r="C177" t="n">
        <v>251</v>
      </c>
      <c r="D177" t="inlineStr">
        <is>
          <t>FICO 654 - 685</t>
        </is>
      </c>
      <c r="E177" t="inlineStr">
        <is>
          <t>Branch</t>
        </is>
      </c>
      <c r="F177" t="inlineStr">
        <is>
          <t>high</t>
        </is>
      </c>
      <c r="G177" t="n">
        <v>251</v>
      </c>
      <c r="H177" t="n">
        <v>1.78105005814018</v>
      </c>
      <c r="I177" t="inlineStr">
        <is>
          <t>Yes</t>
        </is>
      </c>
      <c r="J177" t="n">
        <v>6</v>
      </c>
      <c r="K177">
        <f>'_pockets'!$AI$251</f>
        <v/>
      </c>
      <c r="L177">
        <f>'_pockets'!$AJ$251</f>
        <v/>
      </c>
      <c r="M177">
        <f>IF(AND($A177='Pockets'!$D$18,$B177='Pockets'!$C$18,OR('Pockets'!$E$18="All",AND('Pockets'!$E$18="Worse and material",$K177="Yes",$L177="Yes"),AND('Pockets'!$E$18="Worse or not sure",OR($K177="Yes",$K177="Not sure")))),1,0)</f>
        <v/>
      </c>
      <c r="N177">
        <f>$N176+$M177</f>
        <v/>
      </c>
      <c r="O177" t="inlineStr">
        <is>
          <t>three-way</t>
        </is>
      </c>
      <c r="P177" t="inlineStr">
        <is>
          <t>gco_rate</t>
        </is>
      </c>
    </row>
    <row r="178">
      <c r="A178" t="inlineStr">
        <is>
          <t>Split by REV_DEBT</t>
        </is>
      </c>
      <c r="B178" t="inlineStr">
        <is>
          <t>Charge-offs</t>
        </is>
      </c>
      <c r="C178" t="n">
        <v>221</v>
      </c>
      <c r="D178" t="inlineStr">
        <is>
          <t>FICO 496 - 653</t>
        </is>
      </c>
      <c r="E178" t="inlineStr">
        <is>
          <t>Broker</t>
        </is>
      </c>
      <c r="F178" t="inlineStr">
        <is>
          <t>low</t>
        </is>
      </c>
      <c r="G178" t="n">
        <v>262</v>
      </c>
      <c r="H178" t="n">
        <v>1.763068744857638</v>
      </c>
      <c r="I178" t="inlineStr">
        <is>
          <t>Yes</t>
        </is>
      </c>
      <c r="J178" t="n">
        <v>7</v>
      </c>
      <c r="K178">
        <f>'_pockets'!$AI$221</f>
        <v/>
      </c>
      <c r="L178">
        <f>'_pockets'!$AJ$221</f>
        <v/>
      </c>
      <c r="M178">
        <f>IF(AND($A178='Pockets'!$D$18,$B178='Pockets'!$C$18,OR('Pockets'!$E$18="All",AND('Pockets'!$E$18="Worse and material",$K178="Yes",$L178="Yes"),AND('Pockets'!$E$18="Worse or not sure",OR($K178="Yes",$K178="Not sure")))),1,0)</f>
        <v/>
      </c>
      <c r="N178">
        <f>$N177+$M178</f>
        <v/>
      </c>
      <c r="O178" t="inlineStr">
        <is>
          <t>three-way</t>
        </is>
      </c>
      <c r="P178" t="inlineStr">
        <is>
          <t>gco_rate</t>
        </is>
      </c>
    </row>
    <row r="179">
      <c r="A179" t="inlineStr">
        <is>
          <t>Split by REV_DEBT</t>
        </is>
      </c>
      <c r="B179" t="inlineStr">
        <is>
          <t>Charge-offs</t>
        </is>
      </c>
      <c r="C179" t="n">
        <v>321</v>
      </c>
      <c r="D179" t="inlineStr">
        <is>
          <t>FICO 746 - 921</t>
        </is>
      </c>
      <c r="E179" t="inlineStr">
        <is>
          <t>Broker</t>
        </is>
      </c>
      <c r="F179" t="inlineStr">
        <is>
          <t>high</t>
        </is>
      </c>
      <c r="G179" t="n">
        <v>268</v>
      </c>
      <c r="H179" t="n">
        <v>1.753753883202778</v>
      </c>
      <c r="I179" t="inlineStr">
        <is>
          <t>Yes</t>
        </is>
      </c>
      <c r="J179" t="n">
        <v>8</v>
      </c>
      <c r="K179">
        <f>'_pockets'!$AI$321</f>
        <v/>
      </c>
      <c r="L179">
        <f>'_pockets'!$AJ$321</f>
        <v/>
      </c>
      <c r="M179">
        <f>IF(AND($A179='Pockets'!$D$18,$B179='Pockets'!$C$18,OR('Pockets'!$E$18="All",AND('Pockets'!$E$18="Worse and material",$K179="Yes",$L179="Yes"),AND('Pockets'!$E$18="Worse or not sure",OR($K179="Yes",$K179="Not sure")))),1,0)</f>
        <v/>
      </c>
      <c r="N179">
        <f>$N178+$M179</f>
        <v/>
      </c>
      <c r="O179" t="inlineStr">
        <is>
          <t>three-way</t>
        </is>
      </c>
      <c r="P179" t="inlineStr">
        <is>
          <t>gco_rate</t>
        </is>
      </c>
    </row>
    <row r="180">
      <c r="A180" t="inlineStr">
        <is>
          <t>Split by REV_DEBT</t>
        </is>
      </c>
      <c r="B180" t="inlineStr">
        <is>
          <t>Charge-offs</t>
        </is>
      </c>
      <c r="C180" t="n">
        <v>331</v>
      </c>
      <c r="D180" t="inlineStr">
        <is>
          <t>FICO 686 - 711</t>
        </is>
      </c>
      <c r="E180" t="inlineStr">
        <is>
          <t>Broker</t>
        </is>
      </c>
      <c r="F180" t="inlineStr">
        <is>
          <t>high</t>
        </is>
      </c>
      <c r="G180" t="n">
        <v>250</v>
      </c>
      <c r="H180" t="n">
        <v>1.782746334244623</v>
      </c>
      <c r="I180" t="inlineStr">
        <is>
          <t>Yes</t>
        </is>
      </c>
      <c r="J180" t="n">
        <v>9</v>
      </c>
      <c r="K180">
        <f>'_pockets'!$AI$331</f>
        <v/>
      </c>
      <c r="L180">
        <f>'_pockets'!$AJ$331</f>
        <v/>
      </c>
      <c r="M180">
        <f>IF(AND($A180='Pockets'!$D$18,$B180='Pockets'!$C$18,OR('Pockets'!$E$18="All",AND('Pockets'!$E$18="Worse and material",$K180="Yes",$L180="Yes"),AND('Pockets'!$E$18="Worse or not sure",OR($K180="Yes",$K180="Not sure")))),1,0)</f>
        <v/>
      </c>
      <c r="N180">
        <f>$N179+$M180</f>
        <v/>
      </c>
      <c r="O180" t="inlineStr">
        <is>
          <t>three-way</t>
        </is>
      </c>
      <c r="P180" t="inlineStr">
        <is>
          <t>gco_rate</t>
        </is>
      </c>
    </row>
    <row r="181">
      <c r="A181" t="inlineStr">
        <is>
          <t>Split by REV_DEBT</t>
        </is>
      </c>
      <c r="B181" t="inlineStr">
        <is>
          <t>Charge-offs</t>
        </is>
      </c>
      <c r="C181" t="n">
        <v>371</v>
      </c>
      <c r="D181" t="inlineStr">
        <is>
          <t>FICO (marked missing)</t>
        </is>
      </c>
      <c r="E181" t="inlineStr">
        <is>
          <t>Broker</t>
        </is>
      </c>
      <c r="F181" t="inlineStr">
        <is>
          <t>high</t>
        </is>
      </c>
      <c r="G181" t="n">
        <v>27</v>
      </c>
      <c r="H181" t="n">
        <v>3.777270047908649</v>
      </c>
      <c r="I181" t="inlineStr">
        <is>
          <t>Yes</t>
        </is>
      </c>
      <c r="J181" t="n">
        <v>10</v>
      </c>
      <c r="K181">
        <f>'_pockets'!$AI$371</f>
        <v/>
      </c>
      <c r="L181">
        <f>'_pockets'!$AJ$371</f>
        <v/>
      </c>
      <c r="M181">
        <f>IF(AND($A181='Pockets'!$D$18,$B181='Pockets'!$C$18,OR('Pockets'!$E$18="All",AND('Pockets'!$E$18="Worse and material",$K181="Yes",$L181="Yes"),AND('Pockets'!$E$18="Worse or not sure",OR($K181="Yes",$K181="Not sure")))),1,0)</f>
        <v/>
      </c>
      <c r="N181">
        <f>$N180+$M181</f>
        <v/>
      </c>
      <c r="O181" t="inlineStr">
        <is>
          <t>three-way</t>
        </is>
      </c>
      <c r="P181" t="inlineStr">
        <is>
          <t>gco_rate</t>
        </is>
      </c>
    </row>
    <row r="182">
      <c r="A182" t="inlineStr">
        <is>
          <t>Split by REV_DEBT</t>
        </is>
      </c>
      <c r="B182" t="inlineStr">
        <is>
          <t>Charge-offs</t>
        </is>
      </c>
      <c r="C182" t="n">
        <v>326</v>
      </c>
      <c r="D182" t="inlineStr">
        <is>
          <t>FICO 746 - 921</t>
        </is>
      </c>
      <c r="E182" t="inlineStr">
        <is>
          <t>Branch</t>
        </is>
      </c>
      <c r="F182" t="inlineStr">
        <is>
          <t>high</t>
        </is>
      </c>
      <c r="G182" t="n">
        <v>259</v>
      </c>
      <c r="H182" t="n">
        <v>1.767853225842448</v>
      </c>
      <c r="I182" t="inlineStr">
        <is>
          <t>Yes</t>
        </is>
      </c>
      <c r="J182" t="n">
        <v>11</v>
      </c>
      <c r="K182">
        <f>'_pockets'!$AI$326</f>
        <v/>
      </c>
      <c r="L182">
        <f>'_pockets'!$AJ$326</f>
        <v/>
      </c>
      <c r="M182">
        <f>IF(AND($A182='Pockets'!$D$18,$B182='Pockets'!$C$18,OR('Pockets'!$E$18="All",AND('Pockets'!$E$18="Worse and material",$K182="Yes",$L182="Yes"),AND('Pockets'!$E$18="Worse or not sure",OR($K182="Yes",$K182="Not sure")))),1,0)</f>
        <v/>
      </c>
      <c r="N182">
        <f>$N181+$M182</f>
        <v/>
      </c>
      <c r="O182" t="inlineStr">
        <is>
          <t>three-way</t>
        </is>
      </c>
      <c r="P182" t="inlineStr">
        <is>
          <t>gco_rate</t>
        </is>
      </c>
    </row>
    <row r="183">
      <c r="A183" t="inlineStr">
        <is>
          <t>Split by REV_DEBT</t>
        </is>
      </c>
      <c r="B183" t="inlineStr">
        <is>
          <t>Charge-offs</t>
        </is>
      </c>
      <c r="C183" t="n">
        <v>231</v>
      </c>
      <c r="D183" t="inlineStr">
        <is>
          <t>FICO 712 - 745</t>
        </is>
      </c>
      <c r="E183" t="inlineStr">
        <is>
          <t>Online</t>
        </is>
      </c>
      <c r="F183" t="inlineStr">
        <is>
          <t>low</t>
        </is>
      </c>
      <c r="G183" t="n">
        <v>282</v>
      </c>
      <c r="H183" t="n">
        <v>1.733243256317988</v>
      </c>
      <c r="I183" t="inlineStr">
        <is>
          <t>Yes</t>
        </is>
      </c>
      <c r="J183" t="n">
        <v>12</v>
      </c>
      <c r="K183">
        <f>'_pockets'!$AI$231</f>
        <v/>
      </c>
      <c r="L183">
        <f>'_pockets'!$AJ$231</f>
        <v/>
      </c>
      <c r="M183">
        <f>IF(AND($A183='Pockets'!$D$18,$B183='Pockets'!$C$18,OR('Pockets'!$E$18="All",AND('Pockets'!$E$18="Worse and material",$K183="Yes",$L183="Yes"),AND('Pockets'!$E$18="Worse or not sure",OR($K183="Yes",$K183="Not sure")))),1,0)</f>
        <v/>
      </c>
      <c r="N183">
        <f>$N182+$M183</f>
        <v/>
      </c>
      <c r="O183" t="inlineStr">
        <is>
          <t>three-way</t>
        </is>
      </c>
      <c r="P183" t="inlineStr">
        <is>
          <t>gco_rate</t>
        </is>
      </c>
    </row>
    <row r="184">
      <c r="A184" t="inlineStr">
        <is>
          <t>Split by REV_DEBT</t>
        </is>
      </c>
      <c r="B184" t="inlineStr">
        <is>
          <t>Charge-offs</t>
        </is>
      </c>
      <c r="C184" t="n">
        <v>206</v>
      </c>
      <c r="D184" t="inlineStr">
        <is>
          <t>FICO 712 - 745</t>
        </is>
      </c>
      <c r="E184" t="inlineStr">
        <is>
          <t>Branch</t>
        </is>
      </c>
      <c r="F184" t="inlineStr">
        <is>
          <t>high</t>
        </is>
      </c>
      <c r="G184" t="n">
        <v>268</v>
      </c>
      <c r="H184" t="n">
        <v>1.753753883202778</v>
      </c>
      <c r="I184" t="inlineStr">
        <is>
          <t>Yes</t>
        </is>
      </c>
      <c r="J184" t="n">
        <v>13</v>
      </c>
      <c r="K184">
        <f>'_pockets'!$AI$206</f>
        <v/>
      </c>
      <c r="L184">
        <f>'_pockets'!$AJ$206</f>
        <v/>
      </c>
      <c r="M184">
        <f>IF(AND($A184='Pockets'!$D$18,$B184='Pockets'!$C$18,OR('Pockets'!$E$18="All",AND('Pockets'!$E$18="Worse and material",$K184="Yes",$L184="Yes"),AND('Pockets'!$E$18="Worse or not sure",OR($K184="Yes",$K184="Not sure")))),1,0)</f>
        <v/>
      </c>
      <c r="N184">
        <f>$N183+$M184</f>
        <v/>
      </c>
      <c r="O184" t="inlineStr">
        <is>
          <t>three-way</t>
        </is>
      </c>
      <c r="P184" t="inlineStr">
        <is>
          <t>gco_rate</t>
        </is>
      </c>
    </row>
    <row r="185">
      <c r="A185" t="inlineStr">
        <is>
          <t>Split by REV_DEBT</t>
        </is>
      </c>
      <c r="B185" t="inlineStr">
        <is>
          <t>Charge-offs</t>
        </is>
      </c>
      <c r="C185" t="n">
        <v>341</v>
      </c>
      <c r="D185" t="inlineStr">
        <is>
          <t>FICO 686 - 711</t>
        </is>
      </c>
      <c r="E185" t="inlineStr">
        <is>
          <t>Branch</t>
        </is>
      </c>
      <c r="F185" t="inlineStr">
        <is>
          <t>high</t>
        </is>
      </c>
      <c r="G185" t="n">
        <v>257</v>
      </c>
      <c r="H185" t="n">
        <v>1.771091672184101</v>
      </c>
      <c r="I185" t="inlineStr">
        <is>
          <t>Yes</t>
        </is>
      </c>
      <c r="J185" t="n">
        <v>14</v>
      </c>
      <c r="K185">
        <f>'_pockets'!$AI$341</f>
        <v/>
      </c>
      <c r="L185">
        <f>'_pockets'!$AJ$341</f>
        <v/>
      </c>
      <c r="M185">
        <f>IF(AND($A185='Pockets'!$D$18,$B185='Pockets'!$C$18,OR('Pockets'!$E$18="All",AND('Pockets'!$E$18="Worse and material",$K185="Yes",$L185="Yes"),AND('Pockets'!$E$18="Worse or not sure",OR($K185="Yes",$K185="Not sure")))),1,0)</f>
        <v/>
      </c>
      <c r="N185">
        <f>$N184+$M185</f>
        <v/>
      </c>
      <c r="O185" t="inlineStr">
        <is>
          <t>three-way</t>
        </is>
      </c>
      <c r="P185" t="inlineStr">
        <is>
          <t>gco_rate</t>
        </is>
      </c>
    </row>
    <row r="186">
      <c r="A186" t="inlineStr">
        <is>
          <t>Split by REV_DEBT</t>
        </is>
      </c>
      <c r="B186" t="inlineStr">
        <is>
          <t>Charge-offs</t>
        </is>
      </c>
      <c r="C186" t="n">
        <v>316</v>
      </c>
      <c r="D186" t="inlineStr">
        <is>
          <t>FICO (marked missing)</t>
        </is>
      </c>
      <c r="E186" t="inlineStr">
        <is>
          <t>Online</t>
        </is>
      </c>
      <c r="F186" t="inlineStr">
        <is>
          <t>low</t>
        </is>
      </c>
      <c r="G186" t="n">
        <v>28</v>
      </c>
      <c r="H186" t="n">
        <v>3.717344432619912</v>
      </c>
      <c r="I186" t="inlineStr">
        <is>
          <t>Yes</t>
        </is>
      </c>
      <c r="J186" t="n">
        <v>15</v>
      </c>
      <c r="K186">
        <f>'_pockets'!$AI$316</f>
        <v/>
      </c>
      <c r="L186">
        <f>'_pockets'!$AJ$316</f>
        <v/>
      </c>
      <c r="M186">
        <f>IF(AND($A186='Pockets'!$D$18,$B186='Pockets'!$C$18,OR('Pockets'!$E$18="All",AND('Pockets'!$E$18="Worse and material",$K186="Yes",$L186="Yes"),AND('Pockets'!$E$18="Worse or not sure",OR($K186="Yes",$K186="Not sure")))),1,0)</f>
        <v/>
      </c>
      <c r="N186">
        <f>$N185+$M186</f>
        <v/>
      </c>
      <c r="O186" t="inlineStr">
        <is>
          <t>three-way</t>
        </is>
      </c>
      <c r="P186" t="inlineStr">
        <is>
          <t>gco_rate</t>
        </is>
      </c>
    </row>
    <row r="187">
      <c r="A187" t="inlineStr">
        <is>
          <t>Split by REV_DEBT</t>
        </is>
      </c>
      <c r="B187" t="inlineStr">
        <is>
          <t>Charge-offs</t>
        </is>
      </c>
      <c r="C187" t="n">
        <v>216</v>
      </c>
      <c r="D187" t="inlineStr">
        <is>
          <t>FICO 746 - 921</t>
        </is>
      </c>
      <c r="E187" t="inlineStr">
        <is>
          <t>Branch</t>
        </is>
      </c>
      <c r="F187" t="inlineStr">
        <is>
          <t>low</t>
        </is>
      </c>
      <c r="G187" t="n">
        <v>259</v>
      </c>
      <c r="H187" t="n">
        <v>1.767853225842448</v>
      </c>
      <c r="I187" t="inlineStr">
        <is>
          <t>Yes</t>
        </is>
      </c>
      <c r="J187" t="n">
        <v>16</v>
      </c>
      <c r="K187">
        <f>'_pockets'!$AI$216</f>
        <v/>
      </c>
      <c r="L187">
        <f>'_pockets'!$AJ$216</f>
        <v/>
      </c>
      <c r="M187">
        <f>IF(AND($A187='Pockets'!$D$18,$B187='Pockets'!$C$18,OR('Pockets'!$E$18="All",AND('Pockets'!$E$18="Worse and material",$K187="Yes",$L187="Yes"),AND('Pockets'!$E$18="Worse or not sure",OR($K187="Yes",$K187="Not sure")))),1,0)</f>
        <v/>
      </c>
      <c r="N187">
        <f>$N186+$M187</f>
        <v/>
      </c>
      <c r="O187" t="inlineStr">
        <is>
          <t>three-way</t>
        </is>
      </c>
      <c r="P187" t="inlineStr">
        <is>
          <t>gco_rate</t>
        </is>
      </c>
    </row>
    <row r="188">
      <c r="A188" t="inlineStr">
        <is>
          <t>Split by REV_DEBT</t>
        </is>
      </c>
      <c r="B188" t="inlineStr">
        <is>
          <t>Charge-offs</t>
        </is>
      </c>
      <c r="C188" t="n">
        <v>276</v>
      </c>
      <c r="D188" t="inlineStr">
        <is>
          <t>FICO 496 - 653</t>
        </is>
      </c>
      <c r="E188" t="inlineStr">
        <is>
          <t>Branch</t>
        </is>
      </c>
      <c r="F188" t="inlineStr">
        <is>
          <t>high</t>
        </is>
      </c>
      <c r="G188" t="n">
        <v>251</v>
      </c>
      <c r="H188" t="n">
        <v>1.78105005814018</v>
      </c>
      <c r="I188" t="inlineStr">
        <is>
          <t>Yes</t>
        </is>
      </c>
      <c r="J188" t="n">
        <v>17</v>
      </c>
      <c r="K188">
        <f>'_pockets'!$AI$276</f>
        <v/>
      </c>
      <c r="L188">
        <f>'_pockets'!$AJ$276</f>
        <v/>
      </c>
      <c r="M188">
        <f>IF(AND($A188='Pockets'!$D$18,$B188='Pockets'!$C$18,OR('Pockets'!$E$18="All",AND('Pockets'!$E$18="Worse and material",$K188="Yes",$L188="Yes"),AND('Pockets'!$E$18="Worse or not sure",OR($K188="Yes",$K188="Not sure")))),1,0)</f>
        <v/>
      </c>
      <c r="N188">
        <f>$N187+$M188</f>
        <v/>
      </c>
      <c r="O188" t="inlineStr">
        <is>
          <t>three-way</t>
        </is>
      </c>
      <c r="P188" t="inlineStr">
        <is>
          <t>gco_rate</t>
        </is>
      </c>
    </row>
    <row r="189">
      <c r="A189" t="inlineStr">
        <is>
          <t>Split by REV_DEBT</t>
        </is>
      </c>
      <c r="B189" t="inlineStr">
        <is>
          <t>Charge-offs</t>
        </is>
      </c>
      <c r="C189" t="n">
        <v>336</v>
      </c>
      <c r="D189" t="inlineStr">
        <is>
          <t>FICO 496 - 653</t>
        </is>
      </c>
      <c r="E189" t="inlineStr">
        <is>
          <t>Online</t>
        </is>
      </c>
      <c r="F189" t="inlineStr">
        <is>
          <t>high</t>
        </is>
      </c>
      <c r="G189" t="n">
        <v>265</v>
      </c>
      <c r="H189" t="n">
        <v>1.758369793334915</v>
      </c>
      <c r="I189" t="inlineStr">
        <is>
          <t>Yes</t>
        </is>
      </c>
      <c r="J189" t="n">
        <v>18</v>
      </c>
      <c r="K189">
        <f>'_pockets'!$AI$336</f>
        <v/>
      </c>
      <c r="L189">
        <f>'_pockets'!$AJ$336</f>
        <v/>
      </c>
      <c r="M189">
        <f>IF(AND($A189='Pockets'!$D$18,$B189='Pockets'!$C$18,OR('Pockets'!$E$18="All",AND('Pockets'!$E$18="Worse and material",$K189="Yes",$L189="Yes"),AND('Pockets'!$E$18="Worse or not sure",OR($K189="Yes",$K189="Not sure")))),1,0)</f>
        <v/>
      </c>
      <c r="N189">
        <f>$N188+$M189</f>
        <v/>
      </c>
      <c r="O189" t="inlineStr">
        <is>
          <t>three-way</t>
        </is>
      </c>
      <c r="P189" t="inlineStr">
        <is>
          <t>gco_rate</t>
        </is>
      </c>
    </row>
    <row r="190">
      <c r="A190" t="inlineStr">
        <is>
          <t>Split by REV_DEBT</t>
        </is>
      </c>
      <c r="B190" t="inlineStr">
        <is>
          <t>Charge-offs</t>
        </is>
      </c>
      <c r="C190" t="n">
        <v>281</v>
      </c>
      <c r="D190" t="inlineStr">
        <is>
          <t>FICO 654 - 685</t>
        </is>
      </c>
      <c r="E190" t="inlineStr">
        <is>
          <t>Branch</t>
        </is>
      </c>
      <c r="F190" t="inlineStr">
        <is>
          <t>low</t>
        </is>
      </c>
      <c r="G190" t="n">
        <v>252</v>
      </c>
      <c r="H190" t="n">
        <v>1.779364402594206</v>
      </c>
      <c r="I190" t="inlineStr">
        <is>
          <t>Yes</t>
        </is>
      </c>
      <c r="J190" t="n">
        <v>19</v>
      </c>
      <c r="K190">
        <f>'_pockets'!$AI$281</f>
        <v/>
      </c>
      <c r="L190">
        <f>'_pockets'!$AJ$281</f>
        <v/>
      </c>
      <c r="M190">
        <f>IF(AND($A190='Pockets'!$D$18,$B190='Pockets'!$C$18,OR('Pockets'!$E$18="All",AND('Pockets'!$E$18="Worse and material",$K190="Yes",$L190="Yes"),AND('Pockets'!$E$18="Worse or not sure",OR($K190="Yes",$K190="Not sure")))),1,0)</f>
        <v/>
      </c>
      <c r="N190">
        <f>$N189+$M190</f>
        <v/>
      </c>
      <c r="O190" t="inlineStr">
        <is>
          <t>three-way</t>
        </is>
      </c>
      <c r="P190" t="inlineStr">
        <is>
          <t>gco_rate</t>
        </is>
      </c>
    </row>
    <row r="191">
      <c r="A191" t="inlineStr">
        <is>
          <t>Split by REV_DEBT</t>
        </is>
      </c>
      <c r="B191" t="inlineStr">
        <is>
          <t>Charge-offs</t>
        </is>
      </c>
      <c r="C191" t="n">
        <v>486</v>
      </c>
      <c r="D191" t="inlineStr">
        <is>
          <t>SHORT_HIST 346.0 - 435.0</t>
        </is>
      </c>
      <c r="E191" t="inlineStr">
        <is>
          <t>Broker</t>
        </is>
      </c>
      <c r="F191" t="inlineStr">
        <is>
          <t>high</t>
        </is>
      </c>
      <c r="G191" t="n">
        <v>252</v>
      </c>
      <c r="H191" t="n">
        <v>1.779364402594206</v>
      </c>
      <c r="I191" t="inlineStr">
        <is>
          <t>No: may be mostly FICO</t>
        </is>
      </c>
      <c r="J191" t="n">
        <v>20</v>
      </c>
      <c r="K191">
        <f>'_pockets'!$AI$486</f>
        <v/>
      </c>
      <c r="L191">
        <f>'_pockets'!$AJ$486</f>
        <v/>
      </c>
      <c r="M191">
        <f>IF(AND($A191='Pockets'!$D$18,$B191='Pockets'!$C$18,OR('Pockets'!$E$18="All",AND('Pockets'!$E$18="Worse and material",$K191="Yes",$L191="Yes"),AND('Pockets'!$E$18="Worse or not sure",OR($K191="Yes",$K191="Not sure")))),1,0)</f>
        <v/>
      </c>
      <c r="N191">
        <f>$N190+$M191</f>
        <v/>
      </c>
      <c r="O191" t="inlineStr">
        <is>
          <t>three-way</t>
        </is>
      </c>
      <c r="P191" t="inlineStr">
        <is>
          <t>gco_rate</t>
        </is>
      </c>
    </row>
    <row r="192">
      <c r="A192" t="inlineStr">
        <is>
          <t>Split by REV_DEBT</t>
        </is>
      </c>
      <c r="B192" t="inlineStr">
        <is>
          <t>Charge-offs</t>
        </is>
      </c>
      <c r="C192" t="n">
        <v>401</v>
      </c>
      <c r="D192" t="inlineStr">
        <is>
          <t>SHORT_HIST 172.0 - 256.3</t>
        </is>
      </c>
      <c r="E192" t="inlineStr">
        <is>
          <t>Broker</t>
        </is>
      </c>
      <c r="F192" t="inlineStr">
        <is>
          <t>high</t>
        </is>
      </c>
      <c r="G192" t="n">
        <v>270</v>
      </c>
      <c r="H192" t="n">
        <v>1.750721560410432</v>
      </c>
      <c r="I192" t="inlineStr">
        <is>
          <t>No: may be mostly FICO</t>
        </is>
      </c>
      <c r="J192" t="n">
        <v>21</v>
      </c>
      <c r="K192">
        <f>'_pockets'!$AI$401</f>
        <v/>
      </c>
      <c r="L192">
        <f>'_pockets'!$AJ$401</f>
        <v/>
      </c>
      <c r="M192">
        <f>IF(AND($A192='Pockets'!$D$18,$B192='Pockets'!$C$18,OR('Pockets'!$E$18="All",AND('Pockets'!$E$18="Worse and material",$K192="Yes",$L192="Yes"),AND('Pockets'!$E$18="Worse or not sure",OR($K192="Yes",$K192="Not sure")))),1,0)</f>
        <v/>
      </c>
      <c r="N192">
        <f>$N191+$M192</f>
        <v/>
      </c>
      <c r="O192" t="inlineStr">
        <is>
          <t>three-way</t>
        </is>
      </c>
      <c r="P192" t="inlineStr">
        <is>
          <t>gco_rate</t>
        </is>
      </c>
    </row>
    <row r="193">
      <c r="A193" t="inlineStr">
        <is>
          <t>Split by REV_DEBT</t>
        </is>
      </c>
      <c r="B193" t="inlineStr">
        <is>
          <t>Charge-offs</t>
        </is>
      </c>
      <c r="C193" t="n">
        <v>471</v>
      </c>
      <c r="D193" t="inlineStr">
        <is>
          <t>SHORT_HIST 256.4 - 345.9</t>
        </is>
      </c>
      <c r="E193" t="inlineStr">
        <is>
          <t>Online</t>
        </is>
      </c>
      <c r="F193" t="inlineStr">
        <is>
          <t>high</t>
        </is>
      </c>
      <c r="G193" t="n">
        <v>268</v>
      </c>
      <c r="H193" t="n">
        <v>1.753753883202778</v>
      </c>
      <c r="I193" t="inlineStr">
        <is>
          <t>No: may be mostly FICO</t>
        </is>
      </c>
      <c r="J193" t="n">
        <v>22</v>
      </c>
      <c r="K193">
        <f>'_pockets'!$AI$471</f>
        <v/>
      </c>
      <c r="L193">
        <f>'_pockets'!$AJ$471</f>
        <v/>
      </c>
      <c r="M193">
        <f>IF(AND($A193='Pockets'!$D$18,$B193='Pockets'!$C$18,OR('Pockets'!$E$18="All",AND('Pockets'!$E$18="Worse and material",$K193="Yes",$L193="Yes"),AND('Pockets'!$E$18="Worse or not sure",OR($K193="Yes",$K193="Not sure")))),1,0)</f>
        <v/>
      </c>
      <c r="N193">
        <f>$N192+$M193</f>
        <v/>
      </c>
      <c r="O193" t="inlineStr">
        <is>
          <t>three-way</t>
        </is>
      </c>
      <c r="P193" t="inlineStr">
        <is>
          <t>gco_rate</t>
        </is>
      </c>
    </row>
    <row r="194">
      <c r="A194" t="inlineStr">
        <is>
          <t>Split by REV_DEBT</t>
        </is>
      </c>
      <c r="B194" t="inlineStr">
        <is>
          <t>Charge-offs</t>
        </is>
      </c>
      <c r="C194" t="n">
        <v>381</v>
      </c>
      <c r="D194" t="inlineStr">
        <is>
          <t>SHORT_HIST 89.0 - 171.9</t>
        </is>
      </c>
      <c r="E194" t="inlineStr">
        <is>
          <t>Broker</t>
        </is>
      </c>
      <c r="F194" t="inlineStr">
        <is>
          <t>high</t>
        </is>
      </c>
      <c r="G194" t="n">
        <v>261</v>
      </c>
      <c r="H194" t="n">
        <v>1.764653942743428</v>
      </c>
      <c r="I194" t="inlineStr">
        <is>
          <t>No: may be mostly FICO</t>
        </is>
      </c>
      <c r="J194" t="n">
        <v>23</v>
      </c>
      <c r="K194">
        <f>'_pockets'!$AI$381</f>
        <v/>
      </c>
      <c r="L194">
        <f>'_pockets'!$AJ$381</f>
        <v/>
      </c>
      <c r="M194">
        <f>IF(AND($A194='Pockets'!$D$18,$B194='Pockets'!$C$18,OR('Pockets'!$E$18="All",AND('Pockets'!$E$18="Worse and material",$K194="Yes",$L194="Yes"),AND('Pockets'!$E$18="Worse or not sure",OR($K194="Yes",$K194="Not sure")))),1,0)</f>
        <v/>
      </c>
      <c r="N194">
        <f>$N193+$M194</f>
        <v/>
      </c>
      <c r="O194" t="inlineStr">
        <is>
          <t>three-way</t>
        </is>
      </c>
      <c r="P194" t="inlineStr">
        <is>
          <t>gco_rate</t>
        </is>
      </c>
    </row>
    <row r="195">
      <c r="A195" t="inlineStr">
        <is>
          <t>Split by REV_DEBT</t>
        </is>
      </c>
      <c r="B195" t="inlineStr">
        <is>
          <t>Charge-offs</t>
        </is>
      </c>
      <c r="C195" t="n">
        <v>526</v>
      </c>
      <c r="D195" t="inlineStr">
        <is>
          <t>SHORT_HIST 0.0 - 88.9</t>
        </is>
      </c>
      <c r="E195" t="inlineStr">
        <is>
          <t>Broker</t>
        </is>
      </c>
      <c r="F195" t="inlineStr">
        <is>
          <t>high</t>
        </is>
      </c>
      <c r="G195" t="n">
        <v>254</v>
      </c>
      <c r="H195" t="n">
        <v>1.776024518762917</v>
      </c>
      <c r="I195" t="inlineStr">
        <is>
          <t>No: may be mostly FICO</t>
        </is>
      </c>
      <c r="J195" t="n">
        <v>24</v>
      </c>
      <c r="K195">
        <f>'_pockets'!$AI$526</f>
        <v/>
      </c>
      <c r="L195">
        <f>'_pockets'!$AJ$526</f>
        <v/>
      </c>
      <c r="M195">
        <f>IF(AND($A195='Pockets'!$D$18,$B195='Pockets'!$C$18,OR('Pockets'!$E$18="All",AND('Pockets'!$E$18="Worse and material",$K195="Yes",$L195="Yes"),AND('Pockets'!$E$18="Worse or not sure",OR($K195="Yes",$K195="Not sure")))),1,0)</f>
        <v/>
      </c>
      <c r="N195">
        <f>$N194+$M195</f>
        <v/>
      </c>
      <c r="O195" t="inlineStr">
        <is>
          <t>three-way</t>
        </is>
      </c>
      <c r="P195" t="inlineStr">
        <is>
          <t>gco_rate</t>
        </is>
      </c>
    </row>
    <row r="196">
      <c r="A196" t="inlineStr">
        <is>
          <t>Split by REV_DEBT</t>
        </is>
      </c>
      <c r="B196" t="inlineStr">
        <is>
          <t>Charge-offs</t>
        </is>
      </c>
      <c r="C196" t="n">
        <v>461</v>
      </c>
      <c r="D196" t="inlineStr">
        <is>
          <t>SHORT_HIST 256.4 - 345.9</t>
        </is>
      </c>
      <c r="E196" t="inlineStr">
        <is>
          <t>Broker</t>
        </is>
      </c>
      <c r="F196" t="inlineStr">
        <is>
          <t>high</t>
        </is>
      </c>
      <c r="G196" t="n">
        <v>256</v>
      </c>
      <c r="H196" t="n">
        <v>1.772725829241794</v>
      </c>
      <c r="I196" t="inlineStr">
        <is>
          <t>No: may be mostly FICO</t>
        </is>
      </c>
      <c r="J196" t="n">
        <v>25</v>
      </c>
      <c r="K196">
        <f>'_pockets'!$AI$461</f>
        <v/>
      </c>
      <c r="L196">
        <f>'_pockets'!$AJ$461</f>
        <v/>
      </c>
      <c r="M196">
        <f>IF(AND($A196='Pockets'!$D$18,$B196='Pockets'!$C$18,OR('Pockets'!$E$18="All",AND('Pockets'!$E$18="Worse and material",$K196="Yes",$L196="Yes"),AND('Pockets'!$E$18="Worse or not sure",OR($K196="Yes",$K196="Not sure")))),1,0)</f>
        <v/>
      </c>
      <c r="N196">
        <f>$N195+$M196</f>
        <v/>
      </c>
      <c r="O196" t="inlineStr">
        <is>
          <t>three-way</t>
        </is>
      </c>
      <c r="P196" t="inlineStr">
        <is>
          <t>gco_rate</t>
        </is>
      </c>
    </row>
    <row r="197">
      <c r="A197" t="inlineStr">
        <is>
          <t>Split by REV_DEBT</t>
        </is>
      </c>
      <c r="B197" t="inlineStr">
        <is>
          <t>Charge-offs</t>
        </is>
      </c>
      <c r="C197" t="n">
        <v>436</v>
      </c>
      <c r="D197" t="inlineStr">
        <is>
          <t>SHORT_HIST 89.0 - 171.9</t>
        </is>
      </c>
      <c r="E197" t="inlineStr">
        <is>
          <t>Branch</t>
        </is>
      </c>
      <c r="F197" t="inlineStr">
        <is>
          <t>high</t>
        </is>
      </c>
      <c r="G197" t="n">
        <v>245</v>
      </c>
      <c r="H197" t="n">
        <v>1.791390949913776</v>
      </c>
      <c r="I197" t="inlineStr">
        <is>
          <t>No: may be mostly FICO</t>
        </is>
      </c>
      <c r="J197" t="n">
        <v>26</v>
      </c>
      <c r="K197">
        <f>'_pockets'!$AI$436</f>
        <v/>
      </c>
      <c r="L197">
        <f>'_pockets'!$AJ$436</f>
        <v/>
      </c>
      <c r="M197">
        <f>IF(AND($A197='Pockets'!$D$18,$B197='Pockets'!$C$18,OR('Pockets'!$E$18="All",AND('Pockets'!$E$18="Worse and material",$K197="Yes",$L197="Yes"),AND('Pockets'!$E$18="Worse or not sure",OR($K197="Yes",$K197="Not sure")))),1,0)</f>
        <v/>
      </c>
      <c r="N197">
        <f>$N196+$M197</f>
        <v/>
      </c>
      <c r="O197" t="inlineStr">
        <is>
          <t>three-way</t>
        </is>
      </c>
      <c r="P197" t="inlineStr">
        <is>
          <t>gco_rate</t>
        </is>
      </c>
    </row>
    <row r="198">
      <c r="A198" t="inlineStr">
        <is>
          <t>Split by REV_DEBT</t>
        </is>
      </c>
      <c r="B198" t="inlineStr">
        <is>
          <t>Charge-offs</t>
        </is>
      </c>
      <c r="C198" t="n">
        <v>531</v>
      </c>
      <c r="D198" t="inlineStr">
        <is>
          <t>SHORT_HIST 346.0 - 435.0</t>
        </is>
      </c>
      <c r="E198" t="inlineStr">
        <is>
          <t>Online</t>
        </is>
      </c>
      <c r="F198" t="inlineStr">
        <is>
          <t>high</t>
        </is>
      </c>
      <c r="G198" t="n">
        <v>265</v>
      </c>
      <c r="H198" t="n">
        <v>1.758369793334915</v>
      </c>
      <c r="I198" t="inlineStr">
        <is>
          <t>No: may be mostly FICO</t>
        </is>
      </c>
      <c r="J198" t="n">
        <v>27</v>
      </c>
      <c r="K198">
        <f>'_pockets'!$AI$531</f>
        <v/>
      </c>
      <c r="L198">
        <f>'_pockets'!$AJ$531</f>
        <v/>
      </c>
      <c r="M198">
        <f>IF(AND($A198='Pockets'!$D$18,$B198='Pockets'!$C$18,OR('Pockets'!$E$18="All",AND('Pockets'!$E$18="Worse and material",$K198="Yes",$L198="Yes"),AND('Pockets'!$E$18="Worse or not sure",OR($K198="Yes",$K198="Not sure")))),1,0)</f>
        <v/>
      </c>
      <c r="N198">
        <f>$N197+$M198</f>
        <v/>
      </c>
      <c r="O198" t="inlineStr">
        <is>
          <t>three-way</t>
        </is>
      </c>
      <c r="P198" t="inlineStr">
        <is>
          <t>gco_rate</t>
        </is>
      </c>
    </row>
    <row r="199">
      <c r="A199" t="inlineStr">
        <is>
          <t>Split by REV_DEBT</t>
        </is>
      </c>
      <c r="B199" t="inlineStr">
        <is>
          <t>Charge-offs</t>
        </is>
      </c>
      <c r="C199" t="n">
        <v>441</v>
      </c>
      <c r="D199" t="inlineStr">
        <is>
          <t>SHORT_HIST 89.0 - 171.9</t>
        </is>
      </c>
      <c r="E199" t="inlineStr">
        <is>
          <t>Online</t>
        </is>
      </c>
      <c r="F199" t="inlineStr">
        <is>
          <t>high</t>
        </is>
      </c>
      <c r="G199" t="n">
        <v>272</v>
      </c>
      <c r="H199" t="n">
        <v>1.747724397180613</v>
      </c>
      <c r="I199" t="inlineStr">
        <is>
          <t>No: may be mostly FICO</t>
        </is>
      </c>
      <c r="J199" t="n">
        <v>28</v>
      </c>
      <c r="K199">
        <f>'_pockets'!$AI$441</f>
        <v/>
      </c>
      <c r="L199">
        <f>'_pockets'!$AJ$441</f>
        <v/>
      </c>
      <c r="M199">
        <f>IF(AND($A199='Pockets'!$D$18,$B199='Pockets'!$C$18,OR('Pockets'!$E$18="All",AND('Pockets'!$E$18="Worse and material",$K199="Yes",$L199="Yes"),AND('Pockets'!$E$18="Worse or not sure",OR($K199="Yes",$K199="Not sure")))),1,0)</f>
        <v/>
      </c>
      <c r="N199">
        <f>$N198+$M199</f>
        <v/>
      </c>
      <c r="O199" t="inlineStr">
        <is>
          <t>three-way</t>
        </is>
      </c>
      <c r="P199" t="inlineStr">
        <is>
          <t>gco_rate</t>
        </is>
      </c>
    </row>
    <row r="200">
      <c r="A200" t="inlineStr">
        <is>
          <t>Split by REV_DEBT</t>
        </is>
      </c>
      <c r="B200" t="inlineStr">
        <is>
          <t>Charge-offs</t>
        </is>
      </c>
      <c r="C200" t="n">
        <v>431</v>
      </c>
      <c r="D200" t="inlineStr">
        <is>
          <t>SHORT_HIST 172.0 - 256.3</t>
        </is>
      </c>
      <c r="E200" t="inlineStr">
        <is>
          <t>Online</t>
        </is>
      </c>
      <c r="F200" t="inlineStr">
        <is>
          <t>high</t>
        </is>
      </c>
      <c r="G200" t="n">
        <v>258</v>
      </c>
      <c r="H200" t="n">
        <v>1.769467504419893</v>
      </c>
      <c r="I200" t="inlineStr">
        <is>
          <t>No: may be mostly FICO</t>
        </is>
      </c>
      <c r="J200" t="n">
        <v>29</v>
      </c>
      <c r="K200">
        <f>'_pockets'!$AI$431</f>
        <v/>
      </c>
      <c r="L200">
        <f>'_pockets'!$AJ$431</f>
        <v/>
      </c>
      <c r="M200">
        <f>IF(AND($A200='Pockets'!$D$18,$B200='Pockets'!$C$18,OR('Pockets'!$E$18="All",AND('Pockets'!$E$18="Worse and material",$K200="Yes",$L200="Yes"),AND('Pockets'!$E$18="Worse or not sure",OR($K200="Yes",$K200="Not sure")))),1,0)</f>
        <v/>
      </c>
      <c r="N200">
        <f>$N199+$M200</f>
        <v/>
      </c>
      <c r="O200" t="inlineStr">
        <is>
          <t>three-way</t>
        </is>
      </c>
      <c r="P200" t="inlineStr">
        <is>
          <t>gco_rate</t>
        </is>
      </c>
    </row>
    <row r="201">
      <c r="A201" t="inlineStr">
        <is>
          <t>Split by REV_DEBT</t>
        </is>
      </c>
      <c r="B201" t="inlineStr">
        <is>
          <t>Charge-offs</t>
        </is>
      </c>
      <c r="C201" t="n">
        <v>516</v>
      </c>
      <c r="D201" t="inlineStr">
        <is>
          <t>SHORT_HIST 0.0 - 88.9</t>
        </is>
      </c>
      <c r="E201" t="inlineStr">
        <is>
          <t>Online</t>
        </is>
      </c>
      <c r="F201" t="inlineStr">
        <is>
          <t>high</t>
        </is>
      </c>
      <c r="G201" t="n">
        <v>264</v>
      </c>
      <c r="H201" t="n">
        <v>1.759926762917907</v>
      </c>
      <c r="I201" t="inlineStr">
        <is>
          <t>No: may be mostly FICO</t>
        </is>
      </c>
      <c r="J201" t="n">
        <v>30</v>
      </c>
      <c r="K201">
        <f>'_pockets'!$AI$516</f>
        <v/>
      </c>
      <c r="L201">
        <f>'_pockets'!$AJ$516</f>
        <v/>
      </c>
      <c r="M201">
        <f>IF(AND($A201='Pockets'!$D$18,$B201='Pockets'!$C$18,OR('Pockets'!$E$18="All",AND('Pockets'!$E$18="Worse and material",$K201="Yes",$L201="Yes"),AND('Pockets'!$E$18="Worse or not sure",OR($K201="Yes",$K201="Not sure")))),1,0)</f>
        <v/>
      </c>
      <c r="N201">
        <f>$N200+$M201</f>
        <v/>
      </c>
      <c r="O201" t="inlineStr">
        <is>
          <t>three-way</t>
        </is>
      </c>
      <c r="P201" t="inlineStr">
        <is>
          <t>gco_rate</t>
        </is>
      </c>
    </row>
    <row r="202">
      <c r="A202" t="inlineStr">
        <is>
          <t>Split by REV_DEBT</t>
        </is>
      </c>
      <c r="B202" t="inlineStr">
        <is>
          <t>Charge-offs</t>
        </is>
      </c>
      <c r="C202" t="n">
        <v>391</v>
      </c>
      <c r="D202" t="inlineStr">
        <is>
          <t>SHORT_HIST 0.0 - 88.9</t>
        </is>
      </c>
      <c r="E202" t="inlineStr">
        <is>
          <t>Branch</t>
        </is>
      </c>
      <c r="F202" t="inlineStr">
        <is>
          <t>high</t>
        </is>
      </c>
      <c r="G202" t="n">
        <v>254</v>
      </c>
      <c r="H202" t="n">
        <v>1.776024518762917</v>
      </c>
      <c r="I202" t="inlineStr">
        <is>
          <t>No: may be mostly FICO</t>
        </is>
      </c>
      <c r="J202" t="n">
        <v>31</v>
      </c>
      <c r="K202">
        <f>'_pockets'!$AI$391</f>
        <v/>
      </c>
      <c r="L202">
        <f>'_pockets'!$AJ$391</f>
        <v/>
      </c>
      <c r="M202">
        <f>IF(AND($A202='Pockets'!$D$18,$B202='Pockets'!$C$18,OR('Pockets'!$E$18="All",AND('Pockets'!$E$18="Worse and material",$K202="Yes",$L202="Yes"),AND('Pockets'!$E$18="Worse or not sure",OR($K202="Yes",$K202="Not sure")))),1,0)</f>
        <v/>
      </c>
      <c r="N202">
        <f>$N201+$M202</f>
        <v/>
      </c>
      <c r="O202" t="inlineStr">
        <is>
          <t>three-way</t>
        </is>
      </c>
      <c r="P202" t="inlineStr">
        <is>
          <t>gco_rate</t>
        </is>
      </c>
    </row>
    <row r="203">
      <c r="A203" t="inlineStr">
        <is>
          <t>Split by REV_DEBT</t>
        </is>
      </c>
      <c r="B203" t="inlineStr">
        <is>
          <t>Charge-offs</t>
        </is>
      </c>
      <c r="C203" t="n">
        <v>541</v>
      </c>
      <c r="D203" t="inlineStr">
        <is>
          <t>SHORT_HIST (marked missing)</t>
        </is>
      </c>
      <c r="E203" t="inlineStr">
        <is>
          <t>Branch</t>
        </is>
      </c>
      <c r="F203" t="inlineStr">
        <is>
          <t>high</t>
        </is>
      </c>
      <c r="G203" t="n">
        <v>36</v>
      </c>
      <c r="H203" t="n">
        <v>3.33989142619436</v>
      </c>
      <c r="I203" t="inlineStr">
        <is>
          <t>No: may be mostly FICO</t>
        </is>
      </c>
      <c r="J203" t="n">
        <v>32</v>
      </c>
      <c r="K203">
        <f>'_pockets'!$AI$541</f>
        <v/>
      </c>
      <c r="L203">
        <f>'_pockets'!$AJ$541</f>
        <v/>
      </c>
      <c r="M203">
        <f>IF(AND($A203='Pockets'!$D$18,$B203='Pockets'!$C$18,OR('Pockets'!$E$18="All",AND('Pockets'!$E$18="Worse and material",$K203="Yes",$L203="Yes"),AND('Pockets'!$E$18="Worse or not sure",OR($K203="Yes",$K203="Not sure")))),1,0)</f>
        <v/>
      </c>
      <c r="N203">
        <f>$N202+$M203</f>
        <v/>
      </c>
      <c r="O203" t="inlineStr">
        <is>
          <t>three-way</t>
        </is>
      </c>
      <c r="P203" t="inlineStr">
        <is>
          <t>gco_rate</t>
        </is>
      </c>
    </row>
    <row r="204">
      <c r="A204" t="inlineStr">
        <is>
          <t>Split by REV_DEBT</t>
        </is>
      </c>
      <c r="B204" t="inlineStr">
        <is>
          <t>Charge-offs</t>
        </is>
      </c>
      <c r="C204" t="n">
        <v>491</v>
      </c>
      <c r="D204" t="inlineStr">
        <is>
          <t>SHORT_HIST 256.4 - 345.9</t>
        </is>
      </c>
      <c r="E204" t="inlineStr">
        <is>
          <t>Branch</t>
        </is>
      </c>
      <c r="F204" t="inlineStr">
        <is>
          <t>high</t>
        </is>
      </c>
      <c r="G204" t="n">
        <v>251</v>
      </c>
      <c r="H204" t="n">
        <v>1.78105005814018</v>
      </c>
      <c r="I204" t="inlineStr">
        <is>
          <t>No: may be mostly FICO</t>
        </is>
      </c>
      <c r="J204" t="n">
        <v>33</v>
      </c>
      <c r="K204">
        <f>'_pockets'!$AI$491</f>
        <v/>
      </c>
      <c r="L204">
        <f>'_pockets'!$AJ$491</f>
        <v/>
      </c>
      <c r="M204">
        <f>IF(AND($A204='Pockets'!$D$18,$B204='Pockets'!$C$18,OR('Pockets'!$E$18="All",AND('Pockets'!$E$18="Worse and material",$K204="Yes",$L204="Yes"),AND('Pockets'!$E$18="Worse or not sure",OR($K204="Yes",$K204="Not sure")))),1,0)</f>
        <v/>
      </c>
      <c r="N204">
        <f>$N203+$M204</f>
        <v/>
      </c>
      <c r="O204" t="inlineStr">
        <is>
          <t>three-way</t>
        </is>
      </c>
      <c r="P204" t="inlineStr">
        <is>
          <t>gco_rate</t>
        </is>
      </c>
    </row>
    <row r="205">
      <c r="A205" t="inlineStr">
        <is>
          <t>Split by REV_DEBT</t>
        </is>
      </c>
      <c r="B205" t="inlineStr">
        <is>
          <t>Charge-offs</t>
        </is>
      </c>
      <c r="C205" t="n">
        <v>396</v>
      </c>
      <c r="D205" t="inlineStr">
        <is>
          <t>SHORT_HIST 172.0 - 256.3</t>
        </is>
      </c>
      <c r="E205" t="inlineStr">
        <is>
          <t>Branch</t>
        </is>
      </c>
      <c r="F205" t="inlineStr">
        <is>
          <t>high</t>
        </is>
      </c>
      <c r="G205" t="n">
        <v>260</v>
      </c>
      <c r="H205" t="n">
        <v>1.766248737734456</v>
      </c>
      <c r="I205" t="inlineStr">
        <is>
          <t>No: may be mostly FICO</t>
        </is>
      </c>
      <c r="J205" t="n">
        <v>34</v>
      </c>
      <c r="K205">
        <f>'_pockets'!$AI$396</f>
        <v/>
      </c>
      <c r="L205">
        <f>'_pockets'!$AJ$396</f>
        <v/>
      </c>
      <c r="M205">
        <f>IF(AND($A205='Pockets'!$D$18,$B205='Pockets'!$C$18,OR('Pockets'!$E$18="All",AND('Pockets'!$E$18="Worse and material",$K205="Yes",$L205="Yes"),AND('Pockets'!$E$18="Worse or not sure",OR($K205="Yes",$K205="Not sure")))),1,0)</f>
        <v/>
      </c>
      <c r="N205">
        <f>$N204+$M205</f>
        <v/>
      </c>
      <c r="O205" t="inlineStr">
        <is>
          <t>three-way</t>
        </is>
      </c>
      <c r="P205" t="inlineStr">
        <is>
          <t>gco_rate</t>
        </is>
      </c>
    </row>
    <row r="206">
      <c r="A206" t="inlineStr">
        <is>
          <t>Split by REV_DEBT</t>
        </is>
      </c>
      <c r="B206" t="inlineStr">
        <is>
          <t>Kept after losses</t>
        </is>
      </c>
      <c r="C206" t="n">
        <v>272</v>
      </c>
      <c r="D206" t="inlineStr">
        <is>
          <t>FICO 496 - 653</t>
        </is>
      </c>
      <c r="E206" t="inlineStr">
        <is>
          <t>Broker</t>
        </is>
      </c>
      <c r="F206" t="inlineStr">
        <is>
          <t>high</t>
        </is>
      </c>
      <c r="G206" t="n">
        <v>261</v>
      </c>
      <c r="H206" t="n">
        <v>-3.584566003374233</v>
      </c>
      <c r="I206" t="inlineStr">
        <is>
          <t>Yes</t>
        </is>
      </c>
      <c r="J206" t="n">
        <v>1</v>
      </c>
      <c r="K206">
        <f>'_pockets'!$AI$272</f>
        <v/>
      </c>
      <c r="L206">
        <f>'_pockets'!$AJ$272</f>
        <v/>
      </c>
      <c r="M206">
        <f>IF(AND($A206='Pockets'!$D$18,$B206='Pockets'!$C$18,OR('Pockets'!$E$18="All",AND('Pockets'!$E$18="Worse and material",$K206="Yes",$L206="Yes"),AND('Pockets'!$E$18="Worse or not sure",OR($K206="Yes",$K206="Not sure")))),1,0)</f>
        <v/>
      </c>
      <c r="N206">
        <f>$N205+$M206</f>
        <v/>
      </c>
      <c r="O206" t="inlineStr">
        <is>
          <t>three-way</t>
        </is>
      </c>
      <c r="P206" t="inlineStr">
        <is>
          <t>ranr_rate</t>
        </is>
      </c>
    </row>
    <row r="207">
      <c r="A207" t="inlineStr">
        <is>
          <t>Split by REV_DEBT</t>
        </is>
      </c>
      <c r="B207" t="inlineStr">
        <is>
          <t>Kept after losses</t>
        </is>
      </c>
      <c r="C207" t="n">
        <v>207</v>
      </c>
      <c r="D207" t="inlineStr">
        <is>
          <t>FICO 712 - 745</t>
        </is>
      </c>
      <c r="E207" t="inlineStr">
        <is>
          <t>Branch</t>
        </is>
      </c>
      <c r="F207" t="inlineStr">
        <is>
          <t>high</t>
        </is>
      </c>
      <c r="G207" t="n">
        <v>268</v>
      </c>
      <c r="H207" t="n">
        <v>-3.539044017311852</v>
      </c>
      <c r="I207" t="inlineStr">
        <is>
          <t>Yes</t>
        </is>
      </c>
      <c r="J207" t="n">
        <v>2</v>
      </c>
      <c r="K207">
        <f>'_pockets'!$AI$207</f>
        <v/>
      </c>
      <c r="L207">
        <f>'_pockets'!$AJ$207</f>
        <v/>
      </c>
      <c r="M207">
        <f>IF(AND($A207='Pockets'!$D$18,$B207='Pockets'!$C$18,OR('Pockets'!$E$18="All",AND('Pockets'!$E$18="Worse and material",$K207="Yes",$L207="Yes"),AND('Pockets'!$E$18="Worse or not sure",OR($K207="Yes",$K207="Not sure")))),1,0)</f>
        <v/>
      </c>
      <c r="N207">
        <f>$N206+$M207</f>
        <v/>
      </c>
      <c r="O207" t="inlineStr">
        <is>
          <t>three-way</t>
        </is>
      </c>
      <c r="P207" t="inlineStr">
        <is>
          <t>ranr_rate</t>
        </is>
      </c>
    </row>
    <row r="208">
      <c r="A208" t="inlineStr">
        <is>
          <t>Split by REV_DEBT</t>
        </is>
      </c>
      <c r="B208" t="inlineStr">
        <is>
          <t>Kept after losses</t>
        </is>
      </c>
      <c r="C208" t="n">
        <v>312</v>
      </c>
      <c r="D208" t="inlineStr">
        <is>
          <t>FICO 654 - 685</t>
        </is>
      </c>
      <c r="E208" t="inlineStr">
        <is>
          <t>Broker</t>
        </is>
      </c>
      <c r="F208" t="inlineStr">
        <is>
          <t>high</t>
        </is>
      </c>
      <c r="G208" t="n">
        <v>265</v>
      </c>
      <c r="H208" t="n">
        <v>-3.558329630749638</v>
      </c>
      <c r="I208" t="inlineStr">
        <is>
          <t>Yes</t>
        </is>
      </c>
      <c r="J208" t="n">
        <v>3</v>
      </c>
      <c r="K208">
        <f>'_pockets'!$AI$312</f>
        <v/>
      </c>
      <c r="L208">
        <f>'_pockets'!$AJ$312</f>
        <v/>
      </c>
      <c r="M208">
        <f>IF(AND($A208='Pockets'!$D$18,$B208='Pockets'!$C$18,OR('Pockets'!$E$18="All",AND('Pockets'!$E$18="Worse and material",$K208="Yes",$L208="Yes"),AND('Pockets'!$E$18="Worse or not sure",OR($K208="Yes",$K208="Not sure")))),1,0)</f>
        <v/>
      </c>
      <c r="N208">
        <f>$N207+$M208</f>
        <v/>
      </c>
      <c r="O208" t="inlineStr">
        <is>
          <t>three-way</t>
        </is>
      </c>
      <c r="P208" t="inlineStr">
        <is>
          <t>ranr_rate</t>
        </is>
      </c>
    </row>
    <row r="209">
      <c r="A209" t="inlineStr">
        <is>
          <t>Split by REV_DEBT</t>
        </is>
      </c>
      <c r="B209" t="inlineStr">
        <is>
          <t>Kept after losses</t>
        </is>
      </c>
      <c r="C209" t="n">
        <v>332</v>
      </c>
      <c r="D209" t="inlineStr">
        <is>
          <t>FICO 686 - 711</t>
        </is>
      </c>
      <c r="E209" t="inlineStr">
        <is>
          <t>Broker</t>
        </is>
      </c>
      <c r="F209" t="inlineStr">
        <is>
          <t>high</t>
        </is>
      </c>
      <c r="G209" t="n">
        <v>250</v>
      </c>
      <c r="H209" t="n">
        <v>-3.659977058304912</v>
      </c>
      <c r="I209" t="inlineStr">
        <is>
          <t>Yes</t>
        </is>
      </c>
      <c r="J209" t="n">
        <v>4</v>
      </c>
      <c r="K209">
        <f>'_pockets'!$AI$332</f>
        <v/>
      </c>
      <c r="L209">
        <f>'_pockets'!$AJ$332</f>
        <v/>
      </c>
      <c r="M209">
        <f>IF(AND($A209='Pockets'!$D$18,$B209='Pockets'!$C$18,OR('Pockets'!$E$18="All",AND('Pockets'!$E$18="Worse and material",$K209="Yes",$L209="Yes"),AND('Pockets'!$E$18="Worse or not sure",OR($K209="Yes",$K209="Not sure")))),1,0)</f>
        <v/>
      </c>
      <c r="N209">
        <f>$N208+$M209</f>
        <v/>
      </c>
      <c r="O209" t="inlineStr">
        <is>
          <t>three-way</t>
        </is>
      </c>
      <c r="P209" t="inlineStr">
        <is>
          <t>ranr_rate</t>
        </is>
      </c>
    </row>
    <row r="210">
      <c r="A210" t="inlineStr">
        <is>
          <t>Split by REV_DEBT</t>
        </is>
      </c>
      <c r="B210" t="inlineStr">
        <is>
          <t>Kept after losses</t>
        </is>
      </c>
      <c r="C210" t="n">
        <v>252</v>
      </c>
      <c r="D210" t="inlineStr">
        <is>
          <t>FICO 654 - 685</t>
        </is>
      </c>
      <c r="E210" t="inlineStr">
        <is>
          <t>Branch</t>
        </is>
      </c>
      <c r="F210" t="inlineStr">
        <is>
          <t>high</t>
        </is>
      </c>
      <c r="G210" t="n">
        <v>251</v>
      </c>
      <c r="H210" t="n">
        <v>-3.652914701040563</v>
      </c>
      <c r="I210" t="inlineStr">
        <is>
          <t>Yes</t>
        </is>
      </c>
      <c r="J210" t="n">
        <v>5</v>
      </c>
      <c r="K210">
        <f>'_pockets'!$AI$252</f>
        <v/>
      </c>
      <c r="L210">
        <f>'_pockets'!$AJ$252</f>
        <v/>
      </c>
      <c r="M210">
        <f>IF(AND($A210='Pockets'!$D$18,$B210='Pockets'!$C$18,OR('Pockets'!$E$18="All",AND('Pockets'!$E$18="Worse and material",$K210="Yes",$L210="Yes"),AND('Pockets'!$E$18="Worse or not sure",OR($K210="Yes",$K210="Not sure")))),1,0)</f>
        <v/>
      </c>
      <c r="N210">
        <f>$N209+$M210</f>
        <v/>
      </c>
      <c r="O210" t="inlineStr">
        <is>
          <t>three-way</t>
        </is>
      </c>
      <c r="P210" t="inlineStr">
        <is>
          <t>ranr_rate</t>
        </is>
      </c>
    </row>
    <row r="211">
      <c r="A211" t="inlineStr">
        <is>
          <t>Split by REV_DEBT</t>
        </is>
      </c>
      <c r="B211" t="inlineStr">
        <is>
          <t>Kept after losses</t>
        </is>
      </c>
      <c r="C211" t="n">
        <v>342</v>
      </c>
      <c r="D211" t="inlineStr">
        <is>
          <t>FICO 686 - 711</t>
        </is>
      </c>
      <c r="E211" t="inlineStr">
        <is>
          <t>Branch</t>
        </is>
      </c>
      <c r="F211" t="inlineStr">
        <is>
          <t>high</t>
        </is>
      </c>
      <c r="G211" t="n">
        <v>257</v>
      </c>
      <c r="H211" t="n">
        <v>-3.611420448411321</v>
      </c>
      <c r="I211" t="inlineStr">
        <is>
          <t>Yes</t>
        </is>
      </c>
      <c r="J211" t="n">
        <v>6</v>
      </c>
      <c r="K211">
        <f>'_pockets'!$AI$342</f>
        <v/>
      </c>
      <c r="L211">
        <f>'_pockets'!$AJ$342</f>
        <v/>
      </c>
      <c r="M211">
        <f>IF(AND($A211='Pockets'!$D$18,$B211='Pockets'!$C$18,OR('Pockets'!$E$18="All",AND('Pockets'!$E$18="Worse and material",$K211="Yes",$L211="Yes"),AND('Pockets'!$E$18="Worse or not sure",OR($K211="Yes",$K211="Not sure")))),1,0)</f>
        <v/>
      </c>
      <c r="N211">
        <f>$N210+$M211</f>
        <v/>
      </c>
      <c r="O211" t="inlineStr">
        <is>
          <t>three-way</t>
        </is>
      </c>
      <c r="P211" t="inlineStr">
        <is>
          <t>ranr_rate</t>
        </is>
      </c>
    </row>
    <row r="212">
      <c r="A212" t="inlineStr">
        <is>
          <t>Split by REV_DEBT</t>
        </is>
      </c>
      <c r="B212" t="inlineStr">
        <is>
          <t>Kept after losses</t>
        </is>
      </c>
      <c r="C212" t="n">
        <v>257</v>
      </c>
      <c r="D212" t="inlineStr">
        <is>
          <t>FICO 712 - 745</t>
        </is>
      </c>
      <c r="E212" t="inlineStr">
        <is>
          <t>Broker</t>
        </is>
      </c>
      <c r="F212" t="inlineStr">
        <is>
          <t>low</t>
        </is>
      </c>
      <c r="G212" t="n">
        <v>255</v>
      </c>
      <c r="H212" t="n">
        <v>-3.625087014166709</v>
      </c>
      <c r="I212" t="inlineStr">
        <is>
          <t>Yes</t>
        </is>
      </c>
      <c r="J212" t="n">
        <v>7</v>
      </c>
      <c r="K212">
        <f>'_pockets'!$AI$257</f>
        <v/>
      </c>
      <c r="L212">
        <f>'_pockets'!$AJ$257</f>
        <v/>
      </c>
      <c r="M212">
        <f>IF(AND($A212='Pockets'!$D$18,$B212='Pockets'!$C$18,OR('Pockets'!$E$18="All",AND('Pockets'!$E$18="Worse and material",$K212="Yes",$L212="Yes"),AND('Pockets'!$E$18="Worse or not sure",OR($K212="Yes",$K212="Not sure")))),1,0)</f>
        <v/>
      </c>
      <c r="N212">
        <f>$N211+$M212</f>
        <v/>
      </c>
      <c r="O212" t="inlineStr">
        <is>
          <t>three-way</t>
        </is>
      </c>
      <c r="P212" t="inlineStr">
        <is>
          <t>ranr_rate</t>
        </is>
      </c>
    </row>
    <row r="213">
      <c r="A213" t="inlineStr">
        <is>
          <t>Split by REV_DEBT</t>
        </is>
      </c>
      <c r="B213" t="inlineStr">
        <is>
          <t>Kept after losses</t>
        </is>
      </c>
      <c r="C213" t="n">
        <v>347</v>
      </c>
      <c r="D213" t="inlineStr">
        <is>
          <t>FICO 686 - 711</t>
        </is>
      </c>
      <c r="E213" t="inlineStr">
        <is>
          <t>Branch</t>
        </is>
      </c>
      <c r="F213" t="inlineStr">
        <is>
          <t>low</t>
        </is>
      </c>
      <c r="G213" t="n">
        <v>258</v>
      </c>
      <c r="H213" t="n">
        <v>-3.604647582275089</v>
      </c>
      <c r="I213" t="inlineStr">
        <is>
          <t>Yes</t>
        </is>
      </c>
      <c r="J213" t="n">
        <v>8</v>
      </c>
      <c r="K213">
        <f>'_pockets'!$AI$347</f>
        <v/>
      </c>
      <c r="L213">
        <f>'_pockets'!$AJ$347</f>
        <v/>
      </c>
      <c r="M213">
        <f>IF(AND($A213='Pockets'!$D$18,$B213='Pockets'!$C$18,OR('Pockets'!$E$18="All",AND('Pockets'!$E$18="Worse and material",$K213="Yes",$L213="Yes"),AND('Pockets'!$E$18="Worse or not sure",OR($K213="Yes",$K213="Not sure")))),1,0)</f>
        <v/>
      </c>
      <c r="N213">
        <f>$N212+$M213</f>
        <v/>
      </c>
      <c r="O213" t="inlineStr">
        <is>
          <t>three-way</t>
        </is>
      </c>
      <c r="P213" t="inlineStr">
        <is>
          <t>ranr_rate</t>
        </is>
      </c>
    </row>
    <row r="214">
      <c r="A214" t="inlineStr">
        <is>
          <t>Split by REV_DEBT</t>
        </is>
      </c>
      <c r="B214" t="inlineStr">
        <is>
          <t>Kept after losses</t>
        </is>
      </c>
      <c r="C214" t="n">
        <v>282</v>
      </c>
      <c r="D214" t="inlineStr">
        <is>
          <t>FICO 654 - 685</t>
        </is>
      </c>
      <c r="E214" t="inlineStr">
        <is>
          <t>Branch</t>
        </is>
      </c>
      <c r="F214" t="inlineStr">
        <is>
          <t>low</t>
        </is>
      </c>
      <c r="G214" t="n">
        <v>252</v>
      </c>
      <c r="H214" t="n">
        <v>-3.645894937123153</v>
      </c>
      <c r="I214" t="inlineStr">
        <is>
          <t>Yes</t>
        </is>
      </c>
      <c r="J214" t="n">
        <v>9</v>
      </c>
      <c r="K214">
        <f>'_pockets'!$AI$282</f>
        <v/>
      </c>
      <c r="L214">
        <f>'_pockets'!$AJ$282</f>
        <v/>
      </c>
      <c r="M214">
        <f>IF(AND($A214='Pockets'!$D$18,$B214='Pockets'!$C$18,OR('Pockets'!$E$18="All",AND('Pockets'!$E$18="Worse and material",$K214="Yes",$L214="Yes"),AND('Pockets'!$E$18="Worse or not sure",OR($K214="Yes",$K214="Not sure")))),1,0)</f>
        <v/>
      </c>
      <c r="N214">
        <f>$N213+$M214</f>
        <v/>
      </c>
      <c r="O214" t="inlineStr">
        <is>
          <t>three-way</t>
        </is>
      </c>
      <c r="P214" t="inlineStr">
        <is>
          <t>ranr_rate</t>
        </is>
      </c>
    </row>
    <row r="215">
      <c r="A215" t="inlineStr">
        <is>
          <t>Split by REV_DEBT</t>
        </is>
      </c>
      <c r="B215" t="inlineStr">
        <is>
          <t>Kept after losses</t>
        </is>
      </c>
      <c r="C215" t="n">
        <v>222</v>
      </c>
      <c r="D215" t="inlineStr">
        <is>
          <t>FICO 496 - 653</t>
        </is>
      </c>
      <c r="E215" t="inlineStr">
        <is>
          <t>Broker</t>
        </is>
      </c>
      <c r="F215" t="inlineStr">
        <is>
          <t>low</t>
        </is>
      </c>
      <c r="G215" t="n">
        <v>262</v>
      </c>
      <c r="H215" t="n">
        <v>-3.57794988953858</v>
      </c>
      <c r="I215" t="inlineStr">
        <is>
          <t>Yes</t>
        </is>
      </c>
      <c r="J215" t="n">
        <v>10</v>
      </c>
      <c r="K215">
        <f>'_pockets'!$AI$222</f>
        <v/>
      </c>
      <c r="L215">
        <f>'_pockets'!$AJ$222</f>
        <v/>
      </c>
      <c r="M215">
        <f>IF(AND($A215='Pockets'!$D$18,$B215='Pockets'!$C$18,OR('Pockets'!$E$18="All",AND('Pockets'!$E$18="Worse and material",$K215="Yes",$L215="Yes"),AND('Pockets'!$E$18="Worse or not sure",OR($K215="Yes",$K215="Not sure")))),1,0)</f>
        <v/>
      </c>
      <c r="N215">
        <f>$N214+$M215</f>
        <v/>
      </c>
      <c r="O215" t="inlineStr">
        <is>
          <t>three-way</t>
        </is>
      </c>
      <c r="P215" t="inlineStr">
        <is>
          <t>ranr_rate</t>
        </is>
      </c>
    </row>
    <row r="216">
      <c r="A216" t="inlineStr">
        <is>
          <t>Split by REV_DEBT</t>
        </is>
      </c>
      <c r="B216" t="inlineStr">
        <is>
          <t>Kept after losses</t>
        </is>
      </c>
      <c r="C216" t="n">
        <v>372</v>
      </c>
      <c r="D216" t="inlineStr">
        <is>
          <t>FICO (marked missing)</t>
        </is>
      </c>
      <c r="E216" t="inlineStr">
        <is>
          <t>Broker</t>
        </is>
      </c>
      <c r="F216" t="inlineStr">
        <is>
          <t>high</t>
        </is>
      </c>
      <c r="G216" t="n">
        <v>27</v>
      </c>
      <c r="H216" t="n">
        <v>-10.9800842085137</v>
      </c>
      <c r="I216" t="inlineStr">
        <is>
          <t>Yes</t>
        </is>
      </c>
      <c r="J216" t="n">
        <v>11</v>
      </c>
      <c r="K216">
        <f>'_pockets'!$AI$372</f>
        <v/>
      </c>
      <c r="L216">
        <f>'_pockets'!$AJ$372</f>
        <v/>
      </c>
      <c r="M216">
        <f>IF(AND($A216='Pockets'!$D$18,$B216='Pockets'!$C$18,OR('Pockets'!$E$18="All",AND('Pockets'!$E$18="Worse and material",$K216="Yes",$L216="Yes"),AND('Pockets'!$E$18="Worse or not sure",OR($K216="Yes",$K216="Not sure")))),1,0)</f>
        <v/>
      </c>
      <c r="N216">
        <f>$N215+$M216</f>
        <v/>
      </c>
      <c r="O216" t="inlineStr">
        <is>
          <t>three-way</t>
        </is>
      </c>
      <c r="P216" t="inlineStr">
        <is>
          <t>ranr_rate</t>
        </is>
      </c>
    </row>
    <row r="217">
      <c r="A217" t="inlineStr">
        <is>
          <t>Split by REV_DEBT</t>
        </is>
      </c>
      <c r="B217" t="inlineStr">
        <is>
          <t>Kept after losses</t>
        </is>
      </c>
      <c r="C217" t="n">
        <v>287</v>
      </c>
      <c r="D217" t="inlineStr">
        <is>
          <t>FICO 654 - 685</t>
        </is>
      </c>
      <c r="E217" t="inlineStr">
        <is>
          <t>Online</t>
        </is>
      </c>
      <c r="F217" t="inlineStr">
        <is>
          <t>high</t>
        </is>
      </c>
      <c r="G217" t="n">
        <v>252</v>
      </c>
      <c r="H217" t="n">
        <v>-3.645894937123153</v>
      </c>
      <c r="I217" t="inlineStr">
        <is>
          <t>Yes</t>
        </is>
      </c>
      <c r="J217" t="n">
        <v>12</v>
      </c>
      <c r="K217">
        <f>'_pockets'!$AI$287</f>
        <v/>
      </c>
      <c r="L217">
        <f>'_pockets'!$AJ$287</f>
        <v/>
      </c>
      <c r="M217">
        <f>IF(AND($A217='Pockets'!$D$18,$B217='Pockets'!$C$18,OR('Pockets'!$E$18="All",AND('Pockets'!$E$18="Worse and material",$K217="Yes",$L217="Yes"),AND('Pockets'!$E$18="Worse or not sure",OR($K217="Yes",$K217="Not sure")))),1,0)</f>
        <v/>
      </c>
      <c r="N217">
        <f>$N216+$M217</f>
        <v/>
      </c>
      <c r="O217" t="inlineStr">
        <is>
          <t>three-way</t>
        </is>
      </c>
      <c r="P217" t="inlineStr">
        <is>
          <t>ranr_rate</t>
        </is>
      </c>
    </row>
    <row r="218">
      <c r="A218" t="inlineStr">
        <is>
          <t>Split by REV_DEBT</t>
        </is>
      </c>
      <c r="B218" t="inlineStr">
        <is>
          <t>Kept after losses</t>
        </is>
      </c>
      <c r="C218" t="n">
        <v>327</v>
      </c>
      <c r="D218" t="inlineStr">
        <is>
          <t>FICO 746 - 921</t>
        </is>
      </c>
      <c r="E218" t="inlineStr">
        <is>
          <t>Branch</t>
        </is>
      </c>
      <c r="F218" t="inlineStr">
        <is>
          <t>high</t>
        </is>
      </c>
      <c r="G218" t="n">
        <v>259</v>
      </c>
      <c r="H218" t="n">
        <v>-3.597914474088387</v>
      </c>
      <c r="I218" t="inlineStr">
        <is>
          <t>Yes</t>
        </is>
      </c>
      <c r="J218" t="n">
        <v>13</v>
      </c>
      <c r="K218">
        <f>'_pockets'!$AI$327</f>
        <v/>
      </c>
      <c r="L218">
        <f>'_pockets'!$AJ$327</f>
        <v/>
      </c>
      <c r="M218">
        <f>IF(AND($A218='Pockets'!$D$18,$B218='Pockets'!$C$18,OR('Pockets'!$E$18="All",AND('Pockets'!$E$18="Worse and material",$K218="Yes",$L218="Yes"),AND('Pockets'!$E$18="Worse or not sure",OR($K218="Yes",$K218="Not sure")))),1,0)</f>
        <v/>
      </c>
      <c r="N218">
        <f>$N217+$M218</f>
        <v/>
      </c>
      <c r="O218" t="inlineStr">
        <is>
          <t>three-way</t>
        </is>
      </c>
      <c r="P218" t="inlineStr">
        <is>
          <t>ranr_rate</t>
        </is>
      </c>
    </row>
    <row r="219">
      <c r="A219" t="inlineStr">
        <is>
          <t>Split by REV_DEBT</t>
        </is>
      </c>
      <c r="B219" t="inlineStr">
        <is>
          <t>Kept after losses</t>
        </is>
      </c>
      <c r="C219" t="n">
        <v>227</v>
      </c>
      <c r="D219" t="inlineStr">
        <is>
          <t>FICO 686 - 711</t>
        </is>
      </c>
      <c r="E219" t="inlineStr">
        <is>
          <t>Broker</t>
        </is>
      </c>
      <c r="F219" t="inlineStr">
        <is>
          <t>low</t>
        </is>
      </c>
      <c r="G219" t="n">
        <v>251</v>
      </c>
      <c r="H219" t="n">
        <v>-3.652914701040563</v>
      </c>
      <c r="I219" t="inlineStr">
        <is>
          <t>Yes</t>
        </is>
      </c>
      <c r="J219" t="n">
        <v>14</v>
      </c>
      <c r="K219">
        <f>'_pockets'!$AI$227</f>
        <v/>
      </c>
      <c r="L219">
        <f>'_pockets'!$AJ$227</f>
        <v/>
      </c>
      <c r="M219">
        <f>IF(AND($A219='Pockets'!$D$18,$B219='Pockets'!$C$18,OR('Pockets'!$E$18="All",AND('Pockets'!$E$18="Worse and material",$K219="Yes",$L219="Yes"),AND('Pockets'!$E$18="Worse or not sure",OR($K219="Yes",$K219="Not sure")))),1,0)</f>
        <v/>
      </c>
      <c r="N219">
        <f>$N218+$M219</f>
        <v/>
      </c>
      <c r="O219" t="inlineStr">
        <is>
          <t>three-way</t>
        </is>
      </c>
      <c r="P219" t="inlineStr">
        <is>
          <t>ranr_rate</t>
        </is>
      </c>
    </row>
    <row r="220">
      <c r="A220" t="inlineStr">
        <is>
          <t>Split by REV_DEBT</t>
        </is>
      </c>
      <c r="B220" t="inlineStr">
        <is>
          <t>Kept after losses</t>
        </is>
      </c>
      <c r="C220" t="n">
        <v>317</v>
      </c>
      <c r="D220" t="inlineStr">
        <is>
          <t>FICO (marked missing)</t>
        </is>
      </c>
      <c r="E220" t="inlineStr">
        <is>
          <t>Online</t>
        </is>
      </c>
      <c r="F220" t="inlineStr">
        <is>
          <t>low</t>
        </is>
      </c>
      <c r="G220" t="n">
        <v>28</v>
      </c>
      <c r="H220" t="n">
        <v>-10.78290496749476</v>
      </c>
      <c r="I220" t="inlineStr">
        <is>
          <t>Yes</t>
        </is>
      </c>
      <c r="J220" t="n">
        <v>15</v>
      </c>
      <c r="K220">
        <f>'_pockets'!$AI$317</f>
        <v/>
      </c>
      <c r="L220">
        <f>'_pockets'!$AJ$317</f>
        <v/>
      </c>
      <c r="M220">
        <f>IF(AND($A220='Pockets'!$D$18,$B220='Pockets'!$C$18,OR('Pockets'!$E$18="All",AND('Pockets'!$E$18="Worse and material",$K220="Yes",$L220="Yes"),AND('Pockets'!$E$18="Worse or not sure",OR($K220="Yes",$K220="Not sure")))),1,0)</f>
        <v/>
      </c>
      <c r="N220">
        <f>$N219+$M220</f>
        <v/>
      </c>
      <c r="O220" t="inlineStr">
        <is>
          <t>three-way</t>
        </is>
      </c>
      <c r="P220" t="inlineStr">
        <is>
          <t>ranr_rate</t>
        </is>
      </c>
    </row>
    <row r="221">
      <c r="A221" t="inlineStr">
        <is>
          <t>Split by REV_DEBT</t>
        </is>
      </c>
      <c r="B221" t="inlineStr">
        <is>
          <t>Kept after losses</t>
        </is>
      </c>
      <c r="C221" t="n">
        <v>367</v>
      </c>
      <c r="D221" t="inlineStr">
        <is>
          <t>FICO (marked missing)</t>
        </is>
      </c>
      <c r="E221" t="inlineStr">
        <is>
          <t>Branch</t>
        </is>
      </c>
      <c r="F221" t="inlineStr">
        <is>
          <t>low</t>
        </is>
      </c>
      <c r="G221" t="n">
        <v>26</v>
      </c>
      <c r="H221" t="n">
        <v>-11.18854574585163</v>
      </c>
      <c r="I221" t="inlineStr">
        <is>
          <t>Yes</t>
        </is>
      </c>
      <c r="J221" t="n">
        <v>16</v>
      </c>
      <c r="K221">
        <f>'_pockets'!$AI$367</f>
        <v/>
      </c>
      <c r="L221">
        <f>'_pockets'!$AJ$367</f>
        <v/>
      </c>
      <c r="M221">
        <f>IF(AND($A221='Pockets'!$D$18,$B221='Pockets'!$C$18,OR('Pockets'!$E$18="All",AND('Pockets'!$E$18="Worse and material",$K221="Yes",$L221="Yes"),AND('Pockets'!$E$18="Worse or not sure",OR($K221="Yes",$K221="Not sure")))),1,0)</f>
        <v/>
      </c>
      <c r="N221">
        <f>$N220+$M221</f>
        <v/>
      </c>
      <c r="O221" t="inlineStr">
        <is>
          <t>three-way</t>
        </is>
      </c>
      <c r="P221" t="inlineStr">
        <is>
          <t>ranr_rate</t>
        </is>
      </c>
    </row>
    <row r="222">
      <c r="A222" t="inlineStr">
        <is>
          <t>Split by REV_DEBT</t>
        </is>
      </c>
      <c r="B222" t="inlineStr">
        <is>
          <t>Kept after losses</t>
        </is>
      </c>
      <c r="C222" t="n">
        <v>322</v>
      </c>
      <c r="D222" t="inlineStr">
        <is>
          <t>FICO 746 - 921</t>
        </is>
      </c>
      <c r="E222" t="inlineStr">
        <is>
          <t>Broker</t>
        </is>
      </c>
      <c r="F222" t="inlineStr">
        <is>
          <t>high</t>
        </is>
      </c>
      <c r="G222" t="n">
        <v>268</v>
      </c>
      <c r="H222" t="n">
        <v>-3.539044017311852</v>
      </c>
      <c r="I222" t="inlineStr">
        <is>
          <t>Yes</t>
        </is>
      </c>
      <c r="J222" t="n">
        <v>17</v>
      </c>
      <c r="K222">
        <f>'_pockets'!$AI$322</f>
        <v/>
      </c>
      <c r="L222">
        <f>'_pockets'!$AJ$322</f>
        <v/>
      </c>
      <c r="M222">
        <f>IF(AND($A222='Pockets'!$D$18,$B222='Pockets'!$C$18,OR('Pockets'!$E$18="All",AND('Pockets'!$E$18="Worse and material",$K222="Yes",$L222="Yes"),AND('Pockets'!$E$18="Worse or not sure",OR($K222="Yes",$K222="Not sure")))),1,0)</f>
        <v/>
      </c>
      <c r="N222">
        <f>$N221+$M222</f>
        <v/>
      </c>
      <c r="O222" t="inlineStr">
        <is>
          <t>three-way</t>
        </is>
      </c>
      <c r="P222" t="inlineStr">
        <is>
          <t>ranr_rate</t>
        </is>
      </c>
    </row>
    <row r="223">
      <c r="A223" t="inlineStr">
        <is>
          <t>Split by REV_DEBT</t>
        </is>
      </c>
      <c r="B223" t="inlineStr">
        <is>
          <t>Kept after losses</t>
        </is>
      </c>
      <c r="C223" t="n">
        <v>267</v>
      </c>
      <c r="D223" t="inlineStr">
        <is>
          <t>FICO 746 - 921</t>
        </is>
      </c>
      <c r="E223" t="inlineStr">
        <is>
          <t>Online</t>
        </is>
      </c>
      <c r="F223" t="inlineStr">
        <is>
          <t>low</t>
        </is>
      </c>
      <c r="G223" t="n">
        <v>259</v>
      </c>
      <c r="H223" t="n">
        <v>-3.597914474088387</v>
      </c>
      <c r="I223" t="inlineStr">
        <is>
          <t>Yes</t>
        </is>
      </c>
      <c r="J223" t="n">
        <v>18</v>
      </c>
      <c r="K223">
        <f>'_pockets'!$AI$267</f>
        <v/>
      </c>
      <c r="L223">
        <f>'_pockets'!$AJ$267</f>
        <v/>
      </c>
      <c r="M223">
        <f>IF(AND($A223='Pockets'!$D$18,$B223='Pockets'!$C$18,OR('Pockets'!$E$18="All",AND('Pockets'!$E$18="Worse and material",$K223="Yes",$L223="Yes"),AND('Pockets'!$E$18="Worse or not sure",OR($K223="Yes",$K223="Not sure")))),1,0)</f>
        <v/>
      </c>
      <c r="N223">
        <f>$N222+$M223</f>
        <v/>
      </c>
      <c r="O223" t="inlineStr">
        <is>
          <t>three-way</t>
        </is>
      </c>
      <c r="P223" t="inlineStr">
        <is>
          <t>ranr_rate</t>
        </is>
      </c>
    </row>
    <row r="224">
      <c r="A224" t="inlineStr">
        <is>
          <t>Split by REV_DEBT</t>
        </is>
      </c>
      <c r="B224" t="inlineStr">
        <is>
          <t>Kept after losses</t>
        </is>
      </c>
      <c r="C224" t="n">
        <v>262</v>
      </c>
      <c r="D224" t="inlineStr">
        <is>
          <t>FICO 686 - 711</t>
        </is>
      </c>
      <c r="E224" t="inlineStr">
        <is>
          <t>Online</t>
        </is>
      </c>
      <c r="F224" t="inlineStr">
        <is>
          <t>high</t>
        </is>
      </c>
      <c r="G224" t="n">
        <v>273</v>
      </c>
      <c r="H224" t="n">
        <v>-3.507619877118214</v>
      </c>
      <c r="I224" t="inlineStr">
        <is>
          <t>Yes</t>
        </is>
      </c>
      <c r="J224" t="n">
        <v>19</v>
      </c>
      <c r="K224">
        <f>'_pockets'!$AI$262</f>
        <v/>
      </c>
      <c r="L224">
        <f>'_pockets'!$AJ$262</f>
        <v/>
      </c>
      <c r="M224">
        <f>IF(AND($A224='Pockets'!$D$18,$B224='Pockets'!$C$18,OR('Pockets'!$E$18="All",AND('Pockets'!$E$18="Worse and material",$K224="Yes",$L224="Yes"),AND('Pockets'!$E$18="Worse or not sure",OR($K224="Yes",$K224="Not sure")))),1,0)</f>
        <v/>
      </c>
      <c r="N224">
        <f>$N223+$M224</f>
        <v/>
      </c>
      <c r="O224" t="inlineStr">
        <is>
          <t>three-way</t>
        </is>
      </c>
      <c r="P224" t="inlineStr">
        <is>
          <t>ranr_rate</t>
        </is>
      </c>
    </row>
    <row r="225">
      <c r="A225" t="inlineStr">
        <is>
          <t>Split by REV_DEBT</t>
        </is>
      </c>
      <c r="B225" t="inlineStr">
        <is>
          <t>Kept after losses</t>
        </is>
      </c>
      <c r="C225" t="n">
        <v>362</v>
      </c>
      <c r="D225" t="inlineStr">
        <is>
          <t>FICO (marked missing)</t>
        </is>
      </c>
      <c r="E225" t="inlineStr">
        <is>
          <t>Broker</t>
        </is>
      </c>
      <c r="F225" t="inlineStr">
        <is>
          <t>low</t>
        </is>
      </c>
      <c r="G225" t="n">
        <v>27</v>
      </c>
      <c r="H225" t="n">
        <v>-10.9800842085137</v>
      </c>
      <c r="I225" t="inlineStr">
        <is>
          <t>Yes</t>
        </is>
      </c>
      <c r="J225" t="n">
        <v>20</v>
      </c>
      <c r="K225">
        <f>'_pockets'!$AI$362</f>
        <v/>
      </c>
      <c r="L225">
        <f>'_pockets'!$AJ$362</f>
        <v/>
      </c>
      <c r="M225">
        <f>IF(AND($A225='Pockets'!$D$18,$B225='Pockets'!$C$18,OR('Pockets'!$E$18="All",AND('Pockets'!$E$18="Worse and material",$K225="Yes",$L225="Yes"),AND('Pockets'!$E$18="Worse or not sure",OR($K225="Yes",$K225="Not sure")))),1,0)</f>
        <v/>
      </c>
      <c r="N225">
        <f>$N224+$M225</f>
        <v/>
      </c>
      <c r="O225" t="inlineStr">
        <is>
          <t>three-way</t>
        </is>
      </c>
      <c r="P225" t="inlineStr">
        <is>
          <t>ranr_rate</t>
        </is>
      </c>
    </row>
    <row r="226">
      <c r="A226" t="inlineStr">
        <is>
          <t>Split by REV_DEBT</t>
        </is>
      </c>
      <c r="B226" t="inlineStr">
        <is>
          <t>Kept after losses</t>
        </is>
      </c>
      <c r="C226" t="n">
        <v>217</v>
      </c>
      <c r="D226" t="inlineStr">
        <is>
          <t>FICO 746 - 921</t>
        </is>
      </c>
      <c r="E226" t="inlineStr">
        <is>
          <t>Branch</t>
        </is>
      </c>
      <c r="F226" t="inlineStr">
        <is>
          <t>low</t>
        </is>
      </c>
      <c r="G226" t="n">
        <v>259</v>
      </c>
      <c r="H226" t="n">
        <v>-3.597914474088387</v>
      </c>
      <c r="I226" t="inlineStr">
        <is>
          <t>Yes</t>
        </is>
      </c>
      <c r="J226" t="n">
        <v>21</v>
      </c>
      <c r="K226">
        <f>'_pockets'!$AI$217</f>
        <v/>
      </c>
      <c r="L226">
        <f>'_pockets'!$AJ$217</f>
        <v/>
      </c>
      <c r="M226">
        <f>IF(AND($A226='Pockets'!$D$18,$B226='Pockets'!$C$18,OR('Pockets'!$E$18="All",AND('Pockets'!$E$18="Worse and material",$K226="Yes",$L226="Yes"),AND('Pockets'!$E$18="Worse or not sure",OR($K226="Yes",$K226="Not sure")))),1,0)</f>
        <v/>
      </c>
      <c r="N226">
        <f>$N225+$M226</f>
        <v/>
      </c>
      <c r="O226" t="inlineStr">
        <is>
          <t>three-way</t>
        </is>
      </c>
      <c r="P226" t="inlineStr">
        <is>
          <t>ranr_rate</t>
        </is>
      </c>
    </row>
    <row r="227">
      <c r="A227" t="inlineStr">
        <is>
          <t>Split by REV_DEBT</t>
        </is>
      </c>
      <c r="B227" t="inlineStr">
        <is>
          <t>Kept after losses</t>
        </is>
      </c>
      <c r="C227" t="n">
        <v>242</v>
      </c>
      <c r="D227" t="inlineStr">
        <is>
          <t>FICO 746 - 921</t>
        </is>
      </c>
      <c r="E227" t="inlineStr">
        <is>
          <t>Online</t>
        </is>
      </c>
      <c r="F227" t="inlineStr">
        <is>
          <t>high</t>
        </is>
      </c>
      <c r="G227" t="n">
        <v>258</v>
      </c>
      <c r="H227" t="n">
        <v>-3.604647582275089</v>
      </c>
      <c r="I227" t="inlineStr">
        <is>
          <t>Yes</t>
        </is>
      </c>
      <c r="J227" t="n">
        <v>22</v>
      </c>
      <c r="K227">
        <f>'_pockets'!$AI$242</f>
        <v/>
      </c>
      <c r="L227">
        <f>'_pockets'!$AJ$242</f>
        <v/>
      </c>
      <c r="M227">
        <f>IF(AND($A227='Pockets'!$D$18,$B227='Pockets'!$C$18,OR('Pockets'!$E$18="All",AND('Pockets'!$E$18="Worse and material",$K227="Yes",$L227="Yes"),AND('Pockets'!$E$18="Worse or not sure",OR($K227="Yes",$K227="Not sure")))),1,0)</f>
        <v/>
      </c>
      <c r="N227">
        <f>$N226+$M227</f>
        <v/>
      </c>
      <c r="O227" t="inlineStr">
        <is>
          <t>three-way</t>
        </is>
      </c>
      <c r="P227" t="inlineStr">
        <is>
          <t>ranr_rate</t>
        </is>
      </c>
    </row>
    <row r="228">
      <c r="A228" t="inlineStr">
        <is>
          <t>Split by REV_DEBT</t>
        </is>
      </c>
      <c r="B228" t="inlineStr">
        <is>
          <t>Kept after losses</t>
        </is>
      </c>
      <c r="C228" t="n">
        <v>237</v>
      </c>
      <c r="D228" t="inlineStr">
        <is>
          <t>FICO 746 - 921</t>
        </is>
      </c>
      <c r="E228" t="inlineStr">
        <is>
          <t>Broker</t>
        </is>
      </c>
      <c r="F228" t="inlineStr">
        <is>
          <t>low</t>
        </is>
      </c>
      <c r="G228" t="n">
        <v>268</v>
      </c>
      <c r="H228" t="n">
        <v>-3.539044017311852</v>
      </c>
      <c r="I228" t="inlineStr">
        <is>
          <t>Yes</t>
        </is>
      </c>
      <c r="J228" t="n">
        <v>23</v>
      </c>
      <c r="K228">
        <f>'_pockets'!$AI$237</f>
        <v/>
      </c>
      <c r="L228">
        <f>'_pockets'!$AJ$237</f>
        <v/>
      </c>
      <c r="M228">
        <f>IF(AND($A228='Pockets'!$D$18,$B228='Pockets'!$C$18,OR('Pockets'!$E$18="All",AND('Pockets'!$E$18="Worse and material",$K228="Yes",$L228="Yes"),AND('Pockets'!$E$18="Worse or not sure",OR($K228="Yes",$K228="Not sure")))),1,0)</f>
        <v/>
      </c>
      <c r="N228">
        <f>$N227+$M228</f>
        <v/>
      </c>
      <c r="O228" t="inlineStr">
        <is>
          <t>three-way</t>
        </is>
      </c>
      <c r="P228" t="inlineStr">
        <is>
          <t>ranr_rate</t>
        </is>
      </c>
    </row>
    <row r="229">
      <c r="A229" t="inlineStr">
        <is>
          <t>Split by REV_DEBT</t>
        </is>
      </c>
      <c r="B229" t="inlineStr">
        <is>
          <t>Kept after losses</t>
        </is>
      </c>
      <c r="C229" t="n">
        <v>247</v>
      </c>
      <c r="D229" t="inlineStr">
        <is>
          <t>FICO 712 - 745</t>
        </is>
      </c>
      <c r="E229" t="inlineStr">
        <is>
          <t>Online</t>
        </is>
      </c>
      <c r="F229" t="inlineStr">
        <is>
          <t>high</t>
        </is>
      </c>
      <c r="G229" t="n">
        <v>282</v>
      </c>
      <c r="H229" t="n">
        <v>-3.453205258906241</v>
      </c>
      <c r="I229" t="inlineStr">
        <is>
          <t>Yes</t>
        </is>
      </c>
      <c r="J229" t="n">
        <v>24</v>
      </c>
      <c r="K229">
        <f>'_pockets'!$AI$247</f>
        <v/>
      </c>
      <c r="L229">
        <f>'_pockets'!$AJ$247</f>
        <v/>
      </c>
      <c r="M229">
        <f>IF(AND($A229='Pockets'!$D$18,$B229='Pockets'!$C$18,OR('Pockets'!$E$18="All",AND('Pockets'!$E$18="Worse and material",$K229="Yes",$L229="Yes"),AND('Pockets'!$E$18="Worse or not sure",OR($K229="Yes",$K229="Not sure")))),1,0)</f>
        <v/>
      </c>
      <c r="N229">
        <f>$N228+$M229</f>
        <v/>
      </c>
      <c r="O229" t="inlineStr">
        <is>
          <t>three-way</t>
        </is>
      </c>
      <c r="P229" t="inlineStr">
        <is>
          <t>ranr_rate</t>
        </is>
      </c>
    </row>
    <row r="230">
      <c r="A230" t="inlineStr">
        <is>
          <t>Split by REV_DEBT</t>
        </is>
      </c>
      <c r="B230" t="inlineStr">
        <is>
          <t>Kept after losses</t>
        </is>
      </c>
      <c r="C230" t="n">
        <v>307</v>
      </c>
      <c r="D230" t="inlineStr">
        <is>
          <t>FICO 712 - 745</t>
        </is>
      </c>
      <c r="E230" t="inlineStr">
        <is>
          <t>Broker</t>
        </is>
      </c>
      <c r="F230" t="inlineStr">
        <is>
          <t>high</t>
        </is>
      </c>
      <c r="G230" t="n">
        <v>254</v>
      </c>
      <c r="H230" t="n">
        <v>-3.631981507029823</v>
      </c>
      <c r="I230" t="inlineStr">
        <is>
          <t>Yes</t>
        </is>
      </c>
      <c r="J230" t="n">
        <v>25</v>
      </c>
      <c r="K230">
        <f>'_pockets'!$AI$307</f>
        <v/>
      </c>
      <c r="L230">
        <f>'_pockets'!$AJ$307</f>
        <v/>
      </c>
      <c r="M230">
        <f>IF(AND($A230='Pockets'!$D$18,$B230='Pockets'!$C$18,OR('Pockets'!$E$18="All",AND('Pockets'!$E$18="Worse and material",$K230="Yes",$L230="Yes"),AND('Pockets'!$E$18="Worse or not sure",OR($K230="Yes",$K230="Not sure")))),1,0)</f>
        <v/>
      </c>
      <c r="N230">
        <f>$N229+$M230</f>
        <v/>
      </c>
      <c r="O230" t="inlineStr">
        <is>
          <t>three-way</t>
        </is>
      </c>
      <c r="P230" t="inlineStr">
        <is>
          <t>ranr_rate</t>
        </is>
      </c>
    </row>
    <row r="231">
      <c r="A231" t="inlineStr">
        <is>
          <t>Split by REV_DEBT</t>
        </is>
      </c>
      <c r="B231" t="inlineStr">
        <is>
          <t>Kept after losses</t>
        </is>
      </c>
      <c r="C231" t="n">
        <v>202</v>
      </c>
      <c r="D231" t="inlineStr">
        <is>
          <t>FICO 712 - 745</t>
        </is>
      </c>
      <c r="E231" t="inlineStr">
        <is>
          <t>Branch</t>
        </is>
      </c>
      <c r="F231" t="inlineStr">
        <is>
          <t>low</t>
        </is>
      </c>
      <c r="G231" t="n">
        <v>269</v>
      </c>
      <c r="H231" t="n">
        <v>-3.532688226561486</v>
      </c>
      <c r="I231" t="inlineStr">
        <is>
          <t>Yes</t>
        </is>
      </c>
      <c r="J231" t="n">
        <v>26</v>
      </c>
      <c r="K231">
        <f>'_pockets'!$AI$202</f>
        <v/>
      </c>
      <c r="L231">
        <f>'_pockets'!$AJ$202</f>
        <v/>
      </c>
      <c r="M231">
        <f>IF(AND($A231='Pockets'!$D$18,$B231='Pockets'!$C$18,OR('Pockets'!$E$18="All",AND('Pockets'!$E$18="Worse and material",$K231="Yes",$L231="Yes"),AND('Pockets'!$E$18="Worse or not sure",OR($K231="Yes",$K231="Not sure")))),1,0)</f>
        <v/>
      </c>
      <c r="N231">
        <f>$N230+$M231</f>
        <v/>
      </c>
      <c r="O231" t="inlineStr">
        <is>
          <t>three-way</t>
        </is>
      </c>
      <c r="P231" t="inlineStr">
        <is>
          <t>ranr_rate</t>
        </is>
      </c>
    </row>
    <row r="232">
      <c r="A232" t="inlineStr">
        <is>
          <t>Split by REV_DEBT</t>
        </is>
      </c>
      <c r="B232" t="inlineStr">
        <is>
          <t>Kept after losses</t>
        </is>
      </c>
      <c r="C232" t="n">
        <v>232</v>
      </c>
      <c r="D232" t="inlineStr">
        <is>
          <t>FICO 712 - 745</t>
        </is>
      </c>
      <c r="E232" t="inlineStr">
        <is>
          <t>Online</t>
        </is>
      </c>
      <c r="F232" t="inlineStr">
        <is>
          <t>low</t>
        </is>
      </c>
      <c r="G232" t="n">
        <v>282</v>
      </c>
      <c r="H232" t="n">
        <v>-3.453205258906241</v>
      </c>
      <c r="I232" t="inlineStr">
        <is>
          <t>Yes</t>
        </is>
      </c>
      <c r="J232" t="n">
        <v>27</v>
      </c>
      <c r="K232">
        <f>'_pockets'!$AI$232</f>
        <v/>
      </c>
      <c r="L232">
        <f>'_pockets'!$AJ$232</f>
        <v/>
      </c>
      <c r="M232">
        <f>IF(AND($A232='Pockets'!$D$18,$B232='Pockets'!$C$18,OR('Pockets'!$E$18="All",AND('Pockets'!$E$18="Worse and material",$K232="Yes",$L232="Yes"),AND('Pockets'!$E$18="Worse or not sure",OR($K232="Yes",$K232="Not sure")))),1,0)</f>
        <v/>
      </c>
      <c r="N232">
        <f>$N231+$M232</f>
        <v/>
      </c>
      <c r="O232" t="inlineStr">
        <is>
          <t>three-way</t>
        </is>
      </c>
      <c r="P232" t="inlineStr">
        <is>
          <t>ranr_rate</t>
        </is>
      </c>
    </row>
    <row r="233">
      <c r="A233" t="inlineStr">
        <is>
          <t>Split by REV_DEBT</t>
        </is>
      </c>
      <c r="B233" t="inlineStr">
        <is>
          <t>Kept after losses</t>
        </is>
      </c>
      <c r="C233" t="n">
        <v>522</v>
      </c>
      <c r="D233" t="inlineStr">
        <is>
          <t>SHORT_HIST 0.0 - 88.9</t>
        </is>
      </c>
      <c r="E233" t="inlineStr">
        <is>
          <t>Branch</t>
        </is>
      </c>
      <c r="F233" t="inlineStr">
        <is>
          <t>low</t>
        </is>
      </c>
      <c r="G233" t="n">
        <v>255</v>
      </c>
      <c r="H233" t="n">
        <v>-3.625087014166709</v>
      </c>
      <c r="I233" t="inlineStr">
        <is>
          <t>No: may be mostly FICO</t>
        </is>
      </c>
      <c r="J233" t="n">
        <v>28</v>
      </c>
      <c r="K233">
        <f>'_pockets'!$AI$522</f>
        <v/>
      </c>
      <c r="L233">
        <f>'_pockets'!$AJ$522</f>
        <v/>
      </c>
      <c r="M233">
        <f>IF(AND($A233='Pockets'!$D$18,$B233='Pockets'!$C$18,OR('Pockets'!$E$18="All",AND('Pockets'!$E$18="Worse and material",$K233="Yes",$L233="Yes"),AND('Pockets'!$E$18="Worse or not sure",OR($K233="Yes",$K233="Not sure")))),1,0)</f>
        <v/>
      </c>
      <c r="N233">
        <f>$N232+$M233</f>
        <v/>
      </c>
      <c r="O233" t="inlineStr">
        <is>
          <t>three-way</t>
        </is>
      </c>
      <c r="P233" t="inlineStr">
        <is>
          <t>ranr_rate</t>
        </is>
      </c>
    </row>
    <row r="234">
      <c r="A234" t="inlineStr">
        <is>
          <t>Split by REV_DEBT</t>
        </is>
      </c>
      <c r="B234" t="inlineStr">
        <is>
          <t>Kept after losses</t>
        </is>
      </c>
      <c r="C234" t="n">
        <v>407</v>
      </c>
      <c r="D234" t="inlineStr">
        <is>
          <t>SHORT_HIST 256.4 - 345.9</t>
        </is>
      </c>
      <c r="E234" t="inlineStr">
        <is>
          <t>Broker</t>
        </is>
      </c>
      <c r="F234" t="inlineStr">
        <is>
          <t>low</t>
        </is>
      </c>
      <c r="G234" t="n">
        <v>257</v>
      </c>
      <c r="H234" t="n">
        <v>-3.611420448411321</v>
      </c>
      <c r="I234" t="inlineStr">
        <is>
          <t>No: may be mostly FICO</t>
        </is>
      </c>
      <c r="J234" t="n">
        <v>29</v>
      </c>
      <c r="K234">
        <f>'_pockets'!$AI$407</f>
        <v/>
      </c>
      <c r="L234">
        <f>'_pockets'!$AJ$407</f>
        <v/>
      </c>
      <c r="M234">
        <f>IF(AND($A234='Pockets'!$D$18,$B234='Pockets'!$C$18,OR('Pockets'!$E$18="All",AND('Pockets'!$E$18="Worse and material",$K234="Yes",$L234="Yes"),AND('Pockets'!$E$18="Worse or not sure",OR($K234="Yes",$K234="Not sure")))),1,0)</f>
        <v/>
      </c>
      <c r="N234">
        <f>$N233+$M234</f>
        <v/>
      </c>
      <c r="O234" t="inlineStr">
        <is>
          <t>three-way</t>
        </is>
      </c>
      <c r="P234" t="inlineStr">
        <is>
          <t>ranr_rate</t>
        </is>
      </c>
    </row>
    <row r="235">
      <c r="A235" t="inlineStr">
        <is>
          <t>Split by REV_DEBT</t>
        </is>
      </c>
      <c r="B235" t="inlineStr">
        <is>
          <t>Kept after losses</t>
        </is>
      </c>
      <c r="C235" t="n">
        <v>487</v>
      </c>
      <c r="D235" t="inlineStr">
        <is>
          <t>SHORT_HIST 346.0 - 435.0</t>
        </is>
      </c>
      <c r="E235" t="inlineStr">
        <is>
          <t>Broker</t>
        </is>
      </c>
      <c r="F235" t="inlineStr">
        <is>
          <t>high</t>
        </is>
      </c>
      <c r="G235" t="n">
        <v>252</v>
      </c>
      <c r="H235" t="n">
        <v>-3.645894937123153</v>
      </c>
      <c r="I235" t="inlineStr">
        <is>
          <t>No: may be mostly FICO</t>
        </is>
      </c>
      <c r="J235" t="n">
        <v>30</v>
      </c>
      <c r="K235">
        <f>'_pockets'!$AI$487</f>
        <v/>
      </c>
      <c r="L235">
        <f>'_pockets'!$AJ$487</f>
        <v/>
      </c>
      <c r="M235">
        <f>IF(AND($A235='Pockets'!$D$18,$B235='Pockets'!$C$18,OR('Pockets'!$E$18="All",AND('Pockets'!$E$18="Worse and material",$K235="Yes",$L235="Yes"),AND('Pockets'!$E$18="Worse or not sure",OR($K235="Yes",$K235="Not sure")))),1,0)</f>
        <v/>
      </c>
      <c r="N235">
        <f>$N234+$M235</f>
        <v/>
      </c>
      <c r="O235" t="inlineStr">
        <is>
          <t>three-way</t>
        </is>
      </c>
      <c r="P235" t="inlineStr">
        <is>
          <t>ranr_rate</t>
        </is>
      </c>
    </row>
    <row r="236">
      <c r="A236" t="inlineStr">
        <is>
          <t>Split by REV_DEBT</t>
        </is>
      </c>
      <c r="B236" t="inlineStr">
        <is>
          <t>Kept after losses</t>
        </is>
      </c>
      <c r="C236" t="n">
        <v>457</v>
      </c>
      <c r="D236" t="inlineStr">
        <is>
          <t>SHORT_HIST 172.0 - 256.3</t>
        </is>
      </c>
      <c r="E236" t="inlineStr">
        <is>
          <t>Branch</t>
        </is>
      </c>
      <c r="F236" t="inlineStr">
        <is>
          <t>low</t>
        </is>
      </c>
      <c r="G236" t="n">
        <v>260</v>
      </c>
      <c r="H236" t="n">
        <v>-3.591220740516375</v>
      </c>
      <c r="I236" t="inlineStr">
        <is>
          <t>No: may be mostly FICO</t>
        </is>
      </c>
      <c r="J236" t="n">
        <v>31</v>
      </c>
      <c r="K236">
        <f>'_pockets'!$AI$457</f>
        <v/>
      </c>
      <c r="L236">
        <f>'_pockets'!$AJ$457</f>
        <v/>
      </c>
      <c r="M236">
        <f>IF(AND($A236='Pockets'!$D$18,$B236='Pockets'!$C$18,OR('Pockets'!$E$18="All",AND('Pockets'!$E$18="Worse and material",$K236="Yes",$L236="Yes"),AND('Pockets'!$E$18="Worse or not sure",OR($K236="Yes",$K236="Not sure")))),1,0)</f>
        <v/>
      </c>
      <c r="N236">
        <f>$N235+$M236</f>
        <v/>
      </c>
      <c r="O236" t="inlineStr">
        <is>
          <t>three-way</t>
        </is>
      </c>
      <c r="P236" t="inlineStr">
        <is>
          <t>ranr_rate</t>
        </is>
      </c>
    </row>
    <row r="237">
      <c r="A237" t="inlineStr">
        <is>
          <t>Split by REV_DEBT</t>
        </is>
      </c>
      <c r="B237" t="inlineStr">
        <is>
          <t>Kept after losses</t>
        </is>
      </c>
      <c r="C237" t="n">
        <v>507</v>
      </c>
      <c r="D237" t="inlineStr">
        <is>
          <t>SHORT_HIST 89.0 - 171.9</t>
        </is>
      </c>
      <c r="E237" t="inlineStr">
        <is>
          <t>Broker</t>
        </is>
      </c>
      <c r="F237" t="inlineStr">
        <is>
          <t>low</t>
        </is>
      </c>
      <c r="G237" t="n">
        <v>261</v>
      </c>
      <c r="H237" t="n">
        <v>-3.584566003374233</v>
      </c>
      <c r="I237" t="inlineStr">
        <is>
          <t>No: may be mostly FICO</t>
        </is>
      </c>
      <c r="J237" t="n">
        <v>32</v>
      </c>
      <c r="K237">
        <f>'_pockets'!$AI$507</f>
        <v/>
      </c>
      <c r="L237">
        <f>'_pockets'!$AJ$507</f>
        <v/>
      </c>
      <c r="M237">
        <f>IF(AND($A237='Pockets'!$D$18,$B237='Pockets'!$C$18,OR('Pockets'!$E$18="All",AND('Pockets'!$E$18="Worse and material",$K237="Yes",$L237="Yes"),AND('Pockets'!$E$18="Worse or not sure",OR($K237="Yes",$K237="Not sure")))),1,0)</f>
        <v/>
      </c>
      <c r="N237">
        <f>$N236+$M237</f>
        <v/>
      </c>
      <c r="O237" t="inlineStr">
        <is>
          <t>three-way</t>
        </is>
      </c>
      <c r="P237" t="inlineStr">
        <is>
          <t>ranr_rate</t>
        </is>
      </c>
    </row>
    <row r="238">
      <c r="A238" t="inlineStr">
        <is>
          <t>Split by REV_DEBT</t>
        </is>
      </c>
      <c r="B238" t="inlineStr">
        <is>
          <t>Kept after losses</t>
        </is>
      </c>
      <c r="C238" t="n">
        <v>417</v>
      </c>
      <c r="D238" t="inlineStr">
        <is>
          <t>SHORT_HIST 0.0 - 88.9</t>
        </is>
      </c>
      <c r="E238" t="inlineStr">
        <is>
          <t>Broker</t>
        </is>
      </c>
      <c r="F238" t="inlineStr">
        <is>
          <t>low</t>
        </is>
      </c>
      <c r="G238" t="n">
        <v>254</v>
      </c>
      <c r="H238" t="n">
        <v>-3.631981507029823</v>
      </c>
      <c r="I238" t="inlineStr">
        <is>
          <t>No: may be mostly FICO</t>
        </is>
      </c>
      <c r="J238" t="n">
        <v>33</v>
      </c>
      <c r="K238">
        <f>'_pockets'!$AI$417</f>
        <v/>
      </c>
      <c r="L238">
        <f>'_pockets'!$AJ$417</f>
        <v/>
      </c>
      <c r="M238">
        <f>IF(AND($A238='Pockets'!$D$18,$B238='Pockets'!$C$18,OR('Pockets'!$E$18="All",AND('Pockets'!$E$18="Worse and material",$K238="Yes",$L238="Yes"),AND('Pockets'!$E$18="Worse or not sure",OR($K238="Yes",$K238="Not sure")))),1,0)</f>
        <v/>
      </c>
      <c r="N238">
        <f>$N237+$M238</f>
        <v/>
      </c>
      <c r="O238" t="inlineStr">
        <is>
          <t>three-way</t>
        </is>
      </c>
      <c r="P238" t="inlineStr">
        <is>
          <t>ranr_rate</t>
        </is>
      </c>
    </row>
    <row r="239">
      <c r="A239" t="inlineStr">
        <is>
          <t>Split by REV_DEBT</t>
        </is>
      </c>
      <c r="B239" t="inlineStr">
        <is>
          <t>Kept after losses</t>
        </is>
      </c>
      <c r="C239" t="n">
        <v>512</v>
      </c>
      <c r="D239" t="inlineStr">
        <is>
          <t>SHORT_HIST 89.0 - 171.9</t>
        </is>
      </c>
      <c r="E239" t="inlineStr">
        <is>
          <t>Branch</t>
        </is>
      </c>
      <c r="F239" t="inlineStr">
        <is>
          <t>low</t>
        </is>
      </c>
      <c r="G239" t="n">
        <v>245</v>
      </c>
      <c r="H239" t="n">
        <v>-3.695942937219349</v>
      </c>
      <c r="I239" t="inlineStr">
        <is>
          <t>No: may be mostly FICO</t>
        </is>
      </c>
      <c r="J239" t="n">
        <v>34</v>
      </c>
      <c r="K239">
        <f>'_pockets'!$AI$512</f>
        <v/>
      </c>
      <c r="L239">
        <f>'_pockets'!$AJ$512</f>
        <v/>
      </c>
      <c r="M239">
        <f>IF(AND($A239='Pockets'!$D$18,$B239='Pockets'!$C$18,OR('Pockets'!$E$18="All",AND('Pockets'!$E$18="Worse and material",$K239="Yes",$L239="Yes"),AND('Pockets'!$E$18="Worse or not sure",OR($K239="Yes",$K239="Not sure")))),1,0)</f>
        <v/>
      </c>
      <c r="N239">
        <f>$N238+$M239</f>
        <v/>
      </c>
      <c r="O239" t="inlineStr">
        <is>
          <t>three-way</t>
        </is>
      </c>
      <c r="P239" t="inlineStr">
        <is>
          <t>ranr_rate</t>
        </is>
      </c>
    </row>
    <row r="240">
      <c r="A240" t="inlineStr">
        <is>
          <t>Split by REV_DEBT</t>
        </is>
      </c>
      <c r="B240" t="inlineStr">
        <is>
          <t>Kept after losses</t>
        </is>
      </c>
      <c r="C240" t="n">
        <v>387</v>
      </c>
      <c r="D240" t="inlineStr">
        <is>
          <t>SHORT_HIST 256.4 - 345.9</t>
        </is>
      </c>
      <c r="E240" t="inlineStr">
        <is>
          <t>Branch</t>
        </is>
      </c>
      <c r="F240" t="inlineStr">
        <is>
          <t>low</t>
        </is>
      </c>
      <c r="G240" t="n">
        <v>251</v>
      </c>
      <c r="H240" t="n">
        <v>-3.652914701040563</v>
      </c>
      <c r="I240" t="inlineStr">
        <is>
          <t>No: may be mostly FICO</t>
        </is>
      </c>
      <c r="J240" t="n">
        <v>35</v>
      </c>
      <c r="K240">
        <f>'_pockets'!$AI$387</f>
        <v/>
      </c>
      <c r="L240">
        <f>'_pockets'!$AJ$387</f>
        <v/>
      </c>
      <c r="M240">
        <f>IF(AND($A240='Pockets'!$D$18,$B240='Pockets'!$C$18,OR('Pockets'!$E$18="All",AND('Pockets'!$E$18="Worse and material",$K240="Yes",$L240="Yes"),AND('Pockets'!$E$18="Worse or not sure",OR($K240="Yes",$K240="Not sure")))),1,0)</f>
        <v/>
      </c>
      <c r="N240">
        <f>$N239+$M240</f>
        <v/>
      </c>
      <c r="O240" t="inlineStr">
        <is>
          <t>three-way</t>
        </is>
      </c>
      <c r="P240" t="inlineStr">
        <is>
          <t>ranr_rate</t>
        </is>
      </c>
    </row>
    <row r="241">
      <c r="A241" t="inlineStr">
        <is>
          <t>Split by REV_DEBT</t>
        </is>
      </c>
      <c r="B241" t="inlineStr">
        <is>
          <t>Kept after losses</t>
        </is>
      </c>
      <c r="C241" t="n">
        <v>502</v>
      </c>
      <c r="D241" t="inlineStr">
        <is>
          <t>SHORT_HIST 172.0 - 256.3</t>
        </is>
      </c>
      <c r="E241" t="inlineStr">
        <is>
          <t>Broker</t>
        </is>
      </c>
      <c r="F241" t="inlineStr">
        <is>
          <t>low</t>
        </is>
      </c>
      <c r="G241" t="n">
        <v>271</v>
      </c>
      <c r="H241" t="n">
        <v>-3.520083745273923</v>
      </c>
      <c r="I241" t="inlineStr">
        <is>
          <t>No: may be mostly FICO</t>
        </is>
      </c>
      <c r="J241" t="n">
        <v>36</v>
      </c>
      <c r="K241">
        <f>'_pockets'!$AI$502</f>
        <v/>
      </c>
      <c r="L241">
        <f>'_pockets'!$AJ$502</f>
        <v/>
      </c>
      <c r="M241">
        <f>IF(AND($A241='Pockets'!$D$18,$B241='Pockets'!$C$18,OR('Pockets'!$E$18="All",AND('Pockets'!$E$18="Worse and material",$K241="Yes",$L241="Yes"),AND('Pockets'!$E$18="Worse or not sure",OR($K241="Yes",$K241="Not sure")))),1,0)</f>
        <v/>
      </c>
      <c r="N241">
        <f>$N240+$M241</f>
        <v/>
      </c>
      <c r="O241" t="inlineStr">
        <is>
          <t>three-way</t>
        </is>
      </c>
      <c r="P241" t="inlineStr">
        <is>
          <t>ranr_rate</t>
        </is>
      </c>
    </row>
    <row r="242">
      <c r="A242" t="inlineStr">
        <is>
          <t>Split by REV_DEBT</t>
        </is>
      </c>
      <c r="B242" t="inlineStr">
        <is>
          <t>Kept after losses</t>
        </is>
      </c>
      <c r="C242" t="n">
        <v>497</v>
      </c>
      <c r="D242" t="inlineStr">
        <is>
          <t>SHORT_HIST 346.0 - 435.0</t>
        </is>
      </c>
      <c r="E242" t="inlineStr">
        <is>
          <t>Branch</t>
        </is>
      </c>
      <c r="F242" t="inlineStr">
        <is>
          <t>low</t>
        </is>
      </c>
      <c r="G242" t="n">
        <v>267</v>
      </c>
      <c r="H242" t="n">
        <v>-3.545435954162569</v>
      </c>
      <c r="I242" t="inlineStr">
        <is>
          <t>No: may be mostly FICO</t>
        </is>
      </c>
      <c r="J242" t="n">
        <v>37</v>
      </c>
      <c r="K242">
        <f>'_pockets'!$AI$497</f>
        <v/>
      </c>
      <c r="L242">
        <f>'_pockets'!$AJ$497</f>
        <v/>
      </c>
      <c r="M242">
        <f>IF(AND($A242='Pockets'!$D$18,$B242='Pockets'!$C$18,OR('Pockets'!$E$18="All",AND('Pockets'!$E$18="Worse and material",$K242="Yes",$L242="Yes"),AND('Pockets'!$E$18="Worse or not sure",OR($K242="Yes",$K242="Not sure")))),1,0)</f>
        <v/>
      </c>
      <c r="N242">
        <f>$N241+$M242</f>
        <v/>
      </c>
      <c r="O242" t="inlineStr">
        <is>
          <t>three-way</t>
        </is>
      </c>
      <c r="P242" t="inlineStr">
        <is>
          <t>ranr_rate</t>
        </is>
      </c>
    </row>
    <row r="243">
      <c r="A243" t="inlineStr">
        <is>
          <t>Split by REV_DEBT</t>
        </is>
      </c>
      <c r="B243" t="inlineStr">
        <is>
          <t>Kept after losses</t>
        </is>
      </c>
      <c r="C243" t="n">
        <v>402</v>
      </c>
      <c r="D243" t="inlineStr">
        <is>
          <t>SHORT_HIST 172.0 - 256.3</t>
        </is>
      </c>
      <c r="E243" t="inlineStr">
        <is>
          <t>Broker</t>
        </is>
      </c>
      <c r="F243" t="inlineStr">
        <is>
          <t>high</t>
        </is>
      </c>
      <c r="G243" t="n">
        <v>270</v>
      </c>
      <c r="H243" t="n">
        <v>-3.526368246303892</v>
      </c>
      <c r="I243" t="inlineStr">
        <is>
          <t>No: may be mostly FICO</t>
        </is>
      </c>
      <c r="J243" t="n">
        <v>38</v>
      </c>
      <c r="K243">
        <f>'_pockets'!$AI$402</f>
        <v/>
      </c>
      <c r="L243">
        <f>'_pockets'!$AJ$402</f>
        <v/>
      </c>
      <c r="M243">
        <f>IF(AND($A243='Pockets'!$D$18,$B243='Pockets'!$C$18,OR('Pockets'!$E$18="All",AND('Pockets'!$E$18="Worse and material",$K243="Yes",$L243="Yes"),AND('Pockets'!$E$18="Worse or not sure",OR($K243="Yes",$K243="Not sure")))),1,0)</f>
        <v/>
      </c>
      <c r="N243">
        <f>$N242+$M243</f>
        <v/>
      </c>
      <c r="O243" t="inlineStr">
        <is>
          <t>three-way</t>
        </is>
      </c>
      <c r="P243" t="inlineStr">
        <is>
          <t>ranr_rate</t>
        </is>
      </c>
    </row>
    <row r="244">
      <c r="A244" t="inlineStr">
        <is>
          <t>Split by REV_DEBT</t>
        </is>
      </c>
      <c r="B244" t="inlineStr">
        <is>
          <t>Kept after losses</t>
        </is>
      </c>
      <c r="C244" t="n">
        <v>427</v>
      </c>
      <c r="D244" t="inlineStr">
        <is>
          <t>SHORT_HIST 346.0 - 435.0</t>
        </is>
      </c>
      <c r="E244" t="inlineStr">
        <is>
          <t>Broker</t>
        </is>
      </c>
      <c r="F244" t="inlineStr">
        <is>
          <t>low</t>
        </is>
      </c>
      <c r="G244" t="n">
        <v>252</v>
      </c>
      <c r="H244" t="n">
        <v>-3.645894937123153</v>
      </c>
      <c r="I244" t="inlineStr">
        <is>
          <t>No: may be mostly FICO</t>
        </is>
      </c>
      <c r="J244" t="n">
        <v>39</v>
      </c>
      <c r="K244">
        <f>'_pockets'!$AI$427</f>
        <v/>
      </c>
      <c r="L244">
        <f>'_pockets'!$AJ$427</f>
        <v/>
      </c>
      <c r="M244">
        <f>IF(AND($A244='Pockets'!$D$18,$B244='Pockets'!$C$18,OR('Pockets'!$E$18="All",AND('Pockets'!$E$18="Worse and material",$K244="Yes",$L244="Yes"),AND('Pockets'!$E$18="Worse or not sure",OR($K244="Yes",$K244="Not sure")))),1,0)</f>
        <v/>
      </c>
      <c r="N244">
        <f>$N243+$M244</f>
        <v/>
      </c>
      <c r="O244" t="inlineStr">
        <is>
          <t>three-way</t>
        </is>
      </c>
      <c r="P244" t="inlineStr">
        <is>
          <t>ranr_rate</t>
        </is>
      </c>
    </row>
    <row r="245">
      <c r="A245" t="inlineStr">
        <is>
          <t>Split by REV_DEBT</t>
        </is>
      </c>
      <c r="B245" t="inlineStr">
        <is>
          <t>Kept after losses</t>
        </is>
      </c>
      <c r="C245" t="n">
        <v>552</v>
      </c>
      <c r="D245" t="inlineStr">
        <is>
          <t>SHORT_HIST (marked missing)</t>
        </is>
      </c>
      <c r="E245" t="inlineStr">
        <is>
          <t>Broker</t>
        </is>
      </c>
      <c r="F245" t="inlineStr">
        <is>
          <t>low</t>
        </is>
      </c>
      <c r="G245" t="n">
        <v>34</v>
      </c>
      <c r="H245" t="n">
        <v>-9.789011739216431</v>
      </c>
      <c r="I245" t="inlineStr">
        <is>
          <t>No: may be mostly FICO</t>
        </is>
      </c>
      <c r="J245" t="n">
        <v>40</v>
      </c>
      <c r="K245">
        <f>'_pockets'!$AI$552</f>
        <v/>
      </c>
      <c r="L245">
        <f>'_pockets'!$AJ$552</f>
        <v/>
      </c>
      <c r="M245">
        <f>IF(AND($A245='Pockets'!$D$18,$B245='Pockets'!$C$18,OR('Pockets'!$E$18="All",AND('Pockets'!$E$18="Worse and material",$K245="Yes",$L245="Yes"),AND('Pockets'!$E$18="Worse or not sure",OR($K245="Yes",$K245="Not sure")))),1,0)</f>
        <v/>
      </c>
      <c r="N245">
        <f>$N244+$M245</f>
        <v/>
      </c>
      <c r="O245" t="inlineStr">
        <is>
          <t>three-way</t>
        </is>
      </c>
      <c r="P245" t="inlineStr">
        <is>
          <t>ranr_rate</t>
        </is>
      </c>
    </row>
    <row r="246">
      <c r="A246" t="inlineStr">
        <is>
          <t>Split by REV_DEBT</t>
        </is>
      </c>
      <c r="B246" t="inlineStr">
        <is>
          <t>Kept after losses</t>
        </is>
      </c>
      <c r="C246" t="n">
        <v>422</v>
      </c>
      <c r="D246" t="inlineStr">
        <is>
          <t>SHORT_HIST 0.0 - 88.9</t>
        </is>
      </c>
      <c r="E246" t="inlineStr">
        <is>
          <t>Online</t>
        </is>
      </c>
      <c r="F246" t="inlineStr">
        <is>
          <t>low</t>
        </is>
      </c>
      <c r="G246" t="n">
        <v>264</v>
      </c>
      <c r="H246" t="n">
        <v>-3.564832064081846</v>
      </c>
      <c r="I246" t="inlineStr">
        <is>
          <t>No: may be mostly FICO</t>
        </is>
      </c>
      <c r="J246" t="n">
        <v>41</v>
      </c>
      <c r="K246">
        <f>'_pockets'!$AI$422</f>
        <v/>
      </c>
      <c r="L246">
        <f>'_pockets'!$AJ$422</f>
        <v/>
      </c>
      <c r="M246">
        <f>IF(AND($A246='Pockets'!$D$18,$B246='Pockets'!$C$18,OR('Pockets'!$E$18="All",AND('Pockets'!$E$18="Worse and material",$K246="Yes",$L246="Yes"),AND('Pockets'!$E$18="Worse or not sure",OR($K246="Yes",$K246="Not sure")))),1,0)</f>
        <v/>
      </c>
      <c r="N246">
        <f>$N245+$M246</f>
        <v/>
      </c>
      <c r="O246" t="inlineStr">
        <is>
          <t>three-way</t>
        </is>
      </c>
      <c r="P246" t="inlineStr">
        <is>
          <t>ranr_rate</t>
        </is>
      </c>
    </row>
    <row r="247">
      <c r="A247" t="inlineStr">
        <is>
          <t>Split by REV_DEBT</t>
        </is>
      </c>
      <c r="B247" t="inlineStr">
        <is>
          <t>Kept after losses</t>
        </is>
      </c>
      <c r="C247" t="n">
        <v>477</v>
      </c>
      <c r="D247" t="inlineStr">
        <is>
          <t>SHORT_HIST 346.0 - 435.0</t>
        </is>
      </c>
      <c r="E247" t="inlineStr">
        <is>
          <t>Online</t>
        </is>
      </c>
      <c r="F247" t="inlineStr">
        <is>
          <t>low</t>
        </is>
      </c>
      <c r="G247" t="n">
        <v>266</v>
      </c>
      <c r="H247" t="n">
        <v>-3.551864377137078</v>
      </c>
      <c r="I247" t="inlineStr">
        <is>
          <t>No: may be mostly FICO</t>
        </is>
      </c>
      <c r="J247" t="n">
        <v>42</v>
      </c>
      <c r="K247">
        <f>'_pockets'!$AI$477</f>
        <v/>
      </c>
      <c r="L247">
        <f>'_pockets'!$AJ$477</f>
        <v/>
      </c>
      <c r="M247">
        <f>IF(AND($A247='Pockets'!$D$18,$B247='Pockets'!$C$18,OR('Pockets'!$E$18="All",AND('Pockets'!$E$18="Worse and material",$K247="Yes",$L247="Yes"),AND('Pockets'!$E$18="Worse or not sure",OR($K247="Yes",$K247="Not sure")))),1,0)</f>
        <v/>
      </c>
      <c r="N247">
        <f>$N246+$M247</f>
        <v/>
      </c>
      <c r="O247" t="inlineStr">
        <is>
          <t>three-way</t>
        </is>
      </c>
      <c r="P247" t="inlineStr">
        <is>
          <t>ranr_rate</t>
        </is>
      </c>
    </row>
    <row r="248">
      <c r="A248" t="inlineStr">
        <is>
          <t>Split by REV_DEBT</t>
        </is>
      </c>
      <c r="B248" t="inlineStr">
        <is>
          <t>Kept after losses</t>
        </is>
      </c>
      <c r="C248" t="n">
        <v>547</v>
      </c>
      <c r="D248" t="inlineStr">
        <is>
          <t>SHORT_HIST (marked missing)</t>
        </is>
      </c>
      <c r="E248" t="inlineStr">
        <is>
          <t>Branch</t>
        </is>
      </c>
      <c r="F248" t="inlineStr">
        <is>
          <t>low</t>
        </is>
      </c>
      <c r="G248" t="n">
        <v>36</v>
      </c>
      <c r="H248" t="n">
        <v>-9.514404026460207</v>
      </c>
      <c r="I248" t="inlineStr">
        <is>
          <t>No: may be mostly FICO</t>
        </is>
      </c>
      <c r="J248" t="n">
        <v>43</v>
      </c>
      <c r="K248">
        <f>'_pockets'!$AI$547</f>
        <v/>
      </c>
      <c r="L248">
        <f>'_pockets'!$AJ$547</f>
        <v/>
      </c>
      <c r="M248">
        <f>IF(AND($A248='Pockets'!$D$18,$B248='Pockets'!$C$18,OR('Pockets'!$E$18="All",AND('Pockets'!$E$18="Worse and material",$K248="Yes",$L248="Yes"),AND('Pockets'!$E$18="Worse or not sure",OR($K248="Yes",$K248="Not sure")))),1,0)</f>
        <v/>
      </c>
      <c r="N248">
        <f>$N247+$M248</f>
        <v/>
      </c>
      <c r="O248" t="inlineStr">
        <is>
          <t>three-way</t>
        </is>
      </c>
      <c r="P248" t="inlineStr">
        <is>
          <t>ranr_rate</t>
        </is>
      </c>
    </row>
    <row r="249">
      <c r="A249" t="inlineStr">
        <is>
          <t>Split by REV_DEBT</t>
        </is>
      </c>
      <c r="B249" t="inlineStr">
        <is>
          <t>Kept after losses</t>
        </is>
      </c>
      <c r="C249" t="n">
        <v>382</v>
      </c>
      <c r="D249" t="inlineStr">
        <is>
          <t>SHORT_HIST 89.0 - 171.9</t>
        </is>
      </c>
      <c r="E249" t="inlineStr">
        <is>
          <t>Broker</t>
        </is>
      </c>
      <c r="F249" t="inlineStr">
        <is>
          <t>high</t>
        </is>
      </c>
      <c r="G249" t="n">
        <v>261</v>
      </c>
      <c r="H249" t="n">
        <v>-3.584566003374233</v>
      </c>
      <c r="I249" t="inlineStr">
        <is>
          <t>No: may be mostly FICO</t>
        </is>
      </c>
      <c r="J249" t="n">
        <v>44</v>
      </c>
      <c r="K249">
        <f>'_pockets'!$AI$382</f>
        <v/>
      </c>
      <c r="L249">
        <f>'_pockets'!$AJ$382</f>
        <v/>
      </c>
      <c r="M249">
        <f>IF(AND($A249='Pockets'!$D$18,$B249='Pockets'!$C$18,OR('Pockets'!$E$18="All",AND('Pockets'!$E$18="Worse and material",$K249="Yes",$L249="Yes"),AND('Pockets'!$E$18="Worse or not sure",OR($K249="Yes",$K249="Not sure")))),1,0)</f>
        <v/>
      </c>
      <c r="N249">
        <f>$N248+$M249</f>
        <v/>
      </c>
      <c r="O249" t="inlineStr">
        <is>
          <t>three-way</t>
        </is>
      </c>
      <c r="P249" t="inlineStr">
        <is>
          <t>ranr_rate</t>
        </is>
      </c>
    </row>
    <row r="250">
      <c r="A250" t="inlineStr">
        <is>
          <t>Split by REV_DEBT</t>
        </is>
      </c>
      <c r="B250" t="inlineStr">
        <is>
          <t>Kept after losses</t>
        </is>
      </c>
      <c r="C250" t="n">
        <v>542</v>
      </c>
      <c r="D250" t="inlineStr">
        <is>
          <t>SHORT_HIST (marked missing)</t>
        </is>
      </c>
      <c r="E250" t="inlineStr">
        <is>
          <t>Branch</t>
        </is>
      </c>
      <c r="F250" t="inlineStr">
        <is>
          <t>high</t>
        </is>
      </c>
      <c r="G250" t="n">
        <v>36</v>
      </c>
      <c r="H250" t="n">
        <v>-9.514404026460207</v>
      </c>
      <c r="I250" t="inlineStr">
        <is>
          <t>No: may be mostly FICO</t>
        </is>
      </c>
      <c r="J250" t="n">
        <v>45</v>
      </c>
      <c r="K250">
        <f>'_pockets'!$AI$542</f>
        <v/>
      </c>
      <c r="L250">
        <f>'_pockets'!$AJ$542</f>
        <v/>
      </c>
      <c r="M250">
        <f>IF(AND($A250='Pockets'!$D$18,$B250='Pockets'!$C$18,OR('Pockets'!$E$18="All",AND('Pockets'!$E$18="Worse and material",$K250="Yes",$L250="Yes"),AND('Pockets'!$E$18="Worse or not sure",OR($K250="Yes",$K250="Not sure")))),1,0)</f>
        <v/>
      </c>
      <c r="N250">
        <f>$N249+$M250</f>
        <v/>
      </c>
      <c r="O250" t="inlineStr">
        <is>
          <t>three-way</t>
        </is>
      </c>
      <c r="P250" t="inlineStr">
        <is>
          <t>ranr_rate</t>
        </is>
      </c>
    </row>
    <row r="251">
      <c r="A251" t="inlineStr">
        <is>
          <t>Split by REV_DEBT</t>
        </is>
      </c>
      <c r="B251" t="inlineStr">
        <is>
          <t>Earned before losses</t>
        </is>
      </c>
      <c r="C251" t="n">
        <v>348</v>
      </c>
      <c r="D251" t="inlineStr">
        <is>
          <t>FICO 686 - 711</t>
        </is>
      </c>
      <c r="E251" t="inlineStr">
        <is>
          <t>Branch</t>
        </is>
      </c>
      <c r="F251" t="inlineStr">
        <is>
          <t>low</t>
        </is>
      </c>
      <c r="G251" t="n">
        <v>258</v>
      </c>
      <c r="H251" t="n">
        <v>-2.367906835162637</v>
      </c>
      <c r="I251" t="inlineStr">
        <is>
          <t>Yes</t>
        </is>
      </c>
      <c r="J251" t="n">
        <v>1</v>
      </c>
      <c r="K251">
        <f>'_pockets'!$AI$348</f>
        <v/>
      </c>
      <c r="L251">
        <f>'_pockets'!$AJ$348</f>
        <v/>
      </c>
      <c r="M251">
        <f>IF(AND($A251='Pockets'!$D$18,$B251='Pockets'!$C$18,OR('Pockets'!$E$18="All",AND('Pockets'!$E$18="Worse and material",$K251="Yes",$L251="Yes"),AND('Pockets'!$E$18="Worse or not sure",OR($K251="Yes",$K251="Not sure")))),1,0)</f>
        <v/>
      </c>
      <c r="N251">
        <f>$N250+$M251</f>
        <v/>
      </c>
      <c r="O251" t="inlineStr">
        <is>
          <t>three-way</t>
        </is>
      </c>
      <c r="P251" t="inlineStr">
        <is>
          <t>contribution_rate</t>
        </is>
      </c>
    </row>
    <row r="252">
      <c r="A252" t="inlineStr">
        <is>
          <t>Split by REV_DEBT</t>
        </is>
      </c>
      <c r="B252" t="inlineStr">
        <is>
          <t>Earned before losses</t>
        </is>
      </c>
      <c r="C252" t="n">
        <v>228</v>
      </c>
      <c r="D252" t="inlineStr">
        <is>
          <t>FICO 686 - 711</t>
        </is>
      </c>
      <c r="E252" t="inlineStr">
        <is>
          <t>Broker</t>
        </is>
      </c>
      <c r="F252" t="inlineStr">
        <is>
          <t>low</t>
        </is>
      </c>
      <c r="G252" t="n">
        <v>251</v>
      </c>
      <c r="H252" t="n">
        <v>-2.399613550730209</v>
      </c>
      <c r="I252" t="inlineStr">
        <is>
          <t>Yes</t>
        </is>
      </c>
      <c r="J252" t="n">
        <v>2</v>
      </c>
      <c r="K252">
        <f>'_pockets'!$AI$228</f>
        <v/>
      </c>
      <c r="L252">
        <f>'_pockets'!$AJ$228</f>
        <v/>
      </c>
      <c r="M252">
        <f>IF(AND($A252='Pockets'!$D$18,$B252='Pockets'!$C$18,OR('Pockets'!$E$18="All",AND('Pockets'!$E$18="Worse and material",$K252="Yes",$L252="Yes"),AND('Pockets'!$E$18="Worse or not sure",OR($K252="Yes",$K252="Not sure")))),1,0)</f>
        <v/>
      </c>
      <c r="N252">
        <f>$N251+$M252</f>
        <v/>
      </c>
      <c r="O252" t="inlineStr">
        <is>
          <t>three-way</t>
        </is>
      </c>
      <c r="P252" t="inlineStr">
        <is>
          <t>contribution_rate</t>
        </is>
      </c>
    </row>
    <row r="253">
      <c r="A253" t="inlineStr">
        <is>
          <t>Split by REV_DEBT</t>
        </is>
      </c>
      <c r="B253" t="inlineStr">
        <is>
          <t>Earned before losses</t>
        </is>
      </c>
      <c r="C253" t="n">
        <v>208</v>
      </c>
      <c r="D253" t="inlineStr">
        <is>
          <t>FICO 712 - 745</t>
        </is>
      </c>
      <c r="E253" t="inlineStr">
        <is>
          <t>Branch</t>
        </is>
      </c>
      <c r="F253" t="inlineStr">
        <is>
          <t>high</t>
        </is>
      </c>
      <c r="G253" t="n">
        <v>268</v>
      </c>
      <c r="H253" t="n">
        <v>-2.324811795742961</v>
      </c>
      <c r="I253" t="inlineStr">
        <is>
          <t>Yes</t>
        </is>
      </c>
      <c r="J253" t="n">
        <v>3</v>
      </c>
      <c r="K253">
        <f>'_pockets'!$AI$208</f>
        <v/>
      </c>
      <c r="L253">
        <f>'_pockets'!$AJ$208</f>
        <v/>
      </c>
      <c r="M253">
        <f>IF(AND($A253='Pockets'!$D$18,$B253='Pockets'!$C$18,OR('Pockets'!$E$18="All",AND('Pockets'!$E$18="Worse and material",$K253="Yes",$L253="Yes"),AND('Pockets'!$E$18="Worse or not sure",OR($K253="Yes",$K253="Not sure")))),1,0)</f>
        <v/>
      </c>
      <c r="N253">
        <f>$N252+$M253</f>
        <v/>
      </c>
      <c r="O253" t="inlineStr">
        <is>
          <t>three-way</t>
        </is>
      </c>
      <c r="P253" t="inlineStr">
        <is>
          <t>contribution_rate</t>
        </is>
      </c>
    </row>
    <row r="254">
      <c r="A254" t="inlineStr">
        <is>
          <t>Split by REV_DEBT</t>
        </is>
      </c>
      <c r="B254" t="inlineStr">
        <is>
          <t>Earned before losses</t>
        </is>
      </c>
      <c r="C254" t="n">
        <v>258</v>
      </c>
      <c r="D254" t="inlineStr">
        <is>
          <t>FICO 712 - 745</t>
        </is>
      </c>
      <c r="E254" t="inlineStr">
        <is>
          <t>Broker</t>
        </is>
      </c>
      <c r="F254" t="inlineStr">
        <is>
          <t>low</t>
        </is>
      </c>
      <c r="G254" t="n">
        <v>255</v>
      </c>
      <c r="H254" t="n">
        <v>-2.381333516845563</v>
      </c>
      <c r="I254" t="inlineStr">
        <is>
          <t>Yes</t>
        </is>
      </c>
      <c r="J254" t="n">
        <v>4</v>
      </c>
      <c r="K254">
        <f>'_pockets'!$AI$258</f>
        <v/>
      </c>
      <c r="L254">
        <f>'_pockets'!$AJ$258</f>
        <v/>
      </c>
      <c r="M254">
        <f>IF(AND($A254='Pockets'!$D$18,$B254='Pockets'!$C$18,OR('Pockets'!$E$18="All",AND('Pockets'!$E$18="Worse and material",$K254="Yes",$L254="Yes"),AND('Pockets'!$E$18="Worse or not sure",OR($K254="Yes",$K254="Not sure")))),1,0)</f>
        <v/>
      </c>
      <c r="N254">
        <f>$N253+$M254</f>
        <v/>
      </c>
      <c r="O254" t="inlineStr">
        <is>
          <t>three-way</t>
        </is>
      </c>
      <c r="P254" t="inlineStr">
        <is>
          <t>contribution_rate</t>
        </is>
      </c>
    </row>
    <row r="255">
      <c r="A255" t="inlineStr">
        <is>
          <t>Split by REV_DEBT</t>
        </is>
      </c>
      <c r="B255" t="inlineStr">
        <is>
          <t>Earned before losses</t>
        </is>
      </c>
      <c r="C255" t="n">
        <v>333</v>
      </c>
      <c r="D255" t="inlineStr">
        <is>
          <t>FICO 686 - 711</t>
        </is>
      </c>
      <c r="E255" t="inlineStr">
        <is>
          <t>Broker</t>
        </is>
      </c>
      <c r="F255" t="inlineStr">
        <is>
          <t>high</t>
        </is>
      </c>
      <c r="G255" t="n">
        <v>250</v>
      </c>
      <c r="H255" t="n">
        <v>-2.404252820034104</v>
      </c>
      <c r="I255" t="inlineStr">
        <is>
          <t>Yes</t>
        </is>
      </c>
      <c r="J255" t="n">
        <v>5</v>
      </c>
      <c r="K255">
        <f>'_pockets'!$AI$333</f>
        <v/>
      </c>
      <c r="L255">
        <f>'_pockets'!$AJ$333</f>
        <v/>
      </c>
      <c r="M255">
        <f>IF(AND($A255='Pockets'!$D$18,$B255='Pockets'!$C$18,OR('Pockets'!$E$18="All",AND('Pockets'!$E$18="Worse and material",$K255="Yes",$L255="Yes"),AND('Pockets'!$E$18="Worse or not sure",OR($K255="Yes",$K255="Not sure")))),1,0)</f>
        <v/>
      </c>
      <c r="N255">
        <f>$N254+$M255</f>
        <v/>
      </c>
      <c r="O255" t="inlineStr">
        <is>
          <t>three-way</t>
        </is>
      </c>
      <c r="P255" t="inlineStr">
        <is>
          <t>contribution_rate</t>
        </is>
      </c>
    </row>
    <row r="256">
      <c r="A256" t="inlineStr">
        <is>
          <t>Split by REV_DEBT</t>
        </is>
      </c>
      <c r="B256" t="inlineStr">
        <is>
          <t>Earned before losses</t>
        </is>
      </c>
      <c r="C256" t="n">
        <v>343</v>
      </c>
      <c r="D256" t="inlineStr">
        <is>
          <t>FICO 686 - 711</t>
        </is>
      </c>
      <c r="E256" t="inlineStr">
        <is>
          <t>Branch</t>
        </is>
      </c>
      <c r="F256" t="inlineStr">
        <is>
          <t>high</t>
        </is>
      </c>
      <c r="G256" t="n">
        <v>257</v>
      </c>
      <c r="H256" t="n">
        <v>-2.372355937133785</v>
      </c>
      <c r="I256" t="inlineStr">
        <is>
          <t>Yes</t>
        </is>
      </c>
      <c r="J256" t="n">
        <v>6</v>
      </c>
      <c r="K256">
        <f>'_pockets'!$AI$343</f>
        <v/>
      </c>
      <c r="L256">
        <f>'_pockets'!$AJ$343</f>
        <v/>
      </c>
      <c r="M256">
        <f>IF(AND($A256='Pockets'!$D$18,$B256='Pockets'!$C$18,OR('Pockets'!$E$18="All",AND('Pockets'!$E$18="Worse and material",$K256="Yes",$L256="Yes"),AND('Pockets'!$E$18="Worse or not sure",OR($K256="Yes",$K256="Not sure")))),1,0)</f>
        <v/>
      </c>
      <c r="N256">
        <f>$N255+$M256</f>
        <v/>
      </c>
      <c r="O256" t="inlineStr">
        <is>
          <t>three-way</t>
        </is>
      </c>
      <c r="P256" t="inlineStr">
        <is>
          <t>contribution_rate</t>
        </is>
      </c>
    </row>
    <row r="257">
      <c r="A257" t="inlineStr">
        <is>
          <t>Split by REV_DEBT</t>
        </is>
      </c>
      <c r="B257" t="inlineStr">
        <is>
          <t>Earned before losses</t>
        </is>
      </c>
      <c r="C257" t="n">
        <v>203</v>
      </c>
      <c r="D257" t="inlineStr">
        <is>
          <t>FICO 712 - 745</t>
        </is>
      </c>
      <c r="E257" t="inlineStr">
        <is>
          <t>Branch</t>
        </is>
      </c>
      <c r="F257" t="inlineStr">
        <is>
          <t>low</t>
        </is>
      </c>
      <c r="G257" t="n">
        <v>268</v>
      </c>
      <c r="H257" t="n">
        <v>-2.324811795742961</v>
      </c>
      <c r="I257" t="inlineStr">
        <is>
          <t>Yes</t>
        </is>
      </c>
      <c r="J257" t="n">
        <v>7</v>
      </c>
      <c r="K257">
        <f>'_pockets'!$AI$203</f>
        <v/>
      </c>
      <c r="L257">
        <f>'_pockets'!$AJ$203</f>
        <v/>
      </c>
      <c r="M257">
        <f>IF(AND($A257='Pockets'!$D$18,$B257='Pockets'!$C$18,OR('Pockets'!$E$18="All",AND('Pockets'!$E$18="Worse and material",$K257="Yes",$L257="Yes"),AND('Pockets'!$E$18="Worse or not sure",OR($K257="Yes",$K257="Not sure")))),1,0)</f>
        <v/>
      </c>
      <c r="N257">
        <f>$N256+$M257</f>
        <v/>
      </c>
      <c r="O257" t="inlineStr">
        <is>
          <t>three-way</t>
        </is>
      </c>
      <c r="P257" t="inlineStr">
        <is>
          <t>contribution_rate</t>
        </is>
      </c>
    </row>
    <row r="258">
      <c r="A258" t="inlineStr">
        <is>
          <t>Split by REV_DEBT</t>
        </is>
      </c>
      <c r="B258" t="inlineStr">
        <is>
          <t>Earned before losses</t>
        </is>
      </c>
      <c r="C258" t="n">
        <v>368</v>
      </c>
      <c r="D258" t="inlineStr">
        <is>
          <t>FICO (marked missing)</t>
        </is>
      </c>
      <c r="E258" t="inlineStr">
        <is>
          <t>Branch</t>
        </is>
      </c>
      <c r="F258" t="inlineStr">
        <is>
          <t>low</t>
        </is>
      </c>
      <c r="G258" t="n">
        <v>26</v>
      </c>
      <c r="H258" t="n">
        <v>-7.349784838070694</v>
      </c>
      <c r="I258" t="inlineStr">
        <is>
          <t>Yes</t>
        </is>
      </c>
      <c r="J258" t="n">
        <v>8</v>
      </c>
      <c r="K258">
        <f>'_pockets'!$AI$368</f>
        <v/>
      </c>
      <c r="L258">
        <f>'_pockets'!$AJ$368</f>
        <v/>
      </c>
      <c r="M258">
        <f>IF(AND($A258='Pockets'!$D$18,$B258='Pockets'!$C$18,OR('Pockets'!$E$18="All",AND('Pockets'!$E$18="Worse and material",$K258="Yes",$L258="Yes"),AND('Pockets'!$E$18="Worse or not sure",OR($K258="Yes",$K258="Not sure")))),1,0)</f>
        <v/>
      </c>
      <c r="N258">
        <f>$N257+$M258</f>
        <v/>
      </c>
      <c r="O258" t="inlineStr">
        <is>
          <t>three-way</t>
        </is>
      </c>
      <c r="P258" t="inlineStr">
        <is>
          <t>contribution_rate</t>
        </is>
      </c>
    </row>
    <row r="259">
      <c r="A259" t="inlineStr">
        <is>
          <t>Split by REV_DEBT</t>
        </is>
      </c>
      <c r="B259" t="inlineStr">
        <is>
          <t>Earned before losses</t>
        </is>
      </c>
      <c r="C259" t="n">
        <v>213</v>
      </c>
      <c r="D259" t="inlineStr">
        <is>
          <t>FICO 496 - 653</t>
        </is>
      </c>
      <c r="E259" t="inlineStr">
        <is>
          <t>Branch</t>
        </is>
      </c>
      <c r="F259" t="inlineStr">
        <is>
          <t>low</t>
        </is>
      </c>
      <c r="G259" t="n">
        <v>251</v>
      </c>
      <c r="H259" t="n">
        <v>-2.399613550730209</v>
      </c>
      <c r="I259" t="inlineStr">
        <is>
          <t>Yes</t>
        </is>
      </c>
      <c r="J259" t="n">
        <v>9</v>
      </c>
      <c r="K259">
        <f>'_pockets'!$AI$213</f>
        <v/>
      </c>
      <c r="L259">
        <f>'_pockets'!$AJ$213</f>
        <v/>
      </c>
      <c r="M259">
        <f>IF(AND($A259='Pockets'!$D$18,$B259='Pockets'!$C$18,OR('Pockets'!$E$18="All",AND('Pockets'!$E$18="Worse and material",$K259="Yes",$L259="Yes"),AND('Pockets'!$E$18="Worse or not sure",OR($K259="Yes",$K259="Not sure")))),1,0)</f>
        <v/>
      </c>
      <c r="N259">
        <f>$N258+$M259</f>
        <v/>
      </c>
      <c r="O259" t="inlineStr">
        <is>
          <t>three-way</t>
        </is>
      </c>
      <c r="P259" t="inlineStr">
        <is>
          <t>contribution_rate</t>
        </is>
      </c>
    </row>
    <row r="260">
      <c r="A260" t="inlineStr">
        <is>
          <t>Split by REV_DEBT</t>
        </is>
      </c>
      <c r="B260" t="inlineStr">
        <is>
          <t>Earned before losses</t>
        </is>
      </c>
      <c r="C260" t="n">
        <v>283</v>
      </c>
      <c r="D260" t="inlineStr">
        <is>
          <t>FICO 654 - 685</t>
        </is>
      </c>
      <c r="E260" t="inlineStr">
        <is>
          <t>Branch</t>
        </is>
      </c>
      <c r="F260" t="inlineStr">
        <is>
          <t>low</t>
        </is>
      </c>
      <c r="G260" t="n">
        <v>252</v>
      </c>
      <c r="H260" t="n">
        <v>-2.395002261085906</v>
      </c>
      <c r="I260" t="inlineStr">
        <is>
          <t>Yes</t>
        </is>
      </c>
      <c r="J260" t="n">
        <v>10</v>
      </c>
      <c r="K260">
        <f>'_pockets'!$AI$283</f>
        <v/>
      </c>
      <c r="L260">
        <f>'_pockets'!$AJ$283</f>
        <v/>
      </c>
      <c r="M260">
        <f>IF(AND($A260='Pockets'!$D$18,$B260='Pockets'!$C$18,OR('Pockets'!$E$18="All",AND('Pockets'!$E$18="Worse and material",$K260="Yes",$L260="Yes"),AND('Pockets'!$E$18="Worse or not sure",OR($K260="Yes",$K260="Not sure")))),1,0)</f>
        <v/>
      </c>
      <c r="N260">
        <f>$N259+$M260</f>
        <v/>
      </c>
      <c r="O260" t="inlineStr">
        <is>
          <t>three-way</t>
        </is>
      </c>
      <c r="P260" t="inlineStr">
        <is>
          <t>contribution_rate</t>
        </is>
      </c>
    </row>
    <row r="261">
      <c r="A261" t="inlineStr">
        <is>
          <t>Split by REV_DEBT</t>
        </is>
      </c>
      <c r="B261" t="inlineStr">
        <is>
          <t>Earned before losses</t>
        </is>
      </c>
      <c r="C261" t="n">
        <v>303</v>
      </c>
      <c r="D261" t="inlineStr">
        <is>
          <t>FICO 654 - 685</t>
        </is>
      </c>
      <c r="E261" t="inlineStr">
        <is>
          <t>Broker</t>
        </is>
      </c>
      <c r="F261" t="inlineStr">
        <is>
          <t>low</t>
        </is>
      </c>
      <c r="G261" t="n">
        <v>266</v>
      </c>
      <c r="H261" t="n">
        <v>-2.333233501000778</v>
      </c>
      <c r="I261" t="inlineStr">
        <is>
          <t>Yes</t>
        </is>
      </c>
      <c r="J261" t="n">
        <v>11</v>
      </c>
      <c r="K261">
        <f>'_pockets'!$AI$303</f>
        <v/>
      </c>
      <c r="L261">
        <f>'_pockets'!$AJ$303</f>
        <v/>
      </c>
      <c r="M261">
        <f>IF(AND($A261='Pockets'!$D$18,$B261='Pockets'!$C$18,OR('Pockets'!$E$18="All",AND('Pockets'!$E$18="Worse and material",$K261="Yes",$L261="Yes"),AND('Pockets'!$E$18="Worse or not sure",OR($K261="Yes",$K261="Not sure")))),1,0)</f>
        <v/>
      </c>
      <c r="N261">
        <f>$N260+$M261</f>
        <v/>
      </c>
      <c r="O261" t="inlineStr">
        <is>
          <t>three-way</t>
        </is>
      </c>
      <c r="P261" t="inlineStr">
        <is>
          <t>contribution_rate</t>
        </is>
      </c>
    </row>
    <row r="262">
      <c r="A262" t="inlineStr">
        <is>
          <t>Split by REV_DEBT</t>
        </is>
      </c>
      <c r="B262" t="inlineStr">
        <is>
          <t>Earned before losses</t>
        </is>
      </c>
      <c r="C262" t="n">
        <v>308</v>
      </c>
      <c r="D262" t="inlineStr">
        <is>
          <t>FICO 712 - 745</t>
        </is>
      </c>
      <c r="E262" t="inlineStr">
        <is>
          <t>Broker</t>
        </is>
      </c>
      <c r="F262" t="inlineStr">
        <is>
          <t>high</t>
        </is>
      </c>
      <c r="G262" t="n">
        <v>254</v>
      </c>
      <c r="H262" t="n">
        <v>-2.385862515669908</v>
      </c>
      <c r="I262" t="inlineStr">
        <is>
          <t>Yes</t>
        </is>
      </c>
      <c r="J262" t="n">
        <v>12</v>
      </c>
      <c r="K262">
        <f>'_pockets'!$AI$308</f>
        <v/>
      </c>
      <c r="L262">
        <f>'_pockets'!$AJ$308</f>
        <v/>
      </c>
      <c r="M262">
        <f>IF(AND($A262='Pockets'!$D$18,$B262='Pockets'!$C$18,OR('Pockets'!$E$18="All",AND('Pockets'!$E$18="Worse and material",$K262="Yes",$L262="Yes"),AND('Pockets'!$E$18="Worse or not sure",OR($K262="Yes",$K262="Not sure")))),1,0)</f>
        <v/>
      </c>
      <c r="N262">
        <f>$N261+$M262</f>
        <v/>
      </c>
      <c r="O262" t="inlineStr">
        <is>
          <t>three-way</t>
        </is>
      </c>
      <c r="P262" t="inlineStr">
        <is>
          <t>contribution_rate</t>
        </is>
      </c>
    </row>
    <row r="263">
      <c r="A263" t="inlineStr">
        <is>
          <t>Split by REV_DEBT</t>
        </is>
      </c>
      <c r="B263" t="inlineStr">
        <is>
          <t>Earned before losses</t>
        </is>
      </c>
      <c r="C263" t="n">
        <v>313</v>
      </c>
      <c r="D263" t="inlineStr">
        <is>
          <t>FICO 654 - 685</t>
        </is>
      </c>
      <c r="E263" t="inlineStr">
        <is>
          <t>Broker</t>
        </is>
      </c>
      <c r="F263" t="inlineStr">
        <is>
          <t>high</t>
        </is>
      </c>
      <c r="G263" t="n">
        <v>265</v>
      </c>
      <c r="H263" t="n">
        <v>-2.337480531658646</v>
      </c>
      <c r="I263" t="inlineStr">
        <is>
          <t>Yes</t>
        </is>
      </c>
      <c r="J263" t="n">
        <v>13</v>
      </c>
      <c r="K263">
        <f>'_pockets'!$AI$313</f>
        <v/>
      </c>
      <c r="L263">
        <f>'_pockets'!$AJ$313</f>
        <v/>
      </c>
      <c r="M263">
        <f>IF(AND($A263='Pockets'!$D$18,$B263='Pockets'!$C$18,OR('Pockets'!$E$18="All",AND('Pockets'!$E$18="Worse and material",$K263="Yes",$L263="Yes"),AND('Pockets'!$E$18="Worse or not sure",OR($K263="Yes",$K263="Not sure")))),1,0)</f>
        <v/>
      </c>
      <c r="N263">
        <f>$N262+$M263</f>
        <v/>
      </c>
      <c r="O263" t="inlineStr">
        <is>
          <t>three-way</t>
        </is>
      </c>
      <c r="P263" t="inlineStr">
        <is>
          <t>contribution_rate</t>
        </is>
      </c>
    </row>
    <row r="264">
      <c r="A264" t="inlineStr">
        <is>
          <t>Split by REV_DEBT</t>
        </is>
      </c>
      <c r="B264" t="inlineStr">
        <is>
          <t>Earned before losses</t>
        </is>
      </c>
      <c r="C264" t="n">
        <v>338</v>
      </c>
      <c r="D264" t="inlineStr">
        <is>
          <t>FICO 496 - 653</t>
        </is>
      </c>
      <c r="E264" t="inlineStr">
        <is>
          <t>Online</t>
        </is>
      </c>
      <c r="F264" t="inlineStr">
        <is>
          <t>high</t>
        </is>
      </c>
      <c r="G264" t="n">
        <v>265</v>
      </c>
      <c r="H264" t="n">
        <v>-2.337480531658646</v>
      </c>
      <c r="I264" t="inlineStr">
        <is>
          <t>Yes</t>
        </is>
      </c>
      <c r="J264" t="n">
        <v>14</v>
      </c>
      <c r="K264">
        <f>'_pockets'!$AI$338</f>
        <v/>
      </c>
      <c r="L264">
        <f>'_pockets'!$AJ$338</f>
        <v/>
      </c>
      <c r="M264">
        <f>IF(AND($A264='Pockets'!$D$18,$B264='Pockets'!$C$18,OR('Pockets'!$E$18="All",AND('Pockets'!$E$18="Worse and material",$K264="Yes",$L264="Yes"),AND('Pockets'!$E$18="Worse or not sure",OR($K264="Yes",$K264="Not sure")))),1,0)</f>
        <v/>
      </c>
      <c r="N264">
        <f>$N263+$M264</f>
        <v/>
      </c>
      <c r="O264" t="inlineStr">
        <is>
          <t>three-way</t>
        </is>
      </c>
      <c r="P264" t="inlineStr">
        <is>
          <t>contribution_rate</t>
        </is>
      </c>
    </row>
    <row r="265">
      <c r="A265" t="inlineStr">
        <is>
          <t>Split by REV_DEBT</t>
        </is>
      </c>
      <c r="B265" t="inlineStr">
        <is>
          <t>Earned before losses</t>
        </is>
      </c>
      <c r="C265" t="n">
        <v>253</v>
      </c>
      <c r="D265" t="inlineStr">
        <is>
          <t>FICO 654 - 685</t>
        </is>
      </c>
      <c r="E265" t="inlineStr">
        <is>
          <t>Branch</t>
        </is>
      </c>
      <c r="F265" t="inlineStr">
        <is>
          <t>high</t>
        </is>
      </c>
      <c r="G265" t="n">
        <v>251</v>
      </c>
      <c r="H265" t="n">
        <v>-2.399613550730209</v>
      </c>
      <c r="I265" t="inlineStr">
        <is>
          <t>Yes</t>
        </is>
      </c>
      <c r="J265" t="n">
        <v>15</v>
      </c>
      <c r="K265">
        <f>'_pockets'!$AI$253</f>
        <v/>
      </c>
      <c r="L265">
        <f>'_pockets'!$AJ$253</f>
        <v/>
      </c>
      <c r="M265">
        <f>IF(AND($A265='Pockets'!$D$18,$B265='Pockets'!$C$18,OR('Pockets'!$E$18="All",AND('Pockets'!$E$18="Worse and material",$K265="Yes",$L265="Yes"),AND('Pockets'!$E$18="Worse or not sure",OR($K265="Yes",$K265="Not sure")))),1,0)</f>
        <v/>
      </c>
      <c r="N265">
        <f>$N264+$M265</f>
        <v/>
      </c>
      <c r="O265" t="inlineStr">
        <is>
          <t>three-way</t>
        </is>
      </c>
      <c r="P265" t="inlineStr">
        <is>
          <t>contribution_rate</t>
        </is>
      </c>
    </row>
    <row r="266">
      <c r="A266" t="inlineStr">
        <is>
          <t>Split by REV_DEBT</t>
        </is>
      </c>
      <c r="B266" t="inlineStr">
        <is>
          <t>Earned before losses</t>
        </is>
      </c>
      <c r="C266" t="n">
        <v>238</v>
      </c>
      <c r="D266" t="inlineStr">
        <is>
          <t>FICO 746 - 921</t>
        </is>
      </c>
      <c r="E266" t="inlineStr">
        <is>
          <t>Broker</t>
        </is>
      </c>
      <c r="F266" t="inlineStr">
        <is>
          <t>low</t>
        </is>
      </c>
      <c r="G266" t="n">
        <v>268</v>
      </c>
      <c r="H266" t="n">
        <v>-2.324811795742961</v>
      </c>
      <c r="I266" t="inlineStr">
        <is>
          <t>Yes</t>
        </is>
      </c>
      <c r="J266" t="n">
        <v>16</v>
      </c>
      <c r="K266">
        <f>'_pockets'!$AI$238</f>
        <v/>
      </c>
      <c r="L266">
        <f>'_pockets'!$AJ$238</f>
        <v/>
      </c>
      <c r="M266">
        <f>IF(AND($A266='Pockets'!$D$18,$B266='Pockets'!$C$18,OR('Pockets'!$E$18="All",AND('Pockets'!$E$18="Worse and material",$K266="Yes",$L266="Yes"),AND('Pockets'!$E$18="Worse or not sure",OR($K266="Yes",$K266="Not sure")))),1,0)</f>
        <v/>
      </c>
      <c r="N266">
        <f>$N265+$M266</f>
        <v/>
      </c>
      <c r="O266" t="inlineStr">
        <is>
          <t>three-way</t>
        </is>
      </c>
      <c r="P266" t="inlineStr">
        <is>
          <t>contribution_rate</t>
        </is>
      </c>
    </row>
    <row r="267">
      <c r="A267" t="inlineStr">
        <is>
          <t>Split by REV_DEBT</t>
        </is>
      </c>
      <c r="B267" t="inlineStr">
        <is>
          <t>Earned before losses</t>
        </is>
      </c>
      <c r="C267" t="n">
        <v>318</v>
      </c>
      <c r="D267" t="inlineStr">
        <is>
          <t>FICO (marked missing)</t>
        </is>
      </c>
      <c r="E267" t="inlineStr">
        <is>
          <t>Online</t>
        </is>
      </c>
      <c r="F267" t="inlineStr">
        <is>
          <t>low</t>
        </is>
      </c>
      <c r="G267" t="n">
        <v>28</v>
      </c>
      <c r="H267" t="n">
        <v>-7.083318465853147</v>
      </c>
      <c r="I267" t="inlineStr">
        <is>
          <t>Yes</t>
        </is>
      </c>
      <c r="J267" t="n">
        <v>17</v>
      </c>
      <c r="K267">
        <f>'_pockets'!$AI$318</f>
        <v/>
      </c>
      <c r="L267">
        <f>'_pockets'!$AJ$318</f>
        <v/>
      </c>
      <c r="M267">
        <f>IF(AND($A267='Pockets'!$D$18,$B267='Pockets'!$C$18,OR('Pockets'!$E$18="All",AND('Pockets'!$E$18="Worse and material",$K267="Yes",$L267="Yes"),AND('Pockets'!$E$18="Worse or not sure",OR($K267="Yes",$K267="Not sure")))),1,0)</f>
        <v/>
      </c>
      <c r="N267">
        <f>$N266+$M267</f>
        <v/>
      </c>
      <c r="O267" t="inlineStr">
        <is>
          <t>three-way</t>
        </is>
      </c>
      <c r="P267" t="inlineStr">
        <is>
          <t>contribution_rate</t>
        </is>
      </c>
    </row>
    <row r="268">
      <c r="A268" t="inlineStr">
        <is>
          <t>Split by REV_DEBT</t>
        </is>
      </c>
      <c r="B268" t="inlineStr">
        <is>
          <t>Earned before losses</t>
        </is>
      </c>
      <c r="C268" t="n">
        <v>268</v>
      </c>
      <c r="D268" t="inlineStr">
        <is>
          <t>FICO 746 - 921</t>
        </is>
      </c>
      <c r="E268" t="inlineStr">
        <is>
          <t>Online</t>
        </is>
      </c>
      <c r="F268" t="inlineStr">
        <is>
          <t>low</t>
        </is>
      </c>
      <c r="G268" t="n">
        <v>259</v>
      </c>
      <c r="H268" t="n">
        <v>-2.363483850272235</v>
      </c>
      <c r="I268" t="inlineStr">
        <is>
          <t>Yes</t>
        </is>
      </c>
      <c r="J268" t="n">
        <v>18</v>
      </c>
      <c r="K268">
        <f>'_pockets'!$AI$268</f>
        <v/>
      </c>
      <c r="L268">
        <f>'_pockets'!$AJ$268</f>
        <v/>
      </c>
      <c r="M268">
        <f>IF(AND($A268='Pockets'!$D$18,$B268='Pockets'!$C$18,OR('Pockets'!$E$18="All",AND('Pockets'!$E$18="Worse and material",$K268="Yes",$L268="Yes"),AND('Pockets'!$E$18="Worse or not sure",OR($K268="Yes",$K268="Not sure")))),1,0)</f>
        <v/>
      </c>
      <c r="N268">
        <f>$N267+$M268</f>
        <v/>
      </c>
      <c r="O268" t="inlineStr">
        <is>
          <t>three-way</t>
        </is>
      </c>
      <c r="P268" t="inlineStr">
        <is>
          <t>contribution_rate</t>
        </is>
      </c>
    </row>
    <row r="269">
      <c r="A269" t="inlineStr">
        <is>
          <t>Split by REV_DEBT</t>
        </is>
      </c>
      <c r="B269" t="inlineStr">
        <is>
          <t>Earned before losses</t>
        </is>
      </c>
      <c r="C269" t="n">
        <v>363</v>
      </c>
      <c r="D269" t="inlineStr">
        <is>
          <t>FICO (marked missing)</t>
        </is>
      </c>
      <c r="E269" t="inlineStr">
        <is>
          <t>Broker</t>
        </is>
      </c>
      <c r="F269" t="inlineStr">
        <is>
          <t>low</t>
        </is>
      </c>
      <c r="G269" t="n">
        <v>27</v>
      </c>
      <c r="H269" t="n">
        <v>-7.212845968057126</v>
      </c>
      <c r="I269" t="inlineStr">
        <is>
          <t>Yes</t>
        </is>
      </c>
      <c r="J269" t="n">
        <v>19</v>
      </c>
      <c r="K269">
        <f>'_pockets'!$AI$363</f>
        <v/>
      </c>
      <c r="L269">
        <f>'_pockets'!$AJ$363</f>
        <v/>
      </c>
      <c r="M269">
        <f>IF(AND($A269='Pockets'!$D$18,$B269='Pockets'!$C$18,OR('Pockets'!$E$18="All",AND('Pockets'!$E$18="Worse and material",$K269="Yes",$L269="Yes"),AND('Pockets'!$E$18="Worse or not sure",OR($K269="Yes",$K269="Not sure")))),1,0)</f>
        <v/>
      </c>
      <c r="N269">
        <f>$N268+$M269</f>
        <v/>
      </c>
      <c r="O269" t="inlineStr">
        <is>
          <t>three-way</t>
        </is>
      </c>
      <c r="P269" t="inlineStr">
        <is>
          <t>contribution_rate</t>
        </is>
      </c>
    </row>
    <row r="270">
      <c r="A270" t="inlineStr">
        <is>
          <t>Split by REV_DEBT</t>
        </is>
      </c>
      <c r="B270" t="inlineStr">
        <is>
          <t>Earned before losses</t>
        </is>
      </c>
      <c r="C270" t="n">
        <v>243</v>
      </c>
      <c r="D270" t="inlineStr">
        <is>
          <t>FICO 746 - 921</t>
        </is>
      </c>
      <c r="E270" t="inlineStr">
        <is>
          <t>Online</t>
        </is>
      </c>
      <c r="F270" t="inlineStr">
        <is>
          <t>high</t>
        </is>
      </c>
      <c r="G270" t="n">
        <v>258</v>
      </c>
      <c r="H270" t="n">
        <v>-2.367906835162637</v>
      </c>
      <c r="I270" t="inlineStr">
        <is>
          <t>Yes</t>
        </is>
      </c>
      <c r="J270" t="n">
        <v>20</v>
      </c>
      <c r="K270">
        <f>'_pockets'!$AI$243</f>
        <v/>
      </c>
      <c r="L270">
        <f>'_pockets'!$AJ$243</f>
        <v/>
      </c>
      <c r="M270">
        <f>IF(AND($A270='Pockets'!$D$18,$B270='Pockets'!$C$18,OR('Pockets'!$E$18="All",AND('Pockets'!$E$18="Worse and material",$K270="Yes",$L270="Yes"),AND('Pockets'!$E$18="Worse or not sure",OR($K270="Yes",$K270="Not sure")))),1,0)</f>
        <v/>
      </c>
      <c r="N270">
        <f>$N269+$M270</f>
        <v/>
      </c>
      <c r="O270" t="inlineStr">
        <is>
          <t>three-way</t>
        </is>
      </c>
      <c r="P270" t="inlineStr">
        <is>
          <t>contribution_rate</t>
        </is>
      </c>
    </row>
    <row r="271">
      <c r="A271" t="inlineStr">
        <is>
          <t>Split by REV_DEBT</t>
        </is>
      </c>
      <c r="B271" t="inlineStr">
        <is>
          <t>Earned before losses</t>
        </is>
      </c>
      <c r="C271" t="n">
        <v>198</v>
      </c>
      <c r="D271" t="inlineStr">
        <is>
          <t>FICO (blank)</t>
        </is>
      </c>
      <c r="E271" t="inlineStr">
        <is>
          <t>Broker</t>
        </is>
      </c>
      <c r="F271" t="inlineStr">
        <is>
          <t>low</t>
        </is>
      </c>
      <c r="G271" t="n">
        <v>1</v>
      </c>
      <c r="I271" t="inlineStr">
        <is>
          <t>Yes</t>
        </is>
      </c>
      <c r="J271" t="n">
        <v>21</v>
      </c>
      <c r="K271">
        <f>'_pockets'!$AI$198</f>
        <v/>
      </c>
      <c r="L271">
        <f>'_pockets'!$AJ$198</f>
        <v/>
      </c>
      <c r="M271">
        <f>IF(AND($A271='Pockets'!$D$18,$B271='Pockets'!$C$18,OR('Pockets'!$E$18="All",AND('Pockets'!$E$18="Worse and material",$K271="Yes",$L271="Yes"),AND('Pockets'!$E$18="Worse or not sure",OR($K271="Yes",$K271="Not sure")))),1,0)</f>
        <v/>
      </c>
      <c r="N271">
        <f>$N270+$M271</f>
        <v/>
      </c>
      <c r="O271" t="inlineStr">
        <is>
          <t>three-way</t>
        </is>
      </c>
      <c r="P271" t="inlineStr">
        <is>
          <t>contribution_rate</t>
        </is>
      </c>
    </row>
    <row r="272">
      <c r="A272" t="inlineStr">
        <is>
          <t>Split by REV_DEBT</t>
        </is>
      </c>
      <c r="B272" t="inlineStr">
        <is>
          <t>Earned before losses</t>
        </is>
      </c>
      <c r="C272" t="n">
        <v>328</v>
      </c>
      <c r="D272" t="inlineStr">
        <is>
          <t>FICO 746 - 921</t>
        </is>
      </c>
      <c r="E272" t="inlineStr">
        <is>
          <t>Branch</t>
        </is>
      </c>
      <c r="F272" t="inlineStr">
        <is>
          <t>high</t>
        </is>
      </c>
      <c r="G272" t="n">
        <v>259</v>
      </c>
      <c r="H272" t="n">
        <v>-2.363483850272235</v>
      </c>
      <c r="I272" t="inlineStr">
        <is>
          <t>Yes</t>
        </is>
      </c>
      <c r="J272" t="n">
        <v>22</v>
      </c>
      <c r="K272">
        <f>'_pockets'!$AI$328</f>
        <v/>
      </c>
      <c r="L272">
        <f>'_pockets'!$AJ$328</f>
        <v/>
      </c>
      <c r="M272">
        <f>IF(AND($A272='Pockets'!$D$18,$B272='Pockets'!$C$18,OR('Pockets'!$E$18="All",AND('Pockets'!$E$18="Worse and material",$K272="Yes",$L272="Yes"),AND('Pockets'!$E$18="Worse or not sure",OR($K272="Yes",$K272="Not sure")))),1,0)</f>
        <v/>
      </c>
      <c r="N272">
        <f>$N271+$M272</f>
        <v/>
      </c>
      <c r="O272" t="inlineStr">
        <is>
          <t>three-way</t>
        </is>
      </c>
      <c r="P272" t="inlineStr">
        <is>
          <t>contribution_rate</t>
        </is>
      </c>
    </row>
    <row r="273">
      <c r="A273" t="inlineStr">
        <is>
          <t>Split by REV_DEBT</t>
        </is>
      </c>
      <c r="B273" t="inlineStr">
        <is>
          <t>Earned before losses</t>
        </is>
      </c>
      <c r="C273" t="n">
        <v>218</v>
      </c>
      <c r="D273" t="inlineStr">
        <is>
          <t>FICO 746 - 921</t>
        </is>
      </c>
      <c r="E273" t="inlineStr">
        <is>
          <t>Branch</t>
        </is>
      </c>
      <c r="F273" t="inlineStr">
        <is>
          <t>low</t>
        </is>
      </c>
      <c r="G273" t="n">
        <v>259</v>
      </c>
      <c r="H273" t="n">
        <v>-2.363483850272235</v>
      </c>
      <c r="I273" t="inlineStr">
        <is>
          <t>Yes</t>
        </is>
      </c>
      <c r="J273" t="n">
        <v>23</v>
      </c>
      <c r="K273">
        <f>'_pockets'!$AI$218</f>
        <v/>
      </c>
      <c r="L273">
        <f>'_pockets'!$AJ$218</f>
        <v/>
      </c>
      <c r="M273">
        <f>IF(AND($A273='Pockets'!$D$18,$B273='Pockets'!$C$18,OR('Pockets'!$E$18="All",AND('Pockets'!$E$18="Worse and material",$K273="Yes",$L273="Yes"),AND('Pockets'!$E$18="Worse or not sure",OR($K273="Yes",$K273="Not sure")))),1,0)</f>
        <v/>
      </c>
      <c r="N273">
        <f>$N272+$M273</f>
        <v/>
      </c>
      <c r="O273" t="inlineStr">
        <is>
          <t>three-way</t>
        </is>
      </c>
      <c r="P273" t="inlineStr">
        <is>
          <t>contribution_rate</t>
        </is>
      </c>
    </row>
    <row r="274">
      <c r="A274" t="inlineStr">
        <is>
          <t>Split by REV_DEBT</t>
        </is>
      </c>
      <c r="B274" t="inlineStr">
        <is>
          <t>Earned before losses</t>
        </is>
      </c>
      <c r="C274" t="n">
        <v>323</v>
      </c>
      <c r="D274" t="inlineStr">
        <is>
          <t>FICO 746 - 921</t>
        </is>
      </c>
      <c r="E274" t="inlineStr">
        <is>
          <t>Broker</t>
        </is>
      </c>
      <c r="F274" t="inlineStr">
        <is>
          <t>high</t>
        </is>
      </c>
      <c r="G274" t="n">
        <v>268</v>
      </c>
      <c r="H274" t="n">
        <v>-2.324811795742961</v>
      </c>
      <c r="I274" t="inlineStr">
        <is>
          <t>Yes</t>
        </is>
      </c>
      <c r="J274" t="n">
        <v>24</v>
      </c>
      <c r="K274">
        <f>'_pockets'!$AI$323</f>
        <v/>
      </c>
      <c r="L274">
        <f>'_pockets'!$AJ$323</f>
        <v/>
      </c>
      <c r="M274">
        <f>IF(AND($A274='Pockets'!$D$18,$B274='Pockets'!$C$18,OR('Pockets'!$E$18="All",AND('Pockets'!$E$18="Worse and material",$K274="Yes",$L274="Yes"),AND('Pockets'!$E$18="Worse or not sure",OR($K274="Yes",$K274="Not sure")))),1,0)</f>
        <v/>
      </c>
      <c r="N274">
        <f>$N273+$M274</f>
        <v/>
      </c>
      <c r="O274" t="inlineStr">
        <is>
          <t>three-way</t>
        </is>
      </c>
      <c r="P274" t="inlineStr">
        <is>
          <t>contribution_rate</t>
        </is>
      </c>
    </row>
    <row r="275">
      <c r="A275" t="inlineStr">
        <is>
          <t>Split by REV_DEBT</t>
        </is>
      </c>
      <c r="B275" t="inlineStr">
        <is>
          <t>Earned before losses</t>
        </is>
      </c>
      <c r="C275" t="n">
        <v>248</v>
      </c>
      <c r="D275" t="inlineStr">
        <is>
          <t>FICO 712 - 745</t>
        </is>
      </c>
      <c r="E275" t="inlineStr">
        <is>
          <t>Online</t>
        </is>
      </c>
      <c r="F275" t="inlineStr">
        <is>
          <t>high</t>
        </is>
      </c>
      <c r="G275" t="n">
        <v>282</v>
      </c>
      <c r="H275" t="n">
        <v>-2.268424247288259</v>
      </c>
      <c r="I275" t="inlineStr">
        <is>
          <t>Yes</t>
        </is>
      </c>
      <c r="J275" t="n">
        <v>25</v>
      </c>
      <c r="K275">
        <f>'_pockets'!$AI$248</f>
        <v/>
      </c>
      <c r="L275">
        <f>'_pockets'!$AJ$248</f>
        <v/>
      </c>
      <c r="M275">
        <f>IF(AND($A275='Pockets'!$D$18,$B275='Pockets'!$C$18,OR('Pockets'!$E$18="All",AND('Pockets'!$E$18="Worse and material",$K275="Yes",$L275="Yes"),AND('Pockets'!$E$18="Worse or not sure",OR($K275="Yes",$K275="Not sure")))),1,0)</f>
        <v/>
      </c>
      <c r="N275">
        <f>$N274+$M275</f>
        <v/>
      </c>
      <c r="O275" t="inlineStr">
        <is>
          <t>three-way</t>
        </is>
      </c>
      <c r="P275" t="inlineStr">
        <is>
          <t>contribution_rate</t>
        </is>
      </c>
    </row>
    <row r="276">
      <c r="A276" t="inlineStr">
        <is>
          <t>Split by REV_DEBT</t>
        </is>
      </c>
      <c r="B276" t="inlineStr">
        <is>
          <t>Earned before losses</t>
        </is>
      </c>
      <c r="C276" t="n">
        <v>233</v>
      </c>
      <c r="D276" t="inlineStr">
        <is>
          <t>FICO 712 - 745</t>
        </is>
      </c>
      <c r="E276" t="inlineStr">
        <is>
          <t>Online</t>
        </is>
      </c>
      <c r="F276" t="inlineStr">
        <is>
          <t>low</t>
        </is>
      </c>
      <c r="G276" t="n">
        <v>282</v>
      </c>
      <c r="H276" t="n">
        <v>-2.268424247288259</v>
      </c>
      <c r="I276" t="inlineStr">
        <is>
          <t>Yes</t>
        </is>
      </c>
      <c r="J276" t="n">
        <v>26</v>
      </c>
      <c r="K276">
        <f>'_pockets'!$AI$233</f>
        <v/>
      </c>
      <c r="L276">
        <f>'_pockets'!$AJ$233</f>
        <v/>
      </c>
      <c r="M276">
        <f>IF(AND($A276='Pockets'!$D$18,$B276='Pockets'!$C$18,OR('Pockets'!$E$18="All",AND('Pockets'!$E$18="Worse and material",$K276="Yes",$L276="Yes"),AND('Pockets'!$E$18="Worse or not sure",OR($K276="Yes",$K276="Not sure")))),1,0)</f>
        <v/>
      </c>
      <c r="N276">
        <f>$N275+$M276</f>
        <v/>
      </c>
      <c r="O276" t="inlineStr">
        <is>
          <t>three-way</t>
        </is>
      </c>
      <c r="P276" t="inlineStr">
        <is>
          <t>contribution_rate</t>
        </is>
      </c>
    </row>
    <row r="277">
      <c r="A277" t="inlineStr">
        <is>
          <t>Split by REV_DEBT</t>
        </is>
      </c>
      <c r="B277" t="inlineStr">
        <is>
          <t>Earned before losses</t>
        </is>
      </c>
      <c r="C277" t="n">
        <v>458</v>
      </c>
      <c r="D277" t="inlineStr">
        <is>
          <t>SHORT_HIST 172.0 - 256.3</t>
        </is>
      </c>
      <c r="E277" t="inlineStr">
        <is>
          <t>Branch</t>
        </is>
      </c>
      <c r="F277" t="inlineStr">
        <is>
          <t>low</t>
        </is>
      </c>
      <c r="G277" t="n">
        <v>260</v>
      </c>
      <c r="H277" t="n">
        <v>-2.359086730649074</v>
      </c>
      <c r="I277" t="inlineStr">
        <is>
          <t>No: may be mostly FICO</t>
        </is>
      </c>
      <c r="J277" t="n">
        <v>27</v>
      </c>
      <c r="K277">
        <f>'_pockets'!$AI$458</f>
        <v/>
      </c>
      <c r="L277">
        <f>'_pockets'!$AJ$458</f>
        <v/>
      </c>
      <c r="M277">
        <f>IF(AND($A277='Pockets'!$D$18,$B277='Pockets'!$C$18,OR('Pockets'!$E$18="All",AND('Pockets'!$E$18="Worse and material",$K277="Yes",$L277="Yes"),AND('Pockets'!$E$18="Worse or not sure",OR($K277="Yes",$K277="Not sure")))),1,0)</f>
        <v/>
      </c>
      <c r="N277">
        <f>$N276+$M277</f>
        <v/>
      </c>
      <c r="O277" t="inlineStr">
        <is>
          <t>three-way</t>
        </is>
      </c>
      <c r="P277" t="inlineStr">
        <is>
          <t>contribution_rate</t>
        </is>
      </c>
    </row>
    <row r="278">
      <c r="A278" t="inlineStr">
        <is>
          <t>Split by REV_DEBT</t>
        </is>
      </c>
      <c r="B278" t="inlineStr">
        <is>
          <t>Earned before losses</t>
        </is>
      </c>
      <c r="C278" t="n">
        <v>408</v>
      </c>
      <c r="D278" t="inlineStr">
        <is>
          <t>SHORT_HIST 256.4 - 345.9</t>
        </is>
      </c>
      <c r="E278" t="inlineStr">
        <is>
          <t>Broker</t>
        </is>
      </c>
      <c r="F278" t="inlineStr">
        <is>
          <t>low</t>
        </is>
      </c>
      <c r="G278" t="n">
        <v>257</v>
      </c>
      <c r="H278" t="n">
        <v>-2.372355937133785</v>
      </c>
      <c r="I278" t="inlineStr">
        <is>
          <t>No: may be mostly FICO</t>
        </is>
      </c>
      <c r="J278" t="n">
        <v>28</v>
      </c>
      <c r="K278">
        <f>'_pockets'!$AI$408</f>
        <v/>
      </c>
      <c r="L278">
        <f>'_pockets'!$AJ$408</f>
        <v/>
      </c>
      <c r="M278">
        <f>IF(AND($A278='Pockets'!$D$18,$B278='Pockets'!$C$18,OR('Pockets'!$E$18="All",AND('Pockets'!$E$18="Worse and material",$K278="Yes",$L278="Yes"),AND('Pockets'!$E$18="Worse or not sure",OR($K278="Yes",$K278="Not sure")))),1,0)</f>
        <v/>
      </c>
      <c r="N278">
        <f>$N277+$M278</f>
        <v/>
      </c>
      <c r="O278" t="inlineStr">
        <is>
          <t>three-way</t>
        </is>
      </c>
      <c r="P278" t="inlineStr">
        <is>
          <t>contribution_rate</t>
        </is>
      </c>
    </row>
    <row r="279">
      <c r="A279" t="inlineStr">
        <is>
          <t>Split by REV_DEBT</t>
        </is>
      </c>
      <c r="B279" t="inlineStr">
        <is>
          <t>Earned before losses</t>
        </is>
      </c>
      <c r="C279" t="n">
        <v>513</v>
      </c>
      <c r="D279" t="inlineStr">
        <is>
          <t>SHORT_HIST 89.0 - 171.9</t>
        </is>
      </c>
      <c r="E279" t="inlineStr">
        <is>
          <t>Branch</t>
        </is>
      </c>
      <c r="F279" t="inlineStr">
        <is>
          <t>low</t>
        </is>
      </c>
      <c r="G279" t="n">
        <v>245</v>
      </c>
      <c r="H279" t="n">
        <v>-2.427878841361284</v>
      </c>
      <c r="I279" t="inlineStr">
        <is>
          <t>No: may be mostly FICO</t>
        </is>
      </c>
      <c r="J279" t="n">
        <v>29</v>
      </c>
      <c r="K279">
        <f>'_pockets'!$AI$513</f>
        <v/>
      </c>
      <c r="L279">
        <f>'_pockets'!$AJ$513</f>
        <v/>
      </c>
      <c r="M279">
        <f>IF(AND($A279='Pockets'!$D$18,$B279='Pockets'!$C$18,OR('Pockets'!$E$18="All",AND('Pockets'!$E$18="Worse and material",$K279="Yes",$L279="Yes"),AND('Pockets'!$E$18="Worse or not sure",OR($K279="Yes",$K279="Not sure")))),1,0)</f>
        <v/>
      </c>
      <c r="N279">
        <f>$N278+$M279</f>
        <v/>
      </c>
      <c r="O279" t="inlineStr">
        <is>
          <t>three-way</t>
        </is>
      </c>
      <c r="P279" t="inlineStr">
        <is>
          <t>contribution_rate</t>
        </is>
      </c>
    </row>
    <row r="280">
      <c r="A280" t="inlineStr">
        <is>
          <t>Split by REV_DEBT</t>
        </is>
      </c>
      <c r="B280" t="inlineStr">
        <is>
          <t>Earned before losses</t>
        </is>
      </c>
      <c r="C280" t="n">
        <v>388</v>
      </c>
      <c r="D280" t="inlineStr">
        <is>
          <t>SHORT_HIST 256.4 - 345.9</t>
        </is>
      </c>
      <c r="E280" t="inlineStr">
        <is>
          <t>Branch</t>
        </is>
      </c>
      <c r="F280" t="inlineStr">
        <is>
          <t>low</t>
        </is>
      </c>
      <c r="G280" t="n">
        <v>250</v>
      </c>
      <c r="H280" t="n">
        <v>-2.404252820034104</v>
      </c>
      <c r="I280" t="inlineStr">
        <is>
          <t>No: may be mostly FICO</t>
        </is>
      </c>
      <c r="J280" t="n">
        <v>30</v>
      </c>
      <c r="K280">
        <f>'_pockets'!$AI$388</f>
        <v/>
      </c>
      <c r="L280">
        <f>'_pockets'!$AJ$388</f>
        <v/>
      </c>
      <c r="M280">
        <f>IF(AND($A280='Pockets'!$D$18,$B280='Pockets'!$C$18,OR('Pockets'!$E$18="All",AND('Pockets'!$E$18="Worse and material",$K280="Yes",$L280="Yes"),AND('Pockets'!$E$18="Worse or not sure",OR($K280="Yes",$K280="Not sure")))),1,0)</f>
        <v/>
      </c>
      <c r="N280">
        <f>$N279+$M280</f>
        <v/>
      </c>
      <c r="O280" t="inlineStr">
        <is>
          <t>three-way</t>
        </is>
      </c>
      <c r="P280" t="inlineStr">
        <is>
          <t>contribution_rate</t>
        </is>
      </c>
    </row>
    <row r="281">
      <c r="A281" t="inlineStr">
        <is>
          <t>Split by REV_DEBT</t>
        </is>
      </c>
      <c r="B281" t="inlineStr">
        <is>
          <t>Earned before losses</t>
        </is>
      </c>
      <c r="C281" t="n">
        <v>418</v>
      </c>
      <c r="D281" t="inlineStr">
        <is>
          <t>SHORT_HIST 0.0 - 88.9</t>
        </is>
      </c>
      <c r="E281" t="inlineStr">
        <is>
          <t>Broker</t>
        </is>
      </c>
      <c r="F281" t="inlineStr">
        <is>
          <t>low</t>
        </is>
      </c>
      <c r="G281" t="n">
        <v>254</v>
      </c>
      <c r="H281" t="n">
        <v>-2.385862515669908</v>
      </c>
      <c r="I281" t="inlineStr">
        <is>
          <t>No: may be mostly FICO</t>
        </is>
      </c>
      <c r="J281" t="n">
        <v>31</v>
      </c>
      <c r="K281">
        <f>'_pockets'!$AI$418</f>
        <v/>
      </c>
      <c r="L281">
        <f>'_pockets'!$AJ$418</f>
        <v/>
      </c>
      <c r="M281">
        <f>IF(AND($A281='Pockets'!$D$18,$B281='Pockets'!$C$18,OR('Pockets'!$E$18="All",AND('Pockets'!$E$18="Worse and material",$K281="Yes",$L281="Yes"),AND('Pockets'!$E$18="Worse or not sure",OR($K281="Yes",$K281="Not sure")))),1,0)</f>
        <v/>
      </c>
      <c r="N281">
        <f>$N280+$M281</f>
        <v/>
      </c>
      <c r="O281" t="inlineStr">
        <is>
          <t>three-way</t>
        </is>
      </c>
      <c r="P281" t="inlineStr">
        <is>
          <t>contribution_rate</t>
        </is>
      </c>
    </row>
    <row r="282">
      <c r="A282" t="inlineStr">
        <is>
          <t>Split by REV_DEBT</t>
        </is>
      </c>
      <c r="B282" t="inlineStr">
        <is>
          <t>Earned before losses</t>
        </is>
      </c>
      <c r="C282" t="n">
        <v>523</v>
      </c>
      <c r="D282" t="inlineStr">
        <is>
          <t>SHORT_HIST 0.0 - 88.9</t>
        </is>
      </c>
      <c r="E282" t="inlineStr">
        <is>
          <t>Branch</t>
        </is>
      </c>
      <c r="F282" t="inlineStr">
        <is>
          <t>low</t>
        </is>
      </c>
      <c r="G282" t="n">
        <v>255</v>
      </c>
      <c r="H282" t="n">
        <v>-2.381333516845563</v>
      </c>
      <c r="I282" t="inlineStr">
        <is>
          <t>No: may be mostly FICO</t>
        </is>
      </c>
      <c r="J282" t="n">
        <v>32</v>
      </c>
      <c r="K282">
        <f>'_pockets'!$AI$523</f>
        <v/>
      </c>
      <c r="L282">
        <f>'_pockets'!$AJ$523</f>
        <v/>
      </c>
      <c r="M282">
        <f>IF(AND($A282='Pockets'!$D$18,$B282='Pockets'!$C$18,OR('Pockets'!$E$18="All",AND('Pockets'!$E$18="Worse and material",$K282="Yes",$L282="Yes"),AND('Pockets'!$E$18="Worse or not sure",OR($K282="Yes",$K282="Not sure")))),1,0)</f>
        <v/>
      </c>
      <c r="N282">
        <f>$N281+$M282</f>
        <v/>
      </c>
      <c r="O282" t="inlineStr">
        <is>
          <t>three-way</t>
        </is>
      </c>
      <c r="P282" t="inlineStr">
        <is>
          <t>contribution_rate</t>
        </is>
      </c>
    </row>
    <row r="283">
      <c r="A283" t="inlineStr">
        <is>
          <t>Split by REV_DEBT</t>
        </is>
      </c>
      <c r="B283" t="inlineStr">
        <is>
          <t>Earned before losses</t>
        </is>
      </c>
      <c r="C283" t="n">
        <v>503</v>
      </c>
      <c r="D283" t="inlineStr">
        <is>
          <t>SHORT_HIST 172.0 - 256.3</t>
        </is>
      </c>
      <c r="E283" t="inlineStr">
        <is>
          <t>Broker</t>
        </is>
      </c>
      <c r="F283" t="inlineStr">
        <is>
          <t>low</t>
        </is>
      </c>
      <c r="G283" t="n">
        <v>271</v>
      </c>
      <c r="H283" t="n">
        <v>-2.312356777274378</v>
      </c>
      <c r="I283" t="inlineStr">
        <is>
          <t>No: may be mostly FICO</t>
        </is>
      </c>
      <c r="J283" t="n">
        <v>33</v>
      </c>
      <c r="K283">
        <f>'_pockets'!$AI$503</f>
        <v/>
      </c>
      <c r="L283">
        <f>'_pockets'!$AJ$503</f>
        <v/>
      </c>
      <c r="M283">
        <f>IF(AND($A283='Pockets'!$D$18,$B283='Pockets'!$C$18,OR('Pockets'!$E$18="All",AND('Pockets'!$E$18="Worse and material",$K283="Yes",$L283="Yes"),AND('Pockets'!$E$18="Worse or not sure",OR($K283="Yes",$K283="Not sure")))),1,0)</f>
        <v/>
      </c>
      <c r="N283">
        <f>$N282+$M283</f>
        <v/>
      </c>
      <c r="O283" t="inlineStr">
        <is>
          <t>three-way</t>
        </is>
      </c>
      <c r="P283" t="inlineStr">
        <is>
          <t>contribution_rate</t>
        </is>
      </c>
    </row>
    <row r="284">
      <c r="A284" t="inlineStr">
        <is>
          <t>Split by REV_DEBT</t>
        </is>
      </c>
      <c r="B284" t="inlineStr">
        <is>
          <t>Earned before losses</t>
        </is>
      </c>
      <c r="C284" t="n">
        <v>498</v>
      </c>
      <c r="D284" t="inlineStr">
        <is>
          <t>SHORT_HIST 346.0 - 435.0</t>
        </is>
      </c>
      <c r="E284" t="inlineStr">
        <is>
          <t>Branch</t>
        </is>
      </c>
      <c r="F284" t="inlineStr">
        <is>
          <t>low</t>
        </is>
      </c>
      <c r="G284" t="n">
        <v>267</v>
      </c>
      <c r="H284" t="n">
        <v>-2.329010664466276</v>
      </c>
      <c r="I284" t="inlineStr">
        <is>
          <t>No: may be mostly FICO</t>
        </is>
      </c>
      <c r="J284" t="n">
        <v>34</v>
      </c>
      <c r="K284">
        <f>'_pockets'!$AI$498</f>
        <v/>
      </c>
      <c r="L284">
        <f>'_pockets'!$AJ$498</f>
        <v/>
      </c>
      <c r="M284">
        <f>IF(AND($A284='Pockets'!$D$18,$B284='Pockets'!$C$18,OR('Pockets'!$E$18="All",AND('Pockets'!$E$18="Worse and material",$K284="Yes",$L284="Yes"),AND('Pockets'!$E$18="Worse or not sure",OR($K284="Yes",$K284="Not sure")))),1,0)</f>
        <v/>
      </c>
      <c r="N284">
        <f>$N283+$M284</f>
        <v/>
      </c>
      <c r="O284" t="inlineStr">
        <is>
          <t>three-way</t>
        </is>
      </c>
      <c r="P284" t="inlineStr">
        <is>
          <t>contribution_rate</t>
        </is>
      </c>
    </row>
    <row r="285">
      <c r="A285" t="inlineStr">
        <is>
          <t>Split by REV_DEBT</t>
        </is>
      </c>
      <c r="B285" t="inlineStr">
        <is>
          <t>Earned before losses</t>
        </is>
      </c>
      <c r="C285" t="n">
        <v>508</v>
      </c>
      <c r="D285" t="inlineStr">
        <is>
          <t>SHORT_HIST 89.0 - 171.9</t>
        </is>
      </c>
      <c r="E285" t="inlineStr">
        <is>
          <t>Broker</t>
        </is>
      </c>
      <c r="F285" t="inlineStr">
        <is>
          <t>low</t>
        </is>
      </c>
      <c r="G285" t="n">
        <v>261</v>
      </c>
      <c r="H285" t="n">
        <v>-2.354715227862709</v>
      </c>
      <c r="I285" t="inlineStr">
        <is>
          <t>No: may be mostly FICO</t>
        </is>
      </c>
      <c r="J285" t="n">
        <v>35</v>
      </c>
      <c r="K285">
        <f>'_pockets'!$AI$508</f>
        <v/>
      </c>
      <c r="L285">
        <f>'_pockets'!$AJ$508</f>
        <v/>
      </c>
      <c r="M285">
        <f>IF(AND($A285='Pockets'!$D$18,$B285='Pockets'!$C$18,OR('Pockets'!$E$18="All",AND('Pockets'!$E$18="Worse and material",$K285="Yes",$L285="Yes"),AND('Pockets'!$E$18="Worse or not sure",OR($K285="Yes",$K285="Not sure")))),1,0)</f>
        <v/>
      </c>
      <c r="N285">
        <f>$N284+$M285</f>
        <v/>
      </c>
      <c r="O285" t="inlineStr">
        <is>
          <t>three-way</t>
        </is>
      </c>
      <c r="P285" t="inlineStr">
        <is>
          <t>contribution_rate</t>
        </is>
      </c>
    </row>
    <row r="286">
      <c r="A286" t="inlineStr">
        <is>
          <t>Split by REV_DEBT</t>
        </is>
      </c>
      <c r="B286" t="inlineStr">
        <is>
          <t>Earned before losses</t>
        </is>
      </c>
      <c r="C286" t="n">
        <v>478</v>
      </c>
      <c r="D286" t="inlineStr">
        <is>
          <t>SHORT_HIST 346.0 - 435.0</t>
        </is>
      </c>
      <c r="E286" t="inlineStr">
        <is>
          <t>Online</t>
        </is>
      </c>
      <c r="F286" t="inlineStr">
        <is>
          <t>low</t>
        </is>
      </c>
      <c r="G286" t="n">
        <v>266</v>
      </c>
      <c r="H286" t="n">
        <v>-2.333233501000778</v>
      </c>
      <c r="I286" t="inlineStr">
        <is>
          <t>No: may be mostly FICO</t>
        </is>
      </c>
      <c r="J286" t="n">
        <v>36</v>
      </c>
      <c r="K286">
        <f>'_pockets'!$AI$478</f>
        <v/>
      </c>
      <c r="L286">
        <f>'_pockets'!$AJ$478</f>
        <v/>
      </c>
      <c r="M286">
        <f>IF(AND($A286='Pockets'!$D$18,$B286='Pockets'!$C$18,OR('Pockets'!$E$18="All",AND('Pockets'!$E$18="Worse and material",$K286="Yes",$L286="Yes"),AND('Pockets'!$E$18="Worse or not sure",OR($K286="Yes",$K286="Not sure")))),1,0)</f>
        <v/>
      </c>
      <c r="N286">
        <f>$N285+$M286</f>
        <v/>
      </c>
      <c r="O286" t="inlineStr">
        <is>
          <t>three-way</t>
        </is>
      </c>
      <c r="P286" t="inlineStr">
        <is>
          <t>contribution_rate</t>
        </is>
      </c>
    </row>
    <row r="287">
      <c r="A287" t="inlineStr">
        <is>
          <t>Split by REV_DEBT</t>
        </is>
      </c>
      <c r="B287" t="inlineStr">
        <is>
          <t>Earned before losses</t>
        </is>
      </c>
      <c r="C287" t="n">
        <v>428</v>
      </c>
      <c r="D287" t="inlineStr">
        <is>
          <t>SHORT_HIST 346.0 - 435.0</t>
        </is>
      </c>
      <c r="E287" t="inlineStr">
        <is>
          <t>Broker</t>
        </is>
      </c>
      <c r="F287" t="inlineStr">
        <is>
          <t>low</t>
        </is>
      </c>
      <c r="G287" t="n">
        <v>252</v>
      </c>
      <c r="H287" t="n">
        <v>-2.395002261085906</v>
      </c>
      <c r="I287" t="inlineStr">
        <is>
          <t>No: may be mostly FICO</t>
        </is>
      </c>
      <c r="J287" t="n">
        <v>37</v>
      </c>
      <c r="K287">
        <f>'_pockets'!$AI$428</f>
        <v/>
      </c>
      <c r="L287">
        <f>'_pockets'!$AJ$428</f>
        <v/>
      </c>
      <c r="M287">
        <f>IF(AND($A287='Pockets'!$D$18,$B287='Pockets'!$C$18,OR('Pockets'!$E$18="All",AND('Pockets'!$E$18="Worse and material",$K287="Yes",$L287="Yes"),AND('Pockets'!$E$18="Worse or not sure",OR($K287="Yes",$K287="Not sure")))),1,0)</f>
        <v/>
      </c>
      <c r="N287">
        <f>$N286+$M287</f>
        <v/>
      </c>
      <c r="O287" t="inlineStr">
        <is>
          <t>three-way</t>
        </is>
      </c>
      <c r="P287" t="inlineStr">
        <is>
          <t>contribution_rate</t>
        </is>
      </c>
    </row>
    <row r="288">
      <c r="A288" t="inlineStr">
        <is>
          <t>Split by REV_DEBT</t>
        </is>
      </c>
      <c r="B288" t="inlineStr">
        <is>
          <t>Earned before losses</t>
        </is>
      </c>
      <c r="C288" t="n">
        <v>423</v>
      </c>
      <c r="D288" t="inlineStr">
        <is>
          <t>SHORT_HIST 0.0 - 88.9</t>
        </is>
      </c>
      <c r="E288" t="inlineStr">
        <is>
          <t>Online</t>
        </is>
      </c>
      <c r="F288" t="inlineStr">
        <is>
          <t>low</t>
        </is>
      </c>
      <c r="G288" t="n">
        <v>264</v>
      </c>
      <c r="H288" t="n">
        <v>-2.34175198575235</v>
      </c>
      <c r="I288" t="inlineStr">
        <is>
          <t>No: may be mostly FICO</t>
        </is>
      </c>
      <c r="J288" t="n">
        <v>38</v>
      </c>
      <c r="K288">
        <f>'_pockets'!$AI$423</f>
        <v/>
      </c>
      <c r="L288">
        <f>'_pockets'!$AJ$423</f>
        <v/>
      </c>
      <c r="M288">
        <f>IF(AND($A288='Pockets'!$D$18,$B288='Pockets'!$C$18,OR('Pockets'!$E$18="All",AND('Pockets'!$E$18="Worse and material",$K288="Yes",$L288="Yes"),AND('Pockets'!$E$18="Worse or not sure",OR($K288="Yes",$K288="Not sure")))),1,0)</f>
        <v/>
      </c>
      <c r="N288">
        <f>$N287+$M288</f>
        <v/>
      </c>
      <c r="O288" t="inlineStr">
        <is>
          <t>three-way</t>
        </is>
      </c>
      <c r="P288" t="inlineStr">
        <is>
          <t>contribution_rate</t>
        </is>
      </c>
    </row>
    <row r="289">
      <c r="A289" t="inlineStr">
        <is>
          <t>Split by REV_DEBT</t>
        </is>
      </c>
      <c r="B289" t="inlineStr">
        <is>
          <t>Earned before losses</t>
        </is>
      </c>
      <c r="C289" t="n">
        <v>553</v>
      </c>
      <c r="D289" t="inlineStr">
        <is>
          <t>SHORT_HIST (marked missing)</t>
        </is>
      </c>
      <c r="E289" t="inlineStr">
        <is>
          <t>Broker</t>
        </is>
      </c>
      <c r="F289" t="inlineStr">
        <is>
          <t>low</t>
        </is>
      </c>
      <c r="G289" t="n">
        <v>34</v>
      </c>
      <c r="H289" t="n">
        <v>-6.430427709479883</v>
      </c>
      <c r="I289" t="inlineStr">
        <is>
          <t>No: may be mostly FICO</t>
        </is>
      </c>
      <c r="J289" t="n">
        <v>39</v>
      </c>
      <c r="K289">
        <f>'_pockets'!$AI$553</f>
        <v/>
      </c>
      <c r="L289">
        <f>'_pockets'!$AJ$553</f>
        <v/>
      </c>
      <c r="M289">
        <f>IF(AND($A289='Pockets'!$D$18,$B289='Pockets'!$C$18,OR('Pockets'!$E$18="All",AND('Pockets'!$E$18="Worse and material",$K289="Yes",$L289="Yes"),AND('Pockets'!$E$18="Worse or not sure",OR($K289="Yes",$K289="Not sure")))),1,0)</f>
        <v/>
      </c>
      <c r="N289">
        <f>$N288+$M289</f>
        <v/>
      </c>
      <c r="O289" t="inlineStr">
        <is>
          <t>three-way</t>
        </is>
      </c>
      <c r="P289" t="inlineStr">
        <is>
          <t>contribution_rate</t>
        </is>
      </c>
    </row>
    <row r="290">
      <c r="A290" t="inlineStr">
        <is>
          <t>Split by REV_DEBT</t>
        </is>
      </c>
      <c r="B290" t="inlineStr">
        <is>
          <t>Earned before losses</t>
        </is>
      </c>
      <c r="C290" t="n">
        <v>413</v>
      </c>
      <c r="D290" t="inlineStr">
        <is>
          <t>SHORT_HIST 256.4 - 345.9</t>
        </is>
      </c>
      <c r="E290" t="inlineStr">
        <is>
          <t>Online</t>
        </is>
      </c>
      <c r="F290" t="inlineStr">
        <is>
          <t>low</t>
        </is>
      </c>
      <c r="G290" t="n">
        <v>268</v>
      </c>
      <c r="H290" t="n">
        <v>-2.324811795742961</v>
      </c>
      <c r="I290" t="inlineStr">
        <is>
          <t>No: may be mostly FICO</t>
        </is>
      </c>
      <c r="J290" t="n">
        <v>40</v>
      </c>
      <c r="K290">
        <f>'_pockets'!$AI$413</f>
        <v/>
      </c>
      <c r="L290">
        <f>'_pockets'!$AJ$413</f>
        <v/>
      </c>
      <c r="M290">
        <f>IF(AND($A290='Pockets'!$D$18,$B290='Pockets'!$C$18,OR('Pockets'!$E$18="All",AND('Pockets'!$E$18="Worse and material",$K290="Yes",$L290="Yes"),AND('Pockets'!$E$18="Worse or not sure",OR($K290="Yes",$K290="Not sure")))),1,0)</f>
        <v/>
      </c>
      <c r="N290">
        <f>$N289+$M290</f>
        <v/>
      </c>
      <c r="O290" t="inlineStr">
        <is>
          <t>three-way</t>
        </is>
      </c>
      <c r="P290" t="inlineStr">
        <is>
          <t>contribution_rate</t>
        </is>
      </c>
    </row>
    <row r="291">
      <c r="A291" t="inlineStr">
        <is>
          <t>Split by REV_DEBT</t>
        </is>
      </c>
      <c r="B291" t="inlineStr">
        <is>
          <t>Earned before losses</t>
        </is>
      </c>
      <c r="C291" t="n">
        <v>448</v>
      </c>
      <c r="D291" t="inlineStr">
        <is>
          <t>SHORT_HIST 89.0 - 171.9</t>
        </is>
      </c>
      <c r="E291" t="inlineStr">
        <is>
          <t>Online</t>
        </is>
      </c>
      <c r="F291" t="inlineStr">
        <is>
          <t>low</t>
        </is>
      </c>
      <c r="G291" t="n">
        <v>273</v>
      </c>
      <c r="H291" t="n">
        <v>-2.304169252140515</v>
      </c>
      <c r="I291" t="inlineStr">
        <is>
          <t>No: may be mostly FICO</t>
        </is>
      </c>
      <c r="J291" t="n">
        <v>41</v>
      </c>
      <c r="K291">
        <f>'_pockets'!$AI$448</f>
        <v/>
      </c>
      <c r="L291">
        <f>'_pockets'!$AJ$448</f>
        <v/>
      </c>
      <c r="M291">
        <f>IF(AND($A291='Pockets'!$D$18,$B291='Pockets'!$C$18,OR('Pockets'!$E$18="All",AND('Pockets'!$E$18="Worse and material",$K291="Yes",$L291="Yes"),AND('Pockets'!$E$18="Worse or not sure",OR($K291="Yes",$K291="Not sure")))),1,0)</f>
        <v/>
      </c>
      <c r="N291">
        <f>$N290+$M291</f>
        <v/>
      </c>
      <c r="O291" t="inlineStr">
        <is>
          <t>three-way</t>
        </is>
      </c>
      <c r="P291" t="inlineStr">
        <is>
          <t>contribution_rate</t>
        </is>
      </c>
    </row>
    <row r="292">
      <c r="A292" t="inlineStr">
        <is>
          <t>Split by REV_DEBT</t>
        </is>
      </c>
      <c r="B292" t="inlineStr">
        <is>
          <t>Earned before losses</t>
        </is>
      </c>
      <c r="C292" t="n">
        <v>548</v>
      </c>
      <c r="D292" t="inlineStr">
        <is>
          <t>SHORT_HIST (marked missing)</t>
        </is>
      </c>
      <c r="E292" t="inlineStr">
        <is>
          <t>Branch</t>
        </is>
      </c>
      <c r="F292" t="inlineStr">
        <is>
          <t>low</t>
        </is>
      </c>
      <c r="G292" t="n">
        <v>36</v>
      </c>
      <c r="H292" t="n">
        <v>-6.250037275017217</v>
      </c>
      <c r="I292" t="inlineStr">
        <is>
          <t>No: may be mostly FICO</t>
        </is>
      </c>
      <c r="J292" t="n">
        <v>42</v>
      </c>
      <c r="K292">
        <f>'_pockets'!$AI$548</f>
        <v/>
      </c>
      <c r="L292">
        <f>'_pockets'!$AJ$548</f>
        <v/>
      </c>
      <c r="M292">
        <f>IF(AND($A292='Pockets'!$D$18,$B292='Pockets'!$C$18,OR('Pockets'!$E$18="All",AND('Pockets'!$E$18="Worse and material",$K292="Yes",$L292="Yes"),AND('Pockets'!$E$18="Worse or not sure",OR($K292="Yes",$K292="Not sure")))),1,0)</f>
        <v/>
      </c>
      <c r="N292">
        <f>$N291+$M292</f>
        <v/>
      </c>
      <c r="O292" t="inlineStr">
        <is>
          <t>three-way</t>
        </is>
      </c>
      <c r="P292" t="inlineStr">
        <is>
          <t>contribution_rate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29"/>
  <sheetViews>
    <sheetView tabSelected="0" workbookViewId="0">
      <selection activeCell="A1" sqref="A1"/>
    </sheetView>
  </sheetViews>
  <sheetFormatPr baseColWidth="8" defaultRowHeight="15"/>
  <sheetData>
    <row r="1">
      <c r="A1">
        <f>IF(OR('Paid, cost, kept'!$AO$20&lt;&gt;0,'Paid, cost, kept'!$G$20="",'Paid, cost, kept'!$I$20=""),NA(),'Paid, cost, kept'!$G$20)</f>
        <v/>
      </c>
      <c r="B1">
        <f>IF(ISNA(A1),NA(),'Paid, cost, kept'!$I$20)</f>
        <v/>
      </c>
      <c r="C1">
        <f>IF('Paid, cost, kept'!$AV$20="","",'Paid, cost, kept'!$B$20&amp;" / "&amp;'Paid, cost, kept'!$C$20)</f>
        <v/>
      </c>
      <c r="D1">
        <f>IF('Paid, cost, kept'!$AV$20="",NA(),'Paid, cost, kept'!$G$20)</f>
        <v/>
      </c>
      <c r="E1">
        <f>IF('Paid, cost, kept'!$AV$20="",NA(),'Paid, cost, kept'!$I$20)</f>
        <v/>
      </c>
      <c r="F1">
        <f>IF(AND(NOT(ISNA(A1)),'Paid, cost, kept'!$AV$20="Net drain"),A1,NA())</f>
        <v/>
      </c>
      <c r="G1">
        <f>IF(ISNA(F1),NA(),B1)</f>
        <v/>
      </c>
      <c r="H1">
        <f>IF(AND(NOT(ISNA(A1)),OR('Paid, cost, kept'!$AV$20="Priced for it",'Paid, cost, kept'!$AV$20="Strong")),A1,NA())</f>
        <v/>
      </c>
      <c r="I1">
        <f>IF(ISNA(H1),NA(),B1)</f>
        <v/>
      </c>
      <c r="J1">
        <f>IF(C1="","",1)</f>
        <v/>
      </c>
    </row>
    <row r="2">
      <c r="A2">
        <f>IF(OR('Paid, cost, kept'!$AO$21&lt;&gt;0,'Paid, cost, kept'!$G$21="",'Paid, cost, kept'!$I$21=""),NA(),'Paid, cost, kept'!$G$21)</f>
        <v/>
      </c>
      <c r="B2">
        <f>IF(ISNA(A2),NA(),'Paid, cost, kept'!$I$21)</f>
        <v/>
      </c>
      <c r="C2">
        <f>IF('Paid, cost, kept'!$AV$21="","",'Paid, cost, kept'!$B$21&amp;" / "&amp;'Paid, cost, kept'!$C$21)</f>
        <v/>
      </c>
      <c r="D2">
        <f>IF('Paid, cost, kept'!$AV$21="",NA(),'Paid, cost, kept'!$G$21)</f>
        <v/>
      </c>
      <c r="E2">
        <f>IF('Paid, cost, kept'!$AV$21="",NA(),'Paid, cost, kept'!$I$21)</f>
        <v/>
      </c>
      <c r="F2">
        <f>IF(AND(NOT(ISNA(A2)),'Paid, cost, kept'!$AV$21="Net drain"),A2,NA())</f>
        <v/>
      </c>
      <c r="G2">
        <f>IF(ISNA(F2),NA(),B2)</f>
        <v/>
      </c>
      <c r="H2">
        <f>IF(AND(NOT(ISNA(A2)),OR('Paid, cost, kept'!$AV$21="Priced for it",'Paid, cost, kept'!$AV$21="Strong")),A2,NA())</f>
        <v/>
      </c>
      <c r="I2">
        <f>IF(ISNA(H2),NA(),B2)</f>
        <v/>
      </c>
      <c r="J2">
        <f>IF(C2="","",2)</f>
        <v/>
      </c>
    </row>
    <row r="3">
      <c r="A3">
        <f>IF(OR('Paid, cost, kept'!$AO$22&lt;&gt;0,'Paid, cost, kept'!$G$22="",'Paid, cost, kept'!$I$22=""),NA(),'Paid, cost, kept'!$G$22)</f>
        <v/>
      </c>
      <c r="B3">
        <f>IF(ISNA(A3),NA(),'Paid, cost, kept'!$I$22)</f>
        <v/>
      </c>
      <c r="C3">
        <f>IF('Paid, cost, kept'!$AV$22="","",'Paid, cost, kept'!$B$22&amp;" / "&amp;'Paid, cost, kept'!$C$22)</f>
        <v/>
      </c>
      <c r="D3">
        <f>IF('Paid, cost, kept'!$AV$22="",NA(),'Paid, cost, kept'!$G$22)</f>
        <v/>
      </c>
      <c r="E3">
        <f>IF('Paid, cost, kept'!$AV$22="",NA(),'Paid, cost, kept'!$I$22)</f>
        <v/>
      </c>
      <c r="F3">
        <f>IF(AND(NOT(ISNA(A3)),'Paid, cost, kept'!$AV$22="Net drain"),A3,NA())</f>
        <v/>
      </c>
      <c r="G3">
        <f>IF(ISNA(F3),NA(),B3)</f>
        <v/>
      </c>
      <c r="H3">
        <f>IF(AND(NOT(ISNA(A3)),OR('Paid, cost, kept'!$AV$22="Priced for it",'Paid, cost, kept'!$AV$22="Strong")),A3,NA())</f>
        <v/>
      </c>
      <c r="I3">
        <f>IF(ISNA(H3),NA(),B3)</f>
        <v/>
      </c>
      <c r="J3">
        <f>IF(C3="","",3)</f>
        <v/>
      </c>
    </row>
    <row r="4">
      <c r="A4">
        <f>IF(OR('Paid, cost, kept'!$AO$23&lt;&gt;0,'Paid, cost, kept'!$G$23="",'Paid, cost, kept'!$I$23=""),NA(),'Paid, cost, kept'!$G$23)</f>
        <v/>
      </c>
      <c r="B4">
        <f>IF(ISNA(A4),NA(),'Paid, cost, kept'!$I$23)</f>
        <v/>
      </c>
      <c r="C4">
        <f>IF('Paid, cost, kept'!$AV$23="","",'Paid, cost, kept'!$B$23&amp;" / "&amp;'Paid, cost, kept'!$C$23)</f>
        <v/>
      </c>
      <c r="D4">
        <f>IF('Paid, cost, kept'!$AV$23="",NA(),'Paid, cost, kept'!$G$23)</f>
        <v/>
      </c>
      <c r="E4">
        <f>IF('Paid, cost, kept'!$AV$23="",NA(),'Paid, cost, kept'!$I$23)</f>
        <v/>
      </c>
      <c r="F4">
        <f>IF(AND(NOT(ISNA(A4)),'Paid, cost, kept'!$AV$23="Net drain"),A4,NA())</f>
        <v/>
      </c>
      <c r="G4">
        <f>IF(ISNA(F4),NA(),B4)</f>
        <v/>
      </c>
      <c r="H4">
        <f>IF(AND(NOT(ISNA(A4)),OR('Paid, cost, kept'!$AV$23="Priced for it",'Paid, cost, kept'!$AV$23="Strong")),A4,NA())</f>
        <v/>
      </c>
      <c r="I4">
        <f>IF(ISNA(H4),NA(),B4)</f>
        <v/>
      </c>
      <c r="J4">
        <f>IF(C4="","",4)</f>
        <v/>
      </c>
    </row>
    <row r="5">
      <c r="A5">
        <f>IF(OR('Paid, cost, kept'!$AO$24&lt;&gt;0,'Paid, cost, kept'!$G$24="",'Paid, cost, kept'!$I$24=""),NA(),'Paid, cost, kept'!$G$24)</f>
        <v/>
      </c>
      <c r="B5">
        <f>IF(ISNA(A5),NA(),'Paid, cost, kept'!$I$24)</f>
        <v/>
      </c>
      <c r="C5">
        <f>IF('Paid, cost, kept'!$AV$24="","",'Paid, cost, kept'!$B$24&amp;" / "&amp;'Paid, cost, kept'!$C$24)</f>
        <v/>
      </c>
      <c r="D5">
        <f>IF('Paid, cost, kept'!$AV$24="",NA(),'Paid, cost, kept'!$G$24)</f>
        <v/>
      </c>
      <c r="E5">
        <f>IF('Paid, cost, kept'!$AV$24="",NA(),'Paid, cost, kept'!$I$24)</f>
        <v/>
      </c>
      <c r="F5">
        <f>IF(AND(NOT(ISNA(A5)),'Paid, cost, kept'!$AV$24="Net drain"),A5,NA())</f>
        <v/>
      </c>
      <c r="G5">
        <f>IF(ISNA(F5),NA(),B5)</f>
        <v/>
      </c>
      <c r="H5">
        <f>IF(AND(NOT(ISNA(A5)),OR('Paid, cost, kept'!$AV$24="Priced for it",'Paid, cost, kept'!$AV$24="Strong")),A5,NA())</f>
        <v/>
      </c>
      <c r="I5">
        <f>IF(ISNA(H5),NA(),B5)</f>
        <v/>
      </c>
      <c r="J5">
        <f>IF(C5="","",5)</f>
        <v/>
      </c>
    </row>
    <row r="6">
      <c r="A6">
        <f>IF(OR('Paid, cost, kept'!$AO$25&lt;&gt;0,'Paid, cost, kept'!$G$25="",'Paid, cost, kept'!$I$25=""),NA(),'Paid, cost, kept'!$G$25)</f>
        <v/>
      </c>
      <c r="B6">
        <f>IF(ISNA(A6),NA(),'Paid, cost, kept'!$I$25)</f>
        <v/>
      </c>
      <c r="C6">
        <f>IF('Paid, cost, kept'!$AV$25="","",'Paid, cost, kept'!$B$25&amp;" / "&amp;'Paid, cost, kept'!$C$25)</f>
        <v/>
      </c>
      <c r="D6">
        <f>IF('Paid, cost, kept'!$AV$25="",NA(),'Paid, cost, kept'!$G$25)</f>
        <v/>
      </c>
      <c r="E6">
        <f>IF('Paid, cost, kept'!$AV$25="",NA(),'Paid, cost, kept'!$I$25)</f>
        <v/>
      </c>
      <c r="F6">
        <f>IF(AND(NOT(ISNA(A6)),'Paid, cost, kept'!$AV$25="Net drain"),A6,NA())</f>
        <v/>
      </c>
      <c r="G6">
        <f>IF(ISNA(F6),NA(),B6)</f>
        <v/>
      </c>
      <c r="H6">
        <f>IF(AND(NOT(ISNA(A6)),OR('Paid, cost, kept'!$AV$25="Priced for it",'Paid, cost, kept'!$AV$25="Strong")),A6,NA())</f>
        <v/>
      </c>
      <c r="I6">
        <f>IF(ISNA(H6),NA(),B6)</f>
        <v/>
      </c>
      <c r="J6">
        <f>IF(C6="","",6)</f>
        <v/>
      </c>
    </row>
    <row r="7">
      <c r="A7">
        <f>IF(OR('Paid, cost, kept'!$AO$26&lt;&gt;0,'Paid, cost, kept'!$G$26="",'Paid, cost, kept'!$I$26=""),NA(),'Paid, cost, kept'!$G$26)</f>
        <v/>
      </c>
      <c r="B7">
        <f>IF(ISNA(A7),NA(),'Paid, cost, kept'!$I$26)</f>
        <v/>
      </c>
      <c r="C7">
        <f>IF('Paid, cost, kept'!$AV$26="","",'Paid, cost, kept'!$B$26&amp;" / "&amp;'Paid, cost, kept'!$C$26)</f>
        <v/>
      </c>
      <c r="D7">
        <f>IF('Paid, cost, kept'!$AV$26="",NA(),'Paid, cost, kept'!$G$26)</f>
        <v/>
      </c>
      <c r="E7">
        <f>IF('Paid, cost, kept'!$AV$26="",NA(),'Paid, cost, kept'!$I$26)</f>
        <v/>
      </c>
      <c r="F7">
        <f>IF(AND(NOT(ISNA(A7)),'Paid, cost, kept'!$AV$26="Net drain"),A7,NA())</f>
        <v/>
      </c>
      <c r="G7">
        <f>IF(ISNA(F7),NA(),B7)</f>
        <v/>
      </c>
      <c r="H7">
        <f>IF(AND(NOT(ISNA(A7)),OR('Paid, cost, kept'!$AV$26="Priced for it",'Paid, cost, kept'!$AV$26="Strong")),A7,NA())</f>
        <v/>
      </c>
      <c r="I7">
        <f>IF(ISNA(H7),NA(),B7)</f>
        <v/>
      </c>
      <c r="J7">
        <f>IF(C7="","",7)</f>
        <v/>
      </c>
    </row>
    <row r="8">
      <c r="A8">
        <f>IF(OR('Paid, cost, kept'!$AO$27&lt;&gt;0,'Paid, cost, kept'!$G$27="",'Paid, cost, kept'!$I$27=""),NA(),'Paid, cost, kept'!$G$27)</f>
        <v/>
      </c>
      <c r="B8">
        <f>IF(ISNA(A8),NA(),'Paid, cost, kept'!$I$27)</f>
        <v/>
      </c>
      <c r="C8">
        <f>IF('Paid, cost, kept'!$AV$27="","",'Paid, cost, kept'!$B$27&amp;" / "&amp;'Paid, cost, kept'!$C$27)</f>
        <v/>
      </c>
      <c r="D8">
        <f>IF('Paid, cost, kept'!$AV$27="",NA(),'Paid, cost, kept'!$G$27)</f>
        <v/>
      </c>
      <c r="E8">
        <f>IF('Paid, cost, kept'!$AV$27="",NA(),'Paid, cost, kept'!$I$27)</f>
        <v/>
      </c>
      <c r="F8">
        <f>IF(AND(NOT(ISNA(A8)),'Paid, cost, kept'!$AV$27="Net drain"),A8,NA())</f>
        <v/>
      </c>
      <c r="G8">
        <f>IF(ISNA(F8),NA(),B8)</f>
        <v/>
      </c>
      <c r="H8">
        <f>IF(AND(NOT(ISNA(A8)),OR('Paid, cost, kept'!$AV$27="Priced for it",'Paid, cost, kept'!$AV$27="Strong")),A8,NA())</f>
        <v/>
      </c>
      <c r="I8">
        <f>IF(ISNA(H8),NA(),B8)</f>
        <v/>
      </c>
      <c r="J8">
        <f>IF(C8="","",8)</f>
        <v/>
      </c>
    </row>
    <row r="9">
      <c r="A9">
        <f>IF(OR('Paid, cost, kept'!$AO$28&lt;&gt;0,'Paid, cost, kept'!$G$28="",'Paid, cost, kept'!$I$28=""),NA(),'Paid, cost, kept'!$G$28)</f>
        <v/>
      </c>
      <c r="B9">
        <f>IF(ISNA(A9),NA(),'Paid, cost, kept'!$I$28)</f>
        <v/>
      </c>
      <c r="C9">
        <f>IF('Paid, cost, kept'!$AV$28="","",'Paid, cost, kept'!$B$28&amp;" / "&amp;'Paid, cost, kept'!$C$28)</f>
        <v/>
      </c>
      <c r="D9">
        <f>IF('Paid, cost, kept'!$AV$28="",NA(),'Paid, cost, kept'!$G$28)</f>
        <v/>
      </c>
      <c r="E9">
        <f>IF('Paid, cost, kept'!$AV$28="",NA(),'Paid, cost, kept'!$I$28)</f>
        <v/>
      </c>
      <c r="F9">
        <f>IF(AND(NOT(ISNA(A9)),'Paid, cost, kept'!$AV$28="Net drain"),A9,NA())</f>
        <v/>
      </c>
      <c r="G9">
        <f>IF(ISNA(F9),NA(),B9)</f>
        <v/>
      </c>
      <c r="H9">
        <f>IF(AND(NOT(ISNA(A9)),OR('Paid, cost, kept'!$AV$28="Priced for it",'Paid, cost, kept'!$AV$28="Strong")),A9,NA())</f>
        <v/>
      </c>
      <c r="I9">
        <f>IF(ISNA(H9),NA(),B9)</f>
        <v/>
      </c>
      <c r="J9">
        <f>IF(C9="","",9)</f>
        <v/>
      </c>
    </row>
    <row r="10">
      <c r="A10">
        <f>IF(OR('Paid, cost, kept'!$AO$29&lt;&gt;0,'Paid, cost, kept'!$G$29="",'Paid, cost, kept'!$I$29=""),NA(),'Paid, cost, kept'!$G$29)</f>
        <v/>
      </c>
      <c r="B10">
        <f>IF(ISNA(A10),NA(),'Paid, cost, kept'!$I$29)</f>
        <v/>
      </c>
      <c r="C10">
        <f>IF('Paid, cost, kept'!$AV$29="","",'Paid, cost, kept'!$B$29&amp;" / "&amp;'Paid, cost, kept'!$C$29)</f>
        <v/>
      </c>
      <c r="D10">
        <f>IF('Paid, cost, kept'!$AV$29="",NA(),'Paid, cost, kept'!$G$29)</f>
        <v/>
      </c>
      <c r="E10">
        <f>IF('Paid, cost, kept'!$AV$29="",NA(),'Paid, cost, kept'!$I$29)</f>
        <v/>
      </c>
      <c r="F10">
        <f>IF(AND(NOT(ISNA(A10)),'Paid, cost, kept'!$AV$29="Net drain"),A10,NA())</f>
        <v/>
      </c>
      <c r="G10">
        <f>IF(ISNA(F10),NA(),B10)</f>
        <v/>
      </c>
      <c r="H10">
        <f>IF(AND(NOT(ISNA(A10)),OR('Paid, cost, kept'!$AV$29="Priced for it",'Paid, cost, kept'!$AV$29="Strong")),A10,NA())</f>
        <v/>
      </c>
      <c r="I10">
        <f>IF(ISNA(H10),NA(),B10)</f>
        <v/>
      </c>
      <c r="J10">
        <f>IF(C10="","",10)</f>
        <v/>
      </c>
    </row>
    <row r="11">
      <c r="A11">
        <f>IF(OR('Paid, cost, kept'!$AO$30&lt;&gt;0,'Paid, cost, kept'!$G$30="",'Paid, cost, kept'!$I$30=""),NA(),'Paid, cost, kept'!$G$30)</f>
        <v/>
      </c>
      <c r="B11">
        <f>IF(ISNA(A11),NA(),'Paid, cost, kept'!$I$30)</f>
        <v/>
      </c>
      <c r="C11">
        <f>IF('Paid, cost, kept'!$AV$30="","",'Paid, cost, kept'!$B$30&amp;" / "&amp;'Paid, cost, kept'!$C$30)</f>
        <v/>
      </c>
      <c r="D11">
        <f>IF('Paid, cost, kept'!$AV$30="",NA(),'Paid, cost, kept'!$G$30)</f>
        <v/>
      </c>
      <c r="E11">
        <f>IF('Paid, cost, kept'!$AV$30="",NA(),'Paid, cost, kept'!$I$30)</f>
        <v/>
      </c>
      <c r="F11">
        <f>IF(AND(NOT(ISNA(A11)),'Paid, cost, kept'!$AV$30="Net drain"),A11,NA())</f>
        <v/>
      </c>
      <c r="G11">
        <f>IF(ISNA(F11),NA(),B11)</f>
        <v/>
      </c>
      <c r="H11">
        <f>IF(AND(NOT(ISNA(A11)),OR('Paid, cost, kept'!$AV$30="Priced for it",'Paid, cost, kept'!$AV$30="Strong")),A11,NA())</f>
        <v/>
      </c>
      <c r="I11">
        <f>IF(ISNA(H11),NA(),B11)</f>
        <v/>
      </c>
      <c r="J11">
        <f>IF(C11="","",11)</f>
        <v/>
      </c>
    </row>
    <row r="12">
      <c r="A12">
        <f>IF(OR('Paid, cost, kept'!$AO$31&lt;&gt;0,'Paid, cost, kept'!$G$31="",'Paid, cost, kept'!$I$31=""),NA(),'Paid, cost, kept'!$G$31)</f>
        <v/>
      </c>
      <c r="B12">
        <f>IF(ISNA(A12),NA(),'Paid, cost, kept'!$I$31)</f>
        <v/>
      </c>
      <c r="C12">
        <f>IF('Paid, cost, kept'!$AV$31="","",'Paid, cost, kept'!$B$31&amp;" / "&amp;'Paid, cost, kept'!$C$31)</f>
        <v/>
      </c>
      <c r="D12">
        <f>IF('Paid, cost, kept'!$AV$31="",NA(),'Paid, cost, kept'!$G$31)</f>
        <v/>
      </c>
      <c r="E12">
        <f>IF('Paid, cost, kept'!$AV$31="",NA(),'Paid, cost, kept'!$I$31)</f>
        <v/>
      </c>
      <c r="F12">
        <f>IF(AND(NOT(ISNA(A12)),'Paid, cost, kept'!$AV$31="Net drain"),A12,NA())</f>
        <v/>
      </c>
      <c r="G12">
        <f>IF(ISNA(F12),NA(),B12)</f>
        <v/>
      </c>
      <c r="H12">
        <f>IF(AND(NOT(ISNA(A12)),OR('Paid, cost, kept'!$AV$31="Priced for it",'Paid, cost, kept'!$AV$31="Strong")),A12,NA())</f>
        <v/>
      </c>
      <c r="I12">
        <f>IF(ISNA(H12),NA(),B12)</f>
        <v/>
      </c>
      <c r="J12">
        <f>IF(C12="","",12)</f>
        <v/>
      </c>
    </row>
    <row r="13">
      <c r="A13">
        <f>IF(OR('Paid, cost, kept'!$AO$32&lt;&gt;0,'Paid, cost, kept'!$G$32="",'Paid, cost, kept'!$I$32=""),NA(),'Paid, cost, kept'!$G$32)</f>
        <v/>
      </c>
      <c r="B13">
        <f>IF(ISNA(A13),NA(),'Paid, cost, kept'!$I$32)</f>
        <v/>
      </c>
      <c r="C13">
        <f>IF('Paid, cost, kept'!$AV$32="","",'Paid, cost, kept'!$B$32&amp;" / "&amp;'Paid, cost, kept'!$C$32)</f>
        <v/>
      </c>
      <c r="D13">
        <f>IF('Paid, cost, kept'!$AV$32="",NA(),'Paid, cost, kept'!$G$32)</f>
        <v/>
      </c>
      <c r="E13">
        <f>IF('Paid, cost, kept'!$AV$32="",NA(),'Paid, cost, kept'!$I$32)</f>
        <v/>
      </c>
      <c r="F13">
        <f>IF(AND(NOT(ISNA(A13)),'Paid, cost, kept'!$AV$32="Net drain"),A13,NA())</f>
        <v/>
      </c>
      <c r="G13">
        <f>IF(ISNA(F13),NA(),B13)</f>
        <v/>
      </c>
      <c r="H13">
        <f>IF(AND(NOT(ISNA(A13)),OR('Paid, cost, kept'!$AV$32="Priced for it",'Paid, cost, kept'!$AV$32="Strong")),A13,NA())</f>
        <v/>
      </c>
      <c r="I13">
        <f>IF(ISNA(H13),NA(),B13)</f>
        <v/>
      </c>
      <c r="J13">
        <f>IF(C13="","",13)</f>
        <v/>
      </c>
    </row>
    <row r="14">
      <c r="A14">
        <f>IF(OR('Paid, cost, kept'!$AO$33&lt;&gt;0,'Paid, cost, kept'!$G$33="",'Paid, cost, kept'!$I$33=""),NA(),'Paid, cost, kept'!$G$33)</f>
        <v/>
      </c>
      <c r="B14">
        <f>IF(ISNA(A14),NA(),'Paid, cost, kept'!$I$33)</f>
        <v/>
      </c>
      <c r="C14">
        <f>IF('Paid, cost, kept'!$AV$33="","",'Paid, cost, kept'!$B$33&amp;" / "&amp;'Paid, cost, kept'!$C$33)</f>
        <v/>
      </c>
      <c r="D14">
        <f>IF('Paid, cost, kept'!$AV$33="",NA(),'Paid, cost, kept'!$G$33)</f>
        <v/>
      </c>
      <c r="E14">
        <f>IF('Paid, cost, kept'!$AV$33="",NA(),'Paid, cost, kept'!$I$33)</f>
        <v/>
      </c>
      <c r="F14">
        <f>IF(AND(NOT(ISNA(A14)),'Paid, cost, kept'!$AV$33="Net drain"),A14,NA())</f>
        <v/>
      </c>
      <c r="G14">
        <f>IF(ISNA(F14),NA(),B14)</f>
        <v/>
      </c>
      <c r="H14">
        <f>IF(AND(NOT(ISNA(A14)),OR('Paid, cost, kept'!$AV$33="Priced for it",'Paid, cost, kept'!$AV$33="Strong")),A14,NA())</f>
        <v/>
      </c>
      <c r="I14">
        <f>IF(ISNA(H14),NA(),B14)</f>
        <v/>
      </c>
      <c r="J14">
        <f>IF(C14="","",14)</f>
        <v/>
      </c>
    </row>
    <row r="15">
      <c r="A15">
        <f>IF(OR('Paid, cost, kept'!$AO$34&lt;&gt;0,'Paid, cost, kept'!$G$34="",'Paid, cost, kept'!$I$34=""),NA(),'Paid, cost, kept'!$G$34)</f>
        <v/>
      </c>
      <c r="B15">
        <f>IF(ISNA(A15),NA(),'Paid, cost, kept'!$I$34)</f>
        <v/>
      </c>
      <c r="C15">
        <f>IF('Paid, cost, kept'!$AV$34="","",'Paid, cost, kept'!$B$34&amp;" / "&amp;'Paid, cost, kept'!$C$34)</f>
        <v/>
      </c>
      <c r="D15">
        <f>IF('Paid, cost, kept'!$AV$34="",NA(),'Paid, cost, kept'!$G$34)</f>
        <v/>
      </c>
      <c r="E15">
        <f>IF('Paid, cost, kept'!$AV$34="",NA(),'Paid, cost, kept'!$I$34)</f>
        <v/>
      </c>
      <c r="F15">
        <f>IF(AND(NOT(ISNA(A15)),'Paid, cost, kept'!$AV$34="Net drain"),A15,NA())</f>
        <v/>
      </c>
      <c r="G15">
        <f>IF(ISNA(F15),NA(),B15)</f>
        <v/>
      </c>
      <c r="H15">
        <f>IF(AND(NOT(ISNA(A15)),OR('Paid, cost, kept'!$AV$34="Priced for it",'Paid, cost, kept'!$AV$34="Strong")),A15,NA())</f>
        <v/>
      </c>
      <c r="I15">
        <f>IF(ISNA(H15),NA(),B15)</f>
        <v/>
      </c>
      <c r="J15">
        <f>IF(C15="","",15)</f>
        <v/>
      </c>
    </row>
    <row r="16">
      <c r="A16">
        <f>IF(OR('Paid, cost, kept'!$AO$35&lt;&gt;0,'Paid, cost, kept'!$G$35="",'Paid, cost, kept'!$I$35=""),NA(),'Paid, cost, kept'!$G$35)</f>
        <v/>
      </c>
      <c r="B16">
        <f>IF(ISNA(A16),NA(),'Paid, cost, kept'!$I$35)</f>
        <v/>
      </c>
      <c r="C16">
        <f>IF('Paid, cost, kept'!$AV$35="","",'Paid, cost, kept'!$B$35&amp;" / "&amp;'Paid, cost, kept'!$C$35)</f>
        <v/>
      </c>
      <c r="D16">
        <f>IF('Paid, cost, kept'!$AV$35="",NA(),'Paid, cost, kept'!$G$35)</f>
        <v/>
      </c>
      <c r="E16">
        <f>IF('Paid, cost, kept'!$AV$35="",NA(),'Paid, cost, kept'!$I$35)</f>
        <v/>
      </c>
      <c r="F16">
        <f>IF(AND(NOT(ISNA(A16)),'Paid, cost, kept'!$AV$35="Net drain"),A16,NA())</f>
        <v/>
      </c>
      <c r="G16">
        <f>IF(ISNA(F16),NA(),B16)</f>
        <v/>
      </c>
      <c r="H16">
        <f>IF(AND(NOT(ISNA(A16)),OR('Paid, cost, kept'!$AV$35="Priced for it",'Paid, cost, kept'!$AV$35="Strong")),A16,NA())</f>
        <v/>
      </c>
      <c r="I16">
        <f>IF(ISNA(H16),NA(),B16)</f>
        <v/>
      </c>
      <c r="J16">
        <f>IF(C16="","",16)</f>
        <v/>
      </c>
    </row>
    <row r="17">
      <c r="A17">
        <f>IF(OR('Paid, cost, kept'!$AO$36&lt;&gt;0,'Paid, cost, kept'!$G$36="",'Paid, cost, kept'!$I$36=""),NA(),'Paid, cost, kept'!$G$36)</f>
        <v/>
      </c>
      <c r="B17">
        <f>IF(ISNA(A17),NA(),'Paid, cost, kept'!$I$36)</f>
        <v/>
      </c>
      <c r="C17">
        <f>IF('Paid, cost, kept'!$AV$36="","",'Paid, cost, kept'!$B$36&amp;" / "&amp;'Paid, cost, kept'!$C$36)</f>
        <v/>
      </c>
      <c r="D17">
        <f>IF('Paid, cost, kept'!$AV$36="",NA(),'Paid, cost, kept'!$G$36)</f>
        <v/>
      </c>
      <c r="E17">
        <f>IF('Paid, cost, kept'!$AV$36="",NA(),'Paid, cost, kept'!$I$36)</f>
        <v/>
      </c>
      <c r="F17">
        <f>IF(AND(NOT(ISNA(A17)),'Paid, cost, kept'!$AV$36="Net drain"),A17,NA())</f>
        <v/>
      </c>
      <c r="G17">
        <f>IF(ISNA(F17),NA(),B17)</f>
        <v/>
      </c>
      <c r="H17">
        <f>IF(AND(NOT(ISNA(A17)),OR('Paid, cost, kept'!$AV$36="Priced for it",'Paid, cost, kept'!$AV$36="Strong")),A17,NA())</f>
        <v/>
      </c>
      <c r="I17">
        <f>IF(ISNA(H17),NA(),B17)</f>
        <v/>
      </c>
      <c r="J17">
        <f>IF(C17="","",17)</f>
        <v/>
      </c>
    </row>
    <row r="18">
      <c r="A18">
        <f>IF(OR('Paid, cost, kept'!$AO$37&lt;&gt;0,'Paid, cost, kept'!$G$37="",'Paid, cost, kept'!$I$37=""),NA(),'Paid, cost, kept'!$G$37)</f>
        <v/>
      </c>
      <c r="B18">
        <f>IF(ISNA(A18),NA(),'Paid, cost, kept'!$I$37)</f>
        <v/>
      </c>
      <c r="C18">
        <f>IF('Paid, cost, kept'!$AV$37="","",'Paid, cost, kept'!$B$37&amp;" / "&amp;'Paid, cost, kept'!$C$37)</f>
        <v/>
      </c>
      <c r="D18">
        <f>IF('Paid, cost, kept'!$AV$37="",NA(),'Paid, cost, kept'!$G$37)</f>
        <v/>
      </c>
      <c r="E18">
        <f>IF('Paid, cost, kept'!$AV$37="",NA(),'Paid, cost, kept'!$I$37)</f>
        <v/>
      </c>
      <c r="F18">
        <f>IF(AND(NOT(ISNA(A18)),'Paid, cost, kept'!$AV$37="Net drain"),A18,NA())</f>
        <v/>
      </c>
      <c r="G18">
        <f>IF(ISNA(F18),NA(),B18)</f>
        <v/>
      </c>
      <c r="H18">
        <f>IF(AND(NOT(ISNA(A18)),OR('Paid, cost, kept'!$AV$37="Priced for it",'Paid, cost, kept'!$AV$37="Strong")),A18,NA())</f>
        <v/>
      </c>
      <c r="I18">
        <f>IF(ISNA(H18),NA(),B18)</f>
        <v/>
      </c>
      <c r="J18">
        <f>IF(C18="","",18)</f>
        <v/>
      </c>
    </row>
    <row r="19">
      <c r="A19">
        <f>IF(OR('Paid, cost, kept'!$AO$38&lt;&gt;0,'Paid, cost, kept'!$G$38="",'Paid, cost, kept'!$I$38=""),NA(),'Paid, cost, kept'!$G$38)</f>
        <v/>
      </c>
      <c r="B19">
        <f>IF(ISNA(A19),NA(),'Paid, cost, kept'!$I$38)</f>
        <v/>
      </c>
      <c r="C19">
        <f>IF('Paid, cost, kept'!$AV$38="","",'Paid, cost, kept'!$B$38&amp;" / "&amp;'Paid, cost, kept'!$C$38)</f>
        <v/>
      </c>
      <c r="D19">
        <f>IF('Paid, cost, kept'!$AV$38="",NA(),'Paid, cost, kept'!$G$38)</f>
        <v/>
      </c>
      <c r="E19">
        <f>IF('Paid, cost, kept'!$AV$38="",NA(),'Paid, cost, kept'!$I$38)</f>
        <v/>
      </c>
      <c r="F19">
        <f>IF(AND(NOT(ISNA(A19)),'Paid, cost, kept'!$AV$38="Net drain"),A19,NA())</f>
        <v/>
      </c>
      <c r="G19">
        <f>IF(ISNA(F19),NA(),B19)</f>
        <v/>
      </c>
      <c r="H19">
        <f>IF(AND(NOT(ISNA(A19)),OR('Paid, cost, kept'!$AV$38="Priced for it",'Paid, cost, kept'!$AV$38="Strong")),A19,NA())</f>
        <v/>
      </c>
      <c r="I19">
        <f>IF(ISNA(H19),NA(),B19)</f>
        <v/>
      </c>
      <c r="J19">
        <f>IF(C19="","",19)</f>
        <v/>
      </c>
    </row>
    <row r="22">
      <c r="A22" t="n">
        <v>1</v>
      </c>
      <c r="B22" t="n">
        <v>-12.5</v>
      </c>
    </row>
    <row r="23">
      <c r="A23" t="n">
        <v>1</v>
      </c>
      <c r="B23" t="n">
        <v>12.5</v>
      </c>
    </row>
    <row r="24">
      <c r="A24" t="n">
        <v>0.1</v>
      </c>
      <c r="B24" t="n">
        <v>0</v>
      </c>
    </row>
    <row r="25">
      <c r="A25" t="n">
        <v>10</v>
      </c>
      <c r="B25" t="n">
        <v>0</v>
      </c>
    </row>
    <row r="26">
      <c r="A26" t="n">
        <v>6.25</v>
      </c>
      <c r="B26" t="n">
        <v>11.25</v>
      </c>
    </row>
    <row r="27">
      <c r="A27" t="n">
        <v>6.25</v>
      </c>
      <c r="B27" t="n">
        <v>-11.25</v>
      </c>
    </row>
    <row r="28">
      <c r="A28" t="n">
        <v>0.16</v>
      </c>
      <c r="B28" t="n">
        <v>11.25</v>
      </c>
    </row>
    <row r="29">
      <c r="A29" t="n">
        <v>0.16</v>
      </c>
      <c r="B29" t="n">
        <v>-11.25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tabSelected="0" workbookViewId="0">
      <selection activeCell="A1" sqref="A1"/>
    </sheetView>
  </sheetViews>
  <sheetFormatPr baseColWidth="8" defaultRowHeight="15"/>
  <sheetData>
    <row r="1">
      <c r="A1" t="inlineStr">
        <is>
          <t>key</t>
        </is>
      </c>
      <c r="B1" t="inlineStr">
        <is>
          <t>answer as the cells held it</t>
        </is>
      </c>
      <c r="C1" t="inlineStr">
        <is>
          <t>in words</t>
        </is>
      </c>
    </row>
    <row r="2">
      <c r="A2" t="inlineStr">
        <is>
          <t>worse_at</t>
        </is>
      </c>
      <c r="B2" t="inlineStr">
        <is>
          <t>The smallest significant gap in a typical pocket (suggested)</t>
        </is>
      </c>
      <c r="C2" t="inlineStr">
        <is>
          <t>The smallest significant gap in a typical pocket (suggested)</t>
        </is>
      </c>
    </row>
    <row r="3">
      <c r="A3" t="inlineStr">
        <is>
          <t>better_at</t>
        </is>
      </c>
      <c r="B3" t="inlineStr">
        <is>
          <t>The smallest significant gap in a typical pocket (suggested)</t>
        </is>
      </c>
      <c r="C3" t="inlineStr">
        <is>
          <t>The smallest significant gap in a typical pocket (suggested)</t>
        </is>
      </c>
    </row>
    <row r="4">
      <c r="A4" t="inlineStr">
        <is>
          <t>revenue_line</t>
        </is>
      </c>
      <c r="B4" t="inlineStr">
        <is>
          <t>Each pocket's own test (suggested)</t>
        </is>
      </c>
      <c r="C4" t="inlineStr">
        <is>
          <t>Each pocket's own test (suggested)</t>
        </is>
      </c>
    </row>
    <row r="5">
      <c r="A5" t="inlineStr">
        <is>
          <t>confidence</t>
        </is>
      </c>
      <c r="B5" t="inlineStr">
        <is>
          <t>95% sure</t>
        </is>
      </c>
      <c r="C5" t="inlineStr">
        <is>
          <t>95% sure</t>
        </is>
      </c>
    </row>
    <row r="6">
      <c r="A6" t="inlineStr">
        <is>
          <t>materiality</t>
        </is>
      </c>
      <c r="B6" t="inlineStr">
        <is>
          <t>1% of the book's total losses</t>
        </is>
      </c>
      <c r="C6" t="inlineStr">
        <is>
          <t>1% of the book's total losses</t>
        </is>
      </c>
    </row>
    <row r="7">
      <c r="A7" t="inlineStr">
        <is>
          <t>compare_to</t>
        </is>
      </c>
      <c r="B7" t="inlineStr">
        <is>
          <t>The rest of its band</t>
        </is>
      </c>
      <c r="C7" t="inlineStr">
        <is>
          <t>The rest of its band</t>
        </is>
      </c>
    </row>
    <row r="8">
      <c r="A8" t="inlineStr">
        <is>
          <t>min_loans</t>
        </is>
      </c>
      <c r="B8" t="inlineStr">
        <is>
          <t>Enough for 5 expected losses (suggested)</t>
        </is>
      </c>
      <c r="C8" t="inlineStr">
        <is>
          <t>Enough for 5 expected losses (suggested)</t>
        </is>
      </c>
    </row>
    <row r="9">
      <c r="A9" t="inlineStr">
        <is>
          <t>min_events</t>
        </is>
      </c>
      <c r="B9" t="inlineStr">
        <is>
          <t>10 losses</t>
        </is>
      </c>
      <c r="C9" t="inlineStr">
        <is>
          <t>10 losses</t>
        </is>
      </c>
    </row>
    <row r="10">
      <c r="A10" t="inlineStr">
        <is>
          <t>band_count</t>
        </is>
      </c>
      <c r="B10" t="inlineStr">
        <is>
          <t>5 bands (recommended)</t>
        </is>
      </c>
      <c r="C10" t="inlineStr">
        <is>
          <t>5 bands</t>
        </is>
      </c>
    </row>
    <row r="11">
      <c r="A11" t="inlineStr">
        <is>
          <t>band_cut</t>
        </is>
      </c>
      <c r="B11" t="inlineStr">
        <is>
          <t>Each band holds about the same number of loans (recommended)</t>
        </is>
      </c>
      <c r="C11" t="inlineStr">
        <is>
          <t>Each band holds about the same number of loans</t>
        </is>
      </c>
    </row>
    <row r="12">
      <c r="A12" t="inlineStr">
        <is>
          <t>power</t>
        </is>
      </c>
      <c r="B12" t="inlineStr">
        <is>
          <t>80% of the time (recommended)</t>
        </is>
      </c>
      <c r="C12" t="inlineStr">
        <is>
          <t>80% of the time</t>
        </is>
      </c>
    </row>
    <row r="13">
      <c r="A13" t="inlineStr">
        <is>
          <t>many_tests</t>
        </is>
      </c>
      <c r="B13" t="inlineStr">
        <is>
          <t>Hold down the share of false finds (Benjamini-Hochberg) (recommended)</t>
        </is>
      </c>
      <c r="C13" t="inlineStr">
        <is>
          <t>Hold down the share of false finds (Benjamini-Hochberg)</t>
        </is>
      </c>
    </row>
    <row r="14">
      <c r="A14" t="inlineStr">
        <is>
          <t>cutoff</t>
        </is>
      </c>
    </row>
    <row r="15">
      <c r="A15" t="inlineStr">
        <is>
          <t>run_kind</t>
        </is>
      </c>
      <c r="B15" t="inlineStr">
        <is>
          <t>Where the book bleeds</t>
        </is>
      </c>
      <c r="C15" t="inlineStr">
        <is>
          <t>Where the book bleeds</t>
        </is>
      </c>
    </row>
    <row r="16">
      <c r="A16" t="inlineStr">
        <is>
          <t>new_variable_step</t>
        </is>
      </c>
    </row>
    <row r="17">
      <c r="A17" t="inlineStr">
        <is>
          <t>launcher|bands</t>
        </is>
      </c>
      <c r="B17" t="inlineStr">
        <is>
          <t>FICO, SHORT_HIST</t>
        </is>
      </c>
      <c r="C17" t="inlineStr">
        <is>
          <t>FICO, SHORT_HIST</t>
        </is>
      </c>
    </row>
    <row r="18">
      <c r="A18" t="inlineStr">
        <is>
          <t>launcher|segments</t>
        </is>
      </c>
      <c r="B18" t="inlineStr">
        <is>
          <t>CHANNEL</t>
        </is>
      </c>
      <c r="C18" t="inlineStr">
        <is>
          <t>CHANNEL</t>
        </is>
      </c>
    </row>
    <row r="19">
      <c r="A19" t="inlineStr">
        <is>
          <t>launcher|split</t>
        </is>
      </c>
      <c r="B19" t="inlineStr">
        <is>
          <t>REV_DEBT</t>
        </is>
      </c>
      <c r="C19" t="inlineStr">
        <is>
          <t>REV_DEBT</t>
        </is>
      </c>
    </row>
    <row r="20">
      <c r="A20" t="inlineStr">
        <is>
          <t>launcher|filter</t>
        </is>
      </c>
    </row>
    <row r="21">
      <c r="A21" t="inlineStr">
        <is>
          <t>launcher|outcome</t>
        </is>
      </c>
    </row>
    <row r="22">
      <c r="A22" t="inlineStr">
        <is>
          <t>launcher|test</t>
        </is>
      </c>
    </row>
    <row r="23">
      <c r="A23" t="inlineStr">
        <is>
          <t>launcher|hold</t>
        </is>
      </c>
    </row>
    <row r="24">
      <c r="A24" t="inlineStr">
        <is>
          <t>prespec</t>
        </is>
      </c>
    </row>
    <row r="25">
      <c r="A25" t="inlineStr">
        <is>
          <t>few_values</t>
        </is>
      </c>
      <c r="B25" t="inlineStr">
        <is>
          <t>12 values</t>
        </is>
      </c>
      <c r="C25" t="inlineStr">
        <is>
          <t>12 values</t>
        </is>
      </c>
    </row>
    <row r="26">
      <c r="A26" t="inlineStr">
        <is>
          <t>many_values</t>
        </is>
      </c>
      <c r="B26" t="inlineStr">
        <is>
          <t>50 values</t>
        </is>
      </c>
      <c r="C26" t="inlineStr">
        <is>
          <t>50 values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3"/>
  <sheetViews>
    <sheetView tabSelected="0" workbookViewId="0">
      <selection activeCell="A1" sqref="A1"/>
    </sheetView>
  </sheetViews>
  <sheetFormatPr baseColWidth="8" defaultRowHeight="15"/>
  <sheetData>
    <row r="1">
      <c r="A1" t="inlineStr">
        <is>
          <t>stamp</t>
        </is>
      </c>
      <c r="B1" t="inlineStr">
        <is>
          <t>2026-09-30 04:03</t>
        </is>
      </c>
    </row>
    <row r="2">
      <c r="A2" t="inlineStr">
        <is>
          <t>measure</t>
        </is>
      </c>
      <c r="B2" t="inlineStr">
        <is>
          <t>gco_rate</t>
        </is>
      </c>
    </row>
    <row r="3">
      <c r="A3" t="inlineStr">
        <is>
          <t>measure_title</t>
        </is>
      </c>
      <c r="B3" t="inlineStr">
        <is>
          <t>charge-offs</t>
        </is>
      </c>
    </row>
    <row r="4">
      <c r="A4" t="inlineStr">
        <is>
          <t>pockets</t>
        </is>
      </c>
      <c r="B4" t="n">
        <v>37</v>
      </c>
    </row>
    <row r="5">
      <c r="A5" t="inlineStr">
        <is>
          <t>profit</t>
        </is>
      </c>
      <c r="B5" t="inlineStr">
        <is>
          <t>ranr_rate</t>
        </is>
      </c>
    </row>
    <row r="6">
      <c r="A6" t="inlineStr">
        <is>
          <t>top</t>
        </is>
      </c>
      <c r="B6" t="inlineStr">
        <is>
          <t>FICO 496 - 653</t>
        </is>
      </c>
      <c r="C6" t="inlineStr">
        <is>
          <t>Broker</t>
        </is>
      </c>
      <c r="D6" t="n">
        <v>523</v>
      </c>
      <c r="E6" t="n">
        <v>31</v>
      </c>
      <c r="F6">
        <f>IF(AND('_pockets'!$AI$31="Yes",'_pockets'!$AJ$31="Yes"),1,0)</f>
        <v/>
      </c>
      <c r="G6">
        <f>F6</f>
        <v/>
      </c>
    </row>
    <row r="7">
      <c r="A7" t="inlineStr">
        <is>
          <t>top</t>
        </is>
      </c>
      <c r="B7" t="inlineStr">
        <is>
          <t>SHORT_HIST 346.0 - 435.0</t>
        </is>
      </c>
      <c r="C7" t="inlineStr">
        <is>
          <t>Broker</t>
        </is>
      </c>
      <c r="D7" t="n">
        <v>504</v>
      </c>
      <c r="E7" t="n">
        <v>151</v>
      </c>
      <c r="F7">
        <f>IF(AND('_pockets'!$AI$151="Yes",'_pockets'!$AJ$151="Yes"),1,0)</f>
        <v/>
      </c>
      <c r="G7">
        <f>G6+F7</f>
        <v/>
      </c>
    </row>
    <row r="8">
      <c r="A8" t="inlineStr">
        <is>
          <t>top</t>
        </is>
      </c>
      <c r="B8" t="inlineStr">
        <is>
          <t>FICO 712 - 745</t>
        </is>
      </c>
      <c r="C8" t="inlineStr">
        <is>
          <t>Online</t>
        </is>
      </c>
      <c r="D8" t="n">
        <v>564</v>
      </c>
      <c r="E8" t="n">
        <v>41</v>
      </c>
      <c r="F8">
        <f>IF(AND('_pockets'!$AI$41="Yes",'_pockets'!$AJ$41="Yes"),1,0)</f>
        <v/>
      </c>
      <c r="G8">
        <f>G7+F8</f>
        <v/>
      </c>
    </row>
    <row r="9">
      <c r="A9" t="inlineStr">
        <is>
          <t>top</t>
        </is>
      </c>
      <c r="B9" t="inlineStr">
        <is>
          <t>SHORT_HIST 172.0 - 256.3</t>
        </is>
      </c>
      <c r="C9" t="inlineStr">
        <is>
          <t>Broker</t>
        </is>
      </c>
      <c r="D9" t="n">
        <v>541</v>
      </c>
      <c r="E9" t="n">
        <v>126</v>
      </c>
      <c r="F9">
        <f>IF(AND('_pockets'!$AI$126="Yes",'_pockets'!$AJ$126="Yes"),1,0)</f>
        <v/>
      </c>
      <c r="G9">
        <f>G8+F9</f>
        <v/>
      </c>
    </row>
    <row r="10">
      <c r="A10" t="inlineStr">
        <is>
          <t>top</t>
        </is>
      </c>
      <c r="B10" t="inlineStr">
        <is>
          <t>FICO 686 - 711</t>
        </is>
      </c>
      <c r="C10" t="inlineStr">
        <is>
          <t>Online</t>
        </is>
      </c>
      <c r="D10" t="n">
        <v>546</v>
      </c>
      <c r="E10" t="n">
        <v>66</v>
      </c>
      <c r="F10">
        <f>IF(AND('_pockets'!$AI$66="Yes",'_pockets'!$AJ$66="Yes"),1,0)</f>
        <v/>
      </c>
      <c r="G10">
        <f>G9+F10</f>
        <v/>
      </c>
    </row>
    <row r="11">
      <c r="A11" t="inlineStr">
        <is>
          <t>top</t>
        </is>
      </c>
      <c r="B11" t="inlineStr">
        <is>
          <t>SHORT_HIST 89.0 - 171.9</t>
        </is>
      </c>
      <c r="C11" t="inlineStr">
        <is>
          <t>Broker</t>
        </is>
      </c>
      <c r="D11" t="n">
        <v>522</v>
      </c>
      <c r="E11" t="n">
        <v>106</v>
      </c>
      <c r="F11">
        <f>IF(AND('_pockets'!$AI$106="Yes",'_pockets'!$AJ$106="Yes"),1,0)</f>
        <v/>
      </c>
      <c r="G11">
        <f>G10+F11</f>
        <v/>
      </c>
    </row>
    <row r="12">
      <c r="A12" t="inlineStr">
        <is>
          <t>top</t>
        </is>
      </c>
      <c r="B12" t="inlineStr">
        <is>
          <t>SHORT_HIST 256.4 - 345.9</t>
        </is>
      </c>
      <c r="C12" t="inlineStr">
        <is>
          <t>Online</t>
        </is>
      </c>
      <c r="D12" t="n">
        <v>536</v>
      </c>
      <c r="E12" t="n">
        <v>136</v>
      </c>
      <c r="F12">
        <f>IF(AND('_pockets'!$AI$136="Yes",'_pockets'!$AJ$136="Yes"),1,0)</f>
        <v/>
      </c>
      <c r="G12">
        <f>G11+F12</f>
        <v/>
      </c>
    </row>
    <row r="13">
      <c r="A13" t="inlineStr">
        <is>
          <t>top</t>
        </is>
      </c>
      <c r="B13" t="inlineStr">
        <is>
          <t>FICO 654 - 685</t>
        </is>
      </c>
      <c r="C13" t="inlineStr">
        <is>
          <t>Branch</t>
        </is>
      </c>
      <c r="D13" t="n">
        <v>503</v>
      </c>
      <c r="E13" t="n">
        <v>56</v>
      </c>
      <c r="F13">
        <f>IF(AND('_pockets'!$AI$56="Yes",'_pockets'!$AJ$56="Yes"),1,0)</f>
        <v/>
      </c>
      <c r="G13">
        <f>G12+F13</f>
        <v/>
      </c>
    </row>
    <row r="14">
      <c r="A14" t="inlineStr">
        <is>
          <t>top</t>
        </is>
      </c>
      <c r="B14" t="inlineStr">
        <is>
          <t>FICO 746 - 921</t>
        </is>
      </c>
      <c r="C14" t="inlineStr">
        <is>
          <t>Branch</t>
        </is>
      </c>
      <c r="D14" t="n">
        <v>518</v>
      </c>
      <c r="E14" t="n">
        <v>26</v>
      </c>
      <c r="F14">
        <f>IF(AND('_pockets'!$AI$26="Yes",'_pockets'!$AJ$26="Yes"),1,0)</f>
        <v/>
      </c>
      <c r="G14">
        <f>G13+F14</f>
        <v/>
      </c>
    </row>
    <row r="15">
      <c r="A15" t="inlineStr">
        <is>
          <t>top</t>
        </is>
      </c>
      <c r="B15" t="inlineStr">
        <is>
          <t>SHORT_HIST 0.0 - 88.9</t>
        </is>
      </c>
      <c r="C15" t="inlineStr">
        <is>
          <t>Broker</t>
        </is>
      </c>
      <c r="D15" t="n">
        <v>508</v>
      </c>
      <c r="E15" t="n">
        <v>141</v>
      </c>
      <c r="F15">
        <f>IF(AND('_pockets'!$AI$141="Yes",'_pockets'!$AJ$141="Yes"),1,0)</f>
        <v/>
      </c>
      <c r="G15">
        <f>G14+F15</f>
        <v/>
      </c>
    </row>
    <row r="16">
      <c r="A16" t="inlineStr">
        <is>
          <t>top</t>
        </is>
      </c>
      <c r="B16" t="inlineStr">
        <is>
          <t>FICO (marked missing)</t>
        </is>
      </c>
      <c r="C16" t="inlineStr">
        <is>
          <t>Broker</t>
        </is>
      </c>
      <c r="D16" t="n">
        <v>54</v>
      </c>
      <c r="E16" t="n">
        <v>96</v>
      </c>
      <c r="F16">
        <f>IF(AND('_pockets'!$AI$96="Yes",'_pockets'!$AJ$96="Yes"),1,0)</f>
        <v/>
      </c>
      <c r="G16">
        <f>G15+F16</f>
        <v/>
      </c>
    </row>
    <row r="17">
      <c r="A17" t="inlineStr">
        <is>
          <t>top</t>
        </is>
      </c>
      <c r="B17" t="inlineStr">
        <is>
          <t>SHORT_HIST (marked missing)</t>
        </is>
      </c>
      <c r="C17" t="inlineStr">
        <is>
          <t>Branch</t>
        </is>
      </c>
      <c r="D17" t="n">
        <v>72</v>
      </c>
      <c r="E17" t="n">
        <v>186</v>
      </c>
      <c r="F17">
        <f>IF(AND('_pockets'!$AI$186="Yes",'_pockets'!$AJ$186="Yes"),1,0)</f>
        <v/>
      </c>
      <c r="G17">
        <f>G16+F17</f>
        <v/>
      </c>
    </row>
    <row r="18">
      <c r="A18" t="inlineStr">
        <is>
          <t>top</t>
        </is>
      </c>
      <c r="B18" t="inlineStr">
        <is>
          <t>FICO 496 - 653</t>
        </is>
      </c>
      <c r="C18" t="inlineStr">
        <is>
          <t>Online</t>
        </is>
      </c>
      <c r="D18" t="n">
        <v>531</v>
      </c>
      <c r="E18" t="n">
        <v>81</v>
      </c>
      <c r="F18">
        <f>IF(AND('_pockets'!$AI$81="Yes",'_pockets'!$AJ$81="Yes"),1,0)</f>
        <v/>
      </c>
      <c r="G18">
        <f>G17+F18</f>
        <v/>
      </c>
    </row>
    <row r="19">
      <c r="A19" t="inlineStr">
        <is>
          <t>top</t>
        </is>
      </c>
      <c r="B19" t="inlineStr">
        <is>
          <t>FICO 496 - 653</t>
        </is>
      </c>
      <c r="C19" t="inlineStr">
        <is>
          <t>Branch</t>
        </is>
      </c>
      <c r="D19" t="n">
        <v>502</v>
      </c>
      <c r="E19" t="n">
        <v>21</v>
      </c>
      <c r="F19">
        <f>IF(AND('_pockets'!$AI$21="Yes",'_pockets'!$AJ$21="Yes"),1,0)</f>
        <v/>
      </c>
      <c r="G19">
        <f>G18+F19</f>
        <v/>
      </c>
    </row>
    <row r="20">
      <c r="A20" t="inlineStr">
        <is>
          <t>top</t>
        </is>
      </c>
      <c r="B20" t="inlineStr">
        <is>
          <t>SHORT_HIST 256.4 - 345.9</t>
        </is>
      </c>
      <c r="C20" t="inlineStr">
        <is>
          <t>Broker</t>
        </is>
      </c>
      <c r="D20" t="n">
        <v>513</v>
      </c>
      <c r="E20" t="n">
        <v>131</v>
      </c>
      <c r="F20">
        <f>IF(AND('_pockets'!$AI$131="Yes",'_pockets'!$AJ$131="Yes"),1,0)</f>
        <v/>
      </c>
      <c r="G20">
        <f>G19+F20</f>
        <v/>
      </c>
    </row>
    <row r="21">
      <c r="A21" t="inlineStr">
        <is>
          <t>top</t>
        </is>
      </c>
      <c r="B21" t="inlineStr">
        <is>
          <t>FICO 654 - 685</t>
        </is>
      </c>
      <c r="C21" t="inlineStr">
        <is>
          <t>Online</t>
        </is>
      </c>
      <c r="D21" t="n">
        <v>505</v>
      </c>
      <c r="E21" t="n">
        <v>71</v>
      </c>
      <c r="F21">
        <f>IF(AND('_pockets'!$AI$71="Yes",'_pockets'!$AJ$71="Yes"),1,0)</f>
        <v/>
      </c>
      <c r="G21">
        <f>G20+F21</f>
        <v/>
      </c>
    </row>
    <row r="22">
      <c r="A22" t="inlineStr">
        <is>
          <t>top</t>
        </is>
      </c>
      <c r="B22" t="inlineStr">
        <is>
          <t>FICO 654 - 685</t>
        </is>
      </c>
      <c r="C22" t="inlineStr">
        <is>
          <t>Broker</t>
        </is>
      </c>
      <c r="D22" t="n">
        <v>531</v>
      </c>
      <c r="E22" t="n">
        <v>76</v>
      </c>
      <c r="F22">
        <f>IF(AND('_pockets'!$AI$76="Yes",'_pockets'!$AJ$76="Yes"),1,0)</f>
        <v/>
      </c>
      <c r="G22">
        <f>G21+F22</f>
        <v/>
      </c>
    </row>
    <row r="23">
      <c r="A23" t="inlineStr">
        <is>
          <t>top</t>
        </is>
      </c>
      <c r="B23" t="inlineStr">
        <is>
          <t>SHORT_HIST 0.0 - 88.9</t>
        </is>
      </c>
      <c r="C23" t="inlineStr">
        <is>
          <t>Online</t>
        </is>
      </c>
      <c r="D23" t="n">
        <v>528</v>
      </c>
      <c r="E23" t="n">
        <v>146</v>
      </c>
      <c r="F23">
        <f>IF(AND('_pockets'!$AI$146="Yes",'_pockets'!$AJ$146="Yes"),1,0)</f>
        <v/>
      </c>
      <c r="G23">
        <f>G22+F23</f>
        <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A203"/>
  <sheetViews>
    <sheetView tabSelected="0" workbookViewId="0">
      <selection activeCell="A1" sqref="A1"/>
    </sheetView>
  </sheetViews>
  <sheetFormatPr baseColWidth="8" defaultRowHeight="15"/>
  <sheetData>
    <row r="1">
      <c r="A1" t="inlineStr">
        <is>
          <t>columns</t>
        </is>
      </c>
      <c r="B1" t="inlineStr">
        <is>
          <t>FICO</t>
        </is>
      </c>
      <c r="C1" t="inlineStr">
        <is>
          <t>ORIG_BAL</t>
        </is>
      </c>
      <c r="D1" t="inlineStr">
        <is>
          <t>REV_DEBT</t>
        </is>
      </c>
      <c r="E1" t="inlineStr">
        <is>
          <t>SHORT_HIST</t>
        </is>
      </c>
    </row>
    <row r="2">
      <c r="A2" t="n">
        <v>90</v>
      </c>
      <c r="B2" t="inlineStr">
        <is>
          <t>slice from</t>
        </is>
      </c>
      <c r="C2" t="inlineStr">
        <is>
          <t>middle</t>
        </is>
      </c>
      <c r="D2" t="inlineStr">
        <is>
          <t>loans</t>
        </is>
      </c>
      <c r="G2" t="inlineStr">
        <is>
          <t>bar from</t>
        </is>
      </c>
      <c r="H2" t="inlineStr">
        <is>
          <t>bar loans</t>
        </is>
      </c>
      <c r="I2" t="inlineStr">
        <is>
          <t>chart label</t>
        </is>
      </c>
      <c r="J2" t="inlineStr">
        <is>
          <t>chart loans</t>
        </is>
      </c>
      <c r="K2" t="inlineStr">
        <is>
          <t>edge x</t>
        </is>
      </c>
      <c r="L2" t="inlineStr">
        <is>
          <t>edge y</t>
        </is>
      </c>
      <c r="M2" t="inlineStr">
        <is>
          <t>edge</t>
        </is>
      </c>
      <c r="N2" t="inlineStr">
        <is>
          <t>bar label</t>
        </is>
      </c>
      <c r="O2" t="inlineStr">
        <is>
          <t>slice from</t>
        </is>
      </c>
      <c r="P2" t="inlineStr">
        <is>
          <t>middle</t>
        </is>
      </c>
      <c r="Q2" t="inlineStr">
        <is>
          <t>loans</t>
        </is>
      </c>
      <c r="T2" t="inlineStr">
        <is>
          <t>bar from</t>
        </is>
      </c>
      <c r="U2" t="inlineStr">
        <is>
          <t>bar loans</t>
        </is>
      </c>
      <c r="V2" t="inlineStr">
        <is>
          <t>chart label</t>
        </is>
      </c>
      <c r="W2" t="inlineStr">
        <is>
          <t>chart loans</t>
        </is>
      </c>
      <c r="X2" t="inlineStr">
        <is>
          <t>edge x</t>
        </is>
      </c>
      <c r="Y2" t="inlineStr">
        <is>
          <t>edge y</t>
        </is>
      </c>
      <c r="Z2" t="inlineStr">
        <is>
          <t>edge</t>
        </is>
      </c>
      <c r="AA2" t="inlineStr">
        <is>
          <t>bar label</t>
        </is>
      </c>
      <c r="AB2" t="inlineStr">
        <is>
          <t>slice from</t>
        </is>
      </c>
      <c r="AC2" t="inlineStr">
        <is>
          <t>middle</t>
        </is>
      </c>
      <c r="AD2" t="inlineStr">
        <is>
          <t>loans</t>
        </is>
      </c>
      <c r="AG2" t="inlineStr">
        <is>
          <t>bar from</t>
        </is>
      </c>
      <c r="AH2" t="inlineStr">
        <is>
          <t>bar loans</t>
        </is>
      </c>
      <c r="AI2" t="inlineStr">
        <is>
          <t>chart label</t>
        </is>
      </c>
      <c r="AJ2" t="inlineStr">
        <is>
          <t>chart loans</t>
        </is>
      </c>
      <c r="AK2" t="inlineStr">
        <is>
          <t>edge x</t>
        </is>
      </c>
      <c r="AL2" t="inlineStr">
        <is>
          <t>edge y</t>
        </is>
      </c>
      <c r="AM2" t="inlineStr">
        <is>
          <t>edge</t>
        </is>
      </c>
      <c r="AN2" t="inlineStr">
        <is>
          <t>bar label</t>
        </is>
      </c>
      <c r="AO2" t="inlineStr">
        <is>
          <t>slice from</t>
        </is>
      </c>
      <c r="AP2" t="inlineStr">
        <is>
          <t>middle</t>
        </is>
      </c>
      <c r="AQ2" t="inlineStr">
        <is>
          <t>loans</t>
        </is>
      </c>
      <c r="AT2" t="inlineStr">
        <is>
          <t>bar from</t>
        </is>
      </c>
      <c r="AU2" t="inlineStr">
        <is>
          <t>bar loans</t>
        </is>
      </c>
      <c r="AV2" t="inlineStr">
        <is>
          <t>chart label</t>
        </is>
      </c>
      <c r="AW2" t="inlineStr">
        <is>
          <t>chart loans</t>
        </is>
      </c>
      <c r="AX2" t="inlineStr">
        <is>
          <t>edge x</t>
        </is>
      </c>
      <c r="AY2" t="inlineStr">
        <is>
          <t>edge y</t>
        </is>
      </c>
      <c r="AZ2" t="inlineStr">
        <is>
          <t>edge</t>
        </is>
      </c>
      <c r="BA2" t="inlineStr">
        <is>
          <t>bar label</t>
        </is>
      </c>
    </row>
    <row r="3">
      <c r="A3" t="inlineStr">
        <is>
          <t>REV_DEBT|FICO,SHORT_HIST</t>
        </is>
      </c>
      <c r="B3" t="inlineStr">
        <is>
          <t>FICO</t>
        </is>
      </c>
      <c r="O3" t="inlineStr">
        <is>
          <t>ORIG_BAL</t>
        </is>
      </c>
      <c r="AB3" t="inlineStr">
        <is>
          <t>REV_DEBT</t>
        </is>
      </c>
      <c r="AO3" t="inlineStr">
        <is>
          <t>SHORT_HIST</t>
        </is>
      </c>
    </row>
    <row r="4">
      <c r="A4" t="inlineStr">
        <is>
          <t>FICO:None:None:[-9999.0]|SHORT_HIST:0.0:None:[]</t>
        </is>
      </c>
      <c r="B4" t="n">
        <v>550</v>
      </c>
      <c r="C4" t="n">
        <v>550.75</v>
      </c>
      <c r="D4" t="n">
        <v>3</v>
      </c>
      <c r="E4" t="inlineStr">
        <is>
          <t>column</t>
        </is>
      </c>
      <c r="F4" t="inlineStr">
        <is>
          <t>FICO</t>
        </is>
      </c>
      <c r="G4">
        <f>IF(1&lt;=$F$13,$F$14+(1-1)*$F$16,"")</f>
        <v/>
      </c>
      <c r="H4">
        <f>IF(1&gt;$F$13,"",SUMIFS($D$4:$D$203,$C$4:$C$203,"&gt;="&amp;$G$4,$C$4:$C$203,IF(1=$F$13,"&lt;=","&lt;")&amp;($G$4+$F$16)))</f>
        <v/>
      </c>
      <c r="I4">
        <f>""</f>
        <v/>
      </c>
      <c r="J4">
        <f>IF(AND(1&gt;=11-$F$17,1&lt;=9),$F$18,0)</f>
        <v/>
      </c>
      <c r="K4">
        <f>IFERROR(IF(AND($M$4&gt;=$F$14,$M$4&lt;=$F$15),10+0.5+100*($M$4-$F$14)/($F$15-$F$14),NA()),NA())</f>
        <v/>
      </c>
      <c r="L4">
        <f>IF(ISNA($K$4),NA(),0)</f>
        <v/>
      </c>
      <c r="M4">
        <f>IFERROR(IF(LEFT(LOWER(TRIM($F$20)),5)="every",IF(((INT($F$11/VALUE(TRIM(MID(TRIM($F$20),6,99))))*VALUE(TRIM(MID(TRIM($F$20),6,99)))+VALUE(TRIM(MID(TRIM($F$20),6,99))))+0*VALUE(TRIM(MID(TRIM($F$20),6,99))))&lt;=$F$12,((INT($F$11/VALUE(TRIM(MID(TRIM($F$20),6,99))))*VALUE(TRIM(MID(TRIM($F$20),6,99)))+VALUE(TRIM(MID(TRIM($F$20),6,99))))+0*VALUE(TRIM(MID(TRIM($F$20),6,99)))),NA()),VALUE(TRIM(MID(SUBSTITUTE(SUBSTITUTE(SUBSTITUTE(TRIM($F$20),",",";")," ",""),";",REPT(" ",99)),1,99)))),NA())</f>
        <v/>
      </c>
      <c r="N4">
        <f>IF($G$4="","",IFERROR(IF(ABS($G$4)&gt;=1000000,ROUND($G$4/1000000,MAX(0,1-INT(LOG10($F$27/1000000))))&amp;"M",IF(ABS($G$4)&gt;=1000,ROUND($G$4/1000,MAX(0,1-INT(LOG10($F$27/1000))))&amp;"k",TEXT($G$4,"#,##0"))),TEXT($G$4,"#,##0")))</f>
        <v/>
      </c>
      <c r="O4" t="n">
        <v>0</v>
      </c>
      <c r="P4" t="n">
        <v>150</v>
      </c>
      <c r="Q4" t="n">
        <v>0</v>
      </c>
      <c r="R4" t="inlineStr">
        <is>
          <t>column</t>
        </is>
      </c>
      <c r="S4" t="inlineStr">
        <is>
          <t>ORIG_BAL</t>
        </is>
      </c>
      <c r="T4">
        <f>IF(1&lt;=$S$13,$S$14+(1-1)*$S$16,"")</f>
        <v/>
      </c>
      <c r="U4">
        <f>IF(1&gt;$S$13,"",SUMIFS($Q$4:$Q$203,$P$4:$P$203,"&gt;="&amp;$T$4,$P$4:$P$203,IF(1=$S$13,"&lt;=","&lt;")&amp;($T$4+$S$16)))</f>
        <v/>
      </c>
      <c r="V4">
        <f>""</f>
        <v/>
      </c>
      <c r="W4">
        <f>IF(AND(1&gt;=11-$S$17,1&lt;=9),$S$18,0)</f>
        <v/>
      </c>
      <c r="X4">
        <f>IFERROR(IF(AND($Z$4&gt;=$S$14,$Z$4&lt;=$S$15),10+0.5+100*($Z$4-$S$14)/($S$15-$S$14),NA()),NA())</f>
        <v/>
      </c>
      <c r="Y4">
        <f>IF(ISNA($X$4),NA(),0)</f>
        <v/>
      </c>
      <c r="Z4">
        <f>IFERROR(IF(LEFT(LOWER(TRIM($S$20)),5)="every",IF(((INT($S$11/VALUE(TRIM(MID(TRIM($S$20),6,99))))*VALUE(TRIM(MID(TRIM($S$20),6,99)))+VALUE(TRIM(MID(TRIM($S$20),6,99))))+0*VALUE(TRIM(MID(TRIM($S$20),6,99))))&lt;=$S$12,((INT($S$11/VALUE(TRIM(MID(TRIM($S$20),6,99))))*VALUE(TRIM(MID(TRIM($S$20),6,99)))+VALUE(TRIM(MID(TRIM($S$20),6,99))))+0*VALUE(TRIM(MID(TRIM($S$20),6,99)))),NA()),VALUE(TRIM(MID(SUBSTITUTE(SUBSTITUTE(SUBSTITUTE(TRIM($S$20),",",";")," ",""),";",REPT(" ",99)),1,99)))),NA())</f>
        <v/>
      </c>
      <c r="AA4">
        <f>IF($T$4="","",IFERROR(IF(ABS($T$4)&gt;=1000000,ROUND($T$4/1000000,MAX(0,1-INT(LOG10($S$27/1000000))))&amp;"M",IF(ABS($T$4)&gt;=1000,ROUND($T$4/1000,MAX(0,1-INT(LOG10($S$27/1000))))&amp;"k",TEXT($T$4,"#,##0"))),TEXT($T$4,"#,##0")))</f>
        <v/>
      </c>
      <c r="AB4" t="n">
        <v>0</v>
      </c>
      <c r="AC4" t="n">
        <v>75</v>
      </c>
      <c r="AD4" t="n">
        <v>108</v>
      </c>
      <c r="AE4" t="inlineStr">
        <is>
          <t>column</t>
        </is>
      </c>
      <c r="AF4" t="inlineStr">
        <is>
          <t>REV_DEBT</t>
        </is>
      </c>
      <c r="AG4">
        <f>IF(1&lt;=$AF$13,$AF$14+(1-1)*$AF$16,"")</f>
        <v/>
      </c>
      <c r="AH4">
        <f>IF(1&gt;$AF$13,"",SUMIFS($AD$4:$AD$203,$AC$4:$AC$203,"&gt;="&amp;$AG$4,$AC$4:$AC$203,IF(1=$AF$13,"&lt;=","&lt;")&amp;($AG$4+$AF$16)))</f>
        <v/>
      </c>
      <c r="AI4">
        <f>""</f>
        <v/>
      </c>
      <c r="AJ4">
        <f>IF(AND(1&gt;=11-$AF$17,1&lt;=9),$AF$18,0)</f>
        <v/>
      </c>
      <c r="AK4">
        <f>IFERROR(IF(AND($AM$4&gt;=$AF$14,$AM$4&lt;=$AF$15),10+0.5+100*($AM$4-$AF$14)/($AF$15-$AF$14),NA()),NA())</f>
        <v/>
      </c>
      <c r="AL4">
        <f>IF(ISNA($AK$4),NA(),0)</f>
        <v/>
      </c>
      <c r="AM4">
        <f>IFERROR(IF(LEFT(LOWER(TRIM($AF$20)),5)="every",IF(((INT($AF$11/VALUE(TRIM(MID(TRIM($AF$20),6,99))))*VALUE(TRIM(MID(TRIM($AF$20),6,99)))+VALUE(TRIM(MID(TRIM($AF$20),6,99))))+0*VALUE(TRIM(MID(TRIM($AF$20),6,99))))&lt;=$AF$12,((INT($AF$11/VALUE(TRIM(MID(TRIM($AF$20),6,99))))*VALUE(TRIM(MID(TRIM($AF$20),6,99)))+VALUE(TRIM(MID(TRIM($AF$20),6,99))))+0*VALUE(TRIM(MID(TRIM($AF$20),6,99)))),NA()),VALUE(TRIM(MID(SUBSTITUTE(SUBSTITUTE(SUBSTITUTE(TRIM($AF$20),",",";")," ",""),";",REPT(" ",99)),1,99)))),NA())</f>
        <v/>
      </c>
      <c r="AN4">
        <f>IF($AG$4="","",IFERROR(IF(ABS($AG$4)&gt;=1000000,ROUND($AG$4/1000000,MAX(0,1-INT(LOG10($AF$27/1000000))))&amp;"M",IF(ABS($AG$4)&gt;=1000,ROUND($AG$4/1000,MAX(0,1-INT(LOG10($AF$27/1000))))&amp;"k",TEXT($AG$4,"#,##0"))),TEXT($AG$4,"#,##0")))</f>
        <v/>
      </c>
      <c r="AO4" t="n">
        <v>0</v>
      </c>
      <c r="AP4" t="n">
        <v>1.125</v>
      </c>
      <c r="AQ4" t="n">
        <v>49</v>
      </c>
      <c r="AR4" t="inlineStr">
        <is>
          <t>column</t>
        </is>
      </c>
      <c r="AS4" t="inlineStr">
        <is>
          <t>SHORT_HIST</t>
        </is>
      </c>
      <c r="AT4">
        <f>IF(1&lt;=$AS$13,$AS$14+(1-1)*$AS$16,"")</f>
        <v/>
      </c>
      <c r="AU4">
        <f>IF(1&gt;$AS$13,"",SUMIFS($AQ$4:$AQ$203,$AP$4:$AP$203,"&gt;="&amp;$AT$4,$AP$4:$AP$203,IF(1=$AS$13,"&lt;=","&lt;")&amp;($AT$4+$AS$16)))</f>
        <v/>
      </c>
      <c r="AV4">
        <f>""</f>
        <v/>
      </c>
      <c r="AW4">
        <f>IF(AND(1&gt;=11-$AS$17,1&lt;=9),$AS$18,0)</f>
        <v/>
      </c>
      <c r="AX4">
        <f>IFERROR(IF(AND($AZ$4&gt;=$AS$14,$AZ$4&lt;=$AS$15),10+0.5+100*($AZ$4-$AS$14)/($AS$15-$AS$14),NA()),NA())</f>
        <v/>
      </c>
      <c r="AY4">
        <f>IF(ISNA($AX$4),NA(),0)</f>
        <v/>
      </c>
      <c r="AZ4">
        <f>IFERROR(IF(LEFT(LOWER(TRIM($AS$20)),5)="every",IF(((INT($AS$11/VALUE(TRIM(MID(TRIM($AS$20),6,99))))*VALUE(TRIM(MID(TRIM($AS$20),6,99)))+VALUE(TRIM(MID(TRIM($AS$20),6,99))))+0*VALUE(TRIM(MID(TRIM($AS$20),6,99))))&lt;=$AS$12,((INT($AS$11/VALUE(TRIM(MID(TRIM($AS$20),6,99))))*VALUE(TRIM(MID(TRIM($AS$20),6,99)))+VALUE(TRIM(MID(TRIM($AS$20),6,99))))+0*VALUE(TRIM(MID(TRIM($AS$20),6,99)))),NA()),VALUE(TRIM(MID(SUBSTITUTE(SUBSTITUTE(SUBSTITUTE(TRIM($AS$20),",",";")," ",""),";",REPT(" ",99)),1,99)))),NA())</f>
        <v/>
      </c>
      <c r="BA4">
        <f>IF($AT$4="","",IFERROR(IF(ABS($AT$4)&gt;=1000000,ROUND($AT$4/1000000,MAX(0,1-INT(LOG10($AS$27/1000000))))&amp;"M",IF(ABS($AT$4)&gt;=1000,ROUND($AT$4/1000,MAX(0,1-INT(LOG10($AS$27/1000))))&amp;"k",TEXT($AT$4,"#,##0"))),TEXT($AT$4,"#,##0")))</f>
        <v/>
      </c>
    </row>
    <row r="5">
      <c r="B5" t="n">
        <v>551.5</v>
      </c>
      <c r="C5" t="n">
        <v>552.25</v>
      </c>
      <c r="D5" t="n">
        <v>0</v>
      </c>
      <c r="E5" t="inlineStr">
        <is>
          <t>slices from</t>
        </is>
      </c>
      <c r="F5" t="n">
        <v>550</v>
      </c>
      <c r="G5">
        <f>IF(2&lt;=$F$13,$F$14+(2-1)*$F$16,"")</f>
        <v/>
      </c>
      <c r="H5">
        <f>IF(2&gt;$F$13,"",SUMIFS($D$4:$D$203,$C$4:$C$203,"&gt;="&amp;$G$5,$C$4:$C$203,IF(2=$F$13,"&lt;=","&lt;")&amp;($G$5+$F$16)))</f>
        <v/>
      </c>
      <c r="I5">
        <f>""</f>
        <v/>
      </c>
      <c r="J5">
        <f>IF(AND(2&gt;=11-$F$17,2&lt;=9),$F$18,0)</f>
        <v/>
      </c>
      <c r="K5">
        <f>IFERROR(IF(AND($M$4&gt;=$F$14,$M$4&lt;=$F$15),10+0.5+100*($M$4-$F$14)/($F$15-$F$14),NA()),NA())</f>
        <v/>
      </c>
      <c r="L5">
        <f>IF(ISNA($K$5),NA(),MAX($J$4:$J$123))</f>
        <v/>
      </c>
      <c r="M5">
        <f>IFERROR(IF(LEFT(LOWER(TRIM($F$20)),5)="every",IF(((INT($F$11/VALUE(TRIM(MID(TRIM($F$20),6,99))))*VALUE(TRIM(MID(TRIM($F$20),6,99)))+VALUE(TRIM(MID(TRIM($F$20),6,99))))+1*VALUE(TRIM(MID(TRIM($F$20),6,99))))&lt;=$F$12,((INT($F$11/VALUE(TRIM(MID(TRIM($F$20),6,99))))*VALUE(TRIM(MID(TRIM($F$20),6,99)))+VALUE(TRIM(MID(TRIM($F$20),6,99))))+1*VALUE(TRIM(MID(TRIM($F$20),6,99)))),NA()),VALUE(TRIM(MID(SUBSTITUTE(SUBSTITUTE(SUBSTITUTE(TRIM($F$20),",",";")," ",""),";",REPT(" ",99)),100,99)))),NA())</f>
        <v/>
      </c>
      <c r="N5">
        <f>IF($G$5="","",IFERROR(IF(ABS($G$5)&gt;=1000000,ROUND($G$5/1000000,MAX(0,1-INT(LOG10($F$27/1000000))))&amp;"M",IF(ABS($G$5)&gt;=1000,ROUND($G$5/1000,MAX(0,1-INT(LOG10($F$27/1000))))&amp;"k",TEXT($G$5,"#,##0"))),TEXT($G$5,"#,##0")))</f>
        <v/>
      </c>
      <c r="O5" t="n">
        <v>300</v>
      </c>
      <c r="P5" t="n">
        <v>450</v>
      </c>
      <c r="Q5" t="n">
        <v>0</v>
      </c>
      <c r="R5" t="inlineStr">
        <is>
          <t>slices from</t>
        </is>
      </c>
      <c r="S5" t="n">
        <v>0</v>
      </c>
      <c r="T5">
        <f>IF(2&lt;=$S$13,$S$14+(2-1)*$S$16,"")</f>
        <v/>
      </c>
      <c r="U5">
        <f>IF(2&gt;$S$13,"",SUMIFS($Q$4:$Q$203,$P$4:$P$203,"&gt;="&amp;$T$5,$P$4:$P$203,IF(2=$S$13,"&lt;=","&lt;")&amp;($T$5+$S$16)))</f>
        <v/>
      </c>
      <c r="V5">
        <f>""</f>
        <v/>
      </c>
      <c r="W5">
        <f>IF(AND(2&gt;=11-$S$17,2&lt;=9),$S$18,0)</f>
        <v/>
      </c>
      <c r="X5">
        <f>IFERROR(IF(AND($Z$4&gt;=$S$14,$Z$4&lt;=$S$15),10+0.5+100*($Z$4-$S$14)/($S$15-$S$14),NA()),NA())</f>
        <v/>
      </c>
      <c r="Y5">
        <f>IF(ISNA($X$5),NA(),MAX($W$4:$W$123))</f>
        <v/>
      </c>
      <c r="Z5">
        <f>IFERROR(IF(LEFT(LOWER(TRIM($S$20)),5)="every",IF(((INT($S$11/VALUE(TRIM(MID(TRIM($S$20),6,99))))*VALUE(TRIM(MID(TRIM($S$20),6,99)))+VALUE(TRIM(MID(TRIM($S$20),6,99))))+1*VALUE(TRIM(MID(TRIM($S$20),6,99))))&lt;=$S$12,((INT($S$11/VALUE(TRIM(MID(TRIM($S$20),6,99))))*VALUE(TRIM(MID(TRIM($S$20),6,99)))+VALUE(TRIM(MID(TRIM($S$20),6,99))))+1*VALUE(TRIM(MID(TRIM($S$20),6,99)))),NA()),VALUE(TRIM(MID(SUBSTITUTE(SUBSTITUTE(SUBSTITUTE(TRIM($S$20),",",";")," ",""),";",REPT(" ",99)),100,99)))),NA())</f>
        <v/>
      </c>
      <c r="AA5">
        <f>IF($T$5="","",IFERROR(IF(ABS($T$5)&gt;=1000000,ROUND($T$5/1000000,MAX(0,1-INT(LOG10($S$27/1000000))))&amp;"M",IF(ABS($T$5)&gt;=1000,ROUND($T$5/1000,MAX(0,1-INT(LOG10($S$27/1000))))&amp;"k",TEXT($T$5,"#,##0"))),TEXT($T$5,"#,##0")))</f>
        <v/>
      </c>
      <c r="AB5" t="n">
        <v>150</v>
      </c>
      <c r="AC5" t="n">
        <v>225</v>
      </c>
      <c r="AD5" t="n">
        <v>12</v>
      </c>
      <c r="AE5" t="inlineStr">
        <is>
          <t>slices from</t>
        </is>
      </c>
      <c r="AF5" t="n">
        <v>0</v>
      </c>
      <c r="AG5">
        <f>IF(2&lt;=$AF$13,$AF$14+(2-1)*$AF$16,"")</f>
        <v/>
      </c>
      <c r="AH5">
        <f>IF(2&gt;$AF$13,"",SUMIFS($AD$4:$AD$203,$AC$4:$AC$203,"&gt;="&amp;$AG$5,$AC$4:$AC$203,IF(2=$AF$13,"&lt;=","&lt;")&amp;($AG$5+$AF$16)))</f>
        <v/>
      </c>
      <c r="AI5">
        <f>""</f>
        <v/>
      </c>
      <c r="AJ5">
        <f>IF(AND(2&gt;=11-$AF$17,2&lt;=9),$AF$18,0)</f>
        <v/>
      </c>
      <c r="AK5">
        <f>IFERROR(IF(AND($AM$4&gt;=$AF$14,$AM$4&lt;=$AF$15),10+0.5+100*($AM$4-$AF$14)/($AF$15-$AF$14),NA()),NA())</f>
        <v/>
      </c>
      <c r="AL5">
        <f>IF(ISNA($AK$5),NA(),MAX($AJ$4:$AJ$123))</f>
        <v/>
      </c>
      <c r="AM5">
        <f>IFERROR(IF(LEFT(LOWER(TRIM($AF$20)),5)="every",IF(((INT($AF$11/VALUE(TRIM(MID(TRIM($AF$20),6,99))))*VALUE(TRIM(MID(TRIM($AF$20),6,99)))+VALUE(TRIM(MID(TRIM($AF$20),6,99))))+1*VALUE(TRIM(MID(TRIM($AF$20),6,99))))&lt;=$AF$12,((INT($AF$11/VALUE(TRIM(MID(TRIM($AF$20),6,99))))*VALUE(TRIM(MID(TRIM($AF$20),6,99)))+VALUE(TRIM(MID(TRIM($AF$20),6,99))))+1*VALUE(TRIM(MID(TRIM($AF$20),6,99)))),NA()),VALUE(TRIM(MID(SUBSTITUTE(SUBSTITUTE(SUBSTITUTE(TRIM($AF$20),",",";")," ",""),";",REPT(" ",99)),100,99)))),NA())</f>
        <v/>
      </c>
      <c r="AN5">
        <f>IF($AG$5="","",IFERROR(IF(ABS($AG$5)&gt;=1000000,ROUND($AG$5/1000000,MAX(0,1-INT(LOG10($AF$27/1000000))))&amp;"M",IF(ABS($AG$5)&gt;=1000,ROUND($AG$5/1000,MAX(0,1-INT(LOG10($AF$27/1000))))&amp;"k",TEXT($AG$5,"#,##0"))),TEXT($AG$5,"#,##0")))</f>
        <v/>
      </c>
      <c r="AO5" t="n">
        <v>2.25</v>
      </c>
      <c r="AP5" t="n">
        <v>3.375</v>
      </c>
      <c r="AQ5" t="n">
        <v>35</v>
      </c>
      <c r="AR5" t="inlineStr">
        <is>
          <t>slices from</t>
        </is>
      </c>
      <c r="AS5" t="n">
        <v>0</v>
      </c>
      <c r="AT5">
        <f>IF(2&lt;=$AS$13,$AS$14+(2-1)*$AS$16,"")</f>
        <v/>
      </c>
      <c r="AU5">
        <f>IF(2&gt;$AS$13,"",SUMIFS($AQ$4:$AQ$203,$AP$4:$AP$203,"&gt;="&amp;$AT$5,$AP$4:$AP$203,IF(2=$AS$13,"&lt;=","&lt;")&amp;($AT$5+$AS$16)))</f>
        <v/>
      </c>
      <c r="AV5">
        <f>""</f>
        <v/>
      </c>
      <c r="AW5">
        <f>IF(AND(2&gt;=11-$AS$17,2&lt;=9),$AS$18,0)</f>
        <v/>
      </c>
      <c r="AX5">
        <f>IFERROR(IF(AND($AZ$4&gt;=$AS$14,$AZ$4&lt;=$AS$15),10+0.5+100*($AZ$4-$AS$14)/($AS$15-$AS$14),NA()),NA())</f>
        <v/>
      </c>
      <c r="AY5">
        <f>IF(ISNA($AX$5),NA(),MAX($AW$4:$AW$123))</f>
        <v/>
      </c>
      <c r="AZ5">
        <f>IFERROR(IF(LEFT(LOWER(TRIM($AS$20)),5)="every",IF(((INT($AS$11/VALUE(TRIM(MID(TRIM($AS$20),6,99))))*VALUE(TRIM(MID(TRIM($AS$20),6,99)))+VALUE(TRIM(MID(TRIM($AS$20),6,99))))+1*VALUE(TRIM(MID(TRIM($AS$20),6,99))))&lt;=$AS$12,((INT($AS$11/VALUE(TRIM(MID(TRIM($AS$20),6,99))))*VALUE(TRIM(MID(TRIM($AS$20),6,99)))+VALUE(TRIM(MID(TRIM($AS$20),6,99))))+1*VALUE(TRIM(MID(TRIM($AS$20),6,99)))),NA()),VALUE(TRIM(MID(SUBSTITUTE(SUBSTITUTE(SUBSTITUTE(TRIM($AS$20),",",";")," ",""),";",REPT(" ",99)),100,99)))),NA())</f>
        <v/>
      </c>
      <c r="BA5">
        <f>IF($AT$5="","",IFERROR(IF(ABS($AT$5)&gt;=1000000,ROUND($AT$5/1000000,MAX(0,1-INT(LOG10($AS$27/1000000))))&amp;"M",IF(ABS($AT$5)&gt;=1000,ROUND($AT$5/1000,MAX(0,1-INT(LOG10($AS$27/1000))))&amp;"k",TEXT($AT$5,"#,##0"))),TEXT($AT$5,"#,##0")))</f>
        <v/>
      </c>
    </row>
    <row r="6">
      <c r="B6" t="n">
        <v>553</v>
      </c>
      <c r="C6" t="n">
        <v>553.75</v>
      </c>
      <c r="D6" t="n">
        <v>4</v>
      </c>
      <c r="E6" t="inlineStr">
        <is>
          <t>slices to</t>
        </is>
      </c>
      <c r="F6" t="n">
        <v>850</v>
      </c>
      <c r="G6">
        <f>IF(3&lt;=$F$13,$F$14+(3-1)*$F$16,"")</f>
        <v/>
      </c>
      <c r="H6">
        <f>IF(3&gt;$F$13,"",SUMIFS($D$4:$D$203,$C$4:$C$203,"&gt;="&amp;$G$6,$C$4:$C$203,IF(3=$F$13,"&lt;=","&lt;")&amp;($G$6+$F$16)))</f>
        <v/>
      </c>
      <c r="I6">
        <f>""</f>
        <v/>
      </c>
      <c r="J6">
        <f>IF(AND(3&gt;=11-$F$17,3&lt;=9),$F$18,0)</f>
        <v/>
      </c>
      <c r="K6">
        <f>IFERROR(IF(AND($M$5&gt;=$F$14,$M$5&lt;=$F$15),10+0.5+100*($M$5-$F$14)/($F$15-$F$14),NA()),NA())</f>
        <v/>
      </c>
      <c r="L6">
        <f>IF(ISNA($K$6),NA(),0)</f>
        <v/>
      </c>
      <c r="M6">
        <f>IFERROR(IF(LEFT(LOWER(TRIM($F$20)),5)="every",IF(((INT($F$11/VALUE(TRIM(MID(TRIM($F$20),6,99))))*VALUE(TRIM(MID(TRIM($F$20),6,99)))+VALUE(TRIM(MID(TRIM($F$20),6,99))))+2*VALUE(TRIM(MID(TRIM($F$20),6,99))))&lt;=$F$12,((INT($F$11/VALUE(TRIM(MID(TRIM($F$20),6,99))))*VALUE(TRIM(MID(TRIM($F$20),6,99)))+VALUE(TRIM(MID(TRIM($F$20),6,99))))+2*VALUE(TRIM(MID(TRIM($F$20),6,99)))),NA()),VALUE(TRIM(MID(SUBSTITUTE(SUBSTITUTE(SUBSTITUTE(TRIM($F$20),",",";")," ",""),";",REPT(" ",99)),199,99)))),NA())</f>
        <v/>
      </c>
      <c r="N6">
        <f>IF($G$6="","",IFERROR(IF(ABS($G$6)&gt;=1000000,ROUND($G$6/1000000,MAX(0,1-INT(LOG10($F$27/1000000))))&amp;"M",IF(ABS($G$6)&gt;=1000,ROUND($G$6/1000,MAX(0,1-INT(LOG10($F$27/1000))))&amp;"k",TEXT($G$6,"#,##0"))),TEXT($G$6,"#,##0")))</f>
        <v/>
      </c>
      <c r="O6" t="n">
        <v>600</v>
      </c>
      <c r="P6" t="n">
        <v>750</v>
      </c>
      <c r="Q6" t="n">
        <v>0</v>
      </c>
      <c r="R6" t="inlineStr">
        <is>
          <t>slices to</t>
        </is>
      </c>
      <c r="S6" t="n">
        <v>60000</v>
      </c>
      <c r="T6">
        <f>IF(3&lt;=$S$13,$S$14+(3-1)*$S$16,"")</f>
        <v/>
      </c>
      <c r="U6">
        <f>IF(3&gt;$S$13,"",SUMIFS($Q$4:$Q$203,$P$4:$P$203,"&gt;="&amp;$T$6,$P$4:$P$203,IF(3=$S$13,"&lt;=","&lt;")&amp;($T$6+$S$16)))</f>
        <v/>
      </c>
      <c r="V6">
        <f>""</f>
        <v/>
      </c>
      <c r="W6">
        <f>IF(AND(3&gt;=11-$S$17,3&lt;=9),$S$18,0)</f>
        <v/>
      </c>
      <c r="X6">
        <f>IFERROR(IF(AND($Z$5&gt;=$S$14,$Z$5&lt;=$S$15),10+0.5+100*($Z$5-$S$14)/($S$15-$S$14),NA()),NA())</f>
        <v/>
      </c>
      <c r="Y6">
        <f>IF(ISNA($X$6),NA(),0)</f>
        <v/>
      </c>
      <c r="Z6">
        <f>IFERROR(IF(LEFT(LOWER(TRIM($S$20)),5)="every",IF(((INT($S$11/VALUE(TRIM(MID(TRIM($S$20),6,99))))*VALUE(TRIM(MID(TRIM($S$20),6,99)))+VALUE(TRIM(MID(TRIM($S$20),6,99))))+2*VALUE(TRIM(MID(TRIM($S$20),6,99))))&lt;=$S$12,((INT($S$11/VALUE(TRIM(MID(TRIM($S$20),6,99))))*VALUE(TRIM(MID(TRIM($S$20),6,99)))+VALUE(TRIM(MID(TRIM($S$20),6,99))))+2*VALUE(TRIM(MID(TRIM($S$20),6,99)))),NA()),VALUE(TRIM(MID(SUBSTITUTE(SUBSTITUTE(SUBSTITUTE(TRIM($S$20),",",";")," ",""),";",REPT(" ",99)),199,99)))),NA())</f>
        <v/>
      </c>
      <c r="AA6">
        <f>IF($T$6="","",IFERROR(IF(ABS($T$6)&gt;=1000000,ROUND($T$6/1000000,MAX(0,1-INT(LOG10($S$27/1000000))))&amp;"M",IF(ABS($T$6)&gt;=1000,ROUND($T$6/1000,MAX(0,1-INT(LOG10($S$27/1000))))&amp;"k",TEXT($T$6,"#,##0"))),TEXT($T$6,"#,##0")))</f>
        <v/>
      </c>
      <c r="AB6" t="n">
        <v>300</v>
      </c>
      <c r="AC6" t="n">
        <v>375</v>
      </c>
      <c r="AD6" t="n">
        <v>7</v>
      </c>
      <c r="AE6" t="inlineStr">
        <is>
          <t>slices to</t>
        </is>
      </c>
      <c r="AF6" t="n">
        <v>30000</v>
      </c>
      <c r="AG6">
        <f>IF(3&lt;=$AF$13,$AF$14+(3-1)*$AF$16,"")</f>
        <v/>
      </c>
      <c r="AH6">
        <f>IF(3&gt;$AF$13,"",SUMIFS($AD$4:$AD$203,$AC$4:$AC$203,"&gt;="&amp;$AG$6,$AC$4:$AC$203,IF(3=$AF$13,"&lt;=","&lt;")&amp;($AG$6+$AF$16)))</f>
        <v/>
      </c>
      <c r="AI6">
        <f>""</f>
        <v/>
      </c>
      <c r="AJ6">
        <f>IF(AND(3&gt;=11-$AF$17,3&lt;=9),$AF$18,0)</f>
        <v/>
      </c>
      <c r="AK6">
        <f>IFERROR(IF(AND($AM$5&gt;=$AF$14,$AM$5&lt;=$AF$15),10+0.5+100*($AM$5-$AF$14)/($AF$15-$AF$14),NA()),NA())</f>
        <v/>
      </c>
      <c r="AL6">
        <f>IF(ISNA($AK$6),NA(),0)</f>
        <v/>
      </c>
      <c r="AM6">
        <f>IFERROR(IF(LEFT(LOWER(TRIM($AF$20)),5)="every",IF(((INT($AF$11/VALUE(TRIM(MID(TRIM($AF$20),6,99))))*VALUE(TRIM(MID(TRIM($AF$20),6,99)))+VALUE(TRIM(MID(TRIM($AF$20),6,99))))+2*VALUE(TRIM(MID(TRIM($AF$20),6,99))))&lt;=$AF$12,((INT($AF$11/VALUE(TRIM(MID(TRIM($AF$20),6,99))))*VALUE(TRIM(MID(TRIM($AF$20),6,99)))+VALUE(TRIM(MID(TRIM($AF$20),6,99))))+2*VALUE(TRIM(MID(TRIM($AF$20),6,99)))),NA()),VALUE(TRIM(MID(SUBSTITUTE(SUBSTITUTE(SUBSTITUTE(TRIM($AF$20),",",";")," ",""),";",REPT(" ",99)),199,99)))),NA())</f>
        <v/>
      </c>
      <c r="AN6">
        <f>IF($AG$6="","",IFERROR(IF(ABS($AG$6)&gt;=1000000,ROUND($AG$6/1000000,MAX(0,1-INT(LOG10($AF$27/1000000))))&amp;"M",IF(ABS($AG$6)&gt;=1000,ROUND($AG$6/1000,MAX(0,1-INT(LOG10($AF$27/1000))))&amp;"k",TEXT($AG$6,"#,##0"))),TEXT($AG$6,"#,##0")))</f>
        <v/>
      </c>
      <c r="AO6" t="n">
        <v>4.5</v>
      </c>
      <c r="AP6" t="n">
        <v>5.625</v>
      </c>
      <c r="AQ6" t="n">
        <v>42</v>
      </c>
      <c r="AR6" t="inlineStr">
        <is>
          <t>slices to</t>
        </is>
      </c>
      <c r="AS6" t="n">
        <v>450</v>
      </c>
      <c r="AT6">
        <f>IF(3&lt;=$AS$13,$AS$14+(3-1)*$AS$16,"")</f>
        <v/>
      </c>
      <c r="AU6">
        <f>IF(3&gt;$AS$13,"",SUMIFS($AQ$4:$AQ$203,$AP$4:$AP$203,"&gt;="&amp;$AT$6,$AP$4:$AP$203,IF(3=$AS$13,"&lt;=","&lt;")&amp;($AT$6+$AS$16)))</f>
        <v/>
      </c>
      <c r="AV6">
        <f>""</f>
        <v/>
      </c>
      <c r="AW6">
        <f>IF(AND(3&gt;=11-$AS$17,3&lt;=9),$AS$18,0)</f>
        <v/>
      </c>
      <c r="AX6">
        <f>IFERROR(IF(AND($AZ$5&gt;=$AS$14,$AZ$5&lt;=$AS$15),10+0.5+100*($AZ$5-$AS$14)/($AS$15-$AS$14),NA()),NA())</f>
        <v/>
      </c>
      <c r="AY6">
        <f>IF(ISNA($AX$6),NA(),0)</f>
        <v/>
      </c>
      <c r="AZ6">
        <f>IFERROR(IF(LEFT(LOWER(TRIM($AS$20)),5)="every",IF(((INT($AS$11/VALUE(TRIM(MID(TRIM($AS$20),6,99))))*VALUE(TRIM(MID(TRIM($AS$20),6,99)))+VALUE(TRIM(MID(TRIM($AS$20),6,99))))+2*VALUE(TRIM(MID(TRIM($AS$20),6,99))))&lt;=$AS$12,((INT($AS$11/VALUE(TRIM(MID(TRIM($AS$20),6,99))))*VALUE(TRIM(MID(TRIM($AS$20),6,99)))+VALUE(TRIM(MID(TRIM($AS$20),6,99))))+2*VALUE(TRIM(MID(TRIM($AS$20),6,99)))),NA()),VALUE(TRIM(MID(SUBSTITUTE(SUBSTITUTE(SUBSTITUTE(TRIM($AS$20),",",";")," ",""),";",REPT(" ",99)),199,99)))),NA())</f>
        <v/>
      </c>
      <c r="BA6">
        <f>IF($AT$6="","",IFERROR(IF(ABS($AT$6)&gt;=1000000,ROUND($AT$6/1000000,MAX(0,1-INT(LOG10($AS$27/1000000))))&amp;"M",IF(ABS($AT$6)&gt;=1000,ROUND($AT$6/1000,MAX(0,1-INT(LOG10($AS$27/1000))))&amp;"k",TEXT($AT$6,"#,##0"))),TEXT($AT$6,"#,##0")))</f>
        <v/>
      </c>
    </row>
    <row r="7">
      <c r="B7" t="n">
        <v>554.5</v>
      </c>
      <c r="C7" t="n">
        <v>555.25</v>
      </c>
      <c r="D7" t="n">
        <v>1</v>
      </c>
      <c r="E7" t="inlineStr">
        <is>
          <t>loans below the slices</t>
        </is>
      </c>
      <c r="F7" t="n">
        <v>21</v>
      </c>
      <c r="G7">
        <f>IF(4&lt;=$F$13,$F$14+(4-1)*$F$16,"")</f>
        <v/>
      </c>
      <c r="H7">
        <f>IF(4&gt;$F$13,"",SUMIFS($D$4:$D$203,$C$4:$C$203,"&gt;="&amp;$G$7,$C$4:$C$203,IF(4=$F$13,"&lt;=","&lt;")&amp;($G$7+$F$16)))</f>
        <v/>
      </c>
      <c r="I7">
        <f>""</f>
        <v/>
      </c>
      <c r="J7">
        <f>IF(AND(4&gt;=11-$F$17,4&lt;=9),$F$18,0)</f>
        <v/>
      </c>
      <c r="K7">
        <f>IFERROR(IF(AND($M$5&gt;=$F$14,$M$5&lt;=$F$15),10+0.5+100*($M$5-$F$14)/($F$15-$F$14),NA()),NA())</f>
        <v/>
      </c>
      <c r="L7">
        <f>IF(ISNA($K$7),NA(),MAX($J$4:$J$123))</f>
        <v/>
      </c>
      <c r="M7">
        <f>IFERROR(IF(LEFT(LOWER(TRIM($F$20)),5)="every",IF(((INT($F$11/VALUE(TRIM(MID(TRIM($F$20),6,99))))*VALUE(TRIM(MID(TRIM($F$20),6,99)))+VALUE(TRIM(MID(TRIM($F$20),6,99))))+3*VALUE(TRIM(MID(TRIM($F$20),6,99))))&lt;=$F$12,((INT($F$11/VALUE(TRIM(MID(TRIM($F$20),6,99))))*VALUE(TRIM(MID(TRIM($F$20),6,99)))+VALUE(TRIM(MID(TRIM($F$20),6,99))))+3*VALUE(TRIM(MID(TRIM($F$20),6,99)))),NA()),VALUE(TRIM(MID(SUBSTITUTE(SUBSTITUTE(SUBSTITUTE(TRIM($F$20),",",";")," ",""),";",REPT(" ",99)),298,99)))),NA())</f>
        <v/>
      </c>
      <c r="N7">
        <f>IF($G$7="","",IFERROR(IF(ABS($G$7)&gt;=1000000,ROUND($G$7/1000000,MAX(0,1-INT(LOG10($F$27/1000000))))&amp;"M",IF(ABS($G$7)&gt;=1000,ROUND($G$7/1000,MAX(0,1-INT(LOG10($F$27/1000))))&amp;"k",TEXT($G$7,"#,##0"))),TEXT($G$7,"#,##0")))</f>
        <v/>
      </c>
      <c r="O7" t="n">
        <v>900</v>
      </c>
      <c r="P7" t="n">
        <v>1050</v>
      </c>
      <c r="Q7" t="n">
        <v>0</v>
      </c>
      <c r="R7" t="inlineStr">
        <is>
          <t>loans below the slices</t>
        </is>
      </c>
      <c r="S7" t="n">
        <v>0</v>
      </c>
      <c r="T7">
        <f>IF(4&lt;=$S$13,$S$14+(4-1)*$S$16,"")</f>
        <v/>
      </c>
      <c r="U7">
        <f>IF(4&gt;$S$13,"",SUMIFS($Q$4:$Q$203,$P$4:$P$203,"&gt;="&amp;$T$7,$P$4:$P$203,IF(4=$S$13,"&lt;=","&lt;")&amp;($T$7+$S$16)))</f>
        <v/>
      </c>
      <c r="V7">
        <f>""</f>
        <v/>
      </c>
      <c r="W7">
        <f>IF(AND(4&gt;=11-$S$17,4&lt;=9),$S$18,0)</f>
        <v/>
      </c>
      <c r="X7">
        <f>IFERROR(IF(AND($Z$5&gt;=$S$14,$Z$5&lt;=$S$15),10+0.5+100*($Z$5-$S$14)/($S$15-$S$14),NA()),NA())</f>
        <v/>
      </c>
      <c r="Y7">
        <f>IF(ISNA($X$7),NA(),MAX($W$4:$W$123))</f>
        <v/>
      </c>
      <c r="Z7">
        <f>IFERROR(IF(LEFT(LOWER(TRIM($S$20)),5)="every",IF(((INT($S$11/VALUE(TRIM(MID(TRIM($S$20),6,99))))*VALUE(TRIM(MID(TRIM($S$20),6,99)))+VALUE(TRIM(MID(TRIM($S$20),6,99))))+3*VALUE(TRIM(MID(TRIM($S$20),6,99))))&lt;=$S$12,((INT($S$11/VALUE(TRIM(MID(TRIM($S$20),6,99))))*VALUE(TRIM(MID(TRIM($S$20),6,99)))+VALUE(TRIM(MID(TRIM($S$20),6,99))))+3*VALUE(TRIM(MID(TRIM($S$20),6,99)))),NA()),VALUE(TRIM(MID(SUBSTITUTE(SUBSTITUTE(SUBSTITUTE(TRIM($S$20),",",";")," ",""),";",REPT(" ",99)),298,99)))),NA())</f>
        <v/>
      </c>
      <c r="AA7">
        <f>IF($T$7="","",IFERROR(IF(ABS($T$7)&gt;=1000000,ROUND($T$7/1000000,MAX(0,1-INT(LOG10($S$27/1000000))))&amp;"M",IF(ABS($T$7)&gt;=1000,ROUND($T$7/1000,MAX(0,1-INT(LOG10($S$27/1000))))&amp;"k",TEXT($T$7,"#,##0"))),TEXT($T$7,"#,##0")))</f>
        <v/>
      </c>
      <c r="AB7" t="n">
        <v>450</v>
      </c>
      <c r="AC7" t="n">
        <v>525</v>
      </c>
      <c r="AD7" t="n">
        <v>13</v>
      </c>
      <c r="AE7" t="inlineStr">
        <is>
          <t>loans below the slices</t>
        </is>
      </c>
      <c r="AF7" t="n">
        <v>0</v>
      </c>
      <c r="AG7">
        <f>IF(4&lt;=$AF$13,$AF$14+(4-1)*$AF$16,"")</f>
        <v/>
      </c>
      <c r="AH7">
        <f>IF(4&gt;$AF$13,"",SUMIFS($AD$4:$AD$203,$AC$4:$AC$203,"&gt;="&amp;$AG$7,$AC$4:$AC$203,IF(4=$AF$13,"&lt;=","&lt;")&amp;($AG$7+$AF$16)))</f>
        <v/>
      </c>
      <c r="AI7">
        <f>""</f>
        <v/>
      </c>
      <c r="AJ7">
        <f>IF(AND(4&gt;=11-$AF$17,4&lt;=9),$AF$18,0)</f>
        <v/>
      </c>
      <c r="AK7">
        <f>IFERROR(IF(AND($AM$5&gt;=$AF$14,$AM$5&lt;=$AF$15),10+0.5+100*($AM$5-$AF$14)/($AF$15-$AF$14),NA()),NA())</f>
        <v/>
      </c>
      <c r="AL7">
        <f>IF(ISNA($AK$7),NA(),MAX($AJ$4:$AJ$123))</f>
        <v/>
      </c>
      <c r="AM7">
        <f>IFERROR(IF(LEFT(LOWER(TRIM($AF$20)),5)="every",IF(((INT($AF$11/VALUE(TRIM(MID(TRIM($AF$20),6,99))))*VALUE(TRIM(MID(TRIM($AF$20),6,99)))+VALUE(TRIM(MID(TRIM($AF$20),6,99))))+3*VALUE(TRIM(MID(TRIM($AF$20),6,99))))&lt;=$AF$12,((INT($AF$11/VALUE(TRIM(MID(TRIM($AF$20),6,99))))*VALUE(TRIM(MID(TRIM($AF$20),6,99)))+VALUE(TRIM(MID(TRIM($AF$20),6,99))))+3*VALUE(TRIM(MID(TRIM($AF$20),6,99)))),NA()),VALUE(TRIM(MID(SUBSTITUTE(SUBSTITUTE(SUBSTITUTE(TRIM($AF$20),",",";")," ",""),";",REPT(" ",99)),298,99)))),NA())</f>
        <v/>
      </c>
      <c r="AN7">
        <f>IF($AG$7="","",IFERROR(IF(ABS($AG$7)&gt;=1000000,ROUND($AG$7/1000000,MAX(0,1-INT(LOG10($AF$27/1000000))))&amp;"M",IF(ABS($AG$7)&gt;=1000,ROUND($AG$7/1000,MAX(0,1-INT(LOG10($AF$27/1000))))&amp;"k",TEXT($AG$7,"#,##0"))),TEXT($AG$7,"#,##0")))</f>
        <v/>
      </c>
      <c r="AO7" t="n">
        <v>6.75</v>
      </c>
      <c r="AP7" t="n">
        <v>7.875</v>
      </c>
      <c r="AQ7" t="n">
        <v>22</v>
      </c>
      <c r="AR7" t="inlineStr">
        <is>
          <t>loans below the slices</t>
        </is>
      </c>
      <c r="AS7" t="n">
        <v>0</v>
      </c>
      <c r="AT7">
        <f>IF(4&lt;=$AS$13,$AS$14+(4-1)*$AS$16,"")</f>
        <v/>
      </c>
      <c r="AU7">
        <f>IF(4&gt;$AS$13,"",SUMIFS($AQ$4:$AQ$203,$AP$4:$AP$203,"&gt;="&amp;$AT$7,$AP$4:$AP$203,IF(4=$AS$13,"&lt;=","&lt;")&amp;($AT$7+$AS$16)))</f>
        <v/>
      </c>
      <c r="AV7">
        <f>""</f>
        <v/>
      </c>
      <c r="AW7">
        <f>IF(AND(4&gt;=11-$AS$17,4&lt;=9),$AS$18,0)</f>
        <v/>
      </c>
      <c r="AX7">
        <f>IFERROR(IF(AND($AZ$5&gt;=$AS$14,$AZ$5&lt;=$AS$15),10+0.5+100*($AZ$5-$AS$14)/($AS$15-$AS$14),NA()),NA())</f>
        <v/>
      </c>
      <c r="AY7">
        <f>IF(ISNA($AX$7),NA(),MAX($AW$4:$AW$123))</f>
        <v/>
      </c>
      <c r="AZ7">
        <f>IFERROR(IF(LEFT(LOWER(TRIM($AS$20)),5)="every",IF(((INT($AS$11/VALUE(TRIM(MID(TRIM($AS$20),6,99))))*VALUE(TRIM(MID(TRIM($AS$20),6,99)))+VALUE(TRIM(MID(TRIM($AS$20),6,99))))+3*VALUE(TRIM(MID(TRIM($AS$20),6,99))))&lt;=$AS$12,((INT($AS$11/VALUE(TRIM(MID(TRIM($AS$20),6,99))))*VALUE(TRIM(MID(TRIM($AS$20),6,99)))+VALUE(TRIM(MID(TRIM($AS$20),6,99))))+3*VALUE(TRIM(MID(TRIM($AS$20),6,99)))),NA()),VALUE(TRIM(MID(SUBSTITUTE(SUBSTITUTE(SUBSTITUTE(TRIM($AS$20),",",";")," ",""),";",REPT(" ",99)),298,99)))),NA())</f>
        <v/>
      </c>
      <c r="BA7">
        <f>IF($AT$7="","",IFERROR(IF(ABS($AT$7)&gt;=1000000,ROUND($AT$7/1000000,MAX(0,1-INT(LOG10($AS$27/1000000))))&amp;"M",IF(ABS($AT$7)&gt;=1000,ROUND($AT$7/1000,MAX(0,1-INT(LOG10($AS$27/1000))))&amp;"k",TEXT($AT$7,"#,##0"))),TEXT($AT$7,"#,##0")))</f>
        <v/>
      </c>
    </row>
    <row r="8">
      <c r="B8" t="n">
        <v>556</v>
      </c>
      <c r="C8" t="n">
        <v>556.75</v>
      </c>
      <c r="D8" t="n">
        <v>3</v>
      </c>
      <c r="E8" t="inlineStr">
        <is>
          <t>loans above the slices</t>
        </is>
      </c>
      <c r="F8" t="n">
        <v>28</v>
      </c>
      <c r="G8">
        <f>IF(5&lt;=$F$13,$F$14+(5-1)*$F$16,"")</f>
        <v/>
      </c>
      <c r="H8">
        <f>IF(5&gt;$F$13,"",SUMIFS($D$4:$D$203,$C$4:$C$203,"&gt;="&amp;$G$8,$C$4:$C$203,IF(5=$F$13,"&lt;=","&lt;")&amp;($G$8+$F$16)))</f>
        <v/>
      </c>
      <c r="I8">
        <f>""</f>
        <v/>
      </c>
      <c r="J8">
        <f>IF(AND(5&gt;=11-$F$17,5&lt;=9),$F$18,0)</f>
        <v/>
      </c>
      <c r="K8">
        <f>IFERROR(IF(AND($M$6&gt;=$F$14,$M$6&lt;=$F$15),10+0.5+100*($M$6-$F$14)/($F$15-$F$14),NA()),NA())</f>
        <v/>
      </c>
      <c r="L8">
        <f>IF(ISNA($K$8),NA(),0)</f>
        <v/>
      </c>
      <c r="M8">
        <f>IFERROR(IF(LEFT(LOWER(TRIM($F$20)),5)="every",IF(((INT($F$11/VALUE(TRIM(MID(TRIM($F$20),6,99))))*VALUE(TRIM(MID(TRIM($F$20),6,99)))+VALUE(TRIM(MID(TRIM($F$20),6,99))))+4*VALUE(TRIM(MID(TRIM($F$20),6,99))))&lt;=$F$12,((INT($F$11/VALUE(TRIM(MID(TRIM($F$20),6,99))))*VALUE(TRIM(MID(TRIM($F$20),6,99)))+VALUE(TRIM(MID(TRIM($F$20),6,99))))+4*VALUE(TRIM(MID(TRIM($F$20),6,99)))),NA()),VALUE(TRIM(MID(SUBSTITUTE(SUBSTITUTE(SUBSTITUTE(TRIM($F$20),",",";")," ",""),";",REPT(" ",99)),397,99)))),NA())</f>
        <v/>
      </c>
      <c r="N8">
        <f>IF($G$8="","",IFERROR(IF(ABS($G$8)&gt;=1000000,ROUND($G$8/1000000,MAX(0,1-INT(LOG10($F$27/1000000))))&amp;"M",IF(ABS($G$8)&gt;=1000,ROUND($G$8/1000,MAX(0,1-INT(LOG10($F$27/1000))))&amp;"k",TEXT($G$8,"#,##0"))),TEXT($G$8,"#,##0")))</f>
        <v/>
      </c>
      <c r="O8" t="n">
        <v>1200</v>
      </c>
      <c r="P8" t="n">
        <v>1350</v>
      </c>
      <c r="Q8" t="n">
        <v>0</v>
      </c>
      <c r="R8" t="inlineStr">
        <is>
          <t>loans above the slices</t>
        </is>
      </c>
      <c r="S8" t="n">
        <v>0</v>
      </c>
      <c r="T8">
        <f>IF(5&lt;=$S$13,$S$14+(5-1)*$S$16,"")</f>
        <v/>
      </c>
      <c r="U8">
        <f>IF(5&gt;$S$13,"",SUMIFS($Q$4:$Q$203,$P$4:$P$203,"&gt;="&amp;$T$8,$P$4:$P$203,IF(5=$S$13,"&lt;=","&lt;")&amp;($T$8+$S$16)))</f>
        <v/>
      </c>
      <c r="V8">
        <f>""</f>
        <v/>
      </c>
      <c r="W8">
        <f>IF(AND(5&gt;=11-$S$17,5&lt;=9),$S$18,0)</f>
        <v/>
      </c>
      <c r="X8">
        <f>IFERROR(IF(AND($Z$6&gt;=$S$14,$Z$6&lt;=$S$15),10+0.5+100*($Z$6-$S$14)/($S$15-$S$14),NA()),NA())</f>
        <v/>
      </c>
      <c r="Y8">
        <f>IF(ISNA($X$8),NA(),0)</f>
        <v/>
      </c>
      <c r="Z8">
        <f>IFERROR(IF(LEFT(LOWER(TRIM($S$20)),5)="every",IF(((INT($S$11/VALUE(TRIM(MID(TRIM($S$20),6,99))))*VALUE(TRIM(MID(TRIM($S$20),6,99)))+VALUE(TRIM(MID(TRIM($S$20),6,99))))+4*VALUE(TRIM(MID(TRIM($S$20),6,99))))&lt;=$S$12,((INT($S$11/VALUE(TRIM(MID(TRIM($S$20),6,99))))*VALUE(TRIM(MID(TRIM($S$20),6,99)))+VALUE(TRIM(MID(TRIM($S$20),6,99))))+4*VALUE(TRIM(MID(TRIM($S$20),6,99)))),NA()),VALUE(TRIM(MID(SUBSTITUTE(SUBSTITUTE(SUBSTITUTE(TRIM($S$20),",",";")," ",""),";",REPT(" ",99)),397,99)))),NA())</f>
        <v/>
      </c>
      <c r="AA8">
        <f>IF($T$8="","",IFERROR(IF(ABS($T$8)&gt;=1000000,ROUND($T$8/1000000,MAX(0,1-INT(LOG10($S$27/1000000))))&amp;"M",IF(ABS($T$8)&gt;=1000,ROUND($T$8/1000,MAX(0,1-INT(LOG10($S$27/1000))))&amp;"k",TEXT($T$8,"#,##0"))),TEXT($T$8,"#,##0")))</f>
        <v/>
      </c>
      <c r="AB8" t="n">
        <v>600</v>
      </c>
      <c r="AC8" t="n">
        <v>675</v>
      </c>
      <c r="AD8" t="n">
        <v>14</v>
      </c>
      <c r="AE8" t="inlineStr">
        <is>
          <t>loans above the slices</t>
        </is>
      </c>
      <c r="AF8" t="n">
        <v>74</v>
      </c>
      <c r="AG8">
        <f>IF(5&lt;=$AF$13,$AF$14+(5-1)*$AF$16,"")</f>
        <v/>
      </c>
      <c r="AH8">
        <f>IF(5&gt;$AF$13,"",SUMIFS($AD$4:$AD$203,$AC$4:$AC$203,"&gt;="&amp;$AG$8,$AC$4:$AC$203,IF(5=$AF$13,"&lt;=","&lt;")&amp;($AG$8+$AF$16)))</f>
        <v/>
      </c>
      <c r="AI8">
        <f>""</f>
        <v/>
      </c>
      <c r="AJ8">
        <f>IF(AND(5&gt;=11-$AF$17,5&lt;=9),$AF$18,0)</f>
        <v/>
      </c>
      <c r="AK8">
        <f>IFERROR(IF(AND($AM$6&gt;=$AF$14,$AM$6&lt;=$AF$15),10+0.5+100*($AM$6-$AF$14)/($AF$15-$AF$14),NA()),NA())</f>
        <v/>
      </c>
      <c r="AL8">
        <f>IF(ISNA($AK$8),NA(),0)</f>
        <v/>
      </c>
      <c r="AM8">
        <f>IFERROR(IF(LEFT(LOWER(TRIM($AF$20)),5)="every",IF(((INT($AF$11/VALUE(TRIM(MID(TRIM($AF$20),6,99))))*VALUE(TRIM(MID(TRIM($AF$20),6,99)))+VALUE(TRIM(MID(TRIM($AF$20),6,99))))+4*VALUE(TRIM(MID(TRIM($AF$20),6,99))))&lt;=$AF$12,((INT($AF$11/VALUE(TRIM(MID(TRIM($AF$20),6,99))))*VALUE(TRIM(MID(TRIM($AF$20),6,99)))+VALUE(TRIM(MID(TRIM($AF$20),6,99))))+4*VALUE(TRIM(MID(TRIM($AF$20),6,99)))),NA()),VALUE(TRIM(MID(SUBSTITUTE(SUBSTITUTE(SUBSTITUTE(TRIM($AF$20),",",";")," ",""),";",REPT(" ",99)),397,99)))),NA())</f>
        <v/>
      </c>
      <c r="AN8">
        <f>IF($AG$8="","",IFERROR(IF(ABS($AG$8)&gt;=1000000,ROUND($AG$8/1000000,MAX(0,1-INT(LOG10($AF$27/1000000))))&amp;"M",IF(ABS($AG$8)&gt;=1000,ROUND($AG$8/1000,MAX(0,1-INT(LOG10($AF$27/1000))))&amp;"k",TEXT($AG$8,"#,##0"))),TEXT($AG$8,"#,##0")))</f>
        <v/>
      </c>
      <c r="AO8" t="n">
        <v>9</v>
      </c>
      <c r="AP8" t="n">
        <v>10.125</v>
      </c>
      <c r="AQ8" t="n">
        <v>59</v>
      </c>
      <c r="AR8" t="inlineStr">
        <is>
          <t>loans above the slices</t>
        </is>
      </c>
      <c r="AS8" t="n">
        <v>0</v>
      </c>
      <c r="AT8">
        <f>IF(5&lt;=$AS$13,$AS$14+(5-1)*$AS$16,"")</f>
        <v/>
      </c>
      <c r="AU8">
        <f>IF(5&gt;$AS$13,"",SUMIFS($AQ$4:$AQ$203,$AP$4:$AP$203,"&gt;="&amp;$AT$8,$AP$4:$AP$203,IF(5=$AS$13,"&lt;=","&lt;")&amp;($AT$8+$AS$16)))</f>
        <v/>
      </c>
      <c r="AV8">
        <f>""</f>
        <v/>
      </c>
      <c r="AW8">
        <f>IF(AND(5&gt;=11-$AS$17,5&lt;=9),$AS$18,0)</f>
        <v/>
      </c>
      <c r="AX8">
        <f>IFERROR(IF(AND($AZ$6&gt;=$AS$14,$AZ$6&lt;=$AS$15),10+0.5+100*($AZ$6-$AS$14)/($AS$15-$AS$14),NA()),NA())</f>
        <v/>
      </c>
      <c r="AY8">
        <f>IF(ISNA($AX$8),NA(),0)</f>
        <v/>
      </c>
      <c r="AZ8">
        <f>IFERROR(IF(LEFT(LOWER(TRIM($AS$20)),5)="every",IF(((INT($AS$11/VALUE(TRIM(MID(TRIM($AS$20),6,99))))*VALUE(TRIM(MID(TRIM($AS$20),6,99)))+VALUE(TRIM(MID(TRIM($AS$20),6,99))))+4*VALUE(TRIM(MID(TRIM($AS$20),6,99))))&lt;=$AS$12,((INT($AS$11/VALUE(TRIM(MID(TRIM($AS$20),6,99))))*VALUE(TRIM(MID(TRIM($AS$20),6,99)))+VALUE(TRIM(MID(TRIM($AS$20),6,99))))+4*VALUE(TRIM(MID(TRIM($AS$20),6,99)))),NA()),VALUE(TRIM(MID(SUBSTITUTE(SUBSTITUTE(SUBSTITUTE(TRIM($AS$20),",",";")," ",""),";",REPT(" ",99)),397,99)))),NA())</f>
        <v/>
      </c>
      <c r="BA8">
        <f>IF($AT$8="","",IFERROR(IF(ABS($AT$8)&gt;=1000000,ROUND($AT$8/1000000,MAX(0,1-INT(LOG10($AS$27/1000000))))&amp;"M",IF(ABS($AT$8)&gt;=1000,ROUND($AT$8/1000,MAX(0,1-INT(LOG10($AS$27/1000))))&amp;"k",TEXT($AT$8,"#,##0"))),TEXT($AT$8,"#,##0")))</f>
        <v/>
      </c>
    </row>
    <row r="9">
      <c r="B9" t="n">
        <v>557.5</v>
      </c>
      <c r="C9" t="n">
        <v>558.25</v>
      </c>
      <c r="D9" t="n">
        <v>4</v>
      </c>
      <c r="E9" t="inlineStr">
        <is>
          <t>likely code</t>
        </is>
      </c>
      <c r="G9">
        <f>IF(6&lt;=$F$13,$F$14+(6-1)*$F$16,"")</f>
        <v/>
      </c>
      <c r="H9">
        <f>IF(6&gt;$F$13,"",SUMIFS($D$4:$D$203,$C$4:$C$203,"&gt;="&amp;$G$9,$C$4:$C$203,IF(6=$F$13,"&lt;=","&lt;")&amp;($G$9+$F$16)))</f>
        <v/>
      </c>
      <c r="I9">
        <f>""</f>
        <v/>
      </c>
      <c r="J9">
        <f>IF(AND(6&gt;=11-$F$17,6&lt;=9),$F$18,0)</f>
        <v/>
      </c>
      <c r="K9">
        <f>IFERROR(IF(AND($M$6&gt;=$F$14,$M$6&lt;=$F$15),10+0.5+100*($M$6-$F$14)/($F$15-$F$14),NA()),NA())</f>
        <v/>
      </c>
      <c r="L9">
        <f>IF(ISNA($K$9),NA(),MAX($J$4:$J$123))</f>
        <v/>
      </c>
      <c r="M9">
        <f>IFERROR(IF(LEFT(LOWER(TRIM($F$20)),5)="every",IF(((INT($F$11/VALUE(TRIM(MID(TRIM($F$20),6,99))))*VALUE(TRIM(MID(TRIM($F$20),6,99)))+VALUE(TRIM(MID(TRIM($F$20),6,99))))+5*VALUE(TRIM(MID(TRIM($F$20),6,99))))&lt;=$F$12,((INT($F$11/VALUE(TRIM(MID(TRIM($F$20),6,99))))*VALUE(TRIM(MID(TRIM($F$20),6,99)))+VALUE(TRIM(MID(TRIM($F$20),6,99))))+5*VALUE(TRIM(MID(TRIM($F$20),6,99)))),NA()),VALUE(TRIM(MID(SUBSTITUTE(SUBSTITUTE(SUBSTITUTE(TRIM($F$20),",",";")," ",""),";",REPT(" ",99)),496,99)))),NA())</f>
        <v/>
      </c>
      <c r="N9">
        <f>IF($G$9="","",IFERROR(IF(ABS($G$9)&gt;=1000000,ROUND($G$9/1000000,MAX(0,1-INT(LOG10($F$27/1000000))))&amp;"M",IF(ABS($G$9)&gt;=1000,ROUND($G$9/1000,MAX(0,1-INT(LOG10($F$27/1000))))&amp;"k",TEXT($G$9,"#,##0"))),TEXT($G$9,"#,##0")))</f>
        <v/>
      </c>
      <c r="O9" t="n">
        <v>1500</v>
      </c>
      <c r="P9" t="n">
        <v>1650</v>
      </c>
      <c r="Q9" t="n">
        <v>0</v>
      </c>
      <c r="R9" t="inlineStr">
        <is>
          <t>likely code</t>
        </is>
      </c>
      <c r="T9">
        <f>IF(6&lt;=$S$13,$S$14+(6-1)*$S$16,"")</f>
        <v/>
      </c>
      <c r="U9">
        <f>IF(6&gt;$S$13,"",SUMIFS($Q$4:$Q$203,$P$4:$P$203,"&gt;="&amp;$T$9,$P$4:$P$203,IF(6=$S$13,"&lt;=","&lt;")&amp;($T$9+$S$16)))</f>
        <v/>
      </c>
      <c r="V9">
        <f>""</f>
        <v/>
      </c>
      <c r="W9">
        <f>IF(AND(6&gt;=11-$S$17,6&lt;=9),$S$18,0)</f>
        <v/>
      </c>
      <c r="X9">
        <f>IFERROR(IF(AND($Z$6&gt;=$S$14,$Z$6&lt;=$S$15),10+0.5+100*($Z$6-$S$14)/($S$15-$S$14),NA()),NA())</f>
        <v/>
      </c>
      <c r="Y9">
        <f>IF(ISNA($X$9),NA(),MAX($W$4:$W$123))</f>
        <v/>
      </c>
      <c r="Z9">
        <f>IFERROR(IF(LEFT(LOWER(TRIM($S$20)),5)="every",IF(((INT($S$11/VALUE(TRIM(MID(TRIM($S$20),6,99))))*VALUE(TRIM(MID(TRIM($S$20),6,99)))+VALUE(TRIM(MID(TRIM($S$20),6,99))))+5*VALUE(TRIM(MID(TRIM($S$20),6,99))))&lt;=$S$12,((INT($S$11/VALUE(TRIM(MID(TRIM($S$20),6,99))))*VALUE(TRIM(MID(TRIM($S$20),6,99)))+VALUE(TRIM(MID(TRIM($S$20),6,99))))+5*VALUE(TRIM(MID(TRIM($S$20),6,99)))),NA()),VALUE(TRIM(MID(SUBSTITUTE(SUBSTITUTE(SUBSTITUTE(TRIM($S$20),",",";")," ",""),";",REPT(" ",99)),496,99)))),NA())</f>
        <v/>
      </c>
      <c r="AA9">
        <f>IF($T$9="","",IFERROR(IF(ABS($T$9)&gt;=1000000,ROUND($T$9/1000000,MAX(0,1-INT(LOG10($S$27/1000000))))&amp;"M",IF(ABS($T$9)&gt;=1000,ROUND($T$9/1000,MAX(0,1-INT(LOG10($S$27/1000))))&amp;"k",TEXT($T$9,"#,##0"))),TEXT($T$9,"#,##0")))</f>
        <v/>
      </c>
      <c r="AB9" t="n">
        <v>750</v>
      </c>
      <c r="AC9" t="n">
        <v>825</v>
      </c>
      <c r="AD9" t="n">
        <v>9</v>
      </c>
      <c r="AE9" t="inlineStr">
        <is>
          <t>likely code</t>
        </is>
      </c>
      <c r="AG9">
        <f>IF(6&lt;=$AF$13,$AF$14+(6-1)*$AF$16,"")</f>
        <v/>
      </c>
      <c r="AH9">
        <f>IF(6&gt;$AF$13,"",SUMIFS($AD$4:$AD$203,$AC$4:$AC$203,"&gt;="&amp;$AG$9,$AC$4:$AC$203,IF(6=$AF$13,"&lt;=","&lt;")&amp;($AG$9+$AF$16)))</f>
        <v/>
      </c>
      <c r="AI9">
        <f>""</f>
        <v/>
      </c>
      <c r="AJ9">
        <f>IF(AND(6&gt;=11-$AF$17,6&lt;=9),$AF$18,0)</f>
        <v/>
      </c>
      <c r="AK9">
        <f>IFERROR(IF(AND($AM$6&gt;=$AF$14,$AM$6&lt;=$AF$15),10+0.5+100*($AM$6-$AF$14)/($AF$15-$AF$14),NA()),NA())</f>
        <v/>
      </c>
      <c r="AL9">
        <f>IF(ISNA($AK$9),NA(),MAX($AJ$4:$AJ$123))</f>
        <v/>
      </c>
      <c r="AM9">
        <f>IFERROR(IF(LEFT(LOWER(TRIM($AF$20)),5)="every",IF(((INT($AF$11/VALUE(TRIM(MID(TRIM($AF$20),6,99))))*VALUE(TRIM(MID(TRIM($AF$20),6,99)))+VALUE(TRIM(MID(TRIM($AF$20),6,99))))+5*VALUE(TRIM(MID(TRIM($AF$20),6,99))))&lt;=$AF$12,((INT($AF$11/VALUE(TRIM(MID(TRIM($AF$20),6,99))))*VALUE(TRIM(MID(TRIM($AF$20),6,99)))+VALUE(TRIM(MID(TRIM($AF$20),6,99))))+5*VALUE(TRIM(MID(TRIM($AF$20),6,99)))),NA()),VALUE(TRIM(MID(SUBSTITUTE(SUBSTITUTE(SUBSTITUTE(TRIM($AF$20),",",";")," ",""),";",REPT(" ",99)),496,99)))),NA())</f>
        <v/>
      </c>
      <c r="AN9">
        <f>IF($AG$9="","",IFERROR(IF(ABS($AG$9)&gt;=1000000,ROUND($AG$9/1000000,MAX(0,1-INT(LOG10($AF$27/1000000))))&amp;"M",IF(ABS($AG$9)&gt;=1000,ROUND($AG$9/1000,MAX(0,1-INT(LOG10($AF$27/1000))))&amp;"k",TEXT($AG$9,"#,##0"))),TEXT($AG$9,"#,##0")))</f>
        <v/>
      </c>
      <c r="AO9" t="n">
        <v>11.25</v>
      </c>
      <c r="AP9" t="n">
        <v>12.375</v>
      </c>
      <c r="AQ9" t="n">
        <v>42</v>
      </c>
      <c r="AR9" t="inlineStr">
        <is>
          <t>likely code</t>
        </is>
      </c>
      <c r="AT9">
        <f>IF(6&lt;=$AS$13,$AS$14+(6-1)*$AS$16,"")</f>
        <v/>
      </c>
      <c r="AU9">
        <f>IF(6&gt;$AS$13,"",SUMIFS($AQ$4:$AQ$203,$AP$4:$AP$203,"&gt;="&amp;$AT$9,$AP$4:$AP$203,IF(6=$AS$13,"&lt;=","&lt;")&amp;($AT$9+$AS$16)))</f>
        <v/>
      </c>
      <c r="AV9">
        <f>""</f>
        <v/>
      </c>
      <c r="AW9">
        <f>IF(AND(6&gt;=11-$AS$17,6&lt;=9),$AS$18,0)</f>
        <v/>
      </c>
      <c r="AX9">
        <f>IFERROR(IF(AND($AZ$6&gt;=$AS$14,$AZ$6&lt;=$AS$15),10+0.5+100*($AZ$6-$AS$14)/($AS$15-$AS$14),NA()),NA())</f>
        <v/>
      </c>
      <c r="AY9">
        <f>IF(ISNA($AX$9),NA(),MAX($AW$4:$AW$123))</f>
        <v/>
      </c>
      <c r="AZ9">
        <f>IFERROR(IF(LEFT(LOWER(TRIM($AS$20)),5)="every",IF(((INT($AS$11/VALUE(TRIM(MID(TRIM($AS$20),6,99))))*VALUE(TRIM(MID(TRIM($AS$20),6,99)))+VALUE(TRIM(MID(TRIM($AS$20),6,99))))+5*VALUE(TRIM(MID(TRIM($AS$20),6,99))))&lt;=$AS$12,((INT($AS$11/VALUE(TRIM(MID(TRIM($AS$20),6,99))))*VALUE(TRIM(MID(TRIM($AS$20),6,99)))+VALUE(TRIM(MID(TRIM($AS$20),6,99))))+5*VALUE(TRIM(MID(TRIM($AS$20),6,99)))),NA()),VALUE(TRIM(MID(SUBSTITUTE(SUBSTITUTE(SUBSTITUTE(TRIM($AS$20),",",";")," ",""),";",REPT(" ",99)),496,99)))),NA())</f>
        <v/>
      </c>
      <c r="BA9">
        <f>IF($AT$9="","",IFERROR(IF(ABS($AT$9)&gt;=1000000,ROUND($AT$9/1000000,MAX(0,1-INT(LOG10($AS$27/1000000))))&amp;"M",IF(ABS($AT$9)&gt;=1000,ROUND($AT$9/1000,MAX(0,1-INT(LOG10($AS$27/1000))))&amp;"k",TEXT($AT$9,"#,##0"))),TEXT($AT$9,"#,##0")))</f>
        <v/>
      </c>
    </row>
    <row r="10">
      <c r="B10" t="n">
        <v>559</v>
      </c>
      <c r="C10" t="n">
        <v>559.75</v>
      </c>
      <c r="D10" t="n">
        <v>6</v>
      </c>
      <c r="E10" t="inlineStr">
        <is>
          <t>loans at the code</t>
        </is>
      </c>
      <c r="F10" t="n">
        <v>0</v>
      </c>
      <c r="G10">
        <f>IF(7&lt;=$F$13,$F$14+(7-1)*$F$16,"")</f>
        <v/>
      </c>
      <c r="H10">
        <f>IF(7&gt;$F$13,"",SUMIFS($D$4:$D$203,$C$4:$C$203,"&gt;="&amp;$G$10,$C$4:$C$203,IF(7=$F$13,"&lt;=","&lt;")&amp;($G$10+$F$16)))</f>
        <v/>
      </c>
      <c r="I10">
        <f>""</f>
        <v/>
      </c>
      <c r="J10">
        <f>IF(AND(7&gt;=11-$F$17,7&lt;=9),$F$18,0)</f>
        <v/>
      </c>
      <c r="K10">
        <f>IFERROR(IF(AND($M$7&gt;=$F$14,$M$7&lt;=$F$15),10+0.5+100*($M$7-$F$14)/($F$15-$F$14),NA()),NA())</f>
        <v/>
      </c>
      <c r="L10">
        <f>IF(ISNA($K$10),NA(),0)</f>
        <v/>
      </c>
      <c r="M10">
        <f>IFERROR(IF(LEFT(LOWER(TRIM($F$20)),5)="every",IF(((INT($F$11/VALUE(TRIM(MID(TRIM($F$20),6,99))))*VALUE(TRIM(MID(TRIM($F$20),6,99)))+VALUE(TRIM(MID(TRIM($F$20),6,99))))+6*VALUE(TRIM(MID(TRIM($F$20),6,99))))&lt;=$F$12,((INT($F$11/VALUE(TRIM(MID(TRIM($F$20),6,99))))*VALUE(TRIM(MID(TRIM($F$20),6,99)))+VALUE(TRIM(MID(TRIM($F$20),6,99))))+6*VALUE(TRIM(MID(TRIM($F$20),6,99)))),NA()),VALUE(TRIM(MID(SUBSTITUTE(SUBSTITUTE(SUBSTITUTE(TRIM($F$20),",",";")," ",""),";",REPT(" ",99)),595,99)))),NA())</f>
        <v/>
      </c>
      <c r="N10">
        <f>IF($G$10="","",IFERROR(IF(ABS($G$10)&gt;=1000000,ROUND($G$10/1000000,MAX(0,1-INT(LOG10($F$27/1000000))))&amp;"M",IF(ABS($G$10)&gt;=1000,ROUND($G$10/1000,MAX(0,1-INT(LOG10($F$27/1000))))&amp;"k",TEXT($G$10,"#,##0"))),TEXT($G$10,"#,##0")))</f>
        <v/>
      </c>
      <c r="O10" t="n">
        <v>1800</v>
      </c>
      <c r="P10" t="n">
        <v>1950</v>
      </c>
      <c r="Q10" t="n">
        <v>0</v>
      </c>
      <c r="R10" t="inlineStr">
        <is>
          <t>loans at the code</t>
        </is>
      </c>
      <c r="S10" t="n">
        <v>0</v>
      </c>
      <c r="T10">
        <f>IF(7&lt;=$S$13,$S$14+(7-1)*$S$16,"")</f>
        <v/>
      </c>
      <c r="U10">
        <f>IF(7&gt;$S$13,"",SUMIFS($Q$4:$Q$203,$P$4:$P$203,"&gt;="&amp;$T$10,$P$4:$P$203,IF(7=$S$13,"&lt;=","&lt;")&amp;($T$10+$S$16)))</f>
        <v/>
      </c>
      <c r="V10">
        <f>""</f>
        <v/>
      </c>
      <c r="W10">
        <f>IF(AND(7&gt;=11-$S$17,7&lt;=9),$S$18,0)</f>
        <v/>
      </c>
      <c r="X10">
        <f>IFERROR(IF(AND($Z$7&gt;=$S$14,$Z$7&lt;=$S$15),10+0.5+100*($Z$7-$S$14)/($S$15-$S$14),NA()),NA())</f>
        <v/>
      </c>
      <c r="Y10">
        <f>IF(ISNA($X$10),NA(),0)</f>
        <v/>
      </c>
      <c r="Z10">
        <f>IFERROR(IF(LEFT(LOWER(TRIM($S$20)),5)="every",IF(((INT($S$11/VALUE(TRIM(MID(TRIM($S$20),6,99))))*VALUE(TRIM(MID(TRIM($S$20),6,99)))+VALUE(TRIM(MID(TRIM($S$20),6,99))))+6*VALUE(TRIM(MID(TRIM($S$20),6,99))))&lt;=$S$12,((INT($S$11/VALUE(TRIM(MID(TRIM($S$20),6,99))))*VALUE(TRIM(MID(TRIM($S$20),6,99)))+VALUE(TRIM(MID(TRIM($S$20),6,99))))+6*VALUE(TRIM(MID(TRIM($S$20),6,99)))),NA()),VALUE(TRIM(MID(SUBSTITUTE(SUBSTITUTE(SUBSTITUTE(TRIM($S$20),",",";")," ",""),";",REPT(" ",99)),595,99)))),NA())</f>
        <v/>
      </c>
      <c r="AA10">
        <f>IF($T$10="","",IFERROR(IF(ABS($T$10)&gt;=1000000,ROUND($T$10/1000000,MAX(0,1-INT(LOG10($S$27/1000000))))&amp;"M",IF(ABS($T$10)&gt;=1000,ROUND($T$10/1000,MAX(0,1-INT(LOG10($S$27/1000))))&amp;"k",TEXT($T$10,"#,##0"))),TEXT($T$10,"#,##0")))</f>
        <v/>
      </c>
      <c r="AB10" t="n">
        <v>900</v>
      </c>
      <c r="AC10" t="n">
        <v>975</v>
      </c>
      <c r="AD10" t="n">
        <v>9</v>
      </c>
      <c r="AE10" t="inlineStr">
        <is>
          <t>loans at the code</t>
        </is>
      </c>
      <c r="AF10" t="n">
        <v>0</v>
      </c>
      <c r="AG10">
        <f>IF(7&lt;=$AF$13,$AF$14+(7-1)*$AF$16,"")</f>
        <v/>
      </c>
      <c r="AH10">
        <f>IF(7&gt;$AF$13,"",SUMIFS($AD$4:$AD$203,$AC$4:$AC$203,"&gt;="&amp;$AG$10,$AC$4:$AC$203,IF(7=$AF$13,"&lt;=","&lt;")&amp;($AG$10+$AF$16)))</f>
        <v/>
      </c>
      <c r="AI10">
        <f>""</f>
        <v/>
      </c>
      <c r="AJ10">
        <f>IF(AND(7&gt;=11-$AF$17,7&lt;=9),$AF$18,0)</f>
        <v/>
      </c>
      <c r="AK10">
        <f>IFERROR(IF(AND($AM$7&gt;=$AF$14,$AM$7&lt;=$AF$15),10+0.5+100*($AM$7-$AF$14)/($AF$15-$AF$14),NA()),NA())</f>
        <v/>
      </c>
      <c r="AL10">
        <f>IF(ISNA($AK$10),NA(),0)</f>
        <v/>
      </c>
      <c r="AM10">
        <f>IFERROR(IF(LEFT(LOWER(TRIM($AF$20)),5)="every",IF(((INT($AF$11/VALUE(TRIM(MID(TRIM($AF$20),6,99))))*VALUE(TRIM(MID(TRIM($AF$20),6,99)))+VALUE(TRIM(MID(TRIM($AF$20),6,99))))+6*VALUE(TRIM(MID(TRIM($AF$20),6,99))))&lt;=$AF$12,((INT($AF$11/VALUE(TRIM(MID(TRIM($AF$20),6,99))))*VALUE(TRIM(MID(TRIM($AF$20),6,99)))+VALUE(TRIM(MID(TRIM($AF$20),6,99))))+6*VALUE(TRIM(MID(TRIM($AF$20),6,99)))),NA()),VALUE(TRIM(MID(SUBSTITUTE(SUBSTITUTE(SUBSTITUTE(TRIM($AF$20),",",";")," ",""),";",REPT(" ",99)),595,99)))),NA())</f>
        <v/>
      </c>
      <c r="AN10">
        <f>IF($AG$10="","",IFERROR(IF(ABS($AG$10)&gt;=1000000,ROUND($AG$10/1000000,MAX(0,1-INT(LOG10($AF$27/1000000))))&amp;"M",IF(ABS($AG$10)&gt;=1000,ROUND($AG$10/1000,MAX(0,1-INT(LOG10($AF$27/1000))))&amp;"k",TEXT($AG$10,"#,##0"))),TEXT($AG$10,"#,##0")))</f>
        <v/>
      </c>
      <c r="AO10" t="n">
        <v>13.5</v>
      </c>
      <c r="AP10" t="n">
        <v>14.625</v>
      </c>
      <c r="AQ10" t="n">
        <v>37</v>
      </c>
      <c r="AR10" t="inlineStr">
        <is>
          <t>loans at the code</t>
        </is>
      </c>
      <c r="AS10" t="n">
        <v>0</v>
      </c>
      <c r="AT10">
        <f>IF(7&lt;=$AS$13,$AS$14+(7-1)*$AS$16,"")</f>
        <v/>
      </c>
      <c r="AU10">
        <f>IF(7&gt;$AS$13,"",SUMIFS($AQ$4:$AQ$203,$AP$4:$AP$203,"&gt;="&amp;$AT$10,$AP$4:$AP$203,IF(7=$AS$13,"&lt;=","&lt;")&amp;($AT$10+$AS$16)))</f>
        <v/>
      </c>
      <c r="AV10">
        <f>""</f>
        <v/>
      </c>
      <c r="AW10">
        <f>IF(AND(7&gt;=11-$AS$17,7&lt;=9),$AS$18,0)</f>
        <v/>
      </c>
      <c r="AX10">
        <f>IFERROR(IF(AND($AZ$7&gt;=$AS$14,$AZ$7&lt;=$AS$15),10+0.5+100*($AZ$7-$AS$14)/($AS$15-$AS$14),NA()),NA())</f>
        <v/>
      </c>
      <c r="AY10">
        <f>IF(ISNA($AX$10),NA(),0)</f>
        <v/>
      </c>
      <c r="AZ10">
        <f>IFERROR(IF(LEFT(LOWER(TRIM($AS$20)),5)="every",IF(((INT($AS$11/VALUE(TRIM(MID(TRIM($AS$20),6,99))))*VALUE(TRIM(MID(TRIM($AS$20),6,99)))+VALUE(TRIM(MID(TRIM($AS$20),6,99))))+6*VALUE(TRIM(MID(TRIM($AS$20),6,99))))&lt;=$AS$12,((INT($AS$11/VALUE(TRIM(MID(TRIM($AS$20),6,99))))*VALUE(TRIM(MID(TRIM($AS$20),6,99)))+VALUE(TRIM(MID(TRIM($AS$20),6,99))))+6*VALUE(TRIM(MID(TRIM($AS$20),6,99)))),NA()),VALUE(TRIM(MID(SUBSTITUTE(SUBSTITUTE(SUBSTITUTE(TRIM($AS$20),",",";")," ",""),";",REPT(" ",99)),595,99)))),NA())</f>
        <v/>
      </c>
      <c r="BA10">
        <f>IF($AT$10="","",IFERROR(IF(ABS($AT$10)&gt;=1000000,ROUND($AT$10/1000000,MAX(0,1-INT(LOG10($AS$27/1000000))))&amp;"M",IF(ABS($AT$10)&gt;=1000,ROUND($AT$10/1000,MAX(0,1-INT(LOG10($AS$27/1000))))&amp;"k",TEXT($AT$10,"#,##0"))),TEXT($AT$10,"#,##0")))</f>
        <v/>
      </c>
    </row>
    <row r="11">
      <c r="B11" t="n">
        <v>560.5</v>
      </c>
      <c r="C11" t="n">
        <v>561.25</v>
      </c>
      <c r="D11" t="n">
        <v>1</v>
      </c>
      <c r="E11" t="inlineStr">
        <is>
          <t>smallest</t>
        </is>
      </c>
      <c r="F11" t="n">
        <v>496</v>
      </c>
      <c r="G11">
        <f>IF(8&lt;=$F$13,$F$14+(8-1)*$F$16,"")</f>
        <v/>
      </c>
      <c r="H11">
        <f>IF(8&gt;$F$13,"",SUMIFS($D$4:$D$203,$C$4:$C$203,"&gt;="&amp;$G$11,$C$4:$C$203,IF(8=$F$13,"&lt;=","&lt;")&amp;($G$11+$F$16)))</f>
        <v/>
      </c>
      <c r="I11">
        <f>""</f>
        <v/>
      </c>
      <c r="J11">
        <f>IF(AND(8&gt;=11-$F$17,8&lt;=9),$F$18,0)</f>
        <v/>
      </c>
      <c r="K11">
        <f>IFERROR(IF(AND($M$7&gt;=$F$14,$M$7&lt;=$F$15),10+0.5+100*($M$7-$F$14)/($F$15-$F$14),NA()),NA())</f>
        <v/>
      </c>
      <c r="L11">
        <f>IF(ISNA($K$11),NA(),MAX($J$4:$J$123))</f>
        <v/>
      </c>
      <c r="M11">
        <f>IFERROR(IF(LEFT(LOWER(TRIM($F$20)),5)="every",IF(((INT($F$11/VALUE(TRIM(MID(TRIM($F$20),6,99))))*VALUE(TRIM(MID(TRIM($F$20),6,99)))+VALUE(TRIM(MID(TRIM($F$20),6,99))))+7*VALUE(TRIM(MID(TRIM($F$20),6,99))))&lt;=$F$12,((INT($F$11/VALUE(TRIM(MID(TRIM($F$20),6,99))))*VALUE(TRIM(MID(TRIM($F$20),6,99)))+VALUE(TRIM(MID(TRIM($F$20),6,99))))+7*VALUE(TRIM(MID(TRIM($F$20),6,99)))),NA()),VALUE(TRIM(MID(SUBSTITUTE(SUBSTITUTE(SUBSTITUTE(TRIM($F$20),",",";")," ",""),";",REPT(" ",99)),694,99)))),NA())</f>
        <v/>
      </c>
      <c r="N11">
        <f>IF($G$11="","",IFERROR(IF(ABS($G$11)&gt;=1000000,ROUND($G$11/1000000,MAX(0,1-INT(LOG10($F$27/1000000))))&amp;"M",IF(ABS($G$11)&gt;=1000,ROUND($G$11/1000,MAX(0,1-INT(LOG10($F$27/1000))))&amp;"k",TEXT($G$11,"#,##0"))),TEXT($G$11,"#,##0")))</f>
        <v/>
      </c>
      <c r="O11" t="n">
        <v>2100</v>
      </c>
      <c r="P11" t="n">
        <v>2250</v>
      </c>
      <c r="Q11" t="n">
        <v>0</v>
      </c>
      <c r="R11" t="inlineStr">
        <is>
          <t>smallest</t>
        </is>
      </c>
      <c r="S11" t="n">
        <v>5005.32</v>
      </c>
      <c r="T11">
        <f>IF(8&lt;=$S$13,$S$14+(8-1)*$S$16,"")</f>
        <v/>
      </c>
      <c r="U11">
        <f>IF(8&gt;$S$13,"",SUMIFS($Q$4:$Q$203,$P$4:$P$203,"&gt;="&amp;$T$11,$P$4:$P$203,IF(8=$S$13,"&lt;=","&lt;")&amp;($T$11+$S$16)))</f>
        <v/>
      </c>
      <c r="V11">
        <f>""</f>
        <v/>
      </c>
      <c r="W11">
        <f>IF(AND(8&gt;=11-$S$17,8&lt;=9),$S$18,0)</f>
        <v/>
      </c>
      <c r="X11">
        <f>IFERROR(IF(AND($Z$7&gt;=$S$14,$Z$7&lt;=$S$15),10+0.5+100*($Z$7-$S$14)/($S$15-$S$14),NA()),NA())</f>
        <v/>
      </c>
      <c r="Y11">
        <f>IF(ISNA($X$11),NA(),MAX($W$4:$W$123))</f>
        <v/>
      </c>
      <c r="Z11">
        <f>IFERROR(IF(LEFT(LOWER(TRIM($S$20)),5)="every",IF(((INT($S$11/VALUE(TRIM(MID(TRIM($S$20),6,99))))*VALUE(TRIM(MID(TRIM($S$20),6,99)))+VALUE(TRIM(MID(TRIM($S$20),6,99))))+7*VALUE(TRIM(MID(TRIM($S$20),6,99))))&lt;=$S$12,((INT($S$11/VALUE(TRIM(MID(TRIM($S$20),6,99))))*VALUE(TRIM(MID(TRIM($S$20),6,99)))+VALUE(TRIM(MID(TRIM($S$20),6,99))))+7*VALUE(TRIM(MID(TRIM($S$20),6,99)))),NA()),VALUE(TRIM(MID(SUBSTITUTE(SUBSTITUTE(SUBSTITUTE(TRIM($S$20),",",";")," ",""),";",REPT(" ",99)),694,99)))),NA())</f>
        <v/>
      </c>
      <c r="AA11">
        <f>IF($T$11="","",IFERROR(IF(ABS($T$11)&gt;=1000000,ROUND($T$11/1000000,MAX(0,1-INT(LOG10($S$27/1000000))))&amp;"M",IF(ABS($T$11)&gt;=1000,ROUND($T$11/1000,MAX(0,1-INT(LOG10($S$27/1000))))&amp;"k",TEXT($T$11,"#,##0"))),TEXT($T$11,"#,##0")))</f>
        <v/>
      </c>
      <c r="AB11" t="n">
        <v>1050</v>
      </c>
      <c r="AC11" t="n">
        <v>1125</v>
      </c>
      <c r="AD11" t="n">
        <v>11</v>
      </c>
      <c r="AE11" t="inlineStr">
        <is>
          <t>smallest</t>
        </is>
      </c>
      <c r="AF11" t="n">
        <v>0</v>
      </c>
      <c r="AG11">
        <f>IF(8&lt;=$AF$13,$AF$14+(8-1)*$AF$16,"")</f>
        <v/>
      </c>
      <c r="AH11">
        <f>IF(8&gt;$AF$13,"",SUMIFS($AD$4:$AD$203,$AC$4:$AC$203,"&gt;="&amp;$AG$11,$AC$4:$AC$203,IF(8=$AF$13,"&lt;=","&lt;")&amp;($AG$11+$AF$16)))</f>
        <v/>
      </c>
      <c r="AI11">
        <f>""</f>
        <v/>
      </c>
      <c r="AJ11">
        <f>IF(AND(8&gt;=11-$AF$17,8&lt;=9),$AF$18,0)</f>
        <v/>
      </c>
      <c r="AK11">
        <f>IFERROR(IF(AND($AM$7&gt;=$AF$14,$AM$7&lt;=$AF$15),10+0.5+100*($AM$7-$AF$14)/($AF$15-$AF$14),NA()),NA())</f>
        <v/>
      </c>
      <c r="AL11">
        <f>IF(ISNA($AK$11),NA(),MAX($AJ$4:$AJ$123))</f>
        <v/>
      </c>
      <c r="AM11">
        <f>IFERROR(IF(LEFT(LOWER(TRIM($AF$20)),5)="every",IF(((INT($AF$11/VALUE(TRIM(MID(TRIM($AF$20),6,99))))*VALUE(TRIM(MID(TRIM($AF$20),6,99)))+VALUE(TRIM(MID(TRIM($AF$20),6,99))))+7*VALUE(TRIM(MID(TRIM($AF$20),6,99))))&lt;=$AF$12,((INT($AF$11/VALUE(TRIM(MID(TRIM($AF$20),6,99))))*VALUE(TRIM(MID(TRIM($AF$20),6,99)))+VALUE(TRIM(MID(TRIM($AF$20),6,99))))+7*VALUE(TRIM(MID(TRIM($AF$20),6,99)))),NA()),VALUE(TRIM(MID(SUBSTITUTE(SUBSTITUTE(SUBSTITUTE(TRIM($AF$20),",",";")," ",""),";",REPT(" ",99)),694,99)))),NA())</f>
        <v/>
      </c>
      <c r="AN11">
        <f>IF($AG$11="","",IFERROR(IF(ABS($AG$11)&gt;=1000000,ROUND($AG$11/1000000,MAX(0,1-INT(LOG10($AF$27/1000000))))&amp;"M",IF(ABS($AG$11)&gt;=1000,ROUND($AG$11/1000,MAX(0,1-INT(LOG10($AF$27/1000))))&amp;"k",TEXT($AG$11,"#,##0"))),TEXT($AG$11,"#,##0")))</f>
        <v/>
      </c>
      <c r="AO11" t="n">
        <v>15.75</v>
      </c>
      <c r="AP11" t="n">
        <v>16.875</v>
      </c>
      <c r="AQ11" t="n">
        <v>31</v>
      </c>
      <c r="AR11" t="inlineStr">
        <is>
          <t>smallest</t>
        </is>
      </c>
      <c r="AS11" t="n">
        <v>0</v>
      </c>
      <c r="AT11">
        <f>IF(8&lt;=$AS$13,$AS$14+(8-1)*$AS$16,"")</f>
        <v/>
      </c>
      <c r="AU11">
        <f>IF(8&gt;$AS$13,"",SUMIFS($AQ$4:$AQ$203,$AP$4:$AP$203,"&gt;="&amp;$AT$11,$AP$4:$AP$203,IF(8=$AS$13,"&lt;=","&lt;")&amp;($AT$11+$AS$16)))</f>
        <v/>
      </c>
      <c r="AV11">
        <f>""</f>
        <v/>
      </c>
      <c r="AW11">
        <f>IF(AND(8&gt;=11-$AS$17,8&lt;=9),$AS$18,0)</f>
        <v/>
      </c>
      <c r="AX11">
        <f>IFERROR(IF(AND($AZ$7&gt;=$AS$14,$AZ$7&lt;=$AS$15),10+0.5+100*($AZ$7-$AS$14)/($AS$15-$AS$14),NA()),NA())</f>
        <v/>
      </c>
      <c r="AY11">
        <f>IF(ISNA($AX$11),NA(),MAX($AW$4:$AW$123))</f>
        <v/>
      </c>
      <c r="AZ11">
        <f>IFERROR(IF(LEFT(LOWER(TRIM($AS$20)),5)="every",IF(((INT($AS$11/VALUE(TRIM(MID(TRIM($AS$20),6,99))))*VALUE(TRIM(MID(TRIM($AS$20),6,99)))+VALUE(TRIM(MID(TRIM($AS$20),6,99))))+7*VALUE(TRIM(MID(TRIM($AS$20),6,99))))&lt;=$AS$12,((INT($AS$11/VALUE(TRIM(MID(TRIM($AS$20),6,99))))*VALUE(TRIM(MID(TRIM($AS$20),6,99)))+VALUE(TRIM(MID(TRIM($AS$20),6,99))))+7*VALUE(TRIM(MID(TRIM($AS$20),6,99)))),NA()),VALUE(TRIM(MID(SUBSTITUTE(SUBSTITUTE(SUBSTITUTE(TRIM($AS$20),",",";")," ",""),";",REPT(" ",99)),694,99)))),NA())</f>
        <v/>
      </c>
      <c r="BA11">
        <f>IF($AT$11="","",IFERROR(IF(ABS($AT$11)&gt;=1000000,ROUND($AT$11/1000000,MAX(0,1-INT(LOG10($AS$27/1000000))))&amp;"M",IF(ABS($AT$11)&gt;=1000,ROUND($AT$11/1000,MAX(0,1-INT(LOG10($AS$27/1000))))&amp;"k",TEXT($AT$11,"#,##0"))),TEXT($AT$11,"#,##0")))</f>
        <v/>
      </c>
    </row>
    <row r="12">
      <c r="B12" t="n">
        <v>562</v>
      </c>
      <c r="C12" t="n">
        <v>562.75</v>
      </c>
      <c r="D12" t="n">
        <v>5</v>
      </c>
      <c r="E12" t="inlineStr">
        <is>
          <t>largest</t>
        </is>
      </c>
      <c r="F12" t="n">
        <v>921</v>
      </c>
      <c r="G12">
        <f>IF(9&lt;=$F$13,$F$14+(9-1)*$F$16,"")</f>
        <v/>
      </c>
      <c r="H12">
        <f>IF(9&gt;$F$13,"",SUMIFS($D$4:$D$203,$C$4:$C$203,"&gt;="&amp;$G$12,$C$4:$C$203,IF(9=$F$13,"&lt;=","&lt;")&amp;($G$12+$F$16)))</f>
        <v/>
      </c>
      <c r="I12">
        <f>""</f>
        <v/>
      </c>
      <c r="J12">
        <f>IF(AND(9&gt;=11-$F$17,9&lt;=9),$F$18,0)</f>
        <v/>
      </c>
      <c r="K12">
        <f>IFERROR(IF(AND($M$8&gt;=$F$14,$M$8&lt;=$F$15),10+0.5+100*($M$8-$F$14)/($F$15-$F$14),NA()),NA())</f>
        <v/>
      </c>
      <c r="L12">
        <f>IF(ISNA($K$12),NA(),0)</f>
        <v/>
      </c>
      <c r="M12">
        <f>IFERROR(IF(LEFT(LOWER(TRIM($F$20)),5)="every",IF(((INT($F$11/VALUE(TRIM(MID(TRIM($F$20),6,99))))*VALUE(TRIM(MID(TRIM($F$20),6,99)))+VALUE(TRIM(MID(TRIM($F$20),6,99))))+8*VALUE(TRIM(MID(TRIM($F$20),6,99))))&lt;=$F$12,((INT($F$11/VALUE(TRIM(MID(TRIM($F$20),6,99))))*VALUE(TRIM(MID(TRIM($F$20),6,99)))+VALUE(TRIM(MID(TRIM($F$20),6,99))))+8*VALUE(TRIM(MID(TRIM($F$20),6,99)))),NA()),VALUE(TRIM(MID(SUBSTITUTE(SUBSTITUTE(SUBSTITUTE(TRIM($F$20),",",";")," ",""),";",REPT(" ",99)),793,99)))),NA())</f>
        <v/>
      </c>
      <c r="N12">
        <f>IF($G$12="","",IFERROR(IF(ABS($G$12)&gt;=1000000,ROUND($G$12/1000000,MAX(0,1-INT(LOG10($F$27/1000000))))&amp;"M",IF(ABS($G$12)&gt;=1000,ROUND($G$12/1000,MAX(0,1-INT(LOG10($F$27/1000))))&amp;"k",TEXT($G$12,"#,##0"))),TEXT($G$12,"#,##0")))</f>
        <v/>
      </c>
      <c r="O12" t="n">
        <v>2400</v>
      </c>
      <c r="P12" t="n">
        <v>2550</v>
      </c>
      <c r="Q12" t="n">
        <v>0</v>
      </c>
      <c r="R12" t="inlineStr">
        <is>
          <t>largest</t>
        </is>
      </c>
      <c r="S12" t="n">
        <v>59983.86</v>
      </c>
      <c r="T12">
        <f>IF(9&lt;=$S$13,$S$14+(9-1)*$S$16,"")</f>
        <v/>
      </c>
      <c r="U12">
        <f>IF(9&gt;$S$13,"",SUMIFS($Q$4:$Q$203,$P$4:$P$203,"&gt;="&amp;$T$12,$P$4:$P$203,IF(9=$S$13,"&lt;=","&lt;")&amp;($T$12+$S$16)))</f>
        <v/>
      </c>
      <c r="V12">
        <f>""</f>
        <v/>
      </c>
      <c r="W12">
        <f>IF(AND(9&gt;=11-$S$17,9&lt;=9),$S$18,0)</f>
        <v/>
      </c>
      <c r="X12">
        <f>IFERROR(IF(AND($Z$8&gt;=$S$14,$Z$8&lt;=$S$15),10+0.5+100*($Z$8-$S$14)/($S$15-$S$14),NA()),NA())</f>
        <v/>
      </c>
      <c r="Y12">
        <f>IF(ISNA($X$12),NA(),0)</f>
        <v/>
      </c>
      <c r="Z12">
        <f>IFERROR(IF(LEFT(LOWER(TRIM($S$20)),5)="every",IF(((INT($S$11/VALUE(TRIM(MID(TRIM($S$20),6,99))))*VALUE(TRIM(MID(TRIM($S$20),6,99)))+VALUE(TRIM(MID(TRIM($S$20),6,99))))+8*VALUE(TRIM(MID(TRIM($S$20),6,99))))&lt;=$S$12,((INT($S$11/VALUE(TRIM(MID(TRIM($S$20),6,99))))*VALUE(TRIM(MID(TRIM($S$20),6,99)))+VALUE(TRIM(MID(TRIM($S$20),6,99))))+8*VALUE(TRIM(MID(TRIM($S$20),6,99)))),NA()),VALUE(TRIM(MID(SUBSTITUTE(SUBSTITUTE(SUBSTITUTE(TRIM($S$20),",",";")," ",""),";",REPT(" ",99)),793,99)))),NA())</f>
        <v/>
      </c>
      <c r="AA12">
        <f>IF($T$12="","",IFERROR(IF(ABS($T$12)&gt;=1000000,ROUND($T$12/1000000,MAX(0,1-INT(LOG10($S$27/1000000))))&amp;"M",IF(ABS($T$12)&gt;=1000,ROUND($T$12/1000,MAX(0,1-INT(LOG10($S$27/1000))))&amp;"k",TEXT($T$12,"#,##0"))),TEXT($T$12,"#,##0")))</f>
        <v/>
      </c>
      <c r="AB12" t="n">
        <v>1200</v>
      </c>
      <c r="AC12" t="n">
        <v>1275</v>
      </c>
      <c r="AD12" t="n">
        <v>16</v>
      </c>
      <c r="AE12" t="inlineStr">
        <is>
          <t>largest</t>
        </is>
      </c>
      <c r="AF12" t="n">
        <v>48521.79</v>
      </c>
      <c r="AG12">
        <f>IF(9&lt;=$AF$13,$AF$14+(9-1)*$AF$16,"")</f>
        <v/>
      </c>
      <c r="AH12">
        <f>IF(9&gt;$AF$13,"",SUMIFS($AD$4:$AD$203,$AC$4:$AC$203,"&gt;="&amp;$AG$12,$AC$4:$AC$203,IF(9=$AF$13,"&lt;=","&lt;")&amp;($AG$12+$AF$16)))</f>
        <v/>
      </c>
      <c r="AI12">
        <f>""</f>
        <v/>
      </c>
      <c r="AJ12">
        <f>IF(AND(9&gt;=11-$AF$17,9&lt;=9),$AF$18,0)</f>
        <v/>
      </c>
      <c r="AK12">
        <f>IFERROR(IF(AND($AM$8&gt;=$AF$14,$AM$8&lt;=$AF$15),10+0.5+100*($AM$8-$AF$14)/($AF$15-$AF$14),NA()),NA())</f>
        <v/>
      </c>
      <c r="AL12">
        <f>IF(ISNA($AK$12),NA(),0)</f>
        <v/>
      </c>
      <c r="AM12">
        <f>IFERROR(IF(LEFT(LOWER(TRIM($AF$20)),5)="every",IF(((INT($AF$11/VALUE(TRIM(MID(TRIM($AF$20),6,99))))*VALUE(TRIM(MID(TRIM($AF$20),6,99)))+VALUE(TRIM(MID(TRIM($AF$20),6,99))))+8*VALUE(TRIM(MID(TRIM($AF$20),6,99))))&lt;=$AF$12,((INT($AF$11/VALUE(TRIM(MID(TRIM($AF$20),6,99))))*VALUE(TRIM(MID(TRIM($AF$20),6,99)))+VALUE(TRIM(MID(TRIM($AF$20),6,99))))+8*VALUE(TRIM(MID(TRIM($AF$20),6,99)))),NA()),VALUE(TRIM(MID(SUBSTITUTE(SUBSTITUTE(SUBSTITUTE(TRIM($AF$20),",",";")," ",""),";",REPT(" ",99)),793,99)))),NA())</f>
        <v/>
      </c>
      <c r="AN12">
        <f>IF($AG$12="","",IFERROR(IF(ABS($AG$12)&gt;=1000000,ROUND($AG$12/1000000,MAX(0,1-INT(LOG10($AF$27/1000000))))&amp;"M",IF(ABS($AG$12)&gt;=1000,ROUND($AG$12/1000,MAX(0,1-INT(LOG10($AF$27/1000))))&amp;"k",TEXT($AG$12,"#,##0"))),TEXT($AG$12,"#,##0")))</f>
        <v/>
      </c>
      <c r="AO12" t="n">
        <v>18</v>
      </c>
      <c r="AP12" t="n">
        <v>19.125</v>
      </c>
      <c r="AQ12" t="n">
        <v>49</v>
      </c>
      <c r="AR12" t="inlineStr">
        <is>
          <t>largest</t>
        </is>
      </c>
      <c r="AS12" t="n">
        <v>435</v>
      </c>
      <c r="AT12">
        <f>IF(9&lt;=$AS$13,$AS$14+(9-1)*$AS$16,"")</f>
        <v/>
      </c>
      <c r="AU12">
        <f>IF(9&gt;$AS$13,"",SUMIFS($AQ$4:$AQ$203,$AP$4:$AP$203,"&gt;="&amp;$AT$12,$AP$4:$AP$203,IF(9=$AS$13,"&lt;=","&lt;")&amp;($AT$12+$AS$16)))</f>
        <v/>
      </c>
      <c r="AV12">
        <f>""</f>
        <v/>
      </c>
      <c r="AW12">
        <f>IF(AND(9&gt;=11-$AS$17,9&lt;=9),$AS$18,0)</f>
        <v/>
      </c>
      <c r="AX12">
        <f>IFERROR(IF(AND($AZ$8&gt;=$AS$14,$AZ$8&lt;=$AS$15),10+0.5+100*($AZ$8-$AS$14)/($AS$15-$AS$14),NA()),NA())</f>
        <v/>
      </c>
      <c r="AY12">
        <f>IF(ISNA($AX$12),NA(),0)</f>
        <v/>
      </c>
      <c r="AZ12">
        <f>IFERROR(IF(LEFT(LOWER(TRIM($AS$20)),5)="every",IF(((INT($AS$11/VALUE(TRIM(MID(TRIM($AS$20),6,99))))*VALUE(TRIM(MID(TRIM($AS$20),6,99)))+VALUE(TRIM(MID(TRIM($AS$20),6,99))))+8*VALUE(TRIM(MID(TRIM($AS$20),6,99))))&lt;=$AS$12,((INT($AS$11/VALUE(TRIM(MID(TRIM($AS$20),6,99))))*VALUE(TRIM(MID(TRIM($AS$20),6,99)))+VALUE(TRIM(MID(TRIM($AS$20),6,99))))+8*VALUE(TRIM(MID(TRIM($AS$20),6,99)))),NA()),VALUE(TRIM(MID(SUBSTITUTE(SUBSTITUTE(SUBSTITUTE(TRIM($AS$20),",",";")," ",""),";",REPT(" ",99)),793,99)))),NA())</f>
        <v/>
      </c>
      <c r="BA12">
        <f>IF($AT$12="","",IFERROR(IF(ABS($AT$12)&gt;=1000000,ROUND($AT$12/1000000,MAX(0,1-INT(LOG10($AS$27/1000000))))&amp;"M",IF(ABS($AT$12)&gt;=1000,ROUND($AT$12/1000,MAX(0,1-INT(LOG10($AS$27/1000))))&amp;"k",TEXT($AT$12,"#,##0"))),TEXT($AT$12,"#,##0")))</f>
        <v/>
      </c>
    </row>
    <row r="13">
      <c r="B13" t="n">
        <v>563.5</v>
      </c>
      <c r="C13" t="n">
        <v>564.25</v>
      </c>
      <c r="D13" t="n">
        <v>1</v>
      </c>
      <c r="E13" t="inlineStr">
        <is>
          <t>bars</t>
        </is>
      </c>
      <c r="F13">
        <f>Look!$C$20</f>
        <v/>
      </c>
      <c r="G13">
        <f>IF(10&lt;=$F$13,$F$14+(10-1)*$F$16,"")</f>
        <v/>
      </c>
      <c r="H13">
        <f>IF(10&gt;$F$13,"",SUMIFS($D$4:$D$203,$C$4:$C$203,"&gt;="&amp;$G$13,$C$4:$C$203,IF(10=$F$13,"&lt;=","&lt;")&amp;($G$13+$F$16)))</f>
        <v/>
      </c>
      <c r="I13">
        <f>""</f>
        <v/>
      </c>
      <c r="J13">
        <f>IF(AND(10&gt;=11-$F$17,10&lt;=9),$F$18,0)</f>
        <v/>
      </c>
      <c r="K13">
        <f>IFERROR(IF(AND($M$8&gt;=$F$14,$M$8&lt;=$F$15),10+0.5+100*($M$8-$F$14)/($F$15-$F$14),NA()),NA())</f>
        <v/>
      </c>
      <c r="L13">
        <f>IF(ISNA($K$13),NA(),MAX($J$4:$J$123))</f>
        <v/>
      </c>
      <c r="M13">
        <f>IFERROR(IF(LEFT(LOWER(TRIM($F$20)),5)="every",IF(((INT($F$11/VALUE(TRIM(MID(TRIM($F$20),6,99))))*VALUE(TRIM(MID(TRIM($F$20),6,99)))+VALUE(TRIM(MID(TRIM($F$20),6,99))))+9*VALUE(TRIM(MID(TRIM($F$20),6,99))))&lt;=$F$12,((INT($F$11/VALUE(TRIM(MID(TRIM($F$20),6,99))))*VALUE(TRIM(MID(TRIM($F$20),6,99)))+VALUE(TRIM(MID(TRIM($F$20),6,99))))+9*VALUE(TRIM(MID(TRIM($F$20),6,99)))),NA()),VALUE(TRIM(MID(SUBSTITUTE(SUBSTITUTE(SUBSTITUTE(TRIM($F$20),",",";")," ",""),";",REPT(" ",99)),892,99)))),NA())</f>
        <v/>
      </c>
      <c r="N13">
        <f>IF($G$13="","",IFERROR(IF(ABS($G$13)&gt;=1000000,ROUND($G$13/1000000,MAX(0,1-INT(LOG10($F$27/1000000))))&amp;"M",IF(ABS($G$13)&gt;=1000,ROUND($G$13/1000,MAX(0,1-INT(LOG10($F$27/1000))))&amp;"k",TEXT($G$13,"#,##0"))),TEXT($G$13,"#,##0")))</f>
        <v/>
      </c>
      <c r="O13" t="n">
        <v>2700</v>
      </c>
      <c r="P13" t="n">
        <v>2850</v>
      </c>
      <c r="Q13" t="n">
        <v>0</v>
      </c>
      <c r="R13" t="inlineStr">
        <is>
          <t>bars</t>
        </is>
      </c>
      <c r="S13">
        <f>Look!$C$40</f>
        <v/>
      </c>
      <c r="T13">
        <f>IF(10&lt;=$S$13,$S$14+(10-1)*$S$16,"")</f>
        <v/>
      </c>
      <c r="U13">
        <f>IF(10&gt;$S$13,"",SUMIFS($Q$4:$Q$203,$P$4:$P$203,"&gt;="&amp;$T$13,$P$4:$P$203,IF(10=$S$13,"&lt;=","&lt;")&amp;($T$13+$S$16)))</f>
        <v/>
      </c>
      <c r="V13">
        <f>""</f>
        <v/>
      </c>
      <c r="W13">
        <f>IF(AND(10&gt;=11-$S$17,10&lt;=9),$S$18,0)</f>
        <v/>
      </c>
      <c r="X13">
        <f>IFERROR(IF(AND($Z$8&gt;=$S$14,$Z$8&lt;=$S$15),10+0.5+100*($Z$8-$S$14)/($S$15-$S$14),NA()),NA())</f>
        <v/>
      </c>
      <c r="Y13">
        <f>IF(ISNA($X$13),NA(),MAX($W$4:$W$123))</f>
        <v/>
      </c>
      <c r="Z13">
        <f>IFERROR(IF(LEFT(LOWER(TRIM($S$20)),5)="every",IF(((INT($S$11/VALUE(TRIM(MID(TRIM($S$20),6,99))))*VALUE(TRIM(MID(TRIM($S$20),6,99)))+VALUE(TRIM(MID(TRIM($S$20),6,99))))+9*VALUE(TRIM(MID(TRIM($S$20),6,99))))&lt;=$S$12,((INT($S$11/VALUE(TRIM(MID(TRIM($S$20),6,99))))*VALUE(TRIM(MID(TRIM($S$20),6,99)))+VALUE(TRIM(MID(TRIM($S$20),6,99))))+9*VALUE(TRIM(MID(TRIM($S$20),6,99)))),NA()),VALUE(TRIM(MID(SUBSTITUTE(SUBSTITUTE(SUBSTITUTE(TRIM($S$20),",",";")," ",""),";",REPT(" ",99)),892,99)))),NA())</f>
        <v/>
      </c>
      <c r="AA13">
        <f>IF($T$13="","",IFERROR(IF(ABS($T$13)&gt;=1000000,ROUND($T$13/1000000,MAX(0,1-INT(LOG10($S$27/1000000))))&amp;"M",IF(ABS($T$13)&gt;=1000,ROUND($T$13/1000,MAX(0,1-INT(LOG10($S$27/1000))))&amp;"k",TEXT($T$13,"#,##0"))),TEXT($T$13,"#,##0")))</f>
        <v/>
      </c>
      <c r="AB13" t="n">
        <v>1350</v>
      </c>
      <c r="AC13" t="n">
        <v>1425</v>
      </c>
      <c r="AD13" t="n">
        <v>24</v>
      </c>
      <c r="AE13" t="inlineStr">
        <is>
          <t>bars</t>
        </is>
      </c>
      <c r="AF13">
        <f>Look!$C$60</f>
        <v/>
      </c>
      <c r="AG13">
        <f>IF(10&lt;=$AF$13,$AF$14+(10-1)*$AF$16,"")</f>
        <v/>
      </c>
      <c r="AH13">
        <f>IF(10&gt;$AF$13,"",SUMIFS($AD$4:$AD$203,$AC$4:$AC$203,"&gt;="&amp;$AG$13,$AC$4:$AC$203,IF(10=$AF$13,"&lt;=","&lt;")&amp;($AG$13+$AF$16)))</f>
        <v/>
      </c>
      <c r="AI13">
        <f>""</f>
        <v/>
      </c>
      <c r="AJ13">
        <f>IF(AND(10&gt;=11-$AF$17,10&lt;=9),$AF$18,0)</f>
        <v/>
      </c>
      <c r="AK13">
        <f>IFERROR(IF(AND($AM$8&gt;=$AF$14,$AM$8&lt;=$AF$15),10+0.5+100*($AM$8-$AF$14)/($AF$15-$AF$14),NA()),NA())</f>
        <v/>
      </c>
      <c r="AL13">
        <f>IF(ISNA($AK$13),NA(),MAX($AJ$4:$AJ$123))</f>
        <v/>
      </c>
      <c r="AM13">
        <f>IFERROR(IF(LEFT(LOWER(TRIM($AF$20)),5)="every",IF(((INT($AF$11/VALUE(TRIM(MID(TRIM($AF$20),6,99))))*VALUE(TRIM(MID(TRIM($AF$20),6,99)))+VALUE(TRIM(MID(TRIM($AF$20),6,99))))+9*VALUE(TRIM(MID(TRIM($AF$20),6,99))))&lt;=$AF$12,((INT($AF$11/VALUE(TRIM(MID(TRIM($AF$20),6,99))))*VALUE(TRIM(MID(TRIM($AF$20),6,99)))+VALUE(TRIM(MID(TRIM($AF$20),6,99))))+9*VALUE(TRIM(MID(TRIM($AF$20),6,99)))),NA()),VALUE(TRIM(MID(SUBSTITUTE(SUBSTITUTE(SUBSTITUTE(TRIM($AF$20),",",";")," ",""),";",REPT(" ",99)),892,99)))),NA())</f>
        <v/>
      </c>
      <c r="AN13">
        <f>IF($AG$13="","",IFERROR(IF(ABS($AG$13)&gt;=1000000,ROUND($AG$13/1000000,MAX(0,1-INT(LOG10($AF$27/1000000))))&amp;"M",IF(ABS($AG$13)&gt;=1000,ROUND($AG$13/1000,MAX(0,1-INT(LOG10($AF$27/1000))))&amp;"k",TEXT($AG$13,"#,##0"))),TEXT($AG$13,"#,##0")))</f>
        <v/>
      </c>
      <c r="AO13" t="n">
        <v>20.25</v>
      </c>
      <c r="AP13" t="n">
        <v>21.375</v>
      </c>
      <c r="AQ13" t="n">
        <v>37</v>
      </c>
      <c r="AR13" t="inlineStr">
        <is>
          <t>bars</t>
        </is>
      </c>
      <c r="AS13">
        <f>Look!$C$80</f>
        <v/>
      </c>
      <c r="AT13">
        <f>IF(10&lt;=$AS$13,$AS$14+(10-1)*$AS$16,"")</f>
        <v/>
      </c>
      <c r="AU13">
        <f>IF(10&gt;$AS$13,"",SUMIFS($AQ$4:$AQ$203,$AP$4:$AP$203,"&gt;="&amp;$AT$13,$AP$4:$AP$203,IF(10=$AS$13,"&lt;=","&lt;")&amp;($AT$13+$AS$16)))</f>
        <v/>
      </c>
      <c r="AV13">
        <f>""</f>
        <v/>
      </c>
      <c r="AW13">
        <f>IF(AND(10&gt;=11-$AS$17,10&lt;=9),$AS$18,0)</f>
        <v/>
      </c>
      <c r="AX13">
        <f>IFERROR(IF(AND($AZ$8&gt;=$AS$14,$AZ$8&lt;=$AS$15),10+0.5+100*($AZ$8-$AS$14)/($AS$15-$AS$14),NA()),NA())</f>
        <v/>
      </c>
      <c r="AY13">
        <f>IF(ISNA($AX$13),NA(),MAX($AW$4:$AW$123))</f>
        <v/>
      </c>
      <c r="AZ13">
        <f>IFERROR(IF(LEFT(LOWER(TRIM($AS$20)),5)="every",IF(((INT($AS$11/VALUE(TRIM(MID(TRIM($AS$20),6,99))))*VALUE(TRIM(MID(TRIM($AS$20),6,99)))+VALUE(TRIM(MID(TRIM($AS$20),6,99))))+9*VALUE(TRIM(MID(TRIM($AS$20),6,99))))&lt;=$AS$12,((INT($AS$11/VALUE(TRIM(MID(TRIM($AS$20),6,99))))*VALUE(TRIM(MID(TRIM($AS$20),6,99)))+VALUE(TRIM(MID(TRIM($AS$20),6,99))))+9*VALUE(TRIM(MID(TRIM($AS$20),6,99)))),NA()),VALUE(TRIM(MID(SUBSTITUTE(SUBSTITUTE(SUBSTITUTE(TRIM($AS$20),",",";")," ",""),";",REPT(" ",99)),892,99)))),NA())</f>
        <v/>
      </c>
      <c r="BA13">
        <f>IF($AT$13="","",IFERROR(IF(ABS($AT$13)&gt;=1000000,ROUND($AT$13/1000000,MAX(0,1-INT(LOG10($AS$27/1000000))))&amp;"M",IF(ABS($AT$13)&gt;=1000,ROUND($AT$13/1000,MAX(0,1-INT(LOG10($AS$27/1000))))&amp;"k",TEXT($AT$13,"#,##0"))),TEXT($AT$13,"#,##0")))</f>
        <v/>
      </c>
    </row>
    <row r="14">
      <c r="B14" t="n">
        <v>565</v>
      </c>
      <c r="C14" t="n">
        <v>565.75</v>
      </c>
      <c r="D14" t="n">
        <v>4</v>
      </c>
      <c r="E14" t="inlineStr">
        <is>
          <t>from</t>
        </is>
      </c>
      <c r="F14">
        <f>Look!$C$21</f>
        <v/>
      </c>
      <c r="G14">
        <f>IF(11&lt;=$F$13,$F$14+(11-1)*$F$16,"")</f>
        <v/>
      </c>
      <c r="H14">
        <f>IF(11&gt;$F$13,"",SUMIFS($D$4:$D$203,$C$4:$C$203,"&gt;="&amp;$G$14,$C$4:$C$203,IF(11=$F$13,"&lt;=","&lt;")&amp;($G$14+$F$16)))</f>
        <v/>
      </c>
      <c r="I14">
        <f>IF(AND(MOD(0,$F$17)=0,MOD((INT(0/$F$17)+1)-1,$F$13/5)=0),INDEX($N$4:$N$53,(INT(0/$F$17)+1)),"")</f>
        <v/>
      </c>
      <c r="J14">
        <f>IF(MOD(0,$F$17)=$F$17-1,0,INDEX($H$4:$H$53,(INT(0/$F$17)+1)))</f>
        <v/>
      </c>
      <c r="K14">
        <f>IFERROR(IF(AND($M$9&gt;=$F$14,$M$9&lt;=$F$15),10+0.5+100*($M$9-$F$14)/($F$15-$F$14),NA()),NA())</f>
        <v/>
      </c>
      <c r="L14">
        <f>IF(ISNA($K$14),NA(),0)</f>
        <v/>
      </c>
      <c r="M14">
        <f>IFERROR(IF(LEFT(LOWER(TRIM($F$20)),5)="every",IF(((INT($F$11/VALUE(TRIM(MID(TRIM($F$20),6,99))))*VALUE(TRIM(MID(TRIM($F$20),6,99)))+VALUE(TRIM(MID(TRIM($F$20),6,99))))+10*VALUE(TRIM(MID(TRIM($F$20),6,99))))&lt;=$F$12,((INT($F$11/VALUE(TRIM(MID(TRIM($F$20),6,99))))*VALUE(TRIM(MID(TRIM($F$20),6,99)))+VALUE(TRIM(MID(TRIM($F$20),6,99))))+10*VALUE(TRIM(MID(TRIM($F$20),6,99)))),NA()),VALUE(TRIM(MID(SUBSTITUTE(SUBSTITUTE(SUBSTITUTE(TRIM($F$20),",",";")," ",""),";",REPT(" ",99)),991,99)))),NA())</f>
        <v/>
      </c>
      <c r="N14">
        <f>IF($G$14="","",IFERROR(IF(ABS($G$14)&gt;=1000000,ROUND($G$14/1000000,MAX(0,1-INT(LOG10($F$27/1000000))))&amp;"M",IF(ABS($G$14)&gt;=1000,ROUND($G$14/1000,MAX(0,1-INT(LOG10($F$27/1000))))&amp;"k",TEXT($G$14,"#,##0"))),TEXT($G$14,"#,##0")))</f>
        <v/>
      </c>
      <c r="O14" t="n">
        <v>3000</v>
      </c>
      <c r="P14" t="n">
        <v>3150</v>
      </c>
      <c r="Q14" t="n">
        <v>0</v>
      </c>
      <c r="R14" t="inlineStr">
        <is>
          <t>from</t>
        </is>
      </c>
      <c r="S14">
        <f>Look!$C$41</f>
        <v/>
      </c>
      <c r="T14">
        <f>IF(11&lt;=$S$13,$S$14+(11-1)*$S$16,"")</f>
        <v/>
      </c>
      <c r="U14">
        <f>IF(11&gt;$S$13,"",SUMIFS($Q$4:$Q$203,$P$4:$P$203,"&gt;="&amp;$T$14,$P$4:$P$203,IF(11=$S$13,"&lt;=","&lt;")&amp;($T$14+$S$16)))</f>
        <v/>
      </c>
      <c r="V14">
        <f>IF(AND(MOD(0,$S$17)=0,MOD((INT(0/$S$17)+1)-1,$S$13/5)=0),INDEX($AA$4:$AA$53,(INT(0/$S$17)+1)),"")</f>
        <v/>
      </c>
      <c r="W14">
        <f>IF(MOD(0,$S$17)=$S$17-1,0,INDEX($U$4:$U$53,(INT(0/$S$17)+1)))</f>
        <v/>
      </c>
      <c r="X14">
        <f>IFERROR(IF(AND($Z$9&gt;=$S$14,$Z$9&lt;=$S$15),10+0.5+100*($Z$9-$S$14)/($S$15-$S$14),NA()),NA())</f>
        <v/>
      </c>
      <c r="Y14">
        <f>IF(ISNA($X$14),NA(),0)</f>
        <v/>
      </c>
      <c r="Z14">
        <f>IFERROR(IF(LEFT(LOWER(TRIM($S$20)),5)="every",IF(((INT($S$11/VALUE(TRIM(MID(TRIM($S$20),6,99))))*VALUE(TRIM(MID(TRIM($S$20),6,99)))+VALUE(TRIM(MID(TRIM($S$20),6,99))))+10*VALUE(TRIM(MID(TRIM($S$20),6,99))))&lt;=$S$12,((INT($S$11/VALUE(TRIM(MID(TRIM($S$20),6,99))))*VALUE(TRIM(MID(TRIM($S$20),6,99)))+VALUE(TRIM(MID(TRIM($S$20),6,99))))+10*VALUE(TRIM(MID(TRIM($S$20),6,99)))),NA()),VALUE(TRIM(MID(SUBSTITUTE(SUBSTITUTE(SUBSTITUTE(TRIM($S$20),",",";")," ",""),";",REPT(" ",99)),991,99)))),NA())</f>
        <v/>
      </c>
      <c r="AA14">
        <f>IF($T$14="","",IFERROR(IF(ABS($T$14)&gt;=1000000,ROUND($T$14/1000000,MAX(0,1-INT(LOG10($S$27/1000000))))&amp;"M",IF(ABS($T$14)&gt;=1000,ROUND($T$14/1000,MAX(0,1-INT(LOG10($S$27/1000))))&amp;"k",TEXT($T$14,"#,##0"))),TEXT($T$14,"#,##0")))</f>
        <v/>
      </c>
      <c r="AB14" t="n">
        <v>1500</v>
      </c>
      <c r="AC14" t="n">
        <v>1575</v>
      </c>
      <c r="AD14" t="n">
        <v>23</v>
      </c>
      <c r="AE14" t="inlineStr">
        <is>
          <t>from</t>
        </is>
      </c>
      <c r="AF14">
        <f>Look!$C$61</f>
        <v/>
      </c>
      <c r="AG14">
        <f>IF(11&lt;=$AF$13,$AF$14+(11-1)*$AF$16,"")</f>
        <v/>
      </c>
      <c r="AH14">
        <f>IF(11&gt;$AF$13,"",SUMIFS($AD$4:$AD$203,$AC$4:$AC$203,"&gt;="&amp;$AG$14,$AC$4:$AC$203,IF(11=$AF$13,"&lt;=","&lt;")&amp;($AG$14+$AF$16)))</f>
        <v/>
      </c>
      <c r="AI14">
        <f>IF(AND(MOD(0,$AF$17)=0,MOD((INT(0/$AF$17)+1)-1,$AF$13/5)=0),INDEX($AN$4:$AN$53,(INT(0/$AF$17)+1)),"")</f>
        <v/>
      </c>
      <c r="AJ14">
        <f>IF(MOD(0,$AF$17)=$AF$17-1,0,INDEX($AH$4:$AH$53,(INT(0/$AF$17)+1)))</f>
        <v/>
      </c>
      <c r="AK14">
        <f>IFERROR(IF(AND($AM$9&gt;=$AF$14,$AM$9&lt;=$AF$15),10+0.5+100*($AM$9-$AF$14)/($AF$15-$AF$14),NA()),NA())</f>
        <v/>
      </c>
      <c r="AL14">
        <f>IF(ISNA($AK$14),NA(),0)</f>
        <v/>
      </c>
      <c r="AM14">
        <f>IFERROR(IF(LEFT(LOWER(TRIM($AF$20)),5)="every",IF(((INT($AF$11/VALUE(TRIM(MID(TRIM($AF$20),6,99))))*VALUE(TRIM(MID(TRIM($AF$20),6,99)))+VALUE(TRIM(MID(TRIM($AF$20),6,99))))+10*VALUE(TRIM(MID(TRIM($AF$20),6,99))))&lt;=$AF$12,((INT($AF$11/VALUE(TRIM(MID(TRIM($AF$20),6,99))))*VALUE(TRIM(MID(TRIM($AF$20),6,99)))+VALUE(TRIM(MID(TRIM($AF$20),6,99))))+10*VALUE(TRIM(MID(TRIM($AF$20),6,99)))),NA()),VALUE(TRIM(MID(SUBSTITUTE(SUBSTITUTE(SUBSTITUTE(TRIM($AF$20),",",";")," ",""),";",REPT(" ",99)),991,99)))),NA())</f>
        <v/>
      </c>
      <c r="AN14">
        <f>IF($AG$14="","",IFERROR(IF(ABS($AG$14)&gt;=1000000,ROUND($AG$14/1000000,MAX(0,1-INT(LOG10($AF$27/1000000))))&amp;"M",IF(ABS($AG$14)&gt;=1000,ROUND($AG$14/1000,MAX(0,1-INT(LOG10($AF$27/1000))))&amp;"k",TEXT($AG$14,"#,##0"))),TEXT($AG$14,"#,##0")))</f>
        <v/>
      </c>
      <c r="AO14" t="n">
        <v>22.5</v>
      </c>
      <c r="AP14" t="n">
        <v>23.625</v>
      </c>
      <c r="AQ14" t="n">
        <v>37</v>
      </c>
      <c r="AR14" t="inlineStr">
        <is>
          <t>from</t>
        </is>
      </c>
      <c r="AS14">
        <f>Look!$C$81</f>
        <v/>
      </c>
      <c r="AT14">
        <f>IF(11&lt;=$AS$13,$AS$14+(11-1)*$AS$16,"")</f>
        <v/>
      </c>
      <c r="AU14">
        <f>IF(11&gt;$AS$13,"",SUMIFS($AQ$4:$AQ$203,$AP$4:$AP$203,"&gt;="&amp;$AT$14,$AP$4:$AP$203,IF(11=$AS$13,"&lt;=","&lt;")&amp;($AT$14+$AS$16)))</f>
        <v/>
      </c>
      <c r="AV14">
        <f>IF(AND(MOD(0,$AS$17)=0,MOD((INT(0/$AS$17)+1)-1,$AS$13/5)=0),INDEX($BA$4:$BA$53,(INT(0/$AS$17)+1)),"")</f>
        <v/>
      </c>
      <c r="AW14">
        <f>IF(MOD(0,$AS$17)=$AS$17-1,0,INDEX($AU$4:$AU$53,(INT(0/$AS$17)+1)))</f>
        <v/>
      </c>
      <c r="AX14">
        <f>IFERROR(IF(AND($AZ$9&gt;=$AS$14,$AZ$9&lt;=$AS$15),10+0.5+100*($AZ$9-$AS$14)/($AS$15-$AS$14),NA()),NA())</f>
        <v/>
      </c>
      <c r="AY14">
        <f>IF(ISNA($AX$14),NA(),0)</f>
        <v/>
      </c>
      <c r="AZ14">
        <f>IFERROR(IF(LEFT(LOWER(TRIM($AS$20)),5)="every",IF(((INT($AS$11/VALUE(TRIM(MID(TRIM($AS$20),6,99))))*VALUE(TRIM(MID(TRIM($AS$20),6,99)))+VALUE(TRIM(MID(TRIM($AS$20),6,99))))+10*VALUE(TRIM(MID(TRIM($AS$20),6,99))))&lt;=$AS$12,((INT($AS$11/VALUE(TRIM(MID(TRIM($AS$20),6,99))))*VALUE(TRIM(MID(TRIM($AS$20),6,99)))+VALUE(TRIM(MID(TRIM($AS$20),6,99))))+10*VALUE(TRIM(MID(TRIM($AS$20),6,99)))),NA()),VALUE(TRIM(MID(SUBSTITUTE(SUBSTITUTE(SUBSTITUTE(TRIM($AS$20),",",";")," ",""),";",REPT(" ",99)),991,99)))),NA())</f>
        <v/>
      </c>
      <c r="BA14">
        <f>IF($AT$14="","",IFERROR(IF(ABS($AT$14)&gt;=1000000,ROUND($AT$14/1000000,MAX(0,1-INT(LOG10($AS$27/1000000))))&amp;"M",IF(ABS($AT$14)&gt;=1000,ROUND($AT$14/1000,MAX(0,1-INT(LOG10($AS$27/1000))))&amp;"k",TEXT($AT$14,"#,##0"))),TEXT($AT$14,"#,##0")))</f>
        <v/>
      </c>
    </row>
    <row r="15">
      <c r="B15" t="n">
        <v>566.5</v>
      </c>
      <c r="C15" t="n">
        <v>567.25</v>
      </c>
      <c r="D15" t="n">
        <v>3</v>
      </c>
      <c r="E15" t="inlineStr">
        <is>
          <t>to</t>
        </is>
      </c>
      <c r="F15">
        <f>Look!$C$22</f>
        <v/>
      </c>
      <c r="G15">
        <f>IF(12&lt;=$F$13,$F$14+(12-1)*$F$16,"")</f>
        <v/>
      </c>
      <c r="H15">
        <f>IF(12&gt;$F$13,"",SUMIFS($D$4:$D$203,$C$4:$C$203,"&gt;="&amp;$G$15,$C$4:$C$203,IF(12=$F$13,"&lt;=","&lt;")&amp;($G$15+$F$16)))</f>
        <v/>
      </c>
      <c r="I15">
        <f>IF(AND(MOD(1,$F$17)=0,MOD((INT(1/$F$17)+1)-1,$F$13/5)=0),INDEX($N$4:$N$53,(INT(1/$F$17)+1)),"")</f>
        <v/>
      </c>
      <c r="J15">
        <f>IF(MOD(1,$F$17)=$F$17-1,0,INDEX($H$4:$H$53,(INT(1/$F$17)+1)))</f>
        <v/>
      </c>
      <c r="K15">
        <f>IFERROR(IF(AND($M$9&gt;=$F$14,$M$9&lt;=$F$15),10+0.5+100*($M$9-$F$14)/($F$15-$F$14),NA()),NA())</f>
        <v/>
      </c>
      <c r="L15">
        <f>IF(ISNA($K$15),NA(),MAX($J$4:$J$123))</f>
        <v/>
      </c>
      <c r="M15">
        <f>IFERROR(IF(LEFT(LOWER(TRIM($F$20)),5)="every",IF(((INT($F$11/VALUE(TRIM(MID(TRIM($F$20),6,99))))*VALUE(TRIM(MID(TRIM($F$20),6,99)))+VALUE(TRIM(MID(TRIM($F$20),6,99))))+11*VALUE(TRIM(MID(TRIM($F$20),6,99))))&lt;=$F$12,((INT($F$11/VALUE(TRIM(MID(TRIM($F$20),6,99))))*VALUE(TRIM(MID(TRIM($F$20),6,99)))+VALUE(TRIM(MID(TRIM($F$20),6,99))))+11*VALUE(TRIM(MID(TRIM($F$20),6,99)))),NA()),VALUE(TRIM(MID(SUBSTITUTE(SUBSTITUTE(SUBSTITUTE(TRIM($F$20),",",";")," ",""),";",REPT(" ",99)),1090,99)))),NA())</f>
        <v/>
      </c>
      <c r="N15">
        <f>IF($G$15="","",IFERROR(IF(ABS($G$15)&gt;=1000000,ROUND($G$15/1000000,MAX(0,1-INT(LOG10($F$27/1000000))))&amp;"M",IF(ABS($G$15)&gt;=1000,ROUND($G$15/1000,MAX(0,1-INT(LOG10($F$27/1000))))&amp;"k",TEXT($G$15,"#,##0"))),TEXT($G$15,"#,##0")))</f>
        <v/>
      </c>
      <c r="O15" t="n">
        <v>3300</v>
      </c>
      <c r="P15" t="n">
        <v>3450</v>
      </c>
      <c r="Q15" t="n">
        <v>0</v>
      </c>
      <c r="R15" t="inlineStr">
        <is>
          <t>to</t>
        </is>
      </c>
      <c r="S15">
        <f>Look!$C$42</f>
        <v/>
      </c>
      <c r="T15">
        <f>IF(12&lt;=$S$13,$S$14+(12-1)*$S$16,"")</f>
        <v/>
      </c>
      <c r="U15">
        <f>IF(12&gt;$S$13,"",SUMIFS($Q$4:$Q$203,$P$4:$P$203,"&gt;="&amp;$T$15,$P$4:$P$203,IF(12=$S$13,"&lt;=","&lt;")&amp;($T$15+$S$16)))</f>
        <v/>
      </c>
      <c r="V15">
        <f>IF(AND(MOD(1,$S$17)=0,MOD((INT(1/$S$17)+1)-1,$S$13/5)=0),INDEX($AA$4:$AA$53,(INT(1/$S$17)+1)),"")</f>
        <v/>
      </c>
      <c r="W15">
        <f>IF(MOD(1,$S$17)=$S$17-1,0,INDEX($U$4:$U$53,(INT(1/$S$17)+1)))</f>
        <v/>
      </c>
      <c r="X15">
        <f>IFERROR(IF(AND($Z$9&gt;=$S$14,$Z$9&lt;=$S$15),10+0.5+100*($Z$9-$S$14)/($S$15-$S$14),NA()),NA())</f>
        <v/>
      </c>
      <c r="Y15">
        <f>IF(ISNA($X$15),NA(),MAX($W$4:$W$123))</f>
        <v/>
      </c>
      <c r="Z15">
        <f>IFERROR(IF(LEFT(LOWER(TRIM($S$20)),5)="every",IF(((INT($S$11/VALUE(TRIM(MID(TRIM($S$20),6,99))))*VALUE(TRIM(MID(TRIM($S$20),6,99)))+VALUE(TRIM(MID(TRIM($S$20),6,99))))+11*VALUE(TRIM(MID(TRIM($S$20),6,99))))&lt;=$S$12,((INT($S$11/VALUE(TRIM(MID(TRIM($S$20),6,99))))*VALUE(TRIM(MID(TRIM($S$20),6,99)))+VALUE(TRIM(MID(TRIM($S$20),6,99))))+11*VALUE(TRIM(MID(TRIM($S$20),6,99)))),NA()),VALUE(TRIM(MID(SUBSTITUTE(SUBSTITUTE(SUBSTITUTE(TRIM($S$20),",",";")," ",""),";",REPT(" ",99)),1090,99)))),NA())</f>
        <v/>
      </c>
      <c r="AA15">
        <f>IF($T$15="","",IFERROR(IF(ABS($T$15)&gt;=1000000,ROUND($T$15/1000000,MAX(0,1-INT(LOG10($S$27/1000000))))&amp;"M",IF(ABS($T$15)&gt;=1000,ROUND($T$15/1000,MAX(0,1-INT(LOG10($S$27/1000))))&amp;"k",TEXT($T$15,"#,##0"))),TEXT($T$15,"#,##0")))</f>
        <v/>
      </c>
      <c r="AB15" t="n">
        <v>1650</v>
      </c>
      <c r="AC15" t="n">
        <v>1725</v>
      </c>
      <c r="AD15" t="n">
        <v>15</v>
      </c>
      <c r="AE15" t="inlineStr">
        <is>
          <t>to</t>
        </is>
      </c>
      <c r="AF15">
        <f>Look!$C$62</f>
        <v/>
      </c>
      <c r="AG15">
        <f>IF(12&lt;=$AF$13,$AF$14+(12-1)*$AF$16,"")</f>
        <v/>
      </c>
      <c r="AH15">
        <f>IF(12&gt;$AF$13,"",SUMIFS($AD$4:$AD$203,$AC$4:$AC$203,"&gt;="&amp;$AG$15,$AC$4:$AC$203,IF(12=$AF$13,"&lt;=","&lt;")&amp;($AG$15+$AF$16)))</f>
        <v/>
      </c>
      <c r="AI15">
        <f>IF(AND(MOD(1,$AF$17)=0,MOD((INT(1/$AF$17)+1)-1,$AF$13/5)=0),INDEX($AN$4:$AN$53,(INT(1/$AF$17)+1)),"")</f>
        <v/>
      </c>
      <c r="AJ15">
        <f>IF(MOD(1,$AF$17)=$AF$17-1,0,INDEX($AH$4:$AH$53,(INT(1/$AF$17)+1)))</f>
        <v/>
      </c>
      <c r="AK15">
        <f>IFERROR(IF(AND($AM$9&gt;=$AF$14,$AM$9&lt;=$AF$15),10+0.5+100*($AM$9-$AF$14)/($AF$15-$AF$14),NA()),NA())</f>
        <v/>
      </c>
      <c r="AL15">
        <f>IF(ISNA($AK$15),NA(),MAX($AJ$4:$AJ$123))</f>
        <v/>
      </c>
      <c r="AM15">
        <f>IFERROR(IF(LEFT(LOWER(TRIM($AF$20)),5)="every",IF(((INT($AF$11/VALUE(TRIM(MID(TRIM($AF$20),6,99))))*VALUE(TRIM(MID(TRIM($AF$20),6,99)))+VALUE(TRIM(MID(TRIM($AF$20),6,99))))+11*VALUE(TRIM(MID(TRIM($AF$20),6,99))))&lt;=$AF$12,((INT($AF$11/VALUE(TRIM(MID(TRIM($AF$20),6,99))))*VALUE(TRIM(MID(TRIM($AF$20),6,99)))+VALUE(TRIM(MID(TRIM($AF$20),6,99))))+11*VALUE(TRIM(MID(TRIM($AF$20),6,99)))),NA()),VALUE(TRIM(MID(SUBSTITUTE(SUBSTITUTE(SUBSTITUTE(TRIM($AF$20),",",";")," ",""),";",REPT(" ",99)),1090,99)))),NA())</f>
        <v/>
      </c>
      <c r="AN15">
        <f>IF($AG$15="","",IFERROR(IF(ABS($AG$15)&gt;=1000000,ROUND($AG$15/1000000,MAX(0,1-INT(LOG10($AF$27/1000000))))&amp;"M",IF(ABS($AG$15)&gt;=1000,ROUND($AG$15/1000,MAX(0,1-INT(LOG10($AF$27/1000))))&amp;"k",TEXT($AG$15,"#,##0"))),TEXT($AG$15,"#,##0")))</f>
        <v/>
      </c>
      <c r="AO15" t="n">
        <v>24.75</v>
      </c>
      <c r="AP15" t="n">
        <v>25.875</v>
      </c>
      <c r="AQ15" t="n">
        <v>34</v>
      </c>
      <c r="AR15" t="inlineStr">
        <is>
          <t>to</t>
        </is>
      </c>
      <c r="AS15">
        <f>Look!$C$82</f>
        <v/>
      </c>
      <c r="AT15">
        <f>IF(12&lt;=$AS$13,$AS$14+(12-1)*$AS$16,"")</f>
        <v/>
      </c>
      <c r="AU15">
        <f>IF(12&gt;$AS$13,"",SUMIFS($AQ$4:$AQ$203,$AP$4:$AP$203,"&gt;="&amp;$AT$15,$AP$4:$AP$203,IF(12=$AS$13,"&lt;=","&lt;")&amp;($AT$15+$AS$16)))</f>
        <v/>
      </c>
      <c r="AV15">
        <f>IF(AND(MOD(1,$AS$17)=0,MOD((INT(1/$AS$17)+1)-1,$AS$13/5)=0),INDEX($BA$4:$BA$53,(INT(1/$AS$17)+1)),"")</f>
        <v/>
      </c>
      <c r="AW15">
        <f>IF(MOD(1,$AS$17)=$AS$17-1,0,INDEX($AU$4:$AU$53,(INT(1/$AS$17)+1)))</f>
        <v/>
      </c>
      <c r="AX15">
        <f>IFERROR(IF(AND($AZ$9&gt;=$AS$14,$AZ$9&lt;=$AS$15),10+0.5+100*($AZ$9-$AS$14)/($AS$15-$AS$14),NA()),NA())</f>
        <v/>
      </c>
      <c r="AY15">
        <f>IF(ISNA($AX$15),NA(),MAX($AW$4:$AW$123))</f>
        <v/>
      </c>
      <c r="AZ15">
        <f>IFERROR(IF(LEFT(LOWER(TRIM($AS$20)),5)="every",IF(((INT($AS$11/VALUE(TRIM(MID(TRIM($AS$20),6,99))))*VALUE(TRIM(MID(TRIM($AS$20),6,99)))+VALUE(TRIM(MID(TRIM($AS$20),6,99))))+11*VALUE(TRIM(MID(TRIM($AS$20),6,99))))&lt;=$AS$12,((INT($AS$11/VALUE(TRIM(MID(TRIM($AS$20),6,99))))*VALUE(TRIM(MID(TRIM($AS$20),6,99)))+VALUE(TRIM(MID(TRIM($AS$20),6,99))))+11*VALUE(TRIM(MID(TRIM($AS$20),6,99)))),NA()),VALUE(TRIM(MID(SUBSTITUTE(SUBSTITUTE(SUBSTITUTE(TRIM($AS$20),",",";")," ",""),";",REPT(" ",99)),1090,99)))),NA())</f>
        <v/>
      </c>
      <c r="BA15">
        <f>IF($AT$15="","",IFERROR(IF(ABS($AT$15)&gt;=1000000,ROUND($AT$15/1000000,MAX(0,1-INT(LOG10($AS$27/1000000))))&amp;"M",IF(ABS($AT$15)&gt;=1000,ROUND($AT$15/1000,MAX(0,1-INT(LOG10($AS$27/1000))))&amp;"k",TEXT($AT$15,"#,##0"))),TEXT($AT$15,"#,##0")))</f>
        <v/>
      </c>
    </row>
    <row r="16">
      <c r="B16" t="n">
        <v>568</v>
      </c>
      <c r="C16" t="n">
        <v>568.75</v>
      </c>
      <c r="D16" t="n">
        <v>4</v>
      </c>
      <c r="E16" t="inlineStr">
        <is>
          <t>bar width</t>
        </is>
      </c>
      <c r="F16">
        <f>($F$15-$F$14)/$F$13</f>
        <v/>
      </c>
      <c r="G16">
        <f>IF(13&lt;=$F$13,$F$14+(13-1)*$F$16,"")</f>
        <v/>
      </c>
      <c r="H16">
        <f>IF(13&gt;$F$13,"",SUMIFS($D$4:$D$203,$C$4:$C$203,"&gt;="&amp;$G$16,$C$4:$C$203,IF(13=$F$13,"&lt;=","&lt;")&amp;($G$16+$F$16)))</f>
        <v/>
      </c>
      <c r="I16">
        <f>IF(AND(MOD(2,$F$17)=0,MOD((INT(2/$F$17)+1)-1,$F$13/5)=0),INDEX($N$4:$N$53,(INT(2/$F$17)+1)),"")</f>
        <v/>
      </c>
      <c r="J16">
        <f>IF(MOD(2,$F$17)=$F$17-1,0,INDEX($H$4:$H$53,(INT(2/$F$17)+1)))</f>
        <v/>
      </c>
      <c r="K16">
        <f>IFERROR(IF(AND($M$10&gt;=$F$14,$M$10&lt;=$F$15),10+0.5+100*($M$10-$F$14)/($F$15-$F$14),NA()),NA())</f>
        <v/>
      </c>
      <c r="L16">
        <f>IF(ISNA($K$16),NA(),0)</f>
        <v/>
      </c>
      <c r="M16">
        <f>IFERROR(IF(LEFT(LOWER(TRIM($F$20)),5)="every",IF(((INT($F$11/VALUE(TRIM(MID(TRIM($F$20),6,99))))*VALUE(TRIM(MID(TRIM($F$20),6,99)))+VALUE(TRIM(MID(TRIM($F$20),6,99))))+12*VALUE(TRIM(MID(TRIM($F$20),6,99))))&lt;=$F$12,((INT($F$11/VALUE(TRIM(MID(TRIM($F$20),6,99))))*VALUE(TRIM(MID(TRIM($F$20),6,99)))+VALUE(TRIM(MID(TRIM($F$20),6,99))))+12*VALUE(TRIM(MID(TRIM($F$20),6,99)))),NA()),VALUE(TRIM(MID(SUBSTITUTE(SUBSTITUTE(SUBSTITUTE(TRIM($F$20),",",";")," ",""),";",REPT(" ",99)),1189,99)))),NA())</f>
        <v/>
      </c>
      <c r="N16">
        <f>IF($G$16="","",IFERROR(IF(ABS($G$16)&gt;=1000000,ROUND($G$16/1000000,MAX(0,1-INT(LOG10($F$27/1000000))))&amp;"M",IF(ABS($G$16)&gt;=1000,ROUND($G$16/1000,MAX(0,1-INT(LOG10($F$27/1000))))&amp;"k",TEXT($G$16,"#,##0"))),TEXT($G$16,"#,##0")))</f>
        <v/>
      </c>
      <c r="O16" t="n">
        <v>3600</v>
      </c>
      <c r="P16" t="n">
        <v>3750</v>
      </c>
      <c r="Q16" t="n">
        <v>0</v>
      </c>
      <c r="R16" t="inlineStr">
        <is>
          <t>bar width</t>
        </is>
      </c>
      <c r="S16">
        <f>($S$15-$S$14)/$S$13</f>
        <v/>
      </c>
      <c r="T16">
        <f>IF(13&lt;=$S$13,$S$14+(13-1)*$S$16,"")</f>
        <v/>
      </c>
      <c r="U16">
        <f>IF(13&gt;$S$13,"",SUMIFS($Q$4:$Q$203,$P$4:$P$203,"&gt;="&amp;$T$16,$P$4:$P$203,IF(13=$S$13,"&lt;=","&lt;")&amp;($T$16+$S$16)))</f>
        <v/>
      </c>
      <c r="V16">
        <f>IF(AND(MOD(2,$S$17)=0,MOD((INT(2/$S$17)+1)-1,$S$13/5)=0),INDEX($AA$4:$AA$53,(INT(2/$S$17)+1)),"")</f>
        <v/>
      </c>
      <c r="W16">
        <f>IF(MOD(2,$S$17)=$S$17-1,0,INDEX($U$4:$U$53,(INT(2/$S$17)+1)))</f>
        <v/>
      </c>
      <c r="X16">
        <f>IFERROR(IF(AND($Z$10&gt;=$S$14,$Z$10&lt;=$S$15),10+0.5+100*($Z$10-$S$14)/($S$15-$S$14),NA()),NA())</f>
        <v/>
      </c>
      <c r="Y16">
        <f>IF(ISNA($X$16),NA(),0)</f>
        <v/>
      </c>
      <c r="Z16">
        <f>IFERROR(IF(LEFT(LOWER(TRIM($S$20)),5)="every",IF(((INT($S$11/VALUE(TRIM(MID(TRIM($S$20),6,99))))*VALUE(TRIM(MID(TRIM($S$20),6,99)))+VALUE(TRIM(MID(TRIM($S$20),6,99))))+12*VALUE(TRIM(MID(TRIM($S$20),6,99))))&lt;=$S$12,((INT($S$11/VALUE(TRIM(MID(TRIM($S$20),6,99))))*VALUE(TRIM(MID(TRIM($S$20),6,99)))+VALUE(TRIM(MID(TRIM($S$20),6,99))))+12*VALUE(TRIM(MID(TRIM($S$20),6,99)))),NA()),VALUE(TRIM(MID(SUBSTITUTE(SUBSTITUTE(SUBSTITUTE(TRIM($S$20),",",";")," ",""),";",REPT(" ",99)),1189,99)))),NA())</f>
        <v/>
      </c>
      <c r="AA16">
        <f>IF($T$16="","",IFERROR(IF(ABS($T$16)&gt;=1000000,ROUND($T$16/1000000,MAX(0,1-INT(LOG10($S$27/1000000))))&amp;"M",IF(ABS($T$16)&gt;=1000,ROUND($T$16/1000,MAX(0,1-INT(LOG10($S$27/1000))))&amp;"k",TEXT($T$16,"#,##0"))),TEXT($T$16,"#,##0")))</f>
        <v/>
      </c>
      <c r="AB16" t="n">
        <v>1800</v>
      </c>
      <c r="AC16" t="n">
        <v>1875</v>
      </c>
      <c r="AD16" t="n">
        <v>19</v>
      </c>
      <c r="AE16" t="inlineStr">
        <is>
          <t>bar width</t>
        </is>
      </c>
      <c r="AF16">
        <f>($AF$15-$AF$14)/$AF$13</f>
        <v/>
      </c>
      <c r="AG16">
        <f>IF(13&lt;=$AF$13,$AF$14+(13-1)*$AF$16,"")</f>
        <v/>
      </c>
      <c r="AH16">
        <f>IF(13&gt;$AF$13,"",SUMIFS($AD$4:$AD$203,$AC$4:$AC$203,"&gt;="&amp;$AG$16,$AC$4:$AC$203,IF(13=$AF$13,"&lt;=","&lt;")&amp;($AG$16+$AF$16)))</f>
        <v/>
      </c>
      <c r="AI16">
        <f>IF(AND(MOD(2,$AF$17)=0,MOD((INT(2/$AF$17)+1)-1,$AF$13/5)=0),INDEX($AN$4:$AN$53,(INT(2/$AF$17)+1)),"")</f>
        <v/>
      </c>
      <c r="AJ16">
        <f>IF(MOD(2,$AF$17)=$AF$17-1,0,INDEX($AH$4:$AH$53,(INT(2/$AF$17)+1)))</f>
        <v/>
      </c>
      <c r="AK16">
        <f>IFERROR(IF(AND($AM$10&gt;=$AF$14,$AM$10&lt;=$AF$15),10+0.5+100*($AM$10-$AF$14)/($AF$15-$AF$14),NA()),NA())</f>
        <v/>
      </c>
      <c r="AL16">
        <f>IF(ISNA($AK$16),NA(),0)</f>
        <v/>
      </c>
      <c r="AM16">
        <f>IFERROR(IF(LEFT(LOWER(TRIM($AF$20)),5)="every",IF(((INT($AF$11/VALUE(TRIM(MID(TRIM($AF$20),6,99))))*VALUE(TRIM(MID(TRIM($AF$20),6,99)))+VALUE(TRIM(MID(TRIM($AF$20),6,99))))+12*VALUE(TRIM(MID(TRIM($AF$20),6,99))))&lt;=$AF$12,((INT($AF$11/VALUE(TRIM(MID(TRIM($AF$20),6,99))))*VALUE(TRIM(MID(TRIM($AF$20),6,99)))+VALUE(TRIM(MID(TRIM($AF$20),6,99))))+12*VALUE(TRIM(MID(TRIM($AF$20),6,99)))),NA()),VALUE(TRIM(MID(SUBSTITUTE(SUBSTITUTE(SUBSTITUTE(TRIM($AF$20),",",";")," ",""),";",REPT(" ",99)),1189,99)))),NA())</f>
        <v/>
      </c>
      <c r="AN16">
        <f>IF($AG$16="","",IFERROR(IF(ABS($AG$16)&gt;=1000000,ROUND($AG$16/1000000,MAX(0,1-INT(LOG10($AF$27/1000000))))&amp;"M",IF(ABS($AG$16)&gt;=1000,ROUND($AG$16/1000,MAX(0,1-INT(LOG10($AF$27/1000))))&amp;"k",TEXT($AG$16,"#,##0"))),TEXT($AG$16,"#,##0")))</f>
        <v/>
      </c>
      <c r="AO16" t="n">
        <v>27</v>
      </c>
      <c r="AP16" t="n">
        <v>28.125</v>
      </c>
      <c r="AQ16" t="n">
        <v>40</v>
      </c>
      <c r="AR16" t="inlineStr">
        <is>
          <t>bar width</t>
        </is>
      </c>
      <c r="AS16">
        <f>($AS$15-$AS$14)/$AS$13</f>
        <v/>
      </c>
      <c r="AT16">
        <f>IF(13&lt;=$AS$13,$AS$14+(13-1)*$AS$16,"")</f>
        <v/>
      </c>
      <c r="AU16">
        <f>IF(13&gt;$AS$13,"",SUMIFS($AQ$4:$AQ$203,$AP$4:$AP$203,"&gt;="&amp;$AT$16,$AP$4:$AP$203,IF(13=$AS$13,"&lt;=","&lt;")&amp;($AT$16+$AS$16)))</f>
        <v/>
      </c>
      <c r="AV16">
        <f>IF(AND(MOD(2,$AS$17)=0,MOD((INT(2/$AS$17)+1)-1,$AS$13/5)=0),INDEX($BA$4:$BA$53,(INT(2/$AS$17)+1)),"")</f>
        <v/>
      </c>
      <c r="AW16">
        <f>IF(MOD(2,$AS$17)=$AS$17-1,0,INDEX($AU$4:$AU$53,(INT(2/$AS$17)+1)))</f>
        <v/>
      </c>
      <c r="AX16">
        <f>IFERROR(IF(AND($AZ$10&gt;=$AS$14,$AZ$10&lt;=$AS$15),10+0.5+100*($AZ$10-$AS$14)/($AS$15-$AS$14),NA()),NA())</f>
        <v/>
      </c>
      <c r="AY16">
        <f>IF(ISNA($AX$16),NA(),0)</f>
        <v/>
      </c>
      <c r="AZ16">
        <f>IFERROR(IF(LEFT(LOWER(TRIM($AS$20)),5)="every",IF(((INT($AS$11/VALUE(TRIM(MID(TRIM($AS$20),6,99))))*VALUE(TRIM(MID(TRIM($AS$20),6,99)))+VALUE(TRIM(MID(TRIM($AS$20),6,99))))+12*VALUE(TRIM(MID(TRIM($AS$20),6,99))))&lt;=$AS$12,((INT($AS$11/VALUE(TRIM(MID(TRIM($AS$20),6,99))))*VALUE(TRIM(MID(TRIM($AS$20),6,99)))+VALUE(TRIM(MID(TRIM($AS$20),6,99))))+12*VALUE(TRIM(MID(TRIM($AS$20),6,99)))),NA()),VALUE(TRIM(MID(SUBSTITUTE(SUBSTITUTE(SUBSTITUTE(TRIM($AS$20),",",";")," ",""),";",REPT(" ",99)),1189,99)))),NA())</f>
        <v/>
      </c>
      <c r="BA16">
        <f>IF($AT$16="","",IFERROR(IF(ABS($AT$16)&gt;=1000000,ROUND($AT$16/1000000,MAX(0,1-INT(LOG10($AS$27/1000000))))&amp;"M",IF(ABS($AT$16)&gt;=1000,ROUND($AT$16/1000,MAX(0,1-INT(LOG10($AS$27/1000))))&amp;"k",TEXT($AT$16,"#,##0"))),TEXT($AT$16,"#,##0")))</f>
        <v/>
      </c>
    </row>
    <row r="17">
      <c r="B17" t="n">
        <v>569.5</v>
      </c>
      <c r="C17" t="n">
        <v>570.25</v>
      </c>
      <c r="D17" t="n">
        <v>3</v>
      </c>
      <c r="E17" t="inlineStr">
        <is>
          <t>chart slots per bar</t>
        </is>
      </c>
      <c r="F17">
        <f>100/$F$13</f>
        <v/>
      </c>
      <c r="G17">
        <f>IF(14&lt;=$F$13,$F$14+(14-1)*$F$16,"")</f>
        <v/>
      </c>
      <c r="H17">
        <f>IF(14&gt;$F$13,"",SUMIFS($D$4:$D$203,$C$4:$C$203,"&gt;="&amp;$G$17,$C$4:$C$203,IF(14=$F$13,"&lt;=","&lt;")&amp;($G$17+$F$16)))</f>
        <v/>
      </c>
      <c r="I17">
        <f>IF(AND(MOD(3,$F$17)=0,MOD((INT(3/$F$17)+1)-1,$F$13/5)=0),INDEX($N$4:$N$53,(INT(3/$F$17)+1)),"")</f>
        <v/>
      </c>
      <c r="J17">
        <f>IF(MOD(3,$F$17)=$F$17-1,0,INDEX($H$4:$H$53,(INT(3/$F$17)+1)))</f>
        <v/>
      </c>
      <c r="K17">
        <f>IFERROR(IF(AND($M$10&gt;=$F$14,$M$10&lt;=$F$15),10+0.5+100*($M$10-$F$14)/($F$15-$F$14),NA()),NA())</f>
        <v/>
      </c>
      <c r="L17">
        <f>IF(ISNA($K$17),NA(),MAX($J$4:$J$123))</f>
        <v/>
      </c>
      <c r="M17">
        <f>IFERROR(IF(LEFT(LOWER(TRIM($F$20)),5)="every",IF(((INT($F$11/VALUE(TRIM(MID(TRIM($F$20),6,99))))*VALUE(TRIM(MID(TRIM($F$20),6,99)))+VALUE(TRIM(MID(TRIM($F$20),6,99))))+13*VALUE(TRIM(MID(TRIM($F$20),6,99))))&lt;=$F$12,((INT($F$11/VALUE(TRIM(MID(TRIM($F$20),6,99))))*VALUE(TRIM(MID(TRIM($F$20),6,99)))+VALUE(TRIM(MID(TRIM($F$20),6,99))))+13*VALUE(TRIM(MID(TRIM($F$20),6,99)))),NA()),VALUE(TRIM(MID(SUBSTITUTE(SUBSTITUTE(SUBSTITUTE(TRIM($F$20),",",";")," ",""),";",REPT(" ",99)),1288,99)))),NA())</f>
        <v/>
      </c>
      <c r="N17">
        <f>IF($G$17="","",IFERROR(IF(ABS($G$17)&gt;=1000000,ROUND($G$17/1000000,MAX(0,1-INT(LOG10($F$27/1000000))))&amp;"M",IF(ABS($G$17)&gt;=1000,ROUND($G$17/1000,MAX(0,1-INT(LOG10($F$27/1000))))&amp;"k",TEXT($G$17,"#,##0"))),TEXT($G$17,"#,##0")))</f>
        <v/>
      </c>
      <c r="O17" t="n">
        <v>3900</v>
      </c>
      <c r="P17" t="n">
        <v>4050</v>
      </c>
      <c r="Q17" t="n">
        <v>0</v>
      </c>
      <c r="R17" t="inlineStr">
        <is>
          <t>chart slots per bar</t>
        </is>
      </c>
      <c r="S17">
        <f>100/$S$13</f>
        <v/>
      </c>
      <c r="T17">
        <f>IF(14&lt;=$S$13,$S$14+(14-1)*$S$16,"")</f>
        <v/>
      </c>
      <c r="U17">
        <f>IF(14&gt;$S$13,"",SUMIFS($Q$4:$Q$203,$P$4:$P$203,"&gt;="&amp;$T$17,$P$4:$P$203,IF(14=$S$13,"&lt;=","&lt;")&amp;($T$17+$S$16)))</f>
        <v/>
      </c>
      <c r="V17">
        <f>IF(AND(MOD(3,$S$17)=0,MOD((INT(3/$S$17)+1)-1,$S$13/5)=0),INDEX($AA$4:$AA$53,(INT(3/$S$17)+1)),"")</f>
        <v/>
      </c>
      <c r="W17">
        <f>IF(MOD(3,$S$17)=$S$17-1,0,INDEX($U$4:$U$53,(INT(3/$S$17)+1)))</f>
        <v/>
      </c>
      <c r="X17">
        <f>IFERROR(IF(AND($Z$10&gt;=$S$14,$Z$10&lt;=$S$15),10+0.5+100*($Z$10-$S$14)/($S$15-$S$14),NA()),NA())</f>
        <v/>
      </c>
      <c r="Y17">
        <f>IF(ISNA($X$17),NA(),MAX($W$4:$W$123))</f>
        <v/>
      </c>
      <c r="Z17">
        <f>IFERROR(IF(LEFT(LOWER(TRIM($S$20)),5)="every",IF(((INT($S$11/VALUE(TRIM(MID(TRIM($S$20),6,99))))*VALUE(TRIM(MID(TRIM($S$20),6,99)))+VALUE(TRIM(MID(TRIM($S$20),6,99))))+13*VALUE(TRIM(MID(TRIM($S$20),6,99))))&lt;=$S$12,((INT($S$11/VALUE(TRIM(MID(TRIM($S$20),6,99))))*VALUE(TRIM(MID(TRIM($S$20),6,99)))+VALUE(TRIM(MID(TRIM($S$20),6,99))))+13*VALUE(TRIM(MID(TRIM($S$20),6,99)))),NA()),VALUE(TRIM(MID(SUBSTITUTE(SUBSTITUTE(SUBSTITUTE(TRIM($S$20),",",";")," ",""),";",REPT(" ",99)),1288,99)))),NA())</f>
        <v/>
      </c>
      <c r="AA17">
        <f>IF($T$17="","",IFERROR(IF(ABS($T$17)&gt;=1000000,ROUND($T$17/1000000,MAX(0,1-INT(LOG10($S$27/1000000))))&amp;"M",IF(ABS($T$17)&gt;=1000,ROUND($T$17/1000,MAX(0,1-INT(LOG10($S$27/1000))))&amp;"k",TEXT($T$17,"#,##0"))),TEXT($T$17,"#,##0")))</f>
        <v/>
      </c>
      <c r="AB17" t="n">
        <v>1950</v>
      </c>
      <c r="AC17" t="n">
        <v>2025</v>
      </c>
      <c r="AD17" t="n">
        <v>24</v>
      </c>
      <c r="AE17" t="inlineStr">
        <is>
          <t>chart slots per bar</t>
        </is>
      </c>
      <c r="AF17">
        <f>100/$AF$13</f>
        <v/>
      </c>
      <c r="AG17">
        <f>IF(14&lt;=$AF$13,$AF$14+(14-1)*$AF$16,"")</f>
        <v/>
      </c>
      <c r="AH17">
        <f>IF(14&gt;$AF$13,"",SUMIFS($AD$4:$AD$203,$AC$4:$AC$203,"&gt;="&amp;$AG$17,$AC$4:$AC$203,IF(14=$AF$13,"&lt;=","&lt;")&amp;($AG$17+$AF$16)))</f>
        <v/>
      </c>
      <c r="AI17">
        <f>IF(AND(MOD(3,$AF$17)=0,MOD((INT(3/$AF$17)+1)-1,$AF$13/5)=0),INDEX($AN$4:$AN$53,(INT(3/$AF$17)+1)),"")</f>
        <v/>
      </c>
      <c r="AJ17">
        <f>IF(MOD(3,$AF$17)=$AF$17-1,0,INDEX($AH$4:$AH$53,(INT(3/$AF$17)+1)))</f>
        <v/>
      </c>
      <c r="AK17">
        <f>IFERROR(IF(AND($AM$10&gt;=$AF$14,$AM$10&lt;=$AF$15),10+0.5+100*($AM$10-$AF$14)/($AF$15-$AF$14),NA()),NA())</f>
        <v/>
      </c>
      <c r="AL17">
        <f>IF(ISNA($AK$17),NA(),MAX($AJ$4:$AJ$123))</f>
        <v/>
      </c>
      <c r="AM17">
        <f>IFERROR(IF(LEFT(LOWER(TRIM($AF$20)),5)="every",IF(((INT($AF$11/VALUE(TRIM(MID(TRIM($AF$20),6,99))))*VALUE(TRIM(MID(TRIM($AF$20),6,99)))+VALUE(TRIM(MID(TRIM($AF$20),6,99))))+13*VALUE(TRIM(MID(TRIM($AF$20),6,99))))&lt;=$AF$12,((INT($AF$11/VALUE(TRIM(MID(TRIM($AF$20),6,99))))*VALUE(TRIM(MID(TRIM($AF$20),6,99)))+VALUE(TRIM(MID(TRIM($AF$20),6,99))))+13*VALUE(TRIM(MID(TRIM($AF$20),6,99)))),NA()),VALUE(TRIM(MID(SUBSTITUTE(SUBSTITUTE(SUBSTITUTE(TRIM($AF$20),",",";")," ",""),";",REPT(" ",99)),1288,99)))),NA())</f>
        <v/>
      </c>
      <c r="AN17">
        <f>IF($AG$17="","",IFERROR(IF(ABS($AG$17)&gt;=1000000,ROUND($AG$17/1000000,MAX(0,1-INT(LOG10($AF$27/1000000))))&amp;"M",IF(ABS($AG$17)&gt;=1000,ROUND($AG$17/1000,MAX(0,1-INT(LOG10($AF$27/1000))))&amp;"k",TEXT($AG$17,"#,##0"))),TEXT($AG$17,"#,##0")))</f>
        <v/>
      </c>
      <c r="AO17" t="n">
        <v>29.25</v>
      </c>
      <c r="AP17" t="n">
        <v>30.375</v>
      </c>
      <c r="AQ17" t="n">
        <v>35</v>
      </c>
      <c r="AR17" t="inlineStr">
        <is>
          <t>chart slots per bar</t>
        </is>
      </c>
      <c r="AS17">
        <f>100/$AS$13</f>
        <v/>
      </c>
      <c r="AT17">
        <f>IF(14&lt;=$AS$13,$AS$14+(14-1)*$AS$16,"")</f>
        <v/>
      </c>
      <c r="AU17">
        <f>IF(14&gt;$AS$13,"",SUMIFS($AQ$4:$AQ$203,$AP$4:$AP$203,"&gt;="&amp;$AT$17,$AP$4:$AP$203,IF(14=$AS$13,"&lt;=","&lt;")&amp;($AT$17+$AS$16)))</f>
        <v/>
      </c>
      <c r="AV17">
        <f>IF(AND(MOD(3,$AS$17)=0,MOD((INT(3/$AS$17)+1)-1,$AS$13/5)=0),INDEX($BA$4:$BA$53,(INT(3/$AS$17)+1)),"")</f>
        <v/>
      </c>
      <c r="AW17">
        <f>IF(MOD(3,$AS$17)=$AS$17-1,0,INDEX($AU$4:$AU$53,(INT(3/$AS$17)+1)))</f>
        <v/>
      </c>
      <c r="AX17">
        <f>IFERROR(IF(AND($AZ$10&gt;=$AS$14,$AZ$10&lt;=$AS$15),10+0.5+100*($AZ$10-$AS$14)/($AS$15-$AS$14),NA()),NA())</f>
        <v/>
      </c>
      <c r="AY17">
        <f>IF(ISNA($AX$17),NA(),MAX($AW$4:$AW$123))</f>
        <v/>
      </c>
      <c r="AZ17">
        <f>IFERROR(IF(LEFT(LOWER(TRIM($AS$20)),5)="every",IF(((INT($AS$11/VALUE(TRIM(MID(TRIM($AS$20),6,99))))*VALUE(TRIM(MID(TRIM($AS$20),6,99)))+VALUE(TRIM(MID(TRIM($AS$20),6,99))))+13*VALUE(TRIM(MID(TRIM($AS$20),6,99))))&lt;=$AS$12,((INT($AS$11/VALUE(TRIM(MID(TRIM($AS$20),6,99))))*VALUE(TRIM(MID(TRIM($AS$20),6,99)))+VALUE(TRIM(MID(TRIM($AS$20),6,99))))+13*VALUE(TRIM(MID(TRIM($AS$20),6,99)))),NA()),VALUE(TRIM(MID(SUBSTITUTE(SUBSTITUTE(SUBSTITUTE(TRIM($AS$20),",",";")," ",""),";",REPT(" ",99)),1288,99)))),NA())</f>
        <v/>
      </c>
      <c r="BA17">
        <f>IF($AT$17="","",IFERROR(IF(ABS($AT$17)&gt;=1000000,ROUND($AT$17/1000000,MAX(0,1-INT(LOG10($AS$27/1000000))))&amp;"M",IF(ABS($AT$17)&gt;=1000,ROUND($AT$17/1000,MAX(0,1-INT(LOG10($AS$27/1000))))&amp;"k",TEXT($AT$17,"#,##0"))),TEXT($AT$17,"#,##0")))</f>
        <v/>
      </c>
    </row>
    <row r="18">
      <c r="B18" t="n">
        <v>571</v>
      </c>
      <c r="C18" t="n">
        <v>571.75</v>
      </c>
      <c r="D18" t="n">
        <v>11</v>
      </c>
      <c r="E18" t="inlineStr">
        <is>
          <t>low end bar</t>
        </is>
      </c>
      <c r="F18">
        <f>$F$7+SUMIFS($D$4:$D$203,$C$4:$C$203,"&lt;"&amp;$F$14)</f>
        <v/>
      </c>
      <c r="G18">
        <f>IF(15&lt;=$F$13,$F$14+(15-1)*$F$16,"")</f>
        <v/>
      </c>
      <c r="H18">
        <f>IF(15&gt;$F$13,"",SUMIFS($D$4:$D$203,$C$4:$C$203,"&gt;="&amp;$G$18,$C$4:$C$203,IF(15=$F$13,"&lt;=","&lt;")&amp;($G$18+$F$16)))</f>
        <v/>
      </c>
      <c r="I18">
        <f>IF(AND(MOD(4,$F$17)=0,MOD((INT(4/$F$17)+1)-1,$F$13/5)=0),INDEX($N$4:$N$53,(INT(4/$F$17)+1)),"")</f>
        <v/>
      </c>
      <c r="J18">
        <f>IF(MOD(4,$F$17)=$F$17-1,0,INDEX($H$4:$H$53,(INT(4/$F$17)+1)))</f>
        <v/>
      </c>
      <c r="K18">
        <f>IFERROR(IF(AND($M$11&gt;=$F$14,$M$11&lt;=$F$15),10+0.5+100*($M$11-$F$14)/($F$15-$F$14),NA()),NA())</f>
        <v/>
      </c>
      <c r="L18">
        <f>IF(ISNA($K$18),NA(),0)</f>
        <v/>
      </c>
      <c r="M18">
        <f>IFERROR(IF(LEFT(LOWER(TRIM($F$20)),5)="every",IF(((INT($F$11/VALUE(TRIM(MID(TRIM($F$20),6,99))))*VALUE(TRIM(MID(TRIM($F$20),6,99)))+VALUE(TRIM(MID(TRIM($F$20),6,99))))+14*VALUE(TRIM(MID(TRIM($F$20),6,99))))&lt;=$F$12,((INT($F$11/VALUE(TRIM(MID(TRIM($F$20),6,99))))*VALUE(TRIM(MID(TRIM($F$20),6,99)))+VALUE(TRIM(MID(TRIM($F$20),6,99))))+14*VALUE(TRIM(MID(TRIM($F$20),6,99)))),NA()),VALUE(TRIM(MID(SUBSTITUTE(SUBSTITUTE(SUBSTITUTE(TRIM($F$20),",",";")," ",""),";",REPT(" ",99)),1387,99)))),NA())</f>
        <v/>
      </c>
      <c r="N18">
        <f>IF($G$18="","",IFERROR(IF(ABS($G$18)&gt;=1000000,ROUND($G$18/1000000,MAX(0,1-INT(LOG10($F$27/1000000))))&amp;"M",IF(ABS($G$18)&gt;=1000,ROUND($G$18/1000,MAX(0,1-INT(LOG10($F$27/1000))))&amp;"k",TEXT($G$18,"#,##0"))),TEXT($G$18,"#,##0")))</f>
        <v/>
      </c>
      <c r="O18" t="n">
        <v>4200</v>
      </c>
      <c r="P18" t="n">
        <v>4350</v>
      </c>
      <c r="Q18" t="n">
        <v>0</v>
      </c>
      <c r="R18" t="inlineStr">
        <is>
          <t>low end bar</t>
        </is>
      </c>
      <c r="S18">
        <f>$S$7+SUMIFS($Q$4:$Q$203,$P$4:$P$203,"&lt;"&amp;$S$14)</f>
        <v/>
      </c>
      <c r="T18">
        <f>IF(15&lt;=$S$13,$S$14+(15-1)*$S$16,"")</f>
        <v/>
      </c>
      <c r="U18">
        <f>IF(15&gt;$S$13,"",SUMIFS($Q$4:$Q$203,$P$4:$P$203,"&gt;="&amp;$T$18,$P$4:$P$203,IF(15=$S$13,"&lt;=","&lt;")&amp;($T$18+$S$16)))</f>
        <v/>
      </c>
      <c r="V18">
        <f>IF(AND(MOD(4,$S$17)=0,MOD((INT(4/$S$17)+1)-1,$S$13/5)=0),INDEX($AA$4:$AA$53,(INT(4/$S$17)+1)),"")</f>
        <v/>
      </c>
      <c r="W18">
        <f>IF(MOD(4,$S$17)=$S$17-1,0,INDEX($U$4:$U$53,(INT(4/$S$17)+1)))</f>
        <v/>
      </c>
      <c r="X18">
        <f>IFERROR(IF(AND($Z$11&gt;=$S$14,$Z$11&lt;=$S$15),10+0.5+100*($Z$11-$S$14)/($S$15-$S$14),NA()),NA())</f>
        <v/>
      </c>
      <c r="Y18">
        <f>IF(ISNA($X$18),NA(),0)</f>
        <v/>
      </c>
      <c r="Z18">
        <f>IFERROR(IF(LEFT(LOWER(TRIM($S$20)),5)="every",IF(((INT($S$11/VALUE(TRIM(MID(TRIM($S$20),6,99))))*VALUE(TRIM(MID(TRIM($S$20),6,99)))+VALUE(TRIM(MID(TRIM($S$20),6,99))))+14*VALUE(TRIM(MID(TRIM($S$20),6,99))))&lt;=$S$12,((INT($S$11/VALUE(TRIM(MID(TRIM($S$20),6,99))))*VALUE(TRIM(MID(TRIM($S$20),6,99)))+VALUE(TRIM(MID(TRIM($S$20),6,99))))+14*VALUE(TRIM(MID(TRIM($S$20),6,99)))),NA()),VALUE(TRIM(MID(SUBSTITUTE(SUBSTITUTE(SUBSTITUTE(TRIM($S$20),",",";")," ",""),";",REPT(" ",99)),1387,99)))),NA())</f>
        <v/>
      </c>
      <c r="AA18">
        <f>IF($T$18="","",IFERROR(IF(ABS($T$18)&gt;=1000000,ROUND($T$18/1000000,MAX(0,1-INT(LOG10($S$27/1000000))))&amp;"M",IF(ABS($T$18)&gt;=1000,ROUND($T$18/1000,MAX(0,1-INT(LOG10($S$27/1000))))&amp;"k",TEXT($T$18,"#,##0"))),TEXT($T$18,"#,##0")))</f>
        <v/>
      </c>
      <c r="AB18" t="n">
        <v>2100</v>
      </c>
      <c r="AC18" t="n">
        <v>2175</v>
      </c>
      <c r="AD18" t="n">
        <v>28</v>
      </c>
      <c r="AE18" t="inlineStr">
        <is>
          <t>low end bar</t>
        </is>
      </c>
      <c r="AF18">
        <f>$AF$7+SUMIFS($AD$4:$AD$203,$AC$4:$AC$203,"&lt;"&amp;$AF$14)</f>
        <v/>
      </c>
      <c r="AG18">
        <f>IF(15&lt;=$AF$13,$AF$14+(15-1)*$AF$16,"")</f>
        <v/>
      </c>
      <c r="AH18">
        <f>IF(15&gt;$AF$13,"",SUMIFS($AD$4:$AD$203,$AC$4:$AC$203,"&gt;="&amp;$AG$18,$AC$4:$AC$203,IF(15=$AF$13,"&lt;=","&lt;")&amp;($AG$18+$AF$16)))</f>
        <v/>
      </c>
      <c r="AI18">
        <f>IF(AND(MOD(4,$AF$17)=0,MOD((INT(4/$AF$17)+1)-1,$AF$13/5)=0),INDEX($AN$4:$AN$53,(INT(4/$AF$17)+1)),"")</f>
        <v/>
      </c>
      <c r="AJ18">
        <f>IF(MOD(4,$AF$17)=$AF$17-1,0,INDEX($AH$4:$AH$53,(INT(4/$AF$17)+1)))</f>
        <v/>
      </c>
      <c r="AK18">
        <f>IFERROR(IF(AND($AM$11&gt;=$AF$14,$AM$11&lt;=$AF$15),10+0.5+100*($AM$11-$AF$14)/($AF$15-$AF$14),NA()),NA())</f>
        <v/>
      </c>
      <c r="AL18">
        <f>IF(ISNA($AK$18),NA(),0)</f>
        <v/>
      </c>
      <c r="AM18">
        <f>IFERROR(IF(LEFT(LOWER(TRIM($AF$20)),5)="every",IF(((INT($AF$11/VALUE(TRIM(MID(TRIM($AF$20),6,99))))*VALUE(TRIM(MID(TRIM($AF$20),6,99)))+VALUE(TRIM(MID(TRIM($AF$20),6,99))))+14*VALUE(TRIM(MID(TRIM($AF$20),6,99))))&lt;=$AF$12,((INT($AF$11/VALUE(TRIM(MID(TRIM($AF$20),6,99))))*VALUE(TRIM(MID(TRIM($AF$20),6,99)))+VALUE(TRIM(MID(TRIM($AF$20),6,99))))+14*VALUE(TRIM(MID(TRIM($AF$20),6,99)))),NA()),VALUE(TRIM(MID(SUBSTITUTE(SUBSTITUTE(SUBSTITUTE(TRIM($AF$20),",",";")," ",""),";",REPT(" ",99)),1387,99)))),NA())</f>
        <v/>
      </c>
      <c r="AN18">
        <f>IF($AG$18="","",IFERROR(IF(ABS($AG$18)&gt;=1000000,ROUND($AG$18/1000000,MAX(0,1-INT(LOG10($AF$27/1000000))))&amp;"M",IF(ABS($AG$18)&gt;=1000,ROUND($AG$18/1000,MAX(0,1-INT(LOG10($AF$27/1000))))&amp;"k",TEXT($AG$18,"#,##0"))),TEXT($AG$18,"#,##0")))</f>
        <v/>
      </c>
      <c r="AO18" t="n">
        <v>31.5</v>
      </c>
      <c r="AP18" t="n">
        <v>32.625</v>
      </c>
      <c r="AQ18" t="n">
        <v>28</v>
      </c>
      <c r="AR18" t="inlineStr">
        <is>
          <t>low end bar</t>
        </is>
      </c>
      <c r="AS18">
        <f>$AS$7+SUMIFS($AQ$4:$AQ$203,$AP$4:$AP$203,"&lt;"&amp;$AS$14)</f>
        <v/>
      </c>
      <c r="AT18">
        <f>IF(15&lt;=$AS$13,$AS$14+(15-1)*$AS$16,"")</f>
        <v/>
      </c>
      <c r="AU18">
        <f>IF(15&gt;$AS$13,"",SUMIFS($AQ$4:$AQ$203,$AP$4:$AP$203,"&gt;="&amp;$AT$18,$AP$4:$AP$203,IF(15=$AS$13,"&lt;=","&lt;")&amp;($AT$18+$AS$16)))</f>
        <v/>
      </c>
      <c r="AV18">
        <f>IF(AND(MOD(4,$AS$17)=0,MOD((INT(4/$AS$17)+1)-1,$AS$13/5)=0),INDEX($BA$4:$BA$53,(INT(4/$AS$17)+1)),"")</f>
        <v/>
      </c>
      <c r="AW18">
        <f>IF(MOD(4,$AS$17)=$AS$17-1,0,INDEX($AU$4:$AU$53,(INT(4/$AS$17)+1)))</f>
        <v/>
      </c>
      <c r="AX18">
        <f>IFERROR(IF(AND($AZ$11&gt;=$AS$14,$AZ$11&lt;=$AS$15),10+0.5+100*($AZ$11-$AS$14)/($AS$15-$AS$14),NA()),NA())</f>
        <v/>
      </c>
      <c r="AY18">
        <f>IF(ISNA($AX$18),NA(),0)</f>
        <v/>
      </c>
      <c r="AZ18">
        <f>IFERROR(IF(LEFT(LOWER(TRIM($AS$20)),5)="every",IF(((INT($AS$11/VALUE(TRIM(MID(TRIM($AS$20),6,99))))*VALUE(TRIM(MID(TRIM($AS$20),6,99)))+VALUE(TRIM(MID(TRIM($AS$20),6,99))))+14*VALUE(TRIM(MID(TRIM($AS$20),6,99))))&lt;=$AS$12,((INT($AS$11/VALUE(TRIM(MID(TRIM($AS$20),6,99))))*VALUE(TRIM(MID(TRIM($AS$20),6,99)))+VALUE(TRIM(MID(TRIM($AS$20),6,99))))+14*VALUE(TRIM(MID(TRIM($AS$20),6,99)))),NA()),VALUE(TRIM(MID(SUBSTITUTE(SUBSTITUTE(SUBSTITUTE(TRIM($AS$20),",",";")," ",""),";",REPT(" ",99)),1387,99)))),NA())</f>
        <v/>
      </c>
      <c r="BA18">
        <f>IF($AT$18="","",IFERROR(IF(ABS($AT$18)&gt;=1000000,ROUND($AT$18/1000000,MAX(0,1-INT(LOG10($AS$27/1000000))))&amp;"M",IF(ABS($AT$18)&gt;=1000,ROUND($AT$18/1000,MAX(0,1-INT(LOG10($AS$27/1000))))&amp;"k",TEXT($AT$18,"#,##0"))),TEXT($AT$18,"#,##0")))</f>
        <v/>
      </c>
    </row>
    <row r="19">
      <c r="B19" t="n">
        <v>572.5</v>
      </c>
      <c r="C19" t="n">
        <v>573.25</v>
      </c>
      <c r="D19" t="n">
        <v>3</v>
      </c>
      <c r="E19" t="inlineStr">
        <is>
          <t>high end bar</t>
        </is>
      </c>
      <c r="F19">
        <f>$F$8+SUMIFS($D$4:$D$203,$C$4:$C$203,"&gt;"&amp;$F$15)</f>
        <v/>
      </c>
      <c r="G19">
        <f>IF(16&lt;=$F$13,$F$14+(16-1)*$F$16,"")</f>
        <v/>
      </c>
      <c r="H19">
        <f>IF(16&gt;$F$13,"",SUMIFS($D$4:$D$203,$C$4:$C$203,"&gt;="&amp;$G$19,$C$4:$C$203,IF(16=$F$13,"&lt;=","&lt;")&amp;($G$19+$F$16)))</f>
        <v/>
      </c>
      <c r="I19">
        <f>IF(AND(MOD(5,$F$17)=0,MOD((INT(5/$F$17)+1)-1,$F$13/5)=0),INDEX($N$4:$N$53,(INT(5/$F$17)+1)),"")</f>
        <v/>
      </c>
      <c r="J19">
        <f>IF(MOD(5,$F$17)=$F$17-1,0,INDEX($H$4:$H$53,(INT(5/$F$17)+1)))</f>
        <v/>
      </c>
      <c r="K19">
        <f>IFERROR(IF(AND($M$11&gt;=$F$14,$M$11&lt;=$F$15),10+0.5+100*($M$11-$F$14)/($F$15-$F$14),NA()),NA())</f>
        <v/>
      </c>
      <c r="L19">
        <f>IF(ISNA($K$19),NA(),MAX($J$4:$J$123))</f>
        <v/>
      </c>
      <c r="M19">
        <f>IFERROR(IF(LEFT(LOWER(TRIM($F$20)),5)="every",IF(((INT($F$11/VALUE(TRIM(MID(TRIM($F$20),6,99))))*VALUE(TRIM(MID(TRIM($F$20),6,99)))+VALUE(TRIM(MID(TRIM($F$20),6,99))))+15*VALUE(TRIM(MID(TRIM($F$20),6,99))))&lt;=$F$12,((INT($F$11/VALUE(TRIM(MID(TRIM($F$20),6,99))))*VALUE(TRIM(MID(TRIM($F$20),6,99)))+VALUE(TRIM(MID(TRIM($F$20),6,99))))+15*VALUE(TRIM(MID(TRIM($F$20),6,99)))),NA()),VALUE(TRIM(MID(SUBSTITUTE(SUBSTITUTE(SUBSTITUTE(TRIM($F$20),",",";")," ",""),";",REPT(" ",99)),1486,99)))),NA())</f>
        <v/>
      </c>
      <c r="N19">
        <f>IF($G$19="","",IFERROR(IF(ABS($G$19)&gt;=1000000,ROUND($G$19/1000000,MAX(0,1-INT(LOG10($F$27/1000000))))&amp;"M",IF(ABS($G$19)&gt;=1000,ROUND($G$19/1000,MAX(0,1-INT(LOG10($F$27/1000))))&amp;"k",TEXT($G$19,"#,##0"))),TEXT($G$19,"#,##0")))</f>
        <v/>
      </c>
      <c r="O19" t="n">
        <v>4500</v>
      </c>
      <c r="P19" t="n">
        <v>4650</v>
      </c>
      <c r="Q19" t="n">
        <v>0</v>
      </c>
      <c r="R19" t="inlineStr">
        <is>
          <t>high end bar</t>
        </is>
      </c>
      <c r="S19">
        <f>$S$8+SUMIFS($Q$4:$Q$203,$P$4:$P$203,"&gt;"&amp;$S$15)</f>
        <v/>
      </c>
      <c r="T19">
        <f>IF(16&lt;=$S$13,$S$14+(16-1)*$S$16,"")</f>
        <v/>
      </c>
      <c r="U19">
        <f>IF(16&gt;$S$13,"",SUMIFS($Q$4:$Q$203,$P$4:$P$203,"&gt;="&amp;$T$19,$P$4:$P$203,IF(16=$S$13,"&lt;=","&lt;")&amp;($T$19+$S$16)))</f>
        <v/>
      </c>
      <c r="V19">
        <f>IF(AND(MOD(5,$S$17)=0,MOD((INT(5/$S$17)+1)-1,$S$13/5)=0),INDEX($AA$4:$AA$53,(INT(5/$S$17)+1)),"")</f>
        <v/>
      </c>
      <c r="W19">
        <f>IF(MOD(5,$S$17)=$S$17-1,0,INDEX($U$4:$U$53,(INT(5/$S$17)+1)))</f>
        <v/>
      </c>
      <c r="X19">
        <f>IFERROR(IF(AND($Z$11&gt;=$S$14,$Z$11&lt;=$S$15),10+0.5+100*($Z$11-$S$14)/($S$15-$S$14),NA()),NA())</f>
        <v/>
      </c>
      <c r="Y19">
        <f>IF(ISNA($X$19),NA(),MAX($W$4:$W$123))</f>
        <v/>
      </c>
      <c r="Z19">
        <f>IFERROR(IF(LEFT(LOWER(TRIM($S$20)),5)="every",IF(((INT($S$11/VALUE(TRIM(MID(TRIM($S$20),6,99))))*VALUE(TRIM(MID(TRIM($S$20),6,99)))+VALUE(TRIM(MID(TRIM($S$20),6,99))))+15*VALUE(TRIM(MID(TRIM($S$20),6,99))))&lt;=$S$12,((INT($S$11/VALUE(TRIM(MID(TRIM($S$20),6,99))))*VALUE(TRIM(MID(TRIM($S$20),6,99)))+VALUE(TRIM(MID(TRIM($S$20),6,99))))+15*VALUE(TRIM(MID(TRIM($S$20),6,99)))),NA()),VALUE(TRIM(MID(SUBSTITUTE(SUBSTITUTE(SUBSTITUTE(TRIM($S$20),",",";")," ",""),";",REPT(" ",99)),1486,99)))),NA())</f>
        <v/>
      </c>
      <c r="AA19">
        <f>IF($T$19="","",IFERROR(IF(ABS($T$19)&gt;=1000000,ROUND($T$19/1000000,MAX(0,1-INT(LOG10($S$27/1000000))))&amp;"M",IF(ABS($T$19)&gt;=1000,ROUND($T$19/1000,MAX(0,1-INT(LOG10($S$27/1000))))&amp;"k",TEXT($T$19,"#,##0"))),TEXT($T$19,"#,##0")))</f>
        <v/>
      </c>
      <c r="AB19" t="n">
        <v>2250</v>
      </c>
      <c r="AC19" t="n">
        <v>2325</v>
      </c>
      <c r="AD19" t="n">
        <v>25</v>
      </c>
      <c r="AE19" t="inlineStr">
        <is>
          <t>high end bar</t>
        </is>
      </c>
      <c r="AF19">
        <f>$AF$8+SUMIFS($AD$4:$AD$203,$AC$4:$AC$203,"&gt;"&amp;$AF$15)</f>
        <v/>
      </c>
      <c r="AG19">
        <f>IF(16&lt;=$AF$13,$AF$14+(16-1)*$AF$16,"")</f>
        <v/>
      </c>
      <c r="AH19">
        <f>IF(16&gt;$AF$13,"",SUMIFS($AD$4:$AD$203,$AC$4:$AC$203,"&gt;="&amp;$AG$19,$AC$4:$AC$203,IF(16=$AF$13,"&lt;=","&lt;")&amp;($AG$19+$AF$16)))</f>
        <v/>
      </c>
      <c r="AI19">
        <f>IF(AND(MOD(5,$AF$17)=0,MOD((INT(5/$AF$17)+1)-1,$AF$13/5)=0),INDEX($AN$4:$AN$53,(INT(5/$AF$17)+1)),"")</f>
        <v/>
      </c>
      <c r="AJ19">
        <f>IF(MOD(5,$AF$17)=$AF$17-1,0,INDEX($AH$4:$AH$53,(INT(5/$AF$17)+1)))</f>
        <v/>
      </c>
      <c r="AK19">
        <f>IFERROR(IF(AND($AM$11&gt;=$AF$14,$AM$11&lt;=$AF$15),10+0.5+100*($AM$11-$AF$14)/($AF$15-$AF$14),NA()),NA())</f>
        <v/>
      </c>
      <c r="AL19">
        <f>IF(ISNA($AK$19),NA(),MAX($AJ$4:$AJ$123))</f>
        <v/>
      </c>
      <c r="AM19">
        <f>IFERROR(IF(LEFT(LOWER(TRIM($AF$20)),5)="every",IF(((INT($AF$11/VALUE(TRIM(MID(TRIM($AF$20),6,99))))*VALUE(TRIM(MID(TRIM($AF$20),6,99)))+VALUE(TRIM(MID(TRIM($AF$20),6,99))))+15*VALUE(TRIM(MID(TRIM($AF$20),6,99))))&lt;=$AF$12,((INT($AF$11/VALUE(TRIM(MID(TRIM($AF$20),6,99))))*VALUE(TRIM(MID(TRIM($AF$20),6,99)))+VALUE(TRIM(MID(TRIM($AF$20),6,99))))+15*VALUE(TRIM(MID(TRIM($AF$20),6,99)))),NA()),VALUE(TRIM(MID(SUBSTITUTE(SUBSTITUTE(SUBSTITUTE(TRIM($AF$20),",",";")," ",""),";",REPT(" ",99)),1486,99)))),NA())</f>
        <v/>
      </c>
      <c r="AN19">
        <f>IF($AG$19="","",IFERROR(IF(ABS($AG$19)&gt;=1000000,ROUND($AG$19/1000000,MAX(0,1-INT(LOG10($AF$27/1000000))))&amp;"M",IF(ABS($AG$19)&gt;=1000,ROUND($AG$19/1000,MAX(0,1-INT(LOG10($AF$27/1000))))&amp;"k",TEXT($AG$19,"#,##0"))),TEXT($AG$19,"#,##0")))</f>
        <v/>
      </c>
      <c r="AO19" t="n">
        <v>33.75</v>
      </c>
      <c r="AP19" t="n">
        <v>34.875</v>
      </c>
      <c r="AQ19" t="n">
        <v>35</v>
      </c>
      <c r="AR19" t="inlineStr">
        <is>
          <t>high end bar</t>
        </is>
      </c>
      <c r="AS19">
        <f>$AS$8+SUMIFS($AQ$4:$AQ$203,$AP$4:$AP$203,"&gt;"&amp;$AS$15)</f>
        <v/>
      </c>
      <c r="AT19">
        <f>IF(16&lt;=$AS$13,$AS$14+(16-1)*$AS$16,"")</f>
        <v/>
      </c>
      <c r="AU19">
        <f>IF(16&gt;$AS$13,"",SUMIFS($AQ$4:$AQ$203,$AP$4:$AP$203,"&gt;="&amp;$AT$19,$AP$4:$AP$203,IF(16=$AS$13,"&lt;=","&lt;")&amp;($AT$19+$AS$16)))</f>
        <v/>
      </c>
      <c r="AV19">
        <f>IF(AND(MOD(5,$AS$17)=0,MOD((INT(5/$AS$17)+1)-1,$AS$13/5)=0),INDEX($BA$4:$BA$53,(INT(5/$AS$17)+1)),"")</f>
        <v/>
      </c>
      <c r="AW19">
        <f>IF(MOD(5,$AS$17)=$AS$17-1,0,INDEX($AU$4:$AU$53,(INT(5/$AS$17)+1)))</f>
        <v/>
      </c>
      <c r="AX19">
        <f>IFERROR(IF(AND($AZ$11&gt;=$AS$14,$AZ$11&lt;=$AS$15),10+0.5+100*($AZ$11-$AS$14)/($AS$15-$AS$14),NA()),NA())</f>
        <v/>
      </c>
      <c r="AY19">
        <f>IF(ISNA($AX$19),NA(),MAX($AW$4:$AW$123))</f>
        <v/>
      </c>
      <c r="AZ19">
        <f>IFERROR(IF(LEFT(LOWER(TRIM($AS$20)),5)="every",IF(((INT($AS$11/VALUE(TRIM(MID(TRIM($AS$20),6,99))))*VALUE(TRIM(MID(TRIM($AS$20),6,99)))+VALUE(TRIM(MID(TRIM($AS$20),6,99))))+15*VALUE(TRIM(MID(TRIM($AS$20),6,99))))&lt;=$AS$12,((INT($AS$11/VALUE(TRIM(MID(TRIM($AS$20),6,99))))*VALUE(TRIM(MID(TRIM($AS$20),6,99)))+VALUE(TRIM(MID(TRIM($AS$20),6,99))))+15*VALUE(TRIM(MID(TRIM($AS$20),6,99)))),NA()),VALUE(TRIM(MID(SUBSTITUTE(SUBSTITUTE(SUBSTITUTE(TRIM($AS$20),",",";")," ",""),";",REPT(" ",99)),1486,99)))),NA())</f>
        <v/>
      </c>
      <c r="BA19">
        <f>IF($AT$19="","",IFERROR(IF(ABS($AT$19)&gt;=1000000,ROUND($AT$19/1000000,MAX(0,1-INT(LOG10($AS$27/1000000))))&amp;"M",IF(ABS($AT$19)&gt;=1000,ROUND($AT$19/1000,MAX(0,1-INT(LOG10($AS$27/1000))))&amp;"k",TEXT($AT$19,"#,##0"))),TEXT($AT$19,"#,##0")))</f>
        <v/>
      </c>
    </row>
    <row r="20">
      <c r="B20" t="n">
        <v>574</v>
      </c>
      <c r="C20" t="n">
        <v>574.75</v>
      </c>
      <c r="D20" t="n">
        <v>6</v>
      </c>
      <c r="E20" t="inlineStr">
        <is>
          <t>band edges on Columns</t>
        </is>
      </c>
      <c r="F20">
        <f>Columns!$I$14&amp;""</f>
        <v/>
      </c>
      <c r="G20">
        <f>IF(17&lt;=$F$13,$F$14+(17-1)*$F$16,"")</f>
        <v/>
      </c>
      <c r="H20">
        <f>IF(17&gt;$F$13,"",SUMIFS($D$4:$D$203,$C$4:$C$203,"&gt;="&amp;$G$20,$C$4:$C$203,IF(17=$F$13,"&lt;=","&lt;")&amp;($G$20+$F$16)))</f>
        <v/>
      </c>
      <c r="I20">
        <f>IF(AND(MOD(6,$F$17)=0,MOD((INT(6/$F$17)+1)-1,$F$13/5)=0),INDEX($N$4:$N$53,(INT(6/$F$17)+1)),"")</f>
        <v/>
      </c>
      <c r="J20">
        <f>IF(MOD(6,$F$17)=$F$17-1,0,INDEX($H$4:$H$53,(INT(6/$F$17)+1)))</f>
        <v/>
      </c>
      <c r="K20">
        <f>IFERROR(IF(AND($M$12&gt;=$F$14,$M$12&lt;=$F$15),10+0.5+100*($M$12-$F$14)/($F$15-$F$14),NA()),NA())</f>
        <v/>
      </c>
      <c r="L20">
        <f>IF(ISNA($K$20),NA(),0)</f>
        <v/>
      </c>
      <c r="M20">
        <f>IFERROR(IF(LEFT(LOWER(TRIM($F$20)),5)="every",IF(((INT($F$11/VALUE(TRIM(MID(TRIM($F$20),6,99))))*VALUE(TRIM(MID(TRIM($F$20),6,99)))+VALUE(TRIM(MID(TRIM($F$20),6,99))))+16*VALUE(TRIM(MID(TRIM($F$20),6,99))))&lt;=$F$12,((INT($F$11/VALUE(TRIM(MID(TRIM($F$20),6,99))))*VALUE(TRIM(MID(TRIM($F$20),6,99)))+VALUE(TRIM(MID(TRIM($F$20),6,99))))+16*VALUE(TRIM(MID(TRIM($F$20),6,99)))),NA()),VALUE(TRIM(MID(SUBSTITUTE(SUBSTITUTE(SUBSTITUTE(TRIM($F$20),",",";")," ",""),";",REPT(" ",99)),1585,99)))),NA())</f>
        <v/>
      </c>
      <c r="N20">
        <f>IF($G$20="","",IFERROR(IF(ABS($G$20)&gt;=1000000,ROUND($G$20/1000000,MAX(0,1-INT(LOG10($F$27/1000000))))&amp;"M",IF(ABS($G$20)&gt;=1000,ROUND($G$20/1000,MAX(0,1-INT(LOG10($F$27/1000))))&amp;"k",TEXT($G$20,"#,##0"))),TEXT($G$20,"#,##0")))</f>
        <v/>
      </c>
      <c r="O20" t="n">
        <v>4800</v>
      </c>
      <c r="P20" t="n">
        <v>4950</v>
      </c>
      <c r="Q20" t="n">
        <v>15</v>
      </c>
      <c r="R20" t="inlineStr">
        <is>
          <t>band edges on Columns</t>
        </is>
      </c>
      <c r="S20">
        <f>Columns!$I$16&amp;""</f>
        <v/>
      </c>
      <c r="T20">
        <f>IF(17&lt;=$S$13,$S$14+(17-1)*$S$16,"")</f>
        <v/>
      </c>
      <c r="U20">
        <f>IF(17&gt;$S$13,"",SUMIFS($Q$4:$Q$203,$P$4:$P$203,"&gt;="&amp;$T$20,$P$4:$P$203,IF(17=$S$13,"&lt;=","&lt;")&amp;($T$20+$S$16)))</f>
        <v/>
      </c>
      <c r="V20">
        <f>IF(AND(MOD(6,$S$17)=0,MOD((INT(6/$S$17)+1)-1,$S$13/5)=0),INDEX($AA$4:$AA$53,(INT(6/$S$17)+1)),"")</f>
        <v/>
      </c>
      <c r="W20">
        <f>IF(MOD(6,$S$17)=$S$17-1,0,INDEX($U$4:$U$53,(INT(6/$S$17)+1)))</f>
        <v/>
      </c>
      <c r="X20">
        <f>IFERROR(IF(AND($Z$12&gt;=$S$14,$Z$12&lt;=$S$15),10+0.5+100*($Z$12-$S$14)/($S$15-$S$14),NA()),NA())</f>
        <v/>
      </c>
      <c r="Y20">
        <f>IF(ISNA($X$20),NA(),0)</f>
        <v/>
      </c>
      <c r="Z20">
        <f>IFERROR(IF(LEFT(LOWER(TRIM($S$20)),5)="every",IF(((INT($S$11/VALUE(TRIM(MID(TRIM($S$20),6,99))))*VALUE(TRIM(MID(TRIM($S$20),6,99)))+VALUE(TRIM(MID(TRIM($S$20),6,99))))+16*VALUE(TRIM(MID(TRIM($S$20),6,99))))&lt;=$S$12,((INT($S$11/VALUE(TRIM(MID(TRIM($S$20),6,99))))*VALUE(TRIM(MID(TRIM($S$20),6,99)))+VALUE(TRIM(MID(TRIM($S$20),6,99))))+16*VALUE(TRIM(MID(TRIM($S$20),6,99)))),NA()),VALUE(TRIM(MID(SUBSTITUTE(SUBSTITUTE(SUBSTITUTE(TRIM($S$20),",",";")," ",""),";",REPT(" ",99)),1585,99)))),NA())</f>
        <v/>
      </c>
      <c r="AA20">
        <f>IF($T$20="","",IFERROR(IF(ABS($T$20)&gt;=1000000,ROUND($T$20/1000000,MAX(0,1-INT(LOG10($S$27/1000000))))&amp;"M",IF(ABS($T$20)&gt;=1000,ROUND($T$20/1000,MAX(0,1-INT(LOG10($S$27/1000))))&amp;"k",TEXT($T$20,"#,##0"))),TEXT($T$20,"#,##0")))</f>
        <v/>
      </c>
      <c r="AB20" t="n">
        <v>2400</v>
      </c>
      <c r="AC20" t="n">
        <v>2475</v>
      </c>
      <c r="AD20" t="n">
        <v>22</v>
      </c>
      <c r="AE20" t="inlineStr">
        <is>
          <t>band edges on Columns</t>
        </is>
      </c>
      <c r="AF20">
        <f>Columns!$I$21&amp;""</f>
        <v/>
      </c>
      <c r="AG20">
        <f>IF(17&lt;=$AF$13,$AF$14+(17-1)*$AF$16,"")</f>
        <v/>
      </c>
      <c r="AH20">
        <f>IF(17&gt;$AF$13,"",SUMIFS($AD$4:$AD$203,$AC$4:$AC$203,"&gt;="&amp;$AG$20,$AC$4:$AC$203,IF(17=$AF$13,"&lt;=","&lt;")&amp;($AG$20+$AF$16)))</f>
        <v/>
      </c>
      <c r="AI20">
        <f>IF(AND(MOD(6,$AF$17)=0,MOD((INT(6/$AF$17)+1)-1,$AF$13/5)=0),INDEX($AN$4:$AN$53,(INT(6/$AF$17)+1)),"")</f>
        <v/>
      </c>
      <c r="AJ20">
        <f>IF(MOD(6,$AF$17)=$AF$17-1,0,INDEX($AH$4:$AH$53,(INT(6/$AF$17)+1)))</f>
        <v/>
      </c>
      <c r="AK20">
        <f>IFERROR(IF(AND($AM$12&gt;=$AF$14,$AM$12&lt;=$AF$15),10+0.5+100*($AM$12-$AF$14)/($AF$15-$AF$14),NA()),NA())</f>
        <v/>
      </c>
      <c r="AL20">
        <f>IF(ISNA($AK$20),NA(),0)</f>
        <v/>
      </c>
      <c r="AM20">
        <f>IFERROR(IF(LEFT(LOWER(TRIM($AF$20)),5)="every",IF(((INT($AF$11/VALUE(TRIM(MID(TRIM($AF$20),6,99))))*VALUE(TRIM(MID(TRIM($AF$20),6,99)))+VALUE(TRIM(MID(TRIM($AF$20),6,99))))+16*VALUE(TRIM(MID(TRIM($AF$20),6,99))))&lt;=$AF$12,((INT($AF$11/VALUE(TRIM(MID(TRIM($AF$20),6,99))))*VALUE(TRIM(MID(TRIM($AF$20),6,99)))+VALUE(TRIM(MID(TRIM($AF$20),6,99))))+16*VALUE(TRIM(MID(TRIM($AF$20),6,99)))),NA()),VALUE(TRIM(MID(SUBSTITUTE(SUBSTITUTE(SUBSTITUTE(TRIM($AF$20),",",";")," ",""),";",REPT(" ",99)),1585,99)))),NA())</f>
        <v/>
      </c>
      <c r="AN20">
        <f>IF($AG$20="","",IFERROR(IF(ABS($AG$20)&gt;=1000000,ROUND($AG$20/1000000,MAX(0,1-INT(LOG10($AF$27/1000000))))&amp;"M",IF(ABS($AG$20)&gt;=1000,ROUND($AG$20/1000,MAX(0,1-INT(LOG10($AF$27/1000))))&amp;"k",TEXT($AG$20,"#,##0"))),TEXT($AG$20,"#,##0")))</f>
        <v/>
      </c>
      <c r="AO20" t="n">
        <v>36</v>
      </c>
      <c r="AP20" t="n">
        <v>37.125</v>
      </c>
      <c r="AQ20" t="n">
        <v>55</v>
      </c>
      <c r="AR20" t="inlineStr">
        <is>
          <t>band edges on Columns</t>
        </is>
      </c>
      <c r="AS20">
        <f>Columns!$I$23&amp;""</f>
        <v/>
      </c>
      <c r="AT20">
        <f>IF(17&lt;=$AS$13,$AS$14+(17-1)*$AS$16,"")</f>
        <v/>
      </c>
      <c r="AU20">
        <f>IF(17&gt;$AS$13,"",SUMIFS($AQ$4:$AQ$203,$AP$4:$AP$203,"&gt;="&amp;$AT$20,$AP$4:$AP$203,IF(17=$AS$13,"&lt;=","&lt;")&amp;($AT$20+$AS$16)))</f>
        <v/>
      </c>
      <c r="AV20">
        <f>IF(AND(MOD(6,$AS$17)=0,MOD((INT(6/$AS$17)+1)-1,$AS$13/5)=0),INDEX($BA$4:$BA$53,(INT(6/$AS$17)+1)),"")</f>
        <v/>
      </c>
      <c r="AW20">
        <f>IF(MOD(6,$AS$17)=$AS$17-1,0,INDEX($AU$4:$AU$53,(INT(6/$AS$17)+1)))</f>
        <v/>
      </c>
      <c r="AX20">
        <f>IFERROR(IF(AND($AZ$12&gt;=$AS$14,$AZ$12&lt;=$AS$15),10+0.5+100*($AZ$12-$AS$14)/($AS$15-$AS$14),NA()),NA())</f>
        <v/>
      </c>
      <c r="AY20">
        <f>IF(ISNA($AX$20),NA(),0)</f>
        <v/>
      </c>
      <c r="AZ20">
        <f>IFERROR(IF(LEFT(LOWER(TRIM($AS$20)),5)="every",IF(((INT($AS$11/VALUE(TRIM(MID(TRIM($AS$20),6,99))))*VALUE(TRIM(MID(TRIM($AS$20),6,99)))+VALUE(TRIM(MID(TRIM($AS$20),6,99))))+16*VALUE(TRIM(MID(TRIM($AS$20),6,99))))&lt;=$AS$12,((INT($AS$11/VALUE(TRIM(MID(TRIM($AS$20),6,99))))*VALUE(TRIM(MID(TRIM($AS$20),6,99)))+VALUE(TRIM(MID(TRIM($AS$20),6,99))))+16*VALUE(TRIM(MID(TRIM($AS$20),6,99)))),NA()),VALUE(TRIM(MID(SUBSTITUTE(SUBSTITUTE(SUBSTITUTE(TRIM($AS$20),",",";")," ",""),";",REPT(" ",99)),1585,99)))),NA())</f>
        <v/>
      </c>
      <c r="BA20">
        <f>IF($AT$20="","",IFERROR(IF(ABS($AT$20)&gt;=1000000,ROUND($AT$20/1000000,MAX(0,1-INT(LOG10($AS$27/1000000))))&amp;"M",IF(ABS($AT$20)&gt;=1000,ROUND($AT$20/1000,MAX(0,1-INT(LOG10($AS$27/1000))))&amp;"k",TEXT($AT$20,"#,##0"))),TEXT($AT$20,"#,##0")))</f>
        <v/>
      </c>
    </row>
    <row r="21">
      <c r="B21" t="n">
        <v>575.5</v>
      </c>
      <c r="C21" t="n">
        <v>576.25</v>
      </c>
      <c r="D21" t="n">
        <v>6</v>
      </c>
      <c r="E21" t="inlineStr">
        <is>
          <t>format</t>
        </is>
      </c>
      <c r="F21" t="inlineStr">
        <is>
          <t>#,##0</t>
        </is>
      </c>
      <c r="G21">
        <f>IF(18&lt;=$F$13,$F$14+(18-1)*$F$16,"")</f>
        <v/>
      </c>
      <c r="H21">
        <f>IF(18&gt;$F$13,"",SUMIFS($D$4:$D$203,$C$4:$C$203,"&gt;="&amp;$G$21,$C$4:$C$203,IF(18=$F$13,"&lt;=","&lt;")&amp;($G$21+$F$16)))</f>
        <v/>
      </c>
      <c r="I21">
        <f>IF(AND(MOD(7,$F$17)=0,MOD((INT(7/$F$17)+1)-1,$F$13/5)=0),INDEX($N$4:$N$53,(INT(7/$F$17)+1)),"")</f>
        <v/>
      </c>
      <c r="J21">
        <f>IF(MOD(7,$F$17)=$F$17-1,0,INDEX($H$4:$H$53,(INT(7/$F$17)+1)))</f>
        <v/>
      </c>
      <c r="K21">
        <f>IFERROR(IF(AND($M$12&gt;=$F$14,$M$12&lt;=$F$15),10+0.5+100*($M$12-$F$14)/($F$15-$F$14),NA()),NA())</f>
        <v/>
      </c>
      <c r="L21">
        <f>IF(ISNA($K$21),NA(),MAX($J$4:$J$123))</f>
        <v/>
      </c>
      <c r="M21">
        <f>IFERROR(IF(LEFT(LOWER(TRIM($F$20)),5)="every",IF(((INT($F$11/VALUE(TRIM(MID(TRIM($F$20),6,99))))*VALUE(TRIM(MID(TRIM($F$20),6,99)))+VALUE(TRIM(MID(TRIM($F$20),6,99))))+17*VALUE(TRIM(MID(TRIM($F$20),6,99))))&lt;=$F$12,((INT($F$11/VALUE(TRIM(MID(TRIM($F$20),6,99))))*VALUE(TRIM(MID(TRIM($F$20),6,99)))+VALUE(TRIM(MID(TRIM($F$20),6,99))))+17*VALUE(TRIM(MID(TRIM($F$20),6,99)))),NA()),VALUE(TRIM(MID(SUBSTITUTE(SUBSTITUTE(SUBSTITUTE(TRIM($F$20),",",";")," ",""),";",REPT(" ",99)),1684,99)))),NA())</f>
        <v/>
      </c>
      <c r="N21">
        <f>IF($G$21="","",IFERROR(IF(ABS($G$21)&gt;=1000000,ROUND($G$21/1000000,MAX(0,1-INT(LOG10($F$27/1000000))))&amp;"M",IF(ABS($G$21)&gt;=1000,ROUND($G$21/1000,MAX(0,1-INT(LOG10($F$27/1000))))&amp;"k",TEXT($G$21,"#,##0"))),TEXT($G$21,"#,##0")))</f>
        <v/>
      </c>
      <c r="O21" t="n">
        <v>5100</v>
      </c>
      <c r="P21" t="n">
        <v>5250</v>
      </c>
      <c r="Q21" t="n">
        <v>48</v>
      </c>
      <c r="R21" t="inlineStr">
        <is>
          <t>format</t>
        </is>
      </c>
      <c r="S21" t="inlineStr">
        <is>
          <t>#,##0</t>
        </is>
      </c>
      <c r="T21">
        <f>IF(18&lt;=$S$13,$S$14+(18-1)*$S$16,"")</f>
        <v/>
      </c>
      <c r="U21">
        <f>IF(18&gt;$S$13,"",SUMIFS($Q$4:$Q$203,$P$4:$P$203,"&gt;="&amp;$T$21,$P$4:$P$203,IF(18=$S$13,"&lt;=","&lt;")&amp;($T$21+$S$16)))</f>
        <v/>
      </c>
      <c r="V21">
        <f>IF(AND(MOD(7,$S$17)=0,MOD((INT(7/$S$17)+1)-1,$S$13/5)=0),INDEX($AA$4:$AA$53,(INT(7/$S$17)+1)),"")</f>
        <v/>
      </c>
      <c r="W21">
        <f>IF(MOD(7,$S$17)=$S$17-1,0,INDEX($U$4:$U$53,(INT(7/$S$17)+1)))</f>
        <v/>
      </c>
      <c r="X21">
        <f>IFERROR(IF(AND($Z$12&gt;=$S$14,$Z$12&lt;=$S$15),10+0.5+100*($Z$12-$S$14)/($S$15-$S$14),NA()),NA())</f>
        <v/>
      </c>
      <c r="Y21">
        <f>IF(ISNA($X$21),NA(),MAX($W$4:$W$123))</f>
        <v/>
      </c>
      <c r="Z21">
        <f>IFERROR(IF(LEFT(LOWER(TRIM($S$20)),5)="every",IF(((INT($S$11/VALUE(TRIM(MID(TRIM($S$20),6,99))))*VALUE(TRIM(MID(TRIM($S$20),6,99)))+VALUE(TRIM(MID(TRIM($S$20),6,99))))+17*VALUE(TRIM(MID(TRIM($S$20),6,99))))&lt;=$S$12,((INT($S$11/VALUE(TRIM(MID(TRIM($S$20),6,99))))*VALUE(TRIM(MID(TRIM($S$20),6,99)))+VALUE(TRIM(MID(TRIM($S$20),6,99))))+17*VALUE(TRIM(MID(TRIM($S$20),6,99)))),NA()),VALUE(TRIM(MID(SUBSTITUTE(SUBSTITUTE(SUBSTITUTE(TRIM($S$20),",",";")," ",""),";",REPT(" ",99)),1684,99)))),NA())</f>
        <v/>
      </c>
      <c r="AA21">
        <f>IF($T$21="","",IFERROR(IF(ABS($T$21)&gt;=1000000,ROUND($T$21/1000000,MAX(0,1-INT(LOG10($S$27/1000000))))&amp;"M",IF(ABS($T$21)&gt;=1000,ROUND($T$21/1000,MAX(0,1-INT(LOG10($S$27/1000))))&amp;"k",TEXT($T$21,"#,##0"))),TEXT($T$21,"#,##0")))</f>
        <v/>
      </c>
      <c r="AB21" t="n">
        <v>2550</v>
      </c>
      <c r="AC21" t="n">
        <v>2625</v>
      </c>
      <c r="AD21" t="n">
        <v>30</v>
      </c>
      <c r="AE21" t="inlineStr">
        <is>
          <t>format</t>
        </is>
      </c>
      <c r="AF21" t="inlineStr">
        <is>
          <t>#,##0</t>
        </is>
      </c>
      <c r="AG21">
        <f>IF(18&lt;=$AF$13,$AF$14+(18-1)*$AF$16,"")</f>
        <v/>
      </c>
      <c r="AH21">
        <f>IF(18&gt;$AF$13,"",SUMIFS($AD$4:$AD$203,$AC$4:$AC$203,"&gt;="&amp;$AG$21,$AC$4:$AC$203,IF(18=$AF$13,"&lt;=","&lt;")&amp;($AG$21+$AF$16)))</f>
        <v/>
      </c>
      <c r="AI21">
        <f>IF(AND(MOD(7,$AF$17)=0,MOD((INT(7/$AF$17)+1)-1,$AF$13/5)=0),INDEX($AN$4:$AN$53,(INT(7/$AF$17)+1)),"")</f>
        <v/>
      </c>
      <c r="AJ21">
        <f>IF(MOD(7,$AF$17)=$AF$17-1,0,INDEX($AH$4:$AH$53,(INT(7/$AF$17)+1)))</f>
        <v/>
      </c>
      <c r="AK21">
        <f>IFERROR(IF(AND($AM$12&gt;=$AF$14,$AM$12&lt;=$AF$15),10+0.5+100*($AM$12-$AF$14)/($AF$15-$AF$14),NA()),NA())</f>
        <v/>
      </c>
      <c r="AL21">
        <f>IF(ISNA($AK$21),NA(),MAX($AJ$4:$AJ$123))</f>
        <v/>
      </c>
      <c r="AM21">
        <f>IFERROR(IF(LEFT(LOWER(TRIM($AF$20)),5)="every",IF(((INT($AF$11/VALUE(TRIM(MID(TRIM($AF$20),6,99))))*VALUE(TRIM(MID(TRIM($AF$20),6,99)))+VALUE(TRIM(MID(TRIM($AF$20),6,99))))+17*VALUE(TRIM(MID(TRIM($AF$20),6,99))))&lt;=$AF$12,((INT($AF$11/VALUE(TRIM(MID(TRIM($AF$20),6,99))))*VALUE(TRIM(MID(TRIM($AF$20),6,99)))+VALUE(TRIM(MID(TRIM($AF$20),6,99))))+17*VALUE(TRIM(MID(TRIM($AF$20),6,99)))),NA()),VALUE(TRIM(MID(SUBSTITUTE(SUBSTITUTE(SUBSTITUTE(TRIM($AF$20),",",";")," ",""),";",REPT(" ",99)),1684,99)))),NA())</f>
        <v/>
      </c>
      <c r="AN21">
        <f>IF($AG$21="","",IFERROR(IF(ABS($AG$21)&gt;=1000000,ROUND($AG$21/1000000,MAX(0,1-INT(LOG10($AF$27/1000000))))&amp;"M",IF(ABS($AG$21)&gt;=1000,ROUND($AG$21/1000,MAX(0,1-INT(LOG10($AF$27/1000))))&amp;"k",TEXT($AG$21,"#,##0"))),TEXT($AG$21,"#,##0")))</f>
        <v/>
      </c>
      <c r="AO21" t="n">
        <v>38.25</v>
      </c>
      <c r="AP21" t="n">
        <v>39.375</v>
      </c>
      <c r="AQ21" t="n">
        <v>47</v>
      </c>
      <c r="AR21" t="inlineStr">
        <is>
          <t>format</t>
        </is>
      </c>
      <c r="AS21" t="inlineStr">
        <is>
          <t>#,##0</t>
        </is>
      </c>
      <c r="AT21">
        <f>IF(18&lt;=$AS$13,$AS$14+(18-1)*$AS$16,"")</f>
        <v/>
      </c>
      <c r="AU21">
        <f>IF(18&gt;$AS$13,"",SUMIFS($AQ$4:$AQ$203,$AP$4:$AP$203,"&gt;="&amp;$AT$21,$AP$4:$AP$203,IF(18=$AS$13,"&lt;=","&lt;")&amp;($AT$21+$AS$16)))</f>
        <v/>
      </c>
      <c r="AV21">
        <f>IF(AND(MOD(7,$AS$17)=0,MOD((INT(7/$AS$17)+1)-1,$AS$13/5)=0),INDEX($BA$4:$BA$53,(INT(7/$AS$17)+1)),"")</f>
        <v/>
      </c>
      <c r="AW21">
        <f>IF(MOD(7,$AS$17)=$AS$17-1,0,INDEX($AU$4:$AU$53,(INT(7/$AS$17)+1)))</f>
        <v/>
      </c>
      <c r="AX21">
        <f>IFERROR(IF(AND($AZ$12&gt;=$AS$14,$AZ$12&lt;=$AS$15),10+0.5+100*($AZ$12-$AS$14)/($AS$15-$AS$14),NA()),NA())</f>
        <v/>
      </c>
      <c r="AY21">
        <f>IF(ISNA($AX$21),NA(),MAX($AW$4:$AW$123))</f>
        <v/>
      </c>
      <c r="AZ21">
        <f>IFERROR(IF(LEFT(LOWER(TRIM($AS$20)),5)="every",IF(((INT($AS$11/VALUE(TRIM(MID(TRIM($AS$20),6,99))))*VALUE(TRIM(MID(TRIM($AS$20),6,99)))+VALUE(TRIM(MID(TRIM($AS$20),6,99))))+17*VALUE(TRIM(MID(TRIM($AS$20),6,99))))&lt;=$AS$12,((INT($AS$11/VALUE(TRIM(MID(TRIM($AS$20),6,99))))*VALUE(TRIM(MID(TRIM($AS$20),6,99)))+VALUE(TRIM(MID(TRIM($AS$20),6,99))))+17*VALUE(TRIM(MID(TRIM($AS$20),6,99)))),NA()),VALUE(TRIM(MID(SUBSTITUTE(SUBSTITUTE(SUBSTITUTE(TRIM($AS$20),",",";")," ",""),";",REPT(" ",99)),1684,99)))),NA())</f>
        <v/>
      </c>
      <c r="BA21">
        <f>IF($AT$21="","",IFERROR(IF(ABS($AT$21)&gt;=1000000,ROUND($AT$21/1000000,MAX(0,1-INT(LOG10($AS$27/1000000))))&amp;"M",IF(ABS($AT$21)&gt;=1000,ROUND($AT$21/1000,MAX(0,1-INT(LOG10($AS$27/1000))))&amp;"k",TEXT($AT$21,"#,##0"))),TEXT($AT$21,"#,##0")))</f>
        <v/>
      </c>
    </row>
    <row r="22">
      <c r="B22" t="n">
        <v>577</v>
      </c>
      <c r="C22" t="n">
        <v>577.75</v>
      </c>
      <c r="D22" t="n">
        <v>10</v>
      </c>
      <c r="E22" t="inlineStr">
        <is>
          <t>P10</t>
        </is>
      </c>
      <c r="F22" t="n">
        <v>629</v>
      </c>
      <c r="G22">
        <f>IF(19&lt;=$F$13,$F$14+(19-1)*$F$16,"")</f>
        <v/>
      </c>
      <c r="H22">
        <f>IF(19&gt;$F$13,"",SUMIFS($D$4:$D$203,$C$4:$C$203,"&gt;="&amp;$G$22,$C$4:$C$203,IF(19=$F$13,"&lt;=","&lt;")&amp;($G$22+$F$16)))</f>
        <v/>
      </c>
      <c r="I22">
        <f>IF(AND(MOD(8,$F$17)=0,MOD((INT(8/$F$17)+1)-1,$F$13/5)=0),INDEX($N$4:$N$53,(INT(8/$F$17)+1)),"")</f>
        <v/>
      </c>
      <c r="J22">
        <f>IF(MOD(8,$F$17)=$F$17-1,0,INDEX($H$4:$H$53,(INT(8/$F$17)+1)))</f>
        <v/>
      </c>
      <c r="K22">
        <f>IFERROR(IF(AND($M$13&gt;=$F$14,$M$13&lt;=$F$15),10+0.5+100*($M$13-$F$14)/($F$15-$F$14),NA()),NA())</f>
        <v/>
      </c>
      <c r="L22">
        <f>IF(ISNA($K$22),NA(),0)</f>
        <v/>
      </c>
      <c r="M22">
        <f>IFERROR(IF(LEFT(LOWER(TRIM($F$20)),5)="every",IF(((INT($F$11/VALUE(TRIM(MID(TRIM($F$20),6,99))))*VALUE(TRIM(MID(TRIM($F$20),6,99)))+VALUE(TRIM(MID(TRIM($F$20),6,99))))+18*VALUE(TRIM(MID(TRIM($F$20),6,99))))&lt;=$F$12,((INT($F$11/VALUE(TRIM(MID(TRIM($F$20),6,99))))*VALUE(TRIM(MID(TRIM($F$20),6,99)))+VALUE(TRIM(MID(TRIM($F$20),6,99))))+18*VALUE(TRIM(MID(TRIM($F$20),6,99)))),NA()),VALUE(TRIM(MID(SUBSTITUTE(SUBSTITUTE(SUBSTITUTE(TRIM($F$20),",",";")," ",""),";",REPT(" ",99)),1783,99)))),NA())</f>
        <v/>
      </c>
      <c r="N22">
        <f>IF($G$22="","",IFERROR(IF(ABS($G$22)&gt;=1000000,ROUND($G$22/1000000,MAX(0,1-INT(LOG10($F$27/1000000))))&amp;"M",IF(ABS($G$22)&gt;=1000,ROUND($G$22/1000,MAX(0,1-INT(LOG10($F$27/1000))))&amp;"k",TEXT($G$22,"#,##0"))),TEXT($G$22,"#,##0")))</f>
        <v/>
      </c>
      <c r="O22" t="n">
        <v>5400</v>
      </c>
      <c r="P22" t="n">
        <v>5550</v>
      </c>
      <c r="Q22" t="n">
        <v>58</v>
      </c>
      <c r="R22" t="inlineStr">
        <is>
          <t>P10</t>
        </is>
      </c>
      <c r="S22" t="n">
        <v>10110.416</v>
      </c>
      <c r="T22">
        <f>IF(19&lt;=$S$13,$S$14+(19-1)*$S$16,"")</f>
        <v/>
      </c>
      <c r="U22">
        <f>IF(19&gt;$S$13,"",SUMIFS($Q$4:$Q$203,$P$4:$P$203,"&gt;="&amp;$T$22,$P$4:$P$203,IF(19=$S$13,"&lt;=","&lt;")&amp;($T$22+$S$16)))</f>
        <v/>
      </c>
      <c r="V22">
        <f>IF(AND(MOD(8,$S$17)=0,MOD((INT(8/$S$17)+1)-1,$S$13/5)=0),INDEX($AA$4:$AA$53,(INT(8/$S$17)+1)),"")</f>
        <v/>
      </c>
      <c r="W22">
        <f>IF(MOD(8,$S$17)=$S$17-1,0,INDEX($U$4:$U$53,(INT(8/$S$17)+1)))</f>
        <v/>
      </c>
      <c r="X22">
        <f>IFERROR(IF(AND($Z$13&gt;=$S$14,$Z$13&lt;=$S$15),10+0.5+100*($Z$13-$S$14)/($S$15-$S$14),NA()),NA())</f>
        <v/>
      </c>
      <c r="Y22">
        <f>IF(ISNA($X$22),NA(),0)</f>
        <v/>
      </c>
      <c r="Z22">
        <f>IFERROR(IF(LEFT(LOWER(TRIM($S$20)),5)="every",IF(((INT($S$11/VALUE(TRIM(MID(TRIM($S$20),6,99))))*VALUE(TRIM(MID(TRIM($S$20),6,99)))+VALUE(TRIM(MID(TRIM($S$20),6,99))))+18*VALUE(TRIM(MID(TRIM($S$20),6,99))))&lt;=$S$12,((INT($S$11/VALUE(TRIM(MID(TRIM($S$20),6,99))))*VALUE(TRIM(MID(TRIM($S$20),6,99)))+VALUE(TRIM(MID(TRIM($S$20),6,99))))+18*VALUE(TRIM(MID(TRIM($S$20),6,99)))),NA()),VALUE(TRIM(MID(SUBSTITUTE(SUBSTITUTE(SUBSTITUTE(TRIM($S$20),",",";")," ",""),";",REPT(" ",99)),1783,99)))),NA())</f>
        <v/>
      </c>
      <c r="AA22">
        <f>IF($T$22="","",IFERROR(IF(ABS($T$22)&gt;=1000000,ROUND($T$22/1000000,MAX(0,1-INT(LOG10($S$27/1000000))))&amp;"M",IF(ABS($T$22)&gt;=1000,ROUND($T$22/1000,MAX(0,1-INT(LOG10($S$27/1000))))&amp;"k",TEXT($T$22,"#,##0"))),TEXT($T$22,"#,##0")))</f>
        <v/>
      </c>
      <c r="AB22" t="n">
        <v>2700</v>
      </c>
      <c r="AC22" t="n">
        <v>2775</v>
      </c>
      <c r="AD22" t="n">
        <v>18</v>
      </c>
      <c r="AE22" t="inlineStr">
        <is>
          <t>P10</t>
        </is>
      </c>
      <c r="AF22" t="n">
        <v>4382.994000000001</v>
      </c>
      <c r="AG22">
        <f>IF(19&lt;=$AF$13,$AF$14+(19-1)*$AF$16,"")</f>
        <v/>
      </c>
      <c r="AH22">
        <f>IF(19&gt;$AF$13,"",SUMIFS($AD$4:$AD$203,$AC$4:$AC$203,"&gt;="&amp;$AG$22,$AC$4:$AC$203,IF(19=$AF$13,"&lt;=","&lt;")&amp;($AG$22+$AF$16)))</f>
        <v/>
      </c>
      <c r="AI22">
        <f>IF(AND(MOD(8,$AF$17)=0,MOD((INT(8/$AF$17)+1)-1,$AF$13/5)=0),INDEX($AN$4:$AN$53,(INT(8/$AF$17)+1)),"")</f>
        <v/>
      </c>
      <c r="AJ22">
        <f>IF(MOD(8,$AF$17)=$AF$17-1,0,INDEX($AH$4:$AH$53,(INT(8/$AF$17)+1)))</f>
        <v/>
      </c>
      <c r="AK22">
        <f>IFERROR(IF(AND($AM$13&gt;=$AF$14,$AM$13&lt;=$AF$15),10+0.5+100*($AM$13-$AF$14)/($AF$15-$AF$14),NA()),NA())</f>
        <v/>
      </c>
      <c r="AL22">
        <f>IF(ISNA($AK$22),NA(),0)</f>
        <v/>
      </c>
      <c r="AM22">
        <f>IFERROR(IF(LEFT(LOWER(TRIM($AF$20)),5)="every",IF(((INT($AF$11/VALUE(TRIM(MID(TRIM($AF$20),6,99))))*VALUE(TRIM(MID(TRIM($AF$20),6,99)))+VALUE(TRIM(MID(TRIM($AF$20),6,99))))+18*VALUE(TRIM(MID(TRIM($AF$20),6,99))))&lt;=$AF$12,((INT($AF$11/VALUE(TRIM(MID(TRIM($AF$20),6,99))))*VALUE(TRIM(MID(TRIM($AF$20),6,99)))+VALUE(TRIM(MID(TRIM($AF$20),6,99))))+18*VALUE(TRIM(MID(TRIM($AF$20),6,99)))),NA()),VALUE(TRIM(MID(SUBSTITUTE(SUBSTITUTE(SUBSTITUTE(TRIM($AF$20),",",";")," ",""),";",REPT(" ",99)),1783,99)))),NA())</f>
        <v/>
      </c>
      <c r="AN22">
        <f>IF($AG$22="","",IFERROR(IF(ABS($AG$22)&gt;=1000000,ROUND($AG$22/1000000,MAX(0,1-INT(LOG10($AF$27/1000000))))&amp;"M",IF(ABS($AG$22)&gt;=1000,ROUND($AG$22/1000,MAX(0,1-INT(LOG10($AF$27/1000))))&amp;"k",TEXT($AG$22,"#,##0"))),TEXT($AG$22,"#,##0")))</f>
        <v/>
      </c>
      <c r="AO22" t="n">
        <v>40.5</v>
      </c>
      <c r="AP22" t="n">
        <v>41.625</v>
      </c>
      <c r="AQ22" t="n">
        <v>31</v>
      </c>
      <c r="AR22" t="inlineStr">
        <is>
          <t>P10</t>
        </is>
      </c>
      <c r="AS22" t="n">
        <v>45</v>
      </c>
      <c r="AT22">
        <f>IF(19&lt;=$AS$13,$AS$14+(19-1)*$AS$16,"")</f>
        <v/>
      </c>
      <c r="AU22">
        <f>IF(19&gt;$AS$13,"",SUMIFS($AQ$4:$AQ$203,$AP$4:$AP$203,"&gt;="&amp;$AT$22,$AP$4:$AP$203,IF(19=$AS$13,"&lt;=","&lt;")&amp;($AT$22+$AS$16)))</f>
        <v/>
      </c>
      <c r="AV22">
        <f>IF(AND(MOD(8,$AS$17)=0,MOD((INT(8/$AS$17)+1)-1,$AS$13/5)=0),INDEX($BA$4:$BA$53,(INT(8/$AS$17)+1)),"")</f>
        <v/>
      </c>
      <c r="AW22">
        <f>IF(MOD(8,$AS$17)=$AS$17-1,0,INDEX($AU$4:$AU$53,(INT(8/$AS$17)+1)))</f>
        <v/>
      </c>
      <c r="AX22">
        <f>IFERROR(IF(AND($AZ$13&gt;=$AS$14,$AZ$13&lt;=$AS$15),10+0.5+100*($AZ$13-$AS$14)/($AS$15-$AS$14),NA()),NA())</f>
        <v/>
      </c>
      <c r="AY22">
        <f>IF(ISNA($AX$22),NA(),0)</f>
        <v/>
      </c>
      <c r="AZ22">
        <f>IFERROR(IF(LEFT(LOWER(TRIM($AS$20)),5)="every",IF(((INT($AS$11/VALUE(TRIM(MID(TRIM($AS$20),6,99))))*VALUE(TRIM(MID(TRIM($AS$20),6,99)))+VALUE(TRIM(MID(TRIM($AS$20),6,99))))+18*VALUE(TRIM(MID(TRIM($AS$20),6,99))))&lt;=$AS$12,((INT($AS$11/VALUE(TRIM(MID(TRIM($AS$20),6,99))))*VALUE(TRIM(MID(TRIM($AS$20),6,99)))+VALUE(TRIM(MID(TRIM($AS$20),6,99))))+18*VALUE(TRIM(MID(TRIM($AS$20),6,99)))),NA()),VALUE(TRIM(MID(SUBSTITUTE(SUBSTITUTE(SUBSTITUTE(TRIM($AS$20),",",";")," ",""),";",REPT(" ",99)),1783,99)))),NA())</f>
        <v/>
      </c>
      <c r="BA22">
        <f>IF($AT$22="","",IFERROR(IF(ABS($AT$22)&gt;=1000000,ROUND($AT$22/1000000,MAX(0,1-INT(LOG10($AS$27/1000000))))&amp;"M",IF(ABS($AT$22)&gt;=1000,ROUND($AT$22/1000,MAX(0,1-INT(LOG10($AS$27/1000))))&amp;"k",TEXT($AT$22,"#,##0"))),TEXT($AT$22,"#,##0")))</f>
        <v/>
      </c>
    </row>
    <row r="23">
      <c r="B23" t="n">
        <v>578.5</v>
      </c>
      <c r="C23" t="n">
        <v>579.25</v>
      </c>
      <c r="D23" t="n">
        <v>3</v>
      </c>
      <c r="E23" t="inlineStr">
        <is>
          <t>P25</t>
        </is>
      </c>
      <c r="F23" t="n">
        <v>663</v>
      </c>
      <c r="G23">
        <f>IF(20&lt;=$F$13,$F$14+(20-1)*$F$16,"")</f>
        <v/>
      </c>
      <c r="H23">
        <f>IF(20&gt;$F$13,"",SUMIFS($D$4:$D$203,$C$4:$C$203,"&gt;="&amp;$G$23,$C$4:$C$203,IF(20=$F$13,"&lt;=","&lt;")&amp;($G$23+$F$16)))</f>
        <v/>
      </c>
      <c r="I23">
        <f>IF(AND(MOD(9,$F$17)=0,MOD((INT(9/$F$17)+1)-1,$F$13/5)=0),INDEX($N$4:$N$53,(INT(9/$F$17)+1)),"")</f>
        <v/>
      </c>
      <c r="J23">
        <f>IF(MOD(9,$F$17)=$F$17-1,0,INDEX($H$4:$H$53,(INT(9/$F$17)+1)))</f>
        <v/>
      </c>
      <c r="K23">
        <f>IFERROR(IF(AND($M$13&gt;=$F$14,$M$13&lt;=$F$15),10+0.5+100*($M$13-$F$14)/($F$15-$F$14),NA()),NA())</f>
        <v/>
      </c>
      <c r="L23">
        <f>IF(ISNA($K$23),NA(),MAX($J$4:$J$123))</f>
        <v/>
      </c>
      <c r="M23">
        <f>IFERROR(IF(LEFT(LOWER(TRIM($F$20)),5)="every",IF(((INT($F$11/VALUE(TRIM(MID(TRIM($F$20),6,99))))*VALUE(TRIM(MID(TRIM($F$20),6,99)))+VALUE(TRIM(MID(TRIM($F$20),6,99))))+19*VALUE(TRIM(MID(TRIM($F$20),6,99))))&lt;=$F$12,((INT($F$11/VALUE(TRIM(MID(TRIM($F$20),6,99))))*VALUE(TRIM(MID(TRIM($F$20),6,99)))+VALUE(TRIM(MID(TRIM($F$20),6,99))))+19*VALUE(TRIM(MID(TRIM($F$20),6,99)))),NA()),VALUE(TRIM(MID(SUBSTITUTE(SUBSTITUTE(SUBSTITUTE(TRIM($F$20),",",";")," ",""),";",REPT(" ",99)),1882,99)))),NA())</f>
        <v/>
      </c>
      <c r="N23">
        <f>IF($G$23="","",IFERROR(IF(ABS($G$23)&gt;=1000000,ROUND($G$23/1000000,MAX(0,1-INT(LOG10($F$27/1000000))))&amp;"M",IF(ABS($G$23)&gt;=1000,ROUND($G$23/1000,MAX(0,1-INT(LOG10($F$27/1000))))&amp;"k",TEXT($G$23,"#,##0"))),TEXT($G$23,"#,##0")))</f>
        <v/>
      </c>
      <c r="O23" t="n">
        <v>5700</v>
      </c>
      <c r="P23" t="n">
        <v>5850</v>
      </c>
      <c r="Q23" t="n">
        <v>39</v>
      </c>
      <c r="R23" t="inlineStr">
        <is>
          <t>P25</t>
        </is>
      </c>
      <c r="S23" t="n">
        <v>18191.43</v>
      </c>
      <c r="T23">
        <f>IF(20&lt;=$S$13,$S$14+(20-1)*$S$16,"")</f>
        <v/>
      </c>
      <c r="U23">
        <f>IF(20&gt;$S$13,"",SUMIFS($Q$4:$Q$203,$P$4:$P$203,"&gt;="&amp;$T$23,$P$4:$P$203,IF(20=$S$13,"&lt;=","&lt;")&amp;($T$23+$S$16)))</f>
        <v/>
      </c>
      <c r="V23">
        <f>IF(AND(MOD(9,$S$17)=0,MOD((INT(9/$S$17)+1)-1,$S$13/5)=0),INDEX($AA$4:$AA$53,(INT(9/$S$17)+1)),"")</f>
        <v/>
      </c>
      <c r="W23">
        <f>IF(MOD(9,$S$17)=$S$17-1,0,INDEX($U$4:$U$53,(INT(9/$S$17)+1)))</f>
        <v/>
      </c>
      <c r="X23">
        <f>IFERROR(IF(AND($Z$13&gt;=$S$14,$Z$13&lt;=$S$15),10+0.5+100*($Z$13-$S$14)/($S$15-$S$14),NA()),NA())</f>
        <v/>
      </c>
      <c r="Y23">
        <f>IF(ISNA($X$23),NA(),MAX($W$4:$W$123))</f>
        <v/>
      </c>
      <c r="Z23">
        <f>IFERROR(IF(LEFT(LOWER(TRIM($S$20)),5)="every",IF(((INT($S$11/VALUE(TRIM(MID(TRIM($S$20),6,99))))*VALUE(TRIM(MID(TRIM($S$20),6,99)))+VALUE(TRIM(MID(TRIM($S$20),6,99))))+19*VALUE(TRIM(MID(TRIM($S$20),6,99))))&lt;=$S$12,((INT($S$11/VALUE(TRIM(MID(TRIM($S$20),6,99))))*VALUE(TRIM(MID(TRIM($S$20),6,99)))+VALUE(TRIM(MID(TRIM($S$20),6,99))))+19*VALUE(TRIM(MID(TRIM($S$20),6,99)))),NA()),VALUE(TRIM(MID(SUBSTITUTE(SUBSTITUTE(SUBSTITUTE(TRIM($S$20),",",";")," ",""),";",REPT(" ",99)),1882,99)))),NA())</f>
        <v/>
      </c>
      <c r="AA23">
        <f>IF($T$23="","",IFERROR(IF(ABS($T$23)&gt;=1000000,ROUND($T$23/1000000,MAX(0,1-INT(LOG10($S$27/1000000))))&amp;"M",IF(ABS($T$23)&gt;=1000,ROUND($T$23/1000,MAX(0,1-INT(LOG10($S$27/1000))))&amp;"k",TEXT($T$23,"#,##0"))),TEXT($T$23,"#,##0")))</f>
        <v/>
      </c>
      <c r="AB23" t="n">
        <v>2850</v>
      </c>
      <c r="AC23" t="n">
        <v>2925</v>
      </c>
      <c r="AD23" t="n">
        <v>31</v>
      </c>
      <c r="AE23" t="inlineStr">
        <is>
          <t>P25</t>
        </is>
      </c>
      <c r="AF23" t="n">
        <v>7384.4825</v>
      </c>
      <c r="AG23">
        <f>IF(20&lt;=$AF$13,$AF$14+(20-1)*$AF$16,"")</f>
        <v/>
      </c>
      <c r="AH23">
        <f>IF(20&gt;$AF$13,"",SUMIFS($AD$4:$AD$203,$AC$4:$AC$203,"&gt;="&amp;$AG$23,$AC$4:$AC$203,IF(20=$AF$13,"&lt;=","&lt;")&amp;($AG$23+$AF$16)))</f>
        <v/>
      </c>
      <c r="AI23">
        <f>IF(AND(MOD(9,$AF$17)=0,MOD((INT(9/$AF$17)+1)-1,$AF$13/5)=0),INDEX($AN$4:$AN$53,(INT(9/$AF$17)+1)),"")</f>
        <v/>
      </c>
      <c r="AJ23">
        <f>IF(MOD(9,$AF$17)=$AF$17-1,0,INDEX($AH$4:$AH$53,(INT(9/$AF$17)+1)))</f>
        <v/>
      </c>
      <c r="AK23">
        <f>IFERROR(IF(AND($AM$13&gt;=$AF$14,$AM$13&lt;=$AF$15),10+0.5+100*($AM$13-$AF$14)/($AF$15-$AF$14),NA()),NA())</f>
        <v/>
      </c>
      <c r="AL23">
        <f>IF(ISNA($AK$23),NA(),MAX($AJ$4:$AJ$123))</f>
        <v/>
      </c>
      <c r="AM23">
        <f>IFERROR(IF(LEFT(LOWER(TRIM($AF$20)),5)="every",IF(((INT($AF$11/VALUE(TRIM(MID(TRIM($AF$20),6,99))))*VALUE(TRIM(MID(TRIM($AF$20),6,99)))+VALUE(TRIM(MID(TRIM($AF$20),6,99))))+19*VALUE(TRIM(MID(TRIM($AF$20),6,99))))&lt;=$AF$12,((INT($AF$11/VALUE(TRIM(MID(TRIM($AF$20),6,99))))*VALUE(TRIM(MID(TRIM($AF$20),6,99)))+VALUE(TRIM(MID(TRIM($AF$20),6,99))))+19*VALUE(TRIM(MID(TRIM($AF$20),6,99)))),NA()),VALUE(TRIM(MID(SUBSTITUTE(SUBSTITUTE(SUBSTITUTE(TRIM($AF$20),",",";")," ",""),";",REPT(" ",99)),1882,99)))),NA())</f>
        <v/>
      </c>
      <c r="AN23">
        <f>IF($AG$23="","",IFERROR(IF(ABS($AG$23)&gt;=1000000,ROUND($AG$23/1000000,MAX(0,1-INT(LOG10($AF$27/1000000))))&amp;"M",IF(ABS($AG$23)&gt;=1000,ROUND($AG$23/1000,MAX(0,1-INT(LOG10($AF$27/1000))))&amp;"k",TEXT($AG$23,"#,##0"))),TEXT($AG$23,"#,##0")))</f>
        <v/>
      </c>
      <c r="AO23" t="n">
        <v>42.75</v>
      </c>
      <c r="AP23" t="n">
        <v>43.875</v>
      </c>
      <c r="AQ23" t="n">
        <v>30</v>
      </c>
      <c r="AR23" t="inlineStr">
        <is>
          <t>P25</t>
        </is>
      </c>
      <c r="AS23" t="n">
        <v>110</v>
      </c>
      <c r="AT23">
        <f>IF(20&lt;=$AS$13,$AS$14+(20-1)*$AS$16,"")</f>
        <v/>
      </c>
      <c r="AU23">
        <f>IF(20&gt;$AS$13,"",SUMIFS($AQ$4:$AQ$203,$AP$4:$AP$203,"&gt;="&amp;$AT$23,$AP$4:$AP$203,IF(20=$AS$13,"&lt;=","&lt;")&amp;($AT$23+$AS$16)))</f>
        <v/>
      </c>
      <c r="AV23">
        <f>IF(AND(MOD(9,$AS$17)=0,MOD((INT(9/$AS$17)+1)-1,$AS$13/5)=0),INDEX($BA$4:$BA$53,(INT(9/$AS$17)+1)),"")</f>
        <v/>
      </c>
      <c r="AW23">
        <f>IF(MOD(9,$AS$17)=$AS$17-1,0,INDEX($AU$4:$AU$53,(INT(9/$AS$17)+1)))</f>
        <v/>
      </c>
      <c r="AX23">
        <f>IFERROR(IF(AND($AZ$13&gt;=$AS$14,$AZ$13&lt;=$AS$15),10+0.5+100*($AZ$13-$AS$14)/($AS$15-$AS$14),NA()),NA())</f>
        <v/>
      </c>
      <c r="AY23">
        <f>IF(ISNA($AX$23),NA(),MAX($AW$4:$AW$123))</f>
        <v/>
      </c>
      <c r="AZ23">
        <f>IFERROR(IF(LEFT(LOWER(TRIM($AS$20)),5)="every",IF(((INT($AS$11/VALUE(TRIM(MID(TRIM($AS$20),6,99))))*VALUE(TRIM(MID(TRIM($AS$20),6,99)))+VALUE(TRIM(MID(TRIM($AS$20),6,99))))+19*VALUE(TRIM(MID(TRIM($AS$20),6,99))))&lt;=$AS$12,((INT($AS$11/VALUE(TRIM(MID(TRIM($AS$20),6,99))))*VALUE(TRIM(MID(TRIM($AS$20),6,99)))+VALUE(TRIM(MID(TRIM($AS$20),6,99))))+19*VALUE(TRIM(MID(TRIM($AS$20),6,99)))),NA()),VALUE(TRIM(MID(SUBSTITUTE(SUBSTITUTE(SUBSTITUTE(TRIM($AS$20),",",";")," ",""),";",REPT(" ",99)),1882,99)))),NA())</f>
        <v/>
      </c>
      <c r="BA23">
        <f>IF($AT$23="","",IFERROR(IF(ABS($AT$23)&gt;=1000000,ROUND($AT$23/1000000,MAX(0,1-INT(LOG10($AS$27/1000000))))&amp;"M",IF(ABS($AT$23)&gt;=1000,ROUND($AT$23/1000,MAX(0,1-INT(LOG10($AS$27/1000))))&amp;"k",TEXT($AT$23,"#,##0"))),TEXT($AT$23,"#,##0")))</f>
        <v/>
      </c>
    </row>
    <row r="24">
      <c r="B24" t="n">
        <v>580</v>
      </c>
      <c r="C24" t="n">
        <v>580.75</v>
      </c>
      <c r="D24" t="n">
        <v>9</v>
      </c>
      <c r="E24" t="inlineStr">
        <is>
          <t>P50</t>
        </is>
      </c>
      <c r="F24" t="n">
        <v>699</v>
      </c>
      <c r="G24">
        <f>IF(21&lt;=$F$13,$F$14+(21-1)*$F$16,"")</f>
        <v/>
      </c>
      <c r="H24">
        <f>IF(21&gt;$F$13,"",SUMIFS($D$4:$D$203,$C$4:$C$203,"&gt;="&amp;$G$24,$C$4:$C$203,IF(21=$F$13,"&lt;=","&lt;")&amp;($G$24+$F$16)))</f>
        <v/>
      </c>
      <c r="I24">
        <f>IF(AND(MOD(10,$F$17)=0,MOD((INT(10/$F$17)+1)-1,$F$13/5)=0),INDEX($N$4:$N$53,(INT(10/$F$17)+1)),"")</f>
        <v/>
      </c>
      <c r="J24">
        <f>IF(MOD(10,$F$17)=$F$17-1,0,INDEX($H$4:$H$53,(INT(10/$F$17)+1)))</f>
        <v/>
      </c>
      <c r="K24">
        <f>IFERROR(IF(AND($M$14&gt;=$F$14,$M$14&lt;=$F$15),10+0.5+100*($M$14-$F$14)/($F$15-$F$14),NA()),NA())</f>
        <v/>
      </c>
      <c r="L24">
        <f>IF(ISNA($K$24),NA(),0)</f>
        <v/>
      </c>
      <c r="M24">
        <f>IFERROR(IF(LEFT(LOWER(TRIM($F$20)),5)="every",IF(((INT($F$11/VALUE(TRIM(MID(TRIM($F$20),6,99))))*VALUE(TRIM(MID(TRIM($F$20),6,99)))+VALUE(TRIM(MID(TRIM($F$20),6,99))))+20*VALUE(TRIM(MID(TRIM($F$20),6,99))))&lt;=$F$12,((INT($F$11/VALUE(TRIM(MID(TRIM($F$20),6,99))))*VALUE(TRIM(MID(TRIM($F$20),6,99)))+VALUE(TRIM(MID(TRIM($F$20),6,99))))+20*VALUE(TRIM(MID(TRIM($F$20),6,99)))),NA()),VALUE(TRIM(MID(SUBSTITUTE(SUBSTITUTE(SUBSTITUTE(TRIM($F$20),",",";")," ",""),";",REPT(" ",99)),1981,99)))),NA())</f>
        <v/>
      </c>
      <c r="N24">
        <f>IF($G$24="","",IFERROR(IF(ABS($G$24)&gt;=1000000,ROUND($G$24/1000000,MAX(0,1-INT(LOG10($F$27/1000000))))&amp;"M",IF(ABS($G$24)&gt;=1000,ROUND($G$24/1000,MAX(0,1-INT(LOG10($F$27/1000))))&amp;"k",TEXT($G$24,"#,##0"))),TEXT($G$24,"#,##0")))</f>
        <v/>
      </c>
      <c r="O24" t="n">
        <v>6000</v>
      </c>
      <c r="P24" t="n">
        <v>6150</v>
      </c>
      <c r="Q24" t="n">
        <v>46</v>
      </c>
      <c r="R24" t="inlineStr">
        <is>
          <t>P50</t>
        </is>
      </c>
      <c r="S24" t="n">
        <v>32112.83</v>
      </c>
      <c r="T24">
        <f>IF(21&lt;=$S$13,$S$14+(21-1)*$S$16,"")</f>
        <v/>
      </c>
      <c r="U24">
        <f>IF(21&gt;$S$13,"",SUMIFS($Q$4:$Q$203,$P$4:$P$203,"&gt;="&amp;$T$24,$P$4:$P$203,IF(21=$S$13,"&lt;=","&lt;")&amp;($T$24+$S$16)))</f>
        <v/>
      </c>
      <c r="V24">
        <f>IF(AND(MOD(10,$S$17)=0,MOD((INT(10/$S$17)+1)-1,$S$13/5)=0),INDEX($AA$4:$AA$53,(INT(10/$S$17)+1)),"")</f>
        <v/>
      </c>
      <c r="W24">
        <f>IF(MOD(10,$S$17)=$S$17-1,0,INDEX($U$4:$U$53,(INT(10/$S$17)+1)))</f>
        <v/>
      </c>
      <c r="X24">
        <f>IFERROR(IF(AND($Z$14&gt;=$S$14,$Z$14&lt;=$S$15),10+0.5+100*($Z$14-$S$14)/($S$15-$S$14),NA()),NA())</f>
        <v/>
      </c>
      <c r="Y24">
        <f>IF(ISNA($X$24),NA(),0)</f>
        <v/>
      </c>
      <c r="Z24">
        <f>IFERROR(IF(LEFT(LOWER(TRIM($S$20)),5)="every",IF(((INT($S$11/VALUE(TRIM(MID(TRIM($S$20),6,99))))*VALUE(TRIM(MID(TRIM($S$20),6,99)))+VALUE(TRIM(MID(TRIM($S$20),6,99))))+20*VALUE(TRIM(MID(TRIM($S$20),6,99))))&lt;=$S$12,((INT($S$11/VALUE(TRIM(MID(TRIM($S$20),6,99))))*VALUE(TRIM(MID(TRIM($S$20),6,99)))+VALUE(TRIM(MID(TRIM($S$20),6,99))))+20*VALUE(TRIM(MID(TRIM($S$20),6,99)))),NA()),VALUE(TRIM(MID(SUBSTITUTE(SUBSTITUTE(SUBSTITUTE(TRIM($S$20),",",";")," ",""),";",REPT(" ",99)),1981,99)))),NA())</f>
        <v/>
      </c>
      <c r="AA24">
        <f>IF($T$24="","",IFERROR(IF(ABS($T$24)&gt;=1000000,ROUND($T$24/1000000,MAX(0,1-INT(LOG10($S$27/1000000))))&amp;"M",IF(ABS($T$24)&gt;=1000,ROUND($T$24/1000,MAX(0,1-INT(LOG10($S$27/1000))))&amp;"k",TEXT($T$24,"#,##0"))),TEXT($T$24,"#,##0")))</f>
        <v/>
      </c>
      <c r="AB24" t="n">
        <v>3000</v>
      </c>
      <c r="AC24" t="n">
        <v>3075</v>
      </c>
      <c r="AD24" t="n">
        <v>25</v>
      </c>
      <c r="AE24" t="inlineStr">
        <is>
          <t>P50</t>
        </is>
      </c>
      <c r="AF24" t="n">
        <v>11392.84</v>
      </c>
      <c r="AG24">
        <f>IF(21&lt;=$AF$13,$AF$14+(21-1)*$AF$16,"")</f>
        <v/>
      </c>
      <c r="AH24">
        <f>IF(21&gt;$AF$13,"",SUMIFS($AD$4:$AD$203,$AC$4:$AC$203,"&gt;="&amp;$AG$24,$AC$4:$AC$203,IF(21=$AF$13,"&lt;=","&lt;")&amp;($AG$24+$AF$16)))</f>
        <v/>
      </c>
      <c r="AI24">
        <f>IF(AND(MOD(10,$AF$17)=0,MOD((INT(10/$AF$17)+1)-1,$AF$13/5)=0),INDEX($AN$4:$AN$53,(INT(10/$AF$17)+1)),"")</f>
        <v/>
      </c>
      <c r="AJ24">
        <f>IF(MOD(10,$AF$17)=$AF$17-1,0,INDEX($AH$4:$AH$53,(INT(10/$AF$17)+1)))</f>
        <v/>
      </c>
      <c r="AK24">
        <f>IFERROR(IF(AND($AM$14&gt;=$AF$14,$AM$14&lt;=$AF$15),10+0.5+100*($AM$14-$AF$14)/($AF$15-$AF$14),NA()),NA())</f>
        <v/>
      </c>
      <c r="AL24">
        <f>IF(ISNA($AK$24),NA(),0)</f>
        <v/>
      </c>
      <c r="AM24">
        <f>IFERROR(IF(LEFT(LOWER(TRIM($AF$20)),5)="every",IF(((INT($AF$11/VALUE(TRIM(MID(TRIM($AF$20),6,99))))*VALUE(TRIM(MID(TRIM($AF$20),6,99)))+VALUE(TRIM(MID(TRIM($AF$20),6,99))))+20*VALUE(TRIM(MID(TRIM($AF$20),6,99))))&lt;=$AF$12,((INT($AF$11/VALUE(TRIM(MID(TRIM($AF$20),6,99))))*VALUE(TRIM(MID(TRIM($AF$20),6,99)))+VALUE(TRIM(MID(TRIM($AF$20),6,99))))+20*VALUE(TRIM(MID(TRIM($AF$20),6,99)))),NA()),VALUE(TRIM(MID(SUBSTITUTE(SUBSTITUTE(SUBSTITUTE(TRIM($AF$20),",",";")," ",""),";",REPT(" ",99)),1981,99)))),NA())</f>
        <v/>
      </c>
      <c r="AN24">
        <f>IF($AG$24="","",IFERROR(IF(ABS($AG$24)&gt;=1000000,ROUND($AG$24/1000000,MAX(0,1-INT(LOG10($AF$27/1000000))))&amp;"M",IF(ABS($AG$24)&gt;=1000,ROUND($AG$24/1000,MAX(0,1-INT(LOG10($AF$27/1000))))&amp;"k",TEXT($AG$24,"#,##0"))),TEXT($AG$24,"#,##0")))</f>
        <v/>
      </c>
      <c r="AO24" t="n">
        <v>45</v>
      </c>
      <c r="AP24" t="n">
        <v>46.125</v>
      </c>
      <c r="AQ24" t="n">
        <v>55</v>
      </c>
      <c r="AR24" t="inlineStr">
        <is>
          <t>P50</t>
        </is>
      </c>
      <c r="AS24" t="n">
        <v>214</v>
      </c>
      <c r="AT24">
        <f>IF(21&lt;=$AS$13,$AS$14+(21-1)*$AS$16,"")</f>
        <v/>
      </c>
      <c r="AU24">
        <f>IF(21&gt;$AS$13,"",SUMIFS($AQ$4:$AQ$203,$AP$4:$AP$203,"&gt;="&amp;$AT$24,$AP$4:$AP$203,IF(21=$AS$13,"&lt;=","&lt;")&amp;($AT$24+$AS$16)))</f>
        <v/>
      </c>
      <c r="AV24">
        <f>IF(AND(MOD(10,$AS$17)=0,MOD((INT(10/$AS$17)+1)-1,$AS$13/5)=0),INDEX($BA$4:$BA$53,(INT(10/$AS$17)+1)),"")</f>
        <v/>
      </c>
      <c r="AW24">
        <f>IF(MOD(10,$AS$17)=$AS$17-1,0,INDEX($AU$4:$AU$53,(INT(10/$AS$17)+1)))</f>
        <v/>
      </c>
      <c r="AX24">
        <f>IFERROR(IF(AND($AZ$14&gt;=$AS$14,$AZ$14&lt;=$AS$15),10+0.5+100*($AZ$14-$AS$14)/($AS$15-$AS$14),NA()),NA())</f>
        <v/>
      </c>
      <c r="AY24">
        <f>IF(ISNA($AX$24),NA(),0)</f>
        <v/>
      </c>
      <c r="AZ24">
        <f>IFERROR(IF(LEFT(LOWER(TRIM($AS$20)),5)="every",IF(((INT($AS$11/VALUE(TRIM(MID(TRIM($AS$20),6,99))))*VALUE(TRIM(MID(TRIM($AS$20),6,99)))+VALUE(TRIM(MID(TRIM($AS$20),6,99))))+20*VALUE(TRIM(MID(TRIM($AS$20),6,99))))&lt;=$AS$12,((INT($AS$11/VALUE(TRIM(MID(TRIM($AS$20),6,99))))*VALUE(TRIM(MID(TRIM($AS$20),6,99)))+VALUE(TRIM(MID(TRIM($AS$20),6,99))))+20*VALUE(TRIM(MID(TRIM($AS$20),6,99)))),NA()),VALUE(TRIM(MID(SUBSTITUTE(SUBSTITUTE(SUBSTITUTE(TRIM($AS$20),",",";")," ",""),";",REPT(" ",99)),1981,99)))),NA())</f>
        <v/>
      </c>
      <c r="BA24">
        <f>IF($AT$24="","",IFERROR(IF(ABS($AT$24)&gt;=1000000,ROUND($AT$24/1000000,MAX(0,1-INT(LOG10($AS$27/1000000))))&amp;"M",IF(ABS($AT$24)&gt;=1000,ROUND($AT$24/1000,MAX(0,1-INT(LOG10($AS$27/1000))))&amp;"k",TEXT($AT$24,"#,##0"))),TEXT($AT$24,"#,##0")))</f>
        <v/>
      </c>
    </row>
    <row r="25">
      <c r="B25" t="n">
        <v>581.5</v>
      </c>
      <c r="C25" t="n">
        <v>582.25</v>
      </c>
      <c r="D25" t="n">
        <v>4</v>
      </c>
      <c r="E25" t="inlineStr">
        <is>
          <t>P75</t>
        </is>
      </c>
      <c r="F25" t="n">
        <v>736</v>
      </c>
      <c r="G25">
        <f>IF(22&lt;=$F$13,$F$14+(22-1)*$F$16,"")</f>
        <v/>
      </c>
      <c r="H25">
        <f>IF(22&gt;$F$13,"",SUMIFS($D$4:$D$203,$C$4:$C$203,"&gt;="&amp;$G$25,$C$4:$C$203,IF(22=$F$13,"&lt;=","&lt;")&amp;($G$25+$F$16)))</f>
        <v/>
      </c>
      <c r="I25">
        <f>IF(AND(MOD(11,$F$17)=0,MOD((INT(11/$F$17)+1)-1,$F$13/5)=0),INDEX($N$4:$N$53,(INT(11/$F$17)+1)),"")</f>
        <v/>
      </c>
      <c r="J25">
        <f>IF(MOD(11,$F$17)=$F$17-1,0,INDEX($H$4:$H$53,(INT(11/$F$17)+1)))</f>
        <v/>
      </c>
      <c r="K25">
        <f>IFERROR(IF(AND($M$14&gt;=$F$14,$M$14&lt;=$F$15),10+0.5+100*($M$14-$F$14)/($F$15-$F$14),NA()),NA())</f>
        <v/>
      </c>
      <c r="L25">
        <f>IF(ISNA($K$25),NA(),MAX($J$4:$J$123))</f>
        <v/>
      </c>
      <c r="M25">
        <f>IFERROR(IF(LEFT(LOWER(TRIM($F$20)),5)="every",IF(((INT($F$11/VALUE(TRIM(MID(TRIM($F$20),6,99))))*VALUE(TRIM(MID(TRIM($F$20),6,99)))+VALUE(TRIM(MID(TRIM($F$20),6,99))))+21*VALUE(TRIM(MID(TRIM($F$20),6,99))))&lt;=$F$12,((INT($F$11/VALUE(TRIM(MID(TRIM($F$20),6,99))))*VALUE(TRIM(MID(TRIM($F$20),6,99)))+VALUE(TRIM(MID(TRIM($F$20),6,99))))+21*VALUE(TRIM(MID(TRIM($F$20),6,99)))),NA()),VALUE(TRIM(MID(SUBSTITUTE(SUBSTITUTE(SUBSTITUTE(TRIM($F$20),",",";")," ",""),";",REPT(" ",99)),2080,99)))),NA())</f>
        <v/>
      </c>
      <c r="N25">
        <f>IF($G$25="","",IFERROR(IF(ABS($G$25)&gt;=1000000,ROUND($G$25/1000000,MAX(0,1-INT(LOG10($F$27/1000000))))&amp;"M",IF(ABS($G$25)&gt;=1000,ROUND($G$25/1000,MAX(0,1-INT(LOG10($F$27/1000))))&amp;"k",TEXT($G$25,"#,##0"))),TEXT($G$25,"#,##0")))</f>
        <v/>
      </c>
      <c r="O25" t="n">
        <v>6300</v>
      </c>
      <c r="P25" t="n">
        <v>6450</v>
      </c>
      <c r="Q25" t="n">
        <v>44</v>
      </c>
      <c r="R25" t="inlineStr">
        <is>
          <t>P75</t>
        </is>
      </c>
      <c r="S25" t="n">
        <v>46264.885</v>
      </c>
      <c r="T25">
        <f>IF(22&lt;=$S$13,$S$14+(22-1)*$S$16,"")</f>
        <v/>
      </c>
      <c r="U25">
        <f>IF(22&gt;$S$13,"",SUMIFS($Q$4:$Q$203,$P$4:$P$203,"&gt;="&amp;$T$25,$P$4:$P$203,IF(22=$S$13,"&lt;=","&lt;")&amp;($T$25+$S$16)))</f>
        <v/>
      </c>
      <c r="V25">
        <f>IF(AND(MOD(11,$S$17)=0,MOD((INT(11/$S$17)+1)-1,$S$13/5)=0),INDEX($AA$4:$AA$53,(INT(11/$S$17)+1)),"")</f>
        <v/>
      </c>
      <c r="W25">
        <f>IF(MOD(11,$S$17)=$S$17-1,0,INDEX($U$4:$U$53,(INT(11/$S$17)+1)))</f>
        <v/>
      </c>
      <c r="X25">
        <f>IFERROR(IF(AND($Z$14&gt;=$S$14,$Z$14&lt;=$S$15),10+0.5+100*($Z$14-$S$14)/($S$15-$S$14),NA()),NA())</f>
        <v/>
      </c>
      <c r="Y25">
        <f>IF(ISNA($X$25),NA(),MAX($W$4:$W$123))</f>
        <v/>
      </c>
      <c r="Z25">
        <f>IFERROR(IF(LEFT(LOWER(TRIM($S$20)),5)="every",IF(((INT($S$11/VALUE(TRIM(MID(TRIM($S$20),6,99))))*VALUE(TRIM(MID(TRIM($S$20),6,99)))+VALUE(TRIM(MID(TRIM($S$20),6,99))))+21*VALUE(TRIM(MID(TRIM($S$20),6,99))))&lt;=$S$12,((INT($S$11/VALUE(TRIM(MID(TRIM($S$20),6,99))))*VALUE(TRIM(MID(TRIM($S$20),6,99)))+VALUE(TRIM(MID(TRIM($S$20),6,99))))+21*VALUE(TRIM(MID(TRIM($S$20),6,99)))),NA()),VALUE(TRIM(MID(SUBSTITUTE(SUBSTITUTE(SUBSTITUTE(TRIM($S$20),",",";")," ",""),";",REPT(" ",99)),2080,99)))),NA())</f>
        <v/>
      </c>
      <c r="AA25">
        <f>IF($T$25="","",IFERROR(IF(ABS($T$25)&gt;=1000000,ROUND($T$25/1000000,MAX(0,1-INT(LOG10($S$27/1000000))))&amp;"M",IF(ABS($T$25)&gt;=1000,ROUND($T$25/1000,MAX(0,1-INT(LOG10($S$27/1000))))&amp;"k",TEXT($T$25,"#,##0"))),TEXT($T$25,"#,##0")))</f>
        <v/>
      </c>
      <c r="AB25" t="n">
        <v>3150</v>
      </c>
      <c r="AC25" t="n">
        <v>3225</v>
      </c>
      <c r="AD25" t="n">
        <v>33</v>
      </c>
      <c r="AE25" t="inlineStr">
        <is>
          <t>P75</t>
        </is>
      </c>
      <c r="AF25" t="n">
        <v>15940.795</v>
      </c>
      <c r="AG25">
        <f>IF(22&lt;=$AF$13,$AF$14+(22-1)*$AF$16,"")</f>
        <v/>
      </c>
      <c r="AH25">
        <f>IF(22&gt;$AF$13,"",SUMIFS($AD$4:$AD$203,$AC$4:$AC$203,"&gt;="&amp;$AG$25,$AC$4:$AC$203,IF(22=$AF$13,"&lt;=","&lt;")&amp;($AG$25+$AF$16)))</f>
        <v/>
      </c>
      <c r="AI25">
        <f>IF(AND(MOD(11,$AF$17)=0,MOD((INT(11/$AF$17)+1)-1,$AF$13/5)=0),INDEX($AN$4:$AN$53,(INT(11/$AF$17)+1)),"")</f>
        <v/>
      </c>
      <c r="AJ25">
        <f>IF(MOD(11,$AF$17)=$AF$17-1,0,INDEX($AH$4:$AH$53,(INT(11/$AF$17)+1)))</f>
        <v/>
      </c>
      <c r="AK25">
        <f>IFERROR(IF(AND($AM$14&gt;=$AF$14,$AM$14&lt;=$AF$15),10+0.5+100*($AM$14-$AF$14)/($AF$15-$AF$14),NA()),NA())</f>
        <v/>
      </c>
      <c r="AL25">
        <f>IF(ISNA($AK$25),NA(),MAX($AJ$4:$AJ$123))</f>
        <v/>
      </c>
      <c r="AM25">
        <f>IFERROR(IF(LEFT(LOWER(TRIM($AF$20)),5)="every",IF(((INT($AF$11/VALUE(TRIM(MID(TRIM($AF$20),6,99))))*VALUE(TRIM(MID(TRIM($AF$20),6,99)))+VALUE(TRIM(MID(TRIM($AF$20),6,99))))+21*VALUE(TRIM(MID(TRIM($AF$20),6,99))))&lt;=$AF$12,((INT($AF$11/VALUE(TRIM(MID(TRIM($AF$20),6,99))))*VALUE(TRIM(MID(TRIM($AF$20),6,99)))+VALUE(TRIM(MID(TRIM($AF$20),6,99))))+21*VALUE(TRIM(MID(TRIM($AF$20),6,99)))),NA()),VALUE(TRIM(MID(SUBSTITUTE(SUBSTITUTE(SUBSTITUTE(TRIM($AF$20),",",";")," ",""),";",REPT(" ",99)),2080,99)))),NA())</f>
        <v/>
      </c>
      <c r="AN25">
        <f>IF($AG$25="","",IFERROR(IF(ABS($AG$25)&gt;=1000000,ROUND($AG$25/1000000,MAX(0,1-INT(LOG10($AF$27/1000000))))&amp;"M",IF(ABS($AG$25)&gt;=1000,ROUND($AG$25/1000,MAX(0,1-INT(LOG10($AF$27/1000))))&amp;"k",TEXT($AG$25,"#,##0"))),TEXT($AG$25,"#,##0")))</f>
        <v/>
      </c>
      <c r="AO25" t="n">
        <v>47.25</v>
      </c>
      <c r="AP25" t="n">
        <v>48.375</v>
      </c>
      <c r="AQ25" t="n">
        <v>37</v>
      </c>
      <c r="AR25" t="inlineStr">
        <is>
          <t>P75</t>
        </is>
      </c>
      <c r="AS25" t="n">
        <v>323</v>
      </c>
      <c r="AT25">
        <f>IF(22&lt;=$AS$13,$AS$14+(22-1)*$AS$16,"")</f>
        <v/>
      </c>
      <c r="AU25">
        <f>IF(22&gt;$AS$13,"",SUMIFS($AQ$4:$AQ$203,$AP$4:$AP$203,"&gt;="&amp;$AT$25,$AP$4:$AP$203,IF(22=$AS$13,"&lt;=","&lt;")&amp;($AT$25+$AS$16)))</f>
        <v/>
      </c>
      <c r="AV25">
        <f>IF(AND(MOD(11,$AS$17)=0,MOD((INT(11/$AS$17)+1)-1,$AS$13/5)=0),INDEX($BA$4:$BA$53,(INT(11/$AS$17)+1)),"")</f>
        <v/>
      </c>
      <c r="AW25">
        <f>IF(MOD(11,$AS$17)=$AS$17-1,0,INDEX($AU$4:$AU$53,(INT(11/$AS$17)+1)))</f>
        <v/>
      </c>
      <c r="AX25">
        <f>IFERROR(IF(AND($AZ$14&gt;=$AS$14,$AZ$14&lt;=$AS$15),10+0.5+100*($AZ$14-$AS$14)/($AS$15-$AS$14),NA()),NA())</f>
        <v/>
      </c>
      <c r="AY25">
        <f>IF(ISNA($AX$25),NA(),MAX($AW$4:$AW$123))</f>
        <v/>
      </c>
      <c r="AZ25">
        <f>IFERROR(IF(LEFT(LOWER(TRIM($AS$20)),5)="every",IF(((INT($AS$11/VALUE(TRIM(MID(TRIM($AS$20),6,99))))*VALUE(TRIM(MID(TRIM($AS$20),6,99)))+VALUE(TRIM(MID(TRIM($AS$20),6,99))))+21*VALUE(TRIM(MID(TRIM($AS$20),6,99))))&lt;=$AS$12,((INT($AS$11/VALUE(TRIM(MID(TRIM($AS$20),6,99))))*VALUE(TRIM(MID(TRIM($AS$20),6,99)))+VALUE(TRIM(MID(TRIM($AS$20),6,99))))+21*VALUE(TRIM(MID(TRIM($AS$20),6,99)))),NA()),VALUE(TRIM(MID(SUBSTITUTE(SUBSTITUTE(SUBSTITUTE(TRIM($AS$20),",",";")," ",""),";",REPT(" ",99)),2080,99)))),NA())</f>
        <v/>
      </c>
      <c r="BA25">
        <f>IF($AT$25="","",IFERROR(IF(ABS($AT$25)&gt;=1000000,ROUND($AT$25/1000000,MAX(0,1-INT(LOG10($AS$27/1000000))))&amp;"M",IF(ABS($AT$25)&gt;=1000,ROUND($AT$25/1000,MAX(0,1-INT(LOG10($AS$27/1000))))&amp;"k",TEXT($AT$25,"#,##0"))),TEXT($AT$25,"#,##0")))</f>
        <v/>
      </c>
    </row>
    <row r="26">
      <c r="B26" t="n">
        <v>583</v>
      </c>
      <c r="C26" t="n">
        <v>583.75</v>
      </c>
      <c r="D26" t="n">
        <v>12</v>
      </c>
      <c r="E26" t="inlineStr">
        <is>
          <t>P90</t>
        </is>
      </c>
      <c r="F26" t="n">
        <v>772</v>
      </c>
      <c r="G26">
        <f>IF(23&lt;=$F$13,$F$14+(23-1)*$F$16,"")</f>
        <v/>
      </c>
      <c r="H26">
        <f>IF(23&gt;$F$13,"",SUMIFS($D$4:$D$203,$C$4:$C$203,"&gt;="&amp;$G$26,$C$4:$C$203,IF(23=$F$13,"&lt;=","&lt;")&amp;($G$26+$F$16)))</f>
        <v/>
      </c>
      <c r="I26">
        <f>IF(AND(MOD(12,$F$17)=0,MOD((INT(12/$F$17)+1)-1,$F$13/5)=0),INDEX($N$4:$N$53,(INT(12/$F$17)+1)),"")</f>
        <v/>
      </c>
      <c r="J26">
        <f>IF(MOD(12,$F$17)=$F$17-1,0,INDEX($H$4:$H$53,(INT(12/$F$17)+1)))</f>
        <v/>
      </c>
      <c r="K26">
        <f>IFERROR(IF(AND($M$15&gt;=$F$14,$M$15&lt;=$F$15),10+0.5+100*($M$15-$F$14)/($F$15-$F$14),NA()),NA())</f>
        <v/>
      </c>
      <c r="L26">
        <f>IF(ISNA($K$26),NA(),0)</f>
        <v/>
      </c>
      <c r="M26">
        <f>IFERROR(IF(LEFT(LOWER(TRIM($F$20)),5)="every",IF(((INT($F$11/VALUE(TRIM(MID(TRIM($F$20),6,99))))*VALUE(TRIM(MID(TRIM($F$20),6,99)))+VALUE(TRIM(MID(TRIM($F$20),6,99))))+22*VALUE(TRIM(MID(TRIM($F$20),6,99))))&lt;=$F$12,((INT($F$11/VALUE(TRIM(MID(TRIM($F$20),6,99))))*VALUE(TRIM(MID(TRIM($F$20),6,99)))+VALUE(TRIM(MID(TRIM($F$20),6,99))))+22*VALUE(TRIM(MID(TRIM($F$20),6,99)))),NA()),VALUE(TRIM(MID(SUBSTITUTE(SUBSTITUTE(SUBSTITUTE(TRIM($F$20),",",";")," ",""),";",REPT(" ",99)),2179,99)))),NA())</f>
        <v/>
      </c>
      <c r="N26">
        <f>IF($G$26="","",IFERROR(IF(ABS($G$26)&gt;=1000000,ROUND($G$26/1000000,MAX(0,1-INT(LOG10($F$27/1000000))))&amp;"M",IF(ABS($G$26)&gt;=1000,ROUND($G$26/1000,MAX(0,1-INT(LOG10($F$27/1000))))&amp;"k",TEXT($G$26,"#,##0"))),TEXT($G$26,"#,##0")))</f>
        <v/>
      </c>
      <c r="O26" t="n">
        <v>6600</v>
      </c>
      <c r="P26" t="n">
        <v>6750</v>
      </c>
      <c r="Q26" t="n">
        <v>34</v>
      </c>
      <c r="R26" t="inlineStr">
        <is>
          <t>P90</t>
        </is>
      </c>
      <c r="S26" t="n">
        <v>54495.472</v>
      </c>
      <c r="T26">
        <f>IF(23&lt;=$S$13,$S$14+(23-1)*$S$16,"")</f>
        <v/>
      </c>
      <c r="U26">
        <f>IF(23&gt;$S$13,"",SUMIFS($Q$4:$Q$203,$P$4:$P$203,"&gt;="&amp;$T$26,$P$4:$P$203,IF(23=$S$13,"&lt;=","&lt;")&amp;($T$26+$S$16)))</f>
        <v/>
      </c>
      <c r="V26">
        <f>IF(AND(MOD(12,$S$17)=0,MOD((INT(12/$S$17)+1)-1,$S$13/5)=0),INDEX($AA$4:$AA$53,(INT(12/$S$17)+1)),"")</f>
        <v/>
      </c>
      <c r="W26">
        <f>IF(MOD(12,$S$17)=$S$17-1,0,INDEX($U$4:$U$53,(INT(12/$S$17)+1)))</f>
        <v/>
      </c>
      <c r="X26">
        <f>IFERROR(IF(AND($Z$15&gt;=$S$14,$Z$15&lt;=$S$15),10+0.5+100*($Z$15-$S$14)/($S$15-$S$14),NA()),NA())</f>
        <v/>
      </c>
      <c r="Y26">
        <f>IF(ISNA($X$26),NA(),0)</f>
        <v/>
      </c>
      <c r="Z26">
        <f>IFERROR(IF(LEFT(LOWER(TRIM($S$20)),5)="every",IF(((INT($S$11/VALUE(TRIM(MID(TRIM($S$20),6,99))))*VALUE(TRIM(MID(TRIM($S$20),6,99)))+VALUE(TRIM(MID(TRIM($S$20),6,99))))+22*VALUE(TRIM(MID(TRIM($S$20),6,99))))&lt;=$S$12,((INT($S$11/VALUE(TRIM(MID(TRIM($S$20),6,99))))*VALUE(TRIM(MID(TRIM($S$20),6,99)))+VALUE(TRIM(MID(TRIM($S$20),6,99))))+22*VALUE(TRIM(MID(TRIM($S$20),6,99)))),NA()),VALUE(TRIM(MID(SUBSTITUTE(SUBSTITUTE(SUBSTITUTE(TRIM($S$20),",",";")," ",""),";",REPT(" ",99)),2179,99)))),NA())</f>
        <v/>
      </c>
      <c r="AA26">
        <f>IF($T$26="","",IFERROR(IF(ABS($T$26)&gt;=1000000,ROUND($T$26/1000000,MAX(0,1-INT(LOG10($S$27/1000000))))&amp;"M",IF(ABS($T$26)&gt;=1000,ROUND($T$26/1000,MAX(0,1-INT(LOG10($S$27/1000))))&amp;"k",TEXT($T$26,"#,##0"))),TEXT($T$26,"#,##0")))</f>
        <v/>
      </c>
      <c r="AB26" t="n">
        <v>3300</v>
      </c>
      <c r="AC26" t="n">
        <v>3375</v>
      </c>
      <c r="AD26" t="n">
        <v>25</v>
      </c>
      <c r="AE26" t="inlineStr">
        <is>
          <t>P90</t>
        </is>
      </c>
      <c r="AF26" t="n">
        <v>20607.534</v>
      </c>
      <c r="AG26">
        <f>IF(23&lt;=$AF$13,$AF$14+(23-1)*$AF$16,"")</f>
        <v/>
      </c>
      <c r="AH26">
        <f>IF(23&gt;$AF$13,"",SUMIFS($AD$4:$AD$203,$AC$4:$AC$203,"&gt;="&amp;$AG$26,$AC$4:$AC$203,IF(23=$AF$13,"&lt;=","&lt;")&amp;($AG$26+$AF$16)))</f>
        <v/>
      </c>
      <c r="AI26">
        <f>IF(AND(MOD(12,$AF$17)=0,MOD((INT(12/$AF$17)+1)-1,$AF$13/5)=0),INDEX($AN$4:$AN$53,(INT(12/$AF$17)+1)),"")</f>
        <v/>
      </c>
      <c r="AJ26">
        <f>IF(MOD(12,$AF$17)=$AF$17-1,0,INDEX($AH$4:$AH$53,(INT(12/$AF$17)+1)))</f>
        <v/>
      </c>
      <c r="AK26">
        <f>IFERROR(IF(AND($AM$15&gt;=$AF$14,$AM$15&lt;=$AF$15),10+0.5+100*($AM$15-$AF$14)/($AF$15-$AF$14),NA()),NA())</f>
        <v/>
      </c>
      <c r="AL26">
        <f>IF(ISNA($AK$26),NA(),0)</f>
        <v/>
      </c>
      <c r="AM26">
        <f>IFERROR(IF(LEFT(LOWER(TRIM($AF$20)),5)="every",IF(((INT($AF$11/VALUE(TRIM(MID(TRIM($AF$20),6,99))))*VALUE(TRIM(MID(TRIM($AF$20),6,99)))+VALUE(TRIM(MID(TRIM($AF$20),6,99))))+22*VALUE(TRIM(MID(TRIM($AF$20),6,99))))&lt;=$AF$12,((INT($AF$11/VALUE(TRIM(MID(TRIM($AF$20),6,99))))*VALUE(TRIM(MID(TRIM($AF$20),6,99)))+VALUE(TRIM(MID(TRIM($AF$20),6,99))))+22*VALUE(TRIM(MID(TRIM($AF$20),6,99)))),NA()),VALUE(TRIM(MID(SUBSTITUTE(SUBSTITUTE(SUBSTITUTE(TRIM($AF$20),",",";")," ",""),";",REPT(" ",99)),2179,99)))),NA())</f>
        <v/>
      </c>
      <c r="AN26">
        <f>IF($AG$26="","",IFERROR(IF(ABS($AG$26)&gt;=1000000,ROUND($AG$26/1000000,MAX(0,1-INT(LOG10($AF$27/1000000))))&amp;"M",IF(ABS($AG$26)&gt;=1000,ROUND($AG$26/1000,MAX(0,1-INT(LOG10($AF$27/1000))))&amp;"k",TEXT($AG$26,"#,##0"))),TEXT($AG$26,"#,##0")))</f>
        <v/>
      </c>
      <c r="AO26" t="n">
        <v>49.5</v>
      </c>
      <c r="AP26" t="n">
        <v>50.625</v>
      </c>
      <c r="AQ26" t="n">
        <v>33</v>
      </c>
      <c r="AR26" t="inlineStr">
        <is>
          <t>P90</t>
        </is>
      </c>
      <c r="AS26" t="n">
        <v>392</v>
      </c>
      <c r="AT26">
        <f>IF(23&lt;=$AS$13,$AS$14+(23-1)*$AS$16,"")</f>
        <v/>
      </c>
      <c r="AU26">
        <f>IF(23&gt;$AS$13,"",SUMIFS($AQ$4:$AQ$203,$AP$4:$AP$203,"&gt;="&amp;$AT$26,$AP$4:$AP$203,IF(23=$AS$13,"&lt;=","&lt;")&amp;($AT$26+$AS$16)))</f>
        <v/>
      </c>
      <c r="AV26">
        <f>IF(AND(MOD(12,$AS$17)=0,MOD((INT(12/$AS$17)+1)-1,$AS$13/5)=0),INDEX($BA$4:$BA$53,(INT(12/$AS$17)+1)),"")</f>
        <v/>
      </c>
      <c r="AW26">
        <f>IF(MOD(12,$AS$17)=$AS$17-1,0,INDEX($AU$4:$AU$53,(INT(12/$AS$17)+1)))</f>
        <v/>
      </c>
      <c r="AX26">
        <f>IFERROR(IF(AND($AZ$15&gt;=$AS$14,$AZ$15&lt;=$AS$15),10+0.5+100*($AZ$15-$AS$14)/($AS$15-$AS$14),NA()),NA())</f>
        <v/>
      </c>
      <c r="AY26">
        <f>IF(ISNA($AX$26),NA(),0)</f>
        <v/>
      </c>
      <c r="AZ26">
        <f>IFERROR(IF(LEFT(LOWER(TRIM($AS$20)),5)="every",IF(((INT($AS$11/VALUE(TRIM(MID(TRIM($AS$20),6,99))))*VALUE(TRIM(MID(TRIM($AS$20),6,99)))+VALUE(TRIM(MID(TRIM($AS$20),6,99))))+22*VALUE(TRIM(MID(TRIM($AS$20),6,99))))&lt;=$AS$12,((INT($AS$11/VALUE(TRIM(MID(TRIM($AS$20),6,99))))*VALUE(TRIM(MID(TRIM($AS$20),6,99)))+VALUE(TRIM(MID(TRIM($AS$20),6,99))))+22*VALUE(TRIM(MID(TRIM($AS$20),6,99)))),NA()),VALUE(TRIM(MID(SUBSTITUTE(SUBSTITUTE(SUBSTITUTE(TRIM($AS$20),",",";")," ",""),";",REPT(" ",99)),2179,99)))),NA())</f>
        <v/>
      </c>
      <c r="BA26">
        <f>IF($AT$26="","",IFERROR(IF(ABS($AT$26)&gt;=1000000,ROUND($AT$26/1000000,MAX(0,1-INT(LOG10($AS$27/1000000))))&amp;"M",IF(ABS($AT$26)&gt;=1000,ROUND($AT$26/1000,MAX(0,1-INT(LOG10($AS$27/1000))))&amp;"k",TEXT($AT$26,"#,##0"))),TEXT($AT$26,"#,##0")))</f>
        <v/>
      </c>
    </row>
    <row r="27">
      <c r="B27" t="n">
        <v>584.5</v>
      </c>
      <c r="C27" t="n">
        <v>585.25</v>
      </c>
      <c r="D27" t="n">
        <v>6</v>
      </c>
      <c r="E27" t="inlineStr">
        <is>
          <t>step between labels</t>
        </is>
      </c>
      <c r="F27">
        <f>($F$15-$F$14)/5</f>
        <v/>
      </c>
      <c r="G27">
        <f>IF(24&lt;=$F$13,$F$14+(24-1)*$F$16,"")</f>
        <v/>
      </c>
      <c r="H27">
        <f>IF(24&gt;$F$13,"",SUMIFS($D$4:$D$203,$C$4:$C$203,"&gt;="&amp;$G$27,$C$4:$C$203,IF(24=$F$13,"&lt;=","&lt;")&amp;($G$27+$F$16)))</f>
        <v/>
      </c>
      <c r="I27">
        <f>IF(AND(MOD(13,$F$17)=0,MOD((INT(13/$F$17)+1)-1,$F$13/5)=0),INDEX($N$4:$N$53,(INT(13/$F$17)+1)),"")</f>
        <v/>
      </c>
      <c r="J27">
        <f>IF(MOD(13,$F$17)=$F$17-1,0,INDEX($H$4:$H$53,(INT(13/$F$17)+1)))</f>
        <v/>
      </c>
      <c r="K27">
        <f>IFERROR(IF(AND($M$15&gt;=$F$14,$M$15&lt;=$F$15),10+0.5+100*($M$15-$F$14)/($F$15-$F$14),NA()),NA())</f>
        <v/>
      </c>
      <c r="L27">
        <f>IF(ISNA($K$27),NA(),MAX($J$4:$J$123))</f>
        <v/>
      </c>
      <c r="M27">
        <f>IFERROR(IF(LEFT(LOWER(TRIM($F$20)),5)="every",IF(((INT($F$11/VALUE(TRIM(MID(TRIM($F$20),6,99))))*VALUE(TRIM(MID(TRIM($F$20),6,99)))+VALUE(TRIM(MID(TRIM($F$20),6,99))))+23*VALUE(TRIM(MID(TRIM($F$20),6,99))))&lt;=$F$12,((INT($F$11/VALUE(TRIM(MID(TRIM($F$20),6,99))))*VALUE(TRIM(MID(TRIM($F$20),6,99)))+VALUE(TRIM(MID(TRIM($F$20),6,99))))+23*VALUE(TRIM(MID(TRIM($F$20),6,99)))),NA()),VALUE(TRIM(MID(SUBSTITUTE(SUBSTITUTE(SUBSTITUTE(TRIM($F$20),",",";")," ",""),";",REPT(" ",99)),2278,99)))),NA())</f>
        <v/>
      </c>
      <c r="N27">
        <f>IF($G$27="","",IFERROR(IF(ABS($G$27)&gt;=1000000,ROUND($G$27/1000000,MAX(0,1-INT(LOG10($F$27/1000000))))&amp;"M",IF(ABS($G$27)&gt;=1000,ROUND($G$27/1000,MAX(0,1-INT(LOG10($F$27/1000))))&amp;"k",TEXT($G$27,"#,##0"))),TEXT($G$27,"#,##0")))</f>
        <v/>
      </c>
      <c r="O27" t="n">
        <v>6900</v>
      </c>
      <c r="P27" t="n">
        <v>7050</v>
      </c>
      <c r="Q27" t="n">
        <v>47</v>
      </c>
      <c r="R27" t="inlineStr">
        <is>
          <t>step between labels</t>
        </is>
      </c>
      <c r="S27">
        <f>($S$15-$S$14)/5</f>
        <v/>
      </c>
      <c r="T27">
        <f>IF(24&lt;=$S$13,$S$14+(24-1)*$S$16,"")</f>
        <v/>
      </c>
      <c r="U27">
        <f>IF(24&gt;$S$13,"",SUMIFS($Q$4:$Q$203,$P$4:$P$203,"&gt;="&amp;$T$27,$P$4:$P$203,IF(24=$S$13,"&lt;=","&lt;")&amp;($T$27+$S$16)))</f>
        <v/>
      </c>
      <c r="V27">
        <f>IF(AND(MOD(13,$S$17)=0,MOD((INT(13/$S$17)+1)-1,$S$13/5)=0),INDEX($AA$4:$AA$53,(INT(13/$S$17)+1)),"")</f>
        <v/>
      </c>
      <c r="W27">
        <f>IF(MOD(13,$S$17)=$S$17-1,0,INDEX($U$4:$U$53,(INT(13/$S$17)+1)))</f>
        <v/>
      </c>
      <c r="X27">
        <f>IFERROR(IF(AND($Z$15&gt;=$S$14,$Z$15&lt;=$S$15),10+0.5+100*($Z$15-$S$14)/($S$15-$S$14),NA()),NA())</f>
        <v/>
      </c>
      <c r="Y27">
        <f>IF(ISNA($X$27),NA(),MAX($W$4:$W$123))</f>
        <v/>
      </c>
      <c r="Z27">
        <f>IFERROR(IF(LEFT(LOWER(TRIM($S$20)),5)="every",IF(((INT($S$11/VALUE(TRIM(MID(TRIM($S$20),6,99))))*VALUE(TRIM(MID(TRIM($S$20),6,99)))+VALUE(TRIM(MID(TRIM($S$20),6,99))))+23*VALUE(TRIM(MID(TRIM($S$20),6,99))))&lt;=$S$12,((INT($S$11/VALUE(TRIM(MID(TRIM($S$20),6,99))))*VALUE(TRIM(MID(TRIM($S$20),6,99)))+VALUE(TRIM(MID(TRIM($S$20),6,99))))+23*VALUE(TRIM(MID(TRIM($S$20),6,99)))),NA()),VALUE(TRIM(MID(SUBSTITUTE(SUBSTITUTE(SUBSTITUTE(TRIM($S$20),",",";")," ",""),";",REPT(" ",99)),2278,99)))),NA())</f>
        <v/>
      </c>
      <c r="AA27">
        <f>IF($T$27="","",IFERROR(IF(ABS($T$27)&gt;=1000000,ROUND($T$27/1000000,MAX(0,1-INT(LOG10($S$27/1000000))))&amp;"M",IF(ABS($T$27)&gt;=1000,ROUND($T$27/1000,MAX(0,1-INT(LOG10($S$27/1000))))&amp;"k",TEXT($T$27,"#,##0"))),TEXT($T$27,"#,##0")))</f>
        <v/>
      </c>
      <c r="AB27" t="n">
        <v>3450</v>
      </c>
      <c r="AC27" t="n">
        <v>3525</v>
      </c>
      <c r="AD27" t="n">
        <v>39</v>
      </c>
      <c r="AE27" t="inlineStr">
        <is>
          <t>step between labels</t>
        </is>
      </c>
      <c r="AF27">
        <f>($AF$15-$AF$14)/5</f>
        <v/>
      </c>
      <c r="AG27">
        <f>IF(24&lt;=$AF$13,$AF$14+(24-1)*$AF$16,"")</f>
        <v/>
      </c>
      <c r="AH27">
        <f>IF(24&gt;$AF$13,"",SUMIFS($AD$4:$AD$203,$AC$4:$AC$203,"&gt;="&amp;$AG$27,$AC$4:$AC$203,IF(24=$AF$13,"&lt;=","&lt;")&amp;($AG$27+$AF$16)))</f>
        <v/>
      </c>
      <c r="AI27">
        <f>IF(AND(MOD(13,$AF$17)=0,MOD((INT(13/$AF$17)+1)-1,$AF$13/5)=0),INDEX($AN$4:$AN$53,(INT(13/$AF$17)+1)),"")</f>
        <v/>
      </c>
      <c r="AJ27">
        <f>IF(MOD(13,$AF$17)=$AF$17-1,0,INDEX($AH$4:$AH$53,(INT(13/$AF$17)+1)))</f>
        <v/>
      </c>
      <c r="AK27">
        <f>IFERROR(IF(AND($AM$15&gt;=$AF$14,$AM$15&lt;=$AF$15),10+0.5+100*($AM$15-$AF$14)/($AF$15-$AF$14),NA()),NA())</f>
        <v/>
      </c>
      <c r="AL27">
        <f>IF(ISNA($AK$27),NA(),MAX($AJ$4:$AJ$123))</f>
        <v/>
      </c>
      <c r="AM27">
        <f>IFERROR(IF(LEFT(LOWER(TRIM($AF$20)),5)="every",IF(((INT($AF$11/VALUE(TRIM(MID(TRIM($AF$20),6,99))))*VALUE(TRIM(MID(TRIM($AF$20),6,99)))+VALUE(TRIM(MID(TRIM($AF$20),6,99))))+23*VALUE(TRIM(MID(TRIM($AF$20),6,99))))&lt;=$AF$12,((INT($AF$11/VALUE(TRIM(MID(TRIM($AF$20),6,99))))*VALUE(TRIM(MID(TRIM($AF$20),6,99)))+VALUE(TRIM(MID(TRIM($AF$20),6,99))))+23*VALUE(TRIM(MID(TRIM($AF$20),6,99)))),NA()),VALUE(TRIM(MID(SUBSTITUTE(SUBSTITUTE(SUBSTITUTE(TRIM($AF$20),",",";")," ",""),";",REPT(" ",99)),2278,99)))),NA())</f>
        <v/>
      </c>
      <c r="AN27">
        <f>IF($AG$27="","",IFERROR(IF(ABS($AG$27)&gt;=1000000,ROUND($AG$27/1000000,MAX(0,1-INT(LOG10($AF$27/1000000))))&amp;"M",IF(ABS($AG$27)&gt;=1000,ROUND($AG$27/1000,MAX(0,1-INT(LOG10($AF$27/1000))))&amp;"k",TEXT($AG$27,"#,##0"))),TEXT($AG$27,"#,##0")))</f>
        <v/>
      </c>
      <c r="AO27" t="n">
        <v>51.75</v>
      </c>
      <c r="AP27" t="n">
        <v>52.875</v>
      </c>
      <c r="AQ27" t="n">
        <v>31</v>
      </c>
      <c r="AR27" t="inlineStr">
        <is>
          <t>step between labels</t>
        </is>
      </c>
      <c r="AS27">
        <f>($AS$15-$AS$14)/5</f>
        <v/>
      </c>
      <c r="AT27">
        <f>IF(24&lt;=$AS$13,$AS$14+(24-1)*$AS$16,"")</f>
        <v/>
      </c>
      <c r="AU27">
        <f>IF(24&gt;$AS$13,"",SUMIFS($AQ$4:$AQ$203,$AP$4:$AP$203,"&gt;="&amp;$AT$27,$AP$4:$AP$203,IF(24=$AS$13,"&lt;=","&lt;")&amp;($AT$27+$AS$16)))</f>
        <v/>
      </c>
      <c r="AV27">
        <f>IF(AND(MOD(13,$AS$17)=0,MOD((INT(13/$AS$17)+1)-1,$AS$13/5)=0),INDEX($BA$4:$BA$53,(INT(13/$AS$17)+1)),"")</f>
        <v/>
      </c>
      <c r="AW27">
        <f>IF(MOD(13,$AS$17)=$AS$17-1,0,INDEX($AU$4:$AU$53,(INT(13/$AS$17)+1)))</f>
        <v/>
      </c>
      <c r="AX27">
        <f>IFERROR(IF(AND($AZ$15&gt;=$AS$14,$AZ$15&lt;=$AS$15),10+0.5+100*($AZ$15-$AS$14)/($AS$15-$AS$14),NA()),NA())</f>
        <v/>
      </c>
      <c r="AY27">
        <f>IF(ISNA($AX$27),NA(),MAX($AW$4:$AW$123))</f>
        <v/>
      </c>
      <c r="AZ27">
        <f>IFERROR(IF(LEFT(LOWER(TRIM($AS$20)),5)="every",IF(((INT($AS$11/VALUE(TRIM(MID(TRIM($AS$20),6,99))))*VALUE(TRIM(MID(TRIM($AS$20),6,99)))+VALUE(TRIM(MID(TRIM($AS$20),6,99))))+23*VALUE(TRIM(MID(TRIM($AS$20),6,99))))&lt;=$AS$12,((INT($AS$11/VALUE(TRIM(MID(TRIM($AS$20),6,99))))*VALUE(TRIM(MID(TRIM($AS$20),6,99)))+VALUE(TRIM(MID(TRIM($AS$20),6,99))))+23*VALUE(TRIM(MID(TRIM($AS$20),6,99)))),NA()),VALUE(TRIM(MID(SUBSTITUTE(SUBSTITUTE(SUBSTITUTE(TRIM($AS$20),",",";")," ",""),";",REPT(" ",99)),2278,99)))),NA())</f>
        <v/>
      </c>
      <c r="BA27">
        <f>IF($AT$27="","",IFERROR(IF(ABS($AT$27)&gt;=1000000,ROUND($AT$27/1000000,MAX(0,1-INT(LOG10($AS$27/1000000))))&amp;"M",IF(ABS($AT$27)&gt;=1000,ROUND($AT$27/1000,MAX(0,1-INT(LOG10($AS$27/1000))))&amp;"k",TEXT($AT$27,"#,##0"))),TEXT($AT$27,"#,##0")))</f>
        <v/>
      </c>
    </row>
    <row r="28">
      <c r="B28" t="n">
        <v>586</v>
      </c>
      <c r="C28" t="n">
        <v>586.75</v>
      </c>
      <c r="D28" t="n">
        <v>16</v>
      </c>
      <c r="G28">
        <f>IF(25&lt;=$F$13,$F$14+(25-1)*$F$16,"")</f>
        <v/>
      </c>
      <c r="H28">
        <f>IF(25&gt;$F$13,"",SUMIFS($D$4:$D$203,$C$4:$C$203,"&gt;="&amp;$G$28,$C$4:$C$203,IF(25=$F$13,"&lt;=","&lt;")&amp;($G$28+$F$16)))</f>
        <v/>
      </c>
      <c r="I28">
        <f>IF(AND(MOD(14,$F$17)=0,MOD((INT(14/$F$17)+1)-1,$F$13/5)=0),INDEX($N$4:$N$53,(INT(14/$F$17)+1)),"")</f>
        <v/>
      </c>
      <c r="J28">
        <f>IF(MOD(14,$F$17)=$F$17-1,0,INDEX($H$4:$H$53,(INT(14/$F$17)+1)))</f>
        <v/>
      </c>
      <c r="K28">
        <f>IFERROR(IF(AND($M$16&gt;=$F$14,$M$16&lt;=$F$15),10+0.5+100*($M$16-$F$14)/($F$15-$F$14),NA()),NA())</f>
        <v/>
      </c>
      <c r="L28">
        <f>IF(ISNA($K$28),NA(),0)</f>
        <v/>
      </c>
      <c r="N28">
        <f>IF($G$28="","",IFERROR(IF(ABS($G$28)&gt;=1000000,ROUND($G$28/1000000,MAX(0,1-INT(LOG10($F$27/1000000))))&amp;"M",IF(ABS($G$28)&gt;=1000,ROUND($G$28/1000,MAX(0,1-INT(LOG10($F$27/1000))))&amp;"k",TEXT($G$28,"#,##0"))),TEXT($G$28,"#,##0")))</f>
        <v/>
      </c>
      <c r="O28" t="n">
        <v>7200</v>
      </c>
      <c r="P28" t="n">
        <v>7350</v>
      </c>
      <c r="Q28" t="n">
        <v>42</v>
      </c>
      <c r="T28">
        <f>IF(25&lt;=$S$13,$S$14+(25-1)*$S$16,"")</f>
        <v/>
      </c>
      <c r="U28">
        <f>IF(25&gt;$S$13,"",SUMIFS($Q$4:$Q$203,$P$4:$P$203,"&gt;="&amp;$T$28,$P$4:$P$203,IF(25=$S$13,"&lt;=","&lt;")&amp;($T$28+$S$16)))</f>
        <v/>
      </c>
      <c r="V28">
        <f>IF(AND(MOD(14,$S$17)=0,MOD((INT(14/$S$17)+1)-1,$S$13/5)=0),INDEX($AA$4:$AA$53,(INT(14/$S$17)+1)),"")</f>
        <v/>
      </c>
      <c r="W28">
        <f>IF(MOD(14,$S$17)=$S$17-1,0,INDEX($U$4:$U$53,(INT(14/$S$17)+1)))</f>
        <v/>
      </c>
      <c r="X28">
        <f>IFERROR(IF(AND($Z$16&gt;=$S$14,$Z$16&lt;=$S$15),10+0.5+100*($Z$16-$S$14)/($S$15-$S$14),NA()),NA())</f>
        <v/>
      </c>
      <c r="Y28">
        <f>IF(ISNA($X$28),NA(),0)</f>
        <v/>
      </c>
      <c r="AA28">
        <f>IF($T$28="","",IFERROR(IF(ABS($T$28)&gt;=1000000,ROUND($T$28/1000000,MAX(0,1-INT(LOG10($S$27/1000000))))&amp;"M",IF(ABS($T$28)&gt;=1000,ROUND($T$28/1000,MAX(0,1-INT(LOG10($S$27/1000))))&amp;"k",TEXT($T$28,"#,##0"))),TEXT($T$28,"#,##0")))</f>
        <v/>
      </c>
      <c r="AB28" t="n">
        <v>3600</v>
      </c>
      <c r="AC28" t="n">
        <v>3675</v>
      </c>
      <c r="AD28" t="n">
        <v>48</v>
      </c>
      <c r="AG28">
        <f>IF(25&lt;=$AF$13,$AF$14+(25-1)*$AF$16,"")</f>
        <v/>
      </c>
      <c r="AH28">
        <f>IF(25&gt;$AF$13,"",SUMIFS($AD$4:$AD$203,$AC$4:$AC$203,"&gt;="&amp;$AG$28,$AC$4:$AC$203,IF(25=$AF$13,"&lt;=","&lt;")&amp;($AG$28+$AF$16)))</f>
        <v/>
      </c>
      <c r="AI28">
        <f>IF(AND(MOD(14,$AF$17)=0,MOD((INT(14/$AF$17)+1)-1,$AF$13/5)=0),INDEX($AN$4:$AN$53,(INT(14/$AF$17)+1)),"")</f>
        <v/>
      </c>
      <c r="AJ28">
        <f>IF(MOD(14,$AF$17)=$AF$17-1,0,INDEX($AH$4:$AH$53,(INT(14/$AF$17)+1)))</f>
        <v/>
      </c>
      <c r="AK28">
        <f>IFERROR(IF(AND($AM$16&gt;=$AF$14,$AM$16&lt;=$AF$15),10+0.5+100*($AM$16-$AF$14)/($AF$15-$AF$14),NA()),NA())</f>
        <v/>
      </c>
      <c r="AL28">
        <f>IF(ISNA($AK$28),NA(),0)</f>
        <v/>
      </c>
      <c r="AN28">
        <f>IF($AG$28="","",IFERROR(IF(ABS($AG$28)&gt;=1000000,ROUND($AG$28/1000000,MAX(0,1-INT(LOG10($AF$27/1000000))))&amp;"M",IF(ABS($AG$28)&gt;=1000,ROUND($AG$28/1000,MAX(0,1-INT(LOG10($AF$27/1000))))&amp;"k",TEXT($AG$28,"#,##0"))),TEXT($AG$28,"#,##0")))</f>
        <v/>
      </c>
      <c r="AO28" t="n">
        <v>54</v>
      </c>
      <c r="AP28" t="n">
        <v>55.125</v>
      </c>
      <c r="AQ28" t="n">
        <v>69</v>
      </c>
      <c r="AT28">
        <f>IF(25&lt;=$AS$13,$AS$14+(25-1)*$AS$16,"")</f>
        <v/>
      </c>
      <c r="AU28">
        <f>IF(25&gt;$AS$13,"",SUMIFS($AQ$4:$AQ$203,$AP$4:$AP$203,"&gt;="&amp;$AT$28,$AP$4:$AP$203,IF(25=$AS$13,"&lt;=","&lt;")&amp;($AT$28+$AS$16)))</f>
        <v/>
      </c>
      <c r="AV28">
        <f>IF(AND(MOD(14,$AS$17)=0,MOD((INT(14/$AS$17)+1)-1,$AS$13/5)=0),INDEX($BA$4:$BA$53,(INT(14/$AS$17)+1)),"")</f>
        <v/>
      </c>
      <c r="AW28">
        <f>IF(MOD(14,$AS$17)=$AS$17-1,0,INDEX($AU$4:$AU$53,(INT(14/$AS$17)+1)))</f>
        <v/>
      </c>
      <c r="AX28">
        <f>IFERROR(IF(AND($AZ$16&gt;=$AS$14,$AZ$16&lt;=$AS$15),10+0.5+100*($AZ$16-$AS$14)/($AS$15-$AS$14),NA()),NA())</f>
        <v/>
      </c>
      <c r="AY28">
        <f>IF(ISNA($AX$28),NA(),0)</f>
        <v/>
      </c>
      <c r="BA28">
        <f>IF($AT$28="","",IFERROR(IF(ABS($AT$28)&gt;=1000000,ROUND($AT$28/1000000,MAX(0,1-INT(LOG10($AS$27/1000000))))&amp;"M",IF(ABS($AT$28)&gt;=1000,ROUND($AT$28/1000,MAX(0,1-INT(LOG10($AS$27/1000))))&amp;"k",TEXT($AT$28,"#,##0"))),TEXT($AT$28,"#,##0")))</f>
        <v/>
      </c>
    </row>
    <row r="29">
      <c r="B29" t="n">
        <v>587.5</v>
      </c>
      <c r="C29" t="n">
        <v>588.25</v>
      </c>
      <c r="D29" t="n">
        <v>7</v>
      </c>
      <c r="G29">
        <f>IF(26&lt;=$F$13,$F$14+(26-1)*$F$16,"")</f>
        <v/>
      </c>
      <c r="H29">
        <f>IF(26&gt;$F$13,"",SUMIFS($D$4:$D$203,$C$4:$C$203,"&gt;="&amp;$G$29,$C$4:$C$203,IF(26=$F$13,"&lt;=","&lt;")&amp;($G$29+$F$16)))</f>
        <v/>
      </c>
      <c r="I29">
        <f>IF(AND(MOD(15,$F$17)=0,MOD((INT(15/$F$17)+1)-1,$F$13/5)=0),INDEX($N$4:$N$53,(INT(15/$F$17)+1)),"")</f>
        <v/>
      </c>
      <c r="J29">
        <f>IF(MOD(15,$F$17)=$F$17-1,0,INDEX($H$4:$H$53,(INT(15/$F$17)+1)))</f>
        <v/>
      </c>
      <c r="K29">
        <f>IFERROR(IF(AND($M$16&gt;=$F$14,$M$16&lt;=$F$15),10+0.5+100*($M$16-$F$14)/($F$15-$F$14),NA()),NA())</f>
        <v/>
      </c>
      <c r="L29">
        <f>IF(ISNA($K$29),NA(),MAX($J$4:$J$123))</f>
        <v/>
      </c>
      <c r="N29">
        <f>IF($G$29="","",IFERROR(IF(ABS($G$29)&gt;=1000000,ROUND($G$29/1000000,MAX(0,1-INT(LOG10($F$27/1000000))))&amp;"M",IF(ABS($G$29)&gt;=1000,ROUND($G$29/1000,MAX(0,1-INT(LOG10($F$27/1000))))&amp;"k",TEXT($G$29,"#,##0"))),TEXT($G$29,"#,##0")))</f>
        <v/>
      </c>
      <c r="O29" t="n">
        <v>7500</v>
      </c>
      <c r="P29" t="n">
        <v>7650</v>
      </c>
      <c r="Q29" t="n">
        <v>50</v>
      </c>
      <c r="T29">
        <f>IF(26&lt;=$S$13,$S$14+(26-1)*$S$16,"")</f>
        <v/>
      </c>
      <c r="U29">
        <f>IF(26&gt;$S$13,"",SUMIFS($Q$4:$Q$203,$P$4:$P$203,"&gt;="&amp;$T$29,$P$4:$P$203,IF(26=$S$13,"&lt;=","&lt;")&amp;($T$29+$S$16)))</f>
        <v/>
      </c>
      <c r="V29">
        <f>IF(AND(MOD(15,$S$17)=0,MOD((INT(15/$S$17)+1)-1,$S$13/5)=0),INDEX($AA$4:$AA$53,(INT(15/$S$17)+1)),"")</f>
        <v/>
      </c>
      <c r="W29">
        <f>IF(MOD(15,$S$17)=$S$17-1,0,INDEX($U$4:$U$53,(INT(15/$S$17)+1)))</f>
        <v/>
      </c>
      <c r="X29">
        <f>IFERROR(IF(AND($Z$16&gt;=$S$14,$Z$16&lt;=$S$15),10+0.5+100*($Z$16-$S$14)/($S$15-$S$14),NA()),NA())</f>
        <v/>
      </c>
      <c r="Y29">
        <f>IF(ISNA($X$29),NA(),MAX($W$4:$W$123))</f>
        <v/>
      </c>
      <c r="AA29">
        <f>IF($T$29="","",IFERROR(IF(ABS($T$29)&gt;=1000000,ROUND($T$29/1000000,MAX(0,1-INT(LOG10($S$27/1000000))))&amp;"M",IF(ABS($T$29)&gt;=1000,ROUND($T$29/1000,MAX(0,1-INT(LOG10($S$27/1000))))&amp;"k",TEXT($T$29,"#,##0"))),TEXT($T$29,"#,##0")))</f>
        <v/>
      </c>
      <c r="AB29" t="n">
        <v>3750</v>
      </c>
      <c r="AC29" t="n">
        <v>3825</v>
      </c>
      <c r="AD29" t="n">
        <v>39</v>
      </c>
      <c r="AG29">
        <f>IF(26&lt;=$AF$13,$AF$14+(26-1)*$AF$16,"")</f>
        <v/>
      </c>
      <c r="AH29">
        <f>IF(26&gt;$AF$13,"",SUMIFS($AD$4:$AD$203,$AC$4:$AC$203,"&gt;="&amp;$AG$29,$AC$4:$AC$203,IF(26=$AF$13,"&lt;=","&lt;")&amp;($AG$29+$AF$16)))</f>
        <v/>
      </c>
      <c r="AI29">
        <f>IF(AND(MOD(15,$AF$17)=0,MOD((INT(15/$AF$17)+1)-1,$AF$13/5)=0),INDEX($AN$4:$AN$53,(INT(15/$AF$17)+1)),"")</f>
        <v/>
      </c>
      <c r="AJ29">
        <f>IF(MOD(15,$AF$17)=$AF$17-1,0,INDEX($AH$4:$AH$53,(INT(15/$AF$17)+1)))</f>
        <v/>
      </c>
      <c r="AK29">
        <f>IFERROR(IF(AND($AM$16&gt;=$AF$14,$AM$16&lt;=$AF$15),10+0.5+100*($AM$16-$AF$14)/($AF$15-$AF$14),NA()),NA())</f>
        <v/>
      </c>
      <c r="AL29">
        <f>IF(ISNA($AK$29),NA(),MAX($AJ$4:$AJ$123))</f>
        <v/>
      </c>
      <c r="AN29">
        <f>IF($AG$29="","",IFERROR(IF(ABS($AG$29)&gt;=1000000,ROUND($AG$29/1000000,MAX(0,1-INT(LOG10($AF$27/1000000))))&amp;"M",IF(ABS($AG$29)&gt;=1000,ROUND($AG$29/1000,MAX(0,1-INT(LOG10($AF$27/1000))))&amp;"k",TEXT($AG$29,"#,##0"))),TEXT($AG$29,"#,##0")))</f>
        <v/>
      </c>
      <c r="AO29" t="n">
        <v>56.25</v>
      </c>
      <c r="AP29" t="n">
        <v>57.375</v>
      </c>
      <c r="AQ29" t="n">
        <v>40</v>
      </c>
      <c r="AT29">
        <f>IF(26&lt;=$AS$13,$AS$14+(26-1)*$AS$16,"")</f>
        <v/>
      </c>
      <c r="AU29">
        <f>IF(26&gt;$AS$13,"",SUMIFS($AQ$4:$AQ$203,$AP$4:$AP$203,"&gt;="&amp;$AT$29,$AP$4:$AP$203,IF(26=$AS$13,"&lt;=","&lt;")&amp;($AT$29+$AS$16)))</f>
        <v/>
      </c>
      <c r="AV29">
        <f>IF(AND(MOD(15,$AS$17)=0,MOD((INT(15/$AS$17)+1)-1,$AS$13/5)=0),INDEX($BA$4:$BA$53,(INT(15/$AS$17)+1)),"")</f>
        <v/>
      </c>
      <c r="AW29">
        <f>IF(MOD(15,$AS$17)=$AS$17-1,0,INDEX($AU$4:$AU$53,(INT(15/$AS$17)+1)))</f>
        <v/>
      </c>
      <c r="AX29">
        <f>IFERROR(IF(AND($AZ$16&gt;=$AS$14,$AZ$16&lt;=$AS$15),10+0.5+100*($AZ$16-$AS$14)/($AS$15-$AS$14),NA()),NA())</f>
        <v/>
      </c>
      <c r="AY29">
        <f>IF(ISNA($AX$29),NA(),MAX($AW$4:$AW$123))</f>
        <v/>
      </c>
      <c r="BA29">
        <f>IF($AT$29="","",IFERROR(IF(ABS($AT$29)&gt;=1000000,ROUND($AT$29/1000000,MAX(0,1-INT(LOG10($AS$27/1000000))))&amp;"M",IF(ABS($AT$29)&gt;=1000,ROUND($AT$29/1000,MAX(0,1-INT(LOG10($AS$27/1000))))&amp;"k",TEXT($AT$29,"#,##0"))),TEXT($AT$29,"#,##0")))</f>
        <v/>
      </c>
    </row>
    <row r="30">
      <c r="B30" t="n">
        <v>589</v>
      </c>
      <c r="C30" t="n">
        <v>589.75</v>
      </c>
      <c r="D30" t="n">
        <v>13</v>
      </c>
      <c r="G30">
        <f>IF(27&lt;=$F$13,$F$14+(27-1)*$F$16,"")</f>
        <v/>
      </c>
      <c r="H30">
        <f>IF(27&gt;$F$13,"",SUMIFS($D$4:$D$203,$C$4:$C$203,"&gt;="&amp;$G$30,$C$4:$C$203,IF(27=$F$13,"&lt;=","&lt;")&amp;($G$30+$F$16)))</f>
        <v/>
      </c>
      <c r="I30">
        <f>IF(AND(MOD(16,$F$17)=0,MOD((INT(16/$F$17)+1)-1,$F$13/5)=0),INDEX($N$4:$N$53,(INT(16/$F$17)+1)),"")</f>
        <v/>
      </c>
      <c r="J30">
        <f>IF(MOD(16,$F$17)=$F$17-1,0,INDEX($H$4:$H$53,(INT(16/$F$17)+1)))</f>
        <v/>
      </c>
      <c r="K30">
        <f>IFERROR(IF(AND($M$17&gt;=$F$14,$M$17&lt;=$F$15),10+0.5+100*($M$17-$F$14)/($F$15-$F$14),NA()),NA())</f>
        <v/>
      </c>
      <c r="L30">
        <f>IF(ISNA($K$30),NA(),0)</f>
        <v/>
      </c>
      <c r="N30">
        <f>IF($G$30="","",IFERROR(IF(ABS($G$30)&gt;=1000000,ROUND($G$30/1000000,MAX(0,1-INT(LOG10($F$27/1000000))))&amp;"M",IF(ABS($G$30)&gt;=1000,ROUND($G$30/1000,MAX(0,1-INT(LOG10($F$27/1000))))&amp;"k",TEXT($G$30,"#,##0"))),TEXT($G$30,"#,##0")))</f>
        <v/>
      </c>
      <c r="O30" t="n">
        <v>7800</v>
      </c>
      <c r="P30" t="n">
        <v>7950</v>
      </c>
      <c r="Q30" t="n">
        <v>50</v>
      </c>
      <c r="T30">
        <f>IF(27&lt;=$S$13,$S$14+(27-1)*$S$16,"")</f>
        <v/>
      </c>
      <c r="U30">
        <f>IF(27&gt;$S$13,"",SUMIFS($Q$4:$Q$203,$P$4:$P$203,"&gt;="&amp;$T$30,$P$4:$P$203,IF(27=$S$13,"&lt;=","&lt;")&amp;($T$30+$S$16)))</f>
        <v/>
      </c>
      <c r="V30">
        <f>IF(AND(MOD(16,$S$17)=0,MOD((INT(16/$S$17)+1)-1,$S$13/5)=0),INDEX($AA$4:$AA$53,(INT(16/$S$17)+1)),"")</f>
        <v/>
      </c>
      <c r="W30">
        <f>IF(MOD(16,$S$17)=$S$17-1,0,INDEX($U$4:$U$53,(INT(16/$S$17)+1)))</f>
        <v/>
      </c>
      <c r="X30">
        <f>IFERROR(IF(AND($Z$17&gt;=$S$14,$Z$17&lt;=$S$15),10+0.5+100*($Z$17-$S$14)/($S$15-$S$14),NA()),NA())</f>
        <v/>
      </c>
      <c r="Y30">
        <f>IF(ISNA($X$30),NA(),0)</f>
        <v/>
      </c>
      <c r="AA30">
        <f>IF($T$30="","",IFERROR(IF(ABS($T$30)&gt;=1000000,ROUND($T$30/1000000,MAX(0,1-INT(LOG10($S$27/1000000))))&amp;"M",IF(ABS($T$30)&gt;=1000,ROUND($T$30/1000,MAX(0,1-INT(LOG10($S$27/1000))))&amp;"k",TEXT($T$30,"#,##0"))),TEXT($T$30,"#,##0")))</f>
        <v/>
      </c>
      <c r="AB30" t="n">
        <v>3900</v>
      </c>
      <c r="AC30" t="n">
        <v>3975</v>
      </c>
      <c r="AD30" t="n">
        <v>47</v>
      </c>
      <c r="AG30">
        <f>IF(27&lt;=$AF$13,$AF$14+(27-1)*$AF$16,"")</f>
        <v/>
      </c>
      <c r="AH30">
        <f>IF(27&gt;$AF$13,"",SUMIFS($AD$4:$AD$203,$AC$4:$AC$203,"&gt;="&amp;$AG$30,$AC$4:$AC$203,IF(27=$AF$13,"&lt;=","&lt;")&amp;($AG$30+$AF$16)))</f>
        <v/>
      </c>
      <c r="AI30">
        <f>IF(AND(MOD(16,$AF$17)=0,MOD((INT(16/$AF$17)+1)-1,$AF$13/5)=0),INDEX($AN$4:$AN$53,(INT(16/$AF$17)+1)),"")</f>
        <v/>
      </c>
      <c r="AJ30">
        <f>IF(MOD(16,$AF$17)=$AF$17-1,0,INDEX($AH$4:$AH$53,(INT(16/$AF$17)+1)))</f>
        <v/>
      </c>
      <c r="AK30">
        <f>IFERROR(IF(AND($AM$17&gt;=$AF$14,$AM$17&lt;=$AF$15),10+0.5+100*($AM$17-$AF$14)/($AF$15-$AF$14),NA()),NA())</f>
        <v/>
      </c>
      <c r="AL30">
        <f>IF(ISNA($AK$30),NA(),0)</f>
        <v/>
      </c>
      <c r="AN30">
        <f>IF($AG$30="","",IFERROR(IF(ABS($AG$30)&gt;=1000000,ROUND($AG$30/1000000,MAX(0,1-INT(LOG10($AF$27/1000000))))&amp;"M",IF(ABS($AG$30)&gt;=1000,ROUND($AG$30/1000,MAX(0,1-INT(LOG10($AF$27/1000))))&amp;"k",TEXT($AG$30,"#,##0"))),TEXT($AG$30,"#,##0")))</f>
        <v/>
      </c>
      <c r="AO30" t="n">
        <v>58.5</v>
      </c>
      <c r="AP30" t="n">
        <v>59.625</v>
      </c>
      <c r="AQ30" t="n">
        <v>37</v>
      </c>
      <c r="AT30">
        <f>IF(27&lt;=$AS$13,$AS$14+(27-1)*$AS$16,"")</f>
        <v/>
      </c>
      <c r="AU30">
        <f>IF(27&gt;$AS$13,"",SUMIFS($AQ$4:$AQ$203,$AP$4:$AP$203,"&gt;="&amp;$AT$30,$AP$4:$AP$203,IF(27=$AS$13,"&lt;=","&lt;")&amp;($AT$30+$AS$16)))</f>
        <v/>
      </c>
      <c r="AV30">
        <f>IF(AND(MOD(16,$AS$17)=0,MOD((INT(16/$AS$17)+1)-1,$AS$13/5)=0),INDEX($BA$4:$BA$53,(INT(16/$AS$17)+1)),"")</f>
        <v/>
      </c>
      <c r="AW30">
        <f>IF(MOD(16,$AS$17)=$AS$17-1,0,INDEX($AU$4:$AU$53,(INT(16/$AS$17)+1)))</f>
        <v/>
      </c>
      <c r="AX30">
        <f>IFERROR(IF(AND($AZ$17&gt;=$AS$14,$AZ$17&lt;=$AS$15),10+0.5+100*($AZ$17-$AS$14)/($AS$15-$AS$14),NA()),NA())</f>
        <v/>
      </c>
      <c r="AY30">
        <f>IF(ISNA($AX$30),NA(),0)</f>
        <v/>
      </c>
      <c r="BA30">
        <f>IF($AT$30="","",IFERROR(IF(ABS($AT$30)&gt;=1000000,ROUND($AT$30/1000000,MAX(0,1-INT(LOG10($AS$27/1000000))))&amp;"M",IF(ABS($AT$30)&gt;=1000,ROUND($AT$30/1000,MAX(0,1-INT(LOG10($AS$27/1000))))&amp;"k",TEXT($AT$30,"#,##0"))),TEXT($AT$30,"#,##0")))</f>
        <v/>
      </c>
    </row>
    <row r="31">
      <c r="B31" t="n">
        <v>590.5</v>
      </c>
      <c r="C31" t="n">
        <v>591.25</v>
      </c>
      <c r="D31" t="n">
        <v>8</v>
      </c>
      <c r="G31">
        <f>IF(28&lt;=$F$13,$F$14+(28-1)*$F$16,"")</f>
        <v/>
      </c>
      <c r="H31">
        <f>IF(28&gt;$F$13,"",SUMIFS($D$4:$D$203,$C$4:$C$203,"&gt;="&amp;$G$31,$C$4:$C$203,IF(28=$F$13,"&lt;=","&lt;")&amp;($G$31+$F$16)))</f>
        <v/>
      </c>
      <c r="I31">
        <f>IF(AND(MOD(17,$F$17)=0,MOD((INT(17/$F$17)+1)-1,$F$13/5)=0),INDEX($N$4:$N$53,(INT(17/$F$17)+1)),"")</f>
        <v/>
      </c>
      <c r="J31">
        <f>IF(MOD(17,$F$17)=$F$17-1,0,INDEX($H$4:$H$53,(INT(17/$F$17)+1)))</f>
        <v/>
      </c>
      <c r="K31">
        <f>IFERROR(IF(AND($M$17&gt;=$F$14,$M$17&lt;=$F$15),10+0.5+100*($M$17-$F$14)/($F$15-$F$14),NA()),NA())</f>
        <v/>
      </c>
      <c r="L31">
        <f>IF(ISNA($K$31),NA(),MAX($J$4:$J$123))</f>
        <v/>
      </c>
      <c r="N31">
        <f>IF($G$31="","",IFERROR(IF(ABS($G$31)&gt;=1000000,ROUND($G$31/1000000,MAX(0,1-INT(LOG10($F$27/1000000))))&amp;"M",IF(ABS($G$31)&gt;=1000,ROUND($G$31/1000,MAX(0,1-INT(LOG10($F$27/1000))))&amp;"k",TEXT($G$31,"#,##0"))),TEXT($G$31,"#,##0")))</f>
        <v/>
      </c>
      <c r="O31" t="n">
        <v>8100</v>
      </c>
      <c r="P31" t="n">
        <v>8250</v>
      </c>
      <c r="Q31" t="n">
        <v>57</v>
      </c>
      <c r="T31">
        <f>IF(28&lt;=$S$13,$S$14+(28-1)*$S$16,"")</f>
        <v/>
      </c>
      <c r="U31">
        <f>IF(28&gt;$S$13,"",SUMIFS($Q$4:$Q$203,$P$4:$P$203,"&gt;="&amp;$T$31,$P$4:$P$203,IF(28=$S$13,"&lt;=","&lt;")&amp;($T$31+$S$16)))</f>
        <v/>
      </c>
      <c r="V31">
        <f>IF(AND(MOD(17,$S$17)=0,MOD((INT(17/$S$17)+1)-1,$S$13/5)=0),INDEX($AA$4:$AA$53,(INT(17/$S$17)+1)),"")</f>
        <v/>
      </c>
      <c r="W31">
        <f>IF(MOD(17,$S$17)=$S$17-1,0,INDEX($U$4:$U$53,(INT(17/$S$17)+1)))</f>
        <v/>
      </c>
      <c r="X31">
        <f>IFERROR(IF(AND($Z$17&gt;=$S$14,$Z$17&lt;=$S$15),10+0.5+100*($Z$17-$S$14)/($S$15-$S$14),NA()),NA())</f>
        <v/>
      </c>
      <c r="Y31">
        <f>IF(ISNA($X$31),NA(),MAX($W$4:$W$123))</f>
        <v/>
      </c>
      <c r="AA31">
        <f>IF($T$31="","",IFERROR(IF(ABS($T$31)&gt;=1000000,ROUND($T$31/1000000,MAX(0,1-INT(LOG10($S$27/1000000))))&amp;"M",IF(ABS($T$31)&gt;=1000,ROUND($T$31/1000,MAX(0,1-INT(LOG10($S$27/1000))))&amp;"k",TEXT($T$31,"#,##0"))),TEXT($T$31,"#,##0")))</f>
        <v/>
      </c>
      <c r="AB31" t="n">
        <v>4050</v>
      </c>
      <c r="AC31" t="n">
        <v>4125</v>
      </c>
      <c r="AD31" t="n">
        <v>38</v>
      </c>
      <c r="AG31">
        <f>IF(28&lt;=$AF$13,$AF$14+(28-1)*$AF$16,"")</f>
        <v/>
      </c>
      <c r="AH31">
        <f>IF(28&gt;$AF$13,"",SUMIFS($AD$4:$AD$203,$AC$4:$AC$203,"&gt;="&amp;$AG$31,$AC$4:$AC$203,IF(28=$AF$13,"&lt;=","&lt;")&amp;($AG$31+$AF$16)))</f>
        <v/>
      </c>
      <c r="AI31">
        <f>IF(AND(MOD(17,$AF$17)=0,MOD((INT(17/$AF$17)+1)-1,$AF$13/5)=0),INDEX($AN$4:$AN$53,(INT(17/$AF$17)+1)),"")</f>
        <v/>
      </c>
      <c r="AJ31">
        <f>IF(MOD(17,$AF$17)=$AF$17-1,0,INDEX($AH$4:$AH$53,(INT(17/$AF$17)+1)))</f>
        <v/>
      </c>
      <c r="AK31">
        <f>IFERROR(IF(AND($AM$17&gt;=$AF$14,$AM$17&lt;=$AF$15),10+0.5+100*($AM$17-$AF$14)/($AF$15-$AF$14),NA()),NA())</f>
        <v/>
      </c>
      <c r="AL31">
        <f>IF(ISNA($AK$31),NA(),MAX($AJ$4:$AJ$123))</f>
        <v/>
      </c>
      <c r="AN31">
        <f>IF($AG$31="","",IFERROR(IF(ABS($AG$31)&gt;=1000000,ROUND($AG$31/1000000,MAX(0,1-INT(LOG10($AF$27/1000000))))&amp;"M",IF(ABS($AG$31)&gt;=1000,ROUND($AG$31/1000,MAX(0,1-INT(LOG10($AF$27/1000))))&amp;"k",TEXT($AG$31,"#,##0"))),TEXT($AG$31,"#,##0")))</f>
        <v/>
      </c>
      <c r="AO31" t="n">
        <v>60.75</v>
      </c>
      <c r="AP31" t="n">
        <v>61.875</v>
      </c>
      <c r="AQ31" t="n">
        <v>40</v>
      </c>
      <c r="AT31">
        <f>IF(28&lt;=$AS$13,$AS$14+(28-1)*$AS$16,"")</f>
        <v/>
      </c>
      <c r="AU31">
        <f>IF(28&gt;$AS$13,"",SUMIFS($AQ$4:$AQ$203,$AP$4:$AP$203,"&gt;="&amp;$AT$31,$AP$4:$AP$203,IF(28=$AS$13,"&lt;=","&lt;")&amp;($AT$31+$AS$16)))</f>
        <v/>
      </c>
      <c r="AV31">
        <f>IF(AND(MOD(17,$AS$17)=0,MOD((INT(17/$AS$17)+1)-1,$AS$13/5)=0),INDEX($BA$4:$BA$53,(INT(17/$AS$17)+1)),"")</f>
        <v/>
      </c>
      <c r="AW31">
        <f>IF(MOD(17,$AS$17)=$AS$17-1,0,INDEX($AU$4:$AU$53,(INT(17/$AS$17)+1)))</f>
        <v/>
      </c>
      <c r="AX31">
        <f>IFERROR(IF(AND($AZ$17&gt;=$AS$14,$AZ$17&lt;=$AS$15),10+0.5+100*($AZ$17-$AS$14)/($AS$15-$AS$14),NA()),NA())</f>
        <v/>
      </c>
      <c r="AY31">
        <f>IF(ISNA($AX$31),NA(),MAX($AW$4:$AW$123))</f>
        <v/>
      </c>
      <c r="BA31">
        <f>IF($AT$31="","",IFERROR(IF(ABS($AT$31)&gt;=1000000,ROUND($AT$31/1000000,MAX(0,1-INT(LOG10($AS$27/1000000))))&amp;"M",IF(ABS($AT$31)&gt;=1000,ROUND($AT$31/1000,MAX(0,1-INT(LOG10($AS$27/1000))))&amp;"k",TEXT($AT$31,"#,##0"))),TEXT($AT$31,"#,##0")))</f>
        <v/>
      </c>
    </row>
    <row r="32">
      <c r="B32" t="n">
        <v>592</v>
      </c>
      <c r="C32" t="n">
        <v>592.75</v>
      </c>
      <c r="D32" t="n">
        <v>13</v>
      </c>
      <c r="G32">
        <f>IF(29&lt;=$F$13,$F$14+(29-1)*$F$16,"")</f>
        <v/>
      </c>
      <c r="H32">
        <f>IF(29&gt;$F$13,"",SUMIFS($D$4:$D$203,$C$4:$C$203,"&gt;="&amp;$G$32,$C$4:$C$203,IF(29=$F$13,"&lt;=","&lt;")&amp;($G$32+$F$16)))</f>
        <v/>
      </c>
      <c r="I32">
        <f>IF(AND(MOD(18,$F$17)=0,MOD((INT(18/$F$17)+1)-1,$F$13/5)=0),INDEX($N$4:$N$53,(INT(18/$F$17)+1)),"")</f>
        <v/>
      </c>
      <c r="J32">
        <f>IF(MOD(18,$F$17)=$F$17-1,0,INDEX($H$4:$H$53,(INT(18/$F$17)+1)))</f>
        <v/>
      </c>
      <c r="K32">
        <f>IFERROR(IF(AND($M$18&gt;=$F$14,$M$18&lt;=$F$15),10+0.5+100*($M$18-$F$14)/($F$15-$F$14),NA()),NA())</f>
        <v/>
      </c>
      <c r="L32">
        <f>IF(ISNA($K$32),NA(),0)</f>
        <v/>
      </c>
      <c r="N32">
        <f>IF($G$32="","",IFERROR(IF(ABS($G$32)&gt;=1000000,ROUND($G$32/1000000,MAX(0,1-INT(LOG10($F$27/1000000))))&amp;"M",IF(ABS($G$32)&gt;=1000,ROUND($G$32/1000,MAX(0,1-INT(LOG10($F$27/1000))))&amp;"k",TEXT($G$32,"#,##0"))),TEXT($G$32,"#,##0")))</f>
        <v/>
      </c>
      <c r="O32" t="n">
        <v>8400</v>
      </c>
      <c r="P32" t="n">
        <v>8550</v>
      </c>
      <c r="Q32" t="n">
        <v>50</v>
      </c>
      <c r="T32">
        <f>IF(29&lt;=$S$13,$S$14+(29-1)*$S$16,"")</f>
        <v/>
      </c>
      <c r="U32">
        <f>IF(29&gt;$S$13,"",SUMIFS($Q$4:$Q$203,$P$4:$P$203,"&gt;="&amp;$T$32,$P$4:$P$203,IF(29=$S$13,"&lt;=","&lt;")&amp;($T$32+$S$16)))</f>
        <v/>
      </c>
      <c r="V32">
        <f>IF(AND(MOD(18,$S$17)=0,MOD((INT(18/$S$17)+1)-1,$S$13/5)=0),INDEX($AA$4:$AA$53,(INT(18/$S$17)+1)),"")</f>
        <v/>
      </c>
      <c r="W32">
        <f>IF(MOD(18,$S$17)=$S$17-1,0,INDEX($U$4:$U$53,(INT(18/$S$17)+1)))</f>
        <v/>
      </c>
      <c r="X32">
        <f>IFERROR(IF(AND($Z$18&gt;=$S$14,$Z$18&lt;=$S$15),10+0.5+100*($Z$18-$S$14)/($S$15-$S$14),NA()),NA())</f>
        <v/>
      </c>
      <c r="Y32">
        <f>IF(ISNA($X$32),NA(),0)</f>
        <v/>
      </c>
      <c r="AA32">
        <f>IF($T$32="","",IFERROR(IF(ABS($T$32)&gt;=1000000,ROUND($T$32/1000000,MAX(0,1-INT(LOG10($S$27/1000000))))&amp;"M",IF(ABS($T$32)&gt;=1000,ROUND($T$32/1000,MAX(0,1-INT(LOG10($S$27/1000))))&amp;"k",TEXT($T$32,"#,##0"))),TEXT($T$32,"#,##0")))</f>
        <v/>
      </c>
      <c r="AB32" t="n">
        <v>4200</v>
      </c>
      <c r="AC32" t="n">
        <v>4275</v>
      </c>
      <c r="AD32" t="n">
        <v>41</v>
      </c>
      <c r="AG32">
        <f>IF(29&lt;=$AF$13,$AF$14+(29-1)*$AF$16,"")</f>
        <v/>
      </c>
      <c r="AH32">
        <f>IF(29&gt;$AF$13,"",SUMIFS($AD$4:$AD$203,$AC$4:$AC$203,"&gt;="&amp;$AG$32,$AC$4:$AC$203,IF(29=$AF$13,"&lt;=","&lt;")&amp;($AG$32+$AF$16)))</f>
        <v/>
      </c>
      <c r="AI32">
        <f>IF(AND(MOD(18,$AF$17)=0,MOD((INT(18/$AF$17)+1)-1,$AF$13/5)=0),INDEX($AN$4:$AN$53,(INT(18/$AF$17)+1)),"")</f>
        <v/>
      </c>
      <c r="AJ32">
        <f>IF(MOD(18,$AF$17)=$AF$17-1,0,INDEX($AH$4:$AH$53,(INT(18/$AF$17)+1)))</f>
        <v/>
      </c>
      <c r="AK32">
        <f>IFERROR(IF(AND($AM$18&gt;=$AF$14,$AM$18&lt;=$AF$15),10+0.5+100*($AM$18-$AF$14)/($AF$15-$AF$14),NA()),NA())</f>
        <v/>
      </c>
      <c r="AL32">
        <f>IF(ISNA($AK$32),NA(),0)</f>
        <v/>
      </c>
      <c r="AN32">
        <f>IF($AG$32="","",IFERROR(IF(ABS($AG$32)&gt;=1000000,ROUND($AG$32/1000000,MAX(0,1-INT(LOG10($AF$27/1000000))))&amp;"M",IF(ABS($AG$32)&gt;=1000,ROUND($AG$32/1000,MAX(0,1-INT(LOG10($AF$27/1000))))&amp;"k",TEXT($AG$32,"#,##0"))),TEXT($AG$32,"#,##0")))</f>
        <v/>
      </c>
      <c r="AO32" t="n">
        <v>63</v>
      </c>
      <c r="AP32" t="n">
        <v>64.125</v>
      </c>
      <c r="AQ32" t="n">
        <v>52</v>
      </c>
      <c r="AT32">
        <f>IF(29&lt;=$AS$13,$AS$14+(29-1)*$AS$16,"")</f>
        <v/>
      </c>
      <c r="AU32">
        <f>IF(29&gt;$AS$13,"",SUMIFS($AQ$4:$AQ$203,$AP$4:$AP$203,"&gt;="&amp;$AT$32,$AP$4:$AP$203,IF(29=$AS$13,"&lt;=","&lt;")&amp;($AT$32+$AS$16)))</f>
        <v/>
      </c>
      <c r="AV32">
        <f>IF(AND(MOD(18,$AS$17)=0,MOD((INT(18/$AS$17)+1)-1,$AS$13/5)=0),INDEX($BA$4:$BA$53,(INT(18/$AS$17)+1)),"")</f>
        <v/>
      </c>
      <c r="AW32">
        <f>IF(MOD(18,$AS$17)=$AS$17-1,0,INDEX($AU$4:$AU$53,(INT(18/$AS$17)+1)))</f>
        <v/>
      </c>
      <c r="AX32">
        <f>IFERROR(IF(AND($AZ$18&gt;=$AS$14,$AZ$18&lt;=$AS$15),10+0.5+100*($AZ$18-$AS$14)/($AS$15-$AS$14),NA()),NA())</f>
        <v/>
      </c>
      <c r="AY32">
        <f>IF(ISNA($AX$32),NA(),0)</f>
        <v/>
      </c>
      <c r="BA32">
        <f>IF($AT$32="","",IFERROR(IF(ABS($AT$32)&gt;=1000000,ROUND($AT$32/1000000,MAX(0,1-INT(LOG10($AS$27/1000000))))&amp;"M",IF(ABS($AT$32)&gt;=1000,ROUND($AT$32/1000,MAX(0,1-INT(LOG10($AS$27/1000))))&amp;"k",TEXT($AT$32,"#,##0"))),TEXT($AT$32,"#,##0")))</f>
        <v/>
      </c>
    </row>
    <row r="33">
      <c r="B33" t="n">
        <v>593.5</v>
      </c>
      <c r="C33" t="n">
        <v>594.25</v>
      </c>
      <c r="D33" t="n">
        <v>8</v>
      </c>
      <c r="G33">
        <f>IF(30&lt;=$F$13,$F$14+(30-1)*$F$16,"")</f>
        <v/>
      </c>
      <c r="H33">
        <f>IF(30&gt;$F$13,"",SUMIFS($D$4:$D$203,$C$4:$C$203,"&gt;="&amp;$G$33,$C$4:$C$203,IF(30=$F$13,"&lt;=","&lt;")&amp;($G$33+$F$16)))</f>
        <v/>
      </c>
      <c r="I33">
        <f>IF(AND(MOD(19,$F$17)=0,MOD((INT(19/$F$17)+1)-1,$F$13/5)=0),INDEX($N$4:$N$53,(INT(19/$F$17)+1)),"")</f>
        <v/>
      </c>
      <c r="J33">
        <f>IF(MOD(19,$F$17)=$F$17-1,0,INDEX($H$4:$H$53,(INT(19/$F$17)+1)))</f>
        <v/>
      </c>
      <c r="K33">
        <f>IFERROR(IF(AND($M$18&gt;=$F$14,$M$18&lt;=$F$15),10+0.5+100*($M$18-$F$14)/($F$15-$F$14),NA()),NA())</f>
        <v/>
      </c>
      <c r="L33">
        <f>IF(ISNA($K$33),NA(),MAX($J$4:$J$123))</f>
        <v/>
      </c>
      <c r="N33">
        <f>IF($G$33="","",IFERROR(IF(ABS($G$33)&gt;=1000000,ROUND($G$33/1000000,MAX(0,1-INT(LOG10($F$27/1000000))))&amp;"M",IF(ABS($G$33)&gt;=1000,ROUND($G$33/1000,MAX(0,1-INT(LOG10($F$27/1000))))&amp;"k",TEXT($G$33,"#,##0"))),TEXT($G$33,"#,##0")))</f>
        <v/>
      </c>
      <c r="O33" t="n">
        <v>8700</v>
      </c>
      <c r="P33" t="n">
        <v>8850</v>
      </c>
      <c r="Q33" t="n">
        <v>42</v>
      </c>
      <c r="T33">
        <f>IF(30&lt;=$S$13,$S$14+(30-1)*$S$16,"")</f>
        <v/>
      </c>
      <c r="U33">
        <f>IF(30&gt;$S$13,"",SUMIFS($Q$4:$Q$203,$P$4:$P$203,"&gt;="&amp;$T$33,$P$4:$P$203,IF(30=$S$13,"&lt;=","&lt;")&amp;($T$33+$S$16)))</f>
        <v/>
      </c>
      <c r="V33">
        <f>IF(AND(MOD(19,$S$17)=0,MOD((INT(19/$S$17)+1)-1,$S$13/5)=0),INDEX($AA$4:$AA$53,(INT(19/$S$17)+1)),"")</f>
        <v/>
      </c>
      <c r="W33">
        <f>IF(MOD(19,$S$17)=$S$17-1,0,INDEX($U$4:$U$53,(INT(19/$S$17)+1)))</f>
        <v/>
      </c>
      <c r="X33">
        <f>IFERROR(IF(AND($Z$18&gt;=$S$14,$Z$18&lt;=$S$15),10+0.5+100*($Z$18-$S$14)/($S$15-$S$14),NA()),NA())</f>
        <v/>
      </c>
      <c r="Y33">
        <f>IF(ISNA($X$33),NA(),MAX($W$4:$W$123))</f>
        <v/>
      </c>
      <c r="AA33">
        <f>IF($T$33="","",IFERROR(IF(ABS($T$33)&gt;=1000000,ROUND($T$33/1000000,MAX(0,1-INT(LOG10($S$27/1000000))))&amp;"M",IF(ABS($T$33)&gt;=1000,ROUND($T$33/1000,MAX(0,1-INT(LOG10($S$27/1000))))&amp;"k",TEXT($T$33,"#,##0"))),TEXT($T$33,"#,##0")))</f>
        <v/>
      </c>
      <c r="AB33" t="n">
        <v>4350</v>
      </c>
      <c r="AC33" t="n">
        <v>4425</v>
      </c>
      <c r="AD33" t="n">
        <v>50</v>
      </c>
      <c r="AG33">
        <f>IF(30&lt;=$AF$13,$AF$14+(30-1)*$AF$16,"")</f>
        <v/>
      </c>
      <c r="AH33">
        <f>IF(30&gt;$AF$13,"",SUMIFS($AD$4:$AD$203,$AC$4:$AC$203,"&gt;="&amp;$AG$33,$AC$4:$AC$203,IF(30=$AF$13,"&lt;=","&lt;")&amp;($AG$33+$AF$16)))</f>
        <v/>
      </c>
      <c r="AI33">
        <f>IF(AND(MOD(19,$AF$17)=0,MOD((INT(19/$AF$17)+1)-1,$AF$13/5)=0),INDEX($AN$4:$AN$53,(INT(19/$AF$17)+1)),"")</f>
        <v/>
      </c>
      <c r="AJ33">
        <f>IF(MOD(19,$AF$17)=$AF$17-1,0,INDEX($AH$4:$AH$53,(INT(19/$AF$17)+1)))</f>
        <v/>
      </c>
      <c r="AK33">
        <f>IFERROR(IF(AND($AM$18&gt;=$AF$14,$AM$18&lt;=$AF$15),10+0.5+100*($AM$18-$AF$14)/($AF$15-$AF$14),NA()),NA())</f>
        <v/>
      </c>
      <c r="AL33">
        <f>IF(ISNA($AK$33),NA(),MAX($AJ$4:$AJ$123))</f>
        <v/>
      </c>
      <c r="AN33">
        <f>IF($AG$33="","",IFERROR(IF(ABS($AG$33)&gt;=1000000,ROUND($AG$33/1000000,MAX(0,1-INT(LOG10($AF$27/1000000))))&amp;"M",IF(ABS($AG$33)&gt;=1000,ROUND($AG$33/1000,MAX(0,1-INT(LOG10($AF$27/1000))))&amp;"k",TEXT($AG$33,"#,##0"))),TEXT($AG$33,"#,##0")))</f>
        <v/>
      </c>
      <c r="AO33" t="n">
        <v>65.25</v>
      </c>
      <c r="AP33" t="n">
        <v>66.375</v>
      </c>
      <c r="AQ33" t="n">
        <v>31</v>
      </c>
      <c r="AT33">
        <f>IF(30&lt;=$AS$13,$AS$14+(30-1)*$AS$16,"")</f>
        <v/>
      </c>
      <c r="AU33">
        <f>IF(30&gt;$AS$13,"",SUMIFS($AQ$4:$AQ$203,$AP$4:$AP$203,"&gt;="&amp;$AT$33,$AP$4:$AP$203,IF(30=$AS$13,"&lt;=","&lt;")&amp;($AT$33+$AS$16)))</f>
        <v/>
      </c>
      <c r="AV33">
        <f>IF(AND(MOD(19,$AS$17)=0,MOD((INT(19/$AS$17)+1)-1,$AS$13/5)=0),INDEX($BA$4:$BA$53,(INT(19/$AS$17)+1)),"")</f>
        <v/>
      </c>
      <c r="AW33">
        <f>IF(MOD(19,$AS$17)=$AS$17-1,0,INDEX($AU$4:$AU$53,(INT(19/$AS$17)+1)))</f>
        <v/>
      </c>
      <c r="AX33">
        <f>IFERROR(IF(AND($AZ$18&gt;=$AS$14,$AZ$18&lt;=$AS$15),10+0.5+100*($AZ$18-$AS$14)/($AS$15-$AS$14),NA()),NA())</f>
        <v/>
      </c>
      <c r="AY33">
        <f>IF(ISNA($AX$33),NA(),MAX($AW$4:$AW$123))</f>
        <v/>
      </c>
      <c r="BA33">
        <f>IF($AT$33="","",IFERROR(IF(ABS($AT$33)&gt;=1000000,ROUND($AT$33/1000000,MAX(0,1-INT(LOG10($AS$27/1000000))))&amp;"M",IF(ABS($AT$33)&gt;=1000,ROUND($AT$33/1000,MAX(0,1-INT(LOG10($AS$27/1000))))&amp;"k",TEXT($AT$33,"#,##0"))),TEXT($AT$33,"#,##0")))</f>
        <v/>
      </c>
    </row>
    <row r="34">
      <c r="B34" t="n">
        <v>595</v>
      </c>
      <c r="C34" t="n">
        <v>595.75</v>
      </c>
      <c r="D34" t="n">
        <v>17</v>
      </c>
      <c r="G34">
        <f>IF(31&lt;=$F$13,$F$14+(31-1)*$F$16,"")</f>
        <v/>
      </c>
      <c r="H34">
        <f>IF(31&gt;$F$13,"",SUMIFS($D$4:$D$203,$C$4:$C$203,"&gt;="&amp;$G$34,$C$4:$C$203,IF(31=$F$13,"&lt;=","&lt;")&amp;($G$34+$F$16)))</f>
        <v/>
      </c>
      <c r="I34">
        <f>IF(AND(MOD(20,$F$17)=0,MOD((INT(20/$F$17)+1)-1,$F$13/5)=0),INDEX($N$4:$N$53,(INT(20/$F$17)+1)),"")</f>
        <v/>
      </c>
      <c r="J34">
        <f>IF(MOD(20,$F$17)=$F$17-1,0,INDEX($H$4:$H$53,(INT(20/$F$17)+1)))</f>
        <v/>
      </c>
      <c r="K34">
        <f>IFERROR(IF(AND($M$19&gt;=$F$14,$M$19&lt;=$F$15),10+0.5+100*($M$19-$F$14)/($F$15-$F$14),NA()),NA())</f>
        <v/>
      </c>
      <c r="L34">
        <f>IF(ISNA($K$34),NA(),0)</f>
        <v/>
      </c>
      <c r="N34">
        <f>IF($G$34="","",IFERROR(IF(ABS($G$34)&gt;=1000000,ROUND($G$34/1000000,MAX(0,1-INT(LOG10($F$27/1000000))))&amp;"M",IF(ABS($G$34)&gt;=1000,ROUND($G$34/1000,MAX(0,1-INT(LOG10($F$27/1000))))&amp;"k",TEXT($G$34,"#,##0"))),TEXT($G$34,"#,##0")))</f>
        <v/>
      </c>
      <c r="O34" t="n">
        <v>9000</v>
      </c>
      <c r="P34" t="n">
        <v>9150</v>
      </c>
      <c r="Q34" t="n">
        <v>41</v>
      </c>
      <c r="T34">
        <f>IF(31&lt;=$S$13,$S$14+(31-1)*$S$16,"")</f>
        <v/>
      </c>
      <c r="U34">
        <f>IF(31&gt;$S$13,"",SUMIFS($Q$4:$Q$203,$P$4:$P$203,"&gt;="&amp;$T$34,$P$4:$P$203,IF(31=$S$13,"&lt;=","&lt;")&amp;($T$34+$S$16)))</f>
        <v/>
      </c>
      <c r="V34">
        <f>IF(AND(MOD(20,$S$17)=0,MOD((INT(20/$S$17)+1)-1,$S$13/5)=0),INDEX($AA$4:$AA$53,(INT(20/$S$17)+1)),"")</f>
        <v/>
      </c>
      <c r="W34">
        <f>IF(MOD(20,$S$17)=$S$17-1,0,INDEX($U$4:$U$53,(INT(20/$S$17)+1)))</f>
        <v/>
      </c>
      <c r="X34">
        <f>IFERROR(IF(AND($Z$19&gt;=$S$14,$Z$19&lt;=$S$15),10+0.5+100*($Z$19-$S$14)/($S$15-$S$14),NA()),NA())</f>
        <v/>
      </c>
      <c r="Y34">
        <f>IF(ISNA($X$34),NA(),0)</f>
        <v/>
      </c>
      <c r="AA34">
        <f>IF($T$34="","",IFERROR(IF(ABS($T$34)&gt;=1000000,ROUND($T$34/1000000,MAX(0,1-INT(LOG10($S$27/1000000))))&amp;"M",IF(ABS($T$34)&gt;=1000,ROUND($T$34/1000,MAX(0,1-INT(LOG10($S$27/1000))))&amp;"k",TEXT($T$34,"#,##0"))),TEXT($T$34,"#,##0")))</f>
        <v/>
      </c>
      <c r="AB34" t="n">
        <v>4500</v>
      </c>
      <c r="AC34" t="n">
        <v>4575</v>
      </c>
      <c r="AD34" t="n">
        <v>39</v>
      </c>
      <c r="AG34">
        <f>IF(31&lt;=$AF$13,$AF$14+(31-1)*$AF$16,"")</f>
        <v/>
      </c>
      <c r="AH34">
        <f>IF(31&gt;$AF$13,"",SUMIFS($AD$4:$AD$203,$AC$4:$AC$203,"&gt;="&amp;$AG$34,$AC$4:$AC$203,IF(31=$AF$13,"&lt;=","&lt;")&amp;($AG$34+$AF$16)))</f>
        <v/>
      </c>
      <c r="AI34">
        <f>IF(AND(MOD(20,$AF$17)=0,MOD((INT(20/$AF$17)+1)-1,$AF$13/5)=0),INDEX($AN$4:$AN$53,(INT(20/$AF$17)+1)),"")</f>
        <v/>
      </c>
      <c r="AJ34">
        <f>IF(MOD(20,$AF$17)=$AF$17-1,0,INDEX($AH$4:$AH$53,(INT(20/$AF$17)+1)))</f>
        <v/>
      </c>
      <c r="AK34">
        <f>IFERROR(IF(AND($AM$19&gt;=$AF$14,$AM$19&lt;=$AF$15),10+0.5+100*($AM$19-$AF$14)/($AF$15-$AF$14),NA()),NA())</f>
        <v/>
      </c>
      <c r="AL34">
        <f>IF(ISNA($AK$34),NA(),0)</f>
        <v/>
      </c>
      <c r="AN34">
        <f>IF($AG$34="","",IFERROR(IF(ABS($AG$34)&gt;=1000000,ROUND($AG$34/1000000,MAX(0,1-INT(LOG10($AF$27/1000000))))&amp;"M",IF(ABS($AG$34)&gt;=1000,ROUND($AG$34/1000,MAX(0,1-INT(LOG10($AF$27/1000))))&amp;"k",TEXT($AG$34,"#,##0"))),TEXT($AG$34,"#,##0")))</f>
        <v/>
      </c>
      <c r="AO34" t="n">
        <v>67.5</v>
      </c>
      <c r="AP34" t="n">
        <v>68.625</v>
      </c>
      <c r="AQ34" t="n">
        <v>33</v>
      </c>
      <c r="AT34">
        <f>IF(31&lt;=$AS$13,$AS$14+(31-1)*$AS$16,"")</f>
        <v/>
      </c>
      <c r="AU34">
        <f>IF(31&gt;$AS$13,"",SUMIFS($AQ$4:$AQ$203,$AP$4:$AP$203,"&gt;="&amp;$AT$34,$AP$4:$AP$203,IF(31=$AS$13,"&lt;=","&lt;")&amp;($AT$34+$AS$16)))</f>
        <v/>
      </c>
      <c r="AV34">
        <f>IF(AND(MOD(20,$AS$17)=0,MOD((INT(20/$AS$17)+1)-1,$AS$13/5)=0),INDEX($BA$4:$BA$53,(INT(20/$AS$17)+1)),"")</f>
        <v/>
      </c>
      <c r="AW34">
        <f>IF(MOD(20,$AS$17)=$AS$17-1,0,INDEX($AU$4:$AU$53,(INT(20/$AS$17)+1)))</f>
        <v/>
      </c>
      <c r="AX34">
        <f>IFERROR(IF(AND($AZ$19&gt;=$AS$14,$AZ$19&lt;=$AS$15),10+0.5+100*($AZ$19-$AS$14)/($AS$15-$AS$14),NA()),NA())</f>
        <v/>
      </c>
      <c r="AY34">
        <f>IF(ISNA($AX$34),NA(),0)</f>
        <v/>
      </c>
      <c r="BA34">
        <f>IF($AT$34="","",IFERROR(IF(ABS($AT$34)&gt;=1000000,ROUND($AT$34/1000000,MAX(0,1-INT(LOG10($AS$27/1000000))))&amp;"M",IF(ABS($AT$34)&gt;=1000,ROUND($AT$34/1000,MAX(0,1-INT(LOG10($AS$27/1000))))&amp;"k",TEXT($AT$34,"#,##0"))),TEXT($AT$34,"#,##0")))</f>
        <v/>
      </c>
    </row>
    <row r="35">
      <c r="B35" t="n">
        <v>596.5</v>
      </c>
      <c r="C35" t="n">
        <v>597.25</v>
      </c>
      <c r="D35" t="n">
        <v>9</v>
      </c>
      <c r="G35">
        <f>IF(32&lt;=$F$13,$F$14+(32-1)*$F$16,"")</f>
        <v/>
      </c>
      <c r="H35">
        <f>IF(32&gt;$F$13,"",SUMIFS($D$4:$D$203,$C$4:$C$203,"&gt;="&amp;$G$35,$C$4:$C$203,IF(32=$F$13,"&lt;=","&lt;")&amp;($G$35+$F$16)))</f>
        <v/>
      </c>
      <c r="I35">
        <f>IF(AND(MOD(21,$F$17)=0,MOD((INT(21/$F$17)+1)-1,$F$13/5)=0),INDEX($N$4:$N$53,(INT(21/$F$17)+1)),"")</f>
        <v/>
      </c>
      <c r="J35">
        <f>IF(MOD(21,$F$17)=$F$17-1,0,INDEX($H$4:$H$53,(INT(21/$F$17)+1)))</f>
        <v/>
      </c>
      <c r="K35">
        <f>IFERROR(IF(AND($M$19&gt;=$F$14,$M$19&lt;=$F$15),10+0.5+100*($M$19-$F$14)/($F$15-$F$14),NA()),NA())</f>
        <v/>
      </c>
      <c r="L35">
        <f>IF(ISNA($K$35),NA(),MAX($J$4:$J$123))</f>
        <v/>
      </c>
      <c r="N35">
        <f>IF($G$35="","",IFERROR(IF(ABS($G$35)&gt;=1000000,ROUND($G$35/1000000,MAX(0,1-INT(LOG10($F$27/1000000))))&amp;"M",IF(ABS($G$35)&gt;=1000,ROUND($G$35/1000,MAX(0,1-INT(LOG10($F$27/1000))))&amp;"k",TEXT($G$35,"#,##0"))),TEXT($G$35,"#,##0")))</f>
        <v/>
      </c>
      <c r="O35" t="n">
        <v>9300</v>
      </c>
      <c r="P35" t="n">
        <v>9450</v>
      </c>
      <c r="Q35" t="n">
        <v>46</v>
      </c>
      <c r="T35">
        <f>IF(32&lt;=$S$13,$S$14+(32-1)*$S$16,"")</f>
        <v/>
      </c>
      <c r="U35">
        <f>IF(32&gt;$S$13,"",SUMIFS($Q$4:$Q$203,$P$4:$P$203,"&gt;="&amp;$T$35,$P$4:$P$203,IF(32=$S$13,"&lt;=","&lt;")&amp;($T$35+$S$16)))</f>
        <v/>
      </c>
      <c r="V35">
        <f>IF(AND(MOD(21,$S$17)=0,MOD((INT(21/$S$17)+1)-1,$S$13/5)=0),INDEX($AA$4:$AA$53,(INT(21/$S$17)+1)),"")</f>
        <v/>
      </c>
      <c r="W35">
        <f>IF(MOD(21,$S$17)=$S$17-1,0,INDEX($U$4:$U$53,(INT(21/$S$17)+1)))</f>
        <v/>
      </c>
      <c r="X35">
        <f>IFERROR(IF(AND($Z$19&gt;=$S$14,$Z$19&lt;=$S$15),10+0.5+100*($Z$19-$S$14)/($S$15-$S$14),NA()),NA())</f>
        <v/>
      </c>
      <c r="Y35">
        <f>IF(ISNA($X$35),NA(),MAX($W$4:$W$123))</f>
        <v/>
      </c>
      <c r="AA35">
        <f>IF($T$35="","",IFERROR(IF(ABS($T$35)&gt;=1000000,ROUND($T$35/1000000,MAX(0,1-INT(LOG10($S$27/1000000))))&amp;"M",IF(ABS($T$35)&gt;=1000,ROUND($T$35/1000,MAX(0,1-INT(LOG10($S$27/1000))))&amp;"k",TEXT($T$35,"#,##0"))),TEXT($T$35,"#,##0")))</f>
        <v/>
      </c>
      <c r="AB35" t="n">
        <v>4650</v>
      </c>
      <c r="AC35" t="n">
        <v>4725</v>
      </c>
      <c r="AD35" t="n">
        <v>53</v>
      </c>
      <c r="AG35">
        <f>IF(32&lt;=$AF$13,$AF$14+(32-1)*$AF$16,"")</f>
        <v/>
      </c>
      <c r="AH35">
        <f>IF(32&gt;$AF$13,"",SUMIFS($AD$4:$AD$203,$AC$4:$AC$203,"&gt;="&amp;$AG$35,$AC$4:$AC$203,IF(32=$AF$13,"&lt;=","&lt;")&amp;($AG$35+$AF$16)))</f>
        <v/>
      </c>
      <c r="AI35">
        <f>IF(AND(MOD(21,$AF$17)=0,MOD((INT(21/$AF$17)+1)-1,$AF$13/5)=0),INDEX($AN$4:$AN$53,(INT(21/$AF$17)+1)),"")</f>
        <v/>
      </c>
      <c r="AJ35">
        <f>IF(MOD(21,$AF$17)=$AF$17-1,0,INDEX($AH$4:$AH$53,(INT(21/$AF$17)+1)))</f>
        <v/>
      </c>
      <c r="AK35">
        <f>IFERROR(IF(AND($AM$19&gt;=$AF$14,$AM$19&lt;=$AF$15),10+0.5+100*($AM$19-$AF$14)/($AF$15-$AF$14),NA()),NA())</f>
        <v/>
      </c>
      <c r="AL35">
        <f>IF(ISNA($AK$35),NA(),MAX($AJ$4:$AJ$123))</f>
        <v/>
      </c>
      <c r="AN35">
        <f>IF($AG$35="","",IFERROR(IF(ABS($AG$35)&gt;=1000000,ROUND($AG$35/1000000,MAX(0,1-INT(LOG10($AF$27/1000000))))&amp;"M",IF(ABS($AG$35)&gt;=1000,ROUND($AG$35/1000,MAX(0,1-INT(LOG10($AF$27/1000))))&amp;"k",TEXT($AG$35,"#,##0"))),TEXT($AG$35,"#,##0")))</f>
        <v/>
      </c>
      <c r="AO35" t="n">
        <v>69.75</v>
      </c>
      <c r="AP35" t="n">
        <v>70.875</v>
      </c>
      <c r="AQ35" t="n">
        <v>29</v>
      </c>
      <c r="AT35">
        <f>IF(32&lt;=$AS$13,$AS$14+(32-1)*$AS$16,"")</f>
        <v/>
      </c>
      <c r="AU35">
        <f>IF(32&gt;$AS$13,"",SUMIFS($AQ$4:$AQ$203,$AP$4:$AP$203,"&gt;="&amp;$AT$35,$AP$4:$AP$203,IF(32=$AS$13,"&lt;=","&lt;")&amp;($AT$35+$AS$16)))</f>
        <v/>
      </c>
      <c r="AV35">
        <f>IF(AND(MOD(21,$AS$17)=0,MOD((INT(21/$AS$17)+1)-1,$AS$13/5)=0),INDEX($BA$4:$BA$53,(INT(21/$AS$17)+1)),"")</f>
        <v/>
      </c>
      <c r="AW35">
        <f>IF(MOD(21,$AS$17)=$AS$17-1,0,INDEX($AU$4:$AU$53,(INT(21/$AS$17)+1)))</f>
        <v/>
      </c>
      <c r="AX35">
        <f>IFERROR(IF(AND($AZ$19&gt;=$AS$14,$AZ$19&lt;=$AS$15),10+0.5+100*($AZ$19-$AS$14)/($AS$15-$AS$14),NA()),NA())</f>
        <v/>
      </c>
      <c r="AY35">
        <f>IF(ISNA($AX$35),NA(),MAX($AW$4:$AW$123))</f>
        <v/>
      </c>
      <c r="BA35">
        <f>IF($AT$35="","",IFERROR(IF(ABS($AT$35)&gt;=1000000,ROUND($AT$35/1000000,MAX(0,1-INT(LOG10($AS$27/1000000))))&amp;"M",IF(ABS($AT$35)&gt;=1000,ROUND($AT$35/1000,MAX(0,1-INT(LOG10($AS$27/1000))))&amp;"k",TEXT($AT$35,"#,##0"))),TEXT($AT$35,"#,##0")))</f>
        <v/>
      </c>
    </row>
    <row r="36">
      <c r="B36" t="n">
        <v>598</v>
      </c>
      <c r="C36" t="n">
        <v>598.75</v>
      </c>
      <c r="D36" t="n">
        <v>25</v>
      </c>
      <c r="G36">
        <f>IF(33&lt;=$F$13,$F$14+(33-1)*$F$16,"")</f>
        <v/>
      </c>
      <c r="H36">
        <f>IF(33&gt;$F$13,"",SUMIFS($D$4:$D$203,$C$4:$C$203,"&gt;="&amp;$G$36,$C$4:$C$203,IF(33=$F$13,"&lt;=","&lt;")&amp;($G$36+$F$16)))</f>
        <v/>
      </c>
      <c r="I36">
        <f>IF(AND(MOD(22,$F$17)=0,MOD((INT(22/$F$17)+1)-1,$F$13/5)=0),INDEX($N$4:$N$53,(INT(22/$F$17)+1)),"")</f>
        <v/>
      </c>
      <c r="J36">
        <f>IF(MOD(22,$F$17)=$F$17-1,0,INDEX($H$4:$H$53,(INT(22/$F$17)+1)))</f>
        <v/>
      </c>
      <c r="K36">
        <f>IFERROR(IF(AND($M$20&gt;=$F$14,$M$20&lt;=$F$15),10+0.5+100*($M$20-$F$14)/($F$15-$F$14),NA()),NA())</f>
        <v/>
      </c>
      <c r="L36">
        <f>IF(ISNA($K$36),NA(),0)</f>
        <v/>
      </c>
      <c r="N36">
        <f>IF($G$36="","",IFERROR(IF(ABS($G$36)&gt;=1000000,ROUND($G$36/1000000,MAX(0,1-INT(LOG10($F$27/1000000))))&amp;"M",IF(ABS($G$36)&gt;=1000,ROUND($G$36/1000,MAX(0,1-INT(LOG10($F$27/1000))))&amp;"k",TEXT($G$36,"#,##0"))),TEXT($G$36,"#,##0")))</f>
        <v/>
      </c>
      <c r="O36" t="n">
        <v>9600</v>
      </c>
      <c r="P36" t="n">
        <v>9750</v>
      </c>
      <c r="Q36" t="n">
        <v>51</v>
      </c>
      <c r="T36">
        <f>IF(33&lt;=$S$13,$S$14+(33-1)*$S$16,"")</f>
        <v/>
      </c>
      <c r="U36">
        <f>IF(33&gt;$S$13,"",SUMIFS($Q$4:$Q$203,$P$4:$P$203,"&gt;="&amp;$T$36,$P$4:$P$203,IF(33=$S$13,"&lt;=","&lt;")&amp;($T$36+$S$16)))</f>
        <v/>
      </c>
      <c r="V36">
        <f>IF(AND(MOD(22,$S$17)=0,MOD((INT(22/$S$17)+1)-1,$S$13/5)=0),INDEX($AA$4:$AA$53,(INT(22/$S$17)+1)),"")</f>
        <v/>
      </c>
      <c r="W36">
        <f>IF(MOD(22,$S$17)=$S$17-1,0,INDEX($U$4:$U$53,(INT(22/$S$17)+1)))</f>
        <v/>
      </c>
      <c r="X36">
        <f>IFERROR(IF(AND($Z$20&gt;=$S$14,$Z$20&lt;=$S$15),10+0.5+100*($Z$20-$S$14)/($S$15-$S$14),NA()),NA())</f>
        <v/>
      </c>
      <c r="Y36">
        <f>IF(ISNA($X$36),NA(),0)</f>
        <v/>
      </c>
      <c r="AA36">
        <f>IF($T$36="","",IFERROR(IF(ABS($T$36)&gt;=1000000,ROUND($T$36/1000000,MAX(0,1-INT(LOG10($S$27/1000000))))&amp;"M",IF(ABS($T$36)&gt;=1000,ROUND($T$36/1000,MAX(0,1-INT(LOG10($S$27/1000))))&amp;"k",TEXT($T$36,"#,##0"))),TEXT($T$36,"#,##0")))</f>
        <v/>
      </c>
      <c r="AB36" t="n">
        <v>4800</v>
      </c>
      <c r="AC36" t="n">
        <v>4875</v>
      </c>
      <c r="AD36" t="n">
        <v>45</v>
      </c>
      <c r="AG36">
        <f>IF(33&lt;=$AF$13,$AF$14+(33-1)*$AF$16,"")</f>
        <v/>
      </c>
      <c r="AH36">
        <f>IF(33&gt;$AF$13,"",SUMIFS($AD$4:$AD$203,$AC$4:$AC$203,"&gt;="&amp;$AG$36,$AC$4:$AC$203,IF(33=$AF$13,"&lt;=","&lt;")&amp;($AG$36+$AF$16)))</f>
        <v/>
      </c>
      <c r="AI36">
        <f>IF(AND(MOD(22,$AF$17)=0,MOD((INT(22/$AF$17)+1)-1,$AF$13/5)=0),INDEX($AN$4:$AN$53,(INT(22/$AF$17)+1)),"")</f>
        <v/>
      </c>
      <c r="AJ36">
        <f>IF(MOD(22,$AF$17)=$AF$17-1,0,INDEX($AH$4:$AH$53,(INT(22/$AF$17)+1)))</f>
        <v/>
      </c>
      <c r="AK36">
        <f>IFERROR(IF(AND($AM$20&gt;=$AF$14,$AM$20&lt;=$AF$15),10+0.5+100*($AM$20-$AF$14)/($AF$15-$AF$14),NA()),NA())</f>
        <v/>
      </c>
      <c r="AL36">
        <f>IF(ISNA($AK$36),NA(),0)</f>
        <v/>
      </c>
      <c r="AN36">
        <f>IF($AG$36="","",IFERROR(IF(ABS($AG$36)&gt;=1000000,ROUND($AG$36/1000000,MAX(0,1-INT(LOG10($AF$27/1000000))))&amp;"M",IF(ABS($AG$36)&gt;=1000,ROUND($AG$36/1000,MAX(0,1-INT(LOG10($AF$27/1000))))&amp;"k",TEXT($AG$36,"#,##0"))),TEXT($AG$36,"#,##0")))</f>
        <v/>
      </c>
      <c r="AO36" t="n">
        <v>72</v>
      </c>
      <c r="AP36" t="n">
        <v>73.125</v>
      </c>
      <c r="AQ36" t="n">
        <v>45</v>
      </c>
      <c r="AT36">
        <f>IF(33&lt;=$AS$13,$AS$14+(33-1)*$AS$16,"")</f>
        <v/>
      </c>
      <c r="AU36">
        <f>IF(33&gt;$AS$13,"",SUMIFS($AQ$4:$AQ$203,$AP$4:$AP$203,"&gt;="&amp;$AT$36,$AP$4:$AP$203,IF(33=$AS$13,"&lt;=","&lt;")&amp;($AT$36+$AS$16)))</f>
        <v/>
      </c>
      <c r="AV36">
        <f>IF(AND(MOD(22,$AS$17)=0,MOD((INT(22/$AS$17)+1)-1,$AS$13/5)=0),INDEX($BA$4:$BA$53,(INT(22/$AS$17)+1)),"")</f>
        <v/>
      </c>
      <c r="AW36">
        <f>IF(MOD(22,$AS$17)=$AS$17-1,0,INDEX($AU$4:$AU$53,(INT(22/$AS$17)+1)))</f>
        <v/>
      </c>
      <c r="AX36">
        <f>IFERROR(IF(AND($AZ$20&gt;=$AS$14,$AZ$20&lt;=$AS$15),10+0.5+100*($AZ$20-$AS$14)/($AS$15-$AS$14),NA()),NA())</f>
        <v/>
      </c>
      <c r="AY36">
        <f>IF(ISNA($AX$36),NA(),0)</f>
        <v/>
      </c>
      <c r="BA36">
        <f>IF($AT$36="","",IFERROR(IF(ABS($AT$36)&gt;=1000000,ROUND($AT$36/1000000,MAX(0,1-INT(LOG10($AS$27/1000000))))&amp;"M",IF(ABS($AT$36)&gt;=1000,ROUND($AT$36/1000,MAX(0,1-INT(LOG10($AS$27/1000))))&amp;"k",TEXT($AT$36,"#,##0"))),TEXT($AT$36,"#,##0")))</f>
        <v/>
      </c>
    </row>
    <row r="37">
      <c r="B37" t="n">
        <v>599.5</v>
      </c>
      <c r="C37" t="n">
        <v>600.25</v>
      </c>
      <c r="D37" t="n">
        <v>12</v>
      </c>
      <c r="G37">
        <f>IF(34&lt;=$F$13,$F$14+(34-1)*$F$16,"")</f>
        <v/>
      </c>
      <c r="H37">
        <f>IF(34&gt;$F$13,"",SUMIFS($D$4:$D$203,$C$4:$C$203,"&gt;="&amp;$G$37,$C$4:$C$203,IF(34=$F$13,"&lt;=","&lt;")&amp;($G$37+$F$16)))</f>
        <v/>
      </c>
      <c r="I37">
        <f>IF(AND(MOD(23,$F$17)=0,MOD((INT(23/$F$17)+1)-1,$F$13/5)=0),INDEX($N$4:$N$53,(INT(23/$F$17)+1)),"")</f>
        <v/>
      </c>
      <c r="J37">
        <f>IF(MOD(23,$F$17)=$F$17-1,0,INDEX($H$4:$H$53,(INT(23/$F$17)+1)))</f>
        <v/>
      </c>
      <c r="K37">
        <f>IFERROR(IF(AND($M$20&gt;=$F$14,$M$20&lt;=$F$15),10+0.5+100*($M$20-$F$14)/($F$15-$F$14),NA()),NA())</f>
        <v/>
      </c>
      <c r="L37">
        <f>IF(ISNA($K$37),NA(),MAX($J$4:$J$123))</f>
        <v/>
      </c>
      <c r="N37">
        <f>IF($G$37="","",IFERROR(IF(ABS($G$37)&gt;=1000000,ROUND($G$37/1000000,MAX(0,1-INT(LOG10($F$27/1000000))))&amp;"M",IF(ABS($G$37)&gt;=1000,ROUND($G$37/1000,MAX(0,1-INT(LOG10($F$27/1000))))&amp;"k",TEXT($G$37,"#,##0"))),TEXT($G$37,"#,##0")))</f>
        <v/>
      </c>
      <c r="O37" t="n">
        <v>9900</v>
      </c>
      <c r="P37" t="n">
        <v>10050</v>
      </c>
      <c r="Q37" t="n">
        <v>58</v>
      </c>
      <c r="T37">
        <f>IF(34&lt;=$S$13,$S$14+(34-1)*$S$16,"")</f>
        <v/>
      </c>
      <c r="U37">
        <f>IF(34&gt;$S$13,"",SUMIFS($Q$4:$Q$203,$P$4:$P$203,"&gt;="&amp;$T$37,$P$4:$P$203,IF(34=$S$13,"&lt;=","&lt;")&amp;($T$37+$S$16)))</f>
        <v/>
      </c>
      <c r="V37">
        <f>IF(AND(MOD(23,$S$17)=0,MOD((INT(23/$S$17)+1)-1,$S$13/5)=0),INDEX($AA$4:$AA$53,(INT(23/$S$17)+1)),"")</f>
        <v/>
      </c>
      <c r="W37">
        <f>IF(MOD(23,$S$17)=$S$17-1,0,INDEX($U$4:$U$53,(INT(23/$S$17)+1)))</f>
        <v/>
      </c>
      <c r="X37">
        <f>IFERROR(IF(AND($Z$20&gt;=$S$14,$Z$20&lt;=$S$15),10+0.5+100*($Z$20-$S$14)/($S$15-$S$14),NA()),NA())</f>
        <v/>
      </c>
      <c r="Y37">
        <f>IF(ISNA($X$37),NA(),MAX($W$4:$W$123))</f>
        <v/>
      </c>
      <c r="AA37">
        <f>IF($T$37="","",IFERROR(IF(ABS($T$37)&gt;=1000000,ROUND($T$37/1000000,MAX(0,1-INT(LOG10($S$27/1000000))))&amp;"M",IF(ABS($T$37)&gt;=1000,ROUND($T$37/1000,MAX(0,1-INT(LOG10($S$27/1000))))&amp;"k",TEXT($T$37,"#,##0"))),TEXT($T$37,"#,##0")))</f>
        <v/>
      </c>
      <c r="AB37" t="n">
        <v>4950</v>
      </c>
      <c r="AC37" t="n">
        <v>5025</v>
      </c>
      <c r="AD37" t="n">
        <v>52</v>
      </c>
      <c r="AG37">
        <f>IF(34&lt;=$AF$13,$AF$14+(34-1)*$AF$16,"")</f>
        <v/>
      </c>
      <c r="AH37">
        <f>IF(34&gt;$AF$13,"",SUMIFS($AD$4:$AD$203,$AC$4:$AC$203,"&gt;="&amp;$AG$37,$AC$4:$AC$203,IF(34=$AF$13,"&lt;=","&lt;")&amp;($AG$37+$AF$16)))</f>
        <v/>
      </c>
      <c r="AI37">
        <f>IF(AND(MOD(23,$AF$17)=0,MOD((INT(23/$AF$17)+1)-1,$AF$13/5)=0),INDEX($AN$4:$AN$53,(INT(23/$AF$17)+1)),"")</f>
        <v/>
      </c>
      <c r="AJ37">
        <f>IF(MOD(23,$AF$17)=$AF$17-1,0,INDEX($AH$4:$AH$53,(INT(23/$AF$17)+1)))</f>
        <v/>
      </c>
      <c r="AK37">
        <f>IFERROR(IF(AND($AM$20&gt;=$AF$14,$AM$20&lt;=$AF$15),10+0.5+100*($AM$20-$AF$14)/($AF$15-$AF$14),NA()),NA())</f>
        <v/>
      </c>
      <c r="AL37">
        <f>IF(ISNA($AK$37),NA(),MAX($AJ$4:$AJ$123))</f>
        <v/>
      </c>
      <c r="AN37">
        <f>IF($AG$37="","",IFERROR(IF(ABS($AG$37)&gt;=1000000,ROUND($AG$37/1000000,MAX(0,1-INT(LOG10($AF$27/1000000))))&amp;"M",IF(ABS($AG$37)&gt;=1000,ROUND($AG$37/1000,MAX(0,1-INT(LOG10($AF$27/1000))))&amp;"k",TEXT($AG$37,"#,##0"))),TEXT($AG$37,"#,##0")))</f>
        <v/>
      </c>
      <c r="AO37" t="n">
        <v>74.25</v>
      </c>
      <c r="AP37" t="n">
        <v>75.375</v>
      </c>
      <c r="AQ37" t="n">
        <v>33</v>
      </c>
      <c r="AT37">
        <f>IF(34&lt;=$AS$13,$AS$14+(34-1)*$AS$16,"")</f>
        <v/>
      </c>
      <c r="AU37">
        <f>IF(34&gt;$AS$13,"",SUMIFS($AQ$4:$AQ$203,$AP$4:$AP$203,"&gt;="&amp;$AT$37,$AP$4:$AP$203,IF(34=$AS$13,"&lt;=","&lt;")&amp;($AT$37+$AS$16)))</f>
        <v/>
      </c>
      <c r="AV37">
        <f>IF(AND(MOD(23,$AS$17)=0,MOD((INT(23/$AS$17)+1)-1,$AS$13/5)=0),INDEX($BA$4:$BA$53,(INT(23/$AS$17)+1)),"")</f>
        <v/>
      </c>
      <c r="AW37">
        <f>IF(MOD(23,$AS$17)=$AS$17-1,0,INDEX($AU$4:$AU$53,(INT(23/$AS$17)+1)))</f>
        <v/>
      </c>
      <c r="AX37">
        <f>IFERROR(IF(AND($AZ$20&gt;=$AS$14,$AZ$20&lt;=$AS$15),10+0.5+100*($AZ$20-$AS$14)/($AS$15-$AS$14),NA()),NA())</f>
        <v/>
      </c>
      <c r="AY37">
        <f>IF(ISNA($AX$37),NA(),MAX($AW$4:$AW$123))</f>
        <v/>
      </c>
      <c r="BA37">
        <f>IF($AT$37="","",IFERROR(IF(ABS($AT$37)&gt;=1000000,ROUND($AT$37/1000000,MAX(0,1-INT(LOG10($AS$27/1000000))))&amp;"M",IF(ABS($AT$37)&gt;=1000,ROUND($AT$37/1000,MAX(0,1-INT(LOG10($AS$27/1000))))&amp;"k",TEXT($AT$37,"#,##0"))),TEXT($AT$37,"#,##0")))</f>
        <v/>
      </c>
    </row>
    <row r="38">
      <c r="B38" t="n">
        <v>601</v>
      </c>
      <c r="C38" t="n">
        <v>601.75</v>
      </c>
      <c r="D38" t="n">
        <v>25</v>
      </c>
      <c r="G38">
        <f>IF(35&lt;=$F$13,$F$14+(35-1)*$F$16,"")</f>
        <v/>
      </c>
      <c r="H38">
        <f>IF(35&gt;$F$13,"",SUMIFS($D$4:$D$203,$C$4:$C$203,"&gt;="&amp;$G$38,$C$4:$C$203,IF(35=$F$13,"&lt;=","&lt;")&amp;($G$38+$F$16)))</f>
        <v/>
      </c>
      <c r="I38">
        <f>IF(AND(MOD(24,$F$17)=0,MOD((INT(24/$F$17)+1)-1,$F$13/5)=0),INDEX($N$4:$N$53,(INT(24/$F$17)+1)),"")</f>
        <v/>
      </c>
      <c r="J38">
        <f>IF(MOD(24,$F$17)=$F$17-1,0,INDEX($H$4:$H$53,(INT(24/$F$17)+1)))</f>
        <v/>
      </c>
      <c r="K38">
        <f>IFERROR(IF(AND($M$21&gt;=$F$14,$M$21&lt;=$F$15),10+0.5+100*($M$21-$F$14)/($F$15-$F$14),NA()),NA())</f>
        <v/>
      </c>
      <c r="L38">
        <f>IF(ISNA($K$38),NA(),0)</f>
        <v/>
      </c>
      <c r="N38">
        <f>IF($G$38="","",IFERROR(IF(ABS($G$38)&gt;=1000000,ROUND($G$38/1000000,MAX(0,1-INT(LOG10($F$27/1000000))))&amp;"M",IF(ABS($G$38)&gt;=1000,ROUND($G$38/1000,MAX(0,1-INT(LOG10($F$27/1000))))&amp;"k",TEXT($G$38,"#,##0"))),TEXT($G$38,"#,##0")))</f>
        <v/>
      </c>
      <c r="O38" t="n">
        <v>10200</v>
      </c>
      <c r="P38" t="n">
        <v>10350</v>
      </c>
      <c r="Q38" t="n">
        <v>40</v>
      </c>
      <c r="T38">
        <f>IF(35&lt;=$S$13,$S$14+(35-1)*$S$16,"")</f>
        <v/>
      </c>
      <c r="U38">
        <f>IF(35&gt;$S$13,"",SUMIFS($Q$4:$Q$203,$P$4:$P$203,"&gt;="&amp;$T$38,$P$4:$P$203,IF(35=$S$13,"&lt;=","&lt;")&amp;($T$38+$S$16)))</f>
        <v/>
      </c>
      <c r="V38">
        <f>IF(AND(MOD(24,$S$17)=0,MOD((INT(24/$S$17)+1)-1,$S$13/5)=0),INDEX($AA$4:$AA$53,(INT(24/$S$17)+1)),"")</f>
        <v/>
      </c>
      <c r="W38">
        <f>IF(MOD(24,$S$17)=$S$17-1,0,INDEX($U$4:$U$53,(INT(24/$S$17)+1)))</f>
        <v/>
      </c>
      <c r="X38">
        <f>IFERROR(IF(AND($Z$21&gt;=$S$14,$Z$21&lt;=$S$15),10+0.5+100*($Z$21-$S$14)/($S$15-$S$14),NA()),NA())</f>
        <v/>
      </c>
      <c r="Y38">
        <f>IF(ISNA($X$38),NA(),0)</f>
        <v/>
      </c>
      <c r="AA38">
        <f>IF($T$38="","",IFERROR(IF(ABS($T$38)&gt;=1000000,ROUND($T$38/1000000,MAX(0,1-INT(LOG10($S$27/1000000))))&amp;"M",IF(ABS($T$38)&gt;=1000,ROUND($T$38/1000,MAX(0,1-INT(LOG10($S$27/1000))))&amp;"k",TEXT($T$38,"#,##0"))),TEXT($T$38,"#,##0")))</f>
        <v/>
      </c>
      <c r="AB38" t="n">
        <v>5100</v>
      </c>
      <c r="AC38" t="n">
        <v>5175</v>
      </c>
      <c r="AD38" t="n">
        <v>46</v>
      </c>
      <c r="AG38">
        <f>IF(35&lt;=$AF$13,$AF$14+(35-1)*$AF$16,"")</f>
        <v/>
      </c>
      <c r="AH38">
        <f>IF(35&gt;$AF$13,"",SUMIFS($AD$4:$AD$203,$AC$4:$AC$203,"&gt;="&amp;$AG$38,$AC$4:$AC$203,IF(35=$AF$13,"&lt;=","&lt;")&amp;($AG$38+$AF$16)))</f>
        <v/>
      </c>
      <c r="AI38">
        <f>IF(AND(MOD(24,$AF$17)=0,MOD((INT(24/$AF$17)+1)-1,$AF$13/5)=0),INDEX($AN$4:$AN$53,(INT(24/$AF$17)+1)),"")</f>
        <v/>
      </c>
      <c r="AJ38">
        <f>IF(MOD(24,$AF$17)=$AF$17-1,0,INDEX($AH$4:$AH$53,(INT(24/$AF$17)+1)))</f>
        <v/>
      </c>
      <c r="AK38">
        <f>IFERROR(IF(AND($AM$21&gt;=$AF$14,$AM$21&lt;=$AF$15),10+0.5+100*($AM$21-$AF$14)/($AF$15-$AF$14),NA()),NA())</f>
        <v/>
      </c>
      <c r="AL38">
        <f>IF(ISNA($AK$38),NA(),0)</f>
        <v/>
      </c>
      <c r="AN38">
        <f>IF($AG$38="","",IFERROR(IF(ABS($AG$38)&gt;=1000000,ROUND($AG$38/1000000,MAX(0,1-INT(LOG10($AF$27/1000000))))&amp;"M",IF(ABS($AG$38)&gt;=1000,ROUND($AG$38/1000,MAX(0,1-INT(LOG10($AF$27/1000))))&amp;"k",TEXT($AG$38,"#,##0"))),TEXT($AG$38,"#,##0")))</f>
        <v/>
      </c>
      <c r="AO38" t="n">
        <v>76.5</v>
      </c>
      <c r="AP38" t="n">
        <v>77.625</v>
      </c>
      <c r="AQ38" t="n">
        <v>33</v>
      </c>
      <c r="AT38">
        <f>IF(35&lt;=$AS$13,$AS$14+(35-1)*$AS$16,"")</f>
        <v/>
      </c>
      <c r="AU38">
        <f>IF(35&gt;$AS$13,"",SUMIFS($AQ$4:$AQ$203,$AP$4:$AP$203,"&gt;="&amp;$AT$38,$AP$4:$AP$203,IF(35=$AS$13,"&lt;=","&lt;")&amp;($AT$38+$AS$16)))</f>
        <v/>
      </c>
      <c r="AV38">
        <f>IF(AND(MOD(24,$AS$17)=0,MOD((INT(24/$AS$17)+1)-1,$AS$13/5)=0),INDEX($BA$4:$BA$53,(INT(24/$AS$17)+1)),"")</f>
        <v/>
      </c>
      <c r="AW38">
        <f>IF(MOD(24,$AS$17)=$AS$17-1,0,INDEX($AU$4:$AU$53,(INT(24/$AS$17)+1)))</f>
        <v/>
      </c>
      <c r="AX38">
        <f>IFERROR(IF(AND($AZ$21&gt;=$AS$14,$AZ$21&lt;=$AS$15),10+0.5+100*($AZ$21-$AS$14)/($AS$15-$AS$14),NA()),NA())</f>
        <v/>
      </c>
      <c r="AY38">
        <f>IF(ISNA($AX$38),NA(),0)</f>
        <v/>
      </c>
      <c r="BA38">
        <f>IF($AT$38="","",IFERROR(IF(ABS($AT$38)&gt;=1000000,ROUND($AT$38/1000000,MAX(0,1-INT(LOG10($AS$27/1000000))))&amp;"M",IF(ABS($AT$38)&gt;=1000,ROUND($AT$38/1000,MAX(0,1-INT(LOG10($AS$27/1000))))&amp;"k",TEXT($AT$38,"#,##0"))),TEXT($AT$38,"#,##0")))</f>
        <v/>
      </c>
    </row>
    <row r="39">
      <c r="B39" t="n">
        <v>602.5</v>
      </c>
      <c r="C39" t="n">
        <v>603.25</v>
      </c>
      <c r="D39" t="n">
        <v>12</v>
      </c>
      <c r="G39">
        <f>IF(36&lt;=$F$13,$F$14+(36-1)*$F$16,"")</f>
        <v/>
      </c>
      <c r="H39">
        <f>IF(36&gt;$F$13,"",SUMIFS($D$4:$D$203,$C$4:$C$203,"&gt;="&amp;$G$39,$C$4:$C$203,IF(36=$F$13,"&lt;=","&lt;")&amp;($G$39+$F$16)))</f>
        <v/>
      </c>
      <c r="I39">
        <f>IF(AND(MOD(25,$F$17)=0,MOD((INT(25/$F$17)+1)-1,$F$13/5)=0),INDEX($N$4:$N$53,(INT(25/$F$17)+1)),"")</f>
        <v/>
      </c>
      <c r="J39">
        <f>IF(MOD(25,$F$17)=$F$17-1,0,INDEX($H$4:$H$53,(INT(25/$F$17)+1)))</f>
        <v/>
      </c>
      <c r="K39">
        <f>IFERROR(IF(AND($M$21&gt;=$F$14,$M$21&lt;=$F$15),10+0.5+100*($M$21-$F$14)/($F$15-$F$14),NA()),NA())</f>
        <v/>
      </c>
      <c r="L39">
        <f>IF(ISNA($K$39),NA(),MAX($J$4:$J$123))</f>
        <v/>
      </c>
      <c r="N39">
        <f>IF($G$39="","",IFERROR(IF(ABS($G$39)&gt;=1000000,ROUND($G$39/1000000,MAX(0,1-INT(LOG10($F$27/1000000))))&amp;"M",IF(ABS($G$39)&gt;=1000,ROUND($G$39/1000,MAX(0,1-INT(LOG10($F$27/1000))))&amp;"k",TEXT($G$39,"#,##0"))),TEXT($G$39,"#,##0")))</f>
        <v/>
      </c>
      <c r="O39" t="n">
        <v>10500</v>
      </c>
      <c r="P39" t="n">
        <v>10650</v>
      </c>
      <c r="Q39" t="n">
        <v>56</v>
      </c>
      <c r="T39">
        <f>IF(36&lt;=$S$13,$S$14+(36-1)*$S$16,"")</f>
        <v/>
      </c>
      <c r="U39">
        <f>IF(36&gt;$S$13,"",SUMIFS($Q$4:$Q$203,$P$4:$P$203,"&gt;="&amp;$T$39,$P$4:$P$203,IF(36=$S$13,"&lt;=","&lt;")&amp;($T$39+$S$16)))</f>
        <v/>
      </c>
      <c r="V39">
        <f>IF(AND(MOD(25,$S$17)=0,MOD((INT(25/$S$17)+1)-1,$S$13/5)=0),INDEX($AA$4:$AA$53,(INT(25/$S$17)+1)),"")</f>
        <v/>
      </c>
      <c r="W39">
        <f>IF(MOD(25,$S$17)=$S$17-1,0,INDEX($U$4:$U$53,(INT(25/$S$17)+1)))</f>
        <v/>
      </c>
      <c r="X39">
        <f>IFERROR(IF(AND($Z$21&gt;=$S$14,$Z$21&lt;=$S$15),10+0.5+100*($Z$21-$S$14)/($S$15-$S$14),NA()),NA())</f>
        <v/>
      </c>
      <c r="Y39">
        <f>IF(ISNA($X$39),NA(),MAX($W$4:$W$123))</f>
        <v/>
      </c>
      <c r="AA39">
        <f>IF($T$39="","",IFERROR(IF(ABS($T$39)&gt;=1000000,ROUND($T$39/1000000,MAX(0,1-INT(LOG10($S$27/1000000))))&amp;"M",IF(ABS($T$39)&gt;=1000,ROUND($T$39/1000,MAX(0,1-INT(LOG10($S$27/1000))))&amp;"k",TEXT($T$39,"#,##0"))),TEXT($T$39,"#,##0")))</f>
        <v/>
      </c>
      <c r="AB39" t="n">
        <v>5250</v>
      </c>
      <c r="AC39" t="n">
        <v>5325</v>
      </c>
      <c r="AD39" t="n">
        <v>54</v>
      </c>
      <c r="AG39">
        <f>IF(36&lt;=$AF$13,$AF$14+(36-1)*$AF$16,"")</f>
        <v/>
      </c>
      <c r="AH39">
        <f>IF(36&gt;$AF$13,"",SUMIFS($AD$4:$AD$203,$AC$4:$AC$203,"&gt;="&amp;$AG$39,$AC$4:$AC$203,IF(36=$AF$13,"&lt;=","&lt;")&amp;($AG$39+$AF$16)))</f>
        <v/>
      </c>
      <c r="AI39">
        <f>IF(AND(MOD(25,$AF$17)=0,MOD((INT(25/$AF$17)+1)-1,$AF$13/5)=0),INDEX($AN$4:$AN$53,(INT(25/$AF$17)+1)),"")</f>
        <v/>
      </c>
      <c r="AJ39">
        <f>IF(MOD(25,$AF$17)=$AF$17-1,0,INDEX($AH$4:$AH$53,(INT(25/$AF$17)+1)))</f>
        <v/>
      </c>
      <c r="AK39">
        <f>IFERROR(IF(AND($AM$21&gt;=$AF$14,$AM$21&lt;=$AF$15),10+0.5+100*($AM$21-$AF$14)/($AF$15-$AF$14),NA()),NA())</f>
        <v/>
      </c>
      <c r="AL39">
        <f>IF(ISNA($AK$39),NA(),MAX($AJ$4:$AJ$123))</f>
        <v/>
      </c>
      <c r="AN39">
        <f>IF($AG$39="","",IFERROR(IF(ABS($AG$39)&gt;=1000000,ROUND($AG$39/1000000,MAX(0,1-INT(LOG10($AF$27/1000000))))&amp;"M",IF(ABS($AG$39)&gt;=1000,ROUND($AG$39/1000,MAX(0,1-INT(LOG10($AF$27/1000))))&amp;"k",TEXT($AG$39,"#,##0"))),TEXT($AG$39,"#,##0")))</f>
        <v/>
      </c>
      <c r="AO39" t="n">
        <v>78.75</v>
      </c>
      <c r="AP39" t="n">
        <v>79.875</v>
      </c>
      <c r="AQ39" t="n">
        <v>31</v>
      </c>
      <c r="AT39">
        <f>IF(36&lt;=$AS$13,$AS$14+(36-1)*$AS$16,"")</f>
        <v/>
      </c>
      <c r="AU39">
        <f>IF(36&gt;$AS$13,"",SUMIFS($AQ$4:$AQ$203,$AP$4:$AP$203,"&gt;="&amp;$AT$39,$AP$4:$AP$203,IF(36=$AS$13,"&lt;=","&lt;")&amp;($AT$39+$AS$16)))</f>
        <v/>
      </c>
      <c r="AV39">
        <f>IF(AND(MOD(25,$AS$17)=0,MOD((INT(25/$AS$17)+1)-1,$AS$13/5)=0),INDEX($BA$4:$BA$53,(INT(25/$AS$17)+1)),"")</f>
        <v/>
      </c>
      <c r="AW39">
        <f>IF(MOD(25,$AS$17)=$AS$17-1,0,INDEX($AU$4:$AU$53,(INT(25/$AS$17)+1)))</f>
        <v/>
      </c>
      <c r="AX39">
        <f>IFERROR(IF(AND($AZ$21&gt;=$AS$14,$AZ$21&lt;=$AS$15),10+0.5+100*($AZ$21-$AS$14)/($AS$15-$AS$14),NA()),NA())</f>
        <v/>
      </c>
      <c r="AY39">
        <f>IF(ISNA($AX$39),NA(),MAX($AW$4:$AW$123))</f>
        <v/>
      </c>
      <c r="BA39">
        <f>IF($AT$39="","",IFERROR(IF(ABS($AT$39)&gt;=1000000,ROUND($AT$39/1000000,MAX(0,1-INT(LOG10($AS$27/1000000))))&amp;"M",IF(ABS($AT$39)&gt;=1000,ROUND($AT$39/1000,MAX(0,1-INT(LOG10($AS$27/1000))))&amp;"k",TEXT($AT$39,"#,##0"))),TEXT($AT$39,"#,##0")))</f>
        <v/>
      </c>
    </row>
    <row r="40">
      <c r="B40" t="n">
        <v>604</v>
      </c>
      <c r="C40" t="n">
        <v>604.75</v>
      </c>
      <c r="D40" t="n">
        <v>24</v>
      </c>
      <c r="G40">
        <f>IF(37&lt;=$F$13,$F$14+(37-1)*$F$16,"")</f>
        <v/>
      </c>
      <c r="H40">
        <f>IF(37&gt;$F$13,"",SUMIFS($D$4:$D$203,$C$4:$C$203,"&gt;="&amp;$G$40,$C$4:$C$203,IF(37=$F$13,"&lt;=","&lt;")&amp;($G$40+$F$16)))</f>
        <v/>
      </c>
      <c r="I40">
        <f>IF(AND(MOD(26,$F$17)=0,MOD((INT(26/$F$17)+1)-1,$F$13/5)=0),INDEX($N$4:$N$53,(INT(26/$F$17)+1)),"")</f>
        <v/>
      </c>
      <c r="J40">
        <f>IF(MOD(26,$F$17)=$F$17-1,0,INDEX($H$4:$H$53,(INT(26/$F$17)+1)))</f>
        <v/>
      </c>
      <c r="K40">
        <f>IFERROR(IF(AND($M$22&gt;=$F$14,$M$22&lt;=$F$15),10+0.5+100*($M$22-$F$14)/($F$15-$F$14),NA()),NA())</f>
        <v/>
      </c>
      <c r="L40">
        <f>IF(ISNA($K$40),NA(),0)</f>
        <v/>
      </c>
      <c r="N40">
        <f>IF($G$40="","",IFERROR(IF(ABS($G$40)&gt;=1000000,ROUND($G$40/1000000,MAX(0,1-INT(LOG10($F$27/1000000))))&amp;"M",IF(ABS($G$40)&gt;=1000,ROUND($G$40/1000,MAX(0,1-INT(LOG10($F$27/1000))))&amp;"k",TEXT($G$40,"#,##0"))),TEXT($G$40,"#,##0")))</f>
        <v/>
      </c>
      <c r="O40" t="n">
        <v>10800</v>
      </c>
      <c r="P40" t="n">
        <v>10950</v>
      </c>
      <c r="Q40" t="n">
        <v>41</v>
      </c>
      <c r="T40">
        <f>IF(37&lt;=$S$13,$S$14+(37-1)*$S$16,"")</f>
        <v/>
      </c>
      <c r="U40">
        <f>IF(37&gt;$S$13,"",SUMIFS($Q$4:$Q$203,$P$4:$P$203,"&gt;="&amp;$T$40,$P$4:$P$203,IF(37=$S$13,"&lt;=","&lt;")&amp;($T$40+$S$16)))</f>
        <v/>
      </c>
      <c r="V40">
        <f>IF(AND(MOD(26,$S$17)=0,MOD((INT(26/$S$17)+1)-1,$S$13/5)=0),INDEX($AA$4:$AA$53,(INT(26/$S$17)+1)),"")</f>
        <v/>
      </c>
      <c r="W40">
        <f>IF(MOD(26,$S$17)=$S$17-1,0,INDEX($U$4:$U$53,(INT(26/$S$17)+1)))</f>
        <v/>
      </c>
      <c r="X40">
        <f>IFERROR(IF(AND($Z$22&gt;=$S$14,$Z$22&lt;=$S$15),10+0.5+100*($Z$22-$S$14)/($S$15-$S$14),NA()),NA())</f>
        <v/>
      </c>
      <c r="Y40">
        <f>IF(ISNA($X$40),NA(),0)</f>
        <v/>
      </c>
      <c r="AA40">
        <f>IF($T$40="","",IFERROR(IF(ABS($T$40)&gt;=1000000,ROUND($T$40/1000000,MAX(0,1-INT(LOG10($S$27/1000000))))&amp;"M",IF(ABS($T$40)&gt;=1000,ROUND($T$40/1000,MAX(0,1-INT(LOG10($S$27/1000))))&amp;"k",TEXT($T$40,"#,##0"))),TEXT($T$40,"#,##0")))</f>
        <v/>
      </c>
      <c r="AB40" t="n">
        <v>5400</v>
      </c>
      <c r="AC40" t="n">
        <v>5475</v>
      </c>
      <c r="AD40" t="n">
        <v>56</v>
      </c>
      <c r="AG40">
        <f>IF(37&lt;=$AF$13,$AF$14+(37-1)*$AF$16,"")</f>
        <v/>
      </c>
      <c r="AH40">
        <f>IF(37&gt;$AF$13,"",SUMIFS($AD$4:$AD$203,$AC$4:$AC$203,"&gt;="&amp;$AG$40,$AC$4:$AC$203,IF(37=$AF$13,"&lt;=","&lt;")&amp;($AG$40+$AF$16)))</f>
        <v/>
      </c>
      <c r="AI40">
        <f>IF(AND(MOD(26,$AF$17)=0,MOD((INT(26/$AF$17)+1)-1,$AF$13/5)=0),INDEX($AN$4:$AN$53,(INT(26/$AF$17)+1)),"")</f>
        <v/>
      </c>
      <c r="AJ40">
        <f>IF(MOD(26,$AF$17)=$AF$17-1,0,INDEX($AH$4:$AH$53,(INT(26/$AF$17)+1)))</f>
        <v/>
      </c>
      <c r="AK40">
        <f>IFERROR(IF(AND($AM$22&gt;=$AF$14,$AM$22&lt;=$AF$15),10+0.5+100*($AM$22-$AF$14)/($AF$15-$AF$14),NA()),NA())</f>
        <v/>
      </c>
      <c r="AL40">
        <f>IF(ISNA($AK$40),NA(),0)</f>
        <v/>
      </c>
      <c r="AN40">
        <f>IF($AG$40="","",IFERROR(IF(ABS($AG$40)&gt;=1000000,ROUND($AG$40/1000000,MAX(0,1-INT(LOG10($AF$27/1000000))))&amp;"M",IF(ABS($AG$40)&gt;=1000,ROUND($AG$40/1000,MAX(0,1-INT(LOG10($AF$27/1000))))&amp;"k",TEXT($AG$40,"#,##0"))),TEXT($AG$40,"#,##0")))</f>
        <v/>
      </c>
      <c r="AO40" t="n">
        <v>81</v>
      </c>
      <c r="AP40" t="n">
        <v>82.125</v>
      </c>
      <c r="AQ40" t="n">
        <v>45</v>
      </c>
      <c r="AT40">
        <f>IF(37&lt;=$AS$13,$AS$14+(37-1)*$AS$16,"")</f>
        <v/>
      </c>
      <c r="AU40">
        <f>IF(37&gt;$AS$13,"",SUMIFS($AQ$4:$AQ$203,$AP$4:$AP$203,"&gt;="&amp;$AT$40,$AP$4:$AP$203,IF(37=$AS$13,"&lt;=","&lt;")&amp;($AT$40+$AS$16)))</f>
        <v/>
      </c>
      <c r="AV40">
        <f>IF(AND(MOD(26,$AS$17)=0,MOD((INT(26/$AS$17)+1)-1,$AS$13/5)=0),INDEX($BA$4:$BA$53,(INT(26/$AS$17)+1)),"")</f>
        <v/>
      </c>
      <c r="AW40">
        <f>IF(MOD(26,$AS$17)=$AS$17-1,0,INDEX($AU$4:$AU$53,(INT(26/$AS$17)+1)))</f>
        <v/>
      </c>
      <c r="AX40">
        <f>IFERROR(IF(AND($AZ$22&gt;=$AS$14,$AZ$22&lt;=$AS$15),10+0.5+100*($AZ$22-$AS$14)/($AS$15-$AS$14),NA()),NA())</f>
        <v/>
      </c>
      <c r="AY40">
        <f>IF(ISNA($AX$40),NA(),0)</f>
        <v/>
      </c>
      <c r="BA40">
        <f>IF($AT$40="","",IFERROR(IF(ABS($AT$40)&gt;=1000000,ROUND($AT$40/1000000,MAX(0,1-INT(LOG10($AS$27/1000000))))&amp;"M",IF(ABS($AT$40)&gt;=1000,ROUND($AT$40/1000,MAX(0,1-INT(LOG10($AS$27/1000))))&amp;"k",TEXT($AT$40,"#,##0"))),TEXT($AT$40,"#,##0")))</f>
        <v/>
      </c>
    </row>
    <row r="41">
      <c r="B41" t="n">
        <v>605.5</v>
      </c>
      <c r="C41" t="n">
        <v>606.25</v>
      </c>
      <c r="D41" t="n">
        <v>17</v>
      </c>
      <c r="G41">
        <f>IF(38&lt;=$F$13,$F$14+(38-1)*$F$16,"")</f>
        <v/>
      </c>
      <c r="H41">
        <f>IF(38&gt;$F$13,"",SUMIFS($D$4:$D$203,$C$4:$C$203,"&gt;="&amp;$G$41,$C$4:$C$203,IF(38=$F$13,"&lt;=","&lt;")&amp;($G$41+$F$16)))</f>
        <v/>
      </c>
      <c r="I41">
        <f>IF(AND(MOD(27,$F$17)=0,MOD((INT(27/$F$17)+1)-1,$F$13/5)=0),INDEX($N$4:$N$53,(INT(27/$F$17)+1)),"")</f>
        <v/>
      </c>
      <c r="J41">
        <f>IF(MOD(27,$F$17)=$F$17-1,0,INDEX($H$4:$H$53,(INT(27/$F$17)+1)))</f>
        <v/>
      </c>
      <c r="K41">
        <f>IFERROR(IF(AND($M$22&gt;=$F$14,$M$22&lt;=$F$15),10+0.5+100*($M$22-$F$14)/($F$15-$F$14),NA()),NA())</f>
        <v/>
      </c>
      <c r="L41">
        <f>IF(ISNA($K$41),NA(),MAX($J$4:$J$123))</f>
        <v/>
      </c>
      <c r="N41">
        <f>IF($G$41="","",IFERROR(IF(ABS($G$41)&gt;=1000000,ROUND($G$41/1000000,MAX(0,1-INT(LOG10($F$27/1000000))))&amp;"M",IF(ABS($G$41)&gt;=1000,ROUND($G$41/1000,MAX(0,1-INT(LOG10($F$27/1000))))&amp;"k",TEXT($G$41,"#,##0"))),TEXT($G$41,"#,##0")))</f>
        <v/>
      </c>
      <c r="O41" t="n">
        <v>11100</v>
      </c>
      <c r="P41" t="n">
        <v>11250</v>
      </c>
      <c r="Q41" t="n">
        <v>50</v>
      </c>
      <c r="T41">
        <f>IF(38&lt;=$S$13,$S$14+(38-1)*$S$16,"")</f>
        <v/>
      </c>
      <c r="U41">
        <f>IF(38&gt;$S$13,"",SUMIFS($Q$4:$Q$203,$P$4:$P$203,"&gt;="&amp;$T$41,$P$4:$P$203,IF(38=$S$13,"&lt;=","&lt;")&amp;($T$41+$S$16)))</f>
        <v/>
      </c>
      <c r="V41">
        <f>IF(AND(MOD(27,$S$17)=0,MOD((INT(27/$S$17)+1)-1,$S$13/5)=0),INDEX($AA$4:$AA$53,(INT(27/$S$17)+1)),"")</f>
        <v/>
      </c>
      <c r="W41">
        <f>IF(MOD(27,$S$17)=$S$17-1,0,INDEX($U$4:$U$53,(INT(27/$S$17)+1)))</f>
        <v/>
      </c>
      <c r="X41">
        <f>IFERROR(IF(AND($Z$22&gt;=$S$14,$Z$22&lt;=$S$15),10+0.5+100*($Z$22-$S$14)/($S$15-$S$14),NA()),NA())</f>
        <v/>
      </c>
      <c r="Y41">
        <f>IF(ISNA($X$41),NA(),MAX($W$4:$W$123))</f>
        <v/>
      </c>
      <c r="AA41">
        <f>IF($T$41="","",IFERROR(IF(ABS($T$41)&gt;=1000000,ROUND($T$41/1000000,MAX(0,1-INT(LOG10($S$27/1000000))))&amp;"M",IF(ABS($T$41)&gt;=1000,ROUND($T$41/1000,MAX(0,1-INT(LOG10($S$27/1000))))&amp;"k",TEXT($T$41,"#,##0"))),TEXT($T$41,"#,##0")))</f>
        <v/>
      </c>
      <c r="AB41" t="n">
        <v>5550</v>
      </c>
      <c r="AC41" t="n">
        <v>5625</v>
      </c>
      <c r="AD41" t="n">
        <v>57</v>
      </c>
      <c r="AG41">
        <f>IF(38&lt;=$AF$13,$AF$14+(38-1)*$AF$16,"")</f>
        <v/>
      </c>
      <c r="AH41">
        <f>IF(38&gt;$AF$13,"",SUMIFS($AD$4:$AD$203,$AC$4:$AC$203,"&gt;="&amp;$AG$41,$AC$4:$AC$203,IF(38=$AF$13,"&lt;=","&lt;")&amp;($AG$41+$AF$16)))</f>
        <v/>
      </c>
      <c r="AI41">
        <f>IF(AND(MOD(27,$AF$17)=0,MOD((INT(27/$AF$17)+1)-1,$AF$13/5)=0),INDEX($AN$4:$AN$53,(INT(27/$AF$17)+1)),"")</f>
        <v/>
      </c>
      <c r="AJ41">
        <f>IF(MOD(27,$AF$17)=$AF$17-1,0,INDEX($AH$4:$AH$53,(INT(27/$AF$17)+1)))</f>
        <v/>
      </c>
      <c r="AK41">
        <f>IFERROR(IF(AND($AM$22&gt;=$AF$14,$AM$22&lt;=$AF$15),10+0.5+100*($AM$22-$AF$14)/($AF$15-$AF$14),NA()),NA())</f>
        <v/>
      </c>
      <c r="AL41">
        <f>IF(ISNA($AK$41),NA(),MAX($AJ$4:$AJ$123))</f>
        <v/>
      </c>
      <c r="AN41">
        <f>IF($AG$41="","",IFERROR(IF(ABS($AG$41)&gt;=1000000,ROUND($AG$41/1000000,MAX(0,1-INT(LOG10($AF$27/1000000))))&amp;"M",IF(ABS($AG$41)&gt;=1000,ROUND($AG$41/1000,MAX(0,1-INT(LOG10($AF$27/1000))))&amp;"k",TEXT($AG$41,"#,##0"))),TEXT($AG$41,"#,##0")))</f>
        <v/>
      </c>
      <c r="AO41" t="n">
        <v>83.25</v>
      </c>
      <c r="AP41" t="n">
        <v>84.375</v>
      </c>
      <c r="AQ41" t="n">
        <v>34</v>
      </c>
      <c r="AT41">
        <f>IF(38&lt;=$AS$13,$AS$14+(38-1)*$AS$16,"")</f>
        <v/>
      </c>
      <c r="AU41">
        <f>IF(38&gt;$AS$13,"",SUMIFS($AQ$4:$AQ$203,$AP$4:$AP$203,"&gt;="&amp;$AT$41,$AP$4:$AP$203,IF(38=$AS$13,"&lt;=","&lt;")&amp;($AT$41+$AS$16)))</f>
        <v/>
      </c>
      <c r="AV41">
        <f>IF(AND(MOD(27,$AS$17)=0,MOD((INT(27/$AS$17)+1)-1,$AS$13/5)=0),INDEX($BA$4:$BA$53,(INT(27/$AS$17)+1)),"")</f>
        <v/>
      </c>
      <c r="AW41">
        <f>IF(MOD(27,$AS$17)=$AS$17-1,0,INDEX($AU$4:$AU$53,(INT(27/$AS$17)+1)))</f>
        <v/>
      </c>
      <c r="AX41">
        <f>IFERROR(IF(AND($AZ$22&gt;=$AS$14,$AZ$22&lt;=$AS$15),10+0.5+100*($AZ$22-$AS$14)/($AS$15-$AS$14),NA()),NA())</f>
        <v/>
      </c>
      <c r="AY41">
        <f>IF(ISNA($AX$41),NA(),MAX($AW$4:$AW$123))</f>
        <v/>
      </c>
      <c r="BA41">
        <f>IF($AT$41="","",IFERROR(IF(ABS($AT$41)&gt;=1000000,ROUND($AT$41/1000000,MAX(0,1-INT(LOG10($AS$27/1000000))))&amp;"M",IF(ABS($AT$41)&gt;=1000,ROUND($AT$41/1000,MAX(0,1-INT(LOG10($AS$27/1000))))&amp;"k",TEXT($AT$41,"#,##0"))),TEXT($AT$41,"#,##0")))</f>
        <v/>
      </c>
    </row>
    <row r="42">
      <c r="B42" t="n">
        <v>607</v>
      </c>
      <c r="C42" t="n">
        <v>607.75</v>
      </c>
      <c r="D42" t="n">
        <v>34</v>
      </c>
      <c r="G42">
        <f>IF(39&lt;=$F$13,$F$14+(39-1)*$F$16,"")</f>
        <v/>
      </c>
      <c r="H42">
        <f>IF(39&gt;$F$13,"",SUMIFS($D$4:$D$203,$C$4:$C$203,"&gt;="&amp;$G$42,$C$4:$C$203,IF(39=$F$13,"&lt;=","&lt;")&amp;($G$42+$F$16)))</f>
        <v/>
      </c>
      <c r="I42">
        <f>IF(AND(MOD(28,$F$17)=0,MOD((INT(28/$F$17)+1)-1,$F$13/5)=0),INDEX($N$4:$N$53,(INT(28/$F$17)+1)),"")</f>
        <v/>
      </c>
      <c r="J42">
        <f>IF(MOD(28,$F$17)=$F$17-1,0,INDEX($H$4:$H$53,(INT(28/$F$17)+1)))</f>
        <v/>
      </c>
      <c r="K42">
        <f>IFERROR(IF(AND($M$23&gt;=$F$14,$M$23&lt;=$F$15),10+0.5+100*($M$23-$F$14)/($F$15-$F$14),NA()),NA())</f>
        <v/>
      </c>
      <c r="L42">
        <f>IF(ISNA($K$42),NA(),0)</f>
        <v/>
      </c>
      <c r="N42">
        <f>IF($G$42="","",IFERROR(IF(ABS($G$42)&gt;=1000000,ROUND($G$42/1000000,MAX(0,1-INT(LOG10($F$27/1000000))))&amp;"M",IF(ABS($G$42)&gt;=1000,ROUND($G$42/1000,MAX(0,1-INT(LOG10($F$27/1000))))&amp;"k",TEXT($G$42,"#,##0"))),TEXT($G$42,"#,##0")))</f>
        <v/>
      </c>
      <c r="O42" t="n">
        <v>11400</v>
      </c>
      <c r="P42" t="n">
        <v>11550</v>
      </c>
      <c r="Q42" t="n">
        <v>49</v>
      </c>
      <c r="T42">
        <f>IF(39&lt;=$S$13,$S$14+(39-1)*$S$16,"")</f>
        <v/>
      </c>
      <c r="U42">
        <f>IF(39&gt;$S$13,"",SUMIFS($Q$4:$Q$203,$P$4:$P$203,"&gt;="&amp;$T$42,$P$4:$P$203,IF(39=$S$13,"&lt;=","&lt;")&amp;($T$42+$S$16)))</f>
        <v/>
      </c>
      <c r="V42">
        <f>IF(AND(MOD(28,$S$17)=0,MOD((INT(28/$S$17)+1)-1,$S$13/5)=0),INDEX($AA$4:$AA$53,(INT(28/$S$17)+1)),"")</f>
        <v/>
      </c>
      <c r="W42">
        <f>IF(MOD(28,$S$17)=$S$17-1,0,INDEX($U$4:$U$53,(INT(28/$S$17)+1)))</f>
        <v/>
      </c>
      <c r="X42">
        <f>IFERROR(IF(AND($Z$23&gt;=$S$14,$Z$23&lt;=$S$15),10+0.5+100*($Z$23-$S$14)/($S$15-$S$14),NA()),NA())</f>
        <v/>
      </c>
      <c r="Y42">
        <f>IF(ISNA($X$42),NA(),0)</f>
        <v/>
      </c>
      <c r="AA42">
        <f>IF($T$42="","",IFERROR(IF(ABS($T$42)&gt;=1000000,ROUND($T$42/1000000,MAX(0,1-INT(LOG10($S$27/1000000))))&amp;"M",IF(ABS($T$42)&gt;=1000,ROUND($T$42/1000,MAX(0,1-INT(LOG10($S$27/1000))))&amp;"k",TEXT($T$42,"#,##0"))),TEXT($T$42,"#,##0")))</f>
        <v/>
      </c>
      <c r="AB42" t="n">
        <v>5700</v>
      </c>
      <c r="AC42" t="n">
        <v>5775</v>
      </c>
      <c r="AD42" t="n">
        <v>58</v>
      </c>
      <c r="AG42">
        <f>IF(39&lt;=$AF$13,$AF$14+(39-1)*$AF$16,"")</f>
        <v/>
      </c>
      <c r="AH42">
        <f>IF(39&gt;$AF$13,"",SUMIFS($AD$4:$AD$203,$AC$4:$AC$203,"&gt;="&amp;$AG$42,$AC$4:$AC$203,IF(39=$AF$13,"&lt;=","&lt;")&amp;($AG$42+$AF$16)))</f>
        <v/>
      </c>
      <c r="AI42">
        <f>IF(AND(MOD(28,$AF$17)=0,MOD((INT(28/$AF$17)+1)-1,$AF$13/5)=0),INDEX($AN$4:$AN$53,(INT(28/$AF$17)+1)),"")</f>
        <v/>
      </c>
      <c r="AJ42">
        <f>IF(MOD(28,$AF$17)=$AF$17-1,0,INDEX($AH$4:$AH$53,(INT(28/$AF$17)+1)))</f>
        <v/>
      </c>
      <c r="AK42">
        <f>IFERROR(IF(AND($AM$23&gt;=$AF$14,$AM$23&lt;=$AF$15),10+0.5+100*($AM$23-$AF$14)/($AF$15-$AF$14),NA()),NA())</f>
        <v/>
      </c>
      <c r="AL42">
        <f>IF(ISNA($AK$42),NA(),0)</f>
        <v/>
      </c>
      <c r="AN42">
        <f>IF($AG$42="","",IFERROR(IF(ABS($AG$42)&gt;=1000000,ROUND($AG$42/1000000,MAX(0,1-INT(LOG10($AF$27/1000000))))&amp;"M",IF(ABS($AG$42)&gt;=1000,ROUND($AG$42/1000,MAX(0,1-INT(LOG10($AF$27/1000))))&amp;"k",TEXT($AG$42,"#,##0"))),TEXT($AG$42,"#,##0")))</f>
        <v/>
      </c>
      <c r="AO42" t="n">
        <v>85.5</v>
      </c>
      <c r="AP42" t="n">
        <v>86.625</v>
      </c>
      <c r="AQ42" t="n">
        <v>38</v>
      </c>
      <c r="AT42">
        <f>IF(39&lt;=$AS$13,$AS$14+(39-1)*$AS$16,"")</f>
        <v/>
      </c>
      <c r="AU42">
        <f>IF(39&gt;$AS$13,"",SUMIFS($AQ$4:$AQ$203,$AP$4:$AP$203,"&gt;="&amp;$AT$42,$AP$4:$AP$203,IF(39=$AS$13,"&lt;=","&lt;")&amp;($AT$42+$AS$16)))</f>
        <v/>
      </c>
      <c r="AV42">
        <f>IF(AND(MOD(28,$AS$17)=0,MOD((INT(28/$AS$17)+1)-1,$AS$13/5)=0),INDEX($BA$4:$BA$53,(INT(28/$AS$17)+1)),"")</f>
        <v/>
      </c>
      <c r="AW42">
        <f>IF(MOD(28,$AS$17)=$AS$17-1,0,INDEX($AU$4:$AU$53,(INT(28/$AS$17)+1)))</f>
        <v/>
      </c>
      <c r="AX42">
        <f>IFERROR(IF(AND($AZ$23&gt;=$AS$14,$AZ$23&lt;=$AS$15),10+0.5+100*($AZ$23-$AS$14)/($AS$15-$AS$14),NA()),NA())</f>
        <v/>
      </c>
      <c r="AY42">
        <f>IF(ISNA($AX$42),NA(),0)</f>
        <v/>
      </c>
      <c r="BA42">
        <f>IF($AT$42="","",IFERROR(IF(ABS($AT$42)&gt;=1000000,ROUND($AT$42/1000000,MAX(0,1-INT(LOG10($AS$27/1000000))))&amp;"M",IF(ABS($AT$42)&gt;=1000,ROUND($AT$42/1000,MAX(0,1-INT(LOG10($AS$27/1000))))&amp;"k",TEXT($AT$42,"#,##0"))),TEXT($AT$42,"#,##0")))</f>
        <v/>
      </c>
    </row>
    <row r="43">
      <c r="B43" t="n">
        <v>608.5</v>
      </c>
      <c r="C43" t="n">
        <v>609.25</v>
      </c>
      <c r="D43" t="n">
        <v>18</v>
      </c>
      <c r="G43">
        <f>IF(40&lt;=$F$13,$F$14+(40-1)*$F$16,"")</f>
        <v/>
      </c>
      <c r="H43">
        <f>IF(40&gt;$F$13,"",SUMIFS($D$4:$D$203,$C$4:$C$203,"&gt;="&amp;$G$43,$C$4:$C$203,IF(40=$F$13,"&lt;=","&lt;")&amp;($G$43+$F$16)))</f>
        <v/>
      </c>
      <c r="I43">
        <f>IF(AND(MOD(29,$F$17)=0,MOD((INT(29/$F$17)+1)-1,$F$13/5)=0),INDEX($N$4:$N$53,(INT(29/$F$17)+1)),"")</f>
        <v/>
      </c>
      <c r="J43">
        <f>IF(MOD(29,$F$17)=$F$17-1,0,INDEX($H$4:$H$53,(INT(29/$F$17)+1)))</f>
        <v/>
      </c>
      <c r="K43">
        <f>IFERROR(IF(AND($M$23&gt;=$F$14,$M$23&lt;=$F$15),10+0.5+100*($M$23-$F$14)/($F$15-$F$14),NA()),NA())</f>
        <v/>
      </c>
      <c r="L43">
        <f>IF(ISNA($K$43),NA(),MAX($J$4:$J$123))</f>
        <v/>
      </c>
      <c r="N43">
        <f>IF($G$43="","",IFERROR(IF(ABS($G$43)&gt;=1000000,ROUND($G$43/1000000,MAX(0,1-INT(LOG10($F$27/1000000))))&amp;"M",IF(ABS($G$43)&gt;=1000,ROUND($G$43/1000,MAX(0,1-INT(LOG10($F$27/1000))))&amp;"k",TEXT($G$43,"#,##0"))),TEXT($G$43,"#,##0")))</f>
        <v/>
      </c>
      <c r="O43" t="n">
        <v>11700</v>
      </c>
      <c r="P43" t="n">
        <v>11850</v>
      </c>
      <c r="Q43" t="n">
        <v>52</v>
      </c>
      <c r="T43">
        <f>IF(40&lt;=$S$13,$S$14+(40-1)*$S$16,"")</f>
        <v/>
      </c>
      <c r="U43">
        <f>IF(40&gt;$S$13,"",SUMIFS($Q$4:$Q$203,$P$4:$P$203,"&gt;="&amp;$T$43,$P$4:$P$203,IF(40=$S$13,"&lt;=","&lt;")&amp;($T$43+$S$16)))</f>
        <v/>
      </c>
      <c r="V43">
        <f>IF(AND(MOD(29,$S$17)=0,MOD((INT(29/$S$17)+1)-1,$S$13/5)=0),INDEX($AA$4:$AA$53,(INT(29/$S$17)+1)),"")</f>
        <v/>
      </c>
      <c r="W43">
        <f>IF(MOD(29,$S$17)=$S$17-1,0,INDEX($U$4:$U$53,(INT(29/$S$17)+1)))</f>
        <v/>
      </c>
      <c r="X43">
        <f>IFERROR(IF(AND($Z$23&gt;=$S$14,$Z$23&lt;=$S$15),10+0.5+100*($Z$23-$S$14)/($S$15-$S$14),NA()),NA())</f>
        <v/>
      </c>
      <c r="Y43">
        <f>IF(ISNA($X$43),NA(),MAX($W$4:$W$123))</f>
        <v/>
      </c>
      <c r="AA43">
        <f>IF($T$43="","",IFERROR(IF(ABS($T$43)&gt;=1000000,ROUND($T$43/1000000,MAX(0,1-INT(LOG10($S$27/1000000))))&amp;"M",IF(ABS($T$43)&gt;=1000,ROUND($T$43/1000,MAX(0,1-INT(LOG10($S$27/1000))))&amp;"k",TEXT($T$43,"#,##0"))),TEXT($T$43,"#,##0")))</f>
        <v/>
      </c>
      <c r="AB43" t="n">
        <v>5850</v>
      </c>
      <c r="AC43" t="n">
        <v>5925</v>
      </c>
      <c r="AD43" t="n">
        <v>59</v>
      </c>
      <c r="AG43">
        <f>IF(40&lt;=$AF$13,$AF$14+(40-1)*$AF$16,"")</f>
        <v/>
      </c>
      <c r="AH43">
        <f>IF(40&gt;$AF$13,"",SUMIFS($AD$4:$AD$203,$AC$4:$AC$203,"&gt;="&amp;$AG$43,$AC$4:$AC$203,IF(40=$AF$13,"&lt;=","&lt;")&amp;($AG$43+$AF$16)))</f>
        <v/>
      </c>
      <c r="AI43">
        <f>IF(AND(MOD(29,$AF$17)=0,MOD((INT(29/$AF$17)+1)-1,$AF$13/5)=0),INDEX($AN$4:$AN$53,(INT(29/$AF$17)+1)),"")</f>
        <v/>
      </c>
      <c r="AJ43">
        <f>IF(MOD(29,$AF$17)=$AF$17-1,0,INDEX($AH$4:$AH$53,(INT(29/$AF$17)+1)))</f>
        <v/>
      </c>
      <c r="AK43">
        <f>IFERROR(IF(AND($AM$23&gt;=$AF$14,$AM$23&lt;=$AF$15),10+0.5+100*($AM$23-$AF$14)/($AF$15-$AF$14),NA()),NA())</f>
        <v/>
      </c>
      <c r="AL43">
        <f>IF(ISNA($AK$43),NA(),MAX($AJ$4:$AJ$123))</f>
        <v/>
      </c>
      <c r="AN43">
        <f>IF($AG$43="","",IFERROR(IF(ABS($AG$43)&gt;=1000000,ROUND($AG$43/1000000,MAX(0,1-INT(LOG10($AF$27/1000000))))&amp;"M",IF(ABS($AG$43)&gt;=1000,ROUND($AG$43/1000,MAX(0,1-INT(LOG10($AF$27/1000))))&amp;"k",TEXT($AG$43,"#,##0"))),TEXT($AG$43,"#,##0")))</f>
        <v/>
      </c>
      <c r="AO43" t="n">
        <v>87.75</v>
      </c>
      <c r="AP43" t="n">
        <v>88.875</v>
      </c>
      <c r="AQ43" t="n">
        <v>40</v>
      </c>
      <c r="AT43">
        <f>IF(40&lt;=$AS$13,$AS$14+(40-1)*$AS$16,"")</f>
        <v/>
      </c>
      <c r="AU43">
        <f>IF(40&gt;$AS$13,"",SUMIFS($AQ$4:$AQ$203,$AP$4:$AP$203,"&gt;="&amp;$AT$43,$AP$4:$AP$203,IF(40=$AS$13,"&lt;=","&lt;")&amp;($AT$43+$AS$16)))</f>
        <v/>
      </c>
      <c r="AV43">
        <f>IF(AND(MOD(29,$AS$17)=0,MOD((INT(29/$AS$17)+1)-1,$AS$13/5)=0),INDEX($BA$4:$BA$53,(INT(29/$AS$17)+1)),"")</f>
        <v/>
      </c>
      <c r="AW43">
        <f>IF(MOD(29,$AS$17)=$AS$17-1,0,INDEX($AU$4:$AU$53,(INT(29/$AS$17)+1)))</f>
        <v/>
      </c>
      <c r="AX43">
        <f>IFERROR(IF(AND($AZ$23&gt;=$AS$14,$AZ$23&lt;=$AS$15),10+0.5+100*($AZ$23-$AS$14)/($AS$15-$AS$14),NA()),NA())</f>
        <v/>
      </c>
      <c r="AY43">
        <f>IF(ISNA($AX$43),NA(),MAX($AW$4:$AW$123))</f>
        <v/>
      </c>
      <c r="BA43">
        <f>IF($AT$43="","",IFERROR(IF(ABS($AT$43)&gt;=1000000,ROUND($AT$43/1000000,MAX(0,1-INT(LOG10($AS$27/1000000))))&amp;"M",IF(ABS($AT$43)&gt;=1000,ROUND($AT$43/1000,MAX(0,1-INT(LOG10($AS$27/1000))))&amp;"k",TEXT($AT$43,"#,##0"))),TEXT($AT$43,"#,##0")))</f>
        <v/>
      </c>
    </row>
    <row r="44">
      <c r="B44" t="n">
        <v>610</v>
      </c>
      <c r="C44" t="n">
        <v>610.75</v>
      </c>
      <c r="D44" t="n">
        <v>35</v>
      </c>
      <c r="G44">
        <f>IF(41&lt;=$F$13,$F$14+(41-1)*$F$16,"")</f>
        <v/>
      </c>
      <c r="H44">
        <f>IF(41&gt;$F$13,"",SUMIFS($D$4:$D$203,$C$4:$C$203,"&gt;="&amp;$G$44,$C$4:$C$203,IF(41=$F$13,"&lt;=","&lt;")&amp;($G$44+$F$16)))</f>
        <v/>
      </c>
      <c r="I44">
        <f>IF(AND(MOD(30,$F$17)=0,MOD((INT(30/$F$17)+1)-1,$F$13/5)=0),INDEX($N$4:$N$53,(INT(30/$F$17)+1)),"")</f>
        <v/>
      </c>
      <c r="J44">
        <f>IF(MOD(30,$F$17)=$F$17-1,0,INDEX($H$4:$H$53,(INT(30/$F$17)+1)))</f>
        <v/>
      </c>
      <c r="K44">
        <f>IFERROR(IF(AND($M$24&gt;=$F$14,$M$24&lt;=$F$15),10+0.5+100*($M$24-$F$14)/($F$15-$F$14),NA()),NA())</f>
        <v/>
      </c>
      <c r="L44">
        <f>IF(ISNA($K$44),NA(),0)</f>
        <v/>
      </c>
      <c r="N44">
        <f>IF($G$44="","",IFERROR(IF(ABS($G$44)&gt;=1000000,ROUND($G$44/1000000,MAX(0,1-INT(LOG10($F$27/1000000))))&amp;"M",IF(ABS($G$44)&gt;=1000,ROUND($G$44/1000,MAX(0,1-INT(LOG10($F$27/1000))))&amp;"k",TEXT($G$44,"#,##0"))),TEXT($G$44,"#,##0")))</f>
        <v/>
      </c>
      <c r="O44" t="n">
        <v>12000</v>
      </c>
      <c r="P44" t="n">
        <v>12150</v>
      </c>
      <c r="Q44" t="n">
        <v>34</v>
      </c>
      <c r="T44">
        <f>IF(41&lt;=$S$13,$S$14+(41-1)*$S$16,"")</f>
        <v/>
      </c>
      <c r="U44">
        <f>IF(41&gt;$S$13,"",SUMIFS($Q$4:$Q$203,$P$4:$P$203,"&gt;="&amp;$T$44,$P$4:$P$203,IF(41=$S$13,"&lt;=","&lt;")&amp;($T$44+$S$16)))</f>
        <v/>
      </c>
      <c r="V44">
        <f>IF(AND(MOD(30,$S$17)=0,MOD((INT(30/$S$17)+1)-1,$S$13/5)=0),INDEX($AA$4:$AA$53,(INT(30/$S$17)+1)),"")</f>
        <v/>
      </c>
      <c r="W44">
        <f>IF(MOD(30,$S$17)=$S$17-1,0,INDEX($U$4:$U$53,(INT(30/$S$17)+1)))</f>
        <v/>
      </c>
      <c r="X44">
        <f>IFERROR(IF(AND($Z$24&gt;=$S$14,$Z$24&lt;=$S$15),10+0.5+100*($Z$24-$S$14)/($S$15-$S$14),NA()),NA())</f>
        <v/>
      </c>
      <c r="Y44">
        <f>IF(ISNA($X$44),NA(),0)</f>
        <v/>
      </c>
      <c r="AA44">
        <f>IF($T$44="","",IFERROR(IF(ABS($T$44)&gt;=1000000,ROUND($T$44/1000000,MAX(0,1-INT(LOG10($S$27/1000000))))&amp;"M",IF(ABS($T$44)&gt;=1000,ROUND($T$44/1000,MAX(0,1-INT(LOG10($S$27/1000))))&amp;"k",TEXT($T$44,"#,##0"))),TEXT($T$44,"#,##0")))</f>
        <v/>
      </c>
      <c r="AB44" t="n">
        <v>6000</v>
      </c>
      <c r="AC44" t="n">
        <v>6075</v>
      </c>
      <c r="AD44" t="n">
        <v>56</v>
      </c>
      <c r="AG44">
        <f>IF(41&lt;=$AF$13,$AF$14+(41-1)*$AF$16,"")</f>
        <v/>
      </c>
      <c r="AH44">
        <f>IF(41&gt;$AF$13,"",SUMIFS($AD$4:$AD$203,$AC$4:$AC$203,"&gt;="&amp;$AG$44,$AC$4:$AC$203,IF(41=$AF$13,"&lt;=","&lt;")&amp;($AG$44+$AF$16)))</f>
        <v/>
      </c>
      <c r="AI44">
        <f>IF(AND(MOD(30,$AF$17)=0,MOD((INT(30/$AF$17)+1)-1,$AF$13/5)=0),INDEX($AN$4:$AN$53,(INT(30/$AF$17)+1)),"")</f>
        <v/>
      </c>
      <c r="AJ44">
        <f>IF(MOD(30,$AF$17)=$AF$17-1,0,INDEX($AH$4:$AH$53,(INT(30/$AF$17)+1)))</f>
        <v/>
      </c>
      <c r="AK44">
        <f>IFERROR(IF(AND($AM$24&gt;=$AF$14,$AM$24&lt;=$AF$15),10+0.5+100*($AM$24-$AF$14)/($AF$15-$AF$14),NA()),NA())</f>
        <v/>
      </c>
      <c r="AL44">
        <f>IF(ISNA($AK$44),NA(),0)</f>
        <v/>
      </c>
      <c r="AN44">
        <f>IF($AG$44="","",IFERROR(IF(ABS($AG$44)&gt;=1000000,ROUND($AG$44/1000000,MAX(0,1-INT(LOG10($AF$27/1000000))))&amp;"M",IF(ABS($AG$44)&gt;=1000,ROUND($AG$44/1000,MAX(0,1-INT(LOG10($AF$27/1000))))&amp;"k",TEXT($AG$44,"#,##0"))),TEXT($AG$44,"#,##0")))</f>
        <v/>
      </c>
      <c r="AO44" t="n">
        <v>90</v>
      </c>
      <c r="AP44" t="n">
        <v>91.125</v>
      </c>
      <c r="AQ44" t="n">
        <v>62</v>
      </c>
      <c r="AT44">
        <f>IF(41&lt;=$AS$13,$AS$14+(41-1)*$AS$16,"")</f>
        <v/>
      </c>
      <c r="AU44">
        <f>IF(41&gt;$AS$13,"",SUMIFS($AQ$4:$AQ$203,$AP$4:$AP$203,"&gt;="&amp;$AT$44,$AP$4:$AP$203,IF(41=$AS$13,"&lt;=","&lt;")&amp;($AT$44+$AS$16)))</f>
        <v/>
      </c>
      <c r="AV44">
        <f>IF(AND(MOD(30,$AS$17)=0,MOD((INT(30/$AS$17)+1)-1,$AS$13/5)=0),INDEX($BA$4:$BA$53,(INT(30/$AS$17)+1)),"")</f>
        <v/>
      </c>
      <c r="AW44">
        <f>IF(MOD(30,$AS$17)=$AS$17-1,0,INDEX($AU$4:$AU$53,(INT(30/$AS$17)+1)))</f>
        <v/>
      </c>
      <c r="AX44">
        <f>IFERROR(IF(AND($AZ$24&gt;=$AS$14,$AZ$24&lt;=$AS$15),10+0.5+100*($AZ$24-$AS$14)/($AS$15-$AS$14),NA()),NA())</f>
        <v/>
      </c>
      <c r="AY44">
        <f>IF(ISNA($AX$44),NA(),0)</f>
        <v/>
      </c>
      <c r="BA44">
        <f>IF($AT$44="","",IFERROR(IF(ABS($AT$44)&gt;=1000000,ROUND($AT$44/1000000,MAX(0,1-INT(LOG10($AS$27/1000000))))&amp;"M",IF(ABS($AT$44)&gt;=1000,ROUND($AT$44/1000,MAX(0,1-INT(LOG10($AS$27/1000))))&amp;"k",TEXT($AT$44,"#,##0"))),TEXT($AT$44,"#,##0")))</f>
        <v/>
      </c>
    </row>
    <row r="45">
      <c r="B45" t="n">
        <v>611.5</v>
      </c>
      <c r="C45" t="n">
        <v>612.25</v>
      </c>
      <c r="D45" t="n">
        <v>15</v>
      </c>
      <c r="G45">
        <f>IF(42&lt;=$F$13,$F$14+(42-1)*$F$16,"")</f>
        <v/>
      </c>
      <c r="H45">
        <f>IF(42&gt;$F$13,"",SUMIFS($D$4:$D$203,$C$4:$C$203,"&gt;="&amp;$G$45,$C$4:$C$203,IF(42=$F$13,"&lt;=","&lt;")&amp;($G$45+$F$16)))</f>
        <v/>
      </c>
      <c r="I45">
        <f>IF(AND(MOD(31,$F$17)=0,MOD((INT(31/$F$17)+1)-1,$F$13/5)=0),INDEX($N$4:$N$53,(INT(31/$F$17)+1)),"")</f>
        <v/>
      </c>
      <c r="J45">
        <f>IF(MOD(31,$F$17)=$F$17-1,0,INDEX($H$4:$H$53,(INT(31/$F$17)+1)))</f>
        <v/>
      </c>
      <c r="K45">
        <f>IFERROR(IF(AND($M$24&gt;=$F$14,$M$24&lt;=$F$15),10+0.5+100*($M$24-$F$14)/($F$15-$F$14),NA()),NA())</f>
        <v/>
      </c>
      <c r="L45">
        <f>IF(ISNA($K$45),NA(),MAX($J$4:$J$123))</f>
        <v/>
      </c>
      <c r="N45">
        <f>IF($G$45="","",IFERROR(IF(ABS($G$45)&gt;=1000000,ROUND($G$45/1000000,MAX(0,1-INT(LOG10($F$27/1000000))))&amp;"M",IF(ABS($G$45)&gt;=1000,ROUND($G$45/1000,MAX(0,1-INT(LOG10($F$27/1000))))&amp;"k",TEXT($G$45,"#,##0"))),TEXT($G$45,"#,##0")))</f>
        <v/>
      </c>
      <c r="O45" t="n">
        <v>12300</v>
      </c>
      <c r="P45" t="n">
        <v>12450</v>
      </c>
      <c r="Q45" t="n">
        <v>43</v>
      </c>
      <c r="T45">
        <f>IF(42&lt;=$S$13,$S$14+(42-1)*$S$16,"")</f>
        <v/>
      </c>
      <c r="U45">
        <f>IF(42&gt;$S$13,"",SUMIFS($Q$4:$Q$203,$P$4:$P$203,"&gt;="&amp;$T$45,$P$4:$P$203,IF(42=$S$13,"&lt;=","&lt;")&amp;($T$45+$S$16)))</f>
        <v/>
      </c>
      <c r="V45">
        <f>IF(AND(MOD(31,$S$17)=0,MOD((INT(31/$S$17)+1)-1,$S$13/5)=0),INDEX($AA$4:$AA$53,(INT(31/$S$17)+1)),"")</f>
        <v/>
      </c>
      <c r="W45">
        <f>IF(MOD(31,$S$17)=$S$17-1,0,INDEX($U$4:$U$53,(INT(31/$S$17)+1)))</f>
        <v/>
      </c>
      <c r="X45">
        <f>IFERROR(IF(AND($Z$24&gt;=$S$14,$Z$24&lt;=$S$15),10+0.5+100*($Z$24-$S$14)/($S$15-$S$14),NA()),NA())</f>
        <v/>
      </c>
      <c r="Y45">
        <f>IF(ISNA($X$45),NA(),MAX($W$4:$W$123))</f>
        <v/>
      </c>
      <c r="AA45">
        <f>IF($T$45="","",IFERROR(IF(ABS($T$45)&gt;=1000000,ROUND($T$45/1000000,MAX(0,1-INT(LOG10($S$27/1000000))))&amp;"M",IF(ABS($T$45)&gt;=1000,ROUND($T$45/1000,MAX(0,1-INT(LOG10($S$27/1000))))&amp;"k",TEXT($T$45,"#,##0"))),TEXT($T$45,"#,##0")))</f>
        <v/>
      </c>
      <c r="AB45" t="n">
        <v>6150</v>
      </c>
      <c r="AC45" t="n">
        <v>6225</v>
      </c>
      <c r="AD45" t="n">
        <v>63</v>
      </c>
      <c r="AG45">
        <f>IF(42&lt;=$AF$13,$AF$14+(42-1)*$AF$16,"")</f>
        <v/>
      </c>
      <c r="AH45">
        <f>IF(42&gt;$AF$13,"",SUMIFS($AD$4:$AD$203,$AC$4:$AC$203,"&gt;="&amp;$AG$45,$AC$4:$AC$203,IF(42=$AF$13,"&lt;=","&lt;")&amp;($AG$45+$AF$16)))</f>
        <v/>
      </c>
      <c r="AI45">
        <f>IF(AND(MOD(31,$AF$17)=0,MOD((INT(31/$AF$17)+1)-1,$AF$13/5)=0),INDEX($AN$4:$AN$53,(INT(31/$AF$17)+1)),"")</f>
        <v/>
      </c>
      <c r="AJ45">
        <f>IF(MOD(31,$AF$17)=$AF$17-1,0,INDEX($AH$4:$AH$53,(INT(31/$AF$17)+1)))</f>
        <v/>
      </c>
      <c r="AK45">
        <f>IFERROR(IF(AND($AM$24&gt;=$AF$14,$AM$24&lt;=$AF$15),10+0.5+100*($AM$24-$AF$14)/($AF$15-$AF$14),NA()),NA())</f>
        <v/>
      </c>
      <c r="AL45">
        <f>IF(ISNA($AK$45),NA(),MAX($AJ$4:$AJ$123))</f>
        <v/>
      </c>
      <c r="AN45">
        <f>IF($AG$45="","",IFERROR(IF(ABS($AG$45)&gt;=1000000,ROUND($AG$45/1000000,MAX(0,1-INT(LOG10($AF$27/1000000))))&amp;"M",IF(ABS($AG$45)&gt;=1000,ROUND($AG$45/1000,MAX(0,1-INT(LOG10($AF$27/1000))))&amp;"k",TEXT($AG$45,"#,##0"))),TEXT($AG$45,"#,##0")))</f>
        <v/>
      </c>
      <c r="AO45" t="n">
        <v>92.25</v>
      </c>
      <c r="AP45" t="n">
        <v>93.375</v>
      </c>
      <c r="AQ45" t="n">
        <v>31</v>
      </c>
      <c r="AT45">
        <f>IF(42&lt;=$AS$13,$AS$14+(42-1)*$AS$16,"")</f>
        <v/>
      </c>
      <c r="AU45">
        <f>IF(42&gt;$AS$13,"",SUMIFS($AQ$4:$AQ$203,$AP$4:$AP$203,"&gt;="&amp;$AT$45,$AP$4:$AP$203,IF(42=$AS$13,"&lt;=","&lt;")&amp;($AT$45+$AS$16)))</f>
        <v/>
      </c>
      <c r="AV45">
        <f>IF(AND(MOD(31,$AS$17)=0,MOD((INT(31/$AS$17)+1)-1,$AS$13/5)=0),INDEX($BA$4:$BA$53,(INT(31/$AS$17)+1)),"")</f>
        <v/>
      </c>
      <c r="AW45">
        <f>IF(MOD(31,$AS$17)=$AS$17-1,0,INDEX($AU$4:$AU$53,(INT(31/$AS$17)+1)))</f>
        <v/>
      </c>
      <c r="AX45">
        <f>IFERROR(IF(AND($AZ$24&gt;=$AS$14,$AZ$24&lt;=$AS$15),10+0.5+100*($AZ$24-$AS$14)/($AS$15-$AS$14),NA()),NA())</f>
        <v/>
      </c>
      <c r="AY45">
        <f>IF(ISNA($AX$45),NA(),MAX($AW$4:$AW$123))</f>
        <v/>
      </c>
      <c r="BA45">
        <f>IF($AT$45="","",IFERROR(IF(ABS($AT$45)&gt;=1000000,ROUND($AT$45/1000000,MAX(0,1-INT(LOG10($AS$27/1000000))))&amp;"M",IF(ABS($AT$45)&gt;=1000,ROUND($AT$45/1000,MAX(0,1-INT(LOG10($AS$27/1000))))&amp;"k",TEXT($AT$45,"#,##0"))),TEXT($AT$45,"#,##0")))</f>
        <v/>
      </c>
    </row>
    <row r="46">
      <c r="B46" t="n">
        <v>613</v>
      </c>
      <c r="C46" t="n">
        <v>613.75</v>
      </c>
      <c r="D46" t="n">
        <v>36</v>
      </c>
      <c r="G46">
        <f>IF(43&lt;=$F$13,$F$14+(43-1)*$F$16,"")</f>
        <v/>
      </c>
      <c r="H46">
        <f>IF(43&gt;$F$13,"",SUMIFS($D$4:$D$203,$C$4:$C$203,"&gt;="&amp;$G$46,$C$4:$C$203,IF(43=$F$13,"&lt;=","&lt;")&amp;($G$46+$F$16)))</f>
        <v/>
      </c>
      <c r="I46">
        <f>IF(AND(MOD(32,$F$17)=0,MOD((INT(32/$F$17)+1)-1,$F$13/5)=0),INDEX($N$4:$N$53,(INT(32/$F$17)+1)),"")</f>
        <v/>
      </c>
      <c r="J46">
        <f>IF(MOD(32,$F$17)=$F$17-1,0,INDEX($H$4:$H$53,(INT(32/$F$17)+1)))</f>
        <v/>
      </c>
      <c r="K46">
        <f>IFERROR(IF(AND($M$25&gt;=$F$14,$M$25&lt;=$F$15),10+0.5+100*($M$25-$F$14)/($F$15-$F$14),NA()),NA())</f>
        <v/>
      </c>
      <c r="L46">
        <f>IF(ISNA($K$46),NA(),0)</f>
        <v/>
      </c>
      <c r="N46">
        <f>IF($G$46="","",IFERROR(IF(ABS($G$46)&gt;=1000000,ROUND($G$46/1000000,MAX(0,1-INT(LOG10($F$27/1000000))))&amp;"M",IF(ABS($G$46)&gt;=1000,ROUND($G$46/1000,MAX(0,1-INT(LOG10($F$27/1000))))&amp;"k",TEXT($G$46,"#,##0"))),TEXT($G$46,"#,##0")))</f>
        <v/>
      </c>
      <c r="O46" t="n">
        <v>12600</v>
      </c>
      <c r="P46" t="n">
        <v>12750</v>
      </c>
      <c r="Q46" t="n">
        <v>44</v>
      </c>
      <c r="T46">
        <f>IF(43&lt;=$S$13,$S$14+(43-1)*$S$16,"")</f>
        <v/>
      </c>
      <c r="U46">
        <f>IF(43&gt;$S$13,"",SUMIFS($Q$4:$Q$203,$P$4:$P$203,"&gt;="&amp;$T$46,$P$4:$P$203,IF(43=$S$13,"&lt;=","&lt;")&amp;($T$46+$S$16)))</f>
        <v/>
      </c>
      <c r="V46">
        <f>IF(AND(MOD(32,$S$17)=0,MOD((INT(32/$S$17)+1)-1,$S$13/5)=0),INDEX($AA$4:$AA$53,(INT(32/$S$17)+1)),"")</f>
        <v/>
      </c>
      <c r="W46">
        <f>IF(MOD(32,$S$17)=$S$17-1,0,INDEX($U$4:$U$53,(INT(32/$S$17)+1)))</f>
        <v/>
      </c>
      <c r="X46">
        <f>IFERROR(IF(AND($Z$25&gt;=$S$14,$Z$25&lt;=$S$15),10+0.5+100*($Z$25-$S$14)/($S$15-$S$14),NA()),NA())</f>
        <v/>
      </c>
      <c r="Y46">
        <f>IF(ISNA($X$46),NA(),0)</f>
        <v/>
      </c>
      <c r="AA46">
        <f>IF($T$46="","",IFERROR(IF(ABS($T$46)&gt;=1000000,ROUND($T$46/1000000,MAX(0,1-INT(LOG10($S$27/1000000))))&amp;"M",IF(ABS($T$46)&gt;=1000,ROUND($T$46/1000,MAX(0,1-INT(LOG10($S$27/1000))))&amp;"k",TEXT($T$46,"#,##0"))),TEXT($T$46,"#,##0")))</f>
        <v/>
      </c>
      <c r="AB46" t="n">
        <v>6300</v>
      </c>
      <c r="AC46" t="n">
        <v>6375</v>
      </c>
      <c r="AD46" t="n">
        <v>71</v>
      </c>
      <c r="AG46">
        <f>IF(43&lt;=$AF$13,$AF$14+(43-1)*$AF$16,"")</f>
        <v/>
      </c>
      <c r="AH46">
        <f>IF(43&gt;$AF$13,"",SUMIFS($AD$4:$AD$203,$AC$4:$AC$203,"&gt;="&amp;$AG$46,$AC$4:$AC$203,IF(43=$AF$13,"&lt;=","&lt;")&amp;($AG$46+$AF$16)))</f>
        <v/>
      </c>
      <c r="AI46">
        <f>IF(AND(MOD(32,$AF$17)=0,MOD((INT(32/$AF$17)+1)-1,$AF$13/5)=0),INDEX($AN$4:$AN$53,(INT(32/$AF$17)+1)),"")</f>
        <v/>
      </c>
      <c r="AJ46">
        <f>IF(MOD(32,$AF$17)=$AF$17-1,0,INDEX($AH$4:$AH$53,(INT(32/$AF$17)+1)))</f>
        <v/>
      </c>
      <c r="AK46">
        <f>IFERROR(IF(AND($AM$25&gt;=$AF$14,$AM$25&lt;=$AF$15),10+0.5+100*($AM$25-$AF$14)/($AF$15-$AF$14),NA()),NA())</f>
        <v/>
      </c>
      <c r="AL46">
        <f>IF(ISNA($AK$46),NA(),0)</f>
        <v/>
      </c>
      <c r="AN46">
        <f>IF($AG$46="","",IFERROR(IF(ABS($AG$46)&gt;=1000000,ROUND($AG$46/1000000,MAX(0,1-INT(LOG10($AF$27/1000000))))&amp;"M",IF(ABS($AG$46)&gt;=1000,ROUND($AG$46/1000,MAX(0,1-INT(LOG10($AF$27/1000))))&amp;"k",TEXT($AG$46,"#,##0"))),TEXT($AG$46,"#,##0")))</f>
        <v/>
      </c>
      <c r="AO46" t="n">
        <v>94.5</v>
      </c>
      <c r="AP46" t="n">
        <v>95.625</v>
      </c>
      <c r="AQ46" t="n">
        <v>37</v>
      </c>
      <c r="AT46">
        <f>IF(43&lt;=$AS$13,$AS$14+(43-1)*$AS$16,"")</f>
        <v/>
      </c>
      <c r="AU46">
        <f>IF(43&gt;$AS$13,"",SUMIFS($AQ$4:$AQ$203,$AP$4:$AP$203,"&gt;="&amp;$AT$46,$AP$4:$AP$203,IF(43=$AS$13,"&lt;=","&lt;")&amp;($AT$46+$AS$16)))</f>
        <v/>
      </c>
      <c r="AV46">
        <f>IF(AND(MOD(32,$AS$17)=0,MOD((INT(32/$AS$17)+1)-1,$AS$13/5)=0),INDEX($BA$4:$BA$53,(INT(32/$AS$17)+1)),"")</f>
        <v/>
      </c>
      <c r="AW46">
        <f>IF(MOD(32,$AS$17)=$AS$17-1,0,INDEX($AU$4:$AU$53,(INT(32/$AS$17)+1)))</f>
        <v/>
      </c>
      <c r="AX46">
        <f>IFERROR(IF(AND($AZ$25&gt;=$AS$14,$AZ$25&lt;=$AS$15),10+0.5+100*($AZ$25-$AS$14)/($AS$15-$AS$14),NA()),NA())</f>
        <v/>
      </c>
      <c r="AY46">
        <f>IF(ISNA($AX$46),NA(),0)</f>
        <v/>
      </c>
      <c r="BA46">
        <f>IF($AT$46="","",IFERROR(IF(ABS($AT$46)&gt;=1000000,ROUND($AT$46/1000000,MAX(0,1-INT(LOG10($AS$27/1000000))))&amp;"M",IF(ABS($AT$46)&gt;=1000,ROUND($AT$46/1000,MAX(0,1-INT(LOG10($AS$27/1000))))&amp;"k",TEXT($AT$46,"#,##0"))),TEXT($AT$46,"#,##0")))</f>
        <v/>
      </c>
    </row>
    <row r="47">
      <c r="B47" t="n">
        <v>614.5</v>
      </c>
      <c r="C47" t="n">
        <v>615.25</v>
      </c>
      <c r="D47" t="n">
        <v>22</v>
      </c>
      <c r="G47">
        <f>IF(44&lt;=$F$13,$F$14+(44-1)*$F$16,"")</f>
        <v/>
      </c>
      <c r="H47">
        <f>IF(44&gt;$F$13,"",SUMIFS($D$4:$D$203,$C$4:$C$203,"&gt;="&amp;$G$47,$C$4:$C$203,IF(44=$F$13,"&lt;=","&lt;")&amp;($G$47+$F$16)))</f>
        <v/>
      </c>
      <c r="I47">
        <f>IF(AND(MOD(33,$F$17)=0,MOD((INT(33/$F$17)+1)-1,$F$13/5)=0),INDEX($N$4:$N$53,(INT(33/$F$17)+1)),"")</f>
        <v/>
      </c>
      <c r="J47">
        <f>IF(MOD(33,$F$17)=$F$17-1,0,INDEX($H$4:$H$53,(INT(33/$F$17)+1)))</f>
        <v/>
      </c>
      <c r="K47">
        <f>IFERROR(IF(AND($M$25&gt;=$F$14,$M$25&lt;=$F$15),10+0.5+100*($M$25-$F$14)/($F$15-$F$14),NA()),NA())</f>
        <v/>
      </c>
      <c r="L47">
        <f>IF(ISNA($K$47),NA(),MAX($J$4:$J$123))</f>
        <v/>
      </c>
      <c r="N47">
        <f>IF($G$47="","",IFERROR(IF(ABS($G$47)&gt;=1000000,ROUND($G$47/1000000,MAX(0,1-INT(LOG10($F$27/1000000))))&amp;"M",IF(ABS($G$47)&gt;=1000,ROUND($G$47/1000,MAX(0,1-INT(LOG10($F$27/1000))))&amp;"k",TEXT($G$47,"#,##0"))),TEXT($G$47,"#,##0")))</f>
        <v/>
      </c>
      <c r="O47" t="n">
        <v>12900</v>
      </c>
      <c r="P47" t="n">
        <v>13050</v>
      </c>
      <c r="Q47" t="n">
        <v>43</v>
      </c>
      <c r="T47">
        <f>IF(44&lt;=$S$13,$S$14+(44-1)*$S$16,"")</f>
        <v/>
      </c>
      <c r="U47">
        <f>IF(44&gt;$S$13,"",SUMIFS($Q$4:$Q$203,$P$4:$P$203,"&gt;="&amp;$T$47,$P$4:$P$203,IF(44=$S$13,"&lt;=","&lt;")&amp;($T$47+$S$16)))</f>
        <v/>
      </c>
      <c r="V47">
        <f>IF(AND(MOD(33,$S$17)=0,MOD((INT(33/$S$17)+1)-1,$S$13/5)=0),INDEX($AA$4:$AA$53,(INT(33/$S$17)+1)),"")</f>
        <v/>
      </c>
      <c r="W47">
        <f>IF(MOD(33,$S$17)=$S$17-1,0,INDEX($U$4:$U$53,(INT(33/$S$17)+1)))</f>
        <v/>
      </c>
      <c r="X47">
        <f>IFERROR(IF(AND($Z$25&gt;=$S$14,$Z$25&lt;=$S$15),10+0.5+100*($Z$25-$S$14)/($S$15-$S$14),NA()),NA())</f>
        <v/>
      </c>
      <c r="Y47">
        <f>IF(ISNA($X$47),NA(),MAX($W$4:$W$123))</f>
        <v/>
      </c>
      <c r="AA47">
        <f>IF($T$47="","",IFERROR(IF(ABS($T$47)&gt;=1000000,ROUND($T$47/1000000,MAX(0,1-INT(LOG10($S$27/1000000))))&amp;"M",IF(ABS($T$47)&gt;=1000,ROUND($T$47/1000,MAX(0,1-INT(LOG10($S$27/1000))))&amp;"k",TEXT($T$47,"#,##0"))),TEXT($T$47,"#,##0")))</f>
        <v/>
      </c>
      <c r="AB47" t="n">
        <v>6450</v>
      </c>
      <c r="AC47" t="n">
        <v>6525</v>
      </c>
      <c r="AD47" t="n">
        <v>76</v>
      </c>
      <c r="AG47">
        <f>IF(44&lt;=$AF$13,$AF$14+(44-1)*$AF$16,"")</f>
        <v/>
      </c>
      <c r="AH47">
        <f>IF(44&gt;$AF$13,"",SUMIFS($AD$4:$AD$203,$AC$4:$AC$203,"&gt;="&amp;$AG$47,$AC$4:$AC$203,IF(44=$AF$13,"&lt;=","&lt;")&amp;($AG$47+$AF$16)))</f>
        <v/>
      </c>
      <c r="AI47">
        <f>IF(AND(MOD(33,$AF$17)=0,MOD((INT(33/$AF$17)+1)-1,$AF$13/5)=0),INDEX($AN$4:$AN$53,(INT(33/$AF$17)+1)),"")</f>
        <v/>
      </c>
      <c r="AJ47">
        <f>IF(MOD(33,$AF$17)=$AF$17-1,0,INDEX($AH$4:$AH$53,(INT(33/$AF$17)+1)))</f>
        <v/>
      </c>
      <c r="AK47">
        <f>IFERROR(IF(AND($AM$25&gt;=$AF$14,$AM$25&lt;=$AF$15),10+0.5+100*($AM$25-$AF$14)/($AF$15-$AF$14),NA()),NA())</f>
        <v/>
      </c>
      <c r="AL47">
        <f>IF(ISNA($AK$47),NA(),MAX($AJ$4:$AJ$123))</f>
        <v/>
      </c>
      <c r="AN47">
        <f>IF($AG$47="","",IFERROR(IF(ABS($AG$47)&gt;=1000000,ROUND($AG$47/1000000,MAX(0,1-INT(LOG10($AF$27/1000000))))&amp;"M",IF(ABS($AG$47)&gt;=1000,ROUND($AG$47/1000,MAX(0,1-INT(LOG10($AF$27/1000))))&amp;"k",TEXT($AG$47,"#,##0"))),TEXT($AG$47,"#,##0")))</f>
        <v/>
      </c>
      <c r="AO47" t="n">
        <v>96.75</v>
      </c>
      <c r="AP47" t="n">
        <v>97.875</v>
      </c>
      <c r="AQ47" t="n">
        <v>35</v>
      </c>
      <c r="AT47">
        <f>IF(44&lt;=$AS$13,$AS$14+(44-1)*$AS$16,"")</f>
        <v/>
      </c>
      <c r="AU47">
        <f>IF(44&gt;$AS$13,"",SUMIFS($AQ$4:$AQ$203,$AP$4:$AP$203,"&gt;="&amp;$AT$47,$AP$4:$AP$203,IF(44=$AS$13,"&lt;=","&lt;")&amp;($AT$47+$AS$16)))</f>
        <v/>
      </c>
      <c r="AV47">
        <f>IF(AND(MOD(33,$AS$17)=0,MOD((INT(33/$AS$17)+1)-1,$AS$13/5)=0),INDEX($BA$4:$BA$53,(INT(33/$AS$17)+1)),"")</f>
        <v/>
      </c>
      <c r="AW47">
        <f>IF(MOD(33,$AS$17)=$AS$17-1,0,INDEX($AU$4:$AU$53,(INT(33/$AS$17)+1)))</f>
        <v/>
      </c>
      <c r="AX47">
        <f>IFERROR(IF(AND($AZ$25&gt;=$AS$14,$AZ$25&lt;=$AS$15),10+0.5+100*($AZ$25-$AS$14)/($AS$15-$AS$14),NA()),NA())</f>
        <v/>
      </c>
      <c r="AY47">
        <f>IF(ISNA($AX$47),NA(),MAX($AW$4:$AW$123))</f>
        <v/>
      </c>
      <c r="BA47">
        <f>IF($AT$47="","",IFERROR(IF(ABS($AT$47)&gt;=1000000,ROUND($AT$47/1000000,MAX(0,1-INT(LOG10($AS$27/1000000))))&amp;"M",IF(ABS($AT$47)&gt;=1000,ROUND($AT$47/1000,MAX(0,1-INT(LOG10($AS$27/1000))))&amp;"k",TEXT($AT$47,"#,##0"))),TEXT($AT$47,"#,##0")))</f>
        <v/>
      </c>
    </row>
    <row r="48">
      <c r="B48" t="n">
        <v>616</v>
      </c>
      <c r="C48" t="n">
        <v>616.75</v>
      </c>
      <c r="D48" t="n">
        <v>32</v>
      </c>
      <c r="G48">
        <f>IF(45&lt;=$F$13,$F$14+(45-1)*$F$16,"")</f>
        <v/>
      </c>
      <c r="H48">
        <f>IF(45&gt;$F$13,"",SUMIFS($D$4:$D$203,$C$4:$C$203,"&gt;="&amp;$G$48,$C$4:$C$203,IF(45=$F$13,"&lt;=","&lt;")&amp;($G$48+$F$16)))</f>
        <v/>
      </c>
      <c r="I48">
        <f>IF(AND(MOD(34,$F$17)=0,MOD((INT(34/$F$17)+1)-1,$F$13/5)=0),INDEX($N$4:$N$53,(INT(34/$F$17)+1)),"")</f>
        <v/>
      </c>
      <c r="J48">
        <f>IF(MOD(34,$F$17)=$F$17-1,0,INDEX($H$4:$H$53,(INT(34/$F$17)+1)))</f>
        <v/>
      </c>
      <c r="K48">
        <f>IFERROR(IF(AND($M$26&gt;=$F$14,$M$26&lt;=$F$15),10+0.5+100*($M$26-$F$14)/($F$15-$F$14),NA()),NA())</f>
        <v/>
      </c>
      <c r="L48">
        <f>IF(ISNA($K$48),NA(),0)</f>
        <v/>
      </c>
      <c r="N48">
        <f>IF($G$48="","",IFERROR(IF(ABS($G$48)&gt;=1000000,ROUND($G$48/1000000,MAX(0,1-INT(LOG10($F$27/1000000))))&amp;"M",IF(ABS($G$48)&gt;=1000,ROUND($G$48/1000,MAX(0,1-INT(LOG10($F$27/1000))))&amp;"k",TEXT($G$48,"#,##0"))),TEXT($G$48,"#,##0")))</f>
        <v/>
      </c>
      <c r="O48" t="n">
        <v>13200</v>
      </c>
      <c r="P48" t="n">
        <v>13350</v>
      </c>
      <c r="Q48" t="n">
        <v>56</v>
      </c>
      <c r="T48">
        <f>IF(45&lt;=$S$13,$S$14+(45-1)*$S$16,"")</f>
        <v/>
      </c>
      <c r="U48">
        <f>IF(45&gt;$S$13,"",SUMIFS($Q$4:$Q$203,$P$4:$P$203,"&gt;="&amp;$T$48,$P$4:$P$203,IF(45=$S$13,"&lt;=","&lt;")&amp;($T$48+$S$16)))</f>
        <v/>
      </c>
      <c r="V48">
        <f>IF(AND(MOD(34,$S$17)=0,MOD((INT(34/$S$17)+1)-1,$S$13/5)=0),INDEX($AA$4:$AA$53,(INT(34/$S$17)+1)),"")</f>
        <v/>
      </c>
      <c r="W48">
        <f>IF(MOD(34,$S$17)=$S$17-1,0,INDEX($U$4:$U$53,(INT(34/$S$17)+1)))</f>
        <v/>
      </c>
      <c r="X48">
        <f>IFERROR(IF(AND($Z$26&gt;=$S$14,$Z$26&lt;=$S$15),10+0.5+100*($Z$26-$S$14)/($S$15-$S$14),NA()),NA())</f>
        <v/>
      </c>
      <c r="Y48">
        <f>IF(ISNA($X$48),NA(),0)</f>
        <v/>
      </c>
      <c r="AA48">
        <f>IF($T$48="","",IFERROR(IF(ABS($T$48)&gt;=1000000,ROUND($T$48/1000000,MAX(0,1-INT(LOG10($S$27/1000000))))&amp;"M",IF(ABS($T$48)&gt;=1000,ROUND($T$48/1000,MAX(0,1-INT(LOG10($S$27/1000))))&amp;"k",TEXT($T$48,"#,##0"))),TEXT($T$48,"#,##0")))</f>
        <v/>
      </c>
      <c r="AB48" t="n">
        <v>6600</v>
      </c>
      <c r="AC48" t="n">
        <v>6675</v>
      </c>
      <c r="AD48" t="n">
        <v>73</v>
      </c>
      <c r="AG48">
        <f>IF(45&lt;=$AF$13,$AF$14+(45-1)*$AF$16,"")</f>
        <v/>
      </c>
      <c r="AH48">
        <f>IF(45&gt;$AF$13,"",SUMIFS($AD$4:$AD$203,$AC$4:$AC$203,"&gt;="&amp;$AG$48,$AC$4:$AC$203,IF(45=$AF$13,"&lt;=","&lt;")&amp;($AG$48+$AF$16)))</f>
        <v/>
      </c>
      <c r="AI48">
        <f>IF(AND(MOD(34,$AF$17)=0,MOD((INT(34/$AF$17)+1)-1,$AF$13/5)=0),INDEX($AN$4:$AN$53,(INT(34/$AF$17)+1)),"")</f>
        <v/>
      </c>
      <c r="AJ48">
        <f>IF(MOD(34,$AF$17)=$AF$17-1,0,INDEX($AH$4:$AH$53,(INT(34/$AF$17)+1)))</f>
        <v/>
      </c>
      <c r="AK48">
        <f>IFERROR(IF(AND($AM$26&gt;=$AF$14,$AM$26&lt;=$AF$15),10+0.5+100*($AM$26-$AF$14)/($AF$15-$AF$14),NA()),NA())</f>
        <v/>
      </c>
      <c r="AL48">
        <f>IF(ISNA($AK$48),NA(),0)</f>
        <v/>
      </c>
      <c r="AN48">
        <f>IF($AG$48="","",IFERROR(IF(ABS($AG$48)&gt;=1000000,ROUND($AG$48/1000000,MAX(0,1-INT(LOG10($AF$27/1000000))))&amp;"M",IF(ABS($AG$48)&gt;=1000,ROUND($AG$48/1000,MAX(0,1-INT(LOG10($AF$27/1000))))&amp;"k",TEXT($AG$48,"#,##0"))),TEXT($AG$48,"#,##0")))</f>
        <v/>
      </c>
      <c r="AO48" t="n">
        <v>99</v>
      </c>
      <c r="AP48" t="n">
        <v>100.125</v>
      </c>
      <c r="AQ48" t="n">
        <v>58</v>
      </c>
      <c r="AT48">
        <f>IF(45&lt;=$AS$13,$AS$14+(45-1)*$AS$16,"")</f>
        <v/>
      </c>
      <c r="AU48">
        <f>IF(45&gt;$AS$13,"",SUMIFS($AQ$4:$AQ$203,$AP$4:$AP$203,"&gt;="&amp;$AT$48,$AP$4:$AP$203,IF(45=$AS$13,"&lt;=","&lt;")&amp;($AT$48+$AS$16)))</f>
        <v/>
      </c>
      <c r="AV48">
        <f>IF(AND(MOD(34,$AS$17)=0,MOD((INT(34/$AS$17)+1)-1,$AS$13/5)=0),INDEX($BA$4:$BA$53,(INT(34/$AS$17)+1)),"")</f>
        <v/>
      </c>
      <c r="AW48">
        <f>IF(MOD(34,$AS$17)=$AS$17-1,0,INDEX($AU$4:$AU$53,(INT(34/$AS$17)+1)))</f>
        <v/>
      </c>
      <c r="AX48">
        <f>IFERROR(IF(AND($AZ$26&gt;=$AS$14,$AZ$26&lt;=$AS$15),10+0.5+100*($AZ$26-$AS$14)/($AS$15-$AS$14),NA()),NA())</f>
        <v/>
      </c>
      <c r="AY48">
        <f>IF(ISNA($AX$48),NA(),0)</f>
        <v/>
      </c>
      <c r="BA48">
        <f>IF($AT$48="","",IFERROR(IF(ABS($AT$48)&gt;=1000000,ROUND($AT$48/1000000,MAX(0,1-INT(LOG10($AS$27/1000000))))&amp;"M",IF(ABS($AT$48)&gt;=1000,ROUND($AT$48/1000,MAX(0,1-INT(LOG10($AS$27/1000))))&amp;"k",TEXT($AT$48,"#,##0"))),TEXT($AT$48,"#,##0")))</f>
        <v/>
      </c>
    </row>
    <row r="49">
      <c r="B49" t="n">
        <v>617.5</v>
      </c>
      <c r="C49" t="n">
        <v>618.25</v>
      </c>
      <c r="D49" t="n">
        <v>21</v>
      </c>
      <c r="G49">
        <f>IF(46&lt;=$F$13,$F$14+(46-1)*$F$16,"")</f>
        <v/>
      </c>
      <c r="H49">
        <f>IF(46&gt;$F$13,"",SUMIFS($D$4:$D$203,$C$4:$C$203,"&gt;="&amp;$G$49,$C$4:$C$203,IF(46=$F$13,"&lt;=","&lt;")&amp;($G$49+$F$16)))</f>
        <v/>
      </c>
      <c r="I49">
        <f>IF(AND(MOD(35,$F$17)=0,MOD((INT(35/$F$17)+1)-1,$F$13/5)=0),INDEX($N$4:$N$53,(INT(35/$F$17)+1)),"")</f>
        <v/>
      </c>
      <c r="J49">
        <f>IF(MOD(35,$F$17)=$F$17-1,0,INDEX($H$4:$H$53,(INT(35/$F$17)+1)))</f>
        <v/>
      </c>
      <c r="K49">
        <f>IFERROR(IF(AND($M$26&gt;=$F$14,$M$26&lt;=$F$15),10+0.5+100*($M$26-$F$14)/($F$15-$F$14),NA()),NA())</f>
        <v/>
      </c>
      <c r="L49">
        <f>IF(ISNA($K$49),NA(),MAX($J$4:$J$123))</f>
        <v/>
      </c>
      <c r="N49">
        <f>IF($G$49="","",IFERROR(IF(ABS($G$49)&gt;=1000000,ROUND($G$49/1000000,MAX(0,1-INT(LOG10($F$27/1000000))))&amp;"M",IF(ABS($G$49)&gt;=1000,ROUND($G$49/1000,MAX(0,1-INT(LOG10($F$27/1000))))&amp;"k",TEXT($G$49,"#,##0"))),TEXT($G$49,"#,##0")))</f>
        <v/>
      </c>
      <c r="O49" t="n">
        <v>13500</v>
      </c>
      <c r="P49" t="n">
        <v>13650</v>
      </c>
      <c r="Q49" t="n">
        <v>45</v>
      </c>
      <c r="T49">
        <f>IF(46&lt;=$S$13,$S$14+(46-1)*$S$16,"")</f>
        <v/>
      </c>
      <c r="U49">
        <f>IF(46&gt;$S$13,"",SUMIFS($Q$4:$Q$203,$P$4:$P$203,"&gt;="&amp;$T$49,$P$4:$P$203,IF(46=$S$13,"&lt;=","&lt;")&amp;($T$49+$S$16)))</f>
        <v/>
      </c>
      <c r="V49">
        <f>IF(AND(MOD(35,$S$17)=0,MOD((INT(35/$S$17)+1)-1,$S$13/5)=0),INDEX($AA$4:$AA$53,(INT(35/$S$17)+1)),"")</f>
        <v/>
      </c>
      <c r="W49">
        <f>IF(MOD(35,$S$17)=$S$17-1,0,INDEX($U$4:$U$53,(INT(35/$S$17)+1)))</f>
        <v/>
      </c>
      <c r="X49">
        <f>IFERROR(IF(AND($Z$26&gt;=$S$14,$Z$26&lt;=$S$15),10+0.5+100*($Z$26-$S$14)/($S$15-$S$14),NA()),NA())</f>
        <v/>
      </c>
      <c r="Y49">
        <f>IF(ISNA($X$49),NA(),MAX($W$4:$W$123))</f>
        <v/>
      </c>
      <c r="AA49">
        <f>IF($T$49="","",IFERROR(IF(ABS($T$49)&gt;=1000000,ROUND($T$49/1000000,MAX(0,1-INT(LOG10($S$27/1000000))))&amp;"M",IF(ABS($T$49)&gt;=1000,ROUND($T$49/1000,MAX(0,1-INT(LOG10($S$27/1000))))&amp;"k",TEXT($T$49,"#,##0"))),TEXT($T$49,"#,##0")))</f>
        <v/>
      </c>
      <c r="AB49" t="n">
        <v>6750</v>
      </c>
      <c r="AC49" t="n">
        <v>6825</v>
      </c>
      <c r="AD49" t="n">
        <v>58</v>
      </c>
      <c r="AG49">
        <f>IF(46&lt;=$AF$13,$AF$14+(46-1)*$AF$16,"")</f>
        <v/>
      </c>
      <c r="AH49">
        <f>IF(46&gt;$AF$13,"",SUMIFS($AD$4:$AD$203,$AC$4:$AC$203,"&gt;="&amp;$AG$49,$AC$4:$AC$203,IF(46=$AF$13,"&lt;=","&lt;")&amp;($AG$49+$AF$16)))</f>
        <v/>
      </c>
      <c r="AI49">
        <f>IF(AND(MOD(35,$AF$17)=0,MOD((INT(35/$AF$17)+1)-1,$AF$13/5)=0),INDEX($AN$4:$AN$53,(INT(35/$AF$17)+1)),"")</f>
        <v/>
      </c>
      <c r="AJ49">
        <f>IF(MOD(35,$AF$17)=$AF$17-1,0,INDEX($AH$4:$AH$53,(INT(35/$AF$17)+1)))</f>
        <v/>
      </c>
      <c r="AK49">
        <f>IFERROR(IF(AND($AM$26&gt;=$AF$14,$AM$26&lt;=$AF$15),10+0.5+100*($AM$26-$AF$14)/($AF$15-$AF$14),NA()),NA())</f>
        <v/>
      </c>
      <c r="AL49">
        <f>IF(ISNA($AK$49),NA(),MAX($AJ$4:$AJ$123))</f>
        <v/>
      </c>
      <c r="AN49">
        <f>IF($AG$49="","",IFERROR(IF(ABS($AG$49)&gt;=1000000,ROUND($AG$49/1000000,MAX(0,1-INT(LOG10($AF$27/1000000))))&amp;"M",IF(ABS($AG$49)&gt;=1000,ROUND($AG$49/1000,MAX(0,1-INT(LOG10($AF$27/1000))))&amp;"k",TEXT($AG$49,"#,##0"))),TEXT($AG$49,"#,##0")))</f>
        <v/>
      </c>
      <c r="AO49" t="n">
        <v>101.25</v>
      </c>
      <c r="AP49" t="n">
        <v>102.375</v>
      </c>
      <c r="AQ49" t="n">
        <v>45</v>
      </c>
      <c r="AT49">
        <f>IF(46&lt;=$AS$13,$AS$14+(46-1)*$AS$16,"")</f>
        <v/>
      </c>
      <c r="AU49">
        <f>IF(46&gt;$AS$13,"",SUMIFS($AQ$4:$AQ$203,$AP$4:$AP$203,"&gt;="&amp;$AT$49,$AP$4:$AP$203,IF(46=$AS$13,"&lt;=","&lt;")&amp;($AT$49+$AS$16)))</f>
        <v/>
      </c>
      <c r="AV49">
        <f>IF(AND(MOD(35,$AS$17)=0,MOD((INT(35/$AS$17)+1)-1,$AS$13/5)=0),INDEX($BA$4:$BA$53,(INT(35/$AS$17)+1)),"")</f>
        <v/>
      </c>
      <c r="AW49">
        <f>IF(MOD(35,$AS$17)=$AS$17-1,0,INDEX($AU$4:$AU$53,(INT(35/$AS$17)+1)))</f>
        <v/>
      </c>
      <c r="AX49">
        <f>IFERROR(IF(AND($AZ$26&gt;=$AS$14,$AZ$26&lt;=$AS$15),10+0.5+100*($AZ$26-$AS$14)/($AS$15-$AS$14),NA()),NA())</f>
        <v/>
      </c>
      <c r="AY49">
        <f>IF(ISNA($AX$49),NA(),MAX($AW$4:$AW$123))</f>
        <v/>
      </c>
      <c r="BA49">
        <f>IF($AT$49="","",IFERROR(IF(ABS($AT$49)&gt;=1000000,ROUND($AT$49/1000000,MAX(0,1-INT(LOG10($AS$27/1000000))))&amp;"M",IF(ABS($AT$49)&gt;=1000,ROUND($AT$49/1000,MAX(0,1-INT(LOG10($AS$27/1000))))&amp;"k",TEXT($AT$49,"#,##0"))),TEXT($AT$49,"#,##0")))</f>
        <v/>
      </c>
    </row>
    <row r="50">
      <c r="B50" t="n">
        <v>619</v>
      </c>
      <c r="C50" t="n">
        <v>619.75</v>
      </c>
      <c r="D50" t="n">
        <v>30</v>
      </c>
      <c r="G50">
        <f>IF(47&lt;=$F$13,$F$14+(47-1)*$F$16,"")</f>
        <v/>
      </c>
      <c r="H50">
        <f>IF(47&gt;$F$13,"",SUMIFS($D$4:$D$203,$C$4:$C$203,"&gt;="&amp;$G$50,$C$4:$C$203,IF(47=$F$13,"&lt;=","&lt;")&amp;($G$50+$F$16)))</f>
        <v/>
      </c>
      <c r="I50">
        <f>IF(AND(MOD(36,$F$17)=0,MOD((INT(36/$F$17)+1)-1,$F$13/5)=0),INDEX($N$4:$N$53,(INT(36/$F$17)+1)),"")</f>
        <v/>
      </c>
      <c r="J50">
        <f>IF(MOD(36,$F$17)=$F$17-1,0,INDEX($H$4:$H$53,(INT(36/$F$17)+1)))</f>
        <v/>
      </c>
      <c r="K50">
        <f>IFERROR(IF(AND($M$27&gt;=$F$14,$M$27&lt;=$F$15),10+0.5+100*($M$27-$F$14)/($F$15-$F$14),NA()),NA())</f>
        <v/>
      </c>
      <c r="L50">
        <f>IF(ISNA($K$50),NA(),0)</f>
        <v/>
      </c>
      <c r="N50">
        <f>IF($G$50="","",IFERROR(IF(ABS($G$50)&gt;=1000000,ROUND($G$50/1000000,MAX(0,1-INT(LOG10($F$27/1000000))))&amp;"M",IF(ABS($G$50)&gt;=1000,ROUND($G$50/1000,MAX(0,1-INT(LOG10($F$27/1000))))&amp;"k",TEXT($G$50,"#,##0"))),TEXT($G$50,"#,##0")))</f>
        <v/>
      </c>
      <c r="O50" t="n">
        <v>13800</v>
      </c>
      <c r="P50" t="n">
        <v>13950</v>
      </c>
      <c r="Q50" t="n">
        <v>45</v>
      </c>
      <c r="T50">
        <f>IF(47&lt;=$S$13,$S$14+(47-1)*$S$16,"")</f>
        <v/>
      </c>
      <c r="U50">
        <f>IF(47&gt;$S$13,"",SUMIFS($Q$4:$Q$203,$P$4:$P$203,"&gt;="&amp;$T$50,$P$4:$P$203,IF(47=$S$13,"&lt;=","&lt;")&amp;($T$50+$S$16)))</f>
        <v/>
      </c>
      <c r="V50">
        <f>IF(AND(MOD(36,$S$17)=0,MOD((INT(36/$S$17)+1)-1,$S$13/5)=0),INDEX($AA$4:$AA$53,(INT(36/$S$17)+1)),"")</f>
        <v/>
      </c>
      <c r="W50">
        <f>IF(MOD(36,$S$17)=$S$17-1,0,INDEX($U$4:$U$53,(INT(36/$S$17)+1)))</f>
        <v/>
      </c>
      <c r="X50">
        <f>IFERROR(IF(AND($Z$27&gt;=$S$14,$Z$27&lt;=$S$15),10+0.5+100*($Z$27-$S$14)/($S$15-$S$14),NA()),NA())</f>
        <v/>
      </c>
      <c r="Y50">
        <f>IF(ISNA($X$50),NA(),0)</f>
        <v/>
      </c>
      <c r="AA50">
        <f>IF($T$50="","",IFERROR(IF(ABS($T$50)&gt;=1000000,ROUND($T$50/1000000,MAX(0,1-INT(LOG10($S$27/1000000))))&amp;"M",IF(ABS($T$50)&gt;=1000,ROUND($T$50/1000,MAX(0,1-INT(LOG10($S$27/1000))))&amp;"k",TEXT($T$50,"#,##0"))),TEXT($T$50,"#,##0")))</f>
        <v/>
      </c>
      <c r="AB50" t="n">
        <v>6900</v>
      </c>
      <c r="AC50" t="n">
        <v>6975</v>
      </c>
      <c r="AD50" t="n">
        <v>78</v>
      </c>
      <c r="AG50">
        <f>IF(47&lt;=$AF$13,$AF$14+(47-1)*$AF$16,"")</f>
        <v/>
      </c>
      <c r="AH50">
        <f>IF(47&gt;$AF$13,"",SUMIFS($AD$4:$AD$203,$AC$4:$AC$203,"&gt;="&amp;$AG$50,$AC$4:$AC$203,IF(47=$AF$13,"&lt;=","&lt;")&amp;($AG$50+$AF$16)))</f>
        <v/>
      </c>
      <c r="AI50">
        <f>IF(AND(MOD(36,$AF$17)=0,MOD((INT(36/$AF$17)+1)-1,$AF$13/5)=0),INDEX($AN$4:$AN$53,(INT(36/$AF$17)+1)),"")</f>
        <v/>
      </c>
      <c r="AJ50">
        <f>IF(MOD(36,$AF$17)=$AF$17-1,0,INDEX($AH$4:$AH$53,(INT(36/$AF$17)+1)))</f>
        <v/>
      </c>
      <c r="AK50">
        <f>IFERROR(IF(AND($AM$27&gt;=$AF$14,$AM$27&lt;=$AF$15),10+0.5+100*($AM$27-$AF$14)/($AF$15-$AF$14),NA()),NA())</f>
        <v/>
      </c>
      <c r="AL50">
        <f>IF(ISNA($AK$50),NA(),0)</f>
        <v/>
      </c>
      <c r="AN50">
        <f>IF($AG$50="","",IFERROR(IF(ABS($AG$50)&gt;=1000000,ROUND($AG$50/1000000,MAX(0,1-INT(LOG10($AF$27/1000000))))&amp;"M",IF(ABS($AG$50)&gt;=1000,ROUND($AG$50/1000,MAX(0,1-INT(LOG10($AF$27/1000))))&amp;"k",TEXT($AG$50,"#,##0"))),TEXT($AG$50,"#,##0")))</f>
        <v/>
      </c>
      <c r="AO50" t="n">
        <v>103.5</v>
      </c>
      <c r="AP50" t="n">
        <v>104.625</v>
      </c>
      <c r="AQ50" t="n">
        <v>29</v>
      </c>
      <c r="AT50">
        <f>IF(47&lt;=$AS$13,$AS$14+(47-1)*$AS$16,"")</f>
        <v/>
      </c>
      <c r="AU50">
        <f>IF(47&gt;$AS$13,"",SUMIFS($AQ$4:$AQ$203,$AP$4:$AP$203,"&gt;="&amp;$AT$50,$AP$4:$AP$203,IF(47=$AS$13,"&lt;=","&lt;")&amp;($AT$50+$AS$16)))</f>
        <v/>
      </c>
      <c r="AV50">
        <f>IF(AND(MOD(36,$AS$17)=0,MOD((INT(36/$AS$17)+1)-1,$AS$13/5)=0),INDEX($BA$4:$BA$53,(INT(36/$AS$17)+1)),"")</f>
        <v/>
      </c>
      <c r="AW50">
        <f>IF(MOD(36,$AS$17)=$AS$17-1,0,INDEX($AU$4:$AU$53,(INT(36/$AS$17)+1)))</f>
        <v/>
      </c>
      <c r="AX50">
        <f>IFERROR(IF(AND($AZ$27&gt;=$AS$14,$AZ$27&lt;=$AS$15),10+0.5+100*($AZ$27-$AS$14)/($AS$15-$AS$14),NA()),NA())</f>
        <v/>
      </c>
      <c r="AY50">
        <f>IF(ISNA($AX$50),NA(),0)</f>
        <v/>
      </c>
      <c r="BA50">
        <f>IF($AT$50="","",IFERROR(IF(ABS($AT$50)&gt;=1000000,ROUND($AT$50/1000000,MAX(0,1-INT(LOG10($AS$27/1000000))))&amp;"M",IF(ABS($AT$50)&gt;=1000,ROUND($AT$50/1000,MAX(0,1-INT(LOG10($AS$27/1000))))&amp;"k",TEXT($AT$50,"#,##0"))),TEXT($AT$50,"#,##0")))</f>
        <v/>
      </c>
    </row>
    <row r="51">
      <c r="B51" t="n">
        <v>620.5</v>
      </c>
      <c r="C51" t="n">
        <v>621.25</v>
      </c>
      <c r="D51" t="n">
        <v>30</v>
      </c>
      <c r="G51">
        <f>IF(48&lt;=$F$13,$F$14+(48-1)*$F$16,"")</f>
        <v/>
      </c>
      <c r="H51">
        <f>IF(48&gt;$F$13,"",SUMIFS($D$4:$D$203,$C$4:$C$203,"&gt;="&amp;$G$51,$C$4:$C$203,IF(48=$F$13,"&lt;=","&lt;")&amp;($G$51+$F$16)))</f>
        <v/>
      </c>
      <c r="I51">
        <f>IF(AND(MOD(37,$F$17)=0,MOD((INT(37/$F$17)+1)-1,$F$13/5)=0),INDEX($N$4:$N$53,(INT(37/$F$17)+1)),"")</f>
        <v/>
      </c>
      <c r="J51">
        <f>IF(MOD(37,$F$17)=$F$17-1,0,INDEX($H$4:$H$53,(INT(37/$F$17)+1)))</f>
        <v/>
      </c>
      <c r="K51">
        <f>IFERROR(IF(AND($M$27&gt;=$F$14,$M$27&lt;=$F$15),10+0.5+100*($M$27-$F$14)/($F$15-$F$14),NA()),NA())</f>
        <v/>
      </c>
      <c r="L51">
        <f>IF(ISNA($K$51),NA(),MAX($J$4:$J$123))</f>
        <v/>
      </c>
      <c r="N51">
        <f>IF($G$51="","",IFERROR(IF(ABS($G$51)&gt;=1000000,ROUND($G$51/1000000,MAX(0,1-INT(LOG10($F$27/1000000))))&amp;"M",IF(ABS($G$51)&gt;=1000,ROUND($G$51/1000,MAX(0,1-INT(LOG10($F$27/1000))))&amp;"k",TEXT($G$51,"#,##0"))),TEXT($G$51,"#,##0")))</f>
        <v/>
      </c>
      <c r="O51" t="n">
        <v>14100</v>
      </c>
      <c r="P51" t="n">
        <v>14250</v>
      </c>
      <c r="Q51" t="n">
        <v>44</v>
      </c>
      <c r="T51">
        <f>IF(48&lt;=$S$13,$S$14+(48-1)*$S$16,"")</f>
        <v/>
      </c>
      <c r="U51">
        <f>IF(48&gt;$S$13,"",SUMIFS($Q$4:$Q$203,$P$4:$P$203,"&gt;="&amp;$T$51,$P$4:$P$203,IF(48=$S$13,"&lt;=","&lt;")&amp;($T$51+$S$16)))</f>
        <v/>
      </c>
      <c r="V51">
        <f>IF(AND(MOD(37,$S$17)=0,MOD((INT(37/$S$17)+1)-1,$S$13/5)=0),INDEX($AA$4:$AA$53,(INT(37/$S$17)+1)),"")</f>
        <v/>
      </c>
      <c r="W51">
        <f>IF(MOD(37,$S$17)=$S$17-1,0,INDEX($U$4:$U$53,(INT(37/$S$17)+1)))</f>
        <v/>
      </c>
      <c r="X51">
        <f>IFERROR(IF(AND($Z$27&gt;=$S$14,$Z$27&lt;=$S$15),10+0.5+100*($Z$27-$S$14)/($S$15-$S$14),NA()),NA())</f>
        <v/>
      </c>
      <c r="Y51">
        <f>IF(ISNA($X$51),NA(),MAX($W$4:$W$123))</f>
        <v/>
      </c>
      <c r="AA51">
        <f>IF($T$51="","",IFERROR(IF(ABS($T$51)&gt;=1000000,ROUND($T$51/1000000,MAX(0,1-INT(LOG10($S$27/1000000))))&amp;"M",IF(ABS($T$51)&gt;=1000,ROUND($T$51/1000,MAX(0,1-INT(LOG10($S$27/1000))))&amp;"k",TEXT($T$51,"#,##0"))),TEXT($T$51,"#,##0")))</f>
        <v/>
      </c>
      <c r="AB51" t="n">
        <v>7050</v>
      </c>
      <c r="AC51" t="n">
        <v>7125</v>
      </c>
      <c r="AD51" t="n">
        <v>81</v>
      </c>
      <c r="AG51">
        <f>IF(48&lt;=$AF$13,$AF$14+(48-1)*$AF$16,"")</f>
        <v/>
      </c>
      <c r="AH51">
        <f>IF(48&gt;$AF$13,"",SUMIFS($AD$4:$AD$203,$AC$4:$AC$203,"&gt;="&amp;$AG$51,$AC$4:$AC$203,IF(48=$AF$13,"&lt;=","&lt;")&amp;($AG$51+$AF$16)))</f>
        <v/>
      </c>
      <c r="AI51">
        <f>IF(AND(MOD(37,$AF$17)=0,MOD((INT(37/$AF$17)+1)-1,$AF$13/5)=0),INDEX($AN$4:$AN$53,(INT(37/$AF$17)+1)),"")</f>
        <v/>
      </c>
      <c r="AJ51">
        <f>IF(MOD(37,$AF$17)=$AF$17-1,0,INDEX($AH$4:$AH$53,(INT(37/$AF$17)+1)))</f>
        <v/>
      </c>
      <c r="AK51">
        <f>IFERROR(IF(AND($AM$27&gt;=$AF$14,$AM$27&lt;=$AF$15),10+0.5+100*($AM$27-$AF$14)/($AF$15-$AF$14),NA()),NA())</f>
        <v/>
      </c>
      <c r="AL51">
        <f>IF(ISNA($AK$51),NA(),MAX($AJ$4:$AJ$123))</f>
        <v/>
      </c>
      <c r="AN51">
        <f>IF($AG$51="","",IFERROR(IF(ABS($AG$51)&gt;=1000000,ROUND($AG$51/1000000,MAX(0,1-INT(LOG10($AF$27/1000000))))&amp;"M",IF(ABS($AG$51)&gt;=1000,ROUND($AG$51/1000,MAX(0,1-INT(LOG10($AF$27/1000))))&amp;"k",TEXT($AG$51,"#,##0"))),TEXT($AG$51,"#,##0")))</f>
        <v/>
      </c>
      <c r="AO51" t="n">
        <v>105.75</v>
      </c>
      <c r="AP51" t="n">
        <v>106.875</v>
      </c>
      <c r="AQ51" t="n">
        <v>35</v>
      </c>
      <c r="AT51">
        <f>IF(48&lt;=$AS$13,$AS$14+(48-1)*$AS$16,"")</f>
        <v/>
      </c>
      <c r="AU51">
        <f>IF(48&gt;$AS$13,"",SUMIFS($AQ$4:$AQ$203,$AP$4:$AP$203,"&gt;="&amp;$AT$51,$AP$4:$AP$203,IF(48=$AS$13,"&lt;=","&lt;")&amp;($AT$51+$AS$16)))</f>
        <v/>
      </c>
      <c r="AV51">
        <f>IF(AND(MOD(37,$AS$17)=0,MOD((INT(37/$AS$17)+1)-1,$AS$13/5)=0),INDEX($BA$4:$BA$53,(INT(37/$AS$17)+1)),"")</f>
        <v/>
      </c>
      <c r="AW51">
        <f>IF(MOD(37,$AS$17)=$AS$17-1,0,INDEX($AU$4:$AU$53,(INT(37/$AS$17)+1)))</f>
        <v/>
      </c>
      <c r="AX51">
        <f>IFERROR(IF(AND($AZ$27&gt;=$AS$14,$AZ$27&lt;=$AS$15),10+0.5+100*($AZ$27-$AS$14)/($AS$15-$AS$14),NA()),NA())</f>
        <v/>
      </c>
      <c r="AY51">
        <f>IF(ISNA($AX$51),NA(),MAX($AW$4:$AW$123))</f>
        <v/>
      </c>
      <c r="BA51">
        <f>IF($AT$51="","",IFERROR(IF(ABS($AT$51)&gt;=1000000,ROUND($AT$51/1000000,MAX(0,1-INT(LOG10($AS$27/1000000))))&amp;"M",IF(ABS($AT$51)&gt;=1000,ROUND($AT$51/1000,MAX(0,1-INT(LOG10($AS$27/1000))))&amp;"k",TEXT($AT$51,"#,##0"))),TEXT($AT$51,"#,##0")))</f>
        <v/>
      </c>
    </row>
    <row r="52">
      <c r="B52" t="n">
        <v>622</v>
      </c>
      <c r="C52" t="n">
        <v>622.75</v>
      </c>
      <c r="D52" t="n">
        <v>43</v>
      </c>
      <c r="G52">
        <f>IF(49&lt;=$F$13,$F$14+(49-1)*$F$16,"")</f>
        <v/>
      </c>
      <c r="H52">
        <f>IF(49&gt;$F$13,"",SUMIFS($D$4:$D$203,$C$4:$C$203,"&gt;="&amp;$G$52,$C$4:$C$203,IF(49=$F$13,"&lt;=","&lt;")&amp;($G$52+$F$16)))</f>
        <v/>
      </c>
      <c r="I52">
        <f>IF(AND(MOD(38,$F$17)=0,MOD((INT(38/$F$17)+1)-1,$F$13/5)=0),INDEX($N$4:$N$53,(INT(38/$F$17)+1)),"")</f>
        <v/>
      </c>
      <c r="J52">
        <f>IF(MOD(38,$F$17)=$F$17-1,0,INDEX($H$4:$H$53,(INT(38/$F$17)+1)))</f>
        <v/>
      </c>
      <c r="K52">
        <f>IFERROR(IF(AND($F$22&gt;=$F$14,$F$22&lt;=$F$15),10+0.5+100*($F$22-$F$14)/($F$15-$F$14),NA()),NA())</f>
        <v/>
      </c>
      <c r="L52">
        <f>IF(ISNA($K$52),NA(),0)</f>
        <v/>
      </c>
      <c r="N52">
        <f>IF($G$52="","",IFERROR(IF(ABS($G$52)&gt;=1000000,ROUND($G$52/1000000,MAX(0,1-INT(LOG10($F$27/1000000))))&amp;"M",IF(ABS($G$52)&gt;=1000,ROUND($G$52/1000,MAX(0,1-INT(LOG10($F$27/1000))))&amp;"k",TEXT($G$52,"#,##0"))),TEXT($G$52,"#,##0")))</f>
        <v/>
      </c>
      <c r="O52" t="n">
        <v>14400</v>
      </c>
      <c r="P52" t="n">
        <v>14550</v>
      </c>
      <c r="Q52" t="n">
        <v>45</v>
      </c>
      <c r="T52">
        <f>IF(49&lt;=$S$13,$S$14+(49-1)*$S$16,"")</f>
        <v/>
      </c>
      <c r="U52">
        <f>IF(49&gt;$S$13,"",SUMIFS($Q$4:$Q$203,$P$4:$P$203,"&gt;="&amp;$T$52,$P$4:$P$203,IF(49=$S$13,"&lt;=","&lt;")&amp;($T$52+$S$16)))</f>
        <v/>
      </c>
      <c r="V52">
        <f>IF(AND(MOD(38,$S$17)=0,MOD((INT(38/$S$17)+1)-1,$S$13/5)=0),INDEX($AA$4:$AA$53,(INT(38/$S$17)+1)),"")</f>
        <v/>
      </c>
      <c r="W52">
        <f>IF(MOD(38,$S$17)=$S$17-1,0,INDEX($U$4:$U$53,(INT(38/$S$17)+1)))</f>
        <v/>
      </c>
      <c r="X52">
        <f>IFERROR(IF(AND($S$22&gt;=$S$14,$S$22&lt;=$S$15),10+0.5+100*($S$22-$S$14)/($S$15-$S$14),NA()),NA())</f>
        <v/>
      </c>
      <c r="Y52">
        <f>IF(ISNA($X$52),NA(),0)</f>
        <v/>
      </c>
      <c r="AA52">
        <f>IF($T$52="","",IFERROR(IF(ABS($T$52)&gt;=1000000,ROUND($T$52/1000000,MAX(0,1-INT(LOG10($S$27/1000000))))&amp;"M",IF(ABS($T$52)&gt;=1000,ROUND($T$52/1000,MAX(0,1-INT(LOG10($S$27/1000))))&amp;"k",TEXT($T$52,"#,##0"))),TEXT($T$52,"#,##0")))</f>
        <v/>
      </c>
      <c r="AB52" t="n">
        <v>7200</v>
      </c>
      <c r="AC52" t="n">
        <v>7275</v>
      </c>
      <c r="AD52" t="n">
        <v>70</v>
      </c>
      <c r="AG52">
        <f>IF(49&lt;=$AF$13,$AF$14+(49-1)*$AF$16,"")</f>
        <v/>
      </c>
      <c r="AH52">
        <f>IF(49&gt;$AF$13,"",SUMIFS($AD$4:$AD$203,$AC$4:$AC$203,"&gt;="&amp;$AG$52,$AC$4:$AC$203,IF(49=$AF$13,"&lt;=","&lt;")&amp;($AG$52+$AF$16)))</f>
        <v/>
      </c>
      <c r="AI52">
        <f>IF(AND(MOD(38,$AF$17)=0,MOD((INT(38/$AF$17)+1)-1,$AF$13/5)=0),INDEX($AN$4:$AN$53,(INT(38/$AF$17)+1)),"")</f>
        <v/>
      </c>
      <c r="AJ52">
        <f>IF(MOD(38,$AF$17)=$AF$17-1,0,INDEX($AH$4:$AH$53,(INT(38/$AF$17)+1)))</f>
        <v/>
      </c>
      <c r="AK52">
        <f>IFERROR(IF(AND($AF$22&gt;=$AF$14,$AF$22&lt;=$AF$15),10+0.5+100*($AF$22-$AF$14)/($AF$15-$AF$14),NA()),NA())</f>
        <v/>
      </c>
      <c r="AL52">
        <f>IF(ISNA($AK$52),NA(),0)</f>
        <v/>
      </c>
      <c r="AN52">
        <f>IF($AG$52="","",IFERROR(IF(ABS($AG$52)&gt;=1000000,ROUND($AG$52/1000000,MAX(0,1-INT(LOG10($AF$27/1000000))))&amp;"M",IF(ABS($AG$52)&gt;=1000,ROUND($AG$52/1000,MAX(0,1-INT(LOG10($AF$27/1000))))&amp;"k",TEXT($AG$52,"#,##0"))),TEXT($AG$52,"#,##0")))</f>
        <v/>
      </c>
      <c r="AO52" t="n">
        <v>108</v>
      </c>
      <c r="AP52" t="n">
        <v>109.125</v>
      </c>
      <c r="AQ52" t="n">
        <v>60</v>
      </c>
      <c r="AT52">
        <f>IF(49&lt;=$AS$13,$AS$14+(49-1)*$AS$16,"")</f>
        <v/>
      </c>
      <c r="AU52">
        <f>IF(49&gt;$AS$13,"",SUMIFS($AQ$4:$AQ$203,$AP$4:$AP$203,"&gt;="&amp;$AT$52,$AP$4:$AP$203,IF(49=$AS$13,"&lt;=","&lt;")&amp;($AT$52+$AS$16)))</f>
        <v/>
      </c>
      <c r="AV52">
        <f>IF(AND(MOD(38,$AS$17)=0,MOD((INT(38/$AS$17)+1)-1,$AS$13/5)=0),INDEX($BA$4:$BA$53,(INT(38/$AS$17)+1)),"")</f>
        <v/>
      </c>
      <c r="AW52">
        <f>IF(MOD(38,$AS$17)=$AS$17-1,0,INDEX($AU$4:$AU$53,(INT(38/$AS$17)+1)))</f>
        <v/>
      </c>
      <c r="AX52">
        <f>IFERROR(IF(AND($AS$22&gt;=$AS$14,$AS$22&lt;=$AS$15),10+0.5+100*($AS$22-$AS$14)/($AS$15-$AS$14),NA()),NA())</f>
        <v/>
      </c>
      <c r="AY52">
        <f>IF(ISNA($AX$52),NA(),0)</f>
        <v/>
      </c>
      <c r="BA52">
        <f>IF($AT$52="","",IFERROR(IF(ABS($AT$52)&gt;=1000000,ROUND($AT$52/1000000,MAX(0,1-INT(LOG10($AS$27/1000000))))&amp;"M",IF(ABS($AT$52)&gt;=1000,ROUND($AT$52/1000,MAX(0,1-INT(LOG10($AS$27/1000))))&amp;"k",TEXT($AT$52,"#,##0"))),TEXT($AT$52,"#,##0")))</f>
        <v/>
      </c>
    </row>
    <row r="53">
      <c r="B53" t="n">
        <v>623.5</v>
      </c>
      <c r="C53" t="n">
        <v>624.25</v>
      </c>
      <c r="D53" t="n">
        <v>16</v>
      </c>
      <c r="G53">
        <f>IF(50&lt;=$F$13,$F$14+(50-1)*$F$16,"")</f>
        <v/>
      </c>
      <c r="H53">
        <f>IF(50&gt;$F$13,"",SUMIFS($D$4:$D$203,$C$4:$C$203,"&gt;="&amp;$G$53,$C$4:$C$203,IF(50=$F$13,"&lt;=","&lt;")&amp;($G$53+$F$16)))</f>
        <v/>
      </c>
      <c r="I53">
        <f>IF(AND(MOD(39,$F$17)=0,MOD((INT(39/$F$17)+1)-1,$F$13/5)=0),INDEX($N$4:$N$53,(INT(39/$F$17)+1)),"")</f>
        <v/>
      </c>
      <c r="J53">
        <f>IF(MOD(39,$F$17)=$F$17-1,0,INDEX($H$4:$H$53,(INT(39/$F$17)+1)))</f>
        <v/>
      </c>
      <c r="K53">
        <f>IFERROR(IF(AND($F$22&gt;=$F$14,$F$22&lt;=$F$15),10+0.5+100*($F$22-$F$14)/($F$15-$F$14),NA()),NA())</f>
        <v/>
      </c>
      <c r="L53">
        <f>IF(ISNA($K$53),NA(),MAX($J$4:$J$123))</f>
        <v/>
      </c>
      <c r="N53">
        <f>IF($G$53="","",IFERROR(IF(ABS($G$53)&gt;=1000000,ROUND($G$53/1000000,MAX(0,1-INT(LOG10($F$27/1000000))))&amp;"M",IF(ABS($G$53)&gt;=1000,ROUND($G$53/1000,MAX(0,1-INT(LOG10($F$27/1000))))&amp;"k",TEXT($G$53,"#,##0"))),TEXT($G$53,"#,##0")))</f>
        <v/>
      </c>
      <c r="O53" t="n">
        <v>14700</v>
      </c>
      <c r="P53" t="n">
        <v>14850</v>
      </c>
      <c r="Q53" t="n">
        <v>35</v>
      </c>
      <c r="T53">
        <f>IF(50&lt;=$S$13,$S$14+(50-1)*$S$16,"")</f>
        <v/>
      </c>
      <c r="U53">
        <f>IF(50&gt;$S$13,"",SUMIFS($Q$4:$Q$203,$P$4:$P$203,"&gt;="&amp;$T$53,$P$4:$P$203,IF(50=$S$13,"&lt;=","&lt;")&amp;($T$53+$S$16)))</f>
        <v/>
      </c>
      <c r="V53">
        <f>IF(AND(MOD(39,$S$17)=0,MOD((INT(39/$S$17)+1)-1,$S$13/5)=0),INDEX($AA$4:$AA$53,(INT(39/$S$17)+1)),"")</f>
        <v/>
      </c>
      <c r="W53">
        <f>IF(MOD(39,$S$17)=$S$17-1,0,INDEX($U$4:$U$53,(INT(39/$S$17)+1)))</f>
        <v/>
      </c>
      <c r="X53">
        <f>IFERROR(IF(AND($S$22&gt;=$S$14,$S$22&lt;=$S$15),10+0.5+100*($S$22-$S$14)/($S$15-$S$14),NA()),NA())</f>
        <v/>
      </c>
      <c r="Y53">
        <f>IF(ISNA($X$53),NA(),MAX($W$4:$W$123))</f>
        <v/>
      </c>
      <c r="AA53">
        <f>IF($T$53="","",IFERROR(IF(ABS($T$53)&gt;=1000000,ROUND($T$53/1000000,MAX(0,1-INT(LOG10($S$27/1000000))))&amp;"M",IF(ABS($T$53)&gt;=1000,ROUND($T$53/1000,MAX(0,1-INT(LOG10($S$27/1000))))&amp;"k",TEXT($T$53,"#,##0"))),TEXT($T$53,"#,##0")))</f>
        <v/>
      </c>
      <c r="AB53" t="n">
        <v>7350</v>
      </c>
      <c r="AC53" t="n">
        <v>7425</v>
      </c>
      <c r="AD53" t="n">
        <v>74</v>
      </c>
      <c r="AG53">
        <f>IF(50&lt;=$AF$13,$AF$14+(50-1)*$AF$16,"")</f>
        <v/>
      </c>
      <c r="AH53">
        <f>IF(50&gt;$AF$13,"",SUMIFS($AD$4:$AD$203,$AC$4:$AC$203,"&gt;="&amp;$AG$53,$AC$4:$AC$203,IF(50=$AF$13,"&lt;=","&lt;")&amp;($AG$53+$AF$16)))</f>
        <v/>
      </c>
      <c r="AI53">
        <f>IF(AND(MOD(39,$AF$17)=0,MOD((INT(39/$AF$17)+1)-1,$AF$13/5)=0),INDEX($AN$4:$AN$53,(INT(39/$AF$17)+1)),"")</f>
        <v/>
      </c>
      <c r="AJ53">
        <f>IF(MOD(39,$AF$17)=$AF$17-1,0,INDEX($AH$4:$AH$53,(INT(39/$AF$17)+1)))</f>
        <v/>
      </c>
      <c r="AK53">
        <f>IFERROR(IF(AND($AF$22&gt;=$AF$14,$AF$22&lt;=$AF$15),10+0.5+100*($AF$22-$AF$14)/($AF$15-$AF$14),NA()),NA())</f>
        <v/>
      </c>
      <c r="AL53">
        <f>IF(ISNA($AK$53),NA(),MAX($AJ$4:$AJ$123))</f>
        <v/>
      </c>
      <c r="AN53">
        <f>IF($AG$53="","",IFERROR(IF(ABS($AG$53)&gt;=1000000,ROUND($AG$53/1000000,MAX(0,1-INT(LOG10($AF$27/1000000))))&amp;"M",IF(ABS($AG$53)&gt;=1000,ROUND($AG$53/1000,MAX(0,1-INT(LOG10($AF$27/1000))))&amp;"k",TEXT($AG$53,"#,##0"))),TEXT($AG$53,"#,##0")))</f>
        <v/>
      </c>
      <c r="AO53" t="n">
        <v>110.25</v>
      </c>
      <c r="AP53" t="n">
        <v>111.375</v>
      </c>
      <c r="AQ53" t="n">
        <v>35</v>
      </c>
      <c r="AT53">
        <f>IF(50&lt;=$AS$13,$AS$14+(50-1)*$AS$16,"")</f>
        <v/>
      </c>
      <c r="AU53">
        <f>IF(50&gt;$AS$13,"",SUMIFS($AQ$4:$AQ$203,$AP$4:$AP$203,"&gt;="&amp;$AT$53,$AP$4:$AP$203,IF(50=$AS$13,"&lt;=","&lt;")&amp;($AT$53+$AS$16)))</f>
        <v/>
      </c>
      <c r="AV53">
        <f>IF(AND(MOD(39,$AS$17)=0,MOD((INT(39/$AS$17)+1)-1,$AS$13/5)=0),INDEX($BA$4:$BA$53,(INT(39/$AS$17)+1)),"")</f>
        <v/>
      </c>
      <c r="AW53">
        <f>IF(MOD(39,$AS$17)=$AS$17-1,0,INDEX($AU$4:$AU$53,(INT(39/$AS$17)+1)))</f>
        <v/>
      </c>
      <c r="AX53">
        <f>IFERROR(IF(AND($AS$22&gt;=$AS$14,$AS$22&lt;=$AS$15),10+0.5+100*($AS$22-$AS$14)/($AS$15-$AS$14),NA()),NA())</f>
        <v/>
      </c>
      <c r="AY53">
        <f>IF(ISNA($AX$53),NA(),MAX($AW$4:$AW$123))</f>
        <v/>
      </c>
      <c r="BA53">
        <f>IF($AT$53="","",IFERROR(IF(ABS($AT$53)&gt;=1000000,ROUND($AT$53/1000000,MAX(0,1-INT(LOG10($AS$27/1000000))))&amp;"M",IF(ABS($AT$53)&gt;=1000,ROUND($AT$53/1000,MAX(0,1-INT(LOG10($AS$27/1000))))&amp;"k",TEXT($AT$53,"#,##0"))),TEXT($AT$53,"#,##0")))</f>
        <v/>
      </c>
    </row>
    <row r="54">
      <c r="B54" t="n">
        <v>625</v>
      </c>
      <c r="C54" t="n">
        <v>625.75</v>
      </c>
      <c r="D54" t="n">
        <v>46</v>
      </c>
      <c r="I54">
        <f>IF(AND(MOD(40,$F$17)=0,MOD((INT(40/$F$17)+1)-1,$F$13/5)=0),INDEX($N$4:$N$53,(INT(40/$F$17)+1)),"")</f>
        <v/>
      </c>
      <c r="J54">
        <f>IF(MOD(40,$F$17)=$F$17-1,0,INDEX($H$4:$H$53,(INT(40/$F$17)+1)))</f>
        <v/>
      </c>
      <c r="K54">
        <f>IFERROR(IF(AND($F$23&gt;=$F$14,$F$23&lt;=$F$15),10+0.5+100*($F$23-$F$14)/($F$15-$F$14),NA()),NA())</f>
        <v/>
      </c>
      <c r="L54">
        <f>IF(ISNA($K$54),NA(),0)</f>
        <v/>
      </c>
      <c r="O54" t="n">
        <v>15000</v>
      </c>
      <c r="P54" t="n">
        <v>15150</v>
      </c>
      <c r="Q54" t="n">
        <v>42</v>
      </c>
      <c r="V54">
        <f>IF(AND(MOD(40,$S$17)=0,MOD((INT(40/$S$17)+1)-1,$S$13/5)=0),INDEX($AA$4:$AA$53,(INT(40/$S$17)+1)),"")</f>
        <v/>
      </c>
      <c r="W54">
        <f>IF(MOD(40,$S$17)=$S$17-1,0,INDEX($U$4:$U$53,(INT(40/$S$17)+1)))</f>
        <v/>
      </c>
      <c r="X54">
        <f>IFERROR(IF(AND($S$23&gt;=$S$14,$S$23&lt;=$S$15),10+0.5+100*($S$23-$S$14)/($S$15-$S$14),NA()),NA())</f>
        <v/>
      </c>
      <c r="Y54">
        <f>IF(ISNA($X$54),NA(),0)</f>
        <v/>
      </c>
      <c r="AB54" t="n">
        <v>7500</v>
      </c>
      <c r="AC54" t="n">
        <v>7575</v>
      </c>
      <c r="AD54" t="n">
        <v>70</v>
      </c>
      <c r="AI54">
        <f>IF(AND(MOD(40,$AF$17)=0,MOD((INT(40/$AF$17)+1)-1,$AF$13/5)=0),INDEX($AN$4:$AN$53,(INT(40/$AF$17)+1)),"")</f>
        <v/>
      </c>
      <c r="AJ54">
        <f>IF(MOD(40,$AF$17)=$AF$17-1,0,INDEX($AH$4:$AH$53,(INT(40/$AF$17)+1)))</f>
        <v/>
      </c>
      <c r="AK54">
        <f>IFERROR(IF(AND($AF$23&gt;=$AF$14,$AF$23&lt;=$AF$15),10+0.5+100*($AF$23-$AF$14)/($AF$15-$AF$14),NA()),NA())</f>
        <v/>
      </c>
      <c r="AL54">
        <f>IF(ISNA($AK$54),NA(),0)</f>
        <v/>
      </c>
      <c r="AO54" t="n">
        <v>112.5</v>
      </c>
      <c r="AP54" t="n">
        <v>113.625</v>
      </c>
      <c r="AQ54" t="n">
        <v>38</v>
      </c>
      <c r="AV54">
        <f>IF(AND(MOD(40,$AS$17)=0,MOD((INT(40/$AS$17)+1)-1,$AS$13/5)=0),INDEX($BA$4:$BA$53,(INT(40/$AS$17)+1)),"")</f>
        <v/>
      </c>
      <c r="AW54">
        <f>IF(MOD(40,$AS$17)=$AS$17-1,0,INDEX($AU$4:$AU$53,(INT(40/$AS$17)+1)))</f>
        <v/>
      </c>
      <c r="AX54">
        <f>IFERROR(IF(AND($AS$23&gt;=$AS$14,$AS$23&lt;=$AS$15),10+0.5+100*($AS$23-$AS$14)/($AS$15-$AS$14),NA()),NA())</f>
        <v/>
      </c>
      <c r="AY54">
        <f>IF(ISNA($AX$54),NA(),0)</f>
        <v/>
      </c>
    </row>
    <row r="55">
      <c r="B55" t="n">
        <v>626.5</v>
      </c>
      <c r="C55" t="n">
        <v>627.25</v>
      </c>
      <c r="D55" t="n">
        <v>24</v>
      </c>
      <c r="I55">
        <f>IF(AND(MOD(41,$F$17)=0,MOD((INT(41/$F$17)+1)-1,$F$13/5)=0),INDEX($N$4:$N$53,(INT(41/$F$17)+1)),"")</f>
        <v/>
      </c>
      <c r="J55">
        <f>IF(MOD(41,$F$17)=$F$17-1,0,INDEX($H$4:$H$53,(INT(41/$F$17)+1)))</f>
        <v/>
      </c>
      <c r="K55">
        <f>IFERROR(IF(AND($F$23&gt;=$F$14,$F$23&lt;=$F$15),10+0.5+100*($F$23-$F$14)/($F$15-$F$14),NA()),NA())</f>
        <v/>
      </c>
      <c r="L55">
        <f>IF(ISNA($K$55),NA(),MAX($J$4:$J$123))</f>
        <v/>
      </c>
      <c r="O55" t="n">
        <v>15300</v>
      </c>
      <c r="P55" t="n">
        <v>15450</v>
      </c>
      <c r="Q55" t="n">
        <v>39</v>
      </c>
      <c r="V55">
        <f>IF(AND(MOD(41,$S$17)=0,MOD((INT(41/$S$17)+1)-1,$S$13/5)=0),INDEX($AA$4:$AA$53,(INT(41/$S$17)+1)),"")</f>
        <v/>
      </c>
      <c r="W55">
        <f>IF(MOD(41,$S$17)=$S$17-1,0,INDEX($U$4:$U$53,(INT(41/$S$17)+1)))</f>
        <v/>
      </c>
      <c r="X55">
        <f>IFERROR(IF(AND($S$23&gt;=$S$14,$S$23&lt;=$S$15),10+0.5+100*($S$23-$S$14)/($S$15-$S$14),NA()),NA())</f>
        <v/>
      </c>
      <c r="Y55">
        <f>IF(ISNA($X$55),NA(),MAX($W$4:$W$123))</f>
        <v/>
      </c>
      <c r="AB55" t="n">
        <v>7650</v>
      </c>
      <c r="AC55" t="n">
        <v>7725</v>
      </c>
      <c r="AD55" t="n">
        <v>60</v>
      </c>
      <c r="AI55">
        <f>IF(AND(MOD(41,$AF$17)=0,MOD((INT(41/$AF$17)+1)-1,$AF$13/5)=0),INDEX($AN$4:$AN$53,(INT(41/$AF$17)+1)),"")</f>
        <v/>
      </c>
      <c r="AJ55">
        <f>IF(MOD(41,$AF$17)=$AF$17-1,0,INDEX($AH$4:$AH$53,(INT(41/$AF$17)+1)))</f>
        <v/>
      </c>
      <c r="AK55">
        <f>IFERROR(IF(AND($AF$23&gt;=$AF$14,$AF$23&lt;=$AF$15),10+0.5+100*($AF$23-$AF$14)/($AF$15-$AF$14),NA()),NA())</f>
        <v/>
      </c>
      <c r="AL55">
        <f>IF(ISNA($AK$55),NA(),MAX($AJ$4:$AJ$123))</f>
        <v/>
      </c>
      <c r="AO55" t="n">
        <v>114.75</v>
      </c>
      <c r="AP55" t="n">
        <v>115.875</v>
      </c>
      <c r="AQ55" t="n">
        <v>39</v>
      </c>
      <c r="AV55">
        <f>IF(AND(MOD(41,$AS$17)=0,MOD((INT(41/$AS$17)+1)-1,$AS$13/5)=0),INDEX($BA$4:$BA$53,(INT(41/$AS$17)+1)),"")</f>
        <v/>
      </c>
      <c r="AW55">
        <f>IF(MOD(41,$AS$17)=$AS$17-1,0,INDEX($AU$4:$AU$53,(INT(41/$AS$17)+1)))</f>
        <v/>
      </c>
      <c r="AX55">
        <f>IFERROR(IF(AND($AS$23&gt;=$AS$14,$AS$23&lt;=$AS$15),10+0.5+100*($AS$23-$AS$14)/($AS$15-$AS$14),NA()),NA())</f>
        <v/>
      </c>
      <c r="AY55">
        <f>IF(ISNA($AX$55),NA(),MAX($AW$4:$AW$123))</f>
        <v/>
      </c>
    </row>
    <row r="56">
      <c r="B56" t="n">
        <v>628</v>
      </c>
      <c r="C56" t="n">
        <v>628.75</v>
      </c>
      <c r="D56" t="n">
        <v>56</v>
      </c>
      <c r="I56">
        <f>IF(AND(MOD(42,$F$17)=0,MOD((INT(42/$F$17)+1)-1,$F$13/5)=0),INDEX($N$4:$N$53,(INT(42/$F$17)+1)),"")</f>
        <v/>
      </c>
      <c r="J56">
        <f>IF(MOD(42,$F$17)=$F$17-1,0,INDEX($H$4:$H$53,(INT(42/$F$17)+1)))</f>
        <v/>
      </c>
      <c r="K56">
        <f>IFERROR(IF(AND($F$24&gt;=$F$14,$F$24&lt;=$F$15),10+0.5+100*($F$24-$F$14)/($F$15-$F$14),NA()),NA())</f>
        <v/>
      </c>
      <c r="L56">
        <f>IF(ISNA($K$56),NA(),0)</f>
        <v/>
      </c>
      <c r="O56" t="n">
        <v>15600</v>
      </c>
      <c r="P56" t="n">
        <v>15750</v>
      </c>
      <c r="Q56" t="n">
        <v>42</v>
      </c>
      <c r="V56">
        <f>IF(AND(MOD(42,$S$17)=0,MOD((INT(42/$S$17)+1)-1,$S$13/5)=0),INDEX($AA$4:$AA$53,(INT(42/$S$17)+1)),"")</f>
        <v/>
      </c>
      <c r="W56">
        <f>IF(MOD(42,$S$17)=$S$17-1,0,INDEX($U$4:$U$53,(INT(42/$S$17)+1)))</f>
        <v/>
      </c>
      <c r="X56">
        <f>IFERROR(IF(AND($S$24&gt;=$S$14,$S$24&lt;=$S$15),10+0.5+100*($S$24-$S$14)/($S$15-$S$14),NA()),NA())</f>
        <v/>
      </c>
      <c r="Y56">
        <f>IF(ISNA($X$56),NA(),0)</f>
        <v/>
      </c>
      <c r="AB56" t="n">
        <v>7800</v>
      </c>
      <c r="AC56" t="n">
        <v>7875</v>
      </c>
      <c r="AD56" t="n">
        <v>69</v>
      </c>
      <c r="AI56">
        <f>IF(AND(MOD(42,$AF$17)=0,MOD((INT(42/$AF$17)+1)-1,$AF$13/5)=0),INDEX($AN$4:$AN$53,(INT(42/$AF$17)+1)),"")</f>
        <v/>
      </c>
      <c r="AJ56">
        <f>IF(MOD(42,$AF$17)=$AF$17-1,0,INDEX($AH$4:$AH$53,(INT(42/$AF$17)+1)))</f>
        <v/>
      </c>
      <c r="AK56">
        <f>IFERROR(IF(AND($AF$24&gt;=$AF$14,$AF$24&lt;=$AF$15),10+0.5+100*($AF$24-$AF$14)/($AF$15-$AF$14),NA()),NA())</f>
        <v/>
      </c>
      <c r="AL56">
        <f>IF(ISNA($AK$56),NA(),0)</f>
        <v/>
      </c>
      <c r="AO56" t="n">
        <v>117</v>
      </c>
      <c r="AP56" t="n">
        <v>118.125</v>
      </c>
      <c r="AQ56" t="n">
        <v>52</v>
      </c>
      <c r="AV56">
        <f>IF(AND(MOD(42,$AS$17)=0,MOD((INT(42/$AS$17)+1)-1,$AS$13/5)=0),INDEX($BA$4:$BA$53,(INT(42/$AS$17)+1)),"")</f>
        <v/>
      </c>
      <c r="AW56">
        <f>IF(MOD(42,$AS$17)=$AS$17-1,0,INDEX($AU$4:$AU$53,(INT(42/$AS$17)+1)))</f>
        <v/>
      </c>
      <c r="AX56">
        <f>IFERROR(IF(AND($AS$24&gt;=$AS$14,$AS$24&lt;=$AS$15),10+0.5+100*($AS$24-$AS$14)/($AS$15-$AS$14),NA()),NA())</f>
        <v/>
      </c>
      <c r="AY56">
        <f>IF(ISNA($AX$56),NA(),0)</f>
        <v/>
      </c>
    </row>
    <row r="57">
      <c r="B57" t="n">
        <v>629.5</v>
      </c>
      <c r="C57" t="n">
        <v>630.25</v>
      </c>
      <c r="D57" t="n">
        <v>28</v>
      </c>
      <c r="I57">
        <f>IF(AND(MOD(43,$F$17)=0,MOD((INT(43/$F$17)+1)-1,$F$13/5)=0),INDEX($N$4:$N$53,(INT(43/$F$17)+1)),"")</f>
        <v/>
      </c>
      <c r="J57">
        <f>IF(MOD(43,$F$17)=$F$17-1,0,INDEX($H$4:$H$53,(INT(43/$F$17)+1)))</f>
        <v/>
      </c>
      <c r="K57">
        <f>IFERROR(IF(AND($F$24&gt;=$F$14,$F$24&lt;=$F$15),10+0.5+100*($F$24-$F$14)/($F$15-$F$14),NA()),NA())</f>
        <v/>
      </c>
      <c r="L57">
        <f>IF(ISNA($K$57),NA(),MAX($J$4:$J$123))</f>
        <v/>
      </c>
      <c r="O57" t="n">
        <v>15900</v>
      </c>
      <c r="P57" t="n">
        <v>16050</v>
      </c>
      <c r="Q57" t="n">
        <v>44</v>
      </c>
      <c r="V57">
        <f>IF(AND(MOD(43,$S$17)=0,MOD((INT(43/$S$17)+1)-1,$S$13/5)=0),INDEX($AA$4:$AA$53,(INT(43/$S$17)+1)),"")</f>
        <v/>
      </c>
      <c r="W57">
        <f>IF(MOD(43,$S$17)=$S$17-1,0,INDEX($U$4:$U$53,(INT(43/$S$17)+1)))</f>
        <v/>
      </c>
      <c r="X57">
        <f>IFERROR(IF(AND($S$24&gt;=$S$14,$S$24&lt;=$S$15),10+0.5+100*($S$24-$S$14)/($S$15-$S$14),NA()),NA())</f>
        <v/>
      </c>
      <c r="Y57">
        <f>IF(ISNA($X$57),NA(),MAX($W$4:$W$123))</f>
        <v/>
      </c>
      <c r="AB57" t="n">
        <v>7950</v>
      </c>
      <c r="AC57" t="n">
        <v>8025</v>
      </c>
      <c r="AD57" t="n">
        <v>61</v>
      </c>
      <c r="AI57">
        <f>IF(AND(MOD(43,$AF$17)=0,MOD((INT(43/$AF$17)+1)-1,$AF$13/5)=0),INDEX($AN$4:$AN$53,(INT(43/$AF$17)+1)),"")</f>
        <v/>
      </c>
      <c r="AJ57">
        <f>IF(MOD(43,$AF$17)=$AF$17-1,0,INDEX($AH$4:$AH$53,(INT(43/$AF$17)+1)))</f>
        <v/>
      </c>
      <c r="AK57">
        <f>IFERROR(IF(AND($AF$24&gt;=$AF$14,$AF$24&lt;=$AF$15),10+0.5+100*($AF$24-$AF$14)/($AF$15-$AF$14),NA()),NA())</f>
        <v/>
      </c>
      <c r="AL57">
        <f>IF(ISNA($AK$57),NA(),MAX($AJ$4:$AJ$123))</f>
        <v/>
      </c>
      <c r="AO57" t="n">
        <v>119.25</v>
      </c>
      <c r="AP57" t="n">
        <v>120.375</v>
      </c>
      <c r="AQ57" t="n">
        <v>36</v>
      </c>
      <c r="AV57">
        <f>IF(AND(MOD(43,$AS$17)=0,MOD((INT(43/$AS$17)+1)-1,$AS$13/5)=0),INDEX($BA$4:$BA$53,(INT(43/$AS$17)+1)),"")</f>
        <v/>
      </c>
      <c r="AW57">
        <f>IF(MOD(43,$AS$17)=$AS$17-1,0,INDEX($AU$4:$AU$53,(INT(43/$AS$17)+1)))</f>
        <v/>
      </c>
      <c r="AX57">
        <f>IFERROR(IF(AND($AS$24&gt;=$AS$14,$AS$24&lt;=$AS$15),10+0.5+100*($AS$24-$AS$14)/($AS$15-$AS$14),NA()),NA())</f>
        <v/>
      </c>
      <c r="AY57">
        <f>IF(ISNA($AX$57),NA(),MAX($AW$4:$AW$123))</f>
        <v/>
      </c>
    </row>
    <row r="58">
      <c r="B58" t="n">
        <v>631</v>
      </c>
      <c r="C58" t="n">
        <v>631.75</v>
      </c>
      <c r="D58" t="n">
        <v>58</v>
      </c>
      <c r="I58">
        <f>IF(AND(MOD(44,$F$17)=0,MOD((INT(44/$F$17)+1)-1,$F$13/5)=0),INDEX($N$4:$N$53,(INT(44/$F$17)+1)),"")</f>
        <v/>
      </c>
      <c r="J58">
        <f>IF(MOD(44,$F$17)=$F$17-1,0,INDEX($H$4:$H$53,(INT(44/$F$17)+1)))</f>
        <v/>
      </c>
      <c r="K58">
        <f>IFERROR(IF(AND($F$25&gt;=$F$14,$F$25&lt;=$F$15),10+0.5+100*($F$25-$F$14)/($F$15-$F$14),NA()),NA())</f>
        <v/>
      </c>
      <c r="L58">
        <f>IF(ISNA($K$58),NA(),0)</f>
        <v/>
      </c>
      <c r="O58" t="n">
        <v>16200</v>
      </c>
      <c r="P58" t="n">
        <v>16350</v>
      </c>
      <c r="Q58" t="n">
        <v>44</v>
      </c>
      <c r="V58">
        <f>IF(AND(MOD(44,$S$17)=0,MOD((INT(44/$S$17)+1)-1,$S$13/5)=0),INDEX($AA$4:$AA$53,(INT(44/$S$17)+1)),"")</f>
        <v/>
      </c>
      <c r="W58">
        <f>IF(MOD(44,$S$17)=$S$17-1,0,INDEX($U$4:$U$53,(INT(44/$S$17)+1)))</f>
        <v/>
      </c>
      <c r="X58">
        <f>IFERROR(IF(AND($S$25&gt;=$S$14,$S$25&lt;=$S$15),10+0.5+100*($S$25-$S$14)/($S$15-$S$14),NA()),NA())</f>
        <v/>
      </c>
      <c r="Y58">
        <f>IF(ISNA($X$58),NA(),0)</f>
        <v/>
      </c>
      <c r="AB58" t="n">
        <v>8100</v>
      </c>
      <c r="AC58" t="n">
        <v>8175</v>
      </c>
      <c r="AD58" t="n">
        <v>64</v>
      </c>
      <c r="AI58">
        <f>IF(AND(MOD(44,$AF$17)=0,MOD((INT(44/$AF$17)+1)-1,$AF$13/5)=0),INDEX($AN$4:$AN$53,(INT(44/$AF$17)+1)),"")</f>
        <v/>
      </c>
      <c r="AJ58">
        <f>IF(MOD(44,$AF$17)=$AF$17-1,0,INDEX($AH$4:$AH$53,(INT(44/$AF$17)+1)))</f>
        <v/>
      </c>
      <c r="AK58">
        <f>IFERROR(IF(AND($AF$25&gt;=$AF$14,$AF$25&lt;=$AF$15),10+0.5+100*($AF$25-$AF$14)/($AF$15-$AF$14),NA()),NA())</f>
        <v/>
      </c>
      <c r="AL58">
        <f>IF(ISNA($AK$58),NA(),0)</f>
        <v/>
      </c>
      <c r="AO58" t="n">
        <v>121.5</v>
      </c>
      <c r="AP58" t="n">
        <v>122.625</v>
      </c>
      <c r="AQ58" t="n">
        <v>49</v>
      </c>
      <c r="AV58">
        <f>IF(AND(MOD(44,$AS$17)=0,MOD((INT(44/$AS$17)+1)-1,$AS$13/5)=0),INDEX($BA$4:$BA$53,(INT(44/$AS$17)+1)),"")</f>
        <v/>
      </c>
      <c r="AW58">
        <f>IF(MOD(44,$AS$17)=$AS$17-1,0,INDEX($AU$4:$AU$53,(INT(44/$AS$17)+1)))</f>
        <v/>
      </c>
      <c r="AX58">
        <f>IFERROR(IF(AND($AS$25&gt;=$AS$14,$AS$25&lt;=$AS$15),10+0.5+100*($AS$25-$AS$14)/($AS$15-$AS$14),NA()),NA())</f>
        <v/>
      </c>
      <c r="AY58">
        <f>IF(ISNA($AX$58),NA(),0)</f>
        <v/>
      </c>
    </row>
    <row r="59">
      <c r="B59" t="n">
        <v>632.5</v>
      </c>
      <c r="C59" t="n">
        <v>633.25</v>
      </c>
      <c r="D59" t="n">
        <v>27</v>
      </c>
      <c r="I59">
        <f>IF(AND(MOD(45,$F$17)=0,MOD((INT(45/$F$17)+1)-1,$F$13/5)=0),INDEX($N$4:$N$53,(INT(45/$F$17)+1)),"")</f>
        <v/>
      </c>
      <c r="J59">
        <f>IF(MOD(45,$F$17)=$F$17-1,0,INDEX($H$4:$H$53,(INT(45/$F$17)+1)))</f>
        <v/>
      </c>
      <c r="K59">
        <f>IFERROR(IF(AND($F$25&gt;=$F$14,$F$25&lt;=$F$15),10+0.5+100*($F$25-$F$14)/($F$15-$F$14),NA()),NA())</f>
        <v/>
      </c>
      <c r="L59">
        <f>IF(ISNA($K$59),NA(),MAX($J$4:$J$123))</f>
        <v/>
      </c>
      <c r="O59" t="n">
        <v>16500</v>
      </c>
      <c r="P59" t="n">
        <v>16650</v>
      </c>
      <c r="Q59" t="n">
        <v>50</v>
      </c>
      <c r="V59">
        <f>IF(AND(MOD(45,$S$17)=0,MOD((INT(45/$S$17)+1)-1,$S$13/5)=0),INDEX($AA$4:$AA$53,(INT(45/$S$17)+1)),"")</f>
        <v/>
      </c>
      <c r="W59">
        <f>IF(MOD(45,$S$17)=$S$17-1,0,INDEX($U$4:$U$53,(INT(45/$S$17)+1)))</f>
        <v/>
      </c>
      <c r="X59">
        <f>IFERROR(IF(AND($S$25&gt;=$S$14,$S$25&lt;=$S$15),10+0.5+100*($S$25-$S$14)/($S$15-$S$14),NA()),NA())</f>
        <v/>
      </c>
      <c r="Y59">
        <f>IF(ISNA($X$59),NA(),MAX($W$4:$W$123))</f>
        <v/>
      </c>
      <c r="AB59" t="n">
        <v>8250</v>
      </c>
      <c r="AC59" t="n">
        <v>8325</v>
      </c>
      <c r="AD59" t="n">
        <v>76</v>
      </c>
      <c r="AI59">
        <f>IF(AND(MOD(45,$AF$17)=0,MOD((INT(45/$AF$17)+1)-1,$AF$13/5)=0),INDEX($AN$4:$AN$53,(INT(45/$AF$17)+1)),"")</f>
        <v/>
      </c>
      <c r="AJ59">
        <f>IF(MOD(45,$AF$17)=$AF$17-1,0,INDEX($AH$4:$AH$53,(INT(45/$AF$17)+1)))</f>
        <v/>
      </c>
      <c r="AK59">
        <f>IFERROR(IF(AND($AF$25&gt;=$AF$14,$AF$25&lt;=$AF$15),10+0.5+100*($AF$25-$AF$14)/($AF$15-$AF$14),NA()),NA())</f>
        <v/>
      </c>
      <c r="AL59">
        <f>IF(ISNA($AK$59),NA(),MAX($AJ$4:$AJ$123))</f>
        <v/>
      </c>
      <c r="AO59" t="n">
        <v>123.75</v>
      </c>
      <c r="AP59" t="n">
        <v>124.875</v>
      </c>
      <c r="AQ59" t="n">
        <v>34</v>
      </c>
      <c r="AV59">
        <f>IF(AND(MOD(45,$AS$17)=0,MOD((INT(45/$AS$17)+1)-1,$AS$13/5)=0),INDEX($BA$4:$BA$53,(INT(45/$AS$17)+1)),"")</f>
        <v/>
      </c>
      <c r="AW59">
        <f>IF(MOD(45,$AS$17)=$AS$17-1,0,INDEX($AU$4:$AU$53,(INT(45/$AS$17)+1)))</f>
        <v/>
      </c>
      <c r="AX59">
        <f>IFERROR(IF(AND($AS$25&gt;=$AS$14,$AS$25&lt;=$AS$15),10+0.5+100*($AS$25-$AS$14)/($AS$15-$AS$14),NA()),NA())</f>
        <v/>
      </c>
      <c r="AY59">
        <f>IF(ISNA($AX$59),NA(),MAX($AW$4:$AW$123))</f>
        <v/>
      </c>
    </row>
    <row r="60">
      <c r="B60" t="n">
        <v>634</v>
      </c>
      <c r="C60" t="n">
        <v>634.75</v>
      </c>
      <c r="D60" t="n">
        <v>52</v>
      </c>
      <c r="I60">
        <f>IF(AND(MOD(46,$F$17)=0,MOD((INT(46/$F$17)+1)-1,$F$13/5)=0),INDEX($N$4:$N$53,(INT(46/$F$17)+1)),"")</f>
        <v/>
      </c>
      <c r="J60">
        <f>IF(MOD(46,$F$17)=$F$17-1,0,INDEX($H$4:$H$53,(INT(46/$F$17)+1)))</f>
        <v/>
      </c>
      <c r="K60">
        <f>IFERROR(IF(AND($F$26&gt;=$F$14,$F$26&lt;=$F$15),10+0.5+100*($F$26-$F$14)/($F$15-$F$14),NA()),NA())</f>
        <v/>
      </c>
      <c r="L60">
        <f>IF(ISNA($K$60),NA(),0)</f>
        <v/>
      </c>
      <c r="O60" t="n">
        <v>16800</v>
      </c>
      <c r="P60" t="n">
        <v>16950</v>
      </c>
      <c r="Q60" t="n">
        <v>47</v>
      </c>
      <c r="V60">
        <f>IF(AND(MOD(46,$S$17)=0,MOD((INT(46/$S$17)+1)-1,$S$13/5)=0),INDEX($AA$4:$AA$53,(INT(46/$S$17)+1)),"")</f>
        <v/>
      </c>
      <c r="W60">
        <f>IF(MOD(46,$S$17)=$S$17-1,0,INDEX($U$4:$U$53,(INT(46/$S$17)+1)))</f>
        <v/>
      </c>
      <c r="X60">
        <f>IFERROR(IF(AND($S$26&gt;=$S$14,$S$26&lt;=$S$15),10+0.5+100*($S$26-$S$14)/($S$15-$S$14),NA()),NA())</f>
        <v/>
      </c>
      <c r="Y60">
        <f>IF(ISNA($X$60),NA(),0)</f>
        <v/>
      </c>
      <c r="AB60" t="n">
        <v>8400</v>
      </c>
      <c r="AC60" t="n">
        <v>8475</v>
      </c>
      <c r="AD60" t="n">
        <v>68</v>
      </c>
      <c r="AI60">
        <f>IF(AND(MOD(46,$AF$17)=0,MOD((INT(46/$AF$17)+1)-1,$AF$13/5)=0),INDEX($AN$4:$AN$53,(INT(46/$AF$17)+1)),"")</f>
        <v/>
      </c>
      <c r="AJ60">
        <f>IF(MOD(46,$AF$17)=$AF$17-1,0,INDEX($AH$4:$AH$53,(INT(46/$AF$17)+1)))</f>
        <v/>
      </c>
      <c r="AK60">
        <f>IFERROR(IF(AND($AF$26&gt;=$AF$14,$AF$26&lt;=$AF$15),10+0.5+100*($AF$26-$AF$14)/($AF$15-$AF$14),NA()),NA())</f>
        <v/>
      </c>
      <c r="AL60">
        <f>IF(ISNA($AK$60),NA(),0)</f>
        <v/>
      </c>
      <c r="AO60" t="n">
        <v>126</v>
      </c>
      <c r="AP60" t="n">
        <v>127.125</v>
      </c>
      <c r="AQ60" t="n">
        <v>55</v>
      </c>
      <c r="AV60">
        <f>IF(AND(MOD(46,$AS$17)=0,MOD((INT(46/$AS$17)+1)-1,$AS$13/5)=0),INDEX($BA$4:$BA$53,(INT(46/$AS$17)+1)),"")</f>
        <v/>
      </c>
      <c r="AW60">
        <f>IF(MOD(46,$AS$17)=$AS$17-1,0,INDEX($AU$4:$AU$53,(INT(46/$AS$17)+1)))</f>
        <v/>
      </c>
      <c r="AX60">
        <f>IFERROR(IF(AND($AS$26&gt;=$AS$14,$AS$26&lt;=$AS$15),10+0.5+100*($AS$26-$AS$14)/($AS$15-$AS$14),NA()),NA())</f>
        <v/>
      </c>
      <c r="AY60">
        <f>IF(ISNA($AX$60),NA(),0)</f>
        <v/>
      </c>
    </row>
    <row r="61">
      <c r="B61" t="n">
        <v>635.5</v>
      </c>
      <c r="C61" t="n">
        <v>636.25</v>
      </c>
      <c r="D61" t="n">
        <v>29</v>
      </c>
      <c r="I61">
        <f>IF(AND(MOD(47,$F$17)=0,MOD((INT(47/$F$17)+1)-1,$F$13/5)=0),INDEX($N$4:$N$53,(INT(47/$F$17)+1)),"")</f>
        <v/>
      </c>
      <c r="J61">
        <f>IF(MOD(47,$F$17)=$F$17-1,0,INDEX($H$4:$H$53,(INT(47/$F$17)+1)))</f>
        <v/>
      </c>
      <c r="K61">
        <f>IFERROR(IF(AND($F$26&gt;=$F$14,$F$26&lt;=$F$15),10+0.5+100*($F$26-$F$14)/($F$15-$F$14),NA()),NA())</f>
        <v/>
      </c>
      <c r="L61">
        <f>IF(ISNA($K$61),NA(),MAX($J$4:$J$123))</f>
        <v/>
      </c>
      <c r="O61" t="n">
        <v>17100</v>
      </c>
      <c r="P61" t="n">
        <v>17250</v>
      </c>
      <c r="Q61" t="n">
        <v>47</v>
      </c>
      <c r="V61">
        <f>IF(AND(MOD(47,$S$17)=0,MOD((INT(47/$S$17)+1)-1,$S$13/5)=0),INDEX($AA$4:$AA$53,(INT(47/$S$17)+1)),"")</f>
        <v/>
      </c>
      <c r="W61">
        <f>IF(MOD(47,$S$17)=$S$17-1,0,INDEX($U$4:$U$53,(INT(47/$S$17)+1)))</f>
        <v/>
      </c>
      <c r="X61">
        <f>IFERROR(IF(AND($S$26&gt;=$S$14,$S$26&lt;=$S$15),10+0.5+100*($S$26-$S$14)/($S$15-$S$14),NA()),NA())</f>
        <v/>
      </c>
      <c r="Y61">
        <f>IF(ISNA($X$61),NA(),MAX($W$4:$W$123))</f>
        <v/>
      </c>
      <c r="AB61" t="n">
        <v>8550</v>
      </c>
      <c r="AC61" t="n">
        <v>8625</v>
      </c>
      <c r="AD61" t="n">
        <v>81</v>
      </c>
      <c r="AI61">
        <f>IF(AND(MOD(47,$AF$17)=0,MOD((INT(47/$AF$17)+1)-1,$AF$13/5)=0),INDEX($AN$4:$AN$53,(INT(47/$AF$17)+1)),"")</f>
        <v/>
      </c>
      <c r="AJ61">
        <f>IF(MOD(47,$AF$17)=$AF$17-1,0,INDEX($AH$4:$AH$53,(INT(47/$AF$17)+1)))</f>
        <v/>
      </c>
      <c r="AK61">
        <f>IFERROR(IF(AND($AF$26&gt;=$AF$14,$AF$26&lt;=$AF$15),10+0.5+100*($AF$26-$AF$14)/($AF$15-$AF$14),NA()),NA())</f>
        <v/>
      </c>
      <c r="AL61">
        <f>IF(ISNA($AK$61),NA(),MAX($AJ$4:$AJ$123))</f>
        <v/>
      </c>
      <c r="AO61" t="n">
        <v>128.25</v>
      </c>
      <c r="AP61" t="n">
        <v>129.375</v>
      </c>
      <c r="AQ61" t="n">
        <v>34</v>
      </c>
      <c r="AV61">
        <f>IF(AND(MOD(47,$AS$17)=0,MOD((INT(47/$AS$17)+1)-1,$AS$13/5)=0),INDEX($BA$4:$BA$53,(INT(47/$AS$17)+1)),"")</f>
        <v/>
      </c>
      <c r="AW61">
        <f>IF(MOD(47,$AS$17)=$AS$17-1,0,INDEX($AU$4:$AU$53,(INT(47/$AS$17)+1)))</f>
        <v/>
      </c>
      <c r="AX61">
        <f>IFERROR(IF(AND($AS$26&gt;=$AS$14,$AS$26&lt;=$AS$15),10+0.5+100*($AS$26-$AS$14)/($AS$15-$AS$14),NA()),NA())</f>
        <v/>
      </c>
      <c r="AY61">
        <f>IF(ISNA($AX$61),NA(),MAX($AW$4:$AW$123))</f>
        <v/>
      </c>
    </row>
    <row r="62">
      <c r="B62" t="n">
        <v>637</v>
      </c>
      <c r="C62" t="n">
        <v>637.75</v>
      </c>
      <c r="D62" t="n">
        <v>65</v>
      </c>
      <c r="I62">
        <f>IF(AND(MOD(48,$F$17)=0,MOD((INT(48/$F$17)+1)-1,$F$13/5)=0),INDEX($N$4:$N$53,(INT(48/$F$17)+1)),"")</f>
        <v/>
      </c>
      <c r="J62">
        <f>IF(MOD(48,$F$17)=$F$17-1,0,INDEX($H$4:$H$53,(INT(48/$F$17)+1)))</f>
        <v/>
      </c>
      <c r="O62" t="n">
        <v>17400</v>
      </c>
      <c r="P62" t="n">
        <v>17550</v>
      </c>
      <c r="Q62" t="n">
        <v>37</v>
      </c>
      <c r="V62">
        <f>IF(AND(MOD(48,$S$17)=0,MOD((INT(48/$S$17)+1)-1,$S$13/5)=0),INDEX($AA$4:$AA$53,(INT(48/$S$17)+1)),"")</f>
        <v/>
      </c>
      <c r="W62">
        <f>IF(MOD(48,$S$17)=$S$17-1,0,INDEX($U$4:$U$53,(INT(48/$S$17)+1)))</f>
        <v/>
      </c>
      <c r="AB62" t="n">
        <v>8700</v>
      </c>
      <c r="AC62" t="n">
        <v>8775</v>
      </c>
      <c r="AD62" t="n">
        <v>74</v>
      </c>
      <c r="AI62">
        <f>IF(AND(MOD(48,$AF$17)=0,MOD((INT(48/$AF$17)+1)-1,$AF$13/5)=0),INDEX($AN$4:$AN$53,(INT(48/$AF$17)+1)),"")</f>
        <v/>
      </c>
      <c r="AJ62">
        <f>IF(MOD(48,$AF$17)=$AF$17-1,0,INDEX($AH$4:$AH$53,(INT(48/$AF$17)+1)))</f>
        <v/>
      </c>
      <c r="AO62" t="n">
        <v>130.5</v>
      </c>
      <c r="AP62" t="n">
        <v>131.625</v>
      </c>
      <c r="AQ62" t="n">
        <v>47</v>
      </c>
      <c r="AV62">
        <f>IF(AND(MOD(48,$AS$17)=0,MOD((INT(48/$AS$17)+1)-1,$AS$13/5)=0),INDEX($BA$4:$BA$53,(INT(48/$AS$17)+1)),"")</f>
        <v/>
      </c>
      <c r="AW62">
        <f>IF(MOD(48,$AS$17)=$AS$17-1,0,INDEX($AU$4:$AU$53,(INT(48/$AS$17)+1)))</f>
        <v/>
      </c>
    </row>
    <row r="63">
      <c r="B63" t="n">
        <v>638.5</v>
      </c>
      <c r="C63" t="n">
        <v>639.25</v>
      </c>
      <c r="D63" t="n">
        <v>20</v>
      </c>
      <c r="I63">
        <f>IF(AND(MOD(49,$F$17)=0,MOD((INT(49/$F$17)+1)-1,$F$13/5)=0),INDEX($N$4:$N$53,(INT(49/$F$17)+1)),"")</f>
        <v/>
      </c>
      <c r="J63">
        <f>IF(MOD(49,$F$17)=$F$17-1,0,INDEX($H$4:$H$53,(INT(49/$F$17)+1)))</f>
        <v/>
      </c>
      <c r="O63" t="n">
        <v>17700</v>
      </c>
      <c r="P63" t="n">
        <v>17850</v>
      </c>
      <c r="Q63" t="n">
        <v>42</v>
      </c>
      <c r="V63">
        <f>IF(AND(MOD(49,$S$17)=0,MOD((INT(49/$S$17)+1)-1,$S$13/5)=0),INDEX($AA$4:$AA$53,(INT(49/$S$17)+1)),"")</f>
        <v/>
      </c>
      <c r="W63">
        <f>IF(MOD(49,$S$17)=$S$17-1,0,INDEX($U$4:$U$53,(INT(49/$S$17)+1)))</f>
        <v/>
      </c>
      <c r="AB63" t="n">
        <v>8850</v>
      </c>
      <c r="AC63" t="n">
        <v>8925</v>
      </c>
      <c r="AD63" t="n">
        <v>88</v>
      </c>
      <c r="AI63">
        <f>IF(AND(MOD(49,$AF$17)=0,MOD((INT(49/$AF$17)+1)-1,$AF$13/5)=0),INDEX($AN$4:$AN$53,(INT(49/$AF$17)+1)),"")</f>
        <v/>
      </c>
      <c r="AJ63">
        <f>IF(MOD(49,$AF$17)=$AF$17-1,0,INDEX($AH$4:$AH$53,(INT(49/$AF$17)+1)))</f>
        <v/>
      </c>
      <c r="AO63" t="n">
        <v>132.75</v>
      </c>
      <c r="AP63" t="n">
        <v>133.875</v>
      </c>
      <c r="AQ63" t="n">
        <v>35</v>
      </c>
      <c r="AV63">
        <f>IF(AND(MOD(49,$AS$17)=0,MOD((INT(49/$AS$17)+1)-1,$AS$13/5)=0),INDEX($BA$4:$BA$53,(INT(49/$AS$17)+1)),"")</f>
        <v/>
      </c>
      <c r="AW63">
        <f>IF(MOD(49,$AS$17)=$AS$17-1,0,INDEX($AU$4:$AU$53,(INT(49/$AS$17)+1)))</f>
        <v/>
      </c>
    </row>
    <row r="64">
      <c r="B64" t="n">
        <v>640</v>
      </c>
      <c r="C64" t="n">
        <v>640.75</v>
      </c>
      <c r="D64" t="n">
        <v>67</v>
      </c>
      <c r="I64">
        <f>IF(AND(MOD(50,$F$17)=0,MOD((INT(50/$F$17)+1)-1,$F$13/5)=0),INDEX($N$4:$N$53,(INT(50/$F$17)+1)),"")</f>
        <v/>
      </c>
      <c r="J64">
        <f>IF(MOD(50,$F$17)=$F$17-1,0,INDEX($H$4:$H$53,(INT(50/$F$17)+1)))</f>
        <v/>
      </c>
      <c r="O64" t="n">
        <v>18000</v>
      </c>
      <c r="P64" t="n">
        <v>18150</v>
      </c>
      <c r="Q64" t="n">
        <v>45</v>
      </c>
      <c r="V64">
        <f>IF(AND(MOD(50,$S$17)=0,MOD((INT(50/$S$17)+1)-1,$S$13/5)=0),INDEX($AA$4:$AA$53,(INT(50/$S$17)+1)),"")</f>
        <v/>
      </c>
      <c r="W64">
        <f>IF(MOD(50,$S$17)=$S$17-1,0,INDEX($U$4:$U$53,(INT(50/$S$17)+1)))</f>
        <v/>
      </c>
      <c r="AB64" t="n">
        <v>9000</v>
      </c>
      <c r="AC64" t="n">
        <v>9075</v>
      </c>
      <c r="AD64" t="n">
        <v>80</v>
      </c>
      <c r="AI64">
        <f>IF(AND(MOD(50,$AF$17)=0,MOD((INT(50/$AF$17)+1)-1,$AF$13/5)=0),INDEX($AN$4:$AN$53,(INT(50/$AF$17)+1)),"")</f>
        <v/>
      </c>
      <c r="AJ64">
        <f>IF(MOD(50,$AF$17)=$AF$17-1,0,INDEX($AH$4:$AH$53,(INT(50/$AF$17)+1)))</f>
        <v/>
      </c>
      <c r="AO64" t="n">
        <v>135</v>
      </c>
      <c r="AP64" t="n">
        <v>136.125</v>
      </c>
      <c r="AQ64" t="n">
        <v>46</v>
      </c>
      <c r="AV64">
        <f>IF(AND(MOD(50,$AS$17)=0,MOD((INT(50/$AS$17)+1)-1,$AS$13/5)=0),INDEX($BA$4:$BA$53,(INT(50/$AS$17)+1)),"")</f>
        <v/>
      </c>
      <c r="AW64">
        <f>IF(MOD(50,$AS$17)=$AS$17-1,0,INDEX($AU$4:$AU$53,(INT(50/$AS$17)+1)))</f>
        <v/>
      </c>
    </row>
    <row r="65">
      <c r="B65" t="n">
        <v>641.5</v>
      </c>
      <c r="C65" t="n">
        <v>642.25</v>
      </c>
      <c r="D65" t="n">
        <v>34</v>
      </c>
      <c r="I65">
        <f>IF(AND(MOD(51,$F$17)=0,MOD((INT(51/$F$17)+1)-1,$F$13/5)=0),INDEX($N$4:$N$53,(INT(51/$F$17)+1)),"")</f>
        <v/>
      </c>
      <c r="J65">
        <f>IF(MOD(51,$F$17)=$F$17-1,0,INDEX($H$4:$H$53,(INT(51/$F$17)+1)))</f>
        <v/>
      </c>
      <c r="O65" t="n">
        <v>18300</v>
      </c>
      <c r="P65" t="n">
        <v>18450</v>
      </c>
      <c r="Q65" t="n">
        <v>47</v>
      </c>
      <c r="V65">
        <f>IF(AND(MOD(51,$S$17)=0,MOD((INT(51/$S$17)+1)-1,$S$13/5)=0),INDEX($AA$4:$AA$53,(INT(51/$S$17)+1)),"")</f>
        <v/>
      </c>
      <c r="W65">
        <f>IF(MOD(51,$S$17)=$S$17-1,0,INDEX($U$4:$U$53,(INT(51/$S$17)+1)))</f>
        <v/>
      </c>
      <c r="AB65" t="n">
        <v>9150</v>
      </c>
      <c r="AC65" t="n">
        <v>9225</v>
      </c>
      <c r="AD65" t="n">
        <v>77</v>
      </c>
      <c r="AI65">
        <f>IF(AND(MOD(51,$AF$17)=0,MOD((INT(51/$AF$17)+1)-1,$AF$13/5)=0),INDEX($AN$4:$AN$53,(INT(51/$AF$17)+1)),"")</f>
        <v/>
      </c>
      <c r="AJ65">
        <f>IF(MOD(51,$AF$17)=$AF$17-1,0,INDEX($AH$4:$AH$53,(INT(51/$AF$17)+1)))</f>
        <v/>
      </c>
      <c r="AO65" t="n">
        <v>137.25</v>
      </c>
      <c r="AP65" t="n">
        <v>138.375</v>
      </c>
      <c r="AQ65" t="n">
        <v>35</v>
      </c>
      <c r="AV65">
        <f>IF(AND(MOD(51,$AS$17)=0,MOD((INT(51/$AS$17)+1)-1,$AS$13/5)=0),INDEX($BA$4:$BA$53,(INT(51/$AS$17)+1)),"")</f>
        <v/>
      </c>
      <c r="AW65">
        <f>IF(MOD(51,$AS$17)=$AS$17-1,0,INDEX($AU$4:$AU$53,(INT(51/$AS$17)+1)))</f>
        <v/>
      </c>
    </row>
    <row r="66">
      <c r="B66" t="n">
        <v>643</v>
      </c>
      <c r="C66" t="n">
        <v>643.75</v>
      </c>
      <c r="D66" t="n">
        <v>78</v>
      </c>
      <c r="I66">
        <f>IF(AND(MOD(52,$F$17)=0,MOD((INT(52/$F$17)+1)-1,$F$13/5)=0),INDEX($N$4:$N$53,(INT(52/$F$17)+1)),"")</f>
        <v/>
      </c>
      <c r="J66">
        <f>IF(MOD(52,$F$17)=$F$17-1,0,INDEX($H$4:$H$53,(INT(52/$F$17)+1)))</f>
        <v/>
      </c>
      <c r="O66" t="n">
        <v>18600</v>
      </c>
      <c r="P66" t="n">
        <v>18750</v>
      </c>
      <c r="Q66" t="n">
        <v>58</v>
      </c>
      <c r="V66">
        <f>IF(AND(MOD(52,$S$17)=0,MOD((INT(52/$S$17)+1)-1,$S$13/5)=0),INDEX($AA$4:$AA$53,(INT(52/$S$17)+1)),"")</f>
        <v/>
      </c>
      <c r="W66">
        <f>IF(MOD(52,$S$17)=$S$17-1,0,INDEX($U$4:$U$53,(INT(52/$S$17)+1)))</f>
        <v/>
      </c>
      <c r="AB66" t="n">
        <v>9300</v>
      </c>
      <c r="AC66" t="n">
        <v>9375</v>
      </c>
      <c r="AD66" t="n">
        <v>85</v>
      </c>
      <c r="AI66">
        <f>IF(AND(MOD(52,$AF$17)=0,MOD((INT(52/$AF$17)+1)-1,$AF$13/5)=0),INDEX($AN$4:$AN$53,(INT(52/$AF$17)+1)),"")</f>
        <v/>
      </c>
      <c r="AJ66">
        <f>IF(MOD(52,$AF$17)=$AF$17-1,0,INDEX($AH$4:$AH$53,(INT(52/$AF$17)+1)))</f>
        <v/>
      </c>
      <c r="AO66" t="n">
        <v>139.5</v>
      </c>
      <c r="AP66" t="n">
        <v>140.625</v>
      </c>
      <c r="AQ66" t="n">
        <v>27</v>
      </c>
      <c r="AV66">
        <f>IF(AND(MOD(52,$AS$17)=0,MOD((INT(52/$AS$17)+1)-1,$AS$13/5)=0),INDEX($BA$4:$BA$53,(INT(52/$AS$17)+1)),"")</f>
        <v/>
      </c>
      <c r="AW66">
        <f>IF(MOD(52,$AS$17)=$AS$17-1,0,INDEX($AU$4:$AU$53,(INT(52/$AS$17)+1)))</f>
        <v/>
      </c>
    </row>
    <row r="67">
      <c r="B67" t="n">
        <v>644.5</v>
      </c>
      <c r="C67" t="n">
        <v>645.25</v>
      </c>
      <c r="D67" t="n">
        <v>34</v>
      </c>
      <c r="I67">
        <f>IF(AND(MOD(53,$F$17)=0,MOD((INT(53/$F$17)+1)-1,$F$13/5)=0),INDEX($N$4:$N$53,(INT(53/$F$17)+1)),"")</f>
        <v/>
      </c>
      <c r="J67">
        <f>IF(MOD(53,$F$17)=$F$17-1,0,INDEX($H$4:$H$53,(INT(53/$F$17)+1)))</f>
        <v/>
      </c>
      <c r="O67" t="n">
        <v>18900</v>
      </c>
      <c r="P67" t="n">
        <v>19050</v>
      </c>
      <c r="Q67" t="n">
        <v>40</v>
      </c>
      <c r="V67">
        <f>IF(AND(MOD(53,$S$17)=0,MOD((INT(53/$S$17)+1)-1,$S$13/5)=0),INDEX($AA$4:$AA$53,(INT(53/$S$17)+1)),"")</f>
        <v/>
      </c>
      <c r="W67">
        <f>IF(MOD(53,$S$17)=$S$17-1,0,INDEX($U$4:$U$53,(INT(53/$S$17)+1)))</f>
        <v/>
      </c>
      <c r="AB67" t="n">
        <v>9450</v>
      </c>
      <c r="AC67" t="n">
        <v>9525</v>
      </c>
      <c r="AD67" t="n">
        <v>66</v>
      </c>
      <c r="AI67">
        <f>IF(AND(MOD(53,$AF$17)=0,MOD((INT(53/$AF$17)+1)-1,$AF$13/5)=0),INDEX($AN$4:$AN$53,(INT(53/$AF$17)+1)),"")</f>
        <v/>
      </c>
      <c r="AJ67">
        <f>IF(MOD(53,$AF$17)=$AF$17-1,0,INDEX($AH$4:$AH$53,(INT(53/$AF$17)+1)))</f>
        <v/>
      </c>
      <c r="AO67" t="n">
        <v>141.75</v>
      </c>
      <c r="AP67" t="n">
        <v>142.875</v>
      </c>
      <c r="AQ67" t="n">
        <v>33</v>
      </c>
      <c r="AV67">
        <f>IF(AND(MOD(53,$AS$17)=0,MOD((INT(53/$AS$17)+1)-1,$AS$13/5)=0),INDEX($BA$4:$BA$53,(INT(53/$AS$17)+1)),"")</f>
        <v/>
      </c>
      <c r="AW67">
        <f>IF(MOD(53,$AS$17)=$AS$17-1,0,INDEX($AU$4:$AU$53,(INT(53/$AS$17)+1)))</f>
        <v/>
      </c>
    </row>
    <row r="68">
      <c r="B68" t="n">
        <v>646</v>
      </c>
      <c r="C68" t="n">
        <v>646.75</v>
      </c>
      <c r="D68" t="n">
        <v>67</v>
      </c>
      <c r="I68">
        <f>IF(AND(MOD(54,$F$17)=0,MOD((INT(54/$F$17)+1)-1,$F$13/5)=0),INDEX($N$4:$N$53,(INT(54/$F$17)+1)),"")</f>
        <v/>
      </c>
      <c r="J68">
        <f>IF(MOD(54,$F$17)=$F$17-1,0,INDEX($H$4:$H$53,(INT(54/$F$17)+1)))</f>
        <v/>
      </c>
      <c r="O68" t="n">
        <v>19200</v>
      </c>
      <c r="P68" t="n">
        <v>19350</v>
      </c>
      <c r="Q68" t="n">
        <v>52</v>
      </c>
      <c r="V68">
        <f>IF(AND(MOD(54,$S$17)=0,MOD((INT(54/$S$17)+1)-1,$S$13/5)=0),INDEX($AA$4:$AA$53,(INT(54/$S$17)+1)),"")</f>
        <v/>
      </c>
      <c r="W68">
        <f>IF(MOD(54,$S$17)=$S$17-1,0,INDEX($U$4:$U$53,(INT(54/$S$17)+1)))</f>
        <v/>
      </c>
      <c r="AB68" t="n">
        <v>9600</v>
      </c>
      <c r="AC68" t="n">
        <v>9675</v>
      </c>
      <c r="AD68" t="n">
        <v>72</v>
      </c>
      <c r="AI68">
        <f>IF(AND(MOD(54,$AF$17)=0,MOD((INT(54/$AF$17)+1)-1,$AF$13/5)=0),INDEX($AN$4:$AN$53,(INT(54/$AF$17)+1)),"")</f>
        <v/>
      </c>
      <c r="AJ68">
        <f>IF(MOD(54,$AF$17)=$AF$17-1,0,INDEX($AH$4:$AH$53,(INT(54/$AF$17)+1)))</f>
        <v/>
      </c>
      <c r="AO68" t="n">
        <v>144</v>
      </c>
      <c r="AP68" t="n">
        <v>145.125</v>
      </c>
      <c r="AQ68" t="n">
        <v>55</v>
      </c>
      <c r="AV68">
        <f>IF(AND(MOD(54,$AS$17)=0,MOD((INT(54/$AS$17)+1)-1,$AS$13/5)=0),INDEX($BA$4:$BA$53,(INT(54/$AS$17)+1)),"")</f>
        <v/>
      </c>
      <c r="AW68">
        <f>IF(MOD(54,$AS$17)=$AS$17-1,0,INDEX($AU$4:$AU$53,(INT(54/$AS$17)+1)))</f>
        <v/>
      </c>
    </row>
    <row r="69">
      <c r="B69" t="n">
        <v>647.5</v>
      </c>
      <c r="C69" t="n">
        <v>648.25</v>
      </c>
      <c r="D69" t="n">
        <v>20</v>
      </c>
      <c r="I69">
        <f>IF(AND(MOD(55,$F$17)=0,MOD((INT(55/$F$17)+1)-1,$F$13/5)=0),INDEX($N$4:$N$53,(INT(55/$F$17)+1)),"")</f>
        <v/>
      </c>
      <c r="J69">
        <f>IF(MOD(55,$F$17)=$F$17-1,0,INDEX($H$4:$H$53,(INT(55/$F$17)+1)))</f>
        <v/>
      </c>
      <c r="O69" t="n">
        <v>19500</v>
      </c>
      <c r="P69" t="n">
        <v>19650</v>
      </c>
      <c r="Q69" t="n">
        <v>53</v>
      </c>
      <c r="V69">
        <f>IF(AND(MOD(55,$S$17)=0,MOD((INT(55/$S$17)+1)-1,$S$13/5)=0),INDEX($AA$4:$AA$53,(INT(55/$S$17)+1)),"")</f>
        <v/>
      </c>
      <c r="W69">
        <f>IF(MOD(55,$S$17)=$S$17-1,0,INDEX($U$4:$U$53,(INT(55/$S$17)+1)))</f>
        <v/>
      </c>
      <c r="AB69" t="n">
        <v>9750</v>
      </c>
      <c r="AC69" t="n">
        <v>9825</v>
      </c>
      <c r="AD69" t="n">
        <v>81</v>
      </c>
      <c r="AI69">
        <f>IF(AND(MOD(55,$AF$17)=0,MOD((INT(55/$AF$17)+1)-1,$AF$13/5)=0),INDEX($AN$4:$AN$53,(INT(55/$AF$17)+1)),"")</f>
        <v/>
      </c>
      <c r="AJ69">
        <f>IF(MOD(55,$AF$17)=$AF$17-1,0,INDEX($AH$4:$AH$53,(INT(55/$AF$17)+1)))</f>
        <v/>
      </c>
      <c r="AO69" t="n">
        <v>146.25</v>
      </c>
      <c r="AP69" t="n">
        <v>147.375</v>
      </c>
      <c r="AQ69" t="n">
        <v>41</v>
      </c>
      <c r="AV69">
        <f>IF(AND(MOD(55,$AS$17)=0,MOD((INT(55/$AS$17)+1)-1,$AS$13/5)=0),INDEX($BA$4:$BA$53,(INT(55/$AS$17)+1)),"")</f>
        <v/>
      </c>
      <c r="AW69">
        <f>IF(MOD(55,$AS$17)=$AS$17-1,0,INDEX($AU$4:$AU$53,(INT(55/$AS$17)+1)))</f>
        <v/>
      </c>
    </row>
    <row r="70">
      <c r="B70" t="n">
        <v>649</v>
      </c>
      <c r="C70" t="n">
        <v>649.75</v>
      </c>
      <c r="D70" t="n">
        <v>76</v>
      </c>
      <c r="I70">
        <f>IF(AND(MOD(56,$F$17)=0,MOD((INT(56/$F$17)+1)-1,$F$13/5)=0),INDEX($N$4:$N$53,(INT(56/$F$17)+1)),"")</f>
        <v/>
      </c>
      <c r="J70">
        <f>IF(MOD(56,$F$17)=$F$17-1,0,INDEX($H$4:$H$53,(INT(56/$F$17)+1)))</f>
        <v/>
      </c>
      <c r="O70" t="n">
        <v>19800</v>
      </c>
      <c r="P70" t="n">
        <v>19950</v>
      </c>
      <c r="Q70" t="n">
        <v>33</v>
      </c>
      <c r="V70">
        <f>IF(AND(MOD(56,$S$17)=0,MOD((INT(56/$S$17)+1)-1,$S$13/5)=0),INDEX($AA$4:$AA$53,(INT(56/$S$17)+1)),"")</f>
        <v/>
      </c>
      <c r="W70">
        <f>IF(MOD(56,$S$17)=$S$17-1,0,INDEX($U$4:$U$53,(INT(56/$S$17)+1)))</f>
        <v/>
      </c>
      <c r="AB70" t="n">
        <v>9900</v>
      </c>
      <c r="AC70" t="n">
        <v>9975</v>
      </c>
      <c r="AD70" t="n">
        <v>66</v>
      </c>
      <c r="AI70">
        <f>IF(AND(MOD(56,$AF$17)=0,MOD((INT(56/$AF$17)+1)-1,$AF$13/5)=0),INDEX($AN$4:$AN$53,(INT(56/$AF$17)+1)),"")</f>
        <v/>
      </c>
      <c r="AJ70">
        <f>IF(MOD(56,$AF$17)=$AF$17-1,0,INDEX($AH$4:$AH$53,(INT(56/$AF$17)+1)))</f>
        <v/>
      </c>
      <c r="AO70" t="n">
        <v>148.5</v>
      </c>
      <c r="AP70" t="n">
        <v>149.625</v>
      </c>
      <c r="AQ70" t="n">
        <v>41</v>
      </c>
      <c r="AV70">
        <f>IF(AND(MOD(56,$AS$17)=0,MOD((INT(56/$AS$17)+1)-1,$AS$13/5)=0),INDEX($BA$4:$BA$53,(INT(56/$AS$17)+1)),"")</f>
        <v/>
      </c>
      <c r="AW70">
        <f>IF(MOD(56,$AS$17)=$AS$17-1,0,INDEX($AU$4:$AU$53,(INT(56/$AS$17)+1)))</f>
        <v/>
      </c>
    </row>
    <row r="71">
      <c r="B71" t="n">
        <v>650.5</v>
      </c>
      <c r="C71" t="n">
        <v>651.25</v>
      </c>
      <c r="D71" t="n">
        <v>30</v>
      </c>
      <c r="I71">
        <f>IF(AND(MOD(57,$F$17)=0,MOD((INT(57/$F$17)+1)-1,$F$13/5)=0),INDEX($N$4:$N$53,(INT(57/$F$17)+1)),"")</f>
        <v/>
      </c>
      <c r="J71">
        <f>IF(MOD(57,$F$17)=$F$17-1,0,INDEX($H$4:$H$53,(INT(57/$F$17)+1)))</f>
        <v/>
      </c>
      <c r="O71" t="n">
        <v>20100</v>
      </c>
      <c r="P71" t="n">
        <v>20250</v>
      </c>
      <c r="Q71" t="n">
        <v>39</v>
      </c>
      <c r="V71">
        <f>IF(AND(MOD(57,$S$17)=0,MOD((INT(57/$S$17)+1)-1,$S$13/5)=0),INDEX($AA$4:$AA$53,(INT(57/$S$17)+1)),"")</f>
        <v/>
      </c>
      <c r="W71">
        <f>IF(MOD(57,$S$17)=$S$17-1,0,INDEX($U$4:$U$53,(INT(57/$S$17)+1)))</f>
        <v/>
      </c>
      <c r="AB71" t="n">
        <v>10050</v>
      </c>
      <c r="AC71" t="n">
        <v>10125</v>
      </c>
      <c r="AD71" t="n">
        <v>73</v>
      </c>
      <c r="AI71">
        <f>IF(AND(MOD(57,$AF$17)=0,MOD((INT(57/$AF$17)+1)-1,$AF$13/5)=0),INDEX($AN$4:$AN$53,(INT(57/$AF$17)+1)),"")</f>
        <v/>
      </c>
      <c r="AJ71">
        <f>IF(MOD(57,$AF$17)=$AF$17-1,0,INDEX($AH$4:$AH$53,(INT(57/$AF$17)+1)))</f>
        <v/>
      </c>
      <c r="AO71" t="n">
        <v>150.75</v>
      </c>
      <c r="AP71" t="n">
        <v>151.875</v>
      </c>
      <c r="AQ71" t="n">
        <v>39</v>
      </c>
      <c r="AV71">
        <f>IF(AND(MOD(57,$AS$17)=0,MOD((INT(57/$AS$17)+1)-1,$AS$13/5)=0),INDEX($BA$4:$BA$53,(INT(57/$AS$17)+1)),"")</f>
        <v/>
      </c>
      <c r="AW71">
        <f>IF(MOD(57,$AS$17)=$AS$17-1,0,INDEX($AU$4:$AU$53,(INT(57/$AS$17)+1)))</f>
        <v/>
      </c>
    </row>
    <row r="72">
      <c r="B72" t="n">
        <v>652</v>
      </c>
      <c r="C72" t="n">
        <v>652.75</v>
      </c>
      <c r="D72" t="n">
        <v>74</v>
      </c>
      <c r="I72">
        <f>IF(AND(MOD(58,$F$17)=0,MOD((INT(58/$F$17)+1)-1,$F$13/5)=0),INDEX($N$4:$N$53,(INT(58/$F$17)+1)),"")</f>
        <v/>
      </c>
      <c r="J72">
        <f>IF(MOD(58,$F$17)=$F$17-1,0,INDEX($H$4:$H$53,(INT(58/$F$17)+1)))</f>
        <v/>
      </c>
      <c r="O72" t="n">
        <v>20400</v>
      </c>
      <c r="P72" t="n">
        <v>20550</v>
      </c>
      <c r="Q72" t="n">
        <v>39</v>
      </c>
      <c r="V72">
        <f>IF(AND(MOD(58,$S$17)=0,MOD((INT(58/$S$17)+1)-1,$S$13/5)=0),INDEX($AA$4:$AA$53,(INT(58/$S$17)+1)),"")</f>
        <v/>
      </c>
      <c r="W72">
        <f>IF(MOD(58,$S$17)=$S$17-1,0,INDEX($U$4:$U$53,(INT(58/$S$17)+1)))</f>
        <v/>
      </c>
      <c r="AB72" t="n">
        <v>10200</v>
      </c>
      <c r="AC72" t="n">
        <v>10275</v>
      </c>
      <c r="AD72" t="n">
        <v>78</v>
      </c>
      <c r="AI72">
        <f>IF(AND(MOD(58,$AF$17)=0,MOD((INT(58/$AF$17)+1)-1,$AF$13/5)=0),INDEX($AN$4:$AN$53,(INT(58/$AF$17)+1)),"")</f>
        <v/>
      </c>
      <c r="AJ72">
        <f>IF(MOD(58,$AF$17)=$AF$17-1,0,INDEX($AH$4:$AH$53,(INT(58/$AF$17)+1)))</f>
        <v/>
      </c>
      <c r="AO72" t="n">
        <v>153</v>
      </c>
      <c r="AP72" t="n">
        <v>154.125</v>
      </c>
      <c r="AQ72" t="n">
        <v>71</v>
      </c>
      <c r="AV72">
        <f>IF(AND(MOD(58,$AS$17)=0,MOD((INT(58/$AS$17)+1)-1,$AS$13/5)=0),INDEX($BA$4:$BA$53,(INT(58/$AS$17)+1)),"")</f>
        <v/>
      </c>
      <c r="AW72">
        <f>IF(MOD(58,$AS$17)=$AS$17-1,0,INDEX($AU$4:$AU$53,(INT(58/$AS$17)+1)))</f>
        <v/>
      </c>
    </row>
    <row r="73">
      <c r="B73" t="n">
        <v>653.5</v>
      </c>
      <c r="C73" t="n">
        <v>654.25</v>
      </c>
      <c r="D73" t="n">
        <v>50</v>
      </c>
      <c r="I73">
        <f>IF(AND(MOD(59,$F$17)=0,MOD((INT(59/$F$17)+1)-1,$F$13/5)=0),INDEX($N$4:$N$53,(INT(59/$F$17)+1)),"")</f>
        <v/>
      </c>
      <c r="J73">
        <f>IF(MOD(59,$F$17)=$F$17-1,0,INDEX($H$4:$H$53,(INT(59/$F$17)+1)))</f>
        <v/>
      </c>
      <c r="O73" t="n">
        <v>20700</v>
      </c>
      <c r="P73" t="n">
        <v>20850</v>
      </c>
      <c r="Q73" t="n">
        <v>41</v>
      </c>
      <c r="V73">
        <f>IF(AND(MOD(59,$S$17)=0,MOD((INT(59/$S$17)+1)-1,$S$13/5)=0),INDEX($AA$4:$AA$53,(INT(59/$S$17)+1)),"")</f>
        <v/>
      </c>
      <c r="W73">
        <f>IF(MOD(59,$S$17)=$S$17-1,0,INDEX($U$4:$U$53,(INT(59/$S$17)+1)))</f>
        <v/>
      </c>
      <c r="AB73" t="n">
        <v>10350</v>
      </c>
      <c r="AC73" t="n">
        <v>10425</v>
      </c>
      <c r="AD73" t="n">
        <v>76</v>
      </c>
      <c r="AI73">
        <f>IF(AND(MOD(59,$AF$17)=0,MOD((INT(59/$AF$17)+1)-1,$AF$13/5)=0),INDEX($AN$4:$AN$53,(INT(59/$AF$17)+1)),"")</f>
        <v/>
      </c>
      <c r="AJ73">
        <f>IF(MOD(59,$AF$17)=$AF$17-1,0,INDEX($AH$4:$AH$53,(INT(59/$AF$17)+1)))</f>
        <v/>
      </c>
      <c r="AO73" t="n">
        <v>155.25</v>
      </c>
      <c r="AP73" t="n">
        <v>156.375</v>
      </c>
      <c r="AQ73" t="n">
        <v>32</v>
      </c>
      <c r="AV73">
        <f>IF(AND(MOD(59,$AS$17)=0,MOD((INT(59/$AS$17)+1)-1,$AS$13/5)=0),INDEX($BA$4:$BA$53,(INT(59/$AS$17)+1)),"")</f>
        <v/>
      </c>
      <c r="AW73">
        <f>IF(MOD(59,$AS$17)=$AS$17-1,0,INDEX($AU$4:$AU$53,(INT(59/$AS$17)+1)))</f>
        <v/>
      </c>
    </row>
    <row r="74">
      <c r="B74" t="n">
        <v>655</v>
      </c>
      <c r="C74" t="n">
        <v>655.75</v>
      </c>
      <c r="D74" t="n">
        <v>83</v>
      </c>
      <c r="I74">
        <f>IF(AND(MOD(60,$F$17)=0,MOD((INT(60/$F$17)+1)-1,$F$13/5)=0),INDEX($N$4:$N$53,(INT(60/$F$17)+1)),"")</f>
        <v/>
      </c>
      <c r="J74">
        <f>IF(MOD(60,$F$17)=$F$17-1,0,INDEX($H$4:$H$53,(INT(60/$F$17)+1)))</f>
        <v/>
      </c>
      <c r="O74" t="n">
        <v>21000</v>
      </c>
      <c r="P74" t="n">
        <v>21150</v>
      </c>
      <c r="Q74" t="n">
        <v>29</v>
      </c>
      <c r="V74">
        <f>IF(AND(MOD(60,$S$17)=0,MOD((INT(60/$S$17)+1)-1,$S$13/5)=0),INDEX($AA$4:$AA$53,(INT(60/$S$17)+1)),"")</f>
        <v/>
      </c>
      <c r="W74">
        <f>IF(MOD(60,$S$17)=$S$17-1,0,INDEX($U$4:$U$53,(INT(60/$S$17)+1)))</f>
        <v/>
      </c>
      <c r="AB74" t="n">
        <v>10500</v>
      </c>
      <c r="AC74" t="n">
        <v>10575</v>
      </c>
      <c r="AD74" t="n">
        <v>81</v>
      </c>
      <c r="AI74">
        <f>IF(AND(MOD(60,$AF$17)=0,MOD((INT(60/$AF$17)+1)-1,$AF$13/5)=0),INDEX($AN$4:$AN$53,(INT(60/$AF$17)+1)),"")</f>
        <v/>
      </c>
      <c r="AJ74">
        <f>IF(MOD(60,$AF$17)=$AF$17-1,0,INDEX($AH$4:$AH$53,(INT(60/$AF$17)+1)))</f>
        <v/>
      </c>
      <c r="AO74" t="n">
        <v>157.5</v>
      </c>
      <c r="AP74" t="n">
        <v>158.625</v>
      </c>
      <c r="AQ74" t="n">
        <v>35</v>
      </c>
      <c r="AV74">
        <f>IF(AND(MOD(60,$AS$17)=0,MOD((INT(60/$AS$17)+1)-1,$AS$13/5)=0),INDEX($BA$4:$BA$53,(INT(60/$AS$17)+1)),"")</f>
        <v/>
      </c>
      <c r="AW74">
        <f>IF(MOD(60,$AS$17)=$AS$17-1,0,INDEX($AU$4:$AU$53,(INT(60/$AS$17)+1)))</f>
        <v/>
      </c>
    </row>
    <row r="75">
      <c r="B75" t="n">
        <v>656.5</v>
      </c>
      <c r="C75" t="n">
        <v>657.25</v>
      </c>
      <c r="D75" t="n">
        <v>49</v>
      </c>
      <c r="I75">
        <f>IF(AND(MOD(61,$F$17)=0,MOD((INT(61/$F$17)+1)-1,$F$13/5)=0),INDEX($N$4:$N$53,(INT(61/$F$17)+1)),"")</f>
        <v/>
      </c>
      <c r="J75">
        <f>IF(MOD(61,$F$17)=$F$17-1,0,INDEX($H$4:$H$53,(INT(61/$F$17)+1)))</f>
        <v/>
      </c>
      <c r="O75" t="n">
        <v>21300</v>
      </c>
      <c r="P75" t="n">
        <v>21450</v>
      </c>
      <c r="Q75" t="n">
        <v>39</v>
      </c>
      <c r="V75">
        <f>IF(AND(MOD(61,$S$17)=0,MOD((INT(61/$S$17)+1)-1,$S$13/5)=0),INDEX($AA$4:$AA$53,(INT(61/$S$17)+1)),"")</f>
        <v/>
      </c>
      <c r="W75">
        <f>IF(MOD(61,$S$17)=$S$17-1,0,INDEX($U$4:$U$53,(INT(61/$S$17)+1)))</f>
        <v/>
      </c>
      <c r="AB75" t="n">
        <v>10650</v>
      </c>
      <c r="AC75" t="n">
        <v>10725</v>
      </c>
      <c r="AD75" t="n">
        <v>94</v>
      </c>
      <c r="AI75">
        <f>IF(AND(MOD(61,$AF$17)=0,MOD((INT(61/$AF$17)+1)-1,$AF$13/5)=0),INDEX($AN$4:$AN$53,(INT(61/$AF$17)+1)),"")</f>
        <v/>
      </c>
      <c r="AJ75">
        <f>IF(MOD(61,$AF$17)=$AF$17-1,0,INDEX($AH$4:$AH$53,(INT(61/$AF$17)+1)))</f>
        <v/>
      </c>
      <c r="AO75" t="n">
        <v>159.75</v>
      </c>
      <c r="AP75" t="n">
        <v>160.875</v>
      </c>
      <c r="AQ75" t="n">
        <v>52</v>
      </c>
      <c r="AV75">
        <f>IF(AND(MOD(61,$AS$17)=0,MOD((INT(61/$AS$17)+1)-1,$AS$13/5)=0),INDEX($BA$4:$BA$53,(INT(61/$AS$17)+1)),"")</f>
        <v/>
      </c>
      <c r="AW75">
        <f>IF(MOD(61,$AS$17)=$AS$17-1,0,INDEX($AU$4:$AU$53,(INT(61/$AS$17)+1)))</f>
        <v/>
      </c>
    </row>
    <row r="76">
      <c r="B76" t="n">
        <v>658</v>
      </c>
      <c r="C76" t="n">
        <v>658.75</v>
      </c>
      <c r="D76" t="n">
        <v>84</v>
      </c>
      <c r="I76">
        <f>IF(AND(MOD(62,$F$17)=0,MOD((INT(62/$F$17)+1)-1,$F$13/5)=0),INDEX($N$4:$N$53,(INT(62/$F$17)+1)),"")</f>
        <v/>
      </c>
      <c r="J76">
        <f>IF(MOD(62,$F$17)=$F$17-1,0,INDEX($H$4:$H$53,(INT(62/$F$17)+1)))</f>
        <v/>
      </c>
      <c r="O76" t="n">
        <v>21600</v>
      </c>
      <c r="P76" t="n">
        <v>21750</v>
      </c>
      <c r="Q76" t="n">
        <v>51</v>
      </c>
      <c r="V76">
        <f>IF(AND(MOD(62,$S$17)=0,MOD((INT(62/$S$17)+1)-1,$S$13/5)=0),INDEX($AA$4:$AA$53,(INT(62/$S$17)+1)),"")</f>
        <v/>
      </c>
      <c r="W76">
        <f>IF(MOD(62,$S$17)=$S$17-1,0,INDEX($U$4:$U$53,(INT(62/$S$17)+1)))</f>
        <v/>
      </c>
      <c r="AB76" t="n">
        <v>10800</v>
      </c>
      <c r="AC76" t="n">
        <v>10875</v>
      </c>
      <c r="AD76" t="n">
        <v>82</v>
      </c>
      <c r="AI76">
        <f>IF(AND(MOD(62,$AF$17)=0,MOD((INT(62/$AF$17)+1)-1,$AF$13/5)=0),INDEX($AN$4:$AN$53,(INT(62/$AF$17)+1)),"")</f>
        <v/>
      </c>
      <c r="AJ76">
        <f>IF(MOD(62,$AF$17)=$AF$17-1,0,INDEX($AH$4:$AH$53,(INT(62/$AF$17)+1)))</f>
        <v/>
      </c>
      <c r="AO76" t="n">
        <v>162</v>
      </c>
      <c r="AP76" t="n">
        <v>163.125</v>
      </c>
      <c r="AQ76" t="n">
        <v>69</v>
      </c>
      <c r="AV76">
        <f>IF(AND(MOD(62,$AS$17)=0,MOD((INT(62/$AS$17)+1)-1,$AS$13/5)=0),INDEX($BA$4:$BA$53,(INT(62/$AS$17)+1)),"")</f>
        <v/>
      </c>
      <c r="AW76">
        <f>IF(MOD(62,$AS$17)=$AS$17-1,0,INDEX($AU$4:$AU$53,(INT(62/$AS$17)+1)))</f>
        <v/>
      </c>
    </row>
    <row r="77">
      <c r="B77" t="n">
        <v>659.5</v>
      </c>
      <c r="C77" t="n">
        <v>660.25</v>
      </c>
      <c r="D77" t="n">
        <v>43</v>
      </c>
      <c r="I77">
        <f>IF(AND(MOD(63,$F$17)=0,MOD((INT(63/$F$17)+1)-1,$F$13/5)=0),INDEX($N$4:$N$53,(INT(63/$F$17)+1)),"")</f>
        <v/>
      </c>
      <c r="J77">
        <f>IF(MOD(63,$F$17)=$F$17-1,0,INDEX($H$4:$H$53,(INT(63/$F$17)+1)))</f>
        <v/>
      </c>
      <c r="O77" t="n">
        <v>21900</v>
      </c>
      <c r="P77" t="n">
        <v>22050</v>
      </c>
      <c r="Q77" t="n">
        <v>42</v>
      </c>
      <c r="V77">
        <f>IF(AND(MOD(63,$S$17)=0,MOD((INT(63/$S$17)+1)-1,$S$13/5)=0),INDEX($AA$4:$AA$53,(INT(63/$S$17)+1)),"")</f>
        <v/>
      </c>
      <c r="W77">
        <f>IF(MOD(63,$S$17)=$S$17-1,0,INDEX($U$4:$U$53,(INT(63/$S$17)+1)))</f>
        <v/>
      </c>
      <c r="AB77" t="n">
        <v>10950</v>
      </c>
      <c r="AC77" t="n">
        <v>11025</v>
      </c>
      <c r="AD77" t="n">
        <v>68</v>
      </c>
      <c r="AI77">
        <f>IF(AND(MOD(63,$AF$17)=0,MOD((INT(63/$AF$17)+1)-1,$AF$13/5)=0),INDEX($AN$4:$AN$53,(INT(63/$AF$17)+1)),"")</f>
        <v/>
      </c>
      <c r="AJ77">
        <f>IF(MOD(63,$AF$17)=$AF$17-1,0,INDEX($AH$4:$AH$53,(INT(63/$AF$17)+1)))</f>
        <v/>
      </c>
      <c r="AO77" t="n">
        <v>164.25</v>
      </c>
      <c r="AP77" t="n">
        <v>165.375</v>
      </c>
      <c r="AQ77" t="n">
        <v>33</v>
      </c>
      <c r="AV77">
        <f>IF(AND(MOD(63,$AS$17)=0,MOD((INT(63/$AS$17)+1)-1,$AS$13/5)=0),INDEX($BA$4:$BA$53,(INT(63/$AS$17)+1)),"")</f>
        <v/>
      </c>
      <c r="AW77">
        <f>IF(MOD(63,$AS$17)=$AS$17-1,0,INDEX($AU$4:$AU$53,(INT(63/$AS$17)+1)))</f>
        <v/>
      </c>
    </row>
    <row r="78">
      <c r="B78" t="n">
        <v>661</v>
      </c>
      <c r="C78" t="n">
        <v>661.75</v>
      </c>
      <c r="D78" t="n">
        <v>75</v>
      </c>
      <c r="I78">
        <f>IF(AND(MOD(64,$F$17)=0,MOD((INT(64/$F$17)+1)-1,$F$13/5)=0),INDEX($N$4:$N$53,(INT(64/$F$17)+1)),"")</f>
        <v/>
      </c>
      <c r="J78">
        <f>IF(MOD(64,$F$17)=$F$17-1,0,INDEX($H$4:$H$53,(INT(64/$F$17)+1)))</f>
        <v/>
      </c>
      <c r="O78" t="n">
        <v>22200</v>
      </c>
      <c r="P78" t="n">
        <v>22350</v>
      </c>
      <c r="Q78" t="n">
        <v>42</v>
      </c>
      <c r="V78">
        <f>IF(AND(MOD(64,$S$17)=0,MOD((INT(64/$S$17)+1)-1,$S$13/5)=0),INDEX($AA$4:$AA$53,(INT(64/$S$17)+1)),"")</f>
        <v/>
      </c>
      <c r="W78">
        <f>IF(MOD(64,$S$17)=$S$17-1,0,INDEX($U$4:$U$53,(INT(64/$S$17)+1)))</f>
        <v/>
      </c>
      <c r="AB78" t="n">
        <v>11100</v>
      </c>
      <c r="AC78" t="n">
        <v>11175</v>
      </c>
      <c r="AD78" t="n">
        <v>74</v>
      </c>
      <c r="AI78">
        <f>IF(AND(MOD(64,$AF$17)=0,MOD((INT(64/$AF$17)+1)-1,$AF$13/5)=0),INDEX($AN$4:$AN$53,(INT(64/$AF$17)+1)),"")</f>
        <v/>
      </c>
      <c r="AJ78">
        <f>IF(MOD(64,$AF$17)=$AF$17-1,0,INDEX($AH$4:$AH$53,(INT(64/$AF$17)+1)))</f>
        <v/>
      </c>
      <c r="AO78" t="n">
        <v>166.5</v>
      </c>
      <c r="AP78" t="n">
        <v>167.625</v>
      </c>
      <c r="AQ78" t="n">
        <v>32</v>
      </c>
      <c r="AV78">
        <f>IF(AND(MOD(64,$AS$17)=0,MOD((INT(64/$AS$17)+1)-1,$AS$13/5)=0),INDEX($BA$4:$BA$53,(INT(64/$AS$17)+1)),"")</f>
        <v/>
      </c>
      <c r="AW78">
        <f>IF(MOD(64,$AS$17)=$AS$17-1,0,INDEX($AU$4:$AU$53,(INT(64/$AS$17)+1)))</f>
        <v/>
      </c>
    </row>
    <row r="79">
      <c r="B79" t="n">
        <v>662.5</v>
      </c>
      <c r="C79" t="n">
        <v>663.25</v>
      </c>
      <c r="D79" t="n">
        <v>40</v>
      </c>
      <c r="I79">
        <f>IF(AND(MOD(65,$F$17)=0,MOD((INT(65/$F$17)+1)-1,$F$13/5)=0),INDEX($N$4:$N$53,(INT(65/$F$17)+1)),"")</f>
        <v/>
      </c>
      <c r="J79">
        <f>IF(MOD(65,$F$17)=$F$17-1,0,INDEX($H$4:$H$53,(INT(65/$F$17)+1)))</f>
        <v/>
      </c>
      <c r="O79" t="n">
        <v>22500</v>
      </c>
      <c r="P79" t="n">
        <v>22650</v>
      </c>
      <c r="Q79" t="n">
        <v>55</v>
      </c>
      <c r="V79">
        <f>IF(AND(MOD(65,$S$17)=0,MOD((INT(65/$S$17)+1)-1,$S$13/5)=0),INDEX($AA$4:$AA$53,(INT(65/$S$17)+1)),"")</f>
        <v/>
      </c>
      <c r="W79">
        <f>IF(MOD(65,$S$17)=$S$17-1,0,INDEX($U$4:$U$53,(INT(65/$S$17)+1)))</f>
        <v/>
      </c>
      <c r="AB79" t="n">
        <v>11250</v>
      </c>
      <c r="AC79" t="n">
        <v>11325</v>
      </c>
      <c r="AD79" t="n">
        <v>79</v>
      </c>
      <c r="AI79">
        <f>IF(AND(MOD(65,$AF$17)=0,MOD((INT(65/$AF$17)+1)-1,$AF$13/5)=0),INDEX($AN$4:$AN$53,(INT(65/$AF$17)+1)),"")</f>
        <v/>
      </c>
      <c r="AJ79">
        <f>IF(MOD(65,$AF$17)=$AF$17-1,0,INDEX($AH$4:$AH$53,(INT(65/$AF$17)+1)))</f>
        <v/>
      </c>
      <c r="AO79" t="n">
        <v>168.75</v>
      </c>
      <c r="AP79" t="n">
        <v>169.875</v>
      </c>
      <c r="AQ79" t="n">
        <v>44</v>
      </c>
      <c r="AV79">
        <f>IF(AND(MOD(65,$AS$17)=0,MOD((INT(65/$AS$17)+1)-1,$AS$13/5)=0),INDEX($BA$4:$BA$53,(INT(65/$AS$17)+1)),"")</f>
        <v/>
      </c>
      <c r="AW79">
        <f>IF(MOD(65,$AS$17)=$AS$17-1,0,INDEX($AU$4:$AU$53,(INT(65/$AS$17)+1)))</f>
        <v/>
      </c>
    </row>
    <row r="80">
      <c r="B80" t="n">
        <v>664</v>
      </c>
      <c r="C80" t="n">
        <v>664.75</v>
      </c>
      <c r="D80" t="n">
        <v>86</v>
      </c>
      <c r="I80">
        <f>IF(AND(MOD(66,$F$17)=0,MOD((INT(66/$F$17)+1)-1,$F$13/5)=0),INDEX($N$4:$N$53,(INT(66/$F$17)+1)),"")</f>
        <v/>
      </c>
      <c r="J80">
        <f>IF(MOD(66,$F$17)=$F$17-1,0,INDEX($H$4:$H$53,(INT(66/$F$17)+1)))</f>
        <v/>
      </c>
      <c r="O80" t="n">
        <v>22800</v>
      </c>
      <c r="P80" t="n">
        <v>22950</v>
      </c>
      <c r="Q80" t="n">
        <v>45</v>
      </c>
      <c r="V80">
        <f>IF(AND(MOD(66,$S$17)=0,MOD((INT(66/$S$17)+1)-1,$S$13/5)=0),INDEX($AA$4:$AA$53,(INT(66/$S$17)+1)),"")</f>
        <v/>
      </c>
      <c r="W80">
        <f>IF(MOD(66,$S$17)=$S$17-1,0,INDEX($U$4:$U$53,(INT(66/$S$17)+1)))</f>
        <v/>
      </c>
      <c r="AB80" t="n">
        <v>11400</v>
      </c>
      <c r="AC80" t="n">
        <v>11475</v>
      </c>
      <c r="AD80" t="n">
        <v>76</v>
      </c>
      <c r="AI80">
        <f>IF(AND(MOD(66,$AF$17)=0,MOD((INT(66/$AF$17)+1)-1,$AF$13/5)=0),INDEX($AN$4:$AN$53,(INT(66/$AF$17)+1)),"")</f>
        <v/>
      </c>
      <c r="AJ80">
        <f>IF(MOD(66,$AF$17)=$AF$17-1,0,INDEX($AH$4:$AH$53,(INT(66/$AF$17)+1)))</f>
        <v/>
      </c>
      <c r="AO80" t="n">
        <v>171</v>
      </c>
      <c r="AP80" t="n">
        <v>172.125</v>
      </c>
      <c r="AQ80" t="n">
        <v>50</v>
      </c>
      <c r="AV80">
        <f>IF(AND(MOD(66,$AS$17)=0,MOD((INT(66/$AS$17)+1)-1,$AS$13/5)=0),INDEX($BA$4:$BA$53,(INT(66/$AS$17)+1)),"")</f>
        <v/>
      </c>
      <c r="AW80">
        <f>IF(MOD(66,$AS$17)=$AS$17-1,0,INDEX($AU$4:$AU$53,(INT(66/$AS$17)+1)))</f>
        <v/>
      </c>
    </row>
    <row r="81">
      <c r="B81" t="n">
        <v>665.5</v>
      </c>
      <c r="C81" t="n">
        <v>666.25</v>
      </c>
      <c r="D81" t="n">
        <v>54</v>
      </c>
      <c r="I81">
        <f>IF(AND(MOD(67,$F$17)=0,MOD((INT(67/$F$17)+1)-1,$F$13/5)=0),INDEX($N$4:$N$53,(INT(67/$F$17)+1)),"")</f>
        <v/>
      </c>
      <c r="J81">
        <f>IF(MOD(67,$F$17)=$F$17-1,0,INDEX($H$4:$H$53,(INT(67/$F$17)+1)))</f>
        <v/>
      </c>
      <c r="O81" t="n">
        <v>23100</v>
      </c>
      <c r="P81" t="n">
        <v>23250</v>
      </c>
      <c r="Q81" t="n">
        <v>41</v>
      </c>
      <c r="V81">
        <f>IF(AND(MOD(67,$S$17)=0,MOD((INT(67/$S$17)+1)-1,$S$13/5)=0),INDEX($AA$4:$AA$53,(INT(67/$S$17)+1)),"")</f>
        <v/>
      </c>
      <c r="W81">
        <f>IF(MOD(67,$S$17)=$S$17-1,0,INDEX($U$4:$U$53,(INT(67/$S$17)+1)))</f>
        <v/>
      </c>
      <c r="AB81" t="n">
        <v>11550</v>
      </c>
      <c r="AC81" t="n">
        <v>11625</v>
      </c>
      <c r="AD81" t="n">
        <v>72</v>
      </c>
      <c r="AI81">
        <f>IF(AND(MOD(67,$AF$17)=0,MOD((INT(67/$AF$17)+1)-1,$AF$13/5)=0),INDEX($AN$4:$AN$53,(INT(67/$AF$17)+1)),"")</f>
        <v/>
      </c>
      <c r="AJ81">
        <f>IF(MOD(67,$AF$17)=$AF$17-1,0,INDEX($AH$4:$AH$53,(INT(67/$AF$17)+1)))</f>
        <v/>
      </c>
      <c r="AO81" t="n">
        <v>173.25</v>
      </c>
      <c r="AP81" t="n">
        <v>174.375</v>
      </c>
      <c r="AQ81" t="n">
        <v>38</v>
      </c>
      <c r="AV81">
        <f>IF(AND(MOD(67,$AS$17)=0,MOD((INT(67/$AS$17)+1)-1,$AS$13/5)=0),INDEX($BA$4:$BA$53,(INT(67/$AS$17)+1)),"")</f>
        <v/>
      </c>
      <c r="AW81">
        <f>IF(MOD(67,$AS$17)=$AS$17-1,0,INDEX($AU$4:$AU$53,(INT(67/$AS$17)+1)))</f>
        <v/>
      </c>
    </row>
    <row r="82">
      <c r="B82" t="n">
        <v>667</v>
      </c>
      <c r="C82" t="n">
        <v>667.75</v>
      </c>
      <c r="D82" t="n">
        <v>98</v>
      </c>
      <c r="I82">
        <f>IF(AND(MOD(68,$F$17)=0,MOD((INT(68/$F$17)+1)-1,$F$13/5)=0),INDEX($N$4:$N$53,(INT(68/$F$17)+1)),"")</f>
        <v/>
      </c>
      <c r="J82">
        <f>IF(MOD(68,$F$17)=$F$17-1,0,INDEX($H$4:$H$53,(INT(68/$F$17)+1)))</f>
        <v/>
      </c>
      <c r="O82" t="n">
        <v>23400</v>
      </c>
      <c r="P82" t="n">
        <v>23550</v>
      </c>
      <c r="Q82" t="n">
        <v>42</v>
      </c>
      <c r="V82">
        <f>IF(AND(MOD(68,$S$17)=0,MOD((INT(68/$S$17)+1)-1,$S$13/5)=0),INDEX($AA$4:$AA$53,(INT(68/$S$17)+1)),"")</f>
        <v/>
      </c>
      <c r="W82">
        <f>IF(MOD(68,$S$17)=$S$17-1,0,INDEX($U$4:$U$53,(INT(68/$S$17)+1)))</f>
        <v/>
      </c>
      <c r="AB82" t="n">
        <v>11700</v>
      </c>
      <c r="AC82" t="n">
        <v>11775</v>
      </c>
      <c r="AD82" t="n">
        <v>72</v>
      </c>
      <c r="AI82">
        <f>IF(AND(MOD(68,$AF$17)=0,MOD((INT(68/$AF$17)+1)-1,$AF$13/5)=0),INDEX($AN$4:$AN$53,(INT(68/$AF$17)+1)),"")</f>
        <v/>
      </c>
      <c r="AJ82">
        <f>IF(MOD(68,$AF$17)=$AF$17-1,0,INDEX($AH$4:$AH$53,(INT(68/$AF$17)+1)))</f>
        <v/>
      </c>
      <c r="AO82" t="n">
        <v>175.5</v>
      </c>
      <c r="AP82" t="n">
        <v>176.625</v>
      </c>
      <c r="AQ82" t="n">
        <v>37</v>
      </c>
      <c r="AV82">
        <f>IF(AND(MOD(68,$AS$17)=0,MOD((INT(68/$AS$17)+1)-1,$AS$13/5)=0),INDEX($BA$4:$BA$53,(INT(68/$AS$17)+1)),"")</f>
        <v/>
      </c>
      <c r="AW82">
        <f>IF(MOD(68,$AS$17)=$AS$17-1,0,INDEX($AU$4:$AU$53,(INT(68/$AS$17)+1)))</f>
        <v/>
      </c>
    </row>
    <row r="83">
      <c r="B83" t="n">
        <v>668.5</v>
      </c>
      <c r="C83" t="n">
        <v>669.25</v>
      </c>
      <c r="D83" t="n">
        <v>53</v>
      </c>
      <c r="I83">
        <f>IF(AND(MOD(69,$F$17)=0,MOD((INT(69/$F$17)+1)-1,$F$13/5)=0),INDEX($N$4:$N$53,(INT(69/$F$17)+1)),"")</f>
        <v/>
      </c>
      <c r="J83">
        <f>IF(MOD(69,$F$17)=$F$17-1,0,INDEX($H$4:$H$53,(INT(69/$F$17)+1)))</f>
        <v/>
      </c>
      <c r="O83" t="n">
        <v>23700</v>
      </c>
      <c r="P83" t="n">
        <v>23850</v>
      </c>
      <c r="Q83" t="n">
        <v>48</v>
      </c>
      <c r="V83">
        <f>IF(AND(MOD(69,$S$17)=0,MOD((INT(69/$S$17)+1)-1,$S$13/5)=0),INDEX($AA$4:$AA$53,(INT(69/$S$17)+1)),"")</f>
        <v/>
      </c>
      <c r="W83">
        <f>IF(MOD(69,$S$17)=$S$17-1,0,INDEX($U$4:$U$53,(INT(69/$S$17)+1)))</f>
        <v/>
      </c>
      <c r="AB83" t="n">
        <v>11850</v>
      </c>
      <c r="AC83" t="n">
        <v>11925</v>
      </c>
      <c r="AD83" t="n">
        <v>78</v>
      </c>
      <c r="AI83">
        <f>IF(AND(MOD(69,$AF$17)=0,MOD((INT(69/$AF$17)+1)-1,$AF$13/5)=0),INDEX($AN$4:$AN$53,(INT(69/$AF$17)+1)),"")</f>
        <v/>
      </c>
      <c r="AJ83">
        <f>IF(MOD(69,$AF$17)=$AF$17-1,0,INDEX($AH$4:$AH$53,(INT(69/$AF$17)+1)))</f>
        <v/>
      </c>
      <c r="AO83" t="n">
        <v>177.75</v>
      </c>
      <c r="AP83" t="n">
        <v>178.875</v>
      </c>
      <c r="AQ83" t="n">
        <v>46</v>
      </c>
      <c r="AV83">
        <f>IF(AND(MOD(69,$AS$17)=0,MOD((INT(69/$AS$17)+1)-1,$AS$13/5)=0),INDEX($BA$4:$BA$53,(INT(69/$AS$17)+1)),"")</f>
        <v/>
      </c>
      <c r="AW83">
        <f>IF(MOD(69,$AS$17)=$AS$17-1,0,INDEX($AU$4:$AU$53,(INT(69/$AS$17)+1)))</f>
        <v/>
      </c>
    </row>
    <row r="84">
      <c r="B84" t="n">
        <v>670</v>
      </c>
      <c r="C84" t="n">
        <v>670.75</v>
      </c>
      <c r="D84" t="n">
        <v>108</v>
      </c>
      <c r="I84">
        <f>IF(AND(MOD(70,$F$17)=0,MOD((INT(70/$F$17)+1)-1,$F$13/5)=0),INDEX($N$4:$N$53,(INT(70/$F$17)+1)),"")</f>
        <v/>
      </c>
      <c r="J84">
        <f>IF(MOD(70,$F$17)=$F$17-1,0,INDEX($H$4:$H$53,(INT(70/$F$17)+1)))</f>
        <v/>
      </c>
      <c r="O84" t="n">
        <v>24000</v>
      </c>
      <c r="P84" t="n">
        <v>24150</v>
      </c>
      <c r="Q84" t="n">
        <v>44</v>
      </c>
      <c r="V84">
        <f>IF(AND(MOD(70,$S$17)=0,MOD((INT(70/$S$17)+1)-1,$S$13/5)=0),INDEX($AA$4:$AA$53,(INT(70/$S$17)+1)),"")</f>
        <v/>
      </c>
      <c r="W84">
        <f>IF(MOD(70,$S$17)=$S$17-1,0,INDEX($U$4:$U$53,(INT(70/$S$17)+1)))</f>
        <v/>
      </c>
      <c r="AB84" t="n">
        <v>12000</v>
      </c>
      <c r="AC84" t="n">
        <v>12075</v>
      </c>
      <c r="AD84" t="n">
        <v>76</v>
      </c>
      <c r="AI84">
        <f>IF(AND(MOD(70,$AF$17)=0,MOD((INT(70/$AF$17)+1)-1,$AF$13/5)=0),INDEX($AN$4:$AN$53,(INT(70/$AF$17)+1)),"")</f>
        <v/>
      </c>
      <c r="AJ84">
        <f>IF(MOD(70,$AF$17)=$AF$17-1,0,INDEX($AH$4:$AH$53,(INT(70/$AF$17)+1)))</f>
        <v/>
      </c>
      <c r="AO84" t="n">
        <v>180</v>
      </c>
      <c r="AP84" t="n">
        <v>181.125</v>
      </c>
      <c r="AQ84" t="n">
        <v>56</v>
      </c>
      <c r="AV84">
        <f>IF(AND(MOD(70,$AS$17)=0,MOD((INT(70/$AS$17)+1)-1,$AS$13/5)=0),INDEX($BA$4:$BA$53,(INT(70/$AS$17)+1)),"")</f>
        <v/>
      </c>
      <c r="AW84">
        <f>IF(MOD(70,$AS$17)=$AS$17-1,0,INDEX($AU$4:$AU$53,(INT(70/$AS$17)+1)))</f>
        <v/>
      </c>
    </row>
    <row r="85">
      <c r="B85" t="n">
        <v>671.5</v>
      </c>
      <c r="C85" t="n">
        <v>672.25</v>
      </c>
      <c r="D85" t="n">
        <v>57</v>
      </c>
      <c r="I85">
        <f>IF(AND(MOD(71,$F$17)=0,MOD((INT(71/$F$17)+1)-1,$F$13/5)=0),INDEX($N$4:$N$53,(INT(71/$F$17)+1)),"")</f>
        <v/>
      </c>
      <c r="J85">
        <f>IF(MOD(71,$F$17)=$F$17-1,0,INDEX($H$4:$H$53,(INT(71/$F$17)+1)))</f>
        <v/>
      </c>
      <c r="O85" t="n">
        <v>24300</v>
      </c>
      <c r="P85" t="n">
        <v>24450</v>
      </c>
      <c r="Q85" t="n">
        <v>49</v>
      </c>
      <c r="V85">
        <f>IF(AND(MOD(71,$S$17)=0,MOD((INT(71/$S$17)+1)-1,$S$13/5)=0),INDEX($AA$4:$AA$53,(INT(71/$S$17)+1)),"")</f>
        <v/>
      </c>
      <c r="W85">
        <f>IF(MOD(71,$S$17)=$S$17-1,0,INDEX($U$4:$U$53,(INT(71/$S$17)+1)))</f>
        <v/>
      </c>
      <c r="AB85" t="n">
        <v>12150</v>
      </c>
      <c r="AC85" t="n">
        <v>12225</v>
      </c>
      <c r="AD85" t="n">
        <v>72</v>
      </c>
      <c r="AI85">
        <f>IF(AND(MOD(71,$AF$17)=0,MOD((INT(71/$AF$17)+1)-1,$AF$13/5)=0),INDEX($AN$4:$AN$53,(INT(71/$AF$17)+1)),"")</f>
        <v/>
      </c>
      <c r="AJ85">
        <f>IF(MOD(71,$AF$17)=$AF$17-1,0,INDEX($AH$4:$AH$53,(INT(71/$AF$17)+1)))</f>
        <v/>
      </c>
      <c r="AO85" t="n">
        <v>182.25</v>
      </c>
      <c r="AP85" t="n">
        <v>183.375</v>
      </c>
      <c r="AQ85" t="n">
        <v>37</v>
      </c>
      <c r="AV85">
        <f>IF(AND(MOD(71,$AS$17)=0,MOD((INT(71/$AS$17)+1)-1,$AS$13/5)=0),INDEX($BA$4:$BA$53,(INT(71/$AS$17)+1)),"")</f>
        <v/>
      </c>
      <c r="AW85">
        <f>IF(MOD(71,$AS$17)=$AS$17-1,0,INDEX($AU$4:$AU$53,(INT(71/$AS$17)+1)))</f>
        <v/>
      </c>
    </row>
    <row r="86">
      <c r="B86" t="n">
        <v>673</v>
      </c>
      <c r="C86" t="n">
        <v>673.75</v>
      </c>
      <c r="D86" t="n">
        <v>103</v>
      </c>
      <c r="I86">
        <f>IF(AND(MOD(72,$F$17)=0,MOD((INT(72/$F$17)+1)-1,$F$13/5)=0),INDEX($N$4:$N$53,(INT(72/$F$17)+1)),"")</f>
        <v/>
      </c>
      <c r="J86">
        <f>IF(MOD(72,$F$17)=$F$17-1,0,INDEX($H$4:$H$53,(INT(72/$F$17)+1)))</f>
        <v/>
      </c>
      <c r="O86" t="n">
        <v>24600</v>
      </c>
      <c r="P86" t="n">
        <v>24750</v>
      </c>
      <c r="Q86" t="n">
        <v>40</v>
      </c>
      <c r="V86">
        <f>IF(AND(MOD(72,$S$17)=0,MOD((INT(72/$S$17)+1)-1,$S$13/5)=0),INDEX($AA$4:$AA$53,(INT(72/$S$17)+1)),"")</f>
        <v/>
      </c>
      <c r="W86">
        <f>IF(MOD(72,$S$17)=$S$17-1,0,INDEX($U$4:$U$53,(INT(72/$S$17)+1)))</f>
        <v/>
      </c>
      <c r="AB86" t="n">
        <v>12300</v>
      </c>
      <c r="AC86" t="n">
        <v>12375</v>
      </c>
      <c r="AD86" t="n">
        <v>68</v>
      </c>
      <c r="AI86">
        <f>IF(AND(MOD(72,$AF$17)=0,MOD((INT(72/$AF$17)+1)-1,$AF$13/5)=0),INDEX($AN$4:$AN$53,(INT(72/$AF$17)+1)),"")</f>
        <v/>
      </c>
      <c r="AJ86">
        <f>IF(MOD(72,$AF$17)=$AF$17-1,0,INDEX($AH$4:$AH$53,(INT(72/$AF$17)+1)))</f>
        <v/>
      </c>
      <c r="AO86" t="n">
        <v>184.5</v>
      </c>
      <c r="AP86" t="n">
        <v>185.625</v>
      </c>
      <c r="AQ86" t="n">
        <v>41</v>
      </c>
      <c r="AV86">
        <f>IF(AND(MOD(72,$AS$17)=0,MOD((INT(72/$AS$17)+1)-1,$AS$13/5)=0),INDEX($BA$4:$BA$53,(INT(72/$AS$17)+1)),"")</f>
        <v/>
      </c>
      <c r="AW86">
        <f>IF(MOD(72,$AS$17)=$AS$17-1,0,INDEX($AU$4:$AU$53,(INT(72/$AS$17)+1)))</f>
        <v/>
      </c>
    </row>
    <row r="87">
      <c r="B87" t="n">
        <v>674.5</v>
      </c>
      <c r="C87" t="n">
        <v>675.25</v>
      </c>
      <c r="D87" t="n">
        <v>53</v>
      </c>
      <c r="I87">
        <f>IF(AND(MOD(73,$F$17)=0,MOD((INT(73/$F$17)+1)-1,$F$13/5)=0),INDEX($N$4:$N$53,(INT(73/$F$17)+1)),"")</f>
        <v/>
      </c>
      <c r="J87">
        <f>IF(MOD(73,$F$17)=$F$17-1,0,INDEX($H$4:$H$53,(INT(73/$F$17)+1)))</f>
        <v/>
      </c>
      <c r="O87" t="n">
        <v>24900</v>
      </c>
      <c r="P87" t="n">
        <v>25050</v>
      </c>
      <c r="Q87" t="n">
        <v>39</v>
      </c>
      <c r="V87">
        <f>IF(AND(MOD(73,$S$17)=0,MOD((INT(73/$S$17)+1)-1,$S$13/5)=0),INDEX($AA$4:$AA$53,(INT(73/$S$17)+1)),"")</f>
        <v/>
      </c>
      <c r="W87">
        <f>IF(MOD(73,$S$17)=$S$17-1,0,INDEX($U$4:$U$53,(INT(73/$S$17)+1)))</f>
        <v/>
      </c>
      <c r="AB87" t="n">
        <v>12450</v>
      </c>
      <c r="AC87" t="n">
        <v>12525</v>
      </c>
      <c r="AD87" t="n">
        <v>76</v>
      </c>
      <c r="AI87">
        <f>IF(AND(MOD(73,$AF$17)=0,MOD((INT(73/$AF$17)+1)-1,$AF$13/5)=0),INDEX($AN$4:$AN$53,(INT(73/$AF$17)+1)),"")</f>
        <v/>
      </c>
      <c r="AJ87">
        <f>IF(MOD(73,$AF$17)=$AF$17-1,0,INDEX($AH$4:$AH$53,(INT(73/$AF$17)+1)))</f>
        <v/>
      </c>
      <c r="AO87" t="n">
        <v>186.75</v>
      </c>
      <c r="AP87" t="n">
        <v>187.875</v>
      </c>
      <c r="AQ87" t="n">
        <v>37</v>
      </c>
      <c r="AV87">
        <f>IF(AND(MOD(73,$AS$17)=0,MOD((INT(73/$AS$17)+1)-1,$AS$13/5)=0),INDEX($BA$4:$BA$53,(INT(73/$AS$17)+1)),"")</f>
        <v/>
      </c>
      <c r="AW87">
        <f>IF(MOD(73,$AS$17)=$AS$17-1,0,INDEX($AU$4:$AU$53,(INT(73/$AS$17)+1)))</f>
        <v/>
      </c>
    </row>
    <row r="88">
      <c r="B88" t="n">
        <v>676</v>
      </c>
      <c r="C88" t="n">
        <v>676.75</v>
      </c>
      <c r="D88" t="n">
        <v>92</v>
      </c>
      <c r="I88">
        <f>IF(AND(MOD(74,$F$17)=0,MOD((INT(74/$F$17)+1)-1,$F$13/5)=0),INDEX($N$4:$N$53,(INT(74/$F$17)+1)),"")</f>
        <v/>
      </c>
      <c r="J88">
        <f>IF(MOD(74,$F$17)=$F$17-1,0,INDEX($H$4:$H$53,(INT(74/$F$17)+1)))</f>
        <v/>
      </c>
      <c r="O88" t="n">
        <v>25200</v>
      </c>
      <c r="P88" t="n">
        <v>25350</v>
      </c>
      <c r="Q88" t="n">
        <v>47</v>
      </c>
      <c r="V88">
        <f>IF(AND(MOD(74,$S$17)=0,MOD((INT(74/$S$17)+1)-1,$S$13/5)=0),INDEX($AA$4:$AA$53,(INT(74/$S$17)+1)),"")</f>
        <v/>
      </c>
      <c r="W88">
        <f>IF(MOD(74,$S$17)=$S$17-1,0,INDEX($U$4:$U$53,(INT(74/$S$17)+1)))</f>
        <v/>
      </c>
      <c r="AB88" t="n">
        <v>12600</v>
      </c>
      <c r="AC88" t="n">
        <v>12675</v>
      </c>
      <c r="AD88" t="n">
        <v>83</v>
      </c>
      <c r="AI88">
        <f>IF(AND(MOD(74,$AF$17)=0,MOD((INT(74/$AF$17)+1)-1,$AF$13/5)=0),INDEX($AN$4:$AN$53,(INT(74/$AF$17)+1)),"")</f>
        <v/>
      </c>
      <c r="AJ88">
        <f>IF(MOD(74,$AF$17)=$AF$17-1,0,INDEX($AH$4:$AH$53,(INT(74/$AF$17)+1)))</f>
        <v/>
      </c>
      <c r="AO88" t="n">
        <v>189</v>
      </c>
      <c r="AP88" t="n">
        <v>190.125</v>
      </c>
      <c r="AQ88" t="n">
        <v>71</v>
      </c>
      <c r="AV88">
        <f>IF(AND(MOD(74,$AS$17)=0,MOD((INT(74/$AS$17)+1)-1,$AS$13/5)=0),INDEX($BA$4:$BA$53,(INT(74/$AS$17)+1)),"")</f>
        <v/>
      </c>
      <c r="AW88">
        <f>IF(MOD(74,$AS$17)=$AS$17-1,0,INDEX($AU$4:$AU$53,(INT(74/$AS$17)+1)))</f>
        <v/>
      </c>
    </row>
    <row r="89">
      <c r="B89" t="n">
        <v>677.5</v>
      </c>
      <c r="C89" t="n">
        <v>678.25</v>
      </c>
      <c r="D89" t="n">
        <v>57</v>
      </c>
      <c r="I89">
        <f>IF(AND(MOD(75,$F$17)=0,MOD((INT(75/$F$17)+1)-1,$F$13/5)=0),INDEX($N$4:$N$53,(INT(75/$F$17)+1)),"")</f>
        <v/>
      </c>
      <c r="J89">
        <f>IF(MOD(75,$F$17)=$F$17-1,0,INDEX($H$4:$H$53,(INT(75/$F$17)+1)))</f>
        <v/>
      </c>
      <c r="O89" t="n">
        <v>25500</v>
      </c>
      <c r="P89" t="n">
        <v>25650</v>
      </c>
      <c r="Q89" t="n">
        <v>46</v>
      </c>
      <c r="V89">
        <f>IF(AND(MOD(75,$S$17)=0,MOD((INT(75/$S$17)+1)-1,$S$13/5)=0),INDEX($AA$4:$AA$53,(INT(75/$S$17)+1)),"")</f>
        <v/>
      </c>
      <c r="W89">
        <f>IF(MOD(75,$S$17)=$S$17-1,0,INDEX($U$4:$U$53,(INT(75/$S$17)+1)))</f>
        <v/>
      </c>
      <c r="AB89" t="n">
        <v>12750</v>
      </c>
      <c r="AC89" t="n">
        <v>12825</v>
      </c>
      <c r="AD89" t="n">
        <v>56</v>
      </c>
      <c r="AI89">
        <f>IF(AND(MOD(75,$AF$17)=0,MOD((INT(75/$AF$17)+1)-1,$AF$13/5)=0),INDEX($AN$4:$AN$53,(INT(75/$AF$17)+1)),"")</f>
        <v/>
      </c>
      <c r="AJ89">
        <f>IF(MOD(75,$AF$17)=$AF$17-1,0,INDEX($AH$4:$AH$53,(INT(75/$AF$17)+1)))</f>
        <v/>
      </c>
      <c r="AO89" t="n">
        <v>191.25</v>
      </c>
      <c r="AP89" t="n">
        <v>192.375</v>
      </c>
      <c r="AQ89" t="n">
        <v>48</v>
      </c>
      <c r="AV89">
        <f>IF(AND(MOD(75,$AS$17)=0,MOD((INT(75/$AS$17)+1)-1,$AS$13/5)=0),INDEX($BA$4:$BA$53,(INT(75/$AS$17)+1)),"")</f>
        <v/>
      </c>
      <c r="AW89">
        <f>IF(MOD(75,$AS$17)=$AS$17-1,0,INDEX($AU$4:$AU$53,(INT(75/$AS$17)+1)))</f>
        <v/>
      </c>
    </row>
    <row r="90">
      <c r="B90" t="n">
        <v>679</v>
      </c>
      <c r="C90" t="n">
        <v>679.75</v>
      </c>
      <c r="D90" t="n">
        <v>103</v>
      </c>
      <c r="I90">
        <f>IF(AND(MOD(76,$F$17)=0,MOD((INT(76/$F$17)+1)-1,$F$13/5)=0),INDEX($N$4:$N$53,(INT(76/$F$17)+1)),"")</f>
        <v/>
      </c>
      <c r="J90">
        <f>IF(MOD(76,$F$17)=$F$17-1,0,INDEX($H$4:$H$53,(INT(76/$F$17)+1)))</f>
        <v/>
      </c>
      <c r="O90" t="n">
        <v>25800</v>
      </c>
      <c r="P90" t="n">
        <v>25950</v>
      </c>
      <c r="Q90" t="n">
        <v>41</v>
      </c>
      <c r="V90">
        <f>IF(AND(MOD(76,$S$17)=0,MOD((INT(76/$S$17)+1)-1,$S$13/5)=0),INDEX($AA$4:$AA$53,(INT(76/$S$17)+1)),"")</f>
        <v/>
      </c>
      <c r="W90">
        <f>IF(MOD(76,$S$17)=$S$17-1,0,INDEX($U$4:$U$53,(INT(76/$S$17)+1)))</f>
        <v/>
      </c>
      <c r="AB90" t="n">
        <v>12900</v>
      </c>
      <c r="AC90" t="n">
        <v>12975</v>
      </c>
      <c r="AD90" t="n">
        <v>66</v>
      </c>
      <c r="AI90">
        <f>IF(AND(MOD(76,$AF$17)=0,MOD((INT(76/$AF$17)+1)-1,$AF$13/5)=0),INDEX($AN$4:$AN$53,(INT(76/$AF$17)+1)),"")</f>
        <v/>
      </c>
      <c r="AJ90">
        <f>IF(MOD(76,$AF$17)=$AF$17-1,0,INDEX($AH$4:$AH$53,(INT(76/$AF$17)+1)))</f>
        <v/>
      </c>
      <c r="AO90" t="n">
        <v>193.5</v>
      </c>
      <c r="AP90" t="n">
        <v>194.625</v>
      </c>
      <c r="AQ90" t="n">
        <v>33</v>
      </c>
      <c r="AV90">
        <f>IF(AND(MOD(76,$AS$17)=0,MOD((INT(76/$AS$17)+1)-1,$AS$13/5)=0),INDEX($BA$4:$BA$53,(INT(76/$AS$17)+1)),"")</f>
        <v/>
      </c>
      <c r="AW90">
        <f>IF(MOD(76,$AS$17)=$AS$17-1,0,INDEX($AU$4:$AU$53,(INT(76/$AS$17)+1)))</f>
        <v/>
      </c>
    </row>
    <row r="91">
      <c r="B91" t="n">
        <v>680.5</v>
      </c>
      <c r="C91" t="n">
        <v>681.25</v>
      </c>
      <c r="D91" t="n">
        <v>34</v>
      </c>
      <c r="I91">
        <f>IF(AND(MOD(77,$F$17)=0,MOD((INT(77/$F$17)+1)-1,$F$13/5)=0),INDEX($N$4:$N$53,(INT(77/$F$17)+1)),"")</f>
        <v/>
      </c>
      <c r="J91">
        <f>IF(MOD(77,$F$17)=$F$17-1,0,INDEX($H$4:$H$53,(INT(77/$F$17)+1)))</f>
        <v/>
      </c>
      <c r="O91" t="n">
        <v>26100</v>
      </c>
      <c r="P91" t="n">
        <v>26250</v>
      </c>
      <c r="Q91" t="n">
        <v>48</v>
      </c>
      <c r="V91">
        <f>IF(AND(MOD(77,$S$17)=0,MOD((INT(77/$S$17)+1)-1,$S$13/5)=0),INDEX($AA$4:$AA$53,(INT(77/$S$17)+1)),"")</f>
        <v/>
      </c>
      <c r="W91">
        <f>IF(MOD(77,$S$17)=$S$17-1,0,INDEX($U$4:$U$53,(INT(77/$S$17)+1)))</f>
        <v/>
      </c>
      <c r="AB91" t="n">
        <v>13050</v>
      </c>
      <c r="AC91" t="n">
        <v>13125</v>
      </c>
      <c r="AD91" t="n">
        <v>69</v>
      </c>
      <c r="AI91">
        <f>IF(AND(MOD(77,$AF$17)=0,MOD((INT(77/$AF$17)+1)-1,$AF$13/5)=0),INDEX($AN$4:$AN$53,(INT(77/$AF$17)+1)),"")</f>
        <v/>
      </c>
      <c r="AJ91">
        <f>IF(MOD(77,$AF$17)=$AF$17-1,0,INDEX($AH$4:$AH$53,(INT(77/$AF$17)+1)))</f>
        <v/>
      </c>
      <c r="AO91" t="n">
        <v>195.75</v>
      </c>
      <c r="AP91" t="n">
        <v>196.875</v>
      </c>
      <c r="AQ91" t="n">
        <v>34</v>
      </c>
      <c r="AV91">
        <f>IF(AND(MOD(77,$AS$17)=0,MOD((INT(77/$AS$17)+1)-1,$AS$13/5)=0),INDEX($BA$4:$BA$53,(INT(77/$AS$17)+1)),"")</f>
        <v/>
      </c>
      <c r="AW91">
        <f>IF(MOD(77,$AS$17)=$AS$17-1,0,INDEX($AU$4:$AU$53,(INT(77/$AS$17)+1)))</f>
        <v/>
      </c>
    </row>
    <row r="92">
      <c r="B92" t="n">
        <v>682</v>
      </c>
      <c r="C92" t="n">
        <v>682.75</v>
      </c>
      <c r="D92" t="n">
        <v>109</v>
      </c>
      <c r="I92">
        <f>IF(AND(MOD(78,$F$17)=0,MOD((INT(78/$F$17)+1)-1,$F$13/5)=0),INDEX($N$4:$N$53,(INT(78/$F$17)+1)),"")</f>
        <v/>
      </c>
      <c r="J92">
        <f>IF(MOD(78,$F$17)=$F$17-1,0,INDEX($H$4:$H$53,(INT(78/$F$17)+1)))</f>
        <v/>
      </c>
      <c r="O92" t="n">
        <v>26400</v>
      </c>
      <c r="P92" t="n">
        <v>26550</v>
      </c>
      <c r="Q92" t="n">
        <v>41</v>
      </c>
      <c r="V92">
        <f>IF(AND(MOD(78,$S$17)=0,MOD((INT(78/$S$17)+1)-1,$S$13/5)=0),INDEX($AA$4:$AA$53,(INT(78/$S$17)+1)),"")</f>
        <v/>
      </c>
      <c r="W92">
        <f>IF(MOD(78,$S$17)=$S$17-1,0,INDEX($U$4:$U$53,(INT(78/$S$17)+1)))</f>
        <v/>
      </c>
      <c r="AB92" t="n">
        <v>13200</v>
      </c>
      <c r="AC92" t="n">
        <v>13275</v>
      </c>
      <c r="AD92" t="n">
        <v>59</v>
      </c>
      <c r="AI92">
        <f>IF(AND(MOD(78,$AF$17)=0,MOD((INT(78/$AF$17)+1)-1,$AF$13/5)=0),INDEX($AN$4:$AN$53,(INT(78/$AF$17)+1)),"")</f>
        <v/>
      </c>
      <c r="AJ92">
        <f>IF(MOD(78,$AF$17)=$AF$17-1,0,INDEX($AH$4:$AH$53,(INT(78/$AF$17)+1)))</f>
        <v/>
      </c>
      <c r="AO92" t="n">
        <v>198</v>
      </c>
      <c r="AP92" t="n">
        <v>199.125</v>
      </c>
      <c r="AQ92" t="n">
        <v>58</v>
      </c>
      <c r="AV92">
        <f>IF(AND(MOD(78,$AS$17)=0,MOD((INT(78/$AS$17)+1)-1,$AS$13/5)=0),INDEX($BA$4:$BA$53,(INT(78/$AS$17)+1)),"")</f>
        <v/>
      </c>
      <c r="AW92">
        <f>IF(MOD(78,$AS$17)=$AS$17-1,0,INDEX($AU$4:$AU$53,(INT(78/$AS$17)+1)))</f>
        <v/>
      </c>
    </row>
    <row r="93">
      <c r="B93" t="n">
        <v>683.5</v>
      </c>
      <c r="C93" t="n">
        <v>684.25</v>
      </c>
      <c r="D93" t="n">
        <v>52</v>
      </c>
      <c r="I93">
        <f>IF(AND(MOD(79,$F$17)=0,MOD((INT(79/$F$17)+1)-1,$F$13/5)=0),INDEX($N$4:$N$53,(INT(79/$F$17)+1)),"")</f>
        <v/>
      </c>
      <c r="J93">
        <f>IF(MOD(79,$F$17)=$F$17-1,0,INDEX($H$4:$H$53,(INT(79/$F$17)+1)))</f>
        <v/>
      </c>
      <c r="O93" t="n">
        <v>26700</v>
      </c>
      <c r="P93" t="n">
        <v>26850</v>
      </c>
      <c r="Q93" t="n">
        <v>43</v>
      </c>
      <c r="V93">
        <f>IF(AND(MOD(79,$S$17)=0,MOD((INT(79/$S$17)+1)-1,$S$13/5)=0),INDEX($AA$4:$AA$53,(INT(79/$S$17)+1)),"")</f>
        <v/>
      </c>
      <c r="W93">
        <f>IF(MOD(79,$S$17)=$S$17-1,0,INDEX($U$4:$U$53,(INT(79/$S$17)+1)))</f>
        <v/>
      </c>
      <c r="AB93" t="n">
        <v>13350</v>
      </c>
      <c r="AC93" t="n">
        <v>13425</v>
      </c>
      <c r="AD93" t="n">
        <v>77</v>
      </c>
      <c r="AI93">
        <f>IF(AND(MOD(79,$AF$17)=0,MOD((INT(79/$AF$17)+1)-1,$AF$13/5)=0),INDEX($AN$4:$AN$53,(INT(79/$AF$17)+1)),"")</f>
        <v/>
      </c>
      <c r="AJ93">
        <f>IF(MOD(79,$AF$17)=$AF$17-1,0,INDEX($AH$4:$AH$53,(INT(79/$AF$17)+1)))</f>
        <v/>
      </c>
      <c r="AO93" t="n">
        <v>200.25</v>
      </c>
      <c r="AP93" t="n">
        <v>201.375</v>
      </c>
      <c r="AQ93" t="n">
        <v>31</v>
      </c>
      <c r="AV93">
        <f>IF(AND(MOD(79,$AS$17)=0,MOD((INT(79/$AS$17)+1)-1,$AS$13/5)=0),INDEX($BA$4:$BA$53,(INT(79/$AS$17)+1)),"")</f>
        <v/>
      </c>
      <c r="AW93">
        <f>IF(MOD(79,$AS$17)=$AS$17-1,0,INDEX($AU$4:$AU$53,(INT(79/$AS$17)+1)))</f>
        <v/>
      </c>
    </row>
    <row r="94">
      <c r="B94" t="n">
        <v>685</v>
      </c>
      <c r="C94" t="n">
        <v>685.75</v>
      </c>
      <c r="D94" t="n">
        <v>116</v>
      </c>
      <c r="I94">
        <f>IF(AND(MOD(80,$F$17)=0,MOD((INT(80/$F$17)+1)-1,$F$13/5)=0),INDEX($N$4:$N$53,(INT(80/$F$17)+1)),"")</f>
        <v/>
      </c>
      <c r="J94">
        <f>IF(MOD(80,$F$17)=$F$17-1,0,INDEX($H$4:$H$53,(INT(80/$F$17)+1)))</f>
        <v/>
      </c>
      <c r="O94" t="n">
        <v>27000</v>
      </c>
      <c r="P94" t="n">
        <v>27150</v>
      </c>
      <c r="Q94" t="n">
        <v>39</v>
      </c>
      <c r="V94">
        <f>IF(AND(MOD(80,$S$17)=0,MOD((INT(80/$S$17)+1)-1,$S$13/5)=0),INDEX($AA$4:$AA$53,(INT(80/$S$17)+1)),"")</f>
        <v/>
      </c>
      <c r="W94">
        <f>IF(MOD(80,$S$17)=$S$17-1,0,INDEX($U$4:$U$53,(INT(80/$S$17)+1)))</f>
        <v/>
      </c>
      <c r="AB94" t="n">
        <v>13500</v>
      </c>
      <c r="AC94" t="n">
        <v>13575</v>
      </c>
      <c r="AD94" t="n">
        <v>80</v>
      </c>
      <c r="AI94">
        <f>IF(AND(MOD(80,$AF$17)=0,MOD((INT(80/$AF$17)+1)-1,$AF$13/5)=0),INDEX($AN$4:$AN$53,(INT(80/$AF$17)+1)),"")</f>
        <v/>
      </c>
      <c r="AJ94">
        <f>IF(MOD(80,$AF$17)=$AF$17-1,0,INDEX($AH$4:$AH$53,(INT(80/$AF$17)+1)))</f>
        <v/>
      </c>
      <c r="AO94" t="n">
        <v>202.5</v>
      </c>
      <c r="AP94" t="n">
        <v>203.625</v>
      </c>
      <c r="AQ94" t="n">
        <v>41</v>
      </c>
      <c r="AV94">
        <f>IF(AND(MOD(80,$AS$17)=0,MOD((INT(80/$AS$17)+1)-1,$AS$13/5)=0),INDEX($BA$4:$BA$53,(INT(80/$AS$17)+1)),"")</f>
        <v/>
      </c>
      <c r="AW94">
        <f>IF(MOD(80,$AS$17)=$AS$17-1,0,INDEX($AU$4:$AU$53,(INT(80/$AS$17)+1)))</f>
        <v/>
      </c>
    </row>
    <row r="95">
      <c r="B95" t="n">
        <v>686.5</v>
      </c>
      <c r="C95" t="n">
        <v>687.25</v>
      </c>
      <c r="D95" t="n">
        <v>53</v>
      </c>
      <c r="I95">
        <f>IF(AND(MOD(81,$F$17)=0,MOD((INT(81/$F$17)+1)-1,$F$13/5)=0),INDEX($N$4:$N$53,(INT(81/$F$17)+1)),"")</f>
        <v/>
      </c>
      <c r="J95">
        <f>IF(MOD(81,$F$17)=$F$17-1,0,INDEX($H$4:$H$53,(INT(81/$F$17)+1)))</f>
        <v/>
      </c>
      <c r="O95" t="n">
        <v>27300</v>
      </c>
      <c r="P95" t="n">
        <v>27450</v>
      </c>
      <c r="Q95" t="n">
        <v>45</v>
      </c>
      <c r="V95">
        <f>IF(AND(MOD(81,$S$17)=0,MOD((INT(81/$S$17)+1)-1,$S$13/5)=0),INDEX($AA$4:$AA$53,(INT(81/$S$17)+1)),"")</f>
        <v/>
      </c>
      <c r="W95">
        <f>IF(MOD(81,$S$17)=$S$17-1,0,INDEX($U$4:$U$53,(INT(81/$S$17)+1)))</f>
        <v/>
      </c>
      <c r="AB95" t="n">
        <v>13650</v>
      </c>
      <c r="AC95" t="n">
        <v>13725</v>
      </c>
      <c r="AD95" t="n">
        <v>63</v>
      </c>
      <c r="AI95">
        <f>IF(AND(MOD(81,$AF$17)=0,MOD((INT(81/$AF$17)+1)-1,$AF$13/5)=0),INDEX($AN$4:$AN$53,(INT(81/$AF$17)+1)),"")</f>
        <v/>
      </c>
      <c r="AJ95">
        <f>IF(MOD(81,$AF$17)=$AF$17-1,0,INDEX($AH$4:$AH$53,(INT(81/$AF$17)+1)))</f>
        <v/>
      </c>
      <c r="AO95" t="n">
        <v>204.75</v>
      </c>
      <c r="AP95" t="n">
        <v>205.875</v>
      </c>
      <c r="AQ95" t="n">
        <v>33</v>
      </c>
      <c r="AV95">
        <f>IF(AND(MOD(81,$AS$17)=0,MOD((INT(81/$AS$17)+1)-1,$AS$13/5)=0),INDEX($BA$4:$BA$53,(INT(81/$AS$17)+1)),"")</f>
        <v/>
      </c>
      <c r="AW95">
        <f>IF(MOD(81,$AS$17)=$AS$17-1,0,INDEX($AU$4:$AU$53,(INT(81/$AS$17)+1)))</f>
        <v/>
      </c>
    </row>
    <row r="96">
      <c r="B96" t="n">
        <v>688</v>
      </c>
      <c r="C96" t="n">
        <v>688.75</v>
      </c>
      <c r="D96" t="n">
        <v>129</v>
      </c>
      <c r="I96">
        <f>IF(AND(MOD(82,$F$17)=0,MOD((INT(82/$F$17)+1)-1,$F$13/5)=0),INDEX($N$4:$N$53,(INT(82/$F$17)+1)),"")</f>
        <v/>
      </c>
      <c r="J96">
        <f>IF(MOD(82,$F$17)=$F$17-1,0,INDEX($H$4:$H$53,(INT(82/$F$17)+1)))</f>
        <v/>
      </c>
      <c r="O96" t="n">
        <v>27600</v>
      </c>
      <c r="P96" t="n">
        <v>27750</v>
      </c>
      <c r="Q96" t="n">
        <v>39</v>
      </c>
      <c r="V96">
        <f>IF(AND(MOD(82,$S$17)=0,MOD((INT(82/$S$17)+1)-1,$S$13/5)=0),INDEX($AA$4:$AA$53,(INT(82/$S$17)+1)),"")</f>
        <v/>
      </c>
      <c r="W96">
        <f>IF(MOD(82,$S$17)=$S$17-1,0,INDEX($U$4:$U$53,(INT(82/$S$17)+1)))</f>
        <v/>
      </c>
      <c r="AB96" t="n">
        <v>13800</v>
      </c>
      <c r="AC96" t="n">
        <v>13875</v>
      </c>
      <c r="AD96" t="n">
        <v>81</v>
      </c>
      <c r="AI96">
        <f>IF(AND(MOD(82,$AF$17)=0,MOD((INT(82/$AF$17)+1)-1,$AF$13/5)=0),INDEX($AN$4:$AN$53,(INT(82/$AF$17)+1)),"")</f>
        <v/>
      </c>
      <c r="AJ96">
        <f>IF(MOD(82,$AF$17)=$AF$17-1,0,INDEX($AH$4:$AH$53,(INT(82/$AF$17)+1)))</f>
        <v/>
      </c>
      <c r="AO96" t="n">
        <v>207</v>
      </c>
      <c r="AP96" t="n">
        <v>208.125</v>
      </c>
      <c r="AQ96" t="n">
        <v>52</v>
      </c>
      <c r="AV96">
        <f>IF(AND(MOD(82,$AS$17)=0,MOD((INT(82/$AS$17)+1)-1,$AS$13/5)=0),INDEX($BA$4:$BA$53,(INT(82/$AS$17)+1)),"")</f>
        <v/>
      </c>
      <c r="AW96">
        <f>IF(MOD(82,$AS$17)=$AS$17-1,0,INDEX($AU$4:$AU$53,(INT(82/$AS$17)+1)))</f>
        <v/>
      </c>
    </row>
    <row r="97">
      <c r="B97" t="n">
        <v>689.5</v>
      </c>
      <c r="C97" t="n">
        <v>690.25</v>
      </c>
      <c r="D97" t="n">
        <v>60</v>
      </c>
      <c r="I97">
        <f>IF(AND(MOD(83,$F$17)=0,MOD((INT(83/$F$17)+1)-1,$F$13/5)=0),INDEX($N$4:$N$53,(INT(83/$F$17)+1)),"")</f>
        <v/>
      </c>
      <c r="J97">
        <f>IF(MOD(83,$F$17)=$F$17-1,0,INDEX($H$4:$H$53,(INT(83/$F$17)+1)))</f>
        <v/>
      </c>
      <c r="O97" t="n">
        <v>27900</v>
      </c>
      <c r="P97" t="n">
        <v>28050</v>
      </c>
      <c r="Q97" t="n">
        <v>38</v>
      </c>
      <c r="V97">
        <f>IF(AND(MOD(83,$S$17)=0,MOD((INT(83/$S$17)+1)-1,$S$13/5)=0),INDEX($AA$4:$AA$53,(INT(83/$S$17)+1)),"")</f>
        <v/>
      </c>
      <c r="W97">
        <f>IF(MOD(83,$S$17)=$S$17-1,0,INDEX($U$4:$U$53,(INT(83/$S$17)+1)))</f>
        <v/>
      </c>
      <c r="AB97" t="n">
        <v>13950</v>
      </c>
      <c r="AC97" t="n">
        <v>14025</v>
      </c>
      <c r="AD97" t="n">
        <v>58</v>
      </c>
      <c r="AI97">
        <f>IF(AND(MOD(83,$AF$17)=0,MOD((INT(83/$AF$17)+1)-1,$AF$13/5)=0),INDEX($AN$4:$AN$53,(INT(83/$AF$17)+1)),"")</f>
        <v/>
      </c>
      <c r="AJ97">
        <f>IF(MOD(83,$AF$17)=$AF$17-1,0,INDEX($AH$4:$AH$53,(INT(83/$AF$17)+1)))</f>
        <v/>
      </c>
      <c r="AO97" t="n">
        <v>209.25</v>
      </c>
      <c r="AP97" t="n">
        <v>210.375</v>
      </c>
      <c r="AQ97" t="n">
        <v>36</v>
      </c>
      <c r="AV97">
        <f>IF(AND(MOD(83,$AS$17)=0,MOD((INT(83/$AS$17)+1)-1,$AS$13/5)=0),INDEX($BA$4:$BA$53,(INT(83/$AS$17)+1)),"")</f>
        <v/>
      </c>
      <c r="AW97">
        <f>IF(MOD(83,$AS$17)=$AS$17-1,0,INDEX($AU$4:$AU$53,(INT(83/$AS$17)+1)))</f>
        <v/>
      </c>
    </row>
    <row r="98">
      <c r="B98" t="n">
        <v>691</v>
      </c>
      <c r="C98" t="n">
        <v>691.75</v>
      </c>
      <c r="D98" t="n">
        <v>134</v>
      </c>
      <c r="I98">
        <f>IF(AND(MOD(84,$F$17)=0,MOD((INT(84/$F$17)+1)-1,$F$13/5)=0),INDEX($N$4:$N$53,(INT(84/$F$17)+1)),"")</f>
        <v/>
      </c>
      <c r="J98">
        <f>IF(MOD(84,$F$17)=$F$17-1,0,INDEX($H$4:$H$53,(INT(84/$F$17)+1)))</f>
        <v/>
      </c>
      <c r="O98" t="n">
        <v>28200</v>
      </c>
      <c r="P98" t="n">
        <v>28350</v>
      </c>
      <c r="Q98" t="n">
        <v>44</v>
      </c>
      <c r="V98">
        <f>IF(AND(MOD(84,$S$17)=0,MOD((INT(84/$S$17)+1)-1,$S$13/5)=0),INDEX($AA$4:$AA$53,(INT(84/$S$17)+1)),"")</f>
        <v/>
      </c>
      <c r="W98">
        <f>IF(MOD(84,$S$17)=$S$17-1,0,INDEX($U$4:$U$53,(INT(84/$S$17)+1)))</f>
        <v/>
      </c>
      <c r="AB98" t="n">
        <v>14100</v>
      </c>
      <c r="AC98" t="n">
        <v>14175</v>
      </c>
      <c r="AD98" t="n">
        <v>58</v>
      </c>
      <c r="AI98">
        <f>IF(AND(MOD(84,$AF$17)=0,MOD((INT(84/$AF$17)+1)-1,$AF$13/5)=0),INDEX($AN$4:$AN$53,(INT(84/$AF$17)+1)),"")</f>
        <v/>
      </c>
      <c r="AJ98">
        <f>IF(MOD(84,$AF$17)=$AF$17-1,0,INDEX($AH$4:$AH$53,(INT(84/$AF$17)+1)))</f>
        <v/>
      </c>
      <c r="AO98" t="n">
        <v>211.5</v>
      </c>
      <c r="AP98" t="n">
        <v>212.625</v>
      </c>
      <c r="AQ98" t="n">
        <v>26</v>
      </c>
      <c r="AV98">
        <f>IF(AND(MOD(84,$AS$17)=0,MOD((INT(84/$AS$17)+1)-1,$AS$13/5)=0),INDEX($BA$4:$BA$53,(INT(84/$AS$17)+1)),"")</f>
        <v/>
      </c>
      <c r="AW98">
        <f>IF(MOD(84,$AS$17)=$AS$17-1,0,INDEX($AU$4:$AU$53,(INT(84/$AS$17)+1)))</f>
        <v/>
      </c>
    </row>
    <row r="99">
      <c r="B99" t="n">
        <v>692.5</v>
      </c>
      <c r="C99" t="n">
        <v>693.25</v>
      </c>
      <c r="D99" t="n">
        <v>58</v>
      </c>
      <c r="I99">
        <f>IF(AND(MOD(85,$F$17)=0,MOD((INT(85/$F$17)+1)-1,$F$13/5)=0),INDEX($N$4:$N$53,(INT(85/$F$17)+1)),"")</f>
        <v/>
      </c>
      <c r="J99">
        <f>IF(MOD(85,$F$17)=$F$17-1,0,INDEX($H$4:$H$53,(INT(85/$F$17)+1)))</f>
        <v/>
      </c>
      <c r="O99" t="n">
        <v>28500</v>
      </c>
      <c r="P99" t="n">
        <v>28650</v>
      </c>
      <c r="Q99" t="n">
        <v>41</v>
      </c>
      <c r="V99">
        <f>IF(AND(MOD(85,$S$17)=0,MOD((INT(85/$S$17)+1)-1,$S$13/5)=0),INDEX($AA$4:$AA$53,(INT(85/$S$17)+1)),"")</f>
        <v/>
      </c>
      <c r="W99">
        <f>IF(MOD(85,$S$17)=$S$17-1,0,INDEX($U$4:$U$53,(INT(85/$S$17)+1)))</f>
        <v/>
      </c>
      <c r="AB99" t="n">
        <v>14250</v>
      </c>
      <c r="AC99" t="n">
        <v>14325</v>
      </c>
      <c r="AD99" t="n">
        <v>41</v>
      </c>
      <c r="AI99">
        <f>IF(AND(MOD(85,$AF$17)=0,MOD((INT(85/$AF$17)+1)-1,$AF$13/5)=0),INDEX($AN$4:$AN$53,(INT(85/$AF$17)+1)),"")</f>
        <v/>
      </c>
      <c r="AJ99">
        <f>IF(MOD(85,$AF$17)=$AF$17-1,0,INDEX($AH$4:$AH$53,(INT(85/$AF$17)+1)))</f>
        <v/>
      </c>
      <c r="AO99" t="n">
        <v>213.75</v>
      </c>
      <c r="AP99" t="n">
        <v>214.875</v>
      </c>
      <c r="AQ99" t="n">
        <v>44</v>
      </c>
      <c r="AV99">
        <f>IF(AND(MOD(85,$AS$17)=0,MOD((INT(85/$AS$17)+1)-1,$AS$13/5)=0),INDEX($BA$4:$BA$53,(INT(85/$AS$17)+1)),"")</f>
        <v/>
      </c>
      <c r="AW99">
        <f>IF(MOD(85,$AS$17)=$AS$17-1,0,INDEX($AU$4:$AU$53,(INT(85/$AS$17)+1)))</f>
        <v/>
      </c>
    </row>
    <row r="100">
      <c r="B100" t="n">
        <v>694</v>
      </c>
      <c r="C100" t="n">
        <v>694.75</v>
      </c>
      <c r="D100" t="n">
        <v>110</v>
      </c>
      <c r="I100">
        <f>IF(AND(MOD(86,$F$17)=0,MOD((INT(86/$F$17)+1)-1,$F$13/5)=0),INDEX($N$4:$N$53,(INT(86/$F$17)+1)),"")</f>
        <v/>
      </c>
      <c r="J100">
        <f>IF(MOD(86,$F$17)=$F$17-1,0,INDEX($H$4:$H$53,(INT(86/$F$17)+1)))</f>
        <v/>
      </c>
      <c r="O100" t="n">
        <v>28800</v>
      </c>
      <c r="P100" t="n">
        <v>28950</v>
      </c>
      <c r="Q100" t="n">
        <v>40</v>
      </c>
      <c r="V100">
        <f>IF(AND(MOD(86,$S$17)=0,MOD((INT(86/$S$17)+1)-1,$S$13/5)=0),INDEX($AA$4:$AA$53,(INT(86/$S$17)+1)),"")</f>
        <v/>
      </c>
      <c r="W100">
        <f>IF(MOD(86,$S$17)=$S$17-1,0,INDEX($U$4:$U$53,(INT(86/$S$17)+1)))</f>
        <v/>
      </c>
      <c r="AB100" t="n">
        <v>14400</v>
      </c>
      <c r="AC100" t="n">
        <v>14475</v>
      </c>
      <c r="AD100" t="n">
        <v>67</v>
      </c>
      <c r="AI100">
        <f>IF(AND(MOD(86,$AF$17)=0,MOD((INT(86/$AF$17)+1)-1,$AF$13/5)=0),INDEX($AN$4:$AN$53,(INT(86/$AF$17)+1)),"")</f>
        <v/>
      </c>
      <c r="AJ100">
        <f>IF(MOD(86,$AF$17)=$AF$17-1,0,INDEX($AH$4:$AH$53,(INT(86/$AF$17)+1)))</f>
        <v/>
      </c>
      <c r="AO100" t="n">
        <v>216</v>
      </c>
      <c r="AP100" t="n">
        <v>217.125</v>
      </c>
      <c r="AQ100" t="n">
        <v>55</v>
      </c>
      <c r="AV100">
        <f>IF(AND(MOD(86,$AS$17)=0,MOD((INT(86/$AS$17)+1)-1,$AS$13/5)=0),INDEX($BA$4:$BA$53,(INT(86/$AS$17)+1)),"")</f>
        <v/>
      </c>
      <c r="AW100">
        <f>IF(MOD(86,$AS$17)=$AS$17-1,0,INDEX($AU$4:$AU$53,(INT(86/$AS$17)+1)))</f>
        <v/>
      </c>
    </row>
    <row r="101">
      <c r="B101" t="n">
        <v>695.5</v>
      </c>
      <c r="C101" t="n">
        <v>696.25</v>
      </c>
      <c r="D101" t="n">
        <v>52</v>
      </c>
      <c r="I101">
        <f>IF(AND(MOD(87,$F$17)=0,MOD((INT(87/$F$17)+1)-1,$F$13/5)=0),INDEX($N$4:$N$53,(INT(87/$F$17)+1)),"")</f>
        <v/>
      </c>
      <c r="J101">
        <f>IF(MOD(87,$F$17)=$F$17-1,0,INDEX($H$4:$H$53,(INT(87/$F$17)+1)))</f>
        <v/>
      </c>
      <c r="O101" t="n">
        <v>29100</v>
      </c>
      <c r="P101" t="n">
        <v>29250</v>
      </c>
      <c r="Q101" t="n">
        <v>47</v>
      </c>
      <c r="V101">
        <f>IF(AND(MOD(87,$S$17)=0,MOD((INT(87/$S$17)+1)-1,$S$13/5)=0),INDEX($AA$4:$AA$53,(INT(87/$S$17)+1)),"")</f>
        <v/>
      </c>
      <c r="W101">
        <f>IF(MOD(87,$S$17)=$S$17-1,0,INDEX($U$4:$U$53,(INT(87/$S$17)+1)))</f>
        <v/>
      </c>
      <c r="AB101" t="n">
        <v>14550</v>
      </c>
      <c r="AC101" t="n">
        <v>14625</v>
      </c>
      <c r="AD101" t="n">
        <v>58</v>
      </c>
      <c r="AI101">
        <f>IF(AND(MOD(87,$AF$17)=0,MOD((INT(87/$AF$17)+1)-1,$AF$13/5)=0),INDEX($AN$4:$AN$53,(INT(87/$AF$17)+1)),"")</f>
        <v/>
      </c>
      <c r="AJ101">
        <f>IF(MOD(87,$AF$17)=$AF$17-1,0,INDEX($AH$4:$AH$53,(INT(87/$AF$17)+1)))</f>
        <v/>
      </c>
      <c r="AO101" t="n">
        <v>218.25</v>
      </c>
      <c r="AP101" t="n">
        <v>219.375</v>
      </c>
      <c r="AQ101" t="n">
        <v>36</v>
      </c>
      <c r="AV101">
        <f>IF(AND(MOD(87,$AS$17)=0,MOD((INT(87/$AS$17)+1)-1,$AS$13/5)=0),INDEX($BA$4:$BA$53,(INT(87/$AS$17)+1)),"")</f>
        <v/>
      </c>
      <c r="AW101">
        <f>IF(MOD(87,$AS$17)=$AS$17-1,0,INDEX($AU$4:$AU$53,(INT(87/$AS$17)+1)))</f>
        <v/>
      </c>
    </row>
    <row r="102">
      <c r="B102" t="n">
        <v>697</v>
      </c>
      <c r="C102" t="n">
        <v>697.75</v>
      </c>
      <c r="D102" t="n">
        <v>115</v>
      </c>
      <c r="I102">
        <f>IF(AND(MOD(88,$F$17)=0,MOD((INT(88/$F$17)+1)-1,$F$13/5)=0),INDEX($N$4:$N$53,(INT(88/$F$17)+1)),"")</f>
        <v/>
      </c>
      <c r="J102">
        <f>IF(MOD(88,$F$17)=$F$17-1,0,INDEX($H$4:$H$53,(INT(88/$F$17)+1)))</f>
        <v/>
      </c>
      <c r="O102" t="n">
        <v>29400</v>
      </c>
      <c r="P102" t="n">
        <v>29550</v>
      </c>
      <c r="Q102" t="n">
        <v>35</v>
      </c>
      <c r="V102">
        <f>IF(AND(MOD(88,$S$17)=0,MOD((INT(88/$S$17)+1)-1,$S$13/5)=0),INDEX($AA$4:$AA$53,(INT(88/$S$17)+1)),"")</f>
        <v/>
      </c>
      <c r="W102">
        <f>IF(MOD(88,$S$17)=$S$17-1,0,INDEX($U$4:$U$53,(INT(88/$S$17)+1)))</f>
        <v/>
      </c>
      <c r="AB102" t="n">
        <v>14700</v>
      </c>
      <c r="AC102" t="n">
        <v>14775</v>
      </c>
      <c r="AD102" t="n">
        <v>56</v>
      </c>
      <c r="AI102">
        <f>IF(AND(MOD(88,$AF$17)=0,MOD((INT(88/$AF$17)+1)-1,$AF$13/5)=0),INDEX($AN$4:$AN$53,(INT(88/$AF$17)+1)),"")</f>
        <v/>
      </c>
      <c r="AJ102">
        <f>IF(MOD(88,$AF$17)=$AF$17-1,0,INDEX($AH$4:$AH$53,(INT(88/$AF$17)+1)))</f>
        <v/>
      </c>
      <c r="AO102" t="n">
        <v>220.5</v>
      </c>
      <c r="AP102" t="n">
        <v>221.625</v>
      </c>
      <c r="AQ102" t="n">
        <v>39</v>
      </c>
      <c r="AV102">
        <f>IF(AND(MOD(88,$AS$17)=0,MOD((INT(88/$AS$17)+1)-1,$AS$13/5)=0),INDEX($BA$4:$BA$53,(INT(88/$AS$17)+1)),"")</f>
        <v/>
      </c>
      <c r="AW102">
        <f>IF(MOD(88,$AS$17)=$AS$17-1,0,INDEX($AU$4:$AU$53,(INT(88/$AS$17)+1)))</f>
        <v/>
      </c>
    </row>
    <row r="103">
      <c r="B103" t="n">
        <v>698.5</v>
      </c>
      <c r="C103" t="n">
        <v>699.25</v>
      </c>
      <c r="D103" t="n">
        <v>56</v>
      </c>
      <c r="I103">
        <f>IF(AND(MOD(89,$F$17)=0,MOD((INT(89/$F$17)+1)-1,$F$13/5)=0),INDEX($N$4:$N$53,(INT(89/$F$17)+1)),"")</f>
        <v/>
      </c>
      <c r="J103">
        <f>IF(MOD(89,$F$17)=$F$17-1,0,INDEX($H$4:$H$53,(INT(89/$F$17)+1)))</f>
        <v/>
      </c>
      <c r="O103" t="n">
        <v>29700</v>
      </c>
      <c r="P103" t="n">
        <v>29850</v>
      </c>
      <c r="Q103" t="n">
        <v>43</v>
      </c>
      <c r="V103">
        <f>IF(AND(MOD(89,$S$17)=0,MOD((INT(89/$S$17)+1)-1,$S$13/5)=0),INDEX($AA$4:$AA$53,(INT(89/$S$17)+1)),"")</f>
        <v/>
      </c>
      <c r="W103">
        <f>IF(MOD(89,$S$17)=$S$17-1,0,INDEX($U$4:$U$53,(INT(89/$S$17)+1)))</f>
        <v/>
      </c>
      <c r="AB103" t="n">
        <v>14850</v>
      </c>
      <c r="AC103" t="n">
        <v>14925</v>
      </c>
      <c r="AD103" t="n">
        <v>58</v>
      </c>
      <c r="AI103">
        <f>IF(AND(MOD(89,$AF$17)=0,MOD((INT(89/$AF$17)+1)-1,$AF$13/5)=0),INDEX($AN$4:$AN$53,(INT(89/$AF$17)+1)),"")</f>
        <v/>
      </c>
      <c r="AJ103">
        <f>IF(MOD(89,$AF$17)=$AF$17-1,0,INDEX($AH$4:$AH$53,(INT(89/$AF$17)+1)))</f>
        <v/>
      </c>
      <c r="AO103" t="n">
        <v>222.75</v>
      </c>
      <c r="AP103" t="n">
        <v>223.875</v>
      </c>
      <c r="AQ103" t="n">
        <v>37</v>
      </c>
      <c r="AV103">
        <f>IF(AND(MOD(89,$AS$17)=0,MOD((INT(89/$AS$17)+1)-1,$AS$13/5)=0),INDEX($BA$4:$BA$53,(INT(89/$AS$17)+1)),"")</f>
        <v/>
      </c>
      <c r="AW103">
        <f>IF(MOD(89,$AS$17)=$AS$17-1,0,INDEX($AU$4:$AU$53,(INT(89/$AS$17)+1)))</f>
        <v/>
      </c>
    </row>
    <row r="104">
      <c r="B104" t="n">
        <v>700</v>
      </c>
      <c r="C104" t="n">
        <v>700.75</v>
      </c>
      <c r="D104" t="n">
        <v>117</v>
      </c>
      <c r="I104">
        <f>IF(AND(MOD(90,$F$17)=0,MOD((INT(90/$F$17)+1)-1,$F$13/5)=0),INDEX($N$4:$N$53,(INT(90/$F$17)+1)),"")</f>
        <v/>
      </c>
      <c r="J104">
        <f>IF(MOD(90,$F$17)=$F$17-1,0,INDEX($H$4:$H$53,(INT(90/$F$17)+1)))</f>
        <v/>
      </c>
      <c r="O104" t="n">
        <v>30000</v>
      </c>
      <c r="P104" t="n">
        <v>30150</v>
      </c>
      <c r="Q104" t="n">
        <v>38</v>
      </c>
      <c r="V104">
        <f>IF(AND(MOD(90,$S$17)=0,MOD((INT(90/$S$17)+1)-1,$S$13/5)=0),INDEX($AA$4:$AA$53,(INT(90/$S$17)+1)),"")</f>
        <v/>
      </c>
      <c r="W104">
        <f>IF(MOD(90,$S$17)=$S$17-1,0,INDEX($U$4:$U$53,(INT(90/$S$17)+1)))</f>
        <v/>
      </c>
      <c r="AB104" t="n">
        <v>15000</v>
      </c>
      <c r="AC104" t="n">
        <v>15075</v>
      </c>
      <c r="AD104" t="n">
        <v>59</v>
      </c>
      <c r="AI104">
        <f>IF(AND(MOD(90,$AF$17)=0,MOD((INT(90/$AF$17)+1)-1,$AF$13/5)=0),INDEX($AN$4:$AN$53,(INT(90/$AF$17)+1)),"")</f>
        <v/>
      </c>
      <c r="AJ104">
        <f>IF(MOD(90,$AF$17)=$AF$17-1,0,INDEX($AH$4:$AH$53,(INT(90/$AF$17)+1)))</f>
        <v/>
      </c>
      <c r="AO104" t="n">
        <v>225</v>
      </c>
      <c r="AP104" t="n">
        <v>226.125</v>
      </c>
      <c r="AQ104" t="n">
        <v>68</v>
      </c>
      <c r="AV104">
        <f>IF(AND(MOD(90,$AS$17)=0,MOD((INT(90/$AS$17)+1)-1,$AS$13/5)=0),INDEX($BA$4:$BA$53,(INT(90/$AS$17)+1)),"")</f>
        <v/>
      </c>
      <c r="AW104">
        <f>IF(MOD(90,$AS$17)=$AS$17-1,0,INDEX($AU$4:$AU$53,(INT(90/$AS$17)+1)))</f>
        <v/>
      </c>
    </row>
    <row r="105">
      <c r="B105" t="n">
        <v>701.5</v>
      </c>
      <c r="C105" t="n">
        <v>702.25</v>
      </c>
      <c r="D105" t="n">
        <v>55</v>
      </c>
      <c r="I105">
        <f>IF(AND(MOD(91,$F$17)=0,MOD((INT(91/$F$17)+1)-1,$F$13/5)=0),INDEX($N$4:$N$53,(INT(91/$F$17)+1)),"")</f>
        <v/>
      </c>
      <c r="J105">
        <f>IF(MOD(91,$F$17)=$F$17-1,0,INDEX($H$4:$H$53,(INT(91/$F$17)+1)))</f>
        <v/>
      </c>
      <c r="O105" t="n">
        <v>30300</v>
      </c>
      <c r="P105" t="n">
        <v>30450</v>
      </c>
      <c r="Q105" t="n">
        <v>42</v>
      </c>
      <c r="V105">
        <f>IF(AND(MOD(91,$S$17)=0,MOD((INT(91/$S$17)+1)-1,$S$13/5)=0),INDEX($AA$4:$AA$53,(INT(91/$S$17)+1)),"")</f>
        <v/>
      </c>
      <c r="W105">
        <f>IF(MOD(91,$S$17)=$S$17-1,0,INDEX($U$4:$U$53,(INT(91/$S$17)+1)))</f>
        <v/>
      </c>
      <c r="AB105" t="n">
        <v>15150</v>
      </c>
      <c r="AC105" t="n">
        <v>15225</v>
      </c>
      <c r="AD105" t="n">
        <v>62</v>
      </c>
      <c r="AI105">
        <f>IF(AND(MOD(91,$AF$17)=0,MOD((INT(91/$AF$17)+1)-1,$AF$13/5)=0),INDEX($AN$4:$AN$53,(INT(91/$AF$17)+1)),"")</f>
        <v/>
      </c>
      <c r="AJ105">
        <f>IF(MOD(91,$AF$17)=$AF$17-1,0,INDEX($AH$4:$AH$53,(INT(91/$AF$17)+1)))</f>
        <v/>
      </c>
      <c r="AO105" t="n">
        <v>227.25</v>
      </c>
      <c r="AP105" t="n">
        <v>228.375</v>
      </c>
      <c r="AQ105" t="n">
        <v>23</v>
      </c>
      <c r="AV105">
        <f>IF(AND(MOD(91,$AS$17)=0,MOD((INT(91/$AS$17)+1)-1,$AS$13/5)=0),INDEX($BA$4:$BA$53,(INT(91/$AS$17)+1)),"")</f>
        <v/>
      </c>
      <c r="AW105">
        <f>IF(MOD(91,$AS$17)=$AS$17-1,0,INDEX($AU$4:$AU$53,(INT(91/$AS$17)+1)))</f>
        <v/>
      </c>
    </row>
    <row r="106">
      <c r="B106" t="n">
        <v>703</v>
      </c>
      <c r="C106" t="n">
        <v>703.75</v>
      </c>
      <c r="D106" t="n">
        <v>120</v>
      </c>
      <c r="I106">
        <f>IF(AND(MOD(92,$F$17)=0,MOD((INT(92/$F$17)+1)-1,$F$13/5)=0),INDEX($N$4:$N$53,(INT(92/$F$17)+1)),"")</f>
        <v/>
      </c>
      <c r="J106">
        <f>IF(MOD(92,$F$17)=$F$17-1,0,INDEX($H$4:$H$53,(INT(92/$F$17)+1)))</f>
        <v/>
      </c>
      <c r="O106" t="n">
        <v>30600</v>
      </c>
      <c r="P106" t="n">
        <v>30750</v>
      </c>
      <c r="Q106" t="n">
        <v>46</v>
      </c>
      <c r="V106">
        <f>IF(AND(MOD(92,$S$17)=0,MOD((INT(92/$S$17)+1)-1,$S$13/5)=0),INDEX($AA$4:$AA$53,(INT(92/$S$17)+1)),"")</f>
        <v/>
      </c>
      <c r="W106">
        <f>IF(MOD(92,$S$17)=$S$17-1,0,INDEX($U$4:$U$53,(INT(92/$S$17)+1)))</f>
        <v/>
      </c>
      <c r="AB106" t="n">
        <v>15300</v>
      </c>
      <c r="AC106" t="n">
        <v>15375</v>
      </c>
      <c r="AD106" t="n">
        <v>62</v>
      </c>
      <c r="AI106">
        <f>IF(AND(MOD(92,$AF$17)=0,MOD((INT(92/$AF$17)+1)-1,$AF$13/5)=0),INDEX($AN$4:$AN$53,(INT(92/$AF$17)+1)),"")</f>
        <v/>
      </c>
      <c r="AJ106">
        <f>IF(MOD(92,$AF$17)=$AF$17-1,0,INDEX($AH$4:$AH$53,(INT(92/$AF$17)+1)))</f>
        <v/>
      </c>
      <c r="AO106" t="n">
        <v>229.5</v>
      </c>
      <c r="AP106" t="n">
        <v>230.625</v>
      </c>
      <c r="AQ106" t="n">
        <v>34</v>
      </c>
      <c r="AV106">
        <f>IF(AND(MOD(92,$AS$17)=0,MOD((INT(92/$AS$17)+1)-1,$AS$13/5)=0),INDEX($BA$4:$BA$53,(INT(92/$AS$17)+1)),"")</f>
        <v/>
      </c>
      <c r="AW106">
        <f>IF(MOD(92,$AS$17)=$AS$17-1,0,INDEX($AU$4:$AU$53,(INT(92/$AS$17)+1)))</f>
        <v/>
      </c>
    </row>
    <row r="107">
      <c r="B107" t="n">
        <v>704.5</v>
      </c>
      <c r="C107" t="n">
        <v>705.25</v>
      </c>
      <c r="D107" t="n">
        <v>49</v>
      </c>
      <c r="I107">
        <f>IF(AND(MOD(93,$F$17)=0,MOD((INT(93/$F$17)+1)-1,$F$13/5)=0),INDEX($N$4:$N$53,(INT(93/$F$17)+1)),"")</f>
        <v/>
      </c>
      <c r="J107">
        <f>IF(MOD(93,$F$17)=$F$17-1,0,INDEX($H$4:$H$53,(INT(93/$F$17)+1)))</f>
        <v/>
      </c>
      <c r="O107" t="n">
        <v>30900</v>
      </c>
      <c r="P107" t="n">
        <v>31050</v>
      </c>
      <c r="Q107" t="n">
        <v>37</v>
      </c>
      <c r="V107">
        <f>IF(AND(MOD(93,$S$17)=0,MOD((INT(93/$S$17)+1)-1,$S$13/5)=0),INDEX($AA$4:$AA$53,(INT(93/$S$17)+1)),"")</f>
        <v/>
      </c>
      <c r="W107">
        <f>IF(MOD(93,$S$17)=$S$17-1,0,INDEX($U$4:$U$53,(INT(93/$S$17)+1)))</f>
        <v/>
      </c>
      <c r="AB107" t="n">
        <v>15450</v>
      </c>
      <c r="AC107" t="n">
        <v>15525</v>
      </c>
      <c r="AD107" t="n">
        <v>61</v>
      </c>
      <c r="AI107">
        <f>IF(AND(MOD(93,$AF$17)=0,MOD((INT(93/$AF$17)+1)-1,$AF$13/5)=0),INDEX($AN$4:$AN$53,(INT(93/$AF$17)+1)),"")</f>
        <v/>
      </c>
      <c r="AJ107">
        <f>IF(MOD(93,$AF$17)=$AF$17-1,0,INDEX($AH$4:$AH$53,(INT(93/$AF$17)+1)))</f>
        <v/>
      </c>
      <c r="AO107" t="n">
        <v>231.75</v>
      </c>
      <c r="AP107" t="n">
        <v>232.875</v>
      </c>
      <c r="AQ107" t="n">
        <v>42</v>
      </c>
      <c r="AV107">
        <f>IF(AND(MOD(93,$AS$17)=0,MOD((INT(93/$AS$17)+1)-1,$AS$13/5)=0),INDEX($BA$4:$BA$53,(INT(93/$AS$17)+1)),"")</f>
        <v/>
      </c>
      <c r="AW107">
        <f>IF(MOD(93,$AS$17)=$AS$17-1,0,INDEX($AU$4:$AU$53,(INT(93/$AS$17)+1)))</f>
        <v/>
      </c>
    </row>
    <row r="108">
      <c r="B108" t="n">
        <v>706</v>
      </c>
      <c r="C108" t="n">
        <v>706.75</v>
      </c>
      <c r="D108" t="n">
        <v>128</v>
      </c>
      <c r="I108">
        <f>IF(AND(MOD(94,$F$17)=0,MOD((INT(94/$F$17)+1)-1,$F$13/5)=0),INDEX($N$4:$N$53,(INT(94/$F$17)+1)),"")</f>
        <v/>
      </c>
      <c r="J108">
        <f>IF(MOD(94,$F$17)=$F$17-1,0,INDEX($H$4:$H$53,(INT(94/$F$17)+1)))</f>
        <v/>
      </c>
      <c r="O108" t="n">
        <v>31200</v>
      </c>
      <c r="P108" t="n">
        <v>31350</v>
      </c>
      <c r="Q108" t="n">
        <v>38</v>
      </c>
      <c r="V108">
        <f>IF(AND(MOD(94,$S$17)=0,MOD((INT(94/$S$17)+1)-1,$S$13/5)=0),INDEX($AA$4:$AA$53,(INT(94/$S$17)+1)),"")</f>
        <v/>
      </c>
      <c r="W108">
        <f>IF(MOD(94,$S$17)=$S$17-1,0,INDEX($U$4:$U$53,(INT(94/$S$17)+1)))</f>
        <v/>
      </c>
      <c r="AB108" t="n">
        <v>15600</v>
      </c>
      <c r="AC108" t="n">
        <v>15675</v>
      </c>
      <c r="AD108" t="n">
        <v>57</v>
      </c>
      <c r="AI108">
        <f>IF(AND(MOD(94,$AF$17)=0,MOD((INT(94/$AF$17)+1)-1,$AF$13/5)=0),INDEX($AN$4:$AN$53,(INT(94/$AF$17)+1)),"")</f>
        <v/>
      </c>
      <c r="AJ108">
        <f>IF(MOD(94,$AF$17)=$AF$17-1,0,INDEX($AH$4:$AH$53,(INT(94/$AF$17)+1)))</f>
        <v/>
      </c>
      <c r="AO108" t="n">
        <v>234</v>
      </c>
      <c r="AP108" t="n">
        <v>235.125</v>
      </c>
      <c r="AQ108" t="n">
        <v>39</v>
      </c>
      <c r="AV108">
        <f>IF(AND(MOD(94,$AS$17)=0,MOD((INT(94/$AS$17)+1)-1,$AS$13/5)=0),INDEX($BA$4:$BA$53,(INT(94/$AS$17)+1)),"")</f>
        <v/>
      </c>
      <c r="AW108">
        <f>IF(MOD(94,$AS$17)=$AS$17-1,0,INDEX($AU$4:$AU$53,(INT(94/$AS$17)+1)))</f>
        <v/>
      </c>
    </row>
    <row r="109">
      <c r="B109" t="n">
        <v>707.5</v>
      </c>
      <c r="C109" t="n">
        <v>708.25</v>
      </c>
      <c r="D109" t="n">
        <v>76</v>
      </c>
      <c r="I109">
        <f>IF(AND(MOD(95,$F$17)=0,MOD((INT(95/$F$17)+1)-1,$F$13/5)=0),INDEX($N$4:$N$53,(INT(95/$F$17)+1)),"")</f>
        <v/>
      </c>
      <c r="J109">
        <f>IF(MOD(95,$F$17)=$F$17-1,0,INDEX($H$4:$H$53,(INT(95/$F$17)+1)))</f>
        <v/>
      </c>
      <c r="O109" t="n">
        <v>31500</v>
      </c>
      <c r="P109" t="n">
        <v>31650</v>
      </c>
      <c r="Q109" t="n">
        <v>49</v>
      </c>
      <c r="V109">
        <f>IF(AND(MOD(95,$S$17)=0,MOD((INT(95/$S$17)+1)-1,$S$13/5)=0),INDEX($AA$4:$AA$53,(INT(95/$S$17)+1)),"")</f>
        <v/>
      </c>
      <c r="W109">
        <f>IF(MOD(95,$S$17)=$S$17-1,0,INDEX($U$4:$U$53,(INT(95/$S$17)+1)))</f>
        <v/>
      </c>
      <c r="AB109" t="n">
        <v>15750</v>
      </c>
      <c r="AC109" t="n">
        <v>15825</v>
      </c>
      <c r="AD109" t="n">
        <v>58</v>
      </c>
      <c r="AI109">
        <f>IF(AND(MOD(95,$AF$17)=0,MOD((INT(95/$AF$17)+1)-1,$AF$13/5)=0),INDEX($AN$4:$AN$53,(INT(95/$AF$17)+1)),"")</f>
        <v/>
      </c>
      <c r="AJ109">
        <f>IF(MOD(95,$AF$17)=$AF$17-1,0,INDEX($AH$4:$AH$53,(INT(95/$AF$17)+1)))</f>
        <v/>
      </c>
      <c r="AO109" t="n">
        <v>236.25</v>
      </c>
      <c r="AP109" t="n">
        <v>237.375</v>
      </c>
      <c r="AQ109" t="n">
        <v>39</v>
      </c>
      <c r="AV109">
        <f>IF(AND(MOD(95,$AS$17)=0,MOD((INT(95/$AS$17)+1)-1,$AS$13/5)=0),INDEX($BA$4:$BA$53,(INT(95/$AS$17)+1)),"")</f>
        <v/>
      </c>
      <c r="AW109">
        <f>IF(MOD(95,$AS$17)=$AS$17-1,0,INDEX($AU$4:$AU$53,(INT(95/$AS$17)+1)))</f>
        <v/>
      </c>
    </row>
    <row r="110">
      <c r="B110" t="n">
        <v>709</v>
      </c>
      <c r="C110" t="n">
        <v>709.75</v>
      </c>
      <c r="D110" t="n">
        <v>120</v>
      </c>
      <c r="I110">
        <f>IF(AND(MOD(96,$F$17)=0,MOD((INT(96/$F$17)+1)-1,$F$13/5)=0),INDEX($N$4:$N$53,(INT(96/$F$17)+1)),"")</f>
        <v/>
      </c>
      <c r="J110">
        <f>IF(MOD(96,$F$17)=$F$17-1,0,INDEX($H$4:$H$53,(INT(96/$F$17)+1)))</f>
        <v/>
      </c>
      <c r="O110" t="n">
        <v>31800</v>
      </c>
      <c r="P110" t="n">
        <v>31950</v>
      </c>
      <c r="Q110" t="n">
        <v>43</v>
      </c>
      <c r="V110">
        <f>IF(AND(MOD(96,$S$17)=0,MOD((INT(96/$S$17)+1)-1,$S$13/5)=0),INDEX($AA$4:$AA$53,(INT(96/$S$17)+1)),"")</f>
        <v/>
      </c>
      <c r="W110">
        <f>IF(MOD(96,$S$17)=$S$17-1,0,INDEX($U$4:$U$53,(INT(96/$S$17)+1)))</f>
        <v/>
      </c>
      <c r="AB110" t="n">
        <v>15900</v>
      </c>
      <c r="AC110" t="n">
        <v>15975</v>
      </c>
      <c r="AD110" t="n">
        <v>51</v>
      </c>
      <c r="AI110">
        <f>IF(AND(MOD(96,$AF$17)=0,MOD((INT(96/$AF$17)+1)-1,$AF$13/5)=0),INDEX($AN$4:$AN$53,(INT(96/$AF$17)+1)),"")</f>
        <v/>
      </c>
      <c r="AJ110">
        <f>IF(MOD(96,$AF$17)=$AF$17-1,0,INDEX($AH$4:$AH$53,(INT(96/$AF$17)+1)))</f>
        <v/>
      </c>
      <c r="AO110" t="n">
        <v>238.5</v>
      </c>
      <c r="AP110" t="n">
        <v>239.625</v>
      </c>
      <c r="AQ110" t="n">
        <v>30</v>
      </c>
      <c r="AV110">
        <f>IF(AND(MOD(96,$AS$17)=0,MOD((INT(96/$AS$17)+1)-1,$AS$13/5)=0),INDEX($BA$4:$BA$53,(INT(96/$AS$17)+1)),"")</f>
        <v/>
      </c>
      <c r="AW110">
        <f>IF(MOD(96,$AS$17)=$AS$17-1,0,INDEX($AU$4:$AU$53,(INT(96/$AS$17)+1)))</f>
        <v/>
      </c>
    </row>
    <row r="111">
      <c r="B111" t="n">
        <v>710.5</v>
      </c>
      <c r="C111" t="n">
        <v>711.25</v>
      </c>
      <c r="D111" t="n">
        <v>70</v>
      </c>
      <c r="I111">
        <f>IF(AND(MOD(97,$F$17)=0,MOD((INT(97/$F$17)+1)-1,$F$13/5)=0),INDEX($N$4:$N$53,(INT(97/$F$17)+1)),"")</f>
        <v/>
      </c>
      <c r="J111">
        <f>IF(MOD(97,$F$17)=$F$17-1,0,INDEX($H$4:$H$53,(INT(97/$F$17)+1)))</f>
        <v/>
      </c>
      <c r="O111" t="n">
        <v>32100</v>
      </c>
      <c r="P111" t="n">
        <v>32250</v>
      </c>
      <c r="Q111" t="n">
        <v>48</v>
      </c>
      <c r="V111">
        <f>IF(AND(MOD(97,$S$17)=0,MOD((INT(97/$S$17)+1)-1,$S$13/5)=0),INDEX($AA$4:$AA$53,(INT(97/$S$17)+1)),"")</f>
        <v/>
      </c>
      <c r="W111">
        <f>IF(MOD(97,$S$17)=$S$17-1,0,INDEX($U$4:$U$53,(INT(97/$S$17)+1)))</f>
        <v/>
      </c>
      <c r="AB111" t="n">
        <v>16050</v>
      </c>
      <c r="AC111" t="n">
        <v>16125</v>
      </c>
      <c r="AD111" t="n">
        <v>51</v>
      </c>
      <c r="AI111">
        <f>IF(AND(MOD(97,$AF$17)=0,MOD((INT(97/$AF$17)+1)-1,$AF$13/5)=0),INDEX($AN$4:$AN$53,(INT(97/$AF$17)+1)),"")</f>
        <v/>
      </c>
      <c r="AJ111">
        <f>IF(MOD(97,$AF$17)=$AF$17-1,0,INDEX($AH$4:$AH$53,(INT(97/$AF$17)+1)))</f>
        <v/>
      </c>
      <c r="AO111" t="n">
        <v>240.75</v>
      </c>
      <c r="AP111" t="n">
        <v>241.875</v>
      </c>
      <c r="AQ111" t="n">
        <v>49</v>
      </c>
      <c r="AV111">
        <f>IF(AND(MOD(97,$AS$17)=0,MOD((INT(97/$AS$17)+1)-1,$AS$13/5)=0),INDEX($BA$4:$BA$53,(INT(97/$AS$17)+1)),"")</f>
        <v/>
      </c>
      <c r="AW111">
        <f>IF(MOD(97,$AS$17)=$AS$17-1,0,INDEX($AU$4:$AU$53,(INT(97/$AS$17)+1)))</f>
        <v/>
      </c>
    </row>
    <row r="112">
      <c r="B112" t="n">
        <v>712</v>
      </c>
      <c r="C112" t="n">
        <v>712.75</v>
      </c>
      <c r="D112" t="n">
        <v>108</v>
      </c>
      <c r="I112">
        <f>IF(AND(MOD(98,$F$17)=0,MOD((INT(98/$F$17)+1)-1,$F$13/5)=0),INDEX($N$4:$N$53,(INT(98/$F$17)+1)),"")</f>
        <v/>
      </c>
      <c r="J112">
        <f>IF(MOD(98,$F$17)=$F$17-1,0,INDEX($H$4:$H$53,(INT(98/$F$17)+1)))</f>
        <v/>
      </c>
      <c r="O112" t="n">
        <v>32400</v>
      </c>
      <c r="P112" t="n">
        <v>32550</v>
      </c>
      <c r="Q112" t="n">
        <v>36</v>
      </c>
      <c r="V112">
        <f>IF(AND(MOD(98,$S$17)=0,MOD((INT(98/$S$17)+1)-1,$S$13/5)=0),INDEX($AA$4:$AA$53,(INT(98/$S$17)+1)),"")</f>
        <v/>
      </c>
      <c r="W112">
        <f>IF(MOD(98,$S$17)=$S$17-1,0,INDEX($U$4:$U$53,(INT(98/$S$17)+1)))</f>
        <v/>
      </c>
      <c r="AB112" t="n">
        <v>16200</v>
      </c>
      <c r="AC112" t="n">
        <v>16275</v>
      </c>
      <c r="AD112" t="n">
        <v>48</v>
      </c>
      <c r="AI112">
        <f>IF(AND(MOD(98,$AF$17)=0,MOD((INT(98/$AF$17)+1)-1,$AF$13/5)=0),INDEX($AN$4:$AN$53,(INT(98/$AF$17)+1)),"")</f>
        <v/>
      </c>
      <c r="AJ112">
        <f>IF(MOD(98,$AF$17)=$AF$17-1,0,INDEX($AH$4:$AH$53,(INT(98/$AF$17)+1)))</f>
        <v/>
      </c>
      <c r="AO112" t="n">
        <v>243</v>
      </c>
      <c r="AP112" t="n">
        <v>244.125</v>
      </c>
      <c r="AQ112" t="n">
        <v>59</v>
      </c>
      <c r="AV112">
        <f>IF(AND(MOD(98,$AS$17)=0,MOD((INT(98/$AS$17)+1)-1,$AS$13/5)=0),INDEX($BA$4:$BA$53,(INT(98/$AS$17)+1)),"")</f>
        <v/>
      </c>
      <c r="AW112">
        <f>IF(MOD(98,$AS$17)=$AS$17-1,0,INDEX($AU$4:$AU$53,(INT(98/$AS$17)+1)))</f>
        <v/>
      </c>
    </row>
    <row r="113">
      <c r="B113" t="n">
        <v>713.5</v>
      </c>
      <c r="C113" t="n">
        <v>714.25</v>
      </c>
      <c r="D113" t="n">
        <v>46</v>
      </c>
      <c r="I113">
        <f>IF(AND(MOD(99,$F$17)=0,MOD((INT(99/$F$17)+1)-1,$F$13/5)=0),INDEX($N$4:$N$53,(INT(99/$F$17)+1)),"")</f>
        <v/>
      </c>
      <c r="J113">
        <f>IF(MOD(99,$F$17)=$F$17-1,0,INDEX($H$4:$H$53,(INT(99/$F$17)+1)))</f>
        <v/>
      </c>
      <c r="O113" t="n">
        <v>32700</v>
      </c>
      <c r="P113" t="n">
        <v>32850</v>
      </c>
      <c r="Q113" t="n">
        <v>41</v>
      </c>
      <c r="V113">
        <f>IF(AND(MOD(99,$S$17)=0,MOD((INT(99/$S$17)+1)-1,$S$13/5)=0),INDEX($AA$4:$AA$53,(INT(99/$S$17)+1)),"")</f>
        <v/>
      </c>
      <c r="W113">
        <f>IF(MOD(99,$S$17)=$S$17-1,0,INDEX($U$4:$U$53,(INT(99/$S$17)+1)))</f>
        <v/>
      </c>
      <c r="AB113" t="n">
        <v>16350</v>
      </c>
      <c r="AC113" t="n">
        <v>16425</v>
      </c>
      <c r="AD113" t="n">
        <v>52</v>
      </c>
      <c r="AI113">
        <f>IF(AND(MOD(99,$AF$17)=0,MOD((INT(99/$AF$17)+1)-1,$AF$13/5)=0),INDEX($AN$4:$AN$53,(INT(99/$AF$17)+1)),"")</f>
        <v/>
      </c>
      <c r="AJ113">
        <f>IF(MOD(99,$AF$17)=$AF$17-1,0,INDEX($AH$4:$AH$53,(INT(99/$AF$17)+1)))</f>
        <v/>
      </c>
      <c r="AO113" t="n">
        <v>245.25</v>
      </c>
      <c r="AP113" t="n">
        <v>246.375</v>
      </c>
      <c r="AQ113" t="n">
        <v>36</v>
      </c>
      <c r="AV113">
        <f>IF(AND(MOD(99,$AS$17)=0,MOD((INT(99/$AS$17)+1)-1,$AS$13/5)=0),INDEX($BA$4:$BA$53,(INT(99/$AS$17)+1)),"")</f>
        <v/>
      </c>
      <c r="AW113">
        <f>IF(MOD(99,$AS$17)=$AS$17-1,0,INDEX($AU$4:$AU$53,(INT(99/$AS$17)+1)))</f>
        <v/>
      </c>
    </row>
    <row r="114">
      <c r="B114" t="n">
        <v>715</v>
      </c>
      <c r="C114" t="n">
        <v>715.75</v>
      </c>
      <c r="D114" t="n">
        <v>107</v>
      </c>
      <c r="I114">
        <f>""</f>
        <v/>
      </c>
      <c r="J114">
        <f>IF(0&lt;=$F$17-2,$F$19,0)</f>
        <v/>
      </c>
      <c r="O114" t="n">
        <v>33000</v>
      </c>
      <c r="P114" t="n">
        <v>33150</v>
      </c>
      <c r="Q114" t="n">
        <v>41</v>
      </c>
      <c r="V114">
        <f>""</f>
        <v/>
      </c>
      <c r="W114">
        <f>IF(0&lt;=$S$17-2,$S$19,0)</f>
        <v/>
      </c>
      <c r="AB114" t="n">
        <v>16500</v>
      </c>
      <c r="AC114" t="n">
        <v>16575</v>
      </c>
      <c r="AD114" t="n">
        <v>48</v>
      </c>
      <c r="AI114">
        <f>""</f>
        <v/>
      </c>
      <c r="AJ114">
        <f>IF(0&lt;=$AF$17-2,$AF$19,0)</f>
        <v/>
      </c>
      <c r="AO114" t="n">
        <v>247.5</v>
      </c>
      <c r="AP114" t="n">
        <v>248.625</v>
      </c>
      <c r="AQ114" t="n">
        <v>39</v>
      </c>
      <c r="AV114">
        <f>""</f>
        <v/>
      </c>
      <c r="AW114">
        <f>IF(0&lt;=$AS$17-2,$AS$19,0)</f>
        <v/>
      </c>
    </row>
    <row r="115">
      <c r="B115" t="n">
        <v>716.5</v>
      </c>
      <c r="C115" t="n">
        <v>717.25</v>
      </c>
      <c r="D115" t="n">
        <v>62</v>
      </c>
      <c r="I115">
        <f>""</f>
        <v/>
      </c>
      <c r="J115">
        <f>IF(1&lt;=$F$17-2,$F$19,0)</f>
        <v/>
      </c>
      <c r="O115" t="n">
        <v>33300</v>
      </c>
      <c r="P115" t="n">
        <v>33450</v>
      </c>
      <c r="Q115" t="n">
        <v>41</v>
      </c>
      <c r="V115">
        <f>""</f>
        <v/>
      </c>
      <c r="W115">
        <f>IF(1&lt;=$S$17-2,$S$19,0)</f>
        <v/>
      </c>
      <c r="AB115" t="n">
        <v>16650</v>
      </c>
      <c r="AC115" t="n">
        <v>16725</v>
      </c>
      <c r="AD115" t="n">
        <v>48</v>
      </c>
      <c r="AI115">
        <f>""</f>
        <v/>
      </c>
      <c r="AJ115">
        <f>IF(1&lt;=$AF$17-2,$AF$19,0)</f>
        <v/>
      </c>
      <c r="AO115" t="n">
        <v>249.75</v>
      </c>
      <c r="AP115" t="n">
        <v>250.875</v>
      </c>
      <c r="AQ115" t="n">
        <v>34</v>
      </c>
      <c r="AV115">
        <f>""</f>
        <v/>
      </c>
      <c r="AW115">
        <f>IF(1&lt;=$AS$17-2,$AS$19,0)</f>
        <v/>
      </c>
    </row>
    <row r="116">
      <c r="B116" t="n">
        <v>718</v>
      </c>
      <c r="C116" t="n">
        <v>718.75</v>
      </c>
      <c r="D116" t="n">
        <v>97</v>
      </c>
      <c r="I116">
        <f>""</f>
        <v/>
      </c>
      <c r="J116">
        <f>IF(2&lt;=$F$17-2,$F$19,0)</f>
        <v/>
      </c>
      <c r="O116" t="n">
        <v>33600</v>
      </c>
      <c r="P116" t="n">
        <v>33750</v>
      </c>
      <c r="Q116" t="n">
        <v>34</v>
      </c>
      <c r="V116">
        <f>""</f>
        <v/>
      </c>
      <c r="W116">
        <f>IF(2&lt;=$S$17-2,$S$19,0)</f>
        <v/>
      </c>
      <c r="AB116" t="n">
        <v>16800</v>
      </c>
      <c r="AC116" t="n">
        <v>16875</v>
      </c>
      <c r="AD116" t="n">
        <v>49</v>
      </c>
      <c r="AI116">
        <f>""</f>
        <v/>
      </c>
      <c r="AJ116">
        <f>IF(2&lt;=$AF$17-2,$AF$19,0)</f>
        <v/>
      </c>
      <c r="AO116" t="n">
        <v>252</v>
      </c>
      <c r="AP116" t="n">
        <v>253.125</v>
      </c>
      <c r="AQ116" t="n">
        <v>51</v>
      </c>
      <c r="AV116">
        <f>""</f>
        <v/>
      </c>
      <c r="AW116">
        <f>IF(2&lt;=$AS$17-2,$AS$19,0)</f>
        <v/>
      </c>
    </row>
    <row r="117">
      <c r="B117" t="n">
        <v>719.5</v>
      </c>
      <c r="C117" t="n">
        <v>720.25</v>
      </c>
      <c r="D117" t="n">
        <v>51</v>
      </c>
      <c r="I117">
        <f>""</f>
        <v/>
      </c>
      <c r="J117">
        <f>IF(3&lt;=$F$17-2,$F$19,0)</f>
        <v/>
      </c>
      <c r="O117" t="n">
        <v>33900</v>
      </c>
      <c r="P117" t="n">
        <v>34050</v>
      </c>
      <c r="Q117" t="n">
        <v>44</v>
      </c>
      <c r="V117">
        <f>""</f>
        <v/>
      </c>
      <c r="W117">
        <f>IF(3&lt;=$S$17-2,$S$19,0)</f>
        <v/>
      </c>
      <c r="AB117" t="n">
        <v>16950</v>
      </c>
      <c r="AC117" t="n">
        <v>17025</v>
      </c>
      <c r="AD117" t="n">
        <v>50</v>
      </c>
      <c r="AI117">
        <f>""</f>
        <v/>
      </c>
      <c r="AJ117">
        <f>IF(3&lt;=$AF$17-2,$AF$19,0)</f>
        <v/>
      </c>
      <c r="AO117" t="n">
        <v>254.25</v>
      </c>
      <c r="AP117" t="n">
        <v>255.375</v>
      </c>
      <c r="AQ117" t="n">
        <v>29</v>
      </c>
      <c r="AV117">
        <f>""</f>
        <v/>
      </c>
      <c r="AW117">
        <f>IF(3&lt;=$AS$17-2,$AS$19,0)</f>
        <v/>
      </c>
    </row>
    <row r="118">
      <c r="B118" t="n">
        <v>721</v>
      </c>
      <c r="C118" t="n">
        <v>721.75</v>
      </c>
      <c r="D118" t="n">
        <v>113</v>
      </c>
      <c r="I118">
        <f>""</f>
        <v/>
      </c>
      <c r="J118">
        <f>IF(4&lt;=$F$17-2,$F$19,0)</f>
        <v/>
      </c>
      <c r="O118" t="n">
        <v>34200</v>
      </c>
      <c r="P118" t="n">
        <v>34350</v>
      </c>
      <c r="Q118" t="n">
        <v>58</v>
      </c>
      <c r="V118">
        <f>""</f>
        <v/>
      </c>
      <c r="W118">
        <f>IF(4&lt;=$S$17-2,$S$19,0)</f>
        <v/>
      </c>
      <c r="AB118" t="n">
        <v>17100</v>
      </c>
      <c r="AC118" t="n">
        <v>17175</v>
      </c>
      <c r="AD118" t="n">
        <v>36</v>
      </c>
      <c r="AI118">
        <f>""</f>
        <v/>
      </c>
      <c r="AJ118">
        <f>IF(4&lt;=$AF$17-2,$AF$19,0)</f>
        <v/>
      </c>
      <c r="AO118" t="n">
        <v>256.5</v>
      </c>
      <c r="AP118" t="n">
        <v>257.625</v>
      </c>
      <c r="AQ118" t="n">
        <v>42</v>
      </c>
      <c r="AV118">
        <f>""</f>
        <v/>
      </c>
      <c r="AW118">
        <f>IF(4&lt;=$AS$17-2,$AS$19,0)</f>
        <v/>
      </c>
    </row>
    <row r="119">
      <c r="B119" t="n">
        <v>722.5</v>
      </c>
      <c r="C119" t="n">
        <v>723.25</v>
      </c>
      <c r="D119" t="n">
        <v>58</v>
      </c>
      <c r="I119">
        <f>""</f>
        <v/>
      </c>
      <c r="J119">
        <f>IF(5&lt;=$F$17-2,$F$19,0)</f>
        <v/>
      </c>
      <c r="O119" t="n">
        <v>34500</v>
      </c>
      <c r="P119" t="n">
        <v>34650</v>
      </c>
      <c r="Q119" t="n">
        <v>37</v>
      </c>
      <c r="V119">
        <f>""</f>
        <v/>
      </c>
      <c r="W119">
        <f>IF(5&lt;=$S$17-2,$S$19,0)</f>
        <v/>
      </c>
      <c r="AB119" t="n">
        <v>17250</v>
      </c>
      <c r="AC119" t="n">
        <v>17325</v>
      </c>
      <c r="AD119" t="n">
        <v>44</v>
      </c>
      <c r="AI119">
        <f>""</f>
        <v/>
      </c>
      <c r="AJ119">
        <f>IF(5&lt;=$AF$17-2,$AF$19,0)</f>
        <v/>
      </c>
      <c r="AO119" t="n">
        <v>258.75</v>
      </c>
      <c r="AP119" t="n">
        <v>259.875</v>
      </c>
      <c r="AQ119" t="n">
        <v>42</v>
      </c>
      <c r="AV119">
        <f>""</f>
        <v/>
      </c>
      <c r="AW119">
        <f>IF(5&lt;=$AS$17-2,$AS$19,0)</f>
        <v/>
      </c>
    </row>
    <row r="120">
      <c r="B120" t="n">
        <v>724</v>
      </c>
      <c r="C120" t="n">
        <v>724.75</v>
      </c>
      <c r="D120" t="n">
        <v>94</v>
      </c>
      <c r="I120">
        <f>""</f>
        <v/>
      </c>
      <c r="J120">
        <f>IF(6&lt;=$F$17-2,$F$19,0)</f>
        <v/>
      </c>
      <c r="O120" t="n">
        <v>34800</v>
      </c>
      <c r="P120" t="n">
        <v>34950</v>
      </c>
      <c r="Q120" t="n">
        <v>42</v>
      </c>
      <c r="V120">
        <f>""</f>
        <v/>
      </c>
      <c r="W120">
        <f>IF(6&lt;=$S$17-2,$S$19,0)</f>
        <v/>
      </c>
      <c r="AB120" t="n">
        <v>17400</v>
      </c>
      <c r="AC120" t="n">
        <v>17475</v>
      </c>
      <c r="AD120" t="n">
        <v>43</v>
      </c>
      <c r="AI120">
        <f>""</f>
        <v/>
      </c>
      <c r="AJ120">
        <f>IF(6&lt;=$AF$17-2,$AF$19,0)</f>
        <v/>
      </c>
      <c r="AO120" t="n">
        <v>261</v>
      </c>
      <c r="AP120" t="n">
        <v>262.125</v>
      </c>
      <c r="AQ120" t="n">
        <v>56</v>
      </c>
      <c r="AV120">
        <f>""</f>
        <v/>
      </c>
      <c r="AW120">
        <f>IF(6&lt;=$AS$17-2,$AS$19,0)</f>
        <v/>
      </c>
    </row>
    <row r="121">
      <c r="B121" t="n">
        <v>725.5</v>
      </c>
      <c r="C121" t="n">
        <v>726.25</v>
      </c>
      <c r="D121" t="n">
        <v>50</v>
      </c>
      <c r="I121">
        <f>""</f>
        <v/>
      </c>
      <c r="J121">
        <f>IF(7&lt;=$F$17-2,$F$19,0)</f>
        <v/>
      </c>
      <c r="O121" t="n">
        <v>35100</v>
      </c>
      <c r="P121" t="n">
        <v>35250</v>
      </c>
      <c r="Q121" t="n">
        <v>40</v>
      </c>
      <c r="V121">
        <f>""</f>
        <v/>
      </c>
      <c r="W121">
        <f>IF(7&lt;=$S$17-2,$S$19,0)</f>
        <v/>
      </c>
      <c r="AB121" t="n">
        <v>17550</v>
      </c>
      <c r="AC121" t="n">
        <v>17625</v>
      </c>
      <c r="AD121" t="n">
        <v>34</v>
      </c>
      <c r="AI121">
        <f>""</f>
        <v/>
      </c>
      <c r="AJ121">
        <f>IF(7&lt;=$AF$17-2,$AF$19,0)</f>
        <v/>
      </c>
      <c r="AO121" t="n">
        <v>263.25</v>
      </c>
      <c r="AP121" t="n">
        <v>264.375</v>
      </c>
      <c r="AQ121" t="n">
        <v>36</v>
      </c>
      <c r="AV121">
        <f>""</f>
        <v/>
      </c>
      <c r="AW121">
        <f>IF(7&lt;=$AS$17-2,$AS$19,0)</f>
        <v/>
      </c>
    </row>
    <row r="122">
      <c r="B122" t="n">
        <v>727</v>
      </c>
      <c r="C122" t="n">
        <v>727.75</v>
      </c>
      <c r="D122" t="n">
        <v>108</v>
      </c>
      <c r="I122">
        <f>""</f>
        <v/>
      </c>
      <c r="J122">
        <f>IF(8&lt;=$F$17-2,$F$19,0)</f>
        <v/>
      </c>
      <c r="O122" t="n">
        <v>35400</v>
      </c>
      <c r="P122" t="n">
        <v>35550</v>
      </c>
      <c r="Q122" t="n">
        <v>33</v>
      </c>
      <c r="V122">
        <f>""</f>
        <v/>
      </c>
      <c r="W122">
        <f>IF(8&lt;=$S$17-2,$S$19,0)</f>
        <v/>
      </c>
      <c r="AB122" t="n">
        <v>17700</v>
      </c>
      <c r="AC122" t="n">
        <v>17775</v>
      </c>
      <c r="AD122" t="n">
        <v>34</v>
      </c>
      <c r="AI122">
        <f>""</f>
        <v/>
      </c>
      <c r="AJ122">
        <f>IF(8&lt;=$AF$17-2,$AF$19,0)</f>
        <v/>
      </c>
      <c r="AO122" t="n">
        <v>265.5</v>
      </c>
      <c r="AP122" t="n">
        <v>266.625</v>
      </c>
      <c r="AQ122" t="n">
        <v>28</v>
      </c>
      <c r="AV122">
        <f>""</f>
        <v/>
      </c>
      <c r="AW122">
        <f>IF(8&lt;=$AS$17-2,$AS$19,0)</f>
        <v/>
      </c>
    </row>
    <row r="123">
      <c r="B123" t="n">
        <v>728.5</v>
      </c>
      <c r="C123" t="n">
        <v>729.25</v>
      </c>
      <c r="D123" t="n">
        <v>45</v>
      </c>
      <c r="I123">
        <f>""</f>
        <v/>
      </c>
      <c r="J123">
        <f>IF(9&lt;=$F$17-2,$F$19,0)</f>
        <v/>
      </c>
      <c r="O123" t="n">
        <v>35700</v>
      </c>
      <c r="P123" t="n">
        <v>35850</v>
      </c>
      <c r="Q123" t="n">
        <v>51</v>
      </c>
      <c r="V123">
        <f>""</f>
        <v/>
      </c>
      <c r="W123">
        <f>IF(9&lt;=$S$17-2,$S$19,0)</f>
        <v/>
      </c>
      <c r="AB123" t="n">
        <v>17850</v>
      </c>
      <c r="AC123" t="n">
        <v>17925</v>
      </c>
      <c r="AD123" t="n">
        <v>44</v>
      </c>
      <c r="AI123">
        <f>""</f>
        <v/>
      </c>
      <c r="AJ123">
        <f>IF(9&lt;=$AF$17-2,$AF$19,0)</f>
        <v/>
      </c>
      <c r="AO123" t="n">
        <v>267.75</v>
      </c>
      <c r="AP123" t="n">
        <v>268.875</v>
      </c>
      <c r="AQ123" t="n">
        <v>31</v>
      </c>
      <c r="AV123">
        <f>""</f>
        <v/>
      </c>
      <c r="AW123">
        <f>IF(9&lt;=$AS$17-2,$AS$19,0)</f>
        <v/>
      </c>
    </row>
    <row r="124">
      <c r="B124" t="n">
        <v>730</v>
      </c>
      <c r="C124" t="n">
        <v>730.75</v>
      </c>
      <c r="D124" t="n">
        <v>84</v>
      </c>
      <c r="O124" t="n">
        <v>36000</v>
      </c>
      <c r="P124" t="n">
        <v>36150</v>
      </c>
      <c r="Q124" t="n">
        <v>39</v>
      </c>
      <c r="AB124" t="n">
        <v>18000</v>
      </c>
      <c r="AC124" t="n">
        <v>18075</v>
      </c>
      <c r="AD124" t="n">
        <v>37</v>
      </c>
      <c r="AO124" t="n">
        <v>270</v>
      </c>
      <c r="AP124" t="n">
        <v>271.125</v>
      </c>
      <c r="AQ124" t="n">
        <v>56</v>
      </c>
    </row>
    <row r="125">
      <c r="B125" t="n">
        <v>731.5</v>
      </c>
      <c r="C125" t="n">
        <v>732.25</v>
      </c>
      <c r="D125" t="n">
        <v>33</v>
      </c>
      <c r="O125" t="n">
        <v>36300</v>
      </c>
      <c r="P125" t="n">
        <v>36450</v>
      </c>
      <c r="Q125" t="n">
        <v>43</v>
      </c>
      <c r="AB125" t="n">
        <v>18150</v>
      </c>
      <c r="AC125" t="n">
        <v>18225</v>
      </c>
      <c r="AD125" t="n">
        <v>35</v>
      </c>
      <c r="AO125" t="n">
        <v>272.25</v>
      </c>
      <c r="AP125" t="n">
        <v>273.375</v>
      </c>
      <c r="AQ125" t="n">
        <v>44</v>
      </c>
    </row>
    <row r="126">
      <c r="B126" t="n">
        <v>733</v>
      </c>
      <c r="C126" t="n">
        <v>733.75</v>
      </c>
      <c r="D126" t="n">
        <v>96</v>
      </c>
      <c r="O126" t="n">
        <v>36600</v>
      </c>
      <c r="P126" t="n">
        <v>36750</v>
      </c>
      <c r="Q126" t="n">
        <v>37</v>
      </c>
      <c r="AB126" t="n">
        <v>18300</v>
      </c>
      <c r="AC126" t="n">
        <v>18375</v>
      </c>
      <c r="AD126" t="n">
        <v>39</v>
      </c>
      <c r="AO126" t="n">
        <v>274.5</v>
      </c>
      <c r="AP126" t="n">
        <v>275.625</v>
      </c>
      <c r="AQ126" t="n">
        <v>34</v>
      </c>
    </row>
    <row r="127">
      <c r="B127" t="n">
        <v>734.5</v>
      </c>
      <c r="C127" t="n">
        <v>735.25</v>
      </c>
      <c r="D127" t="n">
        <v>52</v>
      </c>
      <c r="O127" t="n">
        <v>36900</v>
      </c>
      <c r="P127" t="n">
        <v>37050</v>
      </c>
      <c r="Q127" t="n">
        <v>34</v>
      </c>
      <c r="AB127" t="n">
        <v>18450</v>
      </c>
      <c r="AC127" t="n">
        <v>18525</v>
      </c>
      <c r="AD127" t="n">
        <v>37</v>
      </c>
      <c r="AO127" t="n">
        <v>276.75</v>
      </c>
      <c r="AP127" t="n">
        <v>277.875</v>
      </c>
      <c r="AQ127" t="n">
        <v>38</v>
      </c>
    </row>
    <row r="128">
      <c r="B128" t="n">
        <v>736</v>
      </c>
      <c r="C128" t="n">
        <v>736.75</v>
      </c>
      <c r="D128" t="n">
        <v>76</v>
      </c>
      <c r="O128" t="n">
        <v>37200</v>
      </c>
      <c r="P128" t="n">
        <v>37350</v>
      </c>
      <c r="Q128" t="n">
        <v>47</v>
      </c>
      <c r="AB128" t="n">
        <v>18600</v>
      </c>
      <c r="AC128" t="n">
        <v>18675</v>
      </c>
      <c r="AD128" t="n">
        <v>38</v>
      </c>
      <c r="AO128" t="n">
        <v>279</v>
      </c>
      <c r="AP128" t="n">
        <v>280.125</v>
      </c>
      <c r="AQ128" t="n">
        <v>53</v>
      </c>
    </row>
    <row r="129">
      <c r="B129" t="n">
        <v>737.5</v>
      </c>
      <c r="C129" t="n">
        <v>738.25</v>
      </c>
      <c r="D129" t="n">
        <v>41</v>
      </c>
      <c r="O129" t="n">
        <v>37500</v>
      </c>
      <c r="P129" t="n">
        <v>37650</v>
      </c>
      <c r="Q129" t="n">
        <v>29</v>
      </c>
      <c r="AB129" t="n">
        <v>18750</v>
      </c>
      <c r="AC129" t="n">
        <v>18825</v>
      </c>
      <c r="AD129" t="n">
        <v>44</v>
      </c>
      <c r="AO129" t="n">
        <v>281.25</v>
      </c>
      <c r="AP129" t="n">
        <v>282.375</v>
      </c>
      <c r="AQ129" t="n">
        <v>30</v>
      </c>
    </row>
    <row r="130">
      <c r="B130" t="n">
        <v>739</v>
      </c>
      <c r="C130" t="n">
        <v>739.75</v>
      </c>
      <c r="D130" t="n">
        <v>98</v>
      </c>
      <c r="O130" t="n">
        <v>37800</v>
      </c>
      <c r="P130" t="n">
        <v>37950</v>
      </c>
      <c r="Q130" t="n">
        <v>42</v>
      </c>
      <c r="AB130" t="n">
        <v>18900</v>
      </c>
      <c r="AC130" t="n">
        <v>18975</v>
      </c>
      <c r="AD130" t="n">
        <v>34</v>
      </c>
      <c r="AO130" t="n">
        <v>283.5</v>
      </c>
      <c r="AP130" t="n">
        <v>284.625</v>
      </c>
      <c r="AQ130" t="n">
        <v>35</v>
      </c>
    </row>
    <row r="131">
      <c r="B131" t="n">
        <v>740.5</v>
      </c>
      <c r="C131" t="n">
        <v>741.25</v>
      </c>
      <c r="D131" t="n">
        <v>36</v>
      </c>
      <c r="O131" t="n">
        <v>38100</v>
      </c>
      <c r="P131" t="n">
        <v>38250</v>
      </c>
      <c r="Q131" t="n">
        <v>42</v>
      </c>
      <c r="AB131" t="n">
        <v>19050</v>
      </c>
      <c r="AC131" t="n">
        <v>19125</v>
      </c>
      <c r="AD131" t="n">
        <v>33</v>
      </c>
      <c r="AO131" t="n">
        <v>285.75</v>
      </c>
      <c r="AP131" t="n">
        <v>286.875</v>
      </c>
      <c r="AQ131" t="n">
        <v>32</v>
      </c>
    </row>
    <row r="132">
      <c r="B132" t="n">
        <v>742</v>
      </c>
      <c r="C132" t="n">
        <v>742.75</v>
      </c>
      <c r="D132" t="n">
        <v>80</v>
      </c>
      <c r="O132" t="n">
        <v>38400</v>
      </c>
      <c r="P132" t="n">
        <v>38550</v>
      </c>
      <c r="Q132" t="n">
        <v>38</v>
      </c>
      <c r="AB132" t="n">
        <v>19200</v>
      </c>
      <c r="AC132" t="n">
        <v>19275</v>
      </c>
      <c r="AD132" t="n">
        <v>36</v>
      </c>
      <c r="AO132" t="n">
        <v>288</v>
      </c>
      <c r="AP132" t="n">
        <v>289.125</v>
      </c>
      <c r="AQ132" t="n">
        <v>73</v>
      </c>
    </row>
    <row r="133">
      <c r="B133" t="n">
        <v>743.5</v>
      </c>
      <c r="C133" t="n">
        <v>744.25</v>
      </c>
      <c r="D133" t="n">
        <v>35</v>
      </c>
      <c r="O133" t="n">
        <v>38700</v>
      </c>
      <c r="P133" t="n">
        <v>38850</v>
      </c>
      <c r="Q133" t="n">
        <v>51</v>
      </c>
      <c r="AB133" t="n">
        <v>19350</v>
      </c>
      <c r="AC133" t="n">
        <v>19425</v>
      </c>
      <c r="AD133" t="n">
        <v>31</v>
      </c>
      <c r="AO133" t="n">
        <v>290.25</v>
      </c>
      <c r="AP133" t="n">
        <v>291.375</v>
      </c>
      <c r="AQ133" t="n">
        <v>37</v>
      </c>
    </row>
    <row r="134">
      <c r="B134" t="n">
        <v>745</v>
      </c>
      <c r="C134" t="n">
        <v>745.75</v>
      </c>
      <c r="D134" t="n">
        <v>76</v>
      </c>
      <c r="O134" t="n">
        <v>39000</v>
      </c>
      <c r="P134" t="n">
        <v>39150</v>
      </c>
      <c r="Q134" t="n">
        <v>39</v>
      </c>
      <c r="AB134" t="n">
        <v>19500</v>
      </c>
      <c r="AC134" t="n">
        <v>19575</v>
      </c>
      <c r="AD134" t="n">
        <v>26</v>
      </c>
      <c r="AO134" t="n">
        <v>292.5</v>
      </c>
      <c r="AP134" t="n">
        <v>293.625</v>
      </c>
      <c r="AQ134" t="n">
        <v>27</v>
      </c>
    </row>
    <row r="135">
      <c r="B135" t="n">
        <v>746.5</v>
      </c>
      <c r="C135" t="n">
        <v>747.25</v>
      </c>
      <c r="D135" t="n">
        <v>29</v>
      </c>
      <c r="O135" t="n">
        <v>39300</v>
      </c>
      <c r="P135" t="n">
        <v>39450</v>
      </c>
      <c r="Q135" t="n">
        <v>47</v>
      </c>
      <c r="AB135" t="n">
        <v>19650</v>
      </c>
      <c r="AC135" t="n">
        <v>19725</v>
      </c>
      <c r="AD135" t="n">
        <v>35</v>
      </c>
      <c r="AO135" t="n">
        <v>294.75</v>
      </c>
      <c r="AP135" t="n">
        <v>295.875</v>
      </c>
      <c r="AQ135" t="n">
        <v>29</v>
      </c>
    </row>
    <row r="136">
      <c r="B136" t="n">
        <v>748</v>
      </c>
      <c r="C136" t="n">
        <v>748.75</v>
      </c>
      <c r="D136" t="n">
        <v>60</v>
      </c>
      <c r="O136" t="n">
        <v>39600</v>
      </c>
      <c r="P136" t="n">
        <v>39750</v>
      </c>
      <c r="Q136" t="n">
        <v>38</v>
      </c>
      <c r="AB136" t="n">
        <v>19800</v>
      </c>
      <c r="AC136" t="n">
        <v>19875</v>
      </c>
      <c r="AD136" t="n">
        <v>22</v>
      </c>
      <c r="AO136" t="n">
        <v>297</v>
      </c>
      <c r="AP136" t="n">
        <v>298.125</v>
      </c>
      <c r="AQ136" t="n">
        <v>58</v>
      </c>
    </row>
    <row r="137">
      <c r="B137" t="n">
        <v>749.5</v>
      </c>
      <c r="C137" t="n">
        <v>750.25</v>
      </c>
      <c r="D137" t="n">
        <v>38</v>
      </c>
      <c r="O137" t="n">
        <v>39900</v>
      </c>
      <c r="P137" t="n">
        <v>40050</v>
      </c>
      <c r="Q137" t="n">
        <v>37</v>
      </c>
      <c r="AB137" t="n">
        <v>19950</v>
      </c>
      <c r="AC137" t="n">
        <v>20025</v>
      </c>
      <c r="AD137" t="n">
        <v>33</v>
      </c>
      <c r="AO137" t="n">
        <v>299.25</v>
      </c>
      <c r="AP137" t="n">
        <v>300.375</v>
      </c>
      <c r="AQ137" t="n">
        <v>36</v>
      </c>
    </row>
    <row r="138">
      <c r="B138" t="n">
        <v>751</v>
      </c>
      <c r="C138" t="n">
        <v>751.75</v>
      </c>
      <c r="D138" t="n">
        <v>76</v>
      </c>
      <c r="O138" t="n">
        <v>40200</v>
      </c>
      <c r="P138" t="n">
        <v>40350</v>
      </c>
      <c r="Q138" t="n">
        <v>51</v>
      </c>
      <c r="AB138" t="n">
        <v>20100</v>
      </c>
      <c r="AC138" t="n">
        <v>20175</v>
      </c>
      <c r="AD138" t="n">
        <v>34</v>
      </c>
      <c r="AO138" t="n">
        <v>301.5</v>
      </c>
      <c r="AP138" t="n">
        <v>302.625</v>
      </c>
      <c r="AQ138" t="n">
        <v>34</v>
      </c>
    </row>
    <row r="139">
      <c r="B139" t="n">
        <v>752.5</v>
      </c>
      <c r="C139" t="n">
        <v>753.25</v>
      </c>
      <c r="D139" t="n">
        <v>44</v>
      </c>
      <c r="O139" t="n">
        <v>40500</v>
      </c>
      <c r="P139" t="n">
        <v>40650</v>
      </c>
      <c r="Q139" t="n">
        <v>26</v>
      </c>
      <c r="AB139" t="n">
        <v>20250</v>
      </c>
      <c r="AC139" t="n">
        <v>20325</v>
      </c>
      <c r="AD139" t="n">
        <v>29</v>
      </c>
      <c r="AO139" t="n">
        <v>303.75</v>
      </c>
      <c r="AP139" t="n">
        <v>304.875</v>
      </c>
      <c r="AQ139" t="n">
        <v>28</v>
      </c>
    </row>
    <row r="140">
      <c r="B140" t="n">
        <v>754</v>
      </c>
      <c r="C140" t="n">
        <v>754.75</v>
      </c>
      <c r="D140" t="n">
        <v>64</v>
      </c>
      <c r="O140" t="n">
        <v>40800</v>
      </c>
      <c r="P140" t="n">
        <v>40950</v>
      </c>
      <c r="Q140" t="n">
        <v>40</v>
      </c>
      <c r="AB140" t="n">
        <v>20400</v>
      </c>
      <c r="AC140" t="n">
        <v>20475</v>
      </c>
      <c r="AD140" t="n">
        <v>27</v>
      </c>
      <c r="AO140" t="n">
        <v>306</v>
      </c>
      <c r="AP140" t="n">
        <v>307.125</v>
      </c>
      <c r="AQ140" t="n">
        <v>62</v>
      </c>
    </row>
    <row r="141">
      <c r="B141" t="n">
        <v>755.5</v>
      </c>
      <c r="C141" t="n">
        <v>756.25</v>
      </c>
      <c r="D141" t="n">
        <v>41</v>
      </c>
      <c r="O141" t="n">
        <v>41100</v>
      </c>
      <c r="P141" t="n">
        <v>41250</v>
      </c>
      <c r="Q141" t="n">
        <v>47</v>
      </c>
      <c r="AB141" t="n">
        <v>20550</v>
      </c>
      <c r="AC141" t="n">
        <v>20625</v>
      </c>
      <c r="AD141" t="n">
        <v>28</v>
      </c>
      <c r="AO141" t="n">
        <v>308.25</v>
      </c>
      <c r="AP141" t="n">
        <v>309.375</v>
      </c>
      <c r="AQ141" t="n">
        <v>32</v>
      </c>
    </row>
    <row r="142">
      <c r="B142" t="n">
        <v>757</v>
      </c>
      <c r="C142" t="n">
        <v>757.75</v>
      </c>
      <c r="D142" t="n">
        <v>64</v>
      </c>
      <c r="O142" t="n">
        <v>41400</v>
      </c>
      <c r="P142" t="n">
        <v>41550</v>
      </c>
      <c r="Q142" t="n">
        <v>51</v>
      </c>
      <c r="AB142" t="n">
        <v>20700</v>
      </c>
      <c r="AC142" t="n">
        <v>20775</v>
      </c>
      <c r="AD142" t="n">
        <v>29</v>
      </c>
      <c r="AO142" t="n">
        <v>310.5</v>
      </c>
      <c r="AP142" t="n">
        <v>311.625</v>
      </c>
      <c r="AQ142" t="n">
        <v>31</v>
      </c>
    </row>
    <row r="143">
      <c r="B143" t="n">
        <v>758.5</v>
      </c>
      <c r="C143" t="n">
        <v>759.25</v>
      </c>
      <c r="D143" t="n">
        <v>21</v>
      </c>
      <c r="O143" t="n">
        <v>41700</v>
      </c>
      <c r="P143" t="n">
        <v>41850</v>
      </c>
      <c r="Q143" t="n">
        <v>37</v>
      </c>
      <c r="AB143" t="n">
        <v>20850</v>
      </c>
      <c r="AC143" t="n">
        <v>20925</v>
      </c>
      <c r="AD143" t="n">
        <v>21</v>
      </c>
      <c r="AO143" t="n">
        <v>312.75</v>
      </c>
      <c r="AP143" t="n">
        <v>313.875</v>
      </c>
      <c r="AQ143" t="n">
        <v>30</v>
      </c>
    </row>
    <row r="144">
      <c r="B144" t="n">
        <v>760</v>
      </c>
      <c r="C144" t="n">
        <v>760.75</v>
      </c>
      <c r="D144" t="n">
        <v>55</v>
      </c>
      <c r="O144" t="n">
        <v>42000</v>
      </c>
      <c r="P144" t="n">
        <v>42150</v>
      </c>
      <c r="Q144" t="n">
        <v>54</v>
      </c>
      <c r="AB144" t="n">
        <v>21000</v>
      </c>
      <c r="AC144" t="n">
        <v>21075</v>
      </c>
      <c r="AD144" t="n">
        <v>28</v>
      </c>
      <c r="AO144" t="n">
        <v>315</v>
      </c>
      <c r="AP144" t="n">
        <v>316.125</v>
      </c>
      <c r="AQ144" t="n">
        <v>36</v>
      </c>
    </row>
    <row r="145">
      <c r="B145" t="n">
        <v>761.5</v>
      </c>
      <c r="C145" t="n">
        <v>762.25</v>
      </c>
      <c r="D145" t="n">
        <v>30</v>
      </c>
      <c r="O145" t="n">
        <v>42300</v>
      </c>
      <c r="P145" t="n">
        <v>42450</v>
      </c>
      <c r="Q145" t="n">
        <v>51</v>
      </c>
      <c r="AB145" t="n">
        <v>21150</v>
      </c>
      <c r="AC145" t="n">
        <v>21225</v>
      </c>
      <c r="AD145" t="n">
        <v>21</v>
      </c>
      <c r="AO145" t="n">
        <v>317.25</v>
      </c>
      <c r="AP145" t="n">
        <v>318.375</v>
      </c>
      <c r="AQ145" t="n">
        <v>30</v>
      </c>
    </row>
    <row r="146">
      <c r="B146" t="n">
        <v>763</v>
      </c>
      <c r="C146" t="n">
        <v>763.75</v>
      </c>
      <c r="D146" t="n">
        <v>59</v>
      </c>
      <c r="O146" t="n">
        <v>42600</v>
      </c>
      <c r="P146" t="n">
        <v>42750</v>
      </c>
      <c r="Q146" t="n">
        <v>35</v>
      </c>
      <c r="AB146" t="n">
        <v>21300</v>
      </c>
      <c r="AC146" t="n">
        <v>21375</v>
      </c>
      <c r="AD146" t="n">
        <v>28</v>
      </c>
      <c r="AO146" t="n">
        <v>319.5</v>
      </c>
      <c r="AP146" t="n">
        <v>320.625</v>
      </c>
      <c r="AQ146" t="n">
        <v>45</v>
      </c>
    </row>
    <row r="147">
      <c r="B147" t="n">
        <v>764.5</v>
      </c>
      <c r="C147" t="n">
        <v>765.25</v>
      </c>
      <c r="D147" t="n">
        <v>20</v>
      </c>
      <c r="O147" t="n">
        <v>42900</v>
      </c>
      <c r="P147" t="n">
        <v>43050</v>
      </c>
      <c r="Q147" t="n">
        <v>53</v>
      </c>
      <c r="AB147" t="n">
        <v>21450</v>
      </c>
      <c r="AC147" t="n">
        <v>21525</v>
      </c>
      <c r="AD147" t="n">
        <v>17</v>
      </c>
      <c r="AO147" t="n">
        <v>321.75</v>
      </c>
      <c r="AP147" t="n">
        <v>322.875</v>
      </c>
      <c r="AQ147" t="n">
        <v>28</v>
      </c>
    </row>
    <row r="148">
      <c r="B148" t="n">
        <v>766</v>
      </c>
      <c r="C148" t="n">
        <v>766.75</v>
      </c>
      <c r="D148" t="n">
        <v>54</v>
      </c>
      <c r="O148" t="n">
        <v>43200</v>
      </c>
      <c r="P148" t="n">
        <v>43350</v>
      </c>
      <c r="Q148" t="n">
        <v>35</v>
      </c>
      <c r="AB148" t="n">
        <v>21600</v>
      </c>
      <c r="AC148" t="n">
        <v>21675</v>
      </c>
      <c r="AD148" t="n">
        <v>19</v>
      </c>
      <c r="AO148" t="n">
        <v>324</v>
      </c>
      <c r="AP148" t="n">
        <v>325.125</v>
      </c>
      <c r="AQ148" t="n">
        <v>50</v>
      </c>
    </row>
    <row r="149">
      <c r="B149" t="n">
        <v>767.5</v>
      </c>
      <c r="C149" t="n">
        <v>768.25</v>
      </c>
      <c r="D149" t="n">
        <v>27</v>
      </c>
      <c r="O149" t="n">
        <v>43500</v>
      </c>
      <c r="P149" t="n">
        <v>43650</v>
      </c>
      <c r="Q149" t="n">
        <v>46</v>
      </c>
      <c r="AB149" t="n">
        <v>21750</v>
      </c>
      <c r="AC149" t="n">
        <v>21825</v>
      </c>
      <c r="AD149" t="n">
        <v>17</v>
      </c>
      <c r="AO149" t="n">
        <v>326.25</v>
      </c>
      <c r="AP149" t="n">
        <v>327.375</v>
      </c>
      <c r="AQ149" t="n">
        <v>32</v>
      </c>
    </row>
    <row r="150">
      <c r="B150" t="n">
        <v>769</v>
      </c>
      <c r="C150" t="n">
        <v>769.75</v>
      </c>
      <c r="D150" t="n">
        <v>43</v>
      </c>
      <c r="O150" t="n">
        <v>43800</v>
      </c>
      <c r="P150" t="n">
        <v>43950</v>
      </c>
      <c r="Q150" t="n">
        <v>40</v>
      </c>
      <c r="AB150" t="n">
        <v>21900</v>
      </c>
      <c r="AC150" t="n">
        <v>21975</v>
      </c>
      <c r="AD150" t="n">
        <v>19</v>
      </c>
      <c r="AO150" t="n">
        <v>328.5</v>
      </c>
      <c r="AP150" t="n">
        <v>329.625</v>
      </c>
      <c r="AQ150" t="n">
        <v>38</v>
      </c>
    </row>
    <row r="151">
      <c r="B151" t="n">
        <v>770.5</v>
      </c>
      <c r="C151" t="n">
        <v>771.25</v>
      </c>
      <c r="D151" t="n">
        <v>23</v>
      </c>
      <c r="O151" t="n">
        <v>44100</v>
      </c>
      <c r="P151" t="n">
        <v>44250</v>
      </c>
      <c r="Q151" t="n">
        <v>50</v>
      </c>
      <c r="AB151" t="n">
        <v>22050</v>
      </c>
      <c r="AC151" t="n">
        <v>22125</v>
      </c>
      <c r="AD151" t="n">
        <v>14</v>
      </c>
      <c r="AO151" t="n">
        <v>330.75</v>
      </c>
      <c r="AP151" t="n">
        <v>331.875</v>
      </c>
      <c r="AQ151" t="n">
        <v>47</v>
      </c>
    </row>
    <row r="152">
      <c r="B152" t="n">
        <v>772</v>
      </c>
      <c r="C152" t="n">
        <v>772.75</v>
      </c>
      <c r="D152" t="n">
        <v>53</v>
      </c>
      <c r="O152" t="n">
        <v>44400</v>
      </c>
      <c r="P152" t="n">
        <v>44550</v>
      </c>
      <c r="Q152" t="n">
        <v>44</v>
      </c>
      <c r="AB152" t="n">
        <v>22200</v>
      </c>
      <c r="AC152" t="n">
        <v>22275</v>
      </c>
      <c r="AD152" t="n">
        <v>24</v>
      </c>
      <c r="AO152" t="n">
        <v>333</v>
      </c>
      <c r="AP152" t="n">
        <v>334.125</v>
      </c>
      <c r="AQ152" t="n">
        <v>39</v>
      </c>
    </row>
    <row r="153">
      <c r="B153" t="n">
        <v>773.5</v>
      </c>
      <c r="C153" t="n">
        <v>774.25</v>
      </c>
      <c r="D153" t="n">
        <v>23</v>
      </c>
      <c r="O153" t="n">
        <v>44700</v>
      </c>
      <c r="P153" t="n">
        <v>44850</v>
      </c>
      <c r="Q153" t="n">
        <v>41</v>
      </c>
      <c r="AB153" t="n">
        <v>22350</v>
      </c>
      <c r="AC153" t="n">
        <v>22425</v>
      </c>
      <c r="AD153" t="n">
        <v>20</v>
      </c>
      <c r="AO153" t="n">
        <v>335.25</v>
      </c>
      <c r="AP153" t="n">
        <v>336.375</v>
      </c>
      <c r="AQ153" t="n">
        <v>30</v>
      </c>
    </row>
    <row r="154">
      <c r="B154" t="n">
        <v>775</v>
      </c>
      <c r="C154" t="n">
        <v>775.75</v>
      </c>
      <c r="D154" t="n">
        <v>43</v>
      </c>
      <c r="O154" t="n">
        <v>45000</v>
      </c>
      <c r="P154" t="n">
        <v>45150</v>
      </c>
      <c r="Q154" t="n">
        <v>43</v>
      </c>
      <c r="AB154" t="n">
        <v>22500</v>
      </c>
      <c r="AC154" t="n">
        <v>22575</v>
      </c>
      <c r="AD154" t="n">
        <v>26</v>
      </c>
      <c r="AO154" t="n">
        <v>337.5</v>
      </c>
      <c r="AP154" t="n">
        <v>338.625</v>
      </c>
      <c r="AQ154" t="n">
        <v>38</v>
      </c>
    </row>
    <row r="155">
      <c r="B155" t="n">
        <v>776.5</v>
      </c>
      <c r="C155" t="n">
        <v>777.25</v>
      </c>
      <c r="D155" t="n">
        <v>27</v>
      </c>
      <c r="O155" t="n">
        <v>45300</v>
      </c>
      <c r="P155" t="n">
        <v>45450</v>
      </c>
      <c r="Q155" t="n">
        <v>52</v>
      </c>
      <c r="AB155" t="n">
        <v>22650</v>
      </c>
      <c r="AC155" t="n">
        <v>22725</v>
      </c>
      <c r="AD155" t="n">
        <v>19</v>
      </c>
      <c r="AO155" t="n">
        <v>339.75</v>
      </c>
      <c r="AP155" t="n">
        <v>340.875</v>
      </c>
      <c r="AQ155" t="n">
        <v>31</v>
      </c>
    </row>
    <row r="156">
      <c r="B156" t="n">
        <v>778</v>
      </c>
      <c r="C156" t="n">
        <v>778.75</v>
      </c>
      <c r="D156" t="n">
        <v>49</v>
      </c>
      <c r="O156" t="n">
        <v>45600</v>
      </c>
      <c r="P156" t="n">
        <v>45750</v>
      </c>
      <c r="Q156" t="n">
        <v>37</v>
      </c>
      <c r="AB156" t="n">
        <v>22800</v>
      </c>
      <c r="AC156" t="n">
        <v>22875</v>
      </c>
      <c r="AD156" t="n">
        <v>15</v>
      </c>
      <c r="AO156" t="n">
        <v>342</v>
      </c>
      <c r="AP156" t="n">
        <v>343.125</v>
      </c>
      <c r="AQ156" t="n">
        <v>56</v>
      </c>
    </row>
    <row r="157">
      <c r="B157" t="n">
        <v>779.5</v>
      </c>
      <c r="C157" t="n">
        <v>780.25</v>
      </c>
      <c r="D157" t="n">
        <v>15</v>
      </c>
      <c r="O157" t="n">
        <v>45900</v>
      </c>
      <c r="P157" t="n">
        <v>46050</v>
      </c>
      <c r="Q157" t="n">
        <v>53</v>
      </c>
      <c r="AB157" t="n">
        <v>22950</v>
      </c>
      <c r="AC157" t="n">
        <v>23025</v>
      </c>
      <c r="AD157" t="n">
        <v>16</v>
      </c>
      <c r="AO157" t="n">
        <v>344.25</v>
      </c>
      <c r="AP157" t="n">
        <v>345.375</v>
      </c>
      <c r="AQ157" t="n">
        <v>34</v>
      </c>
    </row>
    <row r="158">
      <c r="B158" t="n">
        <v>781</v>
      </c>
      <c r="C158" t="n">
        <v>781.75</v>
      </c>
      <c r="D158" t="n">
        <v>42</v>
      </c>
      <c r="O158" t="n">
        <v>46200</v>
      </c>
      <c r="P158" t="n">
        <v>46350</v>
      </c>
      <c r="Q158" t="n">
        <v>36</v>
      </c>
      <c r="AB158" t="n">
        <v>23100</v>
      </c>
      <c r="AC158" t="n">
        <v>23175</v>
      </c>
      <c r="AD158" t="n">
        <v>12</v>
      </c>
      <c r="AO158" t="n">
        <v>346.5</v>
      </c>
      <c r="AP158" t="n">
        <v>347.625</v>
      </c>
      <c r="AQ158" t="n">
        <v>36</v>
      </c>
    </row>
    <row r="159">
      <c r="B159" t="n">
        <v>782.5</v>
      </c>
      <c r="C159" t="n">
        <v>783.25</v>
      </c>
      <c r="D159" t="n">
        <v>20</v>
      </c>
      <c r="O159" t="n">
        <v>46500</v>
      </c>
      <c r="P159" t="n">
        <v>46650</v>
      </c>
      <c r="Q159" t="n">
        <v>49</v>
      </c>
      <c r="AB159" t="n">
        <v>23250</v>
      </c>
      <c r="AC159" t="n">
        <v>23325</v>
      </c>
      <c r="AD159" t="n">
        <v>14</v>
      </c>
      <c r="AO159" t="n">
        <v>348.75</v>
      </c>
      <c r="AP159" t="n">
        <v>349.875</v>
      </c>
      <c r="AQ159" t="n">
        <v>32</v>
      </c>
    </row>
    <row r="160">
      <c r="B160" t="n">
        <v>784</v>
      </c>
      <c r="C160" t="n">
        <v>784.75</v>
      </c>
      <c r="D160" t="n">
        <v>31</v>
      </c>
      <c r="O160" t="n">
        <v>46800</v>
      </c>
      <c r="P160" t="n">
        <v>46950</v>
      </c>
      <c r="Q160" t="n">
        <v>47</v>
      </c>
      <c r="AB160" t="n">
        <v>23400</v>
      </c>
      <c r="AC160" t="n">
        <v>23475</v>
      </c>
      <c r="AD160" t="n">
        <v>22</v>
      </c>
      <c r="AO160" t="n">
        <v>351</v>
      </c>
      <c r="AP160" t="n">
        <v>352.125</v>
      </c>
      <c r="AQ160" t="n">
        <v>48</v>
      </c>
    </row>
    <row r="161">
      <c r="B161" t="n">
        <v>785.5</v>
      </c>
      <c r="C161" t="n">
        <v>786.25</v>
      </c>
      <c r="D161" t="n">
        <v>17</v>
      </c>
      <c r="O161" t="n">
        <v>47100</v>
      </c>
      <c r="P161" t="n">
        <v>47250</v>
      </c>
      <c r="Q161" t="n">
        <v>46</v>
      </c>
      <c r="AB161" t="n">
        <v>23550</v>
      </c>
      <c r="AC161" t="n">
        <v>23625</v>
      </c>
      <c r="AD161" t="n">
        <v>12</v>
      </c>
      <c r="AO161" t="n">
        <v>353.25</v>
      </c>
      <c r="AP161" t="n">
        <v>354.375</v>
      </c>
      <c r="AQ161" t="n">
        <v>30</v>
      </c>
    </row>
    <row r="162">
      <c r="B162" t="n">
        <v>787</v>
      </c>
      <c r="C162" t="n">
        <v>787.75</v>
      </c>
      <c r="D162" t="n">
        <v>34</v>
      </c>
      <c r="O162" t="n">
        <v>47400</v>
      </c>
      <c r="P162" t="n">
        <v>47550</v>
      </c>
      <c r="Q162" t="n">
        <v>39</v>
      </c>
      <c r="AB162" t="n">
        <v>23700</v>
      </c>
      <c r="AC162" t="n">
        <v>23775</v>
      </c>
      <c r="AD162" t="n">
        <v>17</v>
      </c>
      <c r="AO162" t="n">
        <v>355.5</v>
      </c>
      <c r="AP162" t="n">
        <v>356.625</v>
      </c>
      <c r="AQ162" t="n">
        <v>45</v>
      </c>
    </row>
    <row r="163">
      <c r="B163" t="n">
        <v>788.5</v>
      </c>
      <c r="C163" t="n">
        <v>789.25</v>
      </c>
      <c r="D163" t="n">
        <v>18</v>
      </c>
      <c r="O163" t="n">
        <v>47700</v>
      </c>
      <c r="P163" t="n">
        <v>47850</v>
      </c>
      <c r="Q163" t="n">
        <v>36</v>
      </c>
      <c r="AB163" t="n">
        <v>23850</v>
      </c>
      <c r="AC163" t="n">
        <v>23925</v>
      </c>
      <c r="AD163" t="n">
        <v>10</v>
      </c>
      <c r="AO163" t="n">
        <v>357.75</v>
      </c>
      <c r="AP163" t="n">
        <v>358.875</v>
      </c>
      <c r="AQ163" t="n">
        <v>35</v>
      </c>
    </row>
    <row r="164">
      <c r="B164" t="n">
        <v>790</v>
      </c>
      <c r="C164" t="n">
        <v>790.75</v>
      </c>
      <c r="D164" t="n">
        <v>28</v>
      </c>
      <c r="O164" t="n">
        <v>48000</v>
      </c>
      <c r="P164" t="n">
        <v>48150</v>
      </c>
      <c r="Q164" t="n">
        <v>33</v>
      </c>
      <c r="AB164" t="n">
        <v>24000</v>
      </c>
      <c r="AC164" t="n">
        <v>24075</v>
      </c>
      <c r="AD164" t="n">
        <v>10</v>
      </c>
      <c r="AO164" t="n">
        <v>360</v>
      </c>
      <c r="AP164" t="n">
        <v>361.125</v>
      </c>
      <c r="AQ164" t="n">
        <v>46</v>
      </c>
    </row>
    <row r="165">
      <c r="B165" t="n">
        <v>791.5</v>
      </c>
      <c r="C165" t="n">
        <v>792.25</v>
      </c>
      <c r="D165" t="n">
        <v>13</v>
      </c>
      <c r="O165" t="n">
        <v>48300</v>
      </c>
      <c r="P165" t="n">
        <v>48450</v>
      </c>
      <c r="Q165" t="n">
        <v>44</v>
      </c>
      <c r="AB165" t="n">
        <v>24150</v>
      </c>
      <c r="AC165" t="n">
        <v>24225</v>
      </c>
      <c r="AD165" t="n">
        <v>11</v>
      </c>
      <c r="AO165" t="n">
        <v>362.25</v>
      </c>
      <c r="AP165" t="n">
        <v>363.375</v>
      </c>
      <c r="AQ165" t="n">
        <v>37</v>
      </c>
    </row>
    <row r="166">
      <c r="B166" t="n">
        <v>793</v>
      </c>
      <c r="C166" t="n">
        <v>793.75</v>
      </c>
      <c r="D166" t="n">
        <v>31</v>
      </c>
      <c r="O166" t="n">
        <v>48600</v>
      </c>
      <c r="P166" t="n">
        <v>48750</v>
      </c>
      <c r="Q166" t="n">
        <v>42</v>
      </c>
      <c r="AB166" t="n">
        <v>24300</v>
      </c>
      <c r="AC166" t="n">
        <v>24375</v>
      </c>
      <c r="AD166" t="n">
        <v>15</v>
      </c>
      <c r="AO166" t="n">
        <v>364.5</v>
      </c>
      <c r="AP166" t="n">
        <v>365.625</v>
      </c>
      <c r="AQ166" t="n">
        <v>37</v>
      </c>
    </row>
    <row r="167">
      <c r="B167" t="n">
        <v>794.5</v>
      </c>
      <c r="C167" t="n">
        <v>795.25</v>
      </c>
      <c r="D167" t="n">
        <v>12</v>
      </c>
      <c r="O167" t="n">
        <v>48900</v>
      </c>
      <c r="P167" t="n">
        <v>49050</v>
      </c>
      <c r="Q167" t="n">
        <v>44</v>
      </c>
      <c r="AB167" t="n">
        <v>24450</v>
      </c>
      <c r="AC167" t="n">
        <v>24525</v>
      </c>
      <c r="AD167" t="n">
        <v>13</v>
      </c>
      <c r="AO167" t="n">
        <v>366.75</v>
      </c>
      <c r="AP167" t="n">
        <v>367.875</v>
      </c>
      <c r="AQ167" t="n">
        <v>34</v>
      </c>
    </row>
    <row r="168">
      <c r="B168" t="n">
        <v>796</v>
      </c>
      <c r="C168" t="n">
        <v>796.75</v>
      </c>
      <c r="D168" t="n">
        <v>25</v>
      </c>
      <c r="O168" t="n">
        <v>49200</v>
      </c>
      <c r="P168" t="n">
        <v>49350</v>
      </c>
      <c r="Q168" t="n">
        <v>44</v>
      </c>
      <c r="AB168" t="n">
        <v>24600</v>
      </c>
      <c r="AC168" t="n">
        <v>24675</v>
      </c>
      <c r="AD168" t="n">
        <v>15</v>
      </c>
      <c r="AO168" t="n">
        <v>369</v>
      </c>
      <c r="AP168" t="n">
        <v>370.125</v>
      </c>
      <c r="AQ168" t="n">
        <v>51</v>
      </c>
    </row>
    <row r="169">
      <c r="B169" t="n">
        <v>797.5</v>
      </c>
      <c r="C169" t="n">
        <v>798.25</v>
      </c>
      <c r="D169" t="n">
        <v>11</v>
      </c>
      <c r="O169" t="n">
        <v>49500</v>
      </c>
      <c r="P169" t="n">
        <v>49650</v>
      </c>
      <c r="Q169" t="n">
        <v>42</v>
      </c>
      <c r="AB169" t="n">
        <v>24750</v>
      </c>
      <c r="AC169" t="n">
        <v>24825</v>
      </c>
      <c r="AD169" t="n">
        <v>11</v>
      </c>
      <c r="AO169" t="n">
        <v>371.25</v>
      </c>
      <c r="AP169" t="n">
        <v>372.375</v>
      </c>
      <c r="AQ169" t="n">
        <v>34</v>
      </c>
    </row>
    <row r="170">
      <c r="B170" t="n">
        <v>799</v>
      </c>
      <c r="C170" t="n">
        <v>799.75</v>
      </c>
      <c r="D170" t="n">
        <v>19</v>
      </c>
      <c r="O170" t="n">
        <v>49800</v>
      </c>
      <c r="P170" t="n">
        <v>49950</v>
      </c>
      <c r="Q170" t="n">
        <v>34</v>
      </c>
      <c r="AB170" t="n">
        <v>24900</v>
      </c>
      <c r="AC170" t="n">
        <v>24975</v>
      </c>
      <c r="AD170" t="n">
        <v>19</v>
      </c>
      <c r="AO170" t="n">
        <v>373.5</v>
      </c>
      <c r="AP170" t="n">
        <v>374.625</v>
      </c>
      <c r="AQ170" t="n">
        <v>36</v>
      </c>
    </row>
    <row r="171">
      <c r="B171" t="n">
        <v>800.5</v>
      </c>
      <c r="C171" t="n">
        <v>801.25</v>
      </c>
      <c r="D171" t="n">
        <v>13</v>
      </c>
      <c r="O171" t="n">
        <v>50100</v>
      </c>
      <c r="P171" t="n">
        <v>50250</v>
      </c>
      <c r="Q171" t="n">
        <v>40</v>
      </c>
      <c r="AB171" t="n">
        <v>25050</v>
      </c>
      <c r="AC171" t="n">
        <v>25125</v>
      </c>
      <c r="AD171" t="n">
        <v>6</v>
      </c>
      <c r="AO171" t="n">
        <v>375.75</v>
      </c>
      <c r="AP171" t="n">
        <v>376.875</v>
      </c>
      <c r="AQ171" t="n">
        <v>23</v>
      </c>
    </row>
    <row r="172">
      <c r="B172" t="n">
        <v>802</v>
      </c>
      <c r="C172" t="n">
        <v>802.75</v>
      </c>
      <c r="D172" t="n">
        <v>22</v>
      </c>
      <c r="O172" t="n">
        <v>50400</v>
      </c>
      <c r="P172" t="n">
        <v>50550</v>
      </c>
      <c r="Q172" t="n">
        <v>42</v>
      </c>
      <c r="AB172" t="n">
        <v>25200</v>
      </c>
      <c r="AC172" t="n">
        <v>25275</v>
      </c>
      <c r="AD172" t="n">
        <v>11</v>
      </c>
      <c r="AO172" t="n">
        <v>378</v>
      </c>
      <c r="AP172" t="n">
        <v>379.125</v>
      </c>
      <c r="AQ172" t="n">
        <v>48</v>
      </c>
    </row>
    <row r="173">
      <c r="B173" t="n">
        <v>803.5</v>
      </c>
      <c r="C173" t="n">
        <v>804.25</v>
      </c>
      <c r="D173" t="n">
        <v>13</v>
      </c>
      <c r="O173" t="n">
        <v>50700</v>
      </c>
      <c r="P173" t="n">
        <v>50850</v>
      </c>
      <c r="Q173" t="n">
        <v>47</v>
      </c>
      <c r="AB173" t="n">
        <v>25350</v>
      </c>
      <c r="AC173" t="n">
        <v>25425</v>
      </c>
      <c r="AD173" t="n">
        <v>6</v>
      </c>
      <c r="AO173" t="n">
        <v>380.25</v>
      </c>
      <c r="AP173" t="n">
        <v>381.375</v>
      </c>
      <c r="AQ173" t="n">
        <v>41</v>
      </c>
    </row>
    <row r="174">
      <c r="B174" t="n">
        <v>805</v>
      </c>
      <c r="C174" t="n">
        <v>805.75</v>
      </c>
      <c r="D174" t="n">
        <v>11</v>
      </c>
      <c r="O174" t="n">
        <v>51000</v>
      </c>
      <c r="P174" t="n">
        <v>51150</v>
      </c>
      <c r="Q174" t="n">
        <v>42</v>
      </c>
      <c r="AB174" t="n">
        <v>25500</v>
      </c>
      <c r="AC174" t="n">
        <v>25575</v>
      </c>
      <c r="AD174" t="n">
        <v>10</v>
      </c>
      <c r="AO174" t="n">
        <v>382.5</v>
      </c>
      <c r="AP174" t="n">
        <v>383.625</v>
      </c>
      <c r="AQ174" t="n">
        <v>39</v>
      </c>
    </row>
    <row r="175">
      <c r="B175" t="n">
        <v>806.5</v>
      </c>
      <c r="C175" t="n">
        <v>807.25</v>
      </c>
      <c r="D175" t="n">
        <v>7</v>
      </c>
      <c r="O175" t="n">
        <v>51300</v>
      </c>
      <c r="P175" t="n">
        <v>51450</v>
      </c>
      <c r="Q175" t="n">
        <v>46</v>
      </c>
      <c r="AB175" t="n">
        <v>25650</v>
      </c>
      <c r="AC175" t="n">
        <v>25725</v>
      </c>
      <c r="AD175" t="n">
        <v>9</v>
      </c>
      <c r="AO175" t="n">
        <v>384.75</v>
      </c>
      <c r="AP175" t="n">
        <v>385.875</v>
      </c>
      <c r="AQ175" t="n">
        <v>38</v>
      </c>
    </row>
    <row r="176">
      <c r="B176" t="n">
        <v>808</v>
      </c>
      <c r="C176" t="n">
        <v>808.75</v>
      </c>
      <c r="D176" t="n">
        <v>16</v>
      </c>
      <c r="O176" t="n">
        <v>51600</v>
      </c>
      <c r="P176" t="n">
        <v>51750</v>
      </c>
      <c r="Q176" t="n">
        <v>36</v>
      </c>
      <c r="AB176" t="n">
        <v>25800</v>
      </c>
      <c r="AC176" t="n">
        <v>25875</v>
      </c>
      <c r="AD176" t="n">
        <v>10</v>
      </c>
      <c r="AO176" t="n">
        <v>387</v>
      </c>
      <c r="AP176" t="n">
        <v>388.125</v>
      </c>
      <c r="AQ176" t="n">
        <v>53</v>
      </c>
    </row>
    <row r="177">
      <c r="B177" t="n">
        <v>809.5</v>
      </c>
      <c r="C177" t="n">
        <v>810.25</v>
      </c>
      <c r="D177" t="n">
        <v>17</v>
      </c>
      <c r="O177" t="n">
        <v>51900</v>
      </c>
      <c r="P177" t="n">
        <v>52050</v>
      </c>
      <c r="Q177" t="n">
        <v>31</v>
      </c>
      <c r="AB177" t="n">
        <v>25950</v>
      </c>
      <c r="AC177" t="n">
        <v>26025</v>
      </c>
      <c r="AD177" t="n">
        <v>16</v>
      </c>
      <c r="AO177" t="n">
        <v>389.25</v>
      </c>
      <c r="AP177" t="n">
        <v>390.375</v>
      </c>
      <c r="AQ177" t="n">
        <v>23</v>
      </c>
    </row>
    <row r="178">
      <c r="B178" t="n">
        <v>811</v>
      </c>
      <c r="C178" t="n">
        <v>811.75</v>
      </c>
      <c r="D178" t="n">
        <v>10</v>
      </c>
      <c r="O178" t="n">
        <v>52200</v>
      </c>
      <c r="P178" t="n">
        <v>52350</v>
      </c>
      <c r="Q178" t="n">
        <v>51</v>
      </c>
      <c r="AB178" t="n">
        <v>26100</v>
      </c>
      <c r="AC178" t="n">
        <v>26175</v>
      </c>
      <c r="AD178" t="n">
        <v>5</v>
      </c>
      <c r="AO178" t="n">
        <v>391.5</v>
      </c>
      <c r="AP178" t="n">
        <v>392.625</v>
      </c>
      <c r="AQ178" t="n">
        <v>28</v>
      </c>
    </row>
    <row r="179">
      <c r="B179" t="n">
        <v>812.5</v>
      </c>
      <c r="C179" t="n">
        <v>813.25</v>
      </c>
      <c r="D179" t="n">
        <v>6</v>
      </c>
      <c r="O179" t="n">
        <v>52500</v>
      </c>
      <c r="P179" t="n">
        <v>52650</v>
      </c>
      <c r="Q179" t="n">
        <v>48</v>
      </c>
      <c r="AB179" t="n">
        <v>26250</v>
      </c>
      <c r="AC179" t="n">
        <v>26325</v>
      </c>
      <c r="AD179" t="n">
        <v>5</v>
      </c>
      <c r="AO179" t="n">
        <v>393.75</v>
      </c>
      <c r="AP179" t="n">
        <v>394.875</v>
      </c>
      <c r="AQ179" t="n">
        <v>31</v>
      </c>
    </row>
    <row r="180">
      <c r="B180" t="n">
        <v>814</v>
      </c>
      <c r="C180" t="n">
        <v>814.75</v>
      </c>
      <c r="D180" t="n">
        <v>13</v>
      </c>
      <c r="O180" t="n">
        <v>52800</v>
      </c>
      <c r="P180" t="n">
        <v>52950</v>
      </c>
      <c r="Q180" t="n">
        <v>56</v>
      </c>
      <c r="AB180" t="n">
        <v>26400</v>
      </c>
      <c r="AC180" t="n">
        <v>26475</v>
      </c>
      <c r="AD180" t="n">
        <v>9</v>
      </c>
      <c r="AO180" t="n">
        <v>396</v>
      </c>
      <c r="AP180" t="n">
        <v>397.125</v>
      </c>
      <c r="AQ180" t="n">
        <v>51</v>
      </c>
    </row>
    <row r="181">
      <c r="B181" t="n">
        <v>815.5</v>
      </c>
      <c r="C181" t="n">
        <v>816.25</v>
      </c>
      <c r="D181" t="n">
        <v>6</v>
      </c>
      <c r="O181" t="n">
        <v>53100</v>
      </c>
      <c r="P181" t="n">
        <v>53250</v>
      </c>
      <c r="Q181" t="n">
        <v>60</v>
      </c>
      <c r="AB181" t="n">
        <v>26550</v>
      </c>
      <c r="AC181" t="n">
        <v>26625</v>
      </c>
      <c r="AD181" t="n">
        <v>8</v>
      </c>
      <c r="AO181" t="n">
        <v>398.25</v>
      </c>
      <c r="AP181" t="n">
        <v>399.375</v>
      </c>
      <c r="AQ181" t="n">
        <v>48</v>
      </c>
    </row>
    <row r="182">
      <c r="B182" t="n">
        <v>817</v>
      </c>
      <c r="C182" t="n">
        <v>817.75</v>
      </c>
      <c r="D182" t="n">
        <v>12</v>
      </c>
      <c r="O182" t="n">
        <v>53400</v>
      </c>
      <c r="P182" t="n">
        <v>53550</v>
      </c>
      <c r="Q182" t="n">
        <v>48</v>
      </c>
      <c r="AB182" t="n">
        <v>26700</v>
      </c>
      <c r="AC182" t="n">
        <v>26775</v>
      </c>
      <c r="AD182" t="n">
        <v>17</v>
      </c>
      <c r="AO182" t="n">
        <v>400.5</v>
      </c>
      <c r="AP182" t="n">
        <v>401.625</v>
      </c>
      <c r="AQ182" t="n">
        <v>28</v>
      </c>
    </row>
    <row r="183">
      <c r="B183" t="n">
        <v>818.5</v>
      </c>
      <c r="C183" t="n">
        <v>819.25</v>
      </c>
      <c r="D183" t="n">
        <v>7</v>
      </c>
      <c r="O183" t="n">
        <v>53700</v>
      </c>
      <c r="P183" t="n">
        <v>53850</v>
      </c>
      <c r="Q183" t="n">
        <v>42</v>
      </c>
      <c r="AB183" t="n">
        <v>26850</v>
      </c>
      <c r="AC183" t="n">
        <v>26925</v>
      </c>
      <c r="AD183" t="n">
        <v>5</v>
      </c>
      <c r="AO183" t="n">
        <v>402.75</v>
      </c>
      <c r="AP183" t="n">
        <v>403.875</v>
      </c>
      <c r="AQ183" t="n">
        <v>35</v>
      </c>
    </row>
    <row r="184">
      <c r="B184" t="n">
        <v>820</v>
      </c>
      <c r="C184" t="n">
        <v>820.75</v>
      </c>
      <c r="D184" t="n">
        <v>7</v>
      </c>
      <c r="O184" t="n">
        <v>54000</v>
      </c>
      <c r="P184" t="n">
        <v>54150</v>
      </c>
      <c r="Q184" t="n">
        <v>51</v>
      </c>
      <c r="AB184" t="n">
        <v>27000</v>
      </c>
      <c r="AC184" t="n">
        <v>27075</v>
      </c>
      <c r="AD184" t="n">
        <v>4</v>
      </c>
      <c r="AO184" t="n">
        <v>405</v>
      </c>
      <c r="AP184" t="n">
        <v>406.125</v>
      </c>
      <c r="AQ184" t="n">
        <v>41</v>
      </c>
    </row>
    <row r="185">
      <c r="B185" t="n">
        <v>821.5</v>
      </c>
      <c r="C185" t="n">
        <v>822.25</v>
      </c>
      <c r="D185" t="n">
        <v>5</v>
      </c>
      <c r="O185" t="n">
        <v>54300</v>
      </c>
      <c r="P185" t="n">
        <v>54450</v>
      </c>
      <c r="Q185" t="n">
        <v>47</v>
      </c>
      <c r="AB185" t="n">
        <v>27150</v>
      </c>
      <c r="AC185" t="n">
        <v>27225</v>
      </c>
      <c r="AD185" t="n">
        <v>7</v>
      </c>
      <c r="AO185" t="n">
        <v>407.25</v>
      </c>
      <c r="AP185" t="n">
        <v>408.375</v>
      </c>
      <c r="AQ185" t="n">
        <v>36</v>
      </c>
    </row>
    <row r="186">
      <c r="B186" t="n">
        <v>823</v>
      </c>
      <c r="C186" t="n">
        <v>823.75</v>
      </c>
      <c r="D186" t="n">
        <v>7</v>
      </c>
      <c r="O186" t="n">
        <v>54600</v>
      </c>
      <c r="P186" t="n">
        <v>54750</v>
      </c>
      <c r="Q186" t="n">
        <v>44</v>
      </c>
      <c r="AB186" t="n">
        <v>27300</v>
      </c>
      <c r="AC186" t="n">
        <v>27375</v>
      </c>
      <c r="AD186" t="n">
        <v>4</v>
      </c>
      <c r="AO186" t="n">
        <v>409.5</v>
      </c>
      <c r="AP186" t="n">
        <v>410.625</v>
      </c>
      <c r="AQ186" t="n">
        <v>36</v>
      </c>
    </row>
    <row r="187">
      <c r="B187" t="n">
        <v>824.5</v>
      </c>
      <c r="C187" t="n">
        <v>825.25</v>
      </c>
      <c r="D187" t="n">
        <v>3</v>
      </c>
      <c r="O187" t="n">
        <v>54900</v>
      </c>
      <c r="P187" t="n">
        <v>55050</v>
      </c>
      <c r="Q187" t="n">
        <v>43</v>
      </c>
      <c r="AB187" t="n">
        <v>27450</v>
      </c>
      <c r="AC187" t="n">
        <v>27525</v>
      </c>
      <c r="AD187" t="n">
        <v>3</v>
      </c>
      <c r="AO187" t="n">
        <v>411.75</v>
      </c>
      <c r="AP187" t="n">
        <v>412.875</v>
      </c>
      <c r="AQ187" t="n">
        <v>38</v>
      </c>
    </row>
    <row r="188">
      <c r="B188" t="n">
        <v>826</v>
      </c>
      <c r="C188" t="n">
        <v>826.75</v>
      </c>
      <c r="D188" t="n">
        <v>13</v>
      </c>
      <c r="O188" t="n">
        <v>55200</v>
      </c>
      <c r="P188" t="n">
        <v>55350</v>
      </c>
      <c r="Q188" t="n">
        <v>48</v>
      </c>
      <c r="AB188" t="n">
        <v>27600</v>
      </c>
      <c r="AC188" t="n">
        <v>27675</v>
      </c>
      <c r="AD188" t="n">
        <v>7</v>
      </c>
      <c r="AO188" t="n">
        <v>414</v>
      </c>
      <c r="AP188" t="n">
        <v>415.125</v>
      </c>
      <c r="AQ188" t="n">
        <v>52</v>
      </c>
    </row>
    <row r="189">
      <c r="B189" t="n">
        <v>827.5</v>
      </c>
      <c r="C189" t="n">
        <v>828.25</v>
      </c>
      <c r="D189" t="n">
        <v>1</v>
      </c>
      <c r="O189" t="n">
        <v>55500</v>
      </c>
      <c r="P189" t="n">
        <v>55650</v>
      </c>
      <c r="Q189" t="n">
        <v>36</v>
      </c>
      <c r="AB189" t="n">
        <v>27750</v>
      </c>
      <c r="AC189" t="n">
        <v>27825</v>
      </c>
      <c r="AD189" t="n">
        <v>3</v>
      </c>
      <c r="AO189" t="n">
        <v>416.25</v>
      </c>
      <c r="AP189" t="n">
        <v>417.375</v>
      </c>
      <c r="AQ189" t="n">
        <v>39</v>
      </c>
    </row>
    <row r="190">
      <c r="B190" t="n">
        <v>829</v>
      </c>
      <c r="C190" t="n">
        <v>829.75</v>
      </c>
      <c r="D190" t="n">
        <v>6</v>
      </c>
      <c r="O190" t="n">
        <v>55800</v>
      </c>
      <c r="P190" t="n">
        <v>55950</v>
      </c>
      <c r="Q190" t="n">
        <v>38</v>
      </c>
      <c r="AB190" t="n">
        <v>27900</v>
      </c>
      <c r="AC190" t="n">
        <v>27975</v>
      </c>
      <c r="AD190" t="n">
        <v>4</v>
      </c>
      <c r="AO190" t="n">
        <v>418.5</v>
      </c>
      <c r="AP190" t="n">
        <v>419.625</v>
      </c>
      <c r="AQ190" t="n">
        <v>28</v>
      </c>
    </row>
    <row r="191">
      <c r="B191" t="n">
        <v>830.5</v>
      </c>
      <c r="C191" t="n">
        <v>831.25</v>
      </c>
      <c r="D191" t="n">
        <v>2</v>
      </c>
      <c r="O191" t="n">
        <v>56100</v>
      </c>
      <c r="P191" t="n">
        <v>56250</v>
      </c>
      <c r="Q191" t="n">
        <v>39</v>
      </c>
      <c r="AB191" t="n">
        <v>28050</v>
      </c>
      <c r="AC191" t="n">
        <v>28125</v>
      </c>
      <c r="AD191" t="n">
        <v>5</v>
      </c>
      <c r="AO191" t="n">
        <v>420.75</v>
      </c>
      <c r="AP191" t="n">
        <v>421.875</v>
      </c>
      <c r="AQ191" t="n">
        <v>40</v>
      </c>
    </row>
    <row r="192">
      <c r="B192" t="n">
        <v>832</v>
      </c>
      <c r="C192" t="n">
        <v>832.75</v>
      </c>
      <c r="D192" t="n">
        <v>6</v>
      </c>
      <c r="O192" t="n">
        <v>56400</v>
      </c>
      <c r="P192" t="n">
        <v>56550</v>
      </c>
      <c r="Q192" t="n">
        <v>42</v>
      </c>
      <c r="AB192" t="n">
        <v>28200</v>
      </c>
      <c r="AC192" t="n">
        <v>28275</v>
      </c>
      <c r="AD192" t="n">
        <v>5</v>
      </c>
      <c r="AO192" t="n">
        <v>423</v>
      </c>
      <c r="AP192" t="n">
        <v>424.125</v>
      </c>
      <c r="AQ192" t="n">
        <v>48</v>
      </c>
    </row>
    <row r="193">
      <c r="B193" t="n">
        <v>833.5</v>
      </c>
      <c r="C193" t="n">
        <v>834.25</v>
      </c>
      <c r="D193" t="n">
        <v>1</v>
      </c>
      <c r="O193" t="n">
        <v>56700</v>
      </c>
      <c r="P193" t="n">
        <v>56850</v>
      </c>
      <c r="Q193" t="n">
        <v>41</v>
      </c>
      <c r="AB193" t="n">
        <v>28350</v>
      </c>
      <c r="AC193" t="n">
        <v>28425</v>
      </c>
      <c r="AD193" t="n">
        <v>4</v>
      </c>
      <c r="AO193" t="n">
        <v>425.25</v>
      </c>
      <c r="AP193" t="n">
        <v>426.375</v>
      </c>
      <c r="AQ193" t="n">
        <v>43</v>
      </c>
    </row>
    <row r="194">
      <c r="B194" t="n">
        <v>835</v>
      </c>
      <c r="C194" t="n">
        <v>835.75</v>
      </c>
      <c r="D194" t="n">
        <v>6</v>
      </c>
      <c r="O194" t="n">
        <v>57000</v>
      </c>
      <c r="P194" t="n">
        <v>57150</v>
      </c>
      <c r="Q194" t="n">
        <v>54</v>
      </c>
      <c r="AB194" t="n">
        <v>28500</v>
      </c>
      <c r="AC194" t="n">
        <v>28575</v>
      </c>
      <c r="AD194" t="n">
        <v>6</v>
      </c>
      <c r="AO194" t="n">
        <v>427.5</v>
      </c>
      <c r="AP194" t="n">
        <v>428.625</v>
      </c>
      <c r="AQ194" t="n">
        <v>41</v>
      </c>
    </row>
    <row r="195">
      <c r="B195" t="n">
        <v>836.5</v>
      </c>
      <c r="C195" t="n">
        <v>837.25</v>
      </c>
      <c r="D195" t="n">
        <v>5</v>
      </c>
      <c r="O195" t="n">
        <v>57300</v>
      </c>
      <c r="P195" t="n">
        <v>57450</v>
      </c>
      <c r="Q195" t="n">
        <v>50</v>
      </c>
      <c r="AB195" t="n">
        <v>28650</v>
      </c>
      <c r="AC195" t="n">
        <v>28725</v>
      </c>
      <c r="AD195" t="n">
        <v>5</v>
      </c>
      <c r="AO195" t="n">
        <v>429.75</v>
      </c>
      <c r="AP195" t="n">
        <v>430.875</v>
      </c>
      <c r="AQ195" t="n">
        <v>32</v>
      </c>
    </row>
    <row r="196">
      <c r="B196" t="n">
        <v>838</v>
      </c>
      <c r="C196" t="n">
        <v>838.75</v>
      </c>
      <c r="D196" t="n">
        <v>7</v>
      </c>
      <c r="O196" t="n">
        <v>57600</v>
      </c>
      <c r="P196" t="n">
        <v>57750</v>
      </c>
      <c r="Q196" t="n">
        <v>27</v>
      </c>
      <c r="AB196" t="n">
        <v>28800</v>
      </c>
      <c r="AC196" t="n">
        <v>28875</v>
      </c>
      <c r="AD196" t="n">
        <v>4</v>
      </c>
      <c r="AO196" t="n">
        <v>432</v>
      </c>
      <c r="AP196" t="n">
        <v>433.125</v>
      </c>
      <c r="AQ196" t="n">
        <v>69</v>
      </c>
    </row>
    <row r="197">
      <c r="B197" t="n">
        <v>839.5</v>
      </c>
      <c r="C197" t="n">
        <v>840.25</v>
      </c>
      <c r="D197" t="n">
        <v>7</v>
      </c>
      <c r="O197" t="n">
        <v>57900</v>
      </c>
      <c r="P197" t="n">
        <v>58050</v>
      </c>
      <c r="Q197" t="n">
        <v>50</v>
      </c>
      <c r="AB197" t="n">
        <v>28950</v>
      </c>
      <c r="AC197" t="n">
        <v>29025</v>
      </c>
      <c r="AD197" t="n">
        <v>1</v>
      </c>
      <c r="AO197" t="n">
        <v>434.25</v>
      </c>
      <c r="AP197" t="n">
        <v>435.375</v>
      </c>
      <c r="AQ197" t="n">
        <v>22</v>
      </c>
    </row>
    <row r="198">
      <c r="B198" t="n">
        <v>841</v>
      </c>
      <c r="C198" t="n">
        <v>841.75</v>
      </c>
      <c r="D198" t="n">
        <v>5</v>
      </c>
      <c r="O198" t="n">
        <v>58200</v>
      </c>
      <c r="P198" t="n">
        <v>58350</v>
      </c>
      <c r="Q198" t="n">
        <v>57</v>
      </c>
      <c r="AB198" t="n">
        <v>29100</v>
      </c>
      <c r="AC198" t="n">
        <v>29175</v>
      </c>
      <c r="AD198" t="n">
        <v>3</v>
      </c>
      <c r="AO198" t="n">
        <v>436.5</v>
      </c>
      <c r="AP198" t="n">
        <v>437.625</v>
      </c>
      <c r="AQ198" t="n">
        <v>0</v>
      </c>
    </row>
    <row r="199">
      <c r="B199" t="n">
        <v>842.5</v>
      </c>
      <c r="C199" t="n">
        <v>843.25</v>
      </c>
      <c r="D199" t="n">
        <v>1</v>
      </c>
      <c r="O199" t="n">
        <v>58500</v>
      </c>
      <c r="P199" t="n">
        <v>58650</v>
      </c>
      <c r="Q199" t="n">
        <v>34</v>
      </c>
      <c r="AB199" t="n">
        <v>29250</v>
      </c>
      <c r="AC199" t="n">
        <v>29325</v>
      </c>
      <c r="AD199" t="n">
        <v>3</v>
      </c>
      <c r="AO199" t="n">
        <v>438.75</v>
      </c>
      <c r="AP199" t="n">
        <v>439.875</v>
      </c>
      <c r="AQ199" t="n">
        <v>0</v>
      </c>
    </row>
    <row r="200">
      <c r="B200" t="n">
        <v>844</v>
      </c>
      <c r="C200" t="n">
        <v>844.75</v>
      </c>
      <c r="D200" t="n">
        <v>5</v>
      </c>
      <c r="O200" t="n">
        <v>58800</v>
      </c>
      <c r="P200" t="n">
        <v>58950</v>
      </c>
      <c r="Q200" t="n">
        <v>54</v>
      </c>
      <c r="AB200" t="n">
        <v>29400</v>
      </c>
      <c r="AC200" t="n">
        <v>29475</v>
      </c>
      <c r="AD200" t="n">
        <v>1</v>
      </c>
      <c r="AO200" t="n">
        <v>441</v>
      </c>
      <c r="AP200" t="n">
        <v>442.125</v>
      </c>
      <c r="AQ200" t="n">
        <v>0</v>
      </c>
    </row>
    <row r="201">
      <c r="B201" t="n">
        <v>845.5</v>
      </c>
      <c r="C201" t="n">
        <v>846.25</v>
      </c>
      <c r="D201" t="n">
        <v>2</v>
      </c>
      <c r="O201" t="n">
        <v>59100</v>
      </c>
      <c r="P201" t="n">
        <v>59250</v>
      </c>
      <c r="Q201" t="n">
        <v>53</v>
      </c>
      <c r="AB201" t="n">
        <v>29550</v>
      </c>
      <c r="AC201" t="n">
        <v>29625</v>
      </c>
      <c r="AD201" t="n">
        <v>4</v>
      </c>
      <c r="AO201" t="n">
        <v>443.25</v>
      </c>
      <c r="AP201" t="n">
        <v>444.375</v>
      </c>
      <c r="AQ201" t="n">
        <v>0</v>
      </c>
    </row>
    <row r="202">
      <c r="B202" t="n">
        <v>847</v>
      </c>
      <c r="C202" t="n">
        <v>847.75</v>
      </c>
      <c r="D202" t="n">
        <v>2</v>
      </c>
      <c r="O202" t="n">
        <v>59400</v>
      </c>
      <c r="P202" t="n">
        <v>59550</v>
      </c>
      <c r="Q202" t="n">
        <v>37</v>
      </c>
      <c r="AB202" t="n">
        <v>29700</v>
      </c>
      <c r="AC202" t="n">
        <v>29775</v>
      </c>
      <c r="AD202" t="n">
        <v>5</v>
      </c>
      <c r="AO202" t="n">
        <v>445.5</v>
      </c>
      <c r="AP202" t="n">
        <v>446.625</v>
      </c>
      <c r="AQ202" t="n">
        <v>0</v>
      </c>
    </row>
    <row r="203">
      <c r="B203" t="n">
        <v>848.5</v>
      </c>
      <c r="C203" t="n">
        <v>849.25</v>
      </c>
      <c r="D203" t="n">
        <v>5</v>
      </c>
      <c r="O203" t="n">
        <v>59700</v>
      </c>
      <c r="P203" t="n">
        <v>59850</v>
      </c>
      <c r="Q203" t="n">
        <v>37</v>
      </c>
      <c r="AB203" t="n">
        <v>29850</v>
      </c>
      <c r="AC203" t="n">
        <v>29925</v>
      </c>
      <c r="AD203" t="n">
        <v>3</v>
      </c>
      <c r="AO203" t="n">
        <v>447.75</v>
      </c>
      <c r="AP203" t="n">
        <v>448.875</v>
      </c>
      <c r="AQ203"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3:D2003"/>
  <sheetViews>
    <sheetView tabSelected="0" workbookViewId="0">
      <selection activeCell="A1" sqref="A1"/>
    </sheetView>
  </sheetViews>
  <sheetFormatPr baseColWidth="8" defaultRowHeight="15"/>
  <sheetData>
    <row r="3">
      <c r="A3" t="inlineStr">
        <is>
          <t>FICO</t>
        </is>
      </c>
      <c r="B3" t="inlineStr">
        <is>
          <t>REV_DEBT</t>
        </is>
      </c>
      <c r="C3" t="inlineStr">
        <is>
          <t>SHORT_HIST</t>
        </is>
      </c>
      <c r="D3" t="inlineStr">
        <is>
          <t>REV_DEBT</t>
        </is>
      </c>
    </row>
    <row r="4">
      <c r="A4" t="n">
        <v>716</v>
      </c>
      <c r="B4" t="n">
        <v>10811.91</v>
      </c>
      <c r="C4" t="n">
        <v>303</v>
      </c>
      <c r="D4" t="n">
        <v>8920.969999999999</v>
      </c>
    </row>
    <row r="5">
      <c r="A5" t="n">
        <v>717</v>
      </c>
      <c r="B5" t="n">
        <v>11645.78</v>
      </c>
      <c r="C5" t="n">
        <v>66</v>
      </c>
      <c r="D5" t="n">
        <v>12480.23</v>
      </c>
    </row>
    <row r="6">
      <c r="A6" t="n">
        <v>770</v>
      </c>
      <c r="B6" t="n">
        <v>668.41</v>
      </c>
      <c r="C6" t="n">
        <v>297</v>
      </c>
      <c r="D6" t="n">
        <v>7261.58</v>
      </c>
    </row>
    <row r="7">
      <c r="A7" t="n">
        <v>595</v>
      </c>
      <c r="B7" t="n">
        <v>0</v>
      </c>
      <c r="C7" t="n">
        <v>33</v>
      </c>
      <c r="D7" t="n">
        <v>668.41</v>
      </c>
    </row>
    <row r="8">
      <c r="A8" t="n">
        <v>695</v>
      </c>
      <c r="B8" t="n">
        <v>6739.48</v>
      </c>
      <c r="C8" t="n">
        <v>6</v>
      </c>
      <c r="D8" t="n">
        <v>7718.59</v>
      </c>
    </row>
    <row r="9">
      <c r="A9" t="n">
        <v>717</v>
      </c>
      <c r="B9" t="n">
        <v>8243.049999999999</v>
      </c>
      <c r="C9" t="n">
        <v>132</v>
      </c>
      <c r="D9" t="n">
        <v>16870.13</v>
      </c>
    </row>
    <row r="10">
      <c r="A10" t="n">
        <v>688</v>
      </c>
      <c r="B10" t="n">
        <v>15413.06</v>
      </c>
      <c r="C10" t="n">
        <v>282</v>
      </c>
      <c r="D10" t="n">
        <v>8243.049999999999</v>
      </c>
    </row>
    <row r="11">
      <c r="A11" t="n">
        <v>676</v>
      </c>
      <c r="B11" t="n">
        <v>6628.2</v>
      </c>
      <c r="C11" t="n">
        <v>428</v>
      </c>
      <c r="D11" t="n">
        <v>17445.33</v>
      </c>
    </row>
    <row r="12">
      <c r="A12" t="n">
        <v>675</v>
      </c>
      <c r="B12" t="n">
        <v>16896.53</v>
      </c>
      <c r="C12" t="n">
        <v>243</v>
      </c>
      <c r="D12" t="n">
        <v>8789.790000000001</v>
      </c>
    </row>
    <row r="13">
      <c r="A13" t="n">
        <v>650</v>
      </c>
      <c r="B13" t="n">
        <v>16145.24</v>
      </c>
      <c r="C13" t="n">
        <v>118</v>
      </c>
      <c r="D13" t="n">
        <v>10747.07</v>
      </c>
    </row>
    <row r="14">
      <c r="A14" t="n">
        <v>707</v>
      </c>
      <c r="B14" t="n">
        <v>9492.4</v>
      </c>
      <c r="C14" t="n">
        <v>325</v>
      </c>
      <c r="D14" t="n">
        <v>16145.24</v>
      </c>
    </row>
    <row r="15">
      <c r="A15" t="n">
        <v>665</v>
      </c>
      <c r="B15" t="n">
        <v>14647.48</v>
      </c>
      <c r="C15" t="n">
        <v>77</v>
      </c>
      <c r="D15" t="n">
        <v>9492.4</v>
      </c>
    </row>
    <row r="16">
      <c r="A16" t="n">
        <v>727</v>
      </c>
      <c r="B16" t="n">
        <v>11777.39</v>
      </c>
      <c r="C16" t="n">
        <v>267</v>
      </c>
      <c r="D16" t="n">
        <v>14647.48</v>
      </c>
    </row>
    <row r="17">
      <c r="A17" t="n">
        <v>845</v>
      </c>
      <c r="B17" t="n">
        <v>3652.97</v>
      </c>
      <c r="C17" t="n">
        <v>379</v>
      </c>
      <c r="D17" t="n">
        <v>0</v>
      </c>
    </row>
    <row r="18">
      <c r="A18" t="n">
        <v>717</v>
      </c>
      <c r="B18" t="n">
        <v>7960.03</v>
      </c>
      <c r="C18" t="n">
        <v>7</v>
      </c>
      <c r="D18" t="n">
        <v>3652.97</v>
      </c>
    </row>
    <row r="19">
      <c r="A19" t="n">
        <v>667</v>
      </c>
      <c r="B19" t="n">
        <v>15449.98</v>
      </c>
      <c r="C19" t="n">
        <v>32</v>
      </c>
      <c r="D19" t="n">
        <v>5240.77</v>
      </c>
    </row>
    <row r="20">
      <c r="A20" t="n">
        <v>638</v>
      </c>
      <c r="B20" t="n">
        <v>14045.24</v>
      </c>
      <c r="C20" t="n">
        <v>21</v>
      </c>
      <c r="D20" t="n">
        <v>14045.24</v>
      </c>
    </row>
    <row r="21">
      <c r="A21" t="n">
        <v>636</v>
      </c>
      <c r="B21" t="n">
        <v>15067.64</v>
      </c>
      <c r="C21" t="n">
        <v>368</v>
      </c>
      <c r="D21" t="n">
        <v>1979.69</v>
      </c>
    </row>
    <row r="22">
      <c r="A22" t="n">
        <v>746</v>
      </c>
      <c r="B22" t="n">
        <v>12931.5</v>
      </c>
      <c r="C22" t="n">
        <v>403</v>
      </c>
      <c r="D22" t="n">
        <v>8187.39</v>
      </c>
    </row>
    <row r="23">
      <c r="A23" t="n">
        <v>770</v>
      </c>
      <c r="B23" t="n">
        <v>5759.68</v>
      </c>
      <c r="C23" t="n">
        <v>218</v>
      </c>
      <c r="D23" t="n">
        <v>12931.5</v>
      </c>
    </row>
    <row r="24">
      <c r="A24" t="n">
        <v>811</v>
      </c>
      <c r="B24" t="n">
        <v>1238.4</v>
      </c>
      <c r="C24" t="n">
        <v>410</v>
      </c>
      <c r="D24" t="n">
        <v>15655.59</v>
      </c>
    </row>
    <row r="25">
      <c r="A25" t="n">
        <v>708</v>
      </c>
      <c r="B25" t="n">
        <v>4378.93</v>
      </c>
      <c r="C25" t="n">
        <v>215</v>
      </c>
      <c r="D25" t="n">
        <v>0</v>
      </c>
    </row>
    <row r="26">
      <c r="A26" t="n">
        <v>672</v>
      </c>
      <c r="B26" t="n">
        <v>9695.58</v>
      </c>
      <c r="C26" t="n">
        <v>143</v>
      </c>
      <c r="D26" t="n">
        <v>9695.58</v>
      </c>
    </row>
    <row r="27">
      <c r="A27" t="n">
        <v>708</v>
      </c>
      <c r="B27" t="n">
        <v>2192.04</v>
      </c>
      <c r="C27" t="n">
        <v>292</v>
      </c>
      <c r="D27" t="n">
        <v>2192.04</v>
      </c>
    </row>
    <row r="28">
      <c r="A28" t="n">
        <v>749</v>
      </c>
      <c r="B28" t="n">
        <v>1928.74</v>
      </c>
      <c r="C28" t="n">
        <v>291</v>
      </c>
      <c r="D28" t="n">
        <v>1928.74</v>
      </c>
    </row>
    <row r="29">
      <c r="A29" t="n">
        <v>728</v>
      </c>
      <c r="B29" t="n">
        <v>10340.66</v>
      </c>
      <c r="C29" t="n">
        <v>365</v>
      </c>
      <c r="D29" t="n">
        <v>10340.66</v>
      </c>
    </row>
    <row r="30">
      <c r="A30" t="n">
        <v>657</v>
      </c>
      <c r="B30" t="n">
        <v>26053.25</v>
      </c>
      <c r="C30" t="n">
        <v>108</v>
      </c>
      <c r="D30" t="n">
        <v>16656.94</v>
      </c>
    </row>
    <row r="31">
      <c r="A31" t="n">
        <v>689</v>
      </c>
      <c r="B31" t="n">
        <v>7362.47</v>
      </c>
      <c r="C31" t="n">
        <v>293</v>
      </c>
      <c r="D31" t="n">
        <v>11532.07</v>
      </c>
    </row>
    <row r="32">
      <c r="A32" t="n">
        <v>740</v>
      </c>
      <c r="B32" t="n">
        <v>20583.1</v>
      </c>
      <c r="C32" t="n">
        <v>136</v>
      </c>
      <c r="D32" t="n">
        <v>7362.47</v>
      </c>
    </row>
    <row r="33">
      <c r="A33" t="n">
        <v>831</v>
      </c>
      <c r="B33" t="n">
        <v>2900.23</v>
      </c>
      <c r="C33" t="n">
        <v>10</v>
      </c>
      <c r="D33" t="n">
        <v>5189.02</v>
      </c>
    </row>
    <row r="34">
      <c r="A34" t="n">
        <v>692</v>
      </c>
      <c r="B34" t="n">
        <v>12496.14</v>
      </c>
      <c r="C34" t="n">
        <v>150</v>
      </c>
      <c r="D34" t="n">
        <v>2900.23</v>
      </c>
    </row>
    <row r="35">
      <c r="A35" t="n">
        <v>685</v>
      </c>
      <c r="B35" t="n">
        <v>10365.93</v>
      </c>
      <c r="C35" t="n">
        <v>22</v>
      </c>
      <c r="D35" t="n">
        <v>10365.93</v>
      </c>
    </row>
    <row r="36">
      <c r="A36" t="n">
        <v>685</v>
      </c>
      <c r="B36" t="n">
        <v>13258.43</v>
      </c>
      <c r="C36" t="n">
        <v>389</v>
      </c>
      <c r="D36" t="n">
        <v>13258.43</v>
      </c>
    </row>
    <row r="37">
      <c r="A37" t="n">
        <v>744</v>
      </c>
      <c r="B37" t="n">
        <v>10241.21</v>
      </c>
      <c r="C37" t="n">
        <v>23</v>
      </c>
      <c r="D37" t="n">
        <v>10241.21</v>
      </c>
    </row>
    <row r="38">
      <c r="A38" t="n">
        <v>781</v>
      </c>
      <c r="B38" t="n">
        <v>6787.82</v>
      </c>
      <c r="C38" t="n">
        <v>142</v>
      </c>
      <c r="D38" t="n">
        <v>6787.82</v>
      </c>
    </row>
    <row r="39">
      <c r="A39" t="n">
        <v>816</v>
      </c>
      <c r="B39" t="n">
        <v>6392.18</v>
      </c>
      <c r="C39" t="n">
        <v>39</v>
      </c>
      <c r="D39" t="n">
        <v>6392.18</v>
      </c>
    </row>
    <row r="40">
      <c r="A40" t="n">
        <v>688</v>
      </c>
      <c r="B40" t="n">
        <v>13190.26</v>
      </c>
      <c r="C40" t="n">
        <v>208</v>
      </c>
      <c r="D40" t="n">
        <v>13190.26</v>
      </c>
    </row>
    <row r="41">
      <c r="A41" t="n">
        <v>763</v>
      </c>
      <c r="B41" t="n">
        <v>14839.59</v>
      </c>
      <c r="C41" t="n">
        <v>353</v>
      </c>
      <c r="D41" t="n">
        <v>21447.4</v>
      </c>
    </row>
    <row r="42">
      <c r="A42" t="n">
        <v>732</v>
      </c>
      <c r="B42" t="n">
        <v>8584.77</v>
      </c>
      <c r="C42" t="n">
        <v>21</v>
      </c>
      <c r="D42" t="n">
        <v>14839.59</v>
      </c>
    </row>
    <row r="43">
      <c r="A43" t="n">
        <v>750</v>
      </c>
      <c r="B43" t="n">
        <v>12296.41</v>
      </c>
      <c r="C43" t="n">
        <v>160</v>
      </c>
      <c r="D43" t="n">
        <v>13945.61</v>
      </c>
    </row>
    <row r="44">
      <c r="A44" t="n">
        <v>662</v>
      </c>
      <c r="B44" t="n">
        <v>18619.72</v>
      </c>
      <c r="C44" t="n">
        <v>70</v>
      </c>
      <c r="D44" t="n">
        <v>9314.23</v>
      </c>
    </row>
    <row r="45">
      <c r="A45" t="n">
        <v>699</v>
      </c>
      <c r="B45" t="n">
        <v>10353.88</v>
      </c>
      <c r="C45" t="n">
        <v>193</v>
      </c>
      <c r="D45" t="n">
        <v>18619.72</v>
      </c>
    </row>
    <row r="46">
      <c r="A46" t="n">
        <v>766</v>
      </c>
      <c r="B46" t="n">
        <v>3470.59</v>
      </c>
      <c r="C46" t="n">
        <v>329</v>
      </c>
      <c r="D46" t="n">
        <v>3470.59</v>
      </c>
    </row>
    <row r="47">
      <c r="A47" t="n">
        <v>788</v>
      </c>
      <c r="B47" t="n">
        <v>6538.91</v>
      </c>
      <c r="C47" t="n">
        <v>317</v>
      </c>
      <c r="D47" t="n">
        <v>6538.91</v>
      </c>
    </row>
    <row r="48">
      <c r="A48" t="n">
        <v>620</v>
      </c>
      <c r="B48" t="n">
        <v>14439.56</v>
      </c>
      <c r="C48" t="n">
        <v>366</v>
      </c>
      <c r="D48" t="n">
        <v>11327.17</v>
      </c>
    </row>
    <row r="49">
      <c r="A49" t="n">
        <v>715</v>
      </c>
      <c r="B49" t="n">
        <v>10430.9</v>
      </c>
      <c r="C49" t="n">
        <v>132</v>
      </c>
      <c r="D49" t="n">
        <v>14439.56</v>
      </c>
    </row>
    <row r="50">
      <c r="A50" t="n">
        <v>765</v>
      </c>
      <c r="B50" t="n">
        <v>0</v>
      </c>
      <c r="C50" t="n">
        <v>280</v>
      </c>
      <c r="D50" t="n">
        <v>10430.9</v>
      </c>
    </row>
    <row r="51">
      <c r="A51" t="n">
        <v>531</v>
      </c>
      <c r="B51" t="n">
        <v>24006.75</v>
      </c>
      <c r="C51" t="n">
        <v>212</v>
      </c>
      <c r="D51" t="n">
        <v>0</v>
      </c>
    </row>
    <row r="52">
      <c r="A52" t="n">
        <v>698</v>
      </c>
      <c r="B52" t="n">
        <v>16069.22</v>
      </c>
      <c r="C52" t="n">
        <v>161</v>
      </c>
      <c r="D52" t="n">
        <v>24006.75</v>
      </c>
    </row>
    <row r="53">
      <c r="A53" t="n">
        <v>659</v>
      </c>
      <c r="B53" t="n">
        <v>10830.47</v>
      </c>
      <c r="C53" t="n">
        <v>323</v>
      </c>
      <c r="D53" t="n">
        <v>16069.22</v>
      </c>
    </row>
    <row r="54">
      <c r="A54" t="n">
        <v>685</v>
      </c>
      <c r="B54" t="n">
        <v>17518.34</v>
      </c>
      <c r="C54" t="n">
        <v>30</v>
      </c>
      <c r="D54" t="n">
        <v>10830.47</v>
      </c>
    </row>
    <row r="55">
      <c r="A55" t="n">
        <v>642</v>
      </c>
      <c r="B55" t="n">
        <v>1147.23</v>
      </c>
      <c r="C55" t="n">
        <v>321</v>
      </c>
      <c r="D55" t="n">
        <v>17518.34</v>
      </c>
    </row>
    <row r="56">
      <c r="A56" t="n">
        <v>672</v>
      </c>
      <c r="B56" t="n">
        <v>10107.77</v>
      </c>
      <c r="C56" t="n">
        <v>180</v>
      </c>
      <c r="D56" t="n">
        <v>1147.23</v>
      </c>
    </row>
    <row r="57">
      <c r="A57" t="n">
        <v>728</v>
      </c>
      <c r="B57" t="n">
        <v>4189</v>
      </c>
      <c r="C57" t="n">
        <v>250</v>
      </c>
      <c r="D57" t="n">
        <v>10107.77</v>
      </c>
    </row>
    <row r="58">
      <c r="A58" t="n">
        <v>711</v>
      </c>
      <c r="B58" t="n">
        <v>5695.6</v>
      </c>
      <c r="C58" t="n">
        <v>31</v>
      </c>
      <c r="D58" t="n">
        <v>4189</v>
      </c>
    </row>
    <row r="59">
      <c r="A59" t="n">
        <v>682</v>
      </c>
      <c r="B59" t="n">
        <v>14722.21</v>
      </c>
      <c r="C59" t="n">
        <v>10</v>
      </c>
      <c r="D59" t="n">
        <v>5695.6</v>
      </c>
    </row>
    <row r="60">
      <c r="A60" t="n">
        <v>680</v>
      </c>
      <c r="B60" t="n">
        <v>13289.65</v>
      </c>
      <c r="C60" t="n">
        <v>321</v>
      </c>
      <c r="D60" t="n">
        <v>14722.21</v>
      </c>
    </row>
    <row r="61">
      <c r="A61" t="n">
        <v>693</v>
      </c>
      <c r="B61" t="n">
        <v>11513.2</v>
      </c>
      <c r="C61" t="n">
        <v>90</v>
      </c>
      <c r="D61" t="n">
        <v>13289.65</v>
      </c>
    </row>
    <row r="62">
      <c r="A62" t="n">
        <v>607</v>
      </c>
      <c r="B62" t="n">
        <v>18901.58</v>
      </c>
      <c r="C62" t="n">
        <v>160</v>
      </c>
      <c r="D62" t="n">
        <v>11513.2</v>
      </c>
    </row>
    <row r="63">
      <c r="A63" t="n">
        <v>677</v>
      </c>
      <c r="B63" t="n">
        <v>21001.69</v>
      </c>
      <c r="C63" t="n">
        <v>388</v>
      </c>
      <c r="D63" t="n">
        <v>18901.58</v>
      </c>
    </row>
    <row r="64">
      <c r="A64" t="n">
        <v>675</v>
      </c>
      <c r="B64" t="n">
        <v>5777.03</v>
      </c>
      <c r="C64" t="n">
        <v>135</v>
      </c>
      <c r="D64" t="n">
        <v>21001.69</v>
      </c>
    </row>
    <row r="65">
      <c r="A65" t="n">
        <v>702</v>
      </c>
      <c r="B65" t="n">
        <v>9416.219999999999</v>
      </c>
      <c r="C65" t="n">
        <v>193</v>
      </c>
      <c r="D65" t="n">
        <v>5777.03</v>
      </c>
    </row>
    <row r="66">
      <c r="A66" t="n">
        <v>723</v>
      </c>
      <c r="B66" t="n">
        <v>10189.15</v>
      </c>
      <c r="C66" t="n">
        <v>53</v>
      </c>
      <c r="D66" t="n">
        <v>9416.219999999999</v>
      </c>
    </row>
    <row r="67">
      <c r="A67" t="n">
        <v>640</v>
      </c>
      <c r="B67" t="n">
        <v>7622.3</v>
      </c>
      <c r="C67" t="n">
        <v>376</v>
      </c>
      <c r="D67" t="n">
        <v>21114.71</v>
      </c>
    </row>
    <row r="68">
      <c r="A68" t="n">
        <v>588</v>
      </c>
      <c r="B68" t="n">
        <v>6253.46</v>
      </c>
      <c r="C68" t="n">
        <v>158</v>
      </c>
      <c r="D68" t="n">
        <v>11204.62</v>
      </c>
    </row>
    <row r="69">
      <c r="A69" t="n">
        <v>784</v>
      </c>
      <c r="B69" t="n">
        <v>9932.459999999999</v>
      </c>
      <c r="C69" t="n">
        <v>113</v>
      </c>
      <c r="D69" t="n">
        <v>20842.16</v>
      </c>
    </row>
    <row r="70">
      <c r="A70" t="n">
        <v>688</v>
      </c>
      <c r="B70" t="n">
        <v>12577.68</v>
      </c>
      <c r="C70" t="n">
        <v>332</v>
      </c>
      <c r="D70" t="n">
        <v>9932.459999999999</v>
      </c>
    </row>
    <row r="71">
      <c r="A71" t="n">
        <v>571</v>
      </c>
      <c r="B71" t="n">
        <v>25323.12</v>
      </c>
      <c r="C71" t="n">
        <v>307</v>
      </c>
      <c r="D71" t="n">
        <v>12577.68</v>
      </c>
    </row>
    <row r="72">
      <c r="A72" t="n">
        <v>672</v>
      </c>
      <c r="B72" t="n">
        <v>16947.99</v>
      </c>
      <c r="C72" t="n">
        <v>345</v>
      </c>
      <c r="D72" t="n">
        <v>25323.12</v>
      </c>
    </row>
    <row r="73">
      <c r="A73" t="n">
        <v>658</v>
      </c>
      <c r="B73" t="n">
        <v>18556.47</v>
      </c>
      <c r="C73" t="n">
        <v>114</v>
      </c>
      <c r="D73" t="n">
        <v>16947.99</v>
      </c>
    </row>
    <row r="74">
      <c r="A74" t="n">
        <v>691</v>
      </c>
      <c r="B74" t="n">
        <v>13321.91</v>
      </c>
      <c r="C74" t="n">
        <v>40</v>
      </c>
      <c r="D74" t="n">
        <v>18556.47</v>
      </c>
    </row>
    <row r="75">
      <c r="A75" t="n">
        <v>767</v>
      </c>
      <c r="B75" t="n">
        <v>12079.59</v>
      </c>
      <c r="C75" t="n">
        <v>332</v>
      </c>
      <c r="D75" t="n">
        <v>13321.91</v>
      </c>
    </row>
    <row r="76">
      <c r="A76" t="n">
        <v>649</v>
      </c>
      <c r="B76" t="n">
        <v>14335.12</v>
      </c>
      <c r="C76" t="n">
        <v>115</v>
      </c>
      <c r="D76" t="n">
        <v>12079.59</v>
      </c>
    </row>
    <row r="77">
      <c r="A77" t="n">
        <v>702</v>
      </c>
      <c r="B77" t="n">
        <v>9030.1</v>
      </c>
      <c r="C77" t="n">
        <v>413</v>
      </c>
      <c r="D77" t="n">
        <v>9030.1</v>
      </c>
    </row>
    <row r="78">
      <c r="A78" t="n">
        <v>720</v>
      </c>
      <c r="B78" t="n">
        <v>10435.03</v>
      </c>
      <c r="C78" t="n">
        <v>428</v>
      </c>
      <c r="D78" t="n">
        <v>8143.01</v>
      </c>
    </row>
    <row r="79">
      <c r="A79" t="n">
        <v>673</v>
      </c>
      <c r="B79" t="n">
        <v>20840.28</v>
      </c>
      <c r="C79" t="n">
        <v>294</v>
      </c>
      <c r="D79" t="n">
        <v>10181.95</v>
      </c>
    </row>
    <row r="80">
      <c r="A80" t="n">
        <v>751</v>
      </c>
      <c r="B80" t="n">
        <v>5603.78</v>
      </c>
      <c r="C80" t="n">
        <v>174</v>
      </c>
      <c r="D80" t="n">
        <v>8954.309999999999</v>
      </c>
    </row>
    <row r="81">
      <c r="A81" t="n">
        <v>535</v>
      </c>
      <c r="B81" t="n">
        <v>18006.94</v>
      </c>
      <c r="C81" t="n">
        <v>328</v>
      </c>
      <c r="D81" t="n">
        <v>30619.58</v>
      </c>
    </row>
    <row r="82">
      <c r="A82" t="n">
        <v>723</v>
      </c>
      <c r="B82" t="n">
        <v>13101.29</v>
      </c>
      <c r="C82" t="n">
        <v>213</v>
      </c>
      <c r="D82" t="n">
        <v>18006.94</v>
      </c>
    </row>
    <row r="83">
      <c r="A83" t="n">
        <v>703</v>
      </c>
      <c r="B83" t="n">
        <v>5790.86</v>
      </c>
      <c r="C83" t="n">
        <v>148</v>
      </c>
      <c r="D83" t="n">
        <v>13101.29</v>
      </c>
    </row>
    <row r="84">
      <c r="A84" t="n">
        <v>659</v>
      </c>
      <c r="B84" t="n">
        <v>20805.79</v>
      </c>
      <c r="C84" t="n">
        <v>214</v>
      </c>
      <c r="D84" t="n">
        <v>5790.86</v>
      </c>
    </row>
    <row r="85">
      <c r="A85" t="n">
        <v>666</v>
      </c>
      <c r="B85" t="n">
        <v>17676.53</v>
      </c>
      <c r="C85" t="n">
        <v>18</v>
      </c>
      <c r="D85" t="n">
        <v>20805.79</v>
      </c>
    </row>
    <row r="86">
      <c r="A86" t="n">
        <v>736</v>
      </c>
      <c r="B86" t="n">
        <v>11169.11</v>
      </c>
      <c r="C86" t="n">
        <v>211</v>
      </c>
      <c r="D86" t="n">
        <v>17676.53</v>
      </c>
    </row>
    <row r="87">
      <c r="A87" t="n">
        <v>720</v>
      </c>
      <c r="B87" t="n">
        <v>13387.13</v>
      </c>
      <c r="C87" t="n">
        <v>426</v>
      </c>
      <c r="D87" t="n">
        <v>13387.13</v>
      </c>
    </row>
    <row r="88">
      <c r="A88" t="n">
        <v>744</v>
      </c>
      <c r="B88" t="n">
        <v>6658.54</v>
      </c>
      <c r="C88" t="n">
        <v>318</v>
      </c>
      <c r="D88" t="n">
        <v>10440.29</v>
      </c>
    </row>
    <row r="89">
      <c r="A89" t="n">
        <v>723</v>
      </c>
      <c r="B89" t="n">
        <v>12549.57</v>
      </c>
      <c r="C89" t="n">
        <v>367</v>
      </c>
      <c r="D89" t="n">
        <v>11392.91</v>
      </c>
    </row>
    <row r="90">
      <c r="A90" t="n">
        <v>673</v>
      </c>
      <c r="B90" t="n">
        <v>11995.72</v>
      </c>
      <c r="C90" t="n">
        <v>233</v>
      </c>
      <c r="D90" t="n">
        <v>16197.42</v>
      </c>
    </row>
    <row r="91">
      <c r="A91" t="n">
        <v>718</v>
      </c>
      <c r="B91" t="n">
        <v>10347.78</v>
      </c>
      <c r="C91" t="n">
        <v>385</v>
      </c>
      <c r="D91" t="n">
        <v>10347.78</v>
      </c>
    </row>
    <row r="92">
      <c r="A92" t="n">
        <v>658</v>
      </c>
      <c r="B92" t="n">
        <v>22656.79</v>
      </c>
      <c r="C92" t="n">
        <v>339</v>
      </c>
      <c r="D92" t="n">
        <v>10335.86</v>
      </c>
    </row>
    <row r="93">
      <c r="A93" t="n">
        <v>711</v>
      </c>
      <c r="B93" t="n">
        <v>7707.49</v>
      </c>
      <c r="C93" t="n">
        <v>116</v>
      </c>
      <c r="D93" t="n">
        <v>16276.56</v>
      </c>
    </row>
    <row r="94">
      <c r="A94" t="n">
        <v>671</v>
      </c>
      <c r="B94" t="n">
        <v>13535.03</v>
      </c>
      <c r="C94" t="n">
        <v>146</v>
      </c>
      <c r="D94" t="n">
        <v>20461.52</v>
      </c>
    </row>
    <row r="95">
      <c r="A95" t="n">
        <v>718</v>
      </c>
      <c r="B95" t="n">
        <v>8917.43</v>
      </c>
      <c r="C95" t="n">
        <v>125</v>
      </c>
      <c r="D95" t="n">
        <v>6491.2</v>
      </c>
    </row>
    <row r="96">
      <c r="A96" t="n">
        <v>653</v>
      </c>
      <c r="B96" t="n">
        <v>22342.12</v>
      </c>
      <c r="C96" t="n">
        <v>262</v>
      </c>
      <c r="D96" t="n">
        <v>19277.79</v>
      </c>
    </row>
    <row r="97">
      <c r="A97" t="n">
        <v>633</v>
      </c>
      <c r="B97" t="n">
        <v>16135.82</v>
      </c>
      <c r="C97" t="n">
        <v>101</v>
      </c>
      <c r="D97" t="n">
        <v>22342.12</v>
      </c>
    </row>
    <row r="98">
      <c r="A98" t="n">
        <v>653</v>
      </c>
      <c r="B98" t="n">
        <v>16968.09</v>
      </c>
      <c r="C98" t="n">
        <v>25</v>
      </c>
      <c r="D98" t="n">
        <v>16135.82</v>
      </c>
    </row>
    <row r="99">
      <c r="A99" t="n">
        <v>680</v>
      </c>
      <c r="B99" t="n">
        <v>9358.9</v>
      </c>
      <c r="C99" t="n">
        <v>61</v>
      </c>
      <c r="D99" t="n">
        <v>16968.09</v>
      </c>
    </row>
    <row r="100">
      <c r="A100" t="n">
        <v>710</v>
      </c>
      <c r="B100" t="n">
        <v>1773.64</v>
      </c>
      <c r="C100" t="n">
        <v>122</v>
      </c>
      <c r="D100" t="n">
        <v>9726.08</v>
      </c>
    </row>
    <row r="101">
      <c r="A101" t="n">
        <v>741</v>
      </c>
      <c r="B101" t="n">
        <v>10830.12</v>
      </c>
      <c r="C101" t="n">
        <v>268</v>
      </c>
      <c r="D101" t="n">
        <v>10830.12</v>
      </c>
    </row>
    <row r="102">
      <c r="A102" t="n">
        <v>672</v>
      </c>
      <c r="B102" t="n">
        <v>19858.84</v>
      </c>
      <c r="C102" t="n">
        <v>274</v>
      </c>
      <c r="D102" t="n">
        <v>19858.84</v>
      </c>
    </row>
    <row r="103">
      <c r="A103" t="n">
        <v>725</v>
      </c>
      <c r="B103" t="n">
        <v>15995.82</v>
      </c>
      <c r="C103" t="n">
        <v>211</v>
      </c>
      <c r="D103" t="n">
        <v>18643.61</v>
      </c>
    </row>
    <row r="104">
      <c r="A104" t="n">
        <v>773</v>
      </c>
      <c r="B104" t="n">
        <v>5646.85</v>
      </c>
      <c r="C104" t="n">
        <v>313</v>
      </c>
      <c r="D104" t="n">
        <v>5646.85</v>
      </c>
    </row>
    <row r="105">
      <c r="A105" t="n">
        <v>727</v>
      </c>
      <c r="B105" t="n">
        <v>8791.559999999999</v>
      </c>
      <c r="C105" t="n">
        <v>58</v>
      </c>
      <c r="D105" t="n">
        <v>1647.61</v>
      </c>
    </row>
    <row r="106">
      <c r="A106" t="n">
        <v>577</v>
      </c>
      <c r="B106" t="n">
        <v>10065.98</v>
      </c>
      <c r="C106" t="n">
        <v>180</v>
      </c>
      <c r="D106" t="n">
        <v>13560</v>
      </c>
    </row>
    <row r="107">
      <c r="A107" t="n">
        <v>675</v>
      </c>
      <c r="B107" t="n">
        <v>13918.36</v>
      </c>
      <c r="C107" t="n">
        <v>62</v>
      </c>
      <c r="D107" t="n">
        <v>10401.65</v>
      </c>
    </row>
    <row r="108">
      <c r="A108" t="n">
        <v>782</v>
      </c>
      <c r="B108" t="n">
        <v>8365.15</v>
      </c>
      <c r="C108" t="n">
        <v>412</v>
      </c>
      <c r="D108" t="n">
        <v>8365.15</v>
      </c>
    </row>
    <row r="109">
      <c r="A109" t="n">
        <v>689</v>
      </c>
      <c r="B109" t="n">
        <v>15457.23</v>
      </c>
      <c r="C109" t="n">
        <v>65</v>
      </c>
      <c r="D109" t="n">
        <v>5079.52</v>
      </c>
    </row>
    <row r="110">
      <c r="A110" t="n">
        <v>612</v>
      </c>
      <c r="B110" t="n">
        <v>12316.71</v>
      </c>
      <c r="C110" t="n">
        <v>138</v>
      </c>
      <c r="D110" t="n">
        <v>19974.87</v>
      </c>
    </row>
    <row r="111">
      <c r="A111" t="n">
        <v>629</v>
      </c>
      <c r="B111" t="n">
        <v>27150.32</v>
      </c>
      <c r="C111" t="n">
        <v>269</v>
      </c>
      <c r="D111" t="n">
        <v>1246.48</v>
      </c>
    </row>
    <row r="112">
      <c r="A112" t="n">
        <v>622</v>
      </c>
      <c r="B112" t="n">
        <v>287.38</v>
      </c>
      <c r="C112" t="n">
        <v>216</v>
      </c>
      <c r="D112" t="n">
        <v>2699.62</v>
      </c>
    </row>
    <row r="113">
      <c r="A113" t="n">
        <v>753</v>
      </c>
      <c r="B113" t="n">
        <v>16377.57</v>
      </c>
      <c r="C113" t="n">
        <v>397</v>
      </c>
      <c r="D113" t="n">
        <v>20025.19</v>
      </c>
    </row>
    <row r="114">
      <c r="A114" t="n">
        <v>729</v>
      </c>
      <c r="B114" t="n">
        <v>17355.46</v>
      </c>
      <c r="C114" t="n">
        <v>0</v>
      </c>
      <c r="D114" t="n">
        <v>11174.23</v>
      </c>
    </row>
    <row r="115">
      <c r="A115" t="n">
        <v>622</v>
      </c>
      <c r="B115" t="n">
        <v>11218.03</v>
      </c>
      <c r="C115" t="n">
        <v>396</v>
      </c>
      <c r="D115" t="n">
        <v>11218.03</v>
      </c>
    </row>
    <row r="116">
      <c r="A116" t="n">
        <v>640</v>
      </c>
      <c r="B116" t="n">
        <v>10885.19</v>
      </c>
      <c r="C116" t="n">
        <v>64</v>
      </c>
      <c r="D116" t="n">
        <v>15752.06</v>
      </c>
    </row>
    <row r="117">
      <c r="A117" t="n">
        <v>620</v>
      </c>
      <c r="B117" t="n">
        <v>18473.91</v>
      </c>
      <c r="C117" t="n">
        <v>16</v>
      </c>
      <c r="D117" t="n">
        <v>5569.73</v>
      </c>
    </row>
    <row r="118">
      <c r="A118" t="n">
        <v>610</v>
      </c>
      <c r="B118" t="n">
        <v>26446.42</v>
      </c>
      <c r="C118" t="n">
        <v>263</v>
      </c>
      <c r="D118" t="n">
        <v>5858.56</v>
      </c>
    </row>
    <row r="119">
      <c r="A119" t="n">
        <v>704</v>
      </c>
      <c r="B119" t="n">
        <v>15302.58</v>
      </c>
      <c r="C119" t="n">
        <v>161</v>
      </c>
      <c r="D119" t="n">
        <v>6034.2</v>
      </c>
    </row>
    <row r="120">
      <c r="A120" t="n">
        <v>796</v>
      </c>
      <c r="B120" t="n">
        <v>5659.1</v>
      </c>
      <c r="C120" t="n">
        <v>179</v>
      </c>
      <c r="D120" t="n">
        <v>5659.1</v>
      </c>
    </row>
    <row r="121">
      <c r="A121" t="n">
        <v>692</v>
      </c>
      <c r="B121" t="n">
        <v>14778.03</v>
      </c>
      <c r="C121" t="n">
        <v>197</v>
      </c>
      <c r="D121" t="n">
        <v>14778.03</v>
      </c>
    </row>
    <row r="122">
      <c r="A122" t="n">
        <v>763</v>
      </c>
      <c r="B122" t="n">
        <v>9253.75</v>
      </c>
      <c r="C122" t="n">
        <v>331</v>
      </c>
      <c r="D122" t="n">
        <v>10732.75</v>
      </c>
    </row>
    <row r="123">
      <c r="A123" t="n">
        <v>676</v>
      </c>
      <c r="B123" t="n">
        <v>15763.31</v>
      </c>
      <c r="C123" t="n">
        <v>97</v>
      </c>
      <c r="D123" t="n">
        <v>9709.99</v>
      </c>
    </row>
    <row r="124">
      <c r="A124" t="n">
        <v>666</v>
      </c>
      <c r="B124" t="n">
        <v>22037.75</v>
      </c>
      <c r="C124" t="n">
        <v>366</v>
      </c>
      <c r="D124" t="n">
        <v>10682.79</v>
      </c>
    </row>
    <row r="125">
      <c r="A125" t="n">
        <v>702</v>
      </c>
      <c r="B125" t="n">
        <v>6798.4</v>
      </c>
      <c r="C125" t="n">
        <v>290</v>
      </c>
      <c r="D125" t="n">
        <v>6851.1</v>
      </c>
    </row>
    <row r="126">
      <c r="A126" t="n">
        <v>726</v>
      </c>
      <c r="B126" t="n">
        <v>5745.53</v>
      </c>
      <c r="C126" t="n">
        <v>21</v>
      </c>
      <c r="D126" t="n">
        <v>5745.53</v>
      </c>
    </row>
    <row r="127">
      <c r="A127" t="n">
        <v>688</v>
      </c>
      <c r="B127" t="n">
        <v>13896.69</v>
      </c>
      <c r="C127" t="n">
        <v>191</v>
      </c>
      <c r="D127" t="n">
        <v>6225.2</v>
      </c>
    </row>
    <row r="128">
      <c r="A128" t="n">
        <v>670</v>
      </c>
      <c r="B128" t="n">
        <v>6664.37</v>
      </c>
      <c r="C128" t="n">
        <v>410</v>
      </c>
      <c r="D128" t="n">
        <v>18946.98</v>
      </c>
    </row>
    <row r="129">
      <c r="A129" t="n">
        <v>685</v>
      </c>
      <c r="B129" t="n">
        <v>13927.16</v>
      </c>
      <c r="C129" t="n">
        <v>321</v>
      </c>
      <c r="D129" t="n">
        <v>12109.89</v>
      </c>
    </row>
    <row r="130">
      <c r="A130" t="n">
        <v>734</v>
      </c>
      <c r="B130" t="n">
        <v>1592.85</v>
      </c>
      <c r="C130" t="n">
        <v>359</v>
      </c>
      <c r="D130" t="n">
        <v>15821.4</v>
      </c>
    </row>
    <row r="131">
      <c r="A131" t="n">
        <v>787</v>
      </c>
      <c r="B131" t="n">
        <v>7214.27</v>
      </c>
      <c r="C131" t="n">
        <v>355</v>
      </c>
      <c r="D131" t="n">
        <v>19883.13</v>
      </c>
    </row>
    <row r="132">
      <c r="A132" t="n">
        <v>731</v>
      </c>
      <c r="B132" t="n">
        <v>14331.57</v>
      </c>
      <c r="C132" t="n">
        <v>274</v>
      </c>
      <c r="D132" t="n">
        <v>14913.66</v>
      </c>
    </row>
    <row r="133">
      <c r="A133" t="n">
        <v>751</v>
      </c>
      <c r="B133" t="n">
        <v>11434.05</v>
      </c>
      <c r="C133" t="n">
        <v>36</v>
      </c>
      <c r="D133" t="n">
        <v>24244.55</v>
      </c>
    </row>
    <row r="134">
      <c r="A134" t="n">
        <v>677</v>
      </c>
      <c r="B134" t="n">
        <v>12042.12</v>
      </c>
      <c r="C134" t="n">
        <v>114</v>
      </c>
      <c r="D134" t="n">
        <v>5673.61</v>
      </c>
    </row>
    <row r="135">
      <c r="A135" t="n">
        <v>693</v>
      </c>
      <c r="B135" t="n">
        <v>14443.55</v>
      </c>
      <c r="C135" t="n">
        <v>166</v>
      </c>
      <c r="D135" t="n">
        <v>14443.55</v>
      </c>
    </row>
    <row r="136">
      <c r="A136" t="n">
        <v>731</v>
      </c>
      <c r="B136" t="n">
        <v>12231.19</v>
      </c>
      <c r="C136" t="n">
        <v>286</v>
      </c>
      <c r="D136" t="n">
        <v>11843.5</v>
      </c>
    </row>
    <row r="137">
      <c r="A137" t="n">
        <v>762</v>
      </c>
      <c r="B137" t="n">
        <v>10755.35</v>
      </c>
      <c r="C137" t="n">
        <v>237</v>
      </c>
      <c r="D137" t="n">
        <v>4500.95</v>
      </c>
    </row>
    <row r="138">
      <c r="A138" t="n">
        <v>735</v>
      </c>
      <c r="B138" t="n">
        <v>19612.05</v>
      </c>
      <c r="C138" t="n">
        <v>374</v>
      </c>
      <c r="D138" t="n">
        <v>15080.22</v>
      </c>
    </row>
    <row r="139">
      <c r="A139" t="n">
        <v>636</v>
      </c>
      <c r="B139" t="n">
        <v>16902.03</v>
      </c>
      <c r="C139" t="n">
        <v>405</v>
      </c>
      <c r="D139" t="n">
        <v>16902.03</v>
      </c>
    </row>
    <row r="140">
      <c r="A140" t="n">
        <v>754</v>
      </c>
      <c r="B140" t="n">
        <v>3047.25</v>
      </c>
      <c r="C140" t="n">
        <v>192</v>
      </c>
      <c r="D140" t="n">
        <v>3047.25</v>
      </c>
    </row>
    <row r="141">
      <c r="A141" t="n">
        <v>795</v>
      </c>
      <c r="B141" t="n">
        <v>4401.99</v>
      </c>
      <c r="C141" t="n">
        <v>341</v>
      </c>
      <c r="D141" t="n">
        <v>18340.11</v>
      </c>
    </row>
    <row r="142">
      <c r="A142" t="n">
        <v>660</v>
      </c>
      <c r="B142" t="n">
        <v>21766.82</v>
      </c>
      <c r="C142" t="n">
        <v>52</v>
      </c>
      <c r="D142" t="n">
        <v>21766.82</v>
      </c>
    </row>
    <row r="143">
      <c r="A143" t="n">
        <v>807</v>
      </c>
      <c r="B143" t="n">
        <v>4018.3</v>
      </c>
      <c r="C143" t="n">
        <v>415</v>
      </c>
      <c r="D143" t="n">
        <v>4018.3</v>
      </c>
    </row>
    <row r="144">
      <c r="A144" t="n">
        <v>711</v>
      </c>
      <c r="B144" t="n">
        <v>15984.26</v>
      </c>
      <c r="C144" t="n">
        <v>300</v>
      </c>
      <c r="D144" t="n">
        <v>15984.26</v>
      </c>
    </row>
    <row r="145">
      <c r="A145" t="n">
        <v>744</v>
      </c>
      <c r="B145" t="n">
        <v>17524.14</v>
      </c>
      <c r="C145" t="n">
        <v>366</v>
      </c>
      <c r="D145" t="n">
        <v>7441.83</v>
      </c>
    </row>
    <row r="146">
      <c r="A146" t="n">
        <v>798</v>
      </c>
      <c r="B146" t="n">
        <v>7441.83</v>
      </c>
      <c r="C146" t="n">
        <v>2</v>
      </c>
      <c r="D146" t="n">
        <v>21106.35</v>
      </c>
    </row>
    <row r="147">
      <c r="A147" t="n">
        <v>715</v>
      </c>
      <c r="B147" t="n">
        <v>9239.27</v>
      </c>
      <c r="C147" t="n">
        <v>242</v>
      </c>
      <c r="D147" t="n">
        <v>3470.06</v>
      </c>
    </row>
    <row r="148">
      <c r="A148" t="n">
        <v>689</v>
      </c>
      <c r="B148" t="n">
        <v>10702.2</v>
      </c>
      <c r="C148" t="n">
        <v>396</v>
      </c>
      <c r="D148" t="n">
        <v>10702.2</v>
      </c>
    </row>
    <row r="149">
      <c r="A149" t="n">
        <v>810</v>
      </c>
      <c r="B149" t="n">
        <v>3908.97</v>
      </c>
      <c r="C149" t="n">
        <v>22</v>
      </c>
      <c r="D149" t="n">
        <v>34614.16</v>
      </c>
    </row>
    <row r="150">
      <c r="A150" t="n">
        <v>568</v>
      </c>
      <c r="B150" t="n">
        <v>6349.13</v>
      </c>
      <c r="C150" t="n">
        <v>50</v>
      </c>
      <c r="D150" t="n">
        <v>13146.74</v>
      </c>
    </row>
    <row r="151">
      <c r="A151" t="n">
        <v>624</v>
      </c>
      <c r="B151" t="n">
        <v>28943.27</v>
      </c>
      <c r="C151" t="n">
        <v>337</v>
      </c>
      <c r="D151" t="n">
        <v>28943.27</v>
      </c>
    </row>
    <row r="152">
      <c r="A152" t="n">
        <v>682</v>
      </c>
      <c r="B152" t="n">
        <v>15726.65</v>
      </c>
      <c r="C152" t="n">
        <v>91</v>
      </c>
      <c r="D152" t="n">
        <v>14330.55</v>
      </c>
    </row>
    <row r="153">
      <c r="A153" t="n">
        <v>750</v>
      </c>
      <c r="B153" t="n">
        <v>6597.51</v>
      </c>
      <c r="C153" t="n">
        <v>419</v>
      </c>
      <c r="D153" t="n">
        <v>8599.200000000001</v>
      </c>
    </row>
    <row r="154">
      <c r="A154" t="n">
        <v>762</v>
      </c>
      <c r="B154" t="n">
        <v>10277.25</v>
      </c>
      <c r="C154" t="n">
        <v>62</v>
      </c>
      <c r="D154" t="n">
        <v>6187.61</v>
      </c>
    </row>
    <row r="155">
      <c r="A155" t="n">
        <v>784</v>
      </c>
      <c r="B155" t="n">
        <v>5071.57</v>
      </c>
      <c r="C155" t="n">
        <v>344</v>
      </c>
      <c r="D155" t="n">
        <v>5071.57</v>
      </c>
    </row>
    <row r="156">
      <c r="A156" t="n">
        <v>664</v>
      </c>
      <c r="B156" t="n">
        <v>6883.07</v>
      </c>
      <c r="C156" t="n">
        <v>428</v>
      </c>
      <c r="D156" t="n">
        <v>13071.56</v>
      </c>
    </row>
    <row r="157">
      <c r="A157" t="n">
        <v>717</v>
      </c>
      <c r="B157" t="n">
        <v>8878.43</v>
      </c>
      <c r="C157" t="n">
        <v>296</v>
      </c>
      <c r="D157" t="n">
        <v>4297.13</v>
      </c>
    </row>
    <row r="158">
      <c r="A158" t="n">
        <v>681</v>
      </c>
      <c r="B158" t="n">
        <v>18341.33</v>
      </c>
      <c r="C158" t="n">
        <v>153</v>
      </c>
      <c r="D158" t="n">
        <v>5413.61</v>
      </c>
    </row>
    <row r="159">
      <c r="A159" t="n">
        <v>696</v>
      </c>
      <c r="B159" t="n">
        <v>14138.79</v>
      </c>
      <c r="C159" t="n">
        <v>45</v>
      </c>
      <c r="D159" t="n">
        <v>8754.889999999999</v>
      </c>
    </row>
    <row r="160">
      <c r="A160" t="n">
        <v>712</v>
      </c>
      <c r="B160" t="n">
        <v>18340.71</v>
      </c>
      <c r="C160" t="n">
        <v>392</v>
      </c>
      <c r="D160" t="n">
        <v>18340.71</v>
      </c>
    </row>
    <row r="161">
      <c r="A161" t="n">
        <v>716</v>
      </c>
      <c r="B161" t="n">
        <v>7397.95</v>
      </c>
      <c r="C161" t="n">
        <v>288</v>
      </c>
      <c r="D161" t="n">
        <v>19128.29</v>
      </c>
    </row>
    <row r="162">
      <c r="A162" t="n">
        <v>622</v>
      </c>
      <c r="B162" t="n">
        <v>35977.89</v>
      </c>
      <c r="C162" t="n">
        <v>270</v>
      </c>
      <c r="D162" t="n">
        <v>20063.4</v>
      </c>
    </row>
    <row r="163">
      <c r="A163" t="n">
        <v>777</v>
      </c>
      <c r="B163" t="n">
        <v>4816.5</v>
      </c>
      <c r="C163" t="n">
        <v>122</v>
      </c>
      <c r="D163" t="n">
        <v>4993.25</v>
      </c>
    </row>
    <row r="164">
      <c r="A164" t="n">
        <v>679</v>
      </c>
      <c r="B164" t="n">
        <v>18375.02</v>
      </c>
      <c r="C164" t="n">
        <v>51</v>
      </c>
      <c r="D164" t="n">
        <v>18375.02</v>
      </c>
    </row>
    <row r="165">
      <c r="A165" t="n">
        <v>785</v>
      </c>
      <c r="B165" t="n">
        <v>7800.89</v>
      </c>
      <c r="C165" t="n">
        <v>31</v>
      </c>
      <c r="D165" t="n">
        <v>13599.52</v>
      </c>
    </row>
    <row r="166">
      <c r="A166" t="n">
        <v>733</v>
      </c>
      <c r="B166" t="n">
        <v>8889.99</v>
      </c>
      <c r="C166" t="n">
        <v>281</v>
      </c>
      <c r="D166" t="n">
        <v>5348.15</v>
      </c>
    </row>
    <row r="167">
      <c r="A167" t="n">
        <v>739</v>
      </c>
      <c r="B167" t="n">
        <v>9401.32</v>
      </c>
      <c r="C167" t="n">
        <v>92</v>
      </c>
      <c r="D167" t="n">
        <v>12514.4</v>
      </c>
    </row>
    <row r="168">
      <c r="A168" t="n">
        <v>742</v>
      </c>
      <c r="B168" t="n">
        <v>11909.74</v>
      </c>
      <c r="C168" t="n">
        <v>315</v>
      </c>
      <c r="D168" t="n">
        <v>2506.33</v>
      </c>
    </row>
    <row r="169">
      <c r="A169" t="n">
        <v>645</v>
      </c>
      <c r="B169" t="n">
        <v>10448.51</v>
      </c>
      <c r="C169" t="n">
        <v>284</v>
      </c>
      <c r="D169" t="n">
        <v>10448.51</v>
      </c>
    </row>
    <row r="170">
      <c r="A170" t="n">
        <v>783</v>
      </c>
      <c r="B170" t="n">
        <v>4013.28</v>
      </c>
      <c r="C170" t="n">
        <v>42</v>
      </c>
      <c r="D170" t="n">
        <v>4013.28</v>
      </c>
    </row>
    <row r="171">
      <c r="A171" t="n">
        <v>690</v>
      </c>
      <c r="B171" t="n">
        <v>13209.8</v>
      </c>
      <c r="C171" t="n">
        <v>256</v>
      </c>
      <c r="D171" t="n">
        <v>6689.38</v>
      </c>
    </row>
    <row r="172">
      <c r="A172" t="n">
        <v>781</v>
      </c>
      <c r="B172" t="n">
        <v>10131.61</v>
      </c>
      <c r="C172" t="n">
        <v>431</v>
      </c>
      <c r="D172" t="n">
        <v>21927.39</v>
      </c>
    </row>
    <row r="173">
      <c r="A173" t="n">
        <v>708</v>
      </c>
      <c r="B173" t="n">
        <v>11874.71</v>
      </c>
      <c r="C173" t="n">
        <v>79</v>
      </c>
      <c r="D173" t="n">
        <v>11874.71</v>
      </c>
    </row>
    <row r="174">
      <c r="A174" t="n">
        <v>762</v>
      </c>
      <c r="B174" t="n">
        <v>13293.17</v>
      </c>
      <c r="C174" t="n">
        <v>205</v>
      </c>
      <c r="D174" t="n">
        <v>21519.27</v>
      </c>
    </row>
    <row r="175">
      <c r="A175" t="n">
        <v>748</v>
      </c>
      <c r="B175" t="n">
        <v>6800.02</v>
      </c>
      <c r="C175" t="n">
        <v>76</v>
      </c>
      <c r="D175" t="n">
        <v>16356.03</v>
      </c>
    </row>
    <row r="176">
      <c r="A176" t="n">
        <v>683</v>
      </c>
      <c r="B176" t="n">
        <v>17812.24</v>
      </c>
      <c r="C176" t="n">
        <v>247</v>
      </c>
      <c r="D176" t="n">
        <v>0</v>
      </c>
    </row>
    <row r="177">
      <c r="A177" t="n">
        <v>729</v>
      </c>
      <c r="B177" t="n">
        <v>8579.280000000001</v>
      </c>
      <c r="C177" t="n">
        <v>101</v>
      </c>
      <c r="D177" t="n">
        <v>8579.280000000001</v>
      </c>
    </row>
    <row r="178">
      <c r="A178" t="n">
        <v>867</v>
      </c>
      <c r="B178" t="n">
        <v>266.63</v>
      </c>
      <c r="C178" t="n">
        <v>299</v>
      </c>
      <c r="D178" t="n">
        <v>21478.66</v>
      </c>
    </row>
    <row r="179">
      <c r="A179" t="n">
        <v>760</v>
      </c>
      <c r="B179" t="n">
        <v>13074.63</v>
      </c>
      <c r="C179" t="n">
        <v>435</v>
      </c>
      <c r="D179" t="n">
        <v>26779.45</v>
      </c>
    </row>
    <row r="180">
      <c r="A180" t="n">
        <v>573</v>
      </c>
      <c r="B180" t="n">
        <v>42693.02</v>
      </c>
      <c r="C180" t="n">
        <v>299</v>
      </c>
      <c r="D180" t="n">
        <v>23579.28</v>
      </c>
    </row>
    <row r="181">
      <c r="A181" t="n">
        <v>647</v>
      </c>
      <c r="B181" t="n">
        <v>23579.28</v>
      </c>
      <c r="C181" t="n">
        <v>136</v>
      </c>
      <c r="D181" t="n">
        <v>6362.6</v>
      </c>
    </row>
    <row r="182">
      <c r="A182" t="n">
        <v>730</v>
      </c>
      <c r="B182" t="n">
        <v>9711.469999999999</v>
      </c>
      <c r="C182" t="n">
        <v>157</v>
      </c>
      <c r="D182" t="n">
        <v>10406.21</v>
      </c>
    </row>
    <row r="183">
      <c r="A183" t="n">
        <v>657</v>
      </c>
      <c r="B183" t="n">
        <v>15252.61</v>
      </c>
      <c r="C183" t="n">
        <v>102</v>
      </c>
      <c r="D183" t="n">
        <v>17977.76</v>
      </c>
    </row>
    <row r="184">
      <c r="A184" t="n">
        <v>697</v>
      </c>
      <c r="B184" t="n">
        <v>13143.58</v>
      </c>
      <c r="C184" t="n">
        <v>88</v>
      </c>
      <c r="D184" t="n">
        <v>13143.58</v>
      </c>
    </row>
    <row r="185">
      <c r="A185" t="n">
        <v>731</v>
      </c>
      <c r="B185" t="n">
        <v>16815.96</v>
      </c>
      <c r="C185" t="n">
        <v>184</v>
      </c>
      <c r="D185" t="n">
        <v>16788.79</v>
      </c>
    </row>
    <row r="186">
      <c r="A186" t="n">
        <v>696</v>
      </c>
      <c r="B186" t="n">
        <v>18012.41</v>
      </c>
      <c r="C186" t="n">
        <v>122</v>
      </c>
      <c r="D186" t="n">
        <v>18012.41</v>
      </c>
    </row>
    <row r="187">
      <c r="A187" t="n">
        <v>749</v>
      </c>
      <c r="B187" t="n">
        <v>10778.7</v>
      </c>
      <c r="C187" t="n">
        <v>247</v>
      </c>
      <c r="D187" t="n">
        <v>22382.96</v>
      </c>
    </row>
    <row r="188">
      <c r="A188" t="n">
        <v>765</v>
      </c>
      <c r="B188" t="n">
        <v>6479.48</v>
      </c>
      <c r="C188" t="n">
        <v>306</v>
      </c>
      <c r="D188" t="n">
        <v>14150.04</v>
      </c>
    </row>
    <row r="189">
      <c r="A189" t="n">
        <v>810</v>
      </c>
      <c r="B189" t="n">
        <v>8568.040000000001</v>
      </c>
      <c r="C189" t="n">
        <v>297</v>
      </c>
      <c r="D189" t="n">
        <v>10615.96</v>
      </c>
    </row>
    <row r="190">
      <c r="A190" t="n">
        <v>666</v>
      </c>
      <c r="B190" t="n">
        <v>5583.01</v>
      </c>
      <c r="C190" t="n">
        <v>14</v>
      </c>
      <c r="D190" t="n">
        <v>19609.2</v>
      </c>
    </row>
    <row r="191">
      <c r="A191" t="n">
        <v>706</v>
      </c>
      <c r="B191" t="n">
        <v>4511.24</v>
      </c>
      <c r="C191" t="n">
        <v>204</v>
      </c>
      <c r="D191" t="n">
        <v>1547.07</v>
      </c>
    </row>
    <row r="192">
      <c r="A192" t="n">
        <v>798</v>
      </c>
      <c r="B192" t="n">
        <v>1547.07</v>
      </c>
      <c r="C192" t="n">
        <v>400</v>
      </c>
      <c r="D192" t="n">
        <v>11229.54</v>
      </c>
    </row>
    <row r="193">
      <c r="A193" t="n">
        <v>622</v>
      </c>
      <c r="B193" t="n">
        <v>26467.7</v>
      </c>
      <c r="C193" t="n">
        <v>375</v>
      </c>
      <c r="D193" t="n">
        <v>7121.81</v>
      </c>
    </row>
    <row r="194">
      <c r="A194" t="n">
        <v>748</v>
      </c>
      <c r="B194" t="n">
        <v>5448.21</v>
      </c>
      <c r="C194" t="n">
        <v>117</v>
      </c>
      <c r="D194" t="n">
        <v>20424.44</v>
      </c>
    </row>
    <row r="195">
      <c r="A195" t="n">
        <v>621</v>
      </c>
      <c r="B195" t="n">
        <v>4930.88</v>
      </c>
      <c r="C195" t="n">
        <v>331</v>
      </c>
      <c r="D195" t="n">
        <v>7503.2</v>
      </c>
    </row>
    <row r="196">
      <c r="A196" t="n">
        <v>752</v>
      </c>
      <c r="B196" t="n">
        <v>4465.09</v>
      </c>
      <c r="C196" t="n">
        <v>35</v>
      </c>
      <c r="D196" t="n">
        <v>4465.09</v>
      </c>
    </row>
    <row r="197">
      <c r="A197" t="n">
        <v>733</v>
      </c>
      <c r="B197" t="n">
        <v>8606.84</v>
      </c>
      <c r="C197" t="n">
        <v>123</v>
      </c>
      <c r="D197" t="n">
        <v>10956.36</v>
      </c>
    </row>
    <row r="198">
      <c r="A198" t="n">
        <v>735</v>
      </c>
      <c r="B198" t="n">
        <v>6837.42</v>
      </c>
      <c r="C198" t="n">
        <v>318</v>
      </c>
      <c r="D198" t="n">
        <v>8775.379999999999</v>
      </c>
    </row>
    <row r="199">
      <c r="A199" t="n">
        <v>745</v>
      </c>
      <c r="B199" t="n">
        <v>13660.9</v>
      </c>
      <c r="C199" t="n">
        <v>160</v>
      </c>
      <c r="D199" t="n">
        <v>4625.89</v>
      </c>
    </row>
    <row r="200">
      <c r="A200" t="n">
        <v>708</v>
      </c>
      <c r="B200" t="n">
        <v>4625.89</v>
      </c>
      <c r="C200" t="n">
        <v>93</v>
      </c>
      <c r="D200" t="n">
        <v>15424.31</v>
      </c>
    </row>
    <row r="201">
      <c r="A201" t="n">
        <v>748</v>
      </c>
      <c r="B201" t="n">
        <v>7121.47</v>
      </c>
      <c r="C201" t="n">
        <v>216</v>
      </c>
      <c r="D201" t="n">
        <v>19481.59</v>
      </c>
    </row>
    <row r="202">
      <c r="A202" t="n">
        <v>677</v>
      </c>
      <c r="B202" t="n">
        <v>8454.209999999999</v>
      </c>
      <c r="C202" t="n">
        <v>43</v>
      </c>
      <c r="D202" t="n">
        <v>8454.209999999999</v>
      </c>
    </row>
    <row r="203">
      <c r="A203" t="n">
        <v>778</v>
      </c>
      <c r="B203" t="n">
        <v>12703.33</v>
      </c>
      <c r="C203" t="n">
        <v>47</v>
      </c>
      <c r="D203" t="n">
        <v>12506.66</v>
      </c>
    </row>
    <row r="204">
      <c r="A204" t="n">
        <v>689</v>
      </c>
      <c r="B204" t="n">
        <v>12506.66</v>
      </c>
      <c r="C204" t="n">
        <v>135</v>
      </c>
      <c r="D204" t="n">
        <v>18969.01</v>
      </c>
    </row>
    <row r="205">
      <c r="A205" t="n">
        <v>672</v>
      </c>
      <c r="B205" t="n">
        <v>18969.01</v>
      </c>
      <c r="C205" t="n">
        <v>426</v>
      </c>
      <c r="D205" t="n">
        <v>4251.12</v>
      </c>
    </row>
    <row r="206">
      <c r="A206" t="n">
        <v>749</v>
      </c>
      <c r="B206" t="n">
        <v>7582.84</v>
      </c>
      <c r="C206" t="n">
        <v>149</v>
      </c>
      <c r="D206" t="n">
        <v>7582.84</v>
      </c>
    </row>
    <row r="207">
      <c r="A207" t="n">
        <v>718</v>
      </c>
      <c r="B207" t="n">
        <v>11315.33</v>
      </c>
      <c r="C207" t="n">
        <v>182</v>
      </c>
      <c r="D207" t="n">
        <v>9753.75</v>
      </c>
    </row>
    <row r="208">
      <c r="A208" t="n">
        <v>724</v>
      </c>
      <c r="B208" t="n">
        <v>12392.81</v>
      </c>
      <c r="C208" t="n">
        <v>345</v>
      </c>
      <c r="D208" t="n">
        <v>6744.16</v>
      </c>
    </row>
    <row r="209">
      <c r="A209" t="n">
        <v>785</v>
      </c>
      <c r="B209" t="n">
        <v>6744.16</v>
      </c>
      <c r="C209" t="n">
        <v>172</v>
      </c>
      <c r="D209" t="n">
        <v>8359.280000000001</v>
      </c>
    </row>
    <row r="210">
      <c r="A210" t="n">
        <v>698</v>
      </c>
      <c r="B210" t="n">
        <v>11632.16</v>
      </c>
      <c r="C210" t="n">
        <v>15</v>
      </c>
      <c r="D210" t="n">
        <v>12688.15</v>
      </c>
    </row>
    <row r="211">
      <c r="A211" t="n">
        <v>650</v>
      </c>
      <c r="B211" t="n">
        <v>11313.72</v>
      </c>
      <c r="C211" t="n">
        <v>194</v>
      </c>
      <c r="D211" t="n">
        <v>17863.21</v>
      </c>
    </row>
    <row r="212">
      <c r="A212" t="n">
        <v>689</v>
      </c>
      <c r="B212" t="n">
        <v>13790.39</v>
      </c>
      <c r="C212" t="n">
        <v>380</v>
      </c>
      <c r="D212" t="n">
        <v>29667.43</v>
      </c>
    </row>
    <row r="213">
      <c r="A213" t="n">
        <v>703</v>
      </c>
      <c r="B213" t="n">
        <v>4173.34</v>
      </c>
      <c r="C213" t="n">
        <v>200</v>
      </c>
      <c r="D213" t="n">
        <v>10643.64</v>
      </c>
    </row>
    <row r="214">
      <c r="A214" t="n">
        <v>664</v>
      </c>
      <c r="B214" t="n">
        <v>13370.89</v>
      </c>
      <c r="C214" t="n">
        <v>340</v>
      </c>
      <c r="D214" t="n">
        <v>15914.77</v>
      </c>
    </row>
    <row r="215">
      <c r="A215" t="n">
        <v>746</v>
      </c>
      <c r="B215" t="n">
        <v>13480.74</v>
      </c>
      <c r="C215" t="n">
        <v>270</v>
      </c>
      <c r="D215" t="n">
        <v>13480.74</v>
      </c>
    </row>
    <row r="216">
      <c r="A216" t="n">
        <v>759</v>
      </c>
      <c r="B216" t="n">
        <v>10433.55</v>
      </c>
      <c r="C216" t="n">
        <v>270</v>
      </c>
      <c r="D216" t="n">
        <v>31419.35</v>
      </c>
    </row>
    <row r="217">
      <c r="A217" t="n">
        <v>706</v>
      </c>
      <c r="B217" t="n">
        <v>14226.16</v>
      </c>
      <c r="C217" t="n">
        <v>347</v>
      </c>
      <c r="D217" t="n">
        <v>11575.35</v>
      </c>
    </row>
    <row r="218">
      <c r="A218" t="n">
        <v>696</v>
      </c>
      <c r="B218" t="n">
        <v>15330.97</v>
      </c>
      <c r="C218" t="n">
        <v>230</v>
      </c>
      <c r="D218" t="n">
        <v>15330.97</v>
      </c>
    </row>
    <row r="219">
      <c r="A219" t="n">
        <v>625</v>
      </c>
      <c r="B219" t="n">
        <v>28843.04</v>
      </c>
      <c r="C219" t="n">
        <v>339</v>
      </c>
      <c r="D219" t="n">
        <v>9766.049999999999</v>
      </c>
    </row>
    <row r="220">
      <c r="A220" t="n">
        <v>616</v>
      </c>
      <c r="B220" t="n">
        <v>9766.049999999999</v>
      </c>
      <c r="C220" t="n">
        <v>343</v>
      </c>
      <c r="D220" t="n">
        <v>21500.94</v>
      </c>
    </row>
    <row r="221">
      <c r="A221" t="n">
        <v>690</v>
      </c>
      <c r="B221" t="n">
        <v>12332.33</v>
      </c>
      <c r="C221" t="n">
        <v>334</v>
      </c>
      <c r="D221" t="n">
        <v>13211.41</v>
      </c>
    </row>
    <row r="222">
      <c r="A222" t="n">
        <v>705</v>
      </c>
      <c r="B222" t="n">
        <v>21500.94</v>
      </c>
      <c r="C222" t="n">
        <v>412</v>
      </c>
      <c r="D222" t="n">
        <v>5766.9</v>
      </c>
    </row>
    <row r="223">
      <c r="A223" t="n">
        <v>708</v>
      </c>
      <c r="B223" t="n">
        <v>12885.3</v>
      </c>
      <c r="C223" t="n">
        <v>418</v>
      </c>
      <c r="D223" t="n">
        <v>10731.87</v>
      </c>
    </row>
    <row r="224">
      <c r="A224" t="n">
        <v>671</v>
      </c>
      <c r="B224" t="n">
        <v>7973.55</v>
      </c>
      <c r="C224" t="n">
        <v>344</v>
      </c>
      <c r="D224" t="n">
        <v>16582.53</v>
      </c>
    </row>
    <row r="225">
      <c r="A225" t="n">
        <v>691</v>
      </c>
      <c r="B225" t="n">
        <v>20906.84</v>
      </c>
      <c r="C225" t="n">
        <v>274</v>
      </c>
      <c r="D225" t="n">
        <v>12958.39</v>
      </c>
    </row>
    <row r="226">
      <c r="A226" t="n">
        <v>767</v>
      </c>
      <c r="B226" t="n">
        <v>9840.09</v>
      </c>
      <c r="C226" t="n">
        <v>58</v>
      </c>
      <c r="D226" t="n">
        <v>9840.09</v>
      </c>
    </row>
    <row r="227">
      <c r="A227" t="n">
        <v>653</v>
      </c>
      <c r="B227" t="n">
        <v>20502.48</v>
      </c>
      <c r="C227" t="n">
        <v>260</v>
      </c>
      <c r="D227" t="n">
        <v>23739.74</v>
      </c>
    </row>
    <row r="228">
      <c r="A228" t="n">
        <v>618</v>
      </c>
      <c r="B228" t="n">
        <v>22050.03</v>
      </c>
      <c r="C228" t="n">
        <v>380</v>
      </c>
      <c r="D228" t="n">
        <v>10472.36</v>
      </c>
    </row>
    <row r="229">
      <c r="A229" t="n">
        <v>655</v>
      </c>
      <c r="B229" t="n">
        <v>12956.21</v>
      </c>
      <c r="C229" t="n">
        <v>323</v>
      </c>
      <c r="D229" t="n">
        <v>10310.05</v>
      </c>
    </row>
    <row r="230">
      <c r="A230" t="n">
        <v>731</v>
      </c>
      <c r="B230" t="n">
        <v>14907.37</v>
      </c>
      <c r="C230" t="n">
        <v>332</v>
      </c>
      <c r="D230" t="n">
        <v>26798.83</v>
      </c>
    </row>
    <row r="231">
      <c r="A231" t="n">
        <v>670</v>
      </c>
      <c r="B231" t="n">
        <v>6765.66</v>
      </c>
      <c r="C231" t="n">
        <v>331</v>
      </c>
      <c r="D231" t="n">
        <v>12410.39</v>
      </c>
    </row>
    <row r="232">
      <c r="A232" t="n">
        <v>759</v>
      </c>
      <c r="B232" t="n">
        <v>11708.89</v>
      </c>
      <c r="C232" t="n">
        <v>54</v>
      </c>
      <c r="D232" t="n">
        <v>16343.54</v>
      </c>
    </row>
    <row r="233">
      <c r="A233" t="n">
        <v>732</v>
      </c>
      <c r="B233" t="n">
        <v>7311.19</v>
      </c>
      <c r="C233" t="n">
        <v>92</v>
      </c>
      <c r="D233" t="n">
        <v>29199.29</v>
      </c>
    </row>
    <row r="234">
      <c r="A234" t="n">
        <v>688</v>
      </c>
      <c r="B234" t="n">
        <v>10453.83</v>
      </c>
      <c r="C234" t="n">
        <v>386</v>
      </c>
      <c r="D234" t="n">
        <v>23302.61</v>
      </c>
    </row>
    <row r="235">
      <c r="A235" t="n">
        <v>723</v>
      </c>
      <c r="B235" t="n">
        <v>15663.98</v>
      </c>
      <c r="C235" t="n">
        <v>21</v>
      </c>
      <c r="D235" t="n">
        <v>20508.1</v>
      </c>
    </row>
    <row r="236">
      <c r="A236" t="n">
        <v>696</v>
      </c>
      <c r="B236" t="n">
        <v>22663.39</v>
      </c>
      <c r="C236" t="n">
        <v>245</v>
      </c>
      <c r="D236" t="n">
        <v>15663.98</v>
      </c>
    </row>
    <row r="237">
      <c r="A237" t="n">
        <v>742</v>
      </c>
      <c r="B237" t="n">
        <v>9664.5</v>
      </c>
      <c r="C237" t="n">
        <v>126</v>
      </c>
      <c r="D237" t="n">
        <v>13535.53</v>
      </c>
    </row>
    <row r="238">
      <c r="A238" t="n">
        <v>673</v>
      </c>
      <c r="B238" t="n">
        <v>22822.06</v>
      </c>
      <c r="C238" t="n">
        <v>170</v>
      </c>
      <c r="D238" t="n">
        <v>3043.14</v>
      </c>
    </row>
    <row r="239">
      <c r="A239" t="n">
        <v>817</v>
      </c>
      <c r="B239" t="n">
        <v>7163.14</v>
      </c>
      <c r="C239" t="n">
        <v>180</v>
      </c>
      <c r="D239" t="n">
        <v>7163.14</v>
      </c>
    </row>
    <row r="240">
      <c r="A240" t="n">
        <v>727</v>
      </c>
      <c r="B240" t="n">
        <v>6325.55</v>
      </c>
      <c r="C240" t="n">
        <v>254</v>
      </c>
      <c r="D240" t="n">
        <v>6850.41</v>
      </c>
    </row>
    <row r="241">
      <c r="A241" t="n">
        <v>690</v>
      </c>
      <c r="B241" t="n">
        <v>25442.63</v>
      </c>
      <c r="C241" t="n">
        <v>57</v>
      </c>
      <c r="D241" t="n">
        <v>6325.55</v>
      </c>
    </row>
    <row r="242">
      <c r="A242" t="n">
        <v>714</v>
      </c>
      <c r="B242" t="n">
        <v>13668.14</v>
      </c>
      <c r="C242" t="n">
        <v>302</v>
      </c>
      <c r="D242" t="n">
        <v>10492.1</v>
      </c>
    </row>
    <row r="243">
      <c r="A243" t="n">
        <v>707</v>
      </c>
      <c r="B243" t="n">
        <v>9437.1</v>
      </c>
      <c r="C243" t="n">
        <v>51</v>
      </c>
      <c r="D243" t="n">
        <v>9403.959999999999</v>
      </c>
    </row>
    <row r="244">
      <c r="A244" t="n">
        <v>693</v>
      </c>
      <c r="B244" t="n">
        <v>14243</v>
      </c>
      <c r="C244" t="n">
        <v>348</v>
      </c>
      <c r="D244" t="n">
        <v>9437.1</v>
      </c>
    </row>
    <row r="245">
      <c r="A245" t="n">
        <v>734</v>
      </c>
      <c r="B245" t="n">
        <v>7719.71</v>
      </c>
      <c r="C245" t="n">
        <v>398</v>
      </c>
      <c r="D245" t="n">
        <v>14243</v>
      </c>
    </row>
    <row r="246">
      <c r="A246" t="n">
        <v>727</v>
      </c>
      <c r="B246" t="n">
        <v>15750.99</v>
      </c>
      <c r="C246" t="n">
        <v>94</v>
      </c>
      <c r="D246" t="n">
        <v>18011.06</v>
      </c>
    </row>
    <row r="247">
      <c r="A247" t="n">
        <v>744</v>
      </c>
      <c r="B247" t="n">
        <v>8715.4</v>
      </c>
      <c r="C247" t="n">
        <v>213</v>
      </c>
      <c r="D247" t="n">
        <v>9457.84</v>
      </c>
    </row>
    <row r="248">
      <c r="A248" t="n">
        <v>711</v>
      </c>
      <c r="B248" t="n">
        <v>16957.18</v>
      </c>
      <c r="C248" t="n">
        <v>311</v>
      </c>
      <c r="D248" t="n">
        <v>16957.18</v>
      </c>
    </row>
    <row r="249">
      <c r="A249" t="n">
        <v>688</v>
      </c>
      <c r="B249" t="n">
        <v>10563.01</v>
      </c>
      <c r="C249" t="n">
        <v>203</v>
      </c>
      <c r="D249" t="n">
        <v>9111.02</v>
      </c>
    </row>
    <row r="250">
      <c r="A250" t="n">
        <v>721</v>
      </c>
      <c r="B250" t="n">
        <v>9111.02</v>
      </c>
      <c r="C250" t="n">
        <v>408</v>
      </c>
      <c r="D250" t="n">
        <v>14215.12</v>
      </c>
    </row>
    <row r="251">
      <c r="A251" t="n">
        <v>740</v>
      </c>
      <c r="B251" t="n">
        <v>8426.74</v>
      </c>
      <c r="C251" t="n">
        <v>278</v>
      </c>
      <c r="D251" t="n">
        <v>12306.51</v>
      </c>
    </row>
    <row r="252">
      <c r="A252" t="n">
        <v>691</v>
      </c>
      <c r="B252" t="n">
        <v>6130.9</v>
      </c>
      <c r="C252" t="n">
        <v>270</v>
      </c>
      <c r="D252" t="n">
        <v>8426.74</v>
      </c>
    </row>
    <row r="253">
      <c r="A253" t="n">
        <v>680</v>
      </c>
      <c r="B253" t="n">
        <v>13937.46</v>
      </c>
      <c r="C253" t="n">
        <v>103</v>
      </c>
      <c r="D253" t="n">
        <v>13937.46</v>
      </c>
    </row>
    <row r="254">
      <c r="A254" t="n">
        <v>734</v>
      </c>
      <c r="B254" t="n">
        <v>11638.28</v>
      </c>
      <c r="C254" t="n">
        <v>400</v>
      </c>
      <c r="D254" t="n">
        <v>9775.209999999999</v>
      </c>
    </row>
    <row r="255">
      <c r="A255" t="n">
        <v>736</v>
      </c>
      <c r="B255" t="n">
        <v>9775.209999999999</v>
      </c>
      <c r="C255" t="n">
        <v>150</v>
      </c>
      <c r="D255" t="n">
        <v>24593.3</v>
      </c>
    </row>
    <row r="256">
      <c r="A256" t="n">
        <v>687</v>
      </c>
      <c r="B256" t="n">
        <v>12742.41</v>
      </c>
      <c r="C256" t="n">
        <v>15</v>
      </c>
      <c r="D256" t="n">
        <v>12048.32</v>
      </c>
    </row>
    <row r="257">
      <c r="A257" t="n">
        <v>677</v>
      </c>
      <c r="B257" t="n">
        <v>9209.610000000001</v>
      </c>
      <c r="C257" t="n">
        <v>411</v>
      </c>
      <c r="D257" t="n">
        <v>12742.41</v>
      </c>
    </row>
    <row r="258">
      <c r="A258" t="n">
        <v>666</v>
      </c>
      <c r="B258" t="n">
        <v>5270.6</v>
      </c>
      <c r="C258" t="n">
        <v>196</v>
      </c>
      <c r="D258" t="n">
        <v>8313.360000000001</v>
      </c>
    </row>
    <row r="259">
      <c r="A259" t="n">
        <v>730</v>
      </c>
      <c r="B259" t="n">
        <v>15992.88</v>
      </c>
      <c r="C259" t="n">
        <v>161</v>
      </c>
      <c r="D259" t="n">
        <v>10400.54</v>
      </c>
    </row>
    <row r="260">
      <c r="A260" t="n">
        <v>725</v>
      </c>
      <c r="B260" t="n">
        <v>8230.83</v>
      </c>
      <c r="C260" t="n">
        <v>307</v>
      </c>
      <c r="D260" t="n">
        <v>5173.22</v>
      </c>
    </row>
    <row r="261">
      <c r="A261" t="n">
        <v>642</v>
      </c>
      <c r="B261" t="n">
        <v>3349.76</v>
      </c>
      <c r="C261" t="n">
        <v>97</v>
      </c>
      <c r="D261" t="n">
        <v>14180.03</v>
      </c>
    </row>
    <row r="262">
      <c r="A262" t="n">
        <v>720</v>
      </c>
      <c r="B262" t="n">
        <v>3333.83</v>
      </c>
      <c r="C262" t="n">
        <v>372</v>
      </c>
      <c r="D262" t="n">
        <v>3349.76</v>
      </c>
    </row>
    <row r="263">
      <c r="A263" t="n">
        <v>599</v>
      </c>
      <c r="B263" t="n">
        <v>11459.91</v>
      </c>
      <c r="C263" t="n">
        <v>55</v>
      </c>
      <c r="D263" t="n">
        <v>3420.67</v>
      </c>
    </row>
    <row r="264">
      <c r="A264" t="n">
        <v>627</v>
      </c>
      <c r="B264" t="n">
        <v>23176.58</v>
      </c>
      <c r="C264" t="n">
        <v>394</v>
      </c>
      <c r="D264" t="n">
        <v>14099.17</v>
      </c>
    </row>
    <row r="265">
      <c r="A265" t="n">
        <v>750</v>
      </c>
      <c r="B265" t="n">
        <v>14783.39</v>
      </c>
      <c r="C265" t="n">
        <v>119</v>
      </c>
      <c r="D265" t="n">
        <v>4612.6</v>
      </c>
    </row>
    <row r="266">
      <c r="A266" t="n">
        <v>644</v>
      </c>
      <c r="B266" t="n">
        <v>20901.72</v>
      </c>
      <c r="C266" t="n">
        <v>57</v>
      </c>
      <c r="D266" t="n">
        <v>3273.59</v>
      </c>
    </row>
    <row r="267">
      <c r="A267" t="n">
        <v>655</v>
      </c>
      <c r="B267" t="n">
        <v>7516.81</v>
      </c>
      <c r="C267" t="n">
        <v>289</v>
      </c>
      <c r="D267" t="n">
        <v>24719.28</v>
      </c>
    </row>
    <row r="268">
      <c r="A268" t="n">
        <v>656</v>
      </c>
      <c r="B268" t="n">
        <v>24777.18</v>
      </c>
      <c r="C268" t="n">
        <v>145</v>
      </c>
      <c r="D268" t="n">
        <v>4773.71</v>
      </c>
    </row>
    <row r="269">
      <c r="A269" t="n">
        <v>670</v>
      </c>
      <c r="B269" t="n">
        <v>12007.12</v>
      </c>
      <c r="C269" t="n">
        <v>405</v>
      </c>
      <c r="D269" t="n">
        <v>12007.12</v>
      </c>
    </row>
    <row r="270">
      <c r="A270" t="n">
        <v>686</v>
      </c>
      <c r="B270" t="n">
        <v>19630.99</v>
      </c>
      <c r="C270" t="n">
        <v>45</v>
      </c>
      <c r="D270" t="n">
        <v>11903.91</v>
      </c>
    </row>
    <row r="271">
      <c r="A271" t="n">
        <v>693</v>
      </c>
      <c r="B271" t="n">
        <v>17498.89</v>
      </c>
      <c r="C271" t="n">
        <v>13</v>
      </c>
      <c r="D271" t="n">
        <v>19630.99</v>
      </c>
    </row>
    <row r="272">
      <c r="A272" t="n">
        <v>674</v>
      </c>
      <c r="B272" t="n">
        <v>4126.09</v>
      </c>
      <c r="C272" t="n">
        <v>119</v>
      </c>
      <c r="D272" t="n">
        <v>15633.91</v>
      </c>
    </row>
    <row r="273">
      <c r="A273" t="n">
        <v>654</v>
      </c>
      <c r="B273" t="n">
        <v>16900.59</v>
      </c>
      <c r="C273" t="n">
        <v>68</v>
      </c>
      <c r="D273" t="n">
        <v>15269.77</v>
      </c>
    </row>
    <row r="274">
      <c r="A274" t="n">
        <v>665</v>
      </c>
      <c r="B274" t="n">
        <v>16117.43</v>
      </c>
      <c r="C274" t="n">
        <v>429</v>
      </c>
      <c r="D274" t="n">
        <v>20632.61</v>
      </c>
    </row>
    <row r="275">
      <c r="A275" t="n">
        <v>763</v>
      </c>
      <c r="B275" t="n">
        <v>10954.94</v>
      </c>
      <c r="C275" t="n">
        <v>113</v>
      </c>
      <c r="D275" t="n">
        <v>6587.98</v>
      </c>
    </row>
    <row r="276">
      <c r="A276" t="n">
        <v>753</v>
      </c>
      <c r="B276" t="n">
        <v>6030.1</v>
      </c>
      <c r="C276" t="n">
        <v>21</v>
      </c>
      <c r="D276" t="n">
        <v>8019.63</v>
      </c>
    </row>
    <row r="277">
      <c r="A277" t="n">
        <v>671</v>
      </c>
      <c r="B277" t="n">
        <v>6704.18</v>
      </c>
      <c r="C277" t="n">
        <v>432</v>
      </c>
      <c r="D277" t="n">
        <v>22396.26</v>
      </c>
    </row>
    <row r="278">
      <c r="A278" t="n">
        <v>642</v>
      </c>
      <c r="B278" t="n">
        <v>35611.57</v>
      </c>
      <c r="C278" t="n">
        <v>82</v>
      </c>
      <c r="D278" t="n">
        <v>16624.06</v>
      </c>
    </row>
    <row r="279">
      <c r="A279" t="n">
        <v>836</v>
      </c>
      <c r="B279" t="n">
        <v>6431.91</v>
      </c>
      <c r="C279" t="n">
        <v>275</v>
      </c>
      <c r="D279" t="n">
        <v>35611.57</v>
      </c>
    </row>
    <row r="280">
      <c r="A280" t="n">
        <v>583</v>
      </c>
      <c r="B280" t="n">
        <v>26760.42</v>
      </c>
      <c r="C280" t="n">
        <v>250</v>
      </c>
      <c r="D280" t="n">
        <v>12304.02</v>
      </c>
    </row>
    <row r="281">
      <c r="A281" t="n">
        <v>636</v>
      </c>
      <c r="B281" t="n">
        <v>20395.24</v>
      </c>
      <c r="C281" t="n">
        <v>11</v>
      </c>
      <c r="D281" t="n">
        <v>8800.610000000001</v>
      </c>
    </row>
    <row r="282">
      <c r="A282" t="n">
        <v>706</v>
      </c>
      <c r="B282" t="n">
        <v>5180.96</v>
      </c>
      <c r="C282" t="n">
        <v>237</v>
      </c>
      <c r="D282" t="n">
        <v>4931.55</v>
      </c>
    </row>
    <row r="283">
      <c r="A283" t="n">
        <v>727</v>
      </c>
      <c r="B283" t="n">
        <v>2388.97</v>
      </c>
      <c r="C283" t="n">
        <v>387</v>
      </c>
      <c r="D283" t="n">
        <v>9455.530000000001</v>
      </c>
    </row>
    <row r="284">
      <c r="A284" t="n">
        <v>800</v>
      </c>
      <c r="B284" t="n">
        <v>8323.629999999999</v>
      </c>
      <c r="C284" t="n">
        <v>233</v>
      </c>
      <c r="D284" t="n">
        <v>18100.1</v>
      </c>
    </row>
    <row r="285">
      <c r="A285" t="n">
        <v>713</v>
      </c>
      <c r="B285" t="n">
        <v>10603.67</v>
      </c>
      <c r="C285" t="n">
        <v>368</v>
      </c>
      <c r="D285" t="n">
        <v>8323.629999999999</v>
      </c>
    </row>
    <row r="286">
      <c r="A286" t="n">
        <v>806</v>
      </c>
      <c r="B286" t="n">
        <v>8260.200000000001</v>
      </c>
      <c r="C286" t="n">
        <v>189</v>
      </c>
      <c r="D286" t="n">
        <v>27839.91</v>
      </c>
    </row>
    <row r="287">
      <c r="A287" t="n">
        <v>740</v>
      </c>
      <c r="B287" t="n">
        <v>12824.38</v>
      </c>
      <c r="C287" t="n">
        <v>114</v>
      </c>
      <c r="D287" t="n">
        <v>8260.200000000001</v>
      </c>
    </row>
    <row r="288">
      <c r="A288" t="n">
        <v>743</v>
      </c>
      <c r="B288" t="n">
        <v>9916.57</v>
      </c>
      <c r="C288" t="n">
        <v>132</v>
      </c>
      <c r="D288" t="n">
        <v>12473.21</v>
      </c>
    </row>
    <row r="289">
      <c r="A289" t="n">
        <v>726</v>
      </c>
      <c r="B289" t="n">
        <v>10219.78</v>
      </c>
      <c r="C289" t="n">
        <v>189</v>
      </c>
      <c r="D289" t="n">
        <v>2870.61</v>
      </c>
    </row>
    <row r="290">
      <c r="A290" t="n">
        <v>807</v>
      </c>
      <c r="B290" t="n">
        <v>3840.63</v>
      </c>
      <c r="C290" t="n">
        <v>73</v>
      </c>
      <c r="D290" t="n">
        <v>10219.78</v>
      </c>
    </row>
    <row r="291">
      <c r="A291" t="n">
        <v>676</v>
      </c>
      <c r="B291" t="n">
        <v>11936.39</v>
      </c>
      <c r="C291" t="n">
        <v>81</v>
      </c>
      <c r="D291" t="n">
        <v>8478.690000000001</v>
      </c>
    </row>
    <row r="292">
      <c r="A292" t="n">
        <v>668</v>
      </c>
      <c r="B292" t="n">
        <v>14584.84</v>
      </c>
      <c r="C292" t="n">
        <v>107</v>
      </c>
      <c r="D292" t="n">
        <v>13133.3</v>
      </c>
    </row>
    <row r="293">
      <c r="A293" t="n">
        <v>752</v>
      </c>
      <c r="B293" t="n">
        <v>12847.36</v>
      </c>
      <c r="C293" t="n">
        <v>251</v>
      </c>
      <c r="D293" t="n">
        <v>5731.54</v>
      </c>
    </row>
    <row r="294">
      <c r="A294" t="n">
        <v>829</v>
      </c>
      <c r="B294" t="n">
        <v>3810.45</v>
      </c>
      <c r="C294" t="n">
        <v>94</v>
      </c>
      <c r="D294" t="n">
        <v>12689.58</v>
      </c>
    </row>
    <row r="295">
      <c r="A295" t="n">
        <v>838</v>
      </c>
      <c r="B295" t="n">
        <v>4376.11</v>
      </c>
      <c r="C295" t="n">
        <v>430</v>
      </c>
      <c r="D295" t="n">
        <v>10621.99</v>
      </c>
    </row>
    <row r="296">
      <c r="A296" t="n">
        <v>743</v>
      </c>
      <c r="B296" t="n">
        <v>3617.65</v>
      </c>
      <c r="C296" t="n">
        <v>16</v>
      </c>
      <c r="D296" t="n">
        <v>7869.07</v>
      </c>
    </row>
    <row r="297">
      <c r="A297" t="n">
        <v>707</v>
      </c>
      <c r="B297" t="n">
        <v>16145.45</v>
      </c>
      <c r="C297" t="n">
        <v>26</v>
      </c>
      <c r="D297" t="n">
        <v>8686.91</v>
      </c>
    </row>
    <row r="298">
      <c r="A298" t="n">
        <v>689</v>
      </c>
      <c r="B298" t="n">
        <v>15368.55</v>
      </c>
      <c r="C298" t="n">
        <v>206</v>
      </c>
      <c r="D298" t="n">
        <v>5977.42</v>
      </c>
    </row>
    <row r="299">
      <c r="A299" t="n">
        <v>736</v>
      </c>
      <c r="B299" t="n">
        <v>14519.46</v>
      </c>
      <c r="C299" t="n">
        <v>123</v>
      </c>
      <c r="D299" t="n">
        <v>15368.55</v>
      </c>
    </row>
    <row r="300">
      <c r="A300" t="n">
        <v>657</v>
      </c>
      <c r="B300" t="n">
        <v>2698.11</v>
      </c>
      <c r="C300" t="n">
        <v>97</v>
      </c>
      <c r="D300" t="n">
        <v>7007.5</v>
      </c>
    </row>
    <row r="301">
      <c r="A301" t="n">
        <v>620</v>
      </c>
      <c r="B301" t="n">
        <v>18751.33</v>
      </c>
      <c r="C301" t="n">
        <v>63</v>
      </c>
      <c r="D301" t="n">
        <v>14421.16</v>
      </c>
    </row>
    <row r="302">
      <c r="A302" t="n">
        <v>685</v>
      </c>
      <c r="B302" t="n">
        <v>14421.16</v>
      </c>
      <c r="C302" t="n">
        <v>304</v>
      </c>
      <c r="D302" t="n">
        <v>14505.33</v>
      </c>
    </row>
    <row r="303">
      <c r="A303" t="n">
        <v>723</v>
      </c>
      <c r="B303" t="n">
        <v>14505.33</v>
      </c>
      <c r="C303" t="n">
        <v>413</v>
      </c>
      <c r="D303" t="n">
        <v>13271.56</v>
      </c>
    </row>
    <row r="304">
      <c r="A304" t="n">
        <v>700</v>
      </c>
      <c r="B304" t="n">
        <v>8295.09</v>
      </c>
      <c r="C304" t="n">
        <v>148</v>
      </c>
      <c r="D304" t="n">
        <v>11107.66</v>
      </c>
    </row>
    <row r="305">
      <c r="A305" t="n">
        <v>784</v>
      </c>
      <c r="B305" t="n">
        <v>6883.42</v>
      </c>
      <c r="C305" t="n">
        <v>140</v>
      </c>
      <c r="D305" t="n">
        <v>11039.22</v>
      </c>
    </row>
    <row r="306">
      <c r="A306" t="n">
        <v>684</v>
      </c>
      <c r="B306" t="n">
        <v>6414.2</v>
      </c>
      <c r="C306" t="n">
        <v>404</v>
      </c>
      <c r="D306" t="n">
        <v>17526.81</v>
      </c>
    </row>
    <row r="307">
      <c r="A307" t="n">
        <v>732</v>
      </c>
      <c r="B307" t="n">
        <v>8269.370000000001</v>
      </c>
      <c r="C307" t="n">
        <v>287</v>
      </c>
      <c r="D307" t="n">
        <v>8446.209999999999</v>
      </c>
    </row>
    <row r="308">
      <c r="A308" t="n">
        <v>745</v>
      </c>
      <c r="B308" t="n">
        <v>7325.52</v>
      </c>
      <c r="C308" t="n">
        <v>15</v>
      </c>
      <c r="D308" t="n">
        <v>18092.77</v>
      </c>
    </row>
    <row r="309">
      <c r="A309" t="n">
        <v>736</v>
      </c>
      <c r="B309" t="n">
        <v>13954.36</v>
      </c>
      <c r="C309" t="n">
        <v>162</v>
      </c>
      <c r="D309" t="n">
        <v>23510.08</v>
      </c>
    </row>
    <row r="310">
      <c r="A310" t="n">
        <v>689</v>
      </c>
      <c r="B310" t="n">
        <v>5958.86</v>
      </c>
      <c r="C310" t="n">
        <v>349</v>
      </c>
      <c r="D310" t="n">
        <v>9264.969999999999</v>
      </c>
    </row>
    <row r="311">
      <c r="A311" t="n">
        <v>805</v>
      </c>
      <c r="B311" t="n">
        <v>7317.37</v>
      </c>
      <c r="C311" t="n">
        <v>1</v>
      </c>
      <c r="D311" t="n">
        <v>3159.76</v>
      </c>
    </row>
    <row r="312">
      <c r="A312" t="n">
        <v>815</v>
      </c>
      <c r="B312" t="n">
        <v>3159.76</v>
      </c>
      <c r="C312" t="n">
        <v>53</v>
      </c>
      <c r="D312" t="n">
        <v>1086.97</v>
      </c>
    </row>
    <row r="313">
      <c r="A313" t="n">
        <v>708</v>
      </c>
      <c r="B313" t="n">
        <v>11443.52</v>
      </c>
      <c r="C313" t="n">
        <v>15</v>
      </c>
      <c r="D313" t="n">
        <v>11890</v>
      </c>
    </row>
    <row r="314">
      <c r="A314" t="n">
        <v>719</v>
      </c>
      <c r="B314" t="n">
        <v>0</v>
      </c>
      <c r="C314" t="n">
        <v>46</v>
      </c>
      <c r="D314" t="n">
        <v>8520.76</v>
      </c>
    </row>
    <row r="315">
      <c r="A315" t="n">
        <v>697</v>
      </c>
      <c r="B315" t="n">
        <v>7663.64</v>
      </c>
      <c r="C315" t="n">
        <v>257</v>
      </c>
      <c r="D315" t="n">
        <v>10259.1</v>
      </c>
    </row>
    <row r="316">
      <c r="A316" t="n">
        <v>783</v>
      </c>
      <c r="B316" t="n">
        <v>7958.95</v>
      </c>
      <c r="C316" t="n">
        <v>246</v>
      </c>
      <c r="D316" t="n">
        <v>11627.08</v>
      </c>
    </row>
    <row r="317">
      <c r="A317" t="n">
        <v>798</v>
      </c>
      <c r="B317" t="n">
        <v>8657.290000000001</v>
      </c>
      <c r="C317" t="n">
        <v>244</v>
      </c>
      <c r="D317" t="n">
        <v>13408.71</v>
      </c>
    </row>
    <row r="318">
      <c r="A318" t="n">
        <v>654</v>
      </c>
      <c r="B318" t="n">
        <v>5859.5</v>
      </c>
      <c r="C318" t="n">
        <v>201</v>
      </c>
      <c r="D318" t="n">
        <v>13826.15</v>
      </c>
    </row>
    <row r="319">
      <c r="A319" t="n">
        <v>724</v>
      </c>
      <c r="B319" t="n">
        <v>13928.03</v>
      </c>
      <c r="C319" t="n">
        <v>58</v>
      </c>
      <c r="D319" t="n">
        <v>9071.51</v>
      </c>
    </row>
    <row r="320">
      <c r="A320" t="n">
        <v>776</v>
      </c>
      <c r="B320" t="n">
        <v>8103.95</v>
      </c>
      <c r="C320" t="n">
        <v>199</v>
      </c>
      <c r="D320" t="n">
        <v>2096.16</v>
      </c>
    </row>
    <row r="321">
      <c r="A321" t="n">
        <v>679</v>
      </c>
      <c r="B321" t="n">
        <v>26889.45</v>
      </c>
      <c r="C321" t="n">
        <v>280</v>
      </c>
      <c r="D321" t="n">
        <v>8172.22</v>
      </c>
    </row>
    <row r="322">
      <c r="A322" t="n">
        <v>601</v>
      </c>
      <c r="B322" t="n">
        <v>13509.85</v>
      </c>
      <c r="C322" t="n">
        <v>375</v>
      </c>
      <c r="D322" t="n">
        <v>6123.68</v>
      </c>
    </row>
    <row r="323">
      <c r="A323" t="n">
        <v>609</v>
      </c>
      <c r="B323" t="n">
        <v>18971.05</v>
      </c>
      <c r="C323" t="n">
        <v>427</v>
      </c>
      <c r="D323" t="n">
        <v>13509.85</v>
      </c>
    </row>
    <row r="324">
      <c r="A324" t="n">
        <v>643</v>
      </c>
      <c r="B324" t="n">
        <v>18259.88</v>
      </c>
      <c r="C324" t="n">
        <v>410</v>
      </c>
      <c r="D324" t="n">
        <v>3974.06</v>
      </c>
    </row>
    <row r="325">
      <c r="A325" t="n">
        <v>677</v>
      </c>
      <c r="B325" t="n">
        <v>12910.05</v>
      </c>
      <c r="C325" t="n">
        <v>212</v>
      </c>
      <c r="D325" t="n">
        <v>19898.23</v>
      </c>
    </row>
    <row r="326">
      <c r="A326" t="n">
        <v>697</v>
      </c>
      <c r="B326" t="n">
        <v>2979.08</v>
      </c>
      <c r="C326" t="n">
        <v>117</v>
      </c>
      <c r="D326" t="n">
        <v>17211.88</v>
      </c>
    </row>
    <row r="327">
      <c r="A327" t="n">
        <v>663</v>
      </c>
      <c r="B327" t="n">
        <v>14401.66</v>
      </c>
      <c r="C327" t="n">
        <v>227</v>
      </c>
      <c r="D327" t="n">
        <v>22560.86</v>
      </c>
    </row>
    <row r="328">
      <c r="A328" t="n">
        <v>720</v>
      </c>
      <c r="B328" t="n">
        <v>11294.55</v>
      </c>
      <c r="C328" t="n">
        <v>259</v>
      </c>
      <c r="D328" t="n">
        <v>16969.9</v>
      </c>
    </row>
    <row r="329">
      <c r="A329" t="n">
        <v>736</v>
      </c>
      <c r="B329" t="n">
        <v>10770.49</v>
      </c>
      <c r="C329" t="n">
        <v>198</v>
      </c>
      <c r="D329" t="n">
        <v>6314</v>
      </c>
    </row>
    <row r="330">
      <c r="A330" t="n">
        <v>658</v>
      </c>
      <c r="B330" t="n">
        <v>20614.41</v>
      </c>
      <c r="C330" t="n">
        <v>249</v>
      </c>
      <c r="D330" t="n">
        <v>5471.93</v>
      </c>
    </row>
    <row r="331">
      <c r="A331" t="n">
        <v>802</v>
      </c>
      <c r="B331" t="n">
        <v>0</v>
      </c>
      <c r="C331" t="n">
        <v>78</v>
      </c>
      <c r="D331" t="n">
        <v>9961.790000000001</v>
      </c>
    </row>
    <row r="332">
      <c r="A332" t="n">
        <v>710</v>
      </c>
      <c r="B332" t="n">
        <v>10229.79</v>
      </c>
      <c r="C332" t="n">
        <v>87</v>
      </c>
      <c r="D332" t="n">
        <v>10229.79</v>
      </c>
    </row>
    <row r="333">
      <c r="A333" t="n">
        <v>747</v>
      </c>
      <c r="B333" t="n">
        <v>8018.34</v>
      </c>
      <c r="C333" t="n">
        <v>11</v>
      </c>
      <c r="D333" t="n">
        <v>3028.63</v>
      </c>
    </row>
    <row r="334">
      <c r="A334" t="n">
        <v>702</v>
      </c>
      <c r="B334" t="n">
        <v>3663.35</v>
      </c>
      <c r="C334" t="n">
        <v>239</v>
      </c>
      <c r="D334" t="n">
        <v>24064.88</v>
      </c>
    </row>
    <row r="335">
      <c r="A335" t="n">
        <v>736</v>
      </c>
      <c r="B335" t="n">
        <v>6563.22</v>
      </c>
      <c r="C335" t="n">
        <v>346</v>
      </c>
      <c r="D335" t="n">
        <v>3663.35</v>
      </c>
    </row>
    <row r="336">
      <c r="A336" t="n">
        <v>736</v>
      </c>
      <c r="B336" t="n">
        <v>9069.790000000001</v>
      </c>
      <c r="C336" t="n">
        <v>307</v>
      </c>
      <c r="D336" t="n">
        <v>12834.41</v>
      </c>
    </row>
    <row r="337">
      <c r="A337" t="n">
        <v>683</v>
      </c>
      <c r="B337" t="n">
        <v>12834.41</v>
      </c>
      <c r="C337" t="n">
        <v>410</v>
      </c>
      <c r="D337" t="n">
        <v>10895.49</v>
      </c>
    </row>
    <row r="338">
      <c r="A338" t="n">
        <v>714</v>
      </c>
      <c r="B338" t="n">
        <v>14096.36</v>
      </c>
      <c r="C338" t="n">
        <v>28</v>
      </c>
      <c r="D338" t="n">
        <v>19098.35</v>
      </c>
    </row>
    <row r="339">
      <c r="A339" t="n">
        <v>687</v>
      </c>
      <c r="B339" t="n">
        <v>19098.35</v>
      </c>
      <c r="C339" t="n">
        <v>313</v>
      </c>
      <c r="D339" t="n">
        <v>10135.32</v>
      </c>
    </row>
    <row r="340">
      <c r="A340" t="n">
        <v>622</v>
      </c>
      <c r="B340" t="n">
        <v>16167.01</v>
      </c>
      <c r="C340" t="n">
        <v>238</v>
      </c>
      <c r="D340" t="n">
        <v>10425.35</v>
      </c>
    </row>
    <row r="341">
      <c r="A341" t="n">
        <v>638</v>
      </c>
      <c r="B341" t="n">
        <v>16880.95</v>
      </c>
      <c r="C341" t="n">
        <v>375</v>
      </c>
      <c r="D341" t="n">
        <v>11466.12</v>
      </c>
    </row>
    <row r="342">
      <c r="A342" t="n">
        <v>742</v>
      </c>
      <c r="B342" t="n">
        <v>8791.59</v>
      </c>
      <c r="C342" t="n">
        <v>402</v>
      </c>
      <c r="D342" t="n">
        <v>20013.54</v>
      </c>
    </row>
    <row r="343">
      <c r="A343" t="n">
        <v>670</v>
      </c>
      <c r="B343" t="n">
        <v>23024.6</v>
      </c>
      <c r="C343" t="n">
        <v>173</v>
      </c>
      <c r="D343" t="n">
        <v>8853.74</v>
      </c>
    </row>
    <row r="344">
      <c r="A344" t="n">
        <v>767</v>
      </c>
      <c r="B344" t="n">
        <v>8853.74</v>
      </c>
      <c r="C344" t="n">
        <v>159</v>
      </c>
      <c r="D344" t="n">
        <v>13948.5</v>
      </c>
    </row>
    <row r="345">
      <c r="A345" t="n">
        <v>760</v>
      </c>
      <c r="B345" t="n">
        <v>1371.03</v>
      </c>
      <c r="C345" t="n">
        <v>230</v>
      </c>
      <c r="D345" t="n">
        <v>7267.65</v>
      </c>
    </row>
    <row r="346">
      <c r="A346" t="n">
        <v>687</v>
      </c>
      <c r="B346" t="n">
        <v>12445.72</v>
      </c>
      <c r="C346" t="n">
        <v>41</v>
      </c>
      <c r="D346" t="n">
        <v>14708.07</v>
      </c>
    </row>
    <row r="347">
      <c r="A347" t="n">
        <v>726</v>
      </c>
      <c r="B347" t="n">
        <v>9255.299999999999</v>
      </c>
      <c r="C347" t="n">
        <v>78</v>
      </c>
      <c r="D347" t="n">
        <v>4136.17</v>
      </c>
    </row>
    <row r="348">
      <c r="A348" t="n">
        <v>779</v>
      </c>
      <c r="B348" t="n">
        <v>6976.95</v>
      </c>
      <c r="C348" t="n">
        <v>112</v>
      </c>
      <c r="D348" t="n">
        <v>7480.09</v>
      </c>
    </row>
    <row r="349">
      <c r="A349" t="n">
        <v>701</v>
      </c>
      <c r="B349" t="n">
        <v>12459.94</v>
      </c>
      <c r="C349" t="n">
        <v>263</v>
      </c>
      <c r="D349" t="n">
        <v>12459.94</v>
      </c>
    </row>
    <row r="350">
      <c r="A350" t="n">
        <v>654</v>
      </c>
      <c r="B350" t="n">
        <v>15068.28</v>
      </c>
      <c r="C350" t="n">
        <v>309</v>
      </c>
      <c r="D350" t="n">
        <v>24444.54</v>
      </c>
    </row>
    <row r="351">
      <c r="A351" t="n">
        <v>730</v>
      </c>
      <c r="B351" t="n">
        <v>9888.790000000001</v>
      </c>
      <c r="C351" t="n">
        <v>163</v>
      </c>
      <c r="D351" t="n">
        <v>3947.87</v>
      </c>
    </row>
    <row r="352">
      <c r="A352" t="n">
        <v>699</v>
      </c>
      <c r="B352" t="n">
        <v>8643.98</v>
      </c>
      <c r="C352" t="n">
        <v>400</v>
      </c>
      <c r="D352" t="n">
        <v>9729.950000000001</v>
      </c>
    </row>
    <row r="353">
      <c r="A353" t="n">
        <v>626</v>
      </c>
      <c r="B353" t="n">
        <v>25526.84</v>
      </c>
      <c r="C353" t="n">
        <v>412</v>
      </c>
      <c r="D353" t="n">
        <v>15016.03</v>
      </c>
    </row>
    <row r="354">
      <c r="A354" t="n">
        <v>691</v>
      </c>
      <c r="B354" t="n">
        <v>13956.85</v>
      </c>
      <c r="C354" t="n">
        <v>57</v>
      </c>
      <c r="D354" t="n">
        <v>9488.860000000001</v>
      </c>
    </row>
    <row r="355">
      <c r="A355" t="n">
        <v>566</v>
      </c>
      <c r="B355" t="n">
        <v>32614.61</v>
      </c>
      <c r="C355" t="n">
        <v>12</v>
      </c>
      <c r="D355" t="n">
        <v>32614.61</v>
      </c>
    </row>
    <row r="356">
      <c r="A356" t="n">
        <v>683</v>
      </c>
      <c r="B356" t="n">
        <v>9254.51</v>
      </c>
      <c r="C356" t="n">
        <v>51</v>
      </c>
      <c r="D356" t="n">
        <v>14383.33</v>
      </c>
    </row>
    <row r="357">
      <c r="A357" t="n">
        <v>641</v>
      </c>
      <c r="B357" t="n">
        <v>10821.23</v>
      </c>
      <c r="C357" t="n">
        <v>55</v>
      </c>
      <c r="D357" t="n">
        <v>12192.96</v>
      </c>
    </row>
    <row r="358">
      <c r="A358" t="n">
        <v>686</v>
      </c>
      <c r="B358" t="n">
        <v>9487.309999999999</v>
      </c>
      <c r="C358" t="n">
        <v>204</v>
      </c>
      <c r="D358" t="n">
        <v>10821.99</v>
      </c>
    </row>
    <row r="359">
      <c r="A359" t="n">
        <v>779</v>
      </c>
      <c r="B359" t="n">
        <v>6069.22</v>
      </c>
      <c r="C359" t="n">
        <v>358</v>
      </c>
      <c r="D359" t="n">
        <v>764.6799999999999</v>
      </c>
    </row>
    <row r="360">
      <c r="A360" t="n">
        <v>613</v>
      </c>
      <c r="B360" t="n">
        <v>11460.71</v>
      </c>
      <c r="C360" t="n">
        <v>149</v>
      </c>
      <c r="D360" t="n">
        <v>17757.97</v>
      </c>
    </row>
    <row r="361">
      <c r="A361" t="n">
        <v>672</v>
      </c>
      <c r="B361" t="n">
        <v>12694.28</v>
      </c>
      <c r="C361" t="n">
        <v>427</v>
      </c>
      <c r="D361" t="n">
        <v>12694.28</v>
      </c>
    </row>
    <row r="362">
      <c r="A362" t="n">
        <v>711</v>
      </c>
      <c r="B362" t="n">
        <v>10288.09</v>
      </c>
      <c r="C362" t="n">
        <v>304</v>
      </c>
      <c r="D362" t="n">
        <v>15527.46</v>
      </c>
    </row>
    <row r="363">
      <c r="A363" t="n">
        <v>730</v>
      </c>
      <c r="B363" t="n">
        <v>12951.39</v>
      </c>
      <c r="C363" t="n">
        <v>59</v>
      </c>
      <c r="D363" t="n">
        <v>5143.15</v>
      </c>
    </row>
    <row r="364">
      <c r="A364" t="n">
        <v>649</v>
      </c>
      <c r="B364" t="n">
        <v>0</v>
      </c>
      <c r="C364" t="n">
        <v>329</v>
      </c>
      <c r="D364" t="n">
        <v>0</v>
      </c>
    </row>
    <row r="365">
      <c r="A365" t="n">
        <v>710</v>
      </c>
      <c r="B365" t="n">
        <v>14425.79</v>
      </c>
      <c r="C365" t="n">
        <v>98</v>
      </c>
      <c r="D365" t="n">
        <v>2686.55</v>
      </c>
    </row>
    <row r="366">
      <c r="A366" t="n">
        <v>680</v>
      </c>
      <c r="B366" t="n">
        <v>17772.81</v>
      </c>
      <c r="C366" t="n">
        <v>248</v>
      </c>
      <c r="D366" t="n">
        <v>13942.89</v>
      </c>
    </row>
    <row r="367">
      <c r="A367" t="n">
        <v>630</v>
      </c>
      <c r="B367" t="n">
        <v>24668.28</v>
      </c>
      <c r="C367" t="n">
        <v>401</v>
      </c>
      <c r="D367" t="n">
        <v>2884.95</v>
      </c>
    </row>
    <row r="368">
      <c r="A368" t="n">
        <v>610</v>
      </c>
      <c r="B368" t="n">
        <v>17159.3</v>
      </c>
      <c r="C368" t="n">
        <v>31</v>
      </c>
      <c r="D368" t="n">
        <v>22236.87</v>
      </c>
    </row>
    <row r="369">
      <c r="A369" t="n">
        <v>679</v>
      </c>
      <c r="B369" t="n">
        <v>10280.04</v>
      </c>
      <c r="C369" t="n">
        <v>171</v>
      </c>
      <c r="D369" t="n">
        <v>10323.46</v>
      </c>
    </row>
    <row r="370">
      <c r="A370" t="n">
        <v>700</v>
      </c>
      <c r="B370" t="n">
        <v>4459.91</v>
      </c>
      <c r="C370" t="n">
        <v>120</v>
      </c>
      <c r="D370" t="n">
        <v>10683.94</v>
      </c>
    </row>
    <row r="371">
      <c r="A371" t="n">
        <v>641</v>
      </c>
      <c r="B371" t="n">
        <v>18688.03</v>
      </c>
      <c r="C371" t="n">
        <v>224</v>
      </c>
      <c r="D371" t="n">
        <v>4795.47</v>
      </c>
    </row>
    <row r="372">
      <c r="A372" t="n">
        <v>744</v>
      </c>
      <c r="B372" t="n">
        <v>9808.76</v>
      </c>
      <c r="C372" t="n">
        <v>43</v>
      </c>
      <c r="D372" t="n">
        <v>18688.03</v>
      </c>
    </row>
    <row r="373">
      <c r="A373" t="n">
        <v>711</v>
      </c>
      <c r="B373" t="n">
        <v>8611.74</v>
      </c>
      <c r="C373" t="n">
        <v>105</v>
      </c>
      <c r="D373" t="n">
        <v>8611.74</v>
      </c>
    </row>
    <row r="374">
      <c r="A374" t="n">
        <v>713</v>
      </c>
      <c r="B374" t="n">
        <v>6798.76</v>
      </c>
      <c r="C374" t="n">
        <v>111</v>
      </c>
      <c r="D374" t="n">
        <v>13900.06</v>
      </c>
    </row>
    <row r="375">
      <c r="A375" t="n">
        <v>631</v>
      </c>
      <c r="B375" t="n">
        <v>20161.39</v>
      </c>
      <c r="C375" t="n">
        <v>364</v>
      </c>
      <c r="D375" t="n">
        <v>22912.64</v>
      </c>
    </row>
    <row r="376">
      <c r="A376" t="n">
        <v>779</v>
      </c>
      <c r="B376" t="n">
        <v>11591.43</v>
      </c>
      <c r="C376" t="n">
        <v>97</v>
      </c>
      <c r="D376" t="n">
        <v>5511.42</v>
      </c>
    </row>
    <row r="377">
      <c r="A377" t="n">
        <v>795</v>
      </c>
      <c r="B377" t="n">
        <v>5511.42</v>
      </c>
      <c r="C377" t="n">
        <v>209</v>
      </c>
      <c r="D377" t="n">
        <v>25124.01</v>
      </c>
    </row>
    <row r="378">
      <c r="A378" t="n">
        <v>576</v>
      </c>
      <c r="B378" t="n">
        <v>26238.96</v>
      </c>
      <c r="C378" t="n">
        <v>396</v>
      </c>
      <c r="D378" t="n">
        <v>26238.96</v>
      </c>
    </row>
    <row r="379">
      <c r="A379" t="n">
        <v>670</v>
      </c>
      <c r="B379" t="n">
        <v>9715.559999999999</v>
      </c>
      <c r="C379" t="n">
        <v>208</v>
      </c>
      <c r="D379" t="n">
        <v>13430.62</v>
      </c>
    </row>
    <row r="380">
      <c r="A380" t="n">
        <v>791</v>
      </c>
      <c r="B380" t="n">
        <v>5851.54</v>
      </c>
      <c r="C380" t="n">
        <v>149</v>
      </c>
      <c r="D380" t="n">
        <v>6815.88</v>
      </c>
    </row>
    <row r="381">
      <c r="A381" t="n">
        <v>671</v>
      </c>
      <c r="B381" t="n">
        <v>15832.49</v>
      </c>
      <c r="C381" t="n">
        <v>94</v>
      </c>
      <c r="D381" t="n">
        <v>15832.49</v>
      </c>
    </row>
    <row r="382">
      <c r="A382" t="n">
        <v>709</v>
      </c>
      <c r="B382" t="n">
        <v>12710.55</v>
      </c>
      <c r="C382" t="n">
        <v>14</v>
      </c>
      <c r="D382" t="n">
        <v>14261.36</v>
      </c>
    </row>
    <row r="383">
      <c r="A383" t="n">
        <v>761</v>
      </c>
      <c r="B383" t="n">
        <v>10570.84</v>
      </c>
      <c r="C383" t="n">
        <v>257</v>
      </c>
      <c r="D383" t="n">
        <v>7960.31</v>
      </c>
    </row>
    <row r="384">
      <c r="A384" t="n">
        <v>700</v>
      </c>
      <c r="B384" t="n">
        <v>6040.53</v>
      </c>
      <c r="C384" t="n">
        <v>327</v>
      </c>
      <c r="D384" t="n">
        <v>19242.61</v>
      </c>
    </row>
    <row r="385">
      <c r="A385" t="n">
        <v>678</v>
      </c>
      <c r="B385" t="n">
        <v>7899.33</v>
      </c>
      <c r="C385" t="n">
        <v>239</v>
      </c>
      <c r="D385" t="n">
        <v>20543.64</v>
      </c>
    </row>
    <row r="386">
      <c r="A386" t="n">
        <v>720</v>
      </c>
      <c r="B386" t="n">
        <v>17687.67</v>
      </c>
      <c r="C386" t="n">
        <v>379</v>
      </c>
      <c r="D386" t="n">
        <v>15780.12</v>
      </c>
    </row>
    <row r="387">
      <c r="A387" t="n">
        <v>694</v>
      </c>
      <c r="B387" t="n">
        <v>6508.08</v>
      </c>
      <c r="C387" t="n">
        <v>147</v>
      </c>
      <c r="D387" t="n">
        <v>17687.67</v>
      </c>
    </row>
    <row r="388">
      <c r="A388" t="n">
        <v>793</v>
      </c>
      <c r="B388" t="n">
        <v>11359.46</v>
      </c>
      <c r="C388" t="n">
        <v>227</v>
      </c>
      <c r="D388" t="n">
        <v>6508.08</v>
      </c>
    </row>
    <row r="389">
      <c r="A389" t="n">
        <v>656</v>
      </c>
      <c r="B389" t="n">
        <v>5557</v>
      </c>
      <c r="C389" t="n">
        <v>414</v>
      </c>
      <c r="D389" t="n">
        <v>4135.92</v>
      </c>
    </row>
    <row r="390">
      <c r="A390" t="n">
        <v>642</v>
      </c>
      <c r="B390" t="n">
        <v>15804.71</v>
      </c>
      <c r="C390" t="n">
        <v>145</v>
      </c>
      <c r="D390" t="n">
        <v>5557</v>
      </c>
    </row>
    <row r="391">
      <c r="A391" t="n">
        <v>638</v>
      </c>
      <c r="B391" t="n">
        <v>24215.97</v>
      </c>
      <c r="C391" t="n">
        <v>220</v>
      </c>
      <c r="D391" t="n">
        <v>15804.71</v>
      </c>
    </row>
    <row r="392">
      <c r="A392" t="n">
        <v>702</v>
      </c>
      <c r="B392" t="n">
        <v>20052.49</v>
      </c>
      <c r="C392" t="n">
        <v>113</v>
      </c>
      <c r="D392" t="n">
        <v>11332.3</v>
      </c>
    </row>
    <row r="393">
      <c r="A393" t="n">
        <v>691</v>
      </c>
      <c r="B393" t="n">
        <v>24922.07</v>
      </c>
      <c r="C393" t="n">
        <v>15</v>
      </c>
      <c r="D393" t="n">
        <v>24922.07</v>
      </c>
    </row>
    <row r="394">
      <c r="A394" t="n">
        <v>658</v>
      </c>
      <c r="B394" t="n">
        <v>19036.15</v>
      </c>
      <c r="C394" t="n">
        <v>413</v>
      </c>
      <c r="D394" t="n">
        <v>2723.14</v>
      </c>
    </row>
    <row r="395">
      <c r="A395" t="n">
        <v>735</v>
      </c>
      <c r="B395" t="n">
        <v>7287.62</v>
      </c>
      <c r="C395" t="n">
        <v>152</v>
      </c>
      <c r="D395" t="n">
        <v>19036.15</v>
      </c>
    </row>
    <row r="396">
      <c r="A396" t="n">
        <v>701</v>
      </c>
      <c r="B396" t="n">
        <v>6604.52</v>
      </c>
      <c r="C396" t="n">
        <v>7</v>
      </c>
      <c r="D396" t="n">
        <v>7599.12</v>
      </c>
    </row>
    <row r="397">
      <c r="A397" t="n">
        <v>653</v>
      </c>
      <c r="B397" t="n">
        <v>23340.48</v>
      </c>
      <c r="C397" t="n">
        <v>84</v>
      </c>
      <c r="D397" t="n">
        <v>11858.72</v>
      </c>
    </row>
    <row r="398">
      <c r="A398" t="n">
        <v>546</v>
      </c>
      <c r="B398" t="n">
        <v>15484.71</v>
      </c>
      <c r="C398" t="n">
        <v>25</v>
      </c>
      <c r="D398" t="n">
        <v>3104.2</v>
      </c>
    </row>
    <row r="399">
      <c r="A399" t="n">
        <v>660</v>
      </c>
      <c r="B399" t="n">
        <v>18167.54</v>
      </c>
      <c r="C399" t="n">
        <v>0</v>
      </c>
      <c r="D399" t="n">
        <v>6719.55</v>
      </c>
    </row>
    <row r="400">
      <c r="A400" t="n">
        <v>745</v>
      </c>
      <c r="B400" t="n">
        <v>15408.45</v>
      </c>
      <c r="C400" t="n">
        <v>238</v>
      </c>
      <c r="D400" t="n">
        <v>18167.54</v>
      </c>
    </row>
    <row r="401">
      <c r="A401" t="n">
        <v>608</v>
      </c>
      <c r="B401" t="n">
        <v>24135.69</v>
      </c>
      <c r="C401" t="n">
        <v>94</v>
      </c>
      <c r="D401" t="n">
        <v>4668.27</v>
      </c>
    </row>
    <row r="402">
      <c r="A402" t="n">
        <v>587</v>
      </c>
      <c r="B402" t="n">
        <v>29902.28</v>
      </c>
      <c r="C402" t="n">
        <v>230</v>
      </c>
      <c r="D402" t="n">
        <v>29902.28</v>
      </c>
    </row>
    <row r="403">
      <c r="A403" t="n">
        <v>745</v>
      </c>
      <c r="B403" t="n">
        <v>15915.71</v>
      </c>
      <c r="C403" t="n">
        <v>159</v>
      </c>
      <c r="D403" t="n">
        <v>7281.37</v>
      </c>
    </row>
    <row r="404">
      <c r="A404" t="n">
        <v>750</v>
      </c>
      <c r="B404" t="n">
        <v>7127.87</v>
      </c>
      <c r="C404" t="n">
        <v>255</v>
      </c>
      <c r="D404" t="n">
        <v>6193.54</v>
      </c>
    </row>
    <row r="405">
      <c r="A405" t="n">
        <v>569</v>
      </c>
      <c r="B405" t="n">
        <v>25933.98</v>
      </c>
      <c r="C405" t="n">
        <v>219</v>
      </c>
      <c r="D405" t="n">
        <v>12687.79</v>
      </c>
    </row>
    <row r="406">
      <c r="A406" t="n">
        <v>768</v>
      </c>
      <c r="B406" t="n">
        <v>3852.08</v>
      </c>
      <c r="C406" t="n">
        <v>84</v>
      </c>
      <c r="D406" t="n">
        <v>17867.54</v>
      </c>
    </row>
    <row r="407">
      <c r="A407" t="n">
        <v>772</v>
      </c>
      <c r="B407" t="n">
        <v>5265.76</v>
      </c>
      <c r="C407" t="n">
        <v>404</v>
      </c>
      <c r="D407" t="n">
        <v>4026.47</v>
      </c>
    </row>
    <row r="408">
      <c r="A408" t="n">
        <v>750</v>
      </c>
      <c r="B408" t="n">
        <v>8847.91</v>
      </c>
      <c r="C408" t="n">
        <v>211</v>
      </c>
      <c r="D408" t="n">
        <v>8847.91</v>
      </c>
    </row>
    <row r="409">
      <c r="A409" t="n">
        <v>670</v>
      </c>
      <c r="B409" t="n">
        <v>17402.64</v>
      </c>
      <c r="C409" t="n">
        <v>282</v>
      </c>
      <c r="D409" t="n">
        <v>23622.7</v>
      </c>
    </row>
    <row r="410">
      <c r="A410" t="n">
        <v>722</v>
      </c>
      <c r="B410" t="n">
        <v>8692.33</v>
      </c>
      <c r="C410" t="n">
        <v>143</v>
      </c>
      <c r="D410" t="n">
        <v>15404.78</v>
      </c>
    </row>
    <row r="411">
      <c r="A411" t="n">
        <v>751</v>
      </c>
      <c r="B411" t="n">
        <v>3747.08</v>
      </c>
      <c r="C411" t="n">
        <v>30</v>
      </c>
      <c r="D411" t="n">
        <v>4576.35</v>
      </c>
    </row>
    <row r="412">
      <c r="A412" t="n">
        <v>749</v>
      </c>
      <c r="B412" t="n">
        <v>7727.23</v>
      </c>
      <c r="C412" t="n">
        <v>417</v>
      </c>
      <c r="D412" t="n">
        <v>133.74</v>
      </c>
    </row>
    <row r="413">
      <c r="A413" t="n">
        <v>656</v>
      </c>
      <c r="B413" t="n">
        <v>18652.15</v>
      </c>
      <c r="C413" t="n">
        <v>263</v>
      </c>
      <c r="D413" t="n">
        <v>6359.72</v>
      </c>
    </row>
    <row r="414">
      <c r="A414" t="n">
        <v>737</v>
      </c>
      <c r="B414" t="n">
        <v>5843.6</v>
      </c>
      <c r="C414" t="n">
        <v>265</v>
      </c>
      <c r="D414" t="n">
        <v>19409.45</v>
      </c>
    </row>
    <row r="415">
      <c r="A415" t="n">
        <v>712</v>
      </c>
      <c r="B415" t="n">
        <v>6782.63</v>
      </c>
      <c r="C415" t="n">
        <v>93</v>
      </c>
      <c r="D415" t="n">
        <v>7670.49</v>
      </c>
    </row>
    <row r="416">
      <c r="A416" t="n">
        <v>604</v>
      </c>
      <c r="B416" t="n">
        <v>13926.69</v>
      </c>
      <c r="C416" t="n">
        <v>426</v>
      </c>
      <c r="D416" t="n">
        <v>13926.69</v>
      </c>
    </row>
    <row r="417">
      <c r="A417" t="n">
        <v>708</v>
      </c>
      <c r="B417" t="n">
        <v>12815.24</v>
      </c>
      <c r="C417" t="n">
        <v>52</v>
      </c>
      <c r="D417" t="n">
        <v>12815.24</v>
      </c>
    </row>
    <row r="418">
      <c r="A418" t="n">
        <v>719</v>
      </c>
      <c r="B418" t="n">
        <v>13908.56</v>
      </c>
      <c r="C418" t="n">
        <v>232</v>
      </c>
      <c r="D418" t="n">
        <v>14317.67</v>
      </c>
    </row>
    <row r="419">
      <c r="A419" t="n">
        <v>767</v>
      </c>
      <c r="B419" t="n">
        <v>8907.67</v>
      </c>
      <c r="C419" t="n">
        <v>411</v>
      </c>
      <c r="D419" t="n">
        <v>7309.65</v>
      </c>
    </row>
    <row r="420">
      <c r="A420" t="n">
        <v>577</v>
      </c>
      <c r="B420" t="n">
        <v>24406.68</v>
      </c>
      <c r="C420" t="n">
        <v>130</v>
      </c>
      <c r="D420" t="n">
        <v>8907.67</v>
      </c>
    </row>
    <row r="421">
      <c r="A421" t="n">
        <v>768</v>
      </c>
      <c r="B421" t="n">
        <v>12430.16</v>
      </c>
      <c r="C421" t="n">
        <v>71</v>
      </c>
      <c r="D421" t="n">
        <v>11507.75</v>
      </c>
    </row>
    <row r="422">
      <c r="A422" t="n">
        <v>709</v>
      </c>
      <c r="B422" t="n">
        <v>2731.3</v>
      </c>
      <c r="C422" t="n">
        <v>234</v>
      </c>
      <c r="D422" t="n">
        <v>16786.39</v>
      </c>
    </row>
    <row r="423">
      <c r="A423" t="n">
        <v>819</v>
      </c>
      <c r="B423" t="n">
        <v>7140.62</v>
      </c>
      <c r="C423" t="n">
        <v>313</v>
      </c>
      <c r="D423" t="n">
        <v>12933</v>
      </c>
    </row>
    <row r="424">
      <c r="A424" t="n">
        <v>698</v>
      </c>
      <c r="B424" t="n">
        <v>15015.37</v>
      </c>
      <c r="C424" t="n">
        <v>139</v>
      </c>
      <c r="D424" t="n">
        <v>4669.76</v>
      </c>
    </row>
    <row r="425">
      <c r="A425" t="n">
        <v>767</v>
      </c>
      <c r="B425" t="n">
        <v>3536.07</v>
      </c>
      <c r="C425" t="n">
        <v>15</v>
      </c>
      <c r="D425" t="n">
        <v>5374.15</v>
      </c>
    </row>
    <row r="426">
      <c r="A426" t="n">
        <v>699</v>
      </c>
      <c r="B426" t="n">
        <v>7206.33</v>
      </c>
      <c r="C426" t="n">
        <v>162</v>
      </c>
      <c r="D426" t="n">
        <v>0</v>
      </c>
    </row>
    <row r="427">
      <c r="A427" t="n">
        <v>676</v>
      </c>
      <c r="B427" t="n">
        <v>13161.19</v>
      </c>
      <c r="C427" t="n">
        <v>222</v>
      </c>
      <c r="D427" t="n">
        <v>6522.12</v>
      </c>
    </row>
    <row r="428">
      <c r="A428" t="n">
        <v>666</v>
      </c>
      <c r="B428" t="n">
        <v>14615.03</v>
      </c>
      <c r="C428" t="n">
        <v>263</v>
      </c>
      <c r="D428" t="n">
        <v>7873.66</v>
      </c>
    </row>
    <row r="429">
      <c r="A429" t="n">
        <v>626</v>
      </c>
      <c r="B429" t="n">
        <v>18872.36</v>
      </c>
      <c r="C429" t="n">
        <v>423</v>
      </c>
      <c r="D429" t="n">
        <v>15904.25</v>
      </c>
    </row>
    <row r="430">
      <c r="A430" t="n">
        <v>675</v>
      </c>
      <c r="B430" t="n">
        <v>13383.27</v>
      </c>
      <c r="C430" t="n">
        <v>203</v>
      </c>
      <c r="D430" t="n">
        <v>8160.68</v>
      </c>
    </row>
    <row r="431">
      <c r="A431" t="n">
        <v>675</v>
      </c>
      <c r="B431" t="n">
        <v>11540.45</v>
      </c>
      <c r="C431" t="n">
        <v>138</v>
      </c>
      <c r="D431" t="n">
        <v>11540.45</v>
      </c>
    </row>
    <row r="432">
      <c r="A432" t="n">
        <v>702</v>
      </c>
      <c r="B432" t="n">
        <v>21052.21</v>
      </c>
      <c r="C432" t="n">
        <v>200</v>
      </c>
      <c r="D432" t="n">
        <v>13196.95</v>
      </c>
    </row>
    <row r="433">
      <c r="A433" t="n">
        <v>721</v>
      </c>
      <c r="B433" t="n">
        <v>8269.66</v>
      </c>
      <c r="C433" t="n">
        <v>284</v>
      </c>
      <c r="D433" t="n">
        <v>11169.44</v>
      </c>
    </row>
    <row r="434">
      <c r="A434" t="n">
        <v>759</v>
      </c>
      <c r="B434" t="n">
        <v>11832.32</v>
      </c>
      <c r="C434" t="n">
        <v>128</v>
      </c>
      <c r="D434" t="n">
        <v>18543.12</v>
      </c>
    </row>
    <row r="435">
      <c r="A435" t="n">
        <v>694</v>
      </c>
      <c r="B435" t="n">
        <v>12532.14</v>
      </c>
      <c r="C435" t="n">
        <v>253</v>
      </c>
      <c r="D435" t="n">
        <v>11144.06</v>
      </c>
    </row>
    <row r="436">
      <c r="A436" t="n">
        <v>692</v>
      </c>
      <c r="B436" t="n">
        <v>11144.06</v>
      </c>
      <c r="C436" t="n">
        <v>102</v>
      </c>
      <c r="D436" t="n">
        <v>10049.53</v>
      </c>
    </row>
    <row r="437">
      <c r="A437" t="n">
        <v>672</v>
      </c>
      <c r="B437" t="n">
        <v>16671.88</v>
      </c>
      <c r="C437" t="n">
        <v>269</v>
      </c>
      <c r="D437" t="n">
        <v>17123.79</v>
      </c>
    </row>
    <row r="438">
      <c r="A438" t="n">
        <v>673</v>
      </c>
      <c r="B438" t="n">
        <v>16632.18</v>
      </c>
      <c r="C438" t="n">
        <v>58</v>
      </c>
      <c r="D438" t="n">
        <v>7175.84</v>
      </c>
    </row>
    <row r="439">
      <c r="A439" t="n">
        <v>742</v>
      </c>
      <c r="B439" t="n">
        <v>13259.79</v>
      </c>
      <c r="C439" t="n">
        <v>63</v>
      </c>
      <c r="D439" t="n">
        <v>13259.79</v>
      </c>
    </row>
    <row r="440">
      <c r="A440" t="n">
        <v>649</v>
      </c>
      <c r="B440" t="n">
        <v>0</v>
      </c>
      <c r="C440" t="n">
        <v>144</v>
      </c>
      <c r="D440" t="n">
        <v>6300.9</v>
      </c>
    </row>
    <row r="441">
      <c r="A441" t="n">
        <v>776</v>
      </c>
      <c r="B441" t="n">
        <v>7386.89</v>
      </c>
      <c r="C441" t="n">
        <v>35</v>
      </c>
      <c r="D441" t="n">
        <v>7386.89</v>
      </c>
    </row>
    <row r="442">
      <c r="A442" t="n">
        <v>681</v>
      </c>
      <c r="B442" t="n">
        <v>16764.15</v>
      </c>
      <c r="C442" t="n">
        <v>137</v>
      </c>
      <c r="D442" t="n">
        <v>16057.3</v>
      </c>
    </row>
    <row r="443">
      <c r="A443" t="n">
        <v>675</v>
      </c>
      <c r="B443" t="n">
        <v>11789.79</v>
      </c>
      <c r="C443" t="n">
        <v>279</v>
      </c>
      <c r="D443" t="n">
        <v>5939.37</v>
      </c>
    </row>
    <row r="444">
      <c r="A444" t="n">
        <v>627</v>
      </c>
      <c r="B444" t="n">
        <v>13092.62</v>
      </c>
      <c r="C444" t="n">
        <v>286</v>
      </c>
      <c r="D444" t="n">
        <v>13092.62</v>
      </c>
    </row>
    <row r="445">
      <c r="A445" t="n">
        <v>723</v>
      </c>
      <c r="B445" t="n">
        <v>12654.69</v>
      </c>
      <c r="C445" t="n">
        <v>89</v>
      </c>
      <c r="D445" t="n">
        <v>14407.13</v>
      </c>
    </row>
    <row r="446">
      <c r="A446" t="n">
        <v>653</v>
      </c>
      <c r="B446" t="n">
        <v>18071.95</v>
      </c>
      <c r="C446" t="n">
        <v>76</v>
      </c>
      <c r="D446" t="n">
        <v>18071.95</v>
      </c>
    </row>
    <row r="447">
      <c r="A447" t="n">
        <v>787</v>
      </c>
      <c r="B447" t="n">
        <v>2697.27</v>
      </c>
      <c r="C447" t="n">
        <v>353</v>
      </c>
      <c r="D447" t="n">
        <v>30219.93</v>
      </c>
    </row>
    <row r="448">
      <c r="A448" t="n">
        <v>644</v>
      </c>
      <c r="B448" t="n">
        <v>16270.91</v>
      </c>
      <c r="C448" t="n">
        <v>4</v>
      </c>
      <c r="D448" t="n">
        <v>13088.59</v>
      </c>
    </row>
    <row r="449">
      <c r="A449" t="n">
        <v>733</v>
      </c>
      <c r="B449" t="n">
        <v>14529.14</v>
      </c>
      <c r="C449" t="n">
        <v>92</v>
      </c>
      <c r="D449" t="n">
        <v>14529.14</v>
      </c>
    </row>
    <row r="450">
      <c r="A450" t="n">
        <v>666</v>
      </c>
      <c r="B450" t="n">
        <v>19980.69</v>
      </c>
      <c r="C450" t="n">
        <v>388</v>
      </c>
      <c r="D450" t="n">
        <v>10523.26</v>
      </c>
    </row>
    <row r="451">
      <c r="A451" t="n">
        <v>674</v>
      </c>
      <c r="B451" t="n">
        <v>11909.4</v>
      </c>
      <c r="C451" t="n">
        <v>421</v>
      </c>
      <c r="D451" t="n">
        <v>18670.44</v>
      </c>
    </row>
    <row r="452">
      <c r="A452" t="n">
        <v>687</v>
      </c>
      <c r="B452" t="n">
        <v>18670.44</v>
      </c>
      <c r="C452" t="n">
        <v>75</v>
      </c>
      <c r="D452" t="n">
        <v>9056.040000000001</v>
      </c>
    </row>
    <row r="453">
      <c r="A453" t="n">
        <v>751</v>
      </c>
      <c r="B453" t="n">
        <v>9056.040000000001</v>
      </c>
      <c r="C453" t="n">
        <v>77</v>
      </c>
      <c r="D453" t="n">
        <v>13246.9</v>
      </c>
    </row>
    <row r="454">
      <c r="A454" t="n">
        <v>684</v>
      </c>
      <c r="B454" t="n">
        <v>9181.049999999999</v>
      </c>
      <c r="C454" t="n">
        <v>109</v>
      </c>
      <c r="D454" t="n">
        <v>13453.6</v>
      </c>
    </row>
    <row r="455">
      <c r="A455" t="n">
        <v>720</v>
      </c>
      <c r="B455" t="n">
        <v>12447.35</v>
      </c>
      <c r="C455" t="n">
        <v>398</v>
      </c>
      <c r="D455" t="n">
        <v>11508.1</v>
      </c>
    </row>
    <row r="456">
      <c r="A456" t="n">
        <v>667</v>
      </c>
      <c r="B456" t="n">
        <v>13246.9</v>
      </c>
      <c r="C456" t="n">
        <v>54</v>
      </c>
      <c r="D456" t="n">
        <v>24615.53</v>
      </c>
    </row>
    <row r="457">
      <c r="A457" t="n">
        <v>642</v>
      </c>
      <c r="B457" t="n">
        <v>24595.58</v>
      </c>
      <c r="C457" t="n">
        <v>221</v>
      </c>
      <c r="D457" t="n">
        <v>14580.72</v>
      </c>
    </row>
    <row r="458">
      <c r="A458" t="n">
        <v>602</v>
      </c>
      <c r="B458" t="n">
        <v>14411.95</v>
      </c>
      <c r="C458" t="n">
        <v>199</v>
      </c>
      <c r="D458" t="n">
        <v>14411.95</v>
      </c>
    </row>
    <row r="459">
      <c r="A459" t="n">
        <v>726</v>
      </c>
      <c r="B459" t="n">
        <v>6051.89</v>
      </c>
      <c r="C459" t="n">
        <v>143</v>
      </c>
      <c r="D459" t="n">
        <v>7199.44</v>
      </c>
    </row>
    <row r="460">
      <c r="A460" t="n">
        <v>643</v>
      </c>
      <c r="B460" t="n">
        <v>11763.62</v>
      </c>
      <c r="C460" t="n">
        <v>74</v>
      </c>
      <c r="D460" t="n">
        <v>4576.25</v>
      </c>
    </row>
    <row r="461">
      <c r="A461" t="n">
        <v>751</v>
      </c>
      <c r="B461" t="n">
        <v>5547.26</v>
      </c>
      <c r="C461" t="n">
        <v>309</v>
      </c>
      <c r="D461" t="n">
        <v>8598.549999999999</v>
      </c>
    </row>
    <row r="462">
      <c r="A462" t="n">
        <v>693</v>
      </c>
      <c r="B462" t="n">
        <v>9497.200000000001</v>
      </c>
      <c r="C462" t="n">
        <v>244</v>
      </c>
      <c r="D462" t="n">
        <v>0</v>
      </c>
    </row>
    <row r="463">
      <c r="A463" t="n">
        <v>744</v>
      </c>
      <c r="B463" t="n">
        <v>6458.56</v>
      </c>
      <c r="C463" t="n">
        <v>181</v>
      </c>
      <c r="D463" t="n">
        <v>15338.65</v>
      </c>
    </row>
    <row r="464">
      <c r="A464" t="n">
        <v>740</v>
      </c>
      <c r="B464" t="n">
        <v>5715.84</v>
      </c>
      <c r="C464" t="n">
        <v>360</v>
      </c>
      <c r="D464" t="n">
        <v>7682.08</v>
      </c>
    </row>
    <row r="465">
      <c r="A465" t="n">
        <v>733</v>
      </c>
      <c r="B465" t="n">
        <v>7682.08</v>
      </c>
      <c r="C465" t="n">
        <v>160</v>
      </c>
      <c r="D465" t="n">
        <v>8679.190000000001</v>
      </c>
    </row>
    <row r="466">
      <c r="A466" t="n">
        <v>748</v>
      </c>
      <c r="B466" t="n">
        <v>8679.190000000001</v>
      </c>
      <c r="C466" t="n">
        <v>378</v>
      </c>
      <c r="D466" t="n">
        <v>0</v>
      </c>
    </row>
    <row r="467">
      <c r="A467" t="n">
        <v>638</v>
      </c>
      <c r="B467" t="n">
        <v>25138.74</v>
      </c>
      <c r="C467" t="n">
        <v>271</v>
      </c>
      <c r="D467" t="n">
        <v>16052.52</v>
      </c>
    </row>
    <row r="468">
      <c r="A468" t="n">
        <v>712</v>
      </c>
      <c r="B468" t="n">
        <v>10493.55</v>
      </c>
      <c r="C468" t="n">
        <v>400</v>
      </c>
      <c r="D468" t="n">
        <v>14104.55</v>
      </c>
    </row>
    <row r="469">
      <c r="A469" t="n">
        <v>686</v>
      </c>
      <c r="B469" t="n">
        <v>16433.17</v>
      </c>
      <c r="C469" t="n">
        <v>291</v>
      </c>
      <c r="D469" t="n">
        <v>17290.21</v>
      </c>
    </row>
    <row r="470">
      <c r="A470" t="n">
        <v>718</v>
      </c>
      <c r="B470" t="n">
        <v>16798.03</v>
      </c>
      <c r="C470" t="n">
        <v>237</v>
      </c>
      <c r="D470" t="n">
        <v>21175.18</v>
      </c>
    </row>
    <row r="471">
      <c r="A471" t="n">
        <v>727</v>
      </c>
      <c r="B471" t="n">
        <v>2217.92</v>
      </c>
      <c r="C471" t="n">
        <v>275</v>
      </c>
      <c r="D471" t="n">
        <v>16798.03</v>
      </c>
    </row>
    <row r="472">
      <c r="A472" t="n">
        <v>600</v>
      </c>
      <c r="B472" t="n">
        <v>16133.54</v>
      </c>
      <c r="C472" t="n">
        <v>233</v>
      </c>
      <c r="D472" t="n">
        <v>4786.54</v>
      </c>
    </row>
    <row r="473">
      <c r="A473" t="n">
        <v>769</v>
      </c>
      <c r="B473" t="n">
        <v>4786.54</v>
      </c>
      <c r="C473" t="n">
        <v>196</v>
      </c>
      <c r="D473" t="n">
        <v>10492.03</v>
      </c>
    </row>
    <row r="474">
      <c r="A474" t="n">
        <v>789</v>
      </c>
      <c r="B474" t="n">
        <v>7387.68</v>
      </c>
      <c r="C474" t="n">
        <v>151</v>
      </c>
      <c r="D474" t="n">
        <v>10697.49</v>
      </c>
    </row>
    <row r="475">
      <c r="A475" t="n">
        <v>580</v>
      </c>
      <c r="B475" t="n">
        <v>12247.97</v>
      </c>
      <c r="C475" t="n">
        <v>383</v>
      </c>
      <c r="D475" t="n">
        <v>8815.379999999999</v>
      </c>
    </row>
    <row r="476">
      <c r="A476" t="n">
        <v>764</v>
      </c>
      <c r="B476" t="n">
        <v>6343.93</v>
      </c>
      <c r="C476" t="n">
        <v>434</v>
      </c>
      <c r="D476" t="n">
        <v>11369.26</v>
      </c>
    </row>
    <row r="477">
      <c r="A477" t="n">
        <v>679</v>
      </c>
      <c r="B477" t="n">
        <v>20814.04</v>
      </c>
      <c r="C477" t="n">
        <v>309</v>
      </c>
      <c r="D477" t="n">
        <v>7461.27</v>
      </c>
    </row>
    <row r="478">
      <c r="A478" t="n">
        <v>655</v>
      </c>
      <c r="B478" t="n">
        <v>7851.96</v>
      </c>
      <c r="C478" t="n">
        <v>314</v>
      </c>
      <c r="D478" t="n">
        <v>7851.96</v>
      </c>
    </row>
    <row r="479">
      <c r="A479" t="n">
        <v>707</v>
      </c>
      <c r="B479" t="n">
        <v>14575.28</v>
      </c>
      <c r="C479" t="n">
        <v>91</v>
      </c>
      <c r="D479" t="n">
        <v>7906.95</v>
      </c>
    </row>
    <row r="480">
      <c r="A480" t="n">
        <v>764</v>
      </c>
      <c r="B480" t="n">
        <v>8546.379999999999</v>
      </c>
      <c r="C480" t="n">
        <v>7</v>
      </c>
      <c r="D480" t="n">
        <v>11711.81</v>
      </c>
    </row>
    <row r="481">
      <c r="A481" t="n">
        <v>683</v>
      </c>
      <c r="B481" t="n">
        <v>13432.76</v>
      </c>
      <c r="C481" t="n">
        <v>206</v>
      </c>
      <c r="D481" t="n">
        <v>6505.25</v>
      </c>
    </row>
    <row r="482">
      <c r="A482" t="n">
        <v>662</v>
      </c>
      <c r="B482" t="n">
        <v>20308.8</v>
      </c>
      <c r="C482" t="n">
        <v>47</v>
      </c>
      <c r="D482" t="n">
        <v>13432.76</v>
      </c>
    </row>
    <row r="483">
      <c r="A483" t="n">
        <v>714</v>
      </c>
      <c r="B483" t="n">
        <v>4147.5</v>
      </c>
      <c r="C483" t="n">
        <v>276</v>
      </c>
      <c r="D483" t="n">
        <v>20308.8</v>
      </c>
    </row>
    <row r="484">
      <c r="A484" t="n">
        <v>845</v>
      </c>
      <c r="B484" t="n">
        <v>2427.22</v>
      </c>
      <c r="C484" t="n">
        <v>307</v>
      </c>
      <c r="D484" t="n">
        <v>25119.38</v>
      </c>
    </row>
    <row r="485">
      <c r="A485" t="n">
        <v>653</v>
      </c>
      <c r="B485" t="n">
        <v>16784.2</v>
      </c>
      <c r="C485" t="n">
        <v>165</v>
      </c>
      <c r="D485" t="n">
        <v>4147.5</v>
      </c>
    </row>
    <row r="486">
      <c r="A486" t="n">
        <v>653</v>
      </c>
      <c r="B486" t="n">
        <v>18844.47</v>
      </c>
      <c r="C486" t="n">
        <v>183</v>
      </c>
      <c r="D486" t="n">
        <v>18844.47</v>
      </c>
    </row>
    <row r="487">
      <c r="A487" t="n">
        <v>823</v>
      </c>
      <c r="B487" t="n">
        <v>1977.86</v>
      </c>
      <c r="C487" t="n">
        <v>353</v>
      </c>
      <c r="D487" t="n">
        <v>15109.57</v>
      </c>
    </row>
    <row r="488">
      <c r="A488" t="n">
        <v>756</v>
      </c>
      <c r="B488" t="n">
        <v>5636.13</v>
      </c>
      <c r="C488" t="n">
        <v>427</v>
      </c>
      <c r="D488" t="n">
        <v>22251.57</v>
      </c>
    </row>
    <row r="489">
      <c r="A489" t="n">
        <v>582</v>
      </c>
      <c r="B489" t="n">
        <v>10895.92</v>
      </c>
      <c r="C489" t="n">
        <v>174</v>
      </c>
      <c r="D489" t="n">
        <v>12943.66</v>
      </c>
    </row>
    <row r="490">
      <c r="A490" t="n">
        <v>669</v>
      </c>
      <c r="B490" t="n">
        <v>15387.04</v>
      </c>
      <c r="C490" t="n">
        <v>144</v>
      </c>
      <c r="D490" t="n">
        <v>9840.870000000001</v>
      </c>
    </row>
    <row r="491">
      <c r="A491" t="n">
        <v>681</v>
      </c>
      <c r="B491" t="n">
        <v>13415.18</v>
      </c>
      <c r="C491" t="n">
        <v>66</v>
      </c>
      <c r="D491" t="n">
        <v>7499.08</v>
      </c>
    </row>
    <row r="492">
      <c r="A492" t="n">
        <v>620</v>
      </c>
      <c r="B492" t="n">
        <v>12171.33</v>
      </c>
      <c r="C492" t="n">
        <v>270</v>
      </c>
      <c r="D492" t="n">
        <v>15387.04</v>
      </c>
    </row>
    <row r="493">
      <c r="A493" t="n">
        <v>745</v>
      </c>
      <c r="B493" t="n">
        <v>12480.29</v>
      </c>
      <c r="C493" t="n">
        <v>281</v>
      </c>
      <c r="D493" t="n">
        <v>6172.58</v>
      </c>
    </row>
    <row r="494">
      <c r="A494" t="n">
        <v>680</v>
      </c>
      <c r="B494" t="n">
        <v>18164.07</v>
      </c>
      <c r="C494" t="n">
        <v>30</v>
      </c>
      <c r="D494" t="n">
        <v>0</v>
      </c>
    </row>
    <row r="495">
      <c r="A495" t="n">
        <v>698</v>
      </c>
      <c r="B495" t="n">
        <v>10710.71</v>
      </c>
      <c r="C495" t="n">
        <v>121</v>
      </c>
      <c r="D495" t="n">
        <v>10381.71</v>
      </c>
    </row>
    <row r="496">
      <c r="A496" t="n">
        <v>650</v>
      </c>
      <c r="B496" t="n">
        <v>15568.7</v>
      </c>
      <c r="C496" t="n">
        <v>195</v>
      </c>
      <c r="D496" t="n">
        <v>16000.01</v>
      </c>
    </row>
    <row r="497">
      <c r="A497" t="n">
        <v>654</v>
      </c>
      <c r="B497" t="n">
        <v>12968.83</v>
      </c>
      <c r="C497" t="n">
        <v>108</v>
      </c>
      <c r="D497" t="n">
        <v>4276.01</v>
      </c>
    </row>
    <row r="498">
      <c r="A498" t="n">
        <v>574</v>
      </c>
      <c r="B498" t="n">
        <v>24461.91</v>
      </c>
      <c r="C498" t="n">
        <v>38</v>
      </c>
      <c r="D498" t="n">
        <v>15611.08</v>
      </c>
    </row>
    <row r="499">
      <c r="A499" t="n">
        <v>650</v>
      </c>
      <c r="B499" t="n">
        <v>15386.02</v>
      </c>
      <c r="C499" t="n">
        <v>364</v>
      </c>
      <c r="D499" t="n">
        <v>15286.03</v>
      </c>
    </row>
    <row r="500">
      <c r="A500" t="n">
        <v>667</v>
      </c>
      <c r="B500" t="n">
        <v>21400.9</v>
      </c>
      <c r="C500" t="n">
        <v>153</v>
      </c>
      <c r="D500" t="n">
        <v>15386.02</v>
      </c>
    </row>
    <row r="501">
      <c r="A501" t="n">
        <v>736</v>
      </c>
      <c r="B501" t="n">
        <v>2746.04</v>
      </c>
      <c r="C501" t="n">
        <v>204</v>
      </c>
      <c r="D501" t="n">
        <v>21400.9</v>
      </c>
    </row>
    <row r="502">
      <c r="A502" t="n">
        <v>598</v>
      </c>
      <c r="B502" t="n">
        <v>21231.29</v>
      </c>
      <c r="C502" t="n">
        <v>53</v>
      </c>
      <c r="D502" t="n">
        <v>21231.29</v>
      </c>
    </row>
    <row r="503">
      <c r="A503" t="n">
        <v>796</v>
      </c>
      <c r="B503" t="n">
        <v>2054.02</v>
      </c>
      <c r="C503" t="n">
        <v>74</v>
      </c>
      <c r="D503" t="n">
        <v>2343.23</v>
      </c>
    </row>
    <row r="504">
      <c r="A504" t="n">
        <v>743</v>
      </c>
      <c r="B504" t="n">
        <v>5872.58</v>
      </c>
      <c r="C504" t="n">
        <v>165</v>
      </c>
      <c r="D504" t="n">
        <v>487.7</v>
      </c>
    </row>
    <row r="505">
      <c r="A505" t="n">
        <v>700</v>
      </c>
      <c r="B505" t="n">
        <v>5617.29</v>
      </c>
      <c r="C505" t="n">
        <v>32</v>
      </c>
      <c r="D505" t="n">
        <v>5617.29</v>
      </c>
    </row>
    <row r="506">
      <c r="A506" t="n">
        <v>639</v>
      </c>
      <c r="B506" t="n">
        <v>6979.41</v>
      </c>
      <c r="C506" t="n">
        <v>0</v>
      </c>
      <c r="D506" t="n">
        <v>12677.27</v>
      </c>
    </row>
    <row r="507">
      <c r="A507" t="n">
        <v>754</v>
      </c>
      <c r="B507" t="n">
        <v>12677.27</v>
      </c>
      <c r="C507" t="n">
        <v>164</v>
      </c>
      <c r="D507" t="n">
        <v>3538.08</v>
      </c>
    </row>
    <row r="508">
      <c r="A508" t="n">
        <v>727</v>
      </c>
      <c r="B508" t="n">
        <v>2527.5</v>
      </c>
      <c r="C508" t="n">
        <v>144</v>
      </c>
      <c r="D508" t="n">
        <v>7013.51</v>
      </c>
    </row>
    <row r="509">
      <c r="A509" t="n">
        <v>722</v>
      </c>
      <c r="B509" t="n">
        <v>4605.24</v>
      </c>
      <c r="C509" t="n">
        <v>100</v>
      </c>
      <c r="D509" t="n">
        <v>8199.75</v>
      </c>
    </row>
    <row r="510">
      <c r="A510" t="n">
        <v>738</v>
      </c>
      <c r="B510" t="n">
        <v>3538.08</v>
      </c>
      <c r="C510" t="n">
        <v>15</v>
      </c>
      <c r="D510" t="n">
        <v>10050.16</v>
      </c>
    </row>
    <row r="511">
      <c r="A511" t="n">
        <v>711</v>
      </c>
      <c r="B511" t="n">
        <v>10050.16</v>
      </c>
      <c r="C511" t="n">
        <v>275</v>
      </c>
      <c r="D511" t="n">
        <v>17622.62</v>
      </c>
    </row>
    <row r="512">
      <c r="A512" t="n">
        <v>621</v>
      </c>
      <c r="B512" t="n">
        <v>16962.15</v>
      </c>
      <c r="C512" t="n">
        <v>375</v>
      </c>
      <c r="D512" t="n">
        <v>8546.799999999999</v>
      </c>
    </row>
    <row r="513">
      <c r="A513" t="n">
        <v>595</v>
      </c>
      <c r="B513" t="n">
        <v>21728.78</v>
      </c>
      <c r="C513" t="n">
        <v>160</v>
      </c>
      <c r="D513" t="n">
        <v>9824.780000000001</v>
      </c>
    </row>
    <row r="514">
      <c r="A514" t="n">
        <v>794</v>
      </c>
      <c r="B514" t="n">
        <v>8616.870000000001</v>
      </c>
      <c r="C514" t="n">
        <v>186</v>
      </c>
      <c r="D514" t="n">
        <v>14960.49</v>
      </c>
    </row>
    <row r="515">
      <c r="A515" t="n">
        <v>632</v>
      </c>
      <c r="B515" t="n">
        <v>7751.32</v>
      </c>
      <c r="C515" t="n">
        <v>115</v>
      </c>
      <c r="D515" t="n">
        <v>10376.49</v>
      </c>
    </row>
    <row r="516">
      <c r="A516" t="n">
        <v>717</v>
      </c>
      <c r="B516" t="n">
        <v>8564.870000000001</v>
      </c>
      <c r="C516" t="n">
        <v>60</v>
      </c>
      <c r="D516" t="n">
        <v>11503.61</v>
      </c>
    </row>
    <row r="517">
      <c r="A517" t="n">
        <v>676</v>
      </c>
      <c r="B517" t="n">
        <v>886.71</v>
      </c>
      <c r="C517" t="n">
        <v>421</v>
      </c>
      <c r="D517" t="n">
        <v>8564.870000000001</v>
      </c>
    </row>
    <row r="518">
      <c r="A518" t="n">
        <v>659</v>
      </c>
      <c r="B518" t="n">
        <v>7521.85</v>
      </c>
      <c r="C518" t="n">
        <v>43</v>
      </c>
      <c r="D518" t="n">
        <v>10908.9</v>
      </c>
    </row>
    <row r="519">
      <c r="A519" t="n">
        <v>669</v>
      </c>
      <c r="B519" t="n">
        <v>16784.08</v>
      </c>
      <c r="C519" t="n">
        <v>195</v>
      </c>
      <c r="D519" t="n">
        <v>2906.05</v>
      </c>
    </row>
    <row r="520">
      <c r="A520" t="n">
        <v>756</v>
      </c>
      <c r="B520" t="n">
        <v>4614.46</v>
      </c>
      <c r="C520" t="n">
        <v>140</v>
      </c>
      <c r="D520" t="n">
        <v>14237.59</v>
      </c>
    </row>
    <row r="521">
      <c r="A521" t="n">
        <v>692</v>
      </c>
      <c r="B521" t="n">
        <v>9021.82</v>
      </c>
      <c r="C521" t="n">
        <v>321</v>
      </c>
      <c r="D521" t="n">
        <v>6691.55</v>
      </c>
    </row>
    <row r="522">
      <c r="A522" t="n">
        <v>713</v>
      </c>
      <c r="B522" t="n">
        <v>11085.68</v>
      </c>
      <c r="C522" t="n">
        <v>223</v>
      </c>
      <c r="D522" t="n">
        <v>11098.45</v>
      </c>
    </row>
    <row r="523">
      <c r="A523" t="n">
        <v>639</v>
      </c>
      <c r="B523" t="n">
        <v>20015.68</v>
      </c>
      <c r="C523" t="n">
        <v>146</v>
      </c>
      <c r="D523" t="n">
        <v>11085.68</v>
      </c>
    </row>
    <row r="524">
      <c r="A524" t="n">
        <v>643</v>
      </c>
      <c r="B524" t="n">
        <v>10618.12</v>
      </c>
      <c r="C524" t="n">
        <v>32</v>
      </c>
      <c r="D524" t="n">
        <v>14389.43</v>
      </c>
    </row>
    <row r="525">
      <c r="A525" t="n">
        <v>718</v>
      </c>
      <c r="B525" t="n">
        <v>12124.23</v>
      </c>
      <c r="C525" t="n">
        <v>381</v>
      </c>
      <c r="D525" t="n">
        <v>12124.23</v>
      </c>
    </row>
    <row r="526">
      <c r="A526" t="n">
        <v>710</v>
      </c>
      <c r="B526" t="n">
        <v>19359.75</v>
      </c>
      <c r="C526" t="n">
        <v>33</v>
      </c>
      <c r="D526" t="n">
        <v>15975.11</v>
      </c>
    </row>
    <row r="527">
      <c r="A527" t="n">
        <v>706</v>
      </c>
      <c r="B527" t="n">
        <v>21835.71</v>
      </c>
      <c r="C527" t="n">
        <v>216</v>
      </c>
      <c r="D527" t="n">
        <v>18982.87</v>
      </c>
    </row>
    <row r="528">
      <c r="A528" t="n">
        <v>754</v>
      </c>
      <c r="B528" t="n">
        <v>0</v>
      </c>
      <c r="C528" t="n">
        <v>48</v>
      </c>
      <c r="D528" t="n">
        <v>14650.39</v>
      </c>
    </row>
    <row r="529">
      <c r="A529" t="n">
        <v>730</v>
      </c>
      <c r="B529" t="n">
        <v>15834.68</v>
      </c>
      <c r="C529" t="n">
        <v>169</v>
      </c>
      <c r="D529" t="n">
        <v>6501.41</v>
      </c>
    </row>
    <row r="530">
      <c r="A530" t="n">
        <v>752</v>
      </c>
      <c r="B530" t="n">
        <v>7954.97</v>
      </c>
      <c r="C530" t="n">
        <v>214</v>
      </c>
      <c r="D530" t="n">
        <v>15834.68</v>
      </c>
    </row>
    <row r="531">
      <c r="A531" t="n">
        <v>736</v>
      </c>
      <c r="B531" t="n">
        <v>13963.96</v>
      </c>
      <c r="C531" t="n">
        <v>103</v>
      </c>
      <c r="D531" t="n">
        <v>22918.88</v>
      </c>
    </row>
    <row r="532">
      <c r="A532" t="n">
        <v>791</v>
      </c>
      <c r="B532" t="n">
        <v>7583.11</v>
      </c>
      <c r="C532" t="n">
        <v>26</v>
      </c>
      <c r="D532" t="n">
        <v>7583.11</v>
      </c>
    </row>
    <row r="533">
      <c r="A533" t="n">
        <v>758</v>
      </c>
      <c r="B533" t="n">
        <v>6506.63</v>
      </c>
      <c r="C533" t="n">
        <v>13</v>
      </c>
      <c r="D533" t="n">
        <v>6506.63</v>
      </c>
    </row>
    <row r="534">
      <c r="A534" t="n">
        <v>671</v>
      </c>
      <c r="B534" t="n">
        <v>22210.86</v>
      </c>
      <c r="C534" t="n">
        <v>424</v>
      </c>
      <c r="D534" t="n">
        <v>13848.63</v>
      </c>
    </row>
    <row r="535">
      <c r="A535" t="n">
        <v>735</v>
      </c>
      <c r="B535" t="n">
        <v>2624.52</v>
      </c>
      <c r="C535" t="n">
        <v>43</v>
      </c>
      <c r="D535" t="n">
        <v>9510.15</v>
      </c>
    </row>
    <row r="536">
      <c r="A536" t="n">
        <v>643</v>
      </c>
      <c r="B536" t="n">
        <v>15653.52</v>
      </c>
      <c r="C536" t="n">
        <v>420</v>
      </c>
      <c r="D536" t="n">
        <v>11888.33</v>
      </c>
    </row>
    <row r="537">
      <c r="A537" t="n">
        <v>796</v>
      </c>
      <c r="B537" t="n">
        <v>7676.27</v>
      </c>
      <c r="C537" t="n">
        <v>422</v>
      </c>
      <c r="D537" t="n">
        <v>2295.95</v>
      </c>
    </row>
    <row r="538">
      <c r="A538" t="n">
        <v>703</v>
      </c>
      <c r="B538" t="n">
        <v>24306.25</v>
      </c>
      <c r="C538" t="n">
        <v>233</v>
      </c>
      <c r="D538" t="n">
        <v>10404.82</v>
      </c>
    </row>
    <row r="539">
      <c r="A539" t="n">
        <v>678</v>
      </c>
      <c r="B539" t="n">
        <v>19109.06</v>
      </c>
      <c r="C539" t="n">
        <v>297</v>
      </c>
      <c r="D539" t="n">
        <v>24306.25</v>
      </c>
    </row>
    <row r="540">
      <c r="A540" t="n">
        <v>728</v>
      </c>
      <c r="B540" t="n">
        <v>3852.84</v>
      </c>
      <c r="C540" t="n">
        <v>186</v>
      </c>
      <c r="D540" t="n">
        <v>19109.06</v>
      </c>
    </row>
    <row r="541">
      <c r="A541" t="n">
        <v>696</v>
      </c>
      <c r="B541" t="n">
        <v>12999.78</v>
      </c>
      <c r="C541" t="n">
        <v>369</v>
      </c>
      <c r="D541" t="n">
        <v>3673.28</v>
      </c>
    </row>
    <row r="542">
      <c r="A542" t="n">
        <v>735</v>
      </c>
      <c r="B542" t="n">
        <v>8340.110000000001</v>
      </c>
      <c r="C542" t="n">
        <v>269</v>
      </c>
      <c r="D542" t="n">
        <v>12861.03</v>
      </c>
    </row>
    <row r="543">
      <c r="A543" t="n">
        <v>615</v>
      </c>
      <c r="B543" t="n">
        <v>14555.46</v>
      </c>
      <c r="C543" t="n">
        <v>30</v>
      </c>
      <c r="D543" t="n">
        <v>12527.66</v>
      </c>
    </row>
    <row r="544">
      <c r="A544" t="n">
        <v>810</v>
      </c>
      <c r="B544" t="n">
        <v>4153.54</v>
      </c>
      <c r="C544" t="n">
        <v>369</v>
      </c>
      <c r="D544" t="n">
        <v>7324.97</v>
      </c>
    </row>
    <row r="545">
      <c r="A545" t="n">
        <v>690</v>
      </c>
      <c r="B545" t="n">
        <v>16546.68</v>
      </c>
      <c r="C545" t="n">
        <v>159</v>
      </c>
      <c r="D545" t="n">
        <v>14555.46</v>
      </c>
    </row>
    <row r="546">
      <c r="A546" t="n">
        <v>721</v>
      </c>
      <c r="B546" t="n">
        <v>10124.43</v>
      </c>
      <c r="C546" t="n">
        <v>61</v>
      </c>
      <c r="D546" t="n">
        <v>3868.55</v>
      </c>
    </row>
    <row r="547">
      <c r="A547" t="n">
        <v>759</v>
      </c>
      <c r="B547" t="n">
        <v>11926.5</v>
      </c>
      <c r="C547" t="n">
        <v>256</v>
      </c>
      <c r="D547" t="n">
        <v>20847.22</v>
      </c>
    </row>
    <row r="548">
      <c r="A548" t="n">
        <v>846</v>
      </c>
      <c r="B548" t="n">
        <v>4138.19</v>
      </c>
      <c r="C548" t="n">
        <v>348</v>
      </c>
      <c r="D548" t="n">
        <v>7199.86</v>
      </c>
    </row>
    <row r="549">
      <c r="A549" t="n">
        <v>586</v>
      </c>
      <c r="B549" t="n">
        <v>27188.04</v>
      </c>
      <c r="C549" t="n">
        <v>426</v>
      </c>
      <c r="D549" t="n">
        <v>9504.950000000001</v>
      </c>
    </row>
    <row r="550">
      <c r="A550" t="n">
        <v>705</v>
      </c>
      <c r="B550" t="n">
        <v>13831.61</v>
      </c>
      <c r="C550" t="n">
        <v>128</v>
      </c>
      <c r="D550" t="n">
        <v>18743.96</v>
      </c>
    </row>
    <row r="551">
      <c r="A551" t="n">
        <v>752</v>
      </c>
      <c r="B551" t="n">
        <v>12522.2</v>
      </c>
      <c r="C551" t="n">
        <v>355</v>
      </c>
      <c r="D551" t="n">
        <v>12008.08</v>
      </c>
    </row>
    <row r="552">
      <c r="A552" t="n">
        <v>663</v>
      </c>
      <c r="B552" t="n">
        <v>11074.79</v>
      </c>
      <c r="C552" t="n">
        <v>56</v>
      </c>
      <c r="D552" t="n">
        <v>17980.19</v>
      </c>
    </row>
    <row r="553">
      <c r="A553" t="n">
        <v>723</v>
      </c>
      <c r="B553" t="n">
        <v>10196.17</v>
      </c>
      <c r="C553" t="n">
        <v>106</v>
      </c>
      <c r="D553" t="n">
        <v>11074.79</v>
      </c>
    </row>
    <row r="554">
      <c r="A554" t="n">
        <v>698</v>
      </c>
      <c r="B554" t="n">
        <v>10387.33</v>
      </c>
      <c r="C554" t="n">
        <v>86</v>
      </c>
      <c r="D554" t="n">
        <v>18112.63</v>
      </c>
    </row>
    <row r="555">
      <c r="A555" t="n">
        <v>811</v>
      </c>
      <c r="B555" t="n">
        <v>7652.95</v>
      </c>
      <c r="C555" t="n">
        <v>358</v>
      </c>
      <c r="D555" t="n">
        <v>6228.85</v>
      </c>
    </row>
    <row r="556">
      <c r="A556" t="n">
        <v>799</v>
      </c>
      <c r="B556" t="n">
        <v>6620.66</v>
      </c>
      <c r="C556" t="n">
        <v>110</v>
      </c>
      <c r="D556" t="n">
        <v>7652.95</v>
      </c>
    </row>
    <row r="557">
      <c r="A557" t="n">
        <v>680</v>
      </c>
      <c r="B557" t="n">
        <v>9317.99</v>
      </c>
      <c r="C557" t="n">
        <v>118</v>
      </c>
      <c r="D557" t="n">
        <v>19338.66</v>
      </c>
    </row>
    <row r="558">
      <c r="A558" t="n">
        <v>629</v>
      </c>
      <c r="B558" t="n">
        <v>19338.66</v>
      </c>
      <c r="C558" t="n">
        <v>271</v>
      </c>
      <c r="D558" t="n">
        <v>18824.93</v>
      </c>
    </row>
    <row r="559">
      <c r="A559" t="n">
        <v>689</v>
      </c>
      <c r="B559" t="n">
        <v>18469.18</v>
      </c>
      <c r="C559" t="n">
        <v>306</v>
      </c>
      <c r="D559" t="n">
        <v>19776</v>
      </c>
    </row>
    <row r="560">
      <c r="A560" t="n">
        <v>775</v>
      </c>
      <c r="B560" t="n">
        <v>10561.62</v>
      </c>
      <c r="C560" t="n">
        <v>276</v>
      </c>
      <c r="D560" t="n">
        <v>6591.27</v>
      </c>
    </row>
    <row r="561">
      <c r="A561" t="n">
        <v>797</v>
      </c>
      <c r="B561" t="n">
        <v>6591.27</v>
      </c>
      <c r="C561" t="n">
        <v>306</v>
      </c>
      <c r="D561" t="n">
        <v>9563.84</v>
      </c>
    </row>
    <row r="562">
      <c r="A562" t="n">
        <v>745</v>
      </c>
      <c r="B562" t="n">
        <v>6295.1</v>
      </c>
      <c r="C562" t="n">
        <v>154</v>
      </c>
      <c r="D562" t="n">
        <v>6295.1</v>
      </c>
    </row>
    <row r="563">
      <c r="A563" t="n">
        <v>694</v>
      </c>
      <c r="B563" t="n">
        <v>15580.68</v>
      </c>
      <c r="C563" t="n">
        <v>191</v>
      </c>
      <c r="D563" t="n">
        <v>14923.54</v>
      </c>
    </row>
    <row r="564">
      <c r="A564" t="n">
        <v>683</v>
      </c>
      <c r="B564" t="n">
        <v>11167.45</v>
      </c>
      <c r="C564" t="n">
        <v>40</v>
      </c>
      <c r="D564" t="n">
        <v>14952.69</v>
      </c>
    </row>
    <row r="565">
      <c r="A565" t="n">
        <v>724</v>
      </c>
      <c r="B565" t="n">
        <v>8027.01</v>
      </c>
      <c r="C565" t="n">
        <v>296</v>
      </c>
      <c r="D565" t="n">
        <v>11167.45</v>
      </c>
    </row>
    <row r="566">
      <c r="A566" t="n">
        <v>853</v>
      </c>
      <c r="B566" t="n">
        <v>2047.27</v>
      </c>
      <c r="C566" t="n">
        <v>90</v>
      </c>
      <c r="D566" t="n">
        <v>14608.84</v>
      </c>
    </row>
    <row r="567">
      <c r="A567" t="n">
        <v>698</v>
      </c>
      <c r="B567" t="n">
        <v>12596.02</v>
      </c>
      <c r="C567" t="n">
        <v>256</v>
      </c>
      <c r="D567" t="n">
        <v>5703.79</v>
      </c>
    </row>
    <row r="568">
      <c r="A568" t="n">
        <v>603</v>
      </c>
      <c r="B568" t="n">
        <v>20307.09</v>
      </c>
      <c r="C568" t="n">
        <v>247</v>
      </c>
      <c r="D568" t="n">
        <v>21003.31</v>
      </c>
    </row>
    <row r="569">
      <c r="A569" t="n">
        <v>702</v>
      </c>
      <c r="B569" t="n">
        <v>6191.85</v>
      </c>
      <c r="C569" t="n">
        <v>214</v>
      </c>
      <c r="D569" t="n">
        <v>13994.83</v>
      </c>
    </row>
    <row r="570">
      <c r="A570" t="n">
        <v>647</v>
      </c>
      <c r="B570" t="n">
        <v>21003.31</v>
      </c>
      <c r="C570" t="n">
        <v>173</v>
      </c>
      <c r="D570" t="n">
        <v>10008.05</v>
      </c>
    </row>
    <row r="571">
      <c r="A571" t="n">
        <v>706</v>
      </c>
      <c r="B571" t="n">
        <v>16353.84</v>
      </c>
      <c r="C571" t="n">
        <v>374</v>
      </c>
      <c r="D571" t="n">
        <v>10719.12</v>
      </c>
    </row>
    <row r="572">
      <c r="A572" t="n">
        <v>714</v>
      </c>
      <c r="B572" t="n">
        <v>16149.23</v>
      </c>
      <c r="C572" t="n">
        <v>73</v>
      </c>
      <c r="D572" t="n">
        <v>16149.23</v>
      </c>
    </row>
    <row r="573">
      <c r="A573" t="n">
        <v>678</v>
      </c>
      <c r="B573" t="n">
        <v>19289.43</v>
      </c>
      <c r="C573" t="n">
        <v>298</v>
      </c>
      <c r="D573" t="n">
        <v>19289.43</v>
      </c>
    </row>
    <row r="574">
      <c r="A574" t="n">
        <v>854</v>
      </c>
      <c r="B574" t="n">
        <v>5003.03</v>
      </c>
      <c r="C574" t="n">
        <v>164</v>
      </c>
      <c r="D574" t="n">
        <v>10859.69</v>
      </c>
    </row>
    <row r="575">
      <c r="A575" t="n">
        <v>637</v>
      </c>
      <c r="B575" t="n">
        <v>11681.23</v>
      </c>
      <c r="C575" t="n">
        <v>244</v>
      </c>
      <c r="D575" t="n">
        <v>17059.86</v>
      </c>
    </row>
    <row r="576">
      <c r="A576" t="n">
        <v>689</v>
      </c>
      <c r="B576" t="n">
        <v>16183.94</v>
      </c>
      <c r="C576" t="n">
        <v>322</v>
      </c>
      <c r="D576" t="n">
        <v>4076.48</v>
      </c>
    </row>
    <row r="577">
      <c r="A577" t="n">
        <v>768</v>
      </c>
      <c r="B577" t="n">
        <v>8588.75</v>
      </c>
      <c r="C577" t="n">
        <v>228</v>
      </c>
      <c r="D577" t="n">
        <v>4816.41</v>
      </c>
    </row>
    <row r="578">
      <c r="A578" t="n">
        <v>766</v>
      </c>
      <c r="B578" t="n">
        <v>10625.2</v>
      </c>
      <c r="C578" t="n">
        <v>21</v>
      </c>
      <c r="D578" t="n">
        <v>8538.75</v>
      </c>
    </row>
    <row r="579">
      <c r="A579" t="n">
        <v>722</v>
      </c>
      <c r="B579" t="n">
        <v>16639.13</v>
      </c>
      <c r="C579" t="n">
        <v>298</v>
      </c>
      <c r="D579" t="n">
        <v>4959.72</v>
      </c>
    </row>
    <row r="580">
      <c r="A580" t="n">
        <v>725</v>
      </c>
      <c r="B580" t="n">
        <v>3188.54</v>
      </c>
      <c r="C580" t="n">
        <v>177</v>
      </c>
      <c r="D580" t="n">
        <v>6948.04</v>
      </c>
    </row>
    <row r="581">
      <c r="A581" t="n">
        <v>715</v>
      </c>
      <c r="B581" t="n">
        <v>5540.31</v>
      </c>
      <c r="C581" t="n">
        <v>359</v>
      </c>
      <c r="D581" t="n">
        <v>8176.78</v>
      </c>
    </row>
    <row r="582">
      <c r="A582" t="n">
        <v>559</v>
      </c>
      <c r="B582" t="n">
        <v>29659.75</v>
      </c>
      <c r="C582" t="n">
        <v>299</v>
      </c>
      <c r="D582" t="n">
        <v>24502.73</v>
      </c>
    </row>
    <row r="583">
      <c r="A583" t="n">
        <v>781</v>
      </c>
      <c r="B583" t="n">
        <v>12154.32</v>
      </c>
      <c r="C583" t="n">
        <v>147</v>
      </c>
      <c r="D583" t="n">
        <v>5540.31</v>
      </c>
    </row>
    <row r="584">
      <c r="A584" t="n">
        <v>617</v>
      </c>
      <c r="B584" t="n">
        <v>2049.49</v>
      </c>
      <c r="C584" t="n">
        <v>347</v>
      </c>
      <c r="D584" t="n">
        <v>16469.78</v>
      </c>
    </row>
    <row r="585">
      <c r="A585" t="n">
        <v>665</v>
      </c>
      <c r="B585" t="n">
        <v>10775.25</v>
      </c>
      <c r="C585" t="n">
        <v>376</v>
      </c>
      <c r="D585" t="n">
        <v>4316.4</v>
      </c>
    </row>
    <row r="586">
      <c r="A586" t="n">
        <v>750</v>
      </c>
      <c r="B586" t="n">
        <v>0</v>
      </c>
      <c r="C586" t="n">
        <v>151</v>
      </c>
      <c r="D586" t="n">
        <v>17141.01</v>
      </c>
    </row>
    <row r="587">
      <c r="A587" t="n">
        <v>734</v>
      </c>
      <c r="B587" t="n">
        <v>17141.01</v>
      </c>
      <c r="C587" t="n">
        <v>96</v>
      </c>
      <c r="D587" t="n">
        <v>7780.84</v>
      </c>
    </row>
    <row r="588">
      <c r="A588" t="n">
        <v>734</v>
      </c>
      <c r="B588" t="n">
        <v>9512.860000000001</v>
      </c>
      <c r="C588" t="n">
        <v>56</v>
      </c>
      <c r="D588" t="n">
        <v>5548.06</v>
      </c>
    </row>
    <row r="589">
      <c r="A589" t="n">
        <v>740</v>
      </c>
      <c r="B589" t="n">
        <v>7054.62</v>
      </c>
      <c r="C589" t="n">
        <v>165</v>
      </c>
      <c r="D589" t="n">
        <v>23009.44</v>
      </c>
    </row>
    <row r="590">
      <c r="A590" t="n">
        <v>661</v>
      </c>
      <c r="B590" t="n">
        <v>23352</v>
      </c>
      <c r="C590" t="n">
        <v>82</v>
      </c>
      <c r="D590" t="n">
        <v>27671.42</v>
      </c>
    </row>
    <row r="591">
      <c r="A591" t="n">
        <v>596</v>
      </c>
      <c r="B591" t="n">
        <v>23009.44</v>
      </c>
      <c r="C591" t="n">
        <v>248</v>
      </c>
      <c r="D591" t="n">
        <v>13995.83</v>
      </c>
    </row>
    <row r="592">
      <c r="A592" t="n">
        <v>783</v>
      </c>
      <c r="B592" t="n">
        <v>4928.93</v>
      </c>
      <c r="C592" t="n">
        <v>277</v>
      </c>
      <c r="D592" t="n">
        <v>13004.21</v>
      </c>
    </row>
    <row r="593">
      <c r="A593" t="n">
        <v>767</v>
      </c>
      <c r="B593" t="n">
        <v>13995.83</v>
      </c>
      <c r="C593" t="n">
        <v>201</v>
      </c>
      <c r="D593" t="n">
        <v>6057.35</v>
      </c>
    </row>
    <row r="594">
      <c r="A594" t="n">
        <v>718</v>
      </c>
      <c r="B594" t="n">
        <v>13004.21</v>
      </c>
      <c r="C594" t="n">
        <v>100</v>
      </c>
      <c r="D594" t="n">
        <v>28339.63</v>
      </c>
    </row>
    <row r="595">
      <c r="A595" t="n">
        <v>623</v>
      </c>
      <c r="B595" t="n">
        <v>28339.63</v>
      </c>
      <c r="C595" t="n">
        <v>295</v>
      </c>
      <c r="D595" t="n">
        <v>8458.57</v>
      </c>
    </row>
    <row r="596">
      <c r="A596" t="n">
        <v>700</v>
      </c>
      <c r="B596" t="n">
        <v>0</v>
      </c>
      <c r="C596" t="n">
        <v>54</v>
      </c>
      <c r="D596" t="n">
        <v>22346.22</v>
      </c>
    </row>
    <row r="597">
      <c r="A597" t="n">
        <v>797</v>
      </c>
      <c r="B597" t="n">
        <v>8458.57</v>
      </c>
      <c r="C597" t="n">
        <v>28</v>
      </c>
      <c r="D597" t="n">
        <v>13982.66</v>
      </c>
    </row>
    <row r="598">
      <c r="A598" t="n">
        <v>777</v>
      </c>
      <c r="B598" t="n">
        <v>8791.91</v>
      </c>
      <c r="C598" t="n">
        <v>359</v>
      </c>
      <c r="D598" t="n">
        <v>17464.44</v>
      </c>
    </row>
    <row r="599">
      <c r="A599" t="n">
        <v>675</v>
      </c>
      <c r="B599" t="n">
        <v>14890.92</v>
      </c>
      <c r="C599" t="n">
        <v>103</v>
      </c>
      <c r="D599" t="n">
        <v>11175.89</v>
      </c>
    </row>
    <row r="600">
      <c r="A600" t="n">
        <v>727</v>
      </c>
      <c r="B600" t="n">
        <v>1325.97</v>
      </c>
      <c r="C600" t="n">
        <v>258</v>
      </c>
      <c r="D600" t="n">
        <v>6137.41</v>
      </c>
    </row>
    <row r="601">
      <c r="A601" t="n">
        <v>669</v>
      </c>
      <c r="B601" t="n">
        <v>6093.7</v>
      </c>
      <c r="C601" t="n">
        <v>282</v>
      </c>
      <c r="D601" t="n">
        <v>14480.68</v>
      </c>
    </row>
    <row r="602">
      <c r="A602" t="n">
        <v>711</v>
      </c>
      <c r="B602" t="n">
        <v>8014.03</v>
      </c>
      <c r="C602" t="n">
        <v>275</v>
      </c>
      <c r="D602" t="n">
        <v>18459.22</v>
      </c>
    </row>
    <row r="603">
      <c r="A603" t="n">
        <v>795</v>
      </c>
      <c r="B603" t="n">
        <v>8072.49</v>
      </c>
      <c r="C603" t="n">
        <v>285</v>
      </c>
      <c r="D603" t="n">
        <v>7840.88</v>
      </c>
    </row>
    <row r="604">
      <c r="A604" t="n">
        <v>702</v>
      </c>
      <c r="B604" t="n">
        <v>7840.88</v>
      </c>
      <c r="C604" t="n">
        <v>140</v>
      </c>
      <c r="D604" t="n">
        <v>10987.18</v>
      </c>
    </row>
    <row r="605">
      <c r="A605" t="n">
        <v>767</v>
      </c>
      <c r="B605" t="n">
        <v>5436.47</v>
      </c>
      <c r="C605" t="n">
        <v>350</v>
      </c>
      <c r="D605" t="n">
        <v>6478.89</v>
      </c>
    </row>
    <row r="606">
      <c r="A606" t="n">
        <v>605</v>
      </c>
      <c r="B606" t="n">
        <v>22532.45</v>
      </c>
      <c r="C606" t="n">
        <v>160</v>
      </c>
      <c r="D606" t="n">
        <v>13386.05</v>
      </c>
    </row>
    <row r="607">
      <c r="A607" t="n">
        <v>750</v>
      </c>
      <c r="B607" t="n">
        <v>12165.76</v>
      </c>
      <c r="C607" t="n">
        <v>117</v>
      </c>
      <c r="D607" t="n">
        <v>13030.41</v>
      </c>
    </row>
    <row r="608">
      <c r="A608" t="n">
        <v>696</v>
      </c>
      <c r="B608" t="n">
        <v>17283.77</v>
      </c>
      <c r="C608" t="n">
        <v>60</v>
      </c>
      <c r="D608" t="n">
        <v>6792.81</v>
      </c>
    </row>
    <row r="609">
      <c r="A609" t="n">
        <v>739</v>
      </c>
      <c r="B609" t="n">
        <v>13386.05</v>
      </c>
      <c r="C609" t="n">
        <v>108</v>
      </c>
      <c r="D609" t="n">
        <v>13381.33</v>
      </c>
    </row>
    <row r="610">
      <c r="A610" t="n">
        <v>645</v>
      </c>
      <c r="B610" t="n">
        <v>13030.41</v>
      </c>
      <c r="C610" t="n">
        <v>244</v>
      </c>
      <c r="D610" t="n">
        <v>15603.81</v>
      </c>
    </row>
    <row r="611">
      <c r="A611" t="n">
        <v>803</v>
      </c>
      <c r="B611" t="n">
        <v>6792.81</v>
      </c>
      <c r="C611" t="n">
        <v>222</v>
      </c>
      <c r="D611" t="n">
        <v>13700.2</v>
      </c>
    </row>
    <row r="612">
      <c r="A612" t="n">
        <v>723</v>
      </c>
      <c r="B612" t="n">
        <v>11777.52</v>
      </c>
      <c r="C612" t="n">
        <v>134</v>
      </c>
      <c r="D612" t="n">
        <v>8176.12</v>
      </c>
    </row>
    <row r="613">
      <c r="A613" t="n">
        <v>730</v>
      </c>
      <c r="B613" t="n">
        <v>5716.06</v>
      </c>
      <c r="C613" t="n">
        <v>189</v>
      </c>
      <c r="D613" t="n">
        <v>4254.49</v>
      </c>
    </row>
    <row r="614">
      <c r="A614" t="n">
        <v>655</v>
      </c>
      <c r="B614" t="n">
        <v>12561.67</v>
      </c>
      <c r="C614" t="n">
        <v>95</v>
      </c>
      <c r="D614" t="n">
        <v>18655.94</v>
      </c>
    </row>
    <row r="615">
      <c r="A615" t="n">
        <v>687</v>
      </c>
      <c r="B615" t="n">
        <v>12603.68</v>
      </c>
      <c r="C615" t="n">
        <v>54</v>
      </c>
      <c r="D615" t="n">
        <v>22531.68</v>
      </c>
    </row>
    <row r="616">
      <c r="A616" t="n">
        <v>608</v>
      </c>
      <c r="B616" t="n">
        <v>22531.68</v>
      </c>
      <c r="C616" t="n">
        <v>360</v>
      </c>
      <c r="D616" t="n">
        <v>17589.82</v>
      </c>
    </row>
    <row r="617">
      <c r="A617" t="n">
        <v>777</v>
      </c>
      <c r="B617" t="n">
        <v>9699.92</v>
      </c>
      <c r="C617" t="n">
        <v>170</v>
      </c>
      <c r="D617" t="n">
        <v>12914.7</v>
      </c>
    </row>
    <row r="618">
      <c r="A618" t="n">
        <v>770</v>
      </c>
      <c r="B618" t="n">
        <v>8030.81</v>
      </c>
      <c r="C618" t="n">
        <v>58</v>
      </c>
      <c r="D618" t="n">
        <v>8030.81</v>
      </c>
    </row>
    <row r="619">
      <c r="A619" t="n">
        <v>683</v>
      </c>
      <c r="B619" t="n">
        <v>6774.3</v>
      </c>
      <c r="C619" t="n">
        <v>424</v>
      </c>
      <c r="D619" t="n">
        <v>6774.3</v>
      </c>
    </row>
    <row r="620">
      <c r="A620" t="n">
        <v>642</v>
      </c>
      <c r="B620" t="n">
        <v>15279.1</v>
      </c>
      <c r="C620" t="n">
        <v>251</v>
      </c>
      <c r="D620" t="n">
        <v>5309.45</v>
      </c>
    </row>
    <row r="621">
      <c r="A621" t="n">
        <v>582</v>
      </c>
      <c r="B621" t="n">
        <v>15043.84</v>
      </c>
      <c r="C621" t="n">
        <v>260</v>
      </c>
      <c r="D621" t="n">
        <v>17025.42</v>
      </c>
    </row>
    <row r="622">
      <c r="A622" t="n">
        <v>639</v>
      </c>
      <c r="B622" t="n">
        <v>22570.13</v>
      </c>
      <c r="C622" t="n">
        <v>190</v>
      </c>
      <c r="D622" t="n">
        <v>10579.69</v>
      </c>
    </row>
    <row r="623">
      <c r="A623" t="n">
        <v>685</v>
      </c>
      <c r="B623" t="n">
        <v>17025.42</v>
      </c>
      <c r="C623" t="n">
        <v>381</v>
      </c>
      <c r="D623" t="n">
        <v>13438.17</v>
      </c>
    </row>
    <row r="624">
      <c r="A624" t="n">
        <v>738</v>
      </c>
      <c r="B624" t="n">
        <v>4316.52</v>
      </c>
      <c r="C624" t="n">
        <v>219</v>
      </c>
      <c r="D624" t="n">
        <v>9537.629999999999</v>
      </c>
    </row>
    <row r="625">
      <c r="A625" t="n">
        <v>583</v>
      </c>
      <c r="B625" t="n">
        <v>12259.03</v>
      </c>
      <c r="C625" t="n">
        <v>293</v>
      </c>
      <c r="D625" t="n">
        <v>12259.03</v>
      </c>
    </row>
    <row r="626">
      <c r="A626" t="n">
        <v>771</v>
      </c>
      <c r="B626" t="n">
        <v>2864.07</v>
      </c>
      <c r="C626" t="n">
        <v>218</v>
      </c>
      <c r="D626" t="n">
        <v>12013.3</v>
      </c>
    </row>
    <row r="627">
      <c r="A627" t="n">
        <v>584</v>
      </c>
      <c r="B627" t="n">
        <v>19962.08</v>
      </c>
      <c r="C627" t="n">
        <v>139</v>
      </c>
      <c r="D627" t="n">
        <v>9055.450000000001</v>
      </c>
    </row>
    <row r="628">
      <c r="A628" t="n">
        <v>634</v>
      </c>
      <c r="B628" t="n">
        <v>26616.55</v>
      </c>
      <c r="C628" t="n">
        <v>78</v>
      </c>
      <c r="D628" t="n">
        <v>11525.95</v>
      </c>
    </row>
    <row r="629">
      <c r="A629" t="n">
        <v>672</v>
      </c>
      <c r="B629" t="n">
        <v>24023.26</v>
      </c>
      <c r="C629" t="n">
        <v>285</v>
      </c>
      <c r="D629" t="n">
        <v>9241.51</v>
      </c>
    </row>
    <row r="630">
      <c r="A630" t="n">
        <v>826</v>
      </c>
      <c r="B630" t="n">
        <v>4854.15</v>
      </c>
      <c r="C630" t="n">
        <v>381</v>
      </c>
      <c r="D630" t="n">
        <v>8622.49</v>
      </c>
    </row>
    <row r="631">
      <c r="A631" t="n">
        <v>645</v>
      </c>
      <c r="B631" t="n">
        <v>17191.05</v>
      </c>
      <c r="C631" t="n">
        <v>60</v>
      </c>
      <c r="D631" t="n">
        <v>18754.65</v>
      </c>
    </row>
    <row r="632">
      <c r="A632" t="n">
        <v>699</v>
      </c>
      <c r="B632" t="n">
        <v>16044.3</v>
      </c>
      <c r="C632" t="n">
        <v>278</v>
      </c>
      <c r="D632" t="n">
        <v>12077.61</v>
      </c>
    </row>
    <row r="633">
      <c r="A633" t="n">
        <v>823</v>
      </c>
      <c r="B633" t="n">
        <v>1339.58</v>
      </c>
      <c r="C633" t="n">
        <v>342</v>
      </c>
      <c r="D633" t="n">
        <v>14601.92</v>
      </c>
    </row>
    <row r="634">
      <c r="A634" t="n">
        <v>706</v>
      </c>
      <c r="B634" t="n">
        <v>9244.540000000001</v>
      </c>
      <c r="C634" t="n">
        <v>374</v>
      </c>
      <c r="D634" t="n">
        <v>1847.72</v>
      </c>
    </row>
    <row r="635">
      <c r="A635" t="n">
        <v>814</v>
      </c>
      <c r="B635" t="n">
        <v>6611.72</v>
      </c>
      <c r="C635" t="n">
        <v>70</v>
      </c>
      <c r="D635" t="n">
        <v>13420.34</v>
      </c>
    </row>
    <row r="636">
      <c r="A636" t="n">
        <v>722</v>
      </c>
      <c r="B636" t="n">
        <v>1847.72</v>
      </c>
      <c r="C636" t="n">
        <v>319</v>
      </c>
      <c r="D636" t="n">
        <v>20273.19</v>
      </c>
    </row>
    <row r="637">
      <c r="A637" t="n">
        <v>756</v>
      </c>
      <c r="B637" t="n">
        <v>10044.02</v>
      </c>
      <c r="C637" t="n">
        <v>348</v>
      </c>
      <c r="D637" t="n">
        <v>16780.06</v>
      </c>
    </row>
    <row r="638">
      <c r="A638" t="n">
        <v>691</v>
      </c>
      <c r="B638" t="n">
        <v>12915.71</v>
      </c>
      <c r="C638" t="n">
        <v>48</v>
      </c>
      <c r="D638" t="n">
        <v>12449.46</v>
      </c>
    </row>
    <row r="639">
      <c r="A639" t="n">
        <v>691</v>
      </c>
      <c r="B639" t="n">
        <v>12214.93</v>
      </c>
      <c r="C639" t="n">
        <v>357</v>
      </c>
      <c r="D639" t="n">
        <v>18024.4</v>
      </c>
    </row>
    <row r="640">
      <c r="A640" t="n">
        <v>699</v>
      </c>
      <c r="B640" t="n">
        <v>6012.28</v>
      </c>
      <c r="C640" t="n">
        <v>322</v>
      </c>
      <c r="D640" t="n">
        <v>18065.34</v>
      </c>
    </row>
    <row r="641">
      <c r="A641" t="n">
        <v>720</v>
      </c>
      <c r="B641" t="n">
        <v>4076.59</v>
      </c>
      <c r="C641" t="n">
        <v>265</v>
      </c>
      <c r="D641" t="n">
        <v>12264.06</v>
      </c>
    </row>
    <row r="642">
      <c r="A642" t="n">
        <v>690</v>
      </c>
      <c r="B642" t="n">
        <v>16013.66</v>
      </c>
      <c r="C642" t="n">
        <v>362</v>
      </c>
      <c r="D642" t="n">
        <v>11195.25</v>
      </c>
    </row>
    <row r="643">
      <c r="A643" t="n">
        <v>765</v>
      </c>
      <c r="B643" t="n">
        <v>5504.24</v>
      </c>
      <c r="C643" t="n">
        <v>283</v>
      </c>
      <c r="D643" t="n">
        <v>29881.73</v>
      </c>
    </row>
    <row r="644">
      <c r="A644" t="n">
        <v>756</v>
      </c>
      <c r="B644" t="n">
        <v>16772.56</v>
      </c>
      <c r="C644" t="n">
        <v>358</v>
      </c>
      <c r="D644" t="n">
        <v>5504.24</v>
      </c>
    </row>
    <row r="645">
      <c r="A645" t="n">
        <v>602</v>
      </c>
      <c r="B645" t="n">
        <v>18415.63</v>
      </c>
      <c r="C645" t="n">
        <v>357</v>
      </c>
      <c r="D645" t="n">
        <v>9179.610000000001</v>
      </c>
    </row>
    <row r="646">
      <c r="A646" t="n">
        <v>746</v>
      </c>
      <c r="B646" t="n">
        <v>1429.07</v>
      </c>
      <c r="C646" t="n">
        <v>16</v>
      </c>
      <c r="D646" t="n">
        <v>8156.02</v>
      </c>
    </row>
    <row r="647">
      <c r="A647" t="n">
        <v>726</v>
      </c>
      <c r="B647" t="n">
        <v>5981.7</v>
      </c>
      <c r="C647" t="n">
        <v>172</v>
      </c>
      <c r="D647" t="n">
        <v>18415.63</v>
      </c>
    </row>
    <row r="648">
      <c r="A648" t="n">
        <v>707</v>
      </c>
      <c r="B648" t="n">
        <v>6576.88</v>
      </c>
      <c r="C648" t="n">
        <v>5</v>
      </c>
      <c r="D648" t="n">
        <v>5981.7</v>
      </c>
    </row>
    <row r="649">
      <c r="A649" t="n">
        <v>816</v>
      </c>
      <c r="B649" t="n">
        <v>4732.54</v>
      </c>
      <c r="C649" t="n">
        <v>321</v>
      </c>
      <c r="D649" t="n">
        <v>14113.61</v>
      </c>
    </row>
    <row r="650">
      <c r="A650" t="n">
        <v>612</v>
      </c>
      <c r="B650" t="n">
        <v>17969.58</v>
      </c>
      <c r="C650" t="n">
        <v>121</v>
      </c>
      <c r="D650" t="n">
        <v>11724.39</v>
      </c>
    </row>
    <row r="651">
      <c r="A651" t="n">
        <v>724</v>
      </c>
      <c r="B651" t="n">
        <v>12754</v>
      </c>
      <c r="C651" t="n">
        <v>200</v>
      </c>
      <c r="D651" t="n">
        <v>13780.21</v>
      </c>
    </row>
    <row r="652">
      <c r="A652" t="n">
        <v>843</v>
      </c>
      <c r="B652" t="n">
        <v>2269.11</v>
      </c>
      <c r="C652" t="n">
        <v>58</v>
      </c>
      <c r="D652" t="n">
        <v>9622.549999999999</v>
      </c>
    </row>
    <row r="653">
      <c r="A653" t="n">
        <v>783</v>
      </c>
      <c r="B653" t="n">
        <v>5572.96</v>
      </c>
      <c r="C653" t="n">
        <v>13</v>
      </c>
      <c r="D653" t="n">
        <v>3508.38</v>
      </c>
    </row>
    <row r="654">
      <c r="A654" t="n">
        <v>672</v>
      </c>
      <c r="B654" t="n">
        <v>16722.53</v>
      </c>
      <c r="C654" t="n">
        <v>301</v>
      </c>
      <c r="D654" t="n">
        <v>9544.82</v>
      </c>
    </row>
    <row r="655">
      <c r="A655" t="n">
        <v>689</v>
      </c>
      <c r="B655" t="n">
        <v>12590.26</v>
      </c>
      <c r="C655" t="n">
        <v>232</v>
      </c>
      <c r="D655" t="n">
        <v>21199.34</v>
      </c>
    </row>
    <row r="656">
      <c r="A656" t="n">
        <v>708</v>
      </c>
      <c r="B656" t="n">
        <v>14533.88</v>
      </c>
      <c r="C656" t="n">
        <v>326</v>
      </c>
      <c r="D656" t="n">
        <v>10879.13</v>
      </c>
    </row>
    <row r="657">
      <c r="A657" t="n">
        <v>726</v>
      </c>
      <c r="B657" t="n">
        <v>10879.13</v>
      </c>
      <c r="C657" t="n">
        <v>409</v>
      </c>
      <c r="D657" t="n">
        <v>12589.53</v>
      </c>
    </row>
    <row r="658">
      <c r="A658" t="n">
        <v>704</v>
      </c>
      <c r="B658" t="n">
        <v>15254.58</v>
      </c>
      <c r="C658" t="n">
        <v>32</v>
      </c>
      <c r="D658" t="n">
        <v>5521.46</v>
      </c>
    </row>
    <row r="659">
      <c r="A659" t="n">
        <v>567</v>
      </c>
      <c r="B659" t="n">
        <v>18621.66</v>
      </c>
      <c r="C659" t="n">
        <v>145</v>
      </c>
      <c r="D659" t="n">
        <v>17153.2</v>
      </c>
    </row>
    <row r="660">
      <c r="A660" t="n">
        <v>685</v>
      </c>
      <c r="B660" t="n">
        <v>13771.17</v>
      </c>
      <c r="C660" t="n">
        <v>297</v>
      </c>
      <c r="D660" t="n">
        <v>19091.25</v>
      </c>
    </row>
    <row r="661">
      <c r="A661" t="n">
        <v>735</v>
      </c>
      <c r="B661" t="n">
        <v>3012.03</v>
      </c>
      <c r="C661" t="n">
        <v>115</v>
      </c>
      <c r="D661" t="n">
        <v>14924.35</v>
      </c>
    </row>
    <row r="662">
      <c r="A662" t="n">
        <v>724</v>
      </c>
      <c r="B662" t="n">
        <v>14393.53</v>
      </c>
      <c r="C662" t="n">
        <v>34</v>
      </c>
      <c r="D662" t="n">
        <v>12047.88</v>
      </c>
    </row>
    <row r="663">
      <c r="A663" t="n">
        <v>686</v>
      </c>
      <c r="B663" t="n">
        <v>11615.09</v>
      </c>
      <c r="C663" t="n">
        <v>245</v>
      </c>
      <c r="D663" t="n">
        <v>10232.48</v>
      </c>
    </row>
    <row r="664">
      <c r="A664" t="n">
        <v>739</v>
      </c>
      <c r="B664" t="n">
        <v>9908.709999999999</v>
      </c>
      <c r="C664" t="n">
        <v>212</v>
      </c>
      <c r="D664" t="n">
        <v>9908.709999999999</v>
      </c>
    </row>
    <row r="665">
      <c r="A665" t="n">
        <v>777</v>
      </c>
      <c r="B665" t="n">
        <v>7995.26</v>
      </c>
      <c r="C665" t="n">
        <v>10</v>
      </c>
      <c r="D665" t="n">
        <v>14803.24</v>
      </c>
    </row>
    <row r="666">
      <c r="A666" t="n">
        <v>615</v>
      </c>
      <c r="B666" t="n">
        <v>16432.02</v>
      </c>
      <c r="C666" t="n">
        <v>5</v>
      </c>
      <c r="D666" t="n">
        <v>12536.78</v>
      </c>
    </row>
    <row r="667">
      <c r="A667" t="n">
        <v>743</v>
      </c>
      <c r="B667" t="n">
        <v>6635.29</v>
      </c>
      <c r="C667" t="n">
        <v>29</v>
      </c>
      <c r="D667" t="n">
        <v>11328.77</v>
      </c>
    </row>
    <row r="668">
      <c r="A668" t="n">
        <v>760</v>
      </c>
      <c r="B668" t="n">
        <v>9581.860000000001</v>
      </c>
      <c r="C668" t="n">
        <v>6</v>
      </c>
      <c r="D668" t="n">
        <v>6635.29</v>
      </c>
    </row>
    <row r="669">
      <c r="A669" t="n">
        <v>663</v>
      </c>
      <c r="B669" t="n">
        <v>23073.44</v>
      </c>
      <c r="C669" t="n">
        <v>151</v>
      </c>
      <c r="D669" t="n">
        <v>14924.87</v>
      </c>
    </row>
    <row r="670">
      <c r="A670" t="n">
        <v>683</v>
      </c>
      <c r="B670" t="n">
        <v>13704.61</v>
      </c>
      <c r="C670" t="n">
        <v>156</v>
      </c>
      <c r="D670" t="n">
        <v>11831.98</v>
      </c>
    </row>
    <row r="671">
      <c r="A671" t="n">
        <v>771</v>
      </c>
      <c r="B671" t="n">
        <v>10338.59</v>
      </c>
      <c r="C671" t="n">
        <v>156</v>
      </c>
      <c r="D671" t="n">
        <v>23073.44</v>
      </c>
    </row>
    <row r="672">
      <c r="A672" t="n">
        <v>670</v>
      </c>
      <c r="B672" t="n">
        <v>21928.67</v>
      </c>
      <c r="C672" t="n">
        <v>22</v>
      </c>
      <c r="D672" t="n">
        <v>26626.2</v>
      </c>
    </row>
    <row r="673">
      <c r="A673" t="n">
        <v>625</v>
      </c>
      <c r="B673" t="n">
        <v>11580.33</v>
      </c>
      <c r="C673" t="n">
        <v>98</v>
      </c>
      <c r="D673" t="n">
        <v>2424.16</v>
      </c>
    </row>
    <row r="674">
      <c r="A674" t="n">
        <v>699</v>
      </c>
      <c r="B674" t="n">
        <v>4278.29</v>
      </c>
      <c r="C674" t="n">
        <v>42</v>
      </c>
      <c r="D674" t="n">
        <v>16063.34</v>
      </c>
    </row>
    <row r="675">
      <c r="A675" t="n">
        <v>752</v>
      </c>
      <c r="B675" t="n">
        <v>4405.31</v>
      </c>
      <c r="C675" t="n">
        <v>345</v>
      </c>
      <c r="D675" t="n">
        <v>26401.44</v>
      </c>
    </row>
    <row r="676">
      <c r="A676" t="n">
        <v>752</v>
      </c>
      <c r="B676" t="n">
        <v>4694.24</v>
      </c>
      <c r="C676" t="n">
        <v>154</v>
      </c>
      <c r="D676" t="n">
        <v>8580.860000000001</v>
      </c>
    </row>
    <row r="677">
      <c r="A677" t="n">
        <v>665</v>
      </c>
      <c r="B677" t="n">
        <v>15832.29</v>
      </c>
      <c r="C677" t="n">
        <v>253</v>
      </c>
      <c r="D677" t="n">
        <v>3192.2</v>
      </c>
    </row>
    <row r="678">
      <c r="A678" t="n">
        <v>629</v>
      </c>
      <c r="B678" t="n">
        <v>30300.22</v>
      </c>
      <c r="C678" t="n">
        <v>34</v>
      </c>
      <c r="D678" t="n">
        <v>14032.64</v>
      </c>
    </row>
    <row r="679">
      <c r="A679" t="n">
        <v>659</v>
      </c>
      <c r="B679" t="n">
        <v>14836.45</v>
      </c>
      <c r="C679" t="n">
        <v>43</v>
      </c>
      <c r="D679" t="n">
        <v>18053.48</v>
      </c>
    </row>
    <row r="680">
      <c r="A680" t="n">
        <v>722</v>
      </c>
      <c r="B680" t="n">
        <v>3691.09</v>
      </c>
      <c r="C680" t="n">
        <v>364</v>
      </c>
      <c r="D680" t="n">
        <v>29503.6</v>
      </c>
    </row>
    <row r="681">
      <c r="A681" t="n">
        <v>711</v>
      </c>
      <c r="B681" t="n">
        <v>10403.98</v>
      </c>
      <c r="C681" t="n">
        <v>400</v>
      </c>
      <c r="D681" t="n">
        <v>9271.209999999999</v>
      </c>
    </row>
    <row r="682">
      <c r="A682" t="n">
        <v>737</v>
      </c>
      <c r="B682" t="n">
        <v>12038.5</v>
      </c>
      <c r="C682" t="n">
        <v>238</v>
      </c>
      <c r="D682" t="n">
        <v>29242</v>
      </c>
    </row>
    <row r="683">
      <c r="A683" t="n">
        <v>748</v>
      </c>
      <c r="B683" t="n">
        <v>7475.7</v>
      </c>
      <c r="C683" t="n">
        <v>377</v>
      </c>
      <c r="D683" t="n">
        <v>12038.5</v>
      </c>
    </row>
    <row r="684">
      <c r="A684" t="n">
        <v>761</v>
      </c>
      <c r="B684" t="n">
        <v>4861.95</v>
      </c>
      <c r="C684" t="n">
        <v>242</v>
      </c>
      <c r="D684" t="n">
        <v>8456.879999999999</v>
      </c>
    </row>
    <row r="685">
      <c r="A685" t="n">
        <v>712</v>
      </c>
      <c r="B685" t="n">
        <v>8972.370000000001</v>
      </c>
      <c r="C685" t="n">
        <v>183</v>
      </c>
      <c r="D685" t="n">
        <v>3860.3</v>
      </c>
    </row>
    <row r="686">
      <c r="A686" t="n">
        <v>645</v>
      </c>
      <c r="B686" t="n">
        <v>12673.47</v>
      </c>
      <c r="C686" t="n">
        <v>380</v>
      </c>
      <c r="D686" t="n">
        <v>17231.56</v>
      </c>
    </row>
    <row r="687">
      <c r="A687" t="n">
        <v>704</v>
      </c>
      <c r="B687" t="n">
        <v>12125.37</v>
      </c>
      <c r="C687" t="n">
        <v>245</v>
      </c>
      <c r="D687" t="n">
        <v>3756.46</v>
      </c>
    </row>
    <row r="688">
      <c r="A688" t="n">
        <v>672</v>
      </c>
      <c r="B688" t="n">
        <v>17910.67</v>
      </c>
      <c r="C688" t="n">
        <v>368</v>
      </c>
      <c r="D688" t="n">
        <v>18249.27</v>
      </c>
    </row>
    <row r="689">
      <c r="A689" t="n">
        <v>646</v>
      </c>
      <c r="B689" t="n">
        <v>6955.24</v>
      </c>
      <c r="C689" t="n">
        <v>123</v>
      </c>
      <c r="D689" t="n">
        <v>13221.03</v>
      </c>
    </row>
    <row r="690">
      <c r="A690" t="n">
        <v>646</v>
      </c>
      <c r="B690" t="n">
        <v>18311.97</v>
      </c>
      <c r="C690" t="n">
        <v>220</v>
      </c>
      <c r="D690" t="n">
        <v>14883.02</v>
      </c>
    </row>
    <row r="691">
      <c r="A691" t="n">
        <v>725</v>
      </c>
      <c r="B691" t="n">
        <v>923.34</v>
      </c>
      <c r="C691" t="n">
        <v>215</v>
      </c>
      <c r="D691" t="n">
        <v>15015.52</v>
      </c>
    </row>
    <row r="692">
      <c r="A692" t="n">
        <v>689</v>
      </c>
      <c r="B692" t="n">
        <v>5742.11</v>
      </c>
      <c r="C692" t="n">
        <v>295</v>
      </c>
      <c r="D692" t="n">
        <v>12164.72</v>
      </c>
    </row>
    <row r="693">
      <c r="A693" t="n">
        <v>699</v>
      </c>
      <c r="B693" t="n">
        <v>13327.53</v>
      </c>
      <c r="C693" t="n">
        <v>220</v>
      </c>
      <c r="D693" t="n">
        <v>18690.24</v>
      </c>
    </row>
    <row r="694">
      <c r="A694" t="n">
        <v>637</v>
      </c>
      <c r="B694" t="n">
        <v>18690.24</v>
      </c>
      <c r="C694" t="n">
        <v>186</v>
      </c>
      <c r="D694" t="n">
        <v>13868.24</v>
      </c>
    </row>
    <row r="695">
      <c r="A695" t="n">
        <v>735</v>
      </c>
      <c r="B695" t="n">
        <v>5013.5</v>
      </c>
      <c r="C695" t="n">
        <v>375</v>
      </c>
      <c r="D695" t="n">
        <v>5013.5</v>
      </c>
    </row>
    <row r="696">
      <c r="A696" t="n">
        <v>672</v>
      </c>
      <c r="B696" t="n">
        <v>644.36</v>
      </c>
      <c r="C696" t="n">
        <v>200</v>
      </c>
      <c r="D696" t="n">
        <v>17084.91</v>
      </c>
    </row>
    <row r="697">
      <c r="A697" t="n">
        <v>626</v>
      </c>
      <c r="B697" t="n">
        <v>21342.95</v>
      </c>
      <c r="C697" t="n">
        <v>139</v>
      </c>
      <c r="D697" t="n">
        <v>17021.4</v>
      </c>
    </row>
    <row r="698">
      <c r="A698" t="n">
        <v>723</v>
      </c>
      <c r="B698" t="n">
        <v>7820.04</v>
      </c>
      <c r="C698" t="n">
        <v>269</v>
      </c>
      <c r="D698" t="n">
        <v>18233.13</v>
      </c>
    </row>
    <row r="699">
      <c r="A699" t="n">
        <v>645</v>
      </c>
      <c r="B699" t="n">
        <v>16181.15</v>
      </c>
      <c r="C699" t="n">
        <v>100</v>
      </c>
      <c r="D699" t="n">
        <v>7550.11</v>
      </c>
    </row>
    <row r="700">
      <c r="A700" t="n">
        <v>776</v>
      </c>
      <c r="B700" t="n">
        <v>11234.9</v>
      </c>
      <c r="C700" t="n">
        <v>244</v>
      </c>
      <c r="D700" t="n">
        <v>16399.45</v>
      </c>
    </row>
    <row r="701">
      <c r="A701" t="n">
        <v>636</v>
      </c>
      <c r="B701" t="n">
        <v>17374.69</v>
      </c>
      <c r="C701" t="n">
        <v>193</v>
      </c>
      <c r="D701" t="n">
        <v>10679.57</v>
      </c>
    </row>
    <row r="702">
      <c r="A702" t="n">
        <v>722</v>
      </c>
      <c r="B702" t="n">
        <v>15622.39</v>
      </c>
      <c r="C702" t="n">
        <v>257</v>
      </c>
      <c r="D702" t="n">
        <v>17394.37</v>
      </c>
    </row>
    <row r="703">
      <c r="A703" t="n">
        <v>625</v>
      </c>
      <c r="B703" t="n">
        <v>18221.23</v>
      </c>
      <c r="C703" t="n">
        <v>257</v>
      </c>
      <c r="D703" t="n">
        <v>11142.39</v>
      </c>
    </row>
    <row r="704">
      <c r="A704" t="n">
        <v>627</v>
      </c>
      <c r="B704" t="n">
        <v>11405.45</v>
      </c>
      <c r="C704" t="n">
        <v>285</v>
      </c>
      <c r="D704" t="n">
        <v>2377.12</v>
      </c>
    </row>
    <row r="705">
      <c r="A705" t="n">
        <v>697</v>
      </c>
      <c r="B705" t="n">
        <v>16044.12</v>
      </c>
      <c r="C705" t="n">
        <v>221</v>
      </c>
      <c r="D705" t="n">
        <v>18221.23</v>
      </c>
    </row>
    <row r="706">
      <c r="A706" t="n">
        <v>603</v>
      </c>
      <c r="B706" t="n">
        <v>31762.75</v>
      </c>
      <c r="C706" t="n">
        <v>242</v>
      </c>
      <c r="D706" t="n">
        <v>11405.45</v>
      </c>
    </row>
    <row r="707">
      <c r="A707" t="n">
        <v>786</v>
      </c>
      <c r="B707" t="n">
        <v>3541.89</v>
      </c>
      <c r="C707" t="n">
        <v>289</v>
      </c>
      <c r="D707" t="n">
        <v>8185.39</v>
      </c>
    </row>
    <row r="708">
      <c r="A708" t="n">
        <v>694</v>
      </c>
      <c r="B708" t="n">
        <v>15017.58</v>
      </c>
      <c r="C708" t="n">
        <v>365</v>
      </c>
      <c r="D708" t="n">
        <v>31762.75</v>
      </c>
    </row>
    <row r="709">
      <c r="A709" t="n">
        <v>739</v>
      </c>
      <c r="B709" t="n">
        <v>5536.1</v>
      </c>
      <c r="C709" t="n">
        <v>70</v>
      </c>
      <c r="D709" t="n">
        <v>15017.58</v>
      </c>
    </row>
    <row r="710">
      <c r="A710" t="n">
        <v>745</v>
      </c>
      <c r="B710" t="n">
        <v>13369.49</v>
      </c>
      <c r="C710" t="n">
        <v>150</v>
      </c>
      <c r="D710" t="n">
        <v>9014.309999999999</v>
      </c>
    </row>
    <row r="711">
      <c r="A711" t="n">
        <v>754</v>
      </c>
      <c r="B711" t="n">
        <v>12846.73</v>
      </c>
      <c r="C711" t="n">
        <v>216</v>
      </c>
      <c r="D711" t="n">
        <v>19261.96</v>
      </c>
    </row>
    <row r="712">
      <c r="A712" t="n">
        <v>624</v>
      </c>
      <c r="B712" t="n">
        <v>10803.11</v>
      </c>
      <c r="C712" t="n">
        <v>222</v>
      </c>
      <c r="D712" t="n">
        <v>25979.97</v>
      </c>
    </row>
    <row r="713">
      <c r="A713" t="n">
        <v>782</v>
      </c>
      <c r="B713" t="n">
        <v>10375.5</v>
      </c>
      <c r="C713" t="n">
        <v>80</v>
      </c>
      <c r="D713" t="n">
        <v>10013.24</v>
      </c>
    </row>
    <row r="714">
      <c r="A714" t="n">
        <v>777</v>
      </c>
      <c r="B714" t="n">
        <v>8504.02</v>
      </c>
      <c r="C714" t="n">
        <v>110</v>
      </c>
      <c r="D714" t="n">
        <v>19255.86</v>
      </c>
    </row>
    <row r="715">
      <c r="A715" t="n">
        <v>649</v>
      </c>
      <c r="B715" t="n">
        <v>8426.129999999999</v>
      </c>
      <c r="C715" t="n">
        <v>282</v>
      </c>
      <c r="D715" t="n">
        <v>11217.41</v>
      </c>
    </row>
    <row r="716">
      <c r="A716" t="n">
        <v>680</v>
      </c>
      <c r="B716" t="n">
        <v>12893.73</v>
      </c>
      <c r="C716" t="n">
        <v>197</v>
      </c>
      <c r="D716" t="n">
        <v>6755.91</v>
      </c>
    </row>
    <row r="717">
      <c r="A717" t="n">
        <v>722</v>
      </c>
      <c r="B717" t="n">
        <v>11018.41</v>
      </c>
      <c r="C717" t="n">
        <v>144</v>
      </c>
      <c r="D717" t="n">
        <v>8365.6</v>
      </c>
    </row>
    <row r="718">
      <c r="A718" t="n">
        <v>668</v>
      </c>
      <c r="B718" t="n">
        <v>7448.36</v>
      </c>
      <c r="C718" t="n">
        <v>101</v>
      </c>
      <c r="D718" t="n">
        <v>6273.59</v>
      </c>
    </row>
    <row r="719">
      <c r="A719" t="n">
        <v>678</v>
      </c>
      <c r="B719" t="n">
        <v>9714.5</v>
      </c>
      <c r="C719" t="n">
        <v>43</v>
      </c>
      <c r="D719" t="n">
        <v>5256.12</v>
      </c>
    </row>
    <row r="720">
      <c r="A720" t="n">
        <v>589</v>
      </c>
      <c r="B720" t="n">
        <v>14731.33</v>
      </c>
      <c r="C720" t="n">
        <v>199</v>
      </c>
      <c r="D720" t="n">
        <v>5740.36</v>
      </c>
    </row>
    <row r="721">
      <c r="A721" t="n">
        <v>704</v>
      </c>
      <c r="B721" t="n">
        <v>11801.23</v>
      </c>
      <c r="C721" t="n">
        <v>405</v>
      </c>
      <c r="D721" t="n">
        <v>20405.38</v>
      </c>
    </row>
    <row r="722">
      <c r="A722" t="n">
        <v>672</v>
      </c>
      <c r="B722" t="n">
        <v>16580.88</v>
      </c>
      <c r="C722" t="n">
        <v>176</v>
      </c>
      <c r="D722" t="n">
        <v>68.22</v>
      </c>
    </row>
    <row r="723">
      <c r="A723" t="n">
        <v>626</v>
      </c>
      <c r="B723" t="n">
        <v>16416.12</v>
      </c>
      <c r="C723" t="n">
        <v>148</v>
      </c>
      <c r="D723" t="n">
        <v>8929.4</v>
      </c>
    </row>
    <row r="724">
      <c r="A724" t="n">
        <v>692</v>
      </c>
      <c r="B724" t="n">
        <v>6359.96</v>
      </c>
      <c r="C724" t="n">
        <v>110</v>
      </c>
      <c r="D724" t="n">
        <v>16580.88</v>
      </c>
    </row>
    <row r="725">
      <c r="A725" t="n">
        <v>691</v>
      </c>
      <c r="B725" t="n">
        <v>15715.08</v>
      </c>
      <c r="C725" t="n">
        <v>285</v>
      </c>
      <c r="D725" t="n">
        <v>6359.96</v>
      </c>
    </row>
    <row r="726">
      <c r="A726" t="n">
        <v>711</v>
      </c>
      <c r="B726" t="n">
        <v>6450.33</v>
      </c>
      <c r="C726" t="n">
        <v>135</v>
      </c>
      <c r="D726" t="n">
        <v>10186.12</v>
      </c>
    </row>
    <row r="727">
      <c r="A727" t="n">
        <v>673</v>
      </c>
      <c r="B727" t="n">
        <v>14172.24</v>
      </c>
      <c r="C727" t="n">
        <v>296</v>
      </c>
      <c r="D727" t="n">
        <v>7302.09</v>
      </c>
    </row>
    <row r="728">
      <c r="A728" t="n">
        <v>743</v>
      </c>
      <c r="B728" t="n">
        <v>10186.12</v>
      </c>
      <c r="C728" t="n">
        <v>424</v>
      </c>
      <c r="D728" t="n">
        <v>19793.96</v>
      </c>
    </row>
    <row r="729">
      <c r="A729" t="n">
        <v>644</v>
      </c>
      <c r="B729" t="n">
        <v>23926.39</v>
      </c>
      <c r="C729" t="n">
        <v>269</v>
      </c>
      <c r="D729" t="n">
        <v>12039.17</v>
      </c>
    </row>
    <row r="730">
      <c r="A730" t="n">
        <v>648</v>
      </c>
      <c r="B730" t="n">
        <v>10937.49</v>
      </c>
      <c r="C730" t="n">
        <v>230</v>
      </c>
      <c r="D730" t="n">
        <v>13018.57</v>
      </c>
    </row>
    <row r="731">
      <c r="A731" t="n">
        <v>689</v>
      </c>
      <c r="B731" t="n">
        <v>3606.55</v>
      </c>
      <c r="C731" t="n">
        <v>340</v>
      </c>
      <c r="D731" t="n">
        <v>19839.56</v>
      </c>
    </row>
    <row r="732">
      <c r="A732" t="n">
        <v>665</v>
      </c>
      <c r="B732" t="n">
        <v>12681.25</v>
      </c>
      <c r="C732" t="n">
        <v>54</v>
      </c>
      <c r="D732" t="n">
        <v>11254.42</v>
      </c>
    </row>
    <row r="733">
      <c r="A733" t="n">
        <v>649</v>
      </c>
      <c r="B733" t="n">
        <v>20011.53</v>
      </c>
      <c r="C733" t="n">
        <v>215</v>
      </c>
      <c r="D733" t="n">
        <v>6152.11</v>
      </c>
    </row>
    <row r="734">
      <c r="A734" t="n">
        <v>627</v>
      </c>
      <c r="B734" t="n">
        <v>30785.98</v>
      </c>
      <c r="C734" t="n">
        <v>407</v>
      </c>
      <c r="D734" t="n">
        <v>12681.25</v>
      </c>
    </row>
    <row r="735">
      <c r="A735" t="n">
        <v>695</v>
      </c>
      <c r="B735" t="n">
        <v>13781.34</v>
      </c>
      <c r="C735" t="n">
        <v>382</v>
      </c>
      <c r="D735" t="n">
        <v>15211.01</v>
      </c>
    </row>
    <row r="736">
      <c r="A736" t="n">
        <v>662</v>
      </c>
      <c r="B736" t="n">
        <v>15084.27</v>
      </c>
      <c r="C736" t="n">
        <v>294</v>
      </c>
      <c r="D736" t="n">
        <v>6807.67</v>
      </c>
    </row>
    <row r="737">
      <c r="A737" t="n">
        <v>813</v>
      </c>
      <c r="B737" t="n">
        <v>5296.72</v>
      </c>
      <c r="C737" t="n">
        <v>88</v>
      </c>
      <c r="D737" t="n">
        <v>30785.98</v>
      </c>
    </row>
    <row r="738">
      <c r="A738" t="n">
        <v>709</v>
      </c>
      <c r="B738" t="n">
        <v>3681.55</v>
      </c>
      <c r="C738" t="n">
        <v>307</v>
      </c>
      <c r="D738" t="n">
        <v>5409.7</v>
      </c>
    </row>
    <row r="739">
      <c r="A739" t="n">
        <v>686</v>
      </c>
      <c r="B739" t="n">
        <v>8742.129999999999</v>
      </c>
      <c r="C739" t="n">
        <v>34</v>
      </c>
      <c r="D739" t="n">
        <v>3681.55</v>
      </c>
    </row>
    <row r="740">
      <c r="A740" t="n">
        <v>754</v>
      </c>
      <c r="B740" t="n">
        <v>7265.91</v>
      </c>
      <c r="C740" t="n">
        <v>148</v>
      </c>
      <c r="D740" t="n">
        <v>6069.21</v>
      </c>
    </row>
    <row r="741">
      <c r="A741" t="n">
        <v>676</v>
      </c>
      <c r="B741" t="n">
        <v>15186.91</v>
      </c>
      <c r="C741" t="n">
        <v>10</v>
      </c>
      <c r="D741" t="n">
        <v>12416.11</v>
      </c>
    </row>
    <row r="742">
      <c r="A742" t="n">
        <v>700</v>
      </c>
      <c r="B742" t="n">
        <v>11658.56</v>
      </c>
      <c r="C742" t="n">
        <v>226</v>
      </c>
      <c r="D742" t="n">
        <v>9163.799999999999</v>
      </c>
    </row>
    <row r="743">
      <c r="A743" t="n">
        <v>621</v>
      </c>
      <c r="B743" t="n">
        <v>4240.84</v>
      </c>
      <c r="C743" t="n">
        <v>247</v>
      </c>
      <c r="D743" t="n">
        <v>17098.46</v>
      </c>
    </row>
    <row r="744">
      <c r="A744" t="n">
        <v>729</v>
      </c>
      <c r="B744" t="n">
        <v>5601.95</v>
      </c>
      <c r="C744" t="n">
        <v>400</v>
      </c>
      <c r="D744" t="n">
        <v>18047.34</v>
      </c>
    </row>
    <row r="745">
      <c r="A745" t="n">
        <v>699</v>
      </c>
      <c r="B745" t="n">
        <v>12098.98</v>
      </c>
      <c r="C745" t="n">
        <v>5</v>
      </c>
      <c r="D745" t="n">
        <v>554.95</v>
      </c>
    </row>
    <row r="746">
      <c r="A746" t="n">
        <v>692</v>
      </c>
      <c r="B746" t="n">
        <v>10944.93</v>
      </c>
      <c r="C746" t="n">
        <v>245</v>
      </c>
      <c r="D746" t="n">
        <v>6279.28</v>
      </c>
    </row>
    <row r="747">
      <c r="A747" t="n">
        <v>670</v>
      </c>
      <c r="B747" t="n">
        <v>16992.48</v>
      </c>
      <c r="C747" t="n">
        <v>288</v>
      </c>
      <c r="D747" t="n">
        <v>17128.57</v>
      </c>
    </row>
    <row r="748">
      <c r="A748" t="n">
        <v>729</v>
      </c>
      <c r="B748" t="n">
        <v>16782.8</v>
      </c>
      <c r="C748" t="n">
        <v>156</v>
      </c>
      <c r="D748" t="n">
        <v>12098.98</v>
      </c>
    </row>
    <row r="749">
      <c r="A749" t="n">
        <v>701</v>
      </c>
      <c r="B749" t="n">
        <v>18410.62</v>
      </c>
      <c r="C749" t="n">
        <v>133</v>
      </c>
      <c r="D749" t="n">
        <v>15465.9</v>
      </c>
    </row>
    <row r="750">
      <c r="A750" t="n">
        <v>695</v>
      </c>
      <c r="B750" t="n">
        <v>12344.44</v>
      </c>
      <c r="C750" t="n">
        <v>40</v>
      </c>
      <c r="D750" t="n">
        <v>1603.33</v>
      </c>
    </row>
    <row r="751">
      <c r="A751" t="n">
        <v>670</v>
      </c>
      <c r="B751" t="n">
        <v>13551.22</v>
      </c>
      <c r="C751" t="n">
        <v>185</v>
      </c>
      <c r="D751" t="n">
        <v>6962.02</v>
      </c>
    </row>
    <row r="752">
      <c r="A752" t="n">
        <v>740</v>
      </c>
      <c r="B752" t="n">
        <v>10165.95</v>
      </c>
      <c r="C752" t="n">
        <v>276</v>
      </c>
      <c r="D752" t="n">
        <v>2486.82</v>
      </c>
    </row>
    <row r="753">
      <c r="A753" t="n">
        <v>738</v>
      </c>
      <c r="B753" t="n">
        <v>15901.44</v>
      </c>
      <c r="C753" t="n">
        <v>2</v>
      </c>
      <c r="D753" t="n">
        <v>12344.44</v>
      </c>
    </row>
    <row r="754">
      <c r="A754" t="n">
        <v>605</v>
      </c>
      <c r="B754" t="n">
        <v>19821.27</v>
      </c>
      <c r="C754" t="n">
        <v>312</v>
      </c>
      <c r="D754" t="n">
        <v>5328.99</v>
      </c>
    </row>
    <row r="755">
      <c r="A755" t="n">
        <v>685</v>
      </c>
      <c r="B755" t="n">
        <v>9199.299999999999</v>
      </c>
      <c r="C755" t="n">
        <v>27</v>
      </c>
      <c r="D755" t="n">
        <v>4322.33</v>
      </c>
    </row>
    <row r="756">
      <c r="A756" t="n">
        <v>735</v>
      </c>
      <c r="B756" t="n">
        <v>4658.07</v>
      </c>
      <c r="C756" t="n">
        <v>231</v>
      </c>
      <c r="D756" t="n">
        <v>21378.16</v>
      </c>
    </row>
    <row r="757">
      <c r="A757" t="n">
        <v>721</v>
      </c>
      <c r="B757" t="n">
        <v>5895.1</v>
      </c>
      <c r="C757" t="n">
        <v>178</v>
      </c>
      <c r="D757" t="n">
        <v>10005.19</v>
      </c>
    </row>
    <row r="758">
      <c r="A758" t="n">
        <v>692</v>
      </c>
      <c r="B758" t="n">
        <v>0</v>
      </c>
      <c r="C758" t="n">
        <v>340</v>
      </c>
      <c r="D758" t="n">
        <v>10403.16</v>
      </c>
    </row>
    <row r="759">
      <c r="A759" t="n">
        <v>747</v>
      </c>
      <c r="B759" t="n">
        <v>5984.41</v>
      </c>
      <c r="C759" t="n">
        <v>43</v>
      </c>
      <c r="D759" t="n">
        <v>5895.1</v>
      </c>
    </row>
    <row r="760">
      <c r="A760" t="n">
        <v>651</v>
      </c>
      <c r="B760" t="n">
        <v>22295.19</v>
      </c>
      <c r="C760" t="n">
        <v>143</v>
      </c>
      <c r="D760" t="n">
        <v>5467.56</v>
      </c>
    </row>
    <row r="761">
      <c r="A761" t="n">
        <v>697</v>
      </c>
      <c r="B761" t="n">
        <v>5632.73</v>
      </c>
      <c r="C761" t="n">
        <v>42</v>
      </c>
      <c r="D761" t="n">
        <v>22295.19</v>
      </c>
    </row>
    <row r="762">
      <c r="A762" t="n">
        <v>698</v>
      </c>
      <c r="B762" t="n">
        <v>17855.82</v>
      </c>
      <c r="C762" t="n">
        <v>25</v>
      </c>
      <c r="D762" t="n">
        <v>16930.99</v>
      </c>
    </row>
    <row r="763">
      <c r="A763" t="n">
        <v>757</v>
      </c>
      <c r="B763" t="n">
        <v>13767.73</v>
      </c>
      <c r="C763" t="n">
        <v>225</v>
      </c>
      <c r="D763" t="n">
        <v>15826.05</v>
      </c>
    </row>
    <row r="764">
      <c r="A764" t="n">
        <v>755</v>
      </c>
      <c r="B764" t="n">
        <v>9636.26</v>
      </c>
      <c r="C764" t="n">
        <v>63</v>
      </c>
      <c r="D764" t="n">
        <v>20890.65</v>
      </c>
    </row>
    <row r="765">
      <c r="A765" t="n">
        <v>737</v>
      </c>
      <c r="B765" t="n">
        <v>16313.82</v>
      </c>
      <c r="C765" t="n">
        <v>261</v>
      </c>
      <c r="D765" t="n">
        <v>12430.39</v>
      </c>
    </row>
    <row r="766">
      <c r="A766" t="n">
        <v>651</v>
      </c>
      <c r="B766" t="n">
        <v>10598.01</v>
      </c>
      <c r="C766" t="n">
        <v>109</v>
      </c>
      <c r="D766" t="n">
        <v>16461.39</v>
      </c>
    </row>
    <row r="767">
      <c r="A767" t="n">
        <v>794</v>
      </c>
      <c r="B767" t="n">
        <v>8759.66</v>
      </c>
      <c r="C767" t="n">
        <v>317</v>
      </c>
      <c r="D767" t="n">
        <v>18261.62</v>
      </c>
    </row>
    <row r="768">
      <c r="A768" t="n">
        <v>728</v>
      </c>
      <c r="B768" t="n">
        <v>8859.48</v>
      </c>
      <c r="C768" t="n">
        <v>433</v>
      </c>
      <c r="D768" t="n">
        <v>13486.75</v>
      </c>
    </row>
    <row r="769">
      <c r="A769" t="n">
        <v>691</v>
      </c>
      <c r="B769" t="n">
        <v>14806.21</v>
      </c>
      <c r="C769" t="n">
        <v>265</v>
      </c>
      <c r="D769" t="n">
        <v>6780.11</v>
      </c>
    </row>
    <row r="770">
      <c r="A770" t="n">
        <v>706</v>
      </c>
      <c r="B770" t="n">
        <v>16988.26</v>
      </c>
      <c r="C770" t="n">
        <v>210</v>
      </c>
      <c r="D770" t="n">
        <v>15433.16</v>
      </c>
    </row>
    <row r="771">
      <c r="A771" t="n">
        <v>787</v>
      </c>
      <c r="B771" t="n">
        <v>3965.29</v>
      </c>
      <c r="C771" t="n">
        <v>69</v>
      </c>
      <c r="D771" t="n">
        <v>8759.66</v>
      </c>
    </row>
    <row r="772">
      <c r="A772" t="n">
        <v>610</v>
      </c>
      <c r="B772" t="n">
        <v>15005.26</v>
      </c>
      <c r="C772" t="n">
        <v>224</v>
      </c>
      <c r="D772" t="n">
        <v>13839.23</v>
      </c>
    </row>
    <row r="773">
      <c r="A773" t="n">
        <v>840</v>
      </c>
      <c r="B773" t="n">
        <v>2594.99</v>
      </c>
      <c r="C773" t="n">
        <v>412</v>
      </c>
      <c r="D773" t="n">
        <v>19118.85</v>
      </c>
    </row>
    <row r="774">
      <c r="A774" t="n">
        <v>741</v>
      </c>
      <c r="B774" t="n">
        <v>4615.32</v>
      </c>
      <c r="C774" t="n">
        <v>357</v>
      </c>
      <c r="D774" t="n">
        <v>23615.48</v>
      </c>
    </row>
    <row r="775">
      <c r="A775" t="n">
        <v>712</v>
      </c>
      <c r="B775" t="n">
        <v>2214.47</v>
      </c>
      <c r="C775" t="n">
        <v>274</v>
      </c>
      <c r="D775" t="n">
        <v>12704.56</v>
      </c>
    </row>
    <row r="776">
      <c r="A776" t="n">
        <v>629</v>
      </c>
      <c r="B776" t="n">
        <v>18508.58</v>
      </c>
      <c r="C776" t="n">
        <v>162</v>
      </c>
      <c r="D776" t="n">
        <v>11454.47</v>
      </c>
    </row>
    <row r="777">
      <c r="A777" t="n">
        <v>643</v>
      </c>
      <c r="B777" t="n">
        <v>9491.91</v>
      </c>
      <c r="C777" t="n">
        <v>392</v>
      </c>
      <c r="D777" t="n">
        <v>9372.309999999999</v>
      </c>
    </row>
    <row r="778">
      <c r="A778" t="n">
        <v>674</v>
      </c>
      <c r="B778" t="n">
        <v>16722.19</v>
      </c>
      <c r="C778" t="n">
        <v>190</v>
      </c>
      <c r="D778" t="n">
        <v>18683.22</v>
      </c>
    </row>
    <row r="779">
      <c r="A779" t="n">
        <v>730</v>
      </c>
      <c r="B779" t="n">
        <v>11855.13</v>
      </c>
      <c r="C779" t="n">
        <v>186</v>
      </c>
      <c r="D779" t="n">
        <v>18508.58</v>
      </c>
    </row>
    <row r="780">
      <c r="A780" t="n">
        <v>706</v>
      </c>
      <c r="B780" t="n">
        <v>13062.57</v>
      </c>
      <c r="C780" t="n">
        <v>308</v>
      </c>
      <c r="D780" t="n">
        <v>16722.19</v>
      </c>
    </row>
    <row r="781">
      <c r="A781" t="n">
        <v>786</v>
      </c>
      <c r="B781" t="n">
        <v>0</v>
      </c>
      <c r="C781" t="n">
        <v>273</v>
      </c>
      <c r="D781" t="n">
        <v>11855.13</v>
      </c>
    </row>
    <row r="782">
      <c r="A782" t="n">
        <v>693</v>
      </c>
      <c r="B782" t="n">
        <v>16065.94</v>
      </c>
      <c r="C782" t="n">
        <v>267</v>
      </c>
      <c r="D782" t="n">
        <v>13062.57</v>
      </c>
    </row>
    <row r="783">
      <c r="A783" t="n">
        <v>606</v>
      </c>
      <c r="B783" t="n">
        <v>19785.93</v>
      </c>
      <c r="C783" t="n">
        <v>381</v>
      </c>
      <c r="D783" t="n">
        <v>7754.52</v>
      </c>
    </row>
    <row r="784">
      <c r="A784" t="n">
        <v>615</v>
      </c>
      <c r="B784" t="n">
        <v>9883.940000000001</v>
      </c>
      <c r="C784" t="n">
        <v>152</v>
      </c>
      <c r="D784" t="n">
        <v>5055.76</v>
      </c>
    </row>
    <row r="785">
      <c r="A785" t="n">
        <v>708</v>
      </c>
      <c r="B785" t="n">
        <v>9871.9</v>
      </c>
      <c r="C785" t="n">
        <v>37</v>
      </c>
      <c r="D785" t="n">
        <v>16065.94</v>
      </c>
    </row>
    <row r="786">
      <c r="A786" t="n">
        <v>759</v>
      </c>
      <c r="B786" t="n">
        <v>4435.4</v>
      </c>
      <c r="C786" t="n">
        <v>416</v>
      </c>
      <c r="D786" t="n">
        <v>9996.1</v>
      </c>
    </row>
    <row r="787">
      <c r="A787" t="n">
        <v>711</v>
      </c>
      <c r="B787" t="n">
        <v>8377.48</v>
      </c>
      <c r="C787" t="n">
        <v>287</v>
      </c>
      <c r="D787" t="n">
        <v>8377.48</v>
      </c>
    </row>
    <row r="788">
      <c r="A788" t="n">
        <v>695</v>
      </c>
      <c r="B788" t="n">
        <v>5683.99</v>
      </c>
      <c r="C788" t="n">
        <v>134</v>
      </c>
      <c r="D788" t="n">
        <v>24970.52</v>
      </c>
    </row>
    <row r="789">
      <c r="A789" t="n">
        <v>801</v>
      </c>
      <c r="B789" t="n">
        <v>5327.61</v>
      </c>
      <c r="C789" t="n">
        <v>102</v>
      </c>
      <c r="D789" t="n">
        <v>9649.280000000001</v>
      </c>
    </row>
    <row r="790">
      <c r="A790" t="n">
        <v>726</v>
      </c>
      <c r="B790" t="n">
        <v>11303.24</v>
      </c>
      <c r="C790" t="n">
        <v>232</v>
      </c>
      <c r="D790" t="n">
        <v>10902.88</v>
      </c>
    </row>
    <row r="791">
      <c r="A791" t="n">
        <v>595</v>
      </c>
      <c r="B791" t="n">
        <v>21145.89</v>
      </c>
      <c r="C791" t="n">
        <v>289</v>
      </c>
      <c r="D791" t="n">
        <v>1459.45</v>
      </c>
    </row>
    <row r="792">
      <c r="A792" t="n">
        <v>654</v>
      </c>
      <c r="B792" t="n">
        <v>18700.45</v>
      </c>
      <c r="C792" t="n">
        <v>188</v>
      </c>
      <c r="D792" t="n">
        <v>21145.89</v>
      </c>
    </row>
    <row r="793">
      <c r="A793" t="n">
        <v>724</v>
      </c>
      <c r="B793" t="n">
        <v>17252.35</v>
      </c>
      <c r="C793" t="n">
        <v>337</v>
      </c>
      <c r="D793" t="n">
        <v>8130.8</v>
      </c>
    </row>
    <row r="794">
      <c r="A794" t="n">
        <v>802</v>
      </c>
      <c r="B794" t="n">
        <v>2678.39</v>
      </c>
      <c r="C794" t="n">
        <v>264</v>
      </c>
      <c r="D794" t="n">
        <v>18700.45</v>
      </c>
    </row>
    <row r="795">
      <c r="A795" t="n">
        <v>573</v>
      </c>
      <c r="B795" t="n">
        <v>17288.02</v>
      </c>
      <c r="C795" t="n">
        <v>306</v>
      </c>
      <c r="D795" t="n">
        <v>11192.61</v>
      </c>
    </row>
    <row r="796">
      <c r="A796" t="n">
        <v>685</v>
      </c>
      <c r="B796" t="n">
        <v>20290.2</v>
      </c>
      <c r="C796" t="n">
        <v>22</v>
      </c>
      <c r="D796" t="n">
        <v>2678.39</v>
      </c>
    </row>
    <row r="797">
      <c r="A797" t="n">
        <v>637</v>
      </c>
      <c r="B797" t="n">
        <v>20537.92</v>
      </c>
      <c r="C797" t="n">
        <v>404</v>
      </c>
      <c r="D797" t="n">
        <v>8589.99</v>
      </c>
    </row>
    <row r="798">
      <c r="A798" t="n">
        <v>594</v>
      </c>
      <c r="B798" t="n">
        <v>19354.54</v>
      </c>
      <c r="C798" t="n">
        <v>150</v>
      </c>
      <c r="D798" t="n">
        <v>19354.54</v>
      </c>
    </row>
    <row r="799">
      <c r="A799" t="n">
        <v>698</v>
      </c>
      <c r="B799" t="n">
        <v>12483.21</v>
      </c>
      <c r="C799" t="n">
        <v>289</v>
      </c>
      <c r="D799" t="n">
        <v>5943.99</v>
      </c>
    </row>
    <row r="800">
      <c r="A800" t="n">
        <v>681</v>
      </c>
      <c r="B800" t="n">
        <v>12270.78</v>
      </c>
      <c r="C800" t="n">
        <v>243</v>
      </c>
      <c r="D800" t="n">
        <v>12270.78</v>
      </c>
    </row>
    <row r="801">
      <c r="A801" t="n">
        <v>738</v>
      </c>
      <c r="B801" t="n">
        <v>19627.64</v>
      </c>
      <c r="C801" t="n">
        <v>175</v>
      </c>
      <c r="D801" t="n">
        <v>19627.64</v>
      </c>
    </row>
    <row r="802">
      <c r="A802" t="n">
        <v>710</v>
      </c>
      <c r="B802" t="n">
        <v>9919.57</v>
      </c>
      <c r="C802" t="n">
        <v>32</v>
      </c>
      <c r="D802" t="n">
        <v>8450.549999999999</v>
      </c>
    </row>
    <row r="803">
      <c r="A803" t="n">
        <v>607</v>
      </c>
      <c r="B803" t="n">
        <v>23519.37</v>
      </c>
      <c r="C803" t="n">
        <v>283</v>
      </c>
      <c r="D803" t="n">
        <v>8667.75</v>
      </c>
    </row>
    <row r="804">
      <c r="A804" t="n">
        <v>721</v>
      </c>
      <c r="B804" t="n">
        <v>11561.31</v>
      </c>
      <c r="C804" t="n">
        <v>18</v>
      </c>
      <c r="D804" t="n">
        <v>23519.37</v>
      </c>
    </row>
    <row r="805">
      <c r="A805" t="n">
        <v>687</v>
      </c>
      <c r="B805" t="n">
        <v>17994.23</v>
      </c>
      <c r="C805" t="n">
        <v>177</v>
      </c>
      <c r="D805" t="n">
        <v>30868.99</v>
      </c>
    </row>
    <row r="806">
      <c r="A806" t="n">
        <v>761</v>
      </c>
      <c r="B806" t="n">
        <v>5649.64</v>
      </c>
      <c r="C806" t="n">
        <v>19</v>
      </c>
      <c r="D806" t="n">
        <v>10142.6</v>
      </c>
    </row>
    <row r="807">
      <c r="A807" t="n">
        <v>690</v>
      </c>
      <c r="B807" t="n">
        <v>5660.69</v>
      </c>
      <c r="C807" t="n">
        <v>242</v>
      </c>
      <c r="D807" t="n">
        <v>16114.39</v>
      </c>
    </row>
    <row r="808">
      <c r="A808" t="n">
        <v>747</v>
      </c>
      <c r="B808" t="n">
        <v>10753.9</v>
      </c>
      <c r="C808" t="n">
        <v>48</v>
      </c>
      <c r="D808" t="n">
        <v>6223.88</v>
      </c>
    </row>
    <row r="809">
      <c r="A809" t="n">
        <v>636</v>
      </c>
      <c r="B809" t="n">
        <v>10391.99</v>
      </c>
      <c r="C809" t="n">
        <v>435</v>
      </c>
      <c r="D809" t="n">
        <v>9819.809999999999</v>
      </c>
    </row>
    <row r="810">
      <c r="A810" t="n">
        <v>646</v>
      </c>
      <c r="B810" t="n">
        <v>16825.74</v>
      </c>
      <c r="C810" t="n">
        <v>297</v>
      </c>
      <c r="D810" t="n">
        <v>9297.24</v>
      </c>
    </row>
    <row r="811">
      <c r="A811" t="n">
        <v>747</v>
      </c>
      <c r="B811" t="n">
        <v>8030.38</v>
      </c>
      <c r="C811" t="n">
        <v>421</v>
      </c>
      <c r="D811" t="n">
        <v>13202.1</v>
      </c>
    </row>
    <row r="812">
      <c r="A812" t="n">
        <v>621</v>
      </c>
      <c r="B812" t="n">
        <v>14236.15</v>
      </c>
      <c r="C812" t="n">
        <v>260</v>
      </c>
      <c r="D812" t="n">
        <v>2991.63</v>
      </c>
    </row>
    <row r="813">
      <c r="A813" t="n">
        <v>714</v>
      </c>
      <c r="B813" t="n">
        <v>11358.35</v>
      </c>
      <c r="C813" t="n">
        <v>279</v>
      </c>
      <c r="D813" t="n">
        <v>7454.97</v>
      </c>
    </row>
    <row r="814">
      <c r="A814" t="n">
        <v>714</v>
      </c>
      <c r="B814" t="n">
        <v>11019.65</v>
      </c>
      <c r="C814" t="n">
        <v>286</v>
      </c>
      <c r="D814" t="n">
        <v>14236.15</v>
      </c>
    </row>
    <row r="815">
      <c r="A815" t="n">
        <v>669</v>
      </c>
      <c r="B815" t="n">
        <v>3629.44</v>
      </c>
      <c r="C815" t="n">
        <v>401</v>
      </c>
      <c r="D815" t="n">
        <v>6618.86</v>
      </c>
    </row>
    <row r="816">
      <c r="A816" t="n">
        <v>733</v>
      </c>
      <c r="B816" t="n">
        <v>13983.53</v>
      </c>
      <c r="C816" t="n">
        <v>178</v>
      </c>
      <c r="D816" t="n">
        <v>7866.47</v>
      </c>
    </row>
    <row r="817">
      <c r="A817" t="n">
        <v>718</v>
      </c>
      <c r="B817" t="n">
        <v>6291.74</v>
      </c>
      <c r="C817" t="n">
        <v>192</v>
      </c>
      <c r="D817" t="n">
        <v>8567.809999999999</v>
      </c>
    </row>
    <row r="818">
      <c r="A818" t="n">
        <v>745</v>
      </c>
      <c r="B818" t="n">
        <v>11714.09</v>
      </c>
      <c r="C818" t="n">
        <v>237</v>
      </c>
      <c r="D818" t="n">
        <v>7978.26</v>
      </c>
    </row>
    <row r="819">
      <c r="A819" t="n">
        <v>675</v>
      </c>
      <c r="B819" t="n">
        <v>11906.02</v>
      </c>
      <c r="C819" t="n">
        <v>357</v>
      </c>
      <c r="D819" t="n">
        <v>10286.98</v>
      </c>
    </row>
    <row r="820">
      <c r="A820" t="n">
        <v>614</v>
      </c>
      <c r="B820" t="n">
        <v>21224.62</v>
      </c>
      <c r="C820" t="n">
        <v>156</v>
      </c>
      <c r="D820" t="n">
        <v>21224.62</v>
      </c>
    </row>
    <row r="821">
      <c r="A821" t="n">
        <v>728</v>
      </c>
      <c r="B821" t="n">
        <v>17312.69</v>
      </c>
      <c r="C821" t="n">
        <v>63</v>
      </c>
      <c r="D821" t="n">
        <v>7740.6</v>
      </c>
    </row>
    <row r="822">
      <c r="A822" t="n">
        <v>725</v>
      </c>
      <c r="B822" t="n">
        <v>15685.25</v>
      </c>
      <c r="C822" t="n">
        <v>408</v>
      </c>
      <c r="D822" t="n">
        <v>8240.91</v>
      </c>
    </row>
    <row r="823">
      <c r="A823" t="n">
        <v>603</v>
      </c>
      <c r="B823" t="n">
        <v>22355.29</v>
      </c>
      <c r="C823" t="n">
        <v>48</v>
      </c>
      <c r="D823" t="n">
        <v>25952.78</v>
      </c>
    </row>
    <row r="824">
      <c r="A824" t="n">
        <v>762</v>
      </c>
      <c r="B824" t="n">
        <v>9621.049999999999</v>
      </c>
      <c r="C824" t="n">
        <v>22</v>
      </c>
      <c r="D824" t="n">
        <v>3026.12</v>
      </c>
    </row>
    <row r="825">
      <c r="A825" t="n">
        <v>695</v>
      </c>
      <c r="B825" t="n">
        <v>15551.59</v>
      </c>
      <c r="C825" t="n">
        <v>352</v>
      </c>
      <c r="D825" t="n">
        <v>16043.86</v>
      </c>
    </row>
    <row r="826">
      <c r="A826" t="n">
        <v>692</v>
      </c>
      <c r="B826" t="n">
        <v>6566.1</v>
      </c>
      <c r="C826" t="n">
        <v>127</v>
      </c>
      <c r="D826" t="n">
        <v>15685.25</v>
      </c>
    </row>
    <row r="827">
      <c r="A827" t="n">
        <v>729</v>
      </c>
      <c r="B827" t="n">
        <v>7733</v>
      </c>
      <c r="C827" t="n">
        <v>222</v>
      </c>
      <c r="D827" t="n">
        <v>1339.57</v>
      </c>
    </row>
    <row r="828">
      <c r="A828" t="n">
        <v>653</v>
      </c>
      <c r="B828" t="n">
        <v>2256.07</v>
      </c>
      <c r="C828" t="n">
        <v>119</v>
      </c>
      <c r="D828" t="n">
        <v>2256.07</v>
      </c>
    </row>
    <row r="829">
      <c r="A829" t="n">
        <v>608</v>
      </c>
      <c r="B829" t="n">
        <v>25555.11</v>
      </c>
      <c r="C829" t="n">
        <v>182</v>
      </c>
      <c r="D829" t="n">
        <v>16285.8</v>
      </c>
    </row>
    <row r="830">
      <c r="A830" t="n">
        <v>657</v>
      </c>
      <c r="B830" t="n">
        <v>20577.12</v>
      </c>
      <c r="C830" t="n">
        <v>119</v>
      </c>
      <c r="D830" t="n">
        <v>15814.34</v>
      </c>
    </row>
    <row r="831">
      <c r="A831" t="n">
        <v>587</v>
      </c>
      <c r="B831" t="n">
        <v>23855.91</v>
      </c>
      <c r="C831" t="n">
        <v>196</v>
      </c>
      <c r="D831" t="n">
        <v>14048.52</v>
      </c>
    </row>
    <row r="832">
      <c r="A832" t="n">
        <v>687</v>
      </c>
      <c r="B832" t="n">
        <v>5212.93</v>
      </c>
      <c r="C832" t="n">
        <v>189</v>
      </c>
      <c r="D832" t="n">
        <v>15483.08</v>
      </c>
    </row>
    <row r="833">
      <c r="A833" t="n">
        <v>750</v>
      </c>
      <c r="B833" t="n">
        <v>4929.71</v>
      </c>
      <c r="C833" t="n">
        <v>147</v>
      </c>
      <c r="D833" t="n">
        <v>13716.94</v>
      </c>
    </row>
    <row r="834">
      <c r="A834" t="n">
        <v>559</v>
      </c>
      <c r="B834" t="n">
        <v>37759.06</v>
      </c>
      <c r="C834" t="n">
        <v>81</v>
      </c>
      <c r="D834" t="n">
        <v>6568.26</v>
      </c>
    </row>
    <row r="835">
      <c r="A835" t="n">
        <v>794</v>
      </c>
      <c r="B835" t="n">
        <v>7639.41</v>
      </c>
      <c r="C835" t="n">
        <v>248</v>
      </c>
      <c r="D835" t="n">
        <v>15196.28</v>
      </c>
    </row>
    <row r="836">
      <c r="A836" t="n">
        <v>878</v>
      </c>
      <c r="B836" t="n">
        <v>1647.5</v>
      </c>
      <c r="C836" t="n">
        <v>388</v>
      </c>
      <c r="D836" t="n">
        <v>4929.71</v>
      </c>
    </row>
    <row r="837">
      <c r="A837" t="n">
        <v>680</v>
      </c>
      <c r="B837" t="n">
        <v>10668.7</v>
      </c>
      <c r="C837" t="n">
        <v>423</v>
      </c>
      <c r="D837" t="n">
        <v>9085.360000000001</v>
      </c>
    </row>
    <row r="838">
      <c r="A838" t="n">
        <v>657</v>
      </c>
      <c r="B838" t="n">
        <v>15198.36</v>
      </c>
      <c r="C838" t="n">
        <v>293</v>
      </c>
      <c r="D838" t="n">
        <v>11877.38</v>
      </c>
    </row>
    <row r="839">
      <c r="A839" t="n">
        <v>671</v>
      </c>
      <c r="B839" t="n">
        <v>13571.63</v>
      </c>
      <c r="C839" t="n">
        <v>47</v>
      </c>
      <c r="D839" t="n">
        <v>5710.73</v>
      </c>
    </row>
    <row r="840">
      <c r="A840" t="n">
        <v>649</v>
      </c>
      <c r="B840" t="n">
        <v>19812.11</v>
      </c>
      <c r="C840" t="n">
        <v>54</v>
      </c>
      <c r="D840" t="n">
        <v>9888.6</v>
      </c>
    </row>
    <row r="841">
      <c r="A841" t="n">
        <v>715</v>
      </c>
      <c r="B841" t="n">
        <v>7636</v>
      </c>
      <c r="C841" t="n">
        <v>422</v>
      </c>
      <c r="D841" t="n">
        <v>5088.42</v>
      </c>
    </row>
    <row r="842">
      <c r="A842" t="n">
        <v>659</v>
      </c>
      <c r="B842" t="n">
        <v>17137.76</v>
      </c>
      <c r="C842" t="n">
        <v>339</v>
      </c>
      <c r="D842" t="n">
        <v>7636</v>
      </c>
    </row>
    <row r="843">
      <c r="A843" t="n">
        <v>793</v>
      </c>
      <c r="B843" t="n">
        <v>6922.3</v>
      </c>
      <c r="C843" t="n">
        <v>330</v>
      </c>
      <c r="D843" t="n">
        <v>9078.42</v>
      </c>
    </row>
    <row r="844">
      <c r="A844" t="n">
        <v>667</v>
      </c>
      <c r="B844" t="n">
        <v>13510.57</v>
      </c>
      <c r="C844" t="n">
        <v>176</v>
      </c>
      <c r="D844" t="n">
        <v>5519.86</v>
      </c>
    </row>
    <row r="845">
      <c r="A845" t="n">
        <v>696</v>
      </c>
      <c r="B845" t="n">
        <v>15608.8</v>
      </c>
      <c r="C845" t="n">
        <v>264</v>
      </c>
      <c r="D845" t="n">
        <v>17777.67</v>
      </c>
    </row>
    <row r="846">
      <c r="A846" t="n">
        <v>711</v>
      </c>
      <c r="B846" t="n">
        <v>8599.58</v>
      </c>
      <c r="C846" t="n">
        <v>38</v>
      </c>
      <c r="D846" t="n">
        <v>8777.91</v>
      </c>
    </row>
    <row r="847">
      <c r="A847" t="n">
        <v>702</v>
      </c>
      <c r="B847" t="n">
        <v>10419.43</v>
      </c>
      <c r="C847" t="n">
        <v>388</v>
      </c>
      <c r="D847" t="n">
        <v>17330.54</v>
      </c>
    </row>
    <row r="848">
      <c r="A848" t="n">
        <v>608</v>
      </c>
      <c r="B848" t="n">
        <v>22635.08</v>
      </c>
      <c r="C848" t="n">
        <v>142</v>
      </c>
      <c r="D848" t="n">
        <v>23445.57</v>
      </c>
    </row>
    <row r="849">
      <c r="A849" t="n">
        <v>724</v>
      </c>
      <c r="B849" t="n">
        <v>6564.51</v>
      </c>
      <c r="C849" t="n">
        <v>109</v>
      </c>
      <c r="D849" t="n">
        <v>7761.94</v>
      </c>
    </row>
    <row r="850">
      <c r="A850" t="n">
        <v>783</v>
      </c>
      <c r="B850" t="n">
        <v>13875.58</v>
      </c>
      <c r="C850" t="n">
        <v>191</v>
      </c>
      <c r="D850" t="n">
        <v>22635.08</v>
      </c>
    </row>
    <row r="851">
      <c r="A851" t="n">
        <v>628</v>
      </c>
      <c r="B851" t="n">
        <v>25871.15</v>
      </c>
      <c r="C851" t="n">
        <v>229</v>
      </c>
      <c r="D851" t="n">
        <v>6564.51</v>
      </c>
    </row>
    <row r="852">
      <c r="A852" t="n">
        <v>770</v>
      </c>
      <c r="B852" t="n">
        <v>11077.81</v>
      </c>
      <c r="C852" t="n">
        <v>292</v>
      </c>
      <c r="D852" t="n">
        <v>8494.34</v>
      </c>
    </row>
    <row r="853">
      <c r="A853" t="n">
        <v>686</v>
      </c>
      <c r="B853" t="n">
        <v>19995.59</v>
      </c>
      <c r="C853" t="n">
        <v>336</v>
      </c>
      <c r="D853" t="n">
        <v>15690.66</v>
      </c>
    </row>
    <row r="854">
      <c r="A854" t="n">
        <v>775</v>
      </c>
      <c r="B854" t="n">
        <v>3122.3</v>
      </c>
      <c r="C854" t="n">
        <v>434</v>
      </c>
      <c r="D854" t="n">
        <v>9745.309999999999</v>
      </c>
    </row>
    <row r="855">
      <c r="A855" t="n">
        <v>801</v>
      </c>
      <c r="B855" t="n">
        <v>2757.93</v>
      </c>
      <c r="C855" t="n">
        <v>405</v>
      </c>
      <c r="D855" t="n">
        <v>9168.59</v>
      </c>
    </row>
    <row r="856">
      <c r="A856" t="n">
        <v>705</v>
      </c>
      <c r="B856" t="n">
        <v>8653.969999999999</v>
      </c>
      <c r="C856" t="n">
        <v>299</v>
      </c>
      <c r="D856" t="n">
        <v>25032.84</v>
      </c>
    </row>
    <row r="857">
      <c r="A857" t="n">
        <v>677</v>
      </c>
      <c r="B857" t="n">
        <v>10700.98</v>
      </c>
      <c r="C857" t="n">
        <v>159</v>
      </c>
      <c r="D857" t="n">
        <v>9749.48</v>
      </c>
    </row>
    <row r="858">
      <c r="A858" t="n">
        <v>663</v>
      </c>
      <c r="B858" t="n">
        <v>16561.11</v>
      </c>
      <c r="C858" t="n">
        <v>64</v>
      </c>
      <c r="D858" t="n">
        <v>10700.98</v>
      </c>
    </row>
    <row r="859">
      <c r="A859" t="n">
        <v>589</v>
      </c>
      <c r="B859" t="n">
        <v>6568.86</v>
      </c>
      <c r="C859" t="n">
        <v>67</v>
      </c>
      <c r="D859" t="n">
        <v>37208.06</v>
      </c>
    </row>
    <row r="860">
      <c r="A860" t="n">
        <v>738</v>
      </c>
      <c r="B860" t="n">
        <v>7198.07</v>
      </c>
      <c r="C860" t="n">
        <v>242</v>
      </c>
      <c r="D860" t="n">
        <v>13867.32</v>
      </c>
    </row>
    <row r="861">
      <c r="A861" t="n">
        <v>784</v>
      </c>
      <c r="B861" t="n">
        <v>9632.040000000001</v>
      </c>
      <c r="C861" t="n">
        <v>386</v>
      </c>
      <c r="D861" t="n">
        <v>6568.86</v>
      </c>
    </row>
    <row r="862">
      <c r="A862" t="n">
        <v>653</v>
      </c>
      <c r="B862" t="n">
        <v>26378.61</v>
      </c>
      <c r="C862" t="n">
        <v>122</v>
      </c>
      <c r="D862" t="n">
        <v>26378.61</v>
      </c>
    </row>
    <row r="863">
      <c r="A863" t="n">
        <v>703</v>
      </c>
      <c r="B863" t="n">
        <v>12534.67</v>
      </c>
      <c r="C863" t="n">
        <v>82</v>
      </c>
      <c r="D863" t="n">
        <v>9134.190000000001</v>
      </c>
    </row>
    <row r="864">
      <c r="A864" t="n">
        <v>703</v>
      </c>
      <c r="B864" t="n">
        <v>10627.51</v>
      </c>
      <c r="C864" t="n">
        <v>245</v>
      </c>
      <c r="D864" t="n">
        <v>9784.549999999999</v>
      </c>
    </row>
    <row r="865">
      <c r="A865" t="n">
        <v>673</v>
      </c>
      <c r="B865" t="n">
        <v>21988.42</v>
      </c>
      <c r="C865" t="n">
        <v>181</v>
      </c>
      <c r="D865" t="n">
        <v>11715.62</v>
      </c>
    </row>
    <row r="866">
      <c r="A866" t="n">
        <v>674</v>
      </c>
      <c r="B866" t="n">
        <v>9784.549999999999</v>
      </c>
      <c r="C866" t="n">
        <v>289</v>
      </c>
      <c r="D866" t="n">
        <v>18909.94</v>
      </c>
    </row>
    <row r="867">
      <c r="A867" t="n">
        <v>675</v>
      </c>
      <c r="B867" t="n">
        <v>12217.89</v>
      </c>
      <c r="C867" t="n">
        <v>249</v>
      </c>
      <c r="D867" t="n">
        <v>2331.74</v>
      </c>
    </row>
    <row r="868">
      <c r="A868" t="n">
        <v>792</v>
      </c>
      <c r="B868" t="n">
        <v>10416.45</v>
      </c>
      <c r="C868" t="n">
        <v>30</v>
      </c>
      <c r="D868" t="n">
        <v>10416.45</v>
      </c>
    </row>
    <row r="869">
      <c r="A869" t="n">
        <v>674</v>
      </c>
      <c r="B869" t="n">
        <v>11376.75</v>
      </c>
      <c r="C869" t="n">
        <v>59</v>
      </c>
      <c r="D869" t="n">
        <v>11376.75</v>
      </c>
    </row>
    <row r="870">
      <c r="A870" t="n">
        <v>654</v>
      </c>
      <c r="B870" t="n">
        <v>9673.5</v>
      </c>
      <c r="C870" t="n">
        <v>319</v>
      </c>
      <c r="D870" t="n">
        <v>15678.71</v>
      </c>
    </row>
    <row r="871">
      <c r="A871" t="n">
        <v>709</v>
      </c>
      <c r="B871" t="n">
        <v>9729.860000000001</v>
      </c>
      <c r="C871" t="n">
        <v>200</v>
      </c>
      <c r="D871" t="n">
        <v>9673.5</v>
      </c>
    </row>
    <row r="872">
      <c r="A872" t="n">
        <v>800</v>
      </c>
      <c r="B872" t="n">
        <v>7775.13</v>
      </c>
      <c r="C872" t="n">
        <v>161</v>
      </c>
      <c r="D872" t="n">
        <v>15951.84</v>
      </c>
    </row>
    <row r="873">
      <c r="A873" t="n">
        <v>631</v>
      </c>
      <c r="B873" t="n">
        <v>18026.63</v>
      </c>
      <c r="C873" t="n">
        <v>181</v>
      </c>
      <c r="D873" t="n">
        <v>7775.13</v>
      </c>
    </row>
    <row r="874">
      <c r="A874" t="n">
        <v>654</v>
      </c>
      <c r="B874" t="n">
        <v>12762.14</v>
      </c>
      <c r="C874" t="n">
        <v>39</v>
      </c>
      <c r="D874" t="n">
        <v>14344.98</v>
      </c>
    </row>
    <row r="875">
      <c r="A875" t="n">
        <v>710</v>
      </c>
      <c r="B875" t="n">
        <v>11030.55</v>
      </c>
      <c r="C875" t="n">
        <v>349</v>
      </c>
      <c r="D875" t="n">
        <v>18026.63</v>
      </c>
    </row>
    <row r="876">
      <c r="A876" t="n">
        <v>771</v>
      </c>
      <c r="B876" t="n">
        <v>5897</v>
      </c>
      <c r="C876" t="n">
        <v>224</v>
      </c>
      <c r="D876" t="n">
        <v>11030.55</v>
      </c>
    </row>
    <row r="877">
      <c r="A877" t="n">
        <v>608</v>
      </c>
      <c r="B877" t="n">
        <v>19560.31</v>
      </c>
      <c r="C877" t="n">
        <v>374</v>
      </c>
      <c r="D877" t="n">
        <v>5897</v>
      </c>
    </row>
    <row r="878">
      <c r="A878" t="n">
        <v>717</v>
      </c>
      <c r="B878" t="n">
        <v>5361.97</v>
      </c>
      <c r="C878" t="n">
        <v>278</v>
      </c>
      <c r="D878" t="n">
        <v>17607.64</v>
      </c>
    </row>
    <row r="879">
      <c r="A879" t="n">
        <v>822</v>
      </c>
      <c r="B879" t="n">
        <v>3831.27</v>
      </c>
      <c r="C879" t="n">
        <v>422</v>
      </c>
      <c r="D879" t="n">
        <v>3831.27</v>
      </c>
    </row>
    <row r="880">
      <c r="A880" t="n">
        <v>708</v>
      </c>
      <c r="B880" t="n">
        <v>7676.36</v>
      </c>
      <c r="C880" t="n">
        <v>126</v>
      </c>
      <c r="D880" t="n">
        <v>24859.13</v>
      </c>
    </row>
    <row r="881">
      <c r="A881" t="n">
        <v>738</v>
      </c>
      <c r="B881" t="n">
        <v>5454.76</v>
      </c>
      <c r="C881" t="n">
        <v>296</v>
      </c>
      <c r="D881" t="n">
        <v>26468.17</v>
      </c>
    </row>
    <row r="882">
      <c r="A882" t="n">
        <v>672</v>
      </c>
      <c r="B882" t="n">
        <v>12537.5</v>
      </c>
      <c r="C882" t="n">
        <v>320</v>
      </c>
      <c r="D882" t="n">
        <v>10634.98</v>
      </c>
    </row>
    <row r="883">
      <c r="A883" t="n">
        <v>762</v>
      </c>
      <c r="B883" t="n">
        <v>5111.27</v>
      </c>
      <c r="C883" t="n">
        <v>0</v>
      </c>
      <c r="D883" t="n">
        <v>10621.67</v>
      </c>
    </row>
    <row r="884">
      <c r="A884" t="n">
        <v>679</v>
      </c>
      <c r="B884" t="n">
        <v>10244.86</v>
      </c>
      <c r="C884" t="n">
        <v>115</v>
      </c>
      <c r="D884" t="n">
        <v>17801.56</v>
      </c>
    </row>
    <row r="885">
      <c r="A885" t="n">
        <v>701</v>
      </c>
      <c r="B885" t="n">
        <v>22272.55</v>
      </c>
      <c r="C885" t="n">
        <v>405</v>
      </c>
      <c r="D885" t="n">
        <v>10850.22</v>
      </c>
    </row>
    <row r="886">
      <c r="A886" t="n">
        <v>702</v>
      </c>
      <c r="B886" t="n">
        <v>8630</v>
      </c>
      <c r="C886" t="n">
        <v>181</v>
      </c>
      <c r="D886" t="n">
        <v>19495.62</v>
      </c>
    </row>
    <row r="887">
      <c r="A887" t="n">
        <v>715</v>
      </c>
      <c r="B887" t="n">
        <v>10069.72</v>
      </c>
      <c r="C887" t="n">
        <v>273</v>
      </c>
      <c r="D887" t="n">
        <v>23808.27</v>
      </c>
    </row>
    <row r="888">
      <c r="A888" t="n">
        <v>642</v>
      </c>
      <c r="B888" t="n">
        <v>9177.08</v>
      </c>
      <c r="C888" t="n">
        <v>392</v>
      </c>
      <c r="D888" t="n">
        <v>10532.42</v>
      </c>
    </row>
    <row r="889">
      <c r="A889" t="n">
        <v>638</v>
      </c>
      <c r="B889" t="n">
        <v>21094.81</v>
      </c>
      <c r="C889" t="n">
        <v>86</v>
      </c>
      <c r="D889" t="n">
        <v>18623.64</v>
      </c>
    </row>
    <row r="890">
      <c r="A890" t="n">
        <v>767</v>
      </c>
      <c r="B890" t="n">
        <v>9143.530000000001</v>
      </c>
      <c r="C890" t="n">
        <v>419</v>
      </c>
      <c r="D890" t="n">
        <v>7612.33</v>
      </c>
    </row>
    <row r="891">
      <c r="A891" t="n">
        <v>796</v>
      </c>
      <c r="B891" t="n">
        <v>5079.21</v>
      </c>
      <c r="C891" t="n">
        <v>106</v>
      </c>
      <c r="D891" t="n">
        <v>5470.98</v>
      </c>
    </row>
    <row r="892">
      <c r="A892" t="n">
        <v>826</v>
      </c>
      <c r="B892" t="n">
        <v>5186.1</v>
      </c>
      <c r="C892" t="n">
        <v>402</v>
      </c>
      <c r="D892" t="n">
        <v>9177.08</v>
      </c>
    </row>
    <row r="893">
      <c r="A893" t="n">
        <v>704</v>
      </c>
      <c r="B893" t="n">
        <v>4019.02</v>
      </c>
      <c r="C893" t="n">
        <v>426</v>
      </c>
      <c r="D893" t="n">
        <v>5186.1</v>
      </c>
    </row>
    <row r="894">
      <c r="A894" t="n">
        <v>655</v>
      </c>
      <c r="B894" t="n">
        <v>19594.26</v>
      </c>
      <c r="C894" t="n">
        <v>93</v>
      </c>
      <c r="D894" t="n">
        <v>31511.11</v>
      </c>
    </row>
    <row r="895">
      <c r="A895" t="n">
        <v>654</v>
      </c>
      <c r="B895" t="n">
        <v>19733.33</v>
      </c>
      <c r="C895" t="n">
        <v>179</v>
      </c>
      <c r="D895" t="n">
        <v>8630.99</v>
      </c>
    </row>
    <row r="896">
      <c r="A896" t="n">
        <v>705</v>
      </c>
      <c r="B896" t="n">
        <v>10323.57</v>
      </c>
      <c r="C896" t="n">
        <v>248</v>
      </c>
      <c r="D896" t="n">
        <v>13563.14</v>
      </c>
    </row>
    <row r="897">
      <c r="A897" t="n">
        <v>598</v>
      </c>
      <c r="B897" t="n">
        <v>14960.96</v>
      </c>
      <c r="C897" t="n">
        <v>337</v>
      </c>
      <c r="D897" t="n">
        <v>22221.34</v>
      </c>
    </row>
    <row r="898">
      <c r="A898" t="n">
        <v>668</v>
      </c>
      <c r="B898" t="n">
        <v>27866.77</v>
      </c>
      <c r="C898" t="n">
        <v>115</v>
      </c>
      <c r="D898" t="n">
        <v>9871.389999999999</v>
      </c>
    </row>
    <row r="899">
      <c r="A899" t="n">
        <v>667</v>
      </c>
      <c r="B899" t="n">
        <v>5065.74</v>
      </c>
      <c r="C899" t="n">
        <v>207</v>
      </c>
      <c r="D899" t="n">
        <v>20384.12</v>
      </c>
    </row>
    <row r="900">
      <c r="A900" t="n">
        <v>591</v>
      </c>
      <c r="B900" t="n">
        <v>22007.67</v>
      </c>
      <c r="C900" t="n">
        <v>31</v>
      </c>
      <c r="D900" t="n">
        <v>10323.57</v>
      </c>
    </row>
    <row r="901">
      <c r="A901" t="n">
        <v>646</v>
      </c>
      <c r="B901" t="n">
        <v>20358.24</v>
      </c>
      <c r="C901" t="n">
        <v>13</v>
      </c>
      <c r="D901" t="n">
        <v>27866.77</v>
      </c>
    </row>
    <row r="902">
      <c r="A902" t="n">
        <v>678</v>
      </c>
      <c r="B902" t="n">
        <v>11929.49</v>
      </c>
      <c r="C902" t="n">
        <v>394</v>
      </c>
      <c r="D902" t="n">
        <v>20003.11</v>
      </c>
    </row>
    <row r="903">
      <c r="A903" t="n">
        <v>753</v>
      </c>
      <c r="B903" t="n">
        <v>15186.84</v>
      </c>
      <c r="C903" t="n">
        <v>284</v>
      </c>
      <c r="D903" t="n">
        <v>7927.02</v>
      </c>
    </row>
    <row r="904">
      <c r="A904" t="n">
        <v>722</v>
      </c>
      <c r="B904" t="n">
        <v>13518.13</v>
      </c>
      <c r="C904" t="n">
        <v>217</v>
      </c>
      <c r="D904" t="n">
        <v>22007.67</v>
      </c>
    </row>
    <row r="905">
      <c r="A905" t="n">
        <v>750</v>
      </c>
      <c r="B905" t="n">
        <v>16580.16</v>
      </c>
      <c r="C905" t="n">
        <v>61</v>
      </c>
      <c r="D905" t="n">
        <v>20358.24</v>
      </c>
    </row>
    <row r="906">
      <c r="A906" t="n">
        <v>758</v>
      </c>
      <c r="B906" t="n">
        <v>11828.8</v>
      </c>
      <c r="C906" t="n">
        <v>338</v>
      </c>
      <c r="D906" t="n">
        <v>11104.15</v>
      </c>
    </row>
    <row r="907">
      <c r="A907" t="n">
        <v>753</v>
      </c>
      <c r="B907" t="n">
        <v>2767.25</v>
      </c>
      <c r="C907" t="n">
        <v>209</v>
      </c>
      <c r="D907" t="n">
        <v>16735.54</v>
      </c>
    </row>
    <row r="908">
      <c r="A908" t="n">
        <v>714</v>
      </c>
      <c r="B908" t="n">
        <v>19225.52</v>
      </c>
      <c r="C908" t="n">
        <v>197</v>
      </c>
      <c r="D908" t="n">
        <v>7513.66</v>
      </c>
    </row>
    <row r="909">
      <c r="A909" t="n">
        <v>678</v>
      </c>
      <c r="B909" t="n">
        <v>3293.25</v>
      </c>
      <c r="C909" t="n">
        <v>58</v>
      </c>
      <c r="D909" t="n">
        <v>2767.25</v>
      </c>
    </row>
    <row r="910">
      <c r="A910" t="n">
        <v>687</v>
      </c>
      <c r="B910" t="n">
        <v>5307.09</v>
      </c>
      <c r="C910" t="n">
        <v>381</v>
      </c>
      <c r="D910" t="n">
        <v>16266.65</v>
      </c>
    </row>
    <row r="911">
      <c r="A911" t="n">
        <v>719</v>
      </c>
      <c r="B911" t="n">
        <v>7387.86</v>
      </c>
      <c r="C911" t="n">
        <v>45</v>
      </c>
      <c r="D911" t="n">
        <v>15223.07</v>
      </c>
    </row>
    <row r="912">
      <c r="A912" t="n">
        <v>616</v>
      </c>
      <c r="B912" t="n">
        <v>15757.75</v>
      </c>
      <c r="C912" t="n">
        <v>121</v>
      </c>
      <c r="D912" t="n">
        <v>5213.2</v>
      </c>
    </row>
    <row r="913">
      <c r="A913" t="n">
        <v>677</v>
      </c>
      <c r="B913" t="n">
        <v>17990.58</v>
      </c>
      <c r="C913" t="n">
        <v>310</v>
      </c>
      <c r="D913" t="n">
        <v>6175.1</v>
      </c>
    </row>
    <row r="914">
      <c r="A914" t="n">
        <v>630</v>
      </c>
      <c r="B914" t="n">
        <v>10253.1</v>
      </c>
      <c r="C914" t="n">
        <v>418</v>
      </c>
      <c r="D914" t="n">
        <v>15983.97</v>
      </c>
    </row>
    <row r="915">
      <c r="A915" t="n">
        <v>669</v>
      </c>
      <c r="B915" t="n">
        <v>34160.85</v>
      </c>
      <c r="C915" t="n">
        <v>426</v>
      </c>
      <c r="D915" t="n">
        <v>7496.82</v>
      </c>
    </row>
    <row r="916">
      <c r="A916" t="n">
        <v>713</v>
      </c>
      <c r="B916" t="n">
        <v>6951.2</v>
      </c>
      <c r="C916" t="n">
        <v>409</v>
      </c>
      <c r="D916" t="n">
        <v>11511.62</v>
      </c>
    </row>
    <row r="917">
      <c r="A917" t="n">
        <v>676</v>
      </c>
      <c r="B917" t="n">
        <v>17149.69</v>
      </c>
      <c r="C917" t="n">
        <v>303</v>
      </c>
      <c r="D917" t="n">
        <v>21906.17</v>
      </c>
    </row>
    <row r="918">
      <c r="A918" t="n">
        <v>788</v>
      </c>
      <c r="B918" t="n">
        <v>6558.08</v>
      </c>
      <c r="C918" t="n">
        <v>293</v>
      </c>
      <c r="D918" t="n">
        <v>18440.38</v>
      </c>
    </row>
    <row r="919">
      <c r="A919" t="n">
        <v>750</v>
      </c>
      <c r="B919" t="n">
        <v>3530.32</v>
      </c>
      <c r="C919" t="n">
        <v>10</v>
      </c>
      <c r="D919" t="n">
        <v>17149.69</v>
      </c>
    </row>
    <row r="920">
      <c r="A920" t="n">
        <v>648</v>
      </c>
      <c r="B920" t="n">
        <v>14534.99</v>
      </c>
      <c r="C920" t="n">
        <v>91</v>
      </c>
      <c r="D920" t="n">
        <v>11996.34</v>
      </c>
    </row>
    <row r="921">
      <c r="A921" t="n">
        <v>729</v>
      </c>
      <c r="B921" t="n">
        <v>13833.2</v>
      </c>
      <c r="C921" t="n">
        <v>132</v>
      </c>
      <c r="D921" t="n">
        <v>5404.54</v>
      </c>
    </row>
    <row r="922">
      <c r="A922" t="n">
        <v>669</v>
      </c>
      <c r="B922" t="n">
        <v>13705.07</v>
      </c>
      <c r="C922" t="n">
        <v>144</v>
      </c>
      <c r="D922" t="n">
        <v>14534.99</v>
      </c>
    </row>
    <row r="923">
      <c r="A923" t="n">
        <v>744</v>
      </c>
      <c r="B923" t="n">
        <v>6689.32</v>
      </c>
      <c r="C923" t="n">
        <v>421</v>
      </c>
      <c r="D923" t="n">
        <v>6689.32</v>
      </c>
    </row>
    <row r="924">
      <c r="A924" t="n">
        <v>826</v>
      </c>
      <c r="B924" t="n">
        <v>4179.18</v>
      </c>
      <c r="C924" t="n">
        <v>215</v>
      </c>
      <c r="D924" t="n">
        <v>11715.32</v>
      </c>
    </row>
    <row r="925">
      <c r="A925" t="n">
        <v>755</v>
      </c>
      <c r="B925" t="n">
        <v>9120.530000000001</v>
      </c>
      <c r="C925" t="n">
        <v>432</v>
      </c>
      <c r="D925" t="n">
        <v>353.2</v>
      </c>
    </row>
    <row r="926">
      <c r="A926" t="n">
        <v>752</v>
      </c>
      <c r="B926" t="n">
        <v>8012.28</v>
      </c>
      <c r="C926" t="n">
        <v>280</v>
      </c>
      <c r="D926" t="n">
        <v>20863.26</v>
      </c>
    </row>
    <row r="927">
      <c r="A927" t="n">
        <v>716</v>
      </c>
      <c r="B927" t="n">
        <v>19162.61</v>
      </c>
      <c r="C927" t="n">
        <v>180</v>
      </c>
      <c r="D927" t="n">
        <v>8012.28</v>
      </c>
    </row>
    <row r="928">
      <c r="A928" t="n">
        <v>578</v>
      </c>
      <c r="B928" t="n">
        <v>11153.9</v>
      </c>
      <c r="C928" t="n">
        <v>378</v>
      </c>
      <c r="D928" t="n">
        <v>4383.18</v>
      </c>
    </row>
    <row r="929">
      <c r="A929" t="n">
        <v>633</v>
      </c>
      <c r="B929" t="n">
        <v>20914.95</v>
      </c>
      <c r="C929" t="n">
        <v>296</v>
      </c>
      <c r="D929" t="n">
        <v>18581.05</v>
      </c>
    </row>
    <row r="930">
      <c r="A930" t="n">
        <v>716</v>
      </c>
      <c r="B930" t="n">
        <v>10348.06</v>
      </c>
      <c r="C930" t="n">
        <v>279</v>
      </c>
      <c r="D930" t="n">
        <v>8518.43</v>
      </c>
    </row>
    <row r="931">
      <c r="A931" t="n">
        <v>762</v>
      </c>
      <c r="B931" t="n">
        <v>11109.89</v>
      </c>
      <c r="C931" t="n">
        <v>194</v>
      </c>
      <c r="D931" t="n">
        <v>19162.61</v>
      </c>
    </row>
    <row r="932">
      <c r="A932" t="n">
        <v>727</v>
      </c>
      <c r="B932" t="n">
        <v>9334.969999999999</v>
      </c>
      <c r="C932" t="n">
        <v>352</v>
      </c>
      <c r="D932" t="n">
        <v>11153.9</v>
      </c>
    </row>
    <row r="933">
      <c r="A933" t="n">
        <v>817</v>
      </c>
      <c r="B933" t="n">
        <v>6176.9</v>
      </c>
      <c r="C933" t="n">
        <v>269</v>
      </c>
      <c r="D933" t="n">
        <v>10155.78</v>
      </c>
    </row>
    <row r="934">
      <c r="A934" t="n">
        <v>708</v>
      </c>
      <c r="B934" t="n">
        <v>17506.06</v>
      </c>
      <c r="C934" t="n">
        <v>126</v>
      </c>
      <c r="D934" t="n">
        <v>12685.81</v>
      </c>
    </row>
    <row r="935">
      <c r="A935" t="n">
        <v>674</v>
      </c>
      <c r="B935" t="n">
        <v>12682.14</v>
      </c>
      <c r="C935" t="n">
        <v>99</v>
      </c>
      <c r="D935" t="n">
        <v>6176.9</v>
      </c>
    </row>
    <row r="936">
      <c r="A936" t="n">
        <v>742</v>
      </c>
      <c r="B936" t="n">
        <v>10855.25</v>
      </c>
      <c r="C936" t="n">
        <v>237</v>
      </c>
      <c r="D936" t="n">
        <v>17962.22</v>
      </c>
    </row>
    <row r="937">
      <c r="A937" t="n">
        <v>757</v>
      </c>
      <c r="B937" t="n">
        <v>5509.46</v>
      </c>
      <c r="C937" t="n">
        <v>337</v>
      </c>
      <c r="D937" t="n">
        <v>17506.06</v>
      </c>
    </row>
    <row r="938">
      <c r="A938" t="n">
        <v>772</v>
      </c>
      <c r="B938" t="n">
        <v>12574.63</v>
      </c>
      <c r="C938" t="n">
        <v>407</v>
      </c>
      <c r="D938" t="n">
        <v>10855.25</v>
      </c>
    </row>
    <row r="939">
      <c r="A939" t="n">
        <v>734</v>
      </c>
      <c r="B939" t="n">
        <v>8702.280000000001</v>
      </c>
      <c r="C939" t="n">
        <v>321</v>
      </c>
      <c r="D939" t="n">
        <v>12791.38</v>
      </c>
    </row>
    <row r="940">
      <c r="A940" t="n">
        <v>716</v>
      </c>
      <c r="B940" t="n">
        <v>8258.83</v>
      </c>
      <c r="C940" t="n">
        <v>232</v>
      </c>
      <c r="D940" t="n">
        <v>11612.93</v>
      </c>
    </row>
    <row r="941">
      <c r="A941" t="n">
        <v>587</v>
      </c>
      <c r="B941" t="n">
        <v>18205.74</v>
      </c>
      <c r="C941" t="n">
        <v>190</v>
      </c>
      <c r="D941" t="n">
        <v>22486.94</v>
      </c>
    </row>
    <row r="942">
      <c r="A942" t="n">
        <v>684</v>
      </c>
      <c r="B942" t="n">
        <v>14699.64</v>
      </c>
      <c r="C942" t="n">
        <v>361</v>
      </c>
      <c r="D942" t="n">
        <v>7031.8</v>
      </c>
    </row>
    <row r="943">
      <c r="A943" t="n">
        <v>694</v>
      </c>
      <c r="B943" t="n">
        <v>20584.97</v>
      </c>
      <c r="C943" t="n">
        <v>302</v>
      </c>
      <c r="D943" t="n">
        <v>24909.21</v>
      </c>
    </row>
    <row r="944">
      <c r="A944" t="n">
        <v>684</v>
      </c>
      <c r="B944" t="n">
        <v>15177.78</v>
      </c>
      <c r="C944" t="n">
        <v>203</v>
      </c>
      <c r="D944" t="n">
        <v>15704.6</v>
      </c>
    </row>
    <row r="945">
      <c r="A945" t="n">
        <v>773</v>
      </c>
      <c r="B945" t="n">
        <v>10546.57</v>
      </c>
      <c r="C945" t="n">
        <v>194</v>
      </c>
      <c r="D945" t="n">
        <v>13794.55</v>
      </c>
    </row>
    <row r="946">
      <c r="A946" t="n">
        <v>733</v>
      </c>
      <c r="B946" t="n">
        <v>2133.48</v>
      </c>
      <c r="C946" t="n">
        <v>309</v>
      </c>
      <c r="D946" t="n">
        <v>6961.23</v>
      </c>
    </row>
    <row r="947">
      <c r="A947" t="n">
        <v>767</v>
      </c>
      <c r="B947" t="n">
        <v>6623.38</v>
      </c>
      <c r="C947" t="n">
        <v>54</v>
      </c>
      <c r="D947" t="n">
        <v>25837.11</v>
      </c>
    </row>
    <row r="948">
      <c r="A948" t="n">
        <v>763</v>
      </c>
      <c r="B948" t="n">
        <v>819.09</v>
      </c>
      <c r="C948" t="n">
        <v>40</v>
      </c>
      <c r="D948" t="n">
        <v>16614.46</v>
      </c>
    </row>
    <row r="949">
      <c r="A949" t="n">
        <v>594</v>
      </c>
      <c r="B949" t="n">
        <v>23970.67</v>
      </c>
      <c r="C949" t="n">
        <v>197</v>
      </c>
      <c r="D949" t="n">
        <v>8134.81</v>
      </c>
    </row>
    <row r="950">
      <c r="A950" t="n">
        <v>660</v>
      </c>
      <c r="B950" t="n">
        <v>19609.46</v>
      </c>
      <c r="C950" t="n">
        <v>49</v>
      </c>
      <c r="D950" t="n">
        <v>819.09</v>
      </c>
    </row>
    <row r="951">
      <c r="A951" t="n">
        <v>737</v>
      </c>
      <c r="B951" t="n">
        <v>8962.24</v>
      </c>
      <c r="C951" t="n">
        <v>232</v>
      </c>
      <c r="D951" t="n">
        <v>19609.46</v>
      </c>
    </row>
    <row r="952">
      <c r="A952" t="n">
        <v>644</v>
      </c>
      <c r="B952" t="n">
        <v>7056.3</v>
      </c>
      <c r="C952" t="n">
        <v>364</v>
      </c>
      <c r="D952" t="n">
        <v>9704.709999999999</v>
      </c>
    </row>
    <row r="953">
      <c r="A953" t="n">
        <v>701</v>
      </c>
      <c r="B953" t="n">
        <v>18904.27</v>
      </c>
      <c r="C953" t="n">
        <v>247</v>
      </c>
      <c r="D953" t="n">
        <v>7696.16</v>
      </c>
    </row>
    <row r="954">
      <c r="A954" t="n">
        <v>759</v>
      </c>
      <c r="B954" t="n">
        <v>6411.48</v>
      </c>
      <c r="C954" t="n">
        <v>152</v>
      </c>
      <c r="D954" t="n">
        <v>9805.610000000001</v>
      </c>
    </row>
    <row r="955">
      <c r="A955" t="n">
        <v>649</v>
      </c>
      <c r="B955" t="n">
        <v>17868.97</v>
      </c>
      <c r="C955" t="n">
        <v>10</v>
      </c>
      <c r="D955" t="n">
        <v>14328.93</v>
      </c>
    </row>
    <row r="956">
      <c r="A956" t="n">
        <v>724</v>
      </c>
      <c r="B956" t="n">
        <v>8228.16</v>
      </c>
      <c r="C956" t="n">
        <v>377</v>
      </c>
      <c r="D956" t="n">
        <v>7056.3</v>
      </c>
    </row>
    <row r="957">
      <c r="A957" t="n">
        <v>710</v>
      </c>
      <c r="B957" t="n">
        <v>2008.16</v>
      </c>
      <c r="C957" t="n">
        <v>147</v>
      </c>
      <c r="D957" t="n">
        <v>13902.11</v>
      </c>
    </row>
    <row r="958">
      <c r="A958" t="n">
        <v>704</v>
      </c>
      <c r="B958" t="n">
        <v>8379.99</v>
      </c>
      <c r="C958" t="n">
        <v>411</v>
      </c>
      <c r="D958" t="n">
        <v>8388.16</v>
      </c>
    </row>
    <row r="959">
      <c r="A959" t="n">
        <v>808</v>
      </c>
      <c r="B959" t="n">
        <v>1895.77</v>
      </c>
      <c r="C959" t="n">
        <v>192</v>
      </c>
      <c r="D959" t="n">
        <v>2008.16</v>
      </c>
    </row>
    <row r="960">
      <c r="A960" t="n">
        <v>752</v>
      </c>
      <c r="B960" t="n">
        <v>10538.28</v>
      </c>
      <c r="C960" t="n">
        <v>78</v>
      </c>
      <c r="D960" t="n">
        <v>21989.55</v>
      </c>
    </row>
    <row r="961">
      <c r="A961" t="n">
        <v>664</v>
      </c>
      <c r="B961" t="n">
        <v>11701.85</v>
      </c>
      <c r="C961" t="n">
        <v>210</v>
      </c>
      <c r="D961" t="n">
        <v>12938.99</v>
      </c>
    </row>
    <row r="962">
      <c r="A962" t="n">
        <v>713</v>
      </c>
      <c r="B962" t="n">
        <v>13677.53</v>
      </c>
      <c r="C962" t="n">
        <v>53</v>
      </c>
      <c r="D962" t="n">
        <v>10749.91</v>
      </c>
    </row>
    <row r="963">
      <c r="A963" t="n">
        <v>697</v>
      </c>
      <c r="B963" t="n">
        <v>29809.91</v>
      </c>
      <c r="C963" t="n">
        <v>329</v>
      </c>
      <c r="D963" t="n">
        <v>10538.28</v>
      </c>
    </row>
    <row r="964">
      <c r="A964" t="n">
        <v>634</v>
      </c>
      <c r="B964" t="n">
        <v>20706.57</v>
      </c>
      <c r="C964" t="n">
        <v>321</v>
      </c>
      <c r="D964" t="n">
        <v>7155.46</v>
      </c>
    </row>
    <row r="965">
      <c r="A965" t="n">
        <v>716</v>
      </c>
      <c r="B965" t="n">
        <v>13024.82</v>
      </c>
      <c r="C965" t="n">
        <v>327</v>
      </c>
      <c r="D965" t="n">
        <v>20706.57</v>
      </c>
    </row>
    <row r="966">
      <c r="A966" t="n">
        <v>644</v>
      </c>
      <c r="B966" t="n">
        <v>10126.74</v>
      </c>
      <c r="C966" t="n">
        <v>431</v>
      </c>
      <c r="D966" t="n">
        <v>7901.55</v>
      </c>
    </row>
    <row r="967">
      <c r="A967" t="n">
        <v>642</v>
      </c>
      <c r="B967" t="n">
        <v>14925.42</v>
      </c>
      <c r="C967" t="n">
        <v>300</v>
      </c>
      <c r="D967" t="n">
        <v>19568.98</v>
      </c>
    </row>
    <row r="968">
      <c r="A968" t="n">
        <v>663</v>
      </c>
      <c r="B968" t="n">
        <v>24984.55</v>
      </c>
      <c r="C968" t="n">
        <v>129</v>
      </c>
      <c r="D968" t="n">
        <v>8104.52</v>
      </c>
    </row>
    <row r="969">
      <c r="A969" t="n">
        <v>678</v>
      </c>
      <c r="B969" t="n">
        <v>20207.57</v>
      </c>
      <c r="C969" t="n">
        <v>3</v>
      </c>
      <c r="D969" t="n">
        <v>3524.22</v>
      </c>
    </row>
    <row r="970">
      <c r="A970" t="n">
        <v>699</v>
      </c>
      <c r="B970" t="n">
        <v>15655.06</v>
      </c>
      <c r="C970" t="n">
        <v>127</v>
      </c>
      <c r="D970" t="n">
        <v>10180.26</v>
      </c>
    </row>
    <row r="971">
      <c r="A971" t="n">
        <v>711</v>
      </c>
      <c r="B971" t="n">
        <v>3502.1</v>
      </c>
      <c r="C971" t="n">
        <v>418</v>
      </c>
      <c r="D971" t="n">
        <v>6527.41</v>
      </c>
    </row>
    <row r="972">
      <c r="A972" t="n">
        <v>888</v>
      </c>
      <c r="B972" t="n">
        <v>2039.53</v>
      </c>
      <c r="C972" t="n">
        <v>203</v>
      </c>
      <c r="D972" t="n">
        <v>18907.34</v>
      </c>
    </row>
    <row r="973">
      <c r="A973" t="n">
        <v>723</v>
      </c>
      <c r="B973" t="n">
        <v>7914.77</v>
      </c>
      <c r="C973" t="n">
        <v>9</v>
      </c>
      <c r="D973" t="n">
        <v>3794.92</v>
      </c>
    </row>
    <row r="974">
      <c r="A974" t="n">
        <v>694</v>
      </c>
      <c r="B974" t="n">
        <v>4435.63</v>
      </c>
      <c r="C974" t="n">
        <v>59</v>
      </c>
      <c r="D974" t="n">
        <v>6792.37</v>
      </c>
    </row>
    <row r="975">
      <c r="A975" t="n">
        <v>702</v>
      </c>
      <c r="B975" t="n">
        <v>0</v>
      </c>
      <c r="C975" t="n">
        <v>126</v>
      </c>
      <c r="D975" t="n">
        <v>14993.77</v>
      </c>
    </row>
    <row r="976">
      <c r="A976" t="n">
        <v>721</v>
      </c>
      <c r="B976" t="n">
        <v>11021.03</v>
      </c>
      <c r="C976" t="n">
        <v>9</v>
      </c>
      <c r="D976" t="n">
        <v>8400.299999999999</v>
      </c>
    </row>
    <row r="977">
      <c r="A977" t="n">
        <v>660</v>
      </c>
      <c r="B977" t="n">
        <v>26126.52</v>
      </c>
      <c r="C977" t="n">
        <v>160</v>
      </c>
      <c r="D977" t="n">
        <v>14975.03</v>
      </c>
    </row>
    <row r="978">
      <c r="A978" t="n">
        <v>656</v>
      </c>
      <c r="B978" t="n">
        <v>12425.37</v>
      </c>
      <c r="C978" t="n">
        <v>23</v>
      </c>
      <c r="D978" t="n">
        <v>17362.15</v>
      </c>
    </row>
    <row r="979">
      <c r="A979" t="n">
        <v>591</v>
      </c>
      <c r="B979" t="n">
        <v>17362.15</v>
      </c>
      <c r="C979" t="n">
        <v>211</v>
      </c>
      <c r="D979" t="n">
        <v>16085.58</v>
      </c>
    </row>
    <row r="980">
      <c r="A980" t="n">
        <v>810</v>
      </c>
      <c r="B980" t="n">
        <v>8110.2</v>
      </c>
      <c r="C980" t="n">
        <v>115</v>
      </c>
      <c r="D980" t="n">
        <v>8110.2</v>
      </c>
    </row>
    <row r="981">
      <c r="A981" t="n">
        <v>752</v>
      </c>
      <c r="B981" t="n">
        <v>6891.54</v>
      </c>
      <c r="C981" t="n">
        <v>38</v>
      </c>
      <c r="D981" t="n">
        <v>6743.49</v>
      </c>
    </row>
    <row r="982">
      <c r="A982" t="n">
        <v>746</v>
      </c>
      <c r="B982" t="n">
        <v>9617.809999999999</v>
      </c>
      <c r="C982" t="n">
        <v>243</v>
      </c>
      <c r="D982" t="n">
        <v>12929.01</v>
      </c>
    </row>
    <row r="983">
      <c r="A983" t="n">
        <v>750</v>
      </c>
      <c r="B983" t="n">
        <v>11022.66</v>
      </c>
      <c r="C983" t="n">
        <v>428</v>
      </c>
      <c r="D983" t="n">
        <v>14722.31</v>
      </c>
    </row>
    <row r="984">
      <c r="A984" t="n">
        <v>776</v>
      </c>
      <c r="B984" t="n">
        <v>9835.99</v>
      </c>
      <c r="C984" t="n">
        <v>87</v>
      </c>
      <c r="D984" t="n">
        <v>15746.04</v>
      </c>
    </row>
    <row r="985">
      <c r="A985" t="n">
        <v>666</v>
      </c>
      <c r="B985" t="n">
        <v>11642.08</v>
      </c>
      <c r="C985" t="n">
        <v>420</v>
      </c>
      <c r="D985" t="n">
        <v>3195.62</v>
      </c>
    </row>
    <row r="986">
      <c r="A986" t="n">
        <v>703</v>
      </c>
      <c r="B986" t="n">
        <v>7864.36</v>
      </c>
      <c r="C986" t="n">
        <v>190</v>
      </c>
      <c r="D986" t="n">
        <v>7864.36</v>
      </c>
    </row>
    <row r="987">
      <c r="A987" t="n">
        <v>736</v>
      </c>
      <c r="B987" t="n">
        <v>8005.2</v>
      </c>
      <c r="C987" t="n">
        <v>170</v>
      </c>
      <c r="D987" t="n">
        <v>23421.72</v>
      </c>
    </row>
    <row r="988">
      <c r="A988" t="n">
        <v>689</v>
      </c>
      <c r="B988" t="n">
        <v>20105.86</v>
      </c>
      <c r="C988" t="n">
        <v>91</v>
      </c>
      <c r="D988" t="n">
        <v>2710.96</v>
      </c>
    </row>
    <row r="989">
      <c r="A989" t="n">
        <v>654</v>
      </c>
      <c r="B989" t="n">
        <v>12449.28</v>
      </c>
      <c r="C989" t="n">
        <v>175</v>
      </c>
      <c r="D989" t="n">
        <v>8005.2</v>
      </c>
    </row>
    <row r="990">
      <c r="A990" t="n">
        <v>736</v>
      </c>
      <c r="B990" t="n">
        <v>16009.34</v>
      </c>
      <c r="C990" t="n">
        <v>66</v>
      </c>
      <c r="D990" t="n">
        <v>16009.34</v>
      </c>
    </row>
    <row r="991">
      <c r="A991" t="n">
        <v>784</v>
      </c>
      <c r="B991" t="n">
        <v>6490.44</v>
      </c>
      <c r="C991" t="n">
        <v>240</v>
      </c>
      <c r="D991" t="n">
        <v>6490.44</v>
      </c>
    </row>
    <row r="992">
      <c r="A992" t="n">
        <v>726</v>
      </c>
      <c r="B992" t="n">
        <v>9597.25</v>
      </c>
      <c r="C992" t="n">
        <v>237</v>
      </c>
      <c r="D992" t="n">
        <v>21123.88</v>
      </c>
    </row>
    <row r="993">
      <c r="A993" t="n">
        <v>610</v>
      </c>
      <c r="B993" t="n">
        <v>24944.02</v>
      </c>
      <c r="C993" t="n">
        <v>98</v>
      </c>
      <c r="D993" t="n">
        <v>23372.24</v>
      </c>
    </row>
    <row r="994">
      <c r="A994" t="n">
        <v>635</v>
      </c>
      <c r="B994" t="n">
        <v>13635.61</v>
      </c>
      <c r="C994" t="n">
        <v>53</v>
      </c>
      <c r="D994" t="n">
        <v>15250.2</v>
      </c>
    </row>
    <row r="995">
      <c r="A995" t="n">
        <v>719</v>
      </c>
      <c r="B995" t="n">
        <v>13886.48</v>
      </c>
      <c r="C995" t="n">
        <v>420</v>
      </c>
      <c r="D995" t="n">
        <v>9353.889999999999</v>
      </c>
    </row>
    <row r="996">
      <c r="A996" t="n">
        <v>625</v>
      </c>
      <c r="B996" t="n">
        <v>18333.12</v>
      </c>
      <c r="C996" t="n">
        <v>128</v>
      </c>
      <c r="D996" t="n">
        <v>18984.56</v>
      </c>
    </row>
    <row r="997">
      <c r="A997" t="n">
        <v>630</v>
      </c>
      <c r="B997" t="n">
        <v>17907.7</v>
      </c>
      <c r="C997" t="n">
        <v>161</v>
      </c>
      <c r="D997" t="n">
        <v>10235.03</v>
      </c>
    </row>
    <row r="998">
      <c r="A998" t="n">
        <v>763</v>
      </c>
      <c r="B998" t="n">
        <v>4056.69</v>
      </c>
      <c r="C998" t="n">
        <v>329</v>
      </c>
      <c r="D998" t="n">
        <v>6489.27</v>
      </c>
    </row>
    <row r="999">
      <c r="A999" t="n">
        <v>596</v>
      </c>
      <c r="B999" t="n">
        <v>16602.52</v>
      </c>
      <c r="C999" t="n">
        <v>375</v>
      </c>
      <c r="D999" t="n">
        <v>10553.21</v>
      </c>
    </row>
    <row r="1000">
      <c r="A1000" t="n">
        <v>736</v>
      </c>
      <c r="B1000" t="n">
        <v>9767.629999999999</v>
      </c>
      <c r="C1000" t="n">
        <v>341</v>
      </c>
      <c r="D1000" t="n">
        <v>10146.73</v>
      </c>
    </row>
    <row r="1001">
      <c r="A1001" t="n">
        <v>656</v>
      </c>
      <c r="B1001" t="n">
        <v>18461.04</v>
      </c>
      <c r="C1001" t="n">
        <v>5</v>
      </c>
      <c r="D1001" t="n">
        <v>4263.23</v>
      </c>
    </row>
    <row r="1002">
      <c r="A1002" t="n">
        <v>600</v>
      </c>
      <c r="B1002" t="n">
        <v>27449.19</v>
      </c>
      <c r="C1002" t="n">
        <v>125</v>
      </c>
      <c r="D1002" t="n">
        <v>9612.870000000001</v>
      </c>
    </row>
    <row r="1003">
      <c r="A1003" t="n">
        <v>763</v>
      </c>
      <c r="B1003" t="n">
        <v>6672.36</v>
      </c>
      <c r="C1003" t="n">
        <v>143</v>
      </c>
      <c r="D1003" t="n">
        <v>13591.57</v>
      </c>
    </row>
    <row r="1004">
      <c r="A1004" t="n">
        <v>647</v>
      </c>
      <c r="B1004" t="n">
        <v>14414.65</v>
      </c>
      <c r="C1004" t="n">
        <v>190</v>
      </c>
      <c r="D1004" t="n">
        <v>31120.44</v>
      </c>
    </row>
    <row r="1005">
      <c r="A1005" t="n">
        <v>704</v>
      </c>
      <c r="B1005" t="n">
        <v>6488.54</v>
      </c>
      <c r="C1005" t="n">
        <v>170</v>
      </c>
      <c r="D1005" t="n">
        <v>9777.57</v>
      </c>
    </row>
    <row r="1006">
      <c r="A1006" t="n">
        <v>615</v>
      </c>
      <c r="B1006" t="n">
        <v>20722.02</v>
      </c>
      <c r="C1006" t="n">
        <v>290</v>
      </c>
      <c r="D1006" t="n">
        <v>8860.43</v>
      </c>
    </row>
    <row r="1007">
      <c r="A1007" t="n">
        <v>635</v>
      </c>
      <c r="B1007" t="n">
        <v>26071.27</v>
      </c>
      <c r="C1007" t="n">
        <v>50</v>
      </c>
      <c r="D1007" t="n">
        <v>16340.37</v>
      </c>
    </row>
    <row r="1008">
      <c r="A1008" t="n">
        <v>727</v>
      </c>
      <c r="B1008" t="n">
        <v>17805.64</v>
      </c>
      <c r="C1008" t="n">
        <v>367</v>
      </c>
      <c r="D1008" t="n">
        <v>17805.64</v>
      </c>
    </row>
    <row r="1009">
      <c r="A1009" t="n">
        <v>706</v>
      </c>
      <c r="B1009" t="n">
        <v>12200.13</v>
      </c>
      <c r="C1009" t="n">
        <v>357</v>
      </c>
      <c r="D1009" t="n">
        <v>18335.58</v>
      </c>
    </row>
    <row r="1010">
      <c r="A1010" t="n">
        <v>654</v>
      </c>
      <c r="B1010" t="n">
        <v>9298.690000000001</v>
      </c>
      <c r="C1010" t="n">
        <v>247</v>
      </c>
      <c r="D1010" t="n">
        <v>17877.96</v>
      </c>
    </row>
    <row r="1011">
      <c r="A1011" t="n">
        <v>778</v>
      </c>
      <c r="B1011" t="n">
        <v>14463.58</v>
      </c>
      <c r="C1011" t="n">
        <v>187</v>
      </c>
      <c r="D1011" t="n">
        <v>7129.2</v>
      </c>
    </row>
    <row r="1012">
      <c r="A1012" t="n">
        <v>741</v>
      </c>
      <c r="B1012" t="n">
        <v>10683.04</v>
      </c>
      <c r="C1012" t="n">
        <v>54</v>
      </c>
      <c r="D1012" t="n">
        <v>15010.55</v>
      </c>
    </row>
    <row r="1013">
      <c r="A1013" t="n">
        <v>743</v>
      </c>
      <c r="B1013" t="n">
        <v>13515.03</v>
      </c>
      <c r="C1013" t="n">
        <v>243</v>
      </c>
      <c r="D1013" t="n">
        <v>8960.26</v>
      </c>
    </row>
    <row r="1014">
      <c r="A1014" t="n">
        <v>623</v>
      </c>
      <c r="B1014" t="n">
        <v>10011.96</v>
      </c>
      <c r="C1014" t="n">
        <v>59</v>
      </c>
      <c r="D1014" t="n">
        <v>9723.49</v>
      </c>
    </row>
    <row r="1015">
      <c r="A1015" t="n">
        <v>656</v>
      </c>
      <c r="B1015" t="n">
        <v>6957.3</v>
      </c>
      <c r="C1015" t="n">
        <v>76</v>
      </c>
      <c r="D1015" t="n">
        <v>14463.58</v>
      </c>
    </row>
    <row r="1016">
      <c r="A1016" t="n">
        <v>763</v>
      </c>
      <c r="B1016" t="n">
        <v>10449.9</v>
      </c>
      <c r="C1016" t="n">
        <v>91</v>
      </c>
      <c r="D1016" t="n">
        <v>18634.09</v>
      </c>
    </row>
    <row r="1017">
      <c r="A1017" t="n">
        <v>741</v>
      </c>
      <c r="B1017" t="n">
        <v>12134.01</v>
      </c>
      <c r="C1017" t="n">
        <v>161</v>
      </c>
      <c r="D1017" t="n">
        <v>14407.58</v>
      </c>
    </row>
    <row r="1018">
      <c r="A1018" t="n">
        <v>745</v>
      </c>
      <c r="B1018" t="n">
        <v>11174.06</v>
      </c>
      <c r="C1018" t="n">
        <v>267</v>
      </c>
      <c r="D1018" t="n">
        <v>11718.51</v>
      </c>
    </row>
    <row r="1019">
      <c r="A1019" t="n">
        <v>639</v>
      </c>
      <c r="B1019" t="n">
        <v>21925.62</v>
      </c>
      <c r="C1019" t="n">
        <v>110</v>
      </c>
      <c r="D1019" t="n">
        <v>6307.42</v>
      </c>
    </row>
    <row r="1020">
      <c r="A1020" t="n">
        <v>701</v>
      </c>
      <c r="B1020" t="n">
        <v>15103.23</v>
      </c>
      <c r="C1020" t="n">
        <v>217</v>
      </c>
      <c r="D1020" t="n">
        <v>4364.32</v>
      </c>
    </row>
    <row r="1021">
      <c r="A1021" t="n">
        <v>734</v>
      </c>
      <c r="B1021" t="n">
        <v>11718.51</v>
      </c>
      <c r="C1021" t="n">
        <v>363</v>
      </c>
      <c r="D1021" t="n">
        <v>6909.74</v>
      </c>
    </row>
    <row r="1022">
      <c r="A1022" t="n">
        <v>720</v>
      </c>
      <c r="B1022" t="n">
        <v>8591.799999999999</v>
      </c>
      <c r="C1022" t="n">
        <v>41</v>
      </c>
      <c r="D1022" t="n">
        <v>8591.799999999999</v>
      </c>
    </row>
    <row r="1023">
      <c r="A1023" t="n">
        <v>660</v>
      </c>
      <c r="B1023" t="n">
        <v>10006.21</v>
      </c>
      <c r="C1023" t="n">
        <v>213</v>
      </c>
      <c r="D1023" t="n">
        <v>11226.37</v>
      </c>
    </row>
    <row r="1024">
      <c r="A1024" t="n">
        <v>701</v>
      </c>
      <c r="B1024" t="n">
        <v>3721.04</v>
      </c>
      <c r="C1024" t="n">
        <v>119</v>
      </c>
      <c r="D1024" t="n">
        <v>10706.14</v>
      </c>
    </row>
    <row r="1025">
      <c r="A1025" t="n">
        <v>626</v>
      </c>
      <c r="B1025" t="n">
        <v>12838.8</v>
      </c>
      <c r="C1025" t="n">
        <v>292</v>
      </c>
      <c r="D1025" t="n">
        <v>15104.78</v>
      </c>
    </row>
    <row r="1026">
      <c r="A1026" t="n">
        <v>647</v>
      </c>
      <c r="B1026" t="n">
        <v>6978.13</v>
      </c>
      <c r="C1026" t="n">
        <v>63</v>
      </c>
      <c r="D1026" t="n">
        <v>3721.04</v>
      </c>
    </row>
    <row r="1027">
      <c r="A1027" t="n">
        <v>674</v>
      </c>
      <c r="B1027" t="n">
        <v>14351.28</v>
      </c>
      <c r="C1027" t="n">
        <v>399</v>
      </c>
      <c r="D1027" t="n">
        <v>11407.99</v>
      </c>
    </row>
    <row r="1028">
      <c r="A1028" t="n">
        <v>711</v>
      </c>
      <c r="B1028" t="n">
        <v>17353.01</v>
      </c>
      <c r="C1028" t="n">
        <v>144</v>
      </c>
      <c r="D1028" t="n">
        <v>11234.21</v>
      </c>
    </row>
    <row r="1029">
      <c r="A1029" t="n">
        <v>690</v>
      </c>
      <c r="B1029" t="n">
        <v>11080.4</v>
      </c>
      <c r="C1029" t="n">
        <v>106</v>
      </c>
      <c r="D1029" t="n">
        <v>6978.13</v>
      </c>
    </row>
    <row r="1030">
      <c r="A1030" t="n">
        <v>743</v>
      </c>
      <c r="B1030" t="n">
        <v>5664.03</v>
      </c>
      <c r="C1030" t="n">
        <v>378</v>
      </c>
      <c r="D1030" t="n">
        <v>0</v>
      </c>
    </row>
    <row r="1031">
      <c r="A1031" t="n">
        <v>719</v>
      </c>
      <c r="B1031" t="n">
        <v>14662.15</v>
      </c>
      <c r="C1031" t="n">
        <v>308</v>
      </c>
      <c r="D1031" t="n">
        <v>3677.1</v>
      </c>
    </row>
    <row r="1032">
      <c r="A1032" t="n">
        <v>709</v>
      </c>
      <c r="B1032" t="n">
        <v>14869.75</v>
      </c>
      <c r="C1032" t="n">
        <v>231</v>
      </c>
      <c r="D1032" t="n">
        <v>13624.81</v>
      </c>
    </row>
    <row r="1033">
      <c r="A1033" t="n">
        <v>761</v>
      </c>
      <c r="B1033" t="n">
        <v>8939.33</v>
      </c>
      <c r="C1033" t="n">
        <v>337</v>
      </c>
      <c r="D1033" t="n">
        <v>15854.38</v>
      </c>
    </row>
    <row r="1034">
      <c r="A1034" t="n">
        <v>671</v>
      </c>
      <c r="B1034" t="n">
        <v>16417.34</v>
      </c>
      <c r="C1034" t="n">
        <v>130</v>
      </c>
      <c r="D1034" t="n">
        <v>10366.77</v>
      </c>
    </row>
    <row r="1035">
      <c r="A1035" t="n">
        <v>697</v>
      </c>
      <c r="B1035" t="n">
        <v>12624.21</v>
      </c>
      <c r="C1035" t="n">
        <v>378</v>
      </c>
      <c r="D1035" t="n">
        <v>7446</v>
      </c>
    </row>
    <row r="1036">
      <c r="A1036" t="n">
        <v>699</v>
      </c>
      <c r="B1036" t="n">
        <v>20454.19</v>
      </c>
      <c r="C1036" t="n">
        <v>88</v>
      </c>
      <c r="D1036" t="n">
        <v>2107.65</v>
      </c>
    </row>
    <row r="1037">
      <c r="A1037" t="n">
        <v>687</v>
      </c>
      <c r="B1037" t="n">
        <v>10366.77</v>
      </c>
      <c r="C1037" t="n">
        <v>64</v>
      </c>
      <c r="D1037" t="n">
        <v>14754.32</v>
      </c>
    </row>
    <row r="1038">
      <c r="A1038" t="n">
        <v>750</v>
      </c>
      <c r="B1038" t="n">
        <v>9260.41</v>
      </c>
      <c r="C1038" t="n">
        <v>403</v>
      </c>
      <c r="D1038" t="n">
        <v>5295.89</v>
      </c>
    </row>
    <row r="1039">
      <c r="A1039" t="n">
        <v>841</v>
      </c>
      <c r="B1039" t="n">
        <v>2917.04</v>
      </c>
      <c r="C1039" t="n">
        <v>38</v>
      </c>
      <c r="D1039" t="n">
        <v>17023.6</v>
      </c>
    </row>
    <row r="1040">
      <c r="A1040" t="n">
        <v>672</v>
      </c>
      <c r="B1040" t="n">
        <v>21002.13</v>
      </c>
      <c r="C1040" t="n">
        <v>4</v>
      </c>
      <c r="D1040" t="n">
        <v>7233.76</v>
      </c>
    </row>
    <row r="1041">
      <c r="A1041" t="n">
        <v>769</v>
      </c>
      <c r="B1041" t="n">
        <v>7974</v>
      </c>
      <c r="C1041" t="n">
        <v>226</v>
      </c>
      <c r="D1041" t="n">
        <v>12810.22</v>
      </c>
    </row>
    <row r="1042">
      <c r="A1042" t="n">
        <v>673</v>
      </c>
      <c r="B1042" t="n">
        <v>7446</v>
      </c>
      <c r="C1042" t="n">
        <v>209</v>
      </c>
      <c r="D1042" t="n">
        <v>4682.76</v>
      </c>
    </row>
    <row r="1043">
      <c r="A1043" t="n">
        <v>701</v>
      </c>
      <c r="B1043" t="n">
        <v>15780.84</v>
      </c>
      <c r="C1043" t="n">
        <v>266</v>
      </c>
      <c r="D1043" t="n">
        <v>10495.32</v>
      </c>
    </row>
    <row r="1044">
      <c r="A1044" t="n">
        <v>763</v>
      </c>
      <c r="B1044" t="n">
        <v>11174</v>
      </c>
      <c r="C1044" t="n">
        <v>392</v>
      </c>
      <c r="D1044" t="n">
        <v>9987.370000000001</v>
      </c>
    </row>
    <row r="1045">
      <c r="A1045" t="n">
        <v>719</v>
      </c>
      <c r="B1045" t="n">
        <v>18148.68</v>
      </c>
      <c r="C1045" t="n">
        <v>242</v>
      </c>
      <c r="D1045" t="n">
        <v>15780.84</v>
      </c>
    </row>
    <row r="1046">
      <c r="A1046" t="n">
        <v>728</v>
      </c>
      <c r="B1046" t="n">
        <v>7468.51</v>
      </c>
      <c r="C1046" t="n">
        <v>122</v>
      </c>
      <c r="D1046" t="n">
        <v>10900.38</v>
      </c>
    </row>
    <row r="1047">
      <c r="A1047" t="n">
        <v>610</v>
      </c>
      <c r="B1047" t="n">
        <v>10141.71</v>
      </c>
      <c r="C1047" t="n">
        <v>167</v>
      </c>
      <c r="D1047" t="n">
        <v>13567.95</v>
      </c>
    </row>
    <row r="1048">
      <c r="A1048" t="n">
        <v>678</v>
      </c>
      <c r="B1048" t="n">
        <v>13538.9</v>
      </c>
      <c r="C1048" t="n">
        <v>393</v>
      </c>
      <c r="D1048" t="n">
        <v>11993.18</v>
      </c>
    </row>
    <row r="1049">
      <c r="A1049" t="n">
        <v>596</v>
      </c>
      <c r="B1049" t="n">
        <v>21903.08</v>
      </c>
      <c r="C1049" t="n">
        <v>228</v>
      </c>
      <c r="D1049" t="n">
        <v>13538.9</v>
      </c>
    </row>
    <row r="1050">
      <c r="A1050" t="n">
        <v>700</v>
      </c>
      <c r="B1050" t="n">
        <v>16609.54</v>
      </c>
      <c r="C1050" t="n">
        <v>388</v>
      </c>
      <c r="D1050" t="n">
        <v>4999.74</v>
      </c>
    </row>
    <row r="1051">
      <c r="A1051" t="n">
        <v>633</v>
      </c>
      <c r="B1051" t="n">
        <v>0</v>
      </c>
      <c r="C1051" t="n">
        <v>11</v>
      </c>
      <c r="D1051" t="n">
        <v>16609.54</v>
      </c>
    </row>
    <row r="1052">
      <c r="A1052" t="n">
        <v>669</v>
      </c>
      <c r="B1052" t="n">
        <v>20765.55</v>
      </c>
      <c r="C1052" t="n">
        <v>236</v>
      </c>
      <c r="D1052" t="n">
        <v>12723.26</v>
      </c>
    </row>
    <row r="1053">
      <c r="A1053" t="n">
        <v>707</v>
      </c>
      <c r="B1053" t="n">
        <v>9026.09</v>
      </c>
      <c r="C1053" t="n">
        <v>172</v>
      </c>
      <c r="D1053" t="n">
        <v>7681.2</v>
      </c>
    </row>
    <row r="1054">
      <c r="A1054" t="n">
        <v>787</v>
      </c>
      <c r="B1054" t="n">
        <v>6102.82</v>
      </c>
      <c r="C1054" t="n">
        <v>179</v>
      </c>
      <c r="D1054" t="n">
        <v>20765.55</v>
      </c>
    </row>
    <row r="1055">
      <c r="A1055" t="n">
        <v>669</v>
      </c>
      <c r="B1055" t="n">
        <v>26400.18</v>
      </c>
      <c r="C1055" t="n">
        <v>225</v>
      </c>
      <c r="D1055" t="n">
        <v>6102.82</v>
      </c>
    </row>
    <row r="1056">
      <c r="A1056" t="n">
        <v>790</v>
      </c>
      <c r="B1056" t="n">
        <v>9067.870000000001</v>
      </c>
      <c r="C1056" t="n">
        <v>191</v>
      </c>
      <c r="D1056" t="n">
        <v>9067.870000000001</v>
      </c>
    </row>
    <row r="1057">
      <c r="A1057" t="n">
        <v>718</v>
      </c>
      <c r="B1057" t="n">
        <v>3198.98</v>
      </c>
      <c r="C1057" t="n">
        <v>270</v>
      </c>
      <c r="D1057" t="n">
        <v>10260.62</v>
      </c>
    </row>
    <row r="1058">
      <c r="A1058" t="n">
        <v>728</v>
      </c>
      <c r="B1058" t="n">
        <v>10508.87</v>
      </c>
      <c r="C1058" t="n">
        <v>149</v>
      </c>
      <c r="D1058" t="n">
        <v>8281.51</v>
      </c>
    </row>
    <row r="1059">
      <c r="A1059" t="n">
        <v>653</v>
      </c>
      <c r="B1059" t="n">
        <v>17684.83</v>
      </c>
      <c r="C1059" t="n">
        <v>250</v>
      </c>
      <c r="D1059" t="n">
        <v>12820.7</v>
      </c>
    </row>
    <row r="1060">
      <c r="A1060" t="n">
        <v>715</v>
      </c>
      <c r="B1060" t="n">
        <v>12429.77</v>
      </c>
      <c r="C1060" t="n">
        <v>43</v>
      </c>
      <c r="D1060" t="n">
        <v>31965.82</v>
      </c>
    </row>
    <row r="1061">
      <c r="A1061" t="n">
        <v>629</v>
      </c>
      <c r="B1061" t="n">
        <v>16470.62</v>
      </c>
      <c r="C1061" t="n">
        <v>263</v>
      </c>
      <c r="D1061" t="n">
        <v>12429.77</v>
      </c>
    </row>
    <row r="1062">
      <c r="A1062" t="n">
        <v>637</v>
      </c>
      <c r="B1062" t="n">
        <v>21218.16</v>
      </c>
      <c r="C1062" t="n">
        <v>143</v>
      </c>
      <c r="D1062" t="n">
        <v>16470.62</v>
      </c>
    </row>
    <row r="1063">
      <c r="A1063" t="n">
        <v>801</v>
      </c>
      <c r="B1063" t="n">
        <v>6398.69</v>
      </c>
      <c r="C1063" t="n">
        <v>219</v>
      </c>
      <c r="D1063" t="n">
        <v>21218.16</v>
      </c>
    </row>
    <row r="1064">
      <c r="A1064" t="n">
        <v>729</v>
      </c>
      <c r="B1064" t="n">
        <v>8636.98</v>
      </c>
      <c r="C1064" t="n">
        <v>114</v>
      </c>
      <c r="D1064" t="n">
        <v>6398.69</v>
      </c>
    </row>
    <row r="1065">
      <c r="A1065" t="n">
        <v>705</v>
      </c>
      <c r="B1065" t="n">
        <v>7756.6</v>
      </c>
      <c r="C1065" t="n">
        <v>79</v>
      </c>
      <c r="D1065" t="n">
        <v>8636.98</v>
      </c>
    </row>
    <row r="1066">
      <c r="A1066" t="n">
        <v>727</v>
      </c>
      <c r="B1066" t="n">
        <v>15567.96</v>
      </c>
      <c r="C1066" t="n">
        <v>11</v>
      </c>
      <c r="D1066" t="n">
        <v>7756.6</v>
      </c>
    </row>
    <row r="1067">
      <c r="A1067" t="n">
        <v>569</v>
      </c>
      <c r="B1067" t="n">
        <v>16784.99</v>
      </c>
      <c r="C1067" t="n">
        <v>284</v>
      </c>
      <c r="D1067" t="n">
        <v>10429.73</v>
      </c>
    </row>
    <row r="1068">
      <c r="A1068" t="n">
        <v>760</v>
      </c>
      <c r="B1068" t="n">
        <v>11665.35</v>
      </c>
      <c r="C1068" t="n">
        <v>144</v>
      </c>
      <c r="D1068" t="n">
        <v>6969.89</v>
      </c>
    </row>
    <row r="1069">
      <c r="A1069" t="n">
        <v>690</v>
      </c>
      <c r="B1069" t="n">
        <v>7676.53</v>
      </c>
      <c r="C1069" t="n">
        <v>298</v>
      </c>
      <c r="D1069" t="n">
        <v>9946.35</v>
      </c>
    </row>
    <row r="1070">
      <c r="A1070" t="n">
        <v>692</v>
      </c>
      <c r="B1070" t="n">
        <v>8768.290000000001</v>
      </c>
      <c r="C1070" t="n">
        <v>203</v>
      </c>
      <c r="D1070" t="n">
        <v>10869.42</v>
      </c>
    </row>
    <row r="1071">
      <c r="A1071" t="n">
        <v>750</v>
      </c>
      <c r="B1071" t="n">
        <v>8184.58</v>
      </c>
      <c r="C1071" t="n">
        <v>301</v>
      </c>
      <c r="D1071" t="n">
        <v>15823.64</v>
      </c>
    </row>
    <row r="1072">
      <c r="A1072" t="n">
        <v>697</v>
      </c>
      <c r="B1072" t="n">
        <v>16613.91</v>
      </c>
      <c r="C1072" t="n">
        <v>93</v>
      </c>
      <c r="D1072" t="n">
        <v>5887.22</v>
      </c>
    </row>
    <row r="1073">
      <c r="A1073" t="n">
        <v>730</v>
      </c>
      <c r="B1073" t="n">
        <v>0</v>
      </c>
      <c r="C1073" t="n">
        <v>127</v>
      </c>
      <c r="D1073" t="n">
        <v>8126.7</v>
      </c>
    </row>
    <row r="1074">
      <c r="A1074" t="n">
        <v>647</v>
      </c>
      <c r="B1074" t="n">
        <v>20583.49</v>
      </c>
      <c r="C1074" t="n">
        <v>32</v>
      </c>
      <c r="D1074" t="n">
        <v>13152.85</v>
      </c>
    </row>
    <row r="1075">
      <c r="A1075" t="n">
        <v>742</v>
      </c>
      <c r="B1075" t="n">
        <v>8129.6</v>
      </c>
      <c r="C1075" t="n">
        <v>257</v>
      </c>
      <c r="D1075" t="n">
        <v>20583.49</v>
      </c>
    </row>
    <row r="1076">
      <c r="A1076" t="n">
        <v>779</v>
      </c>
      <c r="B1076" t="n">
        <v>8685.32</v>
      </c>
      <c r="C1076" t="n">
        <v>266</v>
      </c>
      <c r="D1076" t="n">
        <v>25206.6</v>
      </c>
    </row>
    <row r="1077">
      <c r="A1077" t="n">
        <v>661</v>
      </c>
      <c r="B1077" t="n">
        <v>7546.47</v>
      </c>
      <c r="C1077" t="n">
        <v>391</v>
      </c>
      <c r="D1077" t="n">
        <v>8129.6</v>
      </c>
    </row>
    <row r="1078">
      <c r="A1078" t="n">
        <v>694</v>
      </c>
      <c r="B1078" t="n">
        <v>15003.88</v>
      </c>
      <c r="C1078" t="n">
        <v>132</v>
      </c>
      <c r="D1078" t="n">
        <v>11892.32</v>
      </c>
    </row>
    <row r="1079">
      <c r="A1079" t="n">
        <v>751</v>
      </c>
      <c r="B1079" t="n">
        <v>9111.6</v>
      </c>
      <c r="C1079" t="n">
        <v>258</v>
      </c>
      <c r="D1079" t="n">
        <v>15003.88</v>
      </c>
    </row>
    <row r="1080">
      <c r="A1080" t="n">
        <v>653</v>
      </c>
      <c r="B1080" t="n">
        <v>20247.98</v>
      </c>
      <c r="C1080" t="n">
        <v>425</v>
      </c>
      <c r="D1080" t="n">
        <v>12239.35</v>
      </c>
    </row>
    <row r="1081">
      <c r="A1081" t="n">
        <v>658</v>
      </c>
      <c r="B1081" t="n">
        <v>10976.48</v>
      </c>
      <c r="C1081" t="n">
        <v>55</v>
      </c>
      <c r="D1081" t="n">
        <v>1616.23</v>
      </c>
    </row>
    <row r="1082">
      <c r="A1082" t="n">
        <v>748</v>
      </c>
      <c r="B1082" t="n">
        <v>16983.31</v>
      </c>
      <c r="C1082" t="n">
        <v>56</v>
      </c>
      <c r="D1082" t="n">
        <v>12435.71</v>
      </c>
    </row>
    <row r="1083">
      <c r="A1083" t="n">
        <v>761</v>
      </c>
      <c r="B1083" t="n">
        <v>2260.9</v>
      </c>
      <c r="C1083" t="n">
        <v>89</v>
      </c>
      <c r="D1083" t="n">
        <v>9180.09</v>
      </c>
    </row>
    <row r="1084">
      <c r="A1084" t="n">
        <v>615</v>
      </c>
      <c r="B1084" t="n">
        <v>20273.34</v>
      </c>
      <c r="C1084" t="n">
        <v>66</v>
      </c>
      <c r="D1084" t="n">
        <v>13193.82</v>
      </c>
    </row>
    <row r="1085">
      <c r="A1085" t="n">
        <v>758</v>
      </c>
      <c r="B1085" t="n">
        <v>9201.9</v>
      </c>
      <c r="C1085" t="n">
        <v>325</v>
      </c>
      <c r="D1085" t="n">
        <v>17870.18</v>
      </c>
    </row>
    <row r="1086">
      <c r="A1086" t="n">
        <v>708</v>
      </c>
      <c r="B1086" t="n">
        <v>5280.73</v>
      </c>
      <c r="C1086" t="n">
        <v>97</v>
      </c>
      <c r="D1086" t="n">
        <v>6161.18</v>
      </c>
    </row>
    <row r="1087">
      <c r="A1087" t="n">
        <v>691</v>
      </c>
      <c r="B1087" t="n">
        <v>16345</v>
      </c>
      <c r="C1087" t="n">
        <v>96</v>
      </c>
      <c r="D1087" t="n">
        <v>17027.03</v>
      </c>
    </row>
    <row r="1088">
      <c r="A1088" t="n">
        <v>739</v>
      </c>
      <c r="B1088" t="n">
        <v>8789.82</v>
      </c>
      <c r="C1088" t="n">
        <v>235</v>
      </c>
      <c r="D1088" t="n">
        <v>8789.82</v>
      </c>
    </row>
    <row r="1089">
      <c r="A1089" t="n">
        <v>600</v>
      </c>
      <c r="B1089" t="n">
        <v>22723.74</v>
      </c>
      <c r="C1089" t="n">
        <v>249</v>
      </c>
      <c r="D1089" t="n">
        <v>20368.94</v>
      </c>
    </row>
    <row r="1090">
      <c r="A1090" t="n">
        <v>673</v>
      </c>
      <c r="B1090" t="n">
        <v>15370.35</v>
      </c>
      <c r="C1090" t="n">
        <v>279</v>
      </c>
      <c r="D1090" t="n">
        <v>9190.860000000001</v>
      </c>
    </row>
    <row r="1091">
      <c r="A1091" t="n">
        <v>684</v>
      </c>
      <c r="B1091" t="n">
        <v>13871.3</v>
      </c>
      <c r="C1091" t="n">
        <v>325</v>
      </c>
      <c r="D1091" t="n">
        <v>4704.04</v>
      </c>
    </row>
    <row r="1092">
      <c r="A1092" t="n">
        <v>748</v>
      </c>
      <c r="B1092" t="n">
        <v>4704.04</v>
      </c>
      <c r="C1092" t="n">
        <v>401</v>
      </c>
      <c r="D1092" t="n">
        <v>13046.11</v>
      </c>
    </row>
    <row r="1093">
      <c r="A1093" t="n">
        <v>760</v>
      </c>
      <c r="B1093" t="n">
        <v>17106.42</v>
      </c>
      <c r="C1093" t="n">
        <v>274</v>
      </c>
      <c r="D1093" t="n">
        <v>4769.36</v>
      </c>
    </row>
    <row r="1094">
      <c r="A1094" t="n">
        <v>668</v>
      </c>
      <c r="B1094" t="n">
        <v>11337.62</v>
      </c>
      <c r="C1094" t="n">
        <v>328</v>
      </c>
      <c r="D1094" t="n">
        <v>21616.92</v>
      </c>
    </row>
    <row r="1095">
      <c r="A1095" t="n">
        <v>687</v>
      </c>
      <c r="B1095" t="n">
        <v>17828.59</v>
      </c>
      <c r="C1095" t="n">
        <v>356</v>
      </c>
      <c r="D1095" t="n">
        <v>9415.77</v>
      </c>
    </row>
    <row r="1096">
      <c r="A1096" t="n">
        <v>657</v>
      </c>
      <c r="B1096" t="n">
        <v>22423.31</v>
      </c>
      <c r="C1096" t="n">
        <v>413</v>
      </c>
      <c r="D1096" t="n">
        <v>2976.33</v>
      </c>
    </row>
    <row r="1097">
      <c r="A1097" t="n">
        <v>614</v>
      </c>
      <c r="B1097" t="n">
        <v>29814.81</v>
      </c>
      <c r="C1097" t="n">
        <v>375</v>
      </c>
      <c r="D1097" t="n">
        <v>21902.33</v>
      </c>
    </row>
    <row r="1098">
      <c r="A1098" t="n">
        <v>734</v>
      </c>
      <c r="B1098" t="n">
        <v>7405.87</v>
      </c>
      <c r="C1098" t="n">
        <v>214</v>
      </c>
      <c r="D1098" t="n">
        <v>22423.31</v>
      </c>
    </row>
    <row r="1099">
      <c r="A1099" t="n">
        <v>728</v>
      </c>
      <c r="B1099" t="n">
        <v>13640.07</v>
      </c>
      <c r="C1099" t="n">
        <v>184</v>
      </c>
      <c r="D1099" t="n">
        <v>3168.61</v>
      </c>
    </row>
    <row r="1100">
      <c r="A1100" t="n">
        <v>698</v>
      </c>
      <c r="B1100" t="n">
        <v>17396.84</v>
      </c>
      <c r="C1100" t="n">
        <v>237</v>
      </c>
      <c r="D1100" t="n">
        <v>6829.49</v>
      </c>
    </row>
    <row r="1101">
      <c r="A1101" t="n">
        <v>653</v>
      </c>
      <c r="B1101" t="n">
        <v>18620.74</v>
      </c>
      <c r="C1101" t="n">
        <v>268</v>
      </c>
      <c r="D1101" t="n">
        <v>12829.39</v>
      </c>
    </row>
    <row r="1102">
      <c r="A1102" t="n">
        <v>628</v>
      </c>
      <c r="B1102" t="n">
        <v>13367.38</v>
      </c>
      <c r="C1102" t="n">
        <v>238</v>
      </c>
      <c r="D1102" t="n">
        <v>18620.74</v>
      </c>
    </row>
    <row r="1103">
      <c r="A1103" t="n">
        <v>642</v>
      </c>
      <c r="B1103" t="n">
        <v>11515.84</v>
      </c>
      <c r="C1103" t="n">
        <v>81</v>
      </c>
      <c r="D1103" t="n">
        <v>11515.84</v>
      </c>
    </row>
    <row r="1104">
      <c r="A1104" t="n">
        <v>689</v>
      </c>
      <c r="B1104" t="n">
        <v>9516.629999999999</v>
      </c>
      <c r="C1104" t="n">
        <v>44</v>
      </c>
      <c r="D1104" t="n">
        <v>12405.34</v>
      </c>
    </row>
    <row r="1105">
      <c r="A1105" t="n">
        <v>755</v>
      </c>
      <c r="B1105" t="n">
        <v>7443.77</v>
      </c>
      <c r="C1105" t="n">
        <v>230</v>
      </c>
      <c r="D1105" t="n">
        <v>13600.85</v>
      </c>
    </row>
    <row r="1106">
      <c r="A1106" t="n">
        <v>761</v>
      </c>
      <c r="B1106" t="n">
        <v>13841.35</v>
      </c>
      <c r="C1106" t="n">
        <v>367</v>
      </c>
      <c r="D1106" t="n">
        <v>9653.120000000001</v>
      </c>
    </row>
    <row r="1107">
      <c r="A1107" t="n">
        <v>704</v>
      </c>
      <c r="B1107" t="n">
        <v>13600.85</v>
      </c>
      <c r="C1107" t="n">
        <v>163</v>
      </c>
      <c r="D1107" t="n">
        <v>5993.69</v>
      </c>
    </row>
    <row r="1108">
      <c r="A1108" t="n">
        <v>672</v>
      </c>
      <c r="B1108" t="n">
        <v>11178.68</v>
      </c>
      <c r="C1108" t="n">
        <v>428</v>
      </c>
      <c r="D1108" t="n">
        <v>8462.030000000001</v>
      </c>
    </row>
    <row r="1109">
      <c r="A1109" t="n">
        <v>696</v>
      </c>
      <c r="B1109" t="n">
        <v>7626.89</v>
      </c>
      <c r="C1109" t="n">
        <v>433</v>
      </c>
      <c r="D1109" t="n">
        <v>15878.89</v>
      </c>
    </row>
    <row r="1110">
      <c r="A1110" t="n">
        <v>688</v>
      </c>
      <c r="B1110" t="n">
        <v>13866.21</v>
      </c>
      <c r="C1110" t="n">
        <v>297</v>
      </c>
      <c r="D1110" t="n">
        <v>13593.81</v>
      </c>
    </row>
    <row r="1111">
      <c r="A1111" t="n">
        <v>671</v>
      </c>
      <c r="B1111" t="n">
        <v>17301.71</v>
      </c>
      <c r="C1111" t="n">
        <v>155</v>
      </c>
      <c r="D1111" t="n">
        <v>14522.68</v>
      </c>
    </row>
    <row r="1112">
      <c r="A1112" t="n">
        <v>685</v>
      </c>
      <c r="B1112" t="n">
        <v>15878.89</v>
      </c>
      <c r="C1112" t="n">
        <v>383</v>
      </c>
      <c r="D1112" t="n">
        <v>19975.12</v>
      </c>
    </row>
    <row r="1113">
      <c r="A1113" t="n">
        <v>627</v>
      </c>
      <c r="B1113" t="n">
        <v>28242.76</v>
      </c>
      <c r="C1113" t="n">
        <v>192</v>
      </c>
      <c r="D1113" t="n">
        <v>11926.52</v>
      </c>
    </row>
    <row r="1114">
      <c r="A1114" t="n">
        <v>610</v>
      </c>
      <c r="B1114" t="n">
        <v>19975.12</v>
      </c>
      <c r="C1114" t="n">
        <v>118</v>
      </c>
      <c r="D1114" t="n">
        <v>9244.040000000001</v>
      </c>
    </row>
    <row r="1115">
      <c r="A1115" t="n">
        <v>714</v>
      </c>
      <c r="B1115" t="n">
        <v>9244.040000000001</v>
      </c>
      <c r="C1115" t="n">
        <v>183</v>
      </c>
      <c r="D1115" t="n">
        <v>9415.75</v>
      </c>
    </row>
    <row r="1116">
      <c r="A1116" t="n">
        <v>646</v>
      </c>
      <c r="B1116" t="n">
        <v>13625.66</v>
      </c>
      <c r="C1116" t="n">
        <v>397</v>
      </c>
      <c r="D1116" t="n">
        <v>10741.97</v>
      </c>
    </row>
    <row r="1117">
      <c r="A1117" t="n">
        <v>725</v>
      </c>
      <c r="B1117" t="n">
        <v>9415.75</v>
      </c>
      <c r="C1117" t="n">
        <v>103</v>
      </c>
      <c r="D1117" t="n">
        <v>12637.54</v>
      </c>
    </row>
    <row r="1118">
      <c r="A1118" t="n">
        <v>715</v>
      </c>
      <c r="B1118" t="n">
        <v>6498.49</v>
      </c>
      <c r="C1118" t="n">
        <v>326</v>
      </c>
      <c r="D1118" t="n">
        <v>28143.7</v>
      </c>
    </row>
    <row r="1119">
      <c r="A1119" t="n">
        <v>670</v>
      </c>
      <c r="B1119" t="n">
        <v>19920.39</v>
      </c>
      <c r="C1119" t="n">
        <v>97</v>
      </c>
      <c r="D1119" t="n">
        <v>17830.39</v>
      </c>
    </row>
    <row r="1120">
      <c r="A1120" t="n">
        <v>708</v>
      </c>
      <c r="B1120" t="n">
        <v>13920.75</v>
      </c>
      <c r="C1120" t="n">
        <v>404</v>
      </c>
      <c r="D1120" t="n">
        <v>8593.860000000001</v>
      </c>
    </row>
    <row r="1121">
      <c r="A1121" t="n">
        <v>682</v>
      </c>
      <c r="B1121" t="n">
        <v>19463.14</v>
      </c>
      <c r="C1121" t="n">
        <v>34</v>
      </c>
      <c r="D1121" t="n">
        <v>3025.04</v>
      </c>
    </row>
    <row r="1122">
      <c r="A1122" t="n">
        <v>623</v>
      </c>
      <c r="B1122" t="n">
        <v>12125.38</v>
      </c>
      <c r="C1122" t="n">
        <v>375</v>
      </c>
      <c r="D1122" t="n">
        <v>13920.75</v>
      </c>
    </row>
    <row r="1123">
      <c r="A1123" t="n">
        <v>738</v>
      </c>
      <c r="B1123" t="n">
        <v>6199.31</v>
      </c>
      <c r="C1123" t="n">
        <v>152</v>
      </c>
      <c r="D1123" t="n">
        <v>19463.14</v>
      </c>
    </row>
    <row r="1124">
      <c r="A1124" t="n">
        <v>669</v>
      </c>
      <c r="B1124" t="n">
        <v>10919.09</v>
      </c>
      <c r="C1124" t="n">
        <v>260</v>
      </c>
      <c r="D1124" t="n">
        <v>5753.5</v>
      </c>
    </row>
    <row r="1125">
      <c r="A1125" t="n">
        <v>669</v>
      </c>
      <c r="B1125" t="n">
        <v>27371.08</v>
      </c>
      <c r="C1125" t="n">
        <v>421</v>
      </c>
      <c r="D1125" t="n">
        <v>5149.75</v>
      </c>
    </row>
    <row r="1126">
      <c r="A1126" t="n">
        <v>714</v>
      </c>
      <c r="B1126" t="n">
        <v>18754.68</v>
      </c>
      <c r="C1126" t="n">
        <v>46</v>
      </c>
      <c r="D1126" t="n">
        <v>12410.86</v>
      </c>
    </row>
    <row r="1127">
      <c r="A1127" t="n">
        <v>664</v>
      </c>
      <c r="B1127" t="n">
        <v>5493.3</v>
      </c>
      <c r="C1127" t="n">
        <v>122</v>
      </c>
      <c r="D1127" t="n">
        <v>13622.32</v>
      </c>
    </row>
    <row r="1128">
      <c r="A1128" t="n">
        <v>715</v>
      </c>
      <c r="B1128" t="n">
        <v>13830.44</v>
      </c>
      <c r="C1128" t="n">
        <v>11</v>
      </c>
      <c r="D1128" t="n">
        <v>10655.44</v>
      </c>
    </row>
    <row r="1129">
      <c r="A1129" t="n">
        <v>744</v>
      </c>
      <c r="B1129" t="n">
        <v>8609.92</v>
      </c>
      <c r="C1129" t="n">
        <v>197</v>
      </c>
      <c r="D1129" t="n">
        <v>14224.45</v>
      </c>
    </row>
    <row r="1130">
      <c r="A1130" t="n">
        <v>661</v>
      </c>
      <c r="B1130" t="n">
        <v>10060.95</v>
      </c>
      <c r="C1130" t="n">
        <v>25</v>
      </c>
      <c r="D1130" t="n">
        <v>20570.71</v>
      </c>
    </row>
    <row r="1131">
      <c r="A1131" t="n">
        <v>711</v>
      </c>
      <c r="B1131" t="n">
        <v>8187.32</v>
      </c>
      <c r="C1131" t="n">
        <v>57</v>
      </c>
      <c r="D1131" t="n">
        <v>19073.68</v>
      </c>
    </row>
    <row r="1132">
      <c r="A1132" t="n">
        <v>619</v>
      </c>
      <c r="B1132" t="n">
        <v>16896.5</v>
      </c>
      <c r="C1132" t="n">
        <v>363</v>
      </c>
      <c r="D1132" t="n">
        <v>22353.82</v>
      </c>
    </row>
    <row r="1133">
      <c r="A1133" t="n">
        <v>754</v>
      </c>
      <c r="B1133" t="n">
        <v>8247</v>
      </c>
      <c r="C1133" t="n">
        <v>241</v>
      </c>
      <c r="D1133" t="n">
        <v>20662.63</v>
      </c>
    </row>
    <row r="1134">
      <c r="A1134" t="n">
        <v>758</v>
      </c>
      <c r="B1134" t="n">
        <v>9615.379999999999</v>
      </c>
      <c r="C1134" t="n">
        <v>170</v>
      </c>
      <c r="D1134" t="n">
        <v>8187.32</v>
      </c>
    </row>
    <row r="1135">
      <c r="A1135" t="n">
        <v>671</v>
      </c>
      <c r="B1135" t="n">
        <v>6984.84</v>
      </c>
      <c r="C1135" t="n">
        <v>183</v>
      </c>
      <c r="D1135" t="n">
        <v>10849.7</v>
      </c>
    </row>
    <row r="1136">
      <c r="A1136" t="n">
        <v>723</v>
      </c>
      <c r="B1136" t="n">
        <v>10849.7</v>
      </c>
      <c r="C1136" t="n">
        <v>286</v>
      </c>
      <c r="D1136" t="n">
        <v>15326.46</v>
      </c>
    </row>
    <row r="1137">
      <c r="A1137" t="n">
        <v>698</v>
      </c>
      <c r="B1137" t="n">
        <v>15326.46</v>
      </c>
      <c r="C1137" t="n">
        <v>36</v>
      </c>
      <c r="D1137" t="n">
        <v>31271.97</v>
      </c>
    </row>
    <row r="1138">
      <c r="A1138" t="n">
        <v>720</v>
      </c>
      <c r="B1138" t="n">
        <v>10383.8</v>
      </c>
      <c r="C1138" t="n">
        <v>243</v>
      </c>
      <c r="D1138" t="n">
        <v>11482.91</v>
      </c>
    </row>
    <row r="1139">
      <c r="A1139" t="n">
        <v>637</v>
      </c>
      <c r="B1139" t="n">
        <v>1132.9</v>
      </c>
      <c r="C1139" t="n">
        <v>192</v>
      </c>
      <c r="D1139" t="n">
        <v>12690.45</v>
      </c>
    </row>
    <row r="1140">
      <c r="A1140" t="n">
        <v>658</v>
      </c>
      <c r="B1140" t="n">
        <v>23214.95</v>
      </c>
      <c r="C1140" t="n">
        <v>323</v>
      </c>
      <c r="D1140" t="n">
        <v>5928.74</v>
      </c>
    </row>
    <row r="1141">
      <c r="A1141" t="n">
        <v>618</v>
      </c>
      <c r="B1141" t="n">
        <v>18562.02</v>
      </c>
      <c r="C1141" t="n">
        <v>336</v>
      </c>
      <c r="D1141" t="n">
        <v>9266.32</v>
      </c>
    </row>
    <row r="1142">
      <c r="A1142" t="n">
        <v>752</v>
      </c>
      <c r="B1142" t="n">
        <v>7861.35</v>
      </c>
      <c r="C1142" t="n">
        <v>416</v>
      </c>
      <c r="D1142" t="n">
        <v>11349.17</v>
      </c>
    </row>
    <row r="1143">
      <c r="A1143" t="n">
        <v>649</v>
      </c>
      <c r="B1143" t="n">
        <v>29339.99</v>
      </c>
      <c r="C1143" t="n">
        <v>321</v>
      </c>
      <c r="D1143" t="n">
        <v>21320.65</v>
      </c>
    </row>
    <row r="1144">
      <c r="A1144" t="n">
        <v>598</v>
      </c>
      <c r="B1144" t="n">
        <v>8632.469999999999</v>
      </c>
      <c r="C1144" t="n">
        <v>206</v>
      </c>
      <c r="D1144" t="n">
        <v>13443.17</v>
      </c>
    </row>
    <row r="1145">
      <c r="A1145" t="n">
        <v>732</v>
      </c>
      <c r="B1145" t="n">
        <v>3647.44</v>
      </c>
      <c r="C1145" t="n">
        <v>381</v>
      </c>
      <c r="D1145" t="n">
        <v>15946.58</v>
      </c>
    </row>
    <row r="1146">
      <c r="A1146" t="n">
        <v>684</v>
      </c>
      <c r="B1146" t="n">
        <v>0</v>
      </c>
      <c r="C1146" t="n">
        <v>187</v>
      </c>
      <c r="D1146" t="n">
        <v>10320.77</v>
      </c>
    </row>
    <row r="1147">
      <c r="A1147" t="n">
        <v>646</v>
      </c>
      <c r="B1147" t="n">
        <v>6986.5</v>
      </c>
      <c r="C1147" t="n">
        <v>142</v>
      </c>
      <c r="D1147" t="n">
        <v>8145.09</v>
      </c>
    </row>
    <row r="1148">
      <c r="A1148" t="n">
        <v>760</v>
      </c>
      <c r="B1148" t="n">
        <v>9389.76</v>
      </c>
      <c r="C1148" t="n">
        <v>105</v>
      </c>
      <c r="D1148" t="n">
        <v>9389.76</v>
      </c>
    </row>
    <row r="1149">
      <c r="A1149" t="n">
        <v>827</v>
      </c>
      <c r="B1149" t="n">
        <v>4172.08</v>
      </c>
      <c r="C1149" t="n">
        <v>376</v>
      </c>
      <c r="D1149" t="n">
        <v>10436.83</v>
      </c>
    </row>
    <row r="1150">
      <c r="A1150" t="n">
        <v>671</v>
      </c>
      <c r="B1150" t="n">
        <v>15037.51</v>
      </c>
      <c r="C1150" t="n">
        <v>387</v>
      </c>
      <c r="D1150" t="n">
        <v>10818.78</v>
      </c>
    </row>
    <row r="1151">
      <c r="A1151" t="n">
        <v>740</v>
      </c>
      <c r="B1151" t="n">
        <v>6205.54</v>
      </c>
      <c r="C1151" t="n">
        <v>200</v>
      </c>
      <c r="D1151" t="n">
        <v>11719.63</v>
      </c>
    </row>
    <row r="1152">
      <c r="A1152" t="n">
        <v>710</v>
      </c>
      <c r="B1152" t="n">
        <v>10392.36</v>
      </c>
      <c r="C1152" t="n">
        <v>276</v>
      </c>
      <c r="D1152" t="n">
        <v>20248.78</v>
      </c>
    </row>
    <row r="1153">
      <c r="A1153" t="n">
        <v>839</v>
      </c>
      <c r="B1153" t="n">
        <v>520.84</v>
      </c>
      <c r="C1153" t="n">
        <v>59</v>
      </c>
      <c r="D1153" t="n">
        <v>13171.87</v>
      </c>
    </row>
    <row r="1154">
      <c r="A1154" t="n">
        <v>684</v>
      </c>
      <c r="B1154" t="n">
        <v>15492.8</v>
      </c>
      <c r="C1154" t="n">
        <v>28</v>
      </c>
      <c r="D1154" t="n">
        <v>15492.8</v>
      </c>
    </row>
    <row r="1155">
      <c r="A1155" t="n">
        <v>688</v>
      </c>
      <c r="B1155" t="n">
        <v>10925.36</v>
      </c>
      <c r="C1155" t="n">
        <v>284</v>
      </c>
      <c r="D1155" t="n">
        <v>6530.86</v>
      </c>
    </row>
    <row r="1156">
      <c r="A1156" t="n">
        <v>715</v>
      </c>
      <c r="B1156" t="n">
        <v>9121.25</v>
      </c>
      <c r="C1156" t="n">
        <v>435</v>
      </c>
      <c r="D1156" t="n">
        <v>11393.55</v>
      </c>
    </row>
    <row r="1157">
      <c r="A1157" t="n">
        <v>695</v>
      </c>
      <c r="B1157" t="n">
        <v>15604.11</v>
      </c>
      <c r="C1157" t="n">
        <v>307</v>
      </c>
      <c r="D1157" t="n">
        <v>8585.040000000001</v>
      </c>
    </row>
    <row r="1158">
      <c r="A1158" t="n">
        <v>738</v>
      </c>
      <c r="B1158" t="n">
        <v>5666.89</v>
      </c>
      <c r="C1158" t="n">
        <v>121</v>
      </c>
      <c r="D1158" t="n">
        <v>13342.62</v>
      </c>
    </row>
    <row r="1159">
      <c r="A1159" t="n">
        <v>656</v>
      </c>
      <c r="B1159" t="n">
        <v>19721.62</v>
      </c>
      <c r="C1159" t="n">
        <v>381</v>
      </c>
      <c r="D1159" t="n">
        <v>7918.77</v>
      </c>
    </row>
    <row r="1160">
      <c r="A1160" t="n">
        <v>626</v>
      </c>
      <c r="B1160" t="n">
        <v>23320.3</v>
      </c>
      <c r="C1160" t="n">
        <v>192</v>
      </c>
      <c r="D1160" t="n">
        <v>13775.39</v>
      </c>
    </row>
    <row r="1161">
      <c r="A1161" t="n">
        <v>615</v>
      </c>
      <c r="B1161" t="n">
        <v>20496.79</v>
      </c>
      <c r="C1161" t="n">
        <v>386</v>
      </c>
      <c r="D1161" t="n">
        <v>5538.58</v>
      </c>
    </row>
    <row r="1162">
      <c r="A1162" t="n">
        <v>693</v>
      </c>
      <c r="B1162" t="n">
        <v>23337.56</v>
      </c>
      <c r="C1162" t="n">
        <v>242</v>
      </c>
      <c r="D1162" t="n">
        <v>10800.44</v>
      </c>
    </row>
    <row r="1163">
      <c r="A1163" t="n">
        <v>633</v>
      </c>
      <c r="B1163" t="n">
        <v>24634.26</v>
      </c>
      <c r="C1163" t="n">
        <v>427</v>
      </c>
      <c r="D1163" t="n">
        <v>8228.07</v>
      </c>
    </row>
    <row r="1164">
      <c r="A1164" t="n">
        <v>720</v>
      </c>
      <c r="B1164" t="n">
        <v>10832.14</v>
      </c>
      <c r="C1164" t="n">
        <v>399</v>
      </c>
      <c r="D1164" t="n">
        <v>23337.56</v>
      </c>
    </row>
    <row r="1165">
      <c r="A1165" t="n">
        <v>687</v>
      </c>
      <c r="B1165" t="n">
        <v>13580.66</v>
      </c>
      <c r="C1165" t="n">
        <v>31</v>
      </c>
      <c r="D1165" t="n">
        <v>10540.8</v>
      </c>
    </row>
    <row r="1166">
      <c r="A1166" t="n">
        <v>600</v>
      </c>
      <c r="B1166" t="n">
        <v>18809.79</v>
      </c>
      <c r="C1166" t="n">
        <v>97</v>
      </c>
      <c r="D1166" t="n">
        <v>19579.71</v>
      </c>
    </row>
    <row r="1167">
      <c r="A1167" t="n">
        <v>616</v>
      </c>
      <c r="B1167" t="n">
        <v>9555.41</v>
      </c>
      <c r="C1167" t="n">
        <v>341</v>
      </c>
      <c r="D1167" t="n">
        <v>7878.61</v>
      </c>
    </row>
    <row r="1168">
      <c r="A1168" t="n">
        <v>633</v>
      </c>
      <c r="B1168" t="n">
        <v>14608.05</v>
      </c>
      <c r="C1168" t="n">
        <v>305</v>
      </c>
      <c r="D1168" t="n">
        <v>16099.15</v>
      </c>
    </row>
    <row r="1169">
      <c r="A1169" t="n">
        <v>706</v>
      </c>
      <c r="B1169" t="n">
        <v>16099.15</v>
      </c>
      <c r="C1169" t="n">
        <v>192</v>
      </c>
      <c r="D1169" t="n">
        <v>3338.69</v>
      </c>
    </row>
    <row r="1170">
      <c r="A1170" t="n">
        <v>711</v>
      </c>
      <c r="B1170" t="n">
        <v>17941.51</v>
      </c>
      <c r="C1170" t="n">
        <v>381</v>
      </c>
      <c r="D1170" t="n">
        <v>7639.79</v>
      </c>
    </row>
    <row r="1171">
      <c r="A1171" t="n">
        <v>690</v>
      </c>
      <c r="B1171" t="n">
        <v>7639.79</v>
      </c>
      <c r="C1171" t="n">
        <v>279</v>
      </c>
      <c r="D1171" t="n">
        <v>9363.540000000001</v>
      </c>
    </row>
    <row r="1172">
      <c r="A1172" t="n">
        <v>720</v>
      </c>
      <c r="B1172" t="n">
        <v>9363.540000000001</v>
      </c>
      <c r="C1172" t="n">
        <v>202</v>
      </c>
      <c r="D1172" t="n">
        <v>12408.19</v>
      </c>
    </row>
    <row r="1173">
      <c r="A1173" t="n">
        <v>691</v>
      </c>
      <c r="B1173" t="n">
        <v>13371.27</v>
      </c>
      <c r="C1173" t="n">
        <v>253</v>
      </c>
      <c r="D1173" t="n">
        <v>15133.11</v>
      </c>
    </row>
    <row r="1174">
      <c r="A1174" t="n">
        <v>727</v>
      </c>
      <c r="B1174" t="n">
        <v>20224.29</v>
      </c>
      <c r="C1174" t="n">
        <v>225</v>
      </c>
      <c r="D1174" t="n">
        <v>5760.11</v>
      </c>
    </row>
    <row r="1175">
      <c r="A1175" t="n">
        <v>691</v>
      </c>
      <c r="B1175" t="n">
        <v>11318.14</v>
      </c>
      <c r="C1175" t="n">
        <v>431</v>
      </c>
      <c r="D1175" t="n">
        <v>23646.61</v>
      </c>
    </row>
    <row r="1176">
      <c r="A1176" t="n">
        <v>696</v>
      </c>
      <c r="B1176" t="n">
        <v>13020.82</v>
      </c>
      <c r="C1176" t="n">
        <v>303</v>
      </c>
      <c r="D1176" t="n">
        <v>14427.76</v>
      </c>
    </row>
    <row r="1177">
      <c r="A1177" t="n">
        <v>563</v>
      </c>
      <c r="B1177" t="n">
        <v>38140.5</v>
      </c>
      <c r="C1177" t="n">
        <v>139</v>
      </c>
      <c r="D1177" t="n">
        <v>14145.7</v>
      </c>
    </row>
    <row r="1178">
      <c r="A1178" t="n">
        <v>653</v>
      </c>
      <c r="B1178" t="n">
        <v>14427.76</v>
      </c>
      <c r="C1178" t="n">
        <v>415</v>
      </c>
      <c r="D1178" t="n">
        <v>17096.9</v>
      </c>
    </row>
    <row r="1179">
      <c r="A1179" t="n">
        <v>760</v>
      </c>
      <c r="B1179" t="n">
        <v>18511.09</v>
      </c>
      <c r="C1179" t="n">
        <v>244</v>
      </c>
      <c r="D1179" t="n">
        <v>22433.38</v>
      </c>
    </row>
    <row r="1180">
      <c r="A1180" t="n">
        <v>696</v>
      </c>
      <c r="B1180" t="n">
        <v>14540.21</v>
      </c>
      <c r="C1180" t="n">
        <v>278</v>
      </c>
      <c r="D1180" t="n">
        <v>16786.79</v>
      </c>
    </row>
    <row r="1181">
      <c r="A1181" t="n">
        <v>738</v>
      </c>
      <c r="B1181" t="n">
        <v>5296.82</v>
      </c>
      <c r="C1181" t="n">
        <v>257</v>
      </c>
      <c r="D1181" t="n">
        <v>10507.6</v>
      </c>
    </row>
    <row r="1182">
      <c r="A1182" t="n">
        <v>752</v>
      </c>
      <c r="B1182" t="n">
        <v>13907.95</v>
      </c>
      <c r="C1182" t="n">
        <v>427</v>
      </c>
      <c r="D1182" t="n">
        <v>14540.21</v>
      </c>
    </row>
    <row r="1183">
      <c r="A1183" t="n">
        <v>761</v>
      </c>
      <c r="B1183" t="n">
        <v>0</v>
      </c>
      <c r="C1183" t="n">
        <v>423</v>
      </c>
      <c r="D1183" t="n">
        <v>8757.77</v>
      </c>
    </row>
    <row r="1184">
      <c r="A1184" t="n">
        <v>719</v>
      </c>
      <c r="B1184" t="n">
        <v>10837.57</v>
      </c>
      <c r="C1184" t="n">
        <v>294</v>
      </c>
      <c r="D1184" t="n">
        <v>12084.87</v>
      </c>
    </row>
    <row r="1185">
      <c r="A1185" t="n">
        <v>714</v>
      </c>
      <c r="B1185" t="n">
        <v>8282.65</v>
      </c>
      <c r="C1185" t="n">
        <v>320</v>
      </c>
      <c r="D1185" t="n">
        <v>16213.22</v>
      </c>
    </row>
    <row r="1186">
      <c r="A1186" t="n">
        <v>753</v>
      </c>
      <c r="B1186" t="n">
        <v>1858.46</v>
      </c>
      <c r="C1186" t="n">
        <v>268</v>
      </c>
      <c r="D1186" t="n">
        <v>8166.8</v>
      </c>
    </row>
    <row r="1187">
      <c r="A1187" t="n">
        <v>759</v>
      </c>
      <c r="B1187" t="n">
        <v>6182.96</v>
      </c>
      <c r="C1187" t="n">
        <v>147</v>
      </c>
      <c r="D1187" t="n">
        <v>14682.7</v>
      </c>
    </row>
    <row r="1188">
      <c r="A1188" t="n">
        <v>728</v>
      </c>
      <c r="B1188" t="n">
        <v>16694.16</v>
      </c>
      <c r="C1188" t="n">
        <v>166</v>
      </c>
      <c r="D1188" t="n">
        <v>12623.29</v>
      </c>
    </row>
    <row r="1189">
      <c r="A1189" t="n">
        <v>629</v>
      </c>
      <c r="B1189" t="n">
        <v>30732.19</v>
      </c>
      <c r="C1189" t="n">
        <v>19</v>
      </c>
      <c r="D1189" t="n">
        <v>10074.65</v>
      </c>
    </row>
    <row r="1190">
      <c r="A1190" t="n">
        <v>640</v>
      </c>
      <c r="B1190" t="n">
        <v>22502.46</v>
      </c>
      <c r="C1190" t="n">
        <v>170</v>
      </c>
      <c r="D1190" t="n">
        <v>21893.56</v>
      </c>
    </row>
    <row r="1191">
      <c r="A1191" t="n">
        <v>767</v>
      </c>
      <c r="B1191" t="n">
        <v>3275.53</v>
      </c>
      <c r="C1191" t="n">
        <v>241</v>
      </c>
      <c r="D1191" t="n">
        <v>16694.16</v>
      </c>
    </row>
    <row r="1192">
      <c r="A1192" t="n">
        <v>751</v>
      </c>
      <c r="B1192" t="n">
        <v>5808.08</v>
      </c>
      <c r="C1192" t="n">
        <v>54</v>
      </c>
      <c r="D1192" t="n">
        <v>15417.51</v>
      </c>
    </row>
    <row r="1193">
      <c r="A1193" t="n">
        <v>661</v>
      </c>
      <c r="B1193" t="n">
        <v>7696.07</v>
      </c>
      <c r="C1193" t="n">
        <v>110</v>
      </c>
      <c r="D1193" t="n">
        <v>5808.08</v>
      </c>
    </row>
    <row r="1194">
      <c r="A1194" t="n">
        <v>696</v>
      </c>
      <c r="B1194" t="n">
        <v>13095.84</v>
      </c>
      <c r="C1194" t="n">
        <v>15</v>
      </c>
      <c r="D1194" t="n">
        <v>14140.64</v>
      </c>
    </row>
    <row r="1195">
      <c r="A1195" t="n">
        <v>720</v>
      </c>
      <c r="B1195" t="n">
        <v>5538.5</v>
      </c>
      <c r="C1195" t="n">
        <v>114</v>
      </c>
      <c r="D1195" t="n">
        <v>9424.75</v>
      </c>
    </row>
    <row r="1196">
      <c r="A1196" t="n">
        <v>670</v>
      </c>
      <c r="B1196" t="n">
        <v>6242.78</v>
      </c>
      <c r="C1196" t="n">
        <v>326</v>
      </c>
      <c r="D1196" t="n">
        <v>4395.47</v>
      </c>
    </row>
    <row r="1197">
      <c r="A1197" t="n">
        <v>685</v>
      </c>
      <c r="B1197" t="n">
        <v>20150.28</v>
      </c>
      <c r="C1197" t="n">
        <v>340</v>
      </c>
      <c r="D1197" t="n">
        <v>4744.78</v>
      </c>
    </row>
    <row r="1198">
      <c r="A1198" t="n">
        <v>632</v>
      </c>
      <c r="B1198" t="n">
        <v>26518.45</v>
      </c>
      <c r="C1198" t="n">
        <v>226</v>
      </c>
      <c r="D1198" t="n">
        <v>16800.29</v>
      </c>
    </row>
    <row r="1199">
      <c r="A1199" t="n">
        <v>781</v>
      </c>
      <c r="B1199" t="n">
        <v>4744.78</v>
      </c>
      <c r="C1199" t="n">
        <v>430</v>
      </c>
      <c r="D1199" t="n">
        <v>2697.94</v>
      </c>
    </row>
    <row r="1200">
      <c r="A1200" t="n">
        <v>590</v>
      </c>
      <c r="B1200" t="n">
        <v>24792.43</v>
      </c>
      <c r="C1200" t="n">
        <v>374</v>
      </c>
      <c r="D1200" t="n">
        <v>17726.83</v>
      </c>
    </row>
    <row r="1201">
      <c r="A1201" t="n">
        <v>626</v>
      </c>
      <c r="B1201" t="n">
        <v>11096.34</v>
      </c>
      <c r="C1201" t="n">
        <v>415</v>
      </c>
      <c r="D1201" t="n">
        <v>13797.18</v>
      </c>
    </row>
    <row r="1202">
      <c r="A1202" t="n">
        <v>622</v>
      </c>
      <c r="B1202" t="n">
        <v>26423.04</v>
      </c>
      <c r="C1202" t="n">
        <v>360</v>
      </c>
      <c r="D1202" t="n">
        <v>6565.25</v>
      </c>
    </row>
    <row r="1203">
      <c r="A1203" t="n">
        <v>754</v>
      </c>
      <c r="B1203" t="n">
        <v>9442.65</v>
      </c>
      <c r="C1203" t="n">
        <v>200</v>
      </c>
      <c r="D1203" t="n">
        <v>9311.49</v>
      </c>
    </row>
    <row r="1204">
      <c r="A1204" t="n">
        <v>721</v>
      </c>
      <c r="B1204" t="n">
        <v>13039.32</v>
      </c>
      <c r="C1204" t="n">
        <v>26</v>
      </c>
      <c r="D1204" t="n">
        <v>13039.32</v>
      </c>
    </row>
    <row r="1205">
      <c r="A1205" t="n">
        <v>723</v>
      </c>
      <c r="B1205" t="n">
        <v>8688.610000000001</v>
      </c>
      <c r="C1205" t="n">
        <v>286</v>
      </c>
      <c r="D1205" t="n">
        <v>10041.98</v>
      </c>
    </row>
    <row r="1206">
      <c r="A1206" t="n">
        <v>794</v>
      </c>
      <c r="B1206" t="n">
        <v>7012.73</v>
      </c>
      <c r="C1206" t="n">
        <v>188</v>
      </c>
      <c r="D1206" t="n">
        <v>8688.610000000001</v>
      </c>
    </row>
    <row r="1207">
      <c r="A1207" t="n">
        <v>692</v>
      </c>
      <c r="B1207" t="n">
        <v>12493.17</v>
      </c>
      <c r="C1207" t="n">
        <v>137</v>
      </c>
      <c r="D1207" t="n">
        <v>12493.17</v>
      </c>
    </row>
    <row r="1208">
      <c r="A1208" t="n">
        <v>734</v>
      </c>
      <c r="B1208" t="n">
        <v>12289.06</v>
      </c>
      <c r="C1208" t="n">
        <v>416</v>
      </c>
      <c r="D1208" t="n">
        <v>6137.27</v>
      </c>
    </row>
    <row r="1209">
      <c r="A1209" t="n">
        <v>678</v>
      </c>
      <c r="B1209" t="n">
        <v>16107.11</v>
      </c>
      <c r="C1209" t="n">
        <v>355</v>
      </c>
      <c r="D1209" t="n">
        <v>3713.91</v>
      </c>
    </row>
    <row r="1210">
      <c r="A1210" t="n">
        <v>748</v>
      </c>
      <c r="B1210" t="n">
        <v>6640.91</v>
      </c>
      <c r="C1210" t="n">
        <v>301</v>
      </c>
      <c r="D1210" t="n">
        <v>6640.91</v>
      </c>
    </row>
    <row r="1211">
      <c r="A1211" t="n">
        <v>678</v>
      </c>
      <c r="B1211" t="n">
        <v>3539.03</v>
      </c>
      <c r="C1211" t="n">
        <v>332</v>
      </c>
      <c r="D1211" t="n">
        <v>3539.03</v>
      </c>
    </row>
    <row r="1212">
      <c r="A1212" t="n">
        <v>769</v>
      </c>
      <c r="B1212" t="n">
        <v>9022.360000000001</v>
      </c>
      <c r="C1212" t="n">
        <v>86</v>
      </c>
      <c r="D1212" t="n">
        <v>9022.360000000001</v>
      </c>
    </row>
    <row r="1213">
      <c r="A1213" t="n">
        <v>702</v>
      </c>
      <c r="B1213" t="n">
        <v>12126.03</v>
      </c>
      <c r="C1213" t="n">
        <v>417</v>
      </c>
      <c r="D1213" t="n">
        <v>13459.83</v>
      </c>
    </row>
    <row r="1214">
      <c r="A1214" t="n">
        <v>849</v>
      </c>
      <c r="B1214" t="n">
        <v>1361.42</v>
      </c>
      <c r="C1214" t="n">
        <v>249</v>
      </c>
      <c r="D1214" t="n">
        <v>10752.25</v>
      </c>
    </row>
    <row r="1215">
      <c r="A1215" t="n">
        <v>657</v>
      </c>
      <c r="B1215" t="n">
        <v>33216.58</v>
      </c>
      <c r="C1215" t="n">
        <v>103</v>
      </c>
      <c r="D1215" t="n">
        <v>17906.92</v>
      </c>
    </row>
    <row r="1216">
      <c r="A1216" t="n">
        <v>680</v>
      </c>
      <c r="B1216" t="n">
        <v>13149.61</v>
      </c>
      <c r="C1216" t="n">
        <v>10</v>
      </c>
      <c r="D1216" t="n">
        <v>33216.58</v>
      </c>
    </row>
    <row r="1217">
      <c r="A1217" t="n">
        <v>688</v>
      </c>
      <c r="B1217" t="n">
        <v>5528.23</v>
      </c>
      <c r="C1217" t="n">
        <v>232</v>
      </c>
      <c r="D1217" t="n">
        <v>21665.81</v>
      </c>
    </row>
    <row r="1218">
      <c r="A1218" t="n">
        <v>701</v>
      </c>
      <c r="B1218" t="n">
        <v>10700.98</v>
      </c>
      <c r="C1218" t="n">
        <v>231</v>
      </c>
      <c r="D1218" t="n">
        <v>16116.58</v>
      </c>
    </row>
    <row r="1219">
      <c r="A1219" t="n">
        <v>677</v>
      </c>
      <c r="B1219" t="n">
        <v>14197.54</v>
      </c>
      <c r="C1219" t="n">
        <v>251</v>
      </c>
      <c r="D1219" t="n">
        <v>9602.389999999999</v>
      </c>
    </row>
    <row r="1220">
      <c r="A1220" t="n">
        <v>738</v>
      </c>
      <c r="B1220" t="n">
        <v>11550</v>
      </c>
      <c r="C1220" t="n">
        <v>116</v>
      </c>
      <c r="D1220" t="n">
        <v>12345.67</v>
      </c>
    </row>
    <row r="1221">
      <c r="A1221" t="n">
        <v>702</v>
      </c>
      <c r="B1221" t="n">
        <v>7747.51</v>
      </c>
      <c r="C1221" t="n">
        <v>262</v>
      </c>
      <c r="D1221" t="n">
        <v>14095.18</v>
      </c>
    </row>
    <row r="1222">
      <c r="A1222" t="n">
        <v>746</v>
      </c>
      <c r="B1222" t="n">
        <v>8923.1</v>
      </c>
      <c r="C1222" t="n">
        <v>50</v>
      </c>
      <c r="D1222" t="n">
        <v>23405.65</v>
      </c>
    </row>
    <row r="1223">
      <c r="A1223" t="n">
        <v>595</v>
      </c>
      <c r="B1223" t="n">
        <v>10591.56</v>
      </c>
      <c r="C1223" t="n">
        <v>122</v>
      </c>
      <c r="D1223" t="n">
        <v>17919.16</v>
      </c>
    </row>
    <row r="1224">
      <c r="A1224" t="n">
        <v>706</v>
      </c>
      <c r="B1224" t="n">
        <v>8600.23</v>
      </c>
      <c r="C1224" t="n">
        <v>86</v>
      </c>
      <c r="D1224" t="n">
        <v>16347.25</v>
      </c>
    </row>
    <row r="1225">
      <c r="A1225" t="n">
        <v>777</v>
      </c>
      <c r="B1225" t="n">
        <v>12996.18</v>
      </c>
      <c r="C1225" t="n">
        <v>231</v>
      </c>
      <c r="D1225" t="n">
        <v>6314.5</v>
      </c>
    </row>
    <row r="1226">
      <c r="A1226" t="n">
        <v>599</v>
      </c>
      <c r="B1226" t="n">
        <v>23506.44</v>
      </c>
      <c r="C1226" t="n">
        <v>369</v>
      </c>
      <c r="D1226" t="n">
        <v>8923.1</v>
      </c>
    </row>
    <row r="1227">
      <c r="A1227" t="n">
        <v>597</v>
      </c>
      <c r="B1227" t="n">
        <v>20185.74</v>
      </c>
      <c r="C1227" t="n">
        <v>290</v>
      </c>
      <c r="D1227" t="n">
        <v>1018.6</v>
      </c>
    </row>
    <row r="1228">
      <c r="A1228" t="n">
        <v>691</v>
      </c>
      <c r="B1228" t="n">
        <v>12442.55</v>
      </c>
      <c r="C1228" t="n">
        <v>204</v>
      </c>
      <c r="D1228" t="n">
        <v>13759.57</v>
      </c>
    </row>
    <row r="1229">
      <c r="A1229" t="n">
        <v>752</v>
      </c>
      <c r="B1229" t="n">
        <v>11390.26</v>
      </c>
      <c r="C1229" t="n">
        <v>72</v>
      </c>
      <c r="D1229" t="n">
        <v>12550.45</v>
      </c>
    </row>
    <row r="1230">
      <c r="A1230" t="n">
        <v>641</v>
      </c>
      <c r="B1230" t="n">
        <v>18371.51</v>
      </c>
      <c r="C1230" t="n">
        <v>67</v>
      </c>
      <c r="D1230" t="n">
        <v>11330.42</v>
      </c>
    </row>
    <row r="1231">
      <c r="A1231" t="n">
        <v>714</v>
      </c>
      <c r="B1231" t="n">
        <v>9594.700000000001</v>
      </c>
      <c r="C1231" t="n">
        <v>186</v>
      </c>
      <c r="D1231" t="n">
        <v>1261.02</v>
      </c>
    </row>
    <row r="1232">
      <c r="A1232" t="n">
        <v>701</v>
      </c>
      <c r="B1232" t="n">
        <v>18955.76</v>
      </c>
      <c r="C1232" t="n">
        <v>120</v>
      </c>
      <c r="D1232" t="n">
        <v>7148.14</v>
      </c>
    </row>
    <row r="1233">
      <c r="A1233" t="n">
        <v>739</v>
      </c>
      <c r="B1233" t="n">
        <v>9417.43</v>
      </c>
      <c r="C1233" t="n">
        <v>300</v>
      </c>
      <c r="D1233" t="n">
        <v>11319.02</v>
      </c>
    </row>
    <row r="1234">
      <c r="A1234" t="n">
        <v>728</v>
      </c>
      <c r="B1234" t="n">
        <v>11308.66</v>
      </c>
      <c r="C1234" t="n">
        <v>387</v>
      </c>
      <c r="D1234" t="n">
        <v>9417.43</v>
      </c>
    </row>
    <row r="1235">
      <c r="A1235" t="n">
        <v>734</v>
      </c>
      <c r="B1235" t="n">
        <v>15585.93</v>
      </c>
      <c r="C1235" t="n">
        <v>433</v>
      </c>
      <c r="D1235" t="n">
        <v>21821.83</v>
      </c>
    </row>
    <row r="1236">
      <c r="A1236" t="n">
        <v>675</v>
      </c>
      <c r="B1236" t="n">
        <v>11989.43</v>
      </c>
      <c r="C1236" t="n">
        <v>226</v>
      </c>
      <c r="D1236" t="n">
        <v>15585.93</v>
      </c>
    </row>
    <row r="1237">
      <c r="A1237" t="n">
        <v>621</v>
      </c>
      <c r="B1237" t="n">
        <v>20330.68</v>
      </c>
      <c r="C1237" t="n">
        <v>290</v>
      </c>
      <c r="D1237" t="n">
        <v>20330.68</v>
      </c>
    </row>
    <row r="1238">
      <c r="A1238" t="n">
        <v>876</v>
      </c>
      <c r="B1238" t="n">
        <v>1897.34</v>
      </c>
      <c r="C1238" t="n">
        <v>332</v>
      </c>
      <c r="D1238" t="n">
        <v>9156.940000000001</v>
      </c>
    </row>
    <row r="1239">
      <c r="A1239" t="n">
        <v>776</v>
      </c>
      <c r="B1239" t="n">
        <v>10390.82</v>
      </c>
      <c r="C1239" t="n">
        <v>364</v>
      </c>
      <c r="D1239" t="n">
        <v>23828.38</v>
      </c>
    </row>
    <row r="1240">
      <c r="A1240" t="n">
        <v>712</v>
      </c>
      <c r="B1240" t="n">
        <v>11018.22</v>
      </c>
      <c r="C1240" t="n">
        <v>435</v>
      </c>
      <c r="D1240" t="n">
        <v>15680.68</v>
      </c>
    </row>
    <row r="1241">
      <c r="A1241" t="n">
        <v>657</v>
      </c>
      <c r="B1241" t="n">
        <v>15884.77</v>
      </c>
      <c r="C1241" t="n">
        <v>91</v>
      </c>
      <c r="D1241" t="n">
        <v>4856.26</v>
      </c>
    </row>
    <row r="1242">
      <c r="A1242" t="n">
        <v>669</v>
      </c>
      <c r="B1242" t="n">
        <v>13527.77</v>
      </c>
      <c r="C1242" t="n">
        <v>98</v>
      </c>
      <c r="D1242" t="n">
        <v>1541.28</v>
      </c>
    </row>
    <row r="1243">
      <c r="A1243" t="n">
        <v>640</v>
      </c>
      <c r="B1243" t="n">
        <v>7840.24</v>
      </c>
      <c r="C1243" t="n">
        <v>94</v>
      </c>
      <c r="D1243" t="n">
        <v>16236.57</v>
      </c>
    </row>
    <row r="1244">
      <c r="A1244" t="n">
        <v>695</v>
      </c>
      <c r="B1244" t="n">
        <v>15191.01</v>
      </c>
      <c r="C1244" t="n">
        <v>112</v>
      </c>
      <c r="D1244" t="n">
        <v>9840.190000000001</v>
      </c>
    </row>
    <row r="1245">
      <c r="A1245" t="n">
        <v>618</v>
      </c>
      <c r="B1245" t="n">
        <v>15315.33</v>
      </c>
      <c r="C1245" t="n">
        <v>241</v>
      </c>
      <c r="D1245" t="n">
        <v>6314.77</v>
      </c>
    </row>
    <row r="1246">
      <c r="A1246" t="n">
        <v>650</v>
      </c>
      <c r="B1246" t="n">
        <v>12066.68</v>
      </c>
      <c r="C1246" t="n">
        <v>156</v>
      </c>
      <c r="D1246" t="n">
        <v>13527.77</v>
      </c>
    </row>
    <row r="1247">
      <c r="A1247" t="n">
        <v>696</v>
      </c>
      <c r="B1247" t="n">
        <v>9497.52</v>
      </c>
      <c r="C1247" t="n">
        <v>149</v>
      </c>
      <c r="D1247" t="n">
        <v>13942.38</v>
      </c>
    </row>
    <row r="1248">
      <c r="A1248" t="n">
        <v>782</v>
      </c>
      <c r="B1248" t="n">
        <v>9242.299999999999</v>
      </c>
      <c r="C1248" t="n">
        <v>204</v>
      </c>
      <c r="D1248" t="n">
        <v>8520.43</v>
      </c>
    </row>
    <row r="1249">
      <c r="A1249" t="n">
        <v>696</v>
      </c>
      <c r="B1249" t="n">
        <v>8520.43</v>
      </c>
      <c r="C1249" t="n">
        <v>98</v>
      </c>
      <c r="D1249" t="n">
        <v>10948.7</v>
      </c>
    </row>
    <row r="1250">
      <c r="A1250" t="n">
        <v>670</v>
      </c>
      <c r="B1250" t="n">
        <v>21226.16</v>
      </c>
      <c r="C1250" t="n">
        <v>336</v>
      </c>
      <c r="D1250" t="n">
        <v>24362.51</v>
      </c>
    </row>
    <row r="1251">
      <c r="A1251" t="n">
        <v>622</v>
      </c>
      <c r="B1251" t="n">
        <v>13628.7</v>
      </c>
      <c r="C1251" t="n">
        <v>79</v>
      </c>
      <c r="D1251" t="n">
        <v>22737.45</v>
      </c>
    </row>
    <row r="1252">
      <c r="A1252" t="n">
        <v>727</v>
      </c>
      <c r="B1252" t="n">
        <v>10240.56</v>
      </c>
      <c r="C1252" t="n">
        <v>341</v>
      </c>
      <c r="D1252" t="n">
        <v>11602.15</v>
      </c>
    </row>
    <row r="1253">
      <c r="A1253" t="n">
        <v>697</v>
      </c>
      <c r="B1253" t="n">
        <v>17204.58</v>
      </c>
      <c r="C1253" t="n">
        <v>152</v>
      </c>
      <c r="D1253" t="n">
        <v>3181.89</v>
      </c>
    </row>
    <row r="1254">
      <c r="A1254" t="n">
        <v>568</v>
      </c>
      <c r="B1254" t="n">
        <v>8391.809999999999</v>
      </c>
      <c r="C1254" t="n">
        <v>312</v>
      </c>
      <c r="D1254" t="n">
        <v>14770.37</v>
      </c>
    </row>
    <row r="1255">
      <c r="A1255" t="n">
        <v>639</v>
      </c>
      <c r="B1255" t="n">
        <v>15278.22</v>
      </c>
      <c r="C1255" t="n">
        <v>172</v>
      </c>
      <c r="D1255" t="n">
        <v>17204.58</v>
      </c>
    </row>
    <row r="1256">
      <c r="A1256" t="n">
        <v>756</v>
      </c>
      <c r="B1256" t="n">
        <v>7142.08</v>
      </c>
      <c r="C1256" t="n">
        <v>107</v>
      </c>
      <c r="D1256" t="n">
        <v>18800.56</v>
      </c>
    </row>
    <row r="1257">
      <c r="A1257" t="n">
        <v>699</v>
      </c>
      <c r="B1257" t="n">
        <v>12540.64</v>
      </c>
      <c r="C1257" t="n">
        <v>408</v>
      </c>
      <c r="D1257" t="n">
        <v>5687.82</v>
      </c>
    </row>
    <row r="1258">
      <c r="A1258" t="n">
        <v>747</v>
      </c>
      <c r="B1258" t="n">
        <v>9414.24</v>
      </c>
      <c r="C1258" t="n">
        <v>332</v>
      </c>
      <c r="D1258" t="n">
        <v>9020.200000000001</v>
      </c>
    </row>
    <row r="1259">
      <c r="A1259" t="n">
        <v>749</v>
      </c>
      <c r="B1259" t="n">
        <v>14235.49</v>
      </c>
      <c r="C1259" t="n">
        <v>170</v>
      </c>
      <c r="D1259" t="n">
        <v>14784.01</v>
      </c>
    </row>
    <row r="1260">
      <c r="A1260" t="n">
        <v>755</v>
      </c>
      <c r="B1260" t="n">
        <v>9020.200000000001</v>
      </c>
      <c r="C1260" t="n">
        <v>175</v>
      </c>
      <c r="D1260" t="n">
        <v>13608.9</v>
      </c>
    </row>
    <row r="1261">
      <c r="A1261" t="n">
        <v>781</v>
      </c>
      <c r="B1261" t="n">
        <v>0</v>
      </c>
      <c r="C1261" t="n">
        <v>382</v>
      </c>
      <c r="D1261" t="n">
        <v>20751.43</v>
      </c>
    </row>
    <row r="1262">
      <c r="A1262" t="n">
        <v>732</v>
      </c>
      <c r="B1262" t="n">
        <v>13608.9</v>
      </c>
      <c r="C1262" t="n">
        <v>224</v>
      </c>
      <c r="D1262" t="n">
        <v>21860.04</v>
      </c>
    </row>
    <row r="1263">
      <c r="A1263" t="n">
        <v>610</v>
      </c>
      <c r="B1263" t="n">
        <v>16842.85</v>
      </c>
      <c r="C1263" t="n">
        <v>259</v>
      </c>
      <c r="D1263" t="n">
        <v>13348.98</v>
      </c>
    </row>
    <row r="1264">
      <c r="A1264" t="n">
        <v>670</v>
      </c>
      <c r="B1264" t="n">
        <v>18924.12</v>
      </c>
      <c r="C1264" t="n">
        <v>113</v>
      </c>
      <c r="D1264" t="n">
        <v>18924.12</v>
      </c>
    </row>
    <row r="1265">
      <c r="A1265" t="n">
        <v>676</v>
      </c>
      <c r="B1265" t="n">
        <v>11767.18</v>
      </c>
      <c r="C1265" t="n">
        <v>339</v>
      </c>
      <c r="D1265" t="n">
        <v>15525.81</v>
      </c>
    </row>
    <row r="1266">
      <c r="A1266" t="n">
        <v>756</v>
      </c>
      <c r="B1266" t="n">
        <v>7010.29</v>
      </c>
      <c r="C1266" t="n">
        <v>328</v>
      </c>
      <c r="D1266" t="n">
        <v>11666.87</v>
      </c>
    </row>
    <row r="1267">
      <c r="A1267" t="n">
        <v>741</v>
      </c>
      <c r="B1267" t="n">
        <v>14558.08</v>
      </c>
      <c r="C1267" t="n">
        <v>189</v>
      </c>
      <c r="D1267" t="n">
        <v>9551.24</v>
      </c>
    </row>
    <row r="1268">
      <c r="A1268" t="n">
        <v>747</v>
      </c>
      <c r="B1268" t="n">
        <v>6735.38</v>
      </c>
      <c r="C1268" t="n">
        <v>387</v>
      </c>
      <c r="D1268" t="n">
        <v>7427.83</v>
      </c>
    </row>
    <row r="1269">
      <c r="A1269" t="n">
        <v>720</v>
      </c>
      <c r="B1269" t="n">
        <v>20939.7</v>
      </c>
      <c r="C1269" t="n">
        <v>194</v>
      </c>
      <c r="D1269" t="n">
        <v>10378.15</v>
      </c>
    </row>
    <row r="1270">
      <c r="A1270" t="n">
        <v>669</v>
      </c>
      <c r="B1270" t="n">
        <v>17025.81</v>
      </c>
      <c r="C1270" t="n">
        <v>174</v>
      </c>
      <c r="D1270" t="n">
        <v>7774.46</v>
      </c>
    </row>
    <row r="1271">
      <c r="A1271" t="n">
        <v>827</v>
      </c>
      <c r="B1271" t="n">
        <v>6682.75</v>
      </c>
      <c r="C1271" t="n">
        <v>193</v>
      </c>
      <c r="D1271" t="n">
        <v>21095.45</v>
      </c>
    </row>
    <row r="1272">
      <c r="A1272" t="n">
        <v>609</v>
      </c>
      <c r="B1272" t="n">
        <v>7131.11</v>
      </c>
      <c r="C1272" t="n">
        <v>281</v>
      </c>
      <c r="D1272" t="n">
        <v>23824.69</v>
      </c>
    </row>
    <row r="1273">
      <c r="A1273" t="n">
        <v>690</v>
      </c>
      <c r="B1273" t="n">
        <v>13834.61</v>
      </c>
      <c r="C1273" t="n">
        <v>26</v>
      </c>
      <c r="D1273" t="n">
        <v>5592.71</v>
      </c>
    </row>
    <row r="1274">
      <c r="A1274" t="n">
        <v>617</v>
      </c>
      <c r="B1274" t="n">
        <v>11012.57</v>
      </c>
      <c r="C1274" t="n">
        <v>95</v>
      </c>
      <c r="D1274" t="n">
        <v>22034.63</v>
      </c>
    </row>
    <row r="1275">
      <c r="A1275" t="n">
        <v>710</v>
      </c>
      <c r="B1275" t="n">
        <v>9623.549999999999</v>
      </c>
      <c r="C1275" t="n">
        <v>307</v>
      </c>
      <c r="D1275" t="n">
        <v>19618.28</v>
      </c>
    </row>
    <row r="1276">
      <c r="A1276" t="n">
        <v>771</v>
      </c>
      <c r="B1276" t="n">
        <v>7318.81</v>
      </c>
      <c r="C1276" t="n">
        <v>168</v>
      </c>
      <c r="D1276" t="n">
        <v>13834.61</v>
      </c>
    </row>
    <row r="1277">
      <c r="A1277" t="n">
        <v>748</v>
      </c>
      <c r="B1277" t="n">
        <v>7123.8</v>
      </c>
      <c r="C1277" t="n">
        <v>54</v>
      </c>
      <c r="D1277" t="n">
        <v>12659.26</v>
      </c>
    </row>
    <row r="1278">
      <c r="A1278" t="n">
        <v>729</v>
      </c>
      <c r="B1278" t="n">
        <v>13807.34</v>
      </c>
      <c r="C1278" t="n">
        <v>19</v>
      </c>
      <c r="D1278" t="n">
        <v>25413.01</v>
      </c>
    </row>
    <row r="1279">
      <c r="A1279" t="n">
        <v>631</v>
      </c>
      <c r="B1279" t="n">
        <v>7992.36</v>
      </c>
      <c r="C1279" t="n">
        <v>382</v>
      </c>
      <c r="D1279" t="n">
        <v>25548.5</v>
      </c>
    </row>
    <row r="1280">
      <c r="A1280" t="n">
        <v>709</v>
      </c>
      <c r="B1280" t="n">
        <v>12602.74</v>
      </c>
      <c r="C1280" t="n">
        <v>325</v>
      </c>
      <c r="D1280" t="n">
        <v>13873.44</v>
      </c>
    </row>
    <row r="1281">
      <c r="A1281" t="n">
        <v>724</v>
      </c>
      <c r="B1281" t="n">
        <v>2506.18</v>
      </c>
      <c r="C1281" t="n">
        <v>420</v>
      </c>
      <c r="D1281" t="n">
        <v>17460.19</v>
      </c>
    </row>
    <row r="1282">
      <c r="A1282" t="n">
        <v>816</v>
      </c>
      <c r="B1282" t="n">
        <v>2515.01</v>
      </c>
      <c r="C1282" t="n">
        <v>386</v>
      </c>
      <c r="D1282" t="n">
        <v>7992.36</v>
      </c>
    </row>
    <row r="1283">
      <c r="A1283" t="n">
        <v>576</v>
      </c>
      <c r="B1283" t="n">
        <v>23474.54</v>
      </c>
      <c r="C1283" t="n">
        <v>60</v>
      </c>
      <c r="D1283" t="n">
        <v>7463.72</v>
      </c>
    </row>
    <row r="1284">
      <c r="A1284" t="n">
        <v>728</v>
      </c>
      <c r="B1284" t="n">
        <v>15951.6</v>
      </c>
      <c r="C1284" t="n">
        <v>362</v>
      </c>
      <c r="D1284" t="n">
        <v>2506.18</v>
      </c>
    </row>
    <row r="1285">
      <c r="A1285" t="n">
        <v>636</v>
      </c>
      <c r="B1285" t="n">
        <v>17950.55</v>
      </c>
      <c r="C1285" t="n">
        <v>148</v>
      </c>
      <c r="D1285" t="n">
        <v>8603.190000000001</v>
      </c>
    </row>
    <row r="1286">
      <c r="A1286" t="n">
        <v>662</v>
      </c>
      <c r="B1286" t="n">
        <v>0</v>
      </c>
      <c r="C1286" t="n">
        <v>280</v>
      </c>
      <c r="D1286" t="n">
        <v>7842.04</v>
      </c>
    </row>
    <row r="1287">
      <c r="A1287" t="n">
        <v>660</v>
      </c>
      <c r="B1287" t="n">
        <v>25979.34</v>
      </c>
      <c r="C1287" t="n">
        <v>132</v>
      </c>
      <c r="D1287" t="n">
        <v>13509.49</v>
      </c>
    </row>
    <row r="1288">
      <c r="A1288" t="n">
        <v>694</v>
      </c>
      <c r="B1288" t="n">
        <v>12401.63</v>
      </c>
      <c r="C1288" t="n">
        <v>405</v>
      </c>
      <c r="D1288" t="n">
        <v>8042.32</v>
      </c>
    </row>
    <row r="1289">
      <c r="A1289" t="n">
        <v>643</v>
      </c>
      <c r="B1289" t="n">
        <v>9474.719999999999</v>
      </c>
      <c r="C1289" t="n">
        <v>274</v>
      </c>
      <c r="D1289" t="n">
        <v>14821.75</v>
      </c>
    </row>
    <row r="1290">
      <c r="A1290" t="n">
        <v>726</v>
      </c>
      <c r="B1290" t="n">
        <v>18575.29</v>
      </c>
      <c r="C1290" t="n">
        <v>297</v>
      </c>
      <c r="D1290" t="n">
        <v>11452.01</v>
      </c>
    </row>
    <row r="1291">
      <c r="A1291" t="n">
        <v>689</v>
      </c>
      <c r="B1291" t="n">
        <v>14810.93</v>
      </c>
      <c r="C1291" t="n">
        <v>355</v>
      </c>
      <c r="D1291" t="n">
        <v>6239.21</v>
      </c>
    </row>
    <row r="1292">
      <c r="A1292" t="n">
        <v>712</v>
      </c>
      <c r="B1292" t="n">
        <v>7814.78</v>
      </c>
      <c r="C1292" t="n">
        <v>148</v>
      </c>
      <c r="D1292" t="n">
        <v>10084.11</v>
      </c>
    </row>
    <row r="1293">
      <c r="A1293" t="n">
        <v>714</v>
      </c>
      <c r="B1293" t="n">
        <v>12565.92</v>
      </c>
      <c r="C1293" t="n">
        <v>336</v>
      </c>
      <c r="D1293" t="n">
        <v>5763.22</v>
      </c>
    </row>
    <row r="1294">
      <c r="A1294" t="n">
        <v>770</v>
      </c>
      <c r="B1294" t="n">
        <v>10722.57</v>
      </c>
      <c r="C1294" t="n">
        <v>11</v>
      </c>
      <c r="D1294" t="n">
        <v>14810.93</v>
      </c>
    </row>
    <row r="1295">
      <c r="A1295" t="n">
        <v>737</v>
      </c>
      <c r="B1295" t="n">
        <v>4971.16</v>
      </c>
      <c r="C1295" t="n">
        <v>30</v>
      </c>
      <c r="D1295" t="n">
        <v>28731.37</v>
      </c>
    </row>
    <row r="1296">
      <c r="A1296" t="n">
        <v>757</v>
      </c>
      <c r="B1296" t="n">
        <v>8388.629999999999</v>
      </c>
      <c r="C1296" t="n">
        <v>411</v>
      </c>
      <c r="D1296" t="n">
        <v>3419.74</v>
      </c>
    </row>
    <row r="1297">
      <c r="A1297" t="n">
        <v>684</v>
      </c>
      <c r="B1297" t="n">
        <v>4218.24</v>
      </c>
      <c r="C1297" t="n">
        <v>325</v>
      </c>
      <c r="D1297" t="n">
        <v>4218.24</v>
      </c>
    </row>
    <row r="1298">
      <c r="A1298" t="n">
        <v>699</v>
      </c>
      <c r="B1298" t="n">
        <v>12755.93</v>
      </c>
      <c r="C1298" t="n">
        <v>138</v>
      </c>
      <c r="D1298" t="n">
        <v>14433.04</v>
      </c>
    </row>
    <row r="1299">
      <c r="A1299" t="n">
        <v>765</v>
      </c>
      <c r="B1299" t="n">
        <v>13486.66</v>
      </c>
      <c r="C1299" t="n">
        <v>285</v>
      </c>
      <c r="D1299" t="n">
        <v>25913.22</v>
      </c>
    </row>
    <row r="1300">
      <c r="A1300" t="n">
        <v>838</v>
      </c>
      <c r="B1300" t="n">
        <v>3909.97</v>
      </c>
      <c r="C1300" t="n">
        <v>49</v>
      </c>
      <c r="D1300" t="n">
        <v>10417.94</v>
      </c>
    </row>
    <row r="1301">
      <c r="A1301" t="n">
        <v>630</v>
      </c>
      <c r="B1301" t="n">
        <v>13263.31</v>
      </c>
      <c r="C1301" t="n">
        <v>125</v>
      </c>
      <c r="D1301" t="n">
        <v>21434.48</v>
      </c>
    </row>
    <row r="1302">
      <c r="A1302" t="n">
        <v>810</v>
      </c>
      <c r="B1302" t="n">
        <v>5743.78</v>
      </c>
      <c r="C1302" t="n">
        <v>145</v>
      </c>
      <c r="D1302" t="n">
        <v>26754.89</v>
      </c>
    </row>
    <row r="1303">
      <c r="A1303" t="n">
        <v>614</v>
      </c>
      <c r="B1303" t="n">
        <v>5368.85</v>
      </c>
      <c r="C1303" t="n">
        <v>289</v>
      </c>
      <c r="D1303" t="n">
        <v>9568.219999999999</v>
      </c>
    </row>
    <row r="1304">
      <c r="A1304" t="n">
        <v>706</v>
      </c>
      <c r="B1304" t="n">
        <v>5894.2</v>
      </c>
      <c r="C1304" t="n">
        <v>68</v>
      </c>
      <c r="D1304" t="n">
        <v>7161.36</v>
      </c>
    </row>
    <row r="1305">
      <c r="A1305" t="n">
        <v>674</v>
      </c>
      <c r="B1305" t="n">
        <v>8706.25</v>
      </c>
      <c r="C1305" t="n">
        <v>100</v>
      </c>
      <c r="D1305" t="n">
        <v>22535.43</v>
      </c>
    </row>
    <row r="1306">
      <c r="A1306" t="n">
        <v>677</v>
      </c>
      <c r="B1306" t="n">
        <v>13056.21</v>
      </c>
      <c r="C1306" t="n">
        <v>338</v>
      </c>
      <c r="D1306" t="n">
        <v>21820.31</v>
      </c>
    </row>
    <row r="1307">
      <c r="A1307" t="n">
        <v>672</v>
      </c>
      <c r="B1307" t="n">
        <v>19276.65</v>
      </c>
      <c r="C1307" t="n">
        <v>123</v>
      </c>
      <c r="D1307" t="n">
        <v>11516.91</v>
      </c>
    </row>
    <row r="1308">
      <c r="A1308" t="n">
        <v>704</v>
      </c>
      <c r="B1308" t="n">
        <v>4436.02</v>
      </c>
      <c r="C1308" t="n">
        <v>33</v>
      </c>
      <c r="D1308" t="n">
        <v>10678.37</v>
      </c>
    </row>
    <row r="1309">
      <c r="A1309" t="n">
        <v>767</v>
      </c>
      <c r="B1309" t="n">
        <v>5610.19</v>
      </c>
      <c r="C1309" t="n">
        <v>253</v>
      </c>
      <c r="D1309" t="n">
        <v>5369.93</v>
      </c>
    </row>
    <row r="1310">
      <c r="A1310" t="n">
        <v>707</v>
      </c>
      <c r="B1310" t="n">
        <v>8906.9</v>
      </c>
      <c r="C1310" t="n">
        <v>397</v>
      </c>
      <c r="D1310" t="n">
        <v>7865.8</v>
      </c>
    </row>
    <row r="1311">
      <c r="A1311" t="n">
        <v>685</v>
      </c>
      <c r="B1311" t="n">
        <v>11217.63</v>
      </c>
      <c r="C1311" t="n">
        <v>415</v>
      </c>
      <c r="D1311" t="n">
        <v>6267.46</v>
      </c>
    </row>
    <row r="1312">
      <c r="A1312" t="n">
        <v>679</v>
      </c>
      <c r="B1312" t="n">
        <v>6267.46</v>
      </c>
      <c r="C1312" t="n">
        <v>12</v>
      </c>
      <c r="D1312" t="n">
        <v>15991.43</v>
      </c>
    </row>
    <row r="1313">
      <c r="A1313" t="n">
        <v>587</v>
      </c>
      <c r="B1313" t="n">
        <v>21617.39</v>
      </c>
      <c r="C1313" t="n">
        <v>23</v>
      </c>
      <c r="D1313" t="n">
        <v>11850.28</v>
      </c>
    </row>
    <row r="1314">
      <c r="A1314" t="n">
        <v>665</v>
      </c>
      <c r="B1314" t="n">
        <v>25694.49</v>
      </c>
      <c r="C1314" t="n">
        <v>191</v>
      </c>
      <c r="D1314" t="n">
        <v>7327.42</v>
      </c>
    </row>
    <row r="1315">
      <c r="A1315" t="n">
        <v>758</v>
      </c>
      <c r="B1315" t="n">
        <v>9081.75</v>
      </c>
      <c r="C1315" t="n">
        <v>132</v>
      </c>
      <c r="D1315" t="n">
        <v>15817.05</v>
      </c>
    </row>
    <row r="1316">
      <c r="A1316" t="n">
        <v>750</v>
      </c>
      <c r="B1316" t="n">
        <v>17256.84</v>
      </c>
      <c r="C1316" t="n">
        <v>413</v>
      </c>
      <c r="D1316" t="n">
        <v>13408</v>
      </c>
    </row>
    <row r="1317">
      <c r="A1317" t="n">
        <v>662</v>
      </c>
      <c r="B1317" t="n">
        <v>28639.31</v>
      </c>
      <c r="C1317" t="n">
        <v>381</v>
      </c>
      <c r="D1317" t="n">
        <v>28639.31</v>
      </c>
    </row>
    <row r="1318">
      <c r="A1318" t="n">
        <v>717</v>
      </c>
      <c r="B1318" t="n">
        <v>15100.04</v>
      </c>
      <c r="C1318" t="n">
        <v>310</v>
      </c>
      <c r="D1318" t="n">
        <v>8828.65</v>
      </c>
    </row>
    <row r="1319">
      <c r="A1319" t="n">
        <v>717</v>
      </c>
      <c r="B1319" t="n">
        <v>8692.610000000001</v>
      </c>
      <c r="C1319" t="n">
        <v>58</v>
      </c>
      <c r="D1319" t="n">
        <v>15379.02</v>
      </c>
    </row>
    <row r="1320">
      <c r="A1320" t="n">
        <v>745</v>
      </c>
      <c r="B1320" t="n">
        <v>3013.86</v>
      </c>
      <c r="C1320" t="n">
        <v>349</v>
      </c>
      <c r="D1320" t="n">
        <v>11333.44</v>
      </c>
    </row>
    <row r="1321">
      <c r="A1321" t="n">
        <v>643</v>
      </c>
      <c r="B1321" t="n">
        <v>17691.88</v>
      </c>
      <c r="C1321" t="n">
        <v>403</v>
      </c>
      <c r="D1321" t="n">
        <v>20602.34</v>
      </c>
    </row>
    <row r="1322">
      <c r="A1322" t="n">
        <v>629</v>
      </c>
      <c r="B1322" t="n">
        <v>20602.34</v>
      </c>
      <c r="C1322" t="n">
        <v>91</v>
      </c>
      <c r="D1322" t="n">
        <v>19341.82</v>
      </c>
    </row>
    <row r="1323">
      <c r="A1323" t="n">
        <v>710</v>
      </c>
      <c r="B1323" t="n">
        <v>19341.82</v>
      </c>
      <c r="C1323" t="n">
        <v>95</v>
      </c>
      <c r="D1323" t="n">
        <v>6392.84</v>
      </c>
    </row>
    <row r="1324">
      <c r="A1324" t="n">
        <v>724</v>
      </c>
      <c r="B1324" t="n">
        <v>9331.450000000001</v>
      </c>
      <c r="C1324" t="n">
        <v>345</v>
      </c>
      <c r="D1324" t="n">
        <v>10115.08</v>
      </c>
    </row>
    <row r="1325">
      <c r="A1325" t="n">
        <v>742</v>
      </c>
      <c r="B1325" t="n">
        <v>3754.32</v>
      </c>
      <c r="C1325" t="n">
        <v>348</v>
      </c>
      <c r="D1325" t="n">
        <v>11655.06</v>
      </c>
    </row>
    <row r="1326">
      <c r="A1326" t="n">
        <v>753</v>
      </c>
      <c r="B1326" t="n">
        <v>4671.73</v>
      </c>
      <c r="C1326" t="n">
        <v>351</v>
      </c>
      <c r="D1326" t="n">
        <v>10892.77</v>
      </c>
    </row>
    <row r="1327">
      <c r="A1327" t="n">
        <v>655</v>
      </c>
      <c r="B1327" t="n">
        <v>23778.83</v>
      </c>
      <c r="C1327" t="n">
        <v>228</v>
      </c>
      <c r="D1327" t="n">
        <v>12313.11</v>
      </c>
    </row>
    <row r="1328">
      <c r="A1328" t="n">
        <v>647</v>
      </c>
      <c r="B1328" t="n">
        <v>11655.06</v>
      </c>
      <c r="C1328" t="n">
        <v>289</v>
      </c>
      <c r="D1328" t="n">
        <v>852.42</v>
      </c>
    </row>
    <row r="1329">
      <c r="A1329" t="n">
        <v>709</v>
      </c>
      <c r="B1329" t="n">
        <v>852.42</v>
      </c>
      <c r="C1329" t="n">
        <v>384</v>
      </c>
      <c r="D1329" t="n">
        <v>16167.46</v>
      </c>
    </row>
    <row r="1330">
      <c r="A1330" t="n">
        <v>702</v>
      </c>
      <c r="B1330" t="n">
        <v>9957.799999999999</v>
      </c>
      <c r="C1330" t="n">
        <v>202</v>
      </c>
      <c r="D1330" t="n">
        <v>35973.56</v>
      </c>
    </row>
    <row r="1331">
      <c r="A1331" t="n">
        <v>638</v>
      </c>
      <c r="B1331" t="n">
        <v>22448.07</v>
      </c>
      <c r="C1331" t="n">
        <v>259</v>
      </c>
      <c r="D1331" t="n">
        <v>6191.57</v>
      </c>
    </row>
    <row r="1332">
      <c r="A1332" t="n">
        <v>699</v>
      </c>
      <c r="B1332" t="n">
        <v>9226.66</v>
      </c>
      <c r="C1332" t="n">
        <v>36</v>
      </c>
      <c r="D1332" t="n">
        <v>13182.42</v>
      </c>
    </row>
    <row r="1333">
      <c r="A1333" t="n">
        <v>701</v>
      </c>
      <c r="B1333" t="n">
        <v>9745.9</v>
      </c>
      <c r="C1333" t="n">
        <v>345</v>
      </c>
      <c r="D1333" t="n">
        <v>19191.27</v>
      </c>
    </row>
    <row r="1334">
      <c r="A1334" t="n">
        <v>695</v>
      </c>
      <c r="B1334" t="n">
        <v>13182.42</v>
      </c>
      <c r="C1334" t="n">
        <v>210</v>
      </c>
      <c r="D1334" t="n">
        <v>15847.21</v>
      </c>
    </row>
    <row r="1335">
      <c r="A1335" t="n">
        <v>708</v>
      </c>
      <c r="B1335" t="n">
        <v>10475.64</v>
      </c>
      <c r="C1335" t="n">
        <v>241</v>
      </c>
      <c r="D1335" t="n">
        <v>11764.9</v>
      </c>
    </row>
    <row r="1336">
      <c r="A1336" t="n">
        <v>728</v>
      </c>
      <c r="B1336" t="n">
        <v>12513.68</v>
      </c>
      <c r="C1336" t="n">
        <v>396</v>
      </c>
      <c r="D1336" t="n">
        <v>8089.95</v>
      </c>
    </row>
    <row r="1337">
      <c r="A1337" t="n">
        <v>636</v>
      </c>
      <c r="B1337" t="n">
        <v>13715.89</v>
      </c>
      <c r="C1337" t="n">
        <v>135</v>
      </c>
      <c r="D1337" t="n">
        <v>13715.89</v>
      </c>
    </row>
    <row r="1338">
      <c r="A1338" t="n">
        <v>750</v>
      </c>
      <c r="B1338" t="n">
        <v>10154.44</v>
      </c>
      <c r="C1338" t="n">
        <v>32</v>
      </c>
      <c r="D1338" t="n">
        <v>11316.78</v>
      </c>
    </row>
    <row r="1339">
      <c r="A1339" t="n">
        <v>675</v>
      </c>
      <c r="B1339" t="n">
        <v>6284.6</v>
      </c>
      <c r="C1339" t="n">
        <v>283</v>
      </c>
      <c r="D1339" t="n">
        <v>21076.94</v>
      </c>
    </row>
    <row r="1340">
      <c r="A1340" t="n">
        <v>754</v>
      </c>
      <c r="B1340" t="n">
        <v>10743.48</v>
      </c>
      <c r="C1340" t="n">
        <v>363</v>
      </c>
      <c r="D1340" t="n">
        <v>21250.59</v>
      </c>
    </row>
    <row r="1341">
      <c r="A1341" t="n">
        <v>670</v>
      </c>
      <c r="B1341" t="n">
        <v>15393.86</v>
      </c>
      <c r="C1341" t="n">
        <v>8</v>
      </c>
      <c r="D1341" t="n">
        <v>22728.22</v>
      </c>
    </row>
    <row r="1342">
      <c r="A1342" t="n">
        <v>691</v>
      </c>
      <c r="B1342" t="n">
        <v>14586.32</v>
      </c>
      <c r="C1342" t="n">
        <v>61</v>
      </c>
      <c r="D1342" t="n">
        <v>12252.05</v>
      </c>
    </row>
    <row r="1343">
      <c r="A1343" t="n">
        <v>654</v>
      </c>
      <c r="B1343" t="n">
        <v>22728.22</v>
      </c>
      <c r="C1343" t="n">
        <v>404</v>
      </c>
      <c r="D1343" t="n">
        <v>12880.17</v>
      </c>
    </row>
    <row r="1344">
      <c r="A1344" t="n">
        <v>740</v>
      </c>
      <c r="B1344" t="n">
        <v>12880.17</v>
      </c>
      <c r="C1344" t="n">
        <v>147</v>
      </c>
      <c r="D1344" t="n">
        <v>4999.65</v>
      </c>
    </row>
    <row r="1345">
      <c r="A1345" t="n">
        <v>708</v>
      </c>
      <c r="B1345" t="n">
        <v>4021.66</v>
      </c>
      <c r="C1345" t="n">
        <v>9</v>
      </c>
      <c r="D1345" t="n">
        <v>2830.46</v>
      </c>
    </row>
    <row r="1346">
      <c r="A1346" t="n">
        <v>703</v>
      </c>
      <c r="B1346" t="n">
        <v>6474.45</v>
      </c>
      <c r="C1346" t="n">
        <v>346</v>
      </c>
      <c r="D1346" t="n">
        <v>4021.66</v>
      </c>
    </row>
    <row r="1347">
      <c r="A1347" t="n">
        <v>660</v>
      </c>
      <c r="B1347" t="n">
        <v>4962</v>
      </c>
      <c r="C1347" t="n">
        <v>342</v>
      </c>
      <c r="D1347" t="n">
        <v>15024.51</v>
      </c>
    </row>
    <row r="1348">
      <c r="A1348" t="n">
        <v>683</v>
      </c>
      <c r="B1348" t="n">
        <v>14464.53</v>
      </c>
      <c r="C1348" t="n">
        <v>27</v>
      </c>
      <c r="D1348" t="n">
        <v>12381.9</v>
      </c>
    </row>
    <row r="1349">
      <c r="A1349" t="n">
        <v>710</v>
      </c>
      <c r="B1349" t="n">
        <v>4789.62</v>
      </c>
      <c r="C1349" t="n">
        <v>305</v>
      </c>
      <c r="D1349" t="n">
        <v>9693.610000000001</v>
      </c>
    </row>
    <row r="1350">
      <c r="A1350" t="n">
        <v>744</v>
      </c>
      <c r="B1350" t="n">
        <v>9880.540000000001</v>
      </c>
      <c r="C1350" t="n">
        <v>161</v>
      </c>
      <c r="D1350" t="n">
        <v>14390.22</v>
      </c>
    </row>
    <row r="1351">
      <c r="A1351" t="n">
        <v>643</v>
      </c>
      <c r="B1351" t="n">
        <v>10802.48</v>
      </c>
      <c r="C1351" t="n">
        <v>364</v>
      </c>
      <c r="D1351" t="n">
        <v>6791.19</v>
      </c>
    </row>
    <row r="1352">
      <c r="A1352" t="n">
        <v>708</v>
      </c>
      <c r="B1352" t="n">
        <v>8867</v>
      </c>
      <c r="C1352" t="n">
        <v>46</v>
      </c>
      <c r="D1352" t="n">
        <v>7518.91</v>
      </c>
    </row>
    <row r="1353">
      <c r="A1353" t="n">
        <v>720</v>
      </c>
      <c r="B1353" t="n">
        <v>6791.19</v>
      </c>
      <c r="C1353" t="n">
        <v>61</v>
      </c>
      <c r="D1353" t="n">
        <v>10687.97</v>
      </c>
    </row>
    <row r="1354">
      <c r="A1354" t="n">
        <v>642</v>
      </c>
      <c r="B1354" t="n">
        <v>19384.59</v>
      </c>
      <c r="C1354" t="n">
        <v>151</v>
      </c>
      <c r="D1354" t="n">
        <v>19384.59</v>
      </c>
    </row>
    <row r="1355">
      <c r="A1355" t="n">
        <v>719</v>
      </c>
      <c r="B1355" t="n">
        <v>7437.93</v>
      </c>
      <c r="C1355" t="n">
        <v>132</v>
      </c>
      <c r="D1355" t="n">
        <v>7437.93</v>
      </c>
    </row>
    <row r="1356">
      <c r="A1356" t="n">
        <v>718</v>
      </c>
      <c r="B1356" t="n">
        <v>8385.32</v>
      </c>
      <c r="C1356" t="n">
        <v>164</v>
      </c>
      <c r="D1356" t="n">
        <v>13389.7</v>
      </c>
    </row>
    <row r="1357">
      <c r="A1357" t="n">
        <v>671</v>
      </c>
      <c r="B1357" t="n">
        <v>16316.3</v>
      </c>
      <c r="C1357" t="n">
        <v>202</v>
      </c>
      <c r="D1357" t="n">
        <v>6734.42</v>
      </c>
    </row>
    <row r="1358">
      <c r="A1358" t="n">
        <v>636</v>
      </c>
      <c r="B1358" t="n">
        <v>27195.57</v>
      </c>
      <c r="C1358" t="n">
        <v>112</v>
      </c>
      <c r="D1358" t="n">
        <v>625.77</v>
      </c>
    </row>
    <row r="1359">
      <c r="A1359" t="n">
        <v>672</v>
      </c>
      <c r="B1359" t="n">
        <v>13172.03</v>
      </c>
      <c r="C1359" t="n">
        <v>90</v>
      </c>
      <c r="D1359" t="n">
        <v>9957.610000000001</v>
      </c>
    </row>
    <row r="1360">
      <c r="A1360" t="n">
        <v>743</v>
      </c>
      <c r="B1360" t="n">
        <v>9957.610000000001</v>
      </c>
      <c r="C1360" t="n">
        <v>277</v>
      </c>
      <c r="D1360" t="n">
        <v>9794.15</v>
      </c>
    </row>
    <row r="1361">
      <c r="A1361" t="n">
        <v>672</v>
      </c>
      <c r="B1361" t="n">
        <v>22461.07</v>
      </c>
      <c r="C1361" t="n">
        <v>226</v>
      </c>
      <c r="D1361" t="n">
        <v>6503.16</v>
      </c>
    </row>
    <row r="1362">
      <c r="A1362" t="n">
        <v>672</v>
      </c>
      <c r="B1362" t="n">
        <v>13200.99</v>
      </c>
      <c r="C1362" t="n">
        <v>45</v>
      </c>
      <c r="D1362" t="n">
        <v>8638.83</v>
      </c>
    </row>
    <row r="1363">
      <c r="A1363" t="n">
        <v>623</v>
      </c>
      <c r="B1363" t="n">
        <v>13941.6</v>
      </c>
      <c r="C1363" t="n">
        <v>188</v>
      </c>
      <c r="D1363" t="n">
        <v>6670.93</v>
      </c>
    </row>
    <row r="1364">
      <c r="A1364" t="n">
        <v>690</v>
      </c>
      <c r="B1364" t="n">
        <v>16055.47</v>
      </c>
      <c r="C1364" t="n">
        <v>362</v>
      </c>
      <c r="D1364" t="n">
        <v>18973.04</v>
      </c>
    </row>
    <row r="1365">
      <c r="A1365" t="n">
        <v>791</v>
      </c>
      <c r="B1365" t="n">
        <v>6503.16</v>
      </c>
      <c r="C1365" t="n">
        <v>36</v>
      </c>
      <c r="D1365" t="n">
        <v>21065</v>
      </c>
    </row>
    <row r="1366">
      <c r="A1366" t="n">
        <v>768</v>
      </c>
      <c r="B1366" t="n">
        <v>6670.93</v>
      </c>
      <c r="C1366" t="n">
        <v>211</v>
      </c>
      <c r="D1366" t="n">
        <v>5630.09</v>
      </c>
    </row>
    <row r="1367">
      <c r="A1367" t="n">
        <v>719</v>
      </c>
      <c r="B1367" t="n">
        <v>6759.09</v>
      </c>
      <c r="C1367" t="n">
        <v>183</v>
      </c>
      <c r="D1367" t="n">
        <v>9566.219999999999</v>
      </c>
    </row>
    <row r="1368">
      <c r="A1368" t="n">
        <v>756</v>
      </c>
      <c r="B1368" t="n">
        <v>13321.46</v>
      </c>
      <c r="C1368" t="n">
        <v>88</v>
      </c>
      <c r="D1368" t="n">
        <v>12025.05</v>
      </c>
    </row>
    <row r="1369">
      <c r="A1369" t="n">
        <v>682</v>
      </c>
      <c r="B1369" t="n">
        <v>10271.01</v>
      </c>
      <c r="C1369" t="n">
        <v>40</v>
      </c>
      <c r="D1369" t="n">
        <v>8683.309999999999</v>
      </c>
    </row>
    <row r="1370">
      <c r="A1370" t="n">
        <v>637</v>
      </c>
      <c r="B1370" t="n">
        <v>12329.33</v>
      </c>
      <c r="C1370" t="n">
        <v>215</v>
      </c>
      <c r="D1370" t="n">
        <v>9666.780000000001</v>
      </c>
    </row>
    <row r="1371">
      <c r="A1371" t="n">
        <v>691</v>
      </c>
      <c r="B1371" t="n">
        <v>0</v>
      </c>
      <c r="C1371" t="n">
        <v>309</v>
      </c>
      <c r="D1371" t="n">
        <v>8626.030000000001</v>
      </c>
    </row>
    <row r="1372">
      <c r="A1372" t="n">
        <v>686</v>
      </c>
      <c r="B1372" t="n">
        <v>10576.67</v>
      </c>
      <c r="C1372" t="n">
        <v>108</v>
      </c>
      <c r="D1372" t="n">
        <v>16926.12</v>
      </c>
    </row>
    <row r="1373">
      <c r="A1373" t="n">
        <v>670</v>
      </c>
      <c r="B1373" t="n">
        <v>10703.67</v>
      </c>
      <c r="C1373" t="n">
        <v>185</v>
      </c>
      <c r="D1373" t="n">
        <v>10992.35</v>
      </c>
    </row>
    <row r="1374">
      <c r="A1374" t="n">
        <v>711</v>
      </c>
      <c r="B1374" t="n">
        <v>11497.17</v>
      </c>
      <c r="C1374" t="n">
        <v>367</v>
      </c>
      <c r="D1374" t="n">
        <v>10703.67</v>
      </c>
    </row>
    <row r="1375">
      <c r="A1375" t="n">
        <v>763</v>
      </c>
      <c r="B1375" t="n">
        <v>9884.790000000001</v>
      </c>
      <c r="C1375" t="n">
        <v>217</v>
      </c>
      <c r="D1375" t="n">
        <v>19204.61</v>
      </c>
    </row>
    <row r="1376">
      <c r="A1376" t="n">
        <v>631</v>
      </c>
      <c r="B1376" t="n">
        <v>8871.33</v>
      </c>
      <c r="C1376" t="n">
        <v>182</v>
      </c>
      <c r="D1376" t="n">
        <v>5652.05</v>
      </c>
    </row>
    <row r="1377">
      <c r="A1377" t="n">
        <v>728</v>
      </c>
      <c r="B1377" t="n">
        <v>7192.09</v>
      </c>
      <c r="C1377" t="n">
        <v>406</v>
      </c>
      <c r="D1377" t="n">
        <v>15333.62</v>
      </c>
    </row>
    <row r="1378">
      <c r="A1378" t="n">
        <v>722</v>
      </c>
      <c r="B1378" t="n">
        <v>14942.04</v>
      </c>
      <c r="C1378" t="n">
        <v>153</v>
      </c>
      <c r="D1378" t="n">
        <v>13694.14</v>
      </c>
    </row>
    <row r="1379">
      <c r="A1379" t="n">
        <v>729</v>
      </c>
      <c r="B1379" t="n">
        <v>5652.05</v>
      </c>
      <c r="C1379" t="n">
        <v>399</v>
      </c>
      <c r="D1379" t="n">
        <v>2770.7</v>
      </c>
    </row>
    <row r="1380">
      <c r="A1380" t="n">
        <v>692</v>
      </c>
      <c r="B1380" t="n">
        <v>10626.71</v>
      </c>
      <c r="C1380" t="n">
        <v>221</v>
      </c>
      <c r="D1380" t="n">
        <v>13527.39</v>
      </c>
    </row>
    <row r="1381">
      <c r="A1381" t="n">
        <v>665</v>
      </c>
      <c r="B1381" t="n">
        <v>14313.58</v>
      </c>
      <c r="C1381" t="n">
        <v>175</v>
      </c>
      <c r="D1381" t="n">
        <v>12108.95</v>
      </c>
    </row>
    <row r="1382">
      <c r="A1382" t="n">
        <v>668</v>
      </c>
      <c r="B1382" t="n">
        <v>16625.12</v>
      </c>
      <c r="C1382" t="n">
        <v>43</v>
      </c>
      <c r="D1382" t="n">
        <v>6653.54</v>
      </c>
    </row>
    <row r="1383">
      <c r="A1383" t="n">
        <v>764</v>
      </c>
      <c r="B1383" t="n">
        <v>11201.9</v>
      </c>
      <c r="C1383" t="n">
        <v>99</v>
      </c>
      <c r="D1383" t="n">
        <v>9101.77</v>
      </c>
    </row>
    <row r="1384">
      <c r="A1384" t="n">
        <v>682</v>
      </c>
      <c r="B1384" t="n">
        <v>11041.51</v>
      </c>
      <c r="C1384" t="n">
        <v>229</v>
      </c>
      <c r="D1384" t="n">
        <v>7956.22</v>
      </c>
    </row>
    <row r="1385">
      <c r="A1385" t="n">
        <v>766</v>
      </c>
      <c r="B1385" t="n">
        <v>4351.08</v>
      </c>
      <c r="C1385" t="n">
        <v>48</v>
      </c>
      <c r="D1385" t="n">
        <v>30706.49</v>
      </c>
    </row>
    <row r="1386">
      <c r="A1386" t="n">
        <v>684</v>
      </c>
      <c r="B1386" t="n">
        <v>13527.39</v>
      </c>
      <c r="C1386" t="n">
        <v>256</v>
      </c>
      <c r="D1386" t="n">
        <v>4859.72</v>
      </c>
    </row>
    <row r="1387">
      <c r="A1387" t="n">
        <v>721</v>
      </c>
      <c r="B1387" t="n">
        <v>4859.72</v>
      </c>
      <c r="C1387" t="n">
        <v>138</v>
      </c>
      <c r="D1387" t="n">
        <v>7512.26</v>
      </c>
    </row>
    <row r="1388">
      <c r="A1388" t="n">
        <v>683</v>
      </c>
      <c r="B1388" t="n">
        <v>9056.639999999999</v>
      </c>
      <c r="C1388" t="n">
        <v>380</v>
      </c>
      <c r="D1388" t="n">
        <v>9020.309999999999</v>
      </c>
    </row>
    <row r="1389">
      <c r="A1389" t="n">
        <v>700</v>
      </c>
      <c r="B1389" t="n">
        <v>7512.26</v>
      </c>
      <c r="C1389" t="n">
        <v>12</v>
      </c>
      <c r="D1389" t="n">
        <v>10484.71</v>
      </c>
    </row>
    <row r="1390">
      <c r="A1390" t="n">
        <v>658</v>
      </c>
      <c r="B1390" t="n">
        <v>14649.05</v>
      </c>
      <c r="C1390" t="n">
        <v>134</v>
      </c>
      <c r="D1390" t="n">
        <v>4856.04</v>
      </c>
    </row>
    <row r="1391">
      <c r="A1391" t="n">
        <v>636</v>
      </c>
      <c r="B1391" t="n">
        <v>22291.78</v>
      </c>
      <c r="C1391" t="n">
        <v>412</v>
      </c>
      <c r="D1391" t="n">
        <v>9860.200000000001</v>
      </c>
    </row>
    <row r="1392">
      <c r="A1392" t="n">
        <v>671</v>
      </c>
      <c r="B1392" t="n">
        <v>13449.73</v>
      </c>
      <c r="C1392" t="n">
        <v>327</v>
      </c>
      <c r="D1392" t="n">
        <v>14649.05</v>
      </c>
    </row>
    <row r="1393">
      <c r="A1393" t="n">
        <v>758</v>
      </c>
      <c r="B1393" t="n">
        <v>13152.32</v>
      </c>
      <c r="C1393" t="n">
        <v>131</v>
      </c>
      <c r="D1393" t="n">
        <v>14136.81</v>
      </c>
    </row>
    <row r="1394">
      <c r="A1394" t="n">
        <v>692</v>
      </c>
      <c r="B1394" t="n">
        <v>7529.94</v>
      </c>
      <c r="C1394" t="n">
        <v>348</v>
      </c>
      <c r="D1394" t="n">
        <v>10774.56</v>
      </c>
    </row>
    <row r="1395">
      <c r="A1395" t="n">
        <v>732</v>
      </c>
      <c r="B1395" t="n">
        <v>3203.68</v>
      </c>
      <c r="C1395" t="n">
        <v>189</v>
      </c>
      <c r="D1395" t="n">
        <v>11131.44</v>
      </c>
    </row>
    <row r="1396">
      <c r="A1396" t="n">
        <v>709</v>
      </c>
      <c r="B1396" t="n">
        <v>5672.31</v>
      </c>
      <c r="C1396" t="n">
        <v>145</v>
      </c>
      <c r="D1396" t="n">
        <v>3203.68</v>
      </c>
    </row>
    <row r="1397">
      <c r="A1397" t="n">
        <v>689</v>
      </c>
      <c r="B1397" t="n">
        <v>8707.950000000001</v>
      </c>
      <c r="C1397" t="n">
        <v>352</v>
      </c>
      <c r="D1397" t="n">
        <v>22414.48</v>
      </c>
    </row>
    <row r="1398">
      <c r="A1398" t="n">
        <v>633</v>
      </c>
      <c r="B1398" t="n">
        <v>25673.27</v>
      </c>
      <c r="C1398" t="n">
        <v>42</v>
      </c>
      <c r="D1398" t="n">
        <v>24981.04</v>
      </c>
    </row>
    <row r="1399">
      <c r="A1399" t="n">
        <v>673</v>
      </c>
      <c r="B1399" t="n">
        <v>24981.04</v>
      </c>
      <c r="C1399" t="n">
        <v>169</v>
      </c>
      <c r="D1399" t="n">
        <v>11574.68</v>
      </c>
    </row>
    <row r="1400">
      <c r="A1400" t="n">
        <v>658</v>
      </c>
      <c r="B1400" t="n">
        <v>13413.73</v>
      </c>
      <c r="C1400" t="n">
        <v>326</v>
      </c>
      <c r="D1400" t="n">
        <v>17699.07</v>
      </c>
    </row>
    <row r="1401">
      <c r="A1401" t="n">
        <v>693</v>
      </c>
      <c r="B1401" t="n">
        <v>17699.07</v>
      </c>
      <c r="C1401" t="n">
        <v>334</v>
      </c>
      <c r="D1401" t="n">
        <v>13295.66</v>
      </c>
    </row>
    <row r="1402">
      <c r="A1402" t="n">
        <v>756</v>
      </c>
      <c r="B1402" t="n">
        <v>11594.91</v>
      </c>
      <c r="C1402" t="n">
        <v>362</v>
      </c>
      <c r="D1402" t="n">
        <v>4223.07</v>
      </c>
    </row>
    <row r="1403">
      <c r="A1403" t="n">
        <v>746</v>
      </c>
      <c r="B1403" t="n">
        <v>7400.96</v>
      </c>
      <c r="C1403" t="n">
        <v>45</v>
      </c>
      <c r="D1403" t="n">
        <v>7164.78</v>
      </c>
    </row>
    <row r="1404">
      <c r="A1404" t="n">
        <v>762</v>
      </c>
      <c r="B1404" t="n">
        <v>11873.75</v>
      </c>
      <c r="C1404" t="n">
        <v>105</v>
      </c>
      <c r="D1404" t="n">
        <v>5917.16</v>
      </c>
    </row>
    <row r="1405">
      <c r="A1405" t="n">
        <v>669</v>
      </c>
      <c r="B1405" t="n">
        <v>9376.93</v>
      </c>
      <c r="C1405" t="n">
        <v>432</v>
      </c>
      <c r="D1405" t="n">
        <v>9376.93</v>
      </c>
    </row>
    <row r="1406">
      <c r="A1406" t="n">
        <v>778</v>
      </c>
      <c r="B1406" t="n">
        <v>6583.64</v>
      </c>
      <c r="C1406" t="n">
        <v>247</v>
      </c>
      <c r="D1406" t="n">
        <v>6136.49</v>
      </c>
    </row>
    <row r="1407">
      <c r="A1407" t="n">
        <v>645</v>
      </c>
      <c r="B1407" t="n">
        <v>6136.49</v>
      </c>
      <c r="C1407" t="n">
        <v>259</v>
      </c>
      <c r="D1407" t="n">
        <v>22989.12</v>
      </c>
    </row>
    <row r="1408">
      <c r="A1408" t="n">
        <v>800</v>
      </c>
      <c r="B1408" t="n">
        <v>5956.67</v>
      </c>
      <c r="C1408" t="n">
        <v>369</v>
      </c>
      <c r="D1408" t="n">
        <v>12710.34</v>
      </c>
    </row>
    <row r="1409">
      <c r="A1409" t="n">
        <v>852</v>
      </c>
      <c r="B1409" t="n">
        <v>4931.42</v>
      </c>
      <c r="C1409" t="n">
        <v>75</v>
      </c>
      <c r="D1409" t="n">
        <v>11992.26</v>
      </c>
    </row>
    <row r="1410">
      <c r="A1410" t="n">
        <v>709</v>
      </c>
      <c r="B1410" t="n">
        <v>26559.77</v>
      </c>
      <c r="C1410" t="n">
        <v>235</v>
      </c>
      <c r="D1410" t="n">
        <v>8958.33</v>
      </c>
    </row>
    <row r="1411">
      <c r="A1411" t="n">
        <v>676</v>
      </c>
      <c r="B1411" t="n">
        <v>8787.879999999999</v>
      </c>
      <c r="C1411" t="n">
        <v>384</v>
      </c>
      <c r="D1411" t="n">
        <v>6814.13</v>
      </c>
    </row>
    <row r="1412">
      <c r="A1412" t="n">
        <v>698</v>
      </c>
      <c r="B1412" t="n">
        <v>16813.11</v>
      </c>
      <c r="C1412" t="n">
        <v>284</v>
      </c>
      <c r="D1412" t="n">
        <v>6188.13</v>
      </c>
    </row>
    <row r="1413">
      <c r="A1413" t="n">
        <v>729</v>
      </c>
      <c r="B1413" t="n">
        <v>8285.4</v>
      </c>
      <c r="C1413" t="n">
        <v>210</v>
      </c>
      <c r="D1413" t="n">
        <v>7602.58</v>
      </c>
    </row>
    <row r="1414">
      <c r="A1414" t="n">
        <v>639</v>
      </c>
      <c r="B1414" t="n">
        <v>18542.84</v>
      </c>
      <c r="C1414" t="n">
        <v>235</v>
      </c>
      <c r="D1414" t="n">
        <v>18226.6</v>
      </c>
    </row>
    <row r="1415">
      <c r="A1415" t="n">
        <v>775</v>
      </c>
      <c r="B1415" t="n">
        <v>9061.92</v>
      </c>
      <c r="C1415" t="n">
        <v>189</v>
      </c>
      <c r="D1415" t="n">
        <v>18382</v>
      </c>
    </row>
    <row r="1416">
      <c r="A1416" t="n">
        <v>643</v>
      </c>
      <c r="B1416" t="n">
        <v>18226.6</v>
      </c>
      <c r="C1416" t="n">
        <v>139</v>
      </c>
      <c r="D1416" t="n">
        <v>10802.94</v>
      </c>
    </row>
    <row r="1417">
      <c r="A1417" t="n">
        <v>706</v>
      </c>
      <c r="B1417" t="n">
        <v>14483.6</v>
      </c>
      <c r="C1417" t="n">
        <v>119</v>
      </c>
      <c r="D1417" t="n">
        <v>5498.53</v>
      </c>
    </row>
    <row r="1418">
      <c r="A1418" t="n">
        <v>671</v>
      </c>
      <c r="B1418" t="n">
        <v>6433.85</v>
      </c>
      <c r="C1418" t="n">
        <v>103</v>
      </c>
      <c r="D1418" t="n">
        <v>6433.85</v>
      </c>
    </row>
    <row r="1419">
      <c r="A1419" t="n">
        <v>647</v>
      </c>
      <c r="B1419" t="n">
        <v>24352.27</v>
      </c>
      <c r="C1419" t="n">
        <v>107</v>
      </c>
      <c r="D1419" t="n">
        <v>9294.549999999999</v>
      </c>
    </row>
    <row r="1420">
      <c r="A1420" t="n">
        <v>674</v>
      </c>
      <c r="B1420" t="n">
        <v>12027.36</v>
      </c>
      <c r="C1420" t="n">
        <v>287</v>
      </c>
      <c r="D1420" t="n">
        <v>12293.22</v>
      </c>
    </row>
    <row r="1421">
      <c r="A1421" t="n">
        <v>654</v>
      </c>
      <c r="B1421" t="n">
        <v>984.67</v>
      </c>
      <c r="C1421" t="n">
        <v>419</v>
      </c>
      <c r="D1421" t="n">
        <v>0</v>
      </c>
    </row>
    <row r="1422">
      <c r="A1422" t="n">
        <v>779</v>
      </c>
      <c r="B1422" t="n">
        <v>7413.06</v>
      </c>
      <c r="C1422" t="n">
        <v>26</v>
      </c>
      <c r="D1422" t="n">
        <v>16610.43</v>
      </c>
    </row>
    <row r="1423">
      <c r="A1423" t="n">
        <v>717</v>
      </c>
      <c r="B1423" t="n">
        <v>7667.89</v>
      </c>
      <c r="C1423" t="n">
        <v>5</v>
      </c>
      <c r="D1423" t="n">
        <v>7706.18</v>
      </c>
    </row>
    <row r="1424">
      <c r="A1424" t="n">
        <v>681</v>
      </c>
      <c r="B1424" t="n">
        <v>16246.89</v>
      </c>
      <c r="C1424" t="n">
        <v>307</v>
      </c>
      <c r="D1424" t="n">
        <v>11175.84</v>
      </c>
    </row>
    <row r="1425">
      <c r="A1425" t="n">
        <v>745</v>
      </c>
      <c r="B1425" t="n">
        <v>6921.54</v>
      </c>
      <c r="C1425" t="n">
        <v>145</v>
      </c>
      <c r="D1425" t="n">
        <v>12544.32</v>
      </c>
    </row>
    <row r="1426">
      <c r="A1426" t="n">
        <v>715</v>
      </c>
      <c r="B1426" t="n">
        <v>4771.86</v>
      </c>
      <c r="C1426" t="n">
        <v>141</v>
      </c>
      <c r="D1426" t="n">
        <v>14092.36</v>
      </c>
    </row>
    <row r="1427">
      <c r="A1427" t="n">
        <v>731</v>
      </c>
      <c r="B1427" t="n">
        <v>14092.36</v>
      </c>
      <c r="C1427" t="n">
        <v>329</v>
      </c>
      <c r="D1427" t="n">
        <v>15399.94</v>
      </c>
    </row>
    <row r="1428">
      <c r="A1428" t="n">
        <v>629</v>
      </c>
      <c r="B1428" t="n">
        <v>19998.97</v>
      </c>
      <c r="C1428" t="n">
        <v>32</v>
      </c>
      <c r="D1428" t="n">
        <v>4255.97</v>
      </c>
    </row>
    <row r="1429">
      <c r="A1429" t="n">
        <v>700</v>
      </c>
      <c r="B1429" t="n">
        <v>13460.75</v>
      </c>
      <c r="C1429" t="n">
        <v>291</v>
      </c>
      <c r="D1429" t="n">
        <v>17799.32</v>
      </c>
    </row>
    <row r="1430">
      <c r="A1430" t="n">
        <v>516</v>
      </c>
      <c r="B1430" t="n">
        <v>17799.32</v>
      </c>
      <c r="C1430" t="n">
        <v>223</v>
      </c>
      <c r="D1430" t="n">
        <v>9669.65</v>
      </c>
    </row>
    <row r="1431">
      <c r="A1431" t="n">
        <v>666</v>
      </c>
      <c r="B1431" t="n">
        <v>13257.85</v>
      </c>
      <c r="C1431" t="n">
        <v>359</v>
      </c>
      <c r="D1431" t="n">
        <v>1435.79</v>
      </c>
    </row>
    <row r="1432">
      <c r="A1432" t="n">
        <v>683</v>
      </c>
      <c r="B1432" t="n">
        <v>16610.02</v>
      </c>
      <c r="C1432" t="n">
        <v>308</v>
      </c>
      <c r="D1432" t="n">
        <v>13257.85</v>
      </c>
    </row>
    <row r="1433">
      <c r="A1433" t="n">
        <v>692</v>
      </c>
      <c r="B1433" t="n">
        <v>14564.67</v>
      </c>
      <c r="C1433" t="n">
        <v>27</v>
      </c>
      <c r="D1433" t="n">
        <v>8583.799999999999</v>
      </c>
    </row>
    <row r="1434">
      <c r="A1434" t="n">
        <v>711</v>
      </c>
      <c r="B1434" t="n">
        <v>8434.950000000001</v>
      </c>
      <c r="C1434" t="n">
        <v>273</v>
      </c>
      <c r="D1434" t="n">
        <v>13626.65</v>
      </c>
    </row>
    <row r="1435">
      <c r="A1435" t="n">
        <v>681</v>
      </c>
      <c r="B1435" t="n">
        <v>20334.36</v>
      </c>
      <c r="C1435" t="n">
        <v>250</v>
      </c>
      <c r="D1435" t="n">
        <v>8434.950000000001</v>
      </c>
    </row>
    <row r="1436">
      <c r="A1436" t="n">
        <v>789</v>
      </c>
      <c r="B1436" t="n">
        <v>7293.04</v>
      </c>
      <c r="C1436" t="n">
        <v>173</v>
      </c>
      <c r="D1436" t="n">
        <v>15145.97</v>
      </c>
    </row>
    <row r="1437">
      <c r="A1437" t="n">
        <v>730</v>
      </c>
      <c r="B1437" t="n">
        <v>15106.56</v>
      </c>
      <c r="C1437" t="n">
        <v>127</v>
      </c>
      <c r="D1437" t="n">
        <v>15106.56</v>
      </c>
    </row>
    <row r="1438">
      <c r="A1438" t="n">
        <v>808</v>
      </c>
      <c r="B1438" t="n">
        <v>3520.38</v>
      </c>
      <c r="C1438" t="n">
        <v>128</v>
      </c>
      <c r="D1438" t="n">
        <v>17433.95</v>
      </c>
    </row>
    <row r="1439">
      <c r="A1439" t="n">
        <v>799</v>
      </c>
      <c r="B1439" t="n">
        <v>9239.610000000001</v>
      </c>
      <c r="C1439" t="n">
        <v>101</v>
      </c>
      <c r="D1439" t="n">
        <v>3520.38</v>
      </c>
    </row>
    <row r="1440">
      <c r="A1440" t="n">
        <v>723</v>
      </c>
      <c r="B1440" t="n">
        <v>14932.05</v>
      </c>
      <c r="C1440" t="n">
        <v>134</v>
      </c>
      <c r="D1440" t="n">
        <v>11640.44</v>
      </c>
    </row>
    <row r="1441">
      <c r="A1441" t="n">
        <v>641</v>
      </c>
      <c r="B1441" t="n">
        <v>9323.200000000001</v>
      </c>
      <c r="C1441" t="n">
        <v>59</v>
      </c>
      <c r="D1441" t="n">
        <v>22556.11</v>
      </c>
    </row>
    <row r="1442">
      <c r="A1442" t="n">
        <v>772</v>
      </c>
      <c r="B1442" t="n">
        <v>6420.49</v>
      </c>
      <c r="C1442" t="n">
        <v>122</v>
      </c>
      <c r="D1442" t="n">
        <v>14932.05</v>
      </c>
    </row>
    <row r="1443">
      <c r="A1443" t="n">
        <v>751</v>
      </c>
      <c r="B1443" t="n">
        <v>13603.42</v>
      </c>
      <c r="C1443" t="n">
        <v>419</v>
      </c>
      <c r="D1443" t="n">
        <v>18781.98</v>
      </c>
    </row>
    <row r="1444">
      <c r="A1444" t="n">
        <v>637</v>
      </c>
      <c r="B1444" t="n">
        <v>21271.82</v>
      </c>
      <c r="C1444" t="n">
        <v>313</v>
      </c>
      <c r="D1444" t="n">
        <v>6579.82</v>
      </c>
    </row>
    <row r="1445">
      <c r="A1445" t="n">
        <v>826</v>
      </c>
      <c r="B1445" t="n">
        <v>1913.07</v>
      </c>
      <c r="C1445" t="n">
        <v>222</v>
      </c>
      <c r="D1445" t="n">
        <v>13603.42</v>
      </c>
    </row>
    <row r="1446">
      <c r="A1446" t="n">
        <v>745</v>
      </c>
      <c r="B1446" t="n">
        <v>13545.49</v>
      </c>
      <c r="C1446" t="n">
        <v>58</v>
      </c>
      <c r="D1446" t="n">
        <v>10735.52</v>
      </c>
    </row>
    <row r="1447">
      <c r="A1447" t="n">
        <v>670</v>
      </c>
      <c r="B1447" t="n">
        <v>9863.09</v>
      </c>
      <c r="C1447" t="n">
        <v>115</v>
      </c>
      <c r="D1447" t="n">
        <v>18882.03</v>
      </c>
    </row>
    <row r="1448">
      <c r="A1448" t="n">
        <v>693</v>
      </c>
      <c r="B1448" t="n">
        <v>6435.54</v>
      </c>
      <c r="C1448" t="n">
        <v>369</v>
      </c>
      <c r="D1448" t="n">
        <v>21271.82</v>
      </c>
    </row>
    <row r="1449">
      <c r="A1449" t="n">
        <v>620</v>
      </c>
      <c r="B1449" t="n">
        <v>20867.83</v>
      </c>
      <c r="C1449" t="n">
        <v>215</v>
      </c>
      <c r="D1449" t="n">
        <v>11192.78</v>
      </c>
    </row>
    <row r="1450">
      <c r="A1450" t="n">
        <v>684</v>
      </c>
      <c r="B1450" t="n">
        <v>9112.870000000001</v>
      </c>
      <c r="C1450" t="n">
        <v>34</v>
      </c>
      <c r="D1450" t="n">
        <v>25203.41</v>
      </c>
    </row>
    <row r="1451">
      <c r="A1451" t="n">
        <v>765</v>
      </c>
      <c r="B1451" t="n">
        <v>12797.03</v>
      </c>
      <c r="C1451" t="n">
        <v>62</v>
      </c>
      <c r="D1451" t="n">
        <v>3712.11</v>
      </c>
    </row>
    <row r="1452">
      <c r="A1452" t="n">
        <v>644</v>
      </c>
      <c r="B1452" t="n">
        <v>7374.2</v>
      </c>
      <c r="C1452" t="n">
        <v>253</v>
      </c>
      <c r="D1452" t="n">
        <v>6435.54</v>
      </c>
    </row>
    <row r="1453">
      <c r="A1453" t="n">
        <v>632</v>
      </c>
      <c r="B1453" t="n">
        <v>18853.41</v>
      </c>
      <c r="C1453" t="n">
        <v>182</v>
      </c>
      <c r="D1453" t="n">
        <v>20867.83</v>
      </c>
    </row>
    <row r="1454">
      <c r="A1454" t="n">
        <v>704</v>
      </c>
      <c r="B1454" t="n">
        <v>8921.950000000001</v>
      </c>
      <c r="C1454" t="n">
        <v>344</v>
      </c>
      <c r="D1454" t="n">
        <v>20116.76</v>
      </c>
    </row>
    <row r="1455">
      <c r="A1455" t="n">
        <v>722</v>
      </c>
      <c r="B1455" t="n">
        <v>12351.87</v>
      </c>
      <c r="C1455" t="n">
        <v>148</v>
      </c>
      <c r="D1455" t="n">
        <v>13379.79</v>
      </c>
    </row>
    <row r="1456">
      <c r="A1456" t="n">
        <v>716</v>
      </c>
      <c r="B1456" t="n">
        <v>11617.96</v>
      </c>
      <c r="C1456" t="n">
        <v>354</v>
      </c>
      <c r="D1456" t="n">
        <v>15373.61</v>
      </c>
    </row>
    <row r="1457">
      <c r="A1457" t="n">
        <v>585</v>
      </c>
      <c r="B1457" t="n">
        <v>48521.79</v>
      </c>
      <c r="C1457" t="n">
        <v>259</v>
      </c>
      <c r="D1457" t="n">
        <v>4868.34</v>
      </c>
    </row>
    <row r="1458">
      <c r="A1458" t="n">
        <v>720</v>
      </c>
      <c r="B1458" t="n">
        <v>13379.79</v>
      </c>
      <c r="C1458" t="n">
        <v>404</v>
      </c>
      <c r="D1458" t="n">
        <v>11003.97</v>
      </c>
    </row>
    <row r="1459">
      <c r="A1459" t="n">
        <v>812</v>
      </c>
      <c r="B1459" t="n">
        <v>6652.28</v>
      </c>
      <c r="C1459" t="n">
        <v>309</v>
      </c>
      <c r="D1459" t="n">
        <v>11178.01</v>
      </c>
    </row>
    <row r="1460">
      <c r="A1460" t="n">
        <v>737</v>
      </c>
      <c r="B1460" t="n">
        <v>15373.61</v>
      </c>
      <c r="C1460" t="n">
        <v>79</v>
      </c>
      <c r="D1460" t="n">
        <v>17548.26</v>
      </c>
    </row>
    <row r="1461">
      <c r="A1461" t="n">
        <v>758</v>
      </c>
      <c r="B1461" t="n">
        <v>4868.34</v>
      </c>
      <c r="C1461" t="n">
        <v>364</v>
      </c>
      <c r="D1461" t="n">
        <v>5504.11</v>
      </c>
    </row>
    <row r="1462">
      <c r="A1462" t="n">
        <v>687</v>
      </c>
      <c r="B1462" t="n">
        <v>12198.95</v>
      </c>
      <c r="C1462" t="n">
        <v>108</v>
      </c>
      <c r="D1462" t="n">
        <v>15411.29</v>
      </c>
    </row>
    <row r="1463">
      <c r="A1463" t="n">
        <v>719</v>
      </c>
      <c r="B1463" t="n">
        <v>8728.35</v>
      </c>
      <c r="C1463" t="n">
        <v>189</v>
      </c>
      <c r="D1463" t="n">
        <v>9550.469999999999</v>
      </c>
    </row>
    <row r="1464">
      <c r="A1464" t="n">
        <v>698</v>
      </c>
      <c r="B1464" t="n">
        <v>12560.26</v>
      </c>
      <c r="C1464" t="n">
        <v>331</v>
      </c>
      <c r="D1464" t="n">
        <v>12198.95</v>
      </c>
    </row>
    <row r="1465">
      <c r="A1465" t="n">
        <v>672</v>
      </c>
      <c r="B1465" t="n">
        <v>11245.3</v>
      </c>
      <c r="C1465" t="n">
        <v>16</v>
      </c>
      <c r="D1465" t="n">
        <v>12696.49</v>
      </c>
    </row>
    <row r="1466">
      <c r="A1466" t="n">
        <v>711</v>
      </c>
      <c r="B1466" t="n">
        <v>12689.93</v>
      </c>
      <c r="C1466" t="n">
        <v>360</v>
      </c>
      <c r="D1466" t="n">
        <v>8728.35</v>
      </c>
    </row>
    <row r="1467">
      <c r="A1467" t="n">
        <v>762</v>
      </c>
      <c r="B1467" t="n">
        <v>1965.29</v>
      </c>
      <c r="C1467" t="n">
        <v>93</v>
      </c>
      <c r="D1467" t="n">
        <v>9429.639999999999</v>
      </c>
    </row>
    <row r="1468">
      <c r="A1468" t="n">
        <v>697</v>
      </c>
      <c r="B1468" t="n">
        <v>13080.44</v>
      </c>
      <c r="C1468" t="n">
        <v>139</v>
      </c>
      <c r="D1468" t="n">
        <v>11565.98</v>
      </c>
    </row>
    <row r="1469">
      <c r="A1469" t="n">
        <v>672</v>
      </c>
      <c r="B1469" t="n">
        <v>12027.11</v>
      </c>
      <c r="C1469" t="n">
        <v>377</v>
      </c>
      <c r="D1469" t="n">
        <v>23883.46</v>
      </c>
    </row>
    <row r="1470">
      <c r="A1470" t="n">
        <v>708</v>
      </c>
      <c r="B1470" t="n">
        <v>11639.89</v>
      </c>
      <c r="C1470" t="n">
        <v>238</v>
      </c>
      <c r="D1470" t="n">
        <v>13099.11</v>
      </c>
    </row>
    <row r="1471">
      <c r="A1471" t="n">
        <v>751</v>
      </c>
      <c r="B1471" t="n">
        <v>11745.89</v>
      </c>
      <c r="C1471" t="n">
        <v>336</v>
      </c>
      <c r="D1471" t="n">
        <v>9967.459999999999</v>
      </c>
    </row>
    <row r="1472">
      <c r="A1472" t="n">
        <v>618</v>
      </c>
      <c r="B1472" t="n">
        <v>21347.05</v>
      </c>
      <c r="C1472" t="n">
        <v>423</v>
      </c>
      <c r="D1472" t="n">
        <v>11639.89</v>
      </c>
    </row>
    <row r="1473">
      <c r="A1473" t="n">
        <v>774</v>
      </c>
      <c r="B1473" t="n">
        <v>6540.46</v>
      </c>
      <c r="C1473" t="n">
        <v>382</v>
      </c>
      <c r="D1473" t="n">
        <v>5373.19</v>
      </c>
    </row>
    <row r="1474">
      <c r="A1474" t="n">
        <v>689</v>
      </c>
      <c r="B1474" t="n">
        <v>12652.13</v>
      </c>
      <c r="C1474" t="n">
        <v>434</v>
      </c>
      <c r="D1474" t="n">
        <v>24691.6</v>
      </c>
    </row>
    <row r="1475">
      <c r="A1475" t="n">
        <v>757</v>
      </c>
      <c r="B1475" t="n">
        <v>7040.81</v>
      </c>
      <c r="C1475" t="n">
        <v>60</v>
      </c>
      <c r="D1475" t="n">
        <v>6540.46</v>
      </c>
    </row>
    <row r="1476">
      <c r="A1476" t="n">
        <v>791</v>
      </c>
      <c r="B1476" t="n">
        <v>7650.46</v>
      </c>
      <c r="C1476" t="n">
        <v>111</v>
      </c>
      <c r="D1476" t="n">
        <v>25912.76</v>
      </c>
    </row>
    <row r="1477">
      <c r="A1477" t="n">
        <v>598</v>
      </c>
      <c r="B1477" t="n">
        <v>29562.46</v>
      </c>
      <c r="C1477" t="n">
        <v>37</v>
      </c>
      <c r="D1477" t="n">
        <v>19805.88</v>
      </c>
    </row>
    <row r="1478">
      <c r="A1478" t="n">
        <v>791</v>
      </c>
      <c r="B1478" t="n">
        <v>3884.03</v>
      </c>
      <c r="C1478" t="n">
        <v>91</v>
      </c>
      <c r="D1478" t="n">
        <v>21778.76</v>
      </c>
    </row>
    <row r="1479">
      <c r="A1479" t="n">
        <v>732</v>
      </c>
      <c r="B1479" t="n">
        <v>12659.67</v>
      </c>
      <c r="C1479" t="n">
        <v>156</v>
      </c>
      <c r="D1479" t="n">
        <v>12563.28</v>
      </c>
    </row>
    <row r="1480">
      <c r="A1480" t="n">
        <v>756</v>
      </c>
      <c r="B1480" t="n">
        <v>11586.15</v>
      </c>
      <c r="C1480" t="n">
        <v>260</v>
      </c>
      <c r="D1480" t="n">
        <v>8993.610000000001</v>
      </c>
    </row>
    <row r="1481">
      <c r="A1481" t="n">
        <v>605</v>
      </c>
      <c r="B1481" t="n">
        <v>3733.8</v>
      </c>
      <c r="C1481" t="n">
        <v>290</v>
      </c>
      <c r="D1481" t="n">
        <v>13151.81</v>
      </c>
    </row>
    <row r="1482">
      <c r="A1482" t="n">
        <v>638</v>
      </c>
      <c r="B1482" t="n">
        <v>15841.53</v>
      </c>
      <c r="C1482" t="n">
        <v>225</v>
      </c>
      <c r="D1482" t="n">
        <v>9185.809999999999</v>
      </c>
    </row>
    <row r="1483">
      <c r="A1483" t="n">
        <v>621</v>
      </c>
      <c r="B1483" t="n">
        <v>17133.57</v>
      </c>
      <c r="C1483" t="n">
        <v>255</v>
      </c>
      <c r="D1483" t="n">
        <v>17133.57</v>
      </c>
    </row>
    <row r="1484">
      <c r="A1484" t="n">
        <v>766</v>
      </c>
      <c r="B1484" t="n">
        <v>6110.99</v>
      </c>
      <c r="C1484" t="n">
        <v>277</v>
      </c>
      <c r="D1484" t="n">
        <v>24225.63</v>
      </c>
    </row>
    <row r="1485">
      <c r="A1485" t="n">
        <v>708</v>
      </c>
      <c r="B1485" t="n">
        <v>12202.78</v>
      </c>
      <c r="C1485" t="n">
        <v>21</v>
      </c>
      <c r="D1485" t="n">
        <v>5646.53</v>
      </c>
    </row>
    <row r="1486">
      <c r="A1486" t="n">
        <v>591</v>
      </c>
      <c r="B1486" t="n">
        <v>24351.23</v>
      </c>
      <c r="C1486" t="n">
        <v>434</v>
      </c>
      <c r="D1486" t="n">
        <v>6740.79</v>
      </c>
    </row>
    <row r="1487">
      <c r="A1487" t="n">
        <v>671</v>
      </c>
      <c r="B1487" t="n">
        <v>13281.78</v>
      </c>
      <c r="C1487" t="n">
        <v>302</v>
      </c>
      <c r="D1487" t="n">
        <v>6947.85</v>
      </c>
    </row>
    <row r="1488">
      <c r="A1488" t="n">
        <v>804</v>
      </c>
      <c r="B1488" t="n">
        <v>5735.96</v>
      </c>
      <c r="C1488" t="n">
        <v>391</v>
      </c>
      <c r="D1488" t="n">
        <v>12943.14</v>
      </c>
    </row>
    <row r="1489">
      <c r="A1489" t="n">
        <v>688</v>
      </c>
      <c r="B1489" t="n">
        <v>7740.84</v>
      </c>
      <c r="C1489" t="n">
        <v>405</v>
      </c>
      <c r="D1489" t="n">
        <v>13338.93</v>
      </c>
    </row>
    <row r="1490">
      <c r="A1490" t="n">
        <v>707</v>
      </c>
      <c r="B1490" t="n">
        <v>4627.02</v>
      </c>
      <c r="C1490" t="n">
        <v>280</v>
      </c>
      <c r="D1490" t="n">
        <v>22715.28</v>
      </c>
    </row>
    <row r="1491">
      <c r="A1491" t="n">
        <v>763</v>
      </c>
      <c r="B1491" t="n">
        <v>8200.49</v>
      </c>
      <c r="C1491" t="n">
        <v>250</v>
      </c>
      <c r="D1491" t="n">
        <v>4627.02</v>
      </c>
    </row>
    <row r="1492">
      <c r="A1492" t="n">
        <v>638</v>
      </c>
      <c r="B1492" t="n">
        <v>10265.95</v>
      </c>
      <c r="C1492" t="n">
        <v>325</v>
      </c>
      <c r="D1492" t="n">
        <v>9517.52</v>
      </c>
    </row>
    <row r="1493">
      <c r="A1493" t="n">
        <v>710</v>
      </c>
      <c r="B1493" t="n">
        <v>17583.88</v>
      </c>
      <c r="C1493" t="n">
        <v>291</v>
      </c>
      <c r="D1493" t="n">
        <v>10265.95</v>
      </c>
    </row>
    <row r="1494">
      <c r="A1494" t="n">
        <v>702</v>
      </c>
      <c r="B1494" t="n">
        <v>17196.85</v>
      </c>
      <c r="C1494" t="n">
        <v>148</v>
      </c>
      <c r="D1494" t="n">
        <v>32864.79</v>
      </c>
    </row>
    <row r="1495">
      <c r="A1495" t="n">
        <v>682</v>
      </c>
      <c r="B1495" t="n">
        <v>10717.11</v>
      </c>
      <c r="C1495" t="n">
        <v>86</v>
      </c>
      <c r="D1495" t="n">
        <v>7892.18</v>
      </c>
    </row>
    <row r="1496">
      <c r="A1496" t="n">
        <v>711</v>
      </c>
      <c r="B1496" t="n">
        <v>14825.2</v>
      </c>
      <c r="C1496" t="n">
        <v>48</v>
      </c>
      <c r="D1496" t="n">
        <v>7373.36</v>
      </c>
    </row>
    <row r="1497">
      <c r="A1497" t="n">
        <v>685</v>
      </c>
      <c r="B1497" t="n">
        <v>22168.37</v>
      </c>
      <c r="C1497" t="n">
        <v>408</v>
      </c>
      <c r="D1497" t="n">
        <v>7278.96</v>
      </c>
    </row>
    <row r="1498">
      <c r="A1498" t="n">
        <v>767</v>
      </c>
      <c r="B1498" t="n">
        <v>11186.85</v>
      </c>
      <c r="C1498" t="n">
        <v>24</v>
      </c>
      <c r="D1498" t="n">
        <v>6494.03</v>
      </c>
    </row>
    <row r="1499">
      <c r="A1499" t="n">
        <v>641</v>
      </c>
      <c r="B1499" t="n">
        <v>10686.05</v>
      </c>
      <c r="C1499" t="n">
        <v>208</v>
      </c>
      <c r="D1499" t="n">
        <v>10367.59</v>
      </c>
    </row>
    <row r="1500">
      <c r="A1500" t="n">
        <v>611</v>
      </c>
      <c r="B1500" t="n">
        <v>19668.64</v>
      </c>
      <c r="C1500" t="n">
        <v>62</v>
      </c>
      <c r="D1500" t="n">
        <v>22168.37</v>
      </c>
    </row>
    <row r="1501">
      <c r="A1501" t="n">
        <v>679</v>
      </c>
      <c r="B1501" t="n">
        <v>20526.9</v>
      </c>
      <c r="C1501" t="n">
        <v>36</v>
      </c>
      <c r="D1501" t="n">
        <v>10319.67</v>
      </c>
    </row>
    <row r="1502">
      <c r="A1502" t="n">
        <v>665</v>
      </c>
      <c r="B1502" t="n">
        <v>12889.72</v>
      </c>
      <c r="C1502" t="n">
        <v>56</v>
      </c>
      <c r="D1502" t="n">
        <v>7600.89</v>
      </c>
    </row>
    <row r="1503">
      <c r="A1503" t="n">
        <v>666</v>
      </c>
      <c r="B1503" t="n">
        <v>8547.58</v>
      </c>
      <c r="C1503" t="n">
        <v>20</v>
      </c>
      <c r="D1503" t="n">
        <v>19668.64</v>
      </c>
    </row>
    <row r="1504">
      <c r="A1504" t="n">
        <v>738</v>
      </c>
      <c r="B1504" t="n">
        <v>6747.88</v>
      </c>
      <c r="C1504" t="n">
        <v>72</v>
      </c>
      <c r="D1504" t="n">
        <v>9620.360000000001</v>
      </c>
    </row>
    <row r="1505">
      <c r="A1505" t="n">
        <v>749</v>
      </c>
      <c r="B1505" t="n">
        <v>13529.41</v>
      </c>
      <c r="C1505" t="n">
        <v>31</v>
      </c>
      <c r="D1505" t="n">
        <v>16016.35</v>
      </c>
    </row>
    <row r="1506">
      <c r="A1506" t="n">
        <v>730</v>
      </c>
      <c r="B1506" t="n">
        <v>2079.81</v>
      </c>
      <c r="C1506" t="n">
        <v>117</v>
      </c>
      <c r="D1506" t="n">
        <v>2079.81</v>
      </c>
    </row>
    <row r="1507">
      <c r="A1507" t="n">
        <v>772</v>
      </c>
      <c r="B1507" t="n">
        <v>13065.25</v>
      </c>
      <c r="C1507" t="n">
        <v>416</v>
      </c>
      <c r="D1507" t="n">
        <v>7307.83</v>
      </c>
    </row>
    <row r="1508">
      <c r="A1508" t="n">
        <v>762</v>
      </c>
      <c r="B1508" t="n">
        <v>1420.31</v>
      </c>
      <c r="C1508" t="n">
        <v>142</v>
      </c>
      <c r="D1508" t="n">
        <v>3512.84</v>
      </c>
    </row>
    <row r="1509">
      <c r="A1509" t="n">
        <v>644</v>
      </c>
      <c r="B1509" t="n">
        <v>21148.38</v>
      </c>
      <c r="C1509" t="n">
        <v>32</v>
      </c>
      <c r="D1509" t="n">
        <v>6209.45</v>
      </c>
    </row>
    <row r="1510">
      <c r="A1510" t="n">
        <v>649</v>
      </c>
      <c r="B1510" t="n">
        <v>18753.57</v>
      </c>
      <c r="C1510" t="n">
        <v>39</v>
      </c>
      <c r="D1510" t="n">
        <v>8026.07</v>
      </c>
    </row>
    <row r="1511">
      <c r="A1511" t="n">
        <v>704</v>
      </c>
      <c r="B1511" t="n">
        <v>9697.969999999999</v>
      </c>
      <c r="C1511" t="n">
        <v>404</v>
      </c>
      <c r="D1511" t="n">
        <v>7323.45</v>
      </c>
    </row>
    <row r="1512">
      <c r="A1512" t="n">
        <v>791</v>
      </c>
      <c r="B1512" t="n">
        <v>6209.45</v>
      </c>
      <c r="C1512" t="n">
        <v>66</v>
      </c>
      <c r="D1512" t="n">
        <v>10541.53</v>
      </c>
    </row>
    <row r="1513">
      <c r="A1513" t="n">
        <v>796</v>
      </c>
      <c r="B1513" t="n">
        <v>8026.07</v>
      </c>
      <c r="C1513" t="n">
        <v>242</v>
      </c>
      <c r="D1513" t="n">
        <v>7689.79</v>
      </c>
    </row>
    <row r="1514">
      <c r="A1514" t="n">
        <v>627</v>
      </c>
      <c r="B1514" t="n">
        <v>9805.690000000001</v>
      </c>
      <c r="C1514" t="n">
        <v>191</v>
      </c>
      <c r="D1514" t="n">
        <v>13675.68</v>
      </c>
    </row>
    <row r="1515">
      <c r="A1515" t="n">
        <v>659</v>
      </c>
      <c r="B1515" t="n">
        <v>10093.9</v>
      </c>
      <c r="C1515" t="n">
        <v>179</v>
      </c>
      <c r="D1515" t="n">
        <v>9805.690000000001</v>
      </c>
    </row>
    <row r="1516">
      <c r="A1516" t="n">
        <v>694</v>
      </c>
      <c r="B1516" t="n">
        <v>4162.96</v>
      </c>
      <c r="C1516" t="n">
        <v>274</v>
      </c>
      <c r="D1516" t="n">
        <v>5579.84</v>
      </c>
    </row>
    <row r="1517">
      <c r="A1517" t="n">
        <v>787</v>
      </c>
      <c r="B1517" t="n">
        <v>8708.73</v>
      </c>
      <c r="C1517" t="n">
        <v>38</v>
      </c>
      <c r="D1517" t="n">
        <v>4162.96</v>
      </c>
    </row>
    <row r="1518">
      <c r="A1518" t="n">
        <v>678</v>
      </c>
      <c r="B1518" t="n">
        <v>20695.06</v>
      </c>
      <c r="C1518" t="n">
        <v>247</v>
      </c>
      <c r="D1518" t="n">
        <v>7318.2</v>
      </c>
    </row>
    <row r="1519">
      <c r="A1519" t="n">
        <v>697</v>
      </c>
      <c r="B1519" t="n">
        <v>6336.15</v>
      </c>
      <c r="C1519" t="n">
        <v>331</v>
      </c>
      <c r="D1519" t="n">
        <v>14418.63</v>
      </c>
    </row>
    <row r="1520">
      <c r="A1520" t="n">
        <v>596</v>
      </c>
      <c r="B1520" t="n">
        <v>33056.9</v>
      </c>
      <c r="C1520" t="n">
        <v>2</v>
      </c>
      <c r="D1520" t="n">
        <v>6336.15</v>
      </c>
    </row>
    <row r="1521">
      <c r="A1521" t="n">
        <v>761</v>
      </c>
      <c r="B1521" t="n">
        <v>5939.09</v>
      </c>
      <c r="C1521" t="n">
        <v>268</v>
      </c>
      <c r="D1521" t="n">
        <v>9061.99</v>
      </c>
    </row>
    <row r="1522">
      <c r="A1522" t="n">
        <v>701</v>
      </c>
      <c r="B1522" t="n">
        <v>12842.63</v>
      </c>
      <c r="C1522" t="n">
        <v>30</v>
      </c>
      <c r="D1522" t="n">
        <v>16851.54</v>
      </c>
    </row>
    <row r="1523">
      <c r="A1523" t="n">
        <v>700</v>
      </c>
      <c r="B1523" t="n">
        <v>15072.56</v>
      </c>
      <c r="C1523" t="n">
        <v>131</v>
      </c>
      <c r="D1523" t="n">
        <v>11558.26</v>
      </c>
    </row>
    <row r="1524">
      <c r="A1524" t="n">
        <v>750</v>
      </c>
      <c r="B1524" t="n">
        <v>6391.49</v>
      </c>
      <c r="C1524" t="n">
        <v>350</v>
      </c>
      <c r="D1524" t="n">
        <v>5939.09</v>
      </c>
    </row>
    <row r="1525">
      <c r="A1525" t="n">
        <v>741</v>
      </c>
      <c r="B1525" t="n">
        <v>7889.85</v>
      </c>
      <c r="C1525" t="n">
        <v>238</v>
      </c>
      <c r="D1525" t="n">
        <v>0</v>
      </c>
    </row>
    <row r="1526">
      <c r="A1526" t="n">
        <v>661</v>
      </c>
      <c r="B1526" t="n">
        <v>17528.62</v>
      </c>
      <c r="C1526" t="n">
        <v>141</v>
      </c>
      <c r="D1526" t="n">
        <v>8492.75</v>
      </c>
    </row>
    <row r="1527">
      <c r="A1527" t="n">
        <v>674</v>
      </c>
      <c r="B1527" t="n">
        <v>15812.66</v>
      </c>
      <c r="C1527" t="n">
        <v>338</v>
      </c>
      <c r="D1527" t="n">
        <v>15812.66</v>
      </c>
    </row>
    <row r="1528">
      <c r="A1528" t="n">
        <v>738</v>
      </c>
      <c r="B1528" t="n">
        <v>11248.3</v>
      </c>
      <c r="C1528" t="n">
        <v>69</v>
      </c>
      <c r="D1528" t="n">
        <v>13521.92</v>
      </c>
    </row>
    <row r="1529">
      <c r="A1529" t="n">
        <v>707</v>
      </c>
      <c r="B1529" t="n">
        <v>11434.3</v>
      </c>
      <c r="C1529" t="n">
        <v>425</v>
      </c>
      <c r="D1529" t="n">
        <v>17606.44</v>
      </c>
    </row>
    <row r="1530">
      <c r="A1530" t="n">
        <v>735</v>
      </c>
      <c r="B1530" t="n">
        <v>10087.48</v>
      </c>
      <c r="C1530" t="n">
        <v>251</v>
      </c>
      <c r="D1530" t="n">
        <v>10087.48</v>
      </c>
    </row>
    <row r="1531">
      <c r="A1531" t="n">
        <v>647</v>
      </c>
      <c r="B1531" t="n">
        <v>9030.6</v>
      </c>
      <c r="C1531" t="n">
        <v>294</v>
      </c>
      <c r="D1531" t="n">
        <v>14066.26</v>
      </c>
    </row>
    <row r="1532">
      <c r="A1532" t="n">
        <v>607</v>
      </c>
      <c r="B1532" t="n">
        <v>14533.64</v>
      </c>
      <c r="C1532" t="n">
        <v>334</v>
      </c>
      <c r="D1532" t="n">
        <v>8922.209999999999</v>
      </c>
    </row>
    <row r="1533">
      <c r="A1533" t="n">
        <v>661</v>
      </c>
      <c r="B1533" t="n">
        <v>6214.14</v>
      </c>
      <c r="C1533" t="n">
        <v>265</v>
      </c>
      <c r="D1533" t="n">
        <v>12600.04</v>
      </c>
    </row>
    <row r="1534">
      <c r="A1534" t="n">
        <v>745</v>
      </c>
      <c r="B1534" t="n">
        <v>8922.209999999999</v>
      </c>
      <c r="C1534" t="n">
        <v>116</v>
      </c>
      <c r="D1534" t="n">
        <v>9356.9</v>
      </c>
    </row>
    <row r="1535">
      <c r="A1535" t="n">
        <v>704</v>
      </c>
      <c r="B1535" t="n">
        <v>9356.9</v>
      </c>
      <c r="C1535" t="n">
        <v>342</v>
      </c>
      <c r="D1535" t="n">
        <v>3982.78</v>
      </c>
    </row>
    <row r="1536">
      <c r="A1536" t="n">
        <v>600</v>
      </c>
      <c r="B1536" t="n">
        <v>9074.549999999999</v>
      </c>
      <c r="C1536" t="n">
        <v>163</v>
      </c>
      <c r="D1536" t="n">
        <v>14649.87</v>
      </c>
    </row>
    <row r="1537">
      <c r="A1537" t="n">
        <v>721</v>
      </c>
      <c r="B1537" t="n">
        <v>14649.87</v>
      </c>
      <c r="C1537" t="n">
        <v>130</v>
      </c>
      <c r="D1537" t="n">
        <v>32840.42</v>
      </c>
    </row>
    <row r="1538">
      <c r="A1538" t="n">
        <v>634</v>
      </c>
      <c r="B1538" t="n">
        <v>22230.05</v>
      </c>
      <c r="C1538" t="n">
        <v>429</v>
      </c>
      <c r="D1538" t="n">
        <v>20801.35</v>
      </c>
    </row>
    <row r="1539">
      <c r="A1539" t="n">
        <v>609</v>
      </c>
      <c r="B1539" t="n">
        <v>15172.47</v>
      </c>
      <c r="C1539" t="n">
        <v>398</v>
      </c>
      <c r="D1539" t="n">
        <v>16484.3</v>
      </c>
    </row>
    <row r="1540">
      <c r="A1540" t="n">
        <v>789</v>
      </c>
      <c r="B1540" t="n">
        <v>4244.77</v>
      </c>
      <c r="C1540" t="n">
        <v>243</v>
      </c>
      <c r="D1540" t="n">
        <v>15318.74</v>
      </c>
    </row>
    <row r="1541">
      <c r="A1541" t="n">
        <v>665</v>
      </c>
      <c r="B1541" t="n">
        <v>5122.66</v>
      </c>
      <c r="C1541" t="n">
        <v>24</v>
      </c>
      <c r="D1541" t="n">
        <v>4244.77</v>
      </c>
    </row>
    <row r="1542">
      <c r="A1542" t="n">
        <v>608</v>
      </c>
      <c r="B1542" t="n">
        <v>13340.4</v>
      </c>
      <c r="C1542" t="n">
        <v>199</v>
      </c>
      <c r="D1542" t="n">
        <v>8376.200000000001</v>
      </c>
    </row>
    <row r="1543">
      <c r="A1543" t="n">
        <v>732</v>
      </c>
      <c r="B1543" t="n">
        <v>11643.44</v>
      </c>
      <c r="C1543" t="n">
        <v>245</v>
      </c>
      <c r="D1543" t="n">
        <v>11643.44</v>
      </c>
    </row>
    <row r="1544">
      <c r="A1544" t="n">
        <v>748</v>
      </c>
      <c r="B1544" t="n">
        <v>7321.54</v>
      </c>
      <c r="C1544" t="n">
        <v>200</v>
      </c>
      <c r="D1544" t="n">
        <v>12652.72</v>
      </c>
    </row>
    <row r="1545">
      <c r="A1545" t="n">
        <v>652</v>
      </c>
      <c r="B1545" t="n">
        <v>8271.790000000001</v>
      </c>
      <c r="C1545" t="n">
        <v>102</v>
      </c>
      <c r="D1545" t="n">
        <v>8147.21</v>
      </c>
    </row>
    <row r="1546">
      <c r="A1546" t="n">
        <v>742</v>
      </c>
      <c r="B1546" t="n">
        <v>6138.68</v>
      </c>
      <c r="C1546" t="n">
        <v>190</v>
      </c>
      <c r="D1546" t="n">
        <v>6130.92</v>
      </c>
    </row>
    <row r="1547">
      <c r="A1547" t="n">
        <v>689</v>
      </c>
      <c r="B1547" t="n">
        <v>12982.79</v>
      </c>
      <c r="C1547" t="n">
        <v>22</v>
      </c>
      <c r="D1547" t="n">
        <v>3424.74</v>
      </c>
    </row>
    <row r="1548">
      <c r="A1548" t="n">
        <v>746</v>
      </c>
      <c r="B1548" t="n">
        <v>11810.82</v>
      </c>
      <c r="C1548" t="n">
        <v>159</v>
      </c>
      <c r="D1548" t="n">
        <v>18810.41</v>
      </c>
    </row>
    <row r="1549">
      <c r="A1549" t="n">
        <v>665</v>
      </c>
      <c r="B1549" t="n">
        <v>10828.1</v>
      </c>
      <c r="C1549" t="n">
        <v>418</v>
      </c>
      <c r="D1549" t="n">
        <v>9588.799999999999</v>
      </c>
    </row>
    <row r="1550">
      <c r="A1550" t="n">
        <v>654</v>
      </c>
      <c r="B1550" t="n">
        <v>18810.41</v>
      </c>
      <c r="C1550" t="n">
        <v>403</v>
      </c>
      <c r="D1550" t="n">
        <v>8685.799999999999</v>
      </c>
    </row>
    <row r="1551">
      <c r="A1551" t="n">
        <v>708</v>
      </c>
      <c r="B1551" t="n">
        <v>11793.17</v>
      </c>
      <c r="C1551" t="n">
        <v>162</v>
      </c>
      <c r="D1551" t="n">
        <v>18831.66</v>
      </c>
    </row>
    <row r="1552">
      <c r="A1552" t="n">
        <v>854</v>
      </c>
      <c r="B1552" t="n">
        <v>1758.14</v>
      </c>
      <c r="C1552" t="n">
        <v>162</v>
      </c>
      <c r="D1552" t="n">
        <v>20056.73</v>
      </c>
    </row>
    <row r="1553">
      <c r="A1553" t="n">
        <v>713</v>
      </c>
      <c r="B1553" t="n">
        <v>9375.42</v>
      </c>
      <c r="C1553" t="n">
        <v>192</v>
      </c>
      <c r="D1553" t="n">
        <v>15661.51</v>
      </c>
    </row>
    <row r="1554">
      <c r="A1554" t="n">
        <v>676</v>
      </c>
      <c r="B1554" t="n">
        <v>24127.08</v>
      </c>
      <c r="C1554" t="n">
        <v>66</v>
      </c>
      <c r="D1554" t="n">
        <v>3806.54</v>
      </c>
    </row>
    <row r="1555">
      <c r="A1555" t="n">
        <v>638</v>
      </c>
      <c r="B1555" t="n">
        <v>33008.02</v>
      </c>
      <c r="C1555" t="n">
        <v>19</v>
      </c>
      <c r="D1555" t="n">
        <v>8806.98</v>
      </c>
    </row>
    <row r="1556">
      <c r="A1556" t="n">
        <v>733</v>
      </c>
      <c r="B1556" t="n">
        <v>10011.08</v>
      </c>
      <c r="C1556" t="n">
        <v>157</v>
      </c>
      <c r="D1556" t="n">
        <v>21273.2</v>
      </c>
    </row>
    <row r="1557">
      <c r="A1557" t="n">
        <v>727</v>
      </c>
      <c r="B1557" t="n">
        <v>8705.610000000001</v>
      </c>
      <c r="C1557" t="n">
        <v>225</v>
      </c>
      <c r="D1557" t="n">
        <v>6466.58</v>
      </c>
    </row>
    <row r="1558">
      <c r="A1558" t="n">
        <v>628</v>
      </c>
      <c r="B1558" t="n">
        <v>14437.99</v>
      </c>
      <c r="C1558" t="n">
        <v>208</v>
      </c>
      <c r="D1558" t="n">
        <v>11053.94</v>
      </c>
    </row>
    <row r="1559">
      <c r="A1559" t="n">
        <v>743</v>
      </c>
      <c r="B1559" t="n">
        <v>14065.65</v>
      </c>
      <c r="C1559" t="n">
        <v>265</v>
      </c>
      <c r="D1559" t="n">
        <v>13794.59</v>
      </c>
    </row>
    <row r="1560">
      <c r="A1560" t="n">
        <v>571</v>
      </c>
      <c r="B1560" t="n">
        <v>19736.93</v>
      </c>
      <c r="C1560" t="n">
        <v>198</v>
      </c>
      <c r="D1560" t="n">
        <v>10488.8</v>
      </c>
    </row>
    <row r="1561">
      <c r="A1561" t="n">
        <v>725</v>
      </c>
      <c r="B1561" t="n">
        <v>5831.92</v>
      </c>
      <c r="C1561" t="n">
        <v>380</v>
      </c>
      <c r="D1561" t="n">
        <v>13328.36</v>
      </c>
    </row>
    <row r="1562">
      <c r="A1562" t="n">
        <v>821</v>
      </c>
      <c r="B1562" t="n">
        <v>7371.04</v>
      </c>
      <c r="C1562" t="n">
        <v>7</v>
      </c>
      <c r="D1562" t="n">
        <v>12022.41</v>
      </c>
    </row>
    <row r="1563">
      <c r="A1563" t="n">
        <v>725</v>
      </c>
      <c r="B1563" t="n">
        <v>15050.66</v>
      </c>
      <c r="C1563" t="n">
        <v>245</v>
      </c>
      <c r="D1563" t="n">
        <v>5767.55</v>
      </c>
    </row>
    <row r="1564">
      <c r="A1564" t="n">
        <v>724</v>
      </c>
      <c r="B1564" t="n">
        <v>4924.08</v>
      </c>
      <c r="C1564" t="n">
        <v>178</v>
      </c>
      <c r="D1564" t="n">
        <v>6127.02</v>
      </c>
    </row>
    <row r="1565">
      <c r="A1565" t="n">
        <v>692</v>
      </c>
      <c r="B1565" t="n">
        <v>10488.8</v>
      </c>
      <c r="C1565" t="n">
        <v>316</v>
      </c>
      <c r="D1565" t="n">
        <v>14447.86</v>
      </c>
    </row>
    <row r="1566">
      <c r="A1566" t="n">
        <v>691</v>
      </c>
      <c r="B1566" t="n">
        <v>15228.48</v>
      </c>
      <c r="C1566" t="n">
        <v>177</v>
      </c>
      <c r="D1566" t="n">
        <v>32295.71</v>
      </c>
    </row>
    <row r="1567">
      <c r="A1567" t="n">
        <v>668</v>
      </c>
      <c r="B1567" t="n">
        <v>16165.07</v>
      </c>
      <c r="C1567" t="n">
        <v>118</v>
      </c>
      <c r="D1567" t="n">
        <v>11543.04</v>
      </c>
    </row>
    <row r="1568">
      <c r="A1568" t="n">
        <v>773</v>
      </c>
      <c r="B1568" t="n">
        <v>7303.4</v>
      </c>
      <c r="C1568" t="n">
        <v>242</v>
      </c>
      <c r="D1568" t="n">
        <v>11033.55</v>
      </c>
    </row>
    <row r="1569">
      <c r="A1569" t="n">
        <v>687</v>
      </c>
      <c r="B1569" t="n">
        <v>14085.56</v>
      </c>
      <c r="C1569" t="n">
        <v>173</v>
      </c>
      <c r="D1569" t="n">
        <v>7303.4</v>
      </c>
    </row>
    <row r="1570">
      <c r="A1570" t="n">
        <v>615</v>
      </c>
      <c r="B1570" t="n">
        <v>24138.8</v>
      </c>
      <c r="C1570" t="n">
        <v>102</v>
      </c>
      <c r="D1570" t="n">
        <v>9204.809999999999</v>
      </c>
    </row>
    <row r="1571">
      <c r="A1571" t="n">
        <v>689</v>
      </c>
      <c r="B1571" t="n">
        <v>12560.02</v>
      </c>
      <c r="C1571" t="n">
        <v>65</v>
      </c>
      <c r="D1571" t="n">
        <v>10931.44</v>
      </c>
    </row>
    <row r="1572">
      <c r="A1572" t="n">
        <v>605</v>
      </c>
      <c r="B1572" t="n">
        <v>29036.02</v>
      </c>
      <c r="C1572" t="n">
        <v>235</v>
      </c>
      <c r="D1572" t="n">
        <v>8163.85</v>
      </c>
    </row>
    <row r="1573">
      <c r="A1573" t="n">
        <v>664</v>
      </c>
      <c r="B1573" t="n">
        <v>18496.95</v>
      </c>
      <c r="C1573" t="n">
        <v>40</v>
      </c>
      <c r="D1573" t="n">
        <v>12826.05</v>
      </c>
    </row>
    <row r="1574">
      <c r="A1574" t="n">
        <v>699</v>
      </c>
      <c r="B1574" t="n">
        <v>9263.93</v>
      </c>
      <c r="C1574" t="n">
        <v>116</v>
      </c>
      <c r="D1574" t="n">
        <v>15103.8</v>
      </c>
    </row>
    <row r="1575">
      <c r="A1575" t="n">
        <v>696</v>
      </c>
      <c r="B1575" t="n">
        <v>25661.78</v>
      </c>
      <c r="C1575" t="n">
        <v>102</v>
      </c>
      <c r="D1575" t="n">
        <v>19977.01</v>
      </c>
    </row>
    <row r="1576">
      <c r="A1576" t="n">
        <v>677</v>
      </c>
      <c r="B1576" t="n">
        <v>22944.06</v>
      </c>
      <c r="C1576" t="n">
        <v>9</v>
      </c>
      <c r="D1576" t="n">
        <v>14700.15</v>
      </c>
    </row>
    <row r="1577">
      <c r="A1577" t="n">
        <v>698</v>
      </c>
      <c r="B1577" t="n">
        <v>13450.68</v>
      </c>
      <c r="C1577" t="n">
        <v>109</v>
      </c>
      <c r="D1577" t="n">
        <v>13778.28</v>
      </c>
    </row>
    <row r="1578">
      <c r="A1578" t="n">
        <v>721</v>
      </c>
      <c r="B1578" t="n">
        <v>9583.07</v>
      </c>
      <c r="C1578" t="n">
        <v>372</v>
      </c>
      <c r="D1578" t="n">
        <v>12461.93</v>
      </c>
    </row>
    <row r="1579">
      <c r="A1579" t="n">
        <v>735</v>
      </c>
      <c r="B1579" t="n">
        <v>4767.9</v>
      </c>
      <c r="C1579" t="n">
        <v>430</v>
      </c>
      <c r="D1579" t="n">
        <v>18143.65</v>
      </c>
    </row>
    <row r="1580">
      <c r="A1580" t="n">
        <v>719</v>
      </c>
      <c r="B1580" t="n">
        <v>18143.65</v>
      </c>
      <c r="C1580" t="n">
        <v>64</v>
      </c>
      <c r="D1580" t="n">
        <v>12721.07</v>
      </c>
    </row>
    <row r="1581">
      <c r="A1581" t="n">
        <v>717</v>
      </c>
      <c r="B1581" t="n">
        <v>15979.13</v>
      </c>
      <c r="C1581" t="n">
        <v>300</v>
      </c>
      <c r="D1581" t="n">
        <v>2378.3</v>
      </c>
    </row>
    <row r="1582">
      <c r="A1582" t="n">
        <v>808</v>
      </c>
      <c r="B1582" t="n">
        <v>5590.01</v>
      </c>
      <c r="C1582" t="n">
        <v>134</v>
      </c>
      <c r="D1582" t="n">
        <v>7304.78</v>
      </c>
    </row>
    <row r="1583">
      <c r="A1583" t="n">
        <v>674</v>
      </c>
      <c r="B1583" t="n">
        <v>8850.83</v>
      </c>
      <c r="C1583" t="n">
        <v>413</v>
      </c>
      <c r="D1583" t="n">
        <v>14217.54</v>
      </c>
    </row>
    <row r="1584">
      <c r="A1584" t="n">
        <v>821</v>
      </c>
      <c r="B1584" t="n">
        <v>7390.39</v>
      </c>
      <c r="C1584" t="n">
        <v>399</v>
      </c>
      <c r="D1584" t="n">
        <v>21171.89</v>
      </c>
    </row>
    <row r="1585">
      <c r="A1585" t="n">
        <v>663</v>
      </c>
      <c r="B1585" t="n">
        <v>21399.31</v>
      </c>
      <c r="C1585" t="n">
        <v>160</v>
      </c>
      <c r="D1585" t="n">
        <v>9241.24</v>
      </c>
    </row>
    <row r="1586">
      <c r="A1586" t="n">
        <v>734</v>
      </c>
      <c r="B1586" t="n">
        <v>4428.86</v>
      </c>
      <c r="C1586" t="n">
        <v>336</v>
      </c>
      <c r="D1586" t="n">
        <v>16644.18</v>
      </c>
    </row>
    <row r="1587">
      <c r="A1587" t="n">
        <v>634</v>
      </c>
      <c r="B1587" t="n">
        <v>25602.1</v>
      </c>
      <c r="C1587" t="n">
        <v>286</v>
      </c>
      <c r="D1587" t="n">
        <v>18952.3</v>
      </c>
    </row>
    <row r="1588">
      <c r="A1588" t="n">
        <v>601</v>
      </c>
      <c r="B1588" t="n">
        <v>29827.04</v>
      </c>
      <c r="C1588" t="n">
        <v>216</v>
      </c>
      <c r="D1588" t="n">
        <v>12753.72</v>
      </c>
    </row>
    <row r="1589">
      <c r="A1589" t="n">
        <v>704</v>
      </c>
      <c r="B1589" t="n">
        <v>16332.07</v>
      </c>
      <c r="C1589" t="n">
        <v>208</v>
      </c>
      <c r="D1589" t="n">
        <v>18055.04</v>
      </c>
    </row>
    <row r="1590">
      <c r="A1590" t="n">
        <v>768</v>
      </c>
      <c r="B1590" t="n">
        <v>9052.879999999999</v>
      </c>
      <c r="C1590" t="n">
        <v>205</v>
      </c>
      <c r="D1590" t="n">
        <v>4420.97</v>
      </c>
    </row>
    <row r="1591">
      <c r="A1591" t="n">
        <v>749</v>
      </c>
      <c r="B1591" t="n">
        <v>6321.25</v>
      </c>
      <c r="C1591" t="n">
        <v>355</v>
      </c>
      <c r="D1591" t="n">
        <v>5223.01</v>
      </c>
    </row>
    <row r="1592">
      <c r="A1592" t="n">
        <v>720</v>
      </c>
      <c r="B1592" t="n">
        <v>10770.52</v>
      </c>
      <c r="C1592" t="n">
        <v>226</v>
      </c>
      <c r="D1592" t="n">
        <v>10503.17</v>
      </c>
    </row>
    <row r="1593">
      <c r="A1593" t="n">
        <v>693</v>
      </c>
      <c r="B1593" t="n">
        <v>19566.23</v>
      </c>
      <c r="C1593" t="n">
        <v>201</v>
      </c>
      <c r="D1593" t="n">
        <v>10760.51</v>
      </c>
    </row>
    <row r="1594">
      <c r="A1594" t="n">
        <v>745</v>
      </c>
      <c r="B1594" t="n">
        <v>21456.3</v>
      </c>
      <c r="C1594" t="n">
        <v>181</v>
      </c>
      <c r="D1594" t="n">
        <v>10295.15</v>
      </c>
    </row>
    <row r="1595">
      <c r="A1595" t="n">
        <v>642</v>
      </c>
      <c r="B1595" t="n">
        <v>6669.88</v>
      </c>
      <c r="C1595" t="n">
        <v>163</v>
      </c>
      <c r="D1595" t="n">
        <v>21456.3</v>
      </c>
    </row>
    <row r="1596">
      <c r="A1596" t="n">
        <v>694</v>
      </c>
      <c r="B1596" t="n">
        <v>18019.71</v>
      </c>
      <c r="C1596" t="n">
        <v>313</v>
      </c>
      <c r="D1596" t="n">
        <v>6669.88</v>
      </c>
    </row>
    <row r="1597">
      <c r="A1597" t="n">
        <v>618</v>
      </c>
      <c r="B1597" t="n">
        <v>15523.33</v>
      </c>
      <c r="C1597" t="n">
        <v>171</v>
      </c>
      <c r="D1597" t="n">
        <v>10408.53</v>
      </c>
    </row>
    <row r="1598">
      <c r="A1598" t="n">
        <v>631</v>
      </c>
      <c r="B1598" t="n">
        <v>18501.36</v>
      </c>
      <c r="C1598" t="n">
        <v>372</v>
      </c>
      <c r="D1598" t="n">
        <v>18462.18</v>
      </c>
    </row>
    <row r="1599">
      <c r="A1599" t="n">
        <v>777</v>
      </c>
      <c r="B1599" t="n">
        <v>1777.01</v>
      </c>
      <c r="C1599" t="n">
        <v>40</v>
      </c>
      <c r="D1599" t="n">
        <v>11139.42</v>
      </c>
    </row>
    <row r="1600">
      <c r="A1600" t="n">
        <v>743</v>
      </c>
      <c r="B1600" t="n">
        <v>5068.09</v>
      </c>
      <c r="C1600" t="n">
        <v>261</v>
      </c>
      <c r="D1600" t="n">
        <v>21231.82</v>
      </c>
    </row>
    <row r="1601">
      <c r="A1601" t="n">
        <v>810</v>
      </c>
      <c r="B1601" t="n">
        <v>7537.12</v>
      </c>
      <c r="C1601" t="n">
        <v>182</v>
      </c>
      <c r="D1601" t="n">
        <v>11272.93</v>
      </c>
    </row>
    <row r="1602">
      <c r="A1602" t="n">
        <v>721</v>
      </c>
      <c r="B1602" t="n">
        <v>2929.1</v>
      </c>
      <c r="C1602" t="n">
        <v>429</v>
      </c>
      <c r="D1602" t="n">
        <v>11776.32</v>
      </c>
    </row>
    <row r="1603">
      <c r="A1603" t="n">
        <v>750</v>
      </c>
      <c r="B1603" t="n">
        <v>11272.93</v>
      </c>
      <c r="C1603" t="n">
        <v>290</v>
      </c>
      <c r="D1603" t="n">
        <v>18891.73</v>
      </c>
    </row>
    <row r="1604">
      <c r="A1604" t="n">
        <v>769</v>
      </c>
      <c r="B1604" t="n">
        <v>4820.02</v>
      </c>
      <c r="C1604" t="n">
        <v>382</v>
      </c>
      <c r="D1604" t="n">
        <v>24288.07</v>
      </c>
    </row>
    <row r="1605">
      <c r="A1605" t="n">
        <v>698</v>
      </c>
      <c r="B1605" t="n">
        <v>14347.92</v>
      </c>
      <c r="C1605" t="n">
        <v>213</v>
      </c>
      <c r="D1605" t="n">
        <v>13906.8</v>
      </c>
    </row>
    <row r="1606">
      <c r="A1606" t="n">
        <v>668</v>
      </c>
      <c r="B1606" t="n">
        <v>17269.53</v>
      </c>
      <c r="C1606" t="n">
        <v>96</v>
      </c>
      <c r="D1606" t="n">
        <v>11390.82</v>
      </c>
    </row>
    <row r="1607">
      <c r="A1607" t="n">
        <v>746</v>
      </c>
      <c r="B1607" t="n">
        <v>8901.07</v>
      </c>
      <c r="C1607" t="n">
        <v>86</v>
      </c>
      <c r="D1607" t="n">
        <v>5491.31</v>
      </c>
    </row>
    <row r="1608">
      <c r="A1608" t="n">
        <v>799</v>
      </c>
      <c r="B1608" t="n">
        <v>716.23</v>
      </c>
      <c r="C1608" t="n">
        <v>1</v>
      </c>
      <c r="D1608" t="n">
        <v>15519.32</v>
      </c>
    </row>
    <row r="1609">
      <c r="A1609" t="n">
        <v>753</v>
      </c>
      <c r="B1609" t="n">
        <v>2549.43</v>
      </c>
      <c r="C1609" t="n">
        <v>345</v>
      </c>
      <c r="D1609" t="n">
        <v>2122.47</v>
      </c>
    </row>
    <row r="1610">
      <c r="A1610" t="n">
        <v>684</v>
      </c>
      <c r="B1610" t="n">
        <v>658.4</v>
      </c>
      <c r="C1610" t="n">
        <v>78</v>
      </c>
      <c r="D1610" t="n">
        <v>15189.79</v>
      </c>
    </row>
    <row r="1611">
      <c r="A1611" t="n">
        <v>720</v>
      </c>
      <c r="B1611" t="n">
        <v>13436.72</v>
      </c>
      <c r="C1611" t="n">
        <v>47</v>
      </c>
      <c r="D1611" t="n">
        <v>6558.78</v>
      </c>
    </row>
    <row r="1612">
      <c r="A1612" t="n">
        <v>714</v>
      </c>
      <c r="B1612" t="n">
        <v>14254.65</v>
      </c>
      <c r="C1612" t="n">
        <v>77</v>
      </c>
      <c r="D1612" t="n">
        <v>13436.72</v>
      </c>
    </row>
    <row r="1613">
      <c r="A1613" t="n">
        <v>594</v>
      </c>
      <c r="B1613" t="n">
        <v>20317.81</v>
      </c>
      <c r="C1613" t="n">
        <v>131</v>
      </c>
      <c r="D1613" t="n">
        <v>22582.02</v>
      </c>
    </row>
    <row r="1614">
      <c r="A1614" t="n">
        <v>798</v>
      </c>
      <c r="B1614" t="n">
        <v>4581.86</v>
      </c>
      <c r="C1614" t="n">
        <v>157</v>
      </c>
      <c r="D1614" t="n">
        <v>12209.36</v>
      </c>
    </row>
    <row r="1615">
      <c r="A1615" t="n">
        <v>660</v>
      </c>
      <c r="B1615" t="n">
        <v>18962.86</v>
      </c>
      <c r="C1615" t="n">
        <v>409</v>
      </c>
      <c r="D1615" t="n">
        <v>9827.35</v>
      </c>
    </row>
    <row r="1616">
      <c r="A1616" t="n">
        <v>667</v>
      </c>
      <c r="B1616" t="n">
        <v>26975.51</v>
      </c>
      <c r="C1616" t="n">
        <v>318</v>
      </c>
      <c r="D1616" t="n">
        <v>3997.15</v>
      </c>
    </row>
    <row r="1617">
      <c r="A1617" t="n">
        <v>839</v>
      </c>
      <c r="B1617" t="n">
        <v>3230.08</v>
      </c>
      <c r="C1617" t="n">
        <v>357</v>
      </c>
      <c r="D1617" t="n">
        <v>6026.73</v>
      </c>
    </row>
    <row r="1618">
      <c r="A1618" t="n">
        <v>832</v>
      </c>
      <c r="B1618" t="n">
        <v>3785.19</v>
      </c>
      <c r="C1618" t="n">
        <v>337</v>
      </c>
      <c r="D1618" t="n">
        <v>12441.14</v>
      </c>
    </row>
    <row r="1619">
      <c r="A1619" t="n">
        <v>786</v>
      </c>
      <c r="B1619" t="n">
        <v>3997.15</v>
      </c>
      <c r="C1619" t="n">
        <v>56</v>
      </c>
      <c r="D1619" t="n">
        <v>10751.33</v>
      </c>
    </row>
    <row r="1620">
      <c r="A1620" t="n">
        <v>709</v>
      </c>
      <c r="B1620" t="n">
        <v>7590.48</v>
      </c>
      <c r="C1620" t="n">
        <v>193</v>
      </c>
      <c r="D1620" t="n">
        <v>605.4299999999999</v>
      </c>
    </row>
    <row r="1621">
      <c r="A1621" t="n">
        <v>750</v>
      </c>
      <c r="B1621" t="n">
        <v>16946.71</v>
      </c>
      <c r="C1621" t="n">
        <v>159</v>
      </c>
      <c r="D1621" t="n">
        <v>8855.73</v>
      </c>
    </row>
    <row r="1622">
      <c r="A1622" t="n">
        <v>766</v>
      </c>
      <c r="B1622" t="n">
        <v>8855.73</v>
      </c>
      <c r="C1622" t="n">
        <v>134</v>
      </c>
      <c r="D1622" t="n">
        <v>11443.27</v>
      </c>
    </row>
    <row r="1623">
      <c r="A1623" t="n">
        <v>742</v>
      </c>
      <c r="B1623" t="n">
        <v>11443.27</v>
      </c>
      <c r="C1623" t="n">
        <v>10</v>
      </c>
      <c r="D1623" t="n">
        <v>9842.92</v>
      </c>
    </row>
    <row r="1624">
      <c r="A1624" t="n">
        <v>699</v>
      </c>
      <c r="B1624" t="n">
        <v>9621.120000000001</v>
      </c>
      <c r="C1624" t="n">
        <v>280</v>
      </c>
      <c r="D1624" t="n">
        <v>9184.75</v>
      </c>
    </row>
    <row r="1625">
      <c r="A1625" t="n">
        <v>666</v>
      </c>
      <c r="B1625" t="n">
        <v>20548.09</v>
      </c>
      <c r="C1625" t="n">
        <v>48</v>
      </c>
      <c r="D1625" t="n">
        <v>7172.6</v>
      </c>
    </row>
    <row r="1626">
      <c r="A1626" t="n">
        <v>747</v>
      </c>
      <c r="B1626" t="n">
        <v>4887.46</v>
      </c>
      <c r="C1626" t="n">
        <v>239</v>
      </c>
      <c r="D1626" t="n">
        <v>3469.97</v>
      </c>
    </row>
    <row r="1627">
      <c r="A1627" t="n">
        <v>711</v>
      </c>
      <c r="B1627" t="n">
        <v>7538.55</v>
      </c>
      <c r="C1627" t="n">
        <v>361</v>
      </c>
      <c r="D1627" t="n">
        <v>12232.13</v>
      </c>
    </row>
    <row r="1628">
      <c r="A1628" t="n">
        <v>687</v>
      </c>
      <c r="B1628" t="n">
        <v>21949.06</v>
      </c>
      <c r="C1628" t="n">
        <v>335</v>
      </c>
      <c r="D1628" t="n">
        <v>18201.1</v>
      </c>
    </row>
    <row r="1629">
      <c r="A1629" t="n">
        <v>705</v>
      </c>
      <c r="B1629" t="n">
        <v>16679.65</v>
      </c>
      <c r="C1629" t="n">
        <v>69</v>
      </c>
      <c r="D1629" t="n">
        <v>3860.85</v>
      </c>
    </row>
    <row r="1630">
      <c r="A1630" t="n">
        <v>649</v>
      </c>
      <c r="B1630" t="n">
        <v>10819.71</v>
      </c>
      <c r="C1630" t="n">
        <v>433</v>
      </c>
      <c r="D1630" t="n">
        <v>24465.73</v>
      </c>
    </row>
    <row r="1631">
      <c r="A1631" t="n">
        <v>695</v>
      </c>
      <c r="B1631" t="n">
        <v>15261.73</v>
      </c>
      <c r="C1631" t="n">
        <v>168</v>
      </c>
      <c r="D1631" t="n">
        <v>8651.67</v>
      </c>
    </row>
    <row r="1632">
      <c r="A1632" t="n">
        <v>798</v>
      </c>
      <c r="B1632" t="n">
        <v>4185.37</v>
      </c>
      <c r="C1632" t="n">
        <v>226</v>
      </c>
      <c r="D1632" t="n">
        <v>18779.3</v>
      </c>
    </row>
    <row r="1633">
      <c r="A1633" t="n">
        <v>788</v>
      </c>
      <c r="B1633" t="n">
        <v>4567.23</v>
      </c>
      <c r="C1633" t="n">
        <v>182</v>
      </c>
      <c r="D1633" t="n">
        <v>3101.45</v>
      </c>
    </row>
    <row r="1634">
      <c r="A1634" t="n">
        <v>683</v>
      </c>
      <c r="B1634" t="n">
        <v>4442.9</v>
      </c>
      <c r="C1634" t="n">
        <v>400</v>
      </c>
      <c r="D1634" t="n">
        <v>11984.03</v>
      </c>
    </row>
    <row r="1635">
      <c r="A1635" t="n">
        <v>792</v>
      </c>
      <c r="B1635" t="n">
        <v>5753.11</v>
      </c>
      <c r="C1635" t="n">
        <v>297</v>
      </c>
      <c r="D1635" t="n">
        <v>11499.96</v>
      </c>
    </row>
    <row r="1636">
      <c r="A1636" t="n">
        <v>706</v>
      </c>
      <c r="B1636" t="n">
        <v>11984.03</v>
      </c>
      <c r="C1636" t="n">
        <v>376</v>
      </c>
      <c r="D1636" t="n">
        <v>3339.86</v>
      </c>
    </row>
    <row r="1637">
      <c r="A1637" t="n">
        <v>686</v>
      </c>
      <c r="B1637" t="n">
        <v>14768.9</v>
      </c>
      <c r="C1637" t="n">
        <v>332</v>
      </c>
      <c r="D1637" t="n">
        <v>7891.74</v>
      </c>
    </row>
    <row r="1638">
      <c r="A1638" t="n">
        <v>692</v>
      </c>
      <c r="B1638" t="n">
        <v>7445.04</v>
      </c>
      <c r="C1638" t="n">
        <v>116</v>
      </c>
      <c r="D1638" t="n">
        <v>15332.09</v>
      </c>
    </row>
    <row r="1639">
      <c r="A1639" t="n">
        <v>768</v>
      </c>
      <c r="B1639" t="n">
        <v>4688.68</v>
      </c>
      <c r="C1639" t="n">
        <v>294</v>
      </c>
      <c r="D1639" t="n">
        <v>0</v>
      </c>
    </row>
    <row r="1640">
      <c r="A1640" t="n">
        <v>611</v>
      </c>
      <c r="B1640" t="n">
        <v>6421</v>
      </c>
      <c r="C1640" t="n">
        <v>135</v>
      </c>
      <c r="D1640" t="n">
        <v>14188.43</v>
      </c>
    </row>
    <row r="1641">
      <c r="A1641" t="n">
        <v>623</v>
      </c>
      <c r="B1641" t="n">
        <v>18140.02</v>
      </c>
      <c r="C1641" t="n">
        <v>361</v>
      </c>
      <c r="D1641" t="n">
        <v>269.81</v>
      </c>
    </row>
    <row r="1642">
      <c r="A1642" t="n">
        <v>826</v>
      </c>
      <c r="B1642" t="n">
        <v>3344.51</v>
      </c>
      <c r="C1642" t="n">
        <v>342</v>
      </c>
      <c r="D1642" t="n">
        <v>13972.12</v>
      </c>
    </row>
    <row r="1643">
      <c r="A1643" t="n">
        <v>560</v>
      </c>
      <c r="B1643" t="n">
        <v>21597.75</v>
      </c>
      <c r="C1643" t="n">
        <v>115</v>
      </c>
      <c r="D1643" t="n">
        <v>7266.22</v>
      </c>
    </row>
    <row r="1644">
      <c r="A1644" t="n">
        <v>617</v>
      </c>
      <c r="B1644" t="n">
        <v>23402.1</v>
      </c>
      <c r="C1644" t="n">
        <v>371</v>
      </c>
      <c r="D1644" t="n">
        <v>8176.3</v>
      </c>
    </row>
    <row r="1645">
      <c r="A1645" t="n">
        <v>844</v>
      </c>
      <c r="B1645" t="n">
        <v>4448.65</v>
      </c>
      <c r="C1645" t="n">
        <v>12</v>
      </c>
      <c r="D1645" t="n">
        <v>15367.4</v>
      </c>
    </row>
    <row r="1646">
      <c r="A1646" t="n">
        <v>788</v>
      </c>
      <c r="B1646" t="n">
        <v>0</v>
      </c>
      <c r="C1646" t="n">
        <v>8</v>
      </c>
      <c r="D1646" t="n">
        <v>5408.47</v>
      </c>
    </row>
    <row r="1647">
      <c r="A1647" t="n">
        <v>740</v>
      </c>
      <c r="B1647" t="n">
        <v>13972.12</v>
      </c>
      <c r="C1647" t="n">
        <v>28</v>
      </c>
      <c r="D1647" t="n">
        <v>7460.88</v>
      </c>
    </row>
    <row r="1648">
      <c r="A1648" t="n">
        <v>761</v>
      </c>
      <c r="B1648" t="n">
        <v>7957.49</v>
      </c>
      <c r="C1648" t="n">
        <v>6</v>
      </c>
      <c r="D1648" t="n">
        <v>15948.22</v>
      </c>
    </row>
    <row r="1649">
      <c r="A1649" t="n">
        <v>697</v>
      </c>
      <c r="B1649" t="n">
        <v>14152.39</v>
      </c>
      <c r="C1649" t="n">
        <v>117</v>
      </c>
      <c r="D1649" t="n">
        <v>12011.46</v>
      </c>
    </row>
    <row r="1650">
      <c r="A1650" t="n">
        <v>723</v>
      </c>
      <c r="B1650" t="n">
        <v>5408.47</v>
      </c>
      <c r="C1650" t="n">
        <v>280</v>
      </c>
      <c r="D1650" t="n">
        <v>14270.35</v>
      </c>
    </row>
    <row r="1651">
      <c r="A1651" t="n">
        <v>702</v>
      </c>
      <c r="B1651" t="n">
        <v>2162.64</v>
      </c>
      <c r="C1651" t="n">
        <v>189</v>
      </c>
      <c r="D1651" t="n">
        <v>20478.45</v>
      </c>
    </row>
    <row r="1652">
      <c r="A1652" t="n">
        <v>689</v>
      </c>
      <c r="B1652" t="n">
        <v>2127.63</v>
      </c>
      <c r="C1652" t="n">
        <v>373</v>
      </c>
      <c r="D1652" t="n">
        <v>11980.66</v>
      </c>
    </row>
    <row r="1653">
      <c r="A1653" t="n">
        <v>697</v>
      </c>
      <c r="B1653" t="n">
        <v>20478.45</v>
      </c>
      <c r="C1653" t="n">
        <v>356</v>
      </c>
      <c r="D1653" t="n">
        <v>22134.55</v>
      </c>
    </row>
    <row r="1654">
      <c r="A1654" t="n">
        <v>707</v>
      </c>
      <c r="B1654" t="n">
        <v>5295.28</v>
      </c>
      <c r="C1654" t="n">
        <v>364</v>
      </c>
      <c r="D1654" t="n">
        <v>3909.45</v>
      </c>
    </row>
    <row r="1655">
      <c r="A1655" t="n">
        <v>668</v>
      </c>
      <c r="B1655" t="n">
        <v>14511.31</v>
      </c>
      <c r="C1655" t="n">
        <v>138</v>
      </c>
      <c r="D1655" t="n">
        <v>3039.56</v>
      </c>
    </row>
    <row r="1656">
      <c r="A1656" t="n">
        <v>602</v>
      </c>
      <c r="B1656" t="n">
        <v>10407.59</v>
      </c>
      <c r="C1656" t="n">
        <v>149</v>
      </c>
      <c r="D1656" t="n">
        <v>8830</v>
      </c>
    </row>
    <row r="1657">
      <c r="A1657" t="n">
        <v>636</v>
      </c>
      <c r="B1657" t="n">
        <v>11980.66</v>
      </c>
      <c r="C1657" t="n">
        <v>108</v>
      </c>
      <c r="D1657" t="n">
        <v>9015.389999999999</v>
      </c>
    </row>
    <row r="1658">
      <c r="A1658" t="n">
        <v>735</v>
      </c>
      <c r="B1658" t="n">
        <v>22134.55</v>
      </c>
      <c r="C1658" t="n">
        <v>217</v>
      </c>
      <c r="D1658" t="n">
        <v>8141.05</v>
      </c>
    </row>
    <row r="1659">
      <c r="A1659" t="n">
        <v>558</v>
      </c>
      <c r="B1659" t="n">
        <v>27807.96</v>
      </c>
      <c r="C1659" t="n">
        <v>360</v>
      </c>
      <c r="D1659" t="n">
        <v>16398.71</v>
      </c>
    </row>
    <row r="1660">
      <c r="A1660" t="n">
        <v>689</v>
      </c>
      <c r="B1660" t="n">
        <v>8141.05</v>
      </c>
      <c r="C1660" t="n">
        <v>222</v>
      </c>
      <c r="D1660" t="n">
        <v>15245.73</v>
      </c>
    </row>
    <row r="1661">
      <c r="A1661" t="n">
        <v>697</v>
      </c>
      <c r="B1661" t="n">
        <v>16398.71</v>
      </c>
      <c r="C1661" t="n">
        <v>270</v>
      </c>
      <c r="D1661" t="n">
        <v>2187.07</v>
      </c>
    </row>
    <row r="1662">
      <c r="A1662" t="n">
        <v>676</v>
      </c>
      <c r="B1662" t="n">
        <v>11316.28</v>
      </c>
      <c r="C1662" t="n">
        <v>10</v>
      </c>
      <c r="D1662" t="n">
        <v>23487.87</v>
      </c>
    </row>
    <row r="1663">
      <c r="A1663" t="n">
        <v>619</v>
      </c>
      <c r="B1663" t="n">
        <v>23487.87</v>
      </c>
      <c r="C1663" t="n">
        <v>154</v>
      </c>
      <c r="D1663" t="n">
        <v>4896.26</v>
      </c>
    </row>
    <row r="1664">
      <c r="A1664" t="n">
        <v>765</v>
      </c>
      <c r="B1664" t="n">
        <v>3497.98</v>
      </c>
      <c r="C1664" t="n">
        <v>314</v>
      </c>
      <c r="D1664" t="n">
        <v>12527.22</v>
      </c>
    </row>
    <row r="1665">
      <c r="A1665" t="n">
        <v>685</v>
      </c>
      <c r="B1665" t="n">
        <v>12527.22</v>
      </c>
      <c r="C1665" t="n">
        <v>382</v>
      </c>
      <c r="D1665" t="n">
        <v>17349.95</v>
      </c>
    </row>
    <row r="1666">
      <c r="A1666" t="n">
        <v>658</v>
      </c>
      <c r="B1666" t="n">
        <v>11477.27</v>
      </c>
      <c r="C1666" t="n">
        <v>315</v>
      </c>
      <c r="D1666" t="n">
        <v>24881.45</v>
      </c>
    </row>
    <row r="1667">
      <c r="A1667" t="n">
        <v>626</v>
      </c>
      <c r="B1667" t="n">
        <v>11461.12</v>
      </c>
      <c r="C1667" t="n">
        <v>154</v>
      </c>
      <c r="D1667" t="n">
        <v>7486.45</v>
      </c>
    </row>
    <row r="1668">
      <c r="A1668" t="n">
        <v>741</v>
      </c>
      <c r="B1668" t="n">
        <v>7486.45</v>
      </c>
      <c r="C1668" t="n">
        <v>117</v>
      </c>
      <c r="D1668" t="n">
        <v>3839.72</v>
      </c>
    </row>
    <row r="1669">
      <c r="A1669" t="n">
        <v>638</v>
      </c>
      <c r="B1669" t="n">
        <v>21567.95</v>
      </c>
      <c r="C1669" t="n">
        <v>163</v>
      </c>
      <c r="D1669" t="n">
        <v>6819.73</v>
      </c>
    </row>
    <row r="1670">
      <c r="A1670" t="n">
        <v>802</v>
      </c>
      <c r="B1670" t="n">
        <v>6819.73</v>
      </c>
      <c r="C1670" t="n">
        <v>150</v>
      </c>
      <c r="D1670" t="n">
        <v>5070.25</v>
      </c>
    </row>
    <row r="1671">
      <c r="A1671" t="n">
        <v>643</v>
      </c>
      <c r="B1671" t="n">
        <v>12658.06</v>
      </c>
      <c r="C1671" t="n">
        <v>329</v>
      </c>
      <c r="D1671" t="n">
        <v>28337.83</v>
      </c>
    </row>
    <row r="1672">
      <c r="A1672" t="n">
        <v>746</v>
      </c>
      <c r="B1672" t="n">
        <v>8205.58</v>
      </c>
      <c r="C1672" t="n">
        <v>400</v>
      </c>
      <c r="D1672" t="n">
        <v>10716.58</v>
      </c>
    </row>
    <row r="1673">
      <c r="A1673" t="n">
        <v>750</v>
      </c>
      <c r="B1673" t="n">
        <v>7087.18</v>
      </c>
      <c r="C1673" t="n">
        <v>130</v>
      </c>
      <c r="D1673" t="n">
        <v>3729.84</v>
      </c>
    </row>
    <row r="1674">
      <c r="A1674" t="n">
        <v>630</v>
      </c>
      <c r="B1674" t="n">
        <v>6617.29</v>
      </c>
      <c r="C1674" t="n">
        <v>89</v>
      </c>
      <c r="D1674" t="n">
        <v>21905.63</v>
      </c>
    </row>
    <row r="1675">
      <c r="A1675" t="n">
        <v>656</v>
      </c>
      <c r="B1675" t="n">
        <v>21905.63</v>
      </c>
      <c r="C1675" t="n">
        <v>400</v>
      </c>
      <c r="D1675" t="n">
        <v>7136.79</v>
      </c>
    </row>
    <row r="1676">
      <c r="A1676" t="n">
        <v>759</v>
      </c>
      <c r="B1676" t="n">
        <v>11542.6</v>
      </c>
      <c r="C1676" t="n">
        <v>339</v>
      </c>
      <c r="D1676" t="n">
        <v>10470.46</v>
      </c>
    </row>
    <row r="1677">
      <c r="A1677" t="n">
        <v>734</v>
      </c>
      <c r="B1677" t="n">
        <v>12404.51</v>
      </c>
      <c r="C1677" t="n">
        <v>124</v>
      </c>
      <c r="D1677" t="n">
        <v>4295.21</v>
      </c>
    </row>
    <row r="1678">
      <c r="A1678" t="n">
        <v>696</v>
      </c>
      <c r="B1678" t="n">
        <v>4225.01</v>
      </c>
      <c r="C1678" t="n">
        <v>247</v>
      </c>
      <c r="D1678" t="n">
        <v>21959.29</v>
      </c>
    </row>
    <row r="1679">
      <c r="A1679" t="n">
        <v>668</v>
      </c>
      <c r="B1679" t="n">
        <v>20959.4</v>
      </c>
      <c r="C1679" t="n">
        <v>246</v>
      </c>
      <c r="D1679" t="n">
        <v>7490.85</v>
      </c>
    </row>
    <row r="1680">
      <c r="A1680" t="n">
        <v>758</v>
      </c>
      <c r="B1680" t="n">
        <v>4295.21</v>
      </c>
      <c r="C1680" t="n">
        <v>22</v>
      </c>
      <c r="D1680" t="n">
        <v>19897.08</v>
      </c>
    </row>
    <row r="1681">
      <c r="A1681" t="n">
        <v>661</v>
      </c>
      <c r="B1681" t="n">
        <v>7490.85</v>
      </c>
      <c r="C1681" t="n">
        <v>198</v>
      </c>
      <c r="D1681" t="n">
        <v>6987.45</v>
      </c>
    </row>
    <row r="1682">
      <c r="A1682" t="n">
        <v>692</v>
      </c>
      <c r="B1682" t="n">
        <v>19897.08</v>
      </c>
      <c r="C1682" t="n">
        <v>78</v>
      </c>
      <c r="D1682" t="n">
        <v>864.51</v>
      </c>
    </row>
    <row r="1683">
      <c r="A1683" t="n">
        <v>756</v>
      </c>
      <c r="B1683" t="n">
        <v>864.51</v>
      </c>
      <c r="C1683" t="n">
        <v>220</v>
      </c>
      <c r="D1683" t="n">
        <v>9425.25</v>
      </c>
    </row>
    <row r="1684">
      <c r="A1684" t="n">
        <v>590</v>
      </c>
      <c r="B1684" t="n">
        <v>16900.49</v>
      </c>
      <c r="C1684" t="n">
        <v>130</v>
      </c>
      <c r="D1684" t="n">
        <v>23740.11</v>
      </c>
    </row>
    <row r="1685">
      <c r="A1685" t="n">
        <v>695</v>
      </c>
      <c r="B1685" t="n">
        <v>11436.51</v>
      </c>
      <c r="C1685" t="n">
        <v>12</v>
      </c>
      <c r="D1685" t="n">
        <v>9133.98</v>
      </c>
    </row>
    <row r="1686">
      <c r="A1686" t="n">
        <v>660</v>
      </c>
      <c r="B1686" t="n">
        <v>20372.99</v>
      </c>
      <c r="C1686" t="n">
        <v>343</v>
      </c>
      <c r="D1686" t="n">
        <v>15628.99</v>
      </c>
    </row>
    <row r="1687">
      <c r="A1687" t="n">
        <v>698</v>
      </c>
      <c r="B1687" t="n">
        <v>20570.98</v>
      </c>
      <c r="C1687" t="n">
        <v>418</v>
      </c>
      <c r="D1687" t="n">
        <v>10732.96</v>
      </c>
    </row>
    <row r="1688">
      <c r="A1688" t="n">
        <v>832</v>
      </c>
      <c r="B1688" t="n">
        <v>3203.78</v>
      </c>
      <c r="C1688" t="n">
        <v>45</v>
      </c>
      <c r="D1688" t="n">
        <v>3309.92</v>
      </c>
    </row>
    <row r="1689">
      <c r="A1689" t="n">
        <v>792</v>
      </c>
      <c r="B1689" t="n">
        <v>7827.58</v>
      </c>
      <c r="C1689" t="n">
        <v>189</v>
      </c>
      <c r="D1689" t="n">
        <v>14844.65</v>
      </c>
    </row>
    <row r="1690">
      <c r="A1690" t="n">
        <v>700</v>
      </c>
      <c r="B1690" t="n">
        <v>10885.14</v>
      </c>
      <c r="C1690" t="n">
        <v>432</v>
      </c>
      <c r="D1690" t="n">
        <v>16944.76</v>
      </c>
    </row>
    <row r="1691">
      <c r="A1691" t="n">
        <v>720</v>
      </c>
      <c r="B1691" t="n">
        <v>3309.92</v>
      </c>
      <c r="C1691" t="n">
        <v>197</v>
      </c>
      <c r="D1691" t="n">
        <v>1577.05</v>
      </c>
    </row>
    <row r="1692">
      <c r="A1692" t="n">
        <v>575</v>
      </c>
      <c r="B1692" t="n">
        <v>14932.99</v>
      </c>
      <c r="C1692" t="n">
        <v>204</v>
      </c>
      <c r="D1692" t="n">
        <v>6730.69</v>
      </c>
    </row>
    <row r="1693">
      <c r="A1693" t="n">
        <v>633</v>
      </c>
      <c r="B1693" t="n">
        <v>19298.79</v>
      </c>
      <c r="C1693" t="n">
        <v>58</v>
      </c>
      <c r="D1693" t="n">
        <v>13222.19</v>
      </c>
    </row>
    <row r="1694">
      <c r="A1694" t="n">
        <v>717</v>
      </c>
      <c r="B1694" t="n">
        <v>14851.14</v>
      </c>
      <c r="C1694" t="n">
        <v>165</v>
      </c>
      <c r="D1694" t="n">
        <v>14972.08</v>
      </c>
    </row>
    <row r="1695">
      <c r="A1695" t="n">
        <v>753</v>
      </c>
      <c r="B1695" t="n">
        <v>9460.85</v>
      </c>
      <c r="C1695" t="n">
        <v>147</v>
      </c>
      <c r="D1695" t="n">
        <v>11267.4</v>
      </c>
    </row>
    <row r="1696">
      <c r="A1696" t="n">
        <v>760</v>
      </c>
      <c r="B1696" t="n">
        <v>5866.43</v>
      </c>
      <c r="C1696" t="n">
        <v>385</v>
      </c>
      <c r="D1696" t="n">
        <v>14963.01</v>
      </c>
    </row>
    <row r="1697">
      <c r="A1697" t="n">
        <v>695</v>
      </c>
      <c r="B1697" t="n">
        <v>7274.83</v>
      </c>
      <c r="C1697" t="n">
        <v>25</v>
      </c>
      <c r="D1697" t="n">
        <v>13958.36</v>
      </c>
    </row>
    <row r="1698">
      <c r="A1698" t="n">
        <v>665</v>
      </c>
      <c r="B1698" t="n">
        <v>13555.63</v>
      </c>
      <c r="C1698" t="n">
        <v>206</v>
      </c>
      <c r="D1698" t="n">
        <v>11392.77</v>
      </c>
    </row>
    <row r="1699">
      <c r="A1699" t="n">
        <v>661</v>
      </c>
      <c r="B1699" t="n">
        <v>21315.3</v>
      </c>
      <c r="C1699" t="n">
        <v>248</v>
      </c>
      <c r="D1699" t="n">
        <v>13381.07</v>
      </c>
    </row>
    <row r="1700">
      <c r="A1700" t="n">
        <v>743</v>
      </c>
      <c r="B1700" t="n">
        <v>8295.99</v>
      </c>
      <c r="C1700" t="n">
        <v>101</v>
      </c>
      <c r="D1700" t="n">
        <v>3320.08</v>
      </c>
    </row>
    <row r="1701">
      <c r="A1701" t="n">
        <v>633</v>
      </c>
      <c r="B1701" t="n">
        <v>21235.26</v>
      </c>
      <c r="C1701" t="n">
        <v>254</v>
      </c>
      <c r="D1701" t="n">
        <v>17498.16</v>
      </c>
    </row>
    <row r="1702">
      <c r="A1702" t="n">
        <v>786</v>
      </c>
      <c r="B1702" t="n">
        <v>2692.64</v>
      </c>
      <c r="C1702" t="n">
        <v>191</v>
      </c>
      <c r="D1702" t="n">
        <v>3492.6</v>
      </c>
    </row>
    <row r="1703">
      <c r="A1703" t="n">
        <v>753</v>
      </c>
      <c r="B1703" t="n">
        <v>8848.870000000001</v>
      </c>
      <c r="C1703" t="n">
        <v>256</v>
      </c>
      <c r="D1703" t="n">
        <v>24574.53</v>
      </c>
    </row>
    <row r="1704">
      <c r="A1704" t="n">
        <v>837</v>
      </c>
      <c r="B1704" t="n">
        <v>3492.6</v>
      </c>
      <c r="C1704" t="n">
        <v>291</v>
      </c>
      <c r="D1704" t="n">
        <v>13117.81</v>
      </c>
    </row>
    <row r="1705">
      <c r="A1705" t="n">
        <v>692</v>
      </c>
      <c r="B1705" t="n">
        <v>11705.76</v>
      </c>
      <c r="C1705" t="n">
        <v>197</v>
      </c>
      <c r="D1705" t="n">
        <v>5393.04</v>
      </c>
    </row>
    <row r="1706">
      <c r="A1706" t="n">
        <v>759</v>
      </c>
      <c r="B1706" t="n">
        <v>18023.84</v>
      </c>
      <c r="C1706" t="n">
        <v>3</v>
      </c>
      <c r="D1706" t="n">
        <v>15503.23</v>
      </c>
    </row>
    <row r="1707">
      <c r="A1707" t="n">
        <v>652</v>
      </c>
      <c r="B1707" t="n">
        <v>17815.55</v>
      </c>
      <c r="C1707" t="n">
        <v>65</v>
      </c>
      <c r="D1707" t="n">
        <v>4564.24</v>
      </c>
    </row>
    <row r="1708">
      <c r="A1708" t="n">
        <v>775</v>
      </c>
      <c r="B1708" t="n">
        <v>5393.04</v>
      </c>
      <c r="C1708" t="n">
        <v>364</v>
      </c>
      <c r="D1708" t="n">
        <v>12123.13</v>
      </c>
    </row>
    <row r="1709">
      <c r="A1709" t="n">
        <v>727</v>
      </c>
      <c r="B1709" t="n">
        <v>15604.19</v>
      </c>
      <c r="C1709" t="n">
        <v>83</v>
      </c>
      <c r="D1709" t="n">
        <v>4947.56</v>
      </c>
    </row>
    <row r="1710">
      <c r="A1710" t="n">
        <v>714</v>
      </c>
      <c r="B1710" t="n">
        <v>4947.56</v>
      </c>
      <c r="C1710" t="n">
        <v>6</v>
      </c>
      <c r="D1710" t="n">
        <v>19087.72</v>
      </c>
    </row>
    <row r="1711">
      <c r="A1711" t="n">
        <v>741</v>
      </c>
      <c r="B1711" t="n">
        <v>12849.19</v>
      </c>
      <c r="C1711" t="n">
        <v>31</v>
      </c>
      <c r="D1711" t="n">
        <v>3998.34</v>
      </c>
    </row>
    <row r="1712">
      <c r="A1712" t="n">
        <v>644</v>
      </c>
      <c r="B1712" t="n">
        <v>21074.12</v>
      </c>
      <c r="C1712" t="n">
        <v>265</v>
      </c>
      <c r="D1712" t="n">
        <v>6389.49</v>
      </c>
    </row>
    <row r="1713">
      <c r="A1713" t="n">
        <v>686</v>
      </c>
      <c r="B1713" t="n">
        <v>11830.92</v>
      </c>
      <c r="C1713" t="n">
        <v>267</v>
      </c>
      <c r="D1713" t="n">
        <v>13566.75</v>
      </c>
    </row>
    <row r="1714">
      <c r="A1714" t="n">
        <v>789</v>
      </c>
      <c r="B1714" t="n">
        <v>12014.43</v>
      </c>
      <c r="C1714" t="n">
        <v>261</v>
      </c>
      <c r="D1714" t="n">
        <v>23010.69</v>
      </c>
    </row>
    <row r="1715">
      <c r="A1715" t="n">
        <v>648</v>
      </c>
      <c r="B1715" t="n">
        <v>10653.25</v>
      </c>
      <c r="C1715" t="n">
        <v>205</v>
      </c>
      <c r="D1715" t="n">
        <v>8481.690000000001</v>
      </c>
    </row>
    <row r="1716">
      <c r="A1716" t="n">
        <v>756</v>
      </c>
      <c r="B1716" t="n">
        <v>5055.78</v>
      </c>
      <c r="C1716" t="n">
        <v>366</v>
      </c>
      <c r="D1716" t="n">
        <v>4905.92</v>
      </c>
    </row>
    <row r="1717">
      <c r="A1717" t="n">
        <v>680</v>
      </c>
      <c r="B1717" t="n">
        <v>8481.690000000001</v>
      </c>
      <c r="C1717" t="n">
        <v>188</v>
      </c>
      <c r="D1717" t="n">
        <v>8106.77</v>
      </c>
    </row>
    <row r="1718">
      <c r="A1718" t="n">
        <v>764</v>
      </c>
      <c r="B1718" t="n">
        <v>12013.9</v>
      </c>
      <c r="C1718" t="n">
        <v>182</v>
      </c>
      <c r="D1718" t="n">
        <v>6323.95</v>
      </c>
    </row>
    <row r="1719">
      <c r="A1719" t="n">
        <v>708</v>
      </c>
      <c r="B1719" t="n">
        <v>4903</v>
      </c>
      <c r="C1719" t="n">
        <v>290</v>
      </c>
      <c r="D1719" t="n">
        <v>17337.73</v>
      </c>
    </row>
    <row r="1720">
      <c r="A1720" t="n">
        <v>721</v>
      </c>
      <c r="B1720" t="n">
        <v>24323.21</v>
      </c>
      <c r="C1720" t="n">
        <v>220</v>
      </c>
      <c r="D1720" t="n">
        <v>5106.47</v>
      </c>
    </row>
    <row r="1721">
      <c r="A1721" t="n">
        <v>663</v>
      </c>
      <c r="B1721" t="n">
        <v>6323.95</v>
      </c>
      <c r="C1721" t="n">
        <v>367</v>
      </c>
      <c r="D1721" t="n">
        <v>5260.76</v>
      </c>
    </row>
    <row r="1722">
      <c r="A1722" t="n">
        <v>653</v>
      </c>
      <c r="B1722" t="n">
        <v>17337.73</v>
      </c>
      <c r="C1722" t="n">
        <v>99</v>
      </c>
      <c r="D1722" t="n">
        <v>8352.24</v>
      </c>
    </row>
    <row r="1723">
      <c r="A1723" t="n">
        <v>742</v>
      </c>
      <c r="B1723" t="n">
        <v>20663.3</v>
      </c>
      <c r="C1723" t="n">
        <v>271</v>
      </c>
      <c r="D1723" t="n">
        <v>17474.92</v>
      </c>
    </row>
    <row r="1724">
      <c r="A1724" t="n">
        <v>610</v>
      </c>
      <c r="B1724" t="n">
        <v>17031.12</v>
      </c>
      <c r="C1724" t="n">
        <v>157</v>
      </c>
      <c r="D1724" t="n">
        <v>11071.18</v>
      </c>
    </row>
    <row r="1725">
      <c r="A1725" t="n">
        <v>767</v>
      </c>
      <c r="B1725" t="n">
        <v>5260.76</v>
      </c>
      <c r="C1725" t="n">
        <v>54</v>
      </c>
      <c r="D1725" t="n">
        <v>12516.58</v>
      </c>
    </row>
    <row r="1726">
      <c r="A1726" t="n">
        <v>730</v>
      </c>
      <c r="B1726" t="n">
        <v>16835.54</v>
      </c>
      <c r="C1726" t="n">
        <v>157</v>
      </c>
      <c r="D1726" t="n">
        <v>15116.52</v>
      </c>
    </row>
    <row r="1727">
      <c r="A1727" t="n">
        <v>694</v>
      </c>
      <c r="B1727" t="n">
        <v>9521.040000000001</v>
      </c>
      <c r="C1727" t="n">
        <v>361</v>
      </c>
      <c r="D1727" t="n">
        <v>11704.89</v>
      </c>
    </row>
    <row r="1728">
      <c r="A1728" t="n">
        <v>726</v>
      </c>
      <c r="B1728" t="n">
        <v>12701.88</v>
      </c>
      <c r="C1728" t="n">
        <v>279</v>
      </c>
      <c r="D1728" t="n">
        <v>6898.97</v>
      </c>
    </row>
    <row r="1729">
      <c r="A1729" t="n">
        <v>681</v>
      </c>
      <c r="B1729" t="n">
        <v>1107.15</v>
      </c>
      <c r="C1729" t="n">
        <v>84</v>
      </c>
      <c r="D1729" t="n">
        <v>3961.45</v>
      </c>
    </row>
    <row r="1730">
      <c r="A1730" t="n">
        <v>655</v>
      </c>
      <c r="B1730" t="n">
        <v>15609.45</v>
      </c>
      <c r="C1730" t="n">
        <v>214</v>
      </c>
      <c r="D1730" t="n">
        <v>12606.76</v>
      </c>
    </row>
    <row r="1731">
      <c r="A1731" t="n">
        <v>631</v>
      </c>
      <c r="B1731" t="n">
        <v>19403.4</v>
      </c>
      <c r="C1731" t="n">
        <v>6</v>
      </c>
      <c r="D1731" t="n">
        <v>18727.64</v>
      </c>
    </row>
    <row r="1732">
      <c r="A1732" t="n">
        <v>796</v>
      </c>
      <c r="B1732" t="n">
        <v>5662.44</v>
      </c>
      <c r="C1732" t="n">
        <v>19</v>
      </c>
      <c r="D1732" t="n">
        <v>10662.98</v>
      </c>
    </row>
    <row r="1733">
      <c r="A1733" t="n">
        <v>585</v>
      </c>
      <c r="B1733" t="n">
        <v>16391.55</v>
      </c>
      <c r="C1733" t="n">
        <v>132</v>
      </c>
      <c r="D1733" t="n">
        <v>16391.55</v>
      </c>
    </row>
    <row r="1734">
      <c r="A1734" t="n">
        <v>734</v>
      </c>
      <c r="B1734" t="n">
        <v>14454.97</v>
      </c>
      <c r="C1734" t="n">
        <v>280</v>
      </c>
      <c r="D1734" t="n">
        <v>11426.91</v>
      </c>
    </row>
    <row r="1735">
      <c r="A1735" t="n">
        <v>711</v>
      </c>
      <c r="B1735" t="n">
        <v>13199.58</v>
      </c>
      <c r="C1735" t="n">
        <v>207</v>
      </c>
      <c r="D1735" t="n">
        <v>8321.15</v>
      </c>
    </row>
    <row r="1736">
      <c r="A1736" t="n">
        <v>693</v>
      </c>
      <c r="B1736" t="n">
        <v>11426.91</v>
      </c>
      <c r="C1736" t="n">
        <v>281</v>
      </c>
      <c r="D1736" t="n">
        <v>7856.91</v>
      </c>
    </row>
    <row r="1737">
      <c r="A1737" t="n">
        <v>707</v>
      </c>
      <c r="B1737" t="n">
        <v>6142.72</v>
      </c>
      <c r="C1737" t="n">
        <v>118</v>
      </c>
      <c r="D1737" t="n">
        <v>9158.59</v>
      </c>
    </row>
    <row r="1738">
      <c r="A1738" t="n">
        <v>746</v>
      </c>
      <c r="B1738" t="n">
        <v>8321.15</v>
      </c>
      <c r="C1738" t="n">
        <v>354</v>
      </c>
      <c r="D1738" t="n">
        <v>11889.17</v>
      </c>
    </row>
    <row r="1739">
      <c r="A1739" t="n">
        <v>708</v>
      </c>
      <c r="B1739" t="n">
        <v>14704.36</v>
      </c>
      <c r="C1739" t="n">
        <v>152</v>
      </c>
      <c r="D1739" t="n">
        <v>11581.85</v>
      </c>
    </row>
    <row r="1740">
      <c r="A1740" t="n">
        <v>657</v>
      </c>
      <c r="B1740" t="n">
        <v>17270.65</v>
      </c>
      <c r="C1740" t="n">
        <v>79</v>
      </c>
      <c r="D1740" t="n">
        <v>0</v>
      </c>
    </row>
    <row r="1741">
      <c r="A1741" t="n">
        <v>682</v>
      </c>
      <c r="B1741" t="n">
        <v>7571.31</v>
      </c>
      <c r="C1741" t="n">
        <v>66</v>
      </c>
      <c r="D1741" t="n">
        <v>23635.5</v>
      </c>
    </row>
    <row r="1742">
      <c r="A1742" t="n">
        <v>730</v>
      </c>
      <c r="B1742" t="n">
        <v>0</v>
      </c>
      <c r="C1742" t="n">
        <v>344</v>
      </c>
      <c r="D1742" t="n">
        <v>26814.68</v>
      </c>
    </row>
    <row r="1743">
      <c r="A1743" t="n">
        <v>641</v>
      </c>
      <c r="B1743" t="n">
        <v>15195.9</v>
      </c>
      <c r="C1743" t="n">
        <v>411</v>
      </c>
      <c r="D1743" t="n">
        <v>18762.72</v>
      </c>
    </row>
    <row r="1744">
      <c r="A1744" t="n">
        <v>663</v>
      </c>
      <c r="B1744" t="n">
        <v>15640.94</v>
      </c>
      <c r="C1744" t="n">
        <v>16</v>
      </c>
      <c r="D1744" t="n">
        <v>15081.27</v>
      </c>
    </row>
    <row r="1745">
      <c r="A1745" t="n">
        <v>660</v>
      </c>
      <c r="B1745" t="n">
        <v>15081.27</v>
      </c>
      <c r="C1745" t="n">
        <v>121</v>
      </c>
      <c r="D1745" t="n">
        <v>11329.62</v>
      </c>
    </row>
    <row r="1746">
      <c r="A1746" t="n">
        <v>708</v>
      </c>
      <c r="B1746" t="n">
        <v>15489.89</v>
      </c>
      <c r="C1746" t="n">
        <v>34</v>
      </c>
      <c r="D1746" t="n">
        <v>4118.1</v>
      </c>
    </row>
    <row r="1747">
      <c r="A1747" t="n">
        <v>625</v>
      </c>
      <c r="B1747" t="n">
        <v>18289.76</v>
      </c>
      <c r="C1747" t="n">
        <v>250</v>
      </c>
      <c r="D1747" t="n">
        <v>9171.17</v>
      </c>
    </row>
    <row r="1748">
      <c r="A1748" t="n">
        <v>734</v>
      </c>
      <c r="B1748" t="n">
        <v>6534.36</v>
      </c>
      <c r="C1748" t="n">
        <v>51</v>
      </c>
      <c r="D1748" t="n">
        <v>13921.03</v>
      </c>
    </row>
    <row r="1749">
      <c r="A1749" t="n">
        <v>675</v>
      </c>
      <c r="B1749" t="n">
        <v>18840.7</v>
      </c>
      <c r="C1749" t="n">
        <v>262</v>
      </c>
      <c r="D1749" t="n">
        <v>10827.31</v>
      </c>
    </row>
    <row r="1750">
      <c r="A1750" t="n">
        <v>718</v>
      </c>
      <c r="B1750" t="n">
        <v>14325.17</v>
      </c>
      <c r="C1750" t="n">
        <v>234</v>
      </c>
      <c r="D1750" t="n">
        <v>26034.89</v>
      </c>
    </row>
    <row r="1751">
      <c r="A1751" t="n">
        <v>622</v>
      </c>
      <c r="B1751" t="n">
        <v>24083.8</v>
      </c>
      <c r="C1751" t="n">
        <v>273</v>
      </c>
      <c r="D1751" t="n">
        <v>15413.62</v>
      </c>
    </row>
    <row r="1752">
      <c r="A1752" t="n">
        <v>701</v>
      </c>
      <c r="B1752" t="n">
        <v>13921.03</v>
      </c>
      <c r="C1752" t="n">
        <v>430</v>
      </c>
      <c r="D1752" t="n">
        <v>5983.23</v>
      </c>
    </row>
    <row r="1753">
      <c r="A1753" t="n">
        <v>676</v>
      </c>
      <c r="B1753" t="n">
        <v>22453.18</v>
      </c>
      <c r="C1753" t="n">
        <v>201</v>
      </c>
      <c r="D1753" t="n">
        <v>7447.67</v>
      </c>
    </row>
    <row r="1754">
      <c r="A1754" t="n">
        <v>621</v>
      </c>
      <c r="B1754" t="n">
        <v>26034.89</v>
      </c>
      <c r="C1754" t="n">
        <v>408</v>
      </c>
      <c r="D1754" t="n">
        <v>18559.12</v>
      </c>
    </row>
    <row r="1755">
      <c r="A1755" t="n">
        <v>743</v>
      </c>
      <c r="B1755" t="n">
        <v>12206.49</v>
      </c>
      <c r="C1755" t="n">
        <v>258</v>
      </c>
      <c r="D1755" t="n">
        <v>12314.81</v>
      </c>
    </row>
    <row r="1756">
      <c r="A1756" t="n">
        <v>616</v>
      </c>
      <c r="B1756" t="n">
        <v>9048.59</v>
      </c>
      <c r="C1756" t="n">
        <v>287</v>
      </c>
      <c r="D1756" t="n">
        <v>7112.25</v>
      </c>
    </row>
    <row r="1757">
      <c r="A1757" t="n">
        <v>698</v>
      </c>
      <c r="B1757" t="n">
        <v>5983.23</v>
      </c>
      <c r="C1757" t="n">
        <v>84</v>
      </c>
      <c r="D1757" t="n">
        <v>6779.09</v>
      </c>
    </row>
    <row r="1758">
      <c r="A1758" t="n">
        <v>741</v>
      </c>
      <c r="B1758" t="n">
        <v>6459.78</v>
      </c>
      <c r="C1758" t="n">
        <v>248</v>
      </c>
      <c r="D1758" t="n">
        <v>4710.02</v>
      </c>
    </row>
    <row r="1759">
      <c r="A1759" t="n">
        <v>711</v>
      </c>
      <c r="B1759" t="n">
        <v>13527.97</v>
      </c>
      <c r="C1759" t="n">
        <v>174</v>
      </c>
      <c r="D1759" t="n">
        <v>7427.81</v>
      </c>
    </row>
    <row r="1760">
      <c r="A1760" t="n">
        <v>701</v>
      </c>
      <c r="B1760" t="n">
        <v>3933.68</v>
      </c>
      <c r="C1760" t="n">
        <v>410</v>
      </c>
      <c r="D1760" t="n">
        <v>19471.98</v>
      </c>
    </row>
    <row r="1761">
      <c r="A1761" t="n">
        <v>706</v>
      </c>
      <c r="B1761" t="n">
        <v>4543</v>
      </c>
      <c r="C1761" t="n">
        <v>273</v>
      </c>
      <c r="D1761" t="n">
        <v>4543</v>
      </c>
    </row>
    <row r="1762">
      <c r="A1762" t="n">
        <v>736</v>
      </c>
      <c r="B1762" t="n">
        <v>11412.95</v>
      </c>
      <c r="C1762" t="n">
        <v>137</v>
      </c>
      <c r="D1762" t="n">
        <v>10636.82</v>
      </c>
    </row>
    <row r="1763">
      <c r="A1763" t="n">
        <v>740</v>
      </c>
      <c r="B1763" t="n">
        <v>12504.27</v>
      </c>
      <c r="C1763" t="n">
        <v>293</v>
      </c>
      <c r="D1763" t="n">
        <v>13369.39</v>
      </c>
    </row>
    <row r="1764">
      <c r="A1764" t="n">
        <v>638</v>
      </c>
      <c r="B1764" t="n">
        <v>10700.43</v>
      </c>
      <c r="C1764" t="n">
        <v>270</v>
      </c>
      <c r="D1764" t="n">
        <v>12504.27</v>
      </c>
    </row>
    <row r="1765">
      <c r="A1765" t="n">
        <v>751</v>
      </c>
      <c r="B1765" t="n">
        <v>3165.58</v>
      </c>
      <c r="C1765" t="n">
        <v>95</v>
      </c>
      <c r="D1765" t="n">
        <v>3165.58</v>
      </c>
    </row>
    <row r="1766">
      <c r="A1766" t="n">
        <v>780</v>
      </c>
      <c r="B1766" t="n">
        <v>7251.87</v>
      </c>
      <c r="C1766" t="n">
        <v>207</v>
      </c>
      <c r="D1766" t="n">
        <v>6239.89</v>
      </c>
    </row>
    <row r="1767">
      <c r="A1767" t="n">
        <v>777</v>
      </c>
      <c r="B1767" t="n">
        <v>7574.68</v>
      </c>
      <c r="C1767" t="n">
        <v>338</v>
      </c>
      <c r="D1767" t="n">
        <v>18856.76</v>
      </c>
    </row>
    <row r="1768">
      <c r="A1768" t="n">
        <v>697</v>
      </c>
      <c r="B1768" t="n">
        <v>18856.76</v>
      </c>
      <c r="C1768" t="n">
        <v>133</v>
      </c>
      <c r="D1768" t="n">
        <v>12169.43</v>
      </c>
    </row>
    <row r="1769">
      <c r="A1769" t="n">
        <v>662</v>
      </c>
      <c r="B1769" t="n">
        <v>15217.7</v>
      </c>
      <c r="C1769" t="n">
        <v>171</v>
      </c>
      <c r="D1769" t="n">
        <v>12074.28</v>
      </c>
    </row>
    <row r="1770">
      <c r="A1770" t="n">
        <v>810</v>
      </c>
      <c r="B1770" t="n">
        <v>4832.01</v>
      </c>
      <c r="C1770" t="n">
        <v>186</v>
      </c>
      <c r="D1770" t="n">
        <v>11685.17</v>
      </c>
    </row>
    <row r="1771">
      <c r="A1771" t="n">
        <v>663</v>
      </c>
      <c r="B1771" t="n">
        <v>15037.89</v>
      </c>
      <c r="C1771" t="n">
        <v>414</v>
      </c>
      <c r="D1771" t="n">
        <v>7632.23</v>
      </c>
    </row>
    <row r="1772">
      <c r="A1772" t="n">
        <v>694</v>
      </c>
      <c r="B1772" t="n">
        <v>15072.23</v>
      </c>
      <c r="C1772" t="n">
        <v>130</v>
      </c>
      <c r="D1772" t="n">
        <v>12648.33</v>
      </c>
    </row>
    <row r="1773">
      <c r="A1773" t="n">
        <v>677</v>
      </c>
      <c r="B1773" t="n">
        <v>16675.92</v>
      </c>
      <c r="C1773" t="n">
        <v>140</v>
      </c>
      <c r="D1773" t="n">
        <v>15037.89</v>
      </c>
    </row>
    <row r="1774">
      <c r="A1774" t="n">
        <v>641</v>
      </c>
      <c r="B1774" t="n">
        <v>14738.29</v>
      </c>
      <c r="C1774" t="n">
        <v>35</v>
      </c>
      <c r="D1774" t="n">
        <v>9299.76</v>
      </c>
    </row>
    <row r="1775">
      <c r="A1775" t="n">
        <v>653</v>
      </c>
      <c r="B1775" t="n">
        <v>22454.71</v>
      </c>
      <c r="C1775" t="n">
        <v>9</v>
      </c>
      <c r="D1775" t="n">
        <v>9623.049999999999</v>
      </c>
    </row>
    <row r="1776">
      <c r="A1776" t="n">
        <v>670</v>
      </c>
      <c r="B1776" t="n">
        <v>17407.3</v>
      </c>
      <c r="C1776" t="n">
        <v>134</v>
      </c>
      <c r="D1776" t="n">
        <v>16794.99</v>
      </c>
    </row>
    <row r="1777">
      <c r="A1777" t="n">
        <v>718</v>
      </c>
      <c r="B1777" t="n">
        <v>10131.71</v>
      </c>
      <c r="C1777" t="n">
        <v>303</v>
      </c>
      <c r="D1777" t="n">
        <v>16867.36</v>
      </c>
    </row>
    <row r="1778">
      <c r="A1778" t="n">
        <v>662</v>
      </c>
      <c r="B1778" t="n">
        <v>16867.36</v>
      </c>
      <c r="C1778" t="n">
        <v>241</v>
      </c>
      <c r="D1778" t="n">
        <v>5850.42</v>
      </c>
    </row>
    <row r="1779">
      <c r="A1779" t="n">
        <v>643</v>
      </c>
      <c r="B1779" t="n">
        <v>8203.799999999999</v>
      </c>
      <c r="C1779" t="n">
        <v>251</v>
      </c>
      <c r="D1779" t="n">
        <v>9877.200000000001</v>
      </c>
    </row>
    <row r="1780">
      <c r="A1780" t="n">
        <v>756</v>
      </c>
      <c r="B1780" t="n">
        <v>5850.42</v>
      </c>
      <c r="C1780" t="n">
        <v>256</v>
      </c>
      <c r="D1780" t="n">
        <v>7402.52</v>
      </c>
    </row>
    <row r="1781">
      <c r="A1781" t="n">
        <v>713</v>
      </c>
      <c r="B1781" t="n">
        <v>7595.15</v>
      </c>
      <c r="C1781" t="n">
        <v>128</v>
      </c>
      <c r="D1781" t="n">
        <v>21438.08</v>
      </c>
    </row>
    <row r="1782">
      <c r="A1782" t="n">
        <v>718</v>
      </c>
      <c r="B1782" t="n">
        <v>5223.73</v>
      </c>
      <c r="C1782" t="n">
        <v>106</v>
      </c>
      <c r="D1782" t="n">
        <v>5965.12</v>
      </c>
    </row>
    <row r="1783">
      <c r="A1783" t="n">
        <v>637</v>
      </c>
      <c r="B1783" t="n">
        <v>5899.74</v>
      </c>
      <c r="C1783" t="n">
        <v>214</v>
      </c>
      <c r="D1783" t="n">
        <v>12751.5</v>
      </c>
    </row>
    <row r="1784">
      <c r="A1784" t="n">
        <v>703</v>
      </c>
      <c r="B1784" t="n">
        <v>12751.5</v>
      </c>
      <c r="C1784" t="n">
        <v>117</v>
      </c>
      <c r="D1784" t="n">
        <v>8885</v>
      </c>
    </row>
    <row r="1785">
      <c r="A1785" t="n">
        <v>659</v>
      </c>
      <c r="B1785" t="n">
        <v>8419.24</v>
      </c>
      <c r="C1785" t="n">
        <v>114</v>
      </c>
      <c r="D1785" t="n">
        <v>10483.17</v>
      </c>
    </row>
    <row r="1786">
      <c r="A1786" t="n">
        <v>610</v>
      </c>
      <c r="B1786" t="n">
        <v>8197.379999999999</v>
      </c>
      <c r="C1786" t="n">
        <v>82</v>
      </c>
      <c r="D1786" t="n">
        <v>11799.06</v>
      </c>
    </row>
    <row r="1787">
      <c r="A1787" t="n">
        <v>771</v>
      </c>
      <c r="B1787" t="n">
        <v>11313.24</v>
      </c>
      <c r="C1787" t="n">
        <v>373</v>
      </c>
      <c r="D1787" t="n">
        <v>13391.8</v>
      </c>
    </row>
    <row r="1788">
      <c r="A1788" t="n">
        <v>730</v>
      </c>
      <c r="B1788" t="n">
        <v>14595.85</v>
      </c>
      <c r="C1788" t="n">
        <v>123</v>
      </c>
      <c r="D1788" t="n">
        <v>19292.67</v>
      </c>
    </row>
    <row r="1789">
      <c r="A1789" t="n">
        <v>648</v>
      </c>
      <c r="B1789" t="n">
        <v>16470.5</v>
      </c>
      <c r="C1789" t="n">
        <v>4</v>
      </c>
      <c r="D1789" t="n">
        <v>7420.76</v>
      </c>
    </row>
    <row r="1790">
      <c r="A1790" t="n">
        <v>696</v>
      </c>
      <c r="B1790" t="n">
        <v>7420.76</v>
      </c>
      <c r="C1790" t="n">
        <v>127</v>
      </c>
      <c r="D1790" t="n">
        <v>7943.3</v>
      </c>
    </row>
    <row r="1791">
      <c r="A1791" t="n">
        <v>606</v>
      </c>
      <c r="B1791" t="n">
        <v>31656.84</v>
      </c>
      <c r="C1791" t="n">
        <v>432</v>
      </c>
      <c r="D1791" t="n">
        <v>16310.79</v>
      </c>
    </row>
    <row r="1792">
      <c r="A1792" t="n">
        <v>680</v>
      </c>
      <c r="B1792" t="n">
        <v>8869.08</v>
      </c>
      <c r="C1792" t="n">
        <v>35</v>
      </c>
      <c r="D1792" t="n">
        <v>0</v>
      </c>
    </row>
    <row r="1793">
      <c r="A1793" t="n">
        <v>662</v>
      </c>
      <c r="B1793" t="n">
        <v>14491.51</v>
      </c>
      <c r="C1793" t="n">
        <v>406</v>
      </c>
      <c r="D1793" t="n">
        <v>8969.120000000001</v>
      </c>
    </row>
    <row r="1794">
      <c r="A1794" t="n">
        <v>561</v>
      </c>
      <c r="B1794" t="n">
        <v>34868.74</v>
      </c>
      <c r="C1794" t="n">
        <v>324</v>
      </c>
      <c r="D1794" t="n">
        <v>12803.2</v>
      </c>
    </row>
    <row r="1795">
      <c r="A1795" t="n">
        <v>638</v>
      </c>
      <c r="B1795" t="n">
        <v>25977.02</v>
      </c>
      <c r="C1795" t="n">
        <v>302</v>
      </c>
      <c r="D1795" t="n">
        <v>17593.64</v>
      </c>
    </row>
    <row r="1796">
      <c r="A1796" t="n">
        <v>661</v>
      </c>
      <c r="B1796" t="n">
        <v>21308.2</v>
      </c>
      <c r="C1796" t="n">
        <v>428</v>
      </c>
      <c r="D1796" t="n">
        <v>18817</v>
      </c>
    </row>
    <row r="1797">
      <c r="A1797" t="n">
        <v>769</v>
      </c>
      <c r="B1797" t="n">
        <v>6953.71</v>
      </c>
      <c r="C1797" t="n">
        <v>300</v>
      </c>
      <c r="D1797" t="n">
        <v>5642.85</v>
      </c>
    </row>
    <row r="1798">
      <c r="A1798" t="n">
        <v>647</v>
      </c>
      <c r="B1798" t="n">
        <v>5301.91</v>
      </c>
      <c r="C1798" t="n">
        <v>251</v>
      </c>
      <c r="D1798" t="n">
        <v>6090.43</v>
      </c>
    </row>
    <row r="1799">
      <c r="A1799" t="n">
        <v>630</v>
      </c>
      <c r="B1799" t="n">
        <v>23151.55</v>
      </c>
      <c r="C1799" t="n">
        <v>422</v>
      </c>
      <c r="D1799" t="n">
        <v>5944.66</v>
      </c>
    </row>
    <row r="1800">
      <c r="A1800" t="n">
        <v>702</v>
      </c>
      <c r="B1800" t="n">
        <v>14284.14</v>
      </c>
      <c r="C1800" t="n">
        <v>420</v>
      </c>
      <c r="D1800" t="n">
        <v>12169.46</v>
      </c>
    </row>
    <row r="1801">
      <c r="A1801" t="n">
        <v>673</v>
      </c>
      <c r="B1801" t="n">
        <v>22467.18</v>
      </c>
      <c r="C1801" t="n">
        <v>227</v>
      </c>
      <c r="D1801" t="n">
        <v>22467.18</v>
      </c>
    </row>
    <row r="1802">
      <c r="A1802" t="n">
        <v>639</v>
      </c>
      <c r="B1802" t="n">
        <v>4472.36</v>
      </c>
      <c r="C1802" t="n">
        <v>45</v>
      </c>
      <c r="D1802" t="n">
        <v>7215.57</v>
      </c>
    </row>
    <row r="1803">
      <c r="A1803" t="n">
        <v>602</v>
      </c>
      <c r="B1803" t="n">
        <v>8363.25</v>
      </c>
      <c r="C1803" t="n">
        <v>144</v>
      </c>
      <c r="D1803" t="n">
        <v>2307.02</v>
      </c>
    </row>
    <row r="1804">
      <c r="A1804" t="n">
        <v>640</v>
      </c>
      <c r="B1804" t="n">
        <v>16223.58</v>
      </c>
      <c r="C1804" t="n">
        <v>261</v>
      </c>
      <c r="D1804" t="n">
        <v>14012.51</v>
      </c>
    </row>
    <row r="1805">
      <c r="A1805" t="n">
        <v>708</v>
      </c>
      <c r="B1805" t="n">
        <v>6721.86</v>
      </c>
      <c r="C1805" t="n">
        <v>172</v>
      </c>
      <c r="D1805" t="n">
        <v>8568.469999999999</v>
      </c>
    </row>
    <row r="1806">
      <c r="A1806" t="n">
        <v>708</v>
      </c>
      <c r="B1806" t="n">
        <v>7020.64</v>
      </c>
      <c r="C1806" t="n">
        <v>164</v>
      </c>
      <c r="D1806" t="n">
        <v>14932.99</v>
      </c>
    </row>
    <row r="1807">
      <c r="A1807" t="n">
        <v>759</v>
      </c>
      <c r="B1807" t="n">
        <v>9966.73</v>
      </c>
      <c r="C1807" t="n">
        <v>358</v>
      </c>
      <c r="D1807" t="n">
        <v>10881.38</v>
      </c>
    </row>
    <row r="1808">
      <c r="A1808" t="n">
        <v>720</v>
      </c>
      <c r="B1808" t="n">
        <v>10881.38</v>
      </c>
      <c r="C1808" t="n">
        <v>400</v>
      </c>
      <c r="D1808" t="n">
        <v>13865.76</v>
      </c>
    </row>
    <row r="1809">
      <c r="A1809" t="n">
        <v>596</v>
      </c>
      <c r="B1809" t="n">
        <v>16857.82</v>
      </c>
      <c r="C1809" t="n">
        <v>384</v>
      </c>
      <c r="D1809" t="n">
        <v>12122.86</v>
      </c>
    </row>
    <row r="1810">
      <c r="A1810" t="n">
        <v>588</v>
      </c>
      <c r="B1810" t="n">
        <v>13865.76</v>
      </c>
      <c r="C1810" t="n">
        <v>168</v>
      </c>
      <c r="D1810" t="n">
        <v>12242.07</v>
      </c>
    </row>
    <row r="1811">
      <c r="A1811" t="n">
        <v>678</v>
      </c>
      <c r="B1811" t="n">
        <v>12122.86</v>
      </c>
      <c r="C1811" t="n">
        <v>38</v>
      </c>
      <c r="D1811" t="n">
        <v>13611</v>
      </c>
    </row>
    <row r="1812">
      <c r="A1812" t="n">
        <v>748</v>
      </c>
      <c r="B1812" t="n">
        <v>14047.87</v>
      </c>
      <c r="C1812" t="n">
        <v>2</v>
      </c>
      <c r="D1812" t="n">
        <v>20278.46</v>
      </c>
    </row>
    <row r="1813">
      <c r="A1813" t="n">
        <v>723</v>
      </c>
      <c r="B1813" t="n">
        <v>11417.35</v>
      </c>
      <c r="C1813" t="n">
        <v>18</v>
      </c>
      <c r="D1813" t="n">
        <v>20654.93</v>
      </c>
    </row>
    <row r="1814">
      <c r="A1814" t="n">
        <v>673</v>
      </c>
      <c r="B1814" t="n">
        <v>13462.41</v>
      </c>
      <c r="C1814" t="n">
        <v>330</v>
      </c>
      <c r="D1814" t="n">
        <v>13462.41</v>
      </c>
    </row>
    <row r="1815">
      <c r="A1815" t="n">
        <v>750</v>
      </c>
      <c r="B1815" t="n">
        <v>6017.84</v>
      </c>
      <c r="C1815" t="n">
        <v>272</v>
      </c>
      <c r="D1815" t="n">
        <v>1479.36</v>
      </c>
    </row>
    <row r="1816">
      <c r="A1816" t="n">
        <v>635</v>
      </c>
      <c r="B1816" t="n">
        <v>21434.46</v>
      </c>
      <c r="C1816" t="n">
        <v>430</v>
      </c>
      <c r="D1816" t="n">
        <v>14909.46</v>
      </c>
    </row>
    <row r="1817">
      <c r="A1817" t="n">
        <v>674</v>
      </c>
      <c r="B1817" t="n">
        <v>9529.299999999999</v>
      </c>
      <c r="C1817" t="n">
        <v>131</v>
      </c>
      <c r="D1817" t="n">
        <v>23375.53</v>
      </c>
    </row>
    <row r="1818">
      <c r="A1818" t="n">
        <v>657</v>
      </c>
      <c r="B1818" t="n">
        <v>10261.96</v>
      </c>
      <c r="C1818" t="n">
        <v>214</v>
      </c>
      <c r="D1818" t="n">
        <v>9529.299999999999</v>
      </c>
    </row>
    <row r="1819">
      <c r="A1819" t="n">
        <v>635</v>
      </c>
      <c r="B1819" t="n">
        <v>18208.64</v>
      </c>
      <c r="C1819" t="n">
        <v>256</v>
      </c>
      <c r="D1819" t="n">
        <v>10261.96</v>
      </c>
    </row>
    <row r="1820">
      <c r="A1820" t="n">
        <v>621</v>
      </c>
      <c r="B1820" t="n">
        <v>24810.85</v>
      </c>
      <c r="C1820" t="n">
        <v>5</v>
      </c>
      <c r="D1820" t="n">
        <v>5687.52</v>
      </c>
    </row>
    <row r="1821">
      <c r="A1821" t="n">
        <v>705</v>
      </c>
      <c r="B1821" t="n">
        <v>0</v>
      </c>
      <c r="C1821" t="n">
        <v>105</v>
      </c>
      <c r="D1821" t="n">
        <v>7181.13</v>
      </c>
    </row>
    <row r="1822">
      <c r="A1822" t="n">
        <v>726</v>
      </c>
      <c r="B1822" t="n">
        <v>7037.25</v>
      </c>
      <c r="C1822" t="n">
        <v>230</v>
      </c>
      <c r="D1822" t="n">
        <v>10079.69</v>
      </c>
    </row>
    <row r="1823">
      <c r="A1823" t="n">
        <v>738</v>
      </c>
      <c r="B1823" t="n">
        <v>7973.14</v>
      </c>
      <c r="C1823" t="n">
        <v>350</v>
      </c>
      <c r="D1823" t="n">
        <v>2543.69</v>
      </c>
    </row>
    <row r="1824">
      <c r="A1824" t="n">
        <v>629</v>
      </c>
      <c r="B1824" t="n">
        <v>28274.03</v>
      </c>
      <c r="C1824" t="n">
        <v>47</v>
      </c>
      <c r="D1824" t="n">
        <v>18590.7</v>
      </c>
    </row>
    <row r="1825">
      <c r="A1825" t="n">
        <v>700</v>
      </c>
      <c r="B1825" t="n">
        <v>21833.75</v>
      </c>
      <c r="C1825" t="n">
        <v>170</v>
      </c>
      <c r="D1825" t="n">
        <v>10803.33</v>
      </c>
    </row>
    <row r="1826">
      <c r="A1826" t="n">
        <v>709</v>
      </c>
      <c r="B1826" t="n">
        <v>1655.56</v>
      </c>
      <c r="C1826" t="n">
        <v>244</v>
      </c>
      <c r="D1826" t="n">
        <v>2702.02</v>
      </c>
    </row>
    <row r="1827">
      <c r="A1827" t="n">
        <v>628</v>
      </c>
      <c r="B1827" t="n">
        <v>18590.7</v>
      </c>
      <c r="C1827" t="n">
        <v>242</v>
      </c>
      <c r="D1827" t="n">
        <v>15620.45</v>
      </c>
    </row>
    <row r="1828">
      <c r="A1828" t="n">
        <v>786</v>
      </c>
      <c r="B1828" t="n">
        <v>10803.33</v>
      </c>
      <c r="C1828" t="n">
        <v>28</v>
      </c>
      <c r="D1828" t="n">
        <v>1272.19</v>
      </c>
    </row>
    <row r="1829">
      <c r="A1829" t="n">
        <v>697</v>
      </c>
      <c r="B1829" t="n">
        <v>18534.8</v>
      </c>
      <c r="C1829" t="n">
        <v>339</v>
      </c>
      <c r="D1829" t="n">
        <v>4437.41</v>
      </c>
    </row>
    <row r="1830">
      <c r="A1830" t="n">
        <v>706</v>
      </c>
      <c r="B1830" t="n">
        <v>5055.29</v>
      </c>
      <c r="C1830" t="n">
        <v>155</v>
      </c>
      <c r="D1830" t="n">
        <v>5879.17</v>
      </c>
    </row>
    <row r="1831">
      <c r="A1831" t="n">
        <v>640</v>
      </c>
      <c r="B1831" t="n">
        <v>10067.12</v>
      </c>
      <c r="C1831" t="n">
        <v>356</v>
      </c>
      <c r="D1831" t="n">
        <v>20856.38</v>
      </c>
    </row>
    <row r="1832">
      <c r="A1832" t="n">
        <v>739</v>
      </c>
      <c r="B1832" t="n">
        <v>8102.14</v>
      </c>
      <c r="C1832" t="n">
        <v>401</v>
      </c>
      <c r="D1832" t="n">
        <v>6850.16</v>
      </c>
    </row>
    <row r="1833">
      <c r="A1833" t="n">
        <v>752</v>
      </c>
      <c r="B1833" t="n">
        <v>11582.76</v>
      </c>
      <c r="C1833" t="n">
        <v>270</v>
      </c>
      <c r="D1833" t="n">
        <v>12646.19</v>
      </c>
    </row>
    <row r="1834">
      <c r="A1834" t="n">
        <v>866</v>
      </c>
      <c r="B1834" t="n">
        <v>1272.19</v>
      </c>
      <c r="C1834" t="n">
        <v>183</v>
      </c>
      <c r="D1834" t="n">
        <v>6625.87</v>
      </c>
    </row>
    <row r="1835">
      <c r="A1835" t="n">
        <v>591</v>
      </c>
      <c r="B1835" t="n">
        <v>34538.44</v>
      </c>
      <c r="C1835" t="n">
        <v>84</v>
      </c>
      <c r="D1835" t="n">
        <v>12070.93</v>
      </c>
    </row>
    <row r="1836">
      <c r="A1836" t="n">
        <v>657</v>
      </c>
      <c r="B1836" t="n">
        <v>14017.39</v>
      </c>
      <c r="C1836" t="n">
        <v>87</v>
      </c>
      <c r="D1836" t="n">
        <v>6991.02</v>
      </c>
    </row>
    <row r="1837">
      <c r="A1837" t="n">
        <v>646</v>
      </c>
      <c r="B1837" t="n">
        <v>4627.34</v>
      </c>
      <c r="C1837" t="n">
        <v>96</v>
      </c>
      <c r="D1837" t="n">
        <v>17527.73</v>
      </c>
    </row>
    <row r="1838">
      <c r="A1838" t="n">
        <v>692</v>
      </c>
      <c r="B1838" t="n">
        <v>7022.45</v>
      </c>
      <c r="C1838" t="n">
        <v>306</v>
      </c>
      <c r="D1838" t="n">
        <v>20493.33</v>
      </c>
    </row>
    <row r="1839">
      <c r="A1839" t="n">
        <v>696</v>
      </c>
      <c r="B1839" t="n">
        <v>6850.16</v>
      </c>
      <c r="C1839" t="n">
        <v>120</v>
      </c>
      <c r="D1839" t="n">
        <v>26842.77</v>
      </c>
    </row>
    <row r="1840">
      <c r="A1840" t="n">
        <v>727</v>
      </c>
      <c r="B1840" t="n">
        <v>11647.29</v>
      </c>
      <c r="C1840" t="n">
        <v>113</v>
      </c>
      <c r="D1840" t="n">
        <v>15803.16</v>
      </c>
    </row>
    <row r="1841">
      <c r="A1841" t="n">
        <v>708</v>
      </c>
      <c r="B1841" t="n">
        <v>11094.72</v>
      </c>
      <c r="C1841" t="n">
        <v>402</v>
      </c>
      <c r="D1841" t="n">
        <v>11166.98</v>
      </c>
    </row>
    <row r="1842">
      <c r="A1842" t="n">
        <v>680</v>
      </c>
      <c r="B1842" t="n">
        <v>17772.22</v>
      </c>
      <c r="C1842" t="n">
        <v>52</v>
      </c>
      <c r="D1842" t="n">
        <v>10307.57</v>
      </c>
    </row>
    <row r="1843">
      <c r="A1843" t="n">
        <v>680</v>
      </c>
      <c r="B1843" t="n">
        <v>7107.69</v>
      </c>
      <c r="C1843" t="n">
        <v>414</v>
      </c>
      <c r="D1843" t="n">
        <v>2696.83</v>
      </c>
    </row>
    <row r="1844">
      <c r="A1844" t="n">
        <v>685</v>
      </c>
      <c r="B1844" t="n">
        <v>14152.67</v>
      </c>
      <c r="C1844" t="n">
        <v>417</v>
      </c>
      <c r="D1844" t="n">
        <v>17422.77</v>
      </c>
    </row>
    <row r="1845">
      <c r="A1845" t="n">
        <v>624</v>
      </c>
      <c r="B1845" t="n">
        <v>11539.17</v>
      </c>
      <c r="C1845" t="n">
        <v>341</v>
      </c>
      <c r="D1845" t="n">
        <v>16429.8</v>
      </c>
    </row>
    <row r="1846">
      <c r="A1846" t="n">
        <v>669</v>
      </c>
      <c r="B1846" t="n">
        <v>16507.28</v>
      </c>
      <c r="C1846" t="n">
        <v>425</v>
      </c>
      <c r="D1846" t="n">
        <v>0</v>
      </c>
    </row>
    <row r="1847">
      <c r="A1847" t="n">
        <v>722</v>
      </c>
      <c r="B1847" t="n">
        <v>4396.43</v>
      </c>
      <c r="C1847" t="n">
        <v>323</v>
      </c>
      <c r="D1847" t="n">
        <v>16507.28</v>
      </c>
    </row>
    <row r="1848">
      <c r="A1848" t="n">
        <v>634</v>
      </c>
      <c r="B1848" t="n">
        <v>10845.07</v>
      </c>
      <c r="C1848" t="n">
        <v>55</v>
      </c>
      <c r="D1848" t="n">
        <v>11218.49</v>
      </c>
    </row>
    <row r="1849">
      <c r="A1849" t="n">
        <v>717</v>
      </c>
      <c r="B1849" t="n">
        <v>11218.49</v>
      </c>
      <c r="C1849" t="n">
        <v>22</v>
      </c>
      <c r="D1849" t="n">
        <v>10634.97</v>
      </c>
    </row>
    <row r="1850">
      <c r="A1850" t="n">
        <v>635</v>
      </c>
      <c r="B1850" t="n">
        <v>20082.31</v>
      </c>
      <c r="C1850" t="n">
        <v>417</v>
      </c>
      <c r="D1850" t="n">
        <v>16369.72</v>
      </c>
    </row>
    <row r="1851">
      <c r="A1851" t="n">
        <v>738</v>
      </c>
      <c r="B1851" t="n">
        <v>4103.37</v>
      </c>
      <c r="C1851" t="n">
        <v>270</v>
      </c>
      <c r="D1851" t="n">
        <v>18547.47</v>
      </c>
    </row>
    <row r="1852">
      <c r="A1852" t="n">
        <v>672</v>
      </c>
      <c r="B1852" t="n">
        <v>16621.25</v>
      </c>
      <c r="C1852" t="n">
        <v>373</v>
      </c>
      <c r="D1852" t="n">
        <v>11992.15</v>
      </c>
    </row>
    <row r="1853">
      <c r="A1853" t="n">
        <v>694</v>
      </c>
      <c r="B1853" t="n">
        <v>12800.74</v>
      </c>
      <c r="C1853" t="n">
        <v>65</v>
      </c>
      <c r="D1853" t="n">
        <v>14413.21</v>
      </c>
    </row>
    <row r="1854">
      <c r="A1854" t="n">
        <v>804</v>
      </c>
      <c r="B1854" t="n">
        <v>7131.88</v>
      </c>
      <c r="C1854" t="n">
        <v>68</v>
      </c>
      <c r="D1854" t="n">
        <v>12369.95</v>
      </c>
    </row>
    <row r="1855">
      <c r="A1855" t="n">
        <v>622</v>
      </c>
      <c r="B1855" t="n">
        <v>11992.15</v>
      </c>
      <c r="C1855" t="n">
        <v>88</v>
      </c>
      <c r="D1855" t="n">
        <v>12277.55</v>
      </c>
    </row>
    <row r="1856">
      <c r="A1856" t="n">
        <v>716</v>
      </c>
      <c r="B1856" t="n">
        <v>12708.54</v>
      </c>
      <c r="C1856" t="n">
        <v>73</v>
      </c>
      <c r="D1856" t="n">
        <v>13781.2</v>
      </c>
    </row>
    <row r="1857">
      <c r="A1857" t="n">
        <v>679</v>
      </c>
      <c r="B1857" t="n">
        <v>13781.2</v>
      </c>
      <c r="C1857" t="n">
        <v>161</v>
      </c>
      <c r="D1857" t="n">
        <v>12721.56</v>
      </c>
    </row>
    <row r="1858">
      <c r="A1858" t="n">
        <v>629</v>
      </c>
      <c r="B1858" t="n">
        <v>14440.46</v>
      </c>
      <c r="C1858" t="n">
        <v>195</v>
      </c>
      <c r="D1858" t="n">
        <v>13423.01</v>
      </c>
    </row>
    <row r="1859">
      <c r="A1859" t="n">
        <v>753</v>
      </c>
      <c r="B1859" t="n">
        <v>6673.49</v>
      </c>
      <c r="C1859" t="n">
        <v>80</v>
      </c>
      <c r="D1859" t="n">
        <v>24266.47</v>
      </c>
    </row>
    <row r="1860">
      <c r="A1860" t="n">
        <v>641</v>
      </c>
      <c r="B1860" t="n">
        <v>18066.17</v>
      </c>
      <c r="C1860" t="n">
        <v>167</v>
      </c>
      <c r="D1860" t="n">
        <v>8986.02</v>
      </c>
    </row>
    <row r="1861">
      <c r="A1861" t="n">
        <v>704</v>
      </c>
      <c r="B1861" t="n">
        <v>15798.63</v>
      </c>
      <c r="C1861" t="n">
        <v>54</v>
      </c>
      <c r="D1861" t="n">
        <v>12826.68</v>
      </c>
    </row>
    <row r="1862">
      <c r="A1862" t="n">
        <v>657</v>
      </c>
      <c r="B1862" t="n">
        <v>23118.93</v>
      </c>
      <c r="C1862" t="n">
        <v>167</v>
      </c>
      <c r="D1862" t="n">
        <v>23118.93</v>
      </c>
    </row>
    <row r="1863">
      <c r="A1863" t="n">
        <v>742</v>
      </c>
      <c r="B1863" t="n">
        <v>8783.66</v>
      </c>
      <c r="C1863" t="n">
        <v>424</v>
      </c>
      <c r="D1863" t="n">
        <v>6188.73</v>
      </c>
    </row>
    <row r="1864">
      <c r="A1864" t="n">
        <v>655</v>
      </c>
      <c r="B1864" t="n">
        <v>16833.52</v>
      </c>
      <c r="C1864" t="n">
        <v>260</v>
      </c>
      <c r="D1864" t="n">
        <v>11651.09</v>
      </c>
    </row>
    <row r="1865">
      <c r="A1865" t="n">
        <v>628</v>
      </c>
      <c r="B1865" t="n">
        <v>23765.54</v>
      </c>
      <c r="C1865" t="n">
        <v>160</v>
      </c>
      <c r="D1865" t="n">
        <v>15278.72</v>
      </c>
    </row>
    <row r="1866">
      <c r="A1866" t="n">
        <v>654</v>
      </c>
      <c r="B1866" t="n">
        <v>9040.23</v>
      </c>
      <c r="C1866" t="n">
        <v>129</v>
      </c>
      <c r="D1866" t="n">
        <v>2384.09</v>
      </c>
    </row>
    <row r="1867">
      <c r="A1867" t="n">
        <v>756</v>
      </c>
      <c r="B1867" t="n">
        <v>2712.89</v>
      </c>
      <c r="C1867" t="n">
        <v>282</v>
      </c>
      <c r="D1867" t="n">
        <v>10434.23</v>
      </c>
    </row>
    <row r="1868">
      <c r="A1868" t="n">
        <v>719</v>
      </c>
      <c r="B1868" t="n">
        <v>13435.69</v>
      </c>
      <c r="C1868" t="n">
        <v>417</v>
      </c>
      <c r="D1868" t="n">
        <v>302.7</v>
      </c>
    </row>
    <row r="1869">
      <c r="A1869" t="n">
        <v>701</v>
      </c>
      <c r="B1869" t="n">
        <v>9011.469999999999</v>
      </c>
      <c r="C1869" t="n">
        <v>234</v>
      </c>
      <c r="D1869" t="n">
        <v>2712.89</v>
      </c>
    </row>
    <row r="1870">
      <c r="A1870" t="n">
        <v>699</v>
      </c>
      <c r="B1870" t="n">
        <v>16988.74</v>
      </c>
      <c r="C1870" t="n">
        <v>408</v>
      </c>
      <c r="D1870" t="n">
        <v>9331.67</v>
      </c>
    </row>
    <row r="1871">
      <c r="A1871" t="n">
        <v>723</v>
      </c>
      <c r="B1871" t="n">
        <v>5495.21</v>
      </c>
      <c r="C1871" t="n">
        <v>360</v>
      </c>
      <c r="D1871" t="n">
        <v>6350.71</v>
      </c>
    </row>
    <row r="1872">
      <c r="A1872" t="n">
        <v>707</v>
      </c>
      <c r="B1872" t="n">
        <v>7456.33</v>
      </c>
      <c r="C1872" t="n">
        <v>226</v>
      </c>
      <c r="D1872" t="n">
        <v>10284.11</v>
      </c>
    </row>
    <row r="1873">
      <c r="A1873" t="n">
        <v>627</v>
      </c>
      <c r="B1873" t="n">
        <v>24323.05</v>
      </c>
      <c r="C1873" t="n">
        <v>109</v>
      </c>
      <c r="D1873" t="n">
        <v>26170.38</v>
      </c>
    </row>
    <row r="1874">
      <c r="A1874" t="n">
        <v>685</v>
      </c>
      <c r="B1874" t="n">
        <v>16789.11</v>
      </c>
      <c r="C1874" t="n">
        <v>83</v>
      </c>
      <c r="D1874" t="n">
        <v>13663.57</v>
      </c>
    </row>
    <row r="1875">
      <c r="A1875" t="n">
        <v>692</v>
      </c>
      <c r="B1875" t="n">
        <v>9211.299999999999</v>
      </c>
      <c r="C1875" t="n">
        <v>433</v>
      </c>
      <c r="D1875" t="n">
        <v>19419.35</v>
      </c>
    </row>
    <row r="1876">
      <c r="A1876" t="n">
        <v>702</v>
      </c>
      <c r="B1876" t="n">
        <v>8560.1</v>
      </c>
      <c r="C1876" t="n">
        <v>61</v>
      </c>
      <c r="D1876" t="n">
        <v>9340.860000000001</v>
      </c>
    </row>
    <row r="1877">
      <c r="A1877" t="n">
        <v>671</v>
      </c>
      <c r="B1877" t="n">
        <v>20754.6</v>
      </c>
      <c r="C1877" t="n">
        <v>171</v>
      </c>
      <c r="D1877" t="n">
        <v>10289.28</v>
      </c>
    </row>
    <row r="1878">
      <c r="A1878" t="n">
        <v>696</v>
      </c>
      <c r="B1878" t="n">
        <v>10507.44</v>
      </c>
      <c r="C1878" t="n">
        <v>55</v>
      </c>
      <c r="D1878" t="n">
        <v>26726.24</v>
      </c>
    </row>
    <row r="1879">
      <c r="A1879" t="n">
        <v>712</v>
      </c>
      <c r="B1879" t="n">
        <v>12078.51</v>
      </c>
      <c r="C1879" t="n">
        <v>76</v>
      </c>
      <c r="D1879" t="n">
        <v>16293.17</v>
      </c>
    </row>
    <row r="1880">
      <c r="A1880" t="n">
        <v>763</v>
      </c>
      <c r="B1880" t="n">
        <v>8554.610000000001</v>
      </c>
      <c r="C1880" t="n">
        <v>333</v>
      </c>
      <c r="D1880" t="n">
        <v>16404.27</v>
      </c>
    </row>
    <row r="1881">
      <c r="A1881" t="n">
        <v>780</v>
      </c>
      <c r="B1881" t="n">
        <v>3705.7</v>
      </c>
      <c r="C1881" t="n">
        <v>62</v>
      </c>
      <c r="D1881" t="n">
        <v>12042.63</v>
      </c>
    </row>
    <row r="1882">
      <c r="A1882" t="n">
        <v>576</v>
      </c>
      <c r="B1882" t="n">
        <v>23409.96</v>
      </c>
      <c r="C1882" t="n">
        <v>137</v>
      </c>
      <c r="D1882" t="n">
        <v>23735.84</v>
      </c>
    </row>
    <row r="1883">
      <c r="A1883" t="n">
        <v>714</v>
      </c>
      <c r="B1883" t="n">
        <v>9106.65</v>
      </c>
      <c r="C1883" t="n">
        <v>225</v>
      </c>
      <c r="D1883" t="n">
        <v>3705.7</v>
      </c>
    </row>
    <row r="1884">
      <c r="A1884" t="n">
        <v>676</v>
      </c>
      <c r="B1884" t="n">
        <v>5136.39</v>
      </c>
      <c r="C1884" t="n">
        <v>276</v>
      </c>
      <c r="D1884" t="n">
        <v>16139.18</v>
      </c>
    </row>
    <row r="1885">
      <c r="A1885" t="n">
        <v>730</v>
      </c>
      <c r="B1885" t="n">
        <v>117.09</v>
      </c>
      <c r="C1885" t="n">
        <v>322</v>
      </c>
      <c r="D1885" t="n">
        <v>32879.84</v>
      </c>
    </row>
    <row r="1886">
      <c r="A1886" t="n">
        <v>664</v>
      </c>
      <c r="B1886" t="n">
        <v>13089.06</v>
      </c>
      <c r="C1886" t="n">
        <v>354</v>
      </c>
      <c r="D1886" t="n">
        <v>13030.75</v>
      </c>
    </row>
    <row r="1887">
      <c r="A1887" t="n">
        <v>671</v>
      </c>
      <c r="B1887" t="n">
        <v>12222.29</v>
      </c>
      <c r="C1887" t="n">
        <v>185</v>
      </c>
      <c r="D1887" t="n">
        <v>6884.57</v>
      </c>
    </row>
    <row r="1888">
      <c r="A1888" t="n">
        <v>722</v>
      </c>
      <c r="B1888" t="n">
        <v>11100.42</v>
      </c>
      <c r="C1888" t="n">
        <v>63</v>
      </c>
      <c r="D1888" t="n">
        <v>11100.42</v>
      </c>
    </row>
    <row r="1889">
      <c r="A1889" t="n">
        <v>718</v>
      </c>
      <c r="B1889" t="n">
        <v>9877.959999999999</v>
      </c>
      <c r="C1889" t="n">
        <v>61</v>
      </c>
      <c r="D1889" t="n">
        <v>9877.959999999999</v>
      </c>
    </row>
    <row r="1890">
      <c r="A1890" t="n">
        <v>762</v>
      </c>
      <c r="B1890" t="n">
        <v>2869.59</v>
      </c>
      <c r="C1890" t="n">
        <v>411</v>
      </c>
      <c r="D1890" t="n">
        <v>10490.8</v>
      </c>
    </row>
    <row r="1891">
      <c r="A1891" t="n">
        <v>734</v>
      </c>
      <c r="B1891" t="n">
        <v>8148.58</v>
      </c>
      <c r="C1891" t="n">
        <v>216</v>
      </c>
      <c r="D1891" t="n">
        <v>2869.59</v>
      </c>
    </row>
    <row r="1892">
      <c r="A1892" t="n">
        <v>752</v>
      </c>
      <c r="B1892" t="n">
        <v>16418.06</v>
      </c>
      <c r="C1892" t="n">
        <v>258</v>
      </c>
      <c r="D1892" t="n">
        <v>1556.82</v>
      </c>
    </row>
    <row r="1893">
      <c r="A1893" t="n">
        <v>604</v>
      </c>
      <c r="B1893" t="n">
        <v>6900.4</v>
      </c>
      <c r="C1893" t="n">
        <v>264</v>
      </c>
      <c r="D1893" t="n">
        <v>5146.43</v>
      </c>
    </row>
    <row r="1894">
      <c r="A1894" t="n">
        <v>674</v>
      </c>
      <c r="B1894" t="n">
        <v>2117.38</v>
      </c>
      <c r="C1894" t="n">
        <v>55</v>
      </c>
      <c r="D1894" t="n">
        <v>8710.459999999999</v>
      </c>
    </row>
    <row r="1895">
      <c r="A1895" t="n">
        <v>706</v>
      </c>
      <c r="B1895" t="n">
        <v>13011.45</v>
      </c>
      <c r="C1895" t="n">
        <v>16</v>
      </c>
      <c r="D1895" t="n">
        <v>14775.91</v>
      </c>
    </row>
    <row r="1896">
      <c r="A1896" t="n">
        <v>702</v>
      </c>
      <c r="B1896" t="n">
        <v>14130.98</v>
      </c>
      <c r="C1896" t="n">
        <v>170</v>
      </c>
      <c r="D1896" t="n">
        <v>1287.71</v>
      </c>
    </row>
    <row r="1897">
      <c r="A1897" t="n">
        <v>705</v>
      </c>
      <c r="B1897" t="n">
        <v>14483.63</v>
      </c>
      <c r="C1897" t="n">
        <v>230</v>
      </c>
      <c r="D1897" t="n">
        <v>11895.38</v>
      </c>
    </row>
    <row r="1898">
      <c r="A1898" t="n">
        <v>587</v>
      </c>
      <c r="B1898" t="n">
        <v>12476.77</v>
      </c>
      <c r="C1898" t="n">
        <v>23</v>
      </c>
      <c r="D1898" t="n">
        <v>16919.58</v>
      </c>
    </row>
    <row r="1899">
      <c r="A1899" t="n">
        <v>703</v>
      </c>
      <c r="B1899" t="n">
        <v>13772.74</v>
      </c>
      <c r="C1899" t="n">
        <v>148</v>
      </c>
      <c r="D1899" t="n">
        <v>7485.23</v>
      </c>
    </row>
    <row r="1900">
      <c r="A1900" t="n">
        <v>714</v>
      </c>
      <c r="B1900" t="n">
        <v>15411.16</v>
      </c>
      <c r="C1900" t="n">
        <v>370</v>
      </c>
      <c r="D1900" t="n">
        <v>12476.77</v>
      </c>
    </row>
    <row r="1901">
      <c r="A1901" t="n">
        <v>793</v>
      </c>
      <c r="B1901" t="n">
        <v>9134.719999999999</v>
      </c>
      <c r="C1901" t="n">
        <v>331</v>
      </c>
      <c r="D1901" t="n">
        <v>6746.22</v>
      </c>
    </row>
    <row r="1902">
      <c r="A1902" t="n">
        <v>691</v>
      </c>
      <c r="B1902" t="n">
        <v>18811.49</v>
      </c>
      <c r="C1902" t="n">
        <v>290</v>
      </c>
      <c r="D1902" t="n">
        <v>11451.8</v>
      </c>
    </row>
    <row r="1903">
      <c r="A1903" t="n">
        <v>657</v>
      </c>
      <c r="B1903" t="n">
        <v>15762.91</v>
      </c>
      <c r="C1903" t="n">
        <v>379</v>
      </c>
      <c r="D1903" t="n">
        <v>9134.719999999999</v>
      </c>
    </row>
    <row r="1904">
      <c r="A1904" t="n">
        <v>640</v>
      </c>
      <c r="B1904" t="n">
        <v>25724.4</v>
      </c>
      <c r="C1904" t="n">
        <v>124</v>
      </c>
      <c r="D1904" t="n">
        <v>18811.49</v>
      </c>
    </row>
    <row r="1905">
      <c r="A1905" t="n">
        <v>666</v>
      </c>
      <c r="B1905" t="n">
        <v>10577.52</v>
      </c>
      <c r="C1905" t="n">
        <v>166</v>
      </c>
      <c r="D1905" t="n">
        <v>12576.19</v>
      </c>
    </row>
    <row r="1906">
      <c r="A1906" t="n">
        <v>702</v>
      </c>
      <c r="B1906" t="n">
        <v>14073.8</v>
      </c>
      <c r="C1906" t="n">
        <v>65</v>
      </c>
      <c r="D1906" t="n">
        <v>10577.52</v>
      </c>
    </row>
    <row r="1907">
      <c r="A1907" t="n">
        <v>652</v>
      </c>
      <c r="B1907" t="n">
        <v>21128.5</v>
      </c>
      <c r="C1907" t="n">
        <v>83</v>
      </c>
      <c r="D1907" t="n">
        <v>14073.8</v>
      </c>
    </row>
    <row r="1908">
      <c r="A1908" t="n">
        <v>775</v>
      </c>
      <c r="B1908" t="n">
        <v>11286.45</v>
      </c>
      <c r="C1908" t="n">
        <v>390</v>
      </c>
      <c r="D1908" t="n">
        <v>14718.35</v>
      </c>
    </row>
    <row r="1909">
      <c r="A1909" t="n">
        <v>713</v>
      </c>
      <c r="B1909" t="n">
        <v>3649.49</v>
      </c>
      <c r="C1909" t="n">
        <v>120</v>
      </c>
      <c r="D1909" t="n">
        <v>3649.49</v>
      </c>
    </row>
    <row r="1910">
      <c r="A1910" t="n">
        <v>758</v>
      </c>
      <c r="B1910" t="n">
        <v>4794.5</v>
      </c>
      <c r="C1910" t="n">
        <v>84</v>
      </c>
      <c r="D1910" t="n">
        <v>4794.5</v>
      </c>
    </row>
    <row r="1911">
      <c r="A1911" t="n">
        <v>760</v>
      </c>
      <c r="B1911" t="n">
        <v>6282.58</v>
      </c>
      <c r="C1911" t="n">
        <v>167</v>
      </c>
      <c r="D1911" t="n">
        <v>6282.58</v>
      </c>
    </row>
    <row r="1912">
      <c r="A1912" t="n">
        <v>647</v>
      </c>
      <c r="B1912" t="n">
        <v>14161.14</v>
      </c>
      <c r="C1912" t="n">
        <v>321</v>
      </c>
      <c r="D1912" t="n">
        <v>14161.14</v>
      </c>
    </row>
    <row r="1913">
      <c r="A1913" t="n">
        <v>702</v>
      </c>
      <c r="B1913" t="n">
        <v>19508.6</v>
      </c>
      <c r="C1913" t="n">
        <v>414</v>
      </c>
      <c r="D1913" t="n">
        <v>13932.24</v>
      </c>
    </row>
    <row r="1914">
      <c r="A1914" t="n">
        <v>593</v>
      </c>
      <c r="B1914" t="n">
        <v>23979.53</v>
      </c>
      <c r="C1914" t="n">
        <v>266</v>
      </c>
      <c r="D1914" t="n">
        <v>10043.23</v>
      </c>
    </row>
    <row r="1915">
      <c r="A1915" t="n">
        <v>808</v>
      </c>
      <c r="B1915" t="n">
        <v>3408.43</v>
      </c>
      <c r="C1915" t="n">
        <v>289</v>
      </c>
      <c r="D1915" t="n">
        <v>23979.53</v>
      </c>
    </row>
    <row r="1916">
      <c r="A1916" t="n">
        <v>632</v>
      </c>
      <c r="B1916" t="n">
        <v>13569.38</v>
      </c>
      <c r="C1916" t="n">
        <v>98</v>
      </c>
      <c r="D1916" t="n">
        <v>3357.48</v>
      </c>
    </row>
    <row r="1917">
      <c r="A1917" t="n">
        <v>672</v>
      </c>
      <c r="B1917" t="n">
        <v>11747.66</v>
      </c>
      <c r="C1917" t="n">
        <v>6</v>
      </c>
      <c r="D1917" t="n">
        <v>8516.540000000001</v>
      </c>
    </row>
    <row r="1918">
      <c r="A1918" t="n">
        <v>670</v>
      </c>
      <c r="B1918" t="n">
        <v>13645.97</v>
      </c>
      <c r="C1918" t="n">
        <v>229</v>
      </c>
      <c r="D1918" t="n">
        <v>9799.959999999999</v>
      </c>
    </row>
    <row r="1919">
      <c r="A1919" t="n">
        <v>689</v>
      </c>
      <c r="B1919" t="n">
        <v>7159.53</v>
      </c>
      <c r="C1919" t="n">
        <v>227</v>
      </c>
      <c r="D1919" t="n">
        <v>5600.26</v>
      </c>
    </row>
    <row r="1920">
      <c r="A1920" t="n">
        <v>719</v>
      </c>
      <c r="B1920" t="n">
        <v>9117.35</v>
      </c>
      <c r="C1920" t="n">
        <v>181</v>
      </c>
      <c r="D1920" t="n">
        <v>14639.32</v>
      </c>
    </row>
    <row r="1921">
      <c r="A1921" t="n">
        <v>699</v>
      </c>
      <c r="B1921" t="n">
        <v>10528.31</v>
      </c>
      <c r="C1921" t="n">
        <v>329</v>
      </c>
      <c r="D1921" t="n">
        <v>19262.46</v>
      </c>
    </row>
    <row r="1922">
      <c r="A1922" t="n">
        <v>682</v>
      </c>
      <c r="B1922" t="n">
        <v>20781.32</v>
      </c>
      <c r="C1922" t="n">
        <v>413</v>
      </c>
      <c r="D1922" t="n">
        <v>15276.89</v>
      </c>
    </row>
    <row r="1923">
      <c r="A1923" t="n">
        <v>657</v>
      </c>
      <c r="B1923" t="n">
        <v>12509.95</v>
      </c>
      <c r="C1923" t="n">
        <v>409</v>
      </c>
      <c r="D1923" t="n">
        <v>16814.66</v>
      </c>
    </row>
    <row r="1924">
      <c r="A1924" t="n">
        <v>631</v>
      </c>
      <c r="B1924" t="n">
        <v>19200.95</v>
      </c>
      <c r="C1924" t="n">
        <v>272</v>
      </c>
      <c r="D1924" t="n">
        <v>13812.94</v>
      </c>
    </row>
    <row r="1925">
      <c r="A1925" t="n">
        <v>779</v>
      </c>
      <c r="B1925" t="n">
        <v>6389.08</v>
      </c>
      <c r="C1925" t="n">
        <v>5</v>
      </c>
      <c r="D1925" t="n">
        <v>21025.76</v>
      </c>
    </row>
    <row r="1926">
      <c r="A1926" t="n">
        <v>700</v>
      </c>
      <c r="B1926" t="n">
        <v>13238.3</v>
      </c>
      <c r="C1926" t="n">
        <v>13</v>
      </c>
      <c r="D1926" t="n">
        <v>20274.09</v>
      </c>
    </row>
    <row r="1927">
      <c r="A1927" t="n">
        <v>632</v>
      </c>
      <c r="B1927" t="n">
        <v>17670.56</v>
      </c>
      <c r="C1927" t="n">
        <v>85</v>
      </c>
      <c r="D1927" t="n">
        <v>2638.76</v>
      </c>
    </row>
    <row r="1928">
      <c r="A1928" t="n">
        <v>668</v>
      </c>
      <c r="B1928" t="n">
        <v>10559.84</v>
      </c>
      <c r="C1928" t="n">
        <v>39</v>
      </c>
      <c r="D1928" t="n">
        <v>13238.3</v>
      </c>
    </row>
    <row r="1929">
      <c r="A1929" t="n">
        <v>756</v>
      </c>
      <c r="B1929" t="n">
        <v>3994.78</v>
      </c>
      <c r="C1929" t="n">
        <v>379</v>
      </c>
      <c r="D1929" t="n">
        <v>21592.62</v>
      </c>
    </row>
    <row r="1930">
      <c r="A1930" t="n">
        <v>604</v>
      </c>
      <c r="B1930" t="n">
        <v>5135.94</v>
      </c>
      <c r="C1930" t="n">
        <v>155</v>
      </c>
      <c r="D1930" t="n">
        <v>9417.290000000001</v>
      </c>
    </row>
    <row r="1931">
      <c r="A1931" t="n">
        <v>703</v>
      </c>
      <c r="B1931" t="n">
        <v>6399.9</v>
      </c>
      <c r="C1931" t="n">
        <v>132</v>
      </c>
      <c r="D1931" t="n">
        <v>19114.34</v>
      </c>
    </row>
    <row r="1932">
      <c r="A1932" t="n">
        <v>736</v>
      </c>
      <c r="B1932" t="n">
        <v>11991.1</v>
      </c>
      <c r="C1932" t="n">
        <v>389</v>
      </c>
      <c r="D1932" t="n">
        <v>5135.94</v>
      </c>
    </row>
    <row r="1933">
      <c r="A1933" t="n">
        <v>656</v>
      </c>
      <c r="B1933" t="n">
        <v>17047.66</v>
      </c>
      <c r="C1933" t="n">
        <v>21</v>
      </c>
      <c r="D1933" t="n">
        <v>6399.9</v>
      </c>
    </row>
    <row r="1934">
      <c r="A1934" t="n">
        <v>782</v>
      </c>
      <c r="B1934" t="n">
        <v>6669.49</v>
      </c>
      <c r="C1934" t="n">
        <v>241</v>
      </c>
      <c r="D1934" t="n">
        <v>11991.1</v>
      </c>
    </row>
    <row r="1935">
      <c r="A1935" t="n">
        <v>740</v>
      </c>
      <c r="B1935" t="n">
        <v>0</v>
      </c>
      <c r="C1935" t="n">
        <v>129</v>
      </c>
      <c r="D1935" t="n">
        <v>17047.66</v>
      </c>
    </row>
    <row r="1936">
      <c r="A1936" t="n">
        <v>620</v>
      </c>
      <c r="B1936" t="n">
        <v>23522.6</v>
      </c>
      <c r="C1936" t="n">
        <v>99</v>
      </c>
      <c r="D1936" t="n">
        <v>6669.49</v>
      </c>
    </row>
    <row r="1937">
      <c r="A1937" t="n">
        <v>700</v>
      </c>
      <c r="B1937" t="n">
        <v>9370.15</v>
      </c>
      <c r="C1937" t="n">
        <v>39</v>
      </c>
      <c r="D1937" t="n">
        <v>14906.65</v>
      </c>
    </row>
    <row r="1938">
      <c r="A1938" t="n">
        <v>606</v>
      </c>
      <c r="B1938" t="n">
        <v>25698.06</v>
      </c>
      <c r="C1938" t="n">
        <v>405</v>
      </c>
      <c r="D1938" t="n">
        <v>6729.87</v>
      </c>
    </row>
    <row r="1939">
      <c r="A1939" t="n">
        <v>712</v>
      </c>
      <c r="B1939" t="n">
        <v>5772.82</v>
      </c>
      <c r="C1939" t="n">
        <v>155</v>
      </c>
      <c r="D1939" t="n">
        <v>4436.99</v>
      </c>
    </row>
    <row r="1940">
      <c r="A1940" t="n">
        <v>598</v>
      </c>
      <c r="B1940" t="n">
        <v>6244.46</v>
      </c>
      <c r="C1940" t="n">
        <v>203</v>
      </c>
      <c r="D1940" t="n">
        <v>13982.93</v>
      </c>
    </row>
    <row r="1941">
      <c r="A1941" t="n">
        <v>686</v>
      </c>
      <c r="B1941" t="n">
        <v>16231.26</v>
      </c>
      <c r="C1941" t="n">
        <v>163</v>
      </c>
      <c r="D1941" t="n">
        <v>8947.23</v>
      </c>
    </row>
    <row r="1942">
      <c r="A1942" t="n">
        <v>838</v>
      </c>
      <c r="B1942" t="n">
        <v>6433.44</v>
      </c>
      <c r="C1942" t="n">
        <v>341</v>
      </c>
      <c r="D1942" t="n">
        <v>16228.41</v>
      </c>
    </row>
    <row r="1943">
      <c r="A1943" t="n">
        <v>707</v>
      </c>
      <c r="B1943" t="n">
        <v>13662.86</v>
      </c>
      <c r="C1943" t="n">
        <v>114</v>
      </c>
      <c r="D1943" t="n">
        <v>4893.1</v>
      </c>
    </row>
    <row r="1944">
      <c r="A1944" t="n">
        <v>702</v>
      </c>
      <c r="B1944" t="n">
        <v>12474.99</v>
      </c>
      <c r="C1944" t="n">
        <v>401</v>
      </c>
      <c r="D1944" t="n">
        <v>9034.690000000001</v>
      </c>
    </row>
    <row r="1945">
      <c r="A1945" t="n">
        <v>662</v>
      </c>
      <c r="B1945" t="n">
        <v>10076.72</v>
      </c>
      <c r="C1945" t="n">
        <v>370</v>
      </c>
      <c r="D1945" t="n">
        <v>8275.08</v>
      </c>
    </row>
    <row r="1946">
      <c r="A1946" t="n">
        <v>717</v>
      </c>
      <c r="B1946" t="n">
        <v>11477.18</v>
      </c>
      <c r="C1946" t="n">
        <v>65</v>
      </c>
      <c r="D1946" t="n">
        <v>12549.04</v>
      </c>
    </row>
    <row r="1947">
      <c r="A1947" t="n">
        <v>706</v>
      </c>
      <c r="B1947" t="n">
        <v>15174.86</v>
      </c>
      <c r="C1947" t="n">
        <v>360</v>
      </c>
      <c r="D1947" t="n">
        <v>18145.61</v>
      </c>
    </row>
    <row r="1948">
      <c r="A1948" t="n">
        <v>814</v>
      </c>
      <c r="B1948" t="n">
        <v>1931.43</v>
      </c>
      <c r="C1948" t="n">
        <v>64</v>
      </c>
      <c r="D1948" t="n">
        <v>11102.38</v>
      </c>
    </row>
    <row r="1949">
      <c r="A1949" t="n">
        <v>752</v>
      </c>
      <c r="B1949" t="n">
        <v>11765.87</v>
      </c>
      <c r="C1949" t="n">
        <v>242</v>
      </c>
      <c r="D1949" t="n">
        <v>11765.87</v>
      </c>
    </row>
    <row r="1950">
      <c r="A1950" t="n">
        <v>702</v>
      </c>
      <c r="B1950" t="n">
        <v>0</v>
      </c>
      <c r="C1950" t="n">
        <v>367</v>
      </c>
      <c r="D1950" t="n">
        <v>9752.67</v>
      </c>
    </row>
    <row r="1951">
      <c r="A1951" t="n">
        <v>666</v>
      </c>
      <c r="B1951" t="n">
        <v>16878.69</v>
      </c>
      <c r="C1951" t="n">
        <v>175</v>
      </c>
      <c r="D1951" t="n">
        <v>13501.81</v>
      </c>
    </row>
    <row r="1952">
      <c r="A1952" t="n">
        <v>702</v>
      </c>
      <c r="B1952" t="n">
        <v>20990.48</v>
      </c>
      <c r="C1952" t="n">
        <v>320</v>
      </c>
      <c r="D1952" t="n">
        <v>17987.23</v>
      </c>
    </row>
    <row r="1953">
      <c r="A1953" t="n">
        <v>672</v>
      </c>
      <c r="B1953" t="n">
        <v>226.61</v>
      </c>
      <c r="C1953" t="n">
        <v>163</v>
      </c>
      <c r="D1953" t="n">
        <v>7599.84</v>
      </c>
    </row>
    <row r="1954">
      <c r="A1954" t="n">
        <v>642</v>
      </c>
      <c r="B1954" t="n">
        <v>14520.27</v>
      </c>
      <c r="C1954" t="n">
        <v>14</v>
      </c>
      <c r="D1954" t="n">
        <v>226.61</v>
      </c>
    </row>
    <row r="1955">
      <c r="A1955" t="n">
        <v>723</v>
      </c>
      <c r="B1955" t="n">
        <v>8255.17</v>
      </c>
      <c r="C1955" t="n">
        <v>68</v>
      </c>
      <c r="D1955" t="n">
        <v>15231.89</v>
      </c>
    </row>
    <row r="1956">
      <c r="A1956" t="n">
        <v>832</v>
      </c>
      <c r="B1956" t="n">
        <v>8967.879999999999</v>
      </c>
      <c r="C1956" t="n">
        <v>210</v>
      </c>
      <c r="D1956" t="n">
        <v>9768.110000000001</v>
      </c>
    </row>
    <row r="1957">
      <c r="A1957" t="n">
        <v>529</v>
      </c>
      <c r="B1957" t="n">
        <v>28375.01</v>
      </c>
      <c r="C1957" t="n">
        <v>364</v>
      </c>
      <c r="D1957" t="n">
        <v>16687.59</v>
      </c>
    </row>
    <row r="1958">
      <c r="A1958" t="n">
        <v>779</v>
      </c>
      <c r="B1958" t="n">
        <v>5638.52</v>
      </c>
      <c r="C1958" t="n">
        <v>260</v>
      </c>
      <c r="D1958" t="n">
        <v>6882.81</v>
      </c>
    </row>
    <row r="1959">
      <c r="A1959" t="n">
        <v>748</v>
      </c>
      <c r="B1959" t="n">
        <v>2413.18</v>
      </c>
      <c r="C1959" t="n">
        <v>38</v>
      </c>
      <c r="D1959" t="n">
        <v>28375.01</v>
      </c>
    </row>
    <row r="1960">
      <c r="A1960" t="n">
        <v>648</v>
      </c>
      <c r="B1960" t="n">
        <v>3448.02</v>
      </c>
      <c r="C1960" t="n">
        <v>289</v>
      </c>
      <c r="D1960" t="n">
        <v>5638.52</v>
      </c>
    </row>
    <row r="1961">
      <c r="A1961" t="n">
        <v>741</v>
      </c>
      <c r="B1961" t="n">
        <v>18889.39</v>
      </c>
      <c r="C1961" t="n">
        <v>227</v>
      </c>
      <c r="D1961" t="n">
        <v>18109.45</v>
      </c>
    </row>
    <row r="1962">
      <c r="A1962" t="n">
        <v>711</v>
      </c>
      <c r="B1962" t="n">
        <v>10874.93</v>
      </c>
      <c r="C1962" t="n">
        <v>399</v>
      </c>
      <c r="D1962" t="n">
        <v>11380.82</v>
      </c>
    </row>
    <row r="1963">
      <c r="A1963" t="n">
        <v>798</v>
      </c>
      <c r="B1963" t="n">
        <v>7205.29</v>
      </c>
      <c r="C1963" t="n">
        <v>287</v>
      </c>
      <c r="D1963" t="n">
        <v>14674.5</v>
      </c>
    </row>
    <row r="1964">
      <c r="A1964" t="n">
        <v>675</v>
      </c>
      <c r="B1964" t="n">
        <v>30299.18</v>
      </c>
      <c r="C1964" t="n">
        <v>206</v>
      </c>
      <c r="D1964" t="n">
        <v>10874.93</v>
      </c>
    </row>
    <row r="1965">
      <c r="A1965" t="n">
        <v>677</v>
      </c>
      <c r="B1965" t="n">
        <v>14532.18</v>
      </c>
      <c r="C1965" t="n">
        <v>89</v>
      </c>
      <c r="D1965" t="n">
        <v>4500.37</v>
      </c>
    </row>
    <row r="1966">
      <c r="A1966" t="n">
        <v>654</v>
      </c>
      <c r="B1966" t="n">
        <v>27083.49</v>
      </c>
      <c r="C1966" t="n">
        <v>184</v>
      </c>
      <c r="D1966" t="n">
        <v>12494.13</v>
      </c>
    </row>
    <row r="1967">
      <c r="A1967" t="n">
        <v>645</v>
      </c>
      <c r="B1967" t="n">
        <v>26391.62</v>
      </c>
      <c r="C1967" t="n">
        <v>35</v>
      </c>
      <c r="D1967" t="n">
        <v>14532.18</v>
      </c>
    </row>
    <row r="1968">
      <c r="A1968" t="n">
        <v>607</v>
      </c>
      <c r="B1968" t="n">
        <v>19736.96</v>
      </c>
      <c r="C1968" t="n">
        <v>109</v>
      </c>
      <c r="D1968" t="n">
        <v>26391.62</v>
      </c>
    </row>
    <row r="1969">
      <c r="A1969" t="n">
        <v>712</v>
      </c>
      <c r="B1969" t="n">
        <v>18606.84</v>
      </c>
      <c r="C1969" t="n">
        <v>31</v>
      </c>
      <c r="D1969" t="n">
        <v>18606.84</v>
      </c>
    </row>
    <row r="1970">
      <c r="A1970" t="n">
        <v>677</v>
      </c>
      <c r="B1970" t="n">
        <v>11475.59</v>
      </c>
      <c r="C1970" t="n">
        <v>314</v>
      </c>
      <c r="D1970" t="n">
        <v>11475.59</v>
      </c>
    </row>
    <row r="1971">
      <c r="A1971" t="n">
        <v>707</v>
      </c>
      <c r="B1971" t="n">
        <v>8709.09</v>
      </c>
      <c r="C1971" t="n">
        <v>111</v>
      </c>
      <c r="D1971" t="n">
        <v>8709.09</v>
      </c>
    </row>
    <row r="1972">
      <c r="A1972" t="n">
        <v>681</v>
      </c>
      <c r="B1972" t="n">
        <v>13895.14</v>
      </c>
      <c r="C1972" t="n">
        <v>205</v>
      </c>
      <c r="D1972" t="n">
        <v>14174.69</v>
      </c>
    </row>
    <row r="1973">
      <c r="A1973" t="n">
        <v>771</v>
      </c>
      <c r="B1973" t="n">
        <v>12883.85</v>
      </c>
      <c r="C1973" t="n">
        <v>94</v>
      </c>
      <c r="D1973" t="n">
        <v>16433.12</v>
      </c>
    </row>
    <row r="1974">
      <c r="A1974" t="n">
        <v>729</v>
      </c>
      <c r="B1974" t="n">
        <v>16918.23</v>
      </c>
      <c r="C1974" t="n">
        <v>356</v>
      </c>
      <c r="D1974" t="n">
        <v>14285.85</v>
      </c>
    </row>
    <row r="1975">
      <c r="A1975" t="n">
        <v>642</v>
      </c>
      <c r="B1975" t="n">
        <v>16017.85</v>
      </c>
      <c r="C1975" t="n">
        <v>144</v>
      </c>
      <c r="D1975" t="n">
        <v>5380.95</v>
      </c>
    </row>
    <row r="1976">
      <c r="A1976" t="n">
        <v>676</v>
      </c>
      <c r="B1976" t="n">
        <v>16159.18</v>
      </c>
      <c r="C1976" t="n">
        <v>199</v>
      </c>
      <c r="D1976" t="n">
        <v>18392.84</v>
      </c>
    </row>
    <row r="1977">
      <c r="A1977" t="n">
        <v>593</v>
      </c>
      <c r="B1977" t="n">
        <v>23352.1</v>
      </c>
      <c r="C1977" t="n">
        <v>262</v>
      </c>
      <c r="D1977" t="n">
        <v>11450.7</v>
      </c>
    </row>
    <row r="1978">
      <c r="A1978" t="n">
        <v>717</v>
      </c>
      <c r="B1978" t="n">
        <v>11450.7</v>
      </c>
      <c r="C1978" t="n">
        <v>123</v>
      </c>
      <c r="D1978" t="n">
        <v>6455.54</v>
      </c>
    </row>
    <row r="1979">
      <c r="A1979" t="n">
        <v>757</v>
      </c>
      <c r="B1979" t="n">
        <v>5931.19</v>
      </c>
      <c r="C1979" t="n">
        <v>211</v>
      </c>
      <c r="D1979" t="n">
        <v>17789.16</v>
      </c>
    </row>
    <row r="1980">
      <c r="A1980" t="n">
        <v>754</v>
      </c>
      <c r="B1980" t="n">
        <v>6455.54</v>
      </c>
      <c r="C1980" t="n">
        <v>377</v>
      </c>
      <c r="D1980" t="n">
        <v>3553.19</v>
      </c>
    </row>
    <row r="1981">
      <c r="A1981" t="n">
        <v>640</v>
      </c>
      <c r="B1981" t="n">
        <v>17789.16</v>
      </c>
      <c r="C1981" t="n">
        <v>33</v>
      </c>
      <c r="D1981" t="n">
        <v>26744.79</v>
      </c>
    </row>
    <row r="1982">
      <c r="A1982" t="n">
        <v>708</v>
      </c>
      <c r="B1982" t="n">
        <v>3553.19</v>
      </c>
      <c r="C1982" t="n">
        <v>34</v>
      </c>
      <c r="D1982" t="n">
        <v>10424.36</v>
      </c>
    </row>
    <row r="1983">
      <c r="A1983" t="n">
        <v>615</v>
      </c>
      <c r="B1983" t="n">
        <v>26744.79</v>
      </c>
      <c r="C1983" t="n">
        <v>407</v>
      </c>
      <c r="D1983" t="n">
        <v>13436.82</v>
      </c>
    </row>
    <row r="1984">
      <c r="A1984" t="n">
        <v>701</v>
      </c>
      <c r="B1984" t="n">
        <v>13436.82</v>
      </c>
      <c r="C1984" t="n">
        <v>125</v>
      </c>
      <c r="D1984" t="n">
        <v>4656.13</v>
      </c>
    </row>
    <row r="1985">
      <c r="A1985" t="n">
        <v>803</v>
      </c>
      <c r="B1985" t="n">
        <v>3166.11</v>
      </c>
      <c r="C1985" t="n">
        <v>294</v>
      </c>
      <c r="D1985" t="n">
        <v>26404.29</v>
      </c>
    </row>
    <row r="1986">
      <c r="A1986" t="n">
        <v>606</v>
      </c>
      <c r="B1986" t="n">
        <v>9771.1</v>
      </c>
      <c r="C1986" t="n">
        <v>150</v>
      </c>
      <c r="D1986" t="n">
        <v>19735.44</v>
      </c>
    </row>
    <row r="1987">
      <c r="A1987" t="n">
        <v>647</v>
      </c>
      <c r="B1987" t="n">
        <v>26404.29</v>
      </c>
      <c r="C1987" t="n">
        <v>178</v>
      </c>
      <c r="D1987" t="n">
        <v>7506.26</v>
      </c>
    </row>
    <row r="1988">
      <c r="A1988" t="n">
        <v>642</v>
      </c>
      <c r="B1988" t="n">
        <v>19735.44</v>
      </c>
      <c r="C1988" t="n">
        <v>351</v>
      </c>
      <c r="D1988" t="n">
        <v>19518.99</v>
      </c>
    </row>
    <row r="1989">
      <c r="A1989" t="n">
        <v>725</v>
      </c>
      <c r="B1989" t="n">
        <v>5011.93</v>
      </c>
      <c r="C1989" t="n">
        <v>273</v>
      </c>
      <c r="D1989" t="n">
        <v>10400.65</v>
      </c>
    </row>
    <row r="1990">
      <c r="A1990" t="n">
        <v>703</v>
      </c>
      <c r="B1990" t="n">
        <v>10400.65</v>
      </c>
      <c r="C1990" t="n">
        <v>90</v>
      </c>
      <c r="D1990" t="n">
        <v>5829.87</v>
      </c>
    </row>
    <row r="1991">
      <c r="A1991" t="n">
        <v>744</v>
      </c>
      <c r="B1991" t="n">
        <v>5829.87</v>
      </c>
      <c r="C1991" t="n">
        <v>232</v>
      </c>
      <c r="D1991" t="n">
        <v>8750.719999999999</v>
      </c>
    </row>
    <row r="1992">
      <c r="A1992" t="n">
        <v>755</v>
      </c>
      <c r="B1992" t="n">
        <v>8750.719999999999</v>
      </c>
      <c r="C1992" t="n">
        <v>297</v>
      </c>
      <c r="D1992" t="n">
        <v>11423.49</v>
      </c>
    </row>
    <row r="1993">
      <c r="A1993" t="n">
        <v>780</v>
      </c>
      <c r="B1993" t="n">
        <v>3583.71</v>
      </c>
      <c r="C1993" t="n">
        <v>220</v>
      </c>
      <c r="D1993" t="n">
        <v>15882.77</v>
      </c>
    </row>
    <row r="1994">
      <c r="A1994" t="n">
        <v>730</v>
      </c>
      <c r="B1994" t="n">
        <v>6221.24</v>
      </c>
      <c r="C1994" t="n">
        <v>243</v>
      </c>
      <c r="D1994" t="n">
        <v>3583.71</v>
      </c>
    </row>
    <row r="1995">
      <c r="A1995" t="n">
        <v>788</v>
      </c>
      <c r="B1995" t="n">
        <v>3226.2</v>
      </c>
      <c r="C1995" t="n">
        <v>139</v>
      </c>
      <c r="D1995" t="n">
        <v>6221.24</v>
      </c>
    </row>
    <row r="1996">
      <c r="A1996" t="n">
        <v>704</v>
      </c>
      <c r="B1996" t="n">
        <v>19902.64</v>
      </c>
      <c r="C1996" t="n">
        <v>215</v>
      </c>
      <c r="D1996" t="n">
        <v>3226.2</v>
      </c>
    </row>
    <row r="1997">
      <c r="A1997" t="n">
        <v>792</v>
      </c>
      <c r="B1997" t="n">
        <v>5399.33</v>
      </c>
      <c r="C1997" t="n">
        <v>112</v>
      </c>
      <c r="D1997" t="n">
        <v>19902.64</v>
      </c>
    </row>
    <row r="1998">
      <c r="A1998" t="n">
        <v>729</v>
      </c>
      <c r="B1998" t="n">
        <v>5170.54</v>
      </c>
      <c r="C1998" t="n">
        <v>202</v>
      </c>
      <c r="D1998" t="n">
        <v>5399.33</v>
      </c>
    </row>
    <row r="1999">
      <c r="A1999" t="n">
        <v>717</v>
      </c>
      <c r="B1999" t="n">
        <v>10695.02</v>
      </c>
      <c r="C1999" t="n">
        <v>128</v>
      </c>
      <c r="D1999" t="n">
        <v>5170.54</v>
      </c>
    </row>
    <row r="2000">
      <c r="A2000" t="n">
        <v>649</v>
      </c>
      <c r="B2000" t="n">
        <v>26700.69</v>
      </c>
      <c r="C2000" t="n">
        <v>384</v>
      </c>
      <c r="D2000" t="n">
        <v>26700.69</v>
      </c>
    </row>
    <row r="2001">
      <c r="A2001" t="n">
        <v>669</v>
      </c>
      <c r="B2001" t="n">
        <v>18225.52</v>
      </c>
      <c r="C2001" t="n">
        <v>125</v>
      </c>
      <c r="D2001" t="n">
        <v>18225.52</v>
      </c>
    </row>
    <row r="2002">
      <c r="A2002" t="n">
        <v>719</v>
      </c>
      <c r="B2002" t="n">
        <v>11898.76</v>
      </c>
      <c r="C2002" t="n">
        <v>100</v>
      </c>
      <c r="D2002" t="n">
        <v>11898.76</v>
      </c>
    </row>
    <row r="2003">
      <c r="A2003" t="n">
        <v>687</v>
      </c>
      <c r="B2003" t="n">
        <v>689.53</v>
      </c>
      <c r="C2003" t="n">
        <v>59</v>
      </c>
      <c r="D2003" t="n">
        <v>689.53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2026-09-30T04:03:32Z</dcterms:created>
  <dcterms:modified xsi:type="dcterms:W3CDTF">2026-09-30T04:03:44Z</dcterms:modified>
</cp:coreProperties>
</file>