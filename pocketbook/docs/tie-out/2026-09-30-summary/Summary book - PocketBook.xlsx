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ummary" sheetId="8" state="visible" r:id="rId8"/>
    <sheet name="Record" sheetId="9" state="visible" r:id="rId9"/>
    <sheet name="_options" sheetId="10" state="hidden" r:id="rId10"/>
    <sheet name="_meanings" sheetId="11" state="hidden" r:id="rId11"/>
    <sheet name="_about" sheetId="12" state="hidden" r:id="rId12"/>
    <sheet name="_choices" sheetId="13" state="hidden" r:id="rId13"/>
    <sheet name="_views" sheetId="14" state="hidden" r:id="rId14"/>
    <sheet name="_live" sheetId="15" state="hidden" r:id="rId15"/>
    <sheet name="_pockets" sheetId="16" state="hidden" r:id="rId16"/>
    <sheet name="_list" sheetId="17" state="hidden" r:id="rId17"/>
    <sheet name="_chart" sheetId="18" state="hidden" r:id="rId18"/>
    <sheet name="_used" sheetId="19" state="hidden" r:id="rId19"/>
    <sheet name="_found" sheetId="20" state="hidden" r:id="rId20"/>
    <sheet name="_look" sheetId="21" state="hidden" r:id="rId21"/>
    <sheet name="_log" sheetId="22" state="hidden" r:id="rId22"/>
  </sheets>
  <definedNames>
    <definedName name="answers_needed">Control!$J$15:$J$30</definedName>
    <definedName name="Status">Control!$H$24:$H$44</definedName>
    <definedName name="waiting_words">Control!$K$24:$K$44</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border">'_pockets'!$AM$4:$AM$1048576</definedName>
    <definedName name="pk_wborder">'_pockets'!$AN$4:$AN$1048576</definedName>
    <definedName name="pk_sel_measure">'Pockets'!$C$17</definedName>
    <definedName name="pk_sel_kind">'Pockets'!$D$17</definedName>
    <definedName name="pk_sel_show">'Pockets'!$E$17</definedName>
    <definedName name="_xlnm.Print_Area" localSheetId="1">'Control'!$B$1:$P$44</definedName>
    <definedName name="_xlnm.Print_Area" localSheetId="3">'Look'!$A$1:$Q$72</definedName>
    <definedName name="_xlnm.Print_Area" localSheetId="8">'Record'!$B$1:$G$70</definedName>
  </definedNames>
  <calcPr calcId="124519" fullCalcOnLoad="1"/>
</workbook>
</file>

<file path=xl/styles.xml><?xml version="1.0" encoding="utf-8"?>
<styleSheet xmlns="http://schemas.openxmlformats.org/spreadsheetml/2006/main">
  <numFmts count="7">
    <numFmt numFmtId="164" formatCode="&quot;$&quot;#,##0"/>
    <numFmt numFmtId="165" formatCode="yyyy-mm-dd"/>
    <numFmt numFmtId="166" formatCode="0.0%"/>
    <numFmt numFmtId="167" formatCode="0.00&quot;×&quot;"/>
    <numFmt numFmtId="168" formatCode="[&lt;0.0001]&quot;under 0.01%&quot;;[&lt;0.01]0.00%;0.0%"/>
    <numFmt numFmtId="169" formatCode="+0.00&quot; pts&quot;;-0.00&quot; pts&quot;;0.00&quot; pts&quot;"/>
    <numFmt numFmtId="170" formatCode="&quot;$&quot;#,##0;-&quot;$&quot;#,##0"/>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
      <name val="Arial"/>
      <color rgb="00E4DFD5"/>
      <sz val="10"/>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E4DFD5"/>
      </patternFill>
    </fill>
    <fill>
      <patternFill patternType="solid">
        <fgColor rgb="0016130F"/>
        <bgColor rgb="0016130F"/>
      </patternFill>
    </fill>
  </fills>
  <borders count="23">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
      <bottom style="thick">
        <color rgb="00B9B4AC"/>
      </bottom>
    </border>
    <border>
      <bottom style="thin">
        <color rgb="00E4DFD5"/>
      </bottom>
    </border>
    <border>
      <bottom style="medium">
        <color rgb="0016130F"/>
      </bottom>
    </border>
    <border>
      <left/>
      <right/>
      <top/>
      <bottom style="thin">
        <color rgb="00E4DFD5"/>
      </bottom>
      <diagonal/>
    </border>
  </borders>
  <cellStyleXfs count="1">
    <xf numFmtId="0" fontId="0" fillId="0" borderId="0"/>
  </cellStyleXfs>
  <cellXfs count="138">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0" fontId="11" fillId="0" borderId="0" applyAlignment="1" pivotButton="0" quotePrefix="0" xfId="0">
      <alignment vertical="top" wrapText="1"/>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2" fillId="3" borderId="8" applyAlignment="1" pivotButton="0" quotePrefix="0" xfId="0">
      <alignment vertical="top" indent="1"/>
    </xf>
    <xf numFmtId="0" fontId="0" fillId="0" borderId="13"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7" fontId="5" fillId="0" borderId="6" applyAlignment="1" pivotButton="0" quotePrefix="0" xfId="0">
      <alignment horizontal="center" vertical="center"/>
    </xf>
    <xf numFmtId="0" fontId="27" fillId="0" borderId="0" pivotButton="0" quotePrefix="0" xfId="0"/>
    <xf numFmtId="0" fontId="11" fillId="0" borderId="6" applyAlignment="1" pivotButton="0" quotePrefix="0" xfId="0">
      <alignment horizontal="center" vertical="center"/>
    </xf>
    <xf numFmtId="0" fontId="22" fillId="0" borderId="0" applyAlignment="1" pivotButton="0" quotePrefix="0" xfId="0">
      <alignment horizontal="left" vertical="center"/>
    </xf>
    <xf numFmtId="0" fontId="12" fillId="0" borderId="0" applyAlignment="1" pivotButton="0" quotePrefix="0" xfId="0">
      <alignment horizontal="left" vertical="center" indent="1"/>
    </xf>
    <xf numFmtId="0" fontId="23" fillId="0" borderId="0" applyAlignment="1" pivotButton="0" quotePrefix="0" xfId="0">
      <alignment horizontal="left" vertical="center"/>
    </xf>
    <xf numFmtId="167"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4"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7" fontId="5" fillId="0" borderId="0" applyAlignment="1" pivotButton="0" quotePrefix="0" xfId="0">
      <alignment horizontal="center" vertical="center"/>
    </xf>
    <xf numFmtId="0" fontId="5" fillId="0" borderId="0" applyAlignment="1" pivotButton="0" quotePrefix="0" xfId="0">
      <alignment horizontal="center" vertical="center"/>
    </xf>
    <xf numFmtId="168" fontId="5" fillId="0" borderId="0" applyAlignment="1" pivotButton="0" quotePrefix="0" xfId="0">
      <alignment horizontal="center" vertical="center"/>
    </xf>
    <xf numFmtId="0" fontId="0" fillId="0" borderId="16" pivotButton="0" quotePrefix="0" xfId="0"/>
    <xf numFmtId="0" fontId="26" fillId="0" borderId="0" applyAlignment="1" pivotButton="0" quotePrefix="0" xfId="0">
      <alignment horizontal="left" vertical="center"/>
    </xf>
    <xf numFmtId="0" fontId="25" fillId="0" borderId="17" applyAlignment="1" pivotButton="0" quotePrefix="0" xfId="0">
      <alignment horizontal="center" vertical="center"/>
    </xf>
    <xf numFmtId="0" fontId="0" fillId="0" borderId="17" pivotButton="0" quotePrefix="0" xfId="0"/>
    <xf numFmtId="169" fontId="5" fillId="0" borderId="0" applyAlignment="1" pivotButton="0" quotePrefix="0" xfId="0">
      <alignment horizontal="center" vertical="center"/>
    </xf>
    <xf numFmtId="0" fontId="4" fillId="0" borderId="0" applyAlignment="1" pivotButton="0" quotePrefix="0" xfId="0">
      <alignment horizontal="left" vertical="center" indent="1"/>
    </xf>
    <xf numFmtId="0" fontId="25" fillId="0" borderId="0" applyAlignment="1" pivotButton="0" quotePrefix="0" xfId="0">
      <alignment horizontal="left" vertical="center"/>
    </xf>
    <xf numFmtId="0" fontId="0" fillId="0" borderId="18" pivotButton="0" quotePrefix="0" xfId="0"/>
    <xf numFmtId="0" fontId="6" fillId="2" borderId="4" applyAlignment="1" pivotButton="0" quotePrefix="0" xfId="0">
      <alignment horizontal="left" vertical="center" indent="1"/>
    </xf>
    <xf numFmtId="0" fontId="3" fillId="3" borderId="0" applyAlignment="1" pivotButton="0" quotePrefix="0" xfId="0">
      <alignment horizontal="left" vertical="center" indent="1"/>
    </xf>
    <xf numFmtId="0" fontId="3" fillId="3" borderId="0" applyAlignment="1" pivotButton="0" quotePrefix="0" xfId="0">
      <alignment horizontal="center" vertical="center" wrapText="1"/>
    </xf>
    <xf numFmtId="0" fontId="12" fillId="0" borderId="0" applyAlignment="1" pivotButton="0" quotePrefix="0" xfId="0">
      <alignment horizontal="left" vertical="center"/>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14" fillId="2" borderId="0" applyAlignment="1" pivotButton="0" quotePrefix="0" xfId="0">
      <alignment horizontal="left" vertical="center" indent="1"/>
    </xf>
    <xf numFmtId="0" fontId="14" fillId="2" borderId="0" applyAlignment="1" pivotButton="0" quotePrefix="0" xfId="0">
      <alignment horizontal="center" vertical="center" wrapText="1"/>
    </xf>
    <xf numFmtId="166" fontId="5" fillId="0" borderId="0" applyAlignment="1" pivotButton="0" quotePrefix="0" xfId="0">
      <alignment horizontal="center" vertical="center"/>
    </xf>
    <xf numFmtId="170" fontId="5" fillId="0" borderId="0" applyAlignment="1" pivotButton="0" quotePrefix="0" xfId="0">
      <alignment horizontal="center" vertical="center"/>
    </xf>
    <xf numFmtId="0" fontId="1" fillId="6" borderId="19" applyAlignment="1" pivotButton="0" quotePrefix="0" xfId="0">
      <alignment vertical="center"/>
    </xf>
    <xf numFmtId="0" fontId="28" fillId="6" borderId="19" applyAlignment="1" pivotButton="0" quotePrefix="0" xfId="0">
      <alignment vertical="center"/>
    </xf>
    <xf numFmtId="0" fontId="0" fillId="6" borderId="19" pivotButton="0" quotePrefix="0" xfId="0"/>
    <xf numFmtId="0" fontId="6" fillId="9" borderId="0" applyAlignment="1" pivotButton="0" quotePrefix="0" xfId="0">
      <alignment vertical="center" indent="1"/>
    </xf>
    <xf numFmtId="0" fontId="0" fillId="9" borderId="0" pivotButton="0" quotePrefix="0" xfId="0"/>
    <xf numFmtId="0" fontId="3" fillId="3" borderId="20" applyAlignment="1" pivotButton="0" quotePrefix="0" xfId="0">
      <alignment horizontal="left" vertical="center" indent="1"/>
    </xf>
    <xf numFmtId="0" fontId="3" fillId="3" borderId="20" applyAlignment="1" pivotButton="0" quotePrefix="0" xfId="0">
      <alignment horizontal="center" vertical="center" indent="1"/>
    </xf>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0" fillId="0" borderId="21" pivotButton="0" quotePrefix="0" xfId="0"/>
    <xf numFmtId="0" fontId="11" fillId="0" borderId="21" applyAlignment="1" pivotButton="0" quotePrefix="0" xfId="0">
      <alignment horizontal="left" vertical="center" wrapText="1" indent="1"/>
    </xf>
    <xf numFmtId="0" fontId="4" fillId="0" borderId="21" applyAlignment="1" pivotButton="0" quotePrefix="0" xfId="0">
      <alignment horizontal="center" vertical="center" wrapText="1" indent="1"/>
    </xf>
    <xf numFmtId="0" fontId="5" fillId="0" borderId="21" applyAlignment="1" pivotButton="0" quotePrefix="0" xfId="0">
      <alignment horizontal="center" vertical="center" wrapText="1" indent="1"/>
    </xf>
    <xf numFmtId="0" fontId="0" fillId="0" borderId="22" pivotButton="0" quotePrefix="0" xfId="0"/>
    <xf numFmtId="0" fontId="5" fillId="0" borderId="21" applyAlignment="1" pivotButton="0" quotePrefix="0" xfId="0">
      <alignment horizontal="left" vertical="center" wrapText="1" indent="1"/>
    </xf>
    <xf numFmtId="0" fontId="18" fillId="0" borderId="6" applyAlignment="1" pivotButton="0" quotePrefix="0" xfId="0">
      <alignment horizontal="left" vertical="center" wrapText="1" indent="1"/>
    </xf>
    <xf numFmtId="0" fontId="20" fillId="0" borderId="0" pivotButton="0" quotePrefix="0" xfId="0"/>
    <xf numFmtId="0" fontId="0"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1" fillId="8" borderId="0" applyAlignment="1" pivotButton="0" quotePrefix="0" xfId="0">
      <alignment vertical="top" wrapText="1"/>
    </xf>
  </cellXfs>
  <cellStyles count="1">
    <cellStyle name="Normal" xfId="0" builtinId="0" hidden="0"/>
  </cellStyles>
  <dxfs count="38">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10" formatCode="&quot;$&quot;#,##0"/>
      <border>
        <bottom style="thin">
          <color rgb="00EFEBE4"/>
        </bottom>
      </border>
    </dxf>
    <dxf>
      <font>
        <color rgb="009A958C"/>
      </font>
      <numFmt numFmtId="489" formatCode="+0.00&quot; pts&quot;;-0.00&quot; pts&quot;;0.00&quot; pts&quot;"/>
      <border>
        <bottom style="thin">
          <color rgb="00EFEBE4"/>
        </bottom>
      </border>
    </dxf>
    <dxf>
      <font>
        <color rgb="009A958C"/>
      </font>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'_look'!$K$52:$K$53</f>
            </numRef>
          </xVal>
          <yVal>
            <numRef>
              <f>'_look'!$L$52:$L$53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'_look'!$K$54:$K$55</f>
            </numRef>
          </xVal>
          <yVal>
            <numRef>
              <f>'_look'!$L$54:$L$55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'_look'!$K$56:$K$57</f>
            </numRef>
          </xVal>
          <yVal>
            <numRef>
              <f>'_look'!$L$56:$L$57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'_look'!$K$58:$K$59</f>
            </numRef>
          </xVal>
          <yVal>
            <numRef>
              <f>'_look'!$L$58:$L$59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'_look'!$K$60:$K$61</f>
            </numRef>
          </xVal>
          <yVal>
            <numRef>
              <f>'_look'!$L$60:$L$61</f>
            </numRef>
          </yVal>
          <smooth val="0"/>
        </ser>
        <ser>
          <idx val="6"/>
          <order val="6"/>
          <spPr>
            <a:ln w="19050">
              <a:solidFill>
                <a:srgbClr val="CC0000"/>
              </a:solidFill>
              <a:prstDash val="dash"/>
            </a:ln>
          </spPr>
          <marker>
            <symbol val="none"/>
            <spPr>
              <a:ln>
                <a:prstDash val="solid"/>
              </a:ln>
            </spPr>
          </marker>
          <xVal>
            <numRef>
              <f>'_look'!$K$4:$K$5</f>
            </numRef>
          </xVal>
          <yVal>
            <numRef>
              <f>'_look'!$L$4:$L$5</f>
            </numRef>
          </yVal>
          <smooth val="0"/>
        </ser>
        <ser>
          <idx val="7"/>
          <order val="7"/>
          <spPr>
            <a:ln w="19050">
              <a:solidFill>
                <a:srgbClr val="CC0000"/>
              </a:solidFill>
              <a:prstDash val="dash"/>
            </a:ln>
          </spPr>
          <marker>
            <symbol val="none"/>
            <spPr>
              <a:ln>
                <a:prstDash val="solid"/>
              </a:ln>
            </spPr>
          </marker>
          <xVal>
            <numRef>
              <f>'_look'!$K$6:$K$7</f>
            </numRef>
          </xVal>
          <yVal>
            <numRef>
              <f>'_look'!$L$6:$L$7</f>
            </numRef>
          </yVal>
          <smooth val="0"/>
        </ser>
        <ser>
          <idx val="8"/>
          <order val="8"/>
          <spPr>
            <a:ln w="19050">
              <a:solidFill>
                <a:srgbClr val="CC0000"/>
              </a:solidFill>
              <a:prstDash val="dash"/>
            </a:ln>
          </spPr>
          <marker>
            <symbol val="none"/>
            <spPr>
              <a:ln>
                <a:prstDash val="solid"/>
              </a:ln>
            </spPr>
          </marker>
          <xVal>
            <numRef>
              <f>'_look'!$K$8:$K$9</f>
            </numRef>
          </xVal>
          <yVal>
            <numRef>
              <f>'_look'!$L$8:$L$9</f>
            </numRef>
          </yVal>
          <smooth val="0"/>
        </ser>
        <ser>
          <idx val="9"/>
          <order val="9"/>
          <spPr>
            <a:ln w="19050">
              <a:solidFill>
                <a:srgbClr val="CC0000"/>
              </a:solidFill>
              <a:prstDash val="dash"/>
            </a:ln>
          </spPr>
          <marker>
            <symbol val="none"/>
            <spPr>
              <a:ln>
                <a:prstDash val="solid"/>
              </a:ln>
            </spPr>
          </marker>
          <xVal>
            <numRef>
              <f>'_look'!$K$10:$K$11</f>
            </numRef>
          </xVal>
          <yVal>
            <numRef>
              <f>'_look'!$L$10:$L$11</f>
            </numRef>
          </yVal>
          <smooth val="0"/>
        </ser>
        <ser>
          <idx val="10"/>
          <order val="10"/>
          <spPr>
            <a:ln w="19050">
              <a:solidFill>
                <a:srgbClr val="CC0000"/>
              </a:solidFill>
              <a:prstDash val="dash"/>
            </a:ln>
          </spPr>
          <marker>
            <symbol val="none"/>
            <spPr>
              <a:ln>
                <a:prstDash val="solid"/>
              </a:ln>
            </spPr>
          </marker>
          <xVal>
            <numRef>
              <f>'_look'!$K$12:$K$13</f>
            </numRef>
          </xVal>
          <yVal>
            <numRef>
              <f>'_look'!$L$12:$L$13</f>
            </numRef>
          </yVal>
          <smooth val="0"/>
        </ser>
        <ser>
          <idx val="11"/>
          <order val="11"/>
          <spPr>
            <a:ln w="19050">
              <a:solidFill>
                <a:srgbClr val="CC0000"/>
              </a:solidFill>
              <a:prstDash val="dash"/>
            </a:ln>
          </spPr>
          <marker>
            <symbol val="none"/>
            <spPr>
              <a:ln>
                <a:prstDash val="solid"/>
              </a:ln>
            </spPr>
          </marker>
          <xVal>
            <numRef>
              <f>'_look'!$K$14:$K$15</f>
            </numRef>
          </xVal>
          <yVal>
            <numRef>
              <f>'_look'!$L$14:$L$15</f>
            </numRef>
          </yVal>
          <smooth val="0"/>
        </ser>
        <ser>
          <idx val="12"/>
          <order val="12"/>
          <spPr>
            <a:ln w="19050">
              <a:solidFill>
                <a:srgbClr val="CC0000"/>
              </a:solidFill>
              <a:prstDash val="dash"/>
            </a:ln>
          </spPr>
          <marker>
            <symbol val="none"/>
            <spPr>
              <a:ln>
                <a:prstDash val="solid"/>
              </a:ln>
            </spPr>
          </marker>
          <xVal>
            <numRef>
              <f>'_look'!$K$16:$K$17</f>
            </numRef>
          </xVal>
          <yVal>
            <numRef>
              <f>'_look'!$L$16:$L$17</f>
            </numRef>
          </yVal>
          <smooth val="0"/>
        </ser>
        <ser>
          <idx val="13"/>
          <order val="13"/>
          <spPr>
            <a:ln w="19050">
              <a:solidFill>
                <a:srgbClr val="CC0000"/>
              </a:solidFill>
              <a:prstDash val="dash"/>
            </a:ln>
          </spPr>
          <marker>
            <symbol val="none"/>
            <spPr>
              <a:ln>
                <a:prstDash val="solid"/>
              </a:ln>
            </spPr>
          </marker>
          <xVal>
            <numRef>
              <f>'_look'!$K$18:$K$19</f>
            </numRef>
          </xVal>
          <yVal>
            <numRef>
              <f>'_look'!$L$18:$L$19</f>
            </numRef>
          </yVal>
          <smooth val="0"/>
        </ser>
        <ser>
          <idx val="14"/>
          <order val="14"/>
          <spPr>
            <a:ln w="19050">
              <a:solidFill>
                <a:srgbClr val="CC0000"/>
              </a:solidFill>
              <a:prstDash val="dash"/>
            </a:ln>
          </spPr>
          <marker>
            <symbol val="none"/>
            <spPr>
              <a:ln>
                <a:prstDash val="solid"/>
              </a:ln>
            </spPr>
          </marker>
          <xVal>
            <numRef>
              <f>'_look'!$K$20:$K$21</f>
            </numRef>
          </xVal>
          <yVal>
            <numRef>
              <f>'_look'!$L$20:$L$21</f>
            </numRef>
          </yVal>
          <smooth val="0"/>
        </ser>
        <ser>
          <idx val="15"/>
          <order val="15"/>
          <spPr>
            <a:ln w="19050">
              <a:solidFill>
                <a:srgbClr val="CC0000"/>
              </a:solidFill>
              <a:prstDash val="dash"/>
            </a:ln>
          </spPr>
          <marker>
            <symbol val="none"/>
            <spPr>
              <a:ln>
                <a:prstDash val="solid"/>
              </a:ln>
            </spPr>
          </marker>
          <xVal>
            <numRef>
              <f>'_look'!$K$22:$K$23</f>
            </numRef>
          </xVal>
          <yVal>
            <numRef>
              <f>'_look'!$L$22:$L$23</f>
            </numRef>
          </yVal>
          <smooth val="0"/>
        </ser>
        <ser>
          <idx val="16"/>
          <order val="16"/>
          <spPr>
            <a:ln w="19050">
              <a:solidFill>
                <a:srgbClr val="CC0000"/>
              </a:solidFill>
              <a:prstDash val="dash"/>
            </a:ln>
          </spPr>
          <marker>
            <symbol val="none"/>
            <spPr>
              <a:ln>
                <a:prstDash val="solid"/>
              </a:ln>
            </spPr>
          </marker>
          <xVal>
            <numRef>
              <f>'_look'!$K$24:$K$25</f>
            </numRef>
          </xVal>
          <yVal>
            <numRef>
              <f>'_look'!$L$24:$L$25</f>
            </numRef>
          </yVal>
          <smooth val="0"/>
        </ser>
        <ser>
          <idx val="17"/>
          <order val="17"/>
          <spPr>
            <a:ln w="19050">
              <a:solidFill>
                <a:srgbClr val="CC0000"/>
              </a:solidFill>
              <a:prstDash val="dash"/>
            </a:ln>
          </spPr>
          <marker>
            <symbol val="none"/>
            <spPr>
              <a:ln>
                <a:prstDash val="solid"/>
              </a:ln>
            </spPr>
          </marker>
          <xVal>
            <numRef>
              <f>'_look'!$K$26:$K$27</f>
            </numRef>
          </xVal>
          <yVal>
            <numRef>
              <f>'_look'!$L$26:$L$27</f>
            </numRef>
          </yVal>
          <smooth val="0"/>
        </ser>
        <ser>
          <idx val="18"/>
          <order val="18"/>
          <spPr>
            <a:ln w="19050">
              <a:solidFill>
                <a:srgbClr val="CC0000"/>
              </a:solidFill>
              <a:prstDash val="dash"/>
            </a:ln>
          </spPr>
          <marker>
            <symbol val="none"/>
            <spPr>
              <a:ln>
                <a:prstDash val="solid"/>
              </a:ln>
            </spPr>
          </marker>
          <xVal>
            <numRef>
              <f>'_look'!$K$28:$K$29</f>
            </numRef>
          </xVal>
          <yVal>
            <numRef>
              <f>'_look'!$L$28:$L$29</f>
            </numRef>
          </yVal>
          <smooth val="0"/>
        </ser>
        <ser>
          <idx val="19"/>
          <order val="19"/>
          <spPr>
            <a:ln w="19050">
              <a:solidFill>
                <a:srgbClr val="CC0000"/>
              </a:solidFill>
              <a:prstDash val="dash"/>
            </a:ln>
          </spPr>
          <marker>
            <symbol val="none"/>
            <spPr>
              <a:ln>
                <a:prstDash val="solid"/>
              </a:ln>
            </spPr>
          </marker>
          <xVal>
            <numRef>
              <f>'_look'!$K$30:$K$31</f>
            </numRef>
          </xVal>
          <yVal>
            <numRef>
              <f>'_look'!$L$30:$L$31</f>
            </numRef>
          </yVal>
          <smooth val="0"/>
        </ser>
        <ser>
          <idx val="20"/>
          <order val="20"/>
          <spPr>
            <a:ln w="19050">
              <a:solidFill>
                <a:srgbClr val="CC0000"/>
              </a:solidFill>
              <a:prstDash val="dash"/>
            </a:ln>
          </spPr>
          <marker>
            <symbol val="none"/>
            <spPr>
              <a:ln>
                <a:prstDash val="solid"/>
              </a:ln>
            </spPr>
          </marker>
          <xVal>
            <numRef>
              <f>'_look'!$K$32:$K$33</f>
            </numRef>
          </xVal>
          <yVal>
            <numRef>
              <f>'_look'!$L$32:$L$33</f>
            </numRef>
          </yVal>
          <smooth val="0"/>
        </ser>
        <ser>
          <idx val="21"/>
          <order val="21"/>
          <spPr>
            <a:ln w="19050">
              <a:solidFill>
                <a:srgbClr val="CC0000"/>
              </a:solidFill>
              <a:prstDash val="dash"/>
            </a:ln>
          </spPr>
          <marker>
            <symbol val="none"/>
            <spPr>
              <a:ln>
                <a:prstDash val="solid"/>
              </a:ln>
            </spPr>
          </marker>
          <xVal>
            <numRef>
              <f>'_look'!$K$34:$K$35</f>
            </numRef>
          </xVal>
          <yVal>
            <numRef>
              <f>'_look'!$L$34:$L$35</f>
            </numRef>
          </yVal>
          <smooth val="0"/>
        </ser>
        <ser>
          <idx val="22"/>
          <order val="22"/>
          <spPr>
            <a:ln w="19050">
              <a:solidFill>
                <a:srgbClr val="CC0000"/>
              </a:solidFill>
              <a:prstDash val="dash"/>
            </a:ln>
          </spPr>
          <marker>
            <symbol val="none"/>
            <spPr>
              <a:ln>
                <a:prstDash val="solid"/>
              </a:ln>
            </spPr>
          </marker>
          <xVal>
            <numRef>
              <f>'_look'!$K$36:$K$37</f>
            </numRef>
          </xVal>
          <yVal>
            <numRef>
              <f>'_look'!$L$36:$L$37</f>
            </numRef>
          </yVal>
          <smooth val="0"/>
        </ser>
        <ser>
          <idx val="23"/>
          <order val="23"/>
          <spPr>
            <a:ln w="19050">
              <a:solidFill>
                <a:srgbClr val="CC0000"/>
              </a:solidFill>
              <a:prstDash val="dash"/>
            </a:ln>
          </spPr>
          <marker>
            <symbol val="none"/>
            <spPr>
              <a:ln>
                <a:prstDash val="solid"/>
              </a:ln>
            </spPr>
          </marker>
          <xVal>
            <numRef>
              <f>'_look'!$K$38:$K$39</f>
            </numRef>
          </xVal>
          <yVal>
            <numRef>
              <f>'_look'!$L$38:$L$39</f>
            </numRef>
          </yVal>
          <smooth val="0"/>
        </ser>
        <ser>
          <idx val="24"/>
          <order val="24"/>
          <spPr>
            <a:ln w="19050">
              <a:solidFill>
                <a:srgbClr val="CC0000"/>
              </a:solidFill>
              <a:prstDash val="dash"/>
            </a:ln>
          </spPr>
          <marker>
            <symbol val="none"/>
            <spPr>
              <a:ln>
                <a:prstDash val="solid"/>
              </a:ln>
            </spPr>
          </marker>
          <xVal>
            <numRef>
              <f>'_look'!$K$40:$K$41</f>
            </numRef>
          </xVal>
          <yVal>
            <numRef>
              <f>'_look'!$L$40:$L$41</f>
            </numRef>
          </yVal>
          <smooth val="0"/>
        </ser>
        <ser>
          <idx val="25"/>
          <order val="25"/>
          <spPr>
            <a:ln w="19050">
              <a:solidFill>
                <a:srgbClr val="CC0000"/>
              </a:solidFill>
              <a:prstDash val="dash"/>
            </a:ln>
          </spPr>
          <marker>
            <symbol val="none"/>
            <spPr>
              <a:ln>
                <a:prstDash val="solid"/>
              </a:ln>
            </spPr>
          </marker>
          <xVal>
            <numRef>
              <f>'_look'!$K$42:$K$43</f>
            </numRef>
          </xVal>
          <yVal>
            <numRef>
              <f>'_look'!$L$42:$L$43</f>
            </numRef>
          </yVal>
          <smooth val="0"/>
        </ser>
        <ser>
          <idx val="26"/>
          <order val="26"/>
          <spPr>
            <a:ln w="19050">
              <a:solidFill>
                <a:srgbClr val="CC0000"/>
              </a:solidFill>
              <a:prstDash val="dash"/>
            </a:ln>
          </spPr>
          <marker>
            <symbol val="none"/>
            <spPr>
              <a:ln>
                <a:prstDash val="solid"/>
              </a:ln>
            </spPr>
          </marker>
          <xVal>
            <numRef>
              <f>'_look'!$K$44:$K$45</f>
            </numRef>
          </xVal>
          <yVal>
            <numRef>
              <f>'_look'!$L$44:$L$45</f>
            </numRef>
          </yVal>
          <smooth val="0"/>
        </ser>
        <ser>
          <idx val="27"/>
          <order val="27"/>
          <spPr>
            <a:ln w="19050">
              <a:solidFill>
                <a:srgbClr val="CC0000"/>
              </a:solidFill>
              <a:prstDash val="dash"/>
            </a:ln>
          </spPr>
          <marker>
            <symbol val="none"/>
            <spPr>
              <a:ln>
                <a:prstDash val="solid"/>
              </a:ln>
            </spPr>
          </marker>
          <xVal>
            <numRef>
              <f>'_look'!$K$46:$K$47</f>
            </numRef>
          </xVal>
          <yVal>
            <numRef>
              <f>'_look'!$L$46:$L$47</f>
            </numRef>
          </yVal>
          <smooth val="0"/>
        </ser>
        <ser>
          <idx val="28"/>
          <order val="28"/>
          <spPr>
            <a:ln w="19050">
              <a:solidFill>
                <a:srgbClr val="CC0000"/>
              </a:solidFill>
              <a:prstDash val="dash"/>
            </a:ln>
          </spPr>
          <marker>
            <symbol val="none"/>
            <spPr>
              <a:ln>
                <a:prstDash val="solid"/>
              </a:ln>
            </spPr>
          </marker>
          <xVal>
            <numRef>
              <f>'_look'!$K$48:$K$49</f>
            </numRef>
          </xVal>
          <yVal>
            <numRef>
              <f>'_look'!$L$48:$L$49</f>
            </numRef>
          </yVal>
          <smooth val="0"/>
        </ser>
        <ser>
          <idx val="29"/>
          <order val="29"/>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'_look'!$X$52:$X$53</f>
            </numRef>
          </xVal>
          <yVal>
            <numRef>
              <f>'_look'!$Y$52:$Y$53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'_look'!$X$54:$X$55</f>
            </numRef>
          </xVal>
          <yVal>
            <numRef>
              <f>'_look'!$Y$54:$Y$55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'_look'!$X$56:$X$57</f>
            </numRef>
          </xVal>
          <yVal>
            <numRef>
              <f>'_look'!$Y$56:$Y$57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'_look'!$X$58:$X$59</f>
            </numRef>
          </xVal>
          <yVal>
            <numRef>
              <f>'_look'!$Y$58:$Y$59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'_look'!$X$60:$X$61</f>
            </numRef>
          </xVal>
          <yVal>
            <numRef>
              <f>'_look'!$Y$60:$Y$61</f>
            </numRef>
          </yVal>
          <smooth val="0"/>
        </ser>
        <ser>
          <idx val="6"/>
          <order val="6"/>
          <spPr>
            <a:ln w="19050">
              <a:solidFill>
                <a:srgbClr val="CC0000"/>
              </a:solidFill>
              <a:prstDash val="dash"/>
            </a:ln>
          </spPr>
          <marker>
            <symbol val="none"/>
            <spPr>
              <a:ln>
                <a:prstDash val="solid"/>
              </a:ln>
            </spPr>
          </marker>
          <xVal>
            <numRef>
              <f>'_look'!$X$4:$X$5</f>
            </numRef>
          </xVal>
          <yVal>
            <numRef>
              <f>'_look'!$Y$4:$Y$5</f>
            </numRef>
          </yVal>
          <smooth val="0"/>
        </ser>
        <ser>
          <idx val="7"/>
          <order val="7"/>
          <spPr>
            <a:ln w="19050">
              <a:solidFill>
                <a:srgbClr val="CC0000"/>
              </a:solidFill>
              <a:prstDash val="dash"/>
            </a:ln>
          </spPr>
          <marker>
            <symbol val="none"/>
            <spPr>
              <a:ln>
                <a:prstDash val="solid"/>
              </a:ln>
            </spPr>
          </marker>
          <xVal>
            <numRef>
              <f>'_look'!$X$6:$X$7</f>
            </numRef>
          </xVal>
          <yVal>
            <numRef>
              <f>'_look'!$Y$6:$Y$7</f>
            </numRef>
          </yVal>
          <smooth val="0"/>
        </ser>
        <ser>
          <idx val="8"/>
          <order val="8"/>
          <spPr>
            <a:ln w="19050">
              <a:solidFill>
                <a:srgbClr val="CC0000"/>
              </a:solidFill>
              <a:prstDash val="dash"/>
            </a:ln>
          </spPr>
          <marker>
            <symbol val="none"/>
            <spPr>
              <a:ln>
                <a:prstDash val="solid"/>
              </a:ln>
            </spPr>
          </marker>
          <xVal>
            <numRef>
              <f>'_look'!$X$8:$X$9</f>
            </numRef>
          </xVal>
          <yVal>
            <numRef>
              <f>'_look'!$Y$8:$Y$9</f>
            </numRef>
          </yVal>
          <smooth val="0"/>
        </ser>
        <ser>
          <idx val="9"/>
          <order val="9"/>
          <spPr>
            <a:ln w="19050">
              <a:solidFill>
                <a:srgbClr val="CC0000"/>
              </a:solidFill>
              <a:prstDash val="dash"/>
            </a:ln>
          </spPr>
          <marker>
            <symbol val="none"/>
            <spPr>
              <a:ln>
                <a:prstDash val="solid"/>
              </a:ln>
            </spPr>
          </marker>
          <xVal>
            <numRef>
              <f>'_look'!$X$10:$X$11</f>
            </numRef>
          </xVal>
          <yVal>
            <numRef>
              <f>'_look'!$Y$10:$Y$11</f>
            </numRef>
          </yVal>
          <smooth val="0"/>
        </ser>
        <ser>
          <idx val="10"/>
          <order val="10"/>
          <spPr>
            <a:ln w="19050">
              <a:solidFill>
                <a:srgbClr val="CC0000"/>
              </a:solidFill>
              <a:prstDash val="dash"/>
            </a:ln>
          </spPr>
          <marker>
            <symbol val="none"/>
            <spPr>
              <a:ln>
                <a:prstDash val="solid"/>
              </a:ln>
            </spPr>
          </marker>
          <xVal>
            <numRef>
              <f>'_look'!$X$12:$X$13</f>
            </numRef>
          </xVal>
          <yVal>
            <numRef>
              <f>'_look'!$Y$12:$Y$13</f>
            </numRef>
          </yVal>
          <smooth val="0"/>
        </ser>
        <ser>
          <idx val="11"/>
          <order val="11"/>
          <spPr>
            <a:ln w="19050">
              <a:solidFill>
                <a:srgbClr val="CC0000"/>
              </a:solidFill>
              <a:prstDash val="dash"/>
            </a:ln>
          </spPr>
          <marker>
            <symbol val="none"/>
            <spPr>
              <a:ln>
                <a:prstDash val="solid"/>
              </a:ln>
            </spPr>
          </marker>
          <xVal>
            <numRef>
              <f>'_look'!$X$14:$X$15</f>
            </numRef>
          </xVal>
          <yVal>
            <numRef>
              <f>'_look'!$Y$14:$Y$15</f>
            </numRef>
          </yVal>
          <smooth val="0"/>
        </ser>
        <ser>
          <idx val="12"/>
          <order val="12"/>
          <spPr>
            <a:ln w="19050">
              <a:solidFill>
                <a:srgbClr val="CC0000"/>
              </a:solidFill>
              <a:prstDash val="dash"/>
            </a:ln>
          </spPr>
          <marker>
            <symbol val="none"/>
            <spPr>
              <a:ln>
                <a:prstDash val="solid"/>
              </a:ln>
            </spPr>
          </marker>
          <xVal>
            <numRef>
              <f>'_look'!$X$16:$X$17</f>
            </numRef>
          </xVal>
          <yVal>
            <numRef>
              <f>'_look'!$Y$16:$Y$17</f>
            </numRef>
          </yVal>
          <smooth val="0"/>
        </ser>
        <ser>
          <idx val="13"/>
          <order val="13"/>
          <spPr>
            <a:ln w="19050">
              <a:solidFill>
                <a:srgbClr val="CC0000"/>
              </a:solidFill>
              <a:prstDash val="dash"/>
            </a:ln>
          </spPr>
          <marker>
            <symbol val="none"/>
            <spPr>
              <a:ln>
                <a:prstDash val="solid"/>
              </a:ln>
            </spPr>
          </marker>
          <xVal>
            <numRef>
              <f>'_look'!$X$18:$X$19</f>
            </numRef>
          </xVal>
          <yVal>
            <numRef>
              <f>'_look'!$Y$18:$Y$19</f>
            </numRef>
          </yVal>
          <smooth val="0"/>
        </ser>
        <ser>
          <idx val="14"/>
          <order val="14"/>
          <spPr>
            <a:ln w="19050">
              <a:solidFill>
                <a:srgbClr val="CC0000"/>
              </a:solidFill>
              <a:prstDash val="dash"/>
            </a:ln>
          </spPr>
          <marker>
            <symbol val="none"/>
            <spPr>
              <a:ln>
                <a:prstDash val="solid"/>
              </a:ln>
            </spPr>
          </marker>
          <xVal>
            <numRef>
              <f>'_look'!$X$20:$X$21</f>
            </numRef>
          </xVal>
          <yVal>
            <numRef>
              <f>'_look'!$Y$20:$Y$21</f>
            </numRef>
          </yVal>
          <smooth val="0"/>
        </ser>
        <ser>
          <idx val="15"/>
          <order val="15"/>
          <spPr>
            <a:ln w="19050">
              <a:solidFill>
                <a:srgbClr val="CC0000"/>
              </a:solidFill>
              <a:prstDash val="dash"/>
            </a:ln>
          </spPr>
          <marker>
            <symbol val="none"/>
            <spPr>
              <a:ln>
                <a:prstDash val="solid"/>
              </a:ln>
            </spPr>
          </marker>
          <xVal>
            <numRef>
              <f>'_look'!$X$22:$X$23</f>
            </numRef>
          </xVal>
          <yVal>
            <numRef>
              <f>'_look'!$Y$22:$Y$23</f>
            </numRef>
          </yVal>
          <smooth val="0"/>
        </ser>
        <ser>
          <idx val="16"/>
          <order val="16"/>
          <spPr>
            <a:ln w="19050">
              <a:solidFill>
                <a:srgbClr val="CC0000"/>
              </a:solidFill>
              <a:prstDash val="dash"/>
            </a:ln>
          </spPr>
          <marker>
            <symbol val="none"/>
            <spPr>
              <a:ln>
                <a:prstDash val="solid"/>
              </a:ln>
            </spPr>
          </marker>
          <xVal>
            <numRef>
              <f>'_look'!$X$24:$X$25</f>
            </numRef>
          </xVal>
          <yVal>
            <numRef>
              <f>'_look'!$Y$24:$Y$25</f>
            </numRef>
          </yVal>
          <smooth val="0"/>
        </ser>
        <ser>
          <idx val="17"/>
          <order val="17"/>
          <spPr>
            <a:ln w="19050">
              <a:solidFill>
                <a:srgbClr val="CC0000"/>
              </a:solidFill>
              <a:prstDash val="dash"/>
            </a:ln>
          </spPr>
          <marker>
            <symbol val="none"/>
            <spPr>
              <a:ln>
                <a:prstDash val="solid"/>
              </a:ln>
            </spPr>
          </marker>
          <xVal>
            <numRef>
              <f>'_look'!$X$26:$X$27</f>
            </numRef>
          </xVal>
          <yVal>
            <numRef>
              <f>'_look'!$Y$26:$Y$27</f>
            </numRef>
          </yVal>
          <smooth val="0"/>
        </ser>
        <ser>
          <idx val="18"/>
          <order val="18"/>
          <spPr>
            <a:ln w="19050">
              <a:solidFill>
                <a:srgbClr val="CC0000"/>
              </a:solidFill>
              <a:prstDash val="dash"/>
            </a:ln>
          </spPr>
          <marker>
            <symbol val="none"/>
            <spPr>
              <a:ln>
                <a:prstDash val="solid"/>
              </a:ln>
            </spPr>
          </marker>
          <xVal>
            <numRef>
              <f>'_look'!$X$28:$X$29</f>
            </numRef>
          </xVal>
          <yVal>
            <numRef>
              <f>'_look'!$Y$28:$Y$29</f>
            </numRef>
          </yVal>
          <smooth val="0"/>
        </ser>
        <ser>
          <idx val="19"/>
          <order val="19"/>
          <spPr>
            <a:ln w="19050">
              <a:solidFill>
                <a:srgbClr val="CC0000"/>
              </a:solidFill>
              <a:prstDash val="dash"/>
            </a:ln>
          </spPr>
          <marker>
            <symbol val="none"/>
            <spPr>
              <a:ln>
                <a:prstDash val="solid"/>
              </a:ln>
            </spPr>
          </marker>
          <xVal>
            <numRef>
              <f>'_look'!$X$30:$X$31</f>
            </numRef>
          </xVal>
          <yVal>
            <numRef>
              <f>'_look'!$Y$30:$Y$31</f>
            </numRef>
          </yVal>
          <smooth val="0"/>
        </ser>
        <ser>
          <idx val="20"/>
          <order val="20"/>
          <spPr>
            <a:ln w="19050">
              <a:solidFill>
                <a:srgbClr val="CC0000"/>
              </a:solidFill>
              <a:prstDash val="dash"/>
            </a:ln>
          </spPr>
          <marker>
            <symbol val="none"/>
            <spPr>
              <a:ln>
                <a:prstDash val="solid"/>
              </a:ln>
            </spPr>
          </marker>
          <xVal>
            <numRef>
              <f>'_look'!$X$32:$X$33</f>
            </numRef>
          </xVal>
          <yVal>
            <numRef>
              <f>'_look'!$Y$32:$Y$33</f>
            </numRef>
          </yVal>
          <smooth val="0"/>
        </ser>
        <ser>
          <idx val="21"/>
          <order val="21"/>
          <spPr>
            <a:ln w="19050">
              <a:solidFill>
                <a:srgbClr val="CC0000"/>
              </a:solidFill>
              <a:prstDash val="dash"/>
            </a:ln>
          </spPr>
          <marker>
            <symbol val="none"/>
            <spPr>
              <a:ln>
                <a:prstDash val="solid"/>
              </a:ln>
            </spPr>
          </marker>
          <xVal>
            <numRef>
              <f>'_look'!$X$34:$X$35</f>
            </numRef>
          </xVal>
          <yVal>
            <numRef>
              <f>'_look'!$Y$34:$Y$35</f>
            </numRef>
          </yVal>
          <smooth val="0"/>
        </ser>
        <ser>
          <idx val="22"/>
          <order val="22"/>
          <spPr>
            <a:ln w="19050">
              <a:solidFill>
                <a:srgbClr val="CC0000"/>
              </a:solidFill>
              <a:prstDash val="dash"/>
            </a:ln>
          </spPr>
          <marker>
            <symbol val="none"/>
            <spPr>
              <a:ln>
                <a:prstDash val="solid"/>
              </a:ln>
            </spPr>
          </marker>
          <xVal>
            <numRef>
              <f>'_look'!$X$36:$X$37</f>
            </numRef>
          </xVal>
          <yVal>
            <numRef>
              <f>'_look'!$Y$36:$Y$37</f>
            </numRef>
          </yVal>
          <smooth val="0"/>
        </ser>
        <ser>
          <idx val="23"/>
          <order val="23"/>
          <spPr>
            <a:ln w="19050">
              <a:solidFill>
                <a:srgbClr val="CC0000"/>
              </a:solidFill>
              <a:prstDash val="dash"/>
            </a:ln>
          </spPr>
          <marker>
            <symbol val="none"/>
            <spPr>
              <a:ln>
                <a:prstDash val="solid"/>
              </a:ln>
            </spPr>
          </marker>
          <xVal>
            <numRef>
              <f>'_look'!$X$38:$X$39</f>
            </numRef>
          </xVal>
          <yVal>
            <numRef>
              <f>'_look'!$Y$38:$Y$39</f>
            </numRef>
          </yVal>
          <smooth val="0"/>
        </ser>
        <ser>
          <idx val="24"/>
          <order val="24"/>
          <spPr>
            <a:ln w="19050">
              <a:solidFill>
                <a:srgbClr val="CC0000"/>
              </a:solidFill>
              <a:prstDash val="dash"/>
            </a:ln>
          </spPr>
          <marker>
            <symbol val="none"/>
            <spPr>
              <a:ln>
                <a:prstDash val="solid"/>
              </a:ln>
            </spPr>
          </marker>
          <xVal>
            <numRef>
              <f>'_look'!$X$40:$X$41</f>
            </numRef>
          </xVal>
          <yVal>
            <numRef>
              <f>'_look'!$Y$40:$Y$41</f>
            </numRef>
          </yVal>
          <smooth val="0"/>
        </ser>
        <ser>
          <idx val="25"/>
          <order val="25"/>
          <spPr>
            <a:ln w="19050">
              <a:solidFill>
                <a:srgbClr val="CC0000"/>
              </a:solidFill>
              <a:prstDash val="dash"/>
            </a:ln>
          </spPr>
          <marker>
            <symbol val="none"/>
            <spPr>
              <a:ln>
                <a:prstDash val="solid"/>
              </a:ln>
            </spPr>
          </marker>
          <xVal>
            <numRef>
              <f>'_look'!$X$42:$X$43</f>
            </numRef>
          </xVal>
          <yVal>
            <numRef>
              <f>'_look'!$Y$42:$Y$43</f>
            </numRef>
          </yVal>
          <smooth val="0"/>
        </ser>
        <ser>
          <idx val="26"/>
          <order val="26"/>
          <spPr>
            <a:ln w="19050">
              <a:solidFill>
                <a:srgbClr val="CC0000"/>
              </a:solidFill>
              <a:prstDash val="dash"/>
            </a:ln>
          </spPr>
          <marker>
            <symbol val="none"/>
            <spPr>
              <a:ln>
                <a:prstDash val="solid"/>
              </a:ln>
            </spPr>
          </marker>
          <xVal>
            <numRef>
              <f>'_look'!$X$44:$X$45</f>
            </numRef>
          </xVal>
          <yVal>
            <numRef>
              <f>'_look'!$Y$44:$Y$45</f>
            </numRef>
          </yVal>
          <smooth val="0"/>
        </ser>
        <ser>
          <idx val="27"/>
          <order val="27"/>
          <spPr>
            <a:ln w="19050">
              <a:solidFill>
                <a:srgbClr val="CC0000"/>
              </a:solidFill>
              <a:prstDash val="dash"/>
            </a:ln>
          </spPr>
          <marker>
            <symbol val="none"/>
            <spPr>
              <a:ln>
                <a:prstDash val="solid"/>
              </a:ln>
            </spPr>
          </marker>
          <xVal>
            <numRef>
              <f>'_look'!$X$46:$X$47</f>
            </numRef>
          </xVal>
          <yVal>
            <numRef>
              <f>'_look'!$Y$46:$Y$47</f>
            </numRef>
          </yVal>
          <smooth val="0"/>
        </ser>
        <ser>
          <idx val="28"/>
          <order val="28"/>
          <spPr>
            <a:ln w="19050">
              <a:solidFill>
                <a:srgbClr val="CC0000"/>
              </a:solidFill>
              <a:prstDash val="dash"/>
            </a:ln>
          </spPr>
          <marker>
            <symbol val="none"/>
            <spPr>
              <a:ln>
                <a:prstDash val="solid"/>
              </a:ln>
            </spPr>
          </marker>
          <xVal>
            <numRef>
              <f>'_look'!$X$48:$X$49</f>
            </numRef>
          </xVal>
          <yVal>
            <numRef>
              <f>'_look'!$Y$48:$Y$49</f>
            </numRef>
          </yVal>
          <smooth val="0"/>
        </ser>
        <ser>
          <idx val="29"/>
          <order val="29"/>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'_look'!$AK$52:$AK$53</f>
            </numRef>
          </xVal>
          <yVal>
            <numRef>
              <f>'_look'!$AL$52:$AL$53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'_look'!$AK$54:$AK$55</f>
            </numRef>
          </xVal>
          <yVal>
            <numRef>
              <f>'_look'!$AL$54:$AL$55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'_look'!$AK$56:$AK$57</f>
            </numRef>
          </xVal>
          <yVal>
            <numRef>
              <f>'_look'!$AL$56:$AL$57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'_look'!$AK$58:$AK$59</f>
            </numRef>
          </xVal>
          <yVal>
            <numRef>
              <f>'_look'!$AL$58:$AL$59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'_look'!$AK$60:$AK$61</f>
            </numRef>
          </xVal>
          <yVal>
            <numRef>
              <f>'_look'!$AL$60:$AL$61</f>
            </numRef>
          </yVal>
          <smooth val="0"/>
        </ser>
        <ser>
          <idx val="6"/>
          <order val="6"/>
          <spPr>
            <a:ln w="19050">
              <a:solidFill>
                <a:srgbClr val="CC0000"/>
              </a:solidFill>
              <a:prstDash val="dash"/>
            </a:ln>
          </spPr>
          <marker>
            <symbol val="none"/>
            <spPr>
              <a:ln>
                <a:prstDash val="solid"/>
              </a:ln>
            </spPr>
          </marker>
          <xVal>
            <numRef>
              <f>'_look'!$AK$4:$AK$5</f>
            </numRef>
          </xVal>
          <yVal>
            <numRef>
              <f>'_look'!$AL$4:$AL$5</f>
            </numRef>
          </yVal>
          <smooth val="0"/>
        </ser>
        <ser>
          <idx val="7"/>
          <order val="7"/>
          <spPr>
            <a:ln w="19050">
              <a:solidFill>
                <a:srgbClr val="CC0000"/>
              </a:solidFill>
              <a:prstDash val="dash"/>
            </a:ln>
          </spPr>
          <marker>
            <symbol val="none"/>
            <spPr>
              <a:ln>
                <a:prstDash val="solid"/>
              </a:ln>
            </spPr>
          </marker>
          <xVal>
            <numRef>
              <f>'_look'!$AK$6:$AK$7</f>
            </numRef>
          </xVal>
          <yVal>
            <numRef>
              <f>'_look'!$AL$6:$AL$7</f>
            </numRef>
          </yVal>
          <smooth val="0"/>
        </ser>
        <ser>
          <idx val="8"/>
          <order val="8"/>
          <spPr>
            <a:ln w="19050">
              <a:solidFill>
                <a:srgbClr val="CC0000"/>
              </a:solidFill>
              <a:prstDash val="dash"/>
            </a:ln>
          </spPr>
          <marker>
            <symbol val="none"/>
            <spPr>
              <a:ln>
                <a:prstDash val="solid"/>
              </a:ln>
            </spPr>
          </marker>
          <xVal>
            <numRef>
              <f>'_look'!$AK$8:$AK$9</f>
            </numRef>
          </xVal>
          <yVal>
            <numRef>
              <f>'_look'!$AL$8:$AL$9</f>
            </numRef>
          </yVal>
          <smooth val="0"/>
        </ser>
        <ser>
          <idx val="9"/>
          <order val="9"/>
          <spPr>
            <a:ln w="19050">
              <a:solidFill>
                <a:srgbClr val="CC0000"/>
              </a:solidFill>
              <a:prstDash val="dash"/>
            </a:ln>
          </spPr>
          <marker>
            <symbol val="none"/>
            <spPr>
              <a:ln>
                <a:prstDash val="solid"/>
              </a:ln>
            </spPr>
          </marker>
          <xVal>
            <numRef>
              <f>'_look'!$AK$10:$AK$11</f>
            </numRef>
          </xVal>
          <yVal>
            <numRef>
              <f>'_look'!$AL$10:$AL$11</f>
            </numRef>
          </yVal>
          <smooth val="0"/>
        </ser>
        <ser>
          <idx val="10"/>
          <order val="10"/>
          <spPr>
            <a:ln w="19050">
              <a:solidFill>
                <a:srgbClr val="CC0000"/>
              </a:solidFill>
              <a:prstDash val="dash"/>
            </a:ln>
          </spPr>
          <marker>
            <symbol val="none"/>
            <spPr>
              <a:ln>
                <a:prstDash val="solid"/>
              </a:ln>
            </spPr>
          </marker>
          <xVal>
            <numRef>
              <f>'_look'!$AK$12:$AK$13</f>
            </numRef>
          </xVal>
          <yVal>
            <numRef>
              <f>'_look'!$AL$12:$AL$13</f>
            </numRef>
          </yVal>
          <smooth val="0"/>
        </ser>
        <ser>
          <idx val="11"/>
          <order val="11"/>
          <spPr>
            <a:ln w="19050">
              <a:solidFill>
                <a:srgbClr val="CC0000"/>
              </a:solidFill>
              <a:prstDash val="dash"/>
            </a:ln>
          </spPr>
          <marker>
            <symbol val="none"/>
            <spPr>
              <a:ln>
                <a:prstDash val="solid"/>
              </a:ln>
            </spPr>
          </marker>
          <xVal>
            <numRef>
              <f>'_look'!$AK$14:$AK$15</f>
            </numRef>
          </xVal>
          <yVal>
            <numRef>
              <f>'_look'!$AL$14:$AL$15</f>
            </numRef>
          </yVal>
          <smooth val="0"/>
        </ser>
        <ser>
          <idx val="12"/>
          <order val="12"/>
          <spPr>
            <a:ln w="19050">
              <a:solidFill>
                <a:srgbClr val="CC0000"/>
              </a:solidFill>
              <a:prstDash val="dash"/>
            </a:ln>
          </spPr>
          <marker>
            <symbol val="none"/>
            <spPr>
              <a:ln>
                <a:prstDash val="solid"/>
              </a:ln>
            </spPr>
          </marker>
          <xVal>
            <numRef>
              <f>'_look'!$AK$16:$AK$17</f>
            </numRef>
          </xVal>
          <yVal>
            <numRef>
              <f>'_look'!$AL$16:$AL$17</f>
            </numRef>
          </yVal>
          <smooth val="0"/>
        </ser>
        <ser>
          <idx val="13"/>
          <order val="13"/>
          <spPr>
            <a:ln w="19050">
              <a:solidFill>
                <a:srgbClr val="CC0000"/>
              </a:solidFill>
              <a:prstDash val="dash"/>
            </a:ln>
          </spPr>
          <marker>
            <symbol val="none"/>
            <spPr>
              <a:ln>
                <a:prstDash val="solid"/>
              </a:ln>
            </spPr>
          </marker>
          <xVal>
            <numRef>
              <f>'_look'!$AK$18:$AK$19</f>
            </numRef>
          </xVal>
          <yVal>
            <numRef>
              <f>'_look'!$AL$18:$AL$19</f>
            </numRef>
          </yVal>
          <smooth val="0"/>
        </ser>
        <ser>
          <idx val="14"/>
          <order val="14"/>
          <spPr>
            <a:ln w="19050">
              <a:solidFill>
                <a:srgbClr val="CC0000"/>
              </a:solidFill>
              <a:prstDash val="dash"/>
            </a:ln>
          </spPr>
          <marker>
            <symbol val="none"/>
            <spPr>
              <a:ln>
                <a:prstDash val="solid"/>
              </a:ln>
            </spPr>
          </marker>
          <xVal>
            <numRef>
              <f>'_look'!$AK$20:$AK$21</f>
            </numRef>
          </xVal>
          <yVal>
            <numRef>
              <f>'_look'!$AL$20:$AL$21</f>
            </numRef>
          </yVal>
          <smooth val="0"/>
        </ser>
        <ser>
          <idx val="15"/>
          <order val="15"/>
          <spPr>
            <a:ln w="19050">
              <a:solidFill>
                <a:srgbClr val="CC0000"/>
              </a:solidFill>
              <a:prstDash val="dash"/>
            </a:ln>
          </spPr>
          <marker>
            <symbol val="none"/>
            <spPr>
              <a:ln>
                <a:prstDash val="solid"/>
              </a:ln>
            </spPr>
          </marker>
          <xVal>
            <numRef>
              <f>'_look'!$AK$22:$AK$23</f>
            </numRef>
          </xVal>
          <yVal>
            <numRef>
              <f>'_look'!$AL$22:$AL$23</f>
            </numRef>
          </yVal>
          <smooth val="0"/>
        </ser>
        <ser>
          <idx val="16"/>
          <order val="16"/>
          <spPr>
            <a:ln w="19050">
              <a:solidFill>
                <a:srgbClr val="CC0000"/>
              </a:solidFill>
              <a:prstDash val="dash"/>
            </a:ln>
          </spPr>
          <marker>
            <symbol val="none"/>
            <spPr>
              <a:ln>
                <a:prstDash val="solid"/>
              </a:ln>
            </spPr>
          </marker>
          <xVal>
            <numRef>
              <f>'_look'!$AK$24:$AK$25</f>
            </numRef>
          </xVal>
          <yVal>
            <numRef>
              <f>'_look'!$AL$24:$AL$25</f>
            </numRef>
          </yVal>
          <smooth val="0"/>
        </ser>
        <ser>
          <idx val="17"/>
          <order val="17"/>
          <spPr>
            <a:ln w="19050">
              <a:solidFill>
                <a:srgbClr val="CC0000"/>
              </a:solidFill>
              <a:prstDash val="dash"/>
            </a:ln>
          </spPr>
          <marker>
            <symbol val="none"/>
            <spPr>
              <a:ln>
                <a:prstDash val="solid"/>
              </a:ln>
            </spPr>
          </marker>
          <xVal>
            <numRef>
              <f>'_look'!$AK$26:$AK$27</f>
            </numRef>
          </xVal>
          <yVal>
            <numRef>
              <f>'_look'!$AL$26:$AL$27</f>
            </numRef>
          </yVal>
          <smooth val="0"/>
        </ser>
        <ser>
          <idx val="18"/>
          <order val="18"/>
          <spPr>
            <a:ln w="19050">
              <a:solidFill>
                <a:srgbClr val="CC0000"/>
              </a:solidFill>
              <a:prstDash val="dash"/>
            </a:ln>
          </spPr>
          <marker>
            <symbol val="none"/>
            <spPr>
              <a:ln>
                <a:prstDash val="solid"/>
              </a:ln>
            </spPr>
          </marker>
          <xVal>
            <numRef>
              <f>'_look'!$AK$28:$AK$29</f>
            </numRef>
          </xVal>
          <yVal>
            <numRef>
              <f>'_look'!$AL$28:$AL$29</f>
            </numRef>
          </yVal>
          <smooth val="0"/>
        </ser>
        <ser>
          <idx val="19"/>
          <order val="19"/>
          <spPr>
            <a:ln w="19050">
              <a:solidFill>
                <a:srgbClr val="CC0000"/>
              </a:solidFill>
              <a:prstDash val="dash"/>
            </a:ln>
          </spPr>
          <marker>
            <symbol val="none"/>
            <spPr>
              <a:ln>
                <a:prstDash val="solid"/>
              </a:ln>
            </spPr>
          </marker>
          <xVal>
            <numRef>
              <f>'_look'!$AK$30:$AK$31</f>
            </numRef>
          </xVal>
          <yVal>
            <numRef>
              <f>'_look'!$AL$30:$AL$31</f>
            </numRef>
          </yVal>
          <smooth val="0"/>
        </ser>
        <ser>
          <idx val="20"/>
          <order val="20"/>
          <spPr>
            <a:ln w="19050">
              <a:solidFill>
                <a:srgbClr val="CC0000"/>
              </a:solidFill>
              <a:prstDash val="dash"/>
            </a:ln>
          </spPr>
          <marker>
            <symbol val="none"/>
            <spPr>
              <a:ln>
                <a:prstDash val="solid"/>
              </a:ln>
            </spPr>
          </marker>
          <xVal>
            <numRef>
              <f>'_look'!$AK$32:$AK$33</f>
            </numRef>
          </xVal>
          <yVal>
            <numRef>
              <f>'_look'!$AL$32:$AL$33</f>
            </numRef>
          </yVal>
          <smooth val="0"/>
        </ser>
        <ser>
          <idx val="21"/>
          <order val="21"/>
          <spPr>
            <a:ln w="19050">
              <a:solidFill>
                <a:srgbClr val="CC0000"/>
              </a:solidFill>
              <a:prstDash val="dash"/>
            </a:ln>
          </spPr>
          <marker>
            <symbol val="none"/>
            <spPr>
              <a:ln>
                <a:prstDash val="solid"/>
              </a:ln>
            </spPr>
          </marker>
          <xVal>
            <numRef>
              <f>'_look'!$AK$34:$AK$35</f>
            </numRef>
          </xVal>
          <yVal>
            <numRef>
              <f>'_look'!$AL$34:$AL$35</f>
            </numRef>
          </yVal>
          <smooth val="0"/>
        </ser>
        <ser>
          <idx val="22"/>
          <order val="22"/>
          <spPr>
            <a:ln w="19050">
              <a:solidFill>
                <a:srgbClr val="CC0000"/>
              </a:solidFill>
              <a:prstDash val="dash"/>
            </a:ln>
          </spPr>
          <marker>
            <symbol val="none"/>
            <spPr>
              <a:ln>
                <a:prstDash val="solid"/>
              </a:ln>
            </spPr>
          </marker>
          <xVal>
            <numRef>
              <f>'_look'!$AK$36:$AK$37</f>
            </numRef>
          </xVal>
          <yVal>
            <numRef>
              <f>'_look'!$AL$36:$AL$37</f>
            </numRef>
          </yVal>
          <smooth val="0"/>
        </ser>
        <ser>
          <idx val="23"/>
          <order val="23"/>
          <spPr>
            <a:ln w="19050">
              <a:solidFill>
                <a:srgbClr val="CC0000"/>
              </a:solidFill>
              <a:prstDash val="dash"/>
            </a:ln>
          </spPr>
          <marker>
            <symbol val="none"/>
            <spPr>
              <a:ln>
                <a:prstDash val="solid"/>
              </a:ln>
            </spPr>
          </marker>
          <xVal>
            <numRef>
              <f>'_look'!$AK$38:$AK$39</f>
            </numRef>
          </xVal>
          <yVal>
            <numRef>
              <f>'_look'!$AL$38:$AL$39</f>
            </numRef>
          </yVal>
          <smooth val="0"/>
        </ser>
        <ser>
          <idx val="24"/>
          <order val="24"/>
          <spPr>
            <a:ln w="19050">
              <a:solidFill>
                <a:srgbClr val="CC0000"/>
              </a:solidFill>
              <a:prstDash val="dash"/>
            </a:ln>
          </spPr>
          <marker>
            <symbol val="none"/>
            <spPr>
              <a:ln>
                <a:prstDash val="solid"/>
              </a:ln>
            </spPr>
          </marker>
          <xVal>
            <numRef>
              <f>'_look'!$AK$40:$AK$41</f>
            </numRef>
          </xVal>
          <yVal>
            <numRef>
              <f>'_look'!$AL$40:$AL$41</f>
            </numRef>
          </yVal>
          <smooth val="0"/>
        </ser>
        <ser>
          <idx val="25"/>
          <order val="25"/>
          <spPr>
            <a:ln w="19050">
              <a:solidFill>
                <a:srgbClr val="CC0000"/>
              </a:solidFill>
              <a:prstDash val="dash"/>
            </a:ln>
          </spPr>
          <marker>
            <symbol val="none"/>
            <spPr>
              <a:ln>
                <a:prstDash val="solid"/>
              </a:ln>
            </spPr>
          </marker>
          <xVal>
            <numRef>
              <f>'_look'!$AK$42:$AK$43</f>
            </numRef>
          </xVal>
          <yVal>
            <numRef>
              <f>'_look'!$AL$42:$AL$43</f>
            </numRef>
          </yVal>
          <smooth val="0"/>
        </ser>
        <ser>
          <idx val="26"/>
          <order val="26"/>
          <spPr>
            <a:ln w="19050">
              <a:solidFill>
                <a:srgbClr val="CC0000"/>
              </a:solidFill>
              <a:prstDash val="dash"/>
            </a:ln>
          </spPr>
          <marker>
            <symbol val="none"/>
            <spPr>
              <a:ln>
                <a:prstDash val="solid"/>
              </a:ln>
            </spPr>
          </marker>
          <xVal>
            <numRef>
              <f>'_look'!$AK$44:$AK$45</f>
            </numRef>
          </xVal>
          <yVal>
            <numRef>
              <f>'_look'!$AL$44:$AL$45</f>
            </numRef>
          </yVal>
          <smooth val="0"/>
        </ser>
        <ser>
          <idx val="27"/>
          <order val="27"/>
          <spPr>
            <a:ln w="19050">
              <a:solidFill>
                <a:srgbClr val="CC0000"/>
              </a:solidFill>
              <a:prstDash val="dash"/>
            </a:ln>
          </spPr>
          <marker>
            <symbol val="none"/>
            <spPr>
              <a:ln>
                <a:prstDash val="solid"/>
              </a:ln>
            </spPr>
          </marker>
          <xVal>
            <numRef>
              <f>'_look'!$AK$46:$AK$47</f>
            </numRef>
          </xVal>
          <yVal>
            <numRef>
              <f>'_look'!$AL$46:$AL$47</f>
            </numRef>
          </yVal>
          <smooth val="0"/>
        </ser>
        <ser>
          <idx val="28"/>
          <order val="28"/>
          <spPr>
            <a:ln w="19050">
              <a:solidFill>
                <a:srgbClr val="CC0000"/>
              </a:solidFill>
              <a:prstDash val="dash"/>
            </a:ln>
          </spPr>
          <marker>
            <symbol val="none"/>
            <spPr>
              <a:ln>
                <a:prstDash val="solid"/>
              </a:ln>
            </spPr>
          </marker>
          <xVal>
            <numRef>
              <f>'_look'!$AK$48:$AK$49</f>
            </numRef>
          </xVal>
          <yVal>
            <numRef>
              <f>'_look'!$AL$48:$AL$49</f>
            </numRef>
          </yVal>
          <smooth val="0"/>
        </ser>
        <ser>
          <idx val="29"/>
          <order val="29"/>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spPr>
            <a:ln>
              <a:noFill/>
              <a:prstDash val="solid"/>
            </a:ln>
          </spPr>
          <marker>
            <symbol val="circle"/>
            <size val="8"/>
            <spPr>
              <a:solidFill>
                <a:srgbClr val="CC0000"/>
              </a:solidFill>
              <a:ln>
                <a:solidFill>
                  <a:srgbClr val="CC0000"/>
                </a:solidFill>
                <a:prstDash val="solid"/>
              </a:ln>
            </spPr>
          </marker>
          <xVal>
            <numRef>
              <f>'_chart'!$F$1:$F$25</f>
            </numRef>
          </xVal>
          <yVal>
            <numRef>
              <f>'_chart'!$G$1:$G$25</f>
            </numRef>
          </yVal>
        </ser>
        <ser>
          <idx val="2"/>
          <order val="2"/>
          <spPr>
            <a:ln>
              <a:noFill/>
              <a:prstDash val="solid"/>
            </a:ln>
          </spPr>
          <marker>
            <symbol val="circle"/>
            <size val="8"/>
            <spPr>
              <a:solidFill>
                <a:srgbClr val="1E7A47"/>
              </a:solidFill>
              <a:ln>
                <a:solidFill>
                  <a:srgbClr val="1E7A47"/>
                </a:solidFill>
                <a:prstDash val="solid"/>
              </a:ln>
            </spPr>
          </marker>
          <xVal>
            <numRef>
              <f>'_chart'!$H$1:$H$25</f>
            </numRef>
          </xVal>
          <yVal>
            <numRef>
              <f>'_chart'!$I$1:$I$25</f>
            </numRef>
          </yVal>
        </ser>
        <ser>
          <idx val="3"/>
          <order val="3"/>
          <tx>
            <v>line</v>
          </tx>
          <spPr>
            <a:ln>
              <a:solidFill>
                <a:srgbClr val="CC0000"/>
              </a:solidFill>
              <a:prstDash val="dash"/>
            </a:ln>
          </spPr>
          <marker>
            <symbol val="none"/>
            <spPr>
              <a:ln>
                <a:prstDash val="solid"/>
              </a:ln>
            </spPr>
          </marker>
          <xVal>
            <numRef>
              <f>'_chart'!$A$28:$A$29</f>
            </numRef>
          </xVal>
          <yVal>
            <numRef>
              <f>'_chart'!$B$28:$B$29</f>
            </numRef>
          </yVal>
        </ser>
        <ser>
          <idx val="4"/>
          <order val="4"/>
          <tx>
            <v>line</v>
          </tx>
          <spPr>
            <a:ln>
              <a:solidFill>
                <a:srgbClr val="CC0000"/>
              </a:solidFill>
              <a:prstDash val="dash"/>
            </a:ln>
          </spPr>
          <marker>
            <symbol val="none"/>
            <spPr>
              <a:ln>
                <a:prstDash val="solid"/>
              </a:ln>
            </spPr>
          </marker>
          <xVal>
            <numRef>
              <f>'_chart'!$A$30:$A$31</f>
            </numRef>
          </xVal>
          <yVal>
            <numRef>
              <f>'_chart'!$B$30:$B$31</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30</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50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ummary'!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9" customWidth="1" min="2" max="2"/>
    <col width="39" customWidth="1" min="3" max="3"/>
    <col width="12" customWidth="1" min="4" max="4"/>
    <col width="18" customWidth="1" min="5" max="5"/>
    <col width="21"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Summary book.csv · 8,000 loans · 10 columns · last Run 2026-09-30 15:23</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COUNTIFS(Columns!$S$13:$S$22,"?*",Columns!$H$13:$H$22,"")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-2)&amp;". The result tabs still show the last Run. Save, close, and press Run in the launcher."),"")</f>
        <v/>
      </c>
    </row>
    <row r="15">
      <c r="B15" s="8" t="inlineStr">
        <is>
          <t>WHAT THE LAST RUN FOUND</t>
        </is>
      </c>
    </row>
    <row r="16" ht="15" customHeight="1">
      <c r="B16" s="75" t="inlineStr">
        <is>
          <t>Pockets worse and material, charge-offs</t>
        </is>
      </c>
      <c r="C16" s="76" t="n"/>
      <c r="D16" s="75" t="inlineStr">
        <is>
          <t>Dollars above their share, in those</t>
        </is>
      </c>
      <c r="E16" s="76" t="n"/>
      <c r="F16" s="75" t="inlineStr">
        <is>
          <t>Pockets keeping less, worse and material</t>
        </is>
      </c>
      <c r="G16" s="76" t="n"/>
    </row>
    <row r="17" ht="22" customHeight="1">
      <c r="B17" s="11">
        <f>IFERROR(COUNTIFS(pk_kind,"grids",pk_measure,"gco_rate",pk_flag,"worse",pk_material,"yes")&amp;" of 79"&amp;IF(COUNTIFS(pk_kind,"grids",pk_measure,"gco_rate",pk_flag,"worse",pk_material,"yes",pk_wborder,"?*")&gt;0," · "&amp;COUNTIFS(pk_kind,"grids",pk_measure,"gco_rate",pk_flag,"worse",pk_material,"yes",pk_wborder,"?*")&amp;" borderline",""),"")</f>
        <v/>
      </c>
      <c r="D17" s="77">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material.",INDEX('_found'!$B$6:$B$53,$K20))</f>
        <v/>
      </c>
      <c r="C20" s="31">
        <f>IF($K20="","",IF(OR(INDEX('_found'!$C$6:$C$53,$K20)="",INDEX('_pockets'!$AN:$AN,INDEX('_found'!$E$6:$E$53,$K20))=""),INDEX('_found'!$C$6:$C$53,$K20),INDEX('_found'!$C$6:$C$53,$K20)&amp;" · borderline (p "&amp;INDEX('_pockets'!$AN:$AN,INDEX('_found'!$E$6:$E$53,$K20))&amp;")"))</f>
        <v/>
      </c>
      <c r="D20" s="78">
        <f>IF($K20="","",INDEX('_found'!$D$6:$D$53,$K20))</f>
        <v/>
      </c>
      <c r="E20" s="79">
        <f>IF($K20="","",IF(INDEX('_pockets'!$AB:$AB,INDEX('_found'!$E$6:$E$53,$K20))="","",INDEX('_pockets'!$AB:$AB,INDEX('_found'!$E$6:$E$53,$K20))))</f>
        <v/>
      </c>
      <c r="F20" s="73">
        <f>IF($K20="","",IF(INDEX('_pockets'!$Z:$Z,INDEX('_found'!$E$6:$E$53,$K20))="","",INDEX('_pockets'!$Z:$Z,INDEX('_found'!$E$6:$E$53,$K20))))</f>
        <v/>
      </c>
      <c r="K20">
        <f>IFERROR(MATCH(1,'_found'!$G$6:$G$53,0),"")</f>
        <v/>
      </c>
    </row>
    <row r="21" ht="18" customHeight="1">
      <c r="B21" s="31">
        <f>IF($K21="","",INDEX('_found'!$B$6:$B$53,$K21))</f>
        <v/>
      </c>
      <c r="C21" s="31">
        <f>IF($K21="","",IF(OR(INDEX('_found'!$C$6:$C$53,$K21)="",INDEX('_pockets'!$AN:$AN,INDEX('_found'!$E$6:$E$53,$K21))=""),INDEX('_found'!$C$6:$C$53,$K21),INDEX('_found'!$C$6:$C$53,$K21)&amp;" · borderline (p "&amp;INDEX('_pockets'!$AN:$AN,INDEX('_found'!$E$6:$E$53,$K21))&amp;")"))</f>
        <v/>
      </c>
      <c r="D21" s="78">
        <f>IF($K21="","",INDEX('_found'!$D$6:$D$53,$K21))</f>
        <v/>
      </c>
      <c r="E21" s="79">
        <f>IF($K21="","",IF(INDEX('_pockets'!$AB:$AB,INDEX('_found'!$E$6:$E$53,$K21))="","",INDEX('_pockets'!$AB:$AB,INDEX('_found'!$E$6:$E$53,$K21))))</f>
        <v/>
      </c>
      <c r="F21" s="73">
        <f>IF($K21="","",IF(INDEX('_pockets'!$Z:$Z,INDEX('_found'!$E$6:$E$53,$K21))="","",INDEX('_pockets'!$Z:$Z,INDEX('_found'!$E$6:$E$53,$K21))))</f>
        <v/>
      </c>
      <c r="K21">
        <f>IFERROR(MATCH(2,'_found'!$G$6:$G$53,0),"")</f>
        <v/>
      </c>
    </row>
    <row r="22" ht="18" customHeight="1">
      <c r="B22" s="31">
        <f>IF($K22="","",INDEX('_found'!$B$6:$B$53,$K22))</f>
        <v/>
      </c>
      <c r="C22" s="31">
        <f>IF($K22="","",IF(OR(INDEX('_found'!$C$6:$C$53,$K22)="",INDEX('_pockets'!$AN:$AN,INDEX('_found'!$E$6:$E$53,$K22))=""),INDEX('_found'!$C$6:$C$53,$K22),INDEX('_found'!$C$6:$C$53,$K22)&amp;" · borderline (p "&amp;INDEX('_pockets'!$AN:$AN,INDEX('_found'!$E$6:$E$53,$K22))&amp;")"))</f>
        <v/>
      </c>
      <c r="D22" s="78">
        <f>IF($K22="","",INDEX('_found'!$D$6:$D$53,$K22))</f>
        <v/>
      </c>
      <c r="E22" s="79">
        <f>IF($K22="","",IF(INDEX('_pockets'!$AB:$AB,INDEX('_found'!$E$6:$E$53,$K22))="","",INDEX('_pockets'!$AB:$AB,INDEX('_found'!$E$6:$E$53,$K22))))</f>
        <v/>
      </c>
      <c r="F22" s="73">
        <f>IF($K22="","",IF(INDEX('_pockets'!$Z:$Z,INDEX('_found'!$E$6:$E$53,$K22))="","",INDEX('_pockets'!$Z:$Z,INDEX('_found'!$E$6:$E$53,$K22))))</f>
        <v/>
      </c>
      <c r="K22">
        <f>IFERROR(MATCH(3,'_found'!$G$6:$G$53,0),"")</f>
        <v/>
      </c>
    </row>
    <row r="23" ht="18" customHeight="1">
      <c r="B23" s="31">
        <f>IF($K23="","",INDEX('_found'!$B$6:$B$53,$K23))</f>
        <v/>
      </c>
      <c r="C23" s="31">
        <f>IF($K23="","",IF(OR(INDEX('_found'!$C$6:$C$53,$K23)="",INDEX('_pockets'!$AN:$AN,INDEX('_found'!$E$6:$E$53,$K23))=""),INDEX('_found'!$C$6:$C$53,$K23),INDEX('_found'!$C$6:$C$53,$K23)&amp;" · borderline (p "&amp;INDEX('_pockets'!$AN:$AN,INDEX('_found'!$E$6:$E$53,$K23))&amp;")"))</f>
        <v/>
      </c>
      <c r="D23" s="78">
        <f>IF($K23="","",INDEX('_found'!$D$6:$D$53,$K23))</f>
        <v/>
      </c>
      <c r="E23" s="79">
        <f>IF($K23="","",IF(INDEX('_pockets'!$AB:$AB,INDEX('_found'!$E$6:$E$53,$K23))="","",INDEX('_pockets'!$AB:$AB,INDEX('_found'!$E$6:$E$53,$K23))))</f>
        <v/>
      </c>
      <c r="F23" s="73">
        <f>IF($K23="","",IF(INDEX('_pockets'!$Z:$Z,INDEX('_found'!$E$6:$E$53,$K23))="","",INDEX('_pockets'!$Z:$Z,INDEX('_found'!$E$6:$E$53,$K23))))</f>
        <v/>
      </c>
      <c r="K23">
        <f>IFERROR(MATCH(4,'_found'!$G$6:$G$53,0),"")</f>
        <v/>
      </c>
    </row>
    <row r="24" ht="18" customHeight="1">
      <c r="B24" s="31">
        <f>IF($K24="","",INDEX('_found'!$B$6:$B$53,$K24))</f>
        <v/>
      </c>
      <c r="C24" s="31">
        <f>IF($K24="","",IF(OR(INDEX('_found'!$C$6:$C$53,$K24)="",INDEX('_pockets'!$AN:$AN,INDEX('_found'!$E$6:$E$53,$K24))=""),INDEX('_found'!$C$6:$C$53,$K24),INDEX('_found'!$C$6:$C$53,$K24)&amp;" · borderline (p "&amp;INDEX('_pockets'!$AN:$AN,INDEX('_found'!$E$6:$E$53,$K24))&amp;")"))</f>
        <v/>
      </c>
      <c r="D24" s="78">
        <f>IF($K24="","",INDEX('_found'!$D$6:$D$53,$K24))</f>
        <v/>
      </c>
      <c r="E24" s="79">
        <f>IF($K24="","",IF(INDEX('_pockets'!$AB:$AB,INDEX('_found'!$E$6:$E$53,$K24))="","",INDEX('_pockets'!$AB:$AB,INDEX('_found'!$E$6:$E$53,$K24))))</f>
        <v/>
      </c>
      <c r="F24" s="73">
        <f>IF($K24="","",IF(INDEX('_pockets'!$Z:$Z,INDEX('_found'!$E$6:$E$53,$K24))="","",INDEX('_pockets'!$Z:$Z,INDEX('_found'!$E$6:$E$53,$K24))))</f>
        <v/>
      </c>
      <c r="K24">
        <f>IFERROR(MATCH(5,'_found'!$G$6:$G$53,0),"")</f>
        <v/>
      </c>
    </row>
    <row r="25">
      <c r="B25" s="80"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Summary: one band column's plain figures</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4"/>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2" customWidth="1" min="2" max="2"/>
    <col width="66" customWidth="1" min="3" max="3"/>
    <col width="12" customWidth="1" min="4" max="4"/>
    <col width="14" customWidth="1" min="5" max="5"/>
    <col width="58" customWidth="1" min="6" max="6"/>
    <col hidden="1" width="12" customWidth="1" min="7" max="7"/>
    <col width="22" customWidth="1" min="8" max="8"/>
    <col width="56"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1.25 times</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81" t="inlineStr">
        <is>
          <t>1.25 times</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0.8 times</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81" t="inlineStr">
        <is>
          <t>0.8 times</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81"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t>
        </is>
      </c>
      <c r="D18" s="22" t="n"/>
      <c r="E18" s="33">
        <f>IF(NOT(TRUE),"",IF(AND($D$18&lt;&gt;"",$D$18&lt;&gt;"n/a"),$D$18,IF($C$18="","",IF(ISNA(IFERROR(MATCH($G$18&amp;"|"&amp;$C$18,_options!$A:$A,0),MATCH($G$18&amp;"|"&amp;IFERROR(VALUE($C$18),$C$18),_options!$H:$H,0))),"not an option",""))))</f>
        <v/>
      </c>
      <c r="F18" s="81"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81"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81"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30</t>
        </is>
      </c>
      <c r="D24" s="23" t="n"/>
      <c r="E24" s="33" t="n"/>
      <c r="F24" s="81" t="inlineStr">
        <is>
          <t>30 loans</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t>
        </is>
      </c>
      <c r="D25" s="23" t="n"/>
      <c r="E25" s="33" t="n"/>
      <c r="F25" s="81"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81"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81"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81"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81"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81"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REV_DEBT</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n"/>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Filter the Grids by</t>
        </is>
      </c>
      <c r="C38" s="50" t="inlineStr">
        <is>
          <t>ORIG_YEAR</t>
        </is>
      </c>
      <c r="D38" s="51" t="n"/>
      <c r="E38" s="51" t="n"/>
      <c r="F38" s="51" t="n"/>
      <c r="G38" s="35" t="inlineStr">
        <is>
          <t>launcher|filter</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Tested against</t>
        </is>
      </c>
      <c r="C39" s="50" t="n"/>
      <c r="D39" s="51" t="n"/>
      <c r="E39" s="51" t="n"/>
      <c r="F39" s="51" t="n"/>
      <c r="G39" s="35" t="inlineStr">
        <is>
          <t>launcher|outcome</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Inputs tested</t>
        </is>
      </c>
      <c r="C40" s="50" t="n"/>
      <c r="D40" s="51" t="n"/>
      <c r="E40" s="51" t="n"/>
      <c r="F40" s="51" t="n"/>
      <c r="G40" s="35" t="inlineStr">
        <is>
          <t>launcher|test</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Held fixed</t>
        </is>
      </c>
      <c r="C41" s="50" t="n"/>
      <c r="D41" s="51" t="n"/>
      <c r="E41" s="51" t="n"/>
      <c r="F41" s="51" t="n"/>
      <c r="G41" s="35" t="inlineStr">
        <is>
          <t>launcher|hold</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idden="1" ht="18" customHeight="1">
      <c r="B42" s="49" t="inlineStr">
        <is>
          <t>Saved shortlist (pre-spec file)</t>
        </is>
      </c>
      <c r="C42" s="50" t="n"/>
      <c r="D42" s="51" t="n"/>
      <c r="E42" s="51" t="n"/>
      <c r="F42" s="51" t="n"/>
      <c r="G42" s="35" t="inlineStr">
        <is>
          <t>prespec</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Number columns: this many values or fewer is a category; more is cut into bands</t>
        </is>
      </c>
      <c r="C43" s="50" t="inlineStr">
        <is>
          <t>12 values</t>
        </is>
      </c>
      <c r="D43" s="51" t="n"/>
      <c r="E43" s="51" t="n"/>
      <c r="F43" s="51" t="n"/>
      <c r="G43" s="35" t="inlineStr">
        <is>
          <t>few_values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row r="44" ht="18" customHeight="1">
      <c r="B44" s="49" t="inlineStr">
        <is>
          <t>Text columns: more values than this is too many to cut by (text is never cut into bands)</t>
        </is>
      </c>
      <c r="C44" s="50" t="inlineStr">
        <is>
          <t>50 values</t>
        </is>
      </c>
      <c r="D44" s="51" t="n"/>
      <c r="E44" s="51" t="n"/>
      <c r="F44" s="51" t="n"/>
      <c r="G44" s="35" t="inlineStr">
        <is>
          <t>many_values</t>
        </is>
      </c>
      <c r="H44" s="38">
        <f>IF($H$33="↻ Waiting for a Run","",IFERROR(IF(IF(AND($D$44&lt;&gt;"",$D$44&lt;&gt;"n/a"),$D$44,$C$44)&amp;""=INDEX(_used!$B:$B,MATCH($G$44,_used!$A:$A,0))&amp;"","Same as last Run","↻ Waiting for a Run"),""))</f>
        <v/>
      </c>
      <c r="I44" s="51" t="n"/>
      <c r="K44">
        <f>IF($H44="↻ Waiting for a Run",$B44&amp;": "&amp;IF(INDEX(_used!$B:$B,MATCH($G$44,_used!$A:$A,0))&amp;""="","none",INDEX(_used!$B:$B,MATCH($G$44,_used!$A:$A,0)))&amp;" → "&amp;IF(IF(AND($D$44&lt;&gt;"",$D$44&lt;&gt;"n/a"),$D$44,$C$44)&amp;""="","none",IF(AND($D$44&lt;&gt;"",$D$44&lt;&gt;"n/a"),$D$44,$C$44))&amp;"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4">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36" customWidth="1" min="3" max="3"/>
    <col width="20" customWidth="1" min="4" max="4"/>
    <col width="51.3" customWidth="1" min="5" max="5"/>
    <col width="7" customWidth="1" min="6" max="6"/>
    <col width="23" customWidth="1" min="7" max="7"/>
    <col width="11" customWidth="1" min="8" max="8"/>
    <col width="16" customWidth="1" min="9" max="9"/>
    <col width="13" customWidth="1" min="10" max="10"/>
    <col width="9" customWidth="1" min="11" max="11"/>
    <col width="60" customWidth="1" min="12" max="12"/>
    <col width="12" customWidth="1" min="13" max="13"/>
    <col width="19"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n"/>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c r="S23" t="inlineStr">
        <is>
          <t>table|end</t>
        </is>
      </c>
    </row>
    <row r="24"/>
    <row r="25" ht="20" customHeight="1">
      <c r="B25" s="25" t="inlineStr">
        <is>
          <t>Add a column: one divided by another</t>
        </is>
      </c>
      <c r="C25" s="26" t="n"/>
      <c r="D25" s="26" t="n"/>
      <c r="E25" s="26" t="n"/>
      <c r="F25" s="26" t="n"/>
      <c r="S25" t="inlineStr">
        <is>
          <t>derived|head</t>
        </is>
      </c>
    </row>
    <row r="26">
      <c r="B26" s="41" t="inlineStr">
        <is>
          <t>Shows here and on Look, and in Choose tests, once you press Set up again. Blank where the bottom is zero or blank.</t>
        </is>
      </c>
      <c r="S26" t="inlineStr">
        <is>
          <t>derived|note</t>
        </is>
      </c>
    </row>
    <row r="27">
      <c r="B27" s="29" t="inlineStr">
        <is>
          <t>New column name ↻</t>
        </is>
      </c>
      <c r="C27" s="29" t="inlineStr">
        <is>
          <t>Top (divided)</t>
        </is>
      </c>
      <c r="D27" s="29" t="inlineStr">
        <is>
          <t>Bottom (divided by)</t>
        </is>
      </c>
      <c r="E27" s="29" t="inlineStr">
        <is>
          <t>What it makes</t>
        </is>
      </c>
      <c r="S27" t="inlineStr">
        <is>
          <t>derived|cols</t>
        </is>
      </c>
    </row>
    <row r="28" ht="18" customHeight="1">
      <c r="B28" s="61" t="n"/>
      <c r="C28" s="61" t="n"/>
      <c r="D28" s="61" t="n"/>
      <c r="E28" s="62">
        <f>IF(COUNTA(B28:D28)=0,"",IF(COUNTA(B28:D28)&lt;3,"Needs a name, a top and a bottom.",B28&amp;" = "&amp;C28&amp;" ÷ "&amp;D28&amp;" on each loan."))</f>
        <v/>
      </c>
      <c r="F28" s="63" t="n"/>
      <c r="S28" t="inlineStr">
        <is>
          <t>derived|1</t>
        </is>
      </c>
    </row>
    <row r="29" ht="18" customHeight="1">
      <c r="B29" s="61" t="n"/>
      <c r="C29" s="61" t="n"/>
      <c r="D29" s="61" t="n"/>
      <c r="E29" s="62">
        <f>IF(COUNTA(B29:D29)=0,"",IF(COUNTA(B29:D29)&lt;3,"Needs a name, a top and a bottom.",B29&amp;" = "&amp;C29&amp;" ÷ "&amp;D29&amp;" on each loan."))</f>
        <v/>
      </c>
      <c r="F29" s="63" t="n"/>
      <c r="S29" t="inlineStr">
        <is>
          <t>derived|2</t>
        </is>
      </c>
    </row>
    <row r="30" ht="18" customHeight="1">
      <c r="B30" s="61" t="n"/>
      <c r="C30" s="61" t="n"/>
      <c r="D30" s="61" t="n"/>
      <c r="E30" s="62">
        <f>IF(COUNTA(B30:D30)=0,"",IF(COUNTA(B30:D30)&lt;3,"Needs a name, a top and a bottom.",B30&amp;" = "&amp;C30&amp;" ÷ "&amp;D30&amp;" on each loan."))</f>
        <v/>
      </c>
      <c r="F30" s="63" t="n"/>
      <c r="S3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2">
    <cfRule type="expression" priority="2" dxfId="2">
      <formula>AND($S13&lt;&gt;"",$H13="")</formula>
    </cfRule>
  </conditionalFormatting>
  <conditionalFormatting sqref="L13:L22">
    <cfRule type="expression" priority="3" dxfId="2">
      <formula>L13&lt;&gt;""</formula>
    </cfRule>
  </conditionalFormatting>
  <conditionalFormatting sqref="B28:D28">
    <cfRule type="expression" priority="4" dxfId="2">
      <formula>AND(B28="",COUNTA($B28:$D28)&gt;0)</formula>
    </cfRule>
  </conditionalFormatting>
  <conditionalFormatting sqref="B29:D29">
    <cfRule type="expression" priority="5" dxfId="2">
      <formula>AND(B29="",COUNTA($B29:$D29)&gt;0)</formula>
    </cfRule>
  </conditionalFormatting>
  <conditionalFormatting sqref="B30:D30">
    <cfRule type="expression" priority="6" dxfId="2">
      <formula>AND(B30="",COUNTA($B30:$D30)&gt;0)</formula>
    </cfRule>
  </conditionalFormatting>
  <dataValidations count="7">
    <dataValidation sqref="C3" showDropDown="0" showInputMessage="0" showErrorMessage="1" allowBlank="1" type="list">
      <formula1>"Yes,No"</formula1>
    </dataValidation>
    <dataValidation sqref="D13 D14 D15 D16 D17 D18 D19 D20 D21 D22" showDropDown="0" showInputMessage="0" showErrorMessage="1" allowBlank="0" error="Pick one of the meanings in the list." type="list">
      <formula1>='_meanings'!$A$1:$A$19</formula1>
    </dataValidation>
    <dataValidation sqref="N13 N14 N15 N16 N17 N18 N19 N20 N21 N22" showDropDown="0" showInputMessage="0" showErrorMessage="1" allowBlank="1" type="list">
      <formula1>"median,average"</formula1>
    </dataValidation>
    <dataValidation sqref="O13 O14 O15 O16 O17 O18 O19 O20 O21 O22"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showDropDown="0" showInputMessage="0" showErrorMessage="1" allowBlank="1" type="list">
      <formula1>"No,Yes"</formula1>
    </dataValidation>
    <dataValidation sqref="C28 C29 C30 D28 D29 D30"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71"/>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5"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31" customHeight="1">
      <c r="B6" s="6" t="inlineStr">
        <is>
          <t>The lines</t>
        </is>
      </c>
      <c r="C6" s="7" t="inlineStr">
        <is>
          <t>Red dashed: the band edges typed on Columns. They follow that tab as you type, so you can try edges here before the next Run; blank edges are cut at the Run, so no lines show. Grey: the 10th, 25th, 50th, 75th and 90th percentile, P10 to P90. A tenth of the loans on the chart lie below P10, half below P50 (the median). Worked out as Excel's PERCENTILE.INC does.</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4">
      <c r="B24" s="21" t="inlineStr">
        <is>
          <t>10th percentile (P10)</t>
        </is>
      </c>
      <c r="C24" s="66" t="n">
        <v>629</v>
      </c>
    </row>
    <row r="25">
      <c r="B25" s="21" t="inlineStr">
        <is>
          <t>25th percentile (P25)</t>
        </is>
      </c>
      <c r="C25" s="66" t="n">
        <v>663</v>
      </c>
    </row>
    <row r="26">
      <c r="B26" s="21" t="inlineStr">
        <is>
          <t>50th percentile (P50), the median</t>
        </is>
      </c>
      <c r="C26" s="66" t="n">
        <v>699</v>
      </c>
    </row>
    <row r="27">
      <c r="B27" s="21" t="inlineStr">
        <is>
          <t>75th percentile (P75)</t>
        </is>
      </c>
      <c r="C27" s="66" t="n">
        <v>736</v>
      </c>
    </row>
    <row r="28">
      <c r="B28" s="21" t="inlineStr">
        <is>
          <t>90th percentile (P90)</t>
        </is>
      </c>
      <c r="C28" s="66" t="n">
        <v>772</v>
      </c>
    </row>
    <row r="30" ht="18" customHeight="1">
      <c r="B30" s="64" t="inlineStr">
        <is>
          <t>ORIG_BAL</t>
        </is>
      </c>
      <c r="C30" s="65" t="n"/>
      <c r="D30" s="65" t="n"/>
      <c r="H30" s="41">
        <f>IF('_look'!$S$20="","ORIG_BAL · no edges on Columns yet","ORIG_BAL · edges now "&amp;'_look'!$S$20)</f>
        <v/>
      </c>
    </row>
    <row r="31">
      <c r="B31" s="21" t="inlineStr">
        <is>
          <t>Loans</t>
        </is>
      </c>
      <c r="C31" s="66" t="n">
        <v>8000</v>
      </c>
    </row>
    <row r="32">
      <c r="B32" s="21" t="inlineStr">
        <is>
          <t>Blank</t>
        </is>
      </c>
      <c r="C32" s="66" t="n">
        <v>1</v>
      </c>
      <c r="D32" s="67" t="n">
        <v>0.000125</v>
      </c>
    </row>
    <row r="33">
      <c r="B33" s="21" t="inlineStr">
        <is>
          <t>Not a number</t>
        </is>
      </c>
      <c r="C33" s="66" t="n">
        <v>0</v>
      </c>
      <c r="D33" s="67" t="n">
        <v>0</v>
      </c>
    </row>
    <row r="34">
      <c r="B34" s="21" t="inlineStr">
        <is>
          <t>Likely a code</t>
        </is>
      </c>
      <c r="C34" s="66" t="inlineStr">
        <is>
          <t>none found</t>
        </is>
      </c>
    </row>
    <row r="35">
      <c r="B35" s="21" t="inlineStr">
        <is>
          <t>Smallest</t>
        </is>
      </c>
      <c r="C35" s="66" t="n">
        <v>5005.32</v>
      </c>
    </row>
    <row r="36">
      <c r="B36" s="21" t="inlineStr">
        <is>
          <t>Median</t>
        </is>
      </c>
      <c r="C36" s="66" t="n">
        <v>32112.83</v>
      </c>
    </row>
    <row r="37">
      <c r="B37" s="21" t="inlineStr">
        <is>
          <t>Mean</t>
        </is>
      </c>
      <c r="C37" s="66" t="n">
        <v>32262.58857732217</v>
      </c>
    </row>
    <row r="38">
      <c r="B38" s="21" t="inlineStr">
        <is>
          <t>Largest</t>
        </is>
      </c>
      <c r="C38" s="66" t="n">
        <v>59983.86</v>
      </c>
    </row>
    <row r="40">
      <c r="B40" s="21" t="inlineStr">
        <is>
          <t>Bars</t>
        </is>
      </c>
      <c r="C40" s="68" t="n">
        <v>20</v>
      </c>
    </row>
    <row r="41">
      <c r="B41" s="21" t="inlineStr">
        <is>
          <t>From</t>
        </is>
      </c>
      <c r="C41" s="69" t="n">
        <v>0</v>
      </c>
    </row>
    <row r="42">
      <c r="B42" s="21" t="inlineStr">
        <is>
          <t>To</t>
        </is>
      </c>
      <c r="C42" s="69" t="n">
        <v>60000</v>
      </c>
    </row>
    <row r="44">
      <c r="B44" s="21" t="inlineStr">
        <is>
          <t>10th percentile (P10)</t>
        </is>
      </c>
      <c r="C44" s="66" t="n">
        <v>10110.416</v>
      </c>
    </row>
    <row r="45">
      <c r="B45" s="21" t="inlineStr">
        <is>
          <t>25th percentile (P25)</t>
        </is>
      </c>
      <c r="C45" s="66" t="n">
        <v>18191.43</v>
      </c>
    </row>
    <row r="46">
      <c r="B46" s="21" t="inlineStr">
        <is>
          <t>50th percentile (P50), the median</t>
        </is>
      </c>
      <c r="C46" s="66" t="n">
        <v>32112.83</v>
      </c>
    </row>
    <row r="47">
      <c r="B47" s="21" t="inlineStr">
        <is>
          <t>75th percentile (P75)</t>
        </is>
      </c>
      <c r="C47" s="66" t="n">
        <v>46264.885</v>
      </c>
    </row>
    <row r="48">
      <c r="B48" s="21" t="inlineStr">
        <is>
          <t>90th percentile (P90)</t>
        </is>
      </c>
      <c r="C48" s="66" t="n">
        <v>54495.472</v>
      </c>
    </row>
    <row r="50" ht="18" customHeight="1">
      <c r="B50" s="64" t="inlineStr">
        <is>
          <t>REV_DEBT</t>
        </is>
      </c>
      <c r="C50" s="65" t="n"/>
      <c r="D50" s="65" t="n"/>
      <c r="H50" s="41">
        <f>IF('_look'!$AF$20="","REV_DEBT · no edges on Columns yet","REV_DEBT · edges now "&amp;'_look'!$AF$20)</f>
        <v/>
      </c>
    </row>
    <row r="51">
      <c r="B51" s="21" t="inlineStr">
        <is>
          <t>Loans</t>
        </is>
      </c>
      <c r="C51" s="66" t="n">
        <v>8000</v>
      </c>
    </row>
    <row r="52">
      <c r="B52" s="21" t="inlineStr">
        <is>
          <t>Blank</t>
        </is>
      </c>
      <c r="C52" s="66" t="n">
        <v>0</v>
      </c>
      <c r="D52" s="67" t="n">
        <v>0</v>
      </c>
    </row>
    <row r="53">
      <c r="B53" s="21" t="inlineStr">
        <is>
          <t>Not a number</t>
        </is>
      </c>
      <c r="C53" s="66" t="n">
        <v>0</v>
      </c>
      <c r="D53" s="67" t="n">
        <v>0</v>
      </c>
    </row>
    <row r="54">
      <c r="B54" s="21" t="inlineStr">
        <is>
          <t>Likely a code</t>
        </is>
      </c>
      <c r="C54" s="66" t="inlineStr">
        <is>
          <t>none found</t>
        </is>
      </c>
    </row>
    <row r="55">
      <c r="B55" s="21" t="inlineStr">
        <is>
          <t>Smallest</t>
        </is>
      </c>
      <c r="C55" s="66" t="n">
        <v>0</v>
      </c>
    </row>
    <row r="56">
      <c r="B56" s="21" t="inlineStr">
        <is>
          <t>Median</t>
        </is>
      </c>
      <c r="C56" s="66" t="n">
        <v>11392.84</v>
      </c>
    </row>
    <row r="57">
      <c r="B57" s="21" t="inlineStr">
        <is>
          <t>Mean</t>
        </is>
      </c>
      <c r="C57" s="66" t="n">
        <v>12064.48326875</v>
      </c>
    </row>
    <row r="58">
      <c r="B58" s="21" t="inlineStr">
        <is>
          <t>Largest</t>
        </is>
      </c>
      <c r="C58" s="66" t="n">
        <v>48521.79</v>
      </c>
    </row>
    <row r="60">
      <c r="B60" s="21" t="inlineStr">
        <is>
          <t>Bars</t>
        </is>
      </c>
      <c r="C60" s="68" t="n">
        <v>20</v>
      </c>
    </row>
    <row r="61">
      <c r="B61" s="21" t="inlineStr">
        <is>
          <t>From</t>
        </is>
      </c>
      <c r="C61" s="69" t="n">
        <v>0</v>
      </c>
    </row>
    <row r="62">
      <c r="B62" s="21" t="inlineStr">
        <is>
          <t>To</t>
        </is>
      </c>
      <c r="C62" s="69" t="n">
        <v>30000</v>
      </c>
    </row>
    <row r="64">
      <c r="B64" s="21" t="inlineStr">
        <is>
          <t>10th percentile (P10)</t>
        </is>
      </c>
      <c r="C64" s="66" t="n">
        <v>4382.994000000001</v>
      </c>
    </row>
    <row r="65">
      <c r="B65" s="21" t="inlineStr">
        <is>
          <t>25th percentile (P25)</t>
        </is>
      </c>
      <c r="C65" s="66" t="n">
        <v>7384.4825</v>
      </c>
    </row>
    <row r="66">
      <c r="B66" s="21" t="inlineStr">
        <is>
          <t>50th percentile (P50), the median</t>
        </is>
      </c>
      <c r="C66" s="66" t="n">
        <v>11392.84</v>
      </c>
    </row>
    <row r="67">
      <c r="B67" s="21" t="inlineStr">
        <is>
          <t>75th percentile (P75)</t>
        </is>
      </c>
      <c r="C67" s="66" t="n">
        <v>15940.795</v>
      </c>
    </row>
    <row r="68">
      <c r="B68" s="21" t="inlineStr">
        <is>
          <t>90th percentile (P90)</t>
        </is>
      </c>
      <c r="C68" s="66" t="n">
        <v>20607.534</v>
      </c>
    </row>
    <row r="70" ht="18" customHeight="1">
      <c r="B70" s="64" t="inlineStr">
        <is>
          <t>Scatters</t>
        </is>
      </c>
      <c r="C70" s="65" t="n"/>
      <c r="D70" s="65" t="n"/>
    </row>
    <row r="71" ht="17" customHeight="1">
      <c r="B71" s="71" t="inlineStr">
        <is>
          <t>None: nothing splits the pockets. Pick a column to split by in the launcher's Choose tests; a scatter of it against each band column shows here.</t>
        </is>
      </c>
    </row>
  </sheetData>
  <mergeCells count="6">
    <mergeCell ref="C7:Q7"/>
    <mergeCell ref="C6:Q6"/>
    <mergeCell ref="B71:Q71"/>
    <mergeCell ref="C5:Q5"/>
    <mergeCell ref="C8:Q8"/>
    <mergeCell ref="C4:Q4"/>
  </mergeCells>
  <dataValidations count="1">
    <dataValidation sqref="C20 C40 C60"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1" manualBreakCount="1">
    <brk id="4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77"/>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5" customWidth="1" min="2" max="2"/>
    <col width="27" customWidth="1" min="3" max="3"/>
    <col width="16" customWidth="1" min="4" max="4"/>
    <col width="21" customWidth="1" min="5" max="5"/>
    <col width="9" customWidth="1" min="6" max="6"/>
    <col width="11" customWidth="1" min="7" max="7"/>
    <col width="12" customWidth="1" min="8" max="8"/>
    <col width="14" customWidth="1" min="9" max="9"/>
    <col width="22" customWidth="1" min="10" max="10"/>
    <col width="33" customWidth="1" min="11" max="11"/>
    <col width="13" customWidth="1" min="12" max="12"/>
    <col width="11" customWidth="1" min="13" max="13"/>
    <col width="19" customWidth="1" min="14" max="14"/>
    <col width="12"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17" customHeight="1">
      <c r="C4" s="6" t="inlineStr">
        <is>
          <t>A pocket</t>
        </is>
      </c>
      <c r="D4" s="7" t="inlineStr">
        <is>
          <t>One band of one column crossed with one segment of another, in every grid chosen in the launcher. Loans: how many are in it.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30 loans. Dollar measures: the loans are shuffled 200 times, within the band for the rest of its band, and it is how often a gap as big turned up."&amp;" Under "&amp;TEXT(significance_bar,"0%")&amp;" counts."&amp;" Borderline: the test's p-value is within the shuffle's own margin of the "&amp;TEXT(significance_bar,"0%")&amp;" bar, so another run could read it the other way."</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3" ht="15" customHeight="1">
      <c r="C13" s="82" t="inlineStr">
        <is>
          <t>LINES IN USE NOW</t>
        </is>
      </c>
      <c r="D13" s="75" t="inlineStr">
        <is>
          <t>Worse at</t>
        </is>
      </c>
      <c r="E13" s="75" t="inlineStr">
        <is>
          <t>Better at</t>
        </is>
      </c>
      <c r="F13" s="75" t="inlineStr">
        <is>
          <t>How sure</t>
        </is>
      </c>
      <c r="G13" s="76" t="n"/>
      <c r="H13" s="75" t="inlineStr">
        <is>
          <t>Material at</t>
        </is>
      </c>
      <c r="I13" s="76" t="n"/>
      <c r="J13" s="75" t="inlineStr">
        <is>
          <t>Judged against</t>
        </is>
      </c>
      <c r="K13" s="83" t="inlineStr">
        <is>
          <t>Order and "Could have caught" are from the last Run, 2026-09-30 15:23.</t>
        </is>
      </c>
    </row>
    <row r="14" ht="22" customHeight="1">
      <c r="C14" s="84" t="inlineStr">
        <is>
          <t>live from Control</t>
        </is>
      </c>
      <c r="D14" s="85">
        <f>worse_at</f>
        <v/>
      </c>
      <c r="E14" s="85">
        <f>better_at</f>
        <v/>
      </c>
      <c r="F14" s="86">
        <f>confidence</f>
        <v/>
      </c>
      <c r="H14" s="11">
        <f>IFERROR(IF(materiality_kind="none","No floor",IF(INDEX(line_values,MATCH($U$17,line_keys,0))="","No line",IF($U$19,TEXT(INDEX(line_values,MATCH($U$17,line_keys,0)),"#,##0.0")&amp;" bad loans","$"&amp;TEXT(INDEX(line_values,MATCH($U$17,line_keys,0)),"#,##0")))),"")</f>
        <v/>
      </c>
      <c r="J14" s="11">
        <f>IF(judged_band,"Rest of its band","Rest of the book")</f>
        <v/>
      </c>
      <c r="K14" s="87">
        <f>IFERROR(IF(COUNTIF(Status,"↻ Waiting for a Run")=0,"","↻ "&amp;COUNTIF(Status,"↻ Waiting for a Run")&amp;IF(COUNTIF(Status,"↻ Waiting for a Run")=1," Control change waits for a Run."," Control changes wait for a Run.")),"")</f>
        <v/>
      </c>
    </row>
    <row r="16">
      <c r="C16" s="88" t="inlineStr">
        <is>
          <t>MEASURE</t>
        </is>
      </c>
      <c r="D16" s="88" t="inlineStr">
        <is>
          <t>POCKETS</t>
        </is>
      </c>
      <c r="E16" s="88" t="inlineStr">
        <is>
          <t>SHOW</t>
        </is>
      </c>
    </row>
    <row r="17" ht="20" customHeight="1">
      <c r="C17" s="32" t="inlineStr">
        <is>
          <t>Bad loans</t>
        </is>
      </c>
      <c r="D17" s="32" t="inlineStr">
        <is>
          <t>Two-way</t>
        </is>
      </c>
      <c r="E17" s="32" t="inlineStr">
        <is>
          <t>All</t>
        </is>
      </c>
      <c r="F17" s="89">
        <f>IFERROR(COUNTIFS('_list'!$A$2:$A$246,'Pockets'!$D$17,'_list'!$B$2:$B$246,'Pockets'!$C$17,'_list'!$K$2:$K$246,"Yes",'_list'!$L$2:$L$246,"Yes")&amp;" worse and material · "&amp;COUNTIFS('_list'!$A$2:$A$246,'Pockets'!$D$17,'_list'!$B$2:$B$246,'Pockets'!$C$17,'_list'!$K$2:$K$246,"Yes")&amp;" worse · "&amp;SUM('_list'!$M$2:$M$246)&amp;" shown","")</f>
        <v/>
      </c>
      <c r="U17">
        <f>IFERROR(INDEX('_choices'!$B$2:$B$6,MATCH('Pockets'!$C$17,'_choices'!$A$2:$A$6,0)),"")</f>
        <v/>
      </c>
    </row>
    <row r="18">
      <c r="U18">
        <f>IFERROR(INDEX('_choices'!$C$2:$C$6,MATCH('Pockets'!$C$17,'_choices'!$A$2:$A$6,0))=1,FALSE)</f>
        <v/>
      </c>
    </row>
    <row r="19" ht="18" customHeight="1">
      <c r="B19" s="56" t="inlineStr">
        <is>
          <t>#</t>
        </is>
      </c>
      <c r="C19" s="55" t="inlineStr">
        <is>
          <t>Band</t>
        </is>
      </c>
      <c r="D19" s="55" t="inlineStr">
        <is>
          <t>Segment</t>
        </is>
      </c>
      <c r="E19" s="55" t="inlineStr"/>
      <c r="F19" s="56" t="inlineStr">
        <is>
          <t>Loans</t>
        </is>
      </c>
      <c r="G19" s="56" t="inlineStr">
        <is>
          <t>This pocket</t>
        </is>
      </c>
      <c r="H19" s="56">
        <f>IF(judged_band,"Rest of band","Rest of book")</f>
        <v/>
      </c>
      <c r="I19" s="56">
        <f>IF($U$18,"Gap in pts",IF(judged_band,"× rest of band","× rest of book"))</f>
        <v/>
      </c>
      <c r="J19" s="56">
        <f>IF($U$19,"Bad loans above share",IF($U$18,IF(judged_band,"Dollars short of band","Dollars short of book"),"Dollars above share"))</f>
        <v/>
      </c>
      <c r="K19" s="56" t="inlineStr">
        <is>
          <t>Worse?</t>
        </is>
      </c>
      <c r="L19" s="56" t="inlineStr">
        <is>
          <t>p-value</t>
        </is>
      </c>
      <c r="M19" s="56" t="inlineStr">
        <is>
          <t>Material?</t>
        </is>
      </c>
      <c r="N19" s="56" t="inlineStr">
        <is>
          <t>Could have caught</t>
        </is>
      </c>
      <c r="O19" s="56" t="inlineStr"/>
      <c r="U19">
        <f>IFERROR(INDEX('_choices'!$D$2:$D$6,MATCH('Pockets'!$C$17,'_choices'!$A$2:$A$6,0))=1,FALSE)</f>
        <v/>
      </c>
    </row>
    <row r="20" ht="16" customHeight="1">
      <c r="B20" s="90">
        <f>IF($R20="","",1)</f>
        <v/>
      </c>
      <c r="C20" s="91">
        <f>IF($R20="","",IF(INDEX('_list'!$D$2:$D$246,$R20)="","",INDEX('_list'!$D$2:$D$246,$R20)))</f>
        <v/>
      </c>
      <c r="D20" s="91">
        <f>IF($R20="","",IF(INDEX('_list'!$E$2:$E$246,$R20)="","",INDEX('_list'!$E$2:$E$246,$R20)))</f>
        <v/>
      </c>
      <c r="E20" s="91">
        <f>IF($R20="","",IF(INDEX('_list'!$F$2:$F$246,$R20)="","",INDEX('_list'!$F$2:$F$246,$R20)))</f>
        <v/>
      </c>
      <c r="F20" s="92">
        <f>IF($R20="","",IF(INDEX('_list'!$G$2:$G$246,$R20)="","",INDEX('_list'!$G$2:$G$246,$R20)))</f>
        <v/>
      </c>
      <c r="G20" s="93">
        <f>IF($S20="","",IF(INDEX('_pockets'!$AH:$AH,$S20)="","",INDEX('_pockets'!$AH:$AH,$S20)))</f>
        <v/>
      </c>
      <c r="H20" s="93">
        <f>IF($S20="","",IF(INDEX('_pockets'!$AF:$AF,$S20)="","",INDEX('_pockets'!$AF:$AF,$S20)))</f>
        <v/>
      </c>
      <c r="I20" s="94">
        <f>IF(IF($S20="","",IF(INDEX('_pockets'!$AB:$AB,$S20)="","",INDEX('_pockets'!$AB:$AB,$S20)))="","",IF($S20="","",IF(INDEX('_pockets'!$AB:$AB,$S20)="","",INDEX('_pockets'!$AB:$AB,$S20)))*IF($U$18,100,1))</f>
        <v/>
      </c>
      <c r="J20" s="92">
        <f>IF($S20="","",IF(INDEX('_pockets'!$Z:$Z,$S20)="","",INDEX('_pockets'!$Z:$Z,$S20)))</f>
        <v/>
      </c>
      <c r="K20" s="95">
        <f>IF($S20="","",IF(INDEX('_pockets'!$AO:$AO,$S20)="","",INDEX('_pockets'!$AO:$AO,$S20)))</f>
        <v/>
      </c>
      <c r="L20" s="96">
        <f>IF($S20="","",IF(INDEX('_pockets'!$AC:$AC,$S20)="","",INDEX('_pockets'!$AC:$AC,$S20)))</f>
        <v/>
      </c>
      <c r="M20" s="95">
        <f>IF($R20="","",IF(INDEX('_list'!$L$2:$L$246,$R20)="","",INDEX('_list'!$L$2:$L$246,$R20)))</f>
        <v/>
      </c>
      <c r="N20" s="94">
        <f>IF($R20="","",IF(INDEX('_list'!$H$2:$H$246,$R20)="","",INDEX('_list'!$H$2:$H$246,$R20)))</f>
        <v/>
      </c>
      <c r="O20" s="91">
        <f>IF($R20="","",IF(INDEX('_list'!$I$2:$I$246,$R20)="","",INDEX('_list'!$I$2:$I$246,$R20)))</f>
        <v/>
      </c>
      <c r="R20">
        <f>IFERROR(MATCH(1,'_list'!$N$2:$N$246,0),"")</f>
        <v/>
      </c>
      <c r="S20">
        <f>IF($R20="","",INDEX('_list'!$C$2:$C$246,$R20))</f>
        <v/>
      </c>
    </row>
    <row r="21" ht="16" customHeight="1">
      <c r="B21" s="90">
        <f>IF($R21="","",2)</f>
        <v/>
      </c>
      <c r="C21" s="91">
        <f>IF($R21="","",IF(INDEX('_list'!$D$2:$D$246,$R21)="","",INDEX('_list'!$D$2:$D$246,$R21)))</f>
        <v/>
      </c>
      <c r="D21" s="91">
        <f>IF($R21="","",IF(INDEX('_list'!$E$2:$E$246,$R21)="","",INDEX('_list'!$E$2:$E$246,$R21)))</f>
        <v/>
      </c>
      <c r="E21" s="91">
        <f>IF($R21="","",IF(INDEX('_list'!$F$2:$F$246,$R21)="","",INDEX('_list'!$F$2:$F$246,$R21)))</f>
        <v/>
      </c>
      <c r="F21" s="92">
        <f>IF($R21="","",IF(INDEX('_list'!$G$2:$G$246,$R21)="","",INDEX('_list'!$G$2:$G$246,$R21)))</f>
        <v/>
      </c>
      <c r="G21" s="93">
        <f>IF($S21="","",IF(INDEX('_pockets'!$AH:$AH,$S21)="","",INDEX('_pockets'!$AH:$AH,$S21)))</f>
        <v/>
      </c>
      <c r="H21" s="93">
        <f>IF($S21="","",IF(INDEX('_pockets'!$AF:$AF,$S21)="","",INDEX('_pockets'!$AF:$AF,$S21)))</f>
        <v/>
      </c>
      <c r="I21" s="94">
        <f>IF(IF($S21="","",IF(INDEX('_pockets'!$AB:$AB,$S21)="","",INDEX('_pockets'!$AB:$AB,$S21)))="","",IF($S21="","",IF(INDEX('_pockets'!$AB:$AB,$S21)="","",INDEX('_pockets'!$AB:$AB,$S21)))*IF($U$18,100,1))</f>
        <v/>
      </c>
      <c r="J21" s="92">
        <f>IF($S21="","",IF(INDEX('_pockets'!$Z:$Z,$S21)="","",INDEX('_pockets'!$Z:$Z,$S21)))</f>
        <v/>
      </c>
      <c r="K21" s="95">
        <f>IF($S21="","",IF(INDEX('_pockets'!$AO:$AO,$S21)="","",INDEX('_pockets'!$AO:$AO,$S21)))</f>
        <v/>
      </c>
      <c r="L21" s="96">
        <f>IF($S21="","",IF(INDEX('_pockets'!$AC:$AC,$S21)="","",INDEX('_pockets'!$AC:$AC,$S21)))</f>
        <v/>
      </c>
      <c r="M21" s="95">
        <f>IF($R21="","",IF(INDEX('_list'!$L$2:$L$246,$R21)="","",INDEX('_list'!$L$2:$L$246,$R21)))</f>
        <v/>
      </c>
      <c r="N21" s="94">
        <f>IF($R21="","",IF(INDEX('_list'!$H$2:$H$246,$R21)="","",INDEX('_list'!$H$2:$H$246,$R21)))</f>
        <v/>
      </c>
      <c r="O21" s="91">
        <f>IF($R21="","",IF(INDEX('_list'!$I$2:$I$246,$R21)="","",INDEX('_list'!$I$2:$I$246,$R21)))</f>
        <v/>
      </c>
      <c r="R21">
        <f>IFERROR(MATCH(2,'_list'!$N$2:$N$246,0),"")</f>
        <v/>
      </c>
      <c r="S21">
        <f>IF($R21="","",INDEX('_list'!$C$2:$C$246,$R21))</f>
        <v/>
      </c>
    </row>
    <row r="22" ht="16" customHeight="1">
      <c r="B22" s="90">
        <f>IF($R22="","",3)</f>
        <v/>
      </c>
      <c r="C22" s="91">
        <f>IF($R22="","",IF(INDEX('_list'!$D$2:$D$246,$R22)="","",INDEX('_list'!$D$2:$D$246,$R22)))</f>
        <v/>
      </c>
      <c r="D22" s="91">
        <f>IF($R22="","",IF(INDEX('_list'!$E$2:$E$246,$R22)="","",INDEX('_list'!$E$2:$E$246,$R22)))</f>
        <v/>
      </c>
      <c r="E22" s="91">
        <f>IF($R22="","",IF(INDEX('_list'!$F$2:$F$246,$R22)="","",INDEX('_list'!$F$2:$F$246,$R22)))</f>
        <v/>
      </c>
      <c r="F22" s="92">
        <f>IF($R22="","",IF(INDEX('_list'!$G$2:$G$246,$R22)="","",INDEX('_list'!$G$2:$G$246,$R22)))</f>
        <v/>
      </c>
      <c r="G22" s="93">
        <f>IF($S22="","",IF(INDEX('_pockets'!$AH:$AH,$S22)="","",INDEX('_pockets'!$AH:$AH,$S22)))</f>
        <v/>
      </c>
      <c r="H22" s="93">
        <f>IF($S22="","",IF(INDEX('_pockets'!$AF:$AF,$S22)="","",INDEX('_pockets'!$AF:$AF,$S22)))</f>
        <v/>
      </c>
      <c r="I22" s="94">
        <f>IF(IF($S22="","",IF(INDEX('_pockets'!$AB:$AB,$S22)="","",INDEX('_pockets'!$AB:$AB,$S22)))="","",IF($S22="","",IF(INDEX('_pockets'!$AB:$AB,$S22)="","",INDEX('_pockets'!$AB:$AB,$S22)))*IF($U$18,100,1))</f>
        <v/>
      </c>
      <c r="J22" s="92">
        <f>IF($S22="","",IF(INDEX('_pockets'!$Z:$Z,$S22)="","",INDEX('_pockets'!$Z:$Z,$S22)))</f>
        <v/>
      </c>
      <c r="K22" s="95">
        <f>IF($S22="","",IF(INDEX('_pockets'!$AO:$AO,$S22)="","",INDEX('_pockets'!$AO:$AO,$S22)))</f>
        <v/>
      </c>
      <c r="L22" s="96">
        <f>IF($S22="","",IF(INDEX('_pockets'!$AC:$AC,$S22)="","",INDEX('_pockets'!$AC:$AC,$S22)))</f>
        <v/>
      </c>
      <c r="M22" s="95">
        <f>IF($R22="","",IF(INDEX('_list'!$L$2:$L$246,$R22)="","",INDEX('_list'!$L$2:$L$246,$R22)))</f>
        <v/>
      </c>
      <c r="N22" s="94">
        <f>IF($R22="","",IF(INDEX('_list'!$H$2:$H$246,$R22)="","",INDEX('_list'!$H$2:$H$246,$R22)))</f>
        <v/>
      </c>
      <c r="O22" s="91">
        <f>IF($R22="","",IF(INDEX('_list'!$I$2:$I$246,$R22)="","",INDEX('_list'!$I$2:$I$246,$R22)))</f>
        <v/>
      </c>
      <c r="R22">
        <f>IFERROR(MATCH(3,'_list'!$N$2:$N$246,0),"")</f>
        <v/>
      </c>
      <c r="S22">
        <f>IF($R22="","",INDEX('_list'!$C$2:$C$246,$R22))</f>
        <v/>
      </c>
    </row>
    <row r="23" ht="16" customHeight="1">
      <c r="B23" s="90">
        <f>IF($R23="","",4)</f>
        <v/>
      </c>
      <c r="C23" s="91">
        <f>IF($R23="","",IF(INDEX('_list'!$D$2:$D$246,$R23)="","",INDEX('_list'!$D$2:$D$246,$R23)))</f>
        <v/>
      </c>
      <c r="D23" s="91">
        <f>IF($R23="","",IF(INDEX('_list'!$E$2:$E$246,$R23)="","",INDEX('_list'!$E$2:$E$246,$R23)))</f>
        <v/>
      </c>
      <c r="E23" s="91">
        <f>IF($R23="","",IF(INDEX('_list'!$F$2:$F$246,$R23)="","",INDEX('_list'!$F$2:$F$246,$R23)))</f>
        <v/>
      </c>
      <c r="F23" s="92">
        <f>IF($R23="","",IF(INDEX('_list'!$G$2:$G$246,$R23)="","",INDEX('_list'!$G$2:$G$246,$R23)))</f>
        <v/>
      </c>
      <c r="G23" s="93">
        <f>IF($S23="","",IF(INDEX('_pockets'!$AH:$AH,$S23)="","",INDEX('_pockets'!$AH:$AH,$S23)))</f>
        <v/>
      </c>
      <c r="H23" s="93">
        <f>IF($S23="","",IF(INDEX('_pockets'!$AF:$AF,$S23)="","",INDEX('_pockets'!$AF:$AF,$S23)))</f>
        <v/>
      </c>
      <c r="I23" s="94">
        <f>IF(IF($S23="","",IF(INDEX('_pockets'!$AB:$AB,$S23)="","",INDEX('_pockets'!$AB:$AB,$S23)))="","",IF($S23="","",IF(INDEX('_pockets'!$AB:$AB,$S23)="","",INDEX('_pockets'!$AB:$AB,$S23)))*IF($U$18,100,1))</f>
        <v/>
      </c>
      <c r="J23" s="92">
        <f>IF($S23="","",IF(INDEX('_pockets'!$Z:$Z,$S23)="","",INDEX('_pockets'!$Z:$Z,$S23)))</f>
        <v/>
      </c>
      <c r="K23" s="95">
        <f>IF($S23="","",IF(INDEX('_pockets'!$AO:$AO,$S23)="","",INDEX('_pockets'!$AO:$AO,$S23)))</f>
        <v/>
      </c>
      <c r="L23" s="96">
        <f>IF($S23="","",IF(INDEX('_pockets'!$AC:$AC,$S23)="","",INDEX('_pockets'!$AC:$AC,$S23)))</f>
        <v/>
      </c>
      <c r="M23" s="95">
        <f>IF($R23="","",IF(INDEX('_list'!$L$2:$L$246,$R23)="","",INDEX('_list'!$L$2:$L$246,$R23)))</f>
        <v/>
      </c>
      <c r="N23" s="94">
        <f>IF($R23="","",IF(INDEX('_list'!$H$2:$H$246,$R23)="","",INDEX('_list'!$H$2:$H$246,$R23)))</f>
        <v/>
      </c>
      <c r="O23" s="91">
        <f>IF($R23="","",IF(INDEX('_list'!$I$2:$I$246,$R23)="","",INDEX('_list'!$I$2:$I$246,$R23)))</f>
        <v/>
      </c>
      <c r="R23">
        <f>IFERROR(MATCH(4,'_list'!$N$2:$N$246,0),"")</f>
        <v/>
      </c>
      <c r="S23">
        <f>IF($R23="","",INDEX('_list'!$C$2:$C$246,$R23))</f>
        <v/>
      </c>
    </row>
    <row r="24" ht="16" customHeight="1">
      <c r="B24" s="90">
        <f>IF($R24="","",5)</f>
        <v/>
      </c>
      <c r="C24" s="91">
        <f>IF($R24="","",IF(INDEX('_list'!$D$2:$D$246,$R24)="","",INDEX('_list'!$D$2:$D$246,$R24)))</f>
        <v/>
      </c>
      <c r="D24" s="91">
        <f>IF($R24="","",IF(INDEX('_list'!$E$2:$E$246,$R24)="","",INDEX('_list'!$E$2:$E$246,$R24)))</f>
        <v/>
      </c>
      <c r="E24" s="91">
        <f>IF($R24="","",IF(INDEX('_list'!$F$2:$F$246,$R24)="","",INDEX('_list'!$F$2:$F$246,$R24)))</f>
        <v/>
      </c>
      <c r="F24" s="92">
        <f>IF($R24="","",IF(INDEX('_list'!$G$2:$G$246,$R24)="","",INDEX('_list'!$G$2:$G$246,$R24)))</f>
        <v/>
      </c>
      <c r="G24" s="93">
        <f>IF($S24="","",IF(INDEX('_pockets'!$AH:$AH,$S24)="","",INDEX('_pockets'!$AH:$AH,$S24)))</f>
        <v/>
      </c>
      <c r="H24" s="93">
        <f>IF($S24="","",IF(INDEX('_pockets'!$AF:$AF,$S24)="","",INDEX('_pockets'!$AF:$AF,$S24)))</f>
        <v/>
      </c>
      <c r="I24" s="94">
        <f>IF(IF($S24="","",IF(INDEX('_pockets'!$AB:$AB,$S24)="","",INDEX('_pockets'!$AB:$AB,$S24)))="","",IF($S24="","",IF(INDEX('_pockets'!$AB:$AB,$S24)="","",INDEX('_pockets'!$AB:$AB,$S24)))*IF($U$18,100,1))</f>
        <v/>
      </c>
      <c r="J24" s="92">
        <f>IF($S24="","",IF(INDEX('_pockets'!$Z:$Z,$S24)="","",INDEX('_pockets'!$Z:$Z,$S24)))</f>
        <v/>
      </c>
      <c r="K24" s="95">
        <f>IF($S24="","",IF(INDEX('_pockets'!$AO:$AO,$S24)="","",INDEX('_pockets'!$AO:$AO,$S24)))</f>
        <v/>
      </c>
      <c r="L24" s="96">
        <f>IF($S24="","",IF(INDEX('_pockets'!$AC:$AC,$S24)="","",INDEX('_pockets'!$AC:$AC,$S24)))</f>
        <v/>
      </c>
      <c r="M24" s="95">
        <f>IF($R24="","",IF(INDEX('_list'!$L$2:$L$246,$R24)="","",INDEX('_list'!$L$2:$L$246,$R24)))</f>
        <v/>
      </c>
      <c r="N24" s="94">
        <f>IF($R24="","",IF(INDEX('_list'!$H$2:$H$246,$R24)="","",INDEX('_list'!$H$2:$H$246,$R24)))</f>
        <v/>
      </c>
      <c r="O24" s="91">
        <f>IF($R24="","",IF(INDEX('_list'!$I$2:$I$246,$R24)="","",INDEX('_list'!$I$2:$I$246,$R24)))</f>
        <v/>
      </c>
      <c r="R24">
        <f>IFERROR(MATCH(5,'_list'!$N$2:$N$246,0),"")</f>
        <v/>
      </c>
      <c r="S24">
        <f>IF($R24="","",INDEX('_list'!$C$2:$C$246,$R24))</f>
        <v/>
      </c>
    </row>
    <row r="25" ht="16" customHeight="1">
      <c r="B25" s="90">
        <f>IF($R25="","",6)</f>
        <v/>
      </c>
      <c r="C25" s="91">
        <f>IF($R25="","",IF(INDEX('_list'!$D$2:$D$246,$R25)="","",INDEX('_list'!$D$2:$D$246,$R25)))</f>
        <v/>
      </c>
      <c r="D25" s="91">
        <f>IF($R25="","",IF(INDEX('_list'!$E$2:$E$246,$R25)="","",INDEX('_list'!$E$2:$E$246,$R25)))</f>
        <v/>
      </c>
      <c r="E25" s="91">
        <f>IF($R25="","",IF(INDEX('_list'!$F$2:$F$246,$R25)="","",INDEX('_list'!$F$2:$F$246,$R25)))</f>
        <v/>
      </c>
      <c r="F25" s="92">
        <f>IF($R25="","",IF(INDEX('_list'!$G$2:$G$246,$R25)="","",INDEX('_list'!$G$2:$G$246,$R25)))</f>
        <v/>
      </c>
      <c r="G25" s="93">
        <f>IF($S25="","",IF(INDEX('_pockets'!$AH:$AH,$S25)="","",INDEX('_pockets'!$AH:$AH,$S25)))</f>
        <v/>
      </c>
      <c r="H25" s="93">
        <f>IF($S25="","",IF(INDEX('_pockets'!$AF:$AF,$S25)="","",INDEX('_pockets'!$AF:$AF,$S25)))</f>
        <v/>
      </c>
      <c r="I25" s="94">
        <f>IF(IF($S25="","",IF(INDEX('_pockets'!$AB:$AB,$S25)="","",INDEX('_pockets'!$AB:$AB,$S25)))="","",IF($S25="","",IF(INDEX('_pockets'!$AB:$AB,$S25)="","",INDEX('_pockets'!$AB:$AB,$S25)))*IF($U$18,100,1))</f>
        <v/>
      </c>
      <c r="J25" s="92">
        <f>IF($S25="","",IF(INDEX('_pockets'!$Z:$Z,$S25)="","",INDEX('_pockets'!$Z:$Z,$S25)))</f>
        <v/>
      </c>
      <c r="K25" s="95">
        <f>IF($S25="","",IF(INDEX('_pockets'!$AO:$AO,$S25)="","",INDEX('_pockets'!$AO:$AO,$S25)))</f>
        <v/>
      </c>
      <c r="L25" s="96">
        <f>IF($S25="","",IF(INDEX('_pockets'!$AC:$AC,$S25)="","",INDEX('_pockets'!$AC:$AC,$S25)))</f>
        <v/>
      </c>
      <c r="M25" s="95">
        <f>IF($R25="","",IF(INDEX('_list'!$L$2:$L$246,$R25)="","",INDEX('_list'!$L$2:$L$246,$R25)))</f>
        <v/>
      </c>
      <c r="N25" s="94">
        <f>IF($R25="","",IF(INDEX('_list'!$H$2:$H$246,$R25)="","",INDEX('_list'!$H$2:$H$246,$R25)))</f>
        <v/>
      </c>
      <c r="O25" s="91">
        <f>IF($R25="","",IF(INDEX('_list'!$I$2:$I$246,$R25)="","",INDEX('_list'!$I$2:$I$246,$R25)))</f>
        <v/>
      </c>
      <c r="R25">
        <f>IFERROR(MATCH(6,'_list'!$N$2:$N$246,0),"")</f>
        <v/>
      </c>
      <c r="S25">
        <f>IF($R25="","",INDEX('_list'!$C$2:$C$246,$R25))</f>
        <v/>
      </c>
    </row>
    <row r="26" ht="16" customHeight="1">
      <c r="B26" s="90">
        <f>IF($R26="","",7)</f>
        <v/>
      </c>
      <c r="C26" s="91">
        <f>IF($R26="","",IF(INDEX('_list'!$D$2:$D$246,$R26)="","",INDEX('_list'!$D$2:$D$246,$R26)))</f>
        <v/>
      </c>
      <c r="D26" s="91">
        <f>IF($R26="","",IF(INDEX('_list'!$E$2:$E$246,$R26)="","",INDEX('_list'!$E$2:$E$246,$R26)))</f>
        <v/>
      </c>
      <c r="E26" s="91">
        <f>IF($R26="","",IF(INDEX('_list'!$F$2:$F$246,$R26)="","",INDEX('_list'!$F$2:$F$246,$R26)))</f>
        <v/>
      </c>
      <c r="F26" s="92">
        <f>IF($R26="","",IF(INDEX('_list'!$G$2:$G$246,$R26)="","",INDEX('_list'!$G$2:$G$246,$R26)))</f>
        <v/>
      </c>
      <c r="G26" s="93">
        <f>IF($S26="","",IF(INDEX('_pockets'!$AH:$AH,$S26)="","",INDEX('_pockets'!$AH:$AH,$S26)))</f>
        <v/>
      </c>
      <c r="H26" s="93">
        <f>IF($S26="","",IF(INDEX('_pockets'!$AF:$AF,$S26)="","",INDEX('_pockets'!$AF:$AF,$S26)))</f>
        <v/>
      </c>
      <c r="I26" s="94">
        <f>IF(IF($S26="","",IF(INDEX('_pockets'!$AB:$AB,$S26)="","",INDEX('_pockets'!$AB:$AB,$S26)))="","",IF($S26="","",IF(INDEX('_pockets'!$AB:$AB,$S26)="","",INDEX('_pockets'!$AB:$AB,$S26)))*IF($U$18,100,1))</f>
        <v/>
      </c>
      <c r="J26" s="92">
        <f>IF($S26="","",IF(INDEX('_pockets'!$Z:$Z,$S26)="","",INDEX('_pockets'!$Z:$Z,$S26)))</f>
        <v/>
      </c>
      <c r="K26" s="95">
        <f>IF($S26="","",IF(INDEX('_pockets'!$AO:$AO,$S26)="","",INDEX('_pockets'!$AO:$AO,$S26)))</f>
        <v/>
      </c>
      <c r="L26" s="96">
        <f>IF($S26="","",IF(INDEX('_pockets'!$AC:$AC,$S26)="","",INDEX('_pockets'!$AC:$AC,$S26)))</f>
        <v/>
      </c>
      <c r="M26" s="95">
        <f>IF($R26="","",IF(INDEX('_list'!$L$2:$L$246,$R26)="","",INDEX('_list'!$L$2:$L$246,$R26)))</f>
        <v/>
      </c>
      <c r="N26" s="94">
        <f>IF($R26="","",IF(INDEX('_list'!$H$2:$H$246,$R26)="","",INDEX('_list'!$H$2:$H$246,$R26)))</f>
        <v/>
      </c>
      <c r="O26" s="91">
        <f>IF($R26="","",IF(INDEX('_list'!$I$2:$I$246,$R26)="","",INDEX('_list'!$I$2:$I$246,$R26)))</f>
        <v/>
      </c>
      <c r="R26">
        <f>IFERROR(MATCH(7,'_list'!$N$2:$N$246,0),"")</f>
        <v/>
      </c>
      <c r="S26">
        <f>IF($R26="","",INDEX('_list'!$C$2:$C$246,$R26))</f>
        <v/>
      </c>
    </row>
    <row r="27" ht="16" customHeight="1">
      <c r="B27" s="90">
        <f>IF($R27="","",8)</f>
        <v/>
      </c>
      <c r="C27" s="91">
        <f>IF($R27="","",IF(INDEX('_list'!$D$2:$D$246,$R27)="","",INDEX('_list'!$D$2:$D$246,$R27)))</f>
        <v/>
      </c>
      <c r="D27" s="91">
        <f>IF($R27="","",IF(INDEX('_list'!$E$2:$E$246,$R27)="","",INDEX('_list'!$E$2:$E$246,$R27)))</f>
        <v/>
      </c>
      <c r="E27" s="91">
        <f>IF($R27="","",IF(INDEX('_list'!$F$2:$F$246,$R27)="","",INDEX('_list'!$F$2:$F$246,$R27)))</f>
        <v/>
      </c>
      <c r="F27" s="92">
        <f>IF($R27="","",IF(INDEX('_list'!$G$2:$G$246,$R27)="","",INDEX('_list'!$G$2:$G$246,$R27)))</f>
        <v/>
      </c>
      <c r="G27" s="93">
        <f>IF($S27="","",IF(INDEX('_pockets'!$AH:$AH,$S27)="","",INDEX('_pockets'!$AH:$AH,$S27)))</f>
        <v/>
      </c>
      <c r="H27" s="93">
        <f>IF($S27="","",IF(INDEX('_pockets'!$AF:$AF,$S27)="","",INDEX('_pockets'!$AF:$AF,$S27)))</f>
        <v/>
      </c>
      <c r="I27" s="94">
        <f>IF(IF($S27="","",IF(INDEX('_pockets'!$AB:$AB,$S27)="","",INDEX('_pockets'!$AB:$AB,$S27)))="","",IF($S27="","",IF(INDEX('_pockets'!$AB:$AB,$S27)="","",INDEX('_pockets'!$AB:$AB,$S27)))*IF($U$18,100,1))</f>
        <v/>
      </c>
      <c r="J27" s="92">
        <f>IF($S27="","",IF(INDEX('_pockets'!$Z:$Z,$S27)="","",INDEX('_pockets'!$Z:$Z,$S27)))</f>
        <v/>
      </c>
      <c r="K27" s="95">
        <f>IF($S27="","",IF(INDEX('_pockets'!$AO:$AO,$S27)="","",INDEX('_pockets'!$AO:$AO,$S27)))</f>
        <v/>
      </c>
      <c r="L27" s="96">
        <f>IF($S27="","",IF(INDEX('_pockets'!$AC:$AC,$S27)="","",INDEX('_pockets'!$AC:$AC,$S27)))</f>
        <v/>
      </c>
      <c r="M27" s="95">
        <f>IF($R27="","",IF(INDEX('_list'!$L$2:$L$246,$R27)="","",INDEX('_list'!$L$2:$L$246,$R27)))</f>
        <v/>
      </c>
      <c r="N27" s="94">
        <f>IF($R27="","",IF(INDEX('_list'!$H$2:$H$246,$R27)="","",INDEX('_list'!$H$2:$H$246,$R27)))</f>
        <v/>
      </c>
      <c r="O27" s="91">
        <f>IF($R27="","",IF(INDEX('_list'!$I$2:$I$246,$R27)="","",INDEX('_list'!$I$2:$I$246,$R27)))</f>
        <v/>
      </c>
      <c r="R27">
        <f>IFERROR(MATCH(8,'_list'!$N$2:$N$246,0),"")</f>
        <v/>
      </c>
      <c r="S27">
        <f>IF($R27="","",INDEX('_list'!$C$2:$C$246,$R27))</f>
        <v/>
      </c>
    </row>
    <row r="28" ht="16" customHeight="1">
      <c r="B28" s="90">
        <f>IF($R28="","",9)</f>
        <v/>
      </c>
      <c r="C28" s="91">
        <f>IF($R28="","",IF(INDEX('_list'!$D$2:$D$246,$R28)="","",INDEX('_list'!$D$2:$D$246,$R28)))</f>
        <v/>
      </c>
      <c r="D28" s="91">
        <f>IF($R28="","",IF(INDEX('_list'!$E$2:$E$246,$R28)="","",INDEX('_list'!$E$2:$E$246,$R28)))</f>
        <v/>
      </c>
      <c r="E28" s="91">
        <f>IF($R28="","",IF(INDEX('_list'!$F$2:$F$246,$R28)="","",INDEX('_list'!$F$2:$F$246,$R28)))</f>
        <v/>
      </c>
      <c r="F28" s="92">
        <f>IF($R28="","",IF(INDEX('_list'!$G$2:$G$246,$R28)="","",INDEX('_list'!$G$2:$G$246,$R28)))</f>
        <v/>
      </c>
      <c r="G28" s="93">
        <f>IF($S28="","",IF(INDEX('_pockets'!$AH:$AH,$S28)="","",INDEX('_pockets'!$AH:$AH,$S28)))</f>
        <v/>
      </c>
      <c r="H28" s="93">
        <f>IF($S28="","",IF(INDEX('_pockets'!$AF:$AF,$S28)="","",INDEX('_pockets'!$AF:$AF,$S28)))</f>
        <v/>
      </c>
      <c r="I28" s="94">
        <f>IF(IF($S28="","",IF(INDEX('_pockets'!$AB:$AB,$S28)="","",INDEX('_pockets'!$AB:$AB,$S28)))="","",IF($S28="","",IF(INDEX('_pockets'!$AB:$AB,$S28)="","",INDEX('_pockets'!$AB:$AB,$S28)))*IF($U$18,100,1))</f>
        <v/>
      </c>
      <c r="J28" s="92">
        <f>IF($S28="","",IF(INDEX('_pockets'!$Z:$Z,$S28)="","",INDEX('_pockets'!$Z:$Z,$S28)))</f>
        <v/>
      </c>
      <c r="K28" s="95">
        <f>IF($S28="","",IF(INDEX('_pockets'!$AO:$AO,$S28)="","",INDEX('_pockets'!$AO:$AO,$S28)))</f>
        <v/>
      </c>
      <c r="L28" s="96">
        <f>IF($S28="","",IF(INDEX('_pockets'!$AC:$AC,$S28)="","",INDEX('_pockets'!$AC:$AC,$S28)))</f>
        <v/>
      </c>
      <c r="M28" s="95">
        <f>IF($R28="","",IF(INDEX('_list'!$L$2:$L$246,$R28)="","",INDEX('_list'!$L$2:$L$246,$R28)))</f>
        <v/>
      </c>
      <c r="N28" s="94">
        <f>IF($R28="","",IF(INDEX('_list'!$H$2:$H$246,$R28)="","",INDEX('_list'!$H$2:$H$246,$R28)))</f>
        <v/>
      </c>
      <c r="O28" s="91">
        <f>IF($R28="","",IF(INDEX('_list'!$I$2:$I$246,$R28)="","",INDEX('_list'!$I$2:$I$246,$R28)))</f>
        <v/>
      </c>
      <c r="R28">
        <f>IFERROR(MATCH(9,'_list'!$N$2:$N$246,0),"")</f>
        <v/>
      </c>
      <c r="S28">
        <f>IF($R28="","",INDEX('_list'!$C$2:$C$246,$R28))</f>
        <v/>
      </c>
    </row>
    <row r="29" ht="16" customHeight="1">
      <c r="B29" s="90">
        <f>IF($R29="","",10)</f>
        <v/>
      </c>
      <c r="C29" s="91">
        <f>IF($R29="","",IF(INDEX('_list'!$D$2:$D$246,$R29)="","",INDEX('_list'!$D$2:$D$246,$R29)))</f>
        <v/>
      </c>
      <c r="D29" s="91">
        <f>IF($R29="","",IF(INDEX('_list'!$E$2:$E$246,$R29)="","",INDEX('_list'!$E$2:$E$246,$R29)))</f>
        <v/>
      </c>
      <c r="E29" s="91">
        <f>IF($R29="","",IF(INDEX('_list'!$F$2:$F$246,$R29)="","",INDEX('_list'!$F$2:$F$246,$R29)))</f>
        <v/>
      </c>
      <c r="F29" s="92">
        <f>IF($R29="","",IF(INDEX('_list'!$G$2:$G$246,$R29)="","",INDEX('_list'!$G$2:$G$246,$R29)))</f>
        <v/>
      </c>
      <c r="G29" s="93">
        <f>IF($S29="","",IF(INDEX('_pockets'!$AH:$AH,$S29)="","",INDEX('_pockets'!$AH:$AH,$S29)))</f>
        <v/>
      </c>
      <c r="H29" s="93">
        <f>IF($S29="","",IF(INDEX('_pockets'!$AF:$AF,$S29)="","",INDEX('_pockets'!$AF:$AF,$S29)))</f>
        <v/>
      </c>
      <c r="I29" s="94">
        <f>IF(IF($S29="","",IF(INDEX('_pockets'!$AB:$AB,$S29)="","",INDEX('_pockets'!$AB:$AB,$S29)))="","",IF($S29="","",IF(INDEX('_pockets'!$AB:$AB,$S29)="","",INDEX('_pockets'!$AB:$AB,$S29)))*IF($U$18,100,1))</f>
        <v/>
      </c>
      <c r="J29" s="92">
        <f>IF($S29="","",IF(INDEX('_pockets'!$Z:$Z,$S29)="","",INDEX('_pockets'!$Z:$Z,$S29)))</f>
        <v/>
      </c>
      <c r="K29" s="95">
        <f>IF($S29="","",IF(INDEX('_pockets'!$AO:$AO,$S29)="","",INDEX('_pockets'!$AO:$AO,$S29)))</f>
        <v/>
      </c>
      <c r="L29" s="96">
        <f>IF($S29="","",IF(INDEX('_pockets'!$AC:$AC,$S29)="","",INDEX('_pockets'!$AC:$AC,$S29)))</f>
        <v/>
      </c>
      <c r="M29" s="95">
        <f>IF($R29="","",IF(INDEX('_list'!$L$2:$L$246,$R29)="","",INDEX('_list'!$L$2:$L$246,$R29)))</f>
        <v/>
      </c>
      <c r="N29" s="94">
        <f>IF($R29="","",IF(INDEX('_list'!$H$2:$H$246,$R29)="","",INDEX('_list'!$H$2:$H$246,$R29)))</f>
        <v/>
      </c>
      <c r="O29" s="91">
        <f>IF($R29="","",IF(INDEX('_list'!$I$2:$I$246,$R29)="","",INDEX('_list'!$I$2:$I$246,$R29)))</f>
        <v/>
      </c>
      <c r="R29">
        <f>IFERROR(MATCH(10,'_list'!$N$2:$N$246,0),"")</f>
        <v/>
      </c>
      <c r="S29">
        <f>IF($R29="","",INDEX('_list'!$C$2:$C$246,$R29))</f>
        <v/>
      </c>
    </row>
    <row r="30" ht="16" customHeight="1">
      <c r="B30" s="90">
        <f>IF($R30="","",11)</f>
        <v/>
      </c>
      <c r="C30" s="91">
        <f>IF($R30="","",IF(INDEX('_list'!$D$2:$D$246,$R30)="","",INDEX('_list'!$D$2:$D$246,$R30)))</f>
        <v/>
      </c>
      <c r="D30" s="91">
        <f>IF($R30="","",IF(INDEX('_list'!$E$2:$E$246,$R30)="","",INDEX('_list'!$E$2:$E$246,$R30)))</f>
        <v/>
      </c>
      <c r="E30" s="91">
        <f>IF($R30="","",IF(INDEX('_list'!$F$2:$F$246,$R30)="","",INDEX('_list'!$F$2:$F$246,$R30)))</f>
        <v/>
      </c>
      <c r="F30" s="92">
        <f>IF($R30="","",IF(INDEX('_list'!$G$2:$G$246,$R30)="","",INDEX('_list'!$G$2:$G$246,$R30)))</f>
        <v/>
      </c>
      <c r="G30" s="93">
        <f>IF($S30="","",IF(INDEX('_pockets'!$AH:$AH,$S30)="","",INDEX('_pockets'!$AH:$AH,$S30)))</f>
        <v/>
      </c>
      <c r="H30" s="93">
        <f>IF($S30="","",IF(INDEX('_pockets'!$AF:$AF,$S30)="","",INDEX('_pockets'!$AF:$AF,$S30)))</f>
        <v/>
      </c>
      <c r="I30" s="94">
        <f>IF(IF($S30="","",IF(INDEX('_pockets'!$AB:$AB,$S30)="","",INDEX('_pockets'!$AB:$AB,$S30)))="","",IF($S30="","",IF(INDEX('_pockets'!$AB:$AB,$S30)="","",INDEX('_pockets'!$AB:$AB,$S30)))*IF($U$18,100,1))</f>
        <v/>
      </c>
      <c r="J30" s="92">
        <f>IF($S30="","",IF(INDEX('_pockets'!$Z:$Z,$S30)="","",INDEX('_pockets'!$Z:$Z,$S30)))</f>
        <v/>
      </c>
      <c r="K30" s="95">
        <f>IF($S30="","",IF(INDEX('_pockets'!$AO:$AO,$S30)="","",INDEX('_pockets'!$AO:$AO,$S30)))</f>
        <v/>
      </c>
      <c r="L30" s="96">
        <f>IF($S30="","",IF(INDEX('_pockets'!$AC:$AC,$S30)="","",INDEX('_pockets'!$AC:$AC,$S30)))</f>
        <v/>
      </c>
      <c r="M30" s="95">
        <f>IF($R30="","",IF(INDEX('_list'!$L$2:$L$246,$R30)="","",INDEX('_list'!$L$2:$L$246,$R30)))</f>
        <v/>
      </c>
      <c r="N30" s="94">
        <f>IF($R30="","",IF(INDEX('_list'!$H$2:$H$246,$R30)="","",INDEX('_list'!$H$2:$H$246,$R30)))</f>
        <v/>
      </c>
      <c r="O30" s="91">
        <f>IF($R30="","",IF(INDEX('_list'!$I$2:$I$246,$R30)="","",INDEX('_list'!$I$2:$I$246,$R30)))</f>
        <v/>
      </c>
      <c r="R30">
        <f>IFERROR(MATCH(11,'_list'!$N$2:$N$246,0),"")</f>
        <v/>
      </c>
      <c r="S30">
        <f>IF($R30="","",INDEX('_list'!$C$2:$C$246,$R30))</f>
        <v/>
      </c>
    </row>
    <row r="31" ht="16" customHeight="1">
      <c r="B31" s="90">
        <f>IF($R31="","",12)</f>
        <v/>
      </c>
      <c r="C31" s="91">
        <f>IF($R31="","",IF(INDEX('_list'!$D$2:$D$246,$R31)="","",INDEX('_list'!$D$2:$D$246,$R31)))</f>
        <v/>
      </c>
      <c r="D31" s="91">
        <f>IF($R31="","",IF(INDEX('_list'!$E$2:$E$246,$R31)="","",INDEX('_list'!$E$2:$E$246,$R31)))</f>
        <v/>
      </c>
      <c r="E31" s="91">
        <f>IF($R31="","",IF(INDEX('_list'!$F$2:$F$246,$R31)="","",INDEX('_list'!$F$2:$F$246,$R31)))</f>
        <v/>
      </c>
      <c r="F31" s="92">
        <f>IF($R31="","",IF(INDEX('_list'!$G$2:$G$246,$R31)="","",INDEX('_list'!$G$2:$G$246,$R31)))</f>
        <v/>
      </c>
      <c r="G31" s="93">
        <f>IF($S31="","",IF(INDEX('_pockets'!$AH:$AH,$S31)="","",INDEX('_pockets'!$AH:$AH,$S31)))</f>
        <v/>
      </c>
      <c r="H31" s="93">
        <f>IF($S31="","",IF(INDEX('_pockets'!$AF:$AF,$S31)="","",INDEX('_pockets'!$AF:$AF,$S31)))</f>
        <v/>
      </c>
      <c r="I31" s="94">
        <f>IF(IF($S31="","",IF(INDEX('_pockets'!$AB:$AB,$S31)="","",INDEX('_pockets'!$AB:$AB,$S31)))="","",IF($S31="","",IF(INDEX('_pockets'!$AB:$AB,$S31)="","",INDEX('_pockets'!$AB:$AB,$S31)))*IF($U$18,100,1))</f>
        <v/>
      </c>
      <c r="J31" s="92">
        <f>IF($S31="","",IF(INDEX('_pockets'!$Z:$Z,$S31)="","",INDEX('_pockets'!$Z:$Z,$S31)))</f>
        <v/>
      </c>
      <c r="K31" s="95">
        <f>IF($S31="","",IF(INDEX('_pockets'!$AO:$AO,$S31)="","",INDEX('_pockets'!$AO:$AO,$S31)))</f>
        <v/>
      </c>
      <c r="L31" s="96">
        <f>IF($S31="","",IF(INDEX('_pockets'!$AC:$AC,$S31)="","",INDEX('_pockets'!$AC:$AC,$S31)))</f>
        <v/>
      </c>
      <c r="M31" s="95">
        <f>IF($R31="","",IF(INDEX('_list'!$L$2:$L$246,$R31)="","",INDEX('_list'!$L$2:$L$246,$R31)))</f>
        <v/>
      </c>
      <c r="N31" s="94">
        <f>IF($R31="","",IF(INDEX('_list'!$H$2:$H$246,$R31)="","",INDEX('_list'!$H$2:$H$246,$R31)))</f>
        <v/>
      </c>
      <c r="O31" s="91">
        <f>IF($R31="","",IF(INDEX('_list'!$I$2:$I$246,$R31)="","",INDEX('_list'!$I$2:$I$246,$R31)))</f>
        <v/>
      </c>
      <c r="R31">
        <f>IFERROR(MATCH(12,'_list'!$N$2:$N$246,0),"")</f>
        <v/>
      </c>
      <c r="S31">
        <f>IF($R31="","",INDEX('_list'!$C$2:$C$246,$R31))</f>
        <v/>
      </c>
    </row>
    <row r="32" ht="16" customHeight="1">
      <c r="B32" s="90">
        <f>IF($R32="","",13)</f>
        <v/>
      </c>
      <c r="C32" s="91">
        <f>IF($R32="","",IF(INDEX('_list'!$D$2:$D$246,$R32)="","",INDEX('_list'!$D$2:$D$246,$R32)))</f>
        <v/>
      </c>
      <c r="D32" s="91">
        <f>IF($R32="","",IF(INDEX('_list'!$E$2:$E$246,$R32)="","",INDEX('_list'!$E$2:$E$246,$R32)))</f>
        <v/>
      </c>
      <c r="E32" s="91">
        <f>IF($R32="","",IF(INDEX('_list'!$F$2:$F$246,$R32)="","",INDEX('_list'!$F$2:$F$246,$R32)))</f>
        <v/>
      </c>
      <c r="F32" s="92">
        <f>IF($R32="","",IF(INDEX('_list'!$G$2:$G$246,$R32)="","",INDEX('_list'!$G$2:$G$246,$R32)))</f>
        <v/>
      </c>
      <c r="G32" s="93">
        <f>IF($S32="","",IF(INDEX('_pockets'!$AH:$AH,$S32)="","",INDEX('_pockets'!$AH:$AH,$S32)))</f>
        <v/>
      </c>
      <c r="H32" s="93">
        <f>IF($S32="","",IF(INDEX('_pockets'!$AF:$AF,$S32)="","",INDEX('_pockets'!$AF:$AF,$S32)))</f>
        <v/>
      </c>
      <c r="I32" s="94">
        <f>IF(IF($S32="","",IF(INDEX('_pockets'!$AB:$AB,$S32)="","",INDEX('_pockets'!$AB:$AB,$S32)))="","",IF($S32="","",IF(INDEX('_pockets'!$AB:$AB,$S32)="","",INDEX('_pockets'!$AB:$AB,$S32)))*IF($U$18,100,1))</f>
        <v/>
      </c>
      <c r="J32" s="92">
        <f>IF($S32="","",IF(INDEX('_pockets'!$Z:$Z,$S32)="","",INDEX('_pockets'!$Z:$Z,$S32)))</f>
        <v/>
      </c>
      <c r="K32" s="95">
        <f>IF($S32="","",IF(INDEX('_pockets'!$AO:$AO,$S32)="","",INDEX('_pockets'!$AO:$AO,$S32)))</f>
        <v/>
      </c>
      <c r="L32" s="96">
        <f>IF($S32="","",IF(INDEX('_pockets'!$AC:$AC,$S32)="","",INDEX('_pockets'!$AC:$AC,$S32)))</f>
        <v/>
      </c>
      <c r="M32" s="95">
        <f>IF($R32="","",IF(INDEX('_list'!$L$2:$L$246,$R32)="","",INDEX('_list'!$L$2:$L$246,$R32)))</f>
        <v/>
      </c>
      <c r="N32" s="94">
        <f>IF($R32="","",IF(INDEX('_list'!$H$2:$H$246,$R32)="","",INDEX('_list'!$H$2:$H$246,$R32)))</f>
        <v/>
      </c>
      <c r="O32" s="91">
        <f>IF($R32="","",IF(INDEX('_list'!$I$2:$I$246,$R32)="","",INDEX('_list'!$I$2:$I$246,$R32)))</f>
        <v/>
      </c>
      <c r="R32">
        <f>IFERROR(MATCH(13,'_list'!$N$2:$N$246,0),"")</f>
        <v/>
      </c>
      <c r="S32">
        <f>IF($R32="","",INDEX('_list'!$C$2:$C$246,$R32))</f>
        <v/>
      </c>
    </row>
    <row r="33" ht="16" customHeight="1">
      <c r="B33" s="90">
        <f>IF($R33="","",14)</f>
        <v/>
      </c>
      <c r="C33" s="91">
        <f>IF($R33="","",IF(INDEX('_list'!$D$2:$D$246,$R33)="","",INDEX('_list'!$D$2:$D$246,$R33)))</f>
        <v/>
      </c>
      <c r="D33" s="91">
        <f>IF($R33="","",IF(INDEX('_list'!$E$2:$E$246,$R33)="","",INDEX('_list'!$E$2:$E$246,$R33)))</f>
        <v/>
      </c>
      <c r="E33" s="91">
        <f>IF($R33="","",IF(INDEX('_list'!$F$2:$F$246,$R33)="","",INDEX('_list'!$F$2:$F$246,$R33)))</f>
        <v/>
      </c>
      <c r="F33" s="92">
        <f>IF($R33="","",IF(INDEX('_list'!$G$2:$G$246,$R33)="","",INDEX('_list'!$G$2:$G$246,$R33)))</f>
        <v/>
      </c>
      <c r="G33" s="93">
        <f>IF($S33="","",IF(INDEX('_pockets'!$AH:$AH,$S33)="","",INDEX('_pockets'!$AH:$AH,$S33)))</f>
        <v/>
      </c>
      <c r="H33" s="93">
        <f>IF($S33="","",IF(INDEX('_pockets'!$AF:$AF,$S33)="","",INDEX('_pockets'!$AF:$AF,$S33)))</f>
        <v/>
      </c>
      <c r="I33" s="94">
        <f>IF(IF($S33="","",IF(INDEX('_pockets'!$AB:$AB,$S33)="","",INDEX('_pockets'!$AB:$AB,$S33)))="","",IF($S33="","",IF(INDEX('_pockets'!$AB:$AB,$S33)="","",INDEX('_pockets'!$AB:$AB,$S33)))*IF($U$18,100,1))</f>
        <v/>
      </c>
      <c r="J33" s="92">
        <f>IF($S33="","",IF(INDEX('_pockets'!$Z:$Z,$S33)="","",INDEX('_pockets'!$Z:$Z,$S33)))</f>
        <v/>
      </c>
      <c r="K33" s="95">
        <f>IF($S33="","",IF(INDEX('_pockets'!$AO:$AO,$S33)="","",INDEX('_pockets'!$AO:$AO,$S33)))</f>
        <v/>
      </c>
      <c r="L33" s="96">
        <f>IF($S33="","",IF(INDEX('_pockets'!$AC:$AC,$S33)="","",INDEX('_pockets'!$AC:$AC,$S33)))</f>
        <v/>
      </c>
      <c r="M33" s="95">
        <f>IF($R33="","",IF(INDEX('_list'!$L$2:$L$246,$R33)="","",INDEX('_list'!$L$2:$L$246,$R33)))</f>
        <v/>
      </c>
      <c r="N33" s="94">
        <f>IF($R33="","",IF(INDEX('_list'!$H$2:$H$246,$R33)="","",INDEX('_list'!$H$2:$H$246,$R33)))</f>
        <v/>
      </c>
      <c r="O33" s="91">
        <f>IF($R33="","",IF(INDEX('_list'!$I$2:$I$246,$R33)="","",INDEX('_list'!$I$2:$I$246,$R33)))</f>
        <v/>
      </c>
      <c r="R33">
        <f>IFERROR(MATCH(14,'_list'!$N$2:$N$246,0),"")</f>
        <v/>
      </c>
      <c r="S33">
        <f>IF($R33="","",INDEX('_list'!$C$2:$C$246,$R33))</f>
        <v/>
      </c>
    </row>
    <row r="34" ht="16" customHeight="1">
      <c r="B34" s="90">
        <f>IF($R34="","",15)</f>
        <v/>
      </c>
      <c r="C34" s="91">
        <f>IF($R34="","",IF(INDEX('_list'!$D$2:$D$246,$R34)="","",INDEX('_list'!$D$2:$D$246,$R34)))</f>
        <v/>
      </c>
      <c r="D34" s="91">
        <f>IF($R34="","",IF(INDEX('_list'!$E$2:$E$246,$R34)="","",INDEX('_list'!$E$2:$E$246,$R34)))</f>
        <v/>
      </c>
      <c r="E34" s="91">
        <f>IF($R34="","",IF(INDEX('_list'!$F$2:$F$246,$R34)="","",INDEX('_list'!$F$2:$F$246,$R34)))</f>
        <v/>
      </c>
      <c r="F34" s="92">
        <f>IF($R34="","",IF(INDEX('_list'!$G$2:$G$246,$R34)="","",INDEX('_list'!$G$2:$G$246,$R34)))</f>
        <v/>
      </c>
      <c r="G34" s="93">
        <f>IF($S34="","",IF(INDEX('_pockets'!$AH:$AH,$S34)="","",INDEX('_pockets'!$AH:$AH,$S34)))</f>
        <v/>
      </c>
      <c r="H34" s="93">
        <f>IF($S34="","",IF(INDEX('_pockets'!$AF:$AF,$S34)="","",INDEX('_pockets'!$AF:$AF,$S34)))</f>
        <v/>
      </c>
      <c r="I34" s="94">
        <f>IF(IF($S34="","",IF(INDEX('_pockets'!$AB:$AB,$S34)="","",INDEX('_pockets'!$AB:$AB,$S34)))="","",IF($S34="","",IF(INDEX('_pockets'!$AB:$AB,$S34)="","",INDEX('_pockets'!$AB:$AB,$S34)))*IF($U$18,100,1))</f>
        <v/>
      </c>
      <c r="J34" s="92">
        <f>IF($S34="","",IF(INDEX('_pockets'!$Z:$Z,$S34)="","",INDEX('_pockets'!$Z:$Z,$S34)))</f>
        <v/>
      </c>
      <c r="K34" s="95">
        <f>IF($S34="","",IF(INDEX('_pockets'!$AO:$AO,$S34)="","",INDEX('_pockets'!$AO:$AO,$S34)))</f>
        <v/>
      </c>
      <c r="L34" s="96">
        <f>IF($S34="","",IF(INDEX('_pockets'!$AC:$AC,$S34)="","",INDEX('_pockets'!$AC:$AC,$S34)))</f>
        <v/>
      </c>
      <c r="M34" s="95">
        <f>IF($R34="","",IF(INDEX('_list'!$L$2:$L$246,$R34)="","",INDEX('_list'!$L$2:$L$246,$R34)))</f>
        <v/>
      </c>
      <c r="N34" s="94">
        <f>IF($R34="","",IF(INDEX('_list'!$H$2:$H$246,$R34)="","",INDEX('_list'!$H$2:$H$246,$R34)))</f>
        <v/>
      </c>
      <c r="O34" s="91">
        <f>IF($R34="","",IF(INDEX('_list'!$I$2:$I$246,$R34)="","",INDEX('_list'!$I$2:$I$246,$R34)))</f>
        <v/>
      </c>
      <c r="R34">
        <f>IFERROR(MATCH(15,'_list'!$N$2:$N$246,0),"")</f>
        <v/>
      </c>
      <c r="S34">
        <f>IF($R34="","",INDEX('_list'!$C$2:$C$246,$R34))</f>
        <v/>
      </c>
    </row>
    <row r="35" ht="16" customHeight="1">
      <c r="B35" s="90">
        <f>IF($R35="","",16)</f>
        <v/>
      </c>
      <c r="C35" s="91">
        <f>IF($R35="","",IF(INDEX('_list'!$D$2:$D$246,$R35)="","",INDEX('_list'!$D$2:$D$246,$R35)))</f>
        <v/>
      </c>
      <c r="D35" s="91">
        <f>IF($R35="","",IF(INDEX('_list'!$E$2:$E$246,$R35)="","",INDEX('_list'!$E$2:$E$246,$R35)))</f>
        <v/>
      </c>
      <c r="E35" s="91">
        <f>IF($R35="","",IF(INDEX('_list'!$F$2:$F$246,$R35)="","",INDEX('_list'!$F$2:$F$246,$R35)))</f>
        <v/>
      </c>
      <c r="F35" s="92">
        <f>IF($R35="","",IF(INDEX('_list'!$G$2:$G$246,$R35)="","",INDEX('_list'!$G$2:$G$246,$R35)))</f>
        <v/>
      </c>
      <c r="G35" s="93">
        <f>IF($S35="","",IF(INDEX('_pockets'!$AH:$AH,$S35)="","",INDEX('_pockets'!$AH:$AH,$S35)))</f>
        <v/>
      </c>
      <c r="H35" s="93">
        <f>IF($S35="","",IF(INDEX('_pockets'!$AF:$AF,$S35)="","",INDEX('_pockets'!$AF:$AF,$S35)))</f>
        <v/>
      </c>
      <c r="I35" s="94">
        <f>IF(IF($S35="","",IF(INDEX('_pockets'!$AB:$AB,$S35)="","",INDEX('_pockets'!$AB:$AB,$S35)))="","",IF($S35="","",IF(INDEX('_pockets'!$AB:$AB,$S35)="","",INDEX('_pockets'!$AB:$AB,$S35)))*IF($U$18,100,1))</f>
        <v/>
      </c>
      <c r="J35" s="92">
        <f>IF($S35="","",IF(INDEX('_pockets'!$Z:$Z,$S35)="","",INDEX('_pockets'!$Z:$Z,$S35)))</f>
        <v/>
      </c>
      <c r="K35" s="95">
        <f>IF($S35="","",IF(INDEX('_pockets'!$AO:$AO,$S35)="","",INDEX('_pockets'!$AO:$AO,$S35)))</f>
        <v/>
      </c>
      <c r="L35" s="96">
        <f>IF($S35="","",IF(INDEX('_pockets'!$AC:$AC,$S35)="","",INDEX('_pockets'!$AC:$AC,$S35)))</f>
        <v/>
      </c>
      <c r="M35" s="95">
        <f>IF($R35="","",IF(INDEX('_list'!$L$2:$L$246,$R35)="","",INDEX('_list'!$L$2:$L$246,$R35)))</f>
        <v/>
      </c>
      <c r="N35" s="94">
        <f>IF($R35="","",IF(INDEX('_list'!$H$2:$H$246,$R35)="","",INDEX('_list'!$H$2:$H$246,$R35)))</f>
        <v/>
      </c>
      <c r="O35" s="91">
        <f>IF($R35="","",IF(INDEX('_list'!$I$2:$I$246,$R35)="","",INDEX('_list'!$I$2:$I$246,$R35)))</f>
        <v/>
      </c>
      <c r="R35">
        <f>IFERROR(MATCH(16,'_list'!$N$2:$N$246,0),"")</f>
        <v/>
      </c>
      <c r="S35">
        <f>IF($R35="","",INDEX('_list'!$C$2:$C$246,$R35))</f>
        <v/>
      </c>
    </row>
    <row r="36" ht="16" customHeight="1">
      <c r="B36" s="90">
        <f>IF($R36="","",17)</f>
        <v/>
      </c>
      <c r="C36" s="91">
        <f>IF($R36="","",IF(INDEX('_list'!$D$2:$D$246,$R36)="","",INDEX('_list'!$D$2:$D$246,$R36)))</f>
        <v/>
      </c>
      <c r="D36" s="91">
        <f>IF($R36="","",IF(INDEX('_list'!$E$2:$E$246,$R36)="","",INDEX('_list'!$E$2:$E$246,$R36)))</f>
        <v/>
      </c>
      <c r="E36" s="91">
        <f>IF($R36="","",IF(INDEX('_list'!$F$2:$F$246,$R36)="","",INDEX('_list'!$F$2:$F$246,$R36)))</f>
        <v/>
      </c>
      <c r="F36" s="92">
        <f>IF($R36="","",IF(INDEX('_list'!$G$2:$G$246,$R36)="","",INDEX('_list'!$G$2:$G$246,$R36)))</f>
        <v/>
      </c>
      <c r="G36" s="93">
        <f>IF($S36="","",IF(INDEX('_pockets'!$AH:$AH,$S36)="","",INDEX('_pockets'!$AH:$AH,$S36)))</f>
        <v/>
      </c>
      <c r="H36" s="93">
        <f>IF($S36="","",IF(INDEX('_pockets'!$AF:$AF,$S36)="","",INDEX('_pockets'!$AF:$AF,$S36)))</f>
        <v/>
      </c>
      <c r="I36" s="94">
        <f>IF(IF($S36="","",IF(INDEX('_pockets'!$AB:$AB,$S36)="","",INDEX('_pockets'!$AB:$AB,$S36)))="","",IF($S36="","",IF(INDEX('_pockets'!$AB:$AB,$S36)="","",INDEX('_pockets'!$AB:$AB,$S36)))*IF($U$18,100,1))</f>
        <v/>
      </c>
      <c r="J36" s="92">
        <f>IF($S36="","",IF(INDEX('_pockets'!$Z:$Z,$S36)="","",INDEX('_pockets'!$Z:$Z,$S36)))</f>
        <v/>
      </c>
      <c r="K36" s="95">
        <f>IF($S36="","",IF(INDEX('_pockets'!$AO:$AO,$S36)="","",INDEX('_pockets'!$AO:$AO,$S36)))</f>
        <v/>
      </c>
      <c r="L36" s="96">
        <f>IF($S36="","",IF(INDEX('_pockets'!$AC:$AC,$S36)="","",INDEX('_pockets'!$AC:$AC,$S36)))</f>
        <v/>
      </c>
      <c r="M36" s="95">
        <f>IF($R36="","",IF(INDEX('_list'!$L$2:$L$246,$R36)="","",INDEX('_list'!$L$2:$L$246,$R36)))</f>
        <v/>
      </c>
      <c r="N36" s="94">
        <f>IF($R36="","",IF(INDEX('_list'!$H$2:$H$246,$R36)="","",INDEX('_list'!$H$2:$H$246,$R36)))</f>
        <v/>
      </c>
      <c r="O36" s="91">
        <f>IF($R36="","",IF(INDEX('_list'!$I$2:$I$246,$R36)="","",INDEX('_list'!$I$2:$I$246,$R36)))</f>
        <v/>
      </c>
      <c r="R36">
        <f>IFERROR(MATCH(17,'_list'!$N$2:$N$246,0),"")</f>
        <v/>
      </c>
      <c r="S36">
        <f>IF($R36="","",INDEX('_list'!$C$2:$C$246,$R36))</f>
        <v/>
      </c>
    </row>
    <row r="37" ht="16" customHeight="1">
      <c r="B37" s="90">
        <f>IF($R37="","",18)</f>
        <v/>
      </c>
      <c r="C37" s="91">
        <f>IF($R37="","",IF(INDEX('_list'!$D$2:$D$246,$R37)="","",INDEX('_list'!$D$2:$D$246,$R37)))</f>
        <v/>
      </c>
      <c r="D37" s="91">
        <f>IF($R37="","",IF(INDEX('_list'!$E$2:$E$246,$R37)="","",INDEX('_list'!$E$2:$E$246,$R37)))</f>
        <v/>
      </c>
      <c r="E37" s="91">
        <f>IF($R37="","",IF(INDEX('_list'!$F$2:$F$246,$R37)="","",INDEX('_list'!$F$2:$F$246,$R37)))</f>
        <v/>
      </c>
      <c r="F37" s="92">
        <f>IF($R37="","",IF(INDEX('_list'!$G$2:$G$246,$R37)="","",INDEX('_list'!$G$2:$G$246,$R37)))</f>
        <v/>
      </c>
      <c r="G37" s="93">
        <f>IF($S37="","",IF(INDEX('_pockets'!$AH:$AH,$S37)="","",INDEX('_pockets'!$AH:$AH,$S37)))</f>
        <v/>
      </c>
      <c r="H37" s="93">
        <f>IF($S37="","",IF(INDEX('_pockets'!$AF:$AF,$S37)="","",INDEX('_pockets'!$AF:$AF,$S37)))</f>
        <v/>
      </c>
      <c r="I37" s="94">
        <f>IF(IF($S37="","",IF(INDEX('_pockets'!$AB:$AB,$S37)="","",INDEX('_pockets'!$AB:$AB,$S37)))="","",IF($S37="","",IF(INDEX('_pockets'!$AB:$AB,$S37)="","",INDEX('_pockets'!$AB:$AB,$S37)))*IF($U$18,100,1))</f>
        <v/>
      </c>
      <c r="J37" s="92">
        <f>IF($S37="","",IF(INDEX('_pockets'!$Z:$Z,$S37)="","",INDEX('_pockets'!$Z:$Z,$S37)))</f>
        <v/>
      </c>
      <c r="K37" s="95">
        <f>IF($S37="","",IF(INDEX('_pockets'!$AO:$AO,$S37)="","",INDEX('_pockets'!$AO:$AO,$S37)))</f>
        <v/>
      </c>
      <c r="L37" s="96">
        <f>IF($S37="","",IF(INDEX('_pockets'!$AC:$AC,$S37)="","",INDEX('_pockets'!$AC:$AC,$S37)))</f>
        <v/>
      </c>
      <c r="M37" s="95">
        <f>IF($R37="","",IF(INDEX('_list'!$L$2:$L$246,$R37)="","",INDEX('_list'!$L$2:$L$246,$R37)))</f>
        <v/>
      </c>
      <c r="N37" s="94">
        <f>IF($R37="","",IF(INDEX('_list'!$H$2:$H$246,$R37)="","",INDEX('_list'!$H$2:$H$246,$R37)))</f>
        <v/>
      </c>
      <c r="O37" s="91">
        <f>IF($R37="","",IF(INDEX('_list'!$I$2:$I$246,$R37)="","",INDEX('_list'!$I$2:$I$246,$R37)))</f>
        <v/>
      </c>
      <c r="R37">
        <f>IFERROR(MATCH(18,'_list'!$N$2:$N$246,0),"")</f>
        <v/>
      </c>
      <c r="S37">
        <f>IF($R37="","",INDEX('_list'!$C$2:$C$246,$R37))</f>
        <v/>
      </c>
    </row>
    <row r="38" ht="16" customHeight="1">
      <c r="B38" s="90">
        <f>IF($R38="","",19)</f>
        <v/>
      </c>
      <c r="C38" s="91">
        <f>IF($R38="","",IF(INDEX('_list'!$D$2:$D$246,$R38)="","",INDEX('_list'!$D$2:$D$246,$R38)))</f>
        <v/>
      </c>
      <c r="D38" s="91">
        <f>IF($R38="","",IF(INDEX('_list'!$E$2:$E$246,$R38)="","",INDEX('_list'!$E$2:$E$246,$R38)))</f>
        <v/>
      </c>
      <c r="E38" s="91">
        <f>IF($R38="","",IF(INDEX('_list'!$F$2:$F$246,$R38)="","",INDEX('_list'!$F$2:$F$246,$R38)))</f>
        <v/>
      </c>
      <c r="F38" s="92">
        <f>IF($R38="","",IF(INDEX('_list'!$G$2:$G$246,$R38)="","",INDEX('_list'!$G$2:$G$246,$R38)))</f>
        <v/>
      </c>
      <c r="G38" s="93">
        <f>IF($S38="","",IF(INDEX('_pockets'!$AH:$AH,$S38)="","",INDEX('_pockets'!$AH:$AH,$S38)))</f>
        <v/>
      </c>
      <c r="H38" s="93">
        <f>IF($S38="","",IF(INDEX('_pockets'!$AF:$AF,$S38)="","",INDEX('_pockets'!$AF:$AF,$S38)))</f>
        <v/>
      </c>
      <c r="I38" s="94">
        <f>IF(IF($S38="","",IF(INDEX('_pockets'!$AB:$AB,$S38)="","",INDEX('_pockets'!$AB:$AB,$S38)))="","",IF($S38="","",IF(INDEX('_pockets'!$AB:$AB,$S38)="","",INDEX('_pockets'!$AB:$AB,$S38)))*IF($U$18,100,1))</f>
        <v/>
      </c>
      <c r="J38" s="92">
        <f>IF($S38="","",IF(INDEX('_pockets'!$Z:$Z,$S38)="","",INDEX('_pockets'!$Z:$Z,$S38)))</f>
        <v/>
      </c>
      <c r="K38" s="95">
        <f>IF($S38="","",IF(INDEX('_pockets'!$AO:$AO,$S38)="","",INDEX('_pockets'!$AO:$AO,$S38)))</f>
        <v/>
      </c>
      <c r="L38" s="96">
        <f>IF($S38="","",IF(INDEX('_pockets'!$AC:$AC,$S38)="","",INDEX('_pockets'!$AC:$AC,$S38)))</f>
        <v/>
      </c>
      <c r="M38" s="95">
        <f>IF($R38="","",IF(INDEX('_list'!$L$2:$L$246,$R38)="","",INDEX('_list'!$L$2:$L$246,$R38)))</f>
        <v/>
      </c>
      <c r="N38" s="94">
        <f>IF($R38="","",IF(INDEX('_list'!$H$2:$H$246,$R38)="","",INDEX('_list'!$H$2:$H$246,$R38)))</f>
        <v/>
      </c>
      <c r="O38" s="91">
        <f>IF($R38="","",IF(INDEX('_list'!$I$2:$I$246,$R38)="","",INDEX('_list'!$I$2:$I$246,$R38)))</f>
        <v/>
      </c>
      <c r="R38">
        <f>IFERROR(MATCH(19,'_list'!$N$2:$N$246,0),"")</f>
        <v/>
      </c>
      <c r="S38">
        <f>IF($R38="","",INDEX('_list'!$C$2:$C$246,$R38))</f>
        <v/>
      </c>
    </row>
    <row r="39" ht="16" customHeight="1">
      <c r="B39" s="90">
        <f>IF($R39="","",20)</f>
        <v/>
      </c>
      <c r="C39" s="91">
        <f>IF($R39="","",IF(INDEX('_list'!$D$2:$D$246,$R39)="","",INDEX('_list'!$D$2:$D$246,$R39)))</f>
        <v/>
      </c>
      <c r="D39" s="91">
        <f>IF($R39="","",IF(INDEX('_list'!$E$2:$E$246,$R39)="","",INDEX('_list'!$E$2:$E$246,$R39)))</f>
        <v/>
      </c>
      <c r="E39" s="91">
        <f>IF($R39="","",IF(INDEX('_list'!$F$2:$F$246,$R39)="","",INDEX('_list'!$F$2:$F$246,$R39)))</f>
        <v/>
      </c>
      <c r="F39" s="92">
        <f>IF($R39="","",IF(INDEX('_list'!$G$2:$G$246,$R39)="","",INDEX('_list'!$G$2:$G$246,$R39)))</f>
        <v/>
      </c>
      <c r="G39" s="93">
        <f>IF($S39="","",IF(INDEX('_pockets'!$AH:$AH,$S39)="","",INDEX('_pockets'!$AH:$AH,$S39)))</f>
        <v/>
      </c>
      <c r="H39" s="93">
        <f>IF($S39="","",IF(INDEX('_pockets'!$AF:$AF,$S39)="","",INDEX('_pockets'!$AF:$AF,$S39)))</f>
        <v/>
      </c>
      <c r="I39" s="94">
        <f>IF(IF($S39="","",IF(INDEX('_pockets'!$AB:$AB,$S39)="","",INDEX('_pockets'!$AB:$AB,$S39)))="","",IF($S39="","",IF(INDEX('_pockets'!$AB:$AB,$S39)="","",INDEX('_pockets'!$AB:$AB,$S39)))*IF($U$18,100,1))</f>
        <v/>
      </c>
      <c r="J39" s="92">
        <f>IF($S39="","",IF(INDEX('_pockets'!$Z:$Z,$S39)="","",INDEX('_pockets'!$Z:$Z,$S39)))</f>
        <v/>
      </c>
      <c r="K39" s="95">
        <f>IF($S39="","",IF(INDEX('_pockets'!$AO:$AO,$S39)="","",INDEX('_pockets'!$AO:$AO,$S39)))</f>
        <v/>
      </c>
      <c r="L39" s="96">
        <f>IF($S39="","",IF(INDEX('_pockets'!$AC:$AC,$S39)="","",INDEX('_pockets'!$AC:$AC,$S39)))</f>
        <v/>
      </c>
      <c r="M39" s="95">
        <f>IF($R39="","",IF(INDEX('_list'!$L$2:$L$246,$R39)="","",INDEX('_list'!$L$2:$L$246,$R39)))</f>
        <v/>
      </c>
      <c r="N39" s="94">
        <f>IF($R39="","",IF(INDEX('_list'!$H$2:$H$246,$R39)="","",INDEX('_list'!$H$2:$H$246,$R39)))</f>
        <v/>
      </c>
      <c r="O39" s="91">
        <f>IF($R39="","",IF(INDEX('_list'!$I$2:$I$246,$R39)="","",INDEX('_list'!$I$2:$I$246,$R39)))</f>
        <v/>
      </c>
      <c r="R39">
        <f>IFERROR(MATCH(20,'_list'!$N$2:$N$246,0),"")</f>
        <v/>
      </c>
      <c r="S39">
        <f>IF($R39="","",INDEX('_list'!$C$2:$C$246,$R39))</f>
        <v/>
      </c>
    </row>
    <row r="40" ht="16" customHeight="1">
      <c r="B40" s="90">
        <f>IF($R40="","",21)</f>
        <v/>
      </c>
      <c r="C40" s="91">
        <f>IF($R40="","",IF(INDEX('_list'!$D$2:$D$246,$R40)="","",INDEX('_list'!$D$2:$D$246,$R40)))</f>
        <v/>
      </c>
      <c r="D40" s="91">
        <f>IF($R40="","",IF(INDEX('_list'!$E$2:$E$246,$R40)="","",INDEX('_list'!$E$2:$E$246,$R40)))</f>
        <v/>
      </c>
      <c r="E40" s="91">
        <f>IF($R40="","",IF(INDEX('_list'!$F$2:$F$246,$R40)="","",INDEX('_list'!$F$2:$F$246,$R40)))</f>
        <v/>
      </c>
      <c r="F40" s="92">
        <f>IF($R40="","",IF(INDEX('_list'!$G$2:$G$246,$R40)="","",INDEX('_list'!$G$2:$G$246,$R40)))</f>
        <v/>
      </c>
      <c r="G40" s="93">
        <f>IF($S40="","",IF(INDEX('_pockets'!$AH:$AH,$S40)="","",INDEX('_pockets'!$AH:$AH,$S40)))</f>
        <v/>
      </c>
      <c r="H40" s="93">
        <f>IF($S40="","",IF(INDEX('_pockets'!$AF:$AF,$S40)="","",INDEX('_pockets'!$AF:$AF,$S40)))</f>
        <v/>
      </c>
      <c r="I40" s="94">
        <f>IF(IF($S40="","",IF(INDEX('_pockets'!$AB:$AB,$S40)="","",INDEX('_pockets'!$AB:$AB,$S40)))="","",IF($S40="","",IF(INDEX('_pockets'!$AB:$AB,$S40)="","",INDEX('_pockets'!$AB:$AB,$S40)))*IF($U$18,100,1))</f>
        <v/>
      </c>
      <c r="J40" s="92">
        <f>IF($S40="","",IF(INDEX('_pockets'!$Z:$Z,$S40)="","",INDEX('_pockets'!$Z:$Z,$S40)))</f>
        <v/>
      </c>
      <c r="K40" s="95">
        <f>IF($S40="","",IF(INDEX('_pockets'!$AO:$AO,$S40)="","",INDEX('_pockets'!$AO:$AO,$S40)))</f>
        <v/>
      </c>
      <c r="L40" s="96">
        <f>IF($S40="","",IF(INDEX('_pockets'!$AC:$AC,$S40)="","",INDEX('_pockets'!$AC:$AC,$S40)))</f>
        <v/>
      </c>
      <c r="M40" s="95">
        <f>IF($R40="","",IF(INDEX('_list'!$L$2:$L$246,$R40)="","",INDEX('_list'!$L$2:$L$246,$R40)))</f>
        <v/>
      </c>
      <c r="N40" s="94">
        <f>IF($R40="","",IF(INDEX('_list'!$H$2:$H$246,$R40)="","",INDEX('_list'!$H$2:$H$246,$R40)))</f>
        <v/>
      </c>
      <c r="O40" s="91">
        <f>IF($R40="","",IF(INDEX('_list'!$I$2:$I$246,$R40)="","",INDEX('_list'!$I$2:$I$246,$R40)))</f>
        <v/>
      </c>
      <c r="R40">
        <f>IFERROR(MATCH(21,'_list'!$N$2:$N$246,0),"")</f>
        <v/>
      </c>
      <c r="S40">
        <f>IF($R40="","",INDEX('_list'!$C$2:$C$246,$R40))</f>
        <v/>
      </c>
    </row>
    <row r="41" ht="16" customHeight="1">
      <c r="B41" s="90">
        <f>IF($R41="","",22)</f>
        <v/>
      </c>
      <c r="C41" s="91">
        <f>IF($R41="","",IF(INDEX('_list'!$D$2:$D$246,$R41)="","",INDEX('_list'!$D$2:$D$246,$R41)))</f>
        <v/>
      </c>
      <c r="D41" s="91">
        <f>IF($R41="","",IF(INDEX('_list'!$E$2:$E$246,$R41)="","",INDEX('_list'!$E$2:$E$246,$R41)))</f>
        <v/>
      </c>
      <c r="E41" s="91">
        <f>IF($R41="","",IF(INDEX('_list'!$F$2:$F$246,$R41)="","",INDEX('_list'!$F$2:$F$246,$R41)))</f>
        <v/>
      </c>
      <c r="F41" s="92">
        <f>IF($R41="","",IF(INDEX('_list'!$G$2:$G$246,$R41)="","",INDEX('_list'!$G$2:$G$246,$R41)))</f>
        <v/>
      </c>
      <c r="G41" s="93">
        <f>IF($S41="","",IF(INDEX('_pockets'!$AH:$AH,$S41)="","",INDEX('_pockets'!$AH:$AH,$S41)))</f>
        <v/>
      </c>
      <c r="H41" s="93">
        <f>IF($S41="","",IF(INDEX('_pockets'!$AF:$AF,$S41)="","",INDEX('_pockets'!$AF:$AF,$S41)))</f>
        <v/>
      </c>
      <c r="I41" s="94">
        <f>IF(IF($S41="","",IF(INDEX('_pockets'!$AB:$AB,$S41)="","",INDEX('_pockets'!$AB:$AB,$S41)))="","",IF($S41="","",IF(INDEX('_pockets'!$AB:$AB,$S41)="","",INDEX('_pockets'!$AB:$AB,$S41)))*IF($U$18,100,1))</f>
        <v/>
      </c>
      <c r="J41" s="92">
        <f>IF($S41="","",IF(INDEX('_pockets'!$Z:$Z,$S41)="","",INDEX('_pockets'!$Z:$Z,$S41)))</f>
        <v/>
      </c>
      <c r="K41" s="95">
        <f>IF($S41="","",IF(INDEX('_pockets'!$AO:$AO,$S41)="","",INDEX('_pockets'!$AO:$AO,$S41)))</f>
        <v/>
      </c>
      <c r="L41" s="96">
        <f>IF($S41="","",IF(INDEX('_pockets'!$AC:$AC,$S41)="","",INDEX('_pockets'!$AC:$AC,$S41)))</f>
        <v/>
      </c>
      <c r="M41" s="95">
        <f>IF($R41="","",IF(INDEX('_list'!$L$2:$L$246,$R41)="","",INDEX('_list'!$L$2:$L$246,$R41)))</f>
        <v/>
      </c>
      <c r="N41" s="94">
        <f>IF($R41="","",IF(INDEX('_list'!$H$2:$H$246,$R41)="","",INDEX('_list'!$H$2:$H$246,$R41)))</f>
        <v/>
      </c>
      <c r="O41" s="91">
        <f>IF($R41="","",IF(INDEX('_list'!$I$2:$I$246,$R41)="","",INDEX('_list'!$I$2:$I$246,$R41)))</f>
        <v/>
      </c>
      <c r="R41">
        <f>IFERROR(MATCH(22,'_list'!$N$2:$N$246,0),"")</f>
        <v/>
      </c>
      <c r="S41">
        <f>IF($R41="","",INDEX('_list'!$C$2:$C$246,$R41))</f>
        <v/>
      </c>
    </row>
    <row r="42" ht="16" customHeight="1">
      <c r="B42" s="90">
        <f>IF($R42="","",23)</f>
        <v/>
      </c>
      <c r="C42" s="91">
        <f>IF($R42="","",IF(INDEX('_list'!$D$2:$D$246,$R42)="","",INDEX('_list'!$D$2:$D$246,$R42)))</f>
        <v/>
      </c>
      <c r="D42" s="91">
        <f>IF($R42="","",IF(INDEX('_list'!$E$2:$E$246,$R42)="","",INDEX('_list'!$E$2:$E$246,$R42)))</f>
        <v/>
      </c>
      <c r="E42" s="91">
        <f>IF($R42="","",IF(INDEX('_list'!$F$2:$F$246,$R42)="","",INDEX('_list'!$F$2:$F$246,$R42)))</f>
        <v/>
      </c>
      <c r="F42" s="92">
        <f>IF($R42="","",IF(INDEX('_list'!$G$2:$G$246,$R42)="","",INDEX('_list'!$G$2:$G$246,$R42)))</f>
        <v/>
      </c>
      <c r="G42" s="93">
        <f>IF($S42="","",IF(INDEX('_pockets'!$AH:$AH,$S42)="","",INDEX('_pockets'!$AH:$AH,$S42)))</f>
        <v/>
      </c>
      <c r="H42" s="93">
        <f>IF($S42="","",IF(INDEX('_pockets'!$AF:$AF,$S42)="","",INDEX('_pockets'!$AF:$AF,$S42)))</f>
        <v/>
      </c>
      <c r="I42" s="94">
        <f>IF(IF($S42="","",IF(INDEX('_pockets'!$AB:$AB,$S42)="","",INDEX('_pockets'!$AB:$AB,$S42)))="","",IF($S42="","",IF(INDEX('_pockets'!$AB:$AB,$S42)="","",INDEX('_pockets'!$AB:$AB,$S42)))*IF($U$18,100,1))</f>
        <v/>
      </c>
      <c r="J42" s="92">
        <f>IF($S42="","",IF(INDEX('_pockets'!$Z:$Z,$S42)="","",INDEX('_pockets'!$Z:$Z,$S42)))</f>
        <v/>
      </c>
      <c r="K42" s="95">
        <f>IF($S42="","",IF(INDEX('_pockets'!$AO:$AO,$S42)="","",INDEX('_pockets'!$AO:$AO,$S42)))</f>
        <v/>
      </c>
      <c r="L42" s="96">
        <f>IF($S42="","",IF(INDEX('_pockets'!$AC:$AC,$S42)="","",INDEX('_pockets'!$AC:$AC,$S42)))</f>
        <v/>
      </c>
      <c r="M42" s="95">
        <f>IF($R42="","",IF(INDEX('_list'!$L$2:$L$246,$R42)="","",INDEX('_list'!$L$2:$L$246,$R42)))</f>
        <v/>
      </c>
      <c r="N42" s="94">
        <f>IF($R42="","",IF(INDEX('_list'!$H$2:$H$246,$R42)="","",INDEX('_list'!$H$2:$H$246,$R42)))</f>
        <v/>
      </c>
      <c r="O42" s="91">
        <f>IF($R42="","",IF(INDEX('_list'!$I$2:$I$246,$R42)="","",INDEX('_list'!$I$2:$I$246,$R42)))</f>
        <v/>
      </c>
      <c r="R42">
        <f>IFERROR(MATCH(23,'_list'!$N$2:$N$246,0),"")</f>
        <v/>
      </c>
      <c r="S42">
        <f>IF($R42="","",INDEX('_list'!$C$2:$C$246,$R42))</f>
        <v/>
      </c>
    </row>
    <row r="43" ht="16" customHeight="1">
      <c r="B43" s="90">
        <f>IF($R43="","",24)</f>
        <v/>
      </c>
      <c r="C43" s="91">
        <f>IF($R43="","",IF(INDEX('_list'!$D$2:$D$246,$R43)="","",INDEX('_list'!$D$2:$D$246,$R43)))</f>
        <v/>
      </c>
      <c r="D43" s="91">
        <f>IF($R43="","",IF(INDEX('_list'!$E$2:$E$246,$R43)="","",INDEX('_list'!$E$2:$E$246,$R43)))</f>
        <v/>
      </c>
      <c r="E43" s="91">
        <f>IF($R43="","",IF(INDEX('_list'!$F$2:$F$246,$R43)="","",INDEX('_list'!$F$2:$F$246,$R43)))</f>
        <v/>
      </c>
      <c r="F43" s="92">
        <f>IF($R43="","",IF(INDEX('_list'!$G$2:$G$246,$R43)="","",INDEX('_list'!$G$2:$G$246,$R43)))</f>
        <v/>
      </c>
      <c r="G43" s="93">
        <f>IF($S43="","",IF(INDEX('_pockets'!$AH:$AH,$S43)="","",INDEX('_pockets'!$AH:$AH,$S43)))</f>
        <v/>
      </c>
      <c r="H43" s="93">
        <f>IF($S43="","",IF(INDEX('_pockets'!$AF:$AF,$S43)="","",INDEX('_pockets'!$AF:$AF,$S43)))</f>
        <v/>
      </c>
      <c r="I43" s="94">
        <f>IF(IF($S43="","",IF(INDEX('_pockets'!$AB:$AB,$S43)="","",INDEX('_pockets'!$AB:$AB,$S43)))="","",IF($S43="","",IF(INDEX('_pockets'!$AB:$AB,$S43)="","",INDEX('_pockets'!$AB:$AB,$S43)))*IF($U$18,100,1))</f>
        <v/>
      </c>
      <c r="J43" s="92">
        <f>IF($S43="","",IF(INDEX('_pockets'!$Z:$Z,$S43)="","",INDEX('_pockets'!$Z:$Z,$S43)))</f>
        <v/>
      </c>
      <c r="K43" s="95">
        <f>IF($S43="","",IF(INDEX('_pockets'!$AO:$AO,$S43)="","",INDEX('_pockets'!$AO:$AO,$S43)))</f>
        <v/>
      </c>
      <c r="L43" s="96">
        <f>IF($S43="","",IF(INDEX('_pockets'!$AC:$AC,$S43)="","",INDEX('_pockets'!$AC:$AC,$S43)))</f>
        <v/>
      </c>
      <c r="M43" s="95">
        <f>IF($R43="","",IF(INDEX('_list'!$L$2:$L$246,$R43)="","",INDEX('_list'!$L$2:$L$246,$R43)))</f>
        <v/>
      </c>
      <c r="N43" s="94">
        <f>IF($R43="","",IF(INDEX('_list'!$H$2:$H$246,$R43)="","",INDEX('_list'!$H$2:$H$246,$R43)))</f>
        <v/>
      </c>
      <c r="O43" s="91">
        <f>IF($R43="","",IF(INDEX('_list'!$I$2:$I$246,$R43)="","",INDEX('_list'!$I$2:$I$246,$R43)))</f>
        <v/>
      </c>
      <c r="R43">
        <f>IFERROR(MATCH(24,'_list'!$N$2:$N$246,0),"")</f>
        <v/>
      </c>
      <c r="S43">
        <f>IF($R43="","",INDEX('_list'!$C$2:$C$246,$R43))</f>
        <v/>
      </c>
    </row>
    <row r="44" ht="16" customHeight="1">
      <c r="B44" s="90">
        <f>IF($R44="","",25)</f>
        <v/>
      </c>
      <c r="C44" s="91">
        <f>IF($R44="","",IF(INDEX('_list'!$D$2:$D$246,$R44)="","",INDEX('_list'!$D$2:$D$246,$R44)))</f>
        <v/>
      </c>
      <c r="D44" s="91">
        <f>IF($R44="","",IF(INDEX('_list'!$E$2:$E$246,$R44)="","",INDEX('_list'!$E$2:$E$246,$R44)))</f>
        <v/>
      </c>
      <c r="E44" s="91">
        <f>IF($R44="","",IF(INDEX('_list'!$F$2:$F$246,$R44)="","",INDEX('_list'!$F$2:$F$246,$R44)))</f>
        <v/>
      </c>
      <c r="F44" s="92">
        <f>IF($R44="","",IF(INDEX('_list'!$G$2:$G$246,$R44)="","",INDEX('_list'!$G$2:$G$246,$R44)))</f>
        <v/>
      </c>
      <c r="G44" s="93">
        <f>IF($S44="","",IF(INDEX('_pockets'!$AH:$AH,$S44)="","",INDEX('_pockets'!$AH:$AH,$S44)))</f>
        <v/>
      </c>
      <c r="H44" s="93">
        <f>IF($S44="","",IF(INDEX('_pockets'!$AF:$AF,$S44)="","",INDEX('_pockets'!$AF:$AF,$S44)))</f>
        <v/>
      </c>
      <c r="I44" s="94">
        <f>IF(IF($S44="","",IF(INDEX('_pockets'!$AB:$AB,$S44)="","",INDEX('_pockets'!$AB:$AB,$S44)))="","",IF($S44="","",IF(INDEX('_pockets'!$AB:$AB,$S44)="","",INDEX('_pockets'!$AB:$AB,$S44)))*IF($U$18,100,1))</f>
        <v/>
      </c>
      <c r="J44" s="92">
        <f>IF($S44="","",IF(INDEX('_pockets'!$Z:$Z,$S44)="","",INDEX('_pockets'!$Z:$Z,$S44)))</f>
        <v/>
      </c>
      <c r="K44" s="95">
        <f>IF($S44="","",IF(INDEX('_pockets'!$AO:$AO,$S44)="","",INDEX('_pockets'!$AO:$AO,$S44)))</f>
        <v/>
      </c>
      <c r="L44" s="96">
        <f>IF($S44="","",IF(INDEX('_pockets'!$AC:$AC,$S44)="","",INDEX('_pockets'!$AC:$AC,$S44)))</f>
        <v/>
      </c>
      <c r="M44" s="95">
        <f>IF($R44="","",IF(INDEX('_list'!$L$2:$L$246,$R44)="","",INDEX('_list'!$L$2:$L$246,$R44)))</f>
        <v/>
      </c>
      <c r="N44" s="94">
        <f>IF($R44="","",IF(INDEX('_list'!$H$2:$H$246,$R44)="","",INDEX('_list'!$H$2:$H$246,$R44)))</f>
        <v/>
      </c>
      <c r="O44" s="91">
        <f>IF($R44="","",IF(INDEX('_list'!$I$2:$I$246,$R44)="","",INDEX('_list'!$I$2:$I$246,$R44)))</f>
        <v/>
      </c>
      <c r="R44">
        <f>IFERROR(MATCH(25,'_list'!$N$2:$N$246,0),"")</f>
        <v/>
      </c>
      <c r="S44">
        <f>IF($R44="","",INDEX('_list'!$C$2:$C$246,$R44))</f>
        <v/>
      </c>
    </row>
    <row r="45" ht="16" customHeight="1">
      <c r="B45" s="90">
        <f>IF($R45="","",26)</f>
        <v/>
      </c>
      <c r="C45" s="91">
        <f>IF($R45="","",IF(INDEX('_list'!$D$2:$D$246,$R45)="","",INDEX('_list'!$D$2:$D$246,$R45)))</f>
        <v/>
      </c>
      <c r="D45" s="91">
        <f>IF($R45="","",IF(INDEX('_list'!$E$2:$E$246,$R45)="","",INDEX('_list'!$E$2:$E$246,$R45)))</f>
        <v/>
      </c>
      <c r="E45" s="91">
        <f>IF($R45="","",IF(INDEX('_list'!$F$2:$F$246,$R45)="","",INDEX('_list'!$F$2:$F$246,$R45)))</f>
        <v/>
      </c>
      <c r="F45" s="92">
        <f>IF($R45="","",IF(INDEX('_list'!$G$2:$G$246,$R45)="","",INDEX('_list'!$G$2:$G$246,$R45)))</f>
        <v/>
      </c>
      <c r="G45" s="93">
        <f>IF($S45="","",IF(INDEX('_pockets'!$AH:$AH,$S45)="","",INDEX('_pockets'!$AH:$AH,$S45)))</f>
        <v/>
      </c>
      <c r="H45" s="93">
        <f>IF($S45="","",IF(INDEX('_pockets'!$AF:$AF,$S45)="","",INDEX('_pockets'!$AF:$AF,$S45)))</f>
        <v/>
      </c>
      <c r="I45" s="94">
        <f>IF(IF($S45="","",IF(INDEX('_pockets'!$AB:$AB,$S45)="","",INDEX('_pockets'!$AB:$AB,$S45)))="","",IF($S45="","",IF(INDEX('_pockets'!$AB:$AB,$S45)="","",INDEX('_pockets'!$AB:$AB,$S45)))*IF($U$18,100,1))</f>
        <v/>
      </c>
      <c r="J45" s="92">
        <f>IF($S45="","",IF(INDEX('_pockets'!$Z:$Z,$S45)="","",INDEX('_pockets'!$Z:$Z,$S45)))</f>
        <v/>
      </c>
      <c r="K45" s="95">
        <f>IF($S45="","",IF(INDEX('_pockets'!$AO:$AO,$S45)="","",INDEX('_pockets'!$AO:$AO,$S45)))</f>
        <v/>
      </c>
      <c r="L45" s="96">
        <f>IF($S45="","",IF(INDEX('_pockets'!$AC:$AC,$S45)="","",INDEX('_pockets'!$AC:$AC,$S45)))</f>
        <v/>
      </c>
      <c r="M45" s="95">
        <f>IF($R45="","",IF(INDEX('_list'!$L$2:$L$246,$R45)="","",INDEX('_list'!$L$2:$L$246,$R45)))</f>
        <v/>
      </c>
      <c r="N45" s="94">
        <f>IF($R45="","",IF(INDEX('_list'!$H$2:$H$246,$R45)="","",INDEX('_list'!$H$2:$H$246,$R45)))</f>
        <v/>
      </c>
      <c r="O45" s="91">
        <f>IF($R45="","",IF(INDEX('_list'!$I$2:$I$246,$R45)="","",INDEX('_list'!$I$2:$I$246,$R45)))</f>
        <v/>
      </c>
      <c r="R45">
        <f>IFERROR(MATCH(26,'_list'!$N$2:$N$246,0),"")</f>
        <v/>
      </c>
      <c r="S45">
        <f>IF($R45="","",INDEX('_list'!$C$2:$C$246,$R45))</f>
        <v/>
      </c>
    </row>
    <row r="46" ht="16" customHeight="1">
      <c r="B46" s="90">
        <f>IF($R46="","",27)</f>
        <v/>
      </c>
      <c r="C46" s="91">
        <f>IF($R46="","",IF(INDEX('_list'!$D$2:$D$246,$R46)="","",INDEX('_list'!$D$2:$D$246,$R46)))</f>
        <v/>
      </c>
      <c r="D46" s="91">
        <f>IF($R46="","",IF(INDEX('_list'!$E$2:$E$246,$R46)="","",INDEX('_list'!$E$2:$E$246,$R46)))</f>
        <v/>
      </c>
      <c r="E46" s="91">
        <f>IF($R46="","",IF(INDEX('_list'!$F$2:$F$246,$R46)="","",INDEX('_list'!$F$2:$F$246,$R46)))</f>
        <v/>
      </c>
      <c r="F46" s="92">
        <f>IF($R46="","",IF(INDEX('_list'!$G$2:$G$246,$R46)="","",INDEX('_list'!$G$2:$G$246,$R46)))</f>
        <v/>
      </c>
      <c r="G46" s="93">
        <f>IF($S46="","",IF(INDEX('_pockets'!$AH:$AH,$S46)="","",INDEX('_pockets'!$AH:$AH,$S46)))</f>
        <v/>
      </c>
      <c r="H46" s="93">
        <f>IF($S46="","",IF(INDEX('_pockets'!$AF:$AF,$S46)="","",INDEX('_pockets'!$AF:$AF,$S46)))</f>
        <v/>
      </c>
      <c r="I46" s="94">
        <f>IF(IF($S46="","",IF(INDEX('_pockets'!$AB:$AB,$S46)="","",INDEX('_pockets'!$AB:$AB,$S46)))="","",IF($S46="","",IF(INDEX('_pockets'!$AB:$AB,$S46)="","",INDEX('_pockets'!$AB:$AB,$S46)))*IF($U$18,100,1))</f>
        <v/>
      </c>
      <c r="J46" s="92">
        <f>IF($S46="","",IF(INDEX('_pockets'!$Z:$Z,$S46)="","",INDEX('_pockets'!$Z:$Z,$S46)))</f>
        <v/>
      </c>
      <c r="K46" s="95">
        <f>IF($S46="","",IF(INDEX('_pockets'!$AO:$AO,$S46)="","",INDEX('_pockets'!$AO:$AO,$S46)))</f>
        <v/>
      </c>
      <c r="L46" s="96">
        <f>IF($S46="","",IF(INDEX('_pockets'!$AC:$AC,$S46)="","",INDEX('_pockets'!$AC:$AC,$S46)))</f>
        <v/>
      </c>
      <c r="M46" s="95">
        <f>IF($R46="","",IF(INDEX('_list'!$L$2:$L$246,$R46)="","",INDEX('_list'!$L$2:$L$246,$R46)))</f>
        <v/>
      </c>
      <c r="N46" s="94">
        <f>IF($R46="","",IF(INDEX('_list'!$H$2:$H$246,$R46)="","",INDEX('_list'!$H$2:$H$246,$R46)))</f>
        <v/>
      </c>
      <c r="O46" s="91">
        <f>IF($R46="","",IF(INDEX('_list'!$I$2:$I$246,$R46)="","",INDEX('_list'!$I$2:$I$246,$R46)))</f>
        <v/>
      </c>
      <c r="R46">
        <f>IFERROR(MATCH(27,'_list'!$N$2:$N$246,0),"")</f>
        <v/>
      </c>
      <c r="S46">
        <f>IF($R46="","",INDEX('_list'!$C$2:$C$246,$R46))</f>
        <v/>
      </c>
    </row>
    <row r="47" ht="16" customHeight="1">
      <c r="B47" s="90">
        <f>IF($R47="","",28)</f>
        <v/>
      </c>
      <c r="C47" s="91">
        <f>IF($R47="","",IF(INDEX('_list'!$D$2:$D$246,$R47)="","",INDEX('_list'!$D$2:$D$246,$R47)))</f>
        <v/>
      </c>
      <c r="D47" s="91">
        <f>IF($R47="","",IF(INDEX('_list'!$E$2:$E$246,$R47)="","",INDEX('_list'!$E$2:$E$246,$R47)))</f>
        <v/>
      </c>
      <c r="E47" s="91">
        <f>IF($R47="","",IF(INDEX('_list'!$F$2:$F$246,$R47)="","",INDEX('_list'!$F$2:$F$246,$R47)))</f>
        <v/>
      </c>
      <c r="F47" s="92">
        <f>IF($R47="","",IF(INDEX('_list'!$G$2:$G$246,$R47)="","",INDEX('_list'!$G$2:$G$246,$R47)))</f>
        <v/>
      </c>
      <c r="G47" s="93">
        <f>IF($S47="","",IF(INDEX('_pockets'!$AH:$AH,$S47)="","",INDEX('_pockets'!$AH:$AH,$S47)))</f>
        <v/>
      </c>
      <c r="H47" s="93">
        <f>IF($S47="","",IF(INDEX('_pockets'!$AF:$AF,$S47)="","",INDEX('_pockets'!$AF:$AF,$S47)))</f>
        <v/>
      </c>
      <c r="I47" s="94">
        <f>IF(IF($S47="","",IF(INDEX('_pockets'!$AB:$AB,$S47)="","",INDEX('_pockets'!$AB:$AB,$S47)))="","",IF($S47="","",IF(INDEX('_pockets'!$AB:$AB,$S47)="","",INDEX('_pockets'!$AB:$AB,$S47)))*IF($U$18,100,1))</f>
        <v/>
      </c>
      <c r="J47" s="92">
        <f>IF($S47="","",IF(INDEX('_pockets'!$Z:$Z,$S47)="","",INDEX('_pockets'!$Z:$Z,$S47)))</f>
        <v/>
      </c>
      <c r="K47" s="95">
        <f>IF($S47="","",IF(INDEX('_pockets'!$AO:$AO,$S47)="","",INDEX('_pockets'!$AO:$AO,$S47)))</f>
        <v/>
      </c>
      <c r="L47" s="96">
        <f>IF($S47="","",IF(INDEX('_pockets'!$AC:$AC,$S47)="","",INDEX('_pockets'!$AC:$AC,$S47)))</f>
        <v/>
      </c>
      <c r="M47" s="95">
        <f>IF($R47="","",IF(INDEX('_list'!$L$2:$L$246,$R47)="","",INDEX('_list'!$L$2:$L$246,$R47)))</f>
        <v/>
      </c>
      <c r="N47" s="94">
        <f>IF($R47="","",IF(INDEX('_list'!$H$2:$H$246,$R47)="","",INDEX('_list'!$H$2:$H$246,$R47)))</f>
        <v/>
      </c>
      <c r="O47" s="91">
        <f>IF($R47="","",IF(INDEX('_list'!$I$2:$I$246,$R47)="","",INDEX('_list'!$I$2:$I$246,$R47)))</f>
        <v/>
      </c>
      <c r="R47">
        <f>IFERROR(MATCH(28,'_list'!$N$2:$N$246,0),"")</f>
        <v/>
      </c>
      <c r="S47">
        <f>IF($R47="","",INDEX('_list'!$C$2:$C$246,$R47))</f>
        <v/>
      </c>
    </row>
    <row r="48" ht="16" customHeight="1">
      <c r="B48" s="90">
        <f>IF($R48="","",29)</f>
        <v/>
      </c>
      <c r="C48" s="91">
        <f>IF($R48="","",IF(INDEX('_list'!$D$2:$D$246,$R48)="","",INDEX('_list'!$D$2:$D$246,$R48)))</f>
        <v/>
      </c>
      <c r="D48" s="91">
        <f>IF($R48="","",IF(INDEX('_list'!$E$2:$E$246,$R48)="","",INDEX('_list'!$E$2:$E$246,$R48)))</f>
        <v/>
      </c>
      <c r="E48" s="91">
        <f>IF($R48="","",IF(INDEX('_list'!$F$2:$F$246,$R48)="","",INDEX('_list'!$F$2:$F$246,$R48)))</f>
        <v/>
      </c>
      <c r="F48" s="92">
        <f>IF($R48="","",IF(INDEX('_list'!$G$2:$G$246,$R48)="","",INDEX('_list'!$G$2:$G$246,$R48)))</f>
        <v/>
      </c>
      <c r="G48" s="93">
        <f>IF($S48="","",IF(INDEX('_pockets'!$AH:$AH,$S48)="","",INDEX('_pockets'!$AH:$AH,$S48)))</f>
        <v/>
      </c>
      <c r="H48" s="93">
        <f>IF($S48="","",IF(INDEX('_pockets'!$AF:$AF,$S48)="","",INDEX('_pockets'!$AF:$AF,$S48)))</f>
        <v/>
      </c>
      <c r="I48" s="94">
        <f>IF(IF($S48="","",IF(INDEX('_pockets'!$AB:$AB,$S48)="","",INDEX('_pockets'!$AB:$AB,$S48)))="","",IF($S48="","",IF(INDEX('_pockets'!$AB:$AB,$S48)="","",INDEX('_pockets'!$AB:$AB,$S48)))*IF($U$18,100,1))</f>
        <v/>
      </c>
      <c r="J48" s="92">
        <f>IF($S48="","",IF(INDEX('_pockets'!$Z:$Z,$S48)="","",INDEX('_pockets'!$Z:$Z,$S48)))</f>
        <v/>
      </c>
      <c r="K48" s="95">
        <f>IF($S48="","",IF(INDEX('_pockets'!$AO:$AO,$S48)="","",INDEX('_pockets'!$AO:$AO,$S48)))</f>
        <v/>
      </c>
      <c r="L48" s="96">
        <f>IF($S48="","",IF(INDEX('_pockets'!$AC:$AC,$S48)="","",INDEX('_pockets'!$AC:$AC,$S48)))</f>
        <v/>
      </c>
      <c r="M48" s="95">
        <f>IF($R48="","",IF(INDEX('_list'!$L$2:$L$246,$R48)="","",INDEX('_list'!$L$2:$L$246,$R48)))</f>
        <v/>
      </c>
      <c r="N48" s="94">
        <f>IF($R48="","",IF(INDEX('_list'!$H$2:$H$246,$R48)="","",INDEX('_list'!$H$2:$H$246,$R48)))</f>
        <v/>
      </c>
      <c r="O48" s="91">
        <f>IF($R48="","",IF(INDEX('_list'!$I$2:$I$246,$R48)="","",INDEX('_list'!$I$2:$I$246,$R48)))</f>
        <v/>
      </c>
      <c r="R48">
        <f>IFERROR(MATCH(29,'_list'!$N$2:$N$246,0),"")</f>
        <v/>
      </c>
      <c r="S48">
        <f>IF($R48="","",INDEX('_list'!$C$2:$C$246,$R48))</f>
        <v/>
      </c>
    </row>
    <row r="49" ht="16" customHeight="1">
      <c r="B49" s="90">
        <f>IF($R49="","",30)</f>
        <v/>
      </c>
      <c r="C49" s="91">
        <f>IF($R49="","",IF(INDEX('_list'!$D$2:$D$246,$R49)="","",INDEX('_list'!$D$2:$D$246,$R49)))</f>
        <v/>
      </c>
      <c r="D49" s="91">
        <f>IF($R49="","",IF(INDEX('_list'!$E$2:$E$246,$R49)="","",INDEX('_list'!$E$2:$E$246,$R49)))</f>
        <v/>
      </c>
      <c r="E49" s="91">
        <f>IF($R49="","",IF(INDEX('_list'!$F$2:$F$246,$R49)="","",INDEX('_list'!$F$2:$F$246,$R49)))</f>
        <v/>
      </c>
      <c r="F49" s="92">
        <f>IF($R49="","",IF(INDEX('_list'!$G$2:$G$246,$R49)="","",INDEX('_list'!$G$2:$G$246,$R49)))</f>
        <v/>
      </c>
      <c r="G49" s="93">
        <f>IF($S49="","",IF(INDEX('_pockets'!$AH:$AH,$S49)="","",INDEX('_pockets'!$AH:$AH,$S49)))</f>
        <v/>
      </c>
      <c r="H49" s="93">
        <f>IF($S49="","",IF(INDEX('_pockets'!$AF:$AF,$S49)="","",INDEX('_pockets'!$AF:$AF,$S49)))</f>
        <v/>
      </c>
      <c r="I49" s="94">
        <f>IF(IF($S49="","",IF(INDEX('_pockets'!$AB:$AB,$S49)="","",INDEX('_pockets'!$AB:$AB,$S49)))="","",IF($S49="","",IF(INDEX('_pockets'!$AB:$AB,$S49)="","",INDEX('_pockets'!$AB:$AB,$S49)))*IF($U$18,100,1))</f>
        <v/>
      </c>
      <c r="J49" s="92">
        <f>IF($S49="","",IF(INDEX('_pockets'!$Z:$Z,$S49)="","",INDEX('_pockets'!$Z:$Z,$S49)))</f>
        <v/>
      </c>
      <c r="K49" s="95">
        <f>IF($S49="","",IF(INDEX('_pockets'!$AO:$AO,$S49)="","",INDEX('_pockets'!$AO:$AO,$S49)))</f>
        <v/>
      </c>
      <c r="L49" s="96">
        <f>IF($S49="","",IF(INDEX('_pockets'!$AC:$AC,$S49)="","",INDEX('_pockets'!$AC:$AC,$S49)))</f>
        <v/>
      </c>
      <c r="M49" s="95">
        <f>IF($R49="","",IF(INDEX('_list'!$L$2:$L$246,$R49)="","",INDEX('_list'!$L$2:$L$246,$R49)))</f>
        <v/>
      </c>
      <c r="N49" s="94">
        <f>IF($R49="","",IF(INDEX('_list'!$H$2:$H$246,$R49)="","",INDEX('_list'!$H$2:$H$246,$R49)))</f>
        <v/>
      </c>
      <c r="O49" s="91">
        <f>IF($R49="","",IF(INDEX('_list'!$I$2:$I$246,$R49)="","",INDEX('_list'!$I$2:$I$246,$R49)))</f>
        <v/>
      </c>
      <c r="R49">
        <f>IFERROR(MATCH(30,'_list'!$N$2:$N$246,0),"")</f>
        <v/>
      </c>
      <c r="S49">
        <f>IF($R49="","",INDEX('_list'!$C$2:$C$246,$R49))</f>
        <v/>
      </c>
    </row>
    <row r="50" ht="16" customHeight="1">
      <c r="B50" s="90">
        <f>IF($R50="","",31)</f>
        <v/>
      </c>
      <c r="C50" s="91">
        <f>IF($R50="","",IF(INDEX('_list'!$D$2:$D$246,$R50)="","",INDEX('_list'!$D$2:$D$246,$R50)))</f>
        <v/>
      </c>
      <c r="D50" s="91">
        <f>IF($R50="","",IF(INDEX('_list'!$E$2:$E$246,$R50)="","",INDEX('_list'!$E$2:$E$246,$R50)))</f>
        <v/>
      </c>
      <c r="E50" s="91">
        <f>IF($R50="","",IF(INDEX('_list'!$F$2:$F$246,$R50)="","",INDEX('_list'!$F$2:$F$246,$R50)))</f>
        <v/>
      </c>
      <c r="F50" s="92">
        <f>IF($R50="","",IF(INDEX('_list'!$G$2:$G$246,$R50)="","",INDEX('_list'!$G$2:$G$246,$R50)))</f>
        <v/>
      </c>
      <c r="G50" s="93">
        <f>IF($S50="","",IF(INDEX('_pockets'!$AH:$AH,$S50)="","",INDEX('_pockets'!$AH:$AH,$S50)))</f>
        <v/>
      </c>
      <c r="H50" s="93">
        <f>IF($S50="","",IF(INDEX('_pockets'!$AF:$AF,$S50)="","",INDEX('_pockets'!$AF:$AF,$S50)))</f>
        <v/>
      </c>
      <c r="I50" s="94">
        <f>IF(IF($S50="","",IF(INDEX('_pockets'!$AB:$AB,$S50)="","",INDEX('_pockets'!$AB:$AB,$S50)))="","",IF($S50="","",IF(INDEX('_pockets'!$AB:$AB,$S50)="","",INDEX('_pockets'!$AB:$AB,$S50)))*IF($U$18,100,1))</f>
        <v/>
      </c>
      <c r="J50" s="92">
        <f>IF($S50="","",IF(INDEX('_pockets'!$Z:$Z,$S50)="","",INDEX('_pockets'!$Z:$Z,$S50)))</f>
        <v/>
      </c>
      <c r="K50" s="95">
        <f>IF($S50="","",IF(INDEX('_pockets'!$AO:$AO,$S50)="","",INDEX('_pockets'!$AO:$AO,$S50)))</f>
        <v/>
      </c>
      <c r="L50" s="96">
        <f>IF($S50="","",IF(INDEX('_pockets'!$AC:$AC,$S50)="","",INDEX('_pockets'!$AC:$AC,$S50)))</f>
        <v/>
      </c>
      <c r="M50" s="95">
        <f>IF($R50="","",IF(INDEX('_list'!$L$2:$L$246,$R50)="","",INDEX('_list'!$L$2:$L$246,$R50)))</f>
        <v/>
      </c>
      <c r="N50" s="94">
        <f>IF($R50="","",IF(INDEX('_list'!$H$2:$H$246,$R50)="","",INDEX('_list'!$H$2:$H$246,$R50)))</f>
        <v/>
      </c>
      <c r="O50" s="91">
        <f>IF($R50="","",IF(INDEX('_list'!$I$2:$I$246,$R50)="","",INDEX('_list'!$I$2:$I$246,$R50)))</f>
        <v/>
      </c>
      <c r="R50">
        <f>IFERROR(MATCH(31,'_list'!$N$2:$N$246,0),"")</f>
        <v/>
      </c>
      <c r="S50">
        <f>IF($R50="","",INDEX('_list'!$C$2:$C$246,$R50))</f>
        <v/>
      </c>
    </row>
    <row r="51" ht="16" customHeight="1">
      <c r="B51" s="90">
        <f>IF($R51="","",32)</f>
        <v/>
      </c>
      <c r="C51" s="91">
        <f>IF($R51="","",IF(INDEX('_list'!$D$2:$D$246,$R51)="","",INDEX('_list'!$D$2:$D$246,$R51)))</f>
        <v/>
      </c>
      <c r="D51" s="91">
        <f>IF($R51="","",IF(INDEX('_list'!$E$2:$E$246,$R51)="","",INDEX('_list'!$E$2:$E$246,$R51)))</f>
        <v/>
      </c>
      <c r="E51" s="91">
        <f>IF($R51="","",IF(INDEX('_list'!$F$2:$F$246,$R51)="","",INDEX('_list'!$F$2:$F$246,$R51)))</f>
        <v/>
      </c>
      <c r="F51" s="92">
        <f>IF($R51="","",IF(INDEX('_list'!$G$2:$G$246,$R51)="","",INDEX('_list'!$G$2:$G$246,$R51)))</f>
        <v/>
      </c>
      <c r="G51" s="93">
        <f>IF($S51="","",IF(INDEX('_pockets'!$AH:$AH,$S51)="","",INDEX('_pockets'!$AH:$AH,$S51)))</f>
        <v/>
      </c>
      <c r="H51" s="93">
        <f>IF($S51="","",IF(INDEX('_pockets'!$AF:$AF,$S51)="","",INDEX('_pockets'!$AF:$AF,$S51)))</f>
        <v/>
      </c>
      <c r="I51" s="94">
        <f>IF(IF($S51="","",IF(INDEX('_pockets'!$AB:$AB,$S51)="","",INDEX('_pockets'!$AB:$AB,$S51)))="","",IF($S51="","",IF(INDEX('_pockets'!$AB:$AB,$S51)="","",INDEX('_pockets'!$AB:$AB,$S51)))*IF($U$18,100,1))</f>
        <v/>
      </c>
      <c r="J51" s="92">
        <f>IF($S51="","",IF(INDEX('_pockets'!$Z:$Z,$S51)="","",INDEX('_pockets'!$Z:$Z,$S51)))</f>
        <v/>
      </c>
      <c r="K51" s="95">
        <f>IF($S51="","",IF(INDEX('_pockets'!$AO:$AO,$S51)="","",INDEX('_pockets'!$AO:$AO,$S51)))</f>
        <v/>
      </c>
      <c r="L51" s="96">
        <f>IF($S51="","",IF(INDEX('_pockets'!$AC:$AC,$S51)="","",INDEX('_pockets'!$AC:$AC,$S51)))</f>
        <v/>
      </c>
      <c r="M51" s="95">
        <f>IF($R51="","",IF(INDEX('_list'!$L$2:$L$246,$R51)="","",INDEX('_list'!$L$2:$L$246,$R51)))</f>
        <v/>
      </c>
      <c r="N51" s="94">
        <f>IF($R51="","",IF(INDEX('_list'!$H$2:$H$246,$R51)="","",INDEX('_list'!$H$2:$H$246,$R51)))</f>
        <v/>
      </c>
      <c r="O51" s="91">
        <f>IF($R51="","",IF(INDEX('_list'!$I$2:$I$246,$R51)="","",INDEX('_list'!$I$2:$I$246,$R51)))</f>
        <v/>
      </c>
      <c r="R51">
        <f>IFERROR(MATCH(32,'_list'!$N$2:$N$246,0),"")</f>
        <v/>
      </c>
      <c r="S51">
        <f>IF($R51="","",INDEX('_list'!$C$2:$C$246,$R51))</f>
        <v/>
      </c>
    </row>
    <row r="52" ht="16" customHeight="1">
      <c r="B52" s="90">
        <f>IF($R52="","",33)</f>
        <v/>
      </c>
      <c r="C52" s="91">
        <f>IF($R52="","",IF(INDEX('_list'!$D$2:$D$246,$R52)="","",INDEX('_list'!$D$2:$D$246,$R52)))</f>
        <v/>
      </c>
      <c r="D52" s="91">
        <f>IF($R52="","",IF(INDEX('_list'!$E$2:$E$246,$R52)="","",INDEX('_list'!$E$2:$E$246,$R52)))</f>
        <v/>
      </c>
      <c r="E52" s="91">
        <f>IF($R52="","",IF(INDEX('_list'!$F$2:$F$246,$R52)="","",INDEX('_list'!$F$2:$F$246,$R52)))</f>
        <v/>
      </c>
      <c r="F52" s="92">
        <f>IF($R52="","",IF(INDEX('_list'!$G$2:$G$246,$R52)="","",INDEX('_list'!$G$2:$G$246,$R52)))</f>
        <v/>
      </c>
      <c r="G52" s="93">
        <f>IF($S52="","",IF(INDEX('_pockets'!$AH:$AH,$S52)="","",INDEX('_pockets'!$AH:$AH,$S52)))</f>
        <v/>
      </c>
      <c r="H52" s="93">
        <f>IF($S52="","",IF(INDEX('_pockets'!$AF:$AF,$S52)="","",INDEX('_pockets'!$AF:$AF,$S52)))</f>
        <v/>
      </c>
      <c r="I52" s="94">
        <f>IF(IF($S52="","",IF(INDEX('_pockets'!$AB:$AB,$S52)="","",INDEX('_pockets'!$AB:$AB,$S52)))="","",IF($S52="","",IF(INDEX('_pockets'!$AB:$AB,$S52)="","",INDEX('_pockets'!$AB:$AB,$S52)))*IF($U$18,100,1))</f>
        <v/>
      </c>
      <c r="J52" s="92">
        <f>IF($S52="","",IF(INDEX('_pockets'!$Z:$Z,$S52)="","",INDEX('_pockets'!$Z:$Z,$S52)))</f>
        <v/>
      </c>
      <c r="K52" s="95">
        <f>IF($S52="","",IF(INDEX('_pockets'!$AO:$AO,$S52)="","",INDEX('_pockets'!$AO:$AO,$S52)))</f>
        <v/>
      </c>
      <c r="L52" s="96">
        <f>IF($S52="","",IF(INDEX('_pockets'!$AC:$AC,$S52)="","",INDEX('_pockets'!$AC:$AC,$S52)))</f>
        <v/>
      </c>
      <c r="M52" s="95">
        <f>IF($R52="","",IF(INDEX('_list'!$L$2:$L$246,$R52)="","",INDEX('_list'!$L$2:$L$246,$R52)))</f>
        <v/>
      </c>
      <c r="N52" s="94">
        <f>IF($R52="","",IF(INDEX('_list'!$H$2:$H$246,$R52)="","",INDEX('_list'!$H$2:$H$246,$R52)))</f>
        <v/>
      </c>
      <c r="O52" s="91">
        <f>IF($R52="","",IF(INDEX('_list'!$I$2:$I$246,$R52)="","",INDEX('_list'!$I$2:$I$246,$R52)))</f>
        <v/>
      </c>
      <c r="R52">
        <f>IFERROR(MATCH(33,'_list'!$N$2:$N$246,0),"")</f>
        <v/>
      </c>
      <c r="S52">
        <f>IF($R52="","",INDEX('_list'!$C$2:$C$246,$R52))</f>
        <v/>
      </c>
    </row>
    <row r="53" ht="16" customHeight="1">
      <c r="B53" s="90">
        <f>IF($R53="","",34)</f>
        <v/>
      </c>
      <c r="C53" s="91">
        <f>IF($R53="","",IF(INDEX('_list'!$D$2:$D$246,$R53)="","",INDEX('_list'!$D$2:$D$246,$R53)))</f>
        <v/>
      </c>
      <c r="D53" s="91">
        <f>IF($R53="","",IF(INDEX('_list'!$E$2:$E$246,$R53)="","",INDEX('_list'!$E$2:$E$246,$R53)))</f>
        <v/>
      </c>
      <c r="E53" s="91">
        <f>IF($R53="","",IF(INDEX('_list'!$F$2:$F$246,$R53)="","",INDEX('_list'!$F$2:$F$246,$R53)))</f>
        <v/>
      </c>
      <c r="F53" s="92">
        <f>IF($R53="","",IF(INDEX('_list'!$G$2:$G$246,$R53)="","",INDEX('_list'!$G$2:$G$246,$R53)))</f>
        <v/>
      </c>
      <c r="G53" s="93">
        <f>IF($S53="","",IF(INDEX('_pockets'!$AH:$AH,$S53)="","",INDEX('_pockets'!$AH:$AH,$S53)))</f>
        <v/>
      </c>
      <c r="H53" s="93">
        <f>IF($S53="","",IF(INDEX('_pockets'!$AF:$AF,$S53)="","",INDEX('_pockets'!$AF:$AF,$S53)))</f>
        <v/>
      </c>
      <c r="I53" s="94">
        <f>IF(IF($S53="","",IF(INDEX('_pockets'!$AB:$AB,$S53)="","",INDEX('_pockets'!$AB:$AB,$S53)))="","",IF($S53="","",IF(INDEX('_pockets'!$AB:$AB,$S53)="","",INDEX('_pockets'!$AB:$AB,$S53)))*IF($U$18,100,1))</f>
        <v/>
      </c>
      <c r="J53" s="92">
        <f>IF($S53="","",IF(INDEX('_pockets'!$Z:$Z,$S53)="","",INDEX('_pockets'!$Z:$Z,$S53)))</f>
        <v/>
      </c>
      <c r="K53" s="95">
        <f>IF($S53="","",IF(INDEX('_pockets'!$AO:$AO,$S53)="","",INDEX('_pockets'!$AO:$AO,$S53)))</f>
        <v/>
      </c>
      <c r="L53" s="96">
        <f>IF($S53="","",IF(INDEX('_pockets'!$AC:$AC,$S53)="","",INDEX('_pockets'!$AC:$AC,$S53)))</f>
        <v/>
      </c>
      <c r="M53" s="95">
        <f>IF($R53="","",IF(INDEX('_list'!$L$2:$L$246,$R53)="","",INDEX('_list'!$L$2:$L$246,$R53)))</f>
        <v/>
      </c>
      <c r="N53" s="94">
        <f>IF($R53="","",IF(INDEX('_list'!$H$2:$H$246,$R53)="","",INDEX('_list'!$H$2:$H$246,$R53)))</f>
        <v/>
      </c>
      <c r="O53" s="91">
        <f>IF($R53="","",IF(INDEX('_list'!$I$2:$I$246,$R53)="","",INDEX('_list'!$I$2:$I$246,$R53)))</f>
        <v/>
      </c>
      <c r="R53">
        <f>IFERROR(MATCH(34,'_list'!$N$2:$N$246,0),"")</f>
        <v/>
      </c>
      <c r="S53">
        <f>IF($R53="","",INDEX('_list'!$C$2:$C$246,$R53))</f>
        <v/>
      </c>
    </row>
    <row r="54" ht="16" customHeight="1">
      <c r="B54" s="90">
        <f>IF($R54="","",35)</f>
        <v/>
      </c>
      <c r="C54" s="91">
        <f>IF($R54="","",IF(INDEX('_list'!$D$2:$D$246,$R54)="","",INDEX('_list'!$D$2:$D$246,$R54)))</f>
        <v/>
      </c>
      <c r="D54" s="91">
        <f>IF($R54="","",IF(INDEX('_list'!$E$2:$E$246,$R54)="","",INDEX('_list'!$E$2:$E$246,$R54)))</f>
        <v/>
      </c>
      <c r="E54" s="91">
        <f>IF($R54="","",IF(INDEX('_list'!$F$2:$F$246,$R54)="","",INDEX('_list'!$F$2:$F$246,$R54)))</f>
        <v/>
      </c>
      <c r="F54" s="92">
        <f>IF($R54="","",IF(INDEX('_list'!$G$2:$G$246,$R54)="","",INDEX('_list'!$G$2:$G$246,$R54)))</f>
        <v/>
      </c>
      <c r="G54" s="93">
        <f>IF($S54="","",IF(INDEX('_pockets'!$AH:$AH,$S54)="","",INDEX('_pockets'!$AH:$AH,$S54)))</f>
        <v/>
      </c>
      <c r="H54" s="93">
        <f>IF($S54="","",IF(INDEX('_pockets'!$AF:$AF,$S54)="","",INDEX('_pockets'!$AF:$AF,$S54)))</f>
        <v/>
      </c>
      <c r="I54" s="94">
        <f>IF(IF($S54="","",IF(INDEX('_pockets'!$AB:$AB,$S54)="","",INDEX('_pockets'!$AB:$AB,$S54)))="","",IF($S54="","",IF(INDEX('_pockets'!$AB:$AB,$S54)="","",INDEX('_pockets'!$AB:$AB,$S54)))*IF($U$18,100,1))</f>
        <v/>
      </c>
      <c r="J54" s="92">
        <f>IF($S54="","",IF(INDEX('_pockets'!$Z:$Z,$S54)="","",INDEX('_pockets'!$Z:$Z,$S54)))</f>
        <v/>
      </c>
      <c r="K54" s="95">
        <f>IF($S54="","",IF(INDEX('_pockets'!$AO:$AO,$S54)="","",INDEX('_pockets'!$AO:$AO,$S54)))</f>
        <v/>
      </c>
      <c r="L54" s="96">
        <f>IF($S54="","",IF(INDEX('_pockets'!$AC:$AC,$S54)="","",INDEX('_pockets'!$AC:$AC,$S54)))</f>
        <v/>
      </c>
      <c r="M54" s="95">
        <f>IF($R54="","",IF(INDEX('_list'!$L$2:$L$246,$R54)="","",INDEX('_list'!$L$2:$L$246,$R54)))</f>
        <v/>
      </c>
      <c r="N54" s="94">
        <f>IF($R54="","",IF(INDEX('_list'!$H$2:$H$246,$R54)="","",INDEX('_list'!$H$2:$H$246,$R54)))</f>
        <v/>
      </c>
      <c r="O54" s="91">
        <f>IF($R54="","",IF(INDEX('_list'!$I$2:$I$246,$R54)="","",INDEX('_list'!$I$2:$I$246,$R54)))</f>
        <v/>
      </c>
      <c r="R54">
        <f>IFERROR(MATCH(35,'_list'!$N$2:$N$246,0),"")</f>
        <v/>
      </c>
      <c r="S54">
        <f>IF($R54="","",INDEX('_list'!$C$2:$C$246,$R54))</f>
        <v/>
      </c>
    </row>
    <row r="55" ht="16" customHeight="1">
      <c r="B55" s="90">
        <f>IF($R55="","",36)</f>
        <v/>
      </c>
      <c r="C55" s="91">
        <f>IF($R55="","",IF(INDEX('_list'!$D$2:$D$246,$R55)="","",INDEX('_list'!$D$2:$D$246,$R55)))</f>
        <v/>
      </c>
      <c r="D55" s="91">
        <f>IF($R55="","",IF(INDEX('_list'!$E$2:$E$246,$R55)="","",INDEX('_list'!$E$2:$E$246,$R55)))</f>
        <v/>
      </c>
      <c r="E55" s="91">
        <f>IF($R55="","",IF(INDEX('_list'!$F$2:$F$246,$R55)="","",INDEX('_list'!$F$2:$F$246,$R55)))</f>
        <v/>
      </c>
      <c r="F55" s="92">
        <f>IF($R55="","",IF(INDEX('_list'!$G$2:$G$246,$R55)="","",INDEX('_list'!$G$2:$G$246,$R55)))</f>
        <v/>
      </c>
      <c r="G55" s="93">
        <f>IF($S55="","",IF(INDEX('_pockets'!$AH:$AH,$S55)="","",INDEX('_pockets'!$AH:$AH,$S55)))</f>
        <v/>
      </c>
      <c r="H55" s="93">
        <f>IF($S55="","",IF(INDEX('_pockets'!$AF:$AF,$S55)="","",INDEX('_pockets'!$AF:$AF,$S55)))</f>
        <v/>
      </c>
      <c r="I55" s="94">
        <f>IF(IF($S55="","",IF(INDEX('_pockets'!$AB:$AB,$S55)="","",INDEX('_pockets'!$AB:$AB,$S55)))="","",IF($S55="","",IF(INDEX('_pockets'!$AB:$AB,$S55)="","",INDEX('_pockets'!$AB:$AB,$S55)))*IF($U$18,100,1))</f>
        <v/>
      </c>
      <c r="J55" s="92">
        <f>IF($S55="","",IF(INDEX('_pockets'!$Z:$Z,$S55)="","",INDEX('_pockets'!$Z:$Z,$S55)))</f>
        <v/>
      </c>
      <c r="K55" s="95">
        <f>IF($S55="","",IF(INDEX('_pockets'!$AO:$AO,$S55)="","",INDEX('_pockets'!$AO:$AO,$S55)))</f>
        <v/>
      </c>
      <c r="L55" s="96">
        <f>IF($S55="","",IF(INDEX('_pockets'!$AC:$AC,$S55)="","",INDEX('_pockets'!$AC:$AC,$S55)))</f>
        <v/>
      </c>
      <c r="M55" s="95">
        <f>IF($R55="","",IF(INDEX('_list'!$L$2:$L$246,$R55)="","",INDEX('_list'!$L$2:$L$246,$R55)))</f>
        <v/>
      </c>
      <c r="N55" s="94">
        <f>IF($R55="","",IF(INDEX('_list'!$H$2:$H$246,$R55)="","",INDEX('_list'!$H$2:$H$246,$R55)))</f>
        <v/>
      </c>
      <c r="O55" s="91">
        <f>IF($R55="","",IF(INDEX('_list'!$I$2:$I$246,$R55)="","",INDEX('_list'!$I$2:$I$246,$R55)))</f>
        <v/>
      </c>
      <c r="R55">
        <f>IFERROR(MATCH(36,'_list'!$N$2:$N$246,0),"")</f>
        <v/>
      </c>
      <c r="S55">
        <f>IF($R55="","",INDEX('_list'!$C$2:$C$246,$R55))</f>
        <v/>
      </c>
    </row>
    <row r="56" ht="16" customHeight="1">
      <c r="B56" s="90">
        <f>IF($R56="","",37)</f>
        <v/>
      </c>
      <c r="C56" s="91">
        <f>IF($R56="","",IF(INDEX('_list'!$D$2:$D$246,$R56)="","",INDEX('_list'!$D$2:$D$246,$R56)))</f>
        <v/>
      </c>
      <c r="D56" s="91">
        <f>IF($R56="","",IF(INDEX('_list'!$E$2:$E$246,$R56)="","",INDEX('_list'!$E$2:$E$246,$R56)))</f>
        <v/>
      </c>
      <c r="E56" s="91">
        <f>IF($R56="","",IF(INDEX('_list'!$F$2:$F$246,$R56)="","",INDEX('_list'!$F$2:$F$246,$R56)))</f>
        <v/>
      </c>
      <c r="F56" s="92">
        <f>IF($R56="","",IF(INDEX('_list'!$G$2:$G$246,$R56)="","",INDEX('_list'!$G$2:$G$246,$R56)))</f>
        <v/>
      </c>
      <c r="G56" s="93">
        <f>IF($S56="","",IF(INDEX('_pockets'!$AH:$AH,$S56)="","",INDEX('_pockets'!$AH:$AH,$S56)))</f>
        <v/>
      </c>
      <c r="H56" s="93">
        <f>IF($S56="","",IF(INDEX('_pockets'!$AF:$AF,$S56)="","",INDEX('_pockets'!$AF:$AF,$S56)))</f>
        <v/>
      </c>
      <c r="I56" s="94">
        <f>IF(IF($S56="","",IF(INDEX('_pockets'!$AB:$AB,$S56)="","",INDEX('_pockets'!$AB:$AB,$S56)))="","",IF($S56="","",IF(INDEX('_pockets'!$AB:$AB,$S56)="","",INDEX('_pockets'!$AB:$AB,$S56)))*IF($U$18,100,1))</f>
        <v/>
      </c>
      <c r="J56" s="92">
        <f>IF($S56="","",IF(INDEX('_pockets'!$Z:$Z,$S56)="","",INDEX('_pockets'!$Z:$Z,$S56)))</f>
        <v/>
      </c>
      <c r="K56" s="95">
        <f>IF($S56="","",IF(INDEX('_pockets'!$AO:$AO,$S56)="","",INDEX('_pockets'!$AO:$AO,$S56)))</f>
        <v/>
      </c>
      <c r="L56" s="96">
        <f>IF($S56="","",IF(INDEX('_pockets'!$AC:$AC,$S56)="","",INDEX('_pockets'!$AC:$AC,$S56)))</f>
        <v/>
      </c>
      <c r="M56" s="95">
        <f>IF($R56="","",IF(INDEX('_list'!$L$2:$L$246,$R56)="","",INDEX('_list'!$L$2:$L$246,$R56)))</f>
        <v/>
      </c>
      <c r="N56" s="94">
        <f>IF($R56="","",IF(INDEX('_list'!$H$2:$H$246,$R56)="","",INDEX('_list'!$H$2:$H$246,$R56)))</f>
        <v/>
      </c>
      <c r="O56" s="91">
        <f>IF($R56="","",IF(INDEX('_list'!$I$2:$I$246,$R56)="","",INDEX('_list'!$I$2:$I$246,$R56)))</f>
        <v/>
      </c>
      <c r="R56">
        <f>IFERROR(MATCH(37,'_list'!$N$2:$N$246,0),"")</f>
        <v/>
      </c>
      <c r="S56">
        <f>IF($R56="","",INDEX('_list'!$C$2:$C$246,$R56))</f>
        <v/>
      </c>
    </row>
    <row r="57" ht="16" customHeight="1">
      <c r="B57" s="90">
        <f>IF($R57="","",38)</f>
        <v/>
      </c>
      <c r="C57" s="91">
        <f>IF($R57="","",IF(INDEX('_list'!$D$2:$D$246,$R57)="","",INDEX('_list'!$D$2:$D$246,$R57)))</f>
        <v/>
      </c>
      <c r="D57" s="91">
        <f>IF($R57="","",IF(INDEX('_list'!$E$2:$E$246,$R57)="","",INDEX('_list'!$E$2:$E$246,$R57)))</f>
        <v/>
      </c>
      <c r="E57" s="91">
        <f>IF($R57="","",IF(INDEX('_list'!$F$2:$F$246,$R57)="","",INDEX('_list'!$F$2:$F$246,$R57)))</f>
        <v/>
      </c>
      <c r="F57" s="92">
        <f>IF($R57="","",IF(INDEX('_list'!$G$2:$G$246,$R57)="","",INDEX('_list'!$G$2:$G$246,$R57)))</f>
        <v/>
      </c>
      <c r="G57" s="93">
        <f>IF($S57="","",IF(INDEX('_pockets'!$AH:$AH,$S57)="","",INDEX('_pockets'!$AH:$AH,$S57)))</f>
        <v/>
      </c>
      <c r="H57" s="93">
        <f>IF($S57="","",IF(INDEX('_pockets'!$AF:$AF,$S57)="","",INDEX('_pockets'!$AF:$AF,$S57)))</f>
        <v/>
      </c>
      <c r="I57" s="94">
        <f>IF(IF($S57="","",IF(INDEX('_pockets'!$AB:$AB,$S57)="","",INDEX('_pockets'!$AB:$AB,$S57)))="","",IF($S57="","",IF(INDEX('_pockets'!$AB:$AB,$S57)="","",INDEX('_pockets'!$AB:$AB,$S57)))*IF($U$18,100,1))</f>
        <v/>
      </c>
      <c r="J57" s="92">
        <f>IF($S57="","",IF(INDEX('_pockets'!$Z:$Z,$S57)="","",INDEX('_pockets'!$Z:$Z,$S57)))</f>
        <v/>
      </c>
      <c r="K57" s="95">
        <f>IF($S57="","",IF(INDEX('_pockets'!$AO:$AO,$S57)="","",INDEX('_pockets'!$AO:$AO,$S57)))</f>
        <v/>
      </c>
      <c r="L57" s="96">
        <f>IF($S57="","",IF(INDEX('_pockets'!$AC:$AC,$S57)="","",INDEX('_pockets'!$AC:$AC,$S57)))</f>
        <v/>
      </c>
      <c r="M57" s="95">
        <f>IF($R57="","",IF(INDEX('_list'!$L$2:$L$246,$R57)="","",INDEX('_list'!$L$2:$L$246,$R57)))</f>
        <v/>
      </c>
      <c r="N57" s="94">
        <f>IF($R57="","",IF(INDEX('_list'!$H$2:$H$246,$R57)="","",INDEX('_list'!$H$2:$H$246,$R57)))</f>
        <v/>
      </c>
      <c r="O57" s="91">
        <f>IF($R57="","",IF(INDEX('_list'!$I$2:$I$246,$R57)="","",INDEX('_list'!$I$2:$I$246,$R57)))</f>
        <v/>
      </c>
      <c r="R57">
        <f>IFERROR(MATCH(38,'_list'!$N$2:$N$246,0),"")</f>
        <v/>
      </c>
      <c r="S57">
        <f>IF($R57="","",INDEX('_list'!$C$2:$C$246,$R57))</f>
        <v/>
      </c>
    </row>
    <row r="58" ht="16" customHeight="1">
      <c r="B58" s="90">
        <f>IF($R58="","",39)</f>
        <v/>
      </c>
      <c r="C58" s="91">
        <f>IF($R58="","",IF(INDEX('_list'!$D$2:$D$246,$R58)="","",INDEX('_list'!$D$2:$D$246,$R58)))</f>
        <v/>
      </c>
      <c r="D58" s="91">
        <f>IF($R58="","",IF(INDEX('_list'!$E$2:$E$246,$R58)="","",INDEX('_list'!$E$2:$E$246,$R58)))</f>
        <v/>
      </c>
      <c r="E58" s="91">
        <f>IF($R58="","",IF(INDEX('_list'!$F$2:$F$246,$R58)="","",INDEX('_list'!$F$2:$F$246,$R58)))</f>
        <v/>
      </c>
      <c r="F58" s="92">
        <f>IF($R58="","",IF(INDEX('_list'!$G$2:$G$246,$R58)="","",INDEX('_list'!$G$2:$G$246,$R58)))</f>
        <v/>
      </c>
      <c r="G58" s="93">
        <f>IF($S58="","",IF(INDEX('_pockets'!$AH:$AH,$S58)="","",INDEX('_pockets'!$AH:$AH,$S58)))</f>
        <v/>
      </c>
      <c r="H58" s="93">
        <f>IF($S58="","",IF(INDEX('_pockets'!$AF:$AF,$S58)="","",INDEX('_pockets'!$AF:$AF,$S58)))</f>
        <v/>
      </c>
      <c r="I58" s="94">
        <f>IF(IF($S58="","",IF(INDEX('_pockets'!$AB:$AB,$S58)="","",INDEX('_pockets'!$AB:$AB,$S58)))="","",IF($S58="","",IF(INDEX('_pockets'!$AB:$AB,$S58)="","",INDEX('_pockets'!$AB:$AB,$S58)))*IF($U$18,100,1))</f>
        <v/>
      </c>
      <c r="J58" s="92">
        <f>IF($S58="","",IF(INDEX('_pockets'!$Z:$Z,$S58)="","",INDEX('_pockets'!$Z:$Z,$S58)))</f>
        <v/>
      </c>
      <c r="K58" s="95">
        <f>IF($S58="","",IF(INDEX('_pockets'!$AO:$AO,$S58)="","",INDEX('_pockets'!$AO:$AO,$S58)))</f>
        <v/>
      </c>
      <c r="L58" s="96">
        <f>IF($S58="","",IF(INDEX('_pockets'!$AC:$AC,$S58)="","",INDEX('_pockets'!$AC:$AC,$S58)))</f>
        <v/>
      </c>
      <c r="M58" s="95">
        <f>IF($R58="","",IF(INDEX('_list'!$L$2:$L$246,$R58)="","",INDEX('_list'!$L$2:$L$246,$R58)))</f>
        <v/>
      </c>
      <c r="N58" s="94">
        <f>IF($R58="","",IF(INDEX('_list'!$H$2:$H$246,$R58)="","",INDEX('_list'!$H$2:$H$246,$R58)))</f>
        <v/>
      </c>
      <c r="O58" s="91">
        <f>IF($R58="","",IF(INDEX('_list'!$I$2:$I$246,$R58)="","",INDEX('_list'!$I$2:$I$246,$R58)))</f>
        <v/>
      </c>
      <c r="R58">
        <f>IFERROR(MATCH(39,'_list'!$N$2:$N$246,0),"")</f>
        <v/>
      </c>
      <c r="S58">
        <f>IF($R58="","",INDEX('_list'!$C$2:$C$246,$R58))</f>
        <v/>
      </c>
    </row>
    <row r="59" ht="16" customHeight="1">
      <c r="B59" s="90">
        <f>IF($R59="","",40)</f>
        <v/>
      </c>
      <c r="C59" s="91">
        <f>IF($R59="","",IF(INDEX('_list'!$D$2:$D$246,$R59)="","",INDEX('_list'!$D$2:$D$246,$R59)))</f>
        <v/>
      </c>
      <c r="D59" s="91">
        <f>IF($R59="","",IF(INDEX('_list'!$E$2:$E$246,$R59)="","",INDEX('_list'!$E$2:$E$246,$R59)))</f>
        <v/>
      </c>
      <c r="E59" s="91">
        <f>IF($R59="","",IF(INDEX('_list'!$F$2:$F$246,$R59)="","",INDEX('_list'!$F$2:$F$246,$R59)))</f>
        <v/>
      </c>
      <c r="F59" s="92">
        <f>IF($R59="","",IF(INDEX('_list'!$G$2:$G$246,$R59)="","",INDEX('_list'!$G$2:$G$246,$R59)))</f>
        <v/>
      </c>
      <c r="G59" s="93">
        <f>IF($S59="","",IF(INDEX('_pockets'!$AH:$AH,$S59)="","",INDEX('_pockets'!$AH:$AH,$S59)))</f>
        <v/>
      </c>
      <c r="H59" s="93">
        <f>IF($S59="","",IF(INDEX('_pockets'!$AF:$AF,$S59)="","",INDEX('_pockets'!$AF:$AF,$S59)))</f>
        <v/>
      </c>
      <c r="I59" s="94">
        <f>IF(IF($S59="","",IF(INDEX('_pockets'!$AB:$AB,$S59)="","",INDEX('_pockets'!$AB:$AB,$S59)))="","",IF($S59="","",IF(INDEX('_pockets'!$AB:$AB,$S59)="","",INDEX('_pockets'!$AB:$AB,$S59)))*IF($U$18,100,1))</f>
        <v/>
      </c>
      <c r="J59" s="92">
        <f>IF($S59="","",IF(INDEX('_pockets'!$Z:$Z,$S59)="","",INDEX('_pockets'!$Z:$Z,$S59)))</f>
        <v/>
      </c>
      <c r="K59" s="95">
        <f>IF($S59="","",IF(INDEX('_pockets'!$AO:$AO,$S59)="","",INDEX('_pockets'!$AO:$AO,$S59)))</f>
        <v/>
      </c>
      <c r="L59" s="96">
        <f>IF($S59="","",IF(INDEX('_pockets'!$AC:$AC,$S59)="","",INDEX('_pockets'!$AC:$AC,$S59)))</f>
        <v/>
      </c>
      <c r="M59" s="95">
        <f>IF($R59="","",IF(INDEX('_list'!$L$2:$L$246,$R59)="","",INDEX('_list'!$L$2:$L$246,$R59)))</f>
        <v/>
      </c>
      <c r="N59" s="94">
        <f>IF($R59="","",IF(INDEX('_list'!$H$2:$H$246,$R59)="","",INDEX('_list'!$H$2:$H$246,$R59)))</f>
        <v/>
      </c>
      <c r="O59" s="91">
        <f>IF($R59="","",IF(INDEX('_list'!$I$2:$I$246,$R59)="","",INDEX('_list'!$I$2:$I$246,$R59)))</f>
        <v/>
      </c>
      <c r="R59">
        <f>IFERROR(MATCH(40,'_list'!$N$2:$N$246,0),"")</f>
        <v/>
      </c>
      <c r="S59">
        <f>IF($R59="","",INDEX('_list'!$C$2:$C$246,$R59))</f>
        <v/>
      </c>
    </row>
    <row r="60" ht="16" customHeight="1">
      <c r="B60" s="90">
        <f>IF($R60="","",41)</f>
        <v/>
      </c>
      <c r="C60" s="91">
        <f>IF($R60="","",IF(INDEX('_list'!$D$2:$D$246,$R60)="","",INDEX('_list'!$D$2:$D$246,$R60)))</f>
        <v/>
      </c>
      <c r="D60" s="91">
        <f>IF($R60="","",IF(INDEX('_list'!$E$2:$E$246,$R60)="","",INDEX('_list'!$E$2:$E$246,$R60)))</f>
        <v/>
      </c>
      <c r="E60" s="91">
        <f>IF($R60="","",IF(INDEX('_list'!$F$2:$F$246,$R60)="","",INDEX('_list'!$F$2:$F$246,$R60)))</f>
        <v/>
      </c>
      <c r="F60" s="92">
        <f>IF($R60="","",IF(INDEX('_list'!$G$2:$G$246,$R60)="","",INDEX('_list'!$G$2:$G$246,$R60)))</f>
        <v/>
      </c>
      <c r="G60" s="93">
        <f>IF($S60="","",IF(INDEX('_pockets'!$AH:$AH,$S60)="","",INDEX('_pockets'!$AH:$AH,$S60)))</f>
        <v/>
      </c>
      <c r="H60" s="93">
        <f>IF($S60="","",IF(INDEX('_pockets'!$AF:$AF,$S60)="","",INDEX('_pockets'!$AF:$AF,$S60)))</f>
        <v/>
      </c>
      <c r="I60" s="94">
        <f>IF(IF($S60="","",IF(INDEX('_pockets'!$AB:$AB,$S60)="","",INDEX('_pockets'!$AB:$AB,$S60)))="","",IF($S60="","",IF(INDEX('_pockets'!$AB:$AB,$S60)="","",INDEX('_pockets'!$AB:$AB,$S60)))*IF($U$18,100,1))</f>
        <v/>
      </c>
      <c r="J60" s="92">
        <f>IF($S60="","",IF(INDEX('_pockets'!$Z:$Z,$S60)="","",INDEX('_pockets'!$Z:$Z,$S60)))</f>
        <v/>
      </c>
      <c r="K60" s="95">
        <f>IF($S60="","",IF(INDEX('_pockets'!$AO:$AO,$S60)="","",INDEX('_pockets'!$AO:$AO,$S60)))</f>
        <v/>
      </c>
      <c r="L60" s="96">
        <f>IF($S60="","",IF(INDEX('_pockets'!$AC:$AC,$S60)="","",INDEX('_pockets'!$AC:$AC,$S60)))</f>
        <v/>
      </c>
      <c r="M60" s="95">
        <f>IF($R60="","",IF(INDEX('_list'!$L$2:$L$246,$R60)="","",INDEX('_list'!$L$2:$L$246,$R60)))</f>
        <v/>
      </c>
      <c r="N60" s="94">
        <f>IF($R60="","",IF(INDEX('_list'!$H$2:$H$246,$R60)="","",INDEX('_list'!$H$2:$H$246,$R60)))</f>
        <v/>
      </c>
      <c r="O60" s="91">
        <f>IF($R60="","",IF(INDEX('_list'!$I$2:$I$246,$R60)="","",INDEX('_list'!$I$2:$I$246,$R60)))</f>
        <v/>
      </c>
      <c r="R60">
        <f>IFERROR(MATCH(41,'_list'!$N$2:$N$246,0),"")</f>
        <v/>
      </c>
      <c r="S60">
        <f>IF($R60="","",INDEX('_list'!$C$2:$C$246,$R60))</f>
        <v/>
      </c>
    </row>
    <row r="61" ht="16" customHeight="1">
      <c r="B61" s="90">
        <f>IF($R61="","",42)</f>
        <v/>
      </c>
      <c r="C61" s="91">
        <f>IF($R61="","",IF(INDEX('_list'!$D$2:$D$246,$R61)="","",INDEX('_list'!$D$2:$D$246,$R61)))</f>
        <v/>
      </c>
      <c r="D61" s="91">
        <f>IF($R61="","",IF(INDEX('_list'!$E$2:$E$246,$R61)="","",INDEX('_list'!$E$2:$E$246,$R61)))</f>
        <v/>
      </c>
      <c r="E61" s="91">
        <f>IF($R61="","",IF(INDEX('_list'!$F$2:$F$246,$R61)="","",INDEX('_list'!$F$2:$F$246,$R61)))</f>
        <v/>
      </c>
      <c r="F61" s="92">
        <f>IF($R61="","",IF(INDEX('_list'!$G$2:$G$246,$R61)="","",INDEX('_list'!$G$2:$G$246,$R61)))</f>
        <v/>
      </c>
      <c r="G61" s="93">
        <f>IF($S61="","",IF(INDEX('_pockets'!$AH:$AH,$S61)="","",INDEX('_pockets'!$AH:$AH,$S61)))</f>
        <v/>
      </c>
      <c r="H61" s="93">
        <f>IF($S61="","",IF(INDEX('_pockets'!$AF:$AF,$S61)="","",INDEX('_pockets'!$AF:$AF,$S61)))</f>
        <v/>
      </c>
      <c r="I61" s="94">
        <f>IF(IF($S61="","",IF(INDEX('_pockets'!$AB:$AB,$S61)="","",INDEX('_pockets'!$AB:$AB,$S61)))="","",IF($S61="","",IF(INDEX('_pockets'!$AB:$AB,$S61)="","",INDEX('_pockets'!$AB:$AB,$S61)))*IF($U$18,100,1))</f>
        <v/>
      </c>
      <c r="J61" s="92">
        <f>IF($S61="","",IF(INDEX('_pockets'!$Z:$Z,$S61)="","",INDEX('_pockets'!$Z:$Z,$S61)))</f>
        <v/>
      </c>
      <c r="K61" s="95">
        <f>IF($S61="","",IF(INDEX('_pockets'!$AO:$AO,$S61)="","",INDEX('_pockets'!$AO:$AO,$S61)))</f>
        <v/>
      </c>
      <c r="L61" s="96">
        <f>IF($S61="","",IF(INDEX('_pockets'!$AC:$AC,$S61)="","",INDEX('_pockets'!$AC:$AC,$S61)))</f>
        <v/>
      </c>
      <c r="M61" s="95">
        <f>IF($R61="","",IF(INDEX('_list'!$L$2:$L$246,$R61)="","",INDEX('_list'!$L$2:$L$246,$R61)))</f>
        <v/>
      </c>
      <c r="N61" s="94">
        <f>IF($R61="","",IF(INDEX('_list'!$H$2:$H$246,$R61)="","",INDEX('_list'!$H$2:$H$246,$R61)))</f>
        <v/>
      </c>
      <c r="O61" s="91">
        <f>IF($R61="","",IF(INDEX('_list'!$I$2:$I$246,$R61)="","",INDEX('_list'!$I$2:$I$246,$R61)))</f>
        <v/>
      </c>
      <c r="R61">
        <f>IFERROR(MATCH(42,'_list'!$N$2:$N$246,0),"")</f>
        <v/>
      </c>
      <c r="S61">
        <f>IF($R61="","",INDEX('_list'!$C$2:$C$246,$R61))</f>
        <v/>
      </c>
    </row>
    <row r="62" ht="16" customHeight="1">
      <c r="B62" s="90">
        <f>IF($R62="","",43)</f>
        <v/>
      </c>
      <c r="C62" s="91">
        <f>IF($R62="","",IF(INDEX('_list'!$D$2:$D$246,$R62)="","",INDEX('_list'!$D$2:$D$246,$R62)))</f>
        <v/>
      </c>
      <c r="D62" s="91">
        <f>IF($R62="","",IF(INDEX('_list'!$E$2:$E$246,$R62)="","",INDEX('_list'!$E$2:$E$246,$R62)))</f>
        <v/>
      </c>
      <c r="E62" s="91">
        <f>IF($R62="","",IF(INDEX('_list'!$F$2:$F$246,$R62)="","",INDEX('_list'!$F$2:$F$246,$R62)))</f>
        <v/>
      </c>
      <c r="F62" s="92">
        <f>IF($R62="","",IF(INDEX('_list'!$G$2:$G$246,$R62)="","",INDEX('_list'!$G$2:$G$246,$R62)))</f>
        <v/>
      </c>
      <c r="G62" s="93">
        <f>IF($S62="","",IF(INDEX('_pockets'!$AH:$AH,$S62)="","",INDEX('_pockets'!$AH:$AH,$S62)))</f>
        <v/>
      </c>
      <c r="H62" s="93">
        <f>IF($S62="","",IF(INDEX('_pockets'!$AF:$AF,$S62)="","",INDEX('_pockets'!$AF:$AF,$S62)))</f>
        <v/>
      </c>
      <c r="I62" s="94">
        <f>IF(IF($S62="","",IF(INDEX('_pockets'!$AB:$AB,$S62)="","",INDEX('_pockets'!$AB:$AB,$S62)))="","",IF($S62="","",IF(INDEX('_pockets'!$AB:$AB,$S62)="","",INDEX('_pockets'!$AB:$AB,$S62)))*IF($U$18,100,1))</f>
        <v/>
      </c>
      <c r="J62" s="92">
        <f>IF($S62="","",IF(INDEX('_pockets'!$Z:$Z,$S62)="","",INDEX('_pockets'!$Z:$Z,$S62)))</f>
        <v/>
      </c>
      <c r="K62" s="95">
        <f>IF($S62="","",IF(INDEX('_pockets'!$AO:$AO,$S62)="","",INDEX('_pockets'!$AO:$AO,$S62)))</f>
        <v/>
      </c>
      <c r="L62" s="96">
        <f>IF($S62="","",IF(INDEX('_pockets'!$AC:$AC,$S62)="","",INDEX('_pockets'!$AC:$AC,$S62)))</f>
        <v/>
      </c>
      <c r="M62" s="95">
        <f>IF($R62="","",IF(INDEX('_list'!$L$2:$L$246,$R62)="","",INDEX('_list'!$L$2:$L$246,$R62)))</f>
        <v/>
      </c>
      <c r="N62" s="94">
        <f>IF($R62="","",IF(INDEX('_list'!$H$2:$H$246,$R62)="","",INDEX('_list'!$H$2:$H$246,$R62)))</f>
        <v/>
      </c>
      <c r="O62" s="91">
        <f>IF($R62="","",IF(INDEX('_list'!$I$2:$I$246,$R62)="","",INDEX('_list'!$I$2:$I$246,$R62)))</f>
        <v/>
      </c>
      <c r="R62">
        <f>IFERROR(MATCH(43,'_list'!$N$2:$N$246,0),"")</f>
        <v/>
      </c>
      <c r="S62">
        <f>IF($R62="","",INDEX('_list'!$C$2:$C$246,$R62))</f>
        <v/>
      </c>
    </row>
    <row r="63" ht="16" customHeight="1">
      <c r="B63" s="90">
        <f>IF($R63="","",44)</f>
        <v/>
      </c>
      <c r="C63" s="91">
        <f>IF($R63="","",IF(INDEX('_list'!$D$2:$D$246,$R63)="","",INDEX('_list'!$D$2:$D$246,$R63)))</f>
        <v/>
      </c>
      <c r="D63" s="91">
        <f>IF($R63="","",IF(INDEX('_list'!$E$2:$E$246,$R63)="","",INDEX('_list'!$E$2:$E$246,$R63)))</f>
        <v/>
      </c>
      <c r="E63" s="91">
        <f>IF($R63="","",IF(INDEX('_list'!$F$2:$F$246,$R63)="","",INDEX('_list'!$F$2:$F$246,$R63)))</f>
        <v/>
      </c>
      <c r="F63" s="92">
        <f>IF($R63="","",IF(INDEX('_list'!$G$2:$G$246,$R63)="","",INDEX('_list'!$G$2:$G$246,$R63)))</f>
        <v/>
      </c>
      <c r="G63" s="93">
        <f>IF($S63="","",IF(INDEX('_pockets'!$AH:$AH,$S63)="","",INDEX('_pockets'!$AH:$AH,$S63)))</f>
        <v/>
      </c>
      <c r="H63" s="93">
        <f>IF($S63="","",IF(INDEX('_pockets'!$AF:$AF,$S63)="","",INDEX('_pockets'!$AF:$AF,$S63)))</f>
        <v/>
      </c>
      <c r="I63" s="94">
        <f>IF(IF($S63="","",IF(INDEX('_pockets'!$AB:$AB,$S63)="","",INDEX('_pockets'!$AB:$AB,$S63)))="","",IF($S63="","",IF(INDEX('_pockets'!$AB:$AB,$S63)="","",INDEX('_pockets'!$AB:$AB,$S63)))*IF($U$18,100,1))</f>
        <v/>
      </c>
      <c r="J63" s="92">
        <f>IF($S63="","",IF(INDEX('_pockets'!$Z:$Z,$S63)="","",INDEX('_pockets'!$Z:$Z,$S63)))</f>
        <v/>
      </c>
      <c r="K63" s="95">
        <f>IF($S63="","",IF(INDEX('_pockets'!$AO:$AO,$S63)="","",INDEX('_pockets'!$AO:$AO,$S63)))</f>
        <v/>
      </c>
      <c r="L63" s="96">
        <f>IF($S63="","",IF(INDEX('_pockets'!$AC:$AC,$S63)="","",INDEX('_pockets'!$AC:$AC,$S63)))</f>
        <v/>
      </c>
      <c r="M63" s="95">
        <f>IF($R63="","",IF(INDEX('_list'!$L$2:$L$246,$R63)="","",INDEX('_list'!$L$2:$L$246,$R63)))</f>
        <v/>
      </c>
      <c r="N63" s="94">
        <f>IF($R63="","",IF(INDEX('_list'!$H$2:$H$246,$R63)="","",INDEX('_list'!$H$2:$H$246,$R63)))</f>
        <v/>
      </c>
      <c r="O63" s="91">
        <f>IF($R63="","",IF(INDEX('_list'!$I$2:$I$246,$R63)="","",INDEX('_list'!$I$2:$I$246,$R63)))</f>
        <v/>
      </c>
      <c r="R63">
        <f>IFERROR(MATCH(44,'_list'!$N$2:$N$246,0),"")</f>
        <v/>
      </c>
      <c r="S63">
        <f>IF($R63="","",INDEX('_list'!$C$2:$C$246,$R63))</f>
        <v/>
      </c>
    </row>
    <row r="64" ht="16" customHeight="1">
      <c r="B64" s="90">
        <f>IF($R64="","",45)</f>
        <v/>
      </c>
      <c r="C64" s="91">
        <f>IF($R64="","",IF(INDEX('_list'!$D$2:$D$246,$R64)="","",INDEX('_list'!$D$2:$D$246,$R64)))</f>
        <v/>
      </c>
      <c r="D64" s="91">
        <f>IF($R64="","",IF(INDEX('_list'!$E$2:$E$246,$R64)="","",INDEX('_list'!$E$2:$E$246,$R64)))</f>
        <v/>
      </c>
      <c r="E64" s="91">
        <f>IF($R64="","",IF(INDEX('_list'!$F$2:$F$246,$R64)="","",INDEX('_list'!$F$2:$F$246,$R64)))</f>
        <v/>
      </c>
      <c r="F64" s="92">
        <f>IF($R64="","",IF(INDEX('_list'!$G$2:$G$246,$R64)="","",INDEX('_list'!$G$2:$G$246,$R64)))</f>
        <v/>
      </c>
      <c r="G64" s="93">
        <f>IF($S64="","",IF(INDEX('_pockets'!$AH:$AH,$S64)="","",INDEX('_pockets'!$AH:$AH,$S64)))</f>
        <v/>
      </c>
      <c r="H64" s="93">
        <f>IF($S64="","",IF(INDEX('_pockets'!$AF:$AF,$S64)="","",INDEX('_pockets'!$AF:$AF,$S64)))</f>
        <v/>
      </c>
      <c r="I64" s="94">
        <f>IF(IF($S64="","",IF(INDEX('_pockets'!$AB:$AB,$S64)="","",INDEX('_pockets'!$AB:$AB,$S64)))="","",IF($S64="","",IF(INDEX('_pockets'!$AB:$AB,$S64)="","",INDEX('_pockets'!$AB:$AB,$S64)))*IF($U$18,100,1))</f>
        <v/>
      </c>
      <c r="J64" s="92">
        <f>IF($S64="","",IF(INDEX('_pockets'!$Z:$Z,$S64)="","",INDEX('_pockets'!$Z:$Z,$S64)))</f>
        <v/>
      </c>
      <c r="K64" s="95">
        <f>IF($S64="","",IF(INDEX('_pockets'!$AO:$AO,$S64)="","",INDEX('_pockets'!$AO:$AO,$S64)))</f>
        <v/>
      </c>
      <c r="L64" s="96">
        <f>IF($S64="","",IF(INDEX('_pockets'!$AC:$AC,$S64)="","",INDEX('_pockets'!$AC:$AC,$S64)))</f>
        <v/>
      </c>
      <c r="M64" s="95">
        <f>IF($R64="","",IF(INDEX('_list'!$L$2:$L$246,$R64)="","",INDEX('_list'!$L$2:$L$246,$R64)))</f>
        <v/>
      </c>
      <c r="N64" s="94">
        <f>IF($R64="","",IF(INDEX('_list'!$H$2:$H$246,$R64)="","",INDEX('_list'!$H$2:$H$246,$R64)))</f>
        <v/>
      </c>
      <c r="O64" s="91">
        <f>IF($R64="","",IF(INDEX('_list'!$I$2:$I$246,$R64)="","",INDEX('_list'!$I$2:$I$246,$R64)))</f>
        <v/>
      </c>
      <c r="R64">
        <f>IFERROR(MATCH(45,'_list'!$N$2:$N$246,0),"")</f>
        <v/>
      </c>
      <c r="S64">
        <f>IF($R64="","",INDEX('_list'!$C$2:$C$246,$R64))</f>
        <v/>
      </c>
    </row>
    <row r="65" ht="16" customHeight="1">
      <c r="B65" s="90">
        <f>IF($R65="","",46)</f>
        <v/>
      </c>
      <c r="C65" s="91">
        <f>IF($R65="","",IF(INDEX('_list'!$D$2:$D$246,$R65)="","",INDEX('_list'!$D$2:$D$246,$R65)))</f>
        <v/>
      </c>
      <c r="D65" s="91">
        <f>IF($R65="","",IF(INDEX('_list'!$E$2:$E$246,$R65)="","",INDEX('_list'!$E$2:$E$246,$R65)))</f>
        <v/>
      </c>
      <c r="E65" s="91">
        <f>IF($R65="","",IF(INDEX('_list'!$F$2:$F$246,$R65)="","",INDEX('_list'!$F$2:$F$246,$R65)))</f>
        <v/>
      </c>
      <c r="F65" s="92">
        <f>IF($R65="","",IF(INDEX('_list'!$G$2:$G$246,$R65)="","",INDEX('_list'!$G$2:$G$246,$R65)))</f>
        <v/>
      </c>
      <c r="G65" s="93">
        <f>IF($S65="","",IF(INDEX('_pockets'!$AH:$AH,$S65)="","",INDEX('_pockets'!$AH:$AH,$S65)))</f>
        <v/>
      </c>
      <c r="H65" s="93">
        <f>IF($S65="","",IF(INDEX('_pockets'!$AF:$AF,$S65)="","",INDEX('_pockets'!$AF:$AF,$S65)))</f>
        <v/>
      </c>
      <c r="I65" s="94">
        <f>IF(IF($S65="","",IF(INDEX('_pockets'!$AB:$AB,$S65)="","",INDEX('_pockets'!$AB:$AB,$S65)))="","",IF($S65="","",IF(INDEX('_pockets'!$AB:$AB,$S65)="","",INDEX('_pockets'!$AB:$AB,$S65)))*IF($U$18,100,1))</f>
        <v/>
      </c>
      <c r="J65" s="92">
        <f>IF($S65="","",IF(INDEX('_pockets'!$Z:$Z,$S65)="","",INDEX('_pockets'!$Z:$Z,$S65)))</f>
        <v/>
      </c>
      <c r="K65" s="95">
        <f>IF($S65="","",IF(INDEX('_pockets'!$AO:$AO,$S65)="","",INDEX('_pockets'!$AO:$AO,$S65)))</f>
        <v/>
      </c>
      <c r="L65" s="96">
        <f>IF($S65="","",IF(INDEX('_pockets'!$AC:$AC,$S65)="","",INDEX('_pockets'!$AC:$AC,$S65)))</f>
        <v/>
      </c>
      <c r="M65" s="95">
        <f>IF($R65="","",IF(INDEX('_list'!$L$2:$L$246,$R65)="","",INDEX('_list'!$L$2:$L$246,$R65)))</f>
        <v/>
      </c>
      <c r="N65" s="94">
        <f>IF($R65="","",IF(INDEX('_list'!$H$2:$H$246,$R65)="","",INDEX('_list'!$H$2:$H$246,$R65)))</f>
        <v/>
      </c>
      <c r="O65" s="91">
        <f>IF($R65="","",IF(INDEX('_list'!$I$2:$I$246,$R65)="","",INDEX('_list'!$I$2:$I$246,$R65)))</f>
        <v/>
      </c>
      <c r="R65">
        <f>IFERROR(MATCH(46,'_list'!$N$2:$N$246,0),"")</f>
        <v/>
      </c>
      <c r="S65">
        <f>IF($R65="","",INDEX('_list'!$C$2:$C$246,$R65))</f>
        <v/>
      </c>
    </row>
    <row r="66" ht="16" customHeight="1">
      <c r="B66" s="90">
        <f>IF($R66="","",47)</f>
        <v/>
      </c>
      <c r="C66" s="91">
        <f>IF($R66="","",IF(INDEX('_list'!$D$2:$D$246,$R66)="","",INDEX('_list'!$D$2:$D$246,$R66)))</f>
        <v/>
      </c>
      <c r="D66" s="91">
        <f>IF($R66="","",IF(INDEX('_list'!$E$2:$E$246,$R66)="","",INDEX('_list'!$E$2:$E$246,$R66)))</f>
        <v/>
      </c>
      <c r="E66" s="91">
        <f>IF($R66="","",IF(INDEX('_list'!$F$2:$F$246,$R66)="","",INDEX('_list'!$F$2:$F$246,$R66)))</f>
        <v/>
      </c>
      <c r="F66" s="92">
        <f>IF($R66="","",IF(INDEX('_list'!$G$2:$G$246,$R66)="","",INDEX('_list'!$G$2:$G$246,$R66)))</f>
        <v/>
      </c>
      <c r="G66" s="93">
        <f>IF($S66="","",IF(INDEX('_pockets'!$AH:$AH,$S66)="","",INDEX('_pockets'!$AH:$AH,$S66)))</f>
        <v/>
      </c>
      <c r="H66" s="93">
        <f>IF($S66="","",IF(INDEX('_pockets'!$AF:$AF,$S66)="","",INDEX('_pockets'!$AF:$AF,$S66)))</f>
        <v/>
      </c>
      <c r="I66" s="94">
        <f>IF(IF($S66="","",IF(INDEX('_pockets'!$AB:$AB,$S66)="","",INDEX('_pockets'!$AB:$AB,$S66)))="","",IF($S66="","",IF(INDEX('_pockets'!$AB:$AB,$S66)="","",INDEX('_pockets'!$AB:$AB,$S66)))*IF($U$18,100,1))</f>
        <v/>
      </c>
      <c r="J66" s="92">
        <f>IF($S66="","",IF(INDEX('_pockets'!$Z:$Z,$S66)="","",INDEX('_pockets'!$Z:$Z,$S66)))</f>
        <v/>
      </c>
      <c r="K66" s="95">
        <f>IF($S66="","",IF(INDEX('_pockets'!$AO:$AO,$S66)="","",INDEX('_pockets'!$AO:$AO,$S66)))</f>
        <v/>
      </c>
      <c r="L66" s="96">
        <f>IF($S66="","",IF(INDEX('_pockets'!$AC:$AC,$S66)="","",INDEX('_pockets'!$AC:$AC,$S66)))</f>
        <v/>
      </c>
      <c r="M66" s="95">
        <f>IF($R66="","",IF(INDEX('_list'!$L$2:$L$246,$R66)="","",INDEX('_list'!$L$2:$L$246,$R66)))</f>
        <v/>
      </c>
      <c r="N66" s="94">
        <f>IF($R66="","",IF(INDEX('_list'!$H$2:$H$246,$R66)="","",INDEX('_list'!$H$2:$H$246,$R66)))</f>
        <v/>
      </c>
      <c r="O66" s="91">
        <f>IF($R66="","",IF(INDEX('_list'!$I$2:$I$246,$R66)="","",INDEX('_list'!$I$2:$I$246,$R66)))</f>
        <v/>
      </c>
      <c r="R66">
        <f>IFERROR(MATCH(47,'_list'!$N$2:$N$246,0),"")</f>
        <v/>
      </c>
      <c r="S66">
        <f>IF($R66="","",INDEX('_list'!$C$2:$C$246,$R66))</f>
        <v/>
      </c>
    </row>
    <row r="67" ht="16" customHeight="1">
      <c r="B67" s="90">
        <f>IF($R67="","",48)</f>
        <v/>
      </c>
      <c r="C67" s="91">
        <f>IF($R67="","",IF(INDEX('_list'!$D$2:$D$246,$R67)="","",INDEX('_list'!$D$2:$D$246,$R67)))</f>
        <v/>
      </c>
      <c r="D67" s="91">
        <f>IF($R67="","",IF(INDEX('_list'!$E$2:$E$246,$R67)="","",INDEX('_list'!$E$2:$E$246,$R67)))</f>
        <v/>
      </c>
      <c r="E67" s="91">
        <f>IF($R67="","",IF(INDEX('_list'!$F$2:$F$246,$R67)="","",INDEX('_list'!$F$2:$F$246,$R67)))</f>
        <v/>
      </c>
      <c r="F67" s="92">
        <f>IF($R67="","",IF(INDEX('_list'!$G$2:$G$246,$R67)="","",INDEX('_list'!$G$2:$G$246,$R67)))</f>
        <v/>
      </c>
      <c r="G67" s="93">
        <f>IF($S67="","",IF(INDEX('_pockets'!$AH:$AH,$S67)="","",INDEX('_pockets'!$AH:$AH,$S67)))</f>
        <v/>
      </c>
      <c r="H67" s="93">
        <f>IF($S67="","",IF(INDEX('_pockets'!$AF:$AF,$S67)="","",INDEX('_pockets'!$AF:$AF,$S67)))</f>
        <v/>
      </c>
      <c r="I67" s="94">
        <f>IF(IF($S67="","",IF(INDEX('_pockets'!$AB:$AB,$S67)="","",INDEX('_pockets'!$AB:$AB,$S67)))="","",IF($S67="","",IF(INDEX('_pockets'!$AB:$AB,$S67)="","",INDEX('_pockets'!$AB:$AB,$S67)))*IF($U$18,100,1))</f>
        <v/>
      </c>
      <c r="J67" s="92">
        <f>IF($S67="","",IF(INDEX('_pockets'!$Z:$Z,$S67)="","",INDEX('_pockets'!$Z:$Z,$S67)))</f>
        <v/>
      </c>
      <c r="K67" s="95">
        <f>IF($S67="","",IF(INDEX('_pockets'!$AO:$AO,$S67)="","",INDEX('_pockets'!$AO:$AO,$S67)))</f>
        <v/>
      </c>
      <c r="L67" s="96">
        <f>IF($S67="","",IF(INDEX('_pockets'!$AC:$AC,$S67)="","",INDEX('_pockets'!$AC:$AC,$S67)))</f>
        <v/>
      </c>
      <c r="M67" s="95">
        <f>IF($R67="","",IF(INDEX('_list'!$L$2:$L$246,$R67)="","",INDEX('_list'!$L$2:$L$246,$R67)))</f>
        <v/>
      </c>
      <c r="N67" s="94">
        <f>IF($R67="","",IF(INDEX('_list'!$H$2:$H$246,$R67)="","",INDEX('_list'!$H$2:$H$246,$R67)))</f>
        <v/>
      </c>
      <c r="O67" s="91">
        <f>IF($R67="","",IF(INDEX('_list'!$I$2:$I$246,$R67)="","",INDEX('_list'!$I$2:$I$246,$R67)))</f>
        <v/>
      </c>
      <c r="R67">
        <f>IFERROR(MATCH(48,'_list'!$N$2:$N$246,0),"")</f>
        <v/>
      </c>
      <c r="S67">
        <f>IF($R67="","",INDEX('_list'!$C$2:$C$246,$R67))</f>
        <v/>
      </c>
    </row>
    <row r="68" ht="16" customHeight="1">
      <c r="B68" s="90">
        <f>IF($R68="","",49)</f>
        <v/>
      </c>
      <c r="C68" s="91">
        <f>IF($R68="","",IF(INDEX('_list'!$D$2:$D$246,$R68)="","",INDEX('_list'!$D$2:$D$246,$R68)))</f>
        <v/>
      </c>
      <c r="D68" s="91">
        <f>IF($R68="","",IF(INDEX('_list'!$E$2:$E$246,$R68)="","",INDEX('_list'!$E$2:$E$246,$R68)))</f>
        <v/>
      </c>
      <c r="E68" s="91">
        <f>IF($R68="","",IF(INDEX('_list'!$F$2:$F$246,$R68)="","",INDEX('_list'!$F$2:$F$246,$R68)))</f>
        <v/>
      </c>
      <c r="F68" s="92">
        <f>IF($R68="","",IF(INDEX('_list'!$G$2:$G$246,$R68)="","",INDEX('_list'!$G$2:$G$246,$R68)))</f>
        <v/>
      </c>
      <c r="G68" s="93">
        <f>IF($S68="","",IF(INDEX('_pockets'!$AH:$AH,$S68)="","",INDEX('_pockets'!$AH:$AH,$S68)))</f>
        <v/>
      </c>
      <c r="H68" s="93">
        <f>IF($S68="","",IF(INDEX('_pockets'!$AF:$AF,$S68)="","",INDEX('_pockets'!$AF:$AF,$S68)))</f>
        <v/>
      </c>
      <c r="I68" s="94">
        <f>IF(IF($S68="","",IF(INDEX('_pockets'!$AB:$AB,$S68)="","",INDEX('_pockets'!$AB:$AB,$S68)))="","",IF($S68="","",IF(INDEX('_pockets'!$AB:$AB,$S68)="","",INDEX('_pockets'!$AB:$AB,$S68)))*IF($U$18,100,1))</f>
        <v/>
      </c>
      <c r="J68" s="92">
        <f>IF($S68="","",IF(INDEX('_pockets'!$Z:$Z,$S68)="","",INDEX('_pockets'!$Z:$Z,$S68)))</f>
        <v/>
      </c>
      <c r="K68" s="95">
        <f>IF($S68="","",IF(INDEX('_pockets'!$AO:$AO,$S68)="","",INDEX('_pockets'!$AO:$AO,$S68)))</f>
        <v/>
      </c>
      <c r="L68" s="96">
        <f>IF($S68="","",IF(INDEX('_pockets'!$AC:$AC,$S68)="","",INDEX('_pockets'!$AC:$AC,$S68)))</f>
        <v/>
      </c>
      <c r="M68" s="95">
        <f>IF($R68="","",IF(INDEX('_list'!$L$2:$L$246,$R68)="","",INDEX('_list'!$L$2:$L$246,$R68)))</f>
        <v/>
      </c>
      <c r="N68" s="94">
        <f>IF($R68="","",IF(INDEX('_list'!$H$2:$H$246,$R68)="","",INDEX('_list'!$H$2:$H$246,$R68)))</f>
        <v/>
      </c>
      <c r="O68" s="91">
        <f>IF($R68="","",IF(INDEX('_list'!$I$2:$I$246,$R68)="","",INDEX('_list'!$I$2:$I$246,$R68)))</f>
        <v/>
      </c>
      <c r="R68">
        <f>IFERROR(MATCH(49,'_list'!$N$2:$N$246,0),"")</f>
        <v/>
      </c>
      <c r="S68">
        <f>IF($R68="","",INDEX('_list'!$C$2:$C$246,$R68))</f>
        <v/>
      </c>
    </row>
    <row r="69" ht="16" customHeight="1">
      <c r="B69" s="90">
        <f>IF($R69="","",50)</f>
        <v/>
      </c>
      <c r="C69" s="91">
        <f>IF($R69="","",IF(INDEX('_list'!$D$2:$D$246,$R69)="","",INDEX('_list'!$D$2:$D$246,$R69)))</f>
        <v/>
      </c>
      <c r="D69" s="91">
        <f>IF($R69="","",IF(INDEX('_list'!$E$2:$E$246,$R69)="","",INDEX('_list'!$E$2:$E$246,$R69)))</f>
        <v/>
      </c>
      <c r="E69" s="91">
        <f>IF($R69="","",IF(INDEX('_list'!$F$2:$F$246,$R69)="","",INDEX('_list'!$F$2:$F$246,$R69)))</f>
        <v/>
      </c>
      <c r="F69" s="92">
        <f>IF($R69="","",IF(INDEX('_list'!$G$2:$G$246,$R69)="","",INDEX('_list'!$G$2:$G$246,$R69)))</f>
        <v/>
      </c>
      <c r="G69" s="93">
        <f>IF($S69="","",IF(INDEX('_pockets'!$AH:$AH,$S69)="","",INDEX('_pockets'!$AH:$AH,$S69)))</f>
        <v/>
      </c>
      <c r="H69" s="93">
        <f>IF($S69="","",IF(INDEX('_pockets'!$AF:$AF,$S69)="","",INDEX('_pockets'!$AF:$AF,$S69)))</f>
        <v/>
      </c>
      <c r="I69" s="94">
        <f>IF(IF($S69="","",IF(INDEX('_pockets'!$AB:$AB,$S69)="","",INDEX('_pockets'!$AB:$AB,$S69)))="","",IF($S69="","",IF(INDEX('_pockets'!$AB:$AB,$S69)="","",INDEX('_pockets'!$AB:$AB,$S69)))*IF($U$18,100,1))</f>
        <v/>
      </c>
      <c r="J69" s="92">
        <f>IF($S69="","",IF(INDEX('_pockets'!$Z:$Z,$S69)="","",INDEX('_pockets'!$Z:$Z,$S69)))</f>
        <v/>
      </c>
      <c r="K69" s="95">
        <f>IF($S69="","",IF(INDEX('_pockets'!$AO:$AO,$S69)="","",INDEX('_pockets'!$AO:$AO,$S69)))</f>
        <v/>
      </c>
      <c r="L69" s="96">
        <f>IF($S69="","",IF(INDEX('_pockets'!$AC:$AC,$S69)="","",INDEX('_pockets'!$AC:$AC,$S69)))</f>
        <v/>
      </c>
      <c r="M69" s="95">
        <f>IF($R69="","",IF(INDEX('_list'!$L$2:$L$246,$R69)="","",INDEX('_list'!$L$2:$L$246,$R69)))</f>
        <v/>
      </c>
      <c r="N69" s="94">
        <f>IF($R69="","",IF(INDEX('_list'!$H$2:$H$246,$R69)="","",INDEX('_list'!$H$2:$H$246,$R69)))</f>
        <v/>
      </c>
      <c r="O69" s="91">
        <f>IF($R69="","",IF(INDEX('_list'!$I$2:$I$246,$R69)="","",INDEX('_list'!$I$2:$I$246,$R69)))</f>
        <v/>
      </c>
      <c r="R69">
        <f>IFERROR(MATCH(50,'_list'!$N$2:$N$246,0),"")</f>
        <v/>
      </c>
      <c r="S69">
        <f>IF($R69="","",INDEX('_list'!$C$2:$C$246,$R69))</f>
        <v/>
      </c>
    </row>
    <row r="70" ht="16" customHeight="1">
      <c r="B70" s="90">
        <f>IF($R70="","",51)</f>
        <v/>
      </c>
      <c r="C70" s="91">
        <f>IF($R70="","",IF(INDEX('_list'!$D$2:$D$246,$R70)="","",INDEX('_list'!$D$2:$D$246,$R70)))</f>
        <v/>
      </c>
      <c r="D70" s="91">
        <f>IF($R70="","",IF(INDEX('_list'!$E$2:$E$246,$R70)="","",INDEX('_list'!$E$2:$E$246,$R70)))</f>
        <v/>
      </c>
      <c r="E70" s="91">
        <f>IF($R70="","",IF(INDEX('_list'!$F$2:$F$246,$R70)="","",INDEX('_list'!$F$2:$F$246,$R70)))</f>
        <v/>
      </c>
      <c r="F70" s="92">
        <f>IF($R70="","",IF(INDEX('_list'!$G$2:$G$246,$R70)="","",INDEX('_list'!$G$2:$G$246,$R70)))</f>
        <v/>
      </c>
      <c r="G70" s="93">
        <f>IF($S70="","",IF(INDEX('_pockets'!$AH:$AH,$S70)="","",INDEX('_pockets'!$AH:$AH,$S70)))</f>
        <v/>
      </c>
      <c r="H70" s="93">
        <f>IF($S70="","",IF(INDEX('_pockets'!$AF:$AF,$S70)="","",INDEX('_pockets'!$AF:$AF,$S70)))</f>
        <v/>
      </c>
      <c r="I70" s="94">
        <f>IF(IF($S70="","",IF(INDEX('_pockets'!$AB:$AB,$S70)="","",INDEX('_pockets'!$AB:$AB,$S70)))="","",IF($S70="","",IF(INDEX('_pockets'!$AB:$AB,$S70)="","",INDEX('_pockets'!$AB:$AB,$S70)))*IF($U$18,100,1))</f>
        <v/>
      </c>
      <c r="J70" s="92">
        <f>IF($S70="","",IF(INDEX('_pockets'!$Z:$Z,$S70)="","",INDEX('_pockets'!$Z:$Z,$S70)))</f>
        <v/>
      </c>
      <c r="K70" s="95">
        <f>IF($S70="","",IF(INDEX('_pockets'!$AO:$AO,$S70)="","",INDEX('_pockets'!$AO:$AO,$S70)))</f>
        <v/>
      </c>
      <c r="L70" s="96">
        <f>IF($S70="","",IF(INDEX('_pockets'!$AC:$AC,$S70)="","",INDEX('_pockets'!$AC:$AC,$S70)))</f>
        <v/>
      </c>
      <c r="M70" s="95">
        <f>IF($R70="","",IF(INDEX('_list'!$L$2:$L$246,$R70)="","",INDEX('_list'!$L$2:$L$246,$R70)))</f>
        <v/>
      </c>
      <c r="N70" s="94">
        <f>IF($R70="","",IF(INDEX('_list'!$H$2:$H$246,$R70)="","",INDEX('_list'!$H$2:$H$246,$R70)))</f>
        <v/>
      </c>
      <c r="O70" s="91">
        <f>IF($R70="","",IF(INDEX('_list'!$I$2:$I$246,$R70)="","",INDEX('_list'!$I$2:$I$246,$R70)))</f>
        <v/>
      </c>
      <c r="R70">
        <f>IFERROR(MATCH(51,'_list'!$N$2:$N$246,0),"")</f>
        <v/>
      </c>
      <c r="S70">
        <f>IF($R70="","",INDEX('_list'!$C$2:$C$246,$R70))</f>
        <v/>
      </c>
    </row>
    <row r="71" ht="16" customHeight="1">
      <c r="B71" s="90">
        <f>IF($R71="","",52)</f>
        <v/>
      </c>
      <c r="C71" s="91">
        <f>IF($R71="","",IF(INDEX('_list'!$D$2:$D$246,$R71)="","",INDEX('_list'!$D$2:$D$246,$R71)))</f>
        <v/>
      </c>
      <c r="D71" s="91">
        <f>IF($R71="","",IF(INDEX('_list'!$E$2:$E$246,$R71)="","",INDEX('_list'!$E$2:$E$246,$R71)))</f>
        <v/>
      </c>
      <c r="E71" s="91">
        <f>IF($R71="","",IF(INDEX('_list'!$F$2:$F$246,$R71)="","",INDEX('_list'!$F$2:$F$246,$R71)))</f>
        <v/>
      </c>
      <c r="F71" s="92">
        <f>IF($R71="","",IF(INDEX('_list'!$G$2:$G$246,$R71)="","",INDEX('_list'!$G$2:$G$246,$R71)))</f>
        <v/>
      </c>
      <c r="G71" s="93">
        <f>IF($S71="","",IF(INDEX('_pockets'!$AH:$AH,$S71)="","",INDEX('_pockets'!$AH:$AH,$S71)))</f>
        <v/>
      </c>
      <c r="H71" s="93">
        <f>IF($S71="","",IF(INDEX('_pockets'!$AF:$AF,$S71)="","",INDEX('_pockets'!$AF:$AF,$S71)))</f>
        <v/>
      </c>
      <c r="I71" s="94">
        <f>IF(IF($S71="","",IF(INDEX('_pockets'!$AB:$AB,$S71)="","",INDEX('_pockets'!$AB:$AB,$S71)))="","",IF($S71="","",IF(INDEX('_pockets'!$AB:$AB,$S71)="","",INDEX('_pockets'!$AB:$AB,$S71)))*IF($U$18,100,1))</f>
        <v/>
      </c>
      <c r="J71" s="92">
        <f>IF($S71="","",IF(INDEX('_pockets'!$Z:$Z,$S71)="","",INDEX('_pockets'!$Z:$Z,$S71)))</f>
        <v/>
      </c>
      <c r="K71" s="95">
        <f>IF($S71="","",IF(INDEX('_pockets'!$AO:$AO,$S71)="","",INDEX('_pockets'!$AO:$AO,$S71)))</f>
        <v/>
      </c>
      <c r="L71" s="96">
        <f>IF($S71="","",IF(INDEX('_pockets'!$AC:$AC,$S71)="","",INDEX('_pockets'!$AC:$AC,$S71)))</f>
        <v/>
      </c>
      <c r="M71" s="95">
        <f>IF($R71="","",IF(INDEX('_list'!$L$2:$L$246,$R71)="","",INDEX('_list'!$L$2:$L$246,$R71)))</f>
        <v/>
      </c>
      <c r="N71" s="94">
        <f>IF($R71="","",IF(INDEX('_list'!$H$2:$H$246,$R71)="","",INDEX('_list'!$H$2:$H$246,$R71)))</f>
        <v/>
      </c>
      <c r="O71" s="91">
        <f>IF($R71="","",IF(INDEX('_list'!$I$2:$I$246,$R71)="","",INDEX('_list'!$I$2:$I$246,$R71)))</f>
        <v/>
      </c>
      <c r="R71">
        <f>IFERROR(MATCH(52,'_list'!$N$2:$N$246,0),"")</f>
        <v/>
      </c>
      <c r="S71">
        <f>IF($R71="","",INDEX('_list'!$C$2:$C$246,$R71))</f>
        <v/>
      </c>
    </row>
    <row r="72" ht="16" customHeight="1">
      <c r="B72" s="90">
        <f>IF($R72="","",53)</f>
        <v/>
      </c>
      <c r="C72" s="91">
        <f>IF($R72="","",IF(INDEX('_list'!$D$2:$D$246,$R72)="","",INDEX('_list'!$D$2:$D$246,$R72)))</f>
        <v/>
      </c>
      <c r="D72" s="91">
        <f>IF($R72="","",IF(INDEX('_list'!$E$2:$E$246,$R72)="","",INDEX('_list'!$E$2:$E$246,$R72)))</f>
        <v/>
      </c>
      <c r="E72" s="91">
        <f>IF($R72="","",IF(INDEX('_list'!$F$2:$F$246,$R72)="","",INDEX('_list'!$F$2:$F$246,$R72)))</f>
        <v/>
      </c>
      <c r="F72" s="92">
        <f>IF($R72="","",IF(INDEX('_list'!$G$2:$G$246,$R72)="","",INDEX('_list'!$G$2:$G$246,$R72)))</f>
        <v/>
      </c>
      <c r="G72" s="93">
        <f>IF($S72="","",IF(INDEX('_pockets'!$AH:$AH,$S72)="","",INDEX('_pockets'!$AH:$AH,$S72)))</f>
        <v/>
      </c>
      <c r="H72" s="93">
        <f>IF($S72="","",IF(INDEX('_pockets'!$AF:$AF,$S72)="","",INDEX('_pockets'!$AF:$AF,$S72)))</f>
        <v/>
      </c>
      <c r="I72" s="94">
        <f>IF(IF($S72="","",IF(INDEX('_pockets'!$AB:$AB,$S72)="","",INDEX('_pockets'!$AB:$AB,$S72)))="","",IF($S72="","",IF(INDEX('_pockets'!$AB:$AB,$S72)="","",INDEX('_pockets'!$AB:$AB,$S72)))*IF($U$18,100,1))</f>
        <v/>
      </c>
      <c r="J72" s="92">
        <f>IF($S72="","",IF(INDEX('_pockets'!$Z:$Z,$S72)="","",INDEX('_pockets'!$Z:$Z,$S72)))</f>
        <v/>
      </c>
      <c r="K72" s="95">
        <f>IF($S72="","",IF(INDEX('_pockets'!$AO:$AO,$S72)="","",INDEX('_pockets'!$AO:$AO,$S72)))</f>
        <v/>
      </c>
      <c r="L72" s="96">
        <f>IF($S72="","",IF(INDEX('_pockets'!$AC:$AC,$S72)="","",INDEX('_pockets'!$AC:$AC,$S72)))</f>
        <v/>
      </c>
      <c r="M72" s="95">
        <f>IF($R72="","",IF(INDEX('_list'!$L$2:$L$246,$R72)="","",INDEX('_list'!$L$2:$L$246,$R72)))</f>
        <v/>
      </c>
      <c r="N72" s="94">
        <f>IF($R72="","",IF(INDEX('_list'!$H$2:$H$246,$R72)="","",INDEX('_list'!$H$2:$H$246,$R72)))</f>
        <v/>
      </c>
      <c r="O72" s="91">
        <f>IF($R72="","",IF(INDEX('_list'!$I$2:$I$246,$R72)="","",INDEX('_list'!$I$2:$I$246,$R72)))</f>
        <v/>
      </c>
      <c r="R72">
        <f>IFERROR(MATCH(53,'_list'!$N$2:$N$246,0),"")</f>
        <v/>
      </c>
      <c r="S72">
        <f>IF($R72="","",INDEX('_list'!$C$2:$C$246,$R72))</f>
        <v/>
      </c>
    </row>
    <row r="73" ht="16" customHeight="1">
      <c r="B73" s="90">
        <f>IF($R73="","",54)</f>
        <v/>
      </c>
      <c r="C73" s="91">
        <f>IF($R73="","",IF(INDEX('_list'!$D$2:$D$246,$R73)="","",INDEX('_list'!$D$2:$D$246,$R73)))</f>
        <v/>
      </c>
      <c r="D73" s="91">
        <f>IF($R73="","",IF(INDEX('_list'!$E$2:$E$246,$R73)="","",INDEX('_list'!$E$2:$E$246,$R73)))</f>
        <v/>
      </c>
      <c r="E73" s="91">
        <f>IF($R73="","",IF(INDEX('_list'!$F$2:$F$246,$R73)="","",INDEX('_list'!$F$2:$F$246,$R73)))</f>
        <v/>
      </c>
      <c r="F73" s="92">
        <f>IF($R73="","",IF(INDEX('_list'!$G$2:$G$246,$R73)="","",INDEX('_list'!$G$2:$G$246,$R73)))</f>
        <v/>
      </c>
      <c r="G73" s="93">
        <f>IF($S73="","",IF(INDEX('_pockets'!$AH:$AH,$S73)="","",INDEX('_pockets'!$AH:$AH,$S73)))</f>
        <v/>
      </c>
      <c r="H73" s="93">
        <f>IF($S73="","",IF(INDEX('_pockets'!$AF:$AF,$S73)="","",INDEX('_pockets'!$AF:$AF,$S73)))</f>
        <v/>
      </c>
      <c r="I73" s="94">
        <f>IF(IF($S73="","",IF(INDEX('_pockets'!$AB:$AB,$S73)="","",INDEX('_pockets'!$AB:$AB,$S73)))="","",IF($S73="","",IF(INDEX('_pockets'!$AB:$AB,$S73)="","",INDEX('_pockets'!$AB:$AB,$S73)))*IF($U$18,100,1))</f>
        <v/>
      </c>
      <c r="J73" s="92">
        <f>IF($S73="","",IF(INDEX('_pockets'!$Z:$Z,$S73)="","",INDEX('_pockets'!$Z:$Z,$S73)))</f>
        <v/>
      </c>
      <c r="K73" s="95">
        <f>IF($S73="","",IF(INDEX('_pockets'!$AO:$AO,$S73)="","",INDEX('_pockets'!$AO:$AO,$S73)))</f>
        <v/>
      </c>
      <c r="L73" s="96">
        <f>IF($S73="","",IF(INDEX('_pockets'!$AC:$AC,$S73)="","",INDEX('_pockets'!$AC:$AC,$S73)))</f>
        <v/>
      </c>
      <c r="M73" s="95">
        <f>IF($R73="","",IF(INDEX('_list'!$L$2:$L$246,$R73)="","",INDEX('_list'!$L$2:$L$246,$R73)))</f>
        <v/>
      </c>
      <c r="N73" s="94">
        <f>IF($R73="","",IF(INDEX('_list'!$H$2:$H$246,$R73)="","",INDEX('_list'!$H$2:$H$246,$R73)))</f>
        <v/>
      </c>
      <c r="O73" s="91">
        <f>IF($R73="","",IF(INDEX('_list'!$I$2:$I$246,$R73)="","",INDEX('_list'!$I$2:$I$246,$R73)))</f>
        <v/>
      </c>
      <c r="R73">
        <f>IFERROR(MATCH(54,'_list'!$N$2:$N$246,0),"")</f>
        <v/>
      </c>
      <c r="S73">
        <f>IF($R73="","",INDEX('_list'!$C$2:$C$246,$R73))</f>
        <v/>
      </c>
    </row>
    <row r="74" ht="16" customHeight="1">
      <c r="B74" s="90">
        <f>IF($R74="","",55)</f>
        <v/>
      </c>
      <c r="C74" s="91">
        <f>IF($R74="","",IF(INDEX('_list'!$D$2:$D$246,$R74)="","",INDEX('_list'!$D$2:$D$246,$R74)))</f>
        <v/>
      </c>
      <c r="D74" s="91">
        <f>IF($R74="","",IF(INDEX('_list'!$E$2:$E$246,$R74)="","",INDEX('_list'!$E$2:$E$246,$R74)))</f>
        <v/>
      </c>
      <c r="E74" s="91">
        <f>IF($R74="","",IF(INDEX('_list'!$F$2:$F$246,$R74)="","",INDEX('_list'!$F$2:$F$246,$R74)))</f>
        <v/>
      </c>
      <c r="F74" s="92">
        <f>IF($R74="","",IF(INDEX('_list'!$G$2:$G$246,$R74)="","",INDEX('_list'!$G$2:$G$246,$R74)))</f>
        <v/>
      </c>
      <c r="G74" s="93">
        <f>IF($S74="","",IF(INDEX('_pockets'!$AH:$AH,$S74)="","",INDEX('_pockets'!$AH:$AH,$S74)))</f>
        <v/>
      </c>
      <c r="H74" s="93">
        <f>IF($S74="","",IF(INDEX('_pockets'!$AF:$AF,$S74)="","",INDEX('_pockets'!$AF:$AF,$S74)))</f>
        <v/>
      </c>
      <c r="I74" s="94">
        <f>IF(IF($S74="","",IF(INDEX('_pockets'!$AB:$AB,$S74)="","",INDEX('_pockets'!$AB:$AB,$S74)))="","",IF($S74="","",IF(INDEX('_pockets'!$AB:$AB,$S74)="","",INDEX('_pockets'!$AB:$AB,$S74)))*IF($U$18,100,1))</f>
        <v/>
      </c>
      <c r="J74" s="92">
        <f>IF($S74="","",IF(INDEX('_pockets'!$Z:$Z,$S74)="","",INDEX('_pockets'!$Z:$Z,$S74)))</f>
        <v/>
      </c>
      <c r="K74" s="95">
        <f>IF($S74="","",IF(INDEX('_pockets'!$AO:$AO,$S74)="","",INDEX('_pockets'!$AO:$AO,$S74)))</f>
        <v/>
      </c>
      <c r="L74" s="96">
        <f>IF($S74="","",IF(INDEX('_pockets'!$AC:$AC,$S74)="","",INDEX('_pockets'!$AC:$AC,$S74)))</f>
        <v/>
      </c>
      <c r="M74" s="95">
        <f>IF($R74="","",IF(INDEX('_list'!$L$2:$L$246,$R74)="","",INDEX('_list'!$L$2:$L$246,$R74)))</f>
        <v/>
      </c>
      <c r="N74" s="94">
        <f>IF($R74="","",IF(INDEX('_list'!$H$2:$H$246,$R74)="","",INDEX('_list'!$H$2:$H$246,$R74)))</f>
        <v/>
      </c>
      <c r="O74" s="91">
        <f>IF($R74="","",IF(INDEX('_list'!$I$2:$I$246,$R74)="","",INDEX('_list'!$I$2:$I$246,$R74)))</f>
        <v/>
      </c>
      <c r="R74">
        <f>IFERROR(MATCH(55,'_list'!$N$2:$N$246,0),"")</f>
        <v/>
      </c>
      <c r="S74">
        <f>IF($R74="","",INDEX('_list'!$C$2:$C$246,$R74))</f>
        <v/>
      </c>
    </row>
    <row r="75" ht="16" customHeight="1">
      <c r="B75" s="90">
        <f>IF($R75="","",56)</f>
        <v/>
      </c>
      <c r="C75" s="91">
        <f>IF($R75="","",IF(INDEX('_list'!$D$2:$D$246,$R75)="","",INDEX('_list'!$D$2:$D$246,$R75)))</f>
        <v/>
      </c>
      <c r="D75" s="91">
        <f>IF($R75="","",IF(INDEX('_list'!$E$2:$E$246,$R75)="","",INDEX('_list'!$E$2:$E$246,$R75)))</f>
        <v/>
      </c>
      <c r="E75" s="91">
        <f>IF($R75="","",IF(INDEX('_list'!$F$2:$F$246,$R75)="","",INDEX('_list'!$F$2:$F$246,$R75)))</f>
        <v/>
      </c>
      <c r="F75" s="92">
        <f>IF($R75="","",IF(INDEX('_list'!$G$2:$G$246,$R75)="","",INDEX('_list'!$G$2:$G$246,$R75)))</f>
        <v/>
      </c>
      <c r="G75" s="93">
        <f>IF($S75="","",IF(INDEX('_pockets'!$AH:$AH,$S75)="","",INDEX('_pockets'!$AH:$AH,$S75)))</f>
        <v/>
      </c>
      <c r="H75" s="93">
        <f>IF($S75="","",IF(INDEX('_pockets'!$AF:$AF,$S75)="","",INDEX('_pockets'!$AF:$AF,$S75)))</f>
        <v/>
      </c>
      <c r="I75" s="94">
        <f>IF(IF($S75="","",IF(INDEX('_pockets'!$AB:$AB,$S75)="","",INDEX('_pockets'!$AB:$AB,$S75)))="","",IF($S75="","",IF(INDEX('_pockets'!$AB:$AB,$S75)="","",INDEX('_pockets'!$AB:$AB,$S75)))*IF($U$18,100,1))</f>
        <v/>
      </c>
      <c r="J75" s="92">
        <f>IF($S75="","",IF(INDEX('_pockets'!$Z:$Z,$S75)="","",INDEX('_pockets'!$Z:$Z,$S75)))</f>
        <v/>
      </c>
      <c r="K75" s="95">
        <f>IF($S75="","",IF(INDEX('_pockets'!$AO:$AO,$S75)="","",INDEX('_pockets'!$AO:$AO,$S75)))</f>
        <v/>
      </c>
      <c r="L75" s="96">
        <f>IF($S75="","",IF(INDEX('_pockets'!$AC:$AC,$S75)="","",INDEX('_pockets'!$AC:$AC,$S75)))</f>
        <v/>
      </c>
      <c r="M75" s="95">
        <f>IF($R75="","",IF(INDEX('_list'!$L$2:$L$246,$R75)="","",INDEX('_list'!$L$2:$L$246,$R75)))</f>
        <v/>
      </c>
      <c r="N75" s="94">
        <f>IF($R75="","",IF(INDEX('_list'!$H$2:$H$246,$R75)="","",INDEX('_list'!$H$2:$H$246,$R75)))</f>
        <v/>
      </c>
      <c r="O75" s="91">
        <f>IF($R75="","",IF(INDEX('_list'!$I$2:$I$246,$R75)="","",INDEX('_list'!$I$2:$I$246,$R75)))</f>
        <v/>
      </c>
      <c r="R75">
        <f>IFERROR(MATCH(56,'_list'!$N$2:$N$246,0),"")</f>
        <v/>
      </c>
      <c r="S75">
        <f>IF($R75="","",INDEX('_list'!$C$2:$C$246,$R75))</f>
        <v/>
      </c>
    </row>
    <row r="76" ht="16" customHeight="1">
      <c r="B76" s="90">
        <f>IF($R76="","",57)</f>
        <v/>
      </c>
      <c r="C76" s="91">
        <f>IF($R76="","",IF(INDEX('_list'!$D$2:$D$246,$R76)="","",INDEX('_list'!$D$2:$D$246,$R76)))</f>
        <v/>
      </c>
      <c r="D76" s="91">
        <f>IF($R76="","",IF(INDEX('_list'!$E$2:$E$246,$R76)="","",INDEX('_list'!$E$2:$E$246,$R76)))</f>
        <v/>
      </c>
      <c r="E76" s="91">
        <f>IF($R76="","",IF(INDEX('_list'!$F$2:$F$246,$R76)="","",INDEX('_list'!$F$2:$F$246,$R76)))</f>
        <v/>
      </c>
      <c r="F76" s="92">
        <f>IF($R76="","",IF(INDEX('_list'!$G$2:$G$246,$R76)="","",INDEX('_list'!$G$2:$G$246,$R76)))</f>
        <v/>
      </c>
      <c r="G76" s="93">
        <f>IF($S76="","",IF(INDEX('_pockets'!$AH:$AH,$S76)="","",INDEX('_pockets'!$AH:$AH,$S76)))</f>
        <v/>
      </c>
      <c r="H76" s="93">
        <f>IF($S76="","",IF(INDEX('_pockets'!$AF:$AF,$S76)="","",INDEX('_pockets'!$AF:$AF,$S76)))</f>
        <v/>
      </c>
      <c r="I76" s="94">
        <f>IF(IF($S76="","",IF(INDEX('_pockets'!$AB:$AB,$S76)="","",INDEX('_pockets'!$AB:$AB,$S76)))="","",IF($S76="","",IF(INDEX('_pockets'!$AB:$AB,$S76)="","",INDEX('_pockets'!$AB:$AB,$S76)))*IF($U$18,100,1))</f>
        <v/>
      </c>
      <c r="J76" s="92">
        <f>IF($S76="","",IF(INDEX('_pockets'!$Z:$Z,$S76)="","",INDEX('_pockets'!$Z:$Z,$S76)))</f>
        <v/>
      </c>
      <c r="K76" s="95">
        <f>IF($S76="","",IF(INDEX('_pockets'!$AO:$AO,$S76)="","",INDEX('_pockets'!$AO:$AO,$S76)))</f>
        <v/>
      </c>
      <c r="L76" s="96">
        <f>IF($S76="","",IF(INDEX('_pockets'!$AC:$AC,$S76)="","",INDEX('_pockets'!$AC:$AC,$S76)))</f>
        <v/>
      </c>
      <c r="M76" s="95">
        <f>IF($R76="","",IF(INDEX('_list'!$L$2:$L$246,$R76)="","",INDEX('_list'!$L$2:$L$246,$R76)))</f>
        <v/>
      </c>
      <c r="N76" s="94">
        <f>IF($R76="","",IF(INDEX('_list'!$H$2:$H$246,$R76)="","",INDEX('_list'!$H$2:$H$246,$R76)))</f>
        <v/>
      </c>
      <c r="O76" s="91">
        <f>IF($R76="","",IF(INDEX('_list'!$I$2:$I$246,$R76)="","",INDEX('_list'!$I$2:$I$246,$R76)))</f>
        <v/>
      </c>
      <c r="R76">
        <f>IFERROR(MATCH(57,'_list'!$N$2:$N$246,0),"")</f>
        <v/>
      </c>
      <c r="S76">
        <f>IF($R76="","",INDEX('_list'!$C$2:$C$246,$R76))</f>
        <v/>
      </c>
    </row>
    <row r="77" ht="16" customHeight="1">
      <c r="B77" s="90">
        <f>IF($R77="","",58)</f>
        <v/>
      </c>
      <c r="C77" s="91">
        <f>IF($R77="","",IF(INDEX('_list'!$D$2:$D$246,$R77)="","",INDEX('_list'!$D$2:$D$246,$R77)))</f>
        <v/>
      </c>
      <c r="D77" s="91">
        <f>IF($R77="","",IF(INDEX('_list'!$E$2:$E$246,$R77)="","",INDEX('_list'!$E$2:$E$246,$R77)))</f>
        <v/>
      </c>
      <c r="E77" s="91">
        <f>IF($R77="","",IF(INDEX('_list'!$F$2:$F$246,$R77)="","",INDEX('_list'!$F$2:$F$246,$R77)))</f>
        <v/>
      </c>
      <c r="F77" s="92">
        <f>IF($R77="","",IF(INDEX('_list'!$G$2:$G$246,$R77)="","",INDEX('_list'!$G$2:$G$246,$R77)))</f>
        <v/>
      </c>
      <c r="G77" s="93">
        <f>IF($S77="","",IF(INDEX('_pockets'!$AH:$AH,$S77)="","",INDEX('_pockets'!$AH:$AH,$S77)))</f>
        <v/>
      </c>
      <c r="H77" s="93">
        <f>IF($S77="","",IF(INDEX('_pockets'!$AF:$AF,$S77)="","",INDEX('_pockets'!$AF:$AF,$S77)))</f>
        <v/>
      </c>
      <c r="I77" s="94">
        <f>IF(IF($S77="","",IF(INDEX('_pockets'!$AB:$AB,$S77)="","",INDEX('_pockets'!$AB:$AB,$S77)))="","",IF($S77="","",IF(INDEX('_pockets'!$AB:$AB,$S77)="","",INDEX('_pockets'!$AB:$AB,$S77)))*IF($U$18,100,1))</f>
        <v/>
      </c>
      <c r="J77" s="92">
        <f>IF($S77="","",IF(INDEX('_pockets'!$Z:$Z,$S77)="","",INDEX('_pockets'!$Z:$Z,$S77)))</f>
        <v/>
      </c>
      <c r="K77" s="95">
        <f>IF($S77="","",IF(INDEX('_pockets'!$AO:$AO,$S77)="","",INDEX('_pockets'!$AO:$AO,$S77)))</f>
        <v/>
      </c>
      <c r="L77" s="96">
        <f>IF($S77="","",IF(INDEX('_pockets'!$AC:$AC,$S77)="","",INDEX('_pockets'!$AC:$AC,$S77)))</f>
        <v/>
      </c>
      <c r="M77" s="95">
        <f>IF($R77="","",IF(INDEX('_list'!$L$2:$L$246,$R77)="","",INDEX('_list'!$L$2:$L$246,$R77)))</f>
        <v/>
      </c>
      <c r="N77" s="94">
        <f>IF($R77="","",IF(INDEX('_list'!$H$2:$H$246,$R77)="","",INDEX('_list'!$H$2:$H$246,$R77)))</f>
        <v/>
      </c>
      <c r="O77" s="91">
        <f>IF($R77="","",IF(INDEX('_list'!$I$2:$I$246,$R77)="","",INDEX('_list'!$I$2:$I$246,$R77)))</f>
        <v/>
      </c>
      <c r="R77">
        <f>IFERROR(MATCH(58,'_list'!$N$2:$N$246,0),"")</f>
        <v/>
      </c>
      <c r="S77">
        <f>IF($R77="","",INDEX('_list'!$C$2:$C$246,$R77))</f>
        <v/>
      </c>
    </row>
  </sheetData>
  <mergeCells count="15">
    <mergeCell ref="D10:O10"/>
    <mergeCell ref="F17:M17"/>
    <mergeCell ref="D11:O11"/>
    <mergeCell ref="K14:O14"/>
    <mergeCell ref="D5:O5"/>
    <mergeCell ref="D4:O4"/>
    <mergeCell ref="F14:G14"/>
    <mergeCell ref="K13:O13"/>
    <mergeCell ref="F13:G13"/>
    <mergeCell ref="D9:O9"/>
    <mergeCell ref="H13:I13"/>
    <mergeCell ref="H14:I14"/>
    <mergeCell ref="D7:O7"/>
    <mergeCell ref="D8:O8"/>
    <mergeCell ref="D6:O6"/>
  </mergeCells>
  <conditionalFormatting sqref="B20:B77 C20:C77 D20:D77 E20:E77 F20:F77 G20:G77 H20:H77 L20:L77">
    <cfRule type="expression" priority="1" dxfId="5">
      <formula>AND($B20&lt;&gt;"",LEFT($O20,3)="No:")</formula>
    </cfRule>
    <cfRule type="expression" priority="2" dxfId="6">
      <formula>$B20&lt;&gt;""</formula>
    </cfRule>
  </conditionalFormatting>
  <conditionalFormatting sqref="I20:I77">
    <cfRule type="expression" priority="3" dxfId="7">
      <formula>AND($B20&lt;&gt;"",AND(LEFT($O20,3)="No:",$U$18))</formula>
    </cfRule>
    <cfRule type="expression" priority="4" dxfId="5">
      <formula>AND($B20&lt;&gt;"",LEFT($O20,3)="No:")</formula>
    </cfRule>
    <cfRule type="expression" priority="5" dxfId="8">
      <formula>AND($B20&lt;&gt;"",$U$18)</formula>
    </cfRule>
    <cfRule type="expression" priority="6" dxfId="6">
      <formula>$B20&lt;&gt;""</formula>
    </cfRule>
  </conditionalFormatting>
  <conditionalFormatting sqref="N20:N77">
    <cfRule type="expression" priority="7" dxfId="7">
      <formula>AND($B20&lt;&gt;"",AND(LEFT($O20,3)="No:",$U$18))</formula>
    </cfRule>
    <cfRule type="expression" priority="8" dxfId="5">
      <formula>AND($B20&lt;&gt;"",LEFT($O20,3)="No:")</formula>
    </cfRule>
    <cfRule type="expression" priority="9" dxfId="8">
      <formula>AND($B20&lt;&gt;"",$U$18)</formula>
    </cfRule>
    <cfRule type="expression" priority="10" dxfId="6">
      <formula>$B20&lt;&gt;""</formula>
    </cfRule>
  </conditionalFormatting>
  <conditionalFormatting sqref="J20:J77">
    <cfRule type="expression" priority="11" dxfId="9">
      <formula>AND($B20&lt;&gt;"",AND(LEFT($O20,3)="No:",$U$19))</formula>
    </cfRule>
    <cfRule type="expression" priority="12" dxfId="5">
      <formula>AND($B20&lt;&gt;"",LEFT($O20,3)="No:")</formula>
    </cfRule>
    <cfRule type="expression" priority="13" dxfId="10">
      <formula>AND($B20&lt;&gt;"",$U$19)</formula>
    </cfRule>
    <cfRule type="expression" priority="14" dxfId="6">
      <formula>$B20&lt;&gt;""</formula>
    </cfRule>
  </conditionalFormatting>
  <conditionalFormatting sqref="K20:K77">
    <cfRule type="expression" priority="15" dxfId="5">
      <formula>AND($B20&lt;&gt;"",LEFT($O20,3)="No:")</formula>
    </cfRule>
    <cfRule type="expression" priority="16" dxfId="11">
      <formula>AND($B20&lt;&gt;"",IFERROR(LEFT($K20,FIND(" · ",$K20)-1),$K20)="Yes")</formula>
    </cfRule>
    <cfRule type="expression" priority="17" dxfId="12">
      <formula>AND($B20&lt;&gt;"",IFERROR(LEFT($K20,FIND(" · ",$K20)-1),$K20)="Not sure")</formula>
    </cfRule>
    <cfRule type="expression" priority="18" dxfId="5">
      <formula>AND($B20&lt;&gt;"",OR(IFERROR(LEFT($K20,FIND(" · ",$K20)-1),$K20)="No",IFERROR(LEFT($K20,FIND(" · ",$K20)-1),$K20)="Too few losses"))</formula>
    </cfRule>
    <cfRule type="expression" priority="19" dxfId="6">
      <formula>$B20&lt;&gt;""</formula>
    </cfRule>
  </conditionalFormatting>
  <conditionalFormatting sqref="M20:M77">
    <cfRule type="expression" priority="20" dxfId="5">
      <formula>AND($B20&lt;&gt;"",LEFT($O20,3)="No:")</formula>
    </cfRule>
    <cfRule type="expression" priority="21" dxfId="13">
      <formula>AND($B20&lt;&gt;"",$M20="Yes")</formula>
    </cfRule>
    <cfRule type="expression" priority="22" dxfId="6">
      <formula>$B20&lt;&gt;""</formula>
    </cfRule>
  </conditionalFormatting>
  <conditionalFormatting sqref="O20:O77">
    <cfRule type="expression" priority="23" dxfId="14">
      <formula>AND($B20&lt;&gt;"",LEFT($O20,3)="No:")</formula>
    </cfRule>
    <cfRule type="expression" priority="24" dxfId="6">
      <formula>$B20&lt;&gt;""</formula>
    </cfRule>
  </conditionalFormatting>
  <dataValidations count="3">
    <dataValidation sqref="C17" showDropDown="0" showInputMessage="0" showErrorMessage="1" allowBlank="0" errorTitle="Measure" error="Pick one from the list." type="list">
      <formula1>='_choices'!$A$2:$A$6</formula1>
    </dataValidation>
    <dataValidation sqref="D17" showDropDown="0" showInputMessage="0" showErrorMessage="1" allowBlank="0" errorTitle="Pockets" error="Pick one from the list." type="list">
      <formula1>='_choices'!$E$2:$E$2</formula1>
    </dataValidation>
    <dataValidation sqref="E17"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X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0" customWidth="1" min="2" max="2"/>
    <col width="12" customWidth="1" min="3" max="3"/>
    <col width="9" customWidth="1" min="4" max="4"/>
    <col width="11" customWidth="1" min="5" max="5"/>
    <col width="13" customWidth="1" min="6" max="6"/>
    <col width="11" customWidth="1" min="7" max="7"/>
    <col width="13" customWidth="1" min="8" max="8"/>
    <col width="11" customWidth="1" min="9" max="9"/>
    <col width="13" customWidth="1" min="10" max="10"/>
    <col width="52"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45"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59" customHeight="1">
      <c r="B9" s="6" t="inlineStr">
        <is>
          <t>Together</t>
        </is>
      </c>
      <c r="C9" s="7">
        <f>"The two sides read at once. Priced for it: more charge-offs and more kept. Net drain: more charge-offs and less kept. Strong: fewer charge-offs and more kept. Safe but idle: fewer charge-offs and less kept. Earns less, not from losses: less kept whil"&amp;"e charge-offs are about the same. Losing more, profit holding: more charge-offs while what we kept is about the same. Blank: nothing to read together."&amp;" Borderline: the test's p-value is within the shuffle's own margin of the "&amp;TEXT(significance_bar,"0%")&amp;" bar, so another run could read it the other way."&amp;" Together gives the p-value of each side that is, charge-offs first."</f>
        <v/>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82" t="inlineStr">
        <is>
          <t>LINES IN USE NOW</t>
        </is>
      </c>
      <c r="C12" s="75" t="inlineStr">
        <is>
          <t>Worse at</t>
        </is>
      </c>
      <c r="D12" s="75" t="inlineStr">
        <is>
          <t>Better at</t>
        </is>
      </c>
      <c r="E12" s="76" t="n"/>
      <c r="F12" s="75" t="inlineStr">
        <is>
          <t>How sure</t>
        </is>
      </c>
      <c r="G12" s="76" t="n"/>
      <c r="H12" s="75" t="inlineStr">
        <is>
          <t>Material at</t>
        </is>
      </c>
      <c r="I12" s="76" t="n"/>
      <c r="J12" s="75" t="inlineStr">
        <is>
          <t>Judged against</t>
        </is>
      </c>
      <c r="K12" s="76" t="n"/>
      <c r="M12" s="83" t="inlineStr">
        <is>
          <t>The order is from the last Run, 2026-09-30 15:23.</t>
        </is>
      </c>
    </row>
    <row r="13" ht="22" customHeight="1">
      <c r="B13" s="84" t="inlineStr">
        <is>
          <t>live from Control</t>
        </is>
      </c>
      <c r="C13" s="85">
        <f>worse_at</f>
        <v/>
      </c>
      <c r="D13" s="85">
        <f>better_at</f>
        <v/>
      </c>
      <c r="F13" s="86">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87">
        <f>IFERROR(IF(COUNTIF(Status,"↻ Waiting for a Run")=0,"","↻ "&amp;COUNTIF(Status,"↻ Waiting for a Run")&amp;IF(COUNTIF(Status,"↻ Waiting for a Run")=1," Control change waits for a Run."," Control changes wait for a Run.")),"")</f>
        <v/>
      </c>
    </row>
    <row r="15">
      <c r="B15" s="88" t="inlineStr">
        <is>
          <t>GRID</t>
        </is>
      </c>
    </row>
    <row r="16" ht="20" customHeight="1">
      <c r="B16" s="32" t="inlineStr">
        <is>
          <t>FICO x CHANNEL</t>
        </is>
      </c>
      <c r="C16" s="97" t="n"/>
    </row>
    <row r="17">
      <c r="M17" s="98" t="inlineStr">
        <is>
          <t>Across: charge-offs × the rest, on a log scale. Up: kept, as a gap in points. Red: Net drain. Green: Strong or Priced for it.</t>
        </is>
      </c>
    </row>
    <row r="18">
      <c r="E18" s="99">
        <f>"Paid us · gap vs "&amp;IF(judged_band,"band","book")</f>
        <v/>
      </c>
      <c r="F18" s="100" t="n"/>
      <c r="G18" s="99" t="inlineStr">
        <is>
          <t>Cost us · charge-offs</t>
        </is>
      </c>
      <c r="H18" s="100" t="n"/>
      <c r="I18" s="99">
        <f>"Kept · gap vs "&amp;IF(judged_band,"band","book")</f>
        <v/>
      </c>
      <c r="J18" s="100" t="n"/>
      <c r="K18" s="99"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91">
        <f>IF($AN20="","",IF(INDEX('_views'!$B:$ZZ,$AN20,1)="","",INDEX('_views'!$B:$ZZ,$AN20,1)))</f>
        <v/>
      </c>
      <c r="C20" s="91">
        <f>IF($AN20="","",IF(INDEX('_views'!$B:$ZZ,$AN20,2)="","",INDEX('_views'!$B:$ZZ,$AN20,2)))</f>
        <v/>
      </c>
      <c r="D20" s="92">
        <f>IF($AN20="","",IF(INDEX('_views'!$B:$ZZ,$AN20,3)="","",INDEX('_views'!$B:$ZZ,$AN20,3)))</f>
        <v/>
      </c>
      <c r="E20" s="101">
        <f>IF(IF($AP20="","",IF(INDEX('_pockets'!$AB:$AB,$AP20)="","",INDEX('_pockets'!$AB:$AB,$AP20)))="","",IF($AP20="","",IF(INDEX('_pockets'!$AB:$AB,$AP20)="","",INDEX('_pockets'!$AB:$AB,$AP20)))*100)</f>
        <v/>
      </c>
      <c r="F20" s="92">
        <f>IF(IF($AP20="","",IF(INDEX('_pockets'!$Z:$Z,$AP20)="","",INDEX('_pockets'!$Z:$Z,$AP20)))="","",-IF($AP20="","",IF(INDEX('_pockets'!$Z:$Z,$AP20)="","",INDEX('_pockets'!$Z:$Z,$AP20))))</f>
        <v/>
      </c>
      <c r="G20" s="94">
        <f>IF($AQ20="","",IF(INDEX('_pockets'!$AB:$AB,$AQ20)="","",INDEX('_pockets'!$AB:$AB,$AQ20)))</f>
        <v/>
      </c>
      <c r="H20" s="92">
        <f>IF($AQ20="","",IF(INDEX('_pockets'!$Z:$Z,$AQ20)="","",INDEX('_pockets'!$Z:$Z,$AQ20)))</f>
        <v/>
      </c>
      <c r="I20" s="101">
        <f>IF(IF($AR20="","",IF(INDEX('_pockets'!$AB:$AB,$AR20)="","",INDEX('_pockets'!$AB:$AB,$AR20)))="","",IF($AR20="","",IF(INDEX('_pockets'!$AB:$AB,$AR20)="","",INDEX('_pockets'!$AB:$AB,$AR20)))*100)</f>
        <v/>
      </c>
      <c r="J20" s="92">
        <f>IF(IF($AR20="","",IF(INDEX('_pockets'!$Z:$Z,$AR20)="","",INDEX('_pockets'!$Z:$Z,$AR20)))="","",-IF($AR20="","",IF(INDEX('_pockets'!$Z:$Z,$AR20)="","",INDEX('_pockets'!$Z:$Z,$AR20))))</f>
        <v/>
      </c>
      <c r="K20" s="102">
        <f>IF(OR($AV20="",AND($AW20="",$AX20="")),$AV20,$AV20&amp;" · borderline (p "&amp;IF(AND($AW20&lt;&gt;"",$AX20&lt;&gt;""),$AW20&amp;" and "&amp;$AX20,$AW20&amp;$AX20)&amp;")")</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c r="AV20">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W20">
        <f>IF($AQ20="","",IF(INDEX('_pockets'!$AM:$AM,$AQ20)="","",INDEX('_pockets'!$AM:$AM,$AQ20)))</f>
        <v/>
      </c>
      <c r="AX20">
        <f>IF($AR20="","",IF(INDEX('_pockets'!$AM:$AM,$AR20)="","",INDEX('_pockets'!$AM:$AM,$AR20)))</f>
        <v/>
      </c>
    </row>
    <row r="21" ht="16" customHeight="1">
      <c r="B21" s="91">
        <f>IF($AN21="","",IF(INDEX('_views'!$B:$ZZ,$AN21,1)="","",INDEX('_views'!$B:$ZZ,$AN21,1)))</f>
        <v/>
      </c>
      <c r="C21" s="91">
        <f>IF($AN21="","",IF(INDEX('_views'!$B:$ZZ,$AN21,2)="","",INDEX('_views'!$B:$ZZ,$AN21,2)))</f>
        <v/>
      </c>
      <c r="D21" s="92">
        <f>IF($AN21="","",IF(INDEX('_views'!$B:$ZZ,$AN21,3)="","",INDEX('_views'!$B:$ZZ,$AN21,3)))</f>
        <v/>
      </c>
      <c r="E21" s="101">
        <f>IF(IF($AP21="","",IF(INDEX('_pockets'!$AB:$AB,$AP21)="","",INDEX('_pockets'!$AB:$AB,$AP21)))="","",IF($AP21="","",IF(INDEX('_pockets'!$AB:$AB,$AP21)="","",INDEX('_pockets'!$AB:$AB,$AP21)))*100)</f>
        <v/>
      </c>
      <c r="F21" s="92">
        <f>IF(IF($AP21="","",IF(INDEX('_pockets'!$Z:$Z,$AP21)="","",INDEX('_pockets'!$Z:$Z,$AP21)))="","",-IF($AP21="","",IF(INDEX('_pockets'!$Z:$Z,$AP21)="","",INDEX('_pockets'!$Z:$Z,$AP21))))</f>
        <v/>
      </c>
      <c r="G21" s="94">
        <f>IF($AQ21="","",IF(INDEX('_pockets'!$AB:$AB,$AQ21)="","",INDEX('_pockets'!$AB:$AB,$AQ21)))</f>
        <v/>
      </c>
      <c r="H21" s="92">
        <f>IF($AQ21="","",IF(INDEX('_pockets'!$Z:$Z,$AQ21)="","",INDEX('_pockets'!$Z:$Z,$AQ21)))</f>
        <v/>
      </c>
      <c r="I21" s="101">
        <f>IF(IF($AR21="","",IF(INDEX('_pockets'!$AB:$AB,$AR21)="","",INDEX('_pockets'!$AB:$AB,$AR21)))="","",IF($AR21="","",IF(INDEX('_pockets'!$AB:$AB,$AR21)="","",INDEX('_pockets'!$AB:$AB,$AR21)))*100)</f>
        <v/>
      </c>
      <c r="J21" s="92">
        <f>IF(IF($AR21="","",IF(INDEX('_pockets'!$Z:$Z,$AR21)="","",INDEX('_pockets'!$Z:$Z,$AR21)))="","",-IF($AR21="","",IF(INDEX('_pockets'!$Z:$Z,$AR21)="","",INDEX('_pockets'!$Z:$Z,$AR21))))</f>
        <v/>
      </c>
      <c r="K21" s="102">
        <f>IF(OR($AV21="",AND($AW21="",$AX21="")),$AV21,$AV21&amp;" · borderline (p "&amp;IF(AND($AW21&lt;&gt;"",$AX21&lt;&gt;""),$AW21&amp;" and "&amp;$AX21,$AW21&amp;$AX21)&amp;")")</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c r="AV21">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W21">
        <f>IF($AQ21="","",IF(INDEX('_pockets'!$AM:$AM,$AQ21)="","",INDEX('_pockets'!$AM:$AM,$AQ21)))</f>
        <v/>
      </c>
      <c r="AX21">
        <f>IF($AR21="","",IF(INDEX('_pockets'!$AM:$AM,$AR21)="","",INDEX('_pockets'!$AM:$AM,$AR21)))</f>
        <v/>
      </c>
    </row>
    <row r="22" ht="16" customHeight="1">
      <c r="B22" s="91">
        <f>IF($AN22="","",IF(INDEX('_views'!$B:$ZZ,$AN22,1)="","",INDEX('_views'!$B:$ZZ,$AN22,1)))</f>
        <v/>
      </c>
      <c r="C22" s="91">
        <f>IF($AN22="","",IF(INDEX('_views'!$B:$ZZ,$AN22,2)="","",INDEX('_views'!$B:$ZZ,$AN22,2)))</f>
        <v/>
      </c>
      <c r="D22" s="92">
        <f>IF($AN22="","",IF(INDEX('_views'!$B:$ZZ,$AN22,3)="","",INDEX('_views'!$B:$ZZ,$AN22,3)))</f>
        <v/>
      </c>
      <c r="E22" s="101">
        <f>IF(IF($AP22="","",IF(INDEX('_pockets'!$AB:$AB,$AP22)="","",INDEX('_pockets'!$AB:$AB,$AP22)))="","",IF($AP22="","",IF(INDEX('_pockets'!$AB:$AB,$AP22)="","",INDEX('_pockets'!$AB:$AB,$AP22)))*100)</f>
        <v/>
      </c>
      <c r="F22" s="92">
        <f>IF(IF($AP22="","",IF(INDEX('_pockets'!$Z:$Z,$AP22)="","",INDEX('_pockets'!$Z:$Z,$AP22)))="","",-IF($AP22="","",IF(INDEX('_pockets'!$Z:$Z,$AP22)="","",INDEX('_pockets'!$Z:$Z,$AP22))))</f>
        <v/>
      </c>
      <c r="G22" s="94">
        <f>IF($AQ22="","",IF(INDEX('_pockets'!$AB:$AB,$AQ22)="","",INDEX('_pockets'!$AB:$AB,$AQ22)))</f>
        <v/>
      </c>
      <c r="H22" s="92">
        <f>IF($AQ22="","",IF(INDEX('_pockets'!$Z:$Z,$AQ22)="","",INDEX('_pockets'!$Z:$Z,$AQ22)))</f>
        <v/>
      </c>
      <c r="I22" s="101">
        <f>IF(IF($AR22="","",IF(INDEX('_pockets'!$AB:$AB,$AR22)="","",INDEX('_pockets'!$AB:$AB,$AR22)))="","",IF($AR22="","",IF(INDEX('_pockets'!$AB:$AB,$AR22)="","",INDEX('_pockets'!$AB:$AB,$AR22)))*100)</f>
        <v/>
      </c>
      <c r="J22" s="92">
        <f>IF(IF($AR22="","",IF(INDEX('_pockets'!$Z:$Z,$AR22)="","",INDEX('_pockets'!$Z:$Z,$AR22)))="","",-IF($AR22="","",IF(INDEX('_pockets'!$Z:$Z,$AR22)="","",INDEX('_pockets'!$Z:$Z,$AR22))))</f>
        <v/>
      </c>
      <c r="K22" s="102">
        <f>IF(OR($AV22="",AND($AW22="",$AX22="")),$AV22,$AV22&amp;" · borderline (p "&amp;IF(AND($AW22&lt;&gt;"",$AX22&lt;&gt;""),$AW22&amp;" and "&amp;$AX22,$AW22&amp;$AX22)&amp;")")</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c r="AV22">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W22">
        <f>IF($AQ22="","",IF(INDEX('_pockets'!$AM:$AM,$AQ22)="","",INDEX('_pockets'!$AM:$AM,$AQ22)))</f>
        <v/>
      </c>
      <c r="AX22">
        <f>IF($AR22="","",IF(INDEX('_pockets'!$AM:$AM,$AR22)="","",INDEX('_pockets'!$AM:$AM,$AR22)))</f>
        <v/>
      </c>
    </row>
    <row r="23" ht="16" customHeight="1">
      <c r="B23" s="91">
        <f>IF($AN23="","",IF(INDEX('_views'!$B:$ZZ,$AN23,1)="","",INDEX('_views'!$B:$ZZ,$AN23,1)))</f>
        <v/>
      </c>
      <c r="C23" s="91">
        <f>IF($AN23="","",IF(INDEX('_views'!$B:$ZZ,$AN23,2)="","",INDEX('_views'!$B:$ZZ,$AN23,2)))</f>
        <v/>
      </c>
      <c r="D23" s="92">
        <f>IF($AN23="","",IF(INDEX('_views'!$B:$ZZ,$AN23,3)="","",INDEX('_views'!$B:$ZZ,$AN23,3)))</f>
        <v/>
      </c>
      <c r="E23" s="101">
        <f>IF(IF($AP23="","",IF(INDEX('_pockets'!$AB:$AB,$AP23)="","",INDEX('_pockets'!$AB:$AB,$AP23)))="","",IF($AP23="","",IF(INDEX('_pockets'!$AB:$AB,$AP23)="","",INDEX('_pockets'!$AB:$AB,$AP23)))*100)</f>
        <v/>
      </c>
      <c r="F23" s="92">
        <f>IF(IF($AP23="","",IF(INDEX('_pockets'!$Z:$Z,$AP23)="","",INDEX('_pockets'!$Z:$Z,$AP23)))="","",-IF($AP23="","",IF(INDEX('_pockets'!$Z:$Z,$AP23)="","",INDEX('_pockets'!$Z:$Z,$AP23))))</f>
        <v/>
      </c>
      <c r="G23" s="94">
        <f>IF($AQ23="","",IF(INDEX('_pockets'!$AB:$AB,$AQ23)="","",INDEX('_pockets'!$AB:$AB,$AQ23)))</f>
        <v/>
      </c>
      <c r="H23" s="92">
        <f>IF($AQ23="","",IF(INDEX('_pockets'!$Z:$Z,$AQ23)="","",INDEX('_pockets'!$Z:$Z,$AQ23)))</f>
        <v/>
      </c>
      <c r="I23" s="101">
        <f>IF(IF($AR23="","",IF(INDEX('_pockets'!$AB:$AB,$AR23)="","",INDEX('_pockets'!$AB:$AB,$AR23)))="","",IF($AR23="","",IF(INDEX('_pockets'!$AB:$AB,$AR23)="","",INDEX('_pockets'!$AB:$AB,$AR23)))*100)</f>
        <v/>
      </c>
      <c r="J23" s="92">
        <f>IF(IF($AR23="","",IF(INDEX('_pockets'!$Z:$Z,$AR23)="","",INDEX('_pockets'!$Z:$Z,$AR23)))="","",-IF($AR23="","",IF(INDEX('_pockets'!$Z:$Z,$AR23)="","",INDEX('_pockets'!$Z:$Z,$AR23))))</f>
        <v/>
      </c>
      <c r="K23" s="102">
        <f>IF(OR($AV23="",AND($AW23="",$AX23="")),$AV23,$AV23&amp;" · borderline (p "&amp;IF(AND($AW23&lt;&gt;"",$AX23&lt;&gt;""),$AW23&amp;" and "&amp;$AX23,$AW23&amp;$AX23)&amp;")")</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c r="AV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W23">
        <f>IF($AQ23="","",IF(INDEX('_pockets'!$AM:$AM,$AQ23)="","",INDEX('_pockets'!$AM:$AM,$AQ23)))</f>
        <v/>
      </c>
      <c r="AX23">
        <f>IF($AR23="","",IF(INDEX('_pockets'!$AM:$AM,$AR23)="","",INDEX('_pockets'!$AM:$AM,$AR23)))</f>
        <v/>
      </c>
    </row>
    <row r="24" ht="16" customHeight="1">
      <c r="B24" s="91">
        <f>IF($AN24="","",IF(INDEX('_views'!$B:$ZZ,$AN24,1)="","",INDEX('_views'!$B:$ZZ,$AN24,1)))</f>
        <v/>
      </c>
      <c r="C24" s="91">
        <f>IF($AN24="","",IF(INDEX('_views'!$B:$ZZ,$AN24,2)="","",INDEX('_views'!$B:$ZZ,$AN24,2)))</f>
        <v/>
      </c>
      <c r="D24" s="92">
        <f>IF($AN24="","",IF(INDEX('_views'!$B:$ZZ,$AN24,3)="","",INDEX('_views'!$B:$ZZ,$AN24,3)))</f>
        <v/>
      </c>
      <c r="E24" s="101">
        <f>IF(IF($AP24="","",IF(INDEX('_pockets'!$AB:$AB,$AP24)="","",INDEX('_pockets'!$AB:$AB,$AP24)))="","",IF($AP24="","",IF(INDEX('_pockets'!$AB:$AB,$AP24)="","",INDEX('_pockets'!$AB:$AB,$AP24)))*100)</f>
        <v/>
      </c>
      <c r="F24" s="92">
        <f>IF(IF($AP24="","",IF(INDEX('_pockets'!$Z:$Z,$AP24)="","",INDEX('_pockets'!$Z:$Z,$AP24)))="","",-IF($AP24="","",IF(INDEX('_pockets'!$Z:$Z,$AP24)="","",INDEX('_pockets'!$Z:$Z,$AP24))))</f>
        <v/>
      </c>
      <c r="G24" s="94">
        <f>IF($AQ24="","",IF(INDEX('_pockets'!$AB:$AB,$AQ24)="","",INDEX('_pockets'!$AB:$AB,$AQ24)))</f>
        <v/>
      </c>
      <c r="H24" s="92">
        <f>IF($AQ24="","",IF(INDEX('_pockets'!$Z:$Z,$AQ24)="","",INDEX('_pockets'!$Z:$Z,$AQ24)))</f>
        <v/>
      </c>
      <c r="I24" s="101">
        <f>IF(IF($AR24="","",IF(INDEX('_pockets'!$AB:$AB,$AR24)="","",INDEX('_pockets'!$AB:$AB,$AR24)))="","",IF($AR24="","",IF(INDEX('_pockets'!$AB:$AB,$AR24)="","",INDEX('_pockets'!$AB:$AB,$AR24)))*100)</f>
        <v/>
      </c>
      <c r="J24" s="92">
        <f>IF(IF($AR24="","",IF(INDEX('_pockets'!$Z:$Z,$AR24)="","",INDEX('_pockets'!$Z:$Z,$AR24)))="","",-IF($AR24="","",IF(INDEX('_pockets'!$Z:$Z,$AR24)="","",INDEX('_pockets'!$Z:$Z,$AR24))))</f>
        <v/>
      </c>
      <c r="K24" s="102">
        <f>IF(OR($AV24="",AND($AW24="",$AX24="")),$AV24,$AV24&amp;" · borderline (p "&amp;IF(AND($AW24&lt;&gt;"",$AX24&lt;&gt;""),$AW24&amp;" and "&amp;$AX24,$AW24&amp;$AX24)&amp;")")</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c r="AV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W24">
        <f>IF($AQ24="","",IF(INDEX('_pockets'!$AM:$AM,$AQ24)="","",INDEX('_pockets'!$AM:$AM,$AQ24)))</f>
        <v/>
      </c>
      <c r="AX24">
        <f>IF($AR24="","",IF(INDEX('_pockets'!$AM:$AM,$AR24)="","",INDEX('_pockets'!$AM:$AM,$AR24)))</f>
        <v/>
      </c>
    </row>
    <row r="25" ht="16" customHeight="1">
      <c r="B25" s="91">
        <f>IF($AN25="","",IF(INDEX('_views'!$B:$ZZ,$AN25,1)="","",INDEX('_views'!$B:$ZZ,$AN25,1)))</f>
        <v/>
      </c>
      <c r="C25" s="91">
        <f>IF($AN25="","",IF(INDEX('_views'!$B:$ZZ,$AN25,2)="","",INDEX('_views'!$B:$ZZ,$AN25,2)))</f>
        <v/>
      </c>
      <c r="D25" s="92">
        <f>IF($AN25="","",IF(INDEX('_views'!$B:$ZZ,$AN25,3)="","",INDEX('_views'!$B:$ZZ,$AN25,3)))</f>
        <v/>
      </c>
      <c r="E25" s="101">
        <f>IF(IF($AP25="","",IF(INDEX('_pockets'!$AB:$AB,$AP25)="","",INDEX('_pockets'!$AB:$AB,$AP25)))="","",IF($AP25="","",IF(INDEX('_pockets'!$AB:$AB,$AP25)="","",INDEX('_pockets'!$AB:$AB,$AP25)))*100)</f>
        <v/>
      </c>
      <c r="F25" s="92">
        <f>IF(IF($AP25="","",IF(INDEX('_pockets'!$Z:$Z,$AP25)="","",INDEX('_pockets'!$Z:$Z,$AP25)))="","",-IF($AP25="","",IF(INDEX('_pockets'!$Z:$Z,$AP25)="","",INDEX('_pockets'!$Z:$Z,$AP25))))</f>
        <v/>
      </c>
      <c r="G25" s="94">
        <f>IF($AQ25="","",IF(INDEX('_pockets'!$AB:$AB,$AQ25)="","",INDEX('_pockets'!$AB:$AB,$AQ25)))</f>
        <v/>
      </c>
      <c r="H25" s="92">
        <f>IF($AQ25="","",IF(INDEX('_pockets'!$Z:$Z,$AQ25)="","",INDEX('_pockets'!$Z:$Z,$AQ25)))</f>
        <v/>
      </c>
      <c r="I25" s="101">
        <f>IF(IF($AR25="","",IF(INDEX('_pockets'!$AB:$AB,$AR25)="","",INDEX('_pockets'!$AB:$AB,$AR25)))="","",IF($AR25="","",IF(INDEX('_pockets'!$AB:$AB,$AR25)="","",INDEX('_pockets'!$AB:$AB,$AR25)))*100)</f>
        <v/>
      </c>
      <c r="J25" s="92">
        <f>IF(IF($AR25="","",IF(INDEX('_pockets'!$Z:$Z,$AR25)="","",INDEX('_pockets'!$Z:$Z,$AR25)))="","",-IF($AR25="","",IF(INDEX('_pockets'!$Z:$Z,$AR25)="","",INDEX('_pockets'!$Z:$Z,$AR25))))</f>
        <v/>
      </c>
      <c r="K25" s="102">
        <f>IF(OR($AV25="",AND($AW25="",$AX25="")),$AV25,$AV25&amp;" · borderline (p "&amp;IF(AND($AW25&lt;&gt;"",$AX25&lt;&gt;""),$AW25&amp;" and "&amp;$AX25,$AW25&amp;$AX25)&amp;")")</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c r="AV25">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W25">
        <f>IF($AQ25="","",IF(INDEX('_pockets'!$AM:$AM,$AQ25)="","",INDEX('_pockets'!$AM:$AM,$AQ25)))</f>
        <v/>
      </c>
      <c r="AX25">
        <f>IF($AR25="","",IF(INDEX('_pockets'!$AM:$AM,$AR25)="","",INDEX('_pockets'!$AM:$AM,$AR25)))</f>
        <v/>
      </c>
    </row>
    <row r="26" ht="16" customHeight="1">
      <c r="B26" s="91">
        <f>IF($AN26="","",IF(INDEX('_views'!$B:$ZZ,$AN26,1)="","",INDEX('_views'!$B:$ZZ,$AN26,1)))</f>
        <v/>
      </c>
      <c r="C26" s="91">
        <f>IF($AN26="","",IF(INDEX('_views'!$B:$ZZ,$AN26,2)="","",INDEX('_views'!$B:$ZZ,$AN26,2)))</f>
        <v/>
      </c>
      <c r="D26" s="92">
        <f>IF($AN26="","",IF(INDEX('_views'!$B:$ZZ,$AN26,3)="","",INDEX('_views'!$B:$ZZ,$AN26,3)))</f>
        <v/>
      </c>
      <c r="E26" s="101">
        <f>IF(IF($AP26="","",IF(INDEX('_pockets'!$AB:$AB,$AP26)="","",INDEX('_pockets'!$AB:$AB,$AP26)))="","",IF($AP26="","",IF(INDEX('_pockets'!$AB:$AB,$AP26)="","",INDEX('_pockets'!$AB:$AB,$AP26)))*100)</f>
        <v/>
      </c>
      <c r="F26" s="92">
        <f>IF(IF($AP26="","",IF(INDEX('_pockets'!$Z:$Z,$AP26)="","",INDEX('_pockets'!$Z:$Z,$AP26)))="","",-IF($AP26="","",IF(INDEX('_pockets'!$Z:$Z,$AP26)="","",INDEX('_pockets'!$Z:$Z,$AP26))))</f>
        <v/>
      </c>
      <c r="G26" s="94">
        <f>IF($AQ26="","",IF(INDEX('_pockets'!$AB:$AB,$AQ26)="","",INDEX('_pockets'!$AB:$AB,$AQ26)))</f>
        <v/>
      </c>
      <c r="H26" s="92">
        <f>IF($AQ26="","",IF(INDEX('_pockets'!$Z:$Z,$AQ26)="","",INDEX('_pockets'!$Z:$Z,$AQ26)))</f>
        <v/>
      </c>
      <c r="I26" s="101">
        <f>IF(IF($AR26="","",IF(INDEX('_pockets'!$AB:$AB,$AR26)="","",INDEX('_pockets'!$AB:$AB,$AR26)))="","",IF($AR26="","",IF(INDEX('_pockets'!$AB:$AB,$AR26)="","",INDEX('_pockets'!$AB:$AB,$AR26)))*100)</f>
        <v/>
      </c>
      <c r="J26" s="92">
        <f>IF(IF($AR26="","",IF(INDEX('_pockets'!$Z:$Z,$AR26)="","",INDEX('_pockets'!$Z:$Z,$AR26)))="","",-IF($AR26="","",IF(INDEX('_pockets'!$Z:$Z,$AR26)="","",INDEX('_pockets'!$Z:$Z,$AR26))))</f>
        <v/>
      </c>
      <c r="K26" s="102">
        <f>IF(OR($AV26="",AND($AW26="",$AX26="")),$AV26,$AV26&amp;" · borderline (p "&amp;IF(AND($AW26&lt;&gt;"",$AX26&lt;&gt;""),$AW26&amp;" and "&amp;$AX26,$AW26&amp;$AX26)&amp;")")</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c r="AV26">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W26">
        <f>IF($AQ26="","",IF(INDEX('_pockets'!$AM:$AM,$AQ26)="","",INDEX('_pockets'!$AM:$AM,$AQ26)))</f>
        <v/>
      </c>
      <c r="AX26">
        <f>IF($AR26="","",IF(INDEX('_pockets'!$AM:$AM,$AR26)="","",INDEX('_pockets'!$AM:$AM,$AR26)))</f>
        <v/>
      </c>
    </row>
    <row r="27" ht="16" customHeight="1">
      <c r="B27" s="91">
        <f>IF($AN27="","",IF(INDEX('_views'!$B:$ZZ,$AN27,1)="","",INDEX('_views'!$B:$ZZ,$AN27,1)))</f>
        <v/>
      </c>
      <c r="C27" s="91">
        <f>IF($AN27="","",IF(INDEX('_views'!$B:$ZZ,$AN27,2)="","",INDEX('_views'!$B:$ZZ,$AN27,2)))</f>
        <v/>
      </c>
      <c r="D27" s="92">
        <f>IF($AN27="","",IF(INDEX('_views'!$B:$ZZ,$AN27,3)="","",INDEX('_views'!$B:$ZZ,$AN27,3)))</f>
        <v/>
      </c>
      <c r="E27" s="101">
        <f>IF(IF($AP27="","",IF(INDEX('_pockets'!$AB:$AB,$AP27)="","",INDEX('_pockets'!$AB:$AB,$AP27)))="","",IF($AP27="","",IF(INDEX('_pockets'!$AB:$AB,$AP27)="","",INDEX('_pockets'!$AB:$AB,$AP27)))*100)</f>
        <v/>
      </c>
      <c r="F27" s="92">
        <f>IF(IF($AP27="","",IF(INDEX('_pockets'!$Z:$Z,$AP27)="","",INDEX('_pockets'!$Z:$Z,$AP27)))="","",-IF($AP27="","",IF(INDEX('_pockets'!$Z:$Z,$AP27)="","",INDEX('_pockets'!$Z:$Z,$AP27))))</f>
        <v/>
      </c>
      <c r="G27" s="94">
        <f>IF($AQ27="","",IF(INDEX('_pockets'!$AB:$AB,$AQ27)="","",INDEX('_pockets'!$AB:$AB,$AQ27)))</f>
        <v/>
      </c>
      <c r="H27" s="92">
        <f>IF($AQ27="","",IF(INDEX('_pockets'!$Z:$Z,$AQ27)="","",INDEX('_pockets'!$Z:$Z,$AQ27)))</f>
        <v/>
      </c>
      <c r="I27" s="101">
        <f>IF(IF($AR27="","",IF(INDEX('_pockets'!$AB:$AB,$AR27)="","",INDEX('_pockets'!$AB:$AB,$AR27)))="","",IF($AR27="","",IF(INDEX('_pockets'!$AB:$AB,$AR27)="","",INDEX('_pockets'!$AB:$AB,$AR27)))*100)</f>
        <v/>
      </c>
      <c r="J27" s="92">
        <f>IF(IF($AR27="","",IF(INDEX('_pockets'!$Z:$Z,$AR27)="","",INDEX('_pockets'!$Z:$Z,$AR27)))="","",-IF($AR27="","",IF(INDEX('_pockets'!$Z:$Z,$AR27)="","",INDEX('_pockets'!$Z:$Z,$AR27))))</f>
        <v/>
      </c>
      <c r="K27" s="102">
        <f>IF(OR($AV27="",AND($AW27="",$AX27="")),$AV27,$AV27&amp;" · borderline (p "&amp;IF(AND($AW27&lt;&gt;"",$AX27&lt;&gt;""),$AW27&amp;" and "&amp;$AX27,$AW27&amp;$AX27)&amp;")")</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c r="AV27">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W27">
        <f>IF($AQ27="","",IF(INDEX('_pockets'!$AM:$AM,$AQ27)="","",INDEX('_pockets'!$AM:$AM,$AQ27)))</f>
        <v/>
      </c>
      <c r="AX27">
        <f>IF($AR27="","",IF(INDEX('_pockets'!$AM:$AM,$AR27)="","",INDEX('_pockets'!$AM:$AM,$AR27)))</f>
        <v/>
      </c>
    </row>
    <row r="28" ht="16" customHeight="1">
      <c r="B28" s="91">
        <f>IF($AN28="","",IF(INDEX('_views'!$B:$ZZ,$AN28,1)="","",INDEX('_views'!$B:$ZZ,$AN28,1)))</f>
        <v/>
      </c>
      <c r="C28" s="91">
        <f>IF($AN28="","",IF(INDEX('_views'!$B:$ZZ,$AN28,2)="","",INDEX('_views'!$B:$ZZ,$AN28,2)))</f>
        <v/>
      </c>
      <c r="D28" s="92">
        <f>IF($AN28="","",IF(INDEX('_views'!$B:$ZZ,$AN28,3)="","",INDEX('_views'!$B:$ZZ,$AN28,3)))</f>
        <v/>
      </c>
      <c r="E28" s="101">
        <f>IF(IF($AP28="","",IF(INDEX('_pockets'!$AB:$AB,$AP28)="","",INDEX('_pockets'!$AB:$AB,$AP28)))="","",IF($AP28="","",IF(INDEX('_pockets'!$AB:$AB,$AP28)="","",INDEX('_pockets'!$AB:$AB,$AP28)))*100)</f>
        <v/>
      </c>
      <c r="F28" s="92">
        <f>IF(IF($AP28="","",IF(INDEX('_pockets'!$Z:$Z,$AP28)="","",INDEX('_pockets'!$Z:$Z,$AP28)))="","",-IF($AP28="","",IF(INDEX('_pockets'!$Z:$Z,$AP28)="","",INDEX('_pockets'!$Z:$Z,$AP28))))</f>
        <v/>
      </c>
      <c r="G28" s="94">
        <f>IF($AQ28="","",IF(INDEX('_pockets'!$AB:$AB,$AQ28)="","",INDEX('_pockets'!$AB:$AB,$AQ28)))</f>
        <v/>
      </c>
      <c r="H28" s="92">
        <f>IF($AQ28="","",IF(INDEX('_pockets'!$Z:$Z,$AQ28)="","",INDEX('_pockets'!$Z:$Z,$AQ28)))</f>
        <v/>
      </c>
      <c r="I28" s="101">
        <f>IF(IF($AR28="","",IF(INDEX('_pockets'!$AB:$AB,$AR28)="","",INDEX('_pockets'!$AB:$AB,$AR28)))="","",IF($AR28="","",IF(INDEX('_pockets'!$AB:$AB,$AR28)="","",INDEX('_pockets'!$AB:$AB,$AR28)))*100)</f>
        <v/>
      </c>
      <c r="J28" s="92">
        <f>IF(IF($AR28="","",IF(INDEX('_pockets'!$Z:$Z,$AR28)="","",INDEX('_pockets'!$Z:$Z,$AR28)))="","",-IF($AR28="","",IF(INDEX('_pockets'!$Z:$Z,$AR28)="","",INDEX('_pockets'!$Z:$Z,$AR28))))</f>
        <v/>
      </c>
      <c r="K28" s="102">
        <f>IF(OR($AV28="",AND($AW28="",$AX28="")),$AV28,$AV28&amp;" · borderline (p "&amp;IF(AND($AW28&lt;&gt;"",$AX28&lt;&gt;""),$AW28&amp;" and "&amp;$AX28,$AW28&amp;$AX28)&amp;")")</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c r="AV28">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W28">
        <f>IF($AQ28="","",IF(INDEX('_pockets'!$AM:$AM,$AQ28)="","",INDEX('_pockets'!$AM:$AM,$AQ28)))</f>
        <v/>
      </c>
      <c r="AX28">
        <f>IF($AR28="","",IF(INDEX('_pockets'!$AM:$AM,$AR28)="","",INDEX('_pockets'!$AM:$AM,$AR28)))</f>
        <v/>
      </c>
    </row>
    <row r="29" ht="16" customHeight="1">
      <c r="B29" s="91">
        <f>IF($AN29="","",IF(INDEX('_views'!$B:$ZZ,$AN29,1)="","",INDEX('_views'!$B:$ZZ,$AN29,1)))</f>
        <v/>
      </c>
      <c r="C29" s="91">
        <f>IF($AN29="","",IF(INDEX('_views'!$B:$ZZ,$AN29,2)="","",INDEX('_views'!$B:$ZZ,$AN29,2)))</f>
        <v/>
      </c>
      <c r="D29" s="92">
        <f>IF($AN29="","",IF(INDEX('_views'!$B:$ZZ,$AN29,3)="","",INDEX('_views'!$B:$ZZ,$AN29,3)))</f>
        <v/>
      </c>
      <c r="E29" s="101">
        <f>IF(IF($AP29="","",IF(INDEX('_pockets'!$AB:$AB,$AP29)="","",INDEX('_pockets'!$AB:$AB,$AP29)))="","",IF($AP29="","",IF(INDEX('_pockets'!$AB:$AB,$AP29)="","",INDEX('_pockets'!$AB:$AB,$AP29)))*100)</f>
        <v/>
      </c>
      <c r="F29" s="92">
        <f>IF(IF($AP29="","",IF(INDEX('_pockets'!$Z:$Z,$AP29)="","",INDEX('_pockets'!$Z:$Z,$AP29)))="","",-IF($AP29="","",IF(INDEX('_pockets'!$Z:$Z,$AP29)="","",INDEX('_pockets'!$Z:$Z,$AP29))))</f>
        <v/>
      </c>
      <c r="G29" s="94">
        <f>IF($AQ29="","",IF(INDEX('_pockets'!$AB:$AB,$AQ29)="","",INDEX('_pockets'!$AB:$AB,$AQ29)))</f>
        <v/>
      </c>
      <c r="H29" s="92">
        <f>IF($AQ29="","",IF(INDEX('_pockets'!$Z:$Z,$AQ29)="","",INDEX('_pockets'!$Z:$Z,$AQ29)))</f>
        <v/>
      </c>
      <c r="I29" s="101">
        <f>IF(IF($AR29="","",IF(INDEX('_pockets'!$AB:$AB,$AR29)="","",INDEX('_pockets'!$AB:$AB,$AR29)))="","",IF($AR29="","",IF(INDEX('_pockets'!$AB:$AB,$AR29)="","",INDEX('_pockets'!$AB:$AB,$AR29)))*100)</f>
        <v/>
      </c>
      <c r="J29" s="92">
        <f>IF(IF($AR29="","",IF(INDEX('_pockets'!$Z:$Z,$AR29)="","",INDEX('_pockets'!$Z:$Z,$AR29)))="","",-IF($AR29="","",IF(INDEX('_pockets'!$Z:$Z,$AR29)="","",INDEX('_pockets'!$Z:$Z,$AR29))))</f>
        <v/>
      </c>
      <c r="K29" s="102">
        <f>IF(OR($AV29="",AND($AW29="",$AX29="")),$AV29,$AV29&amp;" · borderline (p "&amp;IF(AND($AW29&lt;&gt;"",$AX29&lt;&gt;""),$AW29&amp;" and "&amp;$AX29,$AW29&amp;$AX29)&amp;")")</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c r="AV29">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W29">
        <f>IF($AQ29="","",IF(INDEX('_pockets'!$AM:$AM,$AQ29)="","",INDEX('_pockets'!$AM:$AM,$AQ29)))</f>
        <v/>
      </c>
      <c r="AX29">
        <f>IF($AR29="","",IF(INDEX('_pockets'!$AM:$AM,$AR29)="","",INDEX('_pockets'!$AM:$AM,$AR29)))</f>
        <v/>
      </c>
    </row>
    <row r="30" ht="16" customHeight="1">
      <c r="B30" s="91">
        <f>IF($AN30="","",IF(INDEX('_views'!$B:$ZZ,$AN30,1)="","",INDEX('_views'!$B:$ZZ,$AN30,1)))</f>
        <v/>
      </c>
      <c r="C30" s="91">
        <f>IF($AN30="","",IF(INDEX('_views'!$B:$ZZ,$AN30,2)="","",INDEX('_views'!$B:$ZZ,$AN30,2)))</f>
        <v/>
      </c>
      <c r="D30" s="92">
        <f>IF($AN30="","",IF(INDEX('_views'!$B:$ZZ,$AN30,3)="","",INDEX('_views'!$B:$ZZ,$AN30,3)))</f>
        <v/>
      </c>
      <c r="E30" s="101">
        <f>IF(IF($AP30="","",IF(INDEX('_pockets'!$AB:$AB,$AP30)="","",INDEX('_pockets'!$AB:$AB,$AP30)))="","",IF($AP30="","",IF(INDEX('_pockets'!$AB:$AB,$AP30)="","",INDEX('_pockets'!$AB:$AB,$AP30)))*100)</f>
        <v/>
      </c>
      <c r="F30" s="92">
        <f>IF(IF($AP30="","",IF(INDEX('_pockets'!$Z:$Z,$AP30)="","",INDEX('_pockets'!$Z:$Z,$AP30)))="","",-IF($AP30="","",IF(INDEX('_pockets'!$Z:$Z,$AP30)="","",INDEX('_pockets'!$Z:$Z,$AP30))))</f>
        <v/>
      </c>
      <c r="G30" s="94">
        <f>IF($AQ30="","",IF(INDEX('_pockets'!$AB:$AB,$AQ30)="","",INDEX('_pockets'!$AB:$AB,$AQ30)))</f>
        <v/>
      </c>
      <c r="H30" s="92">
        <f>IF($AQ30="","",IF(INDEX('_pockets'!$Z:$Z,$AQ30)="","",INDEX('_pockets'!$Z:$Z,$AQ30)))</f>
        <v/>
      </c>
      <c r="I30" s="101">
        <f>IF(IF($AR30="","",IF(INDEX('_pockets'!$AB:$AB,$AR30)="","",INDEX('_pockets'!$AB:$AB,$AR30)))="","",IF($AR30="","",IF(INDEX('_pockets'!$AB:$AB,$AR30)="","",INDEX('_pockets'!$AB:$AB,$AR30)))*100)</f>
        <v/>
      </c>
      <c r="J30" s="92">
        <f>IF(IF($AR30="","",IF(INDEX('_pockets'!$Z:$Z,$AR30)="","",INDEX('_pockets'!$Z:$Z,$AR30)))="","",-IF($AR30="","",IF(INDEX('_pockets'!$Z:$Z,$AR30)="","",INDEX('_pockets'!$Z:$Z,$AR30))))</f>
        <v/>
      </c>
      <c r="K30" s="102">
        <f>IF(OR($AV30="",AND($AW30="",$AX30="")),$AV30,$AV30&amp;" · borderline (p "&amp;IF(AND($AW30&lt;&gt;"",$AX30&lt;&gt;""),$AW30&amp;" and "&amp;$AX30,$AW30&amp;$AX30)&amp;")")</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c r="AV30">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W30">
        <f>IF($AQ30="","",IF(INDEX('_pockets'!$AM:$AM,$AQ30)="","",INDEX('_pockets'!$AM:$AM,$AQ30)))</f>
        <v/>
      </c>
      <c r="AX30">
        <f>IF($AR30="","",IF(INDEX('_pockets'!$AM:$AM,$AR30)="","",INDEX('_pockets'!$AM:$AM,$AR30)))</f>
        <v/>
      </c>
    </row>
    <row r="31" ht="16" customHeight="1">
      <c r="B31" s="91">
        <f>IF($AN31="","",IF(INDEX('_views'!$B:$ZZ,$AN31,1)="","",INDEX('_views'!$B:$ZZ,$AN31,1)))</f>
        <v/>
      </c>
      <c r="C31" s="91">
        <f>IF($AN31="","",IF(INDEX('_views'!$B:$ZZ,$AN31,2)="","",INDEX('_views'!$B:$ZZ,$AN31,2)))</f>
        <v/>
      </c>
      <c r="D31" s="92">
        <f>IF($AN31="","",IF(INDEX('_views'!$B:$ZZ,$AN31,3)="","",INDEX('_views'!$B:$ZZ,$AN31,3)))</f>
        <v/>
      </c>
      <c r="E31" s="101">
        <f>IF(IF($AP31="","",IF(INDEX('_pockets'!$AB:$AB,$AP31)="","",INDEX('_pockets'!$AB:$AB,$AP31)))="","",IF($AP31="","",IF(INDEX('_pockets'!$AB:$AB,$AP31)="","",INDEX('_pockets'!$AB:$AB,$AP31)))*100)</f>
        <v/>
      </c>
      <c r="F31" s="92">
        <f>IF(IF($AP31="","",IF(INDEX('_pockets'!$Z:$Z,$AP31)="","",INDEX('_pockets'!$Z:$Z,$AP31)))="","",-IF($AP31="","",IF(INDEX('_pockets'!$Z:$Z,$AP31)="","",INDEX('_pockets'!$Z:$Z,$AP31))))</f>
        <v/>
      </c>
      <c r="G31" s="94">
        <f>IF($AQ31="","",IF(INDEX('_pockets'!$AB:$AB,$AQ31)="","",INDEX('_pockets'!$AB:$AB,$AQ31)))</f>
        <v/>
      </c>
      <c r="H31" s="92">
        <f>IF($AQ31="","",IF(INDEX('_pockets'!$Z:$Z,$AQ31)="","",INDEX('_pockets'!$Z:$Z,$AQ31)))</f>
        <v/>
      </c>
      <c r="I31" s="101">
        <f>IF(IF($AR31="","",IF(INDEX('_pockets'!$AB:$AB,$AR31)="","",INDEX('_pockets'!$AB:$AB,$AR31)))="","",IF($AR31="","",IF(INDEX('_pockets'!$AB:$AB,$AR31)="","",INDEX('_pockets'!$AB:$AB,$AR31)))*100)</f>
        <v/>
      </c>
      <c r="J31" s="92">
        <f>IF(IF($AR31="","",IF(INDEX('_pockets'!$Z:$Z,$AR31)="","",INDEX('_pockets'!$Z:$Z,$AR31)))="","",-IF($AR31="","",IF(INDEX('_pockets'!$Z:$Z,$AR31)="","",INDEX('_pockets'!$Z:$Z,$AR31))))</f>
        <v/>
      </c>
      <c r="K31" s="102">
        <f>IF(OR($AV31="",AND($AW31="",$AX31="")),$AV31,$AV31&amp;" · borderline (p "&amp;IF(AND($AW31&lt;&gt;"",$AX31&lt;&gt;""),$AW31&amp;" and "&amp;$AX31,$AW31&amp;$AX31)&amp;")")</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c r="AV31">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W31">
        <f>IF($AQ31="","",IF(INDEX('_pockets'!$AM:$AM,$AQ31)="","",INDEX('_pockets'!$AM:$AM,$AQ31)))</f>
        <v/>
      </c>
      <c r="AX31">
        <f>IF($AR31="","",IF(INDEX('_pockets'!$AM:$AM,$AR31)="","",INDEX('_pockets'!$AM:$AM,$AR31)))</f>
        <v/>
      </c>
    </row>
    <row r="32" ht="16" customHeight="1">
      <c r="B32" s="91">
        <f>IF($AN32="","",IF(INDEX('_views'!$B:$ZZ,$AN32,1)="","",INDEX('_views'!$B:$ZZ,$AN32,1)))</f>
        <v/>
      </c>
      <c r="C32" s="91">
        <f>IF($AN32="","",IF(INDEX('_views'!$B:$ZZ,$AN32,2)="","",INDEX('_views'!$B:$ZZ,$AN32,2)))</f>
        <v/>
      </c>
      <c r="D32" s="92">
        <f>IF($AN32="","",IF(INDEX('_views'!$B:$ZZ,$AN32,3)="","",INDEX('_views'!$B:$ZZ,$AN32,3)))</f>
        <v/>
      </c>
      <c r="E32" s="101">
        <f>IF(IF($AP32="","",IF(INDEX('_pockets'!$AB:$AB,$AP32)="","",INDEX('_pockets'!$AB:$AB,$AP32)))="","",IF($AP32="","",IF(INDEX('_pockets'!$AB:$AB,$AP32)="","",INDEX('_pockets'!$AB:$AB,$AP32)))*100)</f>
        <v/>
      </c>
      <c r="F32" s="92">
        <f>IF(IF($AP32="","",IF(INDEX('_pockets'!$Z:$Z,$AP32)="","",INDEX('_pockets'!$Z:$Z,$AP32)))="","",-IF($AP32="","",IF(INDEX('_pockets'!$Z:$Z,$AP32)="","",INDEX('_pockets'!$Z:$Z,$AP32))))</f>
        <v/>
      </c>
      <c r="G32" s="94">
        <f>IF($AQ32="","",IF(INDEX('_pockets'!$AB:$AB,$AQ32)="","",INDEX('_pockets'!$AB:$AB,$AQ32)))</f>
        <v/>
      </c>
      <c r="H32" s="92">
        <f>IF($AQ32="","",IF(INDEX('_pockets'!$Z:$Z,$AQ32)="","",INDEX('_pockets'!$Z:$Z,$AQ32)))</f>
        <v/>
      </c>
      <c r="I32" s="101">
        <f>IF(IF($AR32="","",IF(INDEX('_pockets'!$AB:$AB,$AR32)="","",INDEX('_pockets'!$AB:$AB,$AR32)))="","",IF($AR32="","",IF(INDEX('_pockets'!$AB:$AB,$AR32)="","",INDEX('_pockets'!$AB:$AB,$AR32)))*100)</f>
        <v/>
      </c>
      <c r="J32" s="92">
        <f>IF(IF($AR32="","",IF(INDEX('_pockets'!$Z:$Z,$AR32)="","",INDEX('_pockets'!$Z:$Z,$AR32)))="","",-IF($AR32="","",IF(INDEX('_pockets'!$Z:$Z,$AR32)="","",INDEX('_pockets'!$Z:$Z,$AR32))))</f>
        <v/>
      </c>
      <c r="K32" s="102">
        <f>IF(OR($AV32="",AND($AW32="",$AX32="")),$AV32,$AV32&amp;" · borderline (p "&amp;IF(AND($AW32&lt;&gt;"",$AX32&lt;&gt;""),$AW32&amp;" and "&amp;$AX32,$AW32&amp;$AX32)&amp;")")</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c r="AV32">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W32">
        <f>IF($AQ32="","",IF(INDEX('_pockets'!$AM:$AM,$AQ32)="","",INDEX('_pockets'!$AM:$AM,$AQ32)))</f>
        <v/>
      </c>
      <c r="AX32">
        <f>IF($AR32="","",IF(INDEX('_pockets'!$AM:$AM,$AR32)="","",INDEX('_pockets'!$AM:$AM,$AR32)))</f>
        <v/>
      </c>
    </row>
    <row r="33" ht="16" customHeight="1">
      <c r="B33" s="91">
        <f>IF($AN33="","",IF(INDEX('_views'!$B:$ZZ,$AN33,1)="","",INDEX('_views'!$B:$ZZ,$AN33,1)))</f>
        <v/>
      </c>
      <c r="C33" s="91">
        <f>IF($AN33="","",IF(INDEX('_views'!$B:$ZZ,$AN33,2)="","",INDEX('_views'!$B:$ZZ,$AN33,2)))</f>
        <v/>
      </c>
      <c r="D33" s="92">
        <f>IF($AN33="","",IF(INDEX('_views'!$B:$ZZ,$AN33,3)="","",INDEX('_views'!$B:$ZZ,$AN33,3)))</f>
        <v/>
      </c>
      <c r="E33" s="101">
        <f>IF(IF($AP33="","",IF(INDEX('_pockets'!$AB:$AB,$AP33)="","",INDEX('_pockets'!$AB:$AB,$AP33)))="","",IF($AP33="","",IF(INDEX('_pockets'!$AB:$AB,$AP33)="","",INDEX('_pockets'!$AB:$AB,$AP33)))*100)</f>
        <v/>
      </c>
      <c r="F33" s="92">
        <f>IF(IF($AP33="","",IF(INDEX('_pockets'!$Z:$Z,$AP33)="","",INDEX('_pockets'!$Z:$Z,$AP33)))="","",-IF($AP33="","",IF(INDEX('_pockets'!$Z:$Z,$AP33)="","",INDEX('_pockets'!$Z:$Z,$AP33))))</f>
        <v/>
      </c>
      <c r="G33" s="94">
        <f>IF($AQ33="","",IF(INDEX('_pockets'!$AB:$AB,$AQ33)="","",INDEX('_pockets'!$AB:$AB,$AQ33)))</f>
        <v/>
      </c>
      <c r="H33" s="92">
        <f>IF($AQ33="","",IF(INDEX('_pockets'!$Z:$Z,$AQ33)="","",INDEX('_pockets'!$Z:$Z,$AQ33)))</f>
        <v/>
      </c>
      <c r="I33" s="101">
        <f>IF(IF($AR33="","",IF(INDEX('_pockets'!$AB:$AB,$AR33)="","",INDEX('_pockets'!$AB:$AB,$AR33)))="","",IF($AR33="","",IF(INDEX('_pockets'!$AB:$AB,$AR33)="","",INDEX('_pockets'!$AB:$AB,$AR33)))*100)</f>
        <v/>
      </c>
      <c r="J33" s="92">
        <f>IF(IF($AR33="","",IF(INDEX('_pockets'!$Z:$Z,$AR33)="","",INDEX('_pockets'!$Z:$Z,$AR33)))="","",-IF($AR33="","",IF(INDEX('_pockets'!$Z:$Z,$AR33)="","",INDEX('_pockets'!$Z:$Z,$AR33))))</f>
        <v/>
      </c>
      <c r="K33" s="102">
        <f>IF(OR($AV33="",AND($AW33="",$AX33="")),$AV33,$AV33&amp;" · borderline (p "&amp;IF(AND($AW33&lt;&gt;"",$AX33&lt;&gt;""),$AW33&amp;" and "&amp;$AX33,$AW33&amp;$AX33)&amp;")")</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c r="AV3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W33">
        <f>IF($AQ33="","",IF(INDEX('_pockets'!$AM:$AM,$AQ33)="","",INDEX('_pockets'!$AM:$AM,$AQ33)))</f>
        <v/>
      </c>
      <c r="AX33">
        <f>IF($AR33="","",IF(INDEX('_pockets'!$AM:$AM,$AR33)="","",INDEX('_pockets'!$AM:$AM,$AR33)))</f>
        <v/>
      </c>
    </row>
    <row r="34" ht="16" customHeight="1">
      <c r="B34" s="91">
        <f>IF($AN34="","",IF(INDEX('_views'!$B:$ZZ,$AN34,1)="","",INDEX('_views'!$B:$ZZ,$AN34,1)))</f>
        <v/>
      </c>
      <c r="C34" s="91">
        <f>IF($AN34="","",IF(INDEX('_views'!$B:$ZZ,$AN34,2)="","",INDEX('_views'!$B:$ZZ,$AN34,2)))</f>
        <v/>
      </c>
      <c r="D34" s="92">
        <f>IF($AN34="","",IF(INDEX('_views'!$B:$ZZ,$AN34,3)="","",INDEX('_views'!$B:$ZZ,$AN34,3)))</f>
        <v/>
      </c>
      <c r="E34" s="101">
        <f>IF(IF($AP34="","",IF(INDEX('_pockets'!$AB:$AB,$AP34)="","",INDEX('_pockets'!$AB:$AB,$AP34)))="","",IF($AP34="","",IF(INDEX('_pockets'!$AB:$AB,$AP34)="","",INDEX('_pockets'!$AB:$AB,$AP34)))*100)</f>
        <v/>
      </c>
      <c r="F34" s="92">
        <f>IF(IF($AP34="","",IF(INDEX('_pockets'!$Z:$Z,$AP34)="","",INDEX('_pockets'!$Z:$Z,$AP34)))="","",-IF($AP34="","",IF(INDEX('_pockets'!$Z:$Z,$AP34)="","",INDEX('_pockets'!$Z:$Z,$AP34))))</f>
        <v/>
      </c>
      <c r="G34" s="94">
        <f>IF($AQ34="","",IF(INDEX('_pockets'!$AB:$AB,$AQ34)="","",INDEX('_pockets'!$AB:$AB,$AQ34)))</f>
        <v/>
      </c>
      <c r="H34" s="92">
        <f>IF($AQ34="","",IF(INDEX('_pockets'!$Z:$Z,$AQ34)="","",INDEX('_pockets'!$Z:$Z,$AQ34)))</f>
        <v/>
      </c>
      <c r="I34" s="101">
        <f>IF(IF($AR34="","",IF(INDEX('_pockets'!$AB:$AB,$AR34)="","",INDEX('_pockets'!$AB:$AB,$AR34)))="","",IF($AR34="","",IF(INDEX('_pockets'!$AB:$AB,$AR34)="","",INDEX('_pockets'!$AB:$AB,$AR34)))*100)</f>
        <v/>
      </c>
      <c r="J34" s="92">
        <f>IF(IF($AR34="","",IF(INDEX('_pockets'!$Z:$Z,$AR34)="","",INDEX('_pockets'!$Z:$Z,$AR34)))="","",-IF($AR34="","",IF(INDEX('_pockets'!$Z:$Z,$AR34)="","",INDEX('_pockets'!$Z:$Z,$AR34))))</f>
        <v/>
      </c>
      <c r="K34" s="102">
        <f>IF(OR($AV34="",AND($AW34="",$AX34="")),$AV34,$AV34&amp;" · borderline (p "&amp;IF(AND($AW34&lt;&gt;"",$AX34&lt;&gt;""),$AW34&amp;" and "&amp;$AX34,$AW34&amp;$AX34)&amp;")")</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c r="AV3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W34">
        <f>IF($AQ34="","",IF(INDEX('_pockets'!$AM:$AM,$AQ34)="","",INDEX('_pockets'!$AM:$AM,$AQ34)))</f>
        <v/>
      </c>
      <c r="AX34">
        <f>IF($AR34="","",IF(INDEX('_pockets'!$AM:$AM,$AR34)="","",INDEX('_pockets'!$AM:$AM,$AR34)))</f>
        <v/>
      </c>
    </row>
    <row r="35" ht="16" customHeight="1">
      <c r="B35" s="91">
        <f>IF($AN35="","",IF(INDEX('_views'!$B:$ZZ,$AN35,1)="","",INDEX('_views'!$B:$ZZ,$AN35,1)))</f>
        <v/>
      </c>
      <c r="C35" s="91">
        <f>IF($AN35="","",IF(INDEX('_views'!$B:$ZZ,$AN35,2)="","",INDEX('_views'!$B:$ZZ,$AN35,2)))</f>
        <v/>
      </c>
      <c r="D35" s="92">
        <f>IF($AN35="","",IF(INDEX('_views'!$B:$ZZ,$AN35,3)="","",INDEX('_views'!$B:$ZZ,$AN35,3)))</f>
        <v/>
      </c>
      <c r="E35" s="101">
        <f>IF(IF($AP35="","",IF(INDEX('_pockets'!$AB:$AB,$AP35)="","",INDEX('_pockets'!$AB:$AB,$AP35)))="","",IF($AP35="","",IF(INDEX('_pockets'!$AB:$AB,$AP35)="","",INDEX('_pockets'!$AB:$AB,$AP35)))*100)</f>
        <v/>
      </c>
      <c r="F35" s="92">
        <f>IF(IF($AP35="","",IF(INDEX('_pockets'!$Z:$Z,$AP35)="","",INDEX('_pockets'!$Z:$Z,$AP35)))="","",-IF($AP35="","",IF(INDEX('_pockets'!$Z:$Z,$AP35)="","",INDEX('_pockets'!$Z:$Z,$AP35))))</f>
        <v/>
      </c>
      <c r="G35" s="94">
        <f>IF($AQ35="","",IF(INDEX('_pockets'!$AB:$AB,$AQ35)="","",INDEX('_pockets'!$AB:$AB,$AQ35)))</f>
        <v/>
      </c>
      <c r="H35" s="92">
        <f>IF($AQ35="","",IF(INDEX('_pockets'!$Z:$Z,$AQ35)="","",INDEX('_pockets'!$Z:$Z,$AQ35)))</f>
        <v/>
      </c>
      <c r="I35" s="101">
        <f>IF(IF($AR35="","",IF(INDEX('_pockets'!$AB:$AB,$AR35)="","",INDEX('_pockets'!$AB:$AB,$AR35)))="","",IF($AR35="","",IF(INDEX('_pockets'!$AB:$AB,$AR35)="","",INDEX('_pockets'!$AB:$AB,$AR35)))*100)</f>
        <v/>
      </c>
      <c r="J35" s="92">
        <f>IF(IF($AR35="","",IF(INDEX('_pockets'!$Z:$Z,$AR35)="","",INDEX('_pockets'!$Z:$Z,$AR35)))="","",-IF($AR35="","",IF(INDEX('_pockets'!$Z:$Z,$AR35)="","",INDEX('_pockets'!$Z:$Z,$AR35))))</f>
        <v/>
      </c>
      <c r="K35" s="102">
        <f>IF(OR($AV35="",AND($AW35="",$AX35="")),$AV35,$AV35&amp;" · borderline (p "&amp;IF(AND($AW35&lt;&gt;"",$AX35&lt;&gt;""),$AW35&amp;" and "&amp;$AX35,$AW35&amp;$AX35)&amp;")")</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c r="AV35">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W35">
        <f>IF($AQ35="","",IF(INDEX('_pockets'!$AM:$AM,$AQ35)="","",INDEX('_pockets'!$AM:$AM,$AQ35)))</f>
        <v/>
      </c>
      <c r="AX35">
        <f>IF($AR35="","",IF(INDEX('_pockets'!$AM:$AM,$AR35)="","",INDEX('_pockets'!$AM:$AM,$AR35)))</f>
        <v/>
      </c>
    </row>
    <row r="36" ht="16" customHeight="1">
      <c r="B36" s="91">
        <f>IF($AN36="","",IF(INDEX('_views'!$B:$ZZ,$AN36,1)="","",INDEX('_views'!$B:$ZZ,$AN36,1)))</f>
        <v/>
      </c>
      <c r="C36" s="91">
        <f>IF($AN36="","",IF(INDEX('_views'!$B:$ZZ,$AN36,2)="","",INDEX('_views'!$B:$ZZ,$AN36,2)))</f>
        <v/>
      </c>
      <c r="D36" s="92">
        <f>IF($AN36="","",IF(INDEX('_views'!$B:$ZZ,$AN36,3)="","",INDEX('_views'!$B:$ZZ,$AN36,3)))</f>
        <v/>
      </c>
      <c r="E36" s="101">
        <f>IF(IF($AP36="","",IF(INDEX('_pockets'!$AB:$AB,$AP36)="","",INDEX('_pockets'!$AB:$AB,$AP36)))="","",IF($AP36="","",IF(INDEX('_pockets'!$AB:$AB,$AP36)="","",INDEX('_pockets'!$AB:$AB,$AP36)))*100)</f>
        <v/>
      </c>
      <c r="F36" s="92">
        <f>IF(IF($AP36="","",IF(INDEX('_pockets'!$Z:$Z,$AP36)="","",INDEX('_pockets'!$Z:$Z,$AP36)))="","",-IF($AP36="","",IF(INDEX('_pockets'!$Z:$Z,$AP36)="","",INDEX('_pockets'!$Z:$Z,$AP36))))</f>
        <v/>
      </c>
      <c r="G36" s="94">
        <f>IF($AQ36="","",IF(INDEX('_pockets'!$AB:$AB,$AQ36)="","",INDEX('_pockets'!$AB:$AB,$AQ36)))</f>
        <v/>
      </c>
      <c r="H36" s="92">
        <f>IF($AQ36="","",IF(INDEX('_pockets'!$Z:$Z,$AQ36)="","",INDEX('_pockets'!$Z:$Z,$AQ36)))</f>
        <v/>
      </c>
      <c r="I36" s="101">
        <f>IF(IF($AR36="","",IF(INDEX('_pockets'!$AB:$AB,$AR36)="","",INDEX('_pockets'!$AB:$AB,$AR36)))="","",IF($AR36="","",IF(INDEX('_pockets'!$AB:$AB,$AR36)="","",INDEX('_pockets'!$AB:$AB,$AR36)))*100)</f>
        <v/>
      </c>
      <c r="J36" s="92">
        <f>IF(IF($AR36="","",IF(INDEX('_pockets'!$Z:$Z,$AR36)="","",INDEX('_pockets'!$Z:$Z,$AR36)))="","",-IF($AR36="","",IF(INDEX('_pockets'!$Z:$Z,$AR36)="","",INDEX('_pockets'!$Z:$Z,$AR36))))</f>
        <v/>
      </c>
      <c r="K36" s="102">
        <f>IF(OR($AV36="",AND($AW36="",$AX36="")),$AV36,$AV36&amp;" · borderline (p "&amp;IF(AND($AW36&lt;&gt;"",$AX36&lt;&gt;""),$AW36&amp;" and "&amp;$AX36,$AW36&amp;$AX36)&amp;")")</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c r="AV36">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W36">
        <f>IF($AQ36="","",IF(INDEX('_pockets'!$AM:$AM,$AQ36)="","",INDEX('_pockets'!$AM:$AM,$AQ36)))</f>
        <v/>
      </c>
      <c r="AX36">
        <f>IF($AR36="","",IF(INDEX('_pockets'!$AM:$AM,$AR36)="","",INDEX('_pockets'!$AM:$AM,$AR36)))</f>
        <v/>
      </c>
    </row>
    <row r="37" ht="16" customHeight="1">
      <c r="B37" s="91">
        <f>IF($AN37="","",IF(INDEX('_views'!$B:$ZZ,$AN37,1)="","",INDEX('_views'!$B:$ZZ,$AN37,1)))</f>
        <v/>
      </c>
      <c r="C37" s="91">
        <f>IF($AN37="","",IF(INDEX('_views'!$B:$ZZ,$AN37,2)="","",INDEX('_views'!$B:$ZZ,$AN37,2)))</f>
        <v/>
      </c>
      <c r="D37" s="92">
        <f>IF($AN37="","",IF(INDEX('_views'!$B:$ZZ,$AN37,3)="","",INDEX('_views'!$B:$ZZ,$AN37,3)))</f>
        <v/>
      </c>
      <c r="E37" s="101">
        <f>IF(IF($AP37="","",IF(INDEX('_pockets'!$AB:$AB,$AP37)="","",INDEX('_pockets'!$AB:$AB,$AP37)))="","",IF($AP37="","",IF(INDEX('_pockets'!$AB:$AB,$AP37)="","",INDEX('_pockets'!$AB:$AB,$AP37)))*100)</f>
        <v/>
      </c>
      <c r="F37" s="92">
        <f>IF(IF($AP37="","",IF(INDEX('_pockets'!$Z:$Z,$AP37)="","",INDEX('_pockets'!$Z:$Z,$AP37)))="","",-IF($AP37="","",IF(INDEX('_pockets'!$Z:$Z,$AP37)="","",INDEX('_pockets'!$Z:$Z,$AP37))))</f>
        <v/>
      </c>
      <c r="G37" s="94">
        <f>IF($AQ37="","",IF(INDEX('_pockets'!$AB:$AB,$AQ37)="","",INDEX('_pockets'!$AB:$AB,$AQ37)))</f>
        <v/>
      </c>
      <c r="H37" s="92">
        <f>IF($AQ37="","",IF(INDEX('_pockets'!$Z:$Z,$AQ37)="","",INDEX('_pockets'!$Z:$Z,$AQ37)))</f>
        <v/>
      </c>
      <c r="I37" s="101">
        <f>IF(IF($AR37="","",IF(INDEX('_pockets'!$AB:$AB,$AR37)="","",INDEX('_pockets'!$AB:$AB,$AR37)))="","",IF($AR37="","",IF(INDEX('_pockets'!$AB:$AB,$AR37)="","",INDEX('_pockets'!$AB:$AB,$AR37)))*100)</f>
        <v/>
      </c>
      <c r="J37" s="92">
        <f>IF(IF($AR37="","",IF(INDEX('_pockets'!$Z:$Z,$AR37)="","",INDEX('_pockets'!$Z:$Z,$AR37)))="","",-IF($AR37="","",IF(INDEX('_pockets'!$Z:$Z,$AR37)="","",INDEX('_pockets'!$Z:$Z,$AR37))))</f>
        <v/>
      </c>
      <c r="K37" s="102">
        <f>IF(OR($AV37="",AND($AW37="",$AX37="")),$AV37,$AV37&amp;" · borderline (p "&amp;IF(AND($AW37&lt;&gt;"",$AX37&lt;&gt;""),$AW37&amp;" and "&amp;$AX37,$AW37&amp;$AX37)&amp;")")</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c r="AV37">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W37">
        <f>IF($AQ37="","",IF(INDEX('_pockets'!$AM:$AM,$AQ37)="","",INDEX('_pockets'!$AM:$AM,$AQ37)))</f>
        <v/>
      </c>
      <c r="AX37">
        <f>IF($AR37="","",IF(INDEX('_pockets'!$AM:$AM,$AR37)="","",INDEX('_pockets'!$AM:$AM,$AR37)))</f>
        <v/>
      </c>
    </row>
    <row r="38" ht="16" customHeight="1">
      <c r="B38" s="91">
        <f>IF($AN38="","",IF(INDEX('_views'!$B:$ZZ,$AN38,1)="","",INDEX('_views'!$B:$ZZ,$AN38,1)))</f>
        <v/>
      </c>
      <c r="C38" s="91">
        <f>IF($AN38="","",IF(INDEX('_views'!$B:$ZZ,$AN38,2)="","",INDEX('_views'!$B:$ZZ,$AN38,2)))</f>
        <v/>
      </c>
      <c r="D38" s="92">
        <f>IF($AN38="","",IF(INDEX('_views'!$B:$ZZ,$AN38,3)="","",INDEX('_views'!$B:$ZZ,$AN38,3)))</f>
        <v/>
      </c>
      <c r="E38" s="101">
        <f>IF(IF($AP38="","",IF(INDEX('_pockets'!$AB:$AB,$AP38)="","",INDEX('_pockets'!$AB:$AB,$AP38)))="","",IF($AP38="","",IF(INDEX('_pockets'!$AB:$AB,$AP38)="","",INDEX('_pockets'!$AB:$AB,$AP38)))*100)</f>
        <v/>
      </c>
      <c r="F38" s="92">
        <f>IF(IF($AP38="","",IF(INDEX('_pockets'!$Z:$Z,$AP38)="","",INDEX('_pockets'!$Z:$Z,$AP38)))="","",-IF($AP38="","",IF(INDEX('_pockets'!$Z:$Z,$AP38)="","",INDEX('_pockets'!$Z:$Z,$AP38))))</f>
        <v/>
      </c>
      <c r="G38" s="94">
        <f>IF($AQ38="","",IF(INDEX('_pockets'!$AB:$AB,$AQ38)="","",INDEX('_pockets'!$AB:$AB,$AQ38)))</f>
        <v/>
      </c>
      <c r="H38" s="92">
        <f>IF($AQ38="","",IF(INDEX('_pockets'!$Z:$Z,$AQ38)="","",INDEX('_pockets'!$Z:$Z,$AQ38)))</f>
        <v/>
      </c>
      <c r="I38" s="101">
        <f>IF(IF($AR38="","",IF(INDEX('_pockets'!$AB:$AB,$AR38)="","",INDEX('_pockets'!$AB:$AB,$AR38)))="","",IF($AR38="","",IF(INDEX('_pockets'!$AB:$AB,$AR38)="","",INDEX('_pockets'!$AB:$AB,$AR38)))*100)</f>
        <v/>
      </c>
      <c r="J38" s="92">
        <f>IF(IF($AR38="","",IF(INDEX('_pockets'!$Z:$Z,$AR38)="","",INDEX('_pockets'!$Z:$Z,$AR38)))="","",-IF($AR38="","",IF(INDEX('_pockets'!$Z:$Z,$AR38)="","",INDEX('_pockets'!$Z:$Z,$AR38))))</f>
        <v/>
      </c>
      <c r="K38" s="102">
        <f>IF(OR($AV38="",AND($AW38="",$AX38="")),$AV38,$AV38&amp;" · borderline (p "&amp;IF(AND($AW38&lt;&gt;"",$AX38&lt;&gt;""),$AW38&amp;" and "&amp;$AX38,$AW38&amp;$AX38)&amp;")")</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c r="AV38">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W38">
        <f>IF($AQ38="","",IF(INDEX('_pockets'!$AM:$AM,$AQ38)="","",INDEX('_pockets'!$AM:$AM,$AQ38)))</f>
        <v/>
      </c>
      <c r="AX38">
        <f>IF($AR38="","",IF(INDEX('_pockets'!$AM:$AM,$AR38)="","",INDEX('_pockets'!$AM:$AM,$AR38)))</f>
        <v/>
      </c>
    </row>
    <row r="39" ht="16" customHeight="1">
      <c r="B39" s="91">
        <f>IF($AN39="","",IF(INDEX('_views'!$B:$ZZ,$AN39,1)="","",INDEX('_views'!$B:$ZZ,$AN39,1)))</f>
        <v/>
      </c>
      <c r="C39" s="91">
        <f>IF($AN39="","",IF(INDEX('_views'!$B:$ZZ,$AN39,2)="","",INDEX('_views'!$B:$ZZ,$AN39,2)))</f>
        <v/>
      </c>
      <c r="D39" s="92">
        <f>IF($AN39="","",IF(INDEX('_views'!$B:$ZZ,$AN39,3)="","",INDEX('_views'!$B:$ZZ,$AN39,3)))</f>
        <v/>
      </c>
      <c r="E39" s="101">
        <f>IF(IF($AP39="","",IF(INDEX('_pockets'!$AB:$AB,$AP39)="","",INDEX('_pockets'!$AB:$AB,$AP39)))="","",IF($AP39="","",IF(INDEX('_pockets'!$AB:$AB,$AP39)="","",INDEX('_pockets'!$AB:$AB,$AP39)))*100)</f>
        <v/>
      </c>
      <c r="F39" s="92">
        <f>IF(IF($AP39="","",IF(INDEX('_pockets'!$Z:$Z,$AP39)="","",INDEX('_pockets'!$Z:$Z,$AP39)))="","",-IF($AP39="","",IF(INDEX('_pockets'!$Z:$Z,$AP39)="","",INDEX('_pockets'!$Z:$Z,$AP39))))</f>
        <v/>
      </c>
      <c r="G39" s="94">
        <f>IF($AQ39="","",IF(INDEX('_pockets'!$AB:$AB,$AQ39)="","",INDEX('_pockets'!$AB:$AB,$AQ39)))</f>
        <v/>
      </c>
      <c r="H39" s="92">
        <f>IF($AQ39="","",IF(INDEX('_pockets'!$Z:$Z,$AQ39)="","",INDEX('_pockets'!$Z:$Z,$AQ39)))</f>
        <v/>
      </c>
      <c r="I39" s="101">
        <f>IF(IF($AR39="","",IF(INDEX('_pockets'!$AB:$AB,$AR39)="","",INDEX('_pockets'!$AB:$AB,$AR39)))="","",IF($AR39="","",IF(INDEX('_pockets'!$AB:$AB,$AR39)="","",INDEX('_pockets'!$AB:$AB,$AR39)))*100)</f>
        <v/>
      </c>
      <c r="J39" s="92">
        <f>IF(IF($AR39="","",IF(INDEX('_pockets'!$Z:$Z,$AR39)="","",INDEX('_pockets'!$Z:$Z,$AR39)))="","",-IF($AR39="","",IF(INDEX('_pockets'!$Z:$Z,$AR39)="","",INDEX('_pockets'!$Z:$Z,$AR39))))</f>
        <v/>
      </c>
      <c r="K39" s="102">
        <f>IF(OR($AV39="",AND($AW39="",$AX39="")),$AV39,$AV39&amp;" · borderline (p "&amp;IF(AND($AW39&lt;&gt;"",$AX39&lt;&gt;""),$AW39&amp;" and "&amp;$AX39,$AW39&amp;$AX39)&amp;")")</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c r="AV39">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W39">
        <f>IF($AQ39="","",IF(INDEX('_pockets'!$AM:$AM,$AQ39)="","",INDEX('_pockets'!$AM:$AM,$AQ39)))</f>
        <v/>
      </c>
      <c r="AX39">
        <f>IF($AR39="","",IF(INDEX('_pockets'!$AM:$AM,$AR39)="","",INDEX('_pockets'!$AM:$AM,$AR39)))</f>
        <v/>
      </c>
    </row>
    <row r="40" ht="16" customHeight="1">
      <c r="B40" s="91">
        <f>IF($AN40="","",IF(INDEX('_views'!$B:$ZZ,$AN40,1)="","",INDEX('_views'!$B:$ZZ,$AN40,1)))</f>
        <v/>
      </c>
      <c r="C40" s="91">
        <f>IF($AN40="","",IF(INDEX('_views'!$B:$ZZ,$AN40,2)="","",INDEX('_views'!$B:$ZZ,$AN40,2)))</f>
        <v/>
      </c>
      <c r="D40" s="92">
        <f>IF($AN40="","",IF(INDEX('_views'!$B:$ZZ,$AN40,3)="","",INDEX('_views'!$B:$ZZ,$AN40,3)))</f>
        <v/>
      </c>
      <c r="E40" s="101">
        <f>IF(IF($AP40="","",IF(INDEX('_pockets'!$AB:$AB,$AP40)="","",INDEX('_pockets'!$AB:$AB,$AP40)))="","",IF($AP40="","",IF(INDEX('_pockets'!$AB:$AB,$AP40)="","",INDEX('_pockets'!$AB:$AB,$AP40)))*100)</f>
        <v/>
      </c>
      <c r="F40" s="92">
        <f>IF(IF($AP40="","",IF(INDEX('_pockets'!$Z:$Z,$AP40)="","",INDEX('_pockets'!$Z:$Z,$AP40)))="","",-IF($AP40="","",IF(INDEX('_pockets'!$Z:$Z,$AP40)="","",INDEX('_pockets'!$Z:$Z,$AP40))))</f>
        <v/>
      </c>
      <c r="G40" s="94">
        <f>IF($AQ40="","",IF(INDEX('_pockets'!$AB:$AB,$AQ40)="","",INDEX('_pockets'!$AB:$AB,$AQ40)))</f>
        <v/>
      </c>
      <c r="H40" s="92">
        <f>IF($AQ40="","",IF(INDEX('_pockets'!$Z:$Z,$AQ40)="","",INDEX('_pockets'!$Z:$Z,$AQ40)))</f>
        <v/>
      </c>
      <c r="I40" s="101">
        <f>IF(IF($AR40="","",IF(INDEX('_pockets'!$AB:$AB,$AR40)="","",INDEX('_pockets'!$AB:$AB,$AR40)))="","",IF($AR40="","",IF(INDEX('_pockets'!$AB:$AB,$AR40)="","",INDEX('_pockets'!$AB:$AB,$AR40)))*100)</f>
        <v/>
      </c>
      <c r="J40" s="92">
        <f>IF(IF($AR40="","",IF(INDEX('_pockets'!$Z:$Z,$AR40)="","",INDEX('_pockets'!$Z:$Z,$AR40)))="","",-IF($AR40="","",IF(INDEX('_pockets'!$Z:$Z,$AR40)="","",INDEX('_pockets'!$Z:$Z,$AR40))))</f>
        <v/>
      </c>
      <c r="K40" s="102">
        <f>IF(OR($AV40="",AND($AW40="",$AX40="")),$AV40,$AV40&amp;" · borderline (p "&amp;IF(AND($AW40&lt;&gt;"",$AX40&lt;&gt;""),$AW40&amp;" and "&amp;$AX40,$AW40&amp;$AX40)&amp;")")</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c r="AV40">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W40">
        <f>IF($AQ40="","",IF(INDEX('_pockets'!$AM:$AM,$AQ40)="","",INDEX('_pockets'!$AM:$AM,$AQ40)))</f>
        <v/>
      </c>
      <c r="AX40">
        <f>IF($AR40="","",IF(INDEX('_pockets'!$AM:$AM,$AR40)="","",INDEX('_pockets'!$AM:$AM,$AR40)))</f>
        <v/>
      </c>
    </row>
    <row r="41" ht="16" customHeight="1">
      <c r="B41" s="91">
        <f>IF($AN41="","",IF(INDEX('_views'!$B:$ZZ,$AN41,1)="","",INDEX('_views'!$B:$ZZ,$AN41,1)))</f>
        <v/>
      </c>
      <c r="C41" s="91">
        <f>IF($AN41="","",IF(INDEX('_views'!$B:$ZZ,$AN41,2)="","",INDEX('_views'!$B:$ZZ,$AN41,2)))</f>
        <v/>
      </c>
      <c r="D41" s="92">
        <f>IF($AN41="","",IF(INDEX('_views'!$B:$ZZ,$AN41,3)="","",INDEX('_views'!$B:$ZZ,$AN41,3)))</f>
        <v/>
      </c>
      <c r="E41" s="101">
        <f>IF(IF($AP41="","",IF(INDEX('_pockets'!$AB:$AB,$AP41)="","",INDEX('_pockets'!$AB:$AB,$AP41)))="","",IF($AP41="","",IF(INDEX('_pockets'!$AB:$AB,$AP41)="","",INDEX('_pockets'!$AB:$AB,$AP41)))*100)</f>
        <v/>
      </c>
      <c r="F41" s="92">
        <f>IF(IF($AP41="","",IF(INDEX('_pockets'!$Z:$Z,$AP41)="","",INDEX('_pockets'!$Z:$Z,$AP41)))="","",-IF($AP41="","",IF(INDEX('_pockets'!$Z:$Z,$AP41)="","",INDEX('_pockets'!$Z:$Z,$AP41))))</f>
        <v/>
      </c>
      <c r="G41" s="94">
        <f>IF($AQ41="","",IF(INDEX('_pockets'!$AB:$AB,$AQ41)="","",INDEX('_pockets'!$AB:$AB,$AQ41)))</f>
        <v/>
      </c>
      <c r="H41" s="92">
        <f>IF($AQ41="","",IF(INDEX('_pockets'!$Z:$Z,$AQ41)="","",INDEX('_pockets'!$Z:$Z,$AQ41)))</f>
        <v/>
      </c>
      <c r="I41" s="101">
        <f>IF(IF($AR41="","",IF(INDEX('_pockets'!$AB:$AB,$AR41)="","",INDEX('_pockets'!$AB:$AB,$AR41)))="","",IF($AR41="","",IF(INDEX('_pockets'!$AB:$AB,$AR41)="","",INDEX('_pockets'!$AB:$AB,$AR41)))*100)</f>
        <v/>
      </c>
      <c r="J41" s="92">
        <f>IF(IF($AR41="","",IF(INDEX('_pockets'!$Z:$Z,$AR41)="","",INDEX('_pockets'!$Z:$Z,$AR41)))="","",-IF($AR41="","",IF(INDEX('_pockets'!$Z:$Z,$AR41)="","",INDEX('_pockets'!$Z:$Z,$AR41))))</f>
        <v/>
      </c>
      <c r="K41" s="102">
        <f>IF(OR($AV41="",AND($AW41="",$AX41="")),$AV41,$AV41&amp;" · borderline (p "&amp;IF(AND($AW41&lt;&gt;"",$AX41&lt;&gt;""),$AW41&amp;" and "&amp;$AX41,$AW41&amp;$AX41)&amp;")")</f>
        <v/>
      </c>
      <c r="M41" s="103"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c r="AV41">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AW41">
        <f>IF($AQ41="","",IF(INDEX('_pockets'!$AM:$AM,$AQ41)="","",INDEX('_pockets'!$AM:$AM,$AQ41)))</f>
        <v/>
      </c>
      <c r="AX41">
        <f>IF($AR41="","",IF(INDEX('_pockets'!$AM:$AM,$AR41)="","",INDEX('_pockets'!$AM:$AM,$AR41)))</f>
        <v/>
      </c>
    </row>
    <row r="42" ht="16" customHeight="1">
      <c r="B42" s="91">
        <f>IF($AN42="","",IF(INDEX('_views'!$B:$ZZ,$AN42,1)="","",INDEX('_views'!$B:$ZZ,$AN42,1)))</f>
        <v/>
      </c>
      <c r="C42" s="91">
        <f>IF($AN42="","",IF(INDEX('_views'!$B:$ZZ,$AN42,2)="","",INDEX('_views'!$B:$ZZ,$AN42,2)))</f>
        <v/>
      </c>
      <c r="D42" s="92">
        <f>IF($AN42="","",IF(INDEX('_views'!$B:$ZZ,$AN42,3)="","",INDEX('_views'!$B:$ZZ,$AN42,3)))</f>
        <v/>
      </c>
      <c r="E42" s="101">
        <f>IF(IF($AP42="","",IF(INDEX('_pockets'!$AB:$AB,$AP42)="","",INDEX('_pockets'!$AB:$AB,$AP42)))="","",IF($AP42="","",IF(INDEX('_pockets'!$AB:$AB,$AP42)="","",INDEX('_pockets'!$AB:$AB,$AP42)))*100)</f>
        <v/>
      </c>
      <c r="F42" s="92">
        <f>IF(IF($AP42="","",IF(INDEX('_pockets'!$Z:$Z,$AP42)="","",INDEX('_pockets'!$Z:$Z,$AP42)))="","",-IF($AP42="","",IF(INDEX('_pockets'!$Z:$Z,$AP42)="","",INDEX('_pockets'!$Z:$Z,$AP42))))</f>
        <v/>
      </c>
      <c r="G42" s="94">
        <f>IF($AQ42="","",IF(INDEX('_pockets'!$AB:$AB,$AQ42)="","",INDEX('_pockets'!$AB:$AB,$AQ42)))</f>
        <v/>
      </c>
      <c r="H42" s="92">
        <f>IF($AQ42="","",IF(INDEX('_pockets'!$Z:$Z,$AQ42)="","",INDEX('_pockets'!$Z:$Z,$AQ42)))</f>
        <v/>
      </c>
      <c r="I42" s="101">
        <f>IF(IF($AR42="","",IF(INDEX('_pockets'!$AB:$AB,$AR42)="","",INDEX('_pockets'!$AB:$AB,$AR42)))="","",IF($AR42="","",IF(INDEX('_pockets'!$AB:$AB,$AR42)="","",INDEX('_pockets'!$AB:$AB,$AR42)))*100)</f>
        <v/>
      </c>
      <c r="J42" s="92">
        <f>IF(IF($AR42="","",IF(INDEX('_pockets'!$Z:$Z,$AR42)="","",INDEX('_pockets'!$Z:$Z,$AR42)))="","",-IF($AR42="","",IF(INDEX('_pockets'!$Z:$Z,$AR42)="","",INDEX('_pockets'!$Z:$Z,$AR42))))</f>
        <v/>
      </c>
      <c r="K42" s="102">
        <f>IF(OR($AV42="",AND($AW42="",$AX42="")),$AV42,$AV42&amp;" · borderline (p "&amp;IF(AND($AW42&lt;&gt;"",$AX42&lt;&gt;""),$AW42&amp;" and "&amp;$AX42,$AW42&amp;$AX42)&amp;")")</f>
        <v/>
      </c>
      <c r="M42" s="98">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c r="AV42">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AW42">
        <f>IF($AQ42="","",IF(INDEX('_pockets'!$AM:$AM,$AQ42)="","",INDEX('_pockets'!$AM:$AM,$AQ42)))</f>
        <v/>
      </c>
      <c r="AX42">
        <f>IF($AR42="","",IF(INDEX('_pockets'!$AM:$AM,$AR42)="","",INDEX('_pockets'!$AM:$AM,$AR42)))</f>
        <v/>
      </c>
    </row>
    <row r="43" ht="16" customHeight="1">
      <c r="B43" s="91">
        <f>IF($AN43="","",IF(INDEX('_views'!$B:$ZZ,$AN43,1)="","",INDEX('_views'!$B:$ZZ,$AN43,1)))</f>
        <v/>
      </c>
      <c r="C43" s="91">
        <f>IF($AN43="","",IF(INDEX('_views'!$B:$ZZ,$AN43,2)="","",INDEX('_views'!$B:$ZZ,$AN43,2)))</f>
        <v/>
      </c>
      <c r="D43" s="92">
        <f>IF($AN43="","",IF(INDEX('_views'!$B:$ZZ,$AN43,3)="","",INDEX('_views'!$B:$ZZ,$AN43,3)))</f>
        <v/>
      </c>
      <c r="E43" s="101">
        <f>IF(IF($AP43="","",IF(INDEX('_pockets'!$AB:$AB,$AP43)="","",INDEX('_pockets'!$AB:$AB,$AP43)))="","",IF($AP43="","",IF(INDEX('_pockets'!$AB:$AB,$AP43)="","",INDEX('_pockets'!$AB:$AB,$AP43)))*100)</f>
        <v/>
      </c>
      <c r="F43" s="92">
        <f>IF(IF($AP43="","",IF(INDEX('_pockets'!$Z:$Z,$AP43)="","",INDEX('_pockets'!$Z:$Z,$AP43)))="","",-IF($AP43="","",IF(INDEX('_pockets'!$Z:$Z,$AP43)="","",INDEX('_pockets'!$Z:$Z,$AP43))))</f>
        <v/>
      </c>
      <c r="G43" s="94">
        <f>IF($AQ43="","",IF(INDEX('_pockets'!$AB:$AB,$AQ43)="","",INDEX('_pockets'!$AB:$AB,$AQ43)))</f>
        <v/>
      </c>
      <c r="H43" s="92">
        <f>IF($AQ43="","",IF(INDEX('_pockets'!$Z:$Z,$AQ43)="","",INDEX('_pockets'!$Z:$Z,$AQ43)))</f>
        <v/>
      </c>
      <c r="I43" s="101">
        <f>IF(IF($AR43="","",IF(INDEX('_pockets'!$AB:$AB,$AR43)="","",INDEX('_pockets'!$AB:$AB,$AR43)))="","",IF($AR43="","",IF(INDEX('_pockets'!$AB:$AB,$AR43)="","",INDEX('_pockets'!$AB:$AB,$AR43)))*100)</f>
        <v/>
      </c>
      <c r="J43" s="92">
        <f>IF(IF($AR43="","",IF(INDEX('_pockets'!$Z:$Z,$AR43)="","",INDEX('_pockets'!$Z:$Z,$AR43)))="","",-IF($AR43="","",IF(INDEX('_pockets'!$Z:$Z,$AR43)="","",INDEX('_pockets'!$Z:$Z,$AR43))))</f>
        <v/>
      </c>
      <c r="K43" s="102">
        <f>IF(OR($AV43="",AND($AW43="",$AX43="")),$AV43,$AV43&amp;" · borderline (p "&amp;IF(AND($AW43&lt;&gt;"",$AX43&lt;&gt;""),$AW43&amp;" and "&amp;$AX43,$AW43&amp;$AX43)&amp;")")</f>
        <v/>
      </c>
      <c r="M43" s="98">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c r="AV4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AW43">
        <f>IF($AQ43="","",IF(INDEX('_pockets'!$AM:$AM,$AQ43)="","",INDEX('_pockets'!$AM:$AM,$AQ43)))</f>
        <v/>
      </c>
      <c r="AX43">
        <f>IF($AR43="","",IF(INDEX('_pockets'!$AM:$AM,$AR43)="","",INDEX('_pockets'!$AM:$AM,$AR43)))</f>
        <v/>
      </c>
    </row>
    <row r="44" ht="16" customHeight="1">
      <c r="B44" s="91">
        <f>IF($AN44="","",IF(INDEX('_views'!$B:$ZZ,$AN44,1)="","",INDEX('_views'!$B:$ZZ,$AN44,1)))</f>
        <v/>
      </c>
      <c r="C44" s="91">
        <f>IF($AN44="","",IF(INDEX('_views'!$B:$ZZ,$AN44,2)="","",INDEX('_views'!$B:$ZZ,$AN44,2)))</f>
        <v/>
      </c>
      <c r="D44" s="92">
        <f>IF($AN44="","",IF(INDEX('_views'!$B:$ZZ,$AN44,3)="","",INDEX('_views'!$B:$ZZ,$AN44,3)))</f>
        <v/>
      </c>
      <c r="E44" s="101">
        <f>IF(IF($AP44="","",IF(INDEX('_pockets'!$AB:$AB,$AP44)="","",INDEX('_pockets'!$AB:$AB,$AP44)))="","",IF($AP44="","",IF(INDEX('_pockets'!$AB:$AB,$AP44)="","",INDEX('_pockets'!$AB:$AB,$AP44)))*100)</f>
        <v/>
      </c>
      <c r="F44" s="92">
        <f>IF(IF($AP44="","",IF(INDEX('_pockets'!$Z:$Z,$AP44)="","",INDEX('_pockets'!$Z:$Z,$AP44)))="","",-IF($AP44="","",IF(INDEX('_pockets'!$Z:$Z,$AP44)="","",INDEX('_pockets'!$Z:$Z,$AP44))))</f>
        <v/>
      </c>
      <c r="G44" s="94">
        <f>IF($AQ44="","",IF(INDEX('_pockets'!$AB:$AB,$AQ44)="","",INDEX('_pockets'!$AB:$AB,$AQ44)))</f>
        <v/>
      </c>
      <c r="H44" s="92">
        <f>IF($AQ44="","",IF(INDEX('_pockets'!$Z:$Z,$AQ44)="","",INDEX('_pockets'!$Z:$Z,$AQ44)))</f>
        <v/>
      </c>
      <c r="I44" s="101">
        <f>IF(IF($AR44="","",IF(INDEX('_pockets'!$AB:$AB,$AR44)="","",INDEX('_pockets'!$AB:$AB,$AR44)))="","",IF($AR44="","",IF(INDEX('_pockets'!$AB:$AB,$AR44)="","",INDEX('_pockets'!$AB:$AB,$AR44)))*100)</f>
        <v/>
      </c>
      <c r="J44" s="92">
        <f>IF(IF($AR44="","",IF(INDEX('_pockets'!$Z:$Z,$AR44)="","",INDEX('_pockets'!$Z:$Z,$AR44)))="","",-IF($AR44="","",IF(INDEX('_pockets'!$Z:$Z,$AR44)="","",INDEX('_pockets'!$Z:$Z,$AR44))))</f>
        <v/>
      </c>
      <c r="K44" s="102">
        <f>IF(OR($AV44="",AND($AW44="",$AX44="")),$AV44,$AV44&amp;" · borderline (p "&amp;IF(AND($AW44&lt;&gt;"",$AX44&lt;&gt;""),$AW44&amp;" and "&amp;$AX44,$AW44&amp;$AX44)&amp;")")</f>
        <v/>
      </c>
      <c r="M44" s="98">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c r="AV44">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AW44">
        <f>IF($AQ44="","",IF(INDEX('_pockets'!$AM:$AM,$AQ44)="","",INDEX('_pockets'!$AM:$AM,$AQ44)))</f>
        <v/>
      </c>
      <c r="AX44">
        <f>IF($AR44="","",IF(INDEX('_pockets'!$AM:$AM,$AR44)="","",INDEX('_pockets'!$AM:$AM,$AR44)))</f>
        <v/>
      </c>
    </row>
    <row r="45">
      <c r="M45" s="98">
        <f>IF('_chart'!$C$4="","","4  "&amp;'_chart'!$C$4)</f>
        <v/>
      </c>
    </row>
    <row r="46">
      <c r="M46" s="98">
        <f>IF('_chart'!$C$5="","","5  "&amp;'_chart'!$C$5)</f>
        <v/>
      </c>
    </row>
    <row r="47">
      <c r="M47" s="98">
        <f>IF('_chart'!$C$6="","","6  "&amp;'_chart'!$C$6)</f>
        <v/>
      </c>
    </row>
    <row r="48">
      <c r="M48" s="98">
        <f>IF('_chart'!$C$7="","","7  "&amp;'_chart'!$C$7)</f>
        <v/>
      </c>
    </row>
    <row r="49">
      <c r="M49" s="98">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AND($B20&lt;&gt;"",OR($AV20="Priced for it",$AV20="Strong"))</formula>
    </cfRule>
    <cfRule type="expression" priority="11" dxfId="14">
      <formula>AND($B20&lt;&gt;"",$AV20="Net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F45"/>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19" customWidth="1" min="2" max="2"/>
    <col width="12" customWidth="1" min="3" max="3"/>
    <col width="12" customWidth="1" min="4" max="4"/>
    <col width="12" customWidth="1" min="5" max="5"/>
    <col width="12" customWidth="1" min="6" max="6"/>
    <col width="12" customWidth="1" min="7" max="7"/>
    <col width="3" customWidth="1" min="8" max="8"/>
    <col width="19"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row>
    <row r="3" outlineLevel="1">
      <c r="B3" s="4" t="inlineStr">
        <is>
          <t>How this tab works</t>
        </is>
      </c>
      <c r="C3" s="5" t="n"/>
      <c r="D3" s="5" t="n"/>
      <c r="E3" s="5" t="n"/>
      <c r="F3" s="5" t="n"/>
      <c r="G3" s="5" t="n"/>
      <c r="H3" s="5" t="n"/>
      <c r="I3" s="5" t="n"/>
      <c r="J3" s="5" t="n"/>
      <c r="K3" s="5" t="n"/>
      <c r="L3" s="5" t="n"/>
      <c r="M3" s="5" t="n"/>
      <c r="N3" s="5" t="n"/>
    </row>
    <row r="4" outlineLevel="1" ht="45" customHeight="1">
      <c r="B4" s="6" t="inlineStr">
        <is>
          <t>Rate</t>
        </is>
      </c>
      <c r="C4" s="7" t="inlineStr">
        <is>
          <t>The measure picked above, in every pocket: one band (down) by one segment (across), with the band's and the segment's totals in All. Loan size: booked dollars per loan, the average; against the book's and the rest of the band's average as a multiple. It is a description, not a finding: no red or green, only darker the bigger the loans against the book's.</t>
        </is>
      </c>
    </row>
    <row r="5" outlineLevel="1" ht="31" customHeight="1">
      <c r="B5" s="6" t="inlineStr">
        <is>
          <t>vs the book</t>
        </is>
      </c>
      <c r="C5" s="7" t="inlineStr">
        <is>
          <t>The pocket's rate over the whole book's, which the heading gives: 2.00× goes bad twice as often as the book. Kept after losses and Earned before losses are a gap in points instead.</t>
        </is>
      </c>
    </row>
    <row r="6" outlineLevel="1" ht="31" customHeight="1">
      <c r="B6" s="6" t="inlineStr">
        <is>
          <t>vs rest of band</t>
        </is>
      </c>
      <c r="C6" s="7" t="inlineStr">
        <is>
          <t>The pocket's rate over every other loan in its band, so a band that is bad all through doesn't make each of its pockets look bad. No rate in its heading: the rest of the band is different in every row.</t>
        </is>
      </c>
    </row>
    <row r="7" outlineLevel="1" ht="45"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 Grey: fewer loans than the 30 in Fewest loans in a pocket on Control, so not coloured, and left out of the largest gap.</t>
        </is>
      </c>
    </row>
    <row r="8" outlineLevel="1" ht="17" customHeight="1">
      <c r="B8" s="6" t="inlineStr">
        <is>
          <t>Loans</t>
        </is>
      </c>
      <c r="C8" s="7" t="inlineStr">
        <is>
          <t>How many loans are in each pocket, shaded by its share of the grid: darker is more. A count, not a test, so no red or green.</t>
        </is>
      </c>
    </row>
    <row r="9" outlineLevel="1" ht="31" customHeight="1">
      <c r="B9" s="6" t="inlineStr">
        <is>
          <t>Only loans where</t>
        </is>
      </c>
      <c r="C9" s="7" t="inlineStr">
        <is>
          <t>Pick a value of ORIG_YEAR to see the grid on only its loans. vs the book is still against the whole book; vs rest of band, the rest of the band among those loans. ORIG_YEAR is the year in ORIG_DATE; (no date) holds the loans without a readable date.</t>
        </is>
      </c>
    </row>
    <row r="10" outlineLevel="1" ht="31" customHeight="1">
      <c r="B10" s="6" t="inlineStr">
        <is>
          <t>Groups</t>
        </is>
      </c>
      <c r="C10" s="7" t="inlineStr">
        <is>
          <t>Under the blocks: how many loans, and booked dollars, fall in each group of the split column or a new column, pocket by pocket, for every loan in the grid. The count is checked against the grid's before it is shown. Everything on this tab is as of the last Run: no line on Control changes it.</t>
        </is>
      </c>
    </row>
    <row r="12">
      <c r="B12" s="88" t="inlineStr">
        <is>
          <t>GRID</t>
        </is>
      </c>
      <c r="F12" s="88" t="inlineStr">
        <is>
          <t>MEASURE</t>
        </is>
      </c>
      <c r="J12" s="88" t="inlineStr">
        <is>
          <t>ONLY LOANS WHERE ORIG_YEAR IS</t>
        </is>
      </c>
      <c r="N12" s="88" t="inlineStr">
        <is>
          <t>ROW</t>
        </is>
      </c>
      <c r="R12" s="88" t="inlineStr">
        <is>
          <t>COLUMN</t>
        </is>
      </c>
    </row>
    <row r="13" ht="20" customHeight="1">
      <c r="B13" s="32" t="inlineStr">
        <is>
          <t>FICO x CHANNEL</t>
        </is>
      </c>
      <c r="C13" s="104" t="n"/>
      <c r="D13" s="97" t="n"/>
      <c r="F13" s="32" t="inlineStr">
        <is>
          <t>Bad loans</t>
        </is>
      </c>
      <c r="G13" s="104" t="n"/>
      <c r="H13" s="97" t="n"/>
      <c r="J13" s="32" t="inlineStr">
        <is>
          <t>All loans</t>
        </is>
      </c>
      <c r="K13" s="104" t="n"/>
      <c r="L13" s="97" t="n"/>
      <c r="N13" s="32" t="inlineStr">
        <is>
          <t>496 - 653</t>
        </is>
      </c>
      <c r="O13" s="104" t="n"/>
      <c r="P13" s="97" t="n"/>
      <c r="R13" s="32" t="inlineStr">
        <is>
          <t>Branch</t>
        </is>
      </c>
      <c r="S13" s="104" t="n"/>
      <c r="T13" s="97" t="n"/>
      <c r="V13">
        <f>IFERROR(INDEX('_choices'!$J$2:$J$7,MATCH($F$13,'_choices'!$I$2:$I$7,0)),"")</f>
        <v/>
      </c>
      <c r="W13">
        <f>IF($V$14="","",IF(INDEX('_views'!$B:$ZZ,$V$14,1)="","",INDEX('_views'!$B:$ZZ,$V$14,1)))</f>
        <v/>
      </c>
      <c r="AC13">
        <f>IF(IF($V$16="","",IF(INDEX('_views'!$B:$ZZ,$V$16,1)="","",INDEX('_views'!$B:$ZZ,$V$16,1)))="All","",IF($V$16="","",IF(INDEX('_views'!$B:$ZZ,$V$16,1)="","",INDEX('_views'!$B:$ZZ,$V$16,1))))</f>
        <v/>
      </c>
      <c r="AD13">
        <f>IF(IF($V$15="","",IF(INDEX('_views'!$B:$ZZ,$V$15,1)="","",INDEX('_views'!$B:$ZZ,$V$15,1)))="All","",IF($V$15="","",IF(INDEX('_views'!$B:$ZZ,$V$15,1)="","",INDEX('_views'!$B:$ZZ,$V$15,1))))</f>
        <v/>
      </c>
      <c r="AE13">
        <f>SUMPRODUCT(--(LEN($AC$13:$AC$19)&gt;0))</f>
        <v/>
      </c>
      <c r="AF13">
        <f>IF($N$13="","",IFERROR(MATCH($N$13,$AC$13:$AC$19,0),""))</f>
        <v/>
      </c>
    </row>
    <row r="14">
      <c r="V14">
        <f>IFERROR(MATCH("G|"&amp;$W$15&amp;"|"&amp;$V$13&amp;"|meta",'_views'!$A:$A,0),"")</f>
        <v/>
      </c>
      <c r="W14">
        <f>IF($V$14="","",IF(INDEX('_views'!$B:$ZZ,$V$14,2)="","",INDEX('_views'!$B:$ZZ,$V$14,2)))</f>
        <v/>
      </c>
      <c r="AC14">
        <f>IF(IF($V$16="","",IF(INDEX('_views'!$B:$ZZ,$V$16,2)="","",INDEX('_views'!$B:$ZZ,$V$16,2)))="All","",IF($V$16="","",IF(INDEX('_views'!$B:$ZZ,$V$16,2)="","",INDEX('_views'!$B:$ZZ,$V$16,2))))</f>
        <v/>
      </c>
      <c r="AD14">
        <f>IF(IF($V$15="","",IF(INDEX('_views'!$B:$ZZ,$V$15,2)="","",INDEX('_views'!$B:$ZZ,$V$15,2)))="All","",IF($V$15="","",IF(INDEX('_views'!$B:$ZZ,$V$15,2)="","",INDEX('_views'!$B:$ZZ,$V$15,2))))</f>
        <v/>
      </c>
      <c r="AE14">
        <f>SUMPRODUCT(--(LEN($AD$13:$AD$16)&gt;0))</f>
        <v/>
      </c>
      <c r="AF14">
        <f>IF($R$13="","",IFERROR(MATCH($R$13,$AD$13:$AD$16,0),""))</f>
        <v/>
      </c>
    </row>
    <row r="15" ht="20" customHeight="1">
      <c r="B15" s="105">
        <f>"Rate · "&amp;$F$13</f>
        <v/>
      </c>
      <c r="C15" s="26" t="n"/>
      <c r="D15" s="26" t="n"/>
      <c r="E15" s="26" t="n"/>
      <c r="F15" s="26" t="n"/>
      <c r="G15" s="26" t="n"/>
      <c r="I15" s="105">
        <f>IF(ISNUMBER($W$16),"vs the book (book: "&amp;IF($W$13="size",TEXT($W$16,"$#,##0"),TEXT($W$16,"0.00%"))&amp;")","vs the book")</f>
        <v/>
      </c>
      <c r="J15" s="26" t="n"/>
      <c r="K15" s="26" t="n"/>
      <c r="L15" s="26" t="n"/>
      <c r="M15" s="26" t="n"/>
      <c r="N15" s="26" t="n"/>
      <c r="V15">
        <f>IFERROR(MATCH("G|"&amp;$W$15&amp;"|cols",'_views'!$A:$A,0),"")</f>
        <v/>
      </c>
      <c r="W15">
        <f>$B$13&amp;IF(OR($J$13="",$J$13="All loans"),"","|where "&amp;$J$13)</f>
        <v/>
      </c>
      <c r="AC15">
        <f>IF(IF($V$16="","",IF(INDEX('_views'!$B:$ZZ,$V$16,3)="","",INDEX('_views'!$B:$ZZ,$V$16,3)))="All","",IF($V$16="","",IF(INDEX('_views'!$B:$ZZ,$V$16,3)="","",INDEX('_views'!$B:$ZZ,$V$16,3))))</f>
        <v/>
      </c>
      <c r="AD15">
        <f>IF(IF($V$15="","",IF(INDEX('_views'!$B:$ZZ,$V$15,3)="","",INDEX('_views'!$B:$ZZ,$V$15,3)))="All","",IF($V$15="","",IF(INDEX('_views'!$B:$ZZ,$V$15,3)="","",INDEX('_views'!$B:$ZZ,$V$15,3))))</f>
        <v/>
      </c>
      <c r="AF15">
        <f>IF(OR($AF$13="",$AF$14=""),"",INDEX($C$17:$G$24,$AF$13,$AF$14))</f>
        <v/>
      </c>
    </row>
    <row r="16" ht="16" customHeight="1">
      <c r="B16" s="106">
        <f>IF($V$17="","",IF(INDEX('_views'!$B:$ZZ,$V$17,1)="","",INDEX('_views'!$B:$ZZ,$V$17,1)))</f>
        <v/>
      </c>
      <c r="C16" s="107">
        <f>IF($V$19="","",IF(INDEX('_views'!$B:$ZZ,$V$19,1)="","",INDEX('_views'!$B:$ZZ,$V$19,1)))</f>
        <v/>
      </c>
      <c r="D16" s="107">
        <f>IF($V$19="","",IF(INDEX('_views'!$B:$ZZ,$V$19,2)="","",INDEX('_views'!$B:$ZZ,$V$19,2)))</f>
        <v/>
      </c>
      <c r="E16" s="107">
        <f>IF($V$19="","",IF(INDEX('_views'!$B:$ZZ,$V$19,3)="","",INDEX('_views'!$B:$ZZ,$V$19,3)))</f>
        <v/>
      </c>
      <c r="F16" s="107">
        <f>IF($V$19="","",IF(INDEX('_views'!$B:$ZZ,$V$19,4)="","",INDEX('_views'!$B:$ZZ,$V$19,4)))</f>
        <v/>
      </c>
      <c r="G16" s="107">
        <f>IF($V$19="","",IF(INDEX('_views'!$B:$ZZ,$V$19,5)="","",INDEX('_views'!$B:$ZZ,$V$19,5)))</f>
        <v/>
      </c>
      <c r="I16" s="106">
        <f>IF($V$17="","",IF(INDEX('_views'!$B:$ZZ,$V$17,1)="","",INDEX('_views'!$B:$ZZ,$V$17,1)))</f>
        <v/>
      </c>
      <c r="J16" s="107">
        <f>IF($V$19="","",IF(INDEX('_views'!$B:$ZZ,$V$19,1)="","",INDEX('_views'!$B:$ZZ,$V$19,1)))</f>
        <v/>
      </c>
      <c r="K16" s="107">
        <f>IF($V$19="","",IF(INDEX('_views'!$B:$ZZ,$V$19,2)="","",INDEX('_views'!$B:$ZZ,$V$19,2)))</f>
        <v/>
      </c>
      <c r="L16" s="107">
        <f>IF($V$19="","",IF(INDEX('_views'!$B:$ZZ,$V$19,3)="","",INDEX('_views'!$B:$ZZ,$V$19,3)))</f>
        <v/>
      </c>
      <c r="M16" s="107">
        <f>IF($V$19="","",IF(INDEX('_views'!$B:$ZZ,$V$19,4)="","",INDEX('_views'!$B:$ZZ,$V$19,4)))</f>
        <v/>
      </c>
      <c r="N16" s="107">
        <f>IF($V$19="","",IF(INDEX('_views'!$B:$ZZ,$V$19,5)="","",INDEX('_views'!$B:$ZZ,$V$19,5)))</f>
        <v/>
      </c>
      <c r="V16">
        <f>IFERROR(MATCH("G|"&amp;$W$15&amp;"|rows",'_views'!$A:$A,0),"")</f>
        <v/>
      </c>
      <c r="W16">
        <f>IF($V$14="","",IF(INDEX('_views'!$B:$ZZ,$V$14,4)="","",INDEX('_views'!$B:$ZZ,$V$14,4)))</f>
        <v/>
      </c>
      <c r="AC16">
        <f>IF(IF($V$16="","",IF(INDEX('_views'!$B:$ZZ,$V$16,4)="","",INDEX('_views'!$B:$ZZ,$V$16,4)))="All","",IF($V$16="","",IF(INDEX('_views'!$B:$ZZ,$V$16,4)="","",INDEX('_views'!$B:$ZZ,$V$16,4))))</f>
        <v/>
      </c>
      <c r="AD16">
        <f>IF(IF($V$15="","",IF(INDEX('_views'!$B:$ZZ,$V$15,4)="","",INDEX('_views'!$B:$ZZ,$V$15,4)))="All","",IF($V$15="","",IF(INDEX('_views'!$B:$ZZ,$V$15,4)="","",INDEX('_views'!$B:$ZZ,$V$15,4))))</f>
        <v/>
      </c>
      <c r="AF16">
        <f>IF(OR($AF$13="",$AF$14=""),"",INDEX($J$17:$N$24,$AF$13,$AF$14))</f>
        <v/>
      </c>
    </row>
    <row r="17" ht="16" customHeight="1">
      <c r="B17" s="91">
        <f>IF($V$16="","",IF(INDEX('_views'!$B:$ZZ,$V$16,1)="","",INDEX('_views'!$B:$ZZ,$V$16,1)))</f>
        <v/>
      </c>
      <c r="C17" s="93">
        <f>IF($X17="","",IF(INDEX('_views'!$B:$ZZ,$X17,1)="","",INDEX('_views'!$B:$ZZ,$X17,1)))</f>
        <v/>
      </c>
      <c r="D17" s="93">
        <f>IF($X17="","",IF(INDEX('_views'!$B:$ZZ,$X17,2)="","",INDEX('_views'!$B:$ZZ,$X17,2)))</f>
        <v/>
      </c>
      <c r="E17" s="93">
        <f>IF($X17="","",IF(INDEX('_views'!$B:$ZZ,$X17,3)="","",INDEX('_views'!$B:$ZZ,$X17,3)))</f>
        <v/>
      </c>
      <c r="F17" s="93">
        <f>IF($X17="","",IF(INDEX('_views'!$B:$ZZ,$X17,4)="","",INDEX('_views'!$B:$ZZ,$X17,4)))</f>
        <v/>
      </c>
      <c r="G17" s="93">
        <f>IF($X17="","",IF(INDEX('_views'!$B:$ZZ,$X17,5)="","",INDEX('_views'!$B:$ZZ,$X17,5)))</f>
        <v/>
      </c>
      <c r="I17" s="91">
        <f>IF($V$16="","",IF(INDEX('_views'!$B:$ZZ,$V$16,1)="","",INDEX('_views'!$B:$ZZ,$V$16,1)))</f>
        <v/>
      </c>
      <c r="J17" s="94">
        <f>IF($Y17="","",IF(INDEX('_views'!$B:$ZZ,$Y17,1)="","",INDEX('_views'!$B:$ZZ,$Y17,1)))</f>
        <v/>
      </c>
      <c r="K17" s="94">
        <f>IF($Y17="","",IF(INDEX('_views'!$B:$ZZ,$Y17,2)="","",INDEX('_views'!$B:$ZZ,$Y17,2)))</f>
        <v/>
      </c>
      <c r="L17" s="94">
        <f>IF($Y17="","",IF(INDEX('_views'!$B:$ZZ,$Y17,3)="","",INDEX('_views'!$B:$ZZ,$Y17,3)))</f>
        <v/>
      </c>
      <c r="M17" s="94">
        <f>IF($Y17="","",IF(INDEX('_views'!$B:$ZZ,$Y17,4)="","",INDEX('_views'!$B:$ZZ,$Y17,4)))</f>
        <v/>
      </c>
      <c r="N17" s="94">
        <f>IF($Y17="","",IF(INDEX('_views'!$B:$ZZ,$Y17,5)="","",INDEX('_views'!$B:$ZZ,$Y17,5)))</f>
        <v/>
      </c>
      <c r="V17">
        <f>IFERROR(MATCH("G|"&amp;$W$15&amp;"|names",'_views'!$A:$A,0),"")</f>
        <v/>
      </c>
      <c r="W17">
        <f>IF($V$14="","",IF(INDEX('_views'!$B:$ZZ,$V$14,5)="","",INDEX('_views'!$B:$ZZ,$V$14,5)))</f>
        <v/>
      </c>
      <c r="X17">
        <f>IFERROR(MATCH("G|"&amp;$W$15&amp;"|"&amp;$V$13&amp;"|rate|1",'_views'!$A:$A,0),"")</f>
        <v/>
      </c>
      <c r="Y17">
        <f>IFERROR(MATCH("G|"&amp;$W$15&amp;"|"&amp;$V$13&amp;"|book|1",'_views'!$A:$A,0),"")</f>
        <v/>
      </c>
      <c r="AC17">
        <f>IF(IF($V$16="","",IF(INDEX('_views'!$B:$ZZ,$V$16,5)="","",INDEX('_views'!$B:$ZZ,$V$16,5)))="All","",IF($V$16="","",IF(INDEX('_views'!$B:$ZZ,$V$16,5)="","",INDEX('_views'!$B:$ZZ,$V$16,5))))</f>
        <v/>
      </c>
      <c r="AF17">
        <f>IF(OR($AF$13="",$AF$14=""),"",INDEX($C$28:$G$35,$AF$13,$AF$14))</f>
        <v/>
      </c>
    </row>
    <row r="18" ht="16" customHeight="1">
      <c r="B18" s="91">
        <f>IF($V$16="","",IF(INDEX('_views'!$B:$ZZ,$V$16,2)="","",INDEX('_views'!$B:$ZZ,$V$16,2)))</f>
        <v/>
      </c>
      <c r="C18" s="93">
        <f>IF($X18="","",IF(INDEX('_views'!$B:$ZZ,$X18,1)="","",INDEX('_views'!$B:$ZZ,$X18,1)))</f>
        <v/>
      </c>
      <c r="D18" s="93">
        <f>IF($X18="","",IF(INDEX('_views'!$B:$ZZ,$X18,2)="","",INDEX('_views'!$B:$ZZ,$X18,2)))</f>
        <v/>
      </c>
      <c r="E18" s="93">
        <f>IF($X18="","",IF(INDEX('_views'!$B:$ZZ,$X18,3)="","",INDEX('_views'!$B:$ZZ,$X18,3)))</f>
        <v/>
      </c>
      <c r="F18" s="93">
        <f>IF($X18="","",IF(INDEX('_views'!$B:$ZZ,$X18,4)="","",INDEX('_views'!$B:$ZZ,$X18,4)))</f>
        <v/>
      </c>
      <c r="G18" s="93">
        <f>IF($X18="","",IF(INDEX('_views'!$B:$ZZ,$X18,5)="","",INDEX('_views'!$B:$ZZ,$X18,5)))</f>
        <v/>
      </c>
      <c r="I18" s="91">
        <f>IF($V$16="","",IF(INDEX('_views'!$B:$ZZ,$V$16,2)="","",INDEX('_views'!$B:$ZZ,$V$16,2)))</f>
        <v/>
      </c>
      <c r="J18" s="94">
        <f>IF($Y18="","",IF(INDEX('_views'!$B:$ZZ,$Y18,1)="","",INDEX('_views'!$B:$ZZ,$Y18,1)))</f>
        <v/>
      </c>
      <c r="K18" s="94">
        <f>IF($Y18="","",IF(INDEX('_views'!$B:$ZZ,$Y18,2)="","",INDEX('_views'!$B:$ZZ,$Y18,2)))</f>
        <v/>
      </c>
      <c r="L18" s="94">
        <f>IF($Y18="","",IF(INDEX('_views'!$B:$ZZ,$Y18,3)="","",INDEX('_views'!$B:$ZZ,$Y18,3)))</f>
        <v/>
      </c>
      <c r="M18" s="94">
        <f>IF($Y18="","",IF(INDEX('_views'!$B:$ZZ,$Y18,4)="","",INDEX('_views'!$B:$ZZ,$Y18,4)))</f>
        <v/>
      </c>
      <c r="N18" s="94">
        <f>IF($Y18="","",IF(INDEX('_views'!$B:$ZZ,$Y18,5)="","",INDEX('_views'!$B:$ZZ,$Y18,5)))</f>
        <v/>
      </c>
      <c r="V18">
        <f>IFERROR(MATCH("G|"&amp;$W$15&amp;"|total",'_views'!$A:$A,0),"")</f>
        <v/>
      </c>
      <c r="X18">
        <f>IFERROR(MATCH("G|"&amp;$W$15&amp;"|"&amp;$V$13&amp;"|rate|2",'_views'!$A:$A,0),"")</f>
        <v/>
      </c>
      <c r="Y18">
        <f>IFERROR(MATCH("G|"&amp;$W$15&amp;"|"&amp;$V$13&amp;"|book|2",'_views'!$A:$A,0),"")</f>
        <v/>
      </c>
      <c r="AC18">
        <f>IF(IF($V$16="","",IF(INDEX('_views'!$B:$ZZ,$V$16,6)="","",INDEX('_views'!$B:$ZZ,$V$16,6)))="All","",IF($V$16="","",IF(INDEX('_views'!$B:$ZZ,$V$16,6)="","",INDEX('_views'!$B:$ZZ,$V$16,6))))</f>
        <v/>
      </c>
      <c r="AF18">
        <f>IF(OR($AF$13="",$AF$14=""),"",INDEX($J$28:$N$35,$AF$13,$AF$14))</f>
        <v/>
      </c>
    </row>
    <row r="19" ht="16" customHeight="1">
      <c r="B19" s="91">
        <f>IF($V$16="","",IF(INDEX('_views'!$B:$ZZ,$V$16,3)="","",INDEX('_views'!$B:$ZZ,$V$16,3)))</f>
        <v/>
      </c>
      <c r="C19" s="93">
        <f>IF($X19="","",IF(INDEX('_views'!$B:$ZZ,$X19,1)="","",INDEX('_views'!$B:$ZZ,$X19,1)))</f>
        <v/>
      </c>
      <c r="D19" s="93">
        <f>IF($X19="","",IF(INDEX('_views'!$B:$ZZ,$X19,2)="","",INDEX('_views'!$B:$ZZ,$X19,2)))</f>
        <v/>
      </c>
      <c r="E19" s="93">
        <f>IF($X19="","",IF(INDEX('_views'!$B:$ZZ,$X19,3)="","",INDEX('_views'!$B:$ZZ,$X19,3)))</f>
        <v/>
      </c>
      <c r="F19" s="93">
        <f>IF($X19="","",IF(INDEX('_views'!$B:$ZZ,$X19,4)="","",INDEX('_views'!$B:$ZZ,$X19,4)))</f>
        <v/>
      </c>
      <c r="G19" s="93">
        <f>IF($X19="","",IF(INDEX('_views'!$B:$ZZ,$X19,5)="","",INDEX('_views'!$B:$ZZ,$X19,5)))</f>
        <v/>
      </c>
      <c r="I19" s="91">
        <f>IF($V$16="","",IF(INDEX('_views'!$B:$ZZ,$V$16,3)="","",INDEX('_views'!$B:$ZZ,$V$16,3)))</f>
        <v/>
      </c>
      <c r="J19" s="94">
        <f>IF($Y19="","",IF(INDEX('_views'!$B:$ZZ,$Y19,1)="","",INDEX('_views'!$B:$ZZ,$Y19,1)))</f>
        <v/>
      </c>
      <c r="K19" s="94">
        <f>IF($Y19="","",IF(INDEX('_views'!$B:$ZZ,$Y19,2)="","",INDEX('_views'!$B:$ZZ,$Y19,2)))</f>
        <v/>
      </c>
      <c r="L19" s="94">
        <f>IF($Y19="","",IF(INDEX('_views'!$B:$ZZ,$Y19,3)="","",INDEX('_views'!$B:$ZZ,$Y19,3)))</f>
        <v/>
      </c>
      <c r="M19" s="94">
        <f>IF($Y19="","",IF(INDEX('_views'!$B:$ZZ,$Y19,4)="","",INDEX('_views'!$B:$ZZ,$Y19,4)))</f>
        <v/>
      </c>
      <c r="N19" s="94">
        <f>IF($Y19="","",IF(INDEX('_views'!$B:$ZZ,$Y19,5)="","",INDEX('_views'!$B:$ZZ,$Y19,5)))</f>
        <v/>
      </c>
      <c r="V19">
        <f>IFERROR(MATCH("G|"&amp;$W$15&amp;"|heads",'_views'!$A:$A,0),"")</f>
        <v/>
      </c>
      <c r="X19">
        <f>IFERROR(MATCH("G|"&amp;$W$15&amp;"|"&amp;$V$13&amp;"|rate|3",'_views'!$A:$A,0),"")</f>
        <v/>
      </c>
      <c r="Y19">
        <f>IFERROR(MATCH("G|"&amp;$W$15&amp;"|"&amp;$V$13&amp;"|book|3",'_views'!$A:$A,0),"")</f>
        <v/>
      </c>
      <c r="AC19">
        <f>IF(IF($V$16="","",IF(INDEX('_views'!$B:$ZZ,$V$16,7)="","",INDEX('_views'!$B:$ZZ,$V$16,7)))="All","",IF($V$16="","",IF(INDEX('_views'!$B:$ZZ,$V$16,7)="","",INDEX('_views'!$B:$ZZ,$V$16,7))))</f>
        <v/>
      </c>
      <c r="AF19">
        <f>IF($AF$13="","",INDEX($J$28:$N$35,$AF$13,$AE$14+1))</f>
        <v/>
      </c>
    </row>
    <row r="20" ht="16" customHeight="1">
      <c r="B20" s="91">
        <f>IF($V$16="","",IF(INDEX('_views'!$B:$ZZ,$V$16,4)="","",INDEX('_views'!$B:$ZZ,$V$16,4)))</f>
        <v/>
      </c>
      <c r="C20" s="93">
        <f>IF($X20="","",IF(INDEX('_views'!$B:$ZZ,$X20,1)="","",INDEX('_views'!$B:$ZZ,$X20,1)))</f>
        <v/>
      </c>
      <c r="D20" s="93">
        <f>IF($X20="","",IF(INDEX('_views'!$B:$ZZ,$X20,2)="","",INDEX('_views'!$B:$ZZ,$X20,2)))</f>
        <v/>
      </c>
      <c r="E20" s="93">
        <f>IF($X20="","",IF(INDEX('_views'!$B:$ZZ,$X20,3)="","",INDEX('_views'!$B:$ZZ,$X20,3)))</f>
        <v/>
      </c>
      <c r="F20" s="93">
        <f>IF($X20="","",IF(INDEX('_views'!$B:$ZZ,$X20,4)="","",INDEX('_views'!$B:$ZZ,$X20,4)))</f>
        <v/>
      </c>
      <c r="G20" s="93">
        <f>IF($X20="","",IF(INDEX('_views'!$B:$ZZ,$X20,5)="","",INDEX('_views'!$B:$ZZ,$X20,5)))</f>
        <v/>
      </c>
      <c r="I20" s="91">
        <f>IF($V$16="","",IF(INDEX('_views'!$B:$ZZ,$V$16,4)="","",INDEX('_views'!$B:$ZZ,$V$16,4)))</f>
        <v/>
      </c>
      <c r="J20" s="94">
        <f>IF($Y20="","",IF(INDEX('_views'!$B:$ZZ,$Y20,1)="","",INDEX('_views'!$B:$ZZ,$Y20,1)))</f>
        <v/>
      </c>
      <c r="K20" s="94">
        <f>IF($Y20="","",IF(INDEX('_views'!$B:$ZZ,$Y20,2)="","",INDEX('_views'!$B:$ZZ,$Y20,2)))</f>
        <v/>
      </c>
      <c r="L20" s="94">
        <f>IF($Y20="","",IF(INDEX('_views'!$B:$ZZ,$Y20,3)="","",INDEX('_views'!$B:$ZZ,$Y20,3)))</f>
        <v/>
      </c>
      <c r="M20" s="94">
        <f>IF($Y20="","",IF(INDEX('_views'!$B:$ZZ,$Y20,4)="","",INDEX('_views'!$B:$ZZ,$Y20,4)))</f>
        <v/>
      </c>
      <c r="N20" s="94">
        <f>IF($Y20="","",IF(INDEX('_views'!$B:$ZZ,$Y20,5)="","",INDEX('_views'!$B:$ZZ,$Y20,5)))</f>
        <v/>
      </c>
      <c r="V20">
        <f>IFERROR(MATCH("G|"&amp;$W$15&amp;"|segs",'_views'!$A:$A,0),"")</f>
        <v/>
      </c>
      <c r="X20">
        <f>IFERROR(MATCH("G|"&amp;$W$15&amp;"|"&amp;$V$13&amp;"|rate|4",'_views'!$A:$A,0),"")</f>
        <v/>
      </c>
      <c r="Y20">
        <f>IFERROR(MATCH("G|"&amp;$W$15&amp;"|"&amp;$V$13&amp;"|book|4",'_views'!$A:$A,0),"")</f>
        <v/>
      </c>
      <c r="AF20">
        <f>IF(OR($AF$13="",$AF$14=""),"",COUNT(OFFSET($J$28,$AF$13-1,0,1,$AE$14))-IF(ISNUMBER($AF$18),1,0))</f>
        <v/>
      </c>
    </row>
    <row r="21" ht="16" customHeight="1">
      <c r="B21" s="91">
        <f>IF($V$16="","",IF(INDEX('_views'!$B:$ZZ,$V$16,5)="","",INDEX('_views'!$B:$ZZ,$V$16,5)))</f>
        <v/>
      </c>
      <c r="C21" s="93">
        <f>IF($X21="","",IF(INDEX('_views'!$B:$ZZ,$X21,1)="","",INDEX('_views'!$B:$ZZ,$X21,1)))</f>
        <v/>
      </c>
      <c r="D21" s="93">
        <f>IF($X21="","",IF(INDEX('_views'!$B:$ZZ,$X21,2)="","",INDEX('_views'!$B:$ZZ,$X21,2)))</f>
        <v/>
      </c>
      <c r="E21" s="93">
        <f>IF($X21="","",IF(INDEX('_views'!$B:$ZZ,$X21,3)="","",INDEX('_views'!$B:$ZZ,$X21,3)))</f>
        <v/>
      </c>
      <c r="F21" s="93">
        <f>IF($X21="","",IF(INDEX('_views'!$B:$ZZ,$X21,4)="","",INDEX('_views'!$B:$ZZ,$X21,4)))</f>
        <v/>
      </c>
      <c r="G21" s="93">
        <f>IF($X21="","",IF(INDEX('_views'!$B:$ZZ,$X21,5)="","",INDEX('_views'!$B:$ZZ,$X21,5)))</f>
        <v/>
      </c>
      <c r="I21" s="91">
        <f>IF($V$16="","",IF(INDEX('_views'!$B:$ZZ,$V$16,5)="","",INDEX('_views'!$B:$ZZ,$V$16,5)))</f>
        <v/>
      </c>
      <c r="J21" s="94">
        <f>IF($Y21="","",IF(INDEX('_views'!$B:$ZZ,$Y21,1)="","",INDEX('_views'!$B:$ZZ,$Y21,1)))</f>
        <v/>
      </c>
      <c r="K21" s="94">
        <f>IF($Y21="","",IF(INDEX('_views'!$B:$ZZ,$Y21,2)="","",INDEX('_views'!$B:$ZZ,$Y21,2)))</f>
        <v/>
      </c>
      <c r="L21" s="94">
        <f>IF($Y21="","",IF(INDEX('_views'!$B:$ZZ,$Y21,3)="","",INDEX('_views'!$B:$ZZ,$Y21,3)))</f>
        <v/>
      </c>
      <c r="M21" s="94">
        <f>IF($Y21="","",IF(INDEX('_views'!$B:$ZZ,$Y21,4)="","",INDEX('_views'!$B:$ZZ,$Y21,4)))</f>
        <v/>
      </c>
      <c r="N21" s="94">
        <f>IF($Y21="","",IF(INDEX('_views'!$B:$ZZ,$Y21,5)="","",INDEX('_views'!$B:$ZZ,$Y21,5)))</f>
        <v/>
      </c>
      <c r="X21">
        <f>IFERROR(MATCH("G|"&amp;$W$15&amp;"|"&amp;$V$13&amp;"|rate|5",'_views'!$A:$A,0),"")</f>
        <v/>
      </c>
      <c r="Y21">
        <f>IFERROR(MATCH("G|"&amp;$W$15&amp;"|"&amp;$V$13&amp;"|book|5",'_views'!$A:$A,0),"")</f>
        <v/>
      </c>
      <c r="AF21">
        <f>IFERROR(MID(IF(AND(1&lt;&gt;$AF$14,1&lt;=$AE$14,ISNUMBER(INDEX($J$28:$N$35,$AF$13,1))),", "&amp;IF($V$15="","",IF(INDEX('_views'!$B:$ZZ,$V$15,1)="","",INDEX('_views'!$B:$ZZ,$V$15,1))),"")&amp;IF(AND(2&lt;&gt;$AF$14,2&lt;=$AE$14,ISNUMBER(INDEX($J$28:$N$35,$AF$13,2))),", "&amp;IF($V$15="","",IF(INDEX('_views'!$B:$ZZ,$V$15,2)="","",INDEX('_views'!$B:$ZZ,$V$15,2))),"")&amp;IF(AND(3&lt;&gt;$AF$14,3&lt;=$AE$14,ISNUMBER(INDEX($J$28:$N$35,$AF$13,3))),", "&amp;IF($V$15="","",IF(INDEX('_views'!$B:$ZZ,$V$15,3)="","",INDEX('_views'!$B:$ZZ,$V$15,3))),"")&amp;IF(AND(4&lt;&gt;$AF$14,4&lt;=$AE$14,ISNUMBER(INDEX($J$28:$N$35,$AF$13,4))),", "&amp;IF($V$15="","",IF(INDEX('_views'!$B:$ZZ,$V$15,4)="","",INDEX('_views'!$B:$ZZ,$V$15,4))),"")&amp;IF(AND(5&lt;&gt;$AF$14,5&lt;=$AE$14,ISNUMBER(INDEX($J$28:$N$35,$AF$13,5))),", "&amp;IF($V$15="","",IF(INDEX('_views'!$B:$ZZ,$V$15,5)="","",INDEX('_views'!$B:$ZZ,$V$15,5))),""),3,999),"")</f>
        <v/>
      </c>
    </row>
    <row r="22" ht="16" customHeight="1">
      <c r="B22" s="91">
        <f>IF($V$16="","",IF(INDEX('_views'!$B:$ZZ,$V$16,6)="","",INDEX('_views'!$B:$ZZ,$V$16,6)))</f>
        <v/>
      </c>
      <c r="C22" s="93">
        <f>IF($X22="","",IF(INDEX('_views'!$B:$ZZ,$X22,1)="","",INDEX('_views'!$B:$ZZ,$X22,1)))</f>
        <v/>
      </c>
      <c r="D22" s="93">
        <f>IF($X22="","",IF(INDEX('_views'!$B:$ZZ,$X22,2)="","",INDEX('_views'!$B:$ZZ,$X22,2)))</f>
        <v/>
      </c>
      <c r="E22" s="93">
        <f>IF($X22="","",IF(INDEX('_views'!$B:$ZZ,$X22,3)="","",INDEX('_views'!$B:$ZZ,$X22,3)))</f>
        <v/>
      </c>
      <c r="F22" s="93">
        <f>IF($X22="","",IF(INDEX('_views'!$B:$ZZ,$X22,4)="","",INDEX('_views'!$B:$ZZ,$X22,4)))</f>
        <v/>
      </c>
      <c r="G22" s="93">
        <f>IF($X22="","",IF(INDEX('_views'!$B:$ZZ,$X22,5)="","",INDEX('_views'!$B:$ZZ,$X22,5)))</f>
        <v/>
      </c>
      <c r="I22" s="91">
        <f>IF($V$16="","",IF(INDEX('_views'!$B:$ZZ,$V$16,6)="","",INDEX('_views'!$B:$ZZ,$V$16,6)))</f>
        <v/>
      </c>
      <c r="J22" s="94">
        <f>IF($Y22="","",IF(INDEX('_views'!$B:$ZZ,$Y22,1)="","",INDEX('_views'!$B:$ZZ,$Y22,1)))</f>
        <v/>
      </c>
      <c r="K22" s="94">
        <f>IF($Y22="","",IF(INDEX('_views'!$B:$ZZ,$Y22,2)="","",INDEX('_views'!$B:$ZZ,$Y22,2)))</f>
        <v/>
      </c>
      <c r="L22" s="94">
        <f>IF($Y22="","",IF(INDEX('_views'!$B:$ZZ,$Y22,3)="","",INDEX('_views'!$B:$ZZ,$Y22,3)))</f>
        <v/>
      </c>
      <c r="M22" s="94">
        <f>IF($Y22="","",IF(INDEX('_views'!$B:$ZZ,$Y22,4)="","",INDEX('_views'!$B:$ZZ,$Y22,4)))</f>
        <v/>
      </c>
      <c r="N22" s="94">
        <f>IF($Y22="","",IF(INDEX('_views'!$B:$ZZ,$Y22,5)="","",INDEX('_views'!$B:$ZZ,$Y22,5)))</f>
        <v/>
      </c>
      <c r="X22">
        <f>IFERROR(MATCH("G|"&amp;$W$15&amp;"|"&amp;$V$13&amp;"|rate|6",'_views'!$A:$A,0),"")</f>
        <v/>
      </c>
      <c r="Y22">
        <f>IFERROR(MATCH("G|"&amp;$W$15&amp;"|"&amp;$V$13&amp;"|book|6",'_views'!$A:$A,0),"")</f>
        <v/>
      </c>
      <c r="AF22">
        <f>IFERROR(INDEX('_choices'!$K$2:$K$7,MATCH($F$13,'_choices'!$I$2:$I$7,0)),"")</f>
        <v/>
      </c>
    </row>
    <row r="23" ht="16" customHeight="1">
      <c r="B23" s="91">
        <f>IF($V$16="","",IF(INDEX('_views'!$B:$ZZ,$V$16,7)="","",INDEX('_views'!$B:$ZZ,$V$16,7)))</f>
        <v/>
      </c>
      <c r="C23" s="93">
        <f>IF($X23="","",IF(INDEX('_views'!$B:$ZZ,$X23,1)="","",INDEX('_views'!$B:$ZZ,$X23,1)))</f>
        <v/>
      </c>
      <c r="D23" s="93">
        <f>IF($X23="","",IF(INDEX('_views'!$B:$ZZ,$X23,2)="","",INDEX('_views'!$B:$ZZ,$X23,2)))</f>
        <v/>
      </c>
      <c r="E23" s="93">
        <f>IF($X23="","",IF(INDEX('_views'!$B:$ZZ,$X23,3)="","",INDEX('_views'!$B:$ZZ,$X23,3)))</f>
        <v/>
      </c>
      <c r="F23" s="93">
        <f>IF($X23="","",IF(INDEX('_views'!$B:$ZZ,$X23,4)="","",INDEX('_views'!$B:$ZZ,$X23,4)))</f>
        <v/>
      </c>
      <c r="G23" s="93">
        <f>IF($X23="","",IF(INDEX('_views'!$B:$ZZ,$X23,5)="","",INDEX('_views'!$B:$ZZ,$X23,5)))</f>
        <v/>
      </c>
      <c r="I23" s="91">
        <f>IF($V$16="","",IF(INDEX('_views'!$B:$ZZ,$V$16,7)="","",INDEX('_views'!$B:$ZZ,$V$16,7)))</f>
        <v/>
      </c>
      <c r="J23" s="94">
        <f>IF($Y23="","",IF(INDEX('_views'!$B:$ZZ,$Y23,1)="","",INDEX('_views'!$B:$ZZ,$Y23,1)))</f>
        <v/>
      </c>
      <c r="K23" s="94">
        <f>IF($Y23="","",IF(INDEX('_views'!$B:$ZZ,$Y23,2)="","",INDEX('_views'!$B:$ZZ,$Y23,2)))</f>
        <v/>
      </c>
      <c r="L23" s="94">
        <f>IF($Y23="","",IF(INDEX('_views'!$B:$ZZ,$Y23,3)="","",INDEX('_views'!$B:$ZZ,$Y23,3)))</f>
        <v/>
      </c>
      <c r="M23" s="94">
        <f>IF($Y23="","",IF(INDEX('_views'!$B:$ZZ,$Y23,4)="","",INDEX('_views'!$B:$ZZ,$Y23,4)))</f>
        <v/>
      </c>
      <c r="N23" s="94">
        <f>IF($Y23="","",IF(INDEX('_views'!$B:$ZZ,$Y23,5)="","",INDEX('_views'!$B:$ZZ,$Y23,5)))</f>
        <v/>
      </c>
      <c r="X23">
        <f>IFERROR(MATCH("G|"&amp;$W$15&amp;"|"&amp;$V$13&amp;"|rate|7",'_views'!$A:$A,0),"")</f>
        <v/>
      </c>
      <c r="Y23">
        <f>IFERROR(MATCH("G|"&amp;$W$15&amp;"|"&amp;$V$13&amp;"|book|7",'_views'!$A:$A,0),"")</f>
        <v/>
      </c>
      <c r="AF23">
        <f>IFERROR(INDEX('_choices'!$L$2:$L$7,MATCH($F$13,'_choices'!$I$2:$I$7,0)),"")</f>
        <v/>
      </c>
    </row>
    <row r="24" ht="16" customHeight="1">
      <c r="B24" s="91">
        <f>IF($V$16="","",IF(INDEX('_views'!$B:$ZZ,$V$16,8)="","",INDEX('_views'!$B:$ZZ,$V$16,8)))</f>
        <v/>
      </c>
      <c r="C24" s="93">
        <f>IF($X24="","",IF(INDEX('_views'!$B:$ZZ,$X24,1)="","",INDEX('_views'!$B:$ZZ,$X24,1)))</f>
        <v/>
      </c>
      <c r="D24" s="93">
        <f>IF($X24="","",IF(INDEX('_views'!$B:$ZZ,$X24,2)="","",INDEX('_views'!$B:$ZZ,$X24,2)))</f>
        <v/>
      </c>
      <c r="E24" s="93">
        <f>IF($X24="","",IF(INDEX('_views'!$B:$ZZ,$X24,3)="","",INDEX('_views'!$B:$ZZ,$X24,3)))</f>
        <v/>
      </c>
      <c r="F24" s="93">
        <f>IF($X24="","",IF(INDEX('_views'!$B:$ZZ,$X24,4)="","",INDEX('_views'!$B:$ZZ,$X24,4)))</f>
        <v/>
      </c>
      <c r="G24" s="93">
        <f>IF($X24="","",IF(INDEX('_views'!$B:$ZZ,$X24,5)="","",INDEX('_views'!$B:$ZZ,$X24,5)))</f>
        <v/>
      </c>
      <c r="I24" s="91">
        <f>IF($V$16="","",IF(INDEX('_views'!$B:$ZZ,$V$16,8)="","",INDEX('_views'!$B:$ZZ,$V$16,8)))</f>
        <v/>
      </c>
      <c r="J24" s="94">
        <f>IF($Y24="","",IF(INDEX('_views'!$B:$ZZ,$Y24,1)="","",INDEX('_views'!$B:$ZZ,$Y24,1)))</f>
        <v/>
      </c>
      <c r="K24" s="94">
        <f>IF($Y24="","",IF(INDEX('_views'!$B:$ZZ,$Y24,2)="","",INDEX('_views'!$B:$ZZ,$Y24,2)))</f>
        <v/>
      </c>
      <c r="L24" s="94">
        <f>IF($Y24="","",IF(INDEX('_views'!$B:$ZZ,$Y24,3)="","",INDEX('_views'!$B:$ZZ,$Y24,3)))</f>
        <v/>
      </c>
      <c r="M24" s="94">
        <f>IF($Y24="","",IF(INDEX('_views'!$B:$ZZ,$Y24,4)="","",INDEX('_views'!$B:$ZZ,$Y24,4)))</f>
        <v/>
      </c>
      <c r="N24" s="94">
        <f>IF($Y24="","",IF(INDEX('_views'!$B:$ZZ,$Y24,5)="","",INDEX('_views'!$B:$ZZ,$Y24,5)))</f>
        <v/>
      </c>
      <c r="X24">
        <f>IFERROR(MATCH("G|"&amp;$W$15&amp;"|"&amp;$V$13&amp;"|rate|8",'_views'!$A:$A,0),"")</f>
        <v/>
      </c>
      <c r="Y24">
        <f>IFERROR(MATCH("G|"&amp;$W$15&amp;"|"&amp;$V$13&amp;"|book|8",'_views'!$A:$A,0),"")</f>
        <v/>
      </c>
      <c r="AF24">
        <f>IF($V$14="","",IF(INDEX('_views'!$B:$ZZ,$V$14,3)="","",INDEX('_views'!$B:$ZZ,$V$14,3)))</f>
        <v/>
      </c>
    </row>
    <row r="25">
      <c r="AF25">
        <f>IF(OR(OR($AF$13="",$AF$14=""),$W$13&lt;&gt;"size"),"",IF((IFERROR(MATCH("G|"&amp;$W$15&amp;"|"&amp;$V$13&amp;"|median|"&amp;$AF$13,'_views'!$A:$A,0),""))="","",IF(INDEX('_views'!$B:$ZZ,(IFERROR(MATCH("G|"&amp;$W$15&amp;"|"&amp;$V$13&amp;"|median|"&amp;$AF$13,'_views'!$A:$A,0),"")),$AF$14)="","",INDEX('_views'!$B:$ZZ,(IFERROR(MATCH("G|"&amp;$W$15&amp;"|"&amp;$V$13&amp;"|median|"&amp;$AF$13,'_views'!$A:$A,0),"")),$AF$14))))</f>
        <v/>
      </c>
    </row>
    <row r="26" ht="20" customHeight="1">
      <c r="B26" s="105" t="inlineStr">
        <is>
          <t>vs rest of band</t>
        </is>
      </c>
      <c r="C26" s="26" t="n"/>
      <c r="D26" s="26" t="n"/>
      <c r="E26" s="26" t="n"/>
      <c r="F26" s="26" t="n"/>
      <c r="G26" s="26" t="n"/>
      <c r="I26" s="105" t="inlineStr">
        <is>
          <t>Loans</t>
        </is>
      </c>
      <c r="J26" s="26" t="n"/>
      <c r="K26" s="26" t="n"/>
      <c r="L26" s="26" t="n"/>
      <c r="M26" s="26" t="n"/>
      <c r="N26" s="26" t="n"/>
      <c r="AF26">
        <f>AND(ISNUMBER($AF$18),ISNUMBER($W$17),$AF$18&lt;$W$17)</f>
        <v/>
      </c>
    </row>
    <row r="27" ht="16" customHeight="1">
      <c r="B27" s="106">
        <f>IF($V$17="","",IF(INDEX('_views'!$B:$ZZ,$V$17,1)="","",INDEX('_views'!$B:$ZZ,$V$17,1)))</f>
        <v/>
      </c>
      <c r="C27" s="107">
        <f>IF($V$19="","",IF(INDEX('_views'!$B:$ZZ,$V$19,1)="","",INDEX('_views'!$B:$ZZ,$V$19,1)))</f>
        <v/>
      </c>
      <c r="D27" s="107">
        <f>IF($V$19="","",IF(INDEX('_views'!$B:$ZZ,$V$19,2)="","",INDEX('_views'!$B:$ZZ,$V$19,2)))</f>
        <v/>
      </c>
      <c r="E27" s="107">
        <f>IF($V$19="","",IF(INDEX('_views'!$B:$ZZ,$V$19,3)="","",INDEX('_views'!$B:$ZZ,$V$19,3)))</f>
        <v/>
      </c>
      <c r="F27" s="107">
        <f>IF($V$19="","",IF(INDEX('_views'!$B:$ZZ,$V$19,4)="","",INDEX('_views'!$B:$ZZ,$V$19,4)))</f>
        <v/>
      </c>
      <c r="G27" s="107">
        <f>IF($V$19="","",IF(INDEX('_views'!$B:$ZZ,$V$19,5)="","",INDEX('_views'!$B:$ZZ,$V$19,5)))</f>
        <v/>
      </c>
      <c r="I27" s="106">
        <f>IF($V$17="","",IF(INDEX('_views'!$B:$ZZ,$V$17,1)="","",INDEX('_views'!$B:$ZZ,$V$17,1)))</f>
        <v/>
      </c>
      <c r="J27" s="107">
        <f>IF($V$19="","",IF(INDEX('_views'!$B:$ZZ,$V$19,1)="","",INDEX('_views'!$B:$ZZ,$V$19,1)))</f>
        <v/>
      </c>
      <c r="K27" s="107">
        <f>IF($V$19="","",IF(INDEX('_views'!$B:$ZZ,$V$19,2)="","",INDEX('_views'!$B:$ZZ,$V$19,2)))</f>
        <v/>
      </c>
      <c r="L27" s="107">
        <f>IF($V$19="","",IF(INDEX('_views'!$B:$ZZ,$V$19,3)="","",INDEX('_views'!$B:$ZZ,$V$19,3)))</f>
        <v/>
      </c>
      <c r="M27" s="107">
        <f>IF($V$19="","",IF(INDEX('_views'!$B:$ZZ,$V$19,4)="","",INDEX('_views'!$B:$ZZ,$V$19,4)))</f>
        <v/>
      </c>
      <c r="N27" s="107">
        <f>IF($V$19="","",IF(INDEX('_views'!$B:$ZZ,$V$19,5)="","",INDEX('_views'!$B:$ZZ,$V$19,5)))</f>
        <v/>
      </c>
    </row>
    <row r="28" ht="16" customHeight="1">
      <c r="B28" s="91">
        <f>IF($V$16="","",IF(INDEX('_views'!$B:$ZZ,$V$16,1)="","",INDEX('_views'!$B:$ZZ,$V$16,1)))</f>
        <v/>
      </c>
      <c r="C28" s="94">
        <f>IF($X28="","",IF(INDEX('_views'!$B:$ZZ,$X28,1)="","",INDEX('_views'!$B:$ZZ,$X28,1)))</f>
        <v/>
      </c>
      <c r="D28" s="94">
        <f>IF($X28="","",IF(INDEX('_views'!$B:$ZZ,$X28,2)="","",INDEX('_views'!$B:$ZZ,$X28,2)))</f>
        <v/>
      </c>
      <c r="E28" s="94">
        <f>IF($X28="","",IF(INDEX('_views'!$B:$ZZ,$X28,3)="","",INDEX('_views'!$B:$ZZ,$X28,3)))</f>
        <v/>
      </c>
      <c r="F28" s="94">
        <f>IF($X28="","",IF(INDEX('_views'!$B:$ZZ,$X28,4)="","",INDEX('_views'!$B:$ZZ,$X28,4)))</f>
        <v/>
      </c>
      <c r="G28" s="94">
        <f>IF($X28="","",IF(INDEX('_views'!$B:$ZZ,$X28,5)="","",INDEX('_views'!$B:$ZZ,$X28,5)))</f>
        <v/>
      </c>
      <c r="I28" s="91">
        <f>IF($V$16="","",IF(INDEX('_views'!$B:$ZZ,$V$16,1)="","",INDEX('_views'!$B:$ZZ,$V$16,1)))</f>
        <v/>
      </c>
      <c r="J28" s="92">
        <f>IF($Y28="","",IF(INDEX('_views'!$B:$ZZ,$Y28,1)="","",INDEX('_views'!$B:$ZZ,$Y28,1)))</f>
        <v/>
      </c>
      <c r="K28" s="92">
        <f>IF($Y28="","",IF(INDEX('_views'!$B:$ZZ,$Y28,2)="","",INDEX('_views'!$B:$ZZ,$Y28,2)))</f>
        <v/>
      </c>
      <c r="L28" s="92">
        <f>IF($Y28="","",IF(INDEX('_views'!$B:$ZZ,$Y28,3)="","",INDEX('_views'!$B:$ZZ,$Y28,3)))</f>
        <v/>
      </c>
      <c r="M28" s="92">
        <f>IF($Y28="","",IF(INDEX('_views'!$B:$ZZ,$Y28,4)="","",INDEX('_views'!$B:$ZZ,$Y28,4)))</f>
        <v/>
      </c>
      <c r="N28" s="92">
        <f>IF($Y28="","",IF(INDEX('_views'!$B:$ZZ,$Y28,5)="","",INDEX('_views'!$B:$ZZ,$Y28,5)))</f>
        <v/>
      </c>
      <c r="X28">
        <f>IFERROR(MATCH("G|"&amp;$W$15&amp;"|"&amp;$V$13&amp;"|band|1",'_views'!$A:$A,0),"")</f>
        <v/>
      </c>
      <c r="Y28">
        <f>IFERROR(MATCH("G|"&amp;$W$15&amp;"|loans|1",'_views'!$A:$A,0),"")</f>
        <v/>
      </c>
    </row>
    <row r="29" ht="16" customHeight="1">
      <c r="B29" s="91">
        <f>IF($V$16="","",IF(INDEX('_views'!$B:$ZZ,$V$16,2)="","",INDEX('_views'!$B:$ZZ,$V$16,2)))</f>
        <v/>
      </c>
      <c r="C29" s="94">
        <f>IF($X29="","",IF(INDEX('_views'!$B:$ZZ,$X29,1)="","",INDEX('_views'!$B:$ZZ,$X29,1)))</f>
        <v/>
      </c>
      <c r="D29" s="94">
        <f>IF($X29="","",IF(INDEX('_views'!$B:$ZZ,$X29,2)="","",INDEX('_views'!$B:$ZZ,$X29,2)))</f>
        <v/>
      </c>
      <c r="E29" s="94">
        <f>IF($X29="","",IF(INDEX('_views'!$B:$ZZ,$X29,3)="","",INDEX('_views'!$B:$ZZ,$X29,3)))</f>
        <v/>
      </c>
      <c r="F29" s="94">
        <f>IF($X29="","",IF(INDEX('_views'!$B:$ZZ,$X29,4)="","",INDEX('_views'!$B:$ZZ,$X29,4)))</f>
        <v/>
      </c>
      <c r="G29" s="94">
        <f>IF($X29="","",IF(INDEX('_views'!$B:$ZZ,$X29,5)="","",INDEX('_views'!$B:$ZZ,$X29,5)))</f>
        <v/>
      </c>
      <c r="I29" s="91">
        <f>IF($V$16="","",IF(INDEX('_views'!$B:$ZZ,$V$16,2)="","",INDEX('_views'!$B:$ZZ,$V$16,2)))</f>
        <v/>
      </c>
      <c r="J29" s="92">
        <f>IF($Y29="","",IF(INDEX('_views'!$B:$ZZ,$Y29,1)="","",INDEX('_views'!$B:$ZZ,$Y29,1)))</f>
        <v/>
      </c>
      <c r="K29" s="92">
        <f>IF($Y29="","",IF(INDEX('_views'!$B:$ZZ,$Y29,2)="","",INDEX('_views'!$B:$ZZ,$Y29,2)))</f>
        <v/>
      </c>
      <c r="L29" s="92">
        <f>IF($Y29="","",IF(INDEX('_views'!$B:$ZZ,$Y29,3)="","",INDEX('_views'!$B:$ZZ,$Y29,3)))</f>
        <v/>
      </c>
      <c r="M29" s="92">
        <f>IF($Y29="","",IF(INDEX('_views'!$B:$ZZ,$Y29,4)="","",INDEX('_views'!$B:$ZZ,$Y29,4)))</f>
        <v/>
      </c>
      <c r="N29" s="92">
        <f>IF($Y29="","",IF(INDEX('_views'!$B:$ZZ,$Y29,5)="","",INDEX('_views'!$B:$ZZ,$Y29,5)))</f>
        <v/>
      </c>
      <c r="X29">
        <f>IFERROR(MATCH("G|"&amp;$W$15&amp;"|"&amp;$V$13&amp;"|band|2",'_views'!$A:$A,0),"")</f>
        <v/>
      </c>
      <c r="Y29">
        <f>IFERROR(MATCH("G|"&amp;$W$15&amp;"|loans|2",'_views'!$A:$A,0),"")</f>
        <v/>
      </c>
    </row>
    <row r="30" ht="16" customHeight="1">
      <c r="B30" s="91">
        <f>IF($V$16="","",IF(INDEX('_views'!$B:$ZZ,$V$16,3)="","",INDEX('_views'!$B:$ZZ,$V$16,3)))</f>
        <v/>
      </c>
      <c r="C30" s="94">
        <f>IF($X30="","",IF(INDEX('_views'!$B:$ZZ,$X30,1)="","",INDEX('_views'!$B:$ZZ,$X30,1)))</f>
        <v/>
      </c>
      <c r="D30" s="94">
        <f>IF($X30="","",IF(INDEX('_views'!$B:$ZZ,$X30,2)="","",INDEX('_views'!$B:$ZZ,$X30,2)))</f>
        <v/>
      </c>
      <c r="E30" s="94">
        <f>IF($X30="","",IF(INDEX('_views'!$B:$ZZ,$X30,3)="","",INDEX('_views'!$B:$ZZ,$X30,3)))</f>
        <v/>
      </c>
      <c r="F30" s="94">
        <f>IF($X30="","",IF(INDEX('_views'!$B:$ZZ,$X30,4)="","",INDEX('_views'!$B:$ZZ,$X30,4)))</f>
        <v/>
      </c>
      <c r="G30" s="94">
        <f>IF($X30="","",IF(INDEX('_views'!$B:$ZZ,$X30,5)="","",INDEX('_views'!$B:$ZZ,$X30,5)))</f>
        <v/>
      </c>
      <c r="I30" s="91">
        <f>IF($V$16="","",IF(INDEX('_views'!$B:$ZZ,$V$16,3)="","",INDEX('_views'!$B:$ZZ,$V$16,3)))</f>
        <v/>
      </c>
      <c r="J30" s="92">
        <f>IF($Y30="","",IF(INDEX('_views'!$B:$ZZ,$Y30,1)="","",INDEX('_views'!$B:$ZZ,$Y30,1)))</f>
        <v/>
      </c>
      <c r="K30" s="92">
        <f>IF($Y30="","",IF(INDEX('_views'!$B:$ZZ,$Y30,2)="","",INDEX('_views'!$B:$ZZ,$Y30,2)))</f>
        <v/>
      </c>
      <c r="L30" s="92">
        <f>IF($Y30="","",IF(INDEX('_views'!$B:$ZZ,$Y30,3)="","",INDEX('_views'!$B:$ZZ,$Y30,3)))</f>
        <v/>
      </c>
      <c r="M30" s="92">
        <f>IF($Y30="","",IF(INDEX('_views'!$B:$ZZ,$Y30,4)="","",INDEX('_views'!$B:$ZZ,$Y30,4)))</f>
        <v/>
      </c>
      <c r="N30" s="92">
        <f>IF($Y30="","",IF(INDEX('_views'!$B:$ZZ,$Y30,5)="","",INDEX('_views'!$B:$ZZ,$Y30,5)))</f>
        <v/>
      </c>
      <c r="X30">
        <f>IFERROR(MATCH("G|"&amp;$W$15&amp;"|"&amp;$V$13&amp;"|band|3",'_views'!$A:$A,0),"")</f>
        <v/>
      </c>
      <c r="Y30">
        <f>IFERROR(MATCH("G|"&amp;$W$15&amp;"|loans|3",'_views'!$A:$A,0),"")</f>
        <v/>
      </c>
    </row>
    <row r="31" ht="16" customHeight="1">
      <c r="B31" s="91">
        <f>IF($V$16="","",IF(INDEX('_views'!$B:$ZZ,$V$16,4)="","",INDEX('_views'!$B:$ZZ,$V$16,4)))</f>
        <v/>
      </c>
      <c r="C31" s="94">
        <f>IF($X31="","",IF(INDEX('_views'!$B:$ZZ,$X31,1)="","",INDEX('_views'!$B:$ZZ,$X31,1)))</f>
        <v/>
      </c>
      <c r="D31" s="94">
        <f>IF($X31="","",IF(INDEX('_views'!$B:$ZZ,$X31,2)="","",INDEX('_views'!$B:$ZZ,$X31,2)))</f>
        <v/>
      </c>
      <c r="E31" s="94">
        <f>IF($X31="","",IF(INDEX('_views'!$B:$ZZ,$X31,3)="","",INDEX('_views'!$B:$ZZ,$X31,3)))</f>
        <v/>
      </c>
      <c r="F31" s="94">
        <f>IF($X31="","",IF(INDEX('_views'!$B:$ZZ,$X31,4)="","",INDEX('_views'!$B:$ZZ,$X31,4)))</f>
        <v/>
      </c>
      <c r="G31" s="94">
        <f>IF($X31="","",IF(INDEX('_views'!$B:$ZZ,$X31,5)="","",INDEX('_views'!$B:$ZZ,$X31,5)))</f>
        <v/>
      </c>
      <c r="I31" s="91">
        <f>IF($V$16="","",IF(INDEX('_views'!$B:$ZZ,$V$16,4)="","",INDEX('_views'!$B:$ZZ,$V$16,4)))</f>
        <v/>
      </c>
      <c r="J31" s="92">
        <f>IF($Y31="","",IF(INDEX('_views'!$B:$ZZ,$Y31,1)="","",INDEX('_views'!$B:$ZZ,$Y31,1)))</f>
        <v/>
      </c>
      <c r="K31" s="92">
        <f>IF($Y31="","",IF(INDEX('_views'!$B:$ZZ,$Y31,2)="","",INDEX('_views'!$B:$ZZ,$Y31,2)))</f>
        <v/>
      </c>
      <c r="L31" s="92">
        <f>IF($Y31="","",IF(INDEX('_views'!$B:$ZZ,$Y31,3)="","",INDEX('_views'!$B:$ZZ,$Y31,3)))</f>
        <v/>
      </c>
      <c r="M31" s="92">
        <f>IF($Y31="","",IF(INDEX('_views'!$B:$ZZ,$Y31,4)="","",INDEX('_views'!$B:$ZZ,$Y31,4)))</f>
        <v/>
      </c>
      <c r="N31" s="92">
        <f>IF($Y31="","",IF(INDEX('_views'!$B:$ZZ,$Y31,5)="","",INDEX('_views'!$B:$ZZ,$Y31,5)))</f>
        <v/>
      </c>
      <c r="X31">
        <f>IFERROR(MATCH("G|"&amp;$W$15&amp;"|"&amp;$V$13&amp;"|band|4",'_views'!$A:$A,0),"")</f>
        <v/>
      </c>
      <c r="Y31">
        <f>IFERROR(MATCH("G|"&amp;$W$15&amp;"|loans|4",'_views'!$A:$A,0),"")</f>
        <v/>
      </c>
    </row>
    <row r="32" ht="16" customHeight="1">
      <c r="B32" s="91">
        <f>IF($V$16="","",IF(INDEX('_views'!$B:$ZZ,$V$16,5)="","",INDEX('_views'!$B:$ZZ,$V$16,5)))</f>
        <v/>
      </c>
      <c r="C32" s="94">
        <f>IF($X32="","",IF(INDEX('_views'!$B:$ZZ,$X32,1)="","",INDEX('_views'!$B:$ZZ,$X32,1)))</f>
        <v/>
      </c>
      <c r="D32" s="94">
        <f>IF($X32="","",IF(INDEX('_views'!$B:$ZZ,$X32,2)="","",INDEX('_views'!$B:$ZZ,$X32,2)))</f>
        <v/>
      </c>
      <c r="E32" s="94">
        <f>IF($X32="","",IF(INDEX('_views'!$B:$ZZ,$X32,3)="","",INDEX('_views'!$B:$ZZ,$X32,3)))</f>
        <v/>
      </c>
      <c r="F32" s="94">
        <f>IF($X32="","",IF(INDEX('_views'!$B:$ZZ,$X32,4)="","",INDEX('_views'!$B:$ZZ,$X32,4)))</f>
        <v/>
      </c>
      <c r="G32" s="94">
        <f>IF($X32="","",IF(INDEX('_views'!$B:$ZZ,$X32,5)="","",INDEX('_views'!$B:$ZZ,$X32,5)))</f>
        <v/>
      </c>
      <c r="I32" s="91">
        <f>IF($V$16="","",IF(INDEX('_views'!$B:$ZZ,$V$16,5)="","",INDEX('_views'!$B:$ZZ,$V$16,5)))</f>
        <v/>
      </c>
      <c r="J32" s="92">
        <f>IF($Y32="","",IF(INDEX('_views'!$B:$ZZ,$Y32,1)="","",INDEX('_views'!$B:$ZZ,$Y32,1)))</f>
        <v/>
      </c>
      <c r="K32" s="92">
        <f>IF($Y32="","",IF(INDEX('_views'!$B:$ZZ,$Y32,2)="","",INDEX('_views'!$B:$ZZ,$Y32,2)))</f>
        <v/>
      </c>
      <c r="L32" s="92">
        <f>IF($Y32="","",IF(INDEX('_views'!$B:$ZZ,$Y32,3)="","",INDEX('_views'!$B:$ZZ,$Y32,3)))</f>
        <v/>
      </c>
      <c r="M32" s="92">
        <f>IF($Y32="","",IF(INDEX('_views'!$B:$ZZ,$Y32,4)="","",INDEX('_views'!$B:$ZZ,$Y32,4)))</f>
        <v/>
      </c>
      <c r="N32" s="92">
        <f>IF($Y32="","",IF(INDEX('_views'!$B:$ZZ,$Y32,5)="","",INDEX('_views'!$B:$ZZ,$Y32,5)))</f>
        <v/>
      </c>
      <c r="X32">
        <f>IFERROR(MATCH("G|"&amp;$W$15&amp;"|"&amp;$V$13&amp;"|band|5",'_views'!$A:$A,0),"")</f>
        <v/>
      </c>
      <c r="Y32">
        <f>IFERROR(MATCH("G|"&amp;$W$15&amp;"|loans|5",'_views'!$A:$A,0),"")</f>
        <v/>
      </c>
    </row>
    <row r="33" ht="16" customHeight="1">
      <c r="B33" s="91">
        <f>IF($V$16="","",IF(INDEX('_views'!$B:$ZZ,$V$16,6)="","",INDEX('_views'!$B:$ZZ,$V$16,6)))</f>
        <v/>
      </c>
      <c r="C33" s="94">
        <f>IF($X33="","",IF(INDEX('_views'!$B:$ZZ,$X33,1)="","",INDEX('_views'!$B:$ZZ,$X33,1)))</f>
        <v/>
      </c>
      <c r="D33" s="94">
        <f>IF($X33="","",IF(INDEX('_views'!$B:$ZZ,$X33,2)="","",INDEX('_views'!$B:$ZZ,$X33,2)))</f>
        <v/>
      </c>
      <c r="E33" s="94">
        <f>IF($X33="","",IF(INDEX('_views'!$B:$ZZ,$X33,3)="","",INDEX('_views'!$B:$ZZ,$X33,3)))</f>
        <v/>
      </c>
      <c r="F33" s="94">
        <f>IF($X33="","",IF(INDEX('_views'!$B:$ZZ,$X33,4)="","",INDEX('_views'!$B:$ZZ,$X33,4)))</f>
        <v/>
      </c>
      <c r="G33" s="94">
        <f>IF($X33="","",IF(INDEX('_views'!$B:$ZZ,$X33,5)="","",INDEX('_views'!$B:$ZZ,$X33,5)))</f>
        <v/>
      </c>
      <c r="I33" s="91">
        <f>IF($V$16="","",IF(INDEX('_views'!$B:$ZZ,$V$16,6)="","",INDEX('_views'!$B:$ZZ,$V$16,6)))</f>
        <v/>
      </c>
      <c r="J33" s="92">
        <f>IF($Y33="","",IF(INDEX('_views'!$B:$ZZ,$Y33,1)="","",INDEX('_views'!$B:$ZZ,$Y33,1)))</f>
        <v/>
      </c>
      <c r="K33" s="92">
        <f>IF($Y33="","",IF(INDEX('_views'!$B:$ZZ,$Y33,2)="","",INDEX('_views'!$B:$ZZ,$Y33,2)))</f>
        <v/>
      </c>
      <c r="L33" s="92">
        <f>IF($Y33="","",IF(INDEX('_views'!$B:$ZZ,$Y33,3)="","",INDEX('_views'!$B:$ZZ,$Y33,3)))</f>
        <v/>
      </c>
      <c r="M33" s="92">
        <f>IF($Y33="","",IF(INDEX('_views'!$B:$ZZ,$Y33,4)="","",INDEX('_views'!$B:$ZZ,$Y33,4)))</f>
        <v/>
      </c>
      <c r="N33" s="92">
        <f>IF($Y33="","",IF(INDEX('_views'!$B:$ZZ,$Y33,5)="","",INDEX('_views'!$B:$ZZ,$Y33,5)))</f>
        <v/>
      </c>
      <c r="X33">
        <f>IFERROR(MATCH("G|"&amp;$W$15&amp;"|"&amp;$V$13&amp;"|band|6",'_views'!$A:$A,0),"")</f>
        <v/>
      </c>
      <c r="Y33">
        <f>IFERROR(MATCH("G|"&amp;$W$15&amp;"|loans|6",'_views'!$A:$A,0),"")</f>
        <v/>
      </c>
    </row>
    <row r="34" ht="16" customHeight="1">
      <c r="B34" s="91">
        <f>IF($V$16="","",IF(INDEX('_views'!$B:$ZZ,$V$16,7)="","",INDEX('_views'!$B:$ZZ,$V$16,7)))</f>
        <v/>
      </c>
      <c r="C34" s="94">
        <f>IF($X34="","",IF(INDEX('_views'!$B:$ZZ,$X34,1)="","",INDEX('_views'!$B:$ZZ,$X34,1)))</f>
        <v/>
      </c>
      <c r="D34" s="94">
        <f>IF($X34="","",IF(INDEX('_views'!$B:$ZZ,$X34,2)="","",INDEX('_views'!$B:$ZZ,$X34,2)))</f>
        <v/>
      </c>
      <c r="E34" s="94">
        <f>IF($X34="","",IF(INDEX('_views'!$B:$ZZ,$X34,3)="","",INDEX('_views'!$B:$ZZ,$X34,3)))</f>
        <v/>
      </c>
      <c r="F34" s="94">
        <f>IF($X34="","",IF(INDEX('_views'!$B:$ZZ,$X34,4)="","",INDEX('_views'!$B:$ZZ,$X34,4)))</f>
        <v/>
      </c>
      <c r="G34" s="94">
        <f>IF($X34="","",IF(INDEX('_views'!$B:$ZZ,$X34,5)="","",INDEX('_views'!$B:$ZZ,$X34,5)))</f>
        <v/>
      </c>
      <c r="I34" s="91">
        <f>IF($V$16="","",IF(INDEX('_views'!$B:$ZZ,$V$16,7)="","",INDEX('_views'!$B:$ZZ,$V$16,7)))</f>
        <v/>
      </c>
      <c r="J34" s="92">
        <f>IF($Y34="","",IF(INDEX('_views'!$B:$ZZ,$Y34,1)="","",INDEX('_views'!$B:$ZZ,$Y34,1)))</f>
        <v/>
      </c>
      <c r="K34" s="92">
        <f>IF($Y34="","",IF(INDEX('_views'!$B:$ZZ,$Y34,2)="","",INDEX('_views'!$B:$ZZ,$Y34,2)))</f>
        <v/>
      </c>
      <c r="L34" s="92">
        <f>IF($Y34="","",IF(INDEX('_views'!$B:$ZZ,$Y34,3)="","",INDEX('_views'!$B:$ZZ,$Y34,3)))</f>
        <v/>
      </c>
      <c r="M34" s="92">
        <f>IF($Y34="","",IF(INDEX('_views'!$B:$ZZ,$Y34,4)="","",INDEX('_views'!$B:$ZZ,$Y34,4)))</f>
        <v/>
      </c>
      <c r="N34" s="92">
        <f>IF($Y34="","",IF(INDEX('_views'!$B:$ZZ,$Y34,5)="","",INDEX('_views'!$B:$ZZ,$Y34,5)))</f>
        <v/>
      </c>
      <c r="X34">
        <f>IFERROR(MATCH("G|"&amp;$W$15&amp;"|"&amp;$V$13&amp;"|band|7",'_views'!$A:$A,0),"")</f>
        <v/>
      </c>
      <c r="Y34">
        <f>IFERROR(MATCH("G|"&amp;$W$15&amp;"|loans|7",'_views'!$A:$A,0),"")</f>
        <v/>
      </c>
    </row>
    <row r="35" ht="16" customHeight="1">
      <c r="B35" s="91">
        <f>IF($V$16="","",IF(INDEX('_views'!$B:$ZZ,$V$16,8)="","",INDEX('_views'!$B:$ZZ,$V$16,8)))</f>
        <v/>
      </c>
      <c r="C35" s="94">
        <f>IF($X35="","",IF(INDEX('_views'!$B:$ZZ,$X35,1)="","",INDEX('_views'!$B:$ZZ,$X35,1)))</f>
        <v/>
      </c>
      <c r="D35" s="94">
        <f>IF($X35="","",IF(INDEX('_views'!$B:$ZZ,$X35,2)="","",INDEX('_views'!$B:$ZZ,$X35,2)))</f>
        <v/>
      </c>
      <c r="E35" s="94">
        <f>IF($X35="","",IF(INDEX('_views'!$B:$ZZ,$X35,3)="","",INDEX('_views'!$B:$ZZ,$X35,3)))</f>
        <v/>
      </c>
      <c r="F35" s="94">
        <f>IF($X35="","",IF(INDEX('_views'!$B:$ZZ,$X35,4)="","",INDEX('_views'!$B:$ZZ,$X35,4)))</f>
        <v/>
      </c>
      <c r="G35" s="94">
        <f>IF($X35="","",IF(INDEX('_views'!$B:$ZZ,$X35,5)="","",INDEX('_views'!$B:$ZZ,$X35,5)))</f>
        <v/>
      </c>
      <c r="I35" s="91">
        <f>IF($V$16="","",IF(INDEX('_views'!$B:$ZZ,$V$16,8)="","",INDEX('_views'!$B:$ZZ,$V$16,8)))</f>
        <v/>
      </c>
      <c r="J35" s="92">
        <f>IF($Y35="","",IF(INDEX('_views'!$B:$ZZ,$Y35,1)="","",INDEX('_views'!$B:$ZZ,$Y35,1)))</f>
        <v/>
      </c>
      <c r="K35" s="92">
        <f>IF($Y35="","",IF(INDEX('_views'!$B:$ZZ,$Y35,2)="","",INDEX('_views'!$B:$ZZ,$Y35,2)))</f>
        <v/>
      </c>
      <c r="L35" s="92">
        <f>IF($Y35="","",IF(INDEX('_views'!$B:$ZZ,$Y35,3)="","",INDEX('_views'!$B:$ZZ,$Y35,3)))</f>
        <v/>
      </c>
      <c r="M35" s="92">
        <f>IF($Y35="","",IF(INDEX('_views'!$B:$ZZ,$Y35,4)="","",INDEX('_views'!$B:$ZZ,$Y35,4)))</f>
        <v/>
      </c>
      <c r="N35" s="92">
        <f>IF($Y35="","",IF(INDEX('_views'!$B:$ZZ,$Y35,5)="","",INDEX('_views'!$B:$ZZ,$Y35,5)))</f>
        <v/>
      </c>
      <c r="X35">
        <f>IFERROR(MATCH("G|"&amp;$W$15&amp;"|"&amp;$V$13&amp;"|band|8",'_views'!$A:$A,0),"")</f>
        <v/>
      </c>
      <c r="Y35">
        <f>IFERROR(MATCH("G|"&amp;$W$15&amp;"|loans|8",'_views'!$A:$A,0),"")</f>
        <v/>
      </c>
    </row>
    <row r="37">
      <c r="B37" s="108" t="inlineStr">
        <is>
          <t>A blank: alone in its band, or fewer losses than the minimum, so not compared.</t>
        </is>
      </c>
    </row>
    <row r="39" ht="20" customHeight="1">
      <c r="B39" s="105" t="inlineStr">
        <is>
          <t>What one cell says</t>
        </is>
      </c>
      <c r="C39" s="26" t="n"/>
      <c r="D39" s="26" t="n"/>
      <c r="E39" s="26" t="n"/>
      <c r="F39" s="26" t="n"/>
      <c r="G39" s="26" t="n"/>
      <c r="H39" s="26" t="n"/>
      <c r="I39" s="26" t="n"/>
      <c r="J39" s="26" t="n"/>
      <c r="K39" s="26" t="n"/>
      <c r="L39" s="26" t="n"/>
      <c r="M39" s="26" t="n"/>
      <c r="N39" s="26" t="n"/>
      <c r="O39" s="26" t="n"/>
      <c r="P39" s="26" t="n"/>
      <c r="Q39" s="26" t="n"/>
      <c r="R39" s="26" t="n"/>
      <c r="S39" s="26" t="n"/>
      <c r="T39" s="26" t="n"/>
    </row>
    <row r="40" ht="18" customHeight="1">
      <c r="B40" s="109">
        <f>IF(OR($AF$13="",$AF$14=""),"Pick a Row and a Column above: their lists follow the Grid.",$N$13&amp;" · "&amp;$R$13&amp;", "&amp;$F$13&amp;IF(OR($J$13="",$J$13="All loans"),"",", only loans where ORIG_YEAR is "&amp;$J$13))</f>
        <v/>
      </c>
    </row>
    <row r="41" ht="18" customHeight="1">
      <c r="B41" s="110" t="inlineStr">
        <is>
          <t>Rate</t>
        </is>
      </c>
      <c r="C41" s="91">
        <f>IF(OR($AF$13="",$AF$14=""),"",IF(NOT(ISNUMBER($AF$18)),"No loans in this pocket.",IF($AF$15="","No rate: these loans have nothing to divide by for this measure.",SUBSTITUTE(SUBSTITUTE(SUBSTITUTE(SUBSTITUTE(SUBSTITUTE($AF$22,"{these}",IF($AF$18=1,"This one loan","These "&amp;TEXT($AF$18,"#,##0")&amp;" loans")),"{their}",IF($AF$18=1,"its","their")),"{r}",IF($W$13="amt",TEXT($AF$15,"#,##0.00"),IF($W$13="size",TEXT($AF$15,"$#,##0"),TEXT($AF$15,"0.00%")))),"{measure}",$F$13),"{med}",TEXT($AF$25,"$#,##0")))))</f>
        <v/>
      </c>
    </row>
    <row r="42" ht="18" customHeight="1">
      <c r="B42" s="110" t="inlineStr">
        <is>
          <t>vs the book</t>
        </is>
      </c>
      <c r="C42" s="91">
        <f>IF(OR(OR($AF$13="",$AF$14=""),NOT(ISNUMBER($AF$18))),"",IF(ISNUMBER($AF$16),SUBSTITUTE(SUBSTITUTE(SUBSTITUTE(SUBSTITUTE($AF$23,"{x}",TEXT($AF$16,"0.00")),"{pts}",TEXT(ABS($AF$16),"0.00")),"{more}",IF($AF$16&lt;0,"less","more")),"{against}","the whole book"),IF($W$13="amt",$AF$23,IF(OR($W$13="pts",$W$13="size"),"Blank: not compared.","Blank: fewer losses than the minimum ("&amp;($AF$24)&amp;" losses), so not compared."))))</f>
        <v/>
      </c>
    </row>
    <row r="43" ht="18" customHeight="1">
      <c r="B43" s="110" t="inlineStr">
        <is>
          <t>vs rest of band</t>
        </is>
      </c>
      <c r="C43" s="91">
        <f>IF(OR(OR($AF$13="",$AF$14=""),NOT(ISNUMBER($AF$18))),"",IF(ISNUMBER($AF$17),SUBSTITUTE(SUBSTITUTE(SUBSTITUTE(SUBSTITUTE($AF$23,"{x}",TEXT($AF$17,"0.00")),"{pts}",TEXT(ABS($AF$17),"0.00")),"{more}",IF($AF$17&lt;0,"less","more")),"{against}","the other loans in "&amp;($N$13)&amp;IF(AND($AF$20&gt;=1,$AF$20&lt;=3)," (the "&amp;$AF$21&amp;" loans)","")),IF($W$13="amt",$AF$23,IF($AF$20&lt;1,"Blank: alone in its band. Nothing else in "&amp;($N$13)&amp;" to compare with.",IF(OR($W$13="pts",$W$13="size"),"Blank: not compared.","Blank: fewer losses than the minimum ("&amp;($AF$24)&amp;" losses), so not compared.")))))</f>
        <v/>
      </c>
    </row>
    <row r="44" ht="18" customHeight="1">
      <c r="B44" s="110" t="inlineStr">
        <is>
          <t>Loans</t>
        </is>
      </c>
      <c r="C44" s="91">
        <f>IF(OR(OR($AF$13="",$AF$14=""),NOT(ISNUMBER($AF$18))),"",(TEXT($AF$18,"#,##0")&amp;IF($AF$18=1," loan"," loans"))&amp;"; "&amp;($N$13)&amp;" has "&amp;(TEXT($AF$19,"#,##0"))&amp;" in all.")</f>
        <v/>
      </c>
    </row>
    <row r="45" ht="18" customHeight="1">
      <c r="B45" s="110" t="inlineStr">
        <is>
          <t>The colour</t>
        </is>
      </c>
      <c r="C45" s="91">
        <f>IF(OR(OR($AF$13="",$AF$14=""),NOT(ISNUMBER($AF$18))),"",IF($W$13="amt","No colour: this figure is not compared.",IF($AF$26,"Grey: only "&amp;(TEXT($AF$18,"#,##0")&amp;IF($AF$18=1," loan"," loans"))&amp;", fewer than the "&amp;(TEXT($W$17,"#,##0"))&amp;" set on Control, so not coloured.",IF($W$13="size","No red or green: loan size is a description, not a finding. Shaded darker the bigger the loans are against the book's.","vs the book is "&amp;(IF(ISNUMBER($AF$16),IF(IFERROR(IF($W$13="pts",-$AF$16/$W$14,IF($W$13="x",LOG($AF$16,2),IF($W$13="xr",-LOG($AF$16,2),0))),0)&gt;=1.0,"deep red",IF(IFERROR(IF($W$13="pts",-$AF$16/$W$14,IF($W$13="x",LOG($AF$16,2),IF($W$13="xr",-LOG($AF$16,2),0))),0)&gt;=0.585,"red",IF(IFERROR(IF($W$13="pts",-$AF$16/$W$14,IF($W$13="x",LOG($AF$16,2),IF($W$13="xr",-LOG($AF$16,2),0))),0)&gt;=0.263,"light red",IF(IFERROR(IF($W$13="pts",-$AF$16/$W$14,IF($W$13="x",LOG($AF$16,2),IF($W$13="xr",-LOG($AF$16,2),0))),0)&lt;=-0.585,"green",IF(IFERROR(IF($W$13="pts",-$AF$16/$W$14,IF($W$13="x",LOG($AF$16,2),IF($W$13="xr",-LOG($AF$16,2),0))),0)&lt;=-0.263,"light green","pale"))))),"blank"))&amp;", vs rest of band "&amp;(IF(ISNUMBER($AF$17),IF(IFERROR(IF($W$13="pts",-$AF$17/$W$14,IF($W$13="x",LOG($AF$17,2),IF($W$13="xr",-LOG($AF$17,2),0))),0)&gt;=1.0,"deep red",IF(IFERROR(IF($W$13="pts",-$AF$17/$W$14,IF($W$13="x",LOG($AF$17,2),IF($W$13="xr",-LOG($AF$17,2),0))),0)&gt;=0.585,"red",IF(IFERROR(IF($W$13="pts",-$AF$17/$W$14,IF($W$13="x",LOG($AF$17,2),IF($W$13="xr",-LOG($AF$17,2),0))),0)&gt;=0.263,"light red",IF(IFERROR(IF($W$13="pts",-$AF$17/$W$14,IF($W$13="x",LOG($AF$17,2),IF($W$13="xr",-LOG($AF$17,2),0))),0)&lt;=-0.585,"green",IF(IFERROR(IF($W$13="pts",-$AF$17/$W$14,IF($W$13="x",LOG($AF$17,2),IF($W$13="xr",-LOG($AF$17,2),0))),0)&lt;=-0.263,"light green","pale"))))),"blank"))&amp;". Red is worse, green better, deeper a bigger gap. It is the size of the gap, not a test."))))</f>
        <v/>
      </c>
    </row>
  </sheetData>
  <mergeCells count="18">
    <mergeCell ref="C43:T43"/>
    <mergeCell ref="C6:N6"/>
    <mergeCell ref="C10:N10"/>
    <mergeCell ref="F13:H13"/>
    <mergeCell ref="J13:L13"/>
    <mergeCell ref="C5:N5"/>
    <mergeCell ref="N13:P13"/>
    <mergeCell ref="C41:T41"/>
    <mergeCell ref="R13:T13"/>
    <mergeCell ref="B40:T40"/>
    <mergeCell ref="C42:T42"/>
    <mergeCell ref="B13:D13"/>
    <mergeCell ref="C7:N7"/>
    <mergeCell ref="C8:N8"/>
    <mergeCell ref="C9:N9"/>
    <mergeCell ref="C44:T44"/>
    <mergeCell ref="C45:T45"/>
    <mergeCell ref="C4:N4"/>
  </mergeCells>
  <conditionalFormatting sqref="B17:B24">
    <cfRule type="expression" priority="1" dxfId="6">
      <formula>$B17&lt;&gt;""</formula>
    </cfRule>
  </conditionalFormatting>
  <conditionalFormatting sqref="C17:G24">
    <cfRule type="expression" priority="2" dxfId="18">
      <formula>AND($B17&lt;&gt;"",$W$13="amt")</formula>
    </cfRule>
    <cfRule type="expression" priority="3" dxfId="19">
      <formula>AND($B17&lt;&gt;"",$W$13="size")</formula>
    </cfRule>
    <cfRule type="expression" priority="4" dxfId="6">
      <formula>$B17&lt;&gt;""</formula>
    </cfRule>
  </conditionalFormatting>
  <conditionalFormatting sqref="I17:I24">
    <cfRule type="expression" priority="5" dxfId="6">
      <formula>$I17&lt;&gt;""</formula>
    </cfRule>
  </conditionalFormatting>
  <conditionalFormatting sqref="J17:N24">
    <cfRule type="expression" priority="6" dxfId="20">
      <formula>AND($I17&lt;&gt;"",AND(AND(ISNUMBER(J17),ISNUMBER(J28),ISNUMBER($W$17),J28&lt;$W$17),$W$13="pts"))</formula>
    </cfRule>
    <cfRule type="expression" priority="7" dxfId="21">
      <formula>AND($I17&lt;&gt;"",AND(ISNUMBER(J17),ISNUMBER(J28),ISNUMBER($W$17),J28&lt;$W$17))</formula>
    </cfRule>
    <cfRule type="expression" priority="8" dxfId="22">
      <formula>AND($I17&lt;&gt;"",AND(NOT(AND(ISNUMBER(J17),ISNUMBER(J28),ISNUMBER($W$17),J28&lt;$W$17)),$W$13="size",ISNUMBER(J17),J17&gt;=2.0))</formula>
    </cfRule>
    <cfRule type="expression" priority="9" dxfId="23">
      <formula>AND($I17&lt;&gt;"",AND(NOT(AND(ISNUMBER(J17),ISNUMBER(J28),ISNUMBER($W$17),J28&lt;$W$17)),$W$13="size",ISNUMBER(J17),J17&gt;=1.5))</formula>
    </cfRule>
    <cfRule type="expression" priority="10" dxfId="24">
      <formula>AND($I17&lt;&gt;"",AND(NOT(AND(ISNUMBER(J17),ISNUMBER(J28),ISNUMBER($W$17),J28&lt;$W$17)),$W$13="size",ISNUMBER(J17),J17&gt;=1.25))</formula>
    </cfRule>
    <cfRule type="expression" priority="11" dxfId="25">
      <formula>AND($I17&lt;&gt;"",AND(NOT(AND(ISNUMBER(J17),ISNUMBER(J28),ISNUMBER($W$17),J28&lt;$W$17)),$W$13="size",ISNUMBER(J17),J17&gt;=1.1))</formula>
    </cfRule>
    <cfRule type="expression" priority="12" dxfId="26">
      <formula>AND($I17&lt;&gt;"",AND(NOT(AND(ISNUMBER(J17),ISNUMBER(J28),ISNUMBER($W$17),J28&lt;$W$17)),$W$13&lt;&gt;"size",AND($W$13="pts",AND(ISNUMBER(J17),IFERROR(IF($W$13="pts",-J17/$W$14,IF($W$13="x",LOG(J17,2),IF($W$13="xr",-LOG(J17,2),0))),0)&gt;=1.0))))</formula>
    </cfRule>
    <cfRule type="expression" priority="13" dxfId="27">
      <formula>AND($I17&lt;&gt;"",AND(NOT(AND(ISNUMBER(J17),ISNUMBER(J28),ISNUMBER($W$17),J28&lt;$W$17)),$W$13&lt;&gt;"size",AND(ISNUMBER(J17),IFERROR(IF($W$13="pts",-J17/$W$14,IF($W$13="x",LOG(J17,2),IF($W$13="xr",-LOG(J17,2),0))),0)&gt;=1.0)))</formula>
    </cfRule>
    <cfRule type="expression" priority="14" dxfId="28">
      <formula>AND($I17&lt;&gt;"",AND(NOT(AND(ISNUMBER(J17),ISNUMBER(J28),ISNUMBER($W$17),J28&lt;$W$17)),$W$13&lt;&gt;"size",AND($W$13="pts",AND(ISNUMBER(J17),IFERROR(IF($W$13="pts",-J17/$W$14,IF($W$13="x",LOG(J17,2),IF($W$13="xr",-LOG(J17,2),0))),0)&gt;=0.585))))</formula>
    </cfRule>
    <cfRule type="expression" priority="15" dxfId="29">
      <formula>AND($I17&lt;&gt;"",AND(NOT(AND(ISNUMBER(J17),ISNUMBER(J28),ISNUMBER($W$17),J28&lt;$W$17)),$W$13&lt;&gt;"size",AND(ISNUMBER(J17),IFERROR(IF($W$13="pts",-J17/$W$14,IF($W$13="x",LOG(J17,2),IF($W$13="xr",-LOG(J17,2),0))),0)&gt;=0.585)))</formula>
    </cfRule>
    <cfRule type="expression" priority="16" dxfId="30">
      <formula>AND($I17&lt;&gt;"",AND(NOT(AND(ISNUMBER(J17),ISNUMBER(J28),ISNUMBER($W$17),J28&lt;$W$17)),$W$13&lt;&gt;"size",AND($W$13="pts",AND(ISNUMBER(J17),IFERROR(IF($W$13="pts",-J17/$W$14,IF($W$13="x",LOG(J17,2),IF($W$13="xr",-LOG(J17,2),0))),0)&gt;=0.263))))</formula>
    </cfRule>
    <cfRule type="expression" priority="17" dxfId="31">
      <formula>AND($I17&lt;&gt;"",AND(NOT(AND(ISNUMBER(J17),ISNUMBER(J28),ISNUMBER($W$17),J28&lt;$W$17)),$W$13&lt;&gt;"size",AND(ISNUMBER(J17),IFERROR(IF($W$13="pts",-J17/$W$14,IF($W$13="x",LOG(J17,2),IF($W$13="xr",-LOG(J17,2),0))),0)&gt;=0.263)))</formula>
    </cfRule>
    <cfRule type="expression" priority="18" dxfId="32">
      <formula>AND($I17&lt;&gt;"",AND(NOT(AND(ISNUMBER(J17),ISNUMBER(J28),ISNUMBER($W$17),J28&lt;$W$17)),$W$13&lt;&gt;"size",AND($W$13="pts",AND(ISNUMBER(J17),IFERROR(IF($W$13="pts",-J17/$W$14,IF($W$13="x",LOG(J17,2),IF($W$13="xr",-LOG(J17,2),0))),0)&lt;=-0.585))))</formula>
    </cfRule>
    <cfRule type="expression" priority="19" dxfId="33">
      <formula>AND($I17&lt;&gt;"",AND(NOT(AND(ISNUMBER(J17),ISNUMBER(J28),ISNUMBER($W$17),J28&lt;$W$17)),$W$13&lt;&gt;"size",AND(ISNUMBER(J17),IFERROR(IF($W$13="pts",-J17/$W$14,IF($W$13="x",LOG(J17,2),IF($W$13="xr",-LOG(J17,2),0))),0)&lt;=-0.585)))</formula>
    </cfRule>
    <cfRule type="expression" priority="20" dxfId="34">
      <formula>AND($I17&lt;&gt;"",AND(NOT(AND(ISNUMBER(J17),ISNUMBER(J28),ISNUMBER($W$17),J28&lt;$W$17)),$W$13&lt;&gt;"size",AND($W$13="pts",AND(ISNUMBER(J17),IFERROR(IF($W$13="pts",-J17/$W$14,IF($W$13="x",LOG(J17,2),IF($W$13="xr",-LOG(J17,2),0))),0)&lt;=-0.263))))</formula>
    </cfRule>
    <cfRule type="expression" priority="21" dxfId="35">
      <formula>AND($I17&lt;&gt;"",AND(NOT(AND(ISNUMBER(J17),ISNUMBER(J28),ISNUMBER($W$17),J28&lt;$W$17)),$W$13&lt;&gt;"size",AND(ISNUMBER(J17),IFERROR(IF($W$13="pts",-J17/$W$14,IF($W$13="x",LOG(J17,2),IF($W$13="xr",-LOG(J17,2),0))),0)&lt;=-0.263)))</formula>
    </cfRule>
    <cfRule type="expression" priority="22" dxfId="36">
      <formula>AND($I17&lt;&gt;"",AND(NOT(AND(ISNUMBER(J17),ISNUMBER(J28),ISNUMBER($W$17),J28&lt;$W$17)),$W$13&lt;&gt;"size",AND($W$13="pts",ISNUMBER(J17))))</formula>
    </cfRule>
    <cfRule type="expression" priority="23" dxfId="12">
      <formula>AND($I17&lt;&gt;"",AND(NOT(AND(ISNUMBER(J17),ISNUMBER(J28),ISNUMBER($W$17),J28&lt;$W$17)),$W$13&lt;&gt;"size",ISNUMBER(J17)))</formula>
    </cfRule>
    <cfRule type="expression" priority="24" dxfId="6">
      <formula>$I17&lt;&gt;""</formula>
    </cfRule>
  </conditionalFormatting>
  <conditionalFormatting sqref="B28:B35">
    <cfRule type="expression" priority="25" dxfId="6">
      <formula>$B28&lt;&gt;""</formula>
    </cfRule>
  </conditionalFormatting>
  <conditionalFormatting sqref="C28:G35">
    <cfRule type="expression" priority="26" dxfId="20">
      <formula>AND($B28&lt;&gt;"",AND(AND(ISNUMBER(C28),ISNUMBER(J28),ISNUMBER($W$17),J28&lt;$W$17),$W$13="pts"))</formula>
    </cfRule>
    <cfRule type="expression" priority="27" dxfId="21">
      <formula>AND($B28&lt;&gt;"",AND(ISNUMBER(C28),ISNUMBER(J28),ISNUMBER($W$17),J28&lt;$W$17))</formula>
    </cfRule>
    <cfRule type="expression" priority="28" dxfId="22">
      <formula>AND($B28&lt;&gt;"",AND(NOT(AND(ISNUMBER(C28),ISNUMBER(J28),ISNUMBER($W$17),J28&lt;$W$17)),$W$13="size",ISNUMBER(C28),C28&gt;=2.0))</formula>
    </cfRule>
    <cfRule type="expression" priority="29" dxfId="23">
      <formula>AND($B28&lt;&gt;"",AND(NOT(AND(ISNUMBER(C28),ISNUMBER(J28),ISNUMBER($W$17),J28&lt;$W$17)),$W$13="size",ISNUMBER(C28),C28&gt;=1.5))</formula>
    </cfRule>
    <cfRule type="expression" priority="30" dxfId="24">
      <formula>AND($B28&lt;&gt;"",AND(NOT(AND(ISNUMBER(C28),ISNUMBER(J28),ISNUMBER($W$17),J28&lt;$W$17)),$W$13="size",ISNUMBER(C28),C28&gt;=1.25))</formula>
    </cfRule>
    <cfRule type="expression" priority="31" dxfId="25">
      <formula>AND($B28&lt;&gt;"",AND(NOT(AND(ISNUMBER(C28),ISNUMBER(J28),ISNUMBER($W$17),J28&lt;$W$17)),$W$13="size",ISNUMBER(C28),C28&gt;=1.1))</formula>
    </cfRule>
    <cfRule type="expression" priority="32" dxfId="26">
      <formula>AND($B28&lt;&gt;"",AND(NOT(AND(ISNUMBER(C28),ISNUMBER(J28),ISNUMBER($W$17),J28&lt;$W$17)),$W$13&lt;&gt;"size",AND($W$13="pts",AND(ISNUMBER(C28),IFERROR(IF($W$13="pts",-C28/$W$14,IF($W$13="x",LOG(C28,2),IF($W$13="xr",-LOG(C28,2),0))),0)&gt;=1.0))))</formula>
    </cfRule>
    <cfRule type="expression" priority="33" dxfId="27">
      <formula>AND($B28&lt;&gt;"",AND(NOT(AND(ISNUMBER(C28),ISNUMBER(J28),ISNUMBER($W$17),J28&lt;$W$17)),$W$13&lt;&gt;"size",AND(ISNUMBER(C28),IFERROR(IF($W$13="pts",-C28/$W$14,IF($W$13="x",LOG(C28,2),IF($W$13="xr",-LOG(C28,2),0))),0)&gt;=1.0)))</formula>
    </cfRule>
    <cfRule type="expression" priority="34" dxfId="28">
      <formula>AND($B28&lt;&gt;"",AND(NOT(AND(ISNUMBER(C28),ISNUMBER(J28),ISNUMBER($W$17),J28&lt;$W$17)),$W$13&lt;&gt;"size",AND($W$13="pts",AND(ISNUMBER(C28),IFERROR(IF($W$13="pts",-C28/$W$14,IF($W$13="x",LOG(C28,2),IF($W$13="xr",-LOG(C28,2),0))),0)&gt;=0.585))))</formula>
    </cfRule>
    <cfRule type="expression" priority="35" dxfId="29">
      <formula>AND($B28&lt;&gt;"",AND(NOT(AND(ISNUMBER(C28),ISNUMBER(J28),ISNUMBER($W$17),J28&lt;$W$17)),$W$13&lt;&gt;"size",AND(ISNUMBER(C28),IFERROR(IF($W$13="pts",-C28/$W$14,IF($W$13="x",LOG(C28,2),IF($W$13="xr",-LOG(C28,2),0))),0)&gt;=0.585)))</formula>
    </cfRule>
    <cfRule type="expression" priority="36" dxfId="30">
      <formula>AND($B28&lt;&gt;"",AND(NOT(AND(ISNUMBER(C28),ISNUMBER(J28),ISNUMBER($W$17),J28&lt;$W$17)),$W$13&lt;&gt;"size",AND($W$13="pts",AND(ISNUMBER(C28),IFERROR(IF($W$13="pts",-C28/$W$14,IF($W$13="x",LOG(C28,2),IF($W$13="xr",-LOG(C28,2),0))),0)&gt;=0.263))))</formula>
    </cfRule>
    <cfRule type="expression" priority="37" dxfId="31">
      <formula>AND($B28&lt;&gt;"",AND(NOT(AND(ISNUMBER(C28),ISNUMBER(J28),ISNUMBER($W$17),J28&lt;$W$17)),$W$13&lt;&gt;"size",AND(ISNUMBER(C28),IFERROR(IF($W$13="pts",-C28/$W$14,IF($W$13="x",LOG(C28,2),IF($W$13="xr",-LOG(C28,2),0))),0)&gt;=0.263)))</formula>
    </cfRule>
    <cfRule type="expression" priority="38" dxfId="32">
      <formula>AND($B28&lt;&gt;"",AND(NOT(AND(ISNUMBER(C28),ISNUMBER(J28),ISNUMBER($W$17),J28&lt;$W$17)),$W$13&lt;&gt;"size",AND($W$13="pts",AND(ISNUMBER(C28),IFERROR(IF($W$13="pts",-C28/$W$14,IF($W$13="x",LOG(C28,2),IF($W$13="xr",-LOG(C28,2),0))),0)&lt;=-0.585))))</formula>
    </cfRule>
    <cfRule type="expression" priority="39" dxfId="33">
      <formula>AND($B28&lt;&gt;"",AND(NOT(AND(ISNUMBER(C28),ISNUMBER(J28),ISNUMBER($W$17),J28&lt;$W$17)),$W$13&lt;&gt;"size",AND(ISNUMBER(C28),IFERROR(IF($W$13="pts",-C28/$W$14,IF($W$13="x",LOG(C28,2),IF($W$13="xr",-LOG(C28,2),0))),0)&lt;=-0.585)))</formula>
    </cfRule>
    <cfRule type="expression" priority="40" dxfId="34">
      <formula>AND($B28&lt;&gt;"",AND(NOT(AND(ISNUMBER(C28),ISNUMBER(J28),ISNUMBER($W$17),J28&lt;$W$17)),$W$13&lt;&gt;"size",AND($W$13="pts",AND(ISNUMBER(C28),IFERROR(IF($W$13="pts",-C28/$W$14,IF($W$13="x",LOG(C28,2),IF($W$13="xr",-LOG(C28,2),0))),0)&lt;=-0.263))))</formula>
    </cfRule>
    <cfRule type="expression" priority="41" dxfId="35">
      <formula>AND($B28&lt;&gt;"",AND(NOT(AND(ISNUMBER(C28),ISNUMBER(J28),ISNUMBER($W$17),J28&lt;$W$17)),$W$13&lt;&gt;"size",AND(ISNUMBER(C28),IFERROR(IF($W$13="pts",-C28/$W$14,IF($W$13="x",LOG(C28,2),IF($W$13="xr",-LOG(C28,2),0))),0)&lt;=-0.263)))</formula>
    </cfRule>
    <cfRule type="expression" priority="42" dxfId="36">
      <formula>AND($B28&lt;&gt;"",AND(NOT(AND(ISNUMBER(C28),ISNUMBER(J28),ISNUMBER($W$17),J28&lt;$W$17)),$W$13&lt;&gt;"size",AND($W$13="pts",ISNUMBER(C28))))</formula>
    </cfRule>
    <cfRule type="expression" priority="43" dxfId="12">
      <formula>AND($B28&lt;&gt;"",AND(NOT(AND(ISNUMBER(C28),ISNUMBER(J28),ISNUMBER($W$17),J28&lt;$W$17)),$W$13&lt;&gt;"size",ISNUMBER(C28)))</formula>
    </cfRule>
    <cfRule type="expression" priority="44" dxfId="6">
      <formula>$B28&lt;&gt;""</formula>
    </cfRule>
  </conditionalFormatting>
  <conditionalFormatting sqref="I28:I35">
    <cfRule type="expression" priority="45" dxfId="6">
      <formula>$I28&lt;&gt;""</formula>
    </cfRule>
  </conditionalFormatting>
  <conditionalFormatting sqref="J28:N35">
    <cfRule type="expression" priority="46" dxfId="22">
      <formula>AND($I28&lt;&gt;"",AND(ISNUMBER(J28),NOT(OR($I28="All",J$27="All")),J28/IF($V$18="","",IF(INDEX('_views'!$B:$ZZ,$V$18,1)="","",INDEX('_views'!$B:$ZZ,$V$18,1)))&gt;=0.2))</formula>
    </cfRule>
    <cfRule type="expression" priority="47" dxfId="23">
      <formula>AND($I28&lt;&gt;"",AND(ISNUMBER(J28),NOT(OR($I28="All",J$27="All")),J28/IF($V$18="","",IF(INDEX('_views'!$B:$ZZ,$V$18,1)="","",INDEX('_views'!$B:$ZZ,$V$18,1)))&gt;=0.1))</formula>
    </cfRule>
    <cfRule type="expression" priority="48" dxfId="24">
      <formula>AND($I28&lt;&gt;"",AND(ISNUMBER(J28),NOT(OR($I28="All",J$27="All")),J28/IF($V$18="","",IF(INDEX('_views'!$B:$ZZ,$V$18,1)="","",INDEX('_views'!$B:$ZZ,$V$18,1)))&gt;=0.05))</formula>
    </cfRule>
    <cfRule type="expression" priority="49" dxfId="25">
      <formula>AND($I28&lt;&gt;"",AND(ISNUMBER(J28),NOT(OR($I28="All",J$27="All")),J28/IF($V$18="","",IF(INDEX('_views'!$B:$ZZ,$V$18,1)="","",INDEX('_views'!$B:$ZZ,$V$18,1)))&gt;=0.02))</formula>
    </cfRule>
    <cfRule type="expression" priority="50" dxfId="6">
      <formula>$I28&lt;&gt;""</formula>
    </cfRule>
  </conditionalFormatting>
  <dataValidations count="5">
    <dataValidation sqref="B13" showDropDown="0" showInputMessage="0" showErrorMessage="1" allowBlank="0" errorTitle="Grid" error="Pick one from the list." type="list">
      <formula1>='_choices'!$H$2:$H$5</formula1>
    </dataValidation>
    <dataValidation sqref="F13" showDropDown="0" showInputMessage="0" showErrorMessage="1" allowBlank="0" errorTitle="Measure" error="Pick one from the list." type="list">
      <formula1>='_choices'!$I$2:$I$7</formula1>
    </dataValidation>
    <dataValidation sqref="J13" showDropDown="0" showInputMessage="0" showErrorMessage="1" allowBlank="0" errorTitle="Only loans where ORIG_YEAR is" error="Pick one from the list." type="list">
      <formula1>='_choices'!$M$2:$M$8</formula1>
    </dataValidation>
    <dataValidation sqref="N13" showDropDown="0" showInputMessage="0" showErrorMessage="1" allowBlank="0" errorTitle="Row" error="Pick one from the list." type="list">
      <formula1>=OFFSET($AC$13,0,0,MAX(1,$AE$13),1)</formula1>
    </dataValidation>
    <dataValidation sqref="R13" showDropDown="0" showInputMessage="0" showErrorMessage="1" allowBlank="0" errorTitle="Column" error="Pick one from the list." type="list">
      <formula1>=OFFSET($AD$13,0,0,MAX(1,$AE$14),1)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Q25"/>
  <sheetViews>
    <sheetView showGridLines="0" tabSelected="0" workbookViewId="0">
      <pane ySplit="17" topLeftCell="A18" activePane="bottomLeft" state="frozen"/>
      <selection pane="bottomLeft" activeCell="A1" sqref="A1"/>
    </sheetView>
  </sheetViews>
  <sheetFormatPr baseColWidth="8" defaultRowHeight="15"/>
  <cols>
    <col width="2" customWidth="1" min="1" max="1"/>
    <col width="19"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hidden="1" width="13" customWidth="1" min="17" max="17"/>
  </cols>
  <sheetData>
    <row r="1" ht="30" customHeight="1">
      <c r="B1" s="1" t="inlineStr">
        <is>
          <t>Summary</t>
        </is>
      </c>
      <c r="C1" s="2" t="inlineStr">
        <is>
          <t>One band column at a time: loans, bad loans, booked, charge-offs and RANR, band by band.</t>
        </is>
      </c>
      <c r="D1" s="3" t="n"/>
      <c r="E1" s="3" t="n"/>
      <c r="F1" s="3" t="n"/>
      <c r="G1" s="3" t="n"/>
      <c r="H1" s="3" t="n"/>
      <c r="I1" s="3" t="n"/>
      <c r="J1" s="3" t="n"/>
      <c r="K1" s="3" t="n"/>
      <c r="L1" s="3" t="n"/>
      <c r="M1" s="3" t="n"/>
      <c r="N1" s="3" t="n"/>
      <c r="O1" s="3" t="n"/>
    </row>
    <row r="3" outlineLevel="1">
      <c r="B3" s="4" t="inlineStr">
        <is>
          <t>How this tab works</t>
        </is>
      </c>
      <c r="C3" s="5" t="n"/>
      <c r="D3" s="5" t="n"/>
      <c r="E3" s="5" t="n"/>
      <c r="F3" s="5" t="n"/>
      <c r="G3" s="5" t="n"/>
      <c r="H3" s="5" t="n"/>
      <c r="I3" s="5" t="n"/>
      <c r="J3" s="5" t="n"/>
      <c r="K3" s="5" t="n"/>
      <c r="L3" s="5" t="n"/>
      <c r="M3" s="5" t="n"/>
      <c r="N3" s="5" t="n"/>
      <c r="O3" s="5" t="n"/>
    </row>
    <row r="4" outlineLevel="1" ht="17" customHeight="1">
      <c r="B4" s="6" t="inlineStr">
        <is>
          <t>What it is</t>
        </is>
      </c>
      <c r="C4" s="7" t="inlineStr">
        <is>
          <t>Pick a band column. Its bands run down the side, then any loans it couldn't place, then All. Every figure is counted or divided from the loans. Nothing is tested.</t>
        </is>
      </c>
    </row>
    <row r="5" outlineLevel="1" ht="17" customHeight="1">
      <c r="B5" s="6" t="inlineStr">
        <is>
          <t>Loans</t>
        </is>
      </c>
      <c r="C5" s="7" t="inlineStr">
        <is>
          <t>How many loans are in the band, and its share of all of them. The shares add to 100%.</t>
        </is>
      </c>
    </row>
    <row r="6" outlineLevel="1" ht="17" customHeight="1">
      <c r="B6" s="6" t="inlineStr">
        <is>
          <t>Bad loans</t>
        </is>
      </c>
      <c r="C6" s="7" t="inlineStr">
        <is>
          <t>How many loans went bad (BAD_FLAG). Bad loans % is that over the band's loans whose outcome reads yes or no: the Bad loans rate on Grids.</t>
        </is>
      </c>
    </row>
    <row r="7" outlineLevel="1" ht="17" customHeight="1">
      <c r="B7" s="6" t="inlineStr">
        <is>
          <t>Booked $</t>
        </is>
      </c>
      <c r="C7" s="7" t="inlineStr">
        <is>
          <t>The band's ORIG_BAL, and its share of the book's.</t>
        </is>
      </c>
    </row>
    <row r="8" outlineLevel="1" ht="17" customHeight="1">
      <c r="B8" s="6" t="inlineStr">
        <is>
          <t>Charged off $</t>
        </is>
      </c>
      <c r="C8" s="7" t="inlineStr">
        <is>
          <t>The band's GCO_AMT. Charge-off rate is that over its booked dollars: the Charge-offs rate on Grids. A loan missing either amount is left out of both.</t>
        </is>
      </c>
    </row>
    <row r="9" outlineLevel="1" ht="17" customHeight="1">
      <c r="B9" s="6" t="inlineStr">
        <is>
          <t>× book</t>
        </is>
      </c>
      <c r="C9" s="7" t="inlineStr">
        <is>
          <t>The band's charge-off rate over the whole book's. 2.00× charges off twice as much per booked dollar.</t>
        </is>
      </c>
    </row>
    <row r="10" outlineLevel="1" ht="17" customHeight="1">
      <c r="B10" s="6" t="inlineStr">
        <is>
          <t>RANR $</t>
        </is>
      </c>
      <c r="C10" s="7" t="inlineStr">
        <is>
          <t>The band's RANR_AMT, and that over its booked dollars. A share of RANR can pass 100% or go below zero when some bands lose money.</t>
        </is>
      </c>
    </row>
    <row r="11" outlineLevel="1" ht="17" customHeight="1">
      <c r="B11" s="6" t="inlineStr">
        <is>
          <t>Only loans where</t>
        </is>
      </c>
      <c r="C11" s="7" t="inlineStr">
        <is>
          <t>Pick a value of ORIG_YEAR to see only its loans. The shares are of those loans. × book is still against the whole book. ORIG_YEAR is the year in ORIG_DATE; (no date) holds the loans without a readable date.</t>
        </is>
      </c>
    </row>
    <row r="12" outlineLevel="1" ht="17" customHeight="1">
      <c r="B12" s="6" t="inlineStr">
        <is>
          <t>Shading</t>
        </is>
      </c>
      <c r="C12" s="7" t="inlineStr">
        <is>
          <t>The All row is shaded light grey. Nothing else is coloured. Everything here is as of the last Run.</t>
        </is>
      </c>
    </row>
    <row r="14">
      <c r="B14" s="88" t="inlineStr">
        <is>
          <t>BAND COLUMN</t>
        </is>
      </c>
      <c r="D14" s="88" t="inlineStr">
        <is>
          <t>ONLY LOANS WHERE ORIG_YEAR IS</t>
        </is>
      </c>
    </row>
    <row r="15" ht="20" customHeight="1">
      <c r="B15" s="32" t="inlineStr">
        <is>
          <t>FICO</t>
        </is>
      </c>
      <c r="D15" s="32" t="inlineStr">
        <is>
          <t>All loans</t>
        </is>
      </c>
      <c r="E15" s="104" t="n"/>
      <c r="F15" s="97" t="n"/>
      <c r="Q15">
        <f>$B$15&amp;IF(OR($D$15="",$D$15="All loans"),"","|where "&amp;$D$15)</f>
        <v/>
      </c>
    </row>
    <row r="17" ht="28" customHeight="1">
      <c r="B17" s="111">
        <f>$B$15</f>
        <v/>
      </c>
      <c r="C17" s="112" t="inlineStr">
        <is>
          <t>Loans</t>
        </is>
      </c>
      <c r="D17" s="112" t="inlineStr">
        <is>
          <t>% of loans</t>
        </is>
      </c>
      <c r="E17" s="112" t="inlineStr">
        <is>
          <t>Bad loans</t>
        </is>
      </c>
      <c r="F17" s="112" t="inlineStr">
        <is>
          <t>Bad loans %</t>
        </is>
      </c>
      <c r="G17" s="112" t="inlineStr">
        <is>
          <t>Booked $</t>
        </is>
      </c>
      <c r="H17" s="112" t="inlineStr">
        <is>
          <t>% of booked</t>
        </is>
      </c>
      <c r="I17" s="112" t="inlineStr">
        <is>
          <t>Charged off $</t>
        </is>
      </c>
      <c r="J17" s="112" t="inlineStr">
        <is>
          <t>Charge-off rate</t>
        </is>
      </c>
      <c r="K17" s="112" t="inlineStr">
        <is>
          <t>× book</t>
        </is>
      </c>
      <c r="L17" s="112" t="inlineStr">
        <is>
          <t>% of charge-offs</t>
        </is>
      </c>
      <c r="M17" s="112" t="inlineStr">
        <is>
          <t>RANR $</t>
        </is>
      </c>
      <c r="N17" s="112" t="inlineStr">
        <is>
          <t>RANR rate</t>
        </is>
      </c>
      <c r="O17" s="112" t="inlineStr">
        <is>
          <t>% of RANR</t>
        </is>
      </c>
    </row>
    <row r="18" ht="16" customHeight="1">
      <c r="B18" s="91">
        <f>IF($Q18="","",IF(INDEX('_views'!$B:$ZZ,$Q18,1)="","",INDEX('_views'!$B:$ZZ,$Q18,1)))</f>
        <v/>
      </c>
      <c r="C18" s="92">
        <f>IF($Q18="","",IF(INDEX('_views'!$B:$ZZ,$Q18,2)="","",INDEX('_views'!$B:$ZZ,$Q18,2)))</f>
        <v/>
      </c>
      <c r="D18" s="113">
        <f>IF($Q18="","",IF(INDEX('_views'!$B:$ZZ,$Q18,3)="","",INDEX('_views'!$B:$ZZ,$Q18,3)))</f>
        <v/>
      </c>
      <c r="E18" s="92">
        <f>IF($Q18="","",IF(INDEX('_views'!$B:$ZZ,$Q18,4)="","",INDEX('_views'!$B:$ZZ,$Q18,4)))</f>
        <v/>
      </c>
      <c r="F18" s="93">
        <f>IF($Q18="","",IF(INDEX('_views'!$B:$ZZ,$Q18,5)="","",INDEX('_views'!$B:$ZZ,$Q18,5)))</f>
        <v/>
      </c>
      <c r="G18" s="114">
        <f>IF($Q18="","",IF(INDEX('_views'!$B:$ZZ,$Q18,6)="","",INDEX('_views'!$B:$ZZ,$Q18,6)))</f>
        <v/>
      </c>
      <c r="H18" s="113">
        <f>IF($Q18="","",IF(INDEX('_views'!$B:$ZZ,$Q18,7)="","",INDEX('_views'!$B:$ZZ,$Q18,7)))</f>
        <v/>
      </c>
      <c r="I18" s="114">
        <f>IF($Q18="","",IF(INDEX('_views'!$B:$ZZ,$Q18,8)="","",INDEX('_views'!$B:$ZZ,$Q18,8)))</f>
        <v/>
      </c>
      <c r="J18" s="93">
        <f>IF($Q18="","",IF(INDEX('_views'!$B:$ZZ,$Q18,9)="","",INDEX('_views'!$B:$ZZ,$Q18,9)))</f>
        <v/>
      </c>
      <c r="K18" s="94">
        <f>IF($Q18="","",IF(INDEX('_views'!$B:$ZZ,$Q18,10)="","",INDEX('_views'!$B:$ZZ,$Q18,10)))</f>
        <v/>
      </c>
      <c r="L18" s="113">
        <f>IF($Q18="","",IF(INDEX('_views'!$B:$ZZ,$Q18,11)="","",INDEX('_views'!$B:$ZZ,$Q18,11)))</f>
        <v/>
      </c>
      <c r="M18" s="114">
        <f>IF($Q18="","",IF(INDEX('_views'!$B:$ZZ,$Q18,12)="","",INDEX('_views'!$B:$ZZ,$Q18,12)))</f>
        <v/>
      </c>
      <c r="N18" s="93">
        <f>IF($Q18="","",IF(INDEX('_views'!$B:$ZZ,$Q18,13)="","",INDEX('_views'!$B:$ZZ,$Q18,13)))</f>
        <v/>
      </c>
      <c r="O18" s="113">
        <f>IF($Q18="","",IF(INDEX('_views'!$B:$ZZ,$Q18,14)="","",INDEX('_views'!$B:$ZZ,$Q18,14)))</f>
        <v/>
      </c>
      <c r="Q18">
        <f>IFERROR(MATCH("S|"&amp;$Q$15&amp;"|1",'_views'!$A:$A,0),"")</f>
        <v/>
      </c>
    </row>
    <row r="19" ht="16" customHeight="1">
      <c r="B19" s="91">
        <f>IF($Q19="","",IF(INDEX('_views'!$B:$ZZ,$Q19,1)="","",INDEX('_views'!$B:$ZZ,$Q19,1)))</f>
        <v/>
      </c>
      <c r="C19" s="92">
        <f>IF($Q19="","",IF(INDEX('_views'!$B:$ZZ,$Q19,2)="","",INDEX('_views'!$B:$ZZ,$Q19,2)))</f>
        <v/>
      </c>
      <c r="D19" s="113">
        <f>IF($Q19="","",IF(INDEX('_views'!$B:$ZZ,$Q19,3)="","",INDEX('_views'!$B:$ZZ,$Q19,3)))</f>
        <v/>
      </c>
      <c r="E19" s="92">
        <f>IF($Q19="","",IF(INDEX('_views'!$B:$ZZ,$Q19,4)="","",INDEX('_views'!$B:$ZZ,$Q19,4)))</f>
        <v/>
      </c>
      <c r="F19" s="93">
        <f>IF($Q19="","",IF(INDEX('_views'!$B:$ZZ,$Q19,5)="","",INDEX('_views'!$B:$ZZ,$Q19,5)))</f>
        <v/>
      </c>
      <c r="G19" s="114">
        <f>IF($Q19="","",IF(INDEX('_views'!$B:$ZZ,$Q19,6)="","",INDEX('_views'!$B:$ZZ,$Q19,6)))</f>
        <v/>
      </c>
      <c r="H19" s="113">
        <f>IF($Q19="","",IF(INDEX('_views'!$B:$ZZ,$Q19,7)="","",INDEX('_views'!$B:$ZZ,$Q19,7)))</f>
        <v/>
      </c>
      <c r="I19" s="114">
        <f>IF($Q19="","",IF(INDEX('_views'!$B:$ZZ,$Q19,8)="","",INDEX('_views'!$B:$ZZ,$Q19,8)))</f>
        <v/>
      </c>
      <c r="J19" s="93">
        <f>IF($Q19="","",IF(INDEX('_views'!$B:$ZZ,$Q19,9)="","",INDEX('_views'!$B:$ZZ,$Q19,9)))</f>
        <v/>
      </c>
      <c r="K19" s="94">
        <f>IF($Q19="","",IF(INDEX('_views'!$B:$ZZ,$Q19,10)="","",INDEX('_views'!$B:$ZZ,$Q19,10)))</f>
        <v/>
      </c>
      <c r="L19" s="113">
        <f>IF($Q19="","",IF(INDEX('_views'!$B:$ZZ,$Q19,11)="","",INDEX('_views'!$B:$ZZ,$Q19,11)))</f>
        <v/>
      </c>
      <c r="M19" s="114">
        <f>IF($Q19="","",IF(INDEX('_views'!$B:$ZZ,$Q19,12)="","",INDEX('_views'!$B:$ZZ,$Q19,12)))</f>
        <v/>
      </c>
      <c r="N19" s="93">
        <f>IF($Q19="","",IF(INDEX('_views'!$B:$ZZ,$Q19,13)="","",INDEX('_views'!$B:$ZZ,$Q19,13)))</f>
        <v/>
      </c>
      <c r="O19" s="113">
        <f>IF($Q19="","",IF(INDEX('_views'!$B:$ZZ,$Q19,14)="","",INDEX('_views'!$B:$ZZ,$Q19,14)))</f>
        <v/>
      </c>
      <c r="Q19">
        <f>IFERROR(MATCH("S|"&amp;$Q$15&amp;"|2",'_views'!$A:$A,0),"")</f>
        <v/>
      </c>
    </row>
    <row r="20" ht="16" customHeight="1">
      <c r="B20" s="91">
        <f>IF($Q20="","",IF(INDEX('_views'!$B:$ZZ,$Q20,1)="","",INDEX('_views'!$B:$ZZ,$Q20,1)))</f>
        <v/>
      </c>
      <c r="C20" s="92">
        <f>IF($Q20="","",IF(INDEX('_views'!$B:$ZZ,$Q20,2)="","",INDEX('_views'!$B:$ZZ,$Q20,2)))</f>
        <v/>
      </c>
      <c r="D20" s="113">
        <f>IF($Q20="","",IF(INDEX('_views'!$B:$ZZ,$Q20,3)="","",INDEX('_views'!$B:$ZZ,$Q20,3)))</f>
        <v/>
      </c>
      <c r="E20" s="92">
        <f>IF($Q20="","",IF(INDEX('_views'!$B:$ZZ,$Q20,4)="","",INDEX('_views'!$B:$ZZ,$Q20,4)))</f>
        <v/>
      </c>
      <c r="F20" s="93">
        <f>IF($Q20="","",IF(INDEX('_views'!$B:$ZZ,$Q20,5)="","",INDEX('_views'!$B:$ZZ,$Q20,5)))</f>
        <v/>
      </c>
      <c r="G20" s="114">
        <f>IF($Q20="","",IF(INDEX('_views'!$B:$ZZ,$Q20,6)="","",INDEX('_views'!$B:$ZZ,$Q20,6)))</f>
        <v/>
      </c>
      <c r="H20" s="113">
        <f>IF($Q20="","",IF(INDEX('_views'!$B:$ZZ,$Q20,7)="","",INDEX('_views'!$B:$ZZ,$Q20,7)))</f>
        <v/>
      </c>
      <c r="I20" s="114">
        <f>IF($Q20="","",IF(INDEX('_views'!$B:$ZZ,$Q20,8)="","",INDEX('_views'!$B:$ZZ,$Q20,8)))</f>
        <v/>
      </c>
      <c r="J20" s="93">
        <f>IF($Q20="","",IF(INDEX('_views'!$B:$ZZ,$Q20,9)="","",INDEX('_views'!$B:$ZZ,$Q20,9)))</f>
        <v/>
      </c>
      <c r="K20" s="94">
        <f>IF($Q20="","",IF(INDEX('_views'!$B:$ZZ,$Q20,10)="","",INDEX('_views'!$B:$ZZ,$Q20,10)))</f>
        <v/>
      </c>
      <c r="L20" s="113">
        <f>IF($Q20="","",IF(INDEX('_views'!$B:$ZZ,$Q20,11)="","",INDEX('_views'!$B:$ZZ,$Q20,11)))</f>
        <v/>
      </c>
      <c r="M20" s="114">
        <f>IF($Q20="","",IF(INDEX('_views'!$B:$ZZ,$Q20,12)="","",INDEX('_views'!$B:$ZZ,$Q20,12)))</f>
        <v/>
      </c>
      <c r="N20" s="93">
        <f>IF($Q20="","",IF(INDEX('_views'!$B:$ZZ,$Q20,13)="","",INDEX('_views'!$B:$ZZ,$Q20,13)))</f>
        <v/>
      </c>
      <c r="O20" s="113">
        <f>IF($Q20="","",IF(INDEX('_views'!$B:$ZZ,$Q20,14)="","",INDEX('_views'!$B:$ZZ,$Q20,14)))</f>
        <v/>
      </c>
      <c r="Q20">
        <f>IFERROR(MATCH("S|"&amp;$Q$15&amp;"|3",'_views'!$A:$A,0),"")</f>
        <v/>
      </c>
    </row>
    <row r="21" ht="16" customHeight="1">
      <c r="B21" s="91">
        <f>IF($Q21="","",IF(INDEX('_views'!$B:$ZZ,$Q21,1)="","",INDEX('_views'!$B:$ZZ,$Q21,1)))</f>
        <v/>
      </c>
      <c r="C21" s="92">
        <f>IF($Q21="","",IF(INDEX('_views'!$B:$ZZ,$Q21,2)="","",INDEX('_views'!$B:$ZZ,$Q21,2)))</f>
        <v/>
      </c>
      <c r="D21" s="113">
        <f>IF($Q21="","",IF(INDEX('_views'!$B:$ZZ,$Q21,3)="","",INDEX('_views'!$B:$ZZ,$Q21,3)))</f>
        <v/>
      </c>
      <c r="E21" s="92">
        <f>IF($Q21="","",IF(INDEX('_views'!$B:$ZZ,$Q21,4)="","",INDEX('_views'!$B:$ZZ,$Q21,4)))</f>
        <v/>
      </c>
      <c r="F21" s="93">
        <f>IF($Q21="","",IF(INDEX('_views'!$B:$ZZ,$Q21,5)="","",INDEX('_views'!$B:$ZZ,$Q21,5)))</f>
        <v/>
      </c>
      <c r="G21" s="114">
        <f>IF($Q21="","",IF(INDEX('_views'!$B:$ZZ,$Q21,6)="","",INDEX('_views'!$B:$ZZ,$Q21,6)))</f>
        <v/>
      </c>
      <c r="H21" s="113">
        <f>IF($Q21="","",IF(INDEX('_views'!$B:$ZZ,$Q21,7)="","",INDEX('_views'!$B:$ZZ,$Q21,7)))</f>
        <v/>
      </c>
      <c r="I21" s="114">
        <f>IF($Q21="","",IF(INDEX('_views'!$B:$ZZ,$Q21,8)="","",INDEX('_views'!$B:$ZZ,$Q21,8)))</f>
        <v/>
      </c>
      <c r="J21" s="93">
        <f>IF($Q21="","",IF(INDEX('_views'!$B:$ZZ,$Q21,9)="","",INDEX('_views'!$B:$ZZ,$Q21,9)))</f>
        <v/>
      </c>
      <c r="K21" s="94">
        <f>IF($Q21="","",IF(INDEX('_views'!$B:$ZZ,$Q21,10)="","",INDEX('_views'!$B:$ZZ,$Q21,10)))</f>
        <v/>
      </c>
      <c r="L21" s="113">
        <f>IF($Q21="","",IF(INDEX('_views'!$B:$ZZ,$Q21,11)="","",INDEX('_views'!$B:$ZZ,$Q21,11)))</f>
        <v/>
      </c>
      <c r="M21" s="114">
        <f>IF($Q21="","",IF(INDEX('_views'!$B:$ZZ,$Q21,12)="","",INDEX('_views'!$B:$ZZ,$Q21,12)))</f>
        <v/>
      </c>
      <c r="N21" s="93">
        <f>IF($Q21="","",IF(INDEX('_views'!$B:$ZZ,$Q21,13)="","",INDEX('_views'!$B:$ZZ,$Q21,13)))</f>
        <v/>
      </c>
      <c r="O21" s="113">
        <f>IF($Q21="","",IF(INDEX('_views'!$B:$ZZ,$Q21,14)="","",INDEX('_views'!$B:$ZZ,$Q21,14)))</f>
        <v/>
      </c>
      <c r="Q21">
        <f>IFERROR(MATCH("S|"&amp;$Q$15&amp;"|4",'_views'!$A:$A,0),"")</f>
        <v/>
      </c>
    </row>
    <row r="22" ht="16" customHeight="1">
      <c r="B22" s="91">
        <f>IF($Q22="","",IF(INDEX('_views'!$B:$ZZ,$Q22,1)="","",INDEX('_views'!$B:$ZZ,$Q22,1)))</f>
        <v/>
      </c>
      <c r="C22" s="92">
        <f>IF($Q22="","",IF(INDEX('_views'!$B:$ZZ,$Q22,2)="","",INDEX('_views'!$B:$ZZ,$Q22,2)))</f>
        <v/>
      </c>
      <c r="D22" s="113">
        <f>IF($Q22="","",IF(INDEX('_views'!$B:$ZZ,$Q22,3)="","",INDEX('_views'!$B:$ZZ,$Q22,3)))</f>
        <v/>
      </c>
      <c r="E22" s="92">
        <f>IF($Q22="","",IF(INDEX('_views'!$B:$ZZ,$Q22,4)="","",INDEX('_views'!$B:$ZZ,$Q22,4)))</f>
        <v/>
      </c>
      <c r="F22" s="93">
        <f>IF($Q22="","",IF(INDEX('_views'!$B:$ZZ,$Q22,5)="","",INDEX('_views'!$B:$ZZ,$Q22,5)))</f>
        <v/>
      </c>
      <c r="G22" s="114">
        <f>IF($Q22="","",IF(INDEX('_views'!$B:$ZZ,$Q22,6)="","",INDEX('_views'!$B:$ZZ,$Q22,6)))</f>
        <v/>
      </c>
      <c r="H22" s="113">
        <f>IF($Q22="","",IF(INDEX('_views'!$B:$ZZ,$Q22,7)="","",INDEX('_views'!$B:$ZZ,$Q22,7)))</f>
        <v/>
      </c>
      <c r="I22" s="114">
        <f>IF($Q22="","",IF(INDEX('_views'!$B:$ZZ,$Q22,8)="","",INDEX('_views'!$B:$ZZ,$Q22,8)))</f>
        <v/>
      </c>
      <c r="J22" s="93">
        <f>IF($Q22="","",IF(INDEX('_views'!$B:$ZZ,$Q22,9)="","",INDEX('_views'!$B:$ZZ,$Q22,9)))</f>
        <v/>
      </c>
      <c r="K22" s="94">
        <f>IF($Q22="","",IF(INDEX('_views'!$B:$ZZ,$Q22,10)="","",INDEX('_views'!$B:$ZZ,$Q22,10)))</f>
        <v/>
      </c>
      <c r="L22" s="113">
        <f>IF($Q22="","",IF(INDEX('_views'!$B:$ZZ,$Q22,11)="","",INDEX('_views'!$B:$ZZ,$Q22,11)))</f>
        <v/>
      </c>
      <c r="M22" s="114">
        <f>IF($Q22="","",IF(INDEX('_views'!$B:$ZZ,$Q22,12)="","",INDEX('_views'!$B:$ZZ,$Q22,12)))</f>
        <v/>
      </c>
      <c r="N22" s="93">
        <f>IF($Q22="","",IF(INDEX('_views'!$B:$ZZ,$Q22,13)="","",INDEX('_views'!$B:$ZZ,$Q22,13)))</f>
        <v/>
      </c>
      <c r="O22" s="113">
        <f>IF($Q22="","",IF(INDEX('_views'!$B:$ZZ,$Q22,14)="","",INDEX('_views'!$B:$ZZ,$Q22,14)))</f>
        <v/>
      </c>
      <c r="Q22">
        <f>IFERROR(MATCH("S|"&amp;$Q$15&amp;"|5",'_views'!$A:$A,0),"")</f>
        <v/>
      </c>
    </row>
    <row r="23" ht="16" customHeight="1">
      <c r="B23" s="91">
        <f>IF($Q23="","",IF(INDEX('_views'!$B:$ZZ,$Q23,1)="","",INDEX('_views'!$B:$ZZ,$Q23,1)))</f>
        <v/>
      </c>
      <c r="C23" s="92">
        <f>IF($Q23="","",IF(INDEX('_views'!$B:$ZZ,$Q23,2)="","",INDEX('_views'!$B:$ZZ,$Q23,2)))</f>
        <v/>
      </c>
      <c r="D23" s="113">
        <f>IF($Q23="","",IF(INDEX('_views'!$B:$ZZ,$Q23,3)="","",INDEX('_views'!$B:$ZZ,$Q23,3)))</f>
        <v/>
      </c>
      <c r="E23" s="92">
        <f>IF($Q23="","",IF(INDEX('_views'!$B:$ZZ,$Q23,4)="","",INDEX('_views'!$B:$ZZ,$Q23,4)))</f>
        <v/>
      </c>
      <c r="F23" s="93">
        <f>IF($Q23="","",IF(INDEX('_views'!$B:$ZZ,$Q23,5)="","",INDEX('_views'!$B:$ZZ,$Q23,5)))</f>
        <v/>
      </c>
      <c r="G23" s="114">
        <f>IF($Q23="","",IF(INDEX('_views'!$B:$ZZ,$Q23,6)="","",INDEX('_views'!$B:$ZZ,$Q23,6)))</f>
        <v/>
      </c>
      <c r="H23" s="113">
        <f>IF($Q23="","",IF(INDEX('_views'!$B:$ZZ,$Q23,7)="","",INDEX('_views'!$B:$ZZ,$Q23,7)))</f>
        <v/>
      </c>
      <c r="I23" s="114">
        <f>IF($Q23="","",IF(INDEX('_views'!$B:$ZZ,$Q23,8)="","",INDEX('_views'!$B:$ZZ,$Q23,8)))</f>
        <v/>
      </c>
      <c r="J23" s="93">
        <f>IF($Q23="","",IF(INDEX('_views'!$B:$ZZ,$Q23,9)="","",INDEX('_views'!$B:$ZZ,$Q23,9)))</f>
        <v/>
      </c>
      <c r="K23" s="94">
        <f>IF($Q23="","",IF(INDEX('_views'!$B:$ZZ,$Q23,10)="","",INDEX('_views'!$B:$ZZ,$Q23,10)))</f>
        <v/>
      </c>
      <c r="L23" s="113">
        <f>IF($Q23="","",IF(INDEX('_views'!$B:$ZZ,$Q23,11)="","",INDEX('_views'!$B:$ZZ,$Q23,11)))</f>
        <v/>
      </c>
      <c r="M23" s="114">
        <f>IF($Q23="","",IF(INDEX('_views'!$B:$ZZ,$Q23,12)="","",INDEX('_views'!$B:$ZZ,$Q23,12)))</f>
        <v/>
      </c>
      <c r="N23" s="93">
        <f>IF($Q23="","",IF(INDEX('_views'!$B:$ZZ,$Q23,13)="","",INDEX('_views'!$B:$ZZ,$Q23,13)))</f>
        <v/>
      </c>
      <c r="O23" s="113">
        <f>IF($Q23="","",IF(INDEX('_views'!$B:$ZZ,$Q23,14)="","",INDEX('_views'!$B:$ZZ,$Q23,14)))</f>
        <v/>
      </c>
      <c r="Q23">
        <f>IFERROR(MATCH("S|"&amp;$Q$15&amp;"|6",'_views'!$A:$A,0),"")</f>
        <v/>
      </c>
    </row>
    <row r="24" ht="16" customHeight="1">
      <c r="B24" s="91">
        <f>IF($Q24="","",IF(INDEX('_views'!$B:$ZZ,$Q24,1)="","",INDEX('_views'!$B:$ZZ,$Q24,1)))</f>
        <v/>
      </c>
      <c r="C24" s="92">
        <f>IF($Q24="","",IF(INDEX('_views'!$B:$ZZ,$Q24,2)="","",INDEX('_views'!$B:$ZZ,$Q24,2)))</f>
        <v/>
      </c>
      <c r="D24" s="113">
        <f>IF($Q24="","",IF(INDEX('_views'!$B:$ZZ,$Q24,3)="","",INDEX('_views'!$B:$ZZ,$Q24,3)))</f>
        <v/>
      </c>
      <c r="E24" s="92">
        <f>IF($Q24="","",IF(INDEX('_views'!$B:$ZZ,$Q24,4)="","",INDEX('_views'!$B:$ZZ,$Q24,4)))</f>
        <v/>
      </c>
      <c r="F24" s="93">
        <f>IF($Q24="","",IF(INDEX('_views'!$B:$ZZ,$Q24,5)="","",INDEX('_views'!$B:$ZZ,$Q24,5)))</f>
        <v/>
      </c>
      <c r="G24" s="114">
        <f>IF($Q24="","",IF(INDEX('_views'!$B:$ZZ,$Q24,6)="","",INDEX('_views'!$B:$ZZ,$Q24,6)))</f>
        <v/>
      </c>
      <c r="H24" s="113">
        <f>IF($Q24="","",IF(INDEX('_views'!$B:$ZZ,$Q24,7)="","",INDEX('_views'!$B:$ZZ,$Q24,7)))</f>
        <v/>
      </c>
      <c r="I24" s="114">
        <f>IF($Q24="","",IF(INDEX('_views'!$B:$ZZ,$Q24,8)="","",INDEX('_views'!$B:$ZZ,$Q24,8)))</f>
        <v/>
      </c>
      <c r="J24" s="93">
        <f>IF($Q24="","",IF(INDEX('_views'!$B:$ZZ,$Q24,9)="","",INDEX('_views'!$B:$ZZ,$Q24,9)))</f>
        <v/>
      </c>
      <c r="K24" s="94">
        <f>IF($Q24="","",IF(INDEX('_views'!$B:$ZZ,$Q24,10)="","",INDEX('_views'!$B:$ZZ,$Q24,10)))</f>
        <v/>
      </c>
      <c r="L24" s="113">
        <f>IF($Q24="","",IF(INDEX('_views'!$B:$ZZ,$Q24,11)="","",INDEX('_views'!$B:$ZZ,$Q24,11)))</f>
        <v/>
      </c>
      <c r="M24" s="114">
        <f>IF($Q24="","",IF(INDEX('_views'!$B:$ZZ,$Q24,12)="","",INDEX('_views'!$B:$ZZ,$Q24,12)))</f>
        <v/>
      </c>
      <c r="N24" s="93">
        <f>IF($Q24="","",IF(INDEX('_views'!$B:$ZZ,$Q24,13)="","",INDEX('_views'!$B:$ZZ,$Q24,13)))</f>
        <v/>
      </c>
      <c r="O24" s="113">
        <f>IF($Q24="","",IF(INDEX('_views'!$B:$ZZ,$Q24,14)="","",INDEX('_views'!$B:$ZZ,$Q24,14)))</f>
        <v/>
      </c>
      <c r="Q24">
        <f>IFERROR(MATCH("S|"&amp;$Q$15&amp;"|7",'_views'!$A:$A,0),"")</f>
        <v/>
      </c>
    </row>
    <row r="25" ht="16" customHeight="1">
      <c r="B25" s="91">
        <f>IF($Q25="","",IF(INDEX('_views'!$B:$ZZ,$Q25,1)="","",INDEX('_views'!$B:$ZZ,$Q25,1)))</f>
        <v/>
      </c>
      <c r="C25" s="92">
        <f>IF($Q25="","",IF(INDEX('_views'!$B:$ZZ,$Q25,2)="","",INDEX('_views'!$B:$ZZ,$Q25,2)))</f>
        <v/>
      </c>
      <c r="D25" s="113">
        <f>IF($Q25="","",IF(INDEX('_views'!$B:$ZZ,$Q25,3)="","",INDEX('_views'!$B:$ZZ,$Q25,3)))</f>
        <v/>
      </c>
      <c r="E25" s="92">
        <f>IF($Q25="","",IF(INDEX('_views'!$B:$ZZ,$Q25,4)="","",INDEX('_views'!$B:$ZZ,$Q25,4)))</f>
        <v/>
      </c>
      <c r="F25" s="93">
        <f>IF($Q25="","",IF(INDEX('_views'!$B:$ZZ,$Q25,5)="","",INDEX('_views'!$B:$ZZ,$Q25,5)))</f>
        <v/>
      </c>
      <c r="G25" s="114">
        <f>IF($Q25="","",IF(INDEX('_views'!$B:$ZZ,$Q25,6)="","",INDEX('_views'!$B:$ZZ,$Q25,6)))</f>
        <v/>
      </c>
      <c r="H25" s="113">
        <f>IF($Q25="","",IF(INDEX('_views'!$B:$ZZ,$Q25,7)="","",INDEX('_views'!$B:$ZZ,$Q25,7)))</f>
        <v/>
      </c>
      <c r="I25" s="114">
        <f>IF($Q25="","",IF(INDEX('_views'!$B:$ZZ,$Q25,8)="","",INDEX('_views'!$B:$ZZ,$Q25,8)))</f>
        <v/>
      </c>
      <c r="J25" s="93">
        <f>IF($Q25="","",IF(INDEX('_views'!$B:$ZZ,$Q25,9)="","",INDEX('_views'!$B:$ZZ,$Q25,9)))</f>
        <v/>
      </c>
      <c r="K25" s="94">
        <f>IF($Q25="","",IF(INDEX('_views'!$B:$ZZ,$Q25,10)="","",INDEX('_views'!$B:$ZZ,$Q25,10)))</f>
        <v/>
      </c>
      <c r="L25" s="113">
        <f>IF($Q25="","",IF(INDEX('_views'!$B:$ZZ,$Q25,11)="","",INDEX('_views'!$B:$ZZ,$Q25,11)))</f>
        <v/>
      </c>
      <c r="M25" s="114">
        <f>IF($Q25="","",IF(INDEX('_views'!$B:$ZZ,$Q25,12)="","",INDEX('_views'!$B:$ZZ,$Q25,12)))</f>
        <v/>
      </c>
      <c r="N25" s="93">
        <f>IF($Q25="","",IF(INDEX('_views'!$B:$ZZ,$Q25,13)="","",INDEX('_views'!$B:$ZZ,$Q25,13)))</f>
        <v/>
      </c>
      <c r="O25" s="113">
        <f>IF($Q25="","",IF(INDEX('_views'!$B:$ZZ,$Q25,14)="","",INDEX('_views'!$B:$ZZ,$Q25,14)))</f>
        <v/>
      </c>
      <c r="Q25">
        <f>IFERROR(MATCH("S|"&amp;$Q$15&amp;"|8",'_views'!$A:$A,0),"")</f>
        <v/>
      </c>
    </row>
  </sheetData>
  <mergeCells count="10">
    <mergeCell ref="C5:O5"/>
    <mergeCell ref="C9:O9"/>
    <mergeCell ref="C8:O8"/>
    <mergeCell ref="C4:O4"/>
    <mergeCell ref="C12:O12"/>
    <mergeCell ref="D15:F15"/>
    <mergeCell ref="C7:O7"/>
    <mergeCell ref="C11:O11"/>
    <mergeCell ref="C6:O6"/>
    <mergeCell ref="C10:O10"/>
  </mergeCells>
  <conditionalFormatting sqref="B18:O25">
    <cfRule type="expression" priority="1" dxfId="37">
      <formula>AND($B18&lt;&gt;"",$B18="All")</formula>
    </cfRule>
    <cfRule type="expression" priority="2" dxfId="6">
      <formula>$B18&lt;&gt;""</formula>
    </cfRule>
  </conditionalFormatting>
  <dataValidations count="2">
    <dataValidation sqref="B15" showDropDown="0" showInputMessage="0" showErrorMessage="1" allowBlank="0" errorTitle="Band column" error="Pick one from the list." type="list">
      <formula1>='_choices'!$N$2:$N$3</formula1>
    </dataValidation>
    <dataValidation sqref="D15" showDropDown="0" showInputMessage="0" showErrorMessage="1" allowBlank="0" errorTitle="Only loans where ORIG_YEAR is" error="Pick one from the list." type="list">
      <formula1>='_choices'!$O$2:$O$8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68"/>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115" t="inlineStr">
        <is>
          <t>Record</t>
        </is>
      </c>
      <c r="C1" s="116" t="inlineStr">
        <is>
          <t>What ran, whether it adds up, what was left out, and every Run. For the reviewer.</t>
        </is>
      </c>
      <c r="D1" s="117" t="n"/>
      <c r="E1" s="117" t="n"/>
      <c r="F1" s="117" t="n"/>
      <c r="G1" s="11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118" t="inlineStr">
        <is>
          <t>This Run</t>
        </is>
      </c>
      <c r="C8" s="119" t="n"/>
      <c r="E8" s="118" t="inlineStr">
        <is>
          <t>Settings</t>
        </is>
      </c>
      <c r="F8" s="119" t="n"/>
      <c r="G8" s="119" t="n"/>
      <c r="K8" t="inlineStr">
        <is>
          <t>pair|this|settings</t>
        </is>
      </c>
    </row>
    <row r="9" ht="18" customHeight="1">
      <c r="B9" s="120" t="inlineStr">
        <is>
          <t>Item</t>
        </is>
      </c>
      <c r="C9" s="120" t="inlineStr">
        <is>
          <t>Detail</t>
        </is>
      </c>
      <c r="E9" s="120" t="inlineStr">
        <is>
          <t>Setting</t>
        </is>
      </c>
      <c r="F9" s="121" t="inlineStr">
        <is>
          <t>In use now</t>
        </is>
      </c>
      <c r="G9" s="121" t="inlineStr">
        <is>
          <t>Last Run used</t>
        </is>
      </c>
    </row>
    <row r="10" ht="32" customHeight="1">
      <c r="B10" s="122" t="inlineStr">
        <is>
          <t>Extract</t>
        </is>
      </c>
      <c r="C10" s="123" t="inlineStr">
        <is>
          <t>Summary book.csv</t>
        </is>
      </c>
      <c r="E10" s="122" t="inlineStr">
        <is>
          <t>How many bands a number column is cut into</t>
        </is>
      </c>
      <c r="F10" s="124">
        <f>IF(AND(Control!$D$26&lt;&gt;"",Control!$D$26&lt;&gt;"n/a"),Control!$D$26,IFERROR(INDEX(_options!$G:$G,MATCH(Control!$G$26&amp;"|"&amp;Control!$C$26,_options!$A:$A,0)),Control!$C$26&amp;""))</f>
        <v/>
      </c>
      <c r="G10" s="125" t="inlineStr">
        <is>
          <t>5 bands</t>
        </is>
      </c>
      <c r="K10" t="inlineStr">
        <is>
          <t>row|this|settings</t>
        </is>
      </c>
      <c r="L10">
        <f>IF(Control!$H$26="↻ Waiting for a Run",1,0)</f>
        <v/>
      </c>
    </row>
    <row r="11" ht="18" customHeight="1">
      <c r="B11" s="122" t="inlineStr">
        <is>
          <t>Loans run</t>
        </is>
      </c>
      <c r="C11" s="123" t="inlineStr">
        <is>
          <t>8,000</t>
        </is>
      </c>
      <c r="E11" s="122" t="inlineStr">
        <is>
          <t>Where the band edges fall</t>
        </is>
      </c>
      <c r="F11" s="124">
        <f>IF(AND(Control!$D$27&lt;&gt;"",Control!$D$27&lt;&gt;"n/a"),Control!$D$27,IFERROR(INDEX(_options!$G:$G,MATCH(Control!$G$27&amp;"|"&amp;Control!$C$27,_options!$A:$A,0)),Control!$C$27&amp;""))</f>
        <v/>
      </c>
      <c r="G11" s="125" t="inlineStr">
        <is>
          <t>Each band holds about the same number of loans</t>
        </is>
      </c>
      <c r="K11" t="inlineStr">
        <is>
          <t>row|this|settings</t>
        </is>
      </c>
      <c r="L11">
        <f>IF(Control!$H$27="↻ Waiting for a Run",1,0)</f>
        <v/>
      </c>
    </row>
    <row r="12" ht="46" customHeight="1">
      <c r="B12" s="122" t="inlineStr">
        <is>
          <t>What was run</t>
        </is>
      </c>
      <c r="C12" s="123" t="inlineStr">
        <is>
          <t>Where the book bleeds</t>
        </is>
      </c>
      <c r="E12" s="122" t="inlineStr">
        <is>
          <t>Fewest loans in a pocket for the usual test (smaller ones get the exact test)</t>
        </is>
      </c>
      <c r="F12" s="124">
        <f>IF(AND(Control!$D$24&lt;&gt;"",Control!$D$24&lt;&gt;"n/a"),Control!$D$24,IFERROR(INDEX(_options!$G:$G,MATCH(Control!$G$24&amp;"|"&amp;Control!$C$24,_options!$A:$A,0)),Control!$C$24&amp;""))</f>
        <v/>
      </c>
      <c r="G12" s="125" t="inlineStr">
        <is>
          <t>30 loans</t>
        </is>
      </c>
      <c r="K12" t="inlineStr">
        <is>
          <t>row|this|settings</t>
        </is>
      </c>
      <c r="L12">
        <f>IF(Control!$H$24="↻ Waiting for a Run",1,0)</f>
        <v/>
      </c>
    </row>
    <row r="13" ht="32" customHeight="1">
      <c r="B13" s="122" t="inlineStr">
        <is>
          <t>Record of this run</t>
        </is>
      </c>
      <c r="C13" s="123" t="inlineStr">
        <is>
          <t>Summary book - PocketBook - what ran.yaml, beside this workbook: every setting the run used, kept for the file.</t>
        </is>
      </c>
      <c r="E13" s="122" t="inlineStr">
        <is>
          <t>Fewest loans with a loss before a loss rate is tested</t>
        </is>
      </c>
      <c r="F13" s="124">
        <f>IF(AND(Control!$D$25&lt;&gt;"",Control!$D$25&lt;&gt;"n/a"),Control!$D$25,IFERROR(INDEX(_options!$G:$G,MATCH(Control!$G$25&amp;"|"&amp;Control!$C$25,_options!$A:$A,0)),Control!$C$25&amp;""))</f>
        <v/>
      </c>
      <c r="G13" s="125" t="inlineStr">
        <is>
          <t>10 losses</t>
        </is>
      </c>
      <c r="K13" t="inlineStr">
        <is>
          <t>row|this|settings</t>
        </is>
      </c>
      <c r="L13">
        <f>IF(Control!$H$25="↻ Waiting for a Run",1,0)</f>
        <v/>
      </c>
    </row>
    <row r="14" ht="18" customHeight="1">
      <c r="B14" s="122" t="n"/>
      <c r="C14" s="123" t="inlineStr">
        <is>
          <t>It is replaced by the next Run.</t>
        </is>
      </c>
      <c r="E14" s="122" t="inlineStr">
        <is>
          <t>Smallest excess loss worth reporting</t>
        </is>
      </c>
      <c r="F14" s="124">
        <f>'_live'!$E$10</f>
        <v/>
      </c>
      <c r="G14" s="125" t="inlineStr">
        <is>
          <t>1.0% of the book's GCO, $107,354</t>
        </is>
      </c>
      <c r="K14" t="inlineStr">
        <is>
          <t>row|this|settings</t>
        </is>
      </c>
      <c r="L14">
        <f>IF('_live'!$E$10&lt;&gt;'_live'!$F$10,1,0)</f>
        <v/>
      </c>
      <c r="M14" t="inlineStr">
        <is>
          <t>sp</t>
        </is>
      </c>
    </row>
    <row r="15" ht="18" customHeight="1">
      <c r="B15" s="122" t="inlineStr">
        <is>
          <t>Origination dates</t>
        </is>
      </c>
      <c r="C15" s="123" t="inlineStr">
        <is>
          <t>2021-06-30 to 2026-03-30 (8,000 loans; 0 without a readable date)</t>
        </is>
      </c>
      <c r="E15" s="122" t="inlineStr">
        <is>
          <t>What a pocket is judged against</t>
        </is>
      </c>
      <c r="F15" s="124">
        <f>'_live'!$E$9</f>
        <v/>
      </c>
      <c r="G15" s="125" t="inlineStr">
        <is>
          <t>the rest of its band</t>
        </is>
      </c>
      <c r="K15" t="inlineStr">
        <is>
          <t>row|this|settings</t>
        </is>
      </c>
      <c r="L15">
        <f>IF('_live'!$E$9&lt;&gt;'_live'!$F$9,1,0)</f>
        <v/>
      </c>
    </row>
    <row r="16" ht="32" customHeight="1">
      <c r="B16" s="122" t="inlineStr">
        <is>
          <t>Band edges used: FICO</t>
        </is>
      </c>
      <c r="C16" s="123" t="inlineStr">
        <is>
          <t>654; 686; 712; 746  (5 bands)</t>
        </is>
      </c>
      <c r="E16" s="122" t="inlineStr">
        <is>
          <t>How much worse than its comparison a pocket must be</t>
        </is>
      </c>
      <c r="F16" s="124">
        <f>'_live'!$E$5</f>
        <v/>
      </c>
      <c r="G16" s="125" t="inlineStr">
        <is>
          <t>worse at 1.25x</t>
        </is>
      </c>
      <c r="K16" t="inlineStr">
        <is>
          <t>row|this|settings</t>
        </is>
      </c>
      <c r="L16">
        <f>IF('_live'!$E$5&lt;&gt;'_live'!$F$5,1,0)</f>
        <v/>
      </c>
    </row>
    <row r="17" ht="32" customHeight="1">
      <c r="B17" s="122" t="inlineStr">
        <is>
          <t>Band edges used: REV_DEBT</t>
        </is>
      </c>
      <c r="C17" s="123" t="inlineStr">
        <is>
          <t>6,559; 9,837; 13,052; 17,187  (5 bands)</t>
        </is>
      </c>
      <c r="E17" s="122" t="inlineStr">
        <is>
          <t>How much better than its comparison a pocket must be</t>
        </is>
      </c>
      <c r="F17" s="124">
        <f>'_live'!$E$6</f>
        <v/>
      </c>
      <c r="G17" s="125" t="inlineStr">
        <is>
          <t>better at 0.80x</t>
        </is>
      </c>
      <c r="K17" t="inlineStr">
        <is>
          <t>row|this|settings</t>
        </is>
      </c>
      <c r="L17">
        <f>IF('_live'!$E$6&lt;&gt;'_live'!$F$6,1,0)</f>
        <v/>
      </c>
    </row>
    <row r="18" ht="32" customHeight="1">
      <c r="E18" s="122" t="inlineStr">
        <is>
          <t>How far profit must move before it counts as more or less</t>
        </is>
      </c>
      <c r="F18" s="124">
        <f>'_live'!$E$13</f>
        <v/>
      </c>
      <c r="G18" s="125" t="inlineStr">
        <is>
          <t>each pocket's own test</t>
        </is>
      </c>
      <c r="K18" t="inlineStr">
        <is>
          <t>row|this|settings</t>
        </is>
      </c>
      <c r="L18">
        <f>IF('_live'!$E$13&lt;&gt;'_live'!$F$13,1,0)</f>
        <v/>
      </c>
    </row>
    <row r="19" ht="32" customHeight="1">
      <c r="E19" s="122" t="inlineStr">
        <is>
          <t>How sure a difference must be before it counts</t>
        </is>
      </c>
      <c r="F19" s="124">
        <f>'_live'!$E$7</f>
        <v/>
      </c>
      <c r="G19" s="125" t="inlineStr">
        <is>
          <t>95% sure</t>
        </is>
      </c>
      <c r="K19" t="inlineStr">
        <is>
          <t>row|this|settings</t>
        </is>
      </c>
      <c r="L19">
        <f>IF('_live'!$E$7&lt;&gt;'_live'!$F$7,1,0)</f>
        <v/>
      </c>
    </row>
    <row r="20" ht="18" customHeight="1">
      <c r="E20" s="122" t="inlineStr">
        <is>
          <t>How often a real gap should be caught</t>
        </is>
      </c>
      <c r="F20" s="124">
        <f>IF(AND(Control!$D$28&lt;&gt;"",Control!$D$28&lt;&gt;"n/a"),Control!$D$28,IFERROR(INDEX(_options!$G:$G,MATCH(Control!$G$28&amp;"|"&amp;Control!$C$28,_options!$A:$A,0)),Control!$C$28&amp;""))</f>
        <v/>
      </c>
      <c r="G20" s="125" t="inlineStr">
        <is>
          <t>80% of the time</t>
        </is>
      </c>
      <c r="K20" t="inlineStr">
        <is>
          <t>row|this|settings</t>
        </is>
      </c>
      <c r="L20">
        <f>IF(Control!$H$28="↻ Waiting for a Run",1,0)</f>
        <v/>
      </c>
    </row>
    <row r="21" ht="32" customHeight="1">
      <c r="B21" s="126" t="n"/>
      <c r="C21" s="126" t="n"/>
      <c r="E21" s="127" t="inlineStr">
        <is>
          <t>Allowing for testing many pockets at once</t>
        </is>
      </c>
      <c r="F21" s="128">
        <f>IF(AND(Control!$D$29&lt;&gt;"",Control!$D$29&lt;&gt;"n/a"),Control!$D$29,IFERROR(INDEX(_options!$G:$G,MATCH(Control!$G$29&amp;"|"&amp;Control!$C$29,_options!$A:$A,0)),Control!$C$29&amp;""))</f>
        <v/>
      </c>
      <c r="G21" s="129" t="inlineStr">
        <is>
          <t>Hold down the share of false finds (Benjamini-Hochberg)</t>
        </is>
      </c>
      <c r="K21" t="inlineStr">
        <is>
          <t>row|this|settings</t>
        </is>
      </c>
      <c r="L21">
        <f>IF(Control!$H$29="↻ Waiting for a Run",1,0)</f>
        <v/>
      </c>
    </row>
    <row r="23" ht="24" customHeight="1">
      <c r="B23" s="118" t="inlineStr">
        <is>
          <t>Does it add up</t>
        </is>
      </c>
      <c r="C23" s="119" t="n"/>
      <c r="E23" s="118" t="inlineStr">
        <is>
          <t>Tests used</t>
        </is>
      </c>
      <c r="F23" s="119" t="n"/>
      <c r="G23" s="119" t="n"/>
      <c r="K23" t="inlineStr">
        <is>
          <t>pair|adds|tests</t>
        </is>
      </c>
    </row>
    <row r="24" ht="18" customHeight="1">
      <c r="B24" s="120" t="inlineStr">
        <is>
          <t>Check</t>
        </is>
      </c>
      <c r="C24" s="120" t="inlineStr">
        <is>
          <t>Result</t>
        </is>
      </c>
      <c r="E24" s="120" t="inlineStr">
        <is>
          <t>Where</t>
        </is>
      </c>
      <c r="F24" s="120" t="inlineStr">
        <is>
          <t>Test</t>
        </is>
      </c>
      <c r="G24" s="130" t="n"/>
    </row>
    <row r="25" ht="32" customHeight="1">
      <c r="B25" s="122" t="inlineStr">
        <is>
          <t>Tie-out checks</t>
        </is>
      </c>
      <c r="C25" s="123" t="inlineStr">
        <is>
          <t>108: every grid adds up to the book</t>
        </is>
      </c>
      <c r="E25" s="122" t="inlineStr">
        <is>
          <t>Borderline now: Bad dollars</t>
        </is>
      </c>
      <c r="F25" s="123">
        <f>COUNTIFS('_pockets'!$A$4:$A$1048576,"grids",'_pockets'!$E$4:$E$1048576,"outcome_booked",'_pockets'!$AM$4:$AM$1048576,"?*")&amp;" of 79 pockets on the grids have a borderline verdict ("&amp;COUNTIFS('_pockets'!$A$4:$A$1048576,"grids",'_pockets'!$E$4:$E$1048576,"outcome_booked",'_pockets'!$AN$4:$AN$1048576,"?*")&amp;" on Worse?)."</f>
        <v/>
      </c>
      <c r="G25" s="63" t="n"/>
      <c r="K25" t="inlineStr">
        <is>
          <t>row|adds|tests</t>
        </is>
      </c>
    </row>
    <row r="26" ht="18" customHeight="1">
      <c r="B26" s="122" t="inlineStr">
        <is>
          <t>Worse now: Bad loans</t>
        </is>
      </c>
      <c r="C26" s="123">
        <f>COUNTIFS('_pockets'!$A$4:$A$1048576,"grids",'_pockets'!$E$4:$E$1048576,"outcome_loans",'_pockets'!$Y$4:$Y$1048576,"worse")&amp;" of 79 pockets on the grids read worse; "&amp;COUNTIFS('_pockets'!$A$4:$A$1048576,"grids",'_pockets'!$E$4:$E$1048576,"outcome_loans",'_pockets'!$Y$4:$Y$1048576,"worse",'_pockets'!$AA$4:$AA$1048576,"yes")&amp;" of them are material."</f>
        <v/>
      </c>
      <c r="E26" s="122" t="inlineStr">
        <is>
          <t>Borderline now: Charge-offs</t>
        </is>
      </c>
      <c r="F26" s="123">
        <f>COUNTIFS('_pockets'!$A$4:$A$1048576,"grids",'_pockets'!$E$4:$E$1048576,"gco_rate",'_pockets'!$AM$4:$AM$1048576,"?*")&amp;" of 79 pockets on the grids have a borderline verdict ("&amp;COUNTIFS('_pockets'!$A$4:$A$1048576,"grids",'_pockets'!$E$4:$E$1048576,"gco_rate",'_pockets'!$AN$4:$AN$1048576,"?*")&amp;" on Worse?)."</f>
        <v/>
      </c>
      <c r="G26" s="63" t="n"/>
      <c r="K26" t="inlineStr">
        <is>
          <t>row|adds|tests</t>
        </is>
      </c>
    </row>
    <row r="27" ht="32" customHeight="1">
      <c r="B27" s="122" t="inlineStr">
        <is>
          <t>Worse now: Bad dollars</t>
        </is>
      </c>
      <c r="C27" s="123">
        <f>COUNTIFS('_pockets'!$A$4:$A$1048576,"grids",'_pockets'!$E$4:$E$1048576,"outcome_booked",'_pockets'!$Y$4:$Y$1048576,"worse")&amp;" of 79 pockets on the grids read worse; "&amp;COUNTIFS('_pockets'!$A$4:$A$1048576,"grids",'_pockets'!$E$4:$E$1048576,"outcome_booked",'_pockets'!$Y$4:$Y$1048576,"worse",'_pockets'!$AA$4:$AA$1048576,"yes")&amp;" of them are material."</f>
        <v/>
      </c>
      <c r="E27" s="122" t="inlineStr">
        <is>
          <t>Borderline now: Kept after losses</t>
        </is>
      </c>
      <c r="F27" s="123">
        <f>COUNTIFS('_pockets'!$A$4:$A$1048576,"grids",'_pockets'!$E$4:$E$1048576,"ranr_rate",'_pockets'!$AM$4:$AM$1048576,"?*")&amp;" of 79 pockets on the grids have a borderline verdict ("&amp;COUNTIFS('_pockets'!$A$4:$A$1048576,"grids",'_pockets'!$E$4:$E$1048576,"ranr_rate",'_pockets'!$AN$4:$AN$1048576,"?*")&amp;" on Worse?)."</f>
        <v/>
      </c>
      <c r="G27" s="63" t="n"/>
      <c r="K27" t="inlineStr">
        <is>
          <t>row|adds|tests</t>
        </is>
      </c>
    </row>
    <row r="28" ht="32" customHeight="1">
      <c r="B28" s="122" t="inlineStr">
        <is>
          <t>Worse now: Charge-offs</t>
        </is>
      </c>
      <c r="C28" s="123">
        <f>COUNTIFS('_pockets'!$A$4:$A$1048576,"grids",'_pockets'!$E$4:$E$1048576,"gco_rate",'_pockets'!$Y$4:$Y$1048576,"worse")&amp;" of 79 pockets on the grids read worse; "&amp;COUNTIFS('_pockets'!$A$4:$A$1048576,"grids",'_pockets'!$E$4:$E$1048576,"gco_rate",'_pockets'!$Y$4:$Y$1048576,"worse",'_pockets'!$AA$4:$AA$1048576,"yes")&amp;" of them are material."</f>
        <v/>
      </c>
      <c r="E28" s="122" t="inlineStr">
        <is>
          <t>Borderline now: Earned before losses</t>
        </is>
      </c>
      <c r="F28" s="123">
        <f>COUNTIFS('_pockets'!$A$4:$A$1048576,"grids",'_pockets'!$E$4:$E$1048576,"contribution_rate",'_pockets'!$AM$4:$AM$1048576,"?*")&amp;" of 79 pockets on the grids have a borderline verdict ("&amp;COUNTIFS('_pockets'!$A$4:$A$1048576,"grids",'_pockets'!$E$4:$E$1048576,"contribution_rate",'_pockets'!$AN$4:$AN$1048576,"?*")&amp;" on Worse?)."</f>
        <v/>
      </c>
      <c r="G28" s="63" t="n"/>
      <c r="K28" t="inlineStr">
        <is>
          <t>row|adds|tests</t>
        </is>
      </c>
    </row>
    <row r="29" ht="18" customHeight="1">
      <c r="B29" s="122" t="inlineStr">
        <is>
          <t>Worse now: Kept after losses</t>
        </is>
      </c>
      <c r="C29" s="123">
        <f>COUNTIFS('_pockets'!$A$4:$A$1048576,"grids",'_pockets'!$E$4:$E$1048576,"ranr_rate",'_pockets'!$Y$4:$Y$1048576,"worse")&amp;" of 79 pockets on the grids read worse; "&amp;COUNTIFS('_pockets'!$A$4:$A$1048576,"grids",'_pockets'!$E$4:$E$1048576,"ranr_rate",'_pockets'!$Y$4:$Y$1048576,"worse",'_pockets'!$AA$4:$AA$1048576,"yes")&amp;" of them are material."</f>
        <v/>
      </c>
      <c r="E29" s="122" t="inlineStr">
        <is>
          <t>Tests</t>
        </is>
      </c>
      <c r="F29" s="123" t="inlineStr">
        <is>
          <t>Outcome, share of loans: the z test, pooled, for a pocket of 30 loans or more, and the exact test</t>
        </is>
      </c>
      <c r="G29" s="63" t="n"/>
      <c r="K29" t="inlineStr">
        <is>
          <t>row|adds|tests</t>
        </is>
      </c>
    </row>
    <row r="30" ht="32" customHeight="1">
      <c r="B30" s="122" t="inlineStr">
        <is>
          <t>Worse now: Earned before losses</t>
        </is>
      </c>
      <c r="C30" s="123">
        <f>COUNTIFS('_pockets'!$A$4:$A$1048576,"grids",'_pockets'!$E$4:$E$1048576,"contribution_rate",'_pockets'!$Y$4:$Y$1048576,"worse")&amp;" of 79 pockets on the grids read worse; "&amp;COUNTIFS('_pockets'!$A$4:$A$1048576,"grids",'_pockets'!$E$4:$E$1048576,"contribution_rate",'_pockets'!$Y$4:$Y$1048576,"worse",'_pockets'!$AA$4:$AA$1048576,"yes")&amp;" of them are material."</f>
        <v/>
      </c>
      <c r="E30" s="122" t="n"/>
      <c r="F30" s="123" t="inlineStr">
        <is>
          <t>(Fisher's) below that. Every dollar rate: the loans are shuffled 200 times, within the band for the rest</t>
        </is>
      </c>
      <c r="G30" s="63" t="n"/>
      <c r="K30" t="inlineStr">
        <is>
          <t>row|adds|tests</t>
        </is>
      </c>
      <c r="N30" t="inlineStr">
        <is>
          <t>sp</t>
        </is>
      </c>
    </row>
    <row r="31" ht="32" customHeight="1">
      <c r="B31" s="122" t="inlineStr">
        <is>
          <t>Loans needed for a 1.25x gap: Bad loans</t>
        </is>
      </c>
      <c r="C31" s="123" t="inlineStr">
        <is>
          <t>about 2,296</t>
        </is>
      </c>
      <c r="E31" s="122" t="n"/>
      <c r="F31" s="123" t="inlineStr">
        <is>
          <t>of its band, and its p-value is how often a shuffle made a gap as big. Profit and contribution are</t>
        </is>
      </c>
      <c r="G31" s="63" t="n"/>
      <c r="K31" t="inlineStr">
        <is>
          <t>row|adds|tests</t>
        </is>
      </c>
      <c r="N31" t="inlineStr">
        <is>
          <t>sp</t>
        </is>
      </c>
    </row>
    <row r="32" ht="32" customHeight="1">
      <c r="B32" s="122" t="inlineStr">
        <is>
          <t>Loans needed for a 1.25x gap: Bad dollars</t>
        </is>
      </c>
      <c r="C32" s="123" t="inlineStr">
        <is>
          <t>about 2,027</t>
        </is>
      </c>
      <c r="E32" s="122" t="n"/>
      <c r="F32" s="123" t="inlineStr">
        <is>
          <t>compared as a gap in points, never a multiple. The split's odds: Cochran-Mantel-Haenszel, which asks</t>
        </is>
      </c>
      <c r="G32" s="63" t="n"/>
      <c r="K32" t="inlineStr">
        <is>
          <t>row|adds|tests</t>
        </is>
      </c>
      <c r="N32" t="inlineStr">
        <is>
          <t>sp</t>
        </is>
      </c>
    </row>
    <row r="33" ht="32" customHeight="1">
      <c r="B33" s="122" t="inlineStr">
        <is>
          <t>Loans needed for a 1.25x gap: Charge-offs</t>
        </is>
      </c>
      <c r="C33" s="123" t="inlineStr">
        <is>
          <t>about 2,169</t>
        </is>
      </c>
      <c r="E33" s="122" t="n"/>
      <c r="F33" s="123" t="inlineStr">
        <is>
          <t>whether an odds ratio this far from 1 could come from shuffling loans within their pockets. It has no</t>
        </is>
      </c>
      <c r="G33" s="63" t="n"/>
      <c r="K33" t="inlineStr">
        <is>
          <t>row|adds|tests</t>
        </is>
      </c>
      <c r="N33" t="inlineStr">
        <is>
          <t>sp</t>
        </is>
      </c>
    </row>
    <row r="34" ht="32" customHeight="1">
      <c r="B34" s="122" t="inlineStr">
        <is>
          <t>Smallest gap a typical pocket could show: Kept after losses</t>
        </is>
      </c>
      <c r="C34" s="123" t="inlineStr">
        <is>
          <t>2.87 points either way (the median over the pockets; caught 80% of the time at 95% sure)</t>
        </is>
      </c>
      <c r="E34" s="122" t="n"/>
      <c r="F34" s="123" t="inlineStr">
        <is>
          <t>continuity correction: nothing is taken off the gap between actual and expected before it is squared.</t>
        </is>
      </c>
      <c r="G34" s="63" t="n"/>
      <c r="K34" t="inlineStr">
        <is>
          <t>row|adds|tests</t>
        </is>
      </c>
      <c r="N34" t="inlineStr">
        <is>
          <t>sp</t>
        </is>
      </c>
    </row>
    <row r="35" ht="32" customHeight="1">
      <c r="B35" s="122" t="inlineStr">
        <is>
          <t>Smallest gap a typical pocket could show: Earned before losses</t>
        </is>
      </c>
      <c r="C35" s="123" t="inlineStr">
        <is>
          <t>1.89 points either way (the median over the pockets; caught 80% of the time at 95% sure)</t>
        </is>
      </c>
      <c r="E35" s="122" t="inlineStr">
        <is>
          <t>p-value</t>
        </is>
      </c>
      <c r="F35" s="123">
        <f>"The chance of a gap at least this big if there were no real difference, after the allowance for many tests. Below "&amp;TEXT(significance_bar,"0%")&amp;" is significant, at "&amp;TEXT(confidence,"0%")&amp;" sure. Two-sided: a gap either way counts."</f>
        <v/>
      </c>
      <c r="G35" s="63" t="n"/>
      <c r="K35" t="inlineStr">
        <is>
          <t>row|adds|tests</t>
        </is>
      </c>
    </row>
    <row r="36" ht="88" customHeight="1">
      <c r="B36" s="122" t="inlineStr">
        <is>
          <t>Materiality line: Bad loans</t>
        </is>
      </c>
      <c r="C36" s="123">
        <f>IF('_live'!$C$20="","no line: the dollar line on Control is a GCO amount",TEXT('_live'!$C$20,"#,##0.0")&amp;" loans")</f>
        <v/>
      </c>
      <c r="E36" s="122" t="inlineStr">
        <is>
          <t>Borderline</t>
        </is>
      </c>
      <c r="F36" s="123">
        <f>"A verdict is borderline when the p-value that decides it came from shuffling and sits within 2 of its own standard errors of the "&amp;TEXT(significance_bar,"0%")&amp;" bar, either side, so another run of the shuffles could read it the other way. The standard error is the square root of p (1 - p) / shuffles, times what the allowance for many tests multiplied the p-value by. The tabs add ""borderline (p 0.048)"" to th"&amp;"e verdict; its colour, order and counts stay the verdict's. The z test and the exact test give the same p-value on every run, so they are never borderline."</f>
        <v/>
      </c>
      <c r="G36" s="63" t="n"/>
      <c r="K36" t="inlineStr">
        <is>
          <t>row|adds|tests</t>
        </is>
      </c>
    </row>
    <row r="37" ht="32" customHeight="1">
      <c r="B37" s="122" t="inlineStr">
        <is>
          <t>Materiality line: Bad dollars</t>
        </is>
      </c>
      <c r="C37" s="123">
        <f>IF('_live'!$C$21="","no line: the dollar line on Control is a GCO amount",TEXT('_live'!$C$21,"#,##0")&amp;" ORIG_BAL dollars")</f>
        <v/>
      </c>
      <c r="E37" s="122" t="inlineStr">
        <is>
          <t>Standard error</t>
        </is>
      </c>
      <c r="F37" s="123">
        <f>"How far a rate worked out from this many loans typically lands from its true value. A gap of "&amp;TEXT(NORMSINV(1-(1-confidence)/2),"0.00")&amp;" standard errors is the "&amp;TEXT(confidence,"0%")&amp;" line."</f>
        <v/>
      </c>
      <c r="G37" s="63" t="n"/>
      <c r="K37" t="inlineStr">
        <is>
          <t>row|adds|tests</t>
        </is>
      </c>
    </row>
    <row r="38" ht="18" customHeight="1">
      <c r="B38" s="122" t="inlineStr">
        <is>
          <t>Materiality line: Charge-offs</t>
        </is>
      </c>
      <c r="C38" s="123">
        <f>IF('_live'!$C$22="","no line: the dollar line on Control is a GCO amount",TEXT('_live'!$C$22,"#,##0")&amp;" GCO_AMT dollars")</f>
        <v/>
      </c>
      <c r="E38" s="122" t="inlineStr">
        <is>
          <t>The allowance for many tests covers</t>
        </is>
      </c>
      <c r="F38" s="123" t="inlineStr">
        <is>
          <t>each grid and measure on its own, one comparison at a time</t>
        </is>
      </c>
      <c r="G38" s="63" t="n"/>
      <c r="K38" t="inlineStr">
        <is>
          <t>row|adds|tests</t>
        </is>
      </c>
    </row>
    <row r="39" ht="32" customHeight="1">
      <c r="B39" s="122" t="inlineStr">
        <is>
          <t>Materiality line: Kept after losses</t>
        </is>
      </c>
      <c r="C39" s="123">
        <f>IF('_live'!$C$23="","no line: the dollar line on Control is a GCO amount","a shortfall of "&amp;TEXT('_live'!$C$23,"#,##0")&amp;" RANR_AMT dollars"&amp;": the same dollar line as GCO (Control's materiality answer)")</f>
        <v/>
      </c>
      <c r="E39" s="122" t="inlineStr">
        <is>
          <t>Contribution before losses</t>
        </is>
      </c>
      <c r="F39" s="123" t="inlineStr">
        <is>
          <t>RANR + GCO, per booked dollar. This assumes RANR has gross charge-offs taken out. If RANR nets</t>
        </is>
      </c>
      <c r="G39" s="63" t="n"/>
      <c r="K39" t="inlineStr">
        <is>
          <t>row|adds|tests</t>
        </is>
      </c>
    </row>
    <row r="40" ht="32" customHeight="1">
      <c r="B40" s="122" t="inlineStr">
        <is>
          <t>Materiality line: Earned before losses</t>
        </is>
      </c>
      <c r="C40" s="123">
        <f>IF('_live'!$C$24="","no line: the dollar line on Control is a GCO amount","a shortfall of "&amp;TEXT('_live'!$C$24,"#,##0")&amp;" RANR_AMT + GCO_AMT dollars"&amp;": the same dollar line as GCO (Control's materiality answer)")</f>
        <v/>
      </c>
      <c r="E40" s="122" t="n"/>
      <c r="F40" s="123" t="inlineStr">
        <is>
          <t>recoveries instead, contribution is overstated by the recoveries.</t>
        </is>
      </c>
      <c r="G40" s="63" t="n"/>
      <c r="K40" t="inlineStr">
        <is>
          <t>row|adds|tests</t>
        </is>
      </c>
      <c r="N40" t="inlineStr">
        <is>
          <t>sp</t>
        </is>
      </c>
    </row>
    <row r="41" ht="46" customHeight="1">
      <c r="B41" s="122" t="inlineStr">
        <is>
          <t>Grids filter</t>
        </is>
      </c>
      <c r="C41" s="123" t="inlineStr">
        <is>
          <t>ORIG_YEAR (the year in ORIG_DATE): 2021 (839 loans), 2022 (1,741 loans), 2023 (1,612 loans), 2024 (1,733 loans),</t>
        </is>
      </c>
      <c r="E41" s="122" t="inlineStr">
        <is>
          <t>Decides each pocket</t>
        </is>
      </c>
      <c r="F41" s="123">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41" s="63" t="n"/>
      <c r="K41" t="inlineStr">
        <is>
          <t>row|adds|tests</t>
        </is>
      </c>
    </row>
    <row r="42" ht="18" customHeight="1">
      <c r="B42" s="122" t="n"/>
      <c r="C42" s="123" t="inlineStr">
        <is>
          <t>2025 (1,702 loans), 2026 (373 loans). Grids' Only loans where builds each grid again on one value's loans, set</t>
        </is>
      </c>
      <c r="E42" s="122" t="inlineStr">
        <is>
          <t>Profit counts as more or less</t>
        </is>
      </c>
      <c r="F42" s="123">
        <f>'_live'!$E$13&amp;IF(profit_kind="test",": only a gap that is significant at "&amp;TEXT(confidence,"0%"),"")</f>
        <v/>
      </c>
      <c r="G42" s="63" t="n"/>
      <c r="K42" t="inlineStr">
        <is>
          <t>row|adds|tests</t>
        </is>
      </c>
      <c r="M42" t="inlineStr">
        <is>
          <t>sp</t>
        </is>
      </c>
    </row>
    <row r="43" ht="18" customHeight="1">
      <c r="B43" s="122" t="n"/>
      <c r="C43" s="123" t="inlineStr">
        <is>
          <t>against the whole book. Picked in the launcher (Filter by), apart from the split.</t>
        </is>
      </c>
      <c r="E43" s="122" t="inlineStr">
        <is>
          <t>How profit reads</t>
        </is>
      </c>
      <c r="F43" s="123" t="inlineStr">
        <is>
          <t>As the gap: how many points of booked dollars a pocket is short of or ahead of its band, and the dollars</t>
        </is>
      </c>
      <c r="G43" s="63" t="n"/>
      <c r="K43" t="inlineStr">
        <is>
          <t>row|adds|tests</t>
        </is>
      </c>
      <c r="M43" t="inlineStr">
        <is>
          <t>sp</t>
        </is>
      </c>
    </row>
    <row r="44" ht="18" customHeight="1">
      <c r="B44" s="122" t="inlineStr">
        <is>
          <t>Pockets tested</t>
        </is>
      </c>
      <c r="C44" s="123" t="inlineStr">
        <is>
          <t>69 of 79</t>
        </is>
      </c>
      <c r="E44" s="122" t="n"/>
      <c r="F44" s="123" t="inlineStr">
        <is>
          <t>that comes to. In this run, FICO 496 - 653 / CHANNEL Broker: "short of its band by 7.86 points</t>
        </is>
      </c>
      <c r="G44" s="63" t="n"/>
      <c r="K44" t="inlineStr">
        <is>
          <t>row|adds|tests</t>
        </is>
      </c>
      <c r="N44" t="inlineStr">
        <is>
          <t>sp</t>
        </is>
      </c>
    </row>
    <row r="45" ht="18" customHeight="1">
      <c r="B45" s="122" t="inlineStr">
        <is>
          <t>Pocket budget</t>
        </is>
      </c>
      <c r="C45" s="123" t="inlineStr">
        <is>
          <t>At most 123 pockets per grid can be tested: at the suggested floor a pocket needs to expect 5 bad loans, and the</t>
        </is>
      </c>
      <c r="E45" s="122" t="n"/>
      <c r="F45" s="123" t="inlineStr">
        <is>
          <t>($1,339,855)". A gap its own test doesn't call significant gives the gap and says not significant. In</t>
        </is>
      </c>
      <c r="G45" s="63" t="n"/>
      <c r="K45" t="inlineStr">
        <is>
          <t>row|adds|tests</t>
        </is>
      </c>
      <c r="N45" t="inlineStr">
        <is>
          <t>sp</t>
        </is>
      </c>
    </row>
    <row r="46" ht="18" customHeight="1">
      <c r="B46" s="122" t="n"/>
      <c r="C46" s="123" t="inlineStr">
        <is>
          <t>book has 619 (619 ÷ 5 = 123). Fewer in practice, since loans never spread evenly. Each grid cuts the whole book</t>
        </is>
      </c>
      <c r="E46" s="122" t="n"/>
      <c r="F46" s="123" t="inlineStr">
        <is>
          <t>this run, FICO 496 - 653 / ASSET_CLASS 4: "-4.93 points against its band, not significant". The examples</t>
        </is>
      </c>
      <c r="G46" s="63" t="n"/>
      <c r="K46" t="inlineStr">
        <is>
          <t>row|adds|tests</t>
        </is>
      </c>
      <c r="M46" t="inlineStr">
        <is>
          <t>sp</t>
        </is>
      </c>
      <c r="N46" t="inlineStr">
        <is>
          <t>sp</t>
        </is>
      </c>
    </row>
    <row r="47" ht="18" customHeight="1">
      <c r="B47" s="122" t="n"/>
      <c r="C47" s="123" t="inlineStr">
        <is>
          <t>again, so each grid is held to this on its own.</t>
        </is>
      </c>
      <c r="E47" s="122" t="n"/>
      <c r="F47" s="123" t="inlineStr">
        <is>
          <t>are as of the last Run.</t>
        </is>
      </c>
      <c r="G47" s="63" t="n"/>
      <c r="K47" t="inlineStr">
        <is>
          <t>row|adds|tests</t>
        </is>
      </c>
      <c r="M47" t="inlineStr">
        <is>
          <t>sp</t>
        </is>
      </c>
      <c r="N47" t="inlineStr">
        <is>
          <t>sp</t>
        </is>
      </c>
    </row>
    <row r="48" ht="18" customHeight="1">
      <c r="B48" s="122" t="inlineStr">
        <is>
          <t>Pockets: FICO x CHANNEL</t>
        </is>
      </c>
      <c r="C48" s="123" t="inlineStr">
        <is>
          <t>19 pockets, against a budget of 123. 15 have at least 10 bad loans and can be tested, holding 98% of the loans</t>
        </is>
      </c>
      <c r="E48" s="122" t="inlineStr">
        <is>
          <t>Families of tests</t>
        </is>
      </c>
      <c r="F48" s="123" t="inlineStr">
        <is>
          <t>40, holding 726 tests: 4 grids x 5 rates x 2 comparisons. A family is one grid, one rate and one</t>
        </is>
      </c>
      <c r="G48" s="63" t="n"/>
      <c r="K48" t="inlineStr">
        <is>
          <t>row|adds|tests</t>
        </is>
      </c>
    </row>
    <row r="49" ht="18" customHeight="1">
      <c r="B49" s="122" t="n"/>
      <c r="C49" s="123" t="inlineStr">
        <is>
          <t>and 98% of the booked dollars.</t>
        </is>
      </c>
      <c r="E49" s="122" t="n"/>
      <c r="F49" s="123" t="inlineStr">
        <is>
          <t>comparison (against the rest of the book, the rest of its band, or the other half).</t>
        </is>
      </c>
      <c r="G49" s="63" t="n"/>
      <c r="K49" t="inlineStr">
        <is>
          <t>row|adds|tests</t>
        </is>
      </c>
      <c r="M49" t="inlineStr">
        <is>
          <t>sp</t>
        </is>
      </c>
      <c r="N49" t="inlineStr">
        <is>
          <t>sp</t>
        </is>
      </c>
    </row>
    <row r="50" ht="18" customHeight="1">
      <c r="B50" s="122" t="inlineStr">
        <is>
          <t>Pockets: FICO x ASSET_CLASS</t>
        </is>
      </c>
      <c r="C50" s="123" t="inlineStr">
        <is>
          <t>25 pockets, against a budget of 123. 20 have at least 10 bad loans and can be tested, holding 98% of the loans</t>
        </is>
      </c>
      <c r="E50" s="122" t="inlineStr">
        <is>
          <t>Reading a single red</t>
        </is>
      </c>
      <c r="F50" s="123" t="inlineStr">
        <is>
          <t>Each family gets its own allowance for many tests, not one for the whole run. So a single red across 40</t>
        </is>
      </c>
      <c r="G50" s="63" t="n"/>
      <c r="K50" t="inlineStr">
        <is>
          <t>row|adds|tests</t>
        </is>
      </c>
    </row>
    <row r="51" ht="18" customHeight="1">
      <c r="B51" s="122" t="n"/>
      <c r="C51" s="123" t="inlineStr">
        <is>
          <t>and 98% of the booked dollars.</t>
        </is>
      </c>
      <c r="E51" s="122" t="n"/>
      <c r="F51" s="123" t="inlineStr">
        <is>
          <t>families is weak evidence.</t>
        </is>
      </c>
      <c r="G51" s="63" t="n"/>
      <c r="K51" t="inlineStr">
        <is>
          <t>row|adds|tests</t>
        </is>
      </c>
      <c r="M51" t="inlineStr">
        <is>
          <t>sp</t>
        </is>
      </c>
      <c r="N51" t="inlineStr">
        <is>
          <t>sp</t>
        </is>
      </c>
    </row>
    <row r="52" ht="18" customHeight="1">
      <c r="B52" s="122" t="inlineStr">
        <is>
          <t>Pockets: REV_DEBT x CHANNEL</t>
        </is>
      </c>
      <c r="C52" s="123" t="inlineStr">
        <is>
          <t>15 pockets, against a budget of 123. 15 have at least 10 bad loans and can be tested, holding 100% of the loans</t>
        </is>
      </c>
      <c r="K52" t="inlineStr">
        <is>
          <t>row|adds|tests</t>
        </is>
      </c>
    </row>
    <row r="53" ht="18" customHeight="1">
      <c r="B53" s="122" t="n"/>
      <c r="C53" s="123" t="inlineStr">
        <is>
          <t>and 100% of the booked dollars.</t>
        </is>
      </c>
      <c r="K53" t="inlineStr">
        <is>
          <t>row|adds|tests</t>
        </is>
      </c>
      <c r="M53" t="inlineStr">
        <is>
          <t>sp</t>
        </is>
      </c>
    </row>
    <row r="54" ht="18" customHeight="1">
      <c r="B54" s="122" t="inlineStr">
        <is>
          <t>Pockets: REV_DEBT x ASSET_CLASS</t>
        </is>
      </c>
      <c r="C54" s="123" t="inlineStr">
        <is>
          <t>20 pockets, against a budget of 123. 19 have at least 10 bad loans and can be tested, holding 95% of the loans</t>
        </is>
      </c>
      <c r="K54" t="inlineStr">
        <is>
          <t>row|adds|tests</t>
        </is>
      </c>
    </row>
    <row r="55" ht="18" customHeight="1">
      <c r="B55" s="122" t="n"/>
      <c r="C55" s="123" t="inlineStr">
        <is>
          <t>and 95% of the booked dollars.</t>
        </is>
      </c>
      <c r="K55" t="inlineStr">
        <is>
          <t>row|adds|tests</t>
        </is>
      </c>
      <c r="M55" t="inlineStr">
        <is>
          <t>sp</t>
        </is>
      </c>
    </row>
    <row r="56" ht="18" customHeight="1">
      <c r="B56" s="122" t="inlineStr">
        <is>
          <t>Pockets in all</t>
        </is>
      </c>
      <c r="C56" s="123" t="inlineStr">
        <is>
          <t>79 pockets across 4 grids. Testable means at least 10 bad loans (fewest losses): that is the only floor that</t>
        </is>
      </c>
      <c r="K56" t="inlineStr">
        <is>
          <t>row|adds|tests</t>
        </is>
      </c>
    </row>
    <row r="57" ht="18" customHeight="1">
      <c r="B57" s="127" t="n"/>
      <c r="C57" s="131" t="inlineStr">
        <is>
          <t>stops a test now, since a pocket under fewest loans gets the exact test.</t>
        </is>
      </c>
      <c r="E57" s="126" t="n"/>
      <c r="F57" s="126" t="n"/>
      <c r="G57" s="126" t="n"/>
      <c r="K57" t="inlineStr">
        <is>
          <t>row|adds|tests</t>
        </is>
      </c>
      <c r="M57" t="inlineStr">
        <is>
          <t>sp</t>
        </is>
      </c>
    </row>
    <row r="59" ht="24" customHeight="1">
      <c r="B59" s="118" t="inlineStr">
        <is>
          <t>Left out</t>
        </is>
      </c>
      <c r="C59" s="119" t="n"/>
      <c r="E59" s="118" t="inlineStr">
        <is>
          <t>Every Run, newest first</t>
        </is>
      </c>
      <c r="F59" s="119" t="n"/>
      <c r="G59" s="119" t="n"/>
      <c r="K59" t="inlineStr">
        <is>
          <t>pair|left|runs</t>
        </is>
      </c>
    </row>
    <row r="60" ht="18" customHeight="1">
      <c r="B60" s="120" t="inlineStr">
        <is>
          <t>Where</t>
        </is>
      </c>
      <c r="C60" s="120" t="inlineStr">
        <is>
          <t>What and how many</t>
        </is>
      </c>
      <c r="E60" s="120" t="inlineStr">
        <is>
          <t>When</t>
        </is>
      </c>
      <c r="F60" s="120" t="inlineStr">
        <is>
          <t>What happened</t>
        </is>
      </c>
      <c r="G60" s="130" t="n"/>
    </row>
    <row r="61" ht="18" customHeight="1">
      <c r="B61" s="122" t="inlineStr">
        <is>
          <t>Left out of Bad loans</t>
        </is>
      </c>
      <c r="C61" s="123" t="inlineStr">
        <is>
          <t>1 x BAD_FLAG flag not 0 or 1</t>
        </is>
      </c>
      <c r="E61" s="122" t="inlineStr">
        <is>
          <t>2026-09-30 15:23</t>
        </is>
      </c>
      <c r="F61" s="123" t="inlineStr">
        <is>
          <t>Ran on 8,000 loans from Summary book.csv. What was run: Where the book bleeds.</t>
        </is>
      </c>
      <c r="G61" s="63" t="n"/>
      <c r="K61" t="inlineStr">
        <is>
          <t>row|left|runs</t>
        </is>
      </c>
    </row>
    <row r="62" ht="18" customHeight="1">
      <c r="B62" s="122" t="inlineStr">
        <is>
          <t>Left out of Bad dollars</t>
        </is>
      </c>
      <c r="C62" s="123" t="inlineStr">
        <is>
          <t>1 x ORIG_BAL blank; 1 x BAD_FLAG flag not 0 or 1</t>
        </is>
      </c>
      <c r="E62" s="122" t="n"/>
      <c r="F62" s="132" t="inlineStr">
        <is>
          <t>Warning: open data question: "RANR_AMT": negative values in a column that is mostly positive (595 rows).</t>
        </is>
      </c>
      <c r="G62" s="63" t="n"/>
      <c r="K62" t="inlineStr">
        <is>
          <t>row|left|runs</t>
        </is>
      </c>
    </row>
    <row r="63" ht="18" customHeight="1">
      <c r="B63" s="122" t="inlineStr">
        <is>
          <t>Left out of Charge-offs</t>
        </is>
      </c>
      <c r="C63" s="123" t="inlineStr">
        <is>
          <t>1 x GCO_AMT not a number; 1 x ORIG_BAL blank</t>
        </is>
      </c>
      <c r="E63" s="122" t="n"/>
      <c r="F63" s="132" t="inlineStr">
        <is>
          <t>Used as recorded until answered Real or Missing under Treat as on Columns</t>
        </is>
      </c>
      <c r="G63" s="63" t="n"/>
      <c r="K63" t="inlineStr">
        <is>
          <t>row|left|runs</t>
        </is>
      </c>
      <c r="N63" t="inlineStr">
        <is>
          <t>sp</t>
        </is>
      </c>
    </row>
    <row r="64" ht="18" customHeight="1">
      <c r="B64" s="122" t="inlineStr">
        <is>
          <t>Left out of Kept after losses</t>
        </is>
      </c>
      <c r="C64" s="123" t="inlineStr">
        <is>
          <t>1 x ORIG_BAL blank</t>
        </is>
      </c>
      <c r="K64" t="inlineStr">
        <is>
          <t>row|left|runs</t>
        </is>
      </c>
    </row>
    <row r="65" ht="18" customHeight="1">
      <c r="B65" s="122" t="inlineStr">
        <is>
          <t>Left out of Earned before losses</t>
        </is>
      </c>
      <c r="C65" s="123" t="inlineStr">
        <is>
          <t>1 x GCO_AMT not a number; 1 x ORIG_BAL blank</t>
        </is>
      </c>
      <c r="K65" t="inlineStr">
        <is>
          <t>row|left|runs</t>
        </is>
      </c>
    </row>
    <row r="66" ht="18" customHeight="1">
      <c r="B66" s="122" t="inlineStr">
        <is>
          <t>Warning</t>
        </is>
      </c>
      <c r="C66" s="132" t="inlineStr">
        <is>
          <t>open data question: "RANR_AMT": negative values in a column that is mostly positive (595 rows). Used as recorded</t>
        </is>
      </c>
      <c r="K66" t="inlineStr">
        <is>
          <t>row|left|runs</t>
        </is>
      </c>
    </row>
    <row r="67" ht="18" customHeight="1">
      <c r="B67" s="122" t="n"/>
      <c r="C67" s="132" t="inlineStr">
        <is>
          <t>until answered Real or Missing under Treat as on Columns</t>
        </is>
      </c>
      <c r="K67" t="inlineStr">
        <is>
          <t>row|left|runs</t>
        </is>
      </c>
      <c r="M67" t="inlineStr">
        <is>
          <t>sp</t>
        </is>
      </c>
    </row>
    <row r="68" ht="18" customHeight="1">
      <c r="B68" s="127" t="inlineStr">
        <is>
          <t>Alone in its band</t>
        </is>
      </c>
      <c r="C68" s="131" t="inlineStr">
        <is>
          <t>2 pockets had no other pocket in its band, so they were compared with the rest of the book.</t>
        </is>
      </c>
      <c r="E68" s="126" t="n"/>
      <c r="F68" s="126" t="n"/>
      <c r="G68" s="126" t="n"/>
      <c r="K68" t="inlineStr">
        <is>
          <t>row|left|runs</t>
        </is>
      </c>
    </row>
  </sheetData>
  <mergeCells count="46">
    <mergeCell ref="F29:G29"/>
    <mergeCell ref="C6:G6"/>
    <mergeCell ref="F54:G54"/>
    <mergeCell ref="F68:G68"/>
    <mergeCell ref="F25:G25"/>
    <mergeCell ref="F34:G34"/>
    <mergeCell ref="F63:G63"/>
    <mergeCell ref="F65:G65"/>
    <mergeCell ref="C5:G5"/>
    <mergeCell ref="F40:G40"/>
    <mergeCell ref="C4:G4"/>
    <mergeCell ref="F55:G55"/>
    <mergeCell ref="F24:G24"/>
    <mergeCell ref="F30:G30"/>
    <mergeCell ref="F53:G53"/>
    <mergeCell ref="F51:G51"/>
    <mergeCell ref="F33:G33"/>
    <mergeCell ref="F45:G45"/>
    <mergeCell ref="F36:G36"/>
    <mergeCell ref="F42:G42"/>
    <mergeCell ref="F32:G32"/>
    <mergeCell ref="F50:G50"/>
    <mergeCell ref="F26:G26"/>
    <mergeCell ref="F41:G41"/>
    <mergeCell ref="F66:G66"/>
    <mergeCell ref="F35:G35"/>
    <mergeCell ref="F47:G47"/>
    <mergeCell ref="F62:G62"/>
    <mergeCell ref="F38:G38"/>
    <mergeCell ref="F31:G31"/>
    <mergeCell ref="F46:G46"/>
    <mergeCell ref="F28:G28"/>
    <mergeCell ref="F27:G27"/>
    <mergeCell ref="F56:G56"/>
    <mergeCell ref="F52:G52"/>
    <mergeCell ref="F67:G67"/>
    <mergeCell ref="F43:G43"/>
    <mergeCell ref="F61:G61"/>
    <mergeCell ref="F37:G37"/>
    <mergeCell ref="F39:G39"/>
    <mergeCell ref="F48:G48"/>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/home/user/SATC/.claude/worktrees/agent-a9b31677709c7e7ad/pocketbook/docs/tie-out/2026-09-30-summary/Summary book.csv</t>
        </is>
      </c>
    </row>
    <row r="2">
      <c r="A2" t="inlineStr">
        <is>
          <t>sha256</t>
        </is>
      </c>
      <c r="B2" t="inlineStr">
        <is>
          <t>c0376d9b85b9ee907a484936700d440ecff8686a64f042617fcb9f8ba7d7092a</t>
        </is>
      </c>
    </row>
    <row r="3">
      <c r="A3" t="inlineStr">
        <is>
          <t>set up</t>
        </is>
      </c>
      <c r="B3" t="inlineStr">
        <is>
          <t>2026-09-30</t>
        </is>
      </c>
    </row>
    <row r="4">
      <c r="A4" t="inlineStr">
        <is>
          <t>extract name</t>
        </is>
      </c>
      <c r="B4" t="inlineStr">
        <is>
          <t>Summary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8"/>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Grids: Only loans where</t>
        </is>
      </c>
      <c r="N1" t="inlineStr">
        <is>
          <t>Summary: Band column</t>
        </is>
      </c>
      <c r="O1" t="inlineStr">
        <is>
          <t>Summary: Only loans where</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All loans</t>
        </is>
      </c>
      <c r="N2" t="inlineStr">
        <is>
          <t>FICO</t>
        </is>
      </c>
      <c r="O2" t="inlineStr">
        <is>
          <t>All loans</t>
        </is>
      </c>
    </row>
    <row r="3">
      <c r="A3" t="inlineStr">
        <is>
          <t>Bad dollars</t>
        </is>
      </c>
      <c r="B3" t="inlineStr">
        <is>
          <t>outcome_booked</t>
        </is>
      </c>
      <c r="C3" t="n">
        <v>0</v>
      </c>
      <c r="D3" t="n">
        <v>0</v>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M3" t="inlineStr">
        <is>
          <t>2021</t>
        </is>
      </c>
      <c r="N3" t="inlineStr">
        <is>
          <t>REV_DEBT</t>
        </is>
      </c>
      <c r="O3" t="inlineStr">
        <is>
          <t>2021</t>
        </is>
      </c>
    </row>
    <row r="4">
      <c r="A4" t="inlineStr">
        <is>
          <t>Charge-offs</t>
        </is>
      </c>
      <c r="B4" t="inlineStr">
        <is>
          <t>gco_rate</t>
        </is>
      </c>
      <c r="C4" t="n">
        <v>0</v>
      </c>
      <c r="D4" t="n">
        <v>0</v>
      </c>
      <c r="F4" t="inlineStr">
        <is>
          <t>Worse or not sure</t>
        </is>
      </c>
      <c r="G4" t="inlineStr">
        <is>
          <t>REV_DEBT x CHANNEL</t>
        </is>
      </c>
      <c r="H4" t="inlineStr">
        <is>
          <t>REV_DEBT x CHANNEL</t>
        </is>
      </c>
      <c r="I4" t="inlineStr">
        <is>
          <t>Charge-offs</t>
        </is>
      </c>
      <c r="J4" t="inlineStr">
        <is>
          <t>gco_rate</t>
        </is>
      </c>
      <c r="K4" t="inlineStr">
        <is>
          <t>{these} charged off {r} of {their} booked dollars.</t>
        </is>
      </c>
      <c r="L4" t="inlineStr">
        <is>
          <t>{x}× the charge-off rate of {against}.</t>
        </is>
      </c>
      <c r="M4" t="inlineStr">
        <is>
          <t>2022</t>
        </is>
      </c>
      <c r="O4" t="inlineStr">
        <is>
          <t>2022</t>
        </is>
      </c>
    </row>
    <row r="5">
      <c r="A5" t="inlineStr">
        <is>
          <t>Kept after losses</t>
        </is>
      </c>
      <c r="B5" t="inlineStr">
        <is>
          <t>ranr_rate</t>
        </is>
      </c>
      <c r="C5" t="n">
        <v>1</v>
      </c>
      <c r="D5" t="n">
        <v>0</v>
      </c>
      <c r="G5" t="inlineStr">
        <is>
          <t>REV_DEBT x ASSET_CLASS</t>
        </is>
      </c>
      <c r="H5" t="inlineStr">
        <is>
          <t>REV_DEBT x ASSET_CLASS</t>
        </is>
      </c>
      <c r="I5" t="inlineStr">
        <is>
          <t>Kept after losses</t>
        </is>
      </c>
      <c r="J5" t="inlineStr">
        <is>
          <t>ranr_rate</t>
        </is>
      </c>
      <c r="K5" t="inlineStr">
        <is>
          <t>{these} kept {r} of {their} booked dollars after losses.</t>
        </is>
      </c>
      <c r="L5" t="inlineStr">
        <is>
          <t>Kept {pts} points {more} of their booked dollars than {against}.</t>
        </is>
      </c>
      <c r="M5" t="inlineStr">
        <is>
          <t>2023</t>
        </is>
      </c>
      <c r="O5" t="inlineStr">
        <is>
          <t>2023</t>
        </is>
      </c>
    </row>
    <row r="6">
      <c r="A6" t="inlineStr">
        <is>
          <t>Earned before losses</t>
        </is>
      </c>
      <c r="B6" t="inlineStr">
        <is>
          <t>contribution_rate</t>
        </is>
      </c>
      <c r="C6" t="n">
        <v>1</v>
      </c>
      <c r="D6" t="n">
        <v>0</v>
      </c>
      <c r="I6" t="inlineStr">
        <is>
          <t>Earned before losses</t>
        </is>
      </c>
      <c r="J6" t="inlineStr">
        <is>
          <t>contribution_rate</t>
        </is>
      </c>
      <c r="K6" t="inlineStr">
        <is>
          <t>{these} earned {r} of {their} booked dollars before losses.</t>
        </is>
      </c>
      <c r="L6" t="inlineStr">
        <is>
          <t>Earned {pts} points {more} of their booked dollars than {against}.</t>
        </is>
      </c>
      <c r="M6" t="inlineStr">
        <is>
          <t>2024</t>
        </is>
      </c>
      <c r="O6" t="inlineStr">
        <is>
          <t>2024</t>
        </is>
      </c>
    </row>
    <row r="7">
      <c r="I7" t="inlineStr">
        <is>
          <t>Loan size</t>
        </is>
      </c>
      <c r="J7" t="inlineStr">
        <is>
          <t>loan_size</t>
        </is>
      </c>
      <c r="K7" t="inlineStr">
        <is>
          <t>{these} averaged {r} booked, median {med}.</t>
        </is>
      </c>
      <c r="L7" t="inlineStr">
        <is>
          <t>{x}× the average loan of {against}.</t>
        </is>
      </c>
      <c r="M7" t="inlineStr">
        <is>
          <t>2025</t>
        </is>
      </c>
      <c r="O7" t="inlineStr">
        <is>
          <t>2025</t>
        </is>
      </c>
    </row>
    <row r="8">
      <c r="M8" t="inlineStr">
        <is>
          <t>2026</t>
        </is>
      </c>
      <c r="O8" t="inlineStr">
        <is>
          <t>2026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434"/>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686 - 711</t>
        </is>
      </c>
      <c r="C3" t="inlineStr">
        <is>
          <t>Broker</t>
        </is>
      </c>
      <c r="D3" t="n">
        <v>501</v>
      </c>
      <c r="E3" t="n">
        <v>0</v>
      </c>
      <c r="F3" t="n">
        <v>38</v>
      </c>
      <c r="G3" t="n">
        <v>36</v>
      </c>
      <c r="H3" t="n">
        <v>37</v>
      </c>
    </row>
    <row r="4">
      <c r="A4" t="inlineStr">
        <is>
          <t>C|FICO x CHANNEL|4</t>
        </is>
      </c>
      <c r="B4" t="inlineStr">
        <is>
          <t>496 - 653</t>
        </is>
      </c>
      <c r="C4" t="inlineStr">
        <is>
          <t>Branch</t>
        </is>
      </c>
      <c r="D4" t="n">
        <v>502</v>
      </c>
      <c r="E4" t="n">
        <v>0</v>
      </c>
      <c r="F4" t="n">
        <v>23</v>
      </c>
      <c r="G4" t="n">
        <v>21</v>
      </c>
      <c r="H4" t="n">
        <v>22</v>
      </c>
    </row>
    <row r="5">
      <c r="A5" t="inlineStr">
        <is>
          <t>C|FICO x CHANNEL|5</t>
        </is>
      </c>
      <c r="B5" t="inlineStr">
        <is>
          <t>496 - 653</t>
        </is>
      </c>
      <c r="C5" t="inlineStr">
        <is>
          <t>Online</t>
        </is>
      </c>
      <c r="D5" t="n">
        <v>531</v>
      </c>
      <c r="E5" t="n">
        <v>0</v>
      </c>
      <c r="F5" t="n">
        <v>83</v>
      </c>
      <c r="G5" t="n">
        <v>81</v>
      </c>
      <c r="H5" t="n">
        <v>82</v>
      </c>
    </row>
    <row r="6">
      <c r="A6" t="inlineStr">
        <is>
          <t>C|FICO x CHANNEL|6</t>
        </is>
      </c>
      <c r="B6" t="inlineStr">
        <is>
          <t>686 - 711</t>
        </is>
      </c>
      <c r="C6" t="inlineStr">
        <is>
          <t>Online</t>
        </is>
      </c>
      <c r="D6" t="n">
        <v>546</v>
      </c>
      <c r="E6" t="n">
        <v>0</v>
      </c>
      <c r="F6" t="n">
        <v>68</v>
      </c>
      <c r="G6" t="n">
        <v>66</v>
      </c>
      <c r="H6" t="n">
        <v>67</v>
      </c>
    </row>
    <row r="7">
      <c r="A7" t="inlineStr">
        <is>
          <t>C|FICO x CHANNEL|7</t>
        </is>
      </c>
      <c r="B7" t="inlineStr">
        <is>
          <t>654 - 685</t>
        </is>
      </c>
      <c r="C7" t="inlineStr">
        <is>
          <t>Branch</t>
        </is>
      </c>
      <c r="D7" t="n">
        <v>503</v>
      </c>
      <c r="E7" t="n">
        <v>0</v>
      </c>
      <c r="F7" t="n">
        <v>58</v>
      </c>
      <c r="G7" t="n">
        <v>56</v>
      </c>
      <c r="H7" t="n">
        <v>57</v>
      </c>
    </row>
    <row r="8">
      <c r="A8" t="inlineStr">
        <is>
          <t>C|FICO x CHANNEL|8</t>
        </is>
      </c>
      <c r="B8" t="inlineStr">
        <is>
          <t>746 - 921</t>
        </is>
      </c>
      <c r="C8" t="inlineStr">
        <is>
          <t>Branch</t>
        </is>
      </c>
      <c r="D8" t="n">
        <v>518</v>
      </c>
      <c r="E8" t="n">
        <v>0</v>
      </c>
      <c r="F8" t="n">
        <v>28</v>
      </c>
      <c r="G8" t="n">
        <v>26</v>
      </c>
      <c r="H8" t="n">
        <v>27</v>
      </c>
    </row>
    <row r="9">
      <c r="A9" t="inlineStr">
        <is>
          <t>C|FICO x CHANNEL|9</t>
        </is>
      </c>
      <c r="B9" t="inlineStr">
        <is>
          <t>746 - 921</t>
        </is>
      </c>
      <c r="C9" t="inlineStr">
        <is>
          <t>Broker</t>
        </is>
      </c>
      <c r="D9" t="n">
        <v>536</v>
      </c>
      <c r="E9" t="n">
        <v>0</v>
      </c>
      <c r="F9" t="n">
        <v>48</v>
      </c>
      <c r="G9" t="n">
        <v>46</v>
      </c>
      <c r="H9" t="n">
        <v>47</v>
      </c>
    </row>
    <row r="10">
      <c r="A10" t="inlineStr">
        <is>
          <t>C|FICO x CHANNEL|10</t>
        </is>
      </c>
      <c r="B10" t="inlineStr">
        <is>
          <t>654 - 685</t>
        </is>
      </c>
      <c r="C10" t="inlineStr">
        <is>
          <t>Online</t>
        </is>
      </c>
      <c r="D10" t="n">
        <v>505</v>
      </c>
      <c r="E10" t="n">
        <v>0</v>
      </c>
      <c r="F10" t="n">
        <v>73</v>
      </c>
      <c r="G10" t="n">
        <v>71</v>
      </c>
      <c r="H10" t="n">
        <v>72</v>
      </c>
    </row>
    <row r="11">
      <c r="A11" t="inlineStr">
        <is>
          <t>C|FICO x CHANNEL|11</t>
        </is>
      </c>
      <c r="B11" t="inlineStr">
        <is>
          <t>746 - 921</t>
        </is>
      </c>
      <c r="C11" t="inlineStr">
        <is>
          <t>Online</t>
        </is>
      </c>
      <c r="D11" t="n">
        <v>517</v>
      </c>
      <c r="E11" t="n">
        <v>0</v>
      </c>
      <c r="F11" t="n">
        <v>53</v>
      </c>
      <c r="G11" t="n">
        <v>51</v>
      </c>
      <c r="H11" t="n">
        <v>52</v>
      </c>
    </row>
    <row r="12">
      <c r="A12" t="inlineStr">
        <is>
          <t>C|FICO x CHANNEL|12</t>
        </is>
      </c>
      <c r="B12" t="inlineStr">
        <is>
          <t>654 - 685</t>
        </is>
      </c>
      <c r="C12" t="inlineStr">
        <is>
          <t>Broker</t>
        </is>
      </c>
      <c r="D12" t="n">
        <v>531</v>
      </c>
      <c r="E12" t="n">
        <v>0</v>
      </c>
      <c r="F12" t="n">
        <v>78</v>
      </c>
      <c r="G12" t="n">
        <v>76</v>
      </c>
      <c r="H12" t="n">
        <v>77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C|FICO x ASSET_CLASS|1</t>
        </is>
      </c>
      <c r="B20" t="inlineStr">
        <is>
          <t>496 - 653</t>
        </is>
      </c>
      <c r="C20" t="inlineStr">
        <is>
          <t>4</t>
        </is>
      </c>
      <c r="D20" t="n">
        <v>392</v>
      </c>
      <c r="E20" t="n">
        <v>0</v>
      </c>
      <c r="F20" t="n">
        <v>153</v>
      </c>
      <c r="G20" t="n">
        <v>151</v>
      </c>
      <c r="H20" t="n">
        <v>152</v>
      </c>
    </row>
    <row r="21">
      <c r="A21" t="inlineStr">
        <is>
          <t>C|FICO x ASSET_CLASS|2</t>
        </is>
      </c>
      <c r="B21" t="inlineStr">
        <is>
          <t>654 - 685</t>
        </is>
      </c>
      <c r="C21" t="inlineStr">
        <is>
          <t>4</t>
        </is>
      </c>
      <c r="D21" t="n">
        <v>410</v>
      </c>
      <c r="E21" t="n">
        <v>0</v>
      </c>
      <c r="F21" t="n">
        <v>193</v>
      </c>
      <c r="G21" t="n">
        <v>191</v>
      </c>
      <c r="H21" t="n">
        <v>192</v>
      </c>
    </row>
    <row r="22">
      <c r="A22" t="inlineStr">
        <is>
          <t>C|FICO x ASSET_CLASS|3</t>
        </is>
      </c>
      <c r="B22" t="inlineStr">
        <is>
          <t>712 - 745</t>
        </is>
      </c>
      <c r="C22" t="inlineStr">
        <is>
          <t>4</t>
        </is>
      </c>
      <c r="D22" t="n">
        <v>427</v>
      </c>
      <c r="E22" t="n">
        <v>0</v>
      </c>
      <c r="F22" t="n">
        <v>128</v>
      </c>
      <c r="G22" t="n">
        <v>126</v>
      </c>
      <c r="H22" t="n">
        <v>127</v>
      </c>
    </row>
    <row r="23">
      <c r="A23" t="inlineStr">
        <is>
          <t>C|FICO x ASSET_CLASS|4</t>
        </is>
      </c>
      <c r="B23" t="inlineStr">
        <is>
          <t>686 - 711</t>
        </is>
      </c>
      <c r="C23" t="inlineStr">
        <is>
          <t>4</t>
        </is>
      </c>
      <c r="D23" t="n">
        <v>407</v>
      </c>
      <c r="E23" t="n">
        <v>0</v>
      </c>
      <c r="F23" t="n">
        <v>158</v>
      </c>
      <c r="G23" t="n">
        <v>156</v>
      </c>
      <c r="H23" t="n">
        <v>157</v>
      </c>
    </row>
    <row r="24">
      <c r="A24" t="inlineStr">
        <is>
          <t>C|FICO x ASSET_CLASS|5</t>
        </is>
      </c>
      <c r="B24" t="inlineStr">
        <is>
          <t>746 - 921</t>
        </is>
      </c>
      <c r="C24" t="inlineStr">
        <is>
          <t>2</t>
        </is>
      </c>
      <c r="D24" t="n">
        <v>399</v>
      </c>
      <c r="E24" t="n">
        <v>0</v>
      </c>
      <c r="F24" t="n">
        <v>133</v>
      </c>
      <c r="G24" t="n">
        <v>131</v>
      </c>
      <c r="H24" t="n">
        <v>132</v>
      </c>
    </row>
    <row r="25">
      <c r="A25" t="inlineStr">
        <is>
          <t>C|FICO x ASSET_CLASS|6</t>
        </is>
      </c>
      <c r="B25" t="inlineStr">
        <is>
          <t>654 - 685</t>
        </is>
      </c>
      <c r="C25" t="inlineStr">
        <is>
          <t>3</t>
        </is>
      </c>
      <c r="D25" t="n">
        <v>377</v>
      </c>
      <c r="E25" t="n">
        <v>0</v>
      </c>
      <c r="F25" t="n">
        <v>183</v>
      </c>
      <c r="G25" t="n">
        <v>181</v>
      </c>
      <c r="H25" t="n">
        <v>182</v>
      </c>
    </row>
    <row r="26">
      <c r="A26" t="inlineStr">
        <is>
          <t>C|FICO x ASSET_CLASS|7</t>
        </is>
      </c>
      <c r="B26" t="inlineStr">
        <is>
          <t>686 - 711</t>
        </is>
      </c>
      <c r="C26" t="inlineStr">
        <is>
          <t>1</t>
        </is>
      </c>
      <c r="D26" t="n">
        <v>372</v>
      </c>
      <c r="E26" t="n">
        <v>0</v>
      </c>
      <c r="F26" t="n">
        <v>143</v>
      </c>
      <c r="G26" t="n">
        <v>141</v>
      </c>
      <c r="H26" t="n">
        <v>142</v>
      </c>
    </row>
    <row r="27">
      <c r="A27" t="inlineStr">
        <is>
          <t>C|FICO x ASSET_CLASS|8</t>
        </is>
      </c>
      <c r="B27" t="inlineStr">
        <is>
          <t>686 - 711</t>
        </is>
      </c>
      <c r="C27" t="inlineStr">
        <is>
          <t>3</t>
        </is>
      </c>
      <c r="D27" t="n">
        <v>388</v>
      </c>
      <c r="E27" t="n">
        <v>0</v>
      </c>
      <c r="F27" t="n">
        <v>213</v>
      </c>
      <c r="G27" t="n">
        <v>211</v>
      </c>
      <c r="H27" t="n">
        <v>212</v>
      </c>
    </row>
    <row r="28">
      <c r="A28" t="inlineStr">
        <is>
          <t>C|FICO x ASSET_CLASS|9</t>
        </is>
      </c>
      <c r="B28" t="inlineStr">
        <is>
          <t>746 - 921</t>
        </is>
      </c>
      <c r="C28" t="inlineStr">
        <is>
          <t>1</t>
        </is>
      </c>
      <c r="D28" t="n">
        <v>414</v>
      </c>
      <c r="E28" t="n">
        <v>0</v>
      </c>
      <c r="F28" t="n">
        <v>148</v>
      </c>
      <c r="G28" t="n">
        <v>146</v>
      </c>
      <c r="H28" t="n">
        <v>147</v>
      </c>
    </row>
    <row r="29">
      <c r="A29" t="inlineStr">
        <is>
          <t>C|FICO x ASSET_CLASS|10</t>
        </is>
      </c>
      <c r="B29" t="inlineStr">
        <is>
          <t>746 - 921</t>
        </is>
      </c>
      <c r="C29" t="inlineStr">
        <is>
          <t>4</t>
        </is>
      </c>
      <c r="D29" t="n">
        <v>373</v>
      </c>
      <c r="E29" t="n">
        <v>0</v>
      </c>
      <c r="F29" t="n">
        <v>168</v>
      </c>
      <c r="G29" t="n">
        <v>166</v>
      </c>
      <c r="H29" t="n">
        <v>167</v>
      </c>
    </row>
    <row r="30">
      <c r="A30" t="inlineStr">
        <is>
          <t>C|FICO x ASSET_CLASS|11</t>
        </is>
      </c>
      <c r="B30" t="inlineStr">
        <is>
          <t>746 - 921</t>
        </is>
      </c>
      <c r="C30" t="inlineStr">
        <is>
          <t>3</t>
        </is>
      </c>
      <c r="D30" t="n">
        <v>385</v>
      </c>
      <c r="E30" t="n">
        <v>0</v>
      </c>
      <c r="F30" t="n">
        <v>188</v>
      </c>
      <c r="G30" t="n">
        <v>186</v>
      </c>
      <c r="H30" t="n">
        <v>187</v>
      </c>
    </row>
    <row r="31">
      <c r="A31" t="inlineStr">
        <is>
          <t>C|FICO x ASSET_CLASS|12</t>
        </is>
      </c>
      <c r="B31" t="inlineStr">
        <is>
          <t>496 - 653</t>
        </is>
      </c>
      <c r="C31" t="inlineStr">
        <is>
          <t>3</t>
        </is>
      </c>
      <c r="D31" t="n">
        <v>350</v>
      </c>
      <c r="E31" t="n">
        <v>0</v>
      </c>
      <c r="F31" t="n">
        <v>178</v>
      </c>
      <c r="G31" t="n">
        <v>176</v>
      </c>
      <c r="H31" t="n">
        <v>177</v>
      </c>
    </row>
    <row r="32">
      <c r="A32" t="inlineStr">
        <is>
          <t>C|FICO x ASSET_CLASS|13</t>
        </is>
      </c>
      <c r="B32" t="inlineStr">
        <is>
          <t>712 - 745</t>
        </is>
      </c>
      <c r="C32" t="inlineStr">
        <is>
          <t>2</t>
        </is>
      </c>
      <c r="D32" t="n">
        <v>431</v>
      </c>
      <c r="E32" t="n">
        <v>0</v>
      </c>
      <c r="F32" t="n">
        <v>118</v>
      </c>
      <c r="G32" t="n">
        <v>116</v>
      </c>
      <c r="H32" t="n">
        <v>117</v>
      </c>
    </row>
    <row r="33">
      <c r="A33" t="inlineStr">
        <is>
          <t>C|FICO x ASSET_CLASS|14</t>
        </is>
      </c>
      <c r="B33" t="inlineStr">
        <is>
          <t>712 - 745</t>
        </is>
      </c>
      <c r="C33" t="inlineStr">
        <is>
          <t>1</t>
        </is>
      </c>
      <c r="D33" t="n">
        <v>361</v>
      </c>
      <c r="E33" t="n">
        <v>0</v>
      </c>
      <c r="F33" t="n">
        <v>113</v>
      </c>
      <c r="G33" t="n">
        <v>111</v>
      </c>
      <c r="H33" t="n">
        <v>112</v>
      </c>
    </row>
    <row r="34">
      <c r="A34" t="inlineStr">
        <is>
          <t>C|FICO x ASSET_CLASS|15</t>
        </is>
      </c>
      <c r="B34" t="inlineStr">
        <is>
          <t>712 - 745</t>
        </is>
      </c>
      <c r="C34" t="inlineStr">
        <is>
          <t>3</t>
        </is>
      </c>
      <c r="D34" t="n">
        <v>392</v>
      </c>
      <c r="E34" t="n">
        <v>0</v>
      </c>
      <c r="F34" t="n">
        <v>208</v>
      </c>
      <c r="G34" t="n">
        <v>206</v>
      </c>
      <c r="H34" t="n">
        <v>207</v>
      </c>
    </row>
    <row r="35">
      <c r="A35" t="inlineStr">
        <is>
          <t>C|FICO x ASSET_CLASS|16</t>
        </is>
      </c>
      <c r="B35" t="inlineStr">
        <is>
          <t>496 - 653</t>
        </is>
      </c>
      <c r="C35" t="inlineStr">
        <is>
          <t>1</t>
        </is>
      </c>
      <c r="D35" t="n">
        <v>420</v>
      </c>
      <c r="E35" t="n">
        <v>0</v>
      </c>
      <c r="F35" t="n">
        <v>138</v>
      </c>
      <c r="G35" t="n">
        <v>136</v>
      </c>
      <c r="H35" t="n">
        <v>137</v>
      </c>
    </row>
    <row r="36">
      <c r="A36" t="inlineStr">
        <is>
          <t>C|FICO x ASSET_CLASS|17</t>
        </is>
      </c>
      <c r="B36" t="inlineStr">
        <is>
          <t>654 - 685</t>
        </is>
      </c>
      <c r="C36" t="inlineStr">
        <is>
          <t>2</t>
        </is>
      </c>
      <c r="D36" t="n">
        <v>355</v>
      </c>
      <c r="E36" t="n">
        <v>0</v>
      </c>
      <c r="F36" t="n">
        <v>163</v>
      </c>
      <c r="G36" t="n">
        <v>161</v>
      </c>
      <c r="H36" t="n">
        <v>162</v>
      </c>
    </row>
    <row r="37">
      <c r="A37" t="inlineStr">
        <is>
          <t>C|FICO x ASSET_CLASS|18</t>
        </is>
      </c>
      <c r="B37" t="inlineStr">
        <is>
          <t>654 - 685</t>
        </is>
      </c>
      <c r="C37" t="inlineStr">
        <is>
          <t>1</t>
        </is>
      </c>
      <c r="D37" t="n">
        <v>397</v>
      </c>
      <c r="E37" t="n">
        <v>0</v>
      </c>
      <c r="F37" t="n">
        <v>173</v>
      </c>
      <c r="G37" t="n">
        <v>171</v>
      </c>
      <c r="H37" t="n">
        <v>172</v>
      </c>
    </row>
    <row r="38">
      <c r="A38" t="inlineStr">
        <is>
          <t>C|FICO x ASSET_CLASS|19</t>
        </is>
      </c>
      <c r="B38" t="inlineStr">
        <is>
          <t>686 - 711</t>
        </is>
      </c>
      <c r="C38" t="inlineStr">
        <is>
          <t>2</t>
        </is>
      </c>
      <c r="D38" t="n">
        <v>395</v>
      </c>
      <c r="E38" t="n">
        <v>0</v>
      </c>
      <c r="F38" t="n">
        <v>198</v>
      </c>
      <c r="G38" t="n">
        <v>196</v>
      </c>
      <c r="H38" t="n">
        <v>197</v>
      </c>
    </row>
    <row r="39">
      <c r="A39" t="inlineStr">
        <is>
          <t>C|FICO x ASSET_CLASS|20</t>
        </is>
      </c>
      <c r="B39" t="inlineStr">
        <is>
          <t>496 - 653</t>
        </is>
      </c>
      <c r="C39" t="inlineStr">
        <is>
          <t>2</t>
        </is>
      </c>
      <c r="D39" t="n">
        <v>394</v>
      </c>
      <c r="E39" t="n">
        <v>0</v>
      </c>
      <c r="F39" t="n">
        <v>123</v>
      </c>
      <c r="G39" t="n">
        <v>121</v>
      </c>
      <c r="H39" t="n">
        <v>122</v>
      </c>
    </row>
    <row r="40">
      <c r="A40" t="inlineStr">
        <is>
          <t>C|FICO x ASSET_CLASS|21</t>
        </is>
      </c>
      <c r="B40" t="inlineStr">
        <is>
          <t>(marked missing)</t>
        </is>
      </c>
      <c r="C40" t="inlineStr">
        <is>
          <t>2</t>
        </is>
      </c>
      <c r="D40" t="n">
        <v>36</v>
      </c>
      <c r="E40" t="n">
        <v>1</v>
      </c>
      <c r="F40" t="n">
        <v>223</v>
      </c>
      <c r="G40" t="n">
        <v>221</v>
      </c>
      <c r="H40" t="n">
        <v>222</v>
      </c>
    </row>
    <row r="41">
      <c r="A41" t="inlineStr">
        <is>
          <t>C|FICO x ASSET_CLASS|22</t>
        </is>
      </c>
      <c r="B41" t="inlineStr">
        <is>
          <t>(blank)</t>
        </is>
      </c>
      <c r="C41" t="inlineStr">
        <is>
          <t>2</t>
        </is>
      </c>
      <c r="D41" t="n">
        <v>1</v>
      </c>
      <c r="E41" t="n">
        <v>1</v>
      </c>
      <c r="F41" t="n">
        <v>108</v>
      </c>
      <c r="G41" t="n">
        <v>106</v>
      </c>
      <c r="H41" t="n">
        <v>107</v>
      </c>
    </row>
    <row r="42">
      <c r="A42" t="inlineStr">
        <is>
          <t>C|FICO x ASSET_CLASS|23</t>
        </is>
      </c>
      <c r="B42" t="inlineStr">
        <is>
          <t>(marked missing)</t>
        </is>
      </c>
      <c r="C42" t="inlineStr">
        <is>
          <t>3</t>
        </is>
      </c>
      <c r="D42" t="n">
        <v>43</v>
      </c>
      <c r="E42" t="n">
        <v>1</v>
      </c>
      <c r="F42" t="n">
        <v>203</v>
      </c>
      <c r="G42" t="n">
        <v>201</v>
      </c>
      <c r="H42" t="n">
        <v>202</v>
      </c>
    </row>
    <row r="43">
      <c r="A43" t="inlineStr">
        <is>
          <t>C|FICO x ASSET_CLASS|24</t>
        </is>
      </c>
      <c r="B43" t="inlineStr">
        <is>
          <t>(marked missing)</t>
        </is>
      </c>
      <c r="C43" t="inlineStr">
        <is>
          <t>4</t>
        </is>
      </c>
      <c r="D43" t="n">
        <v>39</v>
      </c>
      <c r="E43" t="n">
        <v>1</v>
      </c>
      <c r="F43" t="n">
        <v>218</v>
      </c>
      <c r="G43" t="n">
        <v>216</v>
      </c>
      <c r="H43" t="n">
        <v>217</v>
      </c>
    </row>
    <row r="44">
      <c r="A44" t="inlineStr">
        <is>
          <t>C|FICO x ASSET_CLASS|25</t>
        </is>
      </c>
      <c r="B44" t="inlineStr">
        <is>
          <t>(marked missing)</t>
        </is>
      </c>
      <c r="C44" t="inlineStr">
        <is>
          <t>1</t>
        </is>
      </c>
      <c r="D44" t="n">
        <v>42</v>
      </c>
      <c r="E44" t="n">
        <v>1</v>
      </c>
      <c r="F44" t="n">
        <v>103</v>
      </c>
      <c r="G44" t="n">
        <v>101</v>
      </c>
      <c r="H44" t="n">
        <v>102</v>
      </c>
    </row>
    <row r="45">
      <c r="A45" t="inlineStr">
        <is>
          <t>C|REV_DEBT x CHANNEL|1</t>
        </is>
      </c>
      <c r="B45" t="inlineStr">
        <is>
          <t>17,187 - 48,521</t>
        </is>
      </c>
      <c r="C45" t="inlineStr">
        <is>
          <t>Broker</t>
        </is>
      </c>
      <c r="D45" t="n">
        <v>507</v>
      </c>
      <c r="E45" t="n">
        <v>0</v>
      </c>
      <c r="F45" t="n">
        <v>278</v>
      </c>
      <c r="G45" t="n">
        <v>276</v>
      </c>
      <c r="H45" t="n">
        <v>277</v>
      </c>
    </row>
    <row r="46">
      <c r="A46" t="inlineStr">
        <is>
          <t>C|REV_DEBT x CHANNEL|2</t>
        </is>
      </c>
      <c r="B46" t="inlineStr">
        <is>
          <t>9,837 - 13,051</t>
        </is>
      </c>
      <c r="C46" t="inlineStr">
        <is>
          <t>Branch</t>
        </is>
      </c>
      <c r="D46" t="n">
        <v>541</v>
      </c>
      <c r="E46" t="n">
        <v>0</v>
      </c>
      <c r="F46" t="n">
        <v>243</v>
      </c>
      <c r="G46" t="n">
        <v>241</v>
      </c>
      <c r="H46" t="n">
        <v>242</v>
      </c>
    </row>
    <row r="47">
      <c r="A47" t="inlineStr">
        <is>
          <t>C|REV_DEBT x CHANNEL|3</t>
        </is>
      </c>
      <c r="B47" t="inlineStr">
        <is>
          <t>0 - 6,558</t>
        </is>
      </c>
      <c r="C47" t="inlineStr">
        <is>
          <t>Broker</t>
        </is>
      </c>
      <c r="D47" t="n">
        <v>542</v>
      </c>
      <c r="E47" t="n">
        <v>0</v>
      </c>
      <c r="F47" t="n">
        <v>263</v>
      </c>
      <c r="G47" t="n">
        <v>261</v>
      </c>
      <c r="H47" t="n">
        <v>262</v>
      </c>
    </row>
    <row r="48">
      <c r="A48" t="inlineStr">
        <is>
          <t>C|REV_DEBT x CHANNEL|4</t>
        </is>
      </c>
      <c r="B48" t="inlineStr">
        <is>
          <t>13,052 - 17,186</t>
        </is>
      </c>
      <c r="C48" t="inlineStr">
        <is>
          <t>Broker</t>
        </is>
      </c>
      <c r="D48" t="n">
        <v>553</v>
      </c>
      <c r="E48" t="n">
        <v>0</v>
      </c>
      <c r="F48" t="n">
        <v>248</v>
      </c>
      <c r="G48" t="n">
        <v>246</v>
      </c>
      <c r="H48" t="n">
        <v>247</v>
      </c>
    </row>
    <row r="49">
      <c r="A49" t="inlineStr">
        <is>
          <t>C|REV_DEBT x CHANNEL|5</t>
        </is>
      </c>
      <c r="B49" t="inlineStr">
        <is>
          <t>13,052 - 17,186</t>
        </is>
      </c>
      <c r="C49" t="inlineStr">
        <is>
          <t>Online</t>
        </is>
      </c>
      <c r="D49" t="n">
        <v>522</v>
      </c>
      <c r="E49" t="n">
        <v>0</v>
      </c>
      <c r="F49" t="n">
        <v>228</v>
      </c>
      <c r="G49" t="n">
        <v>226</v>
      </c>
      <c r="H49" t="n">
        <v>227</v>
      </c>
    </row>
    <row r="50">
      <c r="A50" t="inlineStr">
        <is>
          <t>C|REV_DEBT x CHANNEL|6</t>
        </is>
      </c>
      <c r="B50" t="inlineStr">
        <is>
          <t>9,837 - 13,051</t>
        </is>
      </c>
      <c r="C50" t="inlineStr">
        <is>
          <t>Broker</t>
        </is>
      </c>
      <c r="D50" t="n">
        <v>532</v>
      </c>
      <c r="E50" t="n">
        <v>0</v>
      </c>
      <c r="F50" t="n">
        <v>233</v>
      </c>
      <c r="G50" t="n">
        <v>231</v>
      </c>
      <c r="H50" t="n">
        <v>232</v>
      </c>
    </row>
    <row r="51">
      <c r="A51" t="inlineStr">
        <is>
          <t>C|REV_DEBT x CHANNEL|7</t>
        </is>
      </c>
      <c r="B51" t="inlineStr">
        <is>
          <t>6,559 - 9,836</t>
        </is>
      </c>
      <c r="C51" t="inlineStr">
        <is>
          <t>Online</t>
        </is>
      </c>
      <c r="D51" t="n">
        <v>565</v>
      </c>
      <c r="E51" t="n">
        <v>0</v>
      </c>
      <c r="F51" t="n">
        <v>258</v>
      </c>
      <c r="G51" t="n">
        <v>256</v>
      </c>
      <c r="H51" t="n">
        <v>257</v>
      </c>
    </row>
    <row r="52">
      <c r="A52" t="inlineStr">
        <is>
          <t>C|REV_DEBT x CHANNEL|8</t>
        </is>
      </c>
      <c r="B52" t="inlineStr">
        <is>
          <t>0 - 6,558</t>
        </is>
      </c>
      <c r="C52" t="inlineStr">
        <is>
          <t>Online</t>
        </is>
      </c>
      <c r="D52" t="n">
        <v>537</v>
      </c>
      <c r="E52" t="n">
        <v>0</v>
      </c>
      <c r="F52" t="n">
        <v>273</v>
      </c>
      <c r="G52" t="n">
        <v>271</v>
      </c>
      <c r="H52" t="n">
        <v>272</v>
      </c>
    </row>
    <row r="53">
      <c r="A53" t="inlineStr">
        <is>
          <t>C|REV_DEBT x CHANNEL|9</t>
        </is>
      </c>
      <c r="B53" t="inlineStr">
        <is>
          <t>6,559 - 9,836</t>
        </is>
      </c>
      <c r="C53" t="inlineStr">
        <is>
          <t>Broker</t>
        </is>
      </c>
      <c r="D53" t="n">
        <v>521</v>
      </c>
      <c r="E53" t="n">
        <v>0</v>
      </c>
      <c r="F53" t="n">
        <v>253</v>
      </c>
      <c r="G53" t="n">
        <v>251</v>
      </c>
      <c r="H53" t="n">
        <v>252</v>
      </c>
    </row>
    <row r="54">
      <c r="A54" t="inlineStr">
        <is>
          <t>C|REV_DEBT x CHANNEL|10</t>
        </is>
      </c>
      <c r="B54" t="inlineStr">
        <is>
          <t>0 - 6,558</t>
        </is>
      </c>
      <c r="C54" t="inlineStr">
        <is>
          <t>Branch</t>
        </is>
      </c>
      <c r="D54" t="n">
        <v>522</v>
      </c>
      <c r="E54" t="n">
        <v>0</v>
      </c>
      <c r="F54" t="n">
        <v>288</v>
      </c>
      <c r="G54" t="n">
        <v>286</v>
      </c>
      <c r="H54" t="n">
        <v>287</v>
      </c>
    </row>
    <row r="55">
      <c r="A55" t="inlineStr">
        <is>
          <t>C|REV_DEBT x CHANNEL|11</t>
        </is>
      </c>
      <c r="B55" t="inlineStr">
        <is>
          <t>6,559 - 9,836</t>
        </is>
      </c>
      <c r="C55" t="inlineStr">
        <is>
          <t>Branch</t>
        </is>
      </c>
      <c r="D55" t="n">
        <v>514</v>
      </c>
      <c r="E55" t="n">
        <v>0</v>
      </c>
      <c r="F55" t="n">
        <v>238</v>
      </c>
      <c r="G55" t="n">
        <v>236</v>
      </c>
      <c r="H55" t="n">
        <v>237</v>
      </c>
    </row>
    <row r="56">
      <c r="A56" t="inlineStr">
        <is>
          <t>C|REV_DEBT x CHANNEL|12</t>
        </is>
      </c>
      <c r="B56" t="inlineStr">
        <is>
          <t>9,837 - 13,051</t>
        </is>
      </c>
      <c r="C56" t="inlineStr">
        <is>
          <t>Online</t>
        </is>
      </c>
      <c r="D56" t="n">
        <v>526</v>
      </c>
      <c r="E56" t="n">
        <v>0</v>
      </c>
      <c r="F56" t="n">
        <v>293</v>
      </c>
      <c r="G56" t="n">
        <v>291</v>
      </c>
      <c r="H56" t="n">
        <v>292</v>
      </c>
    </row>
    <row r="57">
      <c r="A57" t="inlineStr">
        <is>
          <t>C|REV_DEBT x CHANNEL|13</t>
        </is>
      </c>
      <c r="B57" t="inlineStr">
        <is>
          <t>17,187 - 48,521</t>
        </is>
      </c>
      <c r="C57" t="inlineStr">
        <is>
          <t>Online</t>
        </is>
      </c>
      <c r="D57" t="n">
        <v>568</v>
      </c>
      <c r="E57" t="n">
        <v>0</v>
      </c>
      <c r="F57" t="n">
        <v>298</v>
      </c>
      <c r="G57" t="n">
        <v>296</v>
      </c>
      <c r="H57" t="n">
        <v>297</v>
      </c>
    </row>
    <row r="58">
      <c r="A58" t="inlineStr">
        <is>
          <t>C|REV_DEBT x CHANNEL|14</t>
        </is>
      </c>
      <c r="B58" t="inlineStr">
        <is>
          <t>17,187 - 48,521</t>
        </is>
      </c>
      <c r="C58" t="inlineStr">
        <is>
          <t>Branch</t>
        </is>
      </c>
      <c r="D58" t="n">
        <v>525</v>
      </c>
      <c r="E58" t="n">
        <v>0</v>
      </c>
      <c r="F58" t="n">
        <v>283</v>
      </c>
      <c r="G58" t="n">
        <v>281</v>
      </c>
      <c r="H58" t="n">
        <v>282</v>
      </c>
    </row>
    <row r="59">
      <c r="A59" t="inlineStr">
        <is>
          <t>C|REV_DEBT x CHANNEL|15</t>
        </is>
      </c>
      <c r="B59" t="inlineStr">
        <is>
          <t>13,052 - 17,186</t>
        </is>
      </c>
      <c r="C59" t="inlineStr">
        <is>
          <t>Branch</t>
        </is>
      </c>
      <c r="D59" t="n">
        <v>525</v>
      </c>
      <c r="E59" t="n">
        <v>0</v>
      </c>
      <c r="F59" t="n">
        <v>268</v>
      </c>
      <c r="G59" t="n">
        <v>266</v>
      </c>
      <c r="H59" t="n">
        <v>267</v>
      </c>
    </row>
    <row r="60">
      <c r="A60" t="inlineStr">
        <is>
          <t>C|REV_DEBT x ASSET_CLASS|1</t>
        </is>
      </c>
      <c r="B60" t="inlineStr">
        <is>
          <t>17,187 - 48,521</t>
        </is>
      </c>
      <c r="C60" t="inlineStr">
        <is>
          <t>4</t>
        </is>
      </c>
      <c r="D60" t="n">
        <v>424</v>
      </c>
      <c r="E60" t="n">
        <v>0</v>
      </c>
      <c r="F60" t="n">
        <v>358</v>
      </c>
      <c r="G60" t="n">
        <v>356</v>
      </c>
      <c r="H60" t="n">
        <v>357</v>
      </c>
    </row>
    <row r="61">
      <c r="A61" t="inlineStr">
        <is>
          <t>C|REV_DEBT x ASSET_CLASS|2</t>
        </is>
      </c>
      <c r="B61" t="inlineStr">
        <is>
          <t>13,052 - 17,186</t>
        </is>
      </c>
      <c r="C61" t="inlineStr">
        <is>
          <t>4</t>
        </is>
      </c>
      <c r="D61" t="n">
        <v>411</v>
      </c>
      <c r="E61" t="n">
        <v>0</v>
      </c>
      <c r="F61" t="n">
        <v>343</v>
      </c>
      <c r="G61" t="n">
        <v>341</v>
      </c>
      <c r="H61" t="n">
        <v>342</v>
      </c>
    </row>
    <row r="62">
      <c r="A62" t="inlineStr">
        <is>
          <t>C|REV_DEBT x ASSET_CLASS|3</t>
        </is>
      </c>
      <c r="B62" t="inlineStr">
        <is>
          <t>6,559 - 9,836</t>
        </is>
      </c>
      <c r="C62" t="inlineStr">
        <is>
          <t>4</t>
        </is>
      </c>
      <c r="D62" t="n">
        <v>400</v>
      </c>
      <c r="E62" t="n">
        <v>0</v>
      </c>
      <c r="F62" t="n">
        <v>328</v>
      </c>
      <c r="G62" t="n">
        <v>326</v>
      </c>
      <c r="H62" t="n">
        <v>327</v>
      </c>
    </row>
    <row r="63">
      <c r="A63" t="inlineStr">
        <is>
          <t>C|REV_DEBT x ASSET_CLASS|4</t>
        </is>
      </c>
      <c r="B63" t="inlineStr">
        <is>
          <t>9,837 - 13,051</t>
        </is>
      </c>
      <c r="C63" t="inlineStr">
        <is>
          <t>4</t>
        </is>
      </c>
      <c r="D63" t="n">
        <v>414</v>
      </c>
      <c r="E63" t="n">
        <v>0</v>
      </c>
      <c r="F63" t="n">
        <v>318</v>
      </c>
      <c r="G63" t="n">
        <v>316</v>
      </c>
      <c r="H63" t="n">
        <v>317</v>
      </c>
    </row>
    <row r="64">
      <c r="A64" t="inlineStr">
        <is>
          <t>C|REV_DEBT x ASSET_CLASS|5</t>
        </is>
      </c>
      <c r="B64" t="inlineStr">
        <is>
          <t>6,559 - 9,836</t>
        </is>
      </c>
      <c r="C64" t="inlineStr">
        <is>
          <t>3</t>
        </is>
      </c>
      <c r="D64" t="n">
        <v>411</v>
      </c>
      <c r="E64" t="n">
        <v>0</v>
      </c>
      <c r="F64" t="n">
        <v>368</v>
      </c>
      <c r="G64" t="n">
        <v>366</v>
      </c>
      <c r="H64" t="n">
        <v>367</v>
      </c>
    </row>
    <row r="65">
      <c r="A65" t="inlineStr">
        <is>
          <t>C|REV_DEBT x ASSET_CLASS|6</t>
        </is>
      </c>
      <c r="B65" t="inlineStr">
        <is>
          <t>0 - 6,558</t>
        </is>
      </c>
      <c r="C65" t="inlineStr">
        <is>
          <t>4</t>
        </is>
      </c>
      <c r="D65" t="n">
        <v>399</v>
      </c>
      <c r="E65" t="n">
        <v>0</v>
      </c>
      <c r="F65" t="n">
        <v>338</v>
      </c>
      <c r="G65" t="n">
        <v>336</v>
      </c>
      <c r="H65" t="n">
        <v>337</v>
      </c>
    </row>
    <row r="66">
      <c r="A66" t="inlineStr">
        <is>
          <t>C|REV_DEBT x ASSET_CLASS|7</t>
        </is>
      </c>
      <c r="B66" t="inlineStr">
        <is>
          <t>17,187 - 48,521</t>
        </is>
      </c>
      <c r="C66" t="inlineStr">
        <is>
          <t>3</t>
        </is>
      </c>
      <c r="D66" t="n">
        <v>380</v>
      </c>
      <c r="E66" t="n">
        <v>0</v>
      </c>
      <c r="F66" t="n">
        <v>363</v>
      </c>
      <c r="G66" t="n">
        <v>361</v>
      </c>
      <c r="H66" t="n">
        <v>362</v>
      </c>
    </row>
    <row r="67">
      <c r="A67" t="inlineStr">
        <is>
          <t>C|REV_DEBT x ASSET_CLASS|8</t>
        </is>
      </c>
      <c r="B67" t="inlineStr">
        <is>
          <t>0 - 6,558</t>
        </is>
      </c>
      <c r="C67" t="inlineStr">
        <is>
          <t>1</t>
        </is>
      </c>
      <c r="D67" t="n">
        <v>396</v>
      </c>
      <c r="E67" t="n">
        <v>0</v>
      </c>
      <c r="F67" t="n">
        <v>333</v>
      </c>
      <c r="G67" t="n">
        <v>331</v>
      </c>
      <c r="H67" t="n">
        <v>332</v>
      </c>
    </row>
    <row r="68">
      <c r="A68" t="inlineStr">
        <is>
          <t>C|REV_DEBT x ASSET_CLASS|9</t>
        </is>
      </c>
      <c r="B68" t="inlineStr">
        <is>
          <t>0 - 6,558</t>
        </is>
      </c>
      <c r="C68" t="inlineStr">
        <is>
          <t>2</t>
        </is>
      </c>
      <c r="D68" t="n">
        <v>435</v>
      </c>
      <c r="E68" t="n">
        <v>0</v>
      </c>
      <c r="F68" t="n">
        <v>383</v>
      </c>
      <c r="G68" t="n">
        <v>381</v>
      </c>
      <c r="H68" t="n">
        <v>382</v>
      </c>
    </row>
    <row r="69">
      <c r="A69" t="inlineStr">
        <is>
          <t>C|REV_DEBT x ASSET_CLASS|10</t>
        </is>
      </c>
      <c r="B69" t="inlineStr">
        <is>
          <t>9,837 - 13,051</t>
        </is>
      </c>
      <c r="C69" t="inlineStr">
        <is>
          <t>1</t>
        </is>
      </c>
      <c r="D69" t="n">
        <v>403</v>
      </c>
      <c r="E69" t="n">
        <v>0</v>
      </c>
      <c r="F69" t="n">
        <v>353</v>
      </c>
      <c r="G69" t="n">
        <v>351</v>
      </c>
      <c r="H69" t="n">
        <v>352</v>
      </c>
    </row>
    <row r="70">
      <c r="A70" t="inlineStr">
        <is>
          <t>C|REV_DEBT x ASSET_CLASS|11</t>
        </is>
      </c>
      <c r="B70" t="inlineStr">
        <is>
          <t>9,837 - 13,051</t>
        </is>
      </c>
      <c r="C70" t="inlineStr">
        <is>
          <t>2</t>
        </is>
      </c>
      <c r="D70" t="n">
        <v>382</v>
      </c>
      <c r="E70" t="n">
        <v>0</v>
      </c>
      <c r="F70" t="n">
        <v>308</v>
      </c>
      <c r="G70" t="n">
        <v>306</v>
      </c>
      <c r="H70" t="n">
        <v>307</v>
      </c>
    </row>
    <row r="71">
      <c r="A71" t="inlineStr">
        <is>
          <t>C|REV_DEBT x ASSET_CLASS|12</t>
        </is>
      </c>
      <c r="B71" t="inlineStr">
        <is>
          <t>9,837 - 13,051</t>
        </is>
      </c>
      <c r="C71" t="inlineStr">
        <is>
          <t>3</t>
        </is>
      </c>
      <c r="D71" t="n">
        <v>400</v>
      </c>
      <c r="E71" t="n">
        <v>0</v>
      </c>
      <c r="F71" t="n">
        <v>378</v>
      </c>
      <c r="G71" t="n">
        <v>376</v>
      </c>
      <c r="H71" t="n">
        <v>377</v>
      </c>
    </row>
    <row r="72">
      <c r="A72" t="inlineStr">
        <is>
          <t>C|REV_DEBT x ASSET_CLASS|13</t>
        </is>
      </c>
      <c r="B72" t="inlineStr">
        <is>
          <t>0 - 6,558</t>
        </is>
      </c>
      <c r="C72" t="inlineStr">
        <is>
          <t>3</t>
        </is>
      </c>
      <c r="D72" t="n">
        <v>371</v>
      </c>
      <c r="E72" t="n">
        <v>0</v>
      </c>
      <c r="F72" t="n">
        <v>398</v>
      </c>
      <c r="G72" t="n">
        <v>396</v>
      </c>
      <c r="H72" t="n">
        <v>397</v>
      </c>
    </row>
    <row r="73">
      <c r="A73" t="inlineStr">
        <is>
          <t>C|REV_DEBT x ASSET_CLASS|14</t>
        </is>
      </c>
      <c r="B73" t="inlineStr">
        <is>
          <t>13,052 - 17,186</t>
        </is>
      </c>
      <c r="C73" t="inlineStr">
        <is>
          <t>1</t>
        </is>
      </c>
      <c r="D73" t="n">
        <v>424</v>
      </c>
      <c r="E73" t="n">
        <v>0</v>
      </c>
      <c r="F73" t="n">
        <v>303</v>
      </c>
      <c r="G73" t="n">
        <v>301</v>
      </c>
      <c r="H73" t="n">
        <v>302</v>
      </c>
    </row>
    <row r="74">
      <c r="A74" t="inlineStr">
        <is>
          <t>C|REV_DEBT x ASSET_CLASS|15</t>
        </is>
      </c>
      <c r="B74" t="inlineStr">
        <is>
          <t>13,052 - 17,186</t>
        </is>
      </c>
      <c r="C74" t="inlineStr">
        <is>
          <t>3</t>
        </is>
      </c>
      <c r="D74" t="n">
        <v>373</v>
      </c>
      <c r="E74" t="n">
        <v>0</v>
      </c>
      <c r="F74" t="n">
        <v>373</v>
      </c>
      <c r="G74" t="n">
        <v>371</v>
      </c>
      <c r="H74" t="n">
        <v>372</v>
      </c>
    </row>
    <row r="75">
      <c r="A75" t="inlineStr">
        <is>
          <t>C|REV_DEBT x ASSET_CLASS|16</t>
        </is>
      </c>
      <c r="B75" t="inlineStr">
        <is>
          <t>6,559 - 9,836</t>
        </is>
      </c>
      <c r="C75" t="inlineStr">
        <is>
          <t>2</t>
        </is>
      </c>
      <c r="D75" t="n">
        <v>417</v>
      </c>
      <c r="E75" t="n">
        <v>0</v>
      </c>
      <c r="F75" t="n">
        <v>323</v>
      </c>
      <c r="G75" t="n">
        <v>321</v>
      </c>
      <c r="H75" t="n">
        <v>322</v>
      </c>
    </row>
    <row r="76">
      <c r="A76" t="inlineStr">
        <is>
          <t>C|REV_DEBT x ASSET_CLASS|17</t>
        </is>
      </c>
      <c r="B76" t="inlineStr">
        <is>
          <t>17,187 - 48,521</t>
        </is>
      </c>
      <c r="C76" t="inlineStr">
        <is>
          <t>1</t>
        </is>
      </c>
      <c r="D76" t="n">
        <v>411</v>
      </c>
      <c r="E76" t="n">
        <v>0</v>
      </c>
      <c r="F76" t="n">
        <v>393</v>
      </c>
      <c r="G76" t="n">
        <v>391</v>
      </c>
      <c r="H76" t="n">
        <v>392</v>
      </c>
    </row>
    <row r="77">
      <c r="A77" t="inlineStr">
        <is>
          <t>C|REV_DEBT x ASSET_CLASS|18</t>
        </is>
      </c>
      <c r="B77" t="inlineStr">
        <is>
          <t>13,052 - 17,186</t>
        </is>
      </c>
      <c r="C77" t="inlineStr">
        <is>
          <t>2</t>
        </is>
      </c>
      <c r="D77" t="n">
        <v>392</v>
      </c>
      <c r="E77" t="n">
        <v>0</v>
      </c>
      <c r="F77" t="n">
        <v>348</v>
      </c>
      <c r="G77" t="n">
        <v>346</v>
      </c>
      <c r="H77" t="n">
        <v>347</v>
      </c>
    </row>
    <row r="78">
      <c r="A78" t="inlineStr">
        <is>
          <t>C|REV_DEBT x ASSET_CLASS|19</t>
        </is>
      </c>
      <c r="B78" t="inlineStr">
        <is>
          <t>17,187 - 48,521</t>
        </is>
      </c>
      <c r="C78" t="inlineStr">
        <is>
          <t>2</t>
        </is>
      </c>
      <c r="D78" t="n">
        <v>385</v>
      </c>
      <c r="E78" t="n">
        <v>0</v>
      </c>
      <c r="F78" t="n">
        <v>388</v>
      </c>
      <c r="G78" t="n">
        <v>386</v>
      </c>
      <c r="H78" t="n">
        <v>387</v>
      </c>
    </row>
    <row r="79">
      <c r="A79" t="inlineStr">
        <is>
          <t>C|REV_DEBT x ASSET_CLASS|20</t>
        </is>
      </c>
      <c r="B79" t="inlineStr">
        <is>
          <t>6,559 - 9,836</t>
        </is>
      </c>
      <c r="C79" t="inlineStr">
        <is>
          <t>1</t>
        </is>
      </c>
      <c r="D79" t="n">
        <v>372</v>
      </c>
      <c r="E79" t="n">
        <v>1</v>
      </c>
      <c r="F79" t="n">
        <v>313</v>
      </c>
      <c r="G79" t="n">
        <v>311</v>
      </c>
      <c r="H79" t="n">
        <v>312</v>
      </c>
    </row>
    <row r="80">
      <c r="A80" t="inlineStr">
        <is>
          <t>G|FICO x CHANNEL|cols</t>
        </is>
      </c>
      <c r="B80" t="inlineStr">
        <is>
          <t>Branch</t>
        </is>
      </c>
      <c r="C80" t="inlineStr">
        <is>
          <t>Broker</t>
        </is>
      </c>
      <c r="D80" t="inlineStr">
        <is>
          <t>Online</t>
        </is>
      </c>
      <c r="E80" t="inlineStr">
        <is>
          <t>All</t>
        </is>
      </c>
    </row>
    <row r="81">
      <c r="A81" t="inlineStr">
        <is>
          <t>G|FICO x CHANNEL|heads</t>
        </is>
      </c>
      <c r="B81" t="inlineStr">
        <is>
          <t>Branch</t>
        </is>
      </c>
      <c r="C81" t="inlineStr">
        <is>
          <t>Broker</t>
        </is>
      </c>
      <c r="D81" t="inlineStr">
        <is>
          <t>Online</t>
        </is>
      </c>
      <c r="E81" t="inlineStr">
        <is>
          <t>All</t>
        </is>
      </c>
    </row>
    <row r="82">
      <c r="A82" t="inlineStr">
        <is>
          <t>G|FICO x CHANNEL|segs</t>
        </is>
      </c>
    </row>
    <row r="83">
      <c r="A83" t="inlineStr">
        <is>
          <t>G|FICO x CHANNEL|rows</t>
        </is>
      </c>
      <c r="B83" t="inlineStr">
        <is>
          <t>496 - 653</t>
        </is>
      </c>
      <c r="C83" t="inlineStr">
        <is>
          <t>654 - 685</t>
        </is>
      </c>
      <c r="D83" t="inlineStr">
        <is>
          <t>686 - 711</t>
        </is>
      </c>
      <c r="E83" t="inlineStr">
        <is>
          <t>712 - 745</t>
        </is>
      </c>
      <c r="F83" t="inlineStr">
        <is>
          <t>746 - 921</t>
        </is>
      </c>
      <c r="G83" t="inlineStr">
        <is>
          <t>(blank)</t>
        </is>
      </c>
      <c r="H83" t="inlineStr">
        <is>
          <t>(marked missing)</t>
        </is>
      </c>
      <c r="I83" t="inlineStr">
        <is>
          <t>All</t>
        </is>
      </c>
    </row>
    <row r="84">
      <c r="A84" t="inlineStr">
        <is>
          <t>G|FICO x CHANNEL|names</t>
        </is>
      </c>
      <c r="B84" t="inlineStr">
        <is>
          <t>FICO</t>
        </is>
      </c>
      <c r="C84" t="inlineStr">
        <is>
          <t>CHANNEL</t>
        </is>
      </c>
    </row>
    <row r="85">
      <c r="A85" t="inlineStr">
        <is>
          <t>G|FICO x CHANNEL|total</t>
        </is>
      </c>
      <c r="B85" t="n">
        <v>8000</v>
      </c>
    </row>
    <row r="86">
      <c r="A86" t="inlineStr">
        <is>
          <t>G|FICO x CHANNEL|loans|1</t>
        </is>
      </c>
      <c r="B86" t="n">
        <v>502</v>
      </c>
      <c r="C86" t="n">
        <v>523</v>
      </c>
      <c r="D86" t="n">
        <v>531</v>
      </c>
      <c r="E86" t="n">
        <v>1556</v>
      </c>
    </row>
    <row r="87">
      <c r="A87" t="inlineStr">
        <is>
          <t>G|FICO x CHANNEL|loans|2</t>
        </is>
      </c>
      <c r="B87" t="n">
        <v>503</v>
      </c>
      <c r="C87" t="n">
        <v>531</v>
      </c>
      <c r="D87" t="n">
        <v>505</v>
      </c>
      <c r="E87" t="n">
        <v>1539</v>
      </c>
    </row>
    <row r="88">
      <c r="A88" t="inlineStr">
        <is>
          <t>G|FICO x CHANNEL|loans|3</t>
        </is>
      </c>
      <c r="B88" t="n">
        <v>515</v>
      </c>
      <c r="C88" t="n">
        <v>501</v>
      </c>
      <c r="D88" t="n">
        <v>546</v>
      </c>
      <c r="E88" t="n">
        <v>1562</v>
      </c>
    </row>
    <row r="89">
      <c r="A89" t="inlineStr">
        <is>
          <t>G|FICO x CHANNEL|loans|4</t>
        </is>
      </c>
      <c r="B89" t="n">
        <v>538</v>
      </c>
      <c r="C89" t="n">
        <v>509</v>
      </c>
      <c r="D89" t="n">
        <v>564</v>
      </c>
      <c r="E89" t="n">
        <v>1611</v>
      </c>
    </row>
    <row r="90">
      <c r="A90" t="inlineStr">
        <is>
          <t>G|FICO x CHANNEL|loans|5</t>
        </is>
      </c>
      <c r="B90" t="n">
        <v>518</v>
      </c>
      <c r="C90" t="n">
        <v>536</v>
      </c>
      <c r="D90" t="n">
        <v>517</v>
      </c>
      <c r="E90" t="n">
        <v>1571</v>
      </c>
    </row>
    <row r="91">
      <c r="A91" t="inlineStr">
        <is>
          <t>G|FICO x CHANNEL|loans|6</t>
        </is>
      </c>
      <c r="C91" t="n">
        <v>1</v>
      </c>
      <c r="E91" t="n">
        <v>1</v>
      </c>
    </row>
    <row r="92">
      <c r="A92" t="inlineStr">
        <is>
          <t>G|FICO x CHANNEL|loans|7</t>
        </is>
      </c>
      <c r="B92" t="n">
        <v>51</v>
      </c>
      <c r="C92" t="n">
        <v>54</v>
      </c>
      <c r="D92" t="n">
        <v>55</v>
      </c>
      <c r="E92" t="n">
        <v>160</v>
      </c>
    </row>
    <row r="93">
      <c r="A93" t="inlineStr">
        <is>
          <t>G|FICO x CHANNEL|loans|8</t>
        </is>
      </c>
      <c r="B93" t="n">
        <v>2627</v>
      </c>
      <c r="C93" t="n">
        <v>2655</v>
      </c>
      <c r="D93" t="n">
        <v>2718</v>
      </c>
      <c r="E93" t="n">
        <v>8000</v>
      </c>
    </row>
    <row r="94">
      <c r="A94" t="inlineStr">
        <is>
          <t>G|FICO x CHANNEL|outcome_loans|rate|1</t>
        </is>
      </c>
      <c r="B94" t="n">
        <v>0.1017964071856287</v>
      </c>
      <c r="C94" t="n">
        <v>0.2447418738049713</v>
      </c>
      <c r="D94" t="n">
        <v>0.1035781544256121</v>
      </c>
      <c r="E94" t="n">
        <v>0.1504823151125402</v>
      </c>
    </row>
    <row r="95">
      <c r="A95" t="inlineStr">
        <is>
          <t>G|FICO x CHANNEL|outcome_loans|book|1</t>
        </is>
      </c>
      <c r="B95" t="n">
        <v>1.315459549398779</v>
      </c>
      <c r="C95" t="n">
        <v>3.162665991221269</v>
      </c>
      <c r="D95" t="n">
        <v>1.33848409895068</v>
      </c>
      <c r="E95" t="n">
        <v>1.944601031640079</v>
      </c>
    </row>
    <row r="96">
      <c r="A96" t="inlineStr">
        <is>
          <t>G|FICO x CHANNEL|outcome_loans|band|1</t>
        </is>
      </c>
      <c r="B96" t="n">
        <v>0.5863028042276104</v>
      </c>
      <c r="C96" t="n">
        <v>2.38276994119557</v>
      </c>
      <c r="D96" t="n">
        <v>0.5925364811833896</v>
      </c>
    </row>
    <row r="97">
      <c r="A97" t="inlineStr">
        <is>
          <t>G|FICO x CHANNEL|outcome_loans|rate|2</t>
        </is>
      </c>
      <c r="B97" t="n">
        <v>0.08946322067594434</v>
      </c>
      <c r="C97" t="n">
        <v>0.08097928436911488</v>
      </c>
      <c r="D97" t="n">
        <v>0.08316831683168317</v>
      </c>
      <c r="E97" t="n">
        <v>0.08447043534762833</v>
      </c>
    </row>
    <row r="98">
      <c r="A98" t="inlineStr">
        <is>
          <t>G|FICO x CHANNEL|outcome_loans|book|2</t>
        </is>
      </c>
      <c r="B98" t="n">
        <v>1.156084494647623</v>
      </c>
      <c r="C98" t="n">
        <v>1.046451204634168</v>
      </c>
      <c r="D98" t="n">
        <v>1.074738879380668</v>
      </c>
      <c r="E98" t="n">
        <v>1.091565448054409</v>
      </c>
    </row>
    <row r="99">
      <c r="A99" t="inlineStr">
        <is>
          <t>G|FICO x CHANNEL|outcome_loans|band|2</t>
        </is>
      </c>
      <c r="B99" t="n">
        <v>1.09039878376798</v>
      </c>
      <c r="C99" t="n">
        <v>0.938242743035262</v>
      </c>
      <c r="D99" t="n">
        <v>0.9772277227722773</v>
      </c>
    </row>
    <row r="100">
      <c r="A100" t="inlineStr">
        <is>
          <t>G|FICO x CHANNEL|outcome_loans|rate|3</t>
        </is>
      </c>
      <c r="B100" t="n">
        <v>0.05436893203883495</v>
      </c>
      <c r="C100" t="n">
        <v>0.05189620758483034</v>
      </c>
      <c r="D100" t="n">
        <v>0.07692307692307693</v>
      </c>
      <c r="E100" t="n">
        <v>0.06145966709346991</v>
      </c>
    </row>
    <row r="101">
      <c r="A101" t="inlineStr">
        <is>
          <t>G|FICO x CHANNEL|outcome_loans|book|3</t>
        </is>
      </c>
      <c r="B101" t="n">
        <v>0.7025801088507928</v>
      </c>
      <c r="C101" t="n">
        <v>0.6706264369483972</v>
      </c>
      <c r="D101" t="n">
        <v>0.9940350441158196</v>
      </c>
      <c r="E101" t="n">
        <v>0.7942098175778123</v>
      </c>
    </row>
    <row r="102">
      <c r="A102" t="inlineStr">
        <is>
          <t>G|FICO x CHANNEL|outcome_loans|band|3</t>
        </is>
      </c>
      <c r="B102" t="n">
        <v>0.8371216447744146</v>
      </c>
      <c r="C102" t="n">
        <v>0.7865982321072141</v>
      </c>
      <c r="D102" t="n">
        <v>1.447293447293447</v>
      </c>
    </row>
    <row r="103">
      <c r="A103" t="inlineStr">
        <is>
          <t>G|FICO x CHANNEL|outcome_loans|rate|4</t>
        </is>
      </c>
      <c r="B103" t="n">
        <v>0.04089219330855019</v>
      </c>
      <c r="C103" t="n">
        <v>0.03143418467583497</v>
      </c>
      <c r="D103" t="n">
        <v>0.08687943262411348</v>
      </c>
      <c r="E103" t="n">
        <v>0.05400372439478585</v>
      </c>
    </row>
    <row r="104">
      <c r="A104" t="inlineStr">
        <is>
          <t>G|FICO x CHANNEL|outcome_loans|book|4</t>
        </is>
      </c>
      <c r="B104" t="n">
        <v>0.5284275513329449</v>
      </c>
      <c r="C104" t="n">
        <v>0.4062068549628496</v>
      </c>
      <c r="D104" t="n">
        <v>1.122695608336484</v>
      </c>
      <c r="E104" t="n">
        <v>0.6978607292954636</v>
      </c>
    </row>
    <row r="105">
      <c r="A105" t="inlineStr">
        <is>
          <t>G|FICO x CHANNEL|outcome_loans|band|4</t>
        </is>
      </c>
      <c r="B105" t="n">
        <v>0.6750357449242208</v>
      </c>
      <c r="C105" t="n">
        <v>0.4878939649685934</v>
      </c>
      <c r="D105" t="n">
        <v>2.393756998880179</v>
      </c>
    </row>
    <row r="106">
      <c r="A106" t="inlineStr">
        <is>
          <t>G|FICO x CHANNEL|outcome_loans|rate|5</t>
        </is>
      </c>
      <c r="B106" t="n">
        <v>0.0444015444015444</v>
      </c>
      <c r="C106" t="n">
        <v>0.03731343283582089</v>
      </c>
      <c r="D106" t="n">
        <v>0.0367504835589942</v>
      </c>
      <c r="E106" t="n">
        <v>0.03946530872056015</v>
      </c>
    </row>
    <row r="107">
      <c r="A107" t="inlineStr">
        <is>
          <t>G|FICO x CHANNEL|outcome_loans|book|5</t>
        </is>
      </c>
      <c r="B107" t="n">
        <v>0.5737769849239962</v>
      </c>
      <c r="C107" t="n">
        <v>0.4821811781158826</v>
      </c>
      <c r="D107" t="n">
        <v>0.4749064910959525</v>
      </c>
      <c r="E107" t="n">
        <v>0.5099886986361238</v>
      </c>
    </row>
    <row r="108">
      <c r="A108" t="inlineStr">
        <is>
          <t>G|FICO x CHANNEL|outcome_loans|band|5</t>
        </is>
      </c>
      <c r="B108" t="n">
        <v>1.198841698841699</v>
      </c>
      <c r="C108" t="n">
        <v>0.9195095948827292</v>
      </c>
      <c r="D108" t="n">
        <v>0.9008141783995323</v>
      </c>
    </row>
    <row r="109">
      <c r="A109" t="inlineStr">
        <is>
          <t>G|FICO x CHANNEL|outcome_loans|rate|6</t>
        </is>
      </c>
      <c r="C109" t="n">
        <v>0</v>
      </c>
      <c r="E109" t="n">
        <v>0</v>
      </c>
    </row>
    <row r="110">
      <c r="A110" t="inlineStr">
        <is>
          <t>G|FICO x CHANNEL|outcome_loans|book|6</t>
        </is>
      </c>
    </row>
    <row r="111">
      <c r="A111" t="inlineStr">
        <is>
          <t>G|FICO x CHANNEL|outcome_loans|band|6</t>
        </is>
      </c>
    </row>
    <row r="112">
      <c r="A112" t="inlineStr">
        <is>
          <t>G|FICO x CHANNEL|outcome_loans|rate|7</t>
        </is>
      </c>
      <c r="B112" t="n">
        <v>0.0196078431372549</v>
      </c>
      <c r="C112" t="n">
        <v>0.1296296296296296</v>
      </c>
      <c r="D112" t="n">
        <v>0.03636363636363636</v>
      </c>
      <c r="E112" t="n">
        <v>0.0625</v>
      </c>
    </row>
    <row r="113">
      <c r="A113" t="inlineStr">
        <is>
          <t>G|FICO x CHANNEL|outcome_loans|book|7</t>
        </is>
      </c>
      <c r="E113" t="n">
        <v>0.8076534733441034</v>
      </c>
    </row>
    <row r="114">
      <c r="A114" t="inlineStr">
        <is>
          <t>G|FICO x CHANNEL|outcome_loans|band|7</t>
        </is>
      </c>
    </row>
    <row r="115">
      <c r="A115" t="inlineStr">
        <is>
          <t>G|FICO x CHANNEL|outcome_loans|rate|8</t>
        </is>
      </c>
      <c r="B115" t="n">
        <v>0.06473724295506474</v>
      </c>
      <c r="C115" t="n">
        <v>0.0903954802259887</v>
      </c>
      <c r="D115" t="n">
        <v>0.07689477557027226</v>
      </c>
      <c r="E115" t="n">
        <v>0.07738467308413552</v>
      </c>
    </row>
    <row r="116">
      <c r="A116" t="inlineStr">
        <is>
          <t>G|FICO x CHANNEL|outcome_loans|book|8</t>
        </is>
      </c>
      <c r="B116" t="n">
        <v>0.8365641460380659</v>
      </c>
      <c r="C116" t="n">
        <v>1.168131577266048</v>
      </c>
      <c r="D116" t="n">
        <v>0.9936693211415312</v>
      </c>
      <c r="E116" t="n">
        <v>1</v>
      </c>
    </row>
    <row r="117">
      <c r="A117" t="inlineStr">
        <is>
          <t>G|FICO x CHANNEL|outcome_loans|band|8</t>
        </is>
      </c>
    </row>
    <row r="118">
      <c r="A118" t="inlineStr">
        <is>
          <t>G|FICO x CHANNEL|outcome_loans|meta</t>
        </is>
      </c>
      <c r="B118" t="inlineStr">
        <is>
          <t>x</t>
        </is>
      </c>
      <c r="C118" t="n">
        <v>3.162665991221269</v>
      </c>
      <c r="D118" t="n">
        <v>10</v>
      </c>
      <c r="E118" t="n">
        <v>0.07738467308413552</v>
      </c>
      <c r="F118" t="n">
        <v>30</v>
      </c>
    </row>
    <row r="119">
      <c r="A119" t="inlineStr">
        <is>
          <t>G|FICO x CHANNEL|outcome_booked|rate|1</t>
        </is>
      </c>
      <c r="B119" t="n">
        <v>0.1032366130282964</v>
      </c>
      <c r="C119" t="n">
        <v>0.2452047977290487</v>
      </c>
      <c r="D119" t="n">
        <v>0.09804363285320282</v>
      </c>
      <c r="E119" t="n">
        <v>0.1491655756309188</v>
      </c>
    </row>
    <row r="120">
      <c r="A120" t="inlineStr">
        <is>
          <t>G|FICO x CHANNEL|outcome_booked|book|1</t>
        </is>
      </c>
      <c r="B120" t="n">
        <v>1.37963616176999</v>
      </c>
      <c r="C120" t="n">
        <v>3.276874318743562</v>
      </c>
      <c r="D120" t="n">
        <v>1.310238076858486</v>
      </c>
      <c r="E120" t="n">
        <v>1.993422839000397</v>
      </c>
    </row>
    <row r="121">
      <c r="A121" t="inlineStr">
        <is>
          <t>G|FICO x CHANNEL|outcome_booked|band|1</t>
        </is>
      </c>
      <c r="B121" t="n">
        <v>0.6039812851062788</v>
      </c>
      <c r="C121" t="n">
        <v>2.438440600661326</v>
      </c>
      <c r="D121" t="n">
        <v>0.5577235040008647</v>
      </c>
    </row>
    <row r="122">
      <c r="A122" t="inlineStr">
        <is>
          <t>G|FICO x CHANNEL|outcome_booked|rate|2</t>
        </is>
      </c>
      <c r="B122" t="n">
        <v>0.08626501981866973</v>
      </c>
      <c r="C122" t="n">
        <v>0.07651412632770158</v>
      </c>
      <c r="D122" t="n">
        <v>0.07697322210798571</v>
      </c>
      <c r="E122" t="n">
        <v>0.07985779590889652</v>
      </c>
    </row>
    <row r="123">
      <c r="A123" t="inlineStr">
        <is>
          <t>G|FICO x CHANNEL|outcome_booked|book|2</t>
        </is>
      </c>
      <c r="B123" t="n">
        <v>1.152830738499922</v>
      </c>
      <c r="C123" t="n">
        <v>1.022521491856776</v>
      </c>
      <c r="D123" t="n">
        <v>1.028656768108259</v>
      </c>
      <c r="E123" t="n">
        <v>1.067205711262177</v>
      </c>
    </row>
    <row r="124">
      <c r="A124" t="inlineStr">
        <is>
          <t>G|FICO x CHANNEL|outcome_booked|band|2</t>
        </is>
      </c>
      <c r="B124" t="n">
        <v>1.124215883183804</v>
      </c>
      <c r="C124" t="n">
        <v>0.9369131281724594</v>
      </c>
      <c r="D124" t="n">
        <v>0.9476799112696344</v>
      </c>
    </row>
    <row r="125">
      <c r="A125" t="inlineStr">
        <is>
          <t>G|FICO x CHANNEL|outcome_booked|rate|3</t>
        </is>
      </c>
      <c r="B125" t="n">
        <v>0.04502360615694115</v>
      </c>
      <c r="C125" t="n">
        <v>0.04625110965994935</v>
      </c>
      <c r="D125" t="n">
        <v>0.07807485876303806</v>
      </c>
      <c r="E125" t="n">
        <v>0.05686223568965074</v>
      </c>
    </row>
    <row r="126">
      <c r="A126" t="inlineStr">
        <is>
          <t>G|FICO x CHANNEL|outcome_booked|book|3</t>
        </is>
      </c>
      <c r="B126" t="n">
        <v>0.6016876509730165</v>
      </c>
      <c r="C126" t="n">
        <v>0.6180917945396528</v>
      </c>
      <c r="D126" t="n">
        <v>1.043378848984982</v>
      </c>
      <c r="E126" t="n">
        <v>0.7598970393868687</v>
      </c>
    </row>
    <row r="127">
      <c r="A127" t="inlineStr">
        <is>
          <t>G|FICO x CHANNEL|outcome_booked|band|3</t>
        </is>
      </c>
      <c r="B127" t="n">
        <v>0.718131796099021</v>
      </c>
      <c r="C127" t="n">
        <v>0.7466818259615715</v>
      </c>
      <c r="D127" t="n">
        <v>1.710989447132353</v>
      </c>
    </row>
    <row r="128">
      <c r="A128" t="inlineStr">
        <is>
          <t>G|FICO x CHANNEL|outcome_booked|rate|4</t>
        </is>
      </c>
      <c r="B128" t="n">
        <v>0.04121392727379864</v>
      </c>
      <c r="C128" t="n">
        <v>0.03545096557474654</v>
      </c>
      <c r="D128" t="n">
        <v>0.08332388471451478</v>
      </c>
      <c r="E128" t="n">
        <v>0.05451749193722224</v>
      </c>
    </row>
    <row r="129">
      <c r="A129" t="inlineStr">
        <is>
          <t>G|FICO x CHANNEL|outcome_booked|book|4</t>
        </is>
      </c>
      <c r="B129" t="n">
        <v>0.5507757642136718</v>
      </c>
      <c r="C129" t="n">
        <v>0.4737605452358035</v>
      </c>
      <c r="D129" t="n">
        <v>1.113525919915539</v>
      </c>
      <c r="E129" t="n">
        <v>0.7285622912191043</v>
      </c>
    </row>
    <row r="130">
      <c r="A130" t="inlineStr">
        <is>
          <t>G|FICO x CHANNEL|outcome_booked|band|4</t>
        </is>
      </c>
      <c r="B130" t="n">
        <v>0.6771166315286687</v>
      </c>
      <c r="C130" t="n">
        <v>0.5592595872783042</v>
      </c>
      <c r="D130" t="n">
        <v>2.172307734022388</v>
      </c>
    </row>
    <row r="131">
      <c r="A131" t="inlineStr">
        <is>
          <t>G|FICO x CHANNEL|outcome_booked|rate|5</t>
        </is>
      </c>
      <c r="B131" t="n">
        <v>0.04094877956620275</v>
      </c>
      <c r="C131" t="n">
        <v>0.03370544807318695</v>
      </c>
      <c r="D131" t="n">
        <v>0.0359906323755155</v>
      </c>
      <c r="E131" t="n">
        <v>0.03682990751373654</v>
      </c>
    </row>
    <row r="132">
      <c r="A132" t="inlineStr">
        <is>
          <t>G|FICO x CHANNEL|outcome_booked|book|5</t>
        </is>
      </c>
      <c r="B132" t="n">
        <v>0.5472323763120419</v>
      </c>
      <c r="C132" t="n">
        <v>0.4504337525843054</v>
      </c>
      <c r="D132" t="n">
        <v>0.4809725586078762</v>
      </c>
      <c r="E132" t="n">
        <v>0.4921884857523176</v>
      </c>
    </row>
    <row r="133">
      <c r="A133" t="inlineStr">
        <is>
          <t>G|FICO x CHANNEL|outcome_booked|band|5</t>
        </is>
      </c>
      <c r="B133" t="n">
        <v>1.175288487477193</v>
      </c>
      <c r="C133" t="n">
        <v>0.8769839649578951</v>
      </c>
      <c r="D133" t="n">
        <v>0.9661081622512918</v>
      </c>
    </row>
    <row r="134">
      <c r="A134" t="inlineStr">
        <is>
          <t>G|FICO x CHANNEL|outcome_booked|rate|6</t>
        </is>
      </c>
      <c r="C134" t="n">
        <v>0</v>
      </c>
      <c r="E134" t="n">
        <v>0</v>
      </c>
    </row>
    <row r="135">
      <c r="A135" t="inlineStr">
        <is>
          <t>G|FICO x CHANNEL|outcome_booked|book|6</t>
        </is>
      </c>
    </row>
    <row r="136">
      <c r="A136" t="inlineStr">
        <is>
          <t>G|FICO x CHANNEL|outcome_booked|band|6</t>
        </is>
      </c>
    </row>
    <row r="137">
      <c r="A137" t="inlineStr">
        <is>
          <t>G|FICO x CHANNEL|outcome_booked|rate|7</t>
        </is>
      </c>
      <c r="B137" t="n">
        <v>0.01600431583552905</v>
      </c>
      <c r="C137" t="n">
        <v>0.1031903128947965</v>
      </c>
      <c r="D137" t="n">
        <v>0.02927043551277416</v>
      </c>
      <c r="E137" t="n">
        <v>0.04815037624246446</v>
      </c>
    </row>
    <row r="138">
      <c r="A138" t="inlineStr">
        <is>
          <t>G|FICO x CHANNEL|outcome_booked|book|7</t>
        </is>
      </c>
      <c r="E138" t="n">
        <v>0.6434732631990415</v>
      </c>
    </row>
    <row r="139">
      <c r="A139" t="inlineStr">
        <is>
          <t>G|FICO x CHANNEL|outcome_booked|band|7</t>
        </is>
      </c>
    </row>
    <row r="140">
      <c r="A140" t="inlineStr">
        <is>
          <t>G|FICO x CHANNEL|outcome_booked|rate|8</t>
        </is>
      </c>
      <c r="B140" t="n">
        <v>0.06209402737287426</v>
      </c>
      <c r="C140" t="n">
        <v>0.08834961310910708</v>
      </c>
      <c r="D140" t="n">
        <v>0.07378839081032544</v>
      </c>
      <c r="E140" t="n">
        <v>0.07482886857347225</v>
      </c>
    </row>
    <row r="141">
      <c r="A141" t="inlineStr">
        <is>
          <t>G|FICO x CHANNEL|outcome_booked|book|8</t>
        </is>
      </c>
      <c r="B141" t="n">
        <v>0.8298137945505067</v>
      </c>
      <c r="C141" t="n">
        <v>1.180688881088174</v>
      </c>
      <c r="D141" t="n">
        <v>0.9860952359298967</v>
      </c>
      <c r="E141" t="n">
        <v>0.9999999999999987</v>
      </c>
    </row>
    <row r="142">
      <c r="A142" t="inlineStr">
        <is>
          <t>G|FICO x CHANNEL|outcome_booked|band|8</t>
        </is>
      </c>
    </row>
    <row r="143">
      <c r="A143" t="inlineStr">
        <is>
          <t>G|FICO x CHANNEL|outcome_booked|meta</t>
        </is>
      </c>
      <c r="B143" t="inlineStr">
        <is>
          <t>x</t>
        </is>
      </c>
      <c r="C143" t="n">
        <v>3.276874318743562</v>
      </c>
      <c r="D143" t="n">
        <v>10</v>
      </c>
      <c r="E143" t="n">
        <v>0.07482886857347235</v>
      </c>
      <c r="F143" t="n">
        <v>30</v>
      </c>
    </row>
    <row r="144">
      <c r="A144" t="inlineStr">
        <is>
          <t>G|FICO x CHANNEL|gco_rate|rate|1</t>
        </is>
      </c>
      <c r="B144" t="n">
        <v>0.05382250925935985</v>
      </c>
      <c r="C144" t="n">
        <v>0.1416885243252877</v>
      </c>
      <c r="D144" t="n">
        <v>0.05418720216775902</v>
      </c>
      <c r="E144" t="n">
        <v>0.08345255929305037</v>
      </c>
    </row>
    <row r="145">
      <c r="A145" t="inlineStr">
        <is>
          <t>G|FICO x CHANNEL|gco_rate|book|1</t>
        </is>
      </c>
      <c r="B145" t="n">
        <v>1.293646581223346</v>
      </c>
      <c r="C145" t="n">
        <v>3.405543101097873</v>
      </c>
      <c r="D145" t="n">
        <v>1.302412128215471</v>
      </c>
      <c r="E145" t="n">
        <v>2.005817259532897</v>
      </c>
    </row>
    <row r="146">
      <c r="A146" t="inlineStr">
        <is>
          <t>G|FICO x CHANNEL|gco_rate|band|1</t>
        </is>
      </c>
      <c r="B146" t="n">
        <v>0.5518943693761096</v>
      </c>
      <c r="C146" t="n">
        <v>2.623355637889496</v>
      </c>
      <c r="D146" t="n">
        <v>0.5491282604182235</v>
      </c>
    </row>
    <row r="147">
      <c r="A147" t="inlineStr">
        <is>
          <t>G|FICO x CHANNEL|gco_rate|rate|2</t>
        </is>
      </c>
      <c r="B147" t="n">
        <v>0.05005569466772698</v>
      </c>
      <c r="C147" t="n">
        <v>0.04225891257503112</v>
      </c>
      <c r="D147" t="n">
        <v>0.04350405077341554</v>
      </c>
      <c r="E147" t="n">
        <v>0.04521453740915432</v>
      </c>
    </row>
    <row r="148">
      <c r="A148" t="inlineStr">
        <is>
          <t>G|FICO x CHANNEL|gco_rate|book|2</t>
        </is>
      </c>
      <c r="B148" t="n">
        <v>1.203109612850385</v>
      </c>
      <c r="C148" t="n">
        <v>1.015710685569688</v>
      </c>
      <c r="D148" t="n">
        <v>1.045638104332879</v>
      </c>
      <c r="E148" t="n">
        <v>1.086750367937848</v>
      </c>
    </row>
    <row r="149">
      <c r="A149" t="inlineStr">
        <is>
          <t>G|FICO x CHANNEL|gco_rate|band|2</t>
        </is>
      </c>
      <c r="B149" t="n">
        <v>1.168054905981109</v>
      </c>
      <c r="C149" t="n">
        <v>0.9027162731903188</v>
      </c>
      <c r="D149" t="n">
        <v>0.9452479312942789</v>
      </c>
    </row>
    <row r="150">
      <c r="A150" t="inlineStr">
        <is>
          <t>G|FICO x CHANNEL|gco_rate|rate|3</t>
        </is>
      </c>
      <c r="B150" t="n">
        <v>0.02416902423541164</v>
      </c>
      <c r="C150" t="n">
        <v>0.02640479870989074</v>
      </c>
      <c r="D150" t="n">
        <v>0.0432990046008993</v>
      </c>
      <c r="E150" t="n">
        <v>0.03151500509362794</v>
      </c>
    </row>
    <row r="151">
      <c r="A151" t="inlineStr">
        <is>
          <t>G|FICO x CHANNEL|gco_rate|book|3</t>
        </is>
      </c>
      <c r="B151" t="n">
        <v>0.5809126330951804</v>
      </c>
      <c r="C151" t="n">
        <v>0.6346504101906126</v>
      </c>
      <c r="D151" t="n">
        <v>1.040709733587652</v>
      </c>
      <c r="E151" t="n">
        <v>0.7574763636557552</v>
      </c>
    </row>
    <row r="152">
      <c r="A152" t="inlineStr">
        <is>
          <t>G|FICO x CHANNEL|gco_rate|band|3</t>
        </is>
      </c>
      <c r="B152" t="n">
        <v>0.6878985196916947</v>
      </c>
      <c r="C152" t="n">
        <v>0.7774930635253152</v>
      </c>
      <c r="D152" t="n">
        <v>1.713043008488713</v>
      </c>
    </row>
    <row r="153">
      <c r="A153" t="inlineStr">
        <is>
          <t>G|FICO x CHANNEL|gco_rate|rate|4</t>
        </is>
      </c>
      <c r="B153" t="n">
        <v>0.02299567418454924</v>
      </c>
      <c r="C153" t="n">
        <v>0.02075932934058127</v>
      </c>
      <c r="D153" t="n">
        <v>0.04518040416451506</v>
      </c>
      <c r="E153" t="n">
        <v>0.03026397173122731</v>
      </c>
    </row>
    <row r="154">
      <c r="A154" t="inlineStr">
        <is>
          <t>G|FICO x CHANNEL|gco_rate|book|4</t>
        </is>
      </c>
      <c r="B154" t="n">
        <v>0.5527106725629815</v>
      </c>
      <c r="C154" t="n">
        <v>0.4989591863976923</v>
      </c>
      <c r="D154" t="n">
        <v>1.08592996108872</v>
      </c>
      <c r="E154" t="n">
        <v>0.7274072521532202</v>
      </c>
    </row>
    <row r="155">
      <c r="A155" t="inlineStr">
        <is>
          <t>G|FICO x CHANNEL|gco_rate|band|4</t>
        </is>
      </c>
      <c r="B155" t="n">
        <v>0.6818678243913163</v>
      </c>
      <c r="C155" t="n">
        <v>0.5983981658374574</v>
      </c>
      <c r="D155" t="n">
        <v>2.06437015854151</v>
      </c>
    </row>
    <row r="156">
      <c r="A156" t="inlineStr">
        <is>
          <t>G|FICO x CHANNEL|gco_rate|rate|5</t>
        </is>
      </c>
      <c r="B156" t="n">
        <v>0.02259516093848434</v>
      </c>
      <c r="C156" t="n">
        <v>0.01802270743101798</v>
      </c>
      <c r="D156" t="n">
        <v>0.0177152709979479</v>
      </c>
      <c r="E156" t="n">
        <v>0.01940834703954904</v>
      </c>
    </row>
    <row r="157">
      <c r="A157" t="inlineStr">
        <is>
          <t>G|FICO x CHANNEL|gco_rate|book|5</t>
        </is>
      </c>
      <c r="B157" t="n">
        <v>0.5430841687333329</v>
      </c>
      <c r="C157" t="n">
        <v>0.4331833311630761</v>
      </c>
      <c r="D157" t="n">
        <v>0.4257939675667393</v>
      </c>
      <c r="E157" t="n">
        <v>0.4664877602402493</v>
      </c>
    </row>
    <row r="158">
      <c r="A158" t="inlineStr">
        <is>
          <t>G|FICO x CHANNEL|gco_rate|band|5</t>
        </is>
      </c>
      <c r="B158" t="n">
        <v>1.264427615577086</v>
      </c>
      <c r="C158" t="n">
        <v>0.8957851944368566</v>
      </c>
      <c r="D158" t="n">
        <v>0.8742978867022101</v>
      </c>
    </row>
    <row r="159">
      <c r="A159" t="inlineStr">
        <is>
          <t>G|FICO x CHANNEL|gco_rate|rate|6</t>
        </is>
      </c>
      <c r="C159" t="n">
        <v>0</v>
      </c>
      <c r="E159" t="n">
        <v>0</v>
      </c>
    </row>
    <row r="160">
      <c r="A160" t="inlineStr">
        <is>
          <t>G|FICO x CHANNEL|gco_rate|book|6</t>
        </is>
      </c>
    </row>
    <row r="161">
      <c r="A161" t="inlineStr">
        <is>
          <t>G|FICO x CHANNEL|gco_rate|band|6</t>
        </is>
      </c>
    </row>
    <row r="162">
      <c r="A162" t="inlineStr">
        <is>
          <t>G|FICO x CHANNEL|gco_rate|rate|7</t>
        </is>
      </c>
      <c r="B162" t="n">
        <v>0.007777850065731658</v>
      </c>
      <c r="C162" t="n">
        <v>0.0521010838886127</v>
      </c>
      <c r="D162" t="n">
        <v>0.01850663107378558</v>
      </c>
      <c r="E162" t="n">
        <v>0.02551311188947889</v>
      </c>
    </row>
    <row r="163">
      <c r="A163" t="inlineStr">
        <is>
          <t>G|FICO x CHANNEL|gco_rate|book|7</t>
        </is>
      </c>
      <c r="E163" t="n">
        <v>0.6132183435214595</v>
      </c>
    </row>
    <row r="164">
      <c r="A164" t="inlineStr">
        <is>
          <t>G|FICO x CHANNEL|gco_rate|band|7</t>
        </is>
      </c>
    </row>
    <row r="165">
      <c r="A165" t="inlineStr">
        <is>
          <t>G|FICO x CHANNEL|gco_rate|rate|8</t>
        </is>
      </c>
      <c r="B165" t="n">
        <v>0.03403247368482893</v>
      </c>
      <c r="C165" t="n">
        <v>0.05021215552951191</v>
      </c>
      <c r="D165" t="n">
        <v>0.04043303389582082</v>
      </c>
      <c r="E165" t="n">
        <v>0.04160526533333563</v>
      </c>
    </row>
    <row r="166">
      <c r="A166" t="inlineStr">
        <is>
          <t>G|FICO x CHANNEL|gco_rate|book|8</t>
        </is>
      </c>
      <c r="B166" t="n">
        <v>0.8179847769787176</v>
      </c>
      <c r="C166" t="n">
        <v>1.206870215277299</v>
      </c>
      <c r="D166" t="n">
        <v>0.971824925808715</v>
      </c>
      <c r="E166" t="n">
        <v>0.9999999999999997</v>
      </c>
    </row>
    <row r="167">
      <c r="A167" t="inlineStr">
        <is>
          <t>G|FICO x CHANNEL|gco_rate|band|8</t>
        </is>
      </c>
    </row>
    <row r="168">
      <c r="A168" t="inlineStr">
        <is>
          <t>G|FICO x CHANNEL|gco_rate|meta</t>
        </is>
      </c>
      <c r="B168" t="inlineStr">
        <is>
          <t>x</t>
        </is>
      </c>
      <c r="C168" t="n">
        <v>3.405543101097873</v>
      </c>
      <c r="D168" t="n">
        <v>10</v>
      </c>
      <c r="E168" t="n">
        <v>0.04160526533333565</v>
      </c>
      <c r="F168" t="n">
        <v>30</v>
      </c>
    </row>
    <row r="169">
      <c r="A169" t="inlineStr">
        <is>
          <t>G|FICO x CHANNEL|ranr_rate|rate|1</t>
        </is>
      </c>
      <c r="B169" t="n">
        <v>0.2170734766287685</v>
      </c>
      <c r="C169" t="n">
        <v>0.1379488383901921</v>
      </c>
      <c r="D169" t="n">
        <v>0.2161038541582268</v>
      </c>
      <c r="E169" t="n">
        <v>0.1901717430158448</v>
      </c>
    </row>
    <row r="170">
      <c r="A170" t="inlineStr">
        <is>
          <t>G|FICO x CHANNEL|ranr_rate|book|1</t>
        </is>
      </c>
      <c r="B170" t="n">
        <v>8.908342698</v>
      </c>
      <c r="C170" t="n">
        <v>0.995878874</v>
      </c>
      <c r="D170" t="n">
        <v>8.811380451</v>
      </c>
      <c r="E170" t="n">
        <v>6.218169337</v>
      </c>
    </row>
    <row r="171">
      <c r="A171" t="inlineStr">
        <is>
          <t>G|FICO x CHANNEL|ranr_rate|band|1</t>
        </is>
      </c>
      <c r="B171" t="n">
        <v>3.967676562</v>
      </c>
      <c r="C171" t="n">
        <v>-7.862504873</v>
      </c>
      <c r="D171" t="n">
        <v>3.942393715</v>
      </c>
    </row>
    <row r="172">
      <c r="A172" t="inlineStr">
        <is>
          <t>G|FICO x CHANNEL|ranr_rate|rate|2</t>
        </is>
      </c>
      <c r="B172" t="n">
        <v>0.1503331012467687</v>
      </c>
      <c r="C172" t="n">
        <v>0.1579237894125024</v>
      </c>
      <c r="D172" t="n">
        <v>0.1817081086912193</v>
      </c>
      <c r="E172" t="n">
        <v>0.1630754408239561</v>
      </c>
    </row>
    <row r="173">
      <c r="A173" t="inlineStr">
        <is>
          <t>G|FICO x CHANNEL|ranr_rate|book|2</t>
        </is>
      </c>
      <c r="B173" t="n">
        <v>2.23430516</v>
      </c>
      <c r="C173" t="n">
        <v>2.993373976</v>
      </c>
      <c r="D173" t="n">
        <v>5.371805904</v>
      </c>
      <c r="E173" t="n">
        <v>3.508539118</v>
      </c>
    </row>
    <row r="174">
      <c r="A174" t="inlineStr">
        <is>
          <t>G|FICO x CHANNEL|ranr_rate|band|2</t>
        </is>
      </c>
      <c r="B174" t="n">
        <v>-1.89557693</v>
      </c>
      <c r="C174" t="n">
        <v>-0.793787777</v>
      </c>
      <c r="D174" t="n">
        <v>2.744984217</v>
      </c>
    </row>
    <row r="175">
      <c r="A175" t="inlineStr">
        <is>
          <t>G|FICO x CHANNEL|ranr_rate|rate|3</t>
        </is>
      </c>
      <c r="B175" t="n">
        <v>0.1298033696344339</v>
      </c>
      <c r="C175" t="n">
        <v>0.1268738832157217</v>
      </c>
      <c r="D175" t="n">
        <v>0.1675406164276845</v>
      </c>
      <c r="E175" t="n">
        <v>0.1419183148673722</v>
      </c>
    </row>
    <row r="176">
      <c r="A176" t="inlineStr">
        <is>
          <t>G|FICO x CHANNEL|ranr_rate|book|3</t>
        </is>
      </c>
      <c r="B176" t="n">
        <v>0.181331999</v>
      </c>
      <c r="C176" t="n">
        <v>-0.111616643</v>
      </c>
      <c r="D176" t="n">
        <v>3.955056678</v>
      </c>
      <c r="E176" t="n">
        <v>1.392826522</v>
      </c>
    </row>
    <row r="177">
      <c r="A177" t="inlineStr">
        <is>
          <t>G|FICO x CHANNEL|ranr_rate|band|3</t>
        </is>
      </c>
      <c r="B177" t="n">
        <v>-1.80843221</v>
      </c>
      <c r="C177" t="n">
        <v>-2.224678398</v>
      </c>
      <c r="D177" t="n">
        <v>3.9187792</v>
      </c>
    </row>
    <row r="178">
      <c r="A178" t="inlineStr">
        <is>
          <t>G|FICO x CHANNEL|ranr_rate|rate|4</t>
        </is>
      </c>
      <c r="B178" t="n">
        <v>0.08572381463720408</v>
      </c>
      <c r="C178" t="n">
        <v>0.0911555197398795</v>
      </c>
      <c r="D178" t="n">
        <v>0.1094328953856207</v>
      </c>
      <c r="E178" t="n">
        <v>0.09596924359374789</v>
      </c>
    </row>
    <row r="179">
      <c r="A179" t="inlineStr">
        <is>
          <t>G|FICO x CHANNEL|ranr_rate|book|4</t>
        </is>
      </c>
      <c r="B179" t="n">
        <v>-4.226623501</v>
      </c>
      <c r="C179" t="n">
        <v>-3.683452991</v>
      </c>
      <c r="D179" t="n">
        <v>-1.855715426</v>
      </c>
      <c r="E179" t="n">
        <v>-3.202080605</v>
      </c>
    </row>
    <row r="180">
      <c r="A180" t="inlineStr">
        <is>
          <t>G|FICO x CHANNEL|ranr_rate|band|4</t>
        </is>
      </c>
      <c r="B180" t="n">
        <v>-1.513520529</v>
      </c>
      <c r="C180" t="n">
        <v>-0.705353944</v>
      </c>
      <c r="D180" t="n">
        <v>2.101666415</v>
      </c>
    </row>
    <row r="181">
      <c r="A181" t="inlineStr">
        <is>
          <t>G|FICO x CHANNEL|ranr_rate|rate|5</t>
        </is>
      </c>
      <c r="B181" t="n">
        <v>0.04457648068932364</v>
      </c>
      <c r="C181" t="n">
        <v>0.04898207027874037</v>
      </c>
      <c r="D181" t="n">
        <v>0.04658320363935518</v>
      </c>
      <c r="E181" t="n">
        <v>0.04674341748455088</v>
      </c>
    </row>
    <row r="182">
      <c r="A182" t="inlineStr">
        <is>
          <t>G|FICO x CHANNEL|ranr_rate|book|5</t>
        </is>
      </c>
      <c r="B182" t="n">
        <v>-8.341356896000001</v>
      </c>
      <c r="C182" t="n">
        <v>-7.900797937</v>
      </c>
      <c r="D182" t="n">
        <v>-8.140684601</v>
      </c>
      <c r="E182" t="n">
        <v>-8.124663216</v>
      </c>
    </row>
    <row r="183">
      <c r="A183" t="inlineStr">
        <is>
          <t>G|FICO x CHANNEL|ranr_rate|band|5</t>
        </is>
      </c>
      <c r="B183" t="n">
        <v>-0.321305246</v>
      </c>
      <c r="C183" t="n">
        <v>0.338752124</v>
      </c>
      <c r="D183" t="n">
        <v>-0.02410208</v>
      </c>
    </row>
    <row r="184">
      <c r="A184" t="inlineStr">
        <is>
          <t>G|FICO x CHANNEL|ranr_rate|rate|6</t>
        </is>
      </c>
      <c r="C184" t="n">
        <v>0.140296941334961</v>
      </c>
      <c r="E184" t="n">
        <v>0.140296941334961</v>
      </c>
    </row>
    <row r="185">
      <c r="A185" t="inlineStr">
        <is>
          <t>G|FICO x CHANNEL|ranr_rate|book|6</t>
        </is>
      </c>
      <c r="C185" t="n">
        <v>1.230689169</v>
      </c>
      <c r="E185" t="n">
        <v>1.230689169</v>
      </c>
    </row>
    <row r="186">
      <c r="A186" t="inlineStr">
        <is>
          <t>G|FICO x CHANNEL|ranr_rate|band|6</t>
        </is>
      </c>
    </row>
    <row r="187">
      <c r="A187" t="inlineStr">
        <is>
          <t>G|FICO x CHANNEL|ranr_rate|rate|7</t>
        </is>
      </c>
      <c r="B187" t="n">
        <v>0.1469454487933999</v>
      </c>
      <c r="C187" t="n">
        <v>0.1256885776789557</v>
      </c>
      <c r="D187" t="n">
        <v>0.1896654103875157</v>
      </c>
      <c r="E187" t="n">
        <v>0.1551731988462655</v>
      </c>
    </row>
    <row r="188">
      <c r="A188" t="inlineStr">
        <is>
          <t>G|FICO x CHANNEL|ranr_rate|book|7</t>
        </is>
      </c>
      <c r="B188" t="n">
        <v>1.895539915</v>
      </c>
      <c r="C188" t="n">
        <v>-0.230147197</v>
      </c>
      <c r="D188" t="n">
        <v>6.167536074</v>
      </c>
      <c r="E188" t="n">
        <v>2.71831492</v>
      </c>
    </row>
    <row r="189">
      <c r="A189" t="inlineStr">
        <is>
          <t>G|FICO x CHANNEL|ranr_rate|band|7</t>
        </is>
      </c>
      <c r="B189" t="n">
        <v>-1.237059432</v>
      </c>
      <c r="C189" t="n">
        <v>-4.307550993</v>
      </c>
      <c r="D189" t="n">
        <v>5.303168205</v>
      </c>
    </row>
    <row r="190">
      <c r="A190" t="inlineStr">
        <is>
          <t>G|FICO x CHANNEL|ranr_rate|rate|8</t>
        </is>
      </c>
      <c r="B190" t="n">
        <v>0.1257424641427197</v>
      </c>
      <c r="C190" t="n">
        <v>0.1130333511764385</v>
      </c>
      <c r="D190" t="n">
        <v>0.1447377923020619</v>
      </c>
      <c r="E190" t="n">
        <v>0.1279900496481476</v>
      </c>
    </row>
    <row r="191">
      <c r="A191" t="inlineStr">
        <is>
          <t>G|FICO x CHANNEL|ranr_rate|book|8</t>
        </is>
      </c>
      <c r="B191" t="n">
        <v>-0.224758551</v>
      </c>
      <c r="C191" t="n">
        <v>-1.495669847</v>
      </c>
      <c r="D191" t="n">
        <v>1.674774265</v>
      </c>
      <c r="E191" t="n">
        <v>0</v>
      </c>
    </row>
    <row r="192">
      <c r="A192" t="inlineStr">
        <is>
          <t>G|FICO x CHANNEL|ranr_rate|band|8</t>
        </is>
      </c>
    </row>
    <row r="193">
      <c r="A193" t="inlineStr">
        <is>
          <t>G|FICO x CHANNEL|ranr_rate|meta</t>
        </is>
      </c>
      <c r="B193" t="inlineStr">
        <is>
          <t>pts</t>
        </is>
      </c>
      <c r="C193" t="n">
        <v>8.908342698</v>
      </c>
      <c r="D193" t="n">
        <v>10</v>
      </c>
      <c r="E193" t="n">
        <v>0.1279900496481481</v>
      </c>
      <c r="F193" t="n">
        <v>30</v>
      </c>
    </row>
    <row r="194">
      <c r="A194" t="inlineStr">
        <is>
          <t>G|FICO x CHANNEL|contribution_rate|rate|1</t>
        </is>
      </c>
      <c r="B194" t="n">
        <v>0.2708959858881283</v>
      </c>
      <c r="C194" t="n">
        <v>0.2796373627154796</v>
      </c>
      <c r="D194" t="n">
        <v>0.2702910563259856</v>
      </c>
      <c r="E194" t="n">
        <v>0.273624302308895</v>
      </c>
    </row>
    <row r="195">
      <c r="A195" t="inlineStr">
        <is>
          <t>G|FICO x CHANNEL|contribution_rate|book|1</t>
        </is>
      </c>
      <c r="B195" t="n">
        <v>10.130353015</v>
      </c>
      <c r="C195" t="n">
        <v>11.004490698</v>
      </c>
      <c r="D195" t="n">
        <v>10.069860059</v>
      </c>
      <c r="E195" t="n">
        <v>10.403184657</v>
      </c>
    </row>
    <row r="196">
      <c r="A196" t="inlineStr">
        <is>
          <t>G|FICO x CHANNEL|contribution_rate|band|1</t>
        </is>
      </c>
      <c r="B196" t="n">
        <v>-0.402393291</v>
      </c>
      <c r="C196" t="n">
        <v>0.90530615</v>
      </c>
      <c r="D196" t="n">
        <v>-0.506745014</v>
      </c>
    </row>
    <row r="197">
      <c r="A197" t="inlineStr">
        <is>
          <t>G|FICO x CHANNEL|contribution_rate|rate|2</t>
        </is>
      </c>
      <c r="B197" t="n">
        <v>0.2003887959144957</v>
      </c>
      <c r="C197" t="n">
        <v>0.2001827019875337</v>
      </c>
      <c r="D197" t="n">
        <v>0.2252121594646349</v>
      </c>
      <c r="E197" t="n">
        <v>0.2082899782331105</v>
      </c>
    </row>
    <row r="198">
      <c r="A198" t="inlineStr">
        <is>
          <t>G|FICO x CHANNEL|contribution_rate|book|2</t>
        </is>
      </c>
      <c r="B198" t="n">
        <v>3.079634018</v>
      </c>
      <c r="C198" t="n">
        <v>3.059024625</v>
      </c>
      <c r="D198" t="n">
        <v>5.561970373</v>
      </c>
      <c r="E198" t="n">
        <v>3.86975225</v>
      </c>
    </row>
    <row r="199">
      <c r="A199" t="inlineStr">
        <is>
          <t>G|FICO x CHANNEL|contribution_rate|band|2</t>
        </is>
      </c>
      <c r="B199" t="n">
        <v>-1.17539631</v>
      </c>
      <c r="C199" t="n">
        <v>-1.249202687</v>
      </c>
      <c r="D199" t="n">
        <v>2.492993527</v>
      </c>
    </row>
    <row r="200">
      <c r="A200" t="inlineStr">
        <is>
          <t>G|FICO x CHANNEL|contribution_rate|rate|3</t>
        </is>
      </c>
      <c r="B200" t="n">
        <v>0.1539723938698455</v>
      </c>
      <c r="C200" t="n">
        <v>0.1532786819256124</v>
      </c>
      <c r="D200" t="n">
        <v>0.2108396210285837</v>
      </c>
      <c r="E200" t="n">
        <v>0.1734333199610001</v>
      </c>
    </row>
    <row r="201">
      <c r="A201" t="inlineStr">
        <is>
          <t>G|FICO x CHANNEL|contribution_rate|book|3</t>
        </is>
      </c>
      <c r="B201" t="n">
        <v>-1.562006187</v>
      </c>
      <c r="C201" t="n">
        <v>-1.631377381</v>
      </c>
      <c r="D201" t="n">
        <v>4.124716529</v>
      </c>
      <c r="E201" t="n">
        <v>0.384086423</v>
      </c>
    </row>
    <row r="202">
      <c r="A202" t="inlineStr">
        <is>
          <t>G|FICO x CHANNEL|contribution_rate|band|3</t>
        </is>
      </c>
      <c r="B202" t="n">
        <v>-2.904987592</v>
      </c>
      <c r="C202" t="n">
        <v>-2.980344415</v>
      </c>
      <c r="D202" t="n">
        <v>5.7210721</v>
      </c>
    </row>
    <row r="203">
      <c r="A203" t="inlineStr">
        <is>
          <t>G|FICO x CHANNEL|contribution_rate|rate|4</t>
        </is>
      </c>
      <c r="B203" t="n">
        <v>0.1085728838543854</v>
      </c>
      <c r="C203" t="n">
        <v>0.1119148490804608</v>
      </c>
      <c r="D203" t="n">
        <v>0.1546132995501358</v>
      </c>
      <c r="E203" t="n">
        <v>0.126193889200492</v>
      </c>
    </row>
    <row r="204">
      <c r="A204" t="inlineStr">
        <is>
          <t>G|FICO x CHANNEL|contribution_rate|book|4</t>
        </is>
      </c>
      <c r="B204" t="n">
        <v>-6.101957188</v>
      </c>
      <c r="C204" t="n">
        <v>-5.767760665</v>
      </c>
      <c r="D204" t="n">
        <v>-1.497915618</v>
      </c>
      <c r="E204" t="n">
        <v>-4.339856653</v>
      </c>
    </row>
    <row r="205">
      <c r="A205" t="inlineStr">
        <is>
          <t>G|FICO x CHANNEL|contribution_rate|band|4</t>
        </is>
      </c>
      <c r="B205" t="n">
        <v>-2.601066942</v>
      </c>
      <c r="C205" t="n">
        <v>-2.093061481</v>
      </c>
      <c r="D205" t="n">
        <v>4.438184237</v>
      </c>
    </row>
    <row r="206">
      <c r="A206" t="inlineStr">
        <is>
          <t>G|FICO x CHANNEL|contribution_rate|rate|5</t>
        </is>
      </c>
      <c r="B206" t="n">
        <v>0.067171641627808</v>
      </c>
      <c r="C206" t="n">
        <v>0.06700477770975828</v>
      </c>
      <c r="D206" t="n">
        <v>0.06429847463730305</v>
      </c>
      <c r="E206" t="n">
        <v>0.0661517645240999</v>
      </c>
    </row>
    <row r="207">
      <c r="A207" t="inlineStr">
        <is>
          <t>G|FICO x CHANNEL|contribution_rate|book|5</t>
        </is>
      </c>
      <c r="B207" t="n">
        <v>-10.242081411</v>
      </c>
      <c r="C207" t="n">
        <v>-10.258767803</v>
      </c>
      <c r="D207" t="n">
        <v>-10.52939811</v>
      </c>
      <c r="E207" t="n">
        <v>-10.344069121</v>
      </c>
    </row>
    <row r="208">
      <c r="A208" t="inlineStr">
        <is>
          <t>G|FICO x CHANNEL|contribution_rate|band|5</t>
        </is>
      </c>
      <c r="B208" t="n">
        <v>0.151223545</v>
      </c>
      <c r="C208" t="n">
        <v>0.129077644</v>
      </c>
      <c r="D208" t="n">
        <v>-0.278803257</v>
      </c>
    </row>
    <row r="209">
      <c r="A209" t="inlineStr">
        <is>
          <t>G|FICO x CHANNEL|contribution_rate|rate|6</t>
        </is>
      </c>
      <c r="C209" t="n">
        <v>0.140296941334961</v>
      </c>
      <c r="E209" t="n">
        <v>0.140296941334961</v>
      </c>
    </row>
    <row r="210">
      <c r="A210" t="inlineStr">
        <is>
          <t>G|FICO x CHANNEL|contribution_rate|book|6</t>
        </is>
      </c>
      <c r="C210" t="n">
        <v>-2.92955144</v>
      </c>
      <c r="E210" t="n">
        <v>-2.92955144</v>
      </c>
    </row>
    <row r="211">
      <c r="A211" t="inlineStr">
        <is>
          <t>G|FICO x CHANNEL|contribution_rate|band|6</t>
        </is>
      </c>
    </row>
    <row r="212">
      <c r="A212" t="inlineStr">
        <is>
          <t>G|FICO x CHANNEL|contribution_rate|rate|7</t>
        </is>
      </c>
      <c r="B212" t="n">
        <v>0.1547232988591316</v>
      </c>
      <c r="C212" t="n">
        <v>0.1777896615675683</v>
      </c>
      <c r="D212" t="n">
        <v>0.2081720414613012</v>
      </c>
      <c r="E212" t="n">
        <v>0.1806863107357444</v>
      </c>
    </row>
    <row r="213">
      <c r="A213" t="inlineStr">
        <is>
          <t>G|FICO x CHANNEL|contribution_rate|book|7</t>
        </is>
      </c>
      <c r="B213" t="n">
        <v>-1.486915688</v>
      </c>
      <c r="C213" t="n">
        <v>0.8197205829999999</v>
      </c>
      <c r="D213" t="n">
        <v>3.857958573</v>
      </c>
      <c r="E213" t="n">
        <v>1.1093855</v>
      </c>
    </row>
    <row r="214">
      <c r="A214" t="inlineStr">
        <is>
          <t>G|FICO x CHANNEL|contribution_rate|band|7</t>
        </is>
      </c>
      <c r="B214" t="n">
        <v>-3.903593148</v>
      </c>
      <c r="C214" t="n">
        <v>-0.423185495</v>
      </c>
      <c r="D214" t="n">
        <v>4.225923673</v>
      </c>
    </row>
    <row r="215">
      <c r="A215" t="inlineStr">
        <is>
          <t>G|FICO x CHANNEL|contribution_rate|rate|8</t>
        </is>
      </c>
      <c r="B215" t="n">
        <v>0.1597650989343295</v>
      </c>
      <c r="C215" t="n">
        <v>0.1632455067059504</v>
      </c>
      <c r="D215" t="n">
        <v>0.1851708261978826</v>
      </c>
      <c r="E215" t="n">
        <v>0.1695924557349811</v>
      </c>
    </row>
    <row r="216">
      <c r="A216" t="inlineStr">
        <is>
          <t>G|FICO x CHANNEL|contribution_rate|book|8</t>
        </is>
      </c>
      <c r="B216" t="n">
        <v>-0.98273568</v>
      </c>
      <c r="C216" t="n">
        <v>-0.634694903</v>
      </c>
      <c r="D216" t="n">
        <v>1.557837046</v>
      </c>
      <c r="E216" t="n">
        <v>0</v>
      </c>
    </row>
    <row r="217">
      <c r="A217" t="inlineStr">
        <is>
          <t>G|FICO x CHANNEL|contribution_rate|band|8</t>
        </is>
      </c>
    </row>
    <row r="218">
      <c r="A218" t="inlineStr">
        <is>
          <t>G|FICO x CHANNEL|contribution_rate|meta</t>
        </is>
      </c>
      <c r="B218" t="inlineStr">
        <is>
          <t>pts</t>
        </is>
      </c>
      <c r="C218" t="n">
        <v>11.004490698</v>
      </c>
      <c r="D218" t="n">
        <v>10</v>
      </c>
      <c r="E218" t="n">
        <v>0.1695924557349815</v>
      </c>
      <c r="F218" t="n">
        <v>30</v>
      </c>
    </row>
    <row r="219">
      <c r="A219" t="inlineStr">
        <is>
          <t>G|FICO x CHANNEL|loan_size|rate|1</t>
        </is>
      </c>
      <c r="B219" t="n">
        <v>32549.21671314741</v>
      </c>
      <c r="C219" t="n">
        <v>32583.30282982791</v>
      </c>
      <c r="D219" t="n">
        <v>32706.55041431262</v>
      </c>
      <c r="E219" t="n">
        <v>32614.36532133676</v>
      </c>
    </row>
    <row r="220">
      <c r="A220" t="inlineStr">
        <is>
          <t>G|FICO x CHANNEL|loan_size|median|1</t>
        </is>
      </c>
      <c r="B220" t="n">
        <v>31733</v>
      </c>
      <c r="C220" t="n">
        <v>32270.57</v>
      </c>
      <c r="D220" t="n">
        <v>33127.26</v>
      </c>
      <c r="E220" t="n">
        <v>32375.37</v>
      </c>
    </row>
    <row r="221">
      <c r="A221" t="inlineStr">
        <is>
          <t>G|FICO x CHANNEL|loan_size|book|1</t>
        </is>
      </c>
      <c r="B221" t="n">
        <v>1.008884226234305</v>
      </c>
      <c r="C221" t="n">
        <v>1.009940747678603</v>
      </c>
      <c r="D221" t="n">
        <v>1.013760887038758</v>
      </c>
      <c r="E221" t="n">
        <v>1.010903549886318</v>
      </c>
    </row>
    <row r="222">
      <c r="A222" t="inlineStr">
        <is>
          <t>G|FICO x CHANNEL|loan_size|band|1</t>
        </is>
      </c>
      <c r="B222" t="n">
        <v>0.9970538679776419</v>
      </c>
      <c r="C222" t="n">
        <v>0.9985660722816204</v>
      </c>
      <c r="D222" t="n">
        <v>1.004297084421707</v>
      </c>
    </row>
    <row r="223">
      <c r="A223" t="inlineStr">
        <is>
          <t>G|FICO x CHANNEL|loan_size|rate|2</t>
        </is>
      </c>
      <c r="B223" t="n">
        <v>32159.22616302187</v>
      </c>
      <c r="C223" t="n">
        <v>32621.28516007533</v>
      </c>
      <c r="D223" t="n">
        <v>31389.31188118812</v>
      </c>
      <c r="E223" t="n">
        <v>32066.01408706952</v>
      </c>
    </row>
    <row r="224">
      <c r="A224" t="inlineStr">
        <is>
          <t>G|FICO x CHANNEL|loan_size|median|2</t>
        </is>
      </c>
      <c r="B224" t="n">
        <v>32486.61</v>
      </c>
      <c r="C224" t="n">
        <v>33949.56</v>
      </c>
      <c r="D224" t="n">
        <v>30881.45</v>
      </c>
      <c r="E224" t="n">
        <v>32343.46</v>
      </c>
    </row>
    <row r="225">
      <c r="A225" t="inlineStr">
        <is>
          <t>G|FICO x CHANNEL|loan_size|book|2</t>
        </is>
      </c>
      <c r="B225" t="n">
        <v>0.9967962144744655</v>
      </c>
      <c r="C225" t="n">
        <v>1.011118034806584</v>
      </c>
      <c r="D225" t="n">
        <v>0.9729322185651312</v>
      </c>
      <c r="E225" t="n">
        <v>0.9939070453140634</v>
      </c>
    </row>
    <row r="226">
      <c r="A226" t="inlineStr">
        <is>
          <t>G|FICO x CHANNEL|loan_size|band|2</t>
        </is>
      </c>
      <c r="B226" t="n">
        <v>1.004324336100047</v>
      </c>
      <c r="C226" t="n">
        <v>1.02668197720075</v>
      </c>
      <c r="D226" t="n">
        <v>0.9689102362265307</v>
      </c>
    </row>
    <row r="227">
      <c r="A227" t="inlineStr">
        <is>
          <t>G|FICO x CHANNEL|loan_size|rate|3</t>
        </is>
      </c>
      <c r="B227" t="n">
        <v>32698.63159223301</v>
      </c>
      <c r="C227" t="n">
        <v>32967.00101796407</v>
      </c>
      <c r="D227" t="n">
        <v>32344.62388278388</v>
      </c>
      <c r="E227" t="n">
        <v>32660.96505761844</v>
      </c>
    </row>
    <row r="228">
      <c r="A228" t="inlineStr">
        <is>
          <t>G|FICO x CHANNEL|loan_size|median|3</t>
        </is>
      </c>
      <c r="B228" t="n">
        <v>33544.5</v>
      </c>
      <c r="C228" t="n">
        <v>33142.91</v>
      </c>
      <c r="D228" t="n">
        <v>31877.675</v>
      </c>
      <c r="E228" t="n">
        <v>32657.185</v>
      </c>
    </row>
    <row r="229">
      <c r="A229" t="inlineStr">
        <is>
          <t>G|FICO x CHANNEL|loan_size|book|3</t>
        </is>
      </c>
      <c r="B229" t="n">
        <v>1.013515437977514</v>
      </c>
      <c r="C229" t="n">
        <v>1.021833723569753</v>
      </c>
      <c r="D229" t="n">
        <v>1.002542737860761</v>
      </c>
      <c r="E229" t="n">
        <v>1.012347939141384</v>
      </c>
    </row>
    <row r="230">
      <c r="A230" t="inlineStr">
        <is>
          <t>G|FICO x CHANNEL|loan_size|band|3</t>
        </is>
      </c>
      <c r="B230" t="n">
        <v>1.001721501604071</v>
      </c>
      <c r="C230" t="n">
        <v>1.013855905088206</v>
      </c>
      <c r="D230" t="n">
        <v>0.9851864425475193</v>
      </c>
    </row>
    <row r="231">
      <c r="A231" t="inlineStr">
        <is>
          <t>G|FICO x CHANNEL|loan_size|rate|4</t>
        </is>
      </c>
      <c r="B231" t="n">
        <v>30750.5847858473</v>
      </c>
      <c r="C231" t="n">
        <v>31887.05186640472</v>
      </c>
      <c r="D231" t="n">
        <v>32568.99023049645</v>
      </c>
      <c r="E231" t="n">
        <v>31746.88442236025</v>
      </c>
    </row>
    <row r="232">
      <c r="A232" t="inlineStr">
        <is>
          <t>G|FICO x CHANNEL|loan_size|median|4</t>
        </is>
      </c>
      <c r="B232" t="n">
        <v>29741.11</v>
      </c>
      <c r="C232" t="n">
        <v>32085.88</v>
      </c>
      <c r="D232" t="n">
        <v>32413.01</v>
      </c>
      <c r="E232" t="n">
        <v>31495.24</v>
      </c>
    </row>
    <row r="233">
      <c r="A233" t="inlineStr">
        <is>
          <t>G|FICO x CHANNEL|loan_size|book|4</t>
        </is>
      </c>
      <c r="B233" t="n">
        <v>0.9531344551646523</v>
      </c>
      <c r="C233" t="n">
        <v>0.9883599944245819</v>
      </c>
      <c r="D233" t="n">
        <v>1.009497119316386</v>
      </c>
      <c r="E233" t="n">
        <v>0.9840154129689267</v>
      </c>
    </row>
    <row r="234">
      <c r="A234" t="inlineStr">
        <is>
          <t>G|FICO x CHANNEL|loan_size|band|4</t>
        </is>
      </c>
      <c r="B234" t="n">
        <v>0.9536396153494627</v>
      </c>
      <c r="C234" t="n">
        <v>1.006469518655895</v>
      </c>
      <c r="D234" t="n">
        <v>1.040422904785542</v>
      </c>
    </row>
    <row r="235">
      <c r="A235" t="inlineStr">
        <is>
          <t>G|FICO x CHANNEL|loan_size|rate|5</t>
        </is>
      </c>
      <c r="B235" t="n">
        <v>31757.3934942085</v>
      </c>
      <c r="C235" t="n">
        <v>31969.52664179105</v>
      </c>
      <c r="D235" t="n">
        <v>32765.47040618955</v>
      </c>
      <c r="E235" t="n">
        <v>32161.51770210057</v>
      </c>
    </row>
    <row r="236">
      <c r="A236" t="inlineStr">
        <is>
          <t>G|FICO x CHANNEL|loan_size|median|5</t>
        </is>
      </c>
      <c r="B236" t="n">
        <v>30929.315</v>
      </c>
      <c r="C236" t="n">
        <v>31061.645</v>
      </c>
      <c r="D236" t="n">
        <v>33869.94</v>
      </c>
      <c r="E236" t="n">
        <v>31538.61</v>
      </c>
    </row>
    <row r="237">
      <c r="A237" t="inlineStr">
        <is>
          <t>G|FICO x CHANNEL|loan_size|book|5</t>
        </is>
      </c>
      <c r="B237" t="n">
        <v>0.9843411485131488</v>
      </c>
      <c r="C237" t="n">
        <v>0.9909163539426245</v>
      </c>
      <c r="D237" t="n">
        <v>1.015587150660963</v>
      </c>
      <c r="E237" t="n">
        <v>0.9968672422245548</v>
      </c>
    </row>
    <row r="238">
      <c r="A238" t="inlineStr">
        <is>
          <t>G|FICO x CHANNEL|loan_size|band|5</t>
        </is>
      </c>
      <c r="B238" t="n">
        <v>0.9813684106184214</v>
      </c>
      <c r="C238" t="n">
        <v>0.9909668388472985</v>
      </c>
      <c r="D238" t="n">
        <v>1.028250158042545</v>
      </c>
    </row>
    <row r="239">
      <c r="A239" t="inlineStr">
        <is>
          <t>G|FICO x CHANNEL|loan_size|rate|6</t>
        </is>
      </c>
      <c r="C239" t="n">
        <v>27999.47</v>
      </c>
      <c r="E239" t="n">
        <v>27999.47</v>
      </c>
    </row>
    <row r="240">
      <c r="A240" t="inlineStr">
        <is>
          <t>G|FICO x CHANNEL|loan_size|median|6</t>
        </is>
      </c>
      <c r="C240" t="n">
        <v>27999.47</v>
      </c>
      <c r="E240" t="n">
        <v>27999.47</v>
      </c>
    </row>
    <row r="241">
      <c r="A241" t="inlineStr">
        <is>
          <t>G|FICO x CHANNEL|loan_size|book|6</t>
        </is>
      </c>
      <c r="C241" t="n">
        <v>0.8678618559355534</v>
      </c>
      <c r="E241" t="n">
        <v>0.8678618559355534</v>
      </c>
    </row>
    <row r="242">
      <c r="A242" t="inlineStr">
        <is>
          <t>G|FICO x CHANNEL|loan_size|band|6</t>
        </is>
      </c>
    </row>
    <row r="243">
      <c r="A243" t="inlineStr">
        <is>
          <t>G|FICO x CHANNEL|loan_size|rate|7</t>
        </is>
      </c>
      <c r="B243" t="n">
        <v>34725.55960784314</v>
      </c>
      <c r="C243" t="n">
        <v>30898.33351851852</v>
      </c>
      <c r="D243" t="n">
        <v>33613.25890909091</v>
      </c>
      <c r="E243" t="n">
        <v>33051.5174375</v>
      </c>
    </row>
    <row r="244">
      <c r="A244" t="inlineStr">
        <is>
          <t>G|FICO x CHANNEL|loan_size|median|7</t>
        </is>
      </c>
      <c r="B244" t="n">
        <v>34982.22</v>
      </c>
      <c r="C244" t="n">
        <v>30178.235</v>
      </c>
      <c r="D244" t="n">
        <v>36736.09</v>
      </c>
      <c r="E244" t="n">
        <v>33153.41</v>
      </c>
    </row>
    <row r="245">
      <c r="A245" t="inlineStr">
        <is>
          <t>G|FICO x CHANNEL|loan_size|book|7</t>
        </is>
      </c>
      <c r="B245" t="n">
        <v>1.076341395378678</v>
      </c>
      <c r="C245" t="n">
        <v>0.9577140236117754</v>
      </c>
      <c r="D245" t="n">
        <v>1.04186490890313</v>
      </c>
      <c r="E245" t="n">
        <v>1.024453365181379</v>
      </c>
    </row>
    <row r="246">
      <c r="A246" t="inlineStr">
        <is>
          <t>G|FICO x CHANNEL|loan_size|band|7</t>
        </is>
      </c>
      <c r="B246" t="n">
        <v>1.07615255267463</v>
      </c>
      <c r="C246" t="n">
        <v>0.9048246243643882</v>
      </c>
      <c r="D246" t="n">
        <v>1.026131205517288</v>
      </c>
    </row>
    <row r="247">
      <c r="A247" t="inlineStr">
        <is>
          <t>G|FICO x CHANNEL|loan_size|rate|8</t>
        </is>
      </c>
      <c r="B247" t="n">
        <v>32022.08309977152</v>
      </c>
      <c r="C247" t="n">
        <v>32369.91430131827</v>
      </c>
      <c r="D247" t="n">
        <v>32390.11528329654</v>
      </c>
      <c r="E247" t="n">
        <v>32262.58857732217</v>
      </c>
    </row>
    <row r="248">
      <c r="A248" t="inlineStr">
        <is>
          <t>G|FICO x CHANNEL|loan_size|median|8</t>
        </is>
      </c>
      <c r="B248" t="n">
        <v>31587.98</v>
      </c>
      <c r="C248" t="n">
        <v>32609.4</v>
      </c>
      <c r="D248" t="n">
        <v>32036.465</v>
      </c>
      <c r="E248" t="n">
        <v>32112.83</v>
      </c>
    </row>
    <row r="249">
      <c r="A249" t="inlineStr">
        <is>
          <t>G|FICO x CHANNEL|loan_size|book|8</t>
        </is>
      </c>
      <c r="B249" t="n">
        <v>0.9925453756764048</v>
      </c>
      <c r="C249" t="n">
        <v>1.003326630897545</v>
      </c>
      <c r="D249" t="n">
        <v>1.003952773524937</v>
      </c>
      <c r="E249" t="n">
        <v>1</v>
      </c>
    </row>
    <row r="250">
      <c r="A250" t="inlineStr">
        <is>
          <t>G|FICO x CHANNEL|loan_size|band|8</t>
        </is>
      </c>
    </row>
    <row r="251">
      <c r="A251" t="inlineStr">
        <is>
          <t>G|FICO x CHANNEL|loan_size|meta</t>
        </is>
      </c>
      <c r="B251" t="inlineStr">
        <is>
          <t>size</t>
        </is>
      </c>
      <c r="C251" t="n">
        <v>1</v>
      </c>
      <c r="E251" t="n">
        <v>32262.58857732217</v>
      </c>
      <c r="F251" t="n">
        <v>30</v>
      </c>
    </row>
    <row r="252">
      <c r="A252" t="inlineStr">
        <is>
          <t>G|FICO x CHANNEL|where 2021|cols</t>
        </is>
      </c>
      <c r="B252" t="inlineStr">
        <is>
          <t>Branch</t>
        </is>
      </c>
      <c r="C252" t="inlineStr">
        <is>
          <t>Broker</t>
        </is>
      </c>
      <c r="D252" t="inlineStr">
        <is>
          <t>Online</t>
        </is>
      </c>
      <c r="E252" t="inlineStr">
        <is>
          <t>All</t>
        </is>
      </c>
    </row>
    <row r="253">
      <c r="A253" t="inlineStr">
        <is>
          <t>G|FICO x CHANNEL|where 2021|heads</t>
        </is>
      </c>
      <c r="B253" t="inlineStr">
        <is>
          <t>Branch</t>
        </is>
      </c>
      <c r="C253" t="inlineStr">
        <is>
          <t>Broker</t>
        </is>
      </c>
      <c r="D253" t="inlineStr">
        <is>
          <t>Online</t>
        </is>
      </c>
      <c r="E253" t="inlineStr">
        <is>
          <t>All</t>
        </is>
      </c>
    </row>
    <row r="254">
      <c r="A254" t="inlineStr">
        <is>
          <t>G|FICO x CHANNEL|where 2021|segs</t>
        </is>
      </c>
    </row>
    <row r="255">
      <c r="A255" t="inlineStr">
        <is>
          <t>G|FICO x CHANNEL|where 2021|rows</t>
        </is>
      </c>
      <c r="B255" t="inlineStr">
        <is>
          <t>496 - 653</t>
        </is>
      </c>
      <c r="C255" t="inlineStr">
        <is>
          <t>654 - 685</t>
        </is>
      </c>
      <c r="D255" t="inlineStr">
        <is>
          <t>686 - 711</t>
        </is>
      </c>
      <c r="E255" t="inlineStr">
        <is>
          <t>712 - 745</t>
        </is>
      </c>
      <c r="F255" t="inlineStr">
        <is>
          <t>746 - 921</t>
        </is>
      </c>
      <c r="G255" t="inlineStr">
        <is>
          <t>(blank)</t>
        </is>
      </c>
      <c r="H255" t="inlineStr">
        <is>
          <t>(marked missing)</t>
        </is>
      </c>
      <c r="I255" t="inlineStr">
        <is>
          <t>All</t>
        </is>
      </c>
    </row>
    <row r="256">
      <c r="A256" t="inlineStr">
        <is>
          <t>G|FICO x CHANNEL|where 2021|names</t>
        </is>
      </c>
      <c r="B256" t="inlineStr">
        <is>
          <t>FICO</t>
        </is>
      </c>
      <c r="C256" t="inlineStr">
        <is>
          <t>CHANNEL</t>
        </is>
      </c>
    </row>
    <row r="257">
      <c r="A257" t="inlineStr">
        <is>
          <t>G|FICO x CHANNEL|where 2021|total</t>
        </is>
      </c>
      <c r="B257" t="n">
        <v>839</v>
      </c>
    </row>
    <row r="258">
      <c r="A258" t="inlineStr">
        <is>
          <t>G|FICO x CHANNEL|where 2021|loans|1</t>
        </is>
      </c>
      <c r="B258" t="n">
        <v>44</v>
      </c>
      <c r="C258" t="n">
        <v>58</v>
      </c>
      <c r="D258" t="n">
        <v>48</v>
      </c>
      <c r="E258" t="n">
        <v>150</v>
      </c>
    </row>
    <row r="259">
      <c r="A259" t="inlineStr">
        <is>
          <t>G|FICO x CHANNEL|where 2021|loans|2</t>
        </is>
      </c>
      <c r="B259" t="n">
        <v>56</v>
      </c>
      <c r="C259" t="n">
        <v>57</v>
      </c>
      <c r="D259" t="n">
        <v>68</v>
      </c>
      <c r="E259" t="n">
        <v>181</v>
      </c>
    </row>
    <row r="260">
      <c r="A260" t="inlineStr">
        <is>
          <t>G|FICO x CHANNEL|where 2021|loans|3</t>
        </is>
      </c>
      <c r="B260" t="n">
        <v>49</v>
      </c>
      <c r="C260" t="n">
        <v>50</v>
      </c>
      <c r="D260" t="n">
        <v>50</v>
      </c>
      <c r="E260" t="n">
        <v>149</v>
      </c>
    </row>
    <row r="261">
      <c r="A261" t="inlineStr">
        <is>
          <t>G|FICO x CHANNEL|where 2021|loans|4</t>
        </is>
      </c>
      <c r="B261" t="n">
        <v>49</v>
      </c>
      <c r="C261" t="n">
        <v>56</v>
      </c>
      <c r="D261" t="n">
        <v>51</v>
      </c>
      <c r="E261" t="n">
        <v>156</v>
      </c>
    </row>
    <row r="262">
      <c r="A262" t="inlineStr">
        <is>
          <t>G|FICO x CHANNEL|where 2021|loans|5</t>
        </is>
      </c>
      <c r="B262" t="n">
        <v>67</v>
      </c>
      <c r="C262" t="n">
        <v>55</v>
      </c>
      <c r="D262" t="n">
        <v>55</v>
      </c>
      <c r="E262" t="n">
        <v>177</v>
      </c>
    </row>
    <row r="263">
      <c r="A263" t="inlineStr">
        <is>
          <t>G|FICO x CHANNEL|where 2021|loans|6</t>
        </is>
      </c>
    </row>
    <row r="264">
      <c r="A264" t="inlineStr">
        <is>
          <t>G|FICO x CHANNEL|where 2021|loans|7</t>
        </is>
      </c>
      <c r="B264" t="n">
        <v>7</v>
      </c>
      <c r="C264" t="n">
        <v>10</v>
      </c>
      <c r="D264" t="n">
        <v>9</v>
      </c>
      <c r="E264" t="n">
        <v>26</v>
      </c>
    </row>
    <row r="265">
      <c r="A265" t="inlineStr">
        <is>
          <t>G|FICO x CHANNEL|where 2021|loans|8</t>
        </is>
      </c>
      <c r="B265" t="n">
        <v>272</v>
      </c>
      <c r="C265" t="n">
        <v>286</v>
      </c>
      <c r="D265" t="n">
        <v>281</v>
      </c>
      <c r="E265" t="n">
        <v>839</v>
      </c>
    </row>
    <row r="266">
      <c r="A266" t="inlineStr">
        <is>
          <t>G|FICO x CHANNEL|where 2021|outcome_loans|rate|1</t>
        </is>
      </c>
      <c r="B266" t="n">
        <v>0.1136363636363636</v>
      </c>
      <c r="C266" t="n">
        <v>0.1896551724137931</v>
      </c>
      <c r="D266" t="n">
        <v>0.1458333333333333</v>
      </c>
      <c r="E266" t="n">
        <v>0.1533333333333333</v>
      </c>
    </row>
    <row r="267">
      <c r="A267" t="inlineStr">
        <is>
          <t>G|FICO x CHANNEL|where 2021|outcome_loans|book|1</t>
        </is>
      </c>
      <c r="C267" t="n">
        <v>2.450810539802796</v>
      </c>
      <c r="E267" t="n">
        <v>1.981443187937533</v>
      </c>
    </row>
    <row r="268">
      <c r="A268" t="inlineStr">
        <is>
          <t>G|FICO x CHANNEL|where 2021|outcome_loans|band|1</t>
        </is>
      </c>
      <c r="C268" t="n">
        <v>1.454022988505747</v>
      </c>
    </row>
    <row r="269">
      <c r="A269" t="inlineStr">
        <is>
          <t>G|FICO x CHANNEL|where 2021|outcome_loans|rate|2</t>
        </is>
      </c>
      <c r="B269" t="n">
        <v>0.05357142857142857</v>
      </c>
      <c r="C269" t="n">
        <v>0.07017543859649122</v>
      </c>
      <c r="D269" t="n">
        <v>0.07352941176470588</v>
      </c>
      <c r="E269" t="n">
        <v>0.06629834254143646</v>
      </c>
    </row>
    <row r="270">
      <c r="A270" t="inlineStr">
        <is>
          <t>G|FICO x CHANNEL|where 2021|outcome_loans|book|2</t>
        </is>
      </c>
      <c r="E270" t="n">
        <v>0.8567373860887726</v>
      </c>
    </row>
    <row r="271">
      <c r="A271" t="inlineStr">
        <is>
          <t>G|FICO x CHANNEL|where 2021|outcome_loans|band|2</t>
        </is>
      </c>
    </row>
    <row r="272">
      <c r="A272" t="inlineStr">
        <is>
          <t>G|FICO x CHANNEL|where 2021|outcome_loans|rate|3</t>
        </is>
      </c>
      <c r="B272" t="n">
        <v>0.08163265306122448</v>
      </c>
      <c r="C272" t="n">
        <v>0.04</v>
      </c>
      <c r="D272" t="n">
        <v>0.06</v>
      </c>
      <c r="E272" t="n">
        <v>0.06040268456375839</v>
      </c>
    </row>
    <row r="273">
      <c r="A273" t="inlineStr">
        <is>
          <t>G|FICO x CHANNEL|where 2021|outcome_loans|book|3</t>
        </is>
      </c>
    </row>
    <row r="274">
      <c r="A274" t="inlineStr">
        <is>
          <t>G|FICO x CHANNEL|where 2021|outcome_loans|band|3</t>
        </is>
      </c>
    </row>
    <row r="275">
      <c r="A275" t="inlineStr">
        <is>
          <t>G|FICO x CHANNEL|where 2021|outcome_loans|rate|4</t>
        </is>
      </c>
      <c r="B275" t="n">
        <v>0</v>
      </c>
      <c r="C275" t="n">
        <v>0.07142857142857142</v>
      </c>
      <c r="D275" t="n">
        <v>0.05882352941176471</v>
      </c>
      <c r="E275" t="n">
        <v>0.04487179487179487</v>
      </c>
    </row>
    <row r="276">
      <c r="A276" t="inlineStr">
        <is>
          <t>G|FICO x CHANNEL|where 2021|outcome_loans|book|4</t>
        </is>
      </c>
    </row>
    <row r="277">
      <c r="A277" t="inlineStr">
        <is>
          <t>G|FICO x CHANNEL|where 2021|outcome_loans|band|4</t>
        </is>
      </c>
    </row>
    <row r="278">
      <c r="A278" t="inlineStr">
        <is>
          <t>G|FICO x CHANNEL|where 2021|outcome_loans|rate|5</t>
        </is>
      </c>
      <c r="B278" t="n">
        <v>0.02985074626865672</v>
      </c>
      <c r="C278" t="n">
        <v>0.03636363636363636</v>
      </c>
      <c r="D278" t="n">
        <v>0.01818181818181818</v>
      </c>
      <c r="E278" t="n">
        <v>0.02824858757062147</v>
      </c>
    </row>
    <row r="279">
      <c r="A279" t="inlineStr">
        <is>
          <t>G|FICO x CHANNEL|where 2021|outcome_loans|book|5</t>
        </is>
      </c>
    </row>
    <row r="280">
      <c r="A280" t="inlineStr">
        <is>
          <t>G|FICO x CHANNEL|where 2021|outcome_loans|band|5</t>
        </is>
      </c>
    </row>
    <row r="281">
      <c r="A281" t="inlineStr">
        <is>
          <t>G|FICO x CHANNEL|where 2021|outcome_loans|rate|6</t>
        </is>
      </c>
    </row>
    <row r="282">
      <c r="A282" t="inlineStr">
        <is>
          <t>G|FICO x CHANNEL|where 2021|outcome_loans|book|6</t>
        </is>
      </c>
    </row>
    <row r="283">
      <c r="A283" t="inlineStr">
        <is>
          <t>G|FICO x CHANNEL|where 2021|outcome_loans|band|6</t>
        </is>
      </c>
    </row>
    <row r="284">
      <c r="A284" t="inlineStr">
        <is>
          <t>G|FICO x CHANNEL|where 2021|outcome_loans|rate|7</t>
        </is>
      </c>
      <c r="B284" t="n">
        <v>0.1428571428571428</v>
      </c>
      <c r="C284" t="n">
        <v>0.3</v>
      </c>
      <c r="D284" t="n">
        <v>0</v>
      </c>
      <c r="E284" t="n">
        <v>0.1538461538461539</v>
      </c>
    </row>
    <row r="285">
      <c r="A285" t="inlineStr">
        <is>
          <t>G|FICO x CHANNEL|where 2021|outcome_loans|book|7</t>
        </is>
      </c>
    </row>
    <row r="286">
      <c r="A286" t="inlineStr">
        <is>
          <t>G|FICO x CHANNEL|where 2021|outcome_loans|band|7</t>
        </is>
      </c>
    </row>
    <row r="287">
      <c r="A287" t="inlineStr">
        <is>
          <t>G|FICO x CHANNEL|where 2021|outcome_loans|rate|8</t>
        </is>
      </c>
      <c r="B287" t="n">
        <v>0.05514705882352941</v>
      </c>
      <c r="C287" t="n">
        <v>0.09090909090909091</v>
      </c>
      <c r="D287" t="n">
        <v>0.06761565836298933</v>
      </c>
      <c r="E287" t="n">
        <v>0.07151370679380215</v>
      </c>
    </row>
    <row r="288">
      <c r="A288" t="inlineStr">
        <is>
          <t>G|FICO x CHANNEL|where 2021|outcome_loans|book|8</t>
        </is>
      </c>
      <c r="B288" t="n">
        <v>0.7126354176565618</v>
      </c>
      <c r="C288" t="n">
        <v>1.174768688500514</v>
      </c>
      <c r="D288" t="n">
        <v>0.8737603412690657</v>
      </c>
      <c r="E288" t="n">
        <v>0.9241326989396177</v>
      </c>
    </row>
    <row r="289">
      <c r="A289" t="inlineStr">
        <is>
          <t>G|FICO x CHANNEL|where 2021|outcome_loans|band|8</t>
        </is>
      </c>
    </row>
    <row r="290">
      <c r="A290" t="inlineStr">
        <is>
          <t>G|FICO x CHANNEL|where 2021|outcome_loans|meta</t>
        </is>
      </c>
      <c r="B290" t="inlineStr">
        <is>
          <t>x</t>
        </is>
      </c>
      <c r="C290" t="n">
        <v>2.450810539802796</v>
      </c>
      <c r="D290" t="n">
        <v>10</v>
      </c>
      <c r="E290" t="n">
        <v>0.07738467308413552</v>
      </c>
      <c r="F290" t="n">
        <v>30</v>
      </c>
    </row>
    <row r="291">
      <c r="A291" t="inlineStr">
        <is>
          <t>G|FICO x CHANNEL|where 2021|outcome_booked|rate|1</t>
        </is>
      </c>
      <c r="B291" t="n">
        <v>0.09958207057374636</v>
      </c>
      <c r="C291" t="n">
        <v>0.200720442943086</v>
      </c>
      <c r="D291" t="n">
        <v>0.126728990802141</v>
      </c>
      <c r="E291" t="n">
        <v>0.1433180965127846</v>
      </c>
    </row>
    <row r="292">
      <c r="A292" t="inlineStr">
        <is>
          <t>G|FICO x CHANNEL|where 2021|outcome_booked|book|1</t>
        </is>
      </c>
      <c r="C292" t="n">
        <v>2.682393129411068</v>
      </c>
      <c r="E292" t="n">
        <v>1.915278143916671</v>
      </c>
    </row>
    <row r="293">
      <c r="A293" t="inlineStr">
        <is>
          <t>G|FICO x CHANNEL|where 2021|outcome_booked|band|1</t>
        </is>
      </c>
      <c r="C293" t="n">
        <v>1.767326383030426</v>
      </c>
    </row>
    <row r="294">
      <c r="A294" t="inlineStr">
        <is>
          <t>G|FICO x CHANNEL|where 2021|outcome_booked|rate|2</t>
        </is>
      </c>
      <c r="B294" t="n">
        <v>0.05317846202108713</v>
      </c>
      <c r="C294" t="n">
        <v>0.05960576334348015</v>
      </c>
      <c r="D294" t="n">
        <v>0.07176758605392923</v>
      </c>
      <c r="E294" t="n">
        <v>0.06198478876561241</v>
      </c>
    </row>
    <row r="295">
      <c r="A295" t="inlineStr">
        <is>
          <t>G|FICO x CHANNEL|where 2021|outcome_booked|book|2</t>
        </is>
      </c>
      <c r="E295" t="n">
        <v>0.8283539487804937</v>
      </c>
    </row>
    <row r="296">
      <c r="A296" t="inlineStr">
        <is>
          <t>G|FICO x CHANNEL|where 2021|outcome_booked|band|2</t>
        </is>
      </c>
    </row>
    <row r="297">
      <c r="A297" t="inlineStr">
        <is>
          <t>G|FICO x CHANNEL|where 2021|outcome_booked|rate|3</t>
        </is>
      </c>
      <c r="B297" t="n">
        <v>0.04837301246121314</v>
      </c>
      <c r="C297" t="n">
        <v>0.05974449909322605</v>
      </c>
      <c r="D297" t="n">
        <v>0.06541725467166773</v>
      </c>
      <c r="E297" t="n">
        <v>0.05778450612912112</v>
      </c>
    </row>
    <row r="298">
      <c r="A298" t="inlineStr">
        <is>
          <t>G|FICO x CHANNEL|where 2021|outcome_booked|book|3</t>
        </is>
      </c>
    </row>
    <row r="299">
      <c r="A299" t="inlineStr">
        <is>
          <t>G|FICO x CHANNEL|where 2021|outcome_booked|band|3</t>
        </is>
      </c>
    </row>
    <row r="300">
      <c r="A300" t="inlineStr">
        <is>
          <t>G|FICO x CHANNEL|where 2021|outcome_booked|rate|4</t>
        </is>
      </c>
      <c r="B300" t="n">
        <v>0</v>
      </c>
      <c r="C300" t="n">
        <v>0.08298971335644814</v>
      </c>
      <c r="D300" t="n">
        <v>0.06400466784587869</v>
      </c>
      <c r="E300" t="n">
        <v>0.05139081020742512</v>
      </c>
    </row>
    <row r="301">
      <c r="A301" t="inlineStr">
        <is>
          <t>G|FICO x CHANNEL|where 2021|outcome_booked|book|4</t>
        </is>
      </c>
    </row>
    <row r="302">
      <c r="A302" t="inlineStr">
        <is>
          <t>G|FICO x CHANNEL|where 2021|outcome_booked|band|4</t>
        </is>
      </c>
    </row>
    <row r="303">
      <c r="A303" t="inlineStr">
        <is>
          <t>G|FICO x CHANNEL|where 2021|outcome_booked|rate|5</t>
        </is>
      </c>
      <c r="B303" t="n">
        <v>0.02101944957547954</v>
      </c>
      <c r="C303" t="n">
        <v>0.03560563151159354</v>
      </c>
      <c r="D303" t="n">
        <v>0.008866559413987779</v>
      </c>
      <c r="E303" t="n">
        <v>0.02175399588169833</v>
      </c>
    </row>
    <row r="304">
      <c r="A304" t="inlineStr">
        <is>
          <t>G|FICO x CHANNEL|where 2021|outcome_booked|book|5</t>
        </is>
      </c>
    </row>
    <row r="305">
      <c r="A305" t="inlineStr">
        <is>
          <t>G|FICO x CHANNEL|where 2021|outcome_booked|band|5</t>
        </is>
      </c>
    </row>
    <row r="306">
      <c r="A306" t="inlineStr">
        <is>
          <t>G|FICO x CHANNEL|where 2021|outcome_booked|rate|6</t>
        </is>
      </c>
    </row>
    <row r="307">
      <c r="A307" t="inlineStr">
        <is>
          <t>G|FICO x CHANNEL|where 2021|outcome_booked|book|6</t>
        </is>
      </c>
    </row>
    <row r="308">
      <c r="A308" t="inlineStr">
        <is>
          <t>G|FICO x CHANNEL|where 2021|outcome_booked|band|6</t>
        </is>
      </c>
    </row>
    <row r="309">
      <c r="A309" t="inlineStr">
        <is>
          <t>G|FICO x CHANNEL|where 2021|outcome_booked|rate|7</t>
        </is>
      </c>
      <c r="B309" t="n">
        <v>0.1030881490473138</v>
      </c>
      <c r="C309" t="n">
        <v>0.3314030408854863</v>
      </c>
      <c r="D309" t="n">
        <v>0</v>
      </c>
      <c r="E309" t="n">
        <v>0.1335759322477665</v>
      </c>
    </row>
    <row r="310">
      <c r="A310" t="inlineStr">
        <is>
          <t>G|FICO x CHANNEL|where 2021|outcome_booked|book|7</t>
        </is>
      </c>
    </row>
    <row r="311">
      <c r="A311" t="inlineStr">
        <is>
          <t>G|FICO x CHANNEL|where 2021|outcome_booked|band|7</t>
        </is>
      </c>
    </row>
    <row r="312">
      <c r="A312" t="inlineStr">
        <is>
          <t>G|FICO x CHANNEL|where 2021|outcome_booked|rate|8</t>
        </is>
      </c>
      <c r="B312" t="n">
        <v>0.04559638607792475</v>
      </c>
      <c r="C312" t="n">
        <v>0.09376487895058783</v>
      </c>
      <c r="D312" t="n">
        <v>0.06532508847474734</v>
      </c>
      <c r="E312" t="n">
        <v>0.06821573017335518</v>
      </c>
    </row>
    <row r="313">
      <c r="A313" t="inlineStr">
        <is>
          <t>G|FICO x CHANNEL|where 2021|outcome_booked|book|8</t>
        </is>
      </c>
      <c r="B313" t="n">
        <v>0.6093421823310738</v>
      </c>
      <c r="C313" t="n">
        <v>1.253057553028785</v>
      </c>
      <c r="D313" t="n">
        <v>0.8729931338011143</v>
      </c>
      <c r="E313" t="n">
        <v>0.9116231672857126</v>
      </c>
    </row>
    <row r="314">
      <c r="A314" t="inlineStr">
        <is>
          <t>G|FICO x CHANNEL|where 2021|outcome_booked|band|8</t>
        </is>
      </c>
    </row>
    <row r="315">
      <c r="A315" t="inlineStr">
        <is>
          <t>G|FICO x CHANNEL|where 2021|outcome_booked|meta</t>
        </is>
      </c>
      <c r="B315" t="inlineStr">
        <is>
          <t>x</t>
        </is>
      </c>
      <c r="C315" t="n">
        <v>2.682393129411068</v>
      </c>
      <c r="D315" t="n">
        <v>10</v>
      </c>
      <c r="E315" t="n">
        <v>0.07482886857347235</v>
      </c>
      <c r="F315" t="n">
        <v>30</v>
      </c>
    </row>
    <row r="316">
      <c r="A316" t="inlineStr">
        <is>
          <t>G|FICO x CHANNEL|where 2021|gco_rate|rate|1</t>
        </is>
      </c>
      <c r="B316" t="n">
        <v>0.05932999527156965</v>
      </c>
      <c r="C316" t="n">
        <v>0.1204632359807142</v>
      </c>
      <c r="D316" t="n">
        <v>0.07493114382117154</v>
      </c>
      <c r="E316" t="n">
        <v>0.08549206325169094</v>
      </c>
    </row>
    <row r="317">
      <c r="A317" t="inlineStr">
        <is>
          <t>G|FICO x CHANNEL|where 2021|gco_rate|book|1</t>
        </is>
      </c>
      <c r="C317" t="n">
        <v>2.895384394633213</v>
      </c>
      <c r="E317" t="n">
        <v>2.054837592471538</v>
      </c>
    </row>
    <row r="318">
      <c r="A318" t="inlineStr">
        <is>
          <t>G|FICO x CHANNEL|where 2021|gco_rate|band|1</t>
        </is>
      </c>
      <c r="C318" t="n">
        <v>1.788072348375286</v>
      </c>
    </row>
    <row r="319">
      <c r="A319" t="inlineStr">
        <is>
          <t>G|FICO x CHANNEL|where 2021|gco_rate|rate|2</t>
        </is>
      </c>
      <c r="B319" t="n">
        <v>0.03292349669955054</v>
      </c>
      <c r="C319" t="n">
        <v>0.02763284894535321</v>
      </c>
      <c r="D319" t="n">
        <v>0.04388190807402484</v>
      </c>
      <c r="E319" t="n">
        <v>0.03521434488052909</v>
      </c>
    </row>
    <row r="320">
      <c r="A320" t="inlineStr">
        <is>
          <t>G|FICO x CHANNEL|where 2021|gco_rate|book|2</t>
        </is>
      </c>
      <c r="E320" t="n">
        <v>0.846391546800546</v>
      </c>
    </row>
    <row r="321">
      <c r="A321" t="inlineStr">
        <is>
          <t>G|FICO x CHANNEL|where 2021|gco_rate|band|2</t>
        </is>
      </c>
    </row>
    <row r="322">
      <c r="A322" t="inlineStr">
        <is>
          <t>G|FICO x CHANNEL|where 2021|gco_rate|rate|3</t>
        </is>
      </c>
      <c r="B322" t="n">
        <v>0.03155171235995993</v>
      </c>
      <c r="C322" t="n">
        <v>0.02621927593587867</v>
      </c>
      <c r="D322" t="n">
        <v>0.03728164647879979</v>
      </c>
      <c r="E322" t="n">
        <v>0.03164658289985124</v>
      </c>
    </row>
    <row r="323">
      <c r="A323" t="inlineStr">
        <is>
          <t>G|FICO x CHANNEL|where 2021|gco_rate|book|3</t>
        </is>
      </c>
    </row>
    <row r="324">
      <c r="A324" t="inlineStr">
        <is>
          <t>G|FICO x CHANNEL|where 2021|gco_rate|band|3</t>
        </is>
      </c>
    </row>
    <row r="325">
      <c r="A325" t="inlineStr">
        <is>
          <t>G|FICO x CHANNEL|where 2021|gco_rate|rate|4</t>
        </is>
      </c>
      <c r="B325" t="n">
        <v>0</v>
      </c>
      <c r="C325" t="n">
        <v>0.04123622303481842</v>
      </c>
      <c r="D325" t="n">
        <v>0.03548726689611374</v>
      </c>
      <c r="E325" t="n">
        <v>0.02671154883294005</v>
      </c>
    </row>
    <row r="326">
      <c r="A326" t="inlineStr">
        <is>
          <t>G|FICO x CHANNEL|where 2021|gco_rate|book|4</t>
        </is>
      </c>
    </row>
    <row r="327">
      <c r="A327" t="inlineStr">
        <is>
          <t>G|FICO x CHANNEL|where 2021|gco_rate|band|4</t>
        </is>
      </c>
    </row>
    <row r="328">
      <c r="A328" t="inlineStr">
        <is>
          <t>G|FICO x CHANNEL|where 2021|gco_rate|rate|5</t>
        </is>
      </c>
      <c r="B328" t="n">
        <v>0.01085758413156482</v>
      </c>
      <c r="C328" t="n">
        <v>0.01952116210674178</v>
      </c>
      <c r="D328" t="n">
        <v>0.004217861932767797</v>
      </c>
      <c r="E328" t="n">
        <v>0.01147370059849534</v>
      </c>
    </row>
    <row r="329">
      <c r="A329" t="inlineStr">
        <is>
          <t>G|FICO x CHANNEL|where 2021|gco_rate|book|5</t>
        </is>
      </c>
    </row>
    <row r="330">
      <c r="A330" t="inlineStr">
        <is>
          <t>G|FICO x CHANNEL|where 2021|gco_rate|band|5</t>
        </is>
      </c>
    </row>
    <row r="331">
      <c r="A331" t="inlineStr">
        <is>
          <t>G|FICO x CHANNEL|where 2021|gco_rate|rate|6</t>
        </is>
      </c>
    </row>
    <row r="332">
      <c r="A332" t="inlineStr">
        <is>
          <t>G|FICO x CHANNEL|where 2021|gco_rate|book|6</t>
        </is>
      </c>
    </row>
    <row r="333">
      <c r="A333" t="inlineStr">
        <is>
          <t>G|FICO x CHANNEL|where 2021|gco_rate|band|6</t>
        </is>
      </c>
    </row>
    <row r="334">
      <c r="A334" t="inlineStr">
        <is>
          <t>G|FICO x CHANNEL|where 2021|gco_rate|rate|7</t>
        </is>
      </c>
      <c r="B334" t="n">
        <v>0.05009924667094023</v>
      </c>
      <c r="C334" t="n">
        <v>0.1756585599517378</v>
      </c>
      <c r="D334" t="n">
        <v>0</v>
      </c>
      <c r="E334" t="n">
        <v>0.06918530674372421</v>
      </c>
    </row>
    <row r="335">
      <c r="A335" t="inlineStr">
        <is>
          <t>G|FICO x CHANNEL|where 2021|gco_rate|book|7</t>
        </is>
      </c>
    </row>
    <row r="336">
      <c r="A336" t="inlineStr">
        <is>
          <t>G|FICO x CHANNEL|where 2021|gco_rate|band|7</t>
        </is>
      </c>
    </row>
    <row r="337">
      <c r="A337" t="inlineStr">
        <is>
          <t>G|FICO x CHANNEL|where 2021|gco_rate|rate|8</t>
        </is>
      </c>
      <c r="B337" t="n">
        <v>0.0271464641575517</v>
      </c>
      <c r="C337" t="n">
        <v>0.05024283961414374</v>
      </c>
      <c r="D337" t="n">
        <v>0.03812234963986715</v>
      </c>
      <c r="E337" t="n">
        <v>0.03849769563981712</v>
      </c>
    </row>
    <row r="338">
      <c r="A338" t="inlineStr">
        <is>
          <t>G|FICO x CHANNEL|where 2021|gco_rate|book|8</t>
        </is>
      </c>
      <c r="B338" t="n">
        <v>0.6524766502522691</v>
      </c>
      <c r="C338" t="n">
        <v>1.207607720119197</v>
      </c>
      <c r="D338" t="n">
        <v>0.9162866607011432</v>
      </c>
      <c r="E338" t="n">
        <v>0.9253082592162049</v>
      </c>
    </row>
    <row r="339">
      <c r="A339" t="inlineStr">
        <is>
          <t>G|FICO x CHANNEL|where 2021|gco_rate|band|8</t>
        </is>
      </c>
    </row>
    <row r="340">
      <c r="A340" t="inlineStr">
        <is>
          <t>G|FICO x CHANNEL|where 2021|gco_rate|meta</t>
        </is>
      </c>
      <c r="B340" t="inlineStr">
        <is>
          <t>x</t>
        </is>
      </c>
      <c r="C340" t="n">
        <v>2.895384394633213</v>
      </c>
      <c r="D340" t="n">
        <v>10</v>
      </c>
      <c r="E340" t="n">
        <v>0.04160526533333565</v>
      </c>
      <c r="F340" t="n">
        <v>30</v>
      </c>
    </row>
    <row r="341">
      <c r="A341" t="inlineStr">
        <is>
          <t>G|FICO x CHANNEL|where 2021|ranr_rate|rate|1</t>
        </is>
      </c>
      <c r="B341" t="n">
        <v>0.426676207183632</v>
      </c>
      <c r="C341" t="n">
        <v>0.3663558421550744</v>
      </c>
      <c r="D341" t="n">
        <v>0.4054785748599425</v>
      </c>
      <c r="E341" t="n">
        <v>0.3988917634926812</v>
      </c>
    </row>
    <row r="342">
      <c r="A342" t="inlineStr">
        <is>
          <t>G|FICO x CHANNEL|where 2021|ranr_rate|book|1</t>
        </is>
      </c>
      <c r="B342" t="n">
        <v>29.868615754</v>
      </c>
      <c r="C342" t="n">
        <v>23.836579251</v>
      </c>
      <c r="D342" t="n">
        <v>27.748852521</v>
      </c>
      <c r="E342" t="n">
        <v>27.090171384</v>
      </c>
    </row>
    <row r="343">
      <c r="A343" t="inlineStr">
        <is>
          <t>G|FICO x CHANNEL|where 2021|ranr_rate|band|1</t>
        </is>
      </c>
      <c r="B343" t="n">
        <v>4.081220953</v>
      </c>
      <c r="C343" t="n">
        <v>-4.939561998</v>
      </c>
      <c r="D343" t="n">
        <v>0.997197664</v>
      </c>
    </row>
    <row r="344">
      <c r="A344" t="inlineStr">
        <is>
          <t>G|FICO x CHANNEL|where 2021|ranr_rate|rate|2</t>
        </is>
      </c>
      <c r="B344" t="n">
        <v>0.3229528536235873</v>
      </c>
      <c r="C344" t="n">
        <v>0.3319759386803631</v>
      </c>
      <c r="D344" t="n">
        <v>0.3281908338031608</v>
      </c>
      <c r="E344" t="n">
        <v>0.3277382035695149</v>
      </c>
    </row>
    <row r="345">
      <c r="A345" t="inlineStr">
        <is>
          <t>G|FICO x CHANNEL|where 2021|ranr_rate|book|2</t>
        </is>
      </c>
      <c r="B345" t="n">
        <v>19.496280398</v>
      </c>
      <c r="C345" t="n">
        <v>20.398588903</v>
      </c>
      <c r="D345" t="n">
        <v>20.020078416</v>
      </c>
      <c r="E345" t="n">
        <v>19.974815392</v>
      </c>
    </row>
    <row r="346">
      <c r="A346" t="inlineStr">
        <is>
          <t>G|FICO x CHANNEL|where 2021|ranr_rate|band|2</t>
        </is>
      </c>
      <c r="B346" t="n">
        <v>-0.700905284</v>
      </c>
      <c r="C346" t="n">
        <v>0.62269938</v>
      </c>
      <c r="D346" t="n">
        <v>0.071087927</v>
      </c>
    </row>
    <row r="347">
      <c r="A347" t="inlineStr">
        <is>
          <t>G|FICO x CHANNEL|where 2021|ranr_rate|rate|3</t>
        </is>
      </c>
      <c r="B347" t="n">
        <v>0.2451800244310683</v>
      </c>
      <c r="C347" t="n">
        <v>0.2482323182405088</v>
      </c>
      <c r="D347" t="n">
        <v>0.3343132349801237</v>
      </c>
      <c r="E347" t="n">
        <v>0.2754858653262878</v>
      </c>
    </row>
    <row r="348">
      <c r="A348" t="inlineStr">
        <is>
          <t>G|FICO x CHANNEL|where 2021|ranr_rate|book|3</t>
        </is>
      </c>
      <c r="B348" t="n">
        <v>11.718997478</v>
      </c>
      <c r="C348" t="n">
        <v>12.024226859</v>
      </c>
      <c r="D348" t="n">
        <v>20.632318533</v>
      </c>
      <c r="E348" t="n">
        <v>14.749581568</v>
      </c>
    </row>
    <row r="349">
      <c r="A349" t="inlineStr">
        <is>
          <t>G|FICO x CHANNEL|where 2021|ranr_rate|band|3</t>
        </is>
      </c>
      <c r="B349" t="n">
        <v>-4.565840863</v>
      </c>
      <c r="C349" t="n">
        <v>-4.099664373</v>
      </c>
      <c r="D349" t="n">
        <v>8.760938989</v>
      </c>
    </row>
    <row r="350">
      <c r="A350" t="inlineStr">
        <is>
          <t>G|FICO x CHANNEL|where 2021|ranr_rate|rate|4</t>
        </is>
      </c>
      <c r="B350" t="n">
        <v>0.1945926549003146</v>
      </c>
      <c r="C350" t="n">
        <v>0.1616406065899609</v>
      </c>
      <c r="D350" t="n">
        <v>0.2383977848671502</v>
      </c>
      <c r="E350" t="n">
        <v>0.1962865232989212</v>
      </c>
    </row>
    <row r="351">
      <c r="A351" t="inlineStr">
        <is>
          <t>G|FICO x CHANNEL|where 2021|ranr_rate|book|4</t>
        </is>
      </c>
      <c r="B351" t="n">
        <v>6.660260525</v>
      </c>
      <c r="C351" t="n">
        <v>3.365055694</v>
      </c>
      <c r="D351" t="n">
        <v>11.040773522</v>
      </c>
      <c r="E351" t="n">
        <v>6.829647365</v>
      </c>
    </row>
    <row r="352">
      <c r="A352" t="inlineStr">
        <is>
          <t>G|FICO x CHANNEL|where 2021|ranr_rate|band|4</t>
        </is>
      </c>
      <c r="B352" t="n">
        <v>-0.244679856</v>
      </c>
      <c r="C352" t="n">
        <v>-5.525790386</v>
      </c>
      <c r="D352" t="n">
        <v>6.186147771</v>
      </c>
    </row>
    <row r="353">
      <c r="A353" t="inlineStr">
        <is>
          <t>G|FICO x CHANNEL|where 2021|ranr_rate|rate|5</t>
        </is>
      </c>
      <c r="B353" t="n">
        <v>0.09979556451094257</v>
      </c>
      <c r="C353" t="n">
        <v>0.09062874633627305</v>
      </c>
      <c r="D353" t="n">
        <v>0.1072888263132464</v>
      </c>
      <c r="E353" t="n">
        <v>0.09928907298177064</v>
      </c>
    </row>
    <row r="354">
      <c r="A354" t="inlineStr">
        <is>
          <t>G|FICO x CHANNEL|where 2021|ranr_rate|book|5</t>
        </is>
      </c>
      <c r="B354" t="n">
        <v>-2.819448514</v>
      </c>
      <c r="C354" t="n">
        <v>-3.736130331</v>
      </c>
      <c r="D354" t="n">
        <v>-2.070122333</v>
      </c>
      <c r="E354" t="n">
        <v>-2.870097667</v>
      </c>
    </row>
    <row r="355">
      <c r="A355" t="inlineStr">
        <is>
          <t>G|FICO x CHANNEL|where 2021|ranr_rate|band|5</t>
        </is>
      </c>
      <c r="B355" t="n">
        <v>0.08167619199999999</v>
      </c>
      <c r="C355" t="n">
        <v>-1.253876187</v>
      </c>
      <c r="D355" t="n">
        <v>1.160739976</v>
      </c>
    </row>
    <row r="356">
      <c r="A356" t="inlineStr">
        <is>
          <t>G|FICO x CHANNEL|where 2021|ranr_rate|rate|6</t>
        </is>
      </c>
    </row>
    <row r="357">
      <c r="A357" t="inlineStr">
        <is>
          <t>G|FICO x CHANNEL|where 2021|ranr_rate|book|6</t>
        </is>
      </c>
    </row>
    <row r="358">
      <c r="A358" t="inlineStr">
        <is>
          <t>G|FICO x CHANNEL|where 2021|ranr_rate|band|6</t>
        </is>
      </c>
    </row>
    <row r="359">
      <c r="A359" t="inlineStr">
        <is>
          <t>G|FICO x CHANNEL|where 2021|ranr_rate|rate|7</t>
        </is>
      </c>
      <c r="B359" t="n">
        <v>0.2020203221538756</v>
      </c>
      <c r="C359" t="n">
        <v>0.1890323117980352</v>
      </c>
      <c r="D359" t="n">
        <v>0.3336770960607741</v>
      </c>
      <c r="E359" t="n">
        <v>0.2445440767836356</v>
      </c>
    </row>
    <row r="360">
      <c r="A360" t="inlineStr">
        <is>
          <t>G|FICO x CHANNEL|where 2021|ranr_rate|book|7</t>
        </is>
      </c>
      <c r="B360" t="n">
        <v>7.403027251</v>
      </c>
      <c r="C360" t="n">
        <v>6.104226215</v>
      </c>
      <c r="D360" t="n">
        <v>20.568704641</v>
      </c>
      <c r="E360" t="n">
        <v>11.655402714</v>
      </c>
    </row>
    <row r="361">
      <c r="A361" t="inlineStr">
        <is>
          <t>G|FICO x CHANNEL|where 2021|ranr_rate|band|7</t>
        </is>
      </c>
      <c r="B361" t="n">
        <v>-6.600736275</v>
      </c>
      <c r="C361" t="n">
        <v>-7.84500171</v>
      </c>
      <c r="D361" t="n">
        <v>13.751577823</v>
      </c>
    </row>
    <row r="362">
      <c r="A362" t="inlineStr">
        <is>
          <t>G|FICO x CHANNEL|where 2021|ranr_rate|rate|8</t>
        </is>
      </c>
      <c r="B362" t="n">
        <v>0.2491857695288141</v>
      </c>
      <c r="C362" t="n">
        <v>0.2384745222007151</v>
      </c>
      <c r="D362" t="n">
        <v>0.2848441365053869</v>
      </c>
      <c r="E362" t="n">
        <v>0.2575062438820643</v>
      </c>
    </row>
    <row r="363">
      <c r="A363" t="inlineStr">
        <is>
          <t>G|FICO x CHANNEL|where 2021|ranr_rate|book|8</t>
        </is>
      </c>
      <c r="B363" t="n">
        <v>12.119571988</v>
      </c>
      <c r="C363" t="n">
        <v>11.048447255</v>
      </c>
      <c r="D363" t="n">
        <v>15.685408686</v>
      </c>
      <c r="E363" t="n">
        <v>12.951619423</v>
      </c>
    </row>
    <row r="364">
      <c r="A364" t="inlineStr">
        <is>
          <t>G|FICO x CHANNEL|where 2021|ranr_rate|band|8</t>
        </is>
      </c>
    </row>
    <row r="365">
      <c r="A365" t="inlineStr">
        <is>
          <t>G|FICO x CHANNEL|where 2021|ranr_rate|meta</t>
        </is>
      </c>
      <c r="B365" t="inlineStr">
        <is>
          <t>pts</t>
        </is>
      </c>
      <c r="C365" t="n">
        <v>29.868615754</v>
      </c>
      <c r="D365" t="n">
        <v>10</v>
      </c>
      <c r="E365" t="n">
        <v>0.1279900496481481</v>
      </c>
      <c r="F365" t="n">
        <v>30</v>
      </c>
    </row>
    <row r="366">
      <c r="A366" t="inlineStr">
        <is>
          <t>G|FICO x CHANNEL|where 2021|contribution_rate|rate|1</t>
        </is>
      </c>
      <c r="B366" t="n">
        <v>0.4860062024552015</v>
      </c>
      <c r="C366" t="n">
        <v>0.4868190781357888</v>
      </c>
      <c r="D366" t="n">
        <v>0.4804097186811142</v>
      </c>
      <c r="E366" t="n">
        <v>0.4843838267443722</v>
      </c>
    </row>
    <row r="367">
      <c r="A367" t="inlineStr">
        <is>
          <t>G|FICO x CHANNEL|where 2021|contribution_rate|book|1</t>
        </is>
      </c>
      <c r="B367" t="n">
        <v>31.641374672</v>
      </c>
      <c r="C367" t="n">
        <v>31.72266224</v>
      </c>
      <c r="D367" t="n">
        <v>31.081726295</v>
      </c>
      <c r="E367" t="n">
        <v>31.479137101</v>
      </c>
    </row>
    <row r="368">
      <c r="A368" t="inlineStr">
        <is>
          <t>G|FICO x CHANNEL|where 2021|contribution_rate|band|1</t>
        </is>
      </c>
      <c r="B368" t="n">
        <v>0.238308667</v>
      </c>
      <c r="C368" t="n">
        <v>0.369716754</v>
      </c>
      <c r="D368" t="n">
        <v>-0.601652462</v>
      </c>
    </row>
    <row r="369">
      <c r="A369" t="inlineStr">
        <is>
          <t>G|FICO x CHANNEL|where 2021|contribution_rate|rate|2</t>
        </is>
      </c>
      <c r="B369" t="n">
        <v>0.3558763503231379</v>
      </c>
      <c r="C369" t="n">
        <v>0.3596087876257164</v>
      </c>
      <c r="D369" t="n">
        <v>0.3720727418771856</v>
      </c>
      <c r="E369" t="n">
        <v>0.362952548450044</v>
      </c>
    </row>
    <row r="370">
      <c r="A370" t="inlineStr">
        <is>
          <t>G|FICO x CHANNEL|where 2021|contribution_rate|book|2</t>
        </is>
      </c>
      <c r="B370" t="n">
        <v>18.628389459</v>
      </c>
      <c r="C370" t="n">
        <v>19.001633189</v>
      </c>
      <c r="D370" t="n">
        <v>20.248028614</v>
      </c>
      <c r="E370" t="n">
        <v>19.336009272</v>
      </c>
    </row>
    <row r="371">
      <c r="A371" t="inlineStr">
        <is>
          <t>G|FICO x CHANNEL|where 2021|contribution_rate|band|2</t>
        </is>
      </c>
      <c r="B371" t="n">
        <v>-1.036443461</v>
      </c>
      <c r="C371" t="n">
        <v>-0.49133741</v>
      </c>
      <c r="D371" t="n">
        <v>1.432373711</v>
      </c>
    </row>
    <row r="372">
      <c r="A372" t="inlineStr">
        <is>
          <t>G|FICO x CHANNEL|where 2021|contribution_rate|rate|3</t>
        </is>
      </c>
      <c r="B372" t="n">
        <v>0.2767317367910283</v>
      </c>
      <c r="C372" t="n">
        <v>0.2744515941763875</v>
      </c>
      <c r="D372" t="n">
        <v>0.3715948814589234</v>
      </c>
      <c r="E372" t="n">
        <v>0.3071324482261391</v>
      </c>
    </row>
    <row r="373">
      <c r="A373" t="inlineStr">
        <is>
          <t>G|FICO x CHANNEL|where 2021|contribution_rate|book|3</t>
        </is>
      </c>
      <c r="B373" t="n">
        <v>10.713928106</v>
      </c>
      <c r="C373" t="n">
        <v>10.485913844</v>
      </c>
      <c r="D373" t="n">
        <v>20.200242572</v>
      </c>
      <c r="E373" t="n">
        <v>13.753999249</v>
      </c>
    </row>
    <row r="374">
      <c r="A374" t="inlineStr">
        <is>
          <t>G|FICO x CHANNEL|where 2021|contribution_rate|band|3</t>
        </is>
      </c>
      <c r="B374" t="n">
        <v>-4.580133942</v>
      </c>
      <c r="C374" t="n">
        <v>-4.916076891</v>
      </c>
      <c r="D374" t="n">
        <v>9.600147821</v>
      </c>
    </row>
    <row r="375">
      <c r="A375" t="inlineStr">
        <is>
          <t>G|FICO x CHANNEL|where 2021|contribution_rate|rate|4</t>
        </is>
      </c>
      <c r="B375" t="n">
        <v>0.1945926549003146</v>
      </c>
      <c r="C375" t="n">
        <v>0.2028768296247793</v>
      </c>
      <c r="D375" t="n">
        <v>0.2738850517632639</v>
      </c>
      <c r="E375" t="n">
        <v>0.2229980721318613</v>
      </c>
    </row>
    <row r="376">
      <c r="A376" t="inlineStr">
        <is>
          <t>G|FICO x CHANNEL|where 2021|contribution_rate|book|4</t>
        </is>
      </c>
      <c r="B376" t="n">
        <v>2.500019917</v>
      </c>
      <c r="C376" t="n">
        <v>3.328437389</v>
      </c>
      <c r="D376" t="n">
        <v>10.429259603</v>
      </c>
      <c r="E376" t="n">
        <v>5.34056164</v>
      </c>
    </row>
    <row r="377">
      <c r="A377" t="inlineStr">
        <is>
          <t>G|FICO x CHANNEL|where 2021|contribution_rate|band|4</t>
        </is>
      </c>
      <c r="B377" t="n">
        <v>-4.103172015</v>
      </c>
      <c r="C377" t="n">
        <v>-3.20920267</v>
      </c>
      <c r="D377" t="n">
        <v>7.475301472</v>
      </c>
    </row>
    <row r="378">
      <c r="A378" t="inlineStr">
        <is>
          <t>G|FICO x CHANNEL|where 2021|contribution_rate|rate|5</t>
        </is>
      </c>
      <c r="B378" t="n">
        <v>0.1106531486425074</v>
      </c>
      <c r="C378" t="n">
        <v>0.1101499084430148</v>
      </c>
      <c r="D378" t="n">
        <v>0.1115066882460141</v>
      </c>
      <c r="E378" t="n">
        <v>0.110762773580266</v>
      </c>
    </row>
    <row r="379">
      <c r="A379" t="inlineStr">
        <is>
          <t>G|FICO x CHANNEL|where 2021|contribution_rate|book|5</t>
        </is>
      </c>
      <c r="B379" t="n">
        <v>-5.893930709</v>
      </c>
      <c r="C379" t="n">
        <v>-5.944254729</v>
      </c>
      <c r="D379" t="n">
        <v>-5.808576749</v>
      </c>
      <c r="E379" t="n">
        <v>-5.882968215</v>
      </c>
    </row>
    <row r="380">
      <c r="A380" t="inlineStr">
        <is>
          <t>G|FICO x CHANNEL|where 2021|contribution_rate|band|5</t>
        </is>
      </c>
      <c r="B380" t="n">
        <v>-0.017677981</v>
      </c>
      <c r="C380" t="n">
        <v>-0.08873302700000001</v>
      </c>
      <c r="D380" t="n">
        <v>0.107939765</v>
      </c>
    </row>
    <row r="381">
      <c r="A381" t="inlineStr">
        <is>
          <t>G|FICO x CHANNEL|where 2021|contribution_rate|rate|6</t>
        </is>
      </c>
    </row>
    <row r="382">
      <c r="A382" t="inlineStr">
        <is>
          <t>G|FICO x CHANNEL|where 2021|contribution_rate|book|6</t>
        </is>
      </c>
    </row>
    <row r="383">
      <c r="A383" t="inlineStr">
        <is>
          <t>G|FICO x CHANNEL|where 2021|contribution_rate|band|6</t>
        </is>
      </c>
    </row>
    <row r="384">
      <c r="A384" t="inlineStr">
        <is>
          <t>G|FICO x CHANNEL|where 2021|contribution_rate|rate|7</t>
        </is>
      </c>
      <c r="B384" t="n">
        <v>0.2521195688248158</v>
      </c>
      <c r="C384" t="n">
        <v>0.364690871749773</v>
      </c>
      <c r="D384" t="n">
        <v>0.3336770960607741</v>
      </c>
      <c r="E384" t="n">
        <v>0.3137293835273597</v>
      </c>
    </row>
    <row r="385">
      <c r="A385" t="inlineStr">
        <is>
          <t>G|FICO x CHANNEL|where 2021|contribution_rate|book|7</t>
        </is>
      </c>
      <c r="B385" t="n">
        <v>8.252711309</v>
      </c>
      <c r="C385" t="n">
        <v>19.509841601</v>
      </c>
      <c r="D385" t="n">
        <v>16.408464033</v>
      </c>
      <c r="E385" t="n">
        <v>14.413692779</v>
      </c>
    </row>
    <row r="386">
      <c r="A386" t="inlineStr">
        <is>
          <t>G|FICO x CHANNEL|where 2021|contribution_rate|band|7</t>
        </is>
      </c>
      <c r="B386" t="n">
        <v>-9.563363874</v>
      </c>
      <c r="C386" t="n">
        <v>7.201950115</v>
      </c>
      <c r="D386" t="n">
        <v>3.077563438</v>
      </c>
    </row>
    <row r="387">
      <c r="A387" t="inlineStr">
        <is>
          <t>G|FICO x CHANNEL|where 2021|contribution_rate|rate|8</t>
        </is>
      </c>
      <c r="B387" t="n">
        <v>0.2763322336863658</v>
      </c>
      <c r="C387" t="n">
        <v>0.2887173618148588</v>
      </c>
      <c r="D387" t="n">
        <v>0.322966486145254</v>
      </c>
      <c r="E387" t="n">
        <v>0.2960039395218814</v>
      </c>
    </row>
    <row r="388">
      <c r="A388" t="inlineStr">
        <is>
          <t>G|FICO x CHANNEL|where 2021|contribution_rate|book|8</t>
        </is>
      </c>
      <c r="B388" t="n">
        <v>10.673977795</v>
      </c>
      <c r="C388" t="n">
        <v>11.912490608</v>
      </c>
      <c r="D388" t="n">
        <v>15.337403041</v>
      </c>
      <c r="E388" t="n">
        <v>12.641148379</v>
      </c>
    </row>
    <row r="389">
      <c r="A389" t="inlineStr">
        <is>
          <t>G|FICO x CHANNEL|where 2021|contribution_rate|band|8</t>
        </is>
      </c>
    </row>
    <row r="390">
      <c r="A390" t="inlineStr">
        <is>
          <t>G|FICO x CHANNEL|where 2021|contribution_rate|meta</t>
        </is>
      </c>
      <c r="B390" t="inlineStr">
        <is>
          <t>pts</t>
        </is>
      </c>
      <c r="C390" t="n">
        <v>31.72266224</v>
      </c>
      <c r="D390" t="n">
        <v>10</v>
      </c>
      <c r="E390" t="n">
        <v>0.1695924557349815</v>
      </c>
      <c r="F390" t="n">
        <v>30</v>
      </c>
    </row>
    <row r="391">
      <c r="A391" t="inlineStr">
        <is>
          <t>G|FICO x CHANNEL|where 2021|loan_size|rate|1</t>
        </is>
      </c>
      <c r="B391" t="n">
        <v>37635.97590909091</v>
      </c>
      <c r="C391" t="n">
        <v>30528.77620689655</v>
      </c>
      <c r="D391" t="n">
        <v>36688.79166666666</v>
      </c>
      <c r="E391" t="n">
        <v>34584.75973333333</v>
      </c>
    </row>
    <row r="392">
      <c r="A392" t="inlineStr">
        <is>
          <t>G|FICO x CHANNEL|where 2021|loan_size|median|1</t>
        </is>
      </c>
      <c r="B392" t="n">
        <v>38974.665</v>
      </c>
      <c r="C392" t="n">
        <v>28373.745</v>
      </c>
      <c r="D392" t="n">
        <v>40069.02</v>
      </c>
      <c r="E392" t="n">
        <v>34888.695</v>
      </c>
    </row>
    <row r="393">
      <c r="A393" t="inlineStr">
        <is>
          <t>G|FICO x CHANNEL|where 2021|loan_size|book|1</t>
        </is>
      </c>
      <c r="B393" t="n">
        <v>1.166551649099408</v>
      </c>
      <c r="C393" t="n">
        <v>0.94625935342199</v>
      </c>
      <c r="D393" t="n">
        <v>1.13719305500662</v>
      </c>
      <c r="E393" t="n">
        <v>1.071977211327781</v>
      </c>
    </row>
    <row r="394">
      <c r="A394" t="inlineStr">
        <is>
          <t>G|FICO x CHANNEL|where 2021|loan_size|band|1</t>
        </is>
      </c>
      <c r="B394" t="n">
        <v>1.129591529981135</v>
      </c>
      <c r="C394" t="n">
        <v>0.8219521429631776</v>
      </c>
      <c r="D394" t="n">
        <v>1.092102960465235</v>
      </c>
    </row>
    <row r="395">
      <c r="A395" t="inlineStr">
        <is>
          <t>G|FICO x CHANNEL|where 2021|loan_size|rate|2</t>
        </is>
      </c>
      <c r="B395" t="n">
        <v>33788.39053571429</v>
      </c>
      <c r="C395" t="n">
        <v>33425.35894736842</v>
      </c>
      <c r="D395" t="n">
        <v>31861.92823529412</v>
      </c>
      <c r="E395" t="n">
        <v>32950.31187845304</v>
      </c>
    </row>
    <row r="396">
      <c r="A396" t="inlineStr">
        <is>
          <t>G|FICO x CHANNEL|where 2021|loan_size|median|2</t>
        </is>
      </c>
      <c r="B396" t="n">
        <v>34628.55</v>
      </c>
      <c r="C396" t="n">
        <v>33782.73</v>
      </c>
      <c r="D396" t="n">
        <v>31667.52</v>
      </c>
      <c r="E396" t="n">
        <v>32380.91</v>
      </c>
    </row>
    <row r="397">
      <c r="A397" t="inlineStr">
        <is>
          <t>G|FICO x CHANNEL|where 2021|loan_size|book|2</t>
        </is>
      </c>
      <c r="B397" t="n">
        <v>1.047293228028969</v>
      </c>
      <c r="C397" t="n">
        <v>1.036040826893338</v>
      </c>
      <c r="D397" t="n">
        <v>0.9875812710729084</v>
      </c>
      <c r="E397" t="n">
        <v>1.021316432792819</v>
      </c>
    </row>
    <row r="398">
      <c r="A398" t="inlineStr">
        <is>
          <t>G|FICO x CHANNEL|where 2021|loan_size|band|2</t>
        </is>
      </c>
      <c r="B398" t="n">
        <v>1.037253826107079</v>
      </c>
      <c r="C398" t="n">
        <v>1.021184671796524</v>
      </c>
      <c r="D398" t="n">
        <v>0.9481230100391563</v>
      </c>
    </row>
    <row r="399">
      <c r="A399" t="inlineStr">
        <is>
          <t>G|FICO x CHANNEL|where 2021|loan_size|rate|3</t>
        </is>
      </c>
      <c r="B399" t="n">
        <v>31978.01795918367</v>
      </c>
      <c r="C399" t="n">
        <v>31243.0672</v>
      </c>
      <c r="D399" t="n">
        <v>30618.7872</v>
      </c>
      <c r="E399" t="n">
        <v>31275.27248322147</v>
      </c>
    </row>
    <row r="400">
      <c r="A400" t="inlineStr">
        <is>
          <t>G|FICO x CHANNEL|where 2021|loan_size|median|3</t>
        </is>
      </c>
      <c r="B400" t="n">
        <v>27477.22</v>
      </c>
      <c r="C400" t="n">
        <v>31514.605</v>
      </c>
      <c r="D400" t="n">
        <v>28675.185</v>
      </c>
      <c r="E400" t="n">
        <v>28862.47</v>
      </c>
    </row>
    <row r="401">
      <c r="A401" t="inlineStr">
        <is>
          <t>G|FICO x CHANNEL|where 2021|loan_size|book|3</t>
        </is>
      </c>
      <c r="B401" t="n">
        <v>0.9911795478699276</v>
      </c>
      <c r="C401" t="n">
        <v>0.9683992691758526</v>
      </c>
      <c r="D401" t="n">
        <v>0.9490493029292257</v>
      </c>
      <c r="E401" t="n">
        <v>0.9693974929589285</v>
      </c>
    </row>
    <row r="402">
      <c r="A402" t="inlineStr">
        <is>
          <t>G|FICO x CHANNEL|where 2021|loan_size|band|3</t>
        </is>
      </c>
      <c r="B402" t="n">
        <v>1.033852549987046</v>
      </c>
      <c r="C402" t="n">
        <v>0.9984510004550751</v>
      </c>
      <c r="D402" t="n">
        <v>0.9687395577168809</v>
      </c>
    </row>
    <row r="403">
      <c r="A403" t="inlineStr">
        <is>
          <t>G|FICO x CHANNEL|where 2021|loan_size|rate|4</t>
        </is>
      </c>
      <c r="B403" t="n">
        <v>31074.88979591836</v>
      </c>
      <c r="C403" t="n">
        <v>32959.95625</v>
      </c>
      <c r="D403" t="n">
        <v>30976.37431372549</v>
      </c>
      <c r="E403" t="n">
        <v>31719.37333333333</v>
      </c>
    </row>
    <row r="404">
      <c r="A404" t="inlineStr">
        <is>
          <t>G|FICO x CHANNEL|where 2021|loan_size|median|4</t>
        </is>
      </c>
      <c r="B404" t="n">
        <v>29394.66</v>
      </c>
      <c r="C404" t="n">
        <v>35596.735</v>
      </c>
      <c r="D404" t="n">
        <v>28577.92</v>
      </c>
      <c r="E404" t="n">
        <v>31146.235</v>
      </c>
    </row>
    <row r="405">
      <c r="A405" t="inlineStr">
        <is>
          <t>G|FICO x CHANNEL|where 2021|loan_size|book|4</t>
        </is>
      </c>
      <c r="B405" t="n">
        <v>0.96318650071871</v>
      </c>
      <c r="C405" t="n">
        <v>1.021615366386565</v>
      </c>
      <c r="D405" t="n">
        <v>0.9601329490188282</v>
      </c>
      <c r="E405" t="n">
        <v>0.9831626888001582</v>
      </c>
    </row>
    <row r="406">
      <c r="A406" t="inlineStr">
        <is>
          <t>G|FICO x CHANNEL|where 2021|loan_size|band|4</t>
        </is>
      </c>
      <c r="B406" t="n">
        <v>0.9706501570979403</v>
      </c>
      <c r="C406" t="n">
        <v>1.06237973815586</v>
      </c>
      <c r="D406" t="n">
        <v>0.9655899201920328</v>
      </c>
    </row>
    <row r="407">
      <c r="A407" t="inlineStr">
        <is>
          <t>G|FICO x CHANNEL|where 2021|loan_size|rate|5</t>
        </is>
      </c>
      <c r="B407" t="n">
        <v>33082.50850746268</v>
      </c>
      <c r="C407" t="n">
        <v>32814.63545454545</v>
      </c>
      <c r="D407" t="n">
        <v>32972.716</v>
      </c>
      <c r="E407" t="n">
        <v>32965.15480225989</v>
      </c>
    </row>
    <row r="408">
      <c r="A408" t="inlineStr">
        <is>
          <t>G|FICO x CHANNEL|where 2021|loan_size|median|5</t>
        </is>
      </c>
      <c r="B408" t="n">
        <v>32112.83</v>
      </c>
      <c r="C408" t="n">
        <v>32795.11</v>
      </c>
      <c r="D408" t="n">
        <v>34831.03</v>
      </c>
      <c r="E408" t="n">
        <v>32407.36</v>
      </c>
    </row>
    <row r="409">
      <c r="A409" t="inlineStr">
        <is>
          <t>G|FICO x CHANNEL|where 2021|loan_size|book|5</t>
        </is>
      </c>
      <c r="B409" t="n">
        <v>1.025413953631633</v>
      </c>
      <c r="C409" t="n">
        <v>1.017111053438884</v>
      </c>
      <c r="D409" t="n">
        <v>1.022010863169764</v>
      </c>
      <c r="E409" t="n">
        <v>1.021776498908447</v>
      </c>
    </row>
    <row r="410">
      <c r="A410" t="inlineStr">
        <is>
          <t>G|FICO x CHANNEL|where 2021|loan_size|band|5</t>
        </is>
      </c>
      <c r="B410" t="n">
        <v>1.005740701700704</v>
      </c>
      <c r="C410" t="n">
        <v>0.9933891456383367</v>
      </c>
      <c r="D410" t="n">
        <v>1.000332808049804</v>
      </c>
    </row>
    <row r="411">
      <c r="A411" t="inlineStr">
        <is>
          <t>G|FICO x CHANNEL|where 2021|loan_size|rate|6</t>
        </is>
      </c>
    </row>
    <row r="412">
      <c r="A412" t="inlineStr">
        <is>
          <t>G|FICO x CHANNEL|where 2021|loan_size|median|6</t>
        </is>
      </c>
    </row>
    <row r="413">
      <c r="A413" t="inlineStr">
        <is>
          <t>G|FICO x CHANNEL|where 2021|loan_size|book|6</t>
        </is>
      </c>
    </row>
    <row r="414">
      <c r="A414" t="inlineStr">
        <is>
          <t>G|FICO x CHANNEL|where 2021|loan_size|band|6</t>
        </is>
      </c>
    </row>
    <row r="415">
      <c r="A415" t="inlineStr">
        <is>
          <t>G|FICO x CHANNEL|where 2021|loan_size|rate|7</t>
        </is>
      </c>
      <c r="B415" t="n">
        <v>39278.03571428572</v>
      </c>
      <c r="C415" t="n">
        <v>22596.576</v>
      </c>
      <c r="D415" t="n">
        <v>30211.40666666666</v>
      </c>
      <c r="E415" t="n">
        <v>29723.64115384615</v>
      </c>
    </row>
    <row r="416">
      <c r="A416" t="inlineStr">
        <is>
          <t>G|FICO x CHANNEL|where 2021|loan_size|median|7</t>
        </is>
      </c>
      <c r="B416" t="n">
        <v>39281.36</v>
      </c>
      <c r="C416" t="n">
        <v>17244.975</v>
      </c>
      <c r="D416" t="n">
        <v>27819.26</v>
      </c>
      <c r="E416" t="n">
        <v>28081.48</v>
      </c>
    </row>
    <row r="417">
      <c r="A417" t="inlineStr">
        <is>
          <t>G|FICO x CHANNEL|where 2021|loan_size|book|7</t>
        </is>
      </c>
      <c r="B417" t="n">
        <v>1.217448365004872</v>
      </c>
      <c r="C417" t="n">
        <v>0.700395628386851</v>
      </c>
      <c r="D417" t="n">
        <v>0.9364222772844299</v>
      </c>
      <c r="E417" t="n">
        <v>0.9213036667100954</v>
      </c>
    </row>
    <row r="418">
      <c r="A418" t="inlineStr">
        <is>
          <t>G|FICO x CHANNEL|where 2021|loan_size|band|7</t>
        </is>
      </c>
      <c r="B418" t="n">
        <v>1.498955644889926</v>
      </c>
      <c r="C418" t="n">
        <v>0.6611427935368839</v>
      </c>
      <c r="D418" t="n">
        <v>1.025317626809014</v>
      </c>
    </row>
    <row r="419">
      <c r="A419" t="inlineStr">
        <is>
          <t>G|FICO x CHANNEL|where 2021|loan_size|rate|8</t>
        </is>
      </c>
      <c r="B419" t="n">
        <v>33563.23386029412</v>
      </c>
      <c r="C419" t="n">
        <v>31869.21713286713</v>
      </c>
      <c r="D419" t="n">
        <v>32469.07334519573</v>
      </c>
      <c r="E419" t="n">
        <v>32619.31504171633</v>
      </c>
    </row>
    <row r="420">
      <c r="A420" t="inlineStr">
        <is>
          <t>G|FICO x CHANNEL|where 2021|loan_size|median|8</t>
        </is>
      </c>
      <c r="B420" t="n">
        <v>32476.645</v>
      </c>
      <c r="C420" t="n">
        <v>31604.9</v>
      </c>
      <c r="D420" t="n">
        <v>31861.86</v>
      </c>
      <c r="E420" t="n">
        <v>31978.84</v>
      </c>
    </row>
    <row r="421">
      <c r="A421" t="inlineStr">
        <is>
          <t>G|FICO x CHANNEL|where 2021|loan_size|book|8</t>
        </is>
      </c>
      <c r="B421" t="n">
        <v>1.040314349849974</v>
      </c>
      <c r="C421" t="n">
        <v>0.9878071952127381</v>
      </c>
      <c r="D421" t="n">
        <v>1.006400130212078</v>
      </c>
      <c r="E421" t="n">
        <v>1.011056969701585</v>
      </c>
    </row>
    <row r="422">
      <c r="A422" t="inlineStr">
        <is>
          <t>G|FICO x CHANNEL|where 2021|loan_size|band|8</t>
        </is>
      </c>
    </row>
    <row r="423">
      <c r="A423" t="inlineStr">
        <is>
          <t>G|FICO x CHANNEL|where 2021|loan_size|meta</t>
        </is>
      </c>
      <c r="B423" t="inlineStr">
        <is>
          <t>size</t>
        </is>
      </c>
      <c r="C423" t="n">
        <v>1</v>
      </c>
      <c r="E423" t="n">
        <v>32262.58857732217</v>
      </c>
      <c r="F423" t="n">
        <v>30</v>
      </c>
    </row>
    <row r="424">
      <c r="A424" t="inlineStr">
        <is>
          <t>G|FICO x CHANNEL|where 2022|cols</t>
        </is>
      </c>
      <c r="B424" t="inlineStr">
        <is>
          <t>Branch</t>
        </is>
      </c>
      <c r="C424" t="inlineStr">
        <is>
          <t>Broker</t>
        </is>
      </c>
      <c r="D424" t="inlineStr">
        <is>
          <t>Online</t>
        </is>
      </c>
      <c r="E424" t="inlineStr">
        <is>
          <t>All</t>
        </is>
      </c>
    </row>
    <row r="425">
      <c r="A425" t="inlineStr">
        <is>
          <t>G|FICO x CHANNEL|where 2022|heads</t>
        </is>
      </c>
      <c r="B425" t="inlineStr">
        <is>
          <t>Branch</t>
        </is>
      </c>
      <c r="C425" t="inlineStr">
        <is>
          <t>Broker</t>
        </is>
      </c>
      <c r="D425" t="inlineStr">
        <is>
          <t>Online</t>
        </is>
      </c>
      <c r="E425" t="inlineStr">
        <is>
          <t>All</t>
        </is>
      </c>
    </row>
    <row r="426">
      <c r="A426" t="inlineStr">
        <is>
          <t>G|FICO x CHANNEL|where 2022|segs</t>
        </is>
      </c>
    </row>
    <row r="427">
      <c r="A427" t="inlineStr">
        <is>
          <t>G|FICO x CHANNEL|where 2022|rows</t>
        </is>
      </c>
      <c r="B427" t="inlineStr">
        <is>
          <t>496 - 653</t>
        </is>
      </c>
      <c r="C427" t="inlineStr">
        <is>
          <t>654 - 685</t>
        </is>
      </c>
      <c r="D427" t="inlineStr">
        <is>
          <t>686 - 711</t>
        </is>
      </c>
      <c r="E427" t="inlineStr">
        <is>
          <t>712 - 745</t>
        </is>
      </c>
      <c r="F427" t="inlineStr">
        <is>
          <t>746 - 921</t>
        </is>
      </c>
      <c r="G427" t="inlineStr">
        <is>
          <t>(blank)</t>
        </is>
      </c>
      <c r="H427" t="inlineStr">
        <is>
          <t>(marked missing)</t>
        </is>
      </c>
      <c r="I427" t="inlineStr">
        <is>
          <t>All</t>
        </is>
      </c>
    </row>
    <row r="428">
      <c r="A428" t="inlineStr">
        <is>
          <t>G|FICO x CHANNEL|where 2022|names</t>
        </is>
      </c>
      <c r="B428" t="inlineStr">
        <is>
          <t>FICO</t>
        </is>
      </c>
      <c r="C428" t="inlineStr">
        <is>
          <t>CHANNEL</t>
        </is>
      </c>
    </row>
    <row r="429">
      <c r="A429" t="inlineStr">
        <is>
          <t>G|FICO x CHANNEL|where 2022|total</t>
        </is>
      </c>
      <c r="B429" t="n">
        <v>1741</v>
      </c>
    </row>
    <row r="430">
      <c r="A430" t="inlineStr">
        <is>
          <t>G|FICO x CHANNEL|where 2022|loans|1</t>
        </is>
      </c>
      <c r="B430" t="n">
        <v>103</v>
      </c>
      <c r="C430" t="n">
        <v>135</v>
      </c>
      <c r="D430" t="n">
        <v>115</v>
      </c>
      <c r="E430" t="n">
        <v>353</v>
      </c>
    </row>
    <row r="431">
      <c r="A431" t="inlineStr">
        <is>
          <t>G|FICO x CHANNEL|where 2022|loans|2</t>
        </is>
      </c>
      <c r="B431" t="n">
        <v>117</v>
      </c>
      <c r="C431" t="n">
        <v>118</v>
      </c>
      <c r="D431" t="n">
        <v>109</v>
      </c>
      <c r="E431" t="n">
        <v>344</v>
      </c>
    </row>
    <row r="432">
      <c r="A432" t="inlineStr">
        <is>
          <t>G|FICO x CHANNEL|where 2022|loans|3</t>
        </is>
      </c>
      <c r="B432" t="n">
        <v>108</v>
      </c>
      <c r="C432" t="n">
        <v>104</v>
      </c>
      <c r="D432" t="n">
        <v>121</v>
      </c>
      <c r="E432" t="n">
        <v>333</v>
      </c>
    </row>
    <row r="433">
      <c r="A433" t="inlineStr">
        <is>
          <t>G|FICO x CHANNEL|where 2022|loans|4</t>
        </is>
      </c>
      <c r="B433" t="n">
        <v>122</v>
      </c>
      <c r="C433" t="n">
        <v>107</v>
      </c>
      <c r="D433" t="n">
        <v>127</v>
      </c>
      <c r="E433" t="n">
        <v>356</v>
      </c>
    </row>
    <row r="434">
      <c r="A434" t="inlineStr">
        <is>
          <t>G|FICO x CHANNEL|where 2022|loans|5</t>
        </is>
      </c>
      <c r="B434" t="n">
        <v>106</v>
      </c>
      <c r="C434" t="n">
        <v>122</v>
      </c>
      <c r="D434" t="n">
        <v>86</v>
      </c>
      <c r="E434" t="n">
        <v>314</v>
      </c>
    </row>
    <row r="435">
      <c r="A435" t="inlineStr">
        <is>
          <t>G|FICO x CHANNEL|where 2022|loans|6</t>
        </is>
      </c>
    </row>
    <row r="436">
      <c r="A436" t="inlineStr">
        <is>
          <t>G|FICO x CHANNEL|where 2022|loans|7</t>
        </is>
      </c>
      <c r="B436" t="n">
        <v>11</v>
      </c>
      <c r="C436" t="n">
        <v>19</v>
      </c>
      <c r="D436" t="n">
        <v>11</v>
      </c>
      <c r="E436" t="n">
        <v>41</v>
      </c>
    </row>
    <row r="437">
      <c r="A437" t="inlineStr">
        <is>
          <t>G|FICO x CHANNEL|where 2022|loans|8</t>
        </is>
      </c>
      <c r="B437" t="n">
        <v>567</v>
      </c>
      <c r="C437" t="n">
        <v>605</v>
      </c>
      <c r="D437" t="n">
        <v>569</v>
      </c>
      <c r="E437" t="n">
        <v>1741</v>
      </c>
    </row>
    <row r="438">
      <c r="A438" t="inlineStr">
        <is>
          <t>G|FICO x CHANNEL|where 2022|outcome_loans|rate|1</t>
        </is>
      </c>
      <c r="B438" t="n">
        <v>0.07766990291262135</v>
      </c>
      <c r="C438" t="n">
        <v>0.3185185185185185</v>
      </c>
      <c r="D438" t="n">
        <v>0.08695652173913043</v>
      </c>
      <c r="E438" t="n">
        <v>0.1728045325779037</v>
      </c>
    </row>
    <row r="439">
      <c r="A439" t="inlineStr">
        <is>
          <t>G|FICO x CHANNEL|where 2022|outcome_loans|book|1</t>
        </is>
      </c>
      <c r="C439" t="n">
        <v>4.116041404894394</v>
      </c>
      <c r="D439" t="n">
        <v>1.123691789000492</v>
      </c>
      <c r="E439" t="n">
        <v>2.233058895138371</v>
      </c>
    </row>
    <row r="440">
      <c r="A440" t="inlineStr">
        <is>
          <t>G|FICO x CHANNEL|where 2022|outcome_loans|band|1</t>
        </is>
      </c>
      <c r="C440" t="n">
        <v>3.85761316872428</v>
      </c>
      <c r="D440" t="n">
        <v>0.4057971014492754</v>
      </c>
    </row>
    <row r="441">
      <c r="A441" t="inlineStr">
        <is>
          <t>G|FICO x CHANNEL|where 2022|outcome_loans|rate|2</t>
        </is>
      </c>
      <c r="B441" t="n">
        <v>0.07692307692307693</v>
      </c>
      <c r="C441" t="n">
        <v>0.1016949152542373</v>
      </c>
      <c r="D441" t="n">
        <v>0.06422018348623854</v>
      </c>
      <c r="E441" t="n">
        <v>0.08139534883720931</v>
      </c>
    </row>
    <row r="442">
      <c r="A442" t="inlineStr">
        <is>
          <t>G|FICO x CHANNEL|where 2022|outcome_loans|book|2</t>
        </is>
      </c>
      <c r="C442" t="n">
        <v>1.314148024424304</v>
      </c>
      <c r="E442" t="n">
        <v>1.051827779238832</v>
      </c>
    </row>
    <row r="443">
      <c r="A443" t="inlineStr">
        <is>
          <t>G|FICO x CHANNEL|where 2022|outcome_loans|band|2</t>
        </is>
      </c>
      <c r="C443" t="n">
        <v>1.436440677966102</v>
      </c>
    </row>
    <row r="444">
      <c r="A444" t="inlineStr">
        <is>
          <t>G|FICO x CHANNEL|where 2022|outcome_loans|rate|3</t>
        </is>
      </c>
      <c r="B444" t="n">
        <v>0.07407407407407407</v>
      </c>
      <c r="C444" t="n">
        <v>0.03846153846153846</v>
      </c>
      <c r="D444" t="n">
        <v>0.04958677685950413</v>
      </c>
      <c r="E444" t="n">
        <v>0.05405405405405406</v>
      </c>
    </row>
    <row r="445">
      <c r="A445" t="inlineStr">
        <is>
          <t>G|FICO x CHANNEL|where 2022|outcome_loans|book|3</t>
        </is>
      </c>
      <c r="E445" t="n">
        <v>0.6985111120813867</v>
      </c>
    </row>
    <row r="446">
      <c r="A446" t="inlineStr">
        <is>
          <t>G|FICO x CHANNEL|where 2022|outcome_loans|band|3</t>
        </is>
      </c>
    </row>
    <row r="447">
      <c r="A447" t="inlineStr">
        <is>
          <t>G|FICO x CHANNEL|where 2022|outcome_loans|rate|4</t>
        </is>
      </c>
      <c r="B447" t="n">
        <v>0.03278688524590164</v>
      </c>
      <c r="C447" t="n">
        <v>0.01869158878504673</v>
      </c>
      <c r="D447" t="n">
        <v>0.1338582677165354</v>
      </c>
      <c r="E447" t="n">
        <v>0.06460674157303371</v>
      </c>
    </row>
    <row r="448">
      <c r="A448" t="inlineStr">
        <is>
          <t>G|FICO x CHANNEL|where 2022|outcome_loans|book|4</t>
        </is>
      </c>
      <c r="D448" t="n">
        <v>1.729777517713355</v>
      </c>
      <c r="E448" t="n">
        <v>0.8348777477264889</v>
      </c>
    </row>
    <row r="449">
      <c r="A449" t="inlineStr">
        <is>
          <t>G|FICO x CHANNEL|where 2022|outcome_loans|band|4</t>
        </is>
      </c>
      <c r="D449" t="n">
        <v>5.108923884514437</v>
      </c>
    </row>
    <row r="450">
      <c r="A450" t="inlineStr">
        <is>
          <t>G|FICO x CHANNEL|where 2022|outcome_loans|rate|5</t>
        </is>
      </c>
      <c r="B450" t="n">
        <v>0.04716981132075472</v>
      </c>
      <c r="C450" t="n">
        <v>0.01639344262295082</v>
      </c>
      <c r="D450" t="n">
        <v>0.04651162790697674</v>
      </c>
      <c r="E450" t="n">
        <v>0.03503184713375796</v>
      </c>
    </row>
    <row r="451">
      <c r="A451" t="inlineStr">
        <is>
          <t>G|FICO x CHANNEL|where 2022|outcome_loans|book|5</t>
        </is>
      </c>
      <c r="E451" t="n">
        <v>0.4526974882438286</v>
      </c>
    </row>
    <row r="452">
      <c r="A452" t="inlineStr">
        <is>
          <t>G|FICO x CHANNEL|where 2022|outcome_loans|band|5</t>
        </is>
      </c>
    </row>
    <row r="453">
      <c r="A453" t="inlineStr">
        <is>
          <t>G|FICO x CHANNEL|where 2022|outcome_loans|rate|6</t>
        </is>
      </c>
    </row>
    <row r="454">
      <c r="A454" t="inlineStr">
        <is>
          <t>G|FICO x CHANNEL|where 2022|outcome_loans|book|6</t>
        </is>
      </c>
    </row>
    <row r="455">
      <c r="A455" t="inlineStr">
        <is>
          <t>G|FICO x CHANNEL|where 2022|outcome_loans|band|6</t>
        </is>
      </c>
    </row>
    <row r="456">
      <c r="A456" t="inlineStr">
        <is>
          <t>G|FICO x CHANNEL|where 2022|outcome_loans|rate|7</t>
        </is>
      </c>
      <c r="B456" t="n">
        <v>0</v>
      </c>
      <c r="C456" t="n">
        <v>0.1578947368421053</v>
      </c>
      <c r="D456" t="n">
        <v>0.09090909090909091</v>
      </c>
      <c r="E456" t="n">
        <v>0.0975609756097561</v>
      </c>
    </row>
    <row r="457">
      <c r="A457" t="inlineStr">
        <is>
          <t>G|FICO x CHANNEL|where 2022|outcome_loans|book|7</t>
        </is>
      </c>
    </row>
    <row r="458">
      <c r="A458" t="inlineStr">
        <is>
          <t>G|FICO x CHANNEL|where 2022|outcome_loans|band|7</t>
        </is>
      </c>
    </row>
    <row r="459">
      <c r="A459" t="inlineStr">
        <is>
          <t>G|FICO x CHANNEL|where 2022|outcome_loans|rate|8</t>
        </is>
      </c>
      <c r="B459" t="n">
        <v>0.05996472663139329</v>
      </c>
      <c r="C459" t="n">
        <v>0.1090909090909091</v>
      </c>
      <c r="D459" t="n">
        <v>0.07908611599297012</v>
      </c>
      <c r="E459" t="n">
        <v>0.0832854681217691</v>
      </c>
    </row>
    <row r="460">
      <c r="A460" t="inlineStr">
        <is>
          <t>G|FICO x CHANNEL|where 2022|outcome_loans|book|8</t>
        </is>
      </c>
      <c r="B460" t="n">
        <v>0.7748915158715912</v>
      </c>
      <c r="C460" t="n">
        <v>1.409722426200617</v>
      </c>
      <c r="D460" t="n">
        <v>1.021986820400271</v>
      </c>
      <c r="E460" t="n">
        <v>1.076252761722182</v>
      </c>
    </row>
    <row r="461">
      <c r="A461" t="inlineStr">
        <is>
          <t>G|FICO x CHANNEL|where 2022|outcome_loans|band|8</t>
        </is>
      </c>
    </row>
    <row r="462">
      <c r="A462" t="inlineStr">
        <is>
          <t>G|FICO x CHANNEL|where 2022|outcome_loans|meta</t>
        </is>
      </c>
      <c r="B462" t="inlineStr">
        <is>
          <t>x</t>
        </is>
      </c>
      <c r="C462" t="n">
        <v>5.108923884514437</v>
      </c>
      <c r="D462" t="n">
        <v>10</v>
      </c>
      <c r="E462" t="n">
        <v>0.07738467308413552</v>
      </c>
      <c r="F462" t="n">
        <v>30</v>
      </c>
    </row>
    <row r="463">
      <c r="A463" t="inlineStr">
        <is>
          <t>G|FICO x CHANNEL|where 2022|outcome_booked|rate|1</t>
        </is>
      </c>
      <c r="B463" t="n">
        <v>0.06144145760666806</v>
      </c>
      <c r="C463" t="n">
        <v>0.3243070393974798</v>
      </c>
      <c r="D463" t="n">
        <v>0.1091980757052561</v>
      </c>
      <c r="E463" t="n">
        <v>0.1813013742401202</v>
      </c>
    </row>
    <row r="464">
      <c r="A464" t="inlineStr">
        <is>
          <t>G|FICO x CHANNEL|where 2022|outcome_booked|book|1</t>
        </is>
      </c>
      <c r="C464" t="n">
        <v>4.333982934394523</v>
      </c>
      <c r="D464" t="n">
        <v>1.459304113332111</v>
      </c>
      <c r="E464" t="n">
        <v>2.422880068834737</v>
      </c>
    </row>
    <row r="465">
      <c r="A465" t="inlineStr">
        <is>
          <t>G|FICO x CHANNEL|where 2022|outcome_booked|band|1</t>
        </is>
      </c>
      <c r="C465" t="n">
        <v>3.76858126603066</v>
      </c>
      <c r="D465" t="n">
        <v>0.5112293122200823</v>
      </c>
    </row>
    <row r="466">
      <c r="A466" t="inlineStr">
        <is>
          <t>G|FICO x CHANNEL|where 2022|outcome_booked|rate|2</t>
        </is>
      </c>
      <c r="B466" t="n">
        <v>0.08218814647654638</v>
      </c>
      <c r="C466" t="n">
        <v>0.1030044045077725</v>
      </c>
      <c r="D466" t="n">
        <v>0.05920045486618256</v>
      </c>
      <c r="E466" t="n">
        <v>0.08143684249079829</v>
      </c>
    </row>
    <row r="467">
      <c r="A467" t="inlineStr">
        <is>
          <t>G|FICO x CHANNEL|where 2022|outcome_booked|book|2</t>
        </is>
      </c>
      <c r="C467" t="n">
        <v>1.376532967442043</v>
      </c>
      <c r="E467" t="n">
        <v>1.088307815463463</v>
      </c>
    </row>
    <row r="468">
      <c r="A468" t="inlineStr">
        <is>
          <t>G|FICO x CHANNEL|where 2022|outcome_booked|band|2</t>
        </is>
      </c>
      <c r="C468" t="n">
        <v>1.455018931816517</v>
      </c>
    </row>
    <row r="469">
      <c r="A469" t="inlineStr">
        <is>
          <t>G|FICO x CHANNEL|where 2022|outcome_booked|rate|3</t>
        </is>
      </c>
      <c r="B469" t="n">
        <v>0.07062295070530208</v>
      </c>
      <c r="C469" t="n">
        <v>0.03367018115643507</v>
      </c>
      <c r="D469" t="n">
        <v>0.01939618883300039</v>
      </c>
      <c r="E469" t="n">
        <v>0.04073053990032897</v>
      </c>
    </row>
    <row r="470">
      <c r="A470" t="inlineStr">
        <is>
          <t>G|FICO x CHANNEL|where 2022|outcome_booked|book|3</t>
        </is>
      </c>
      <c r="E470" t="n">
        <v>0.5443158593309052</v>
      </c>
    </row>
    <row r="471">
      <c r="A471" t="inlineStr">
        <is>
          <t>G|FICO x CHANNEL|where 2022|outcome_booked|band|3</t>
        </is>
      </c>
    </row>
    <row r="472">
      <c r="A472" t="inlineStr">
        <is>
          <t>G|FICO x CHANNEL|where 2022|outcome_booked|rate|4</t>
        </is>
      </c>
      <c r="B472" t="n">
        <v>0.03700125019502941</v>
      </c>
      <c r="C472" t="n">
        <v>0.02074941334931597</v>
      </c>
      <c r="D472" t="n">
        <v>0.1178037057814023</v>
      </c>
      <c r="E472" t="n">
        <v>0.05902171829354034</v>
      </c>
    </row>
    <row r="473">
      <c r="A473" t="inlineStr">
        <is>
          <t>G|FICO x CHANNEL|where 2022|outcome_booked|book|4</t>
        </is>
      </c>
      <c r="D473" t="n">
        <v>1.574308258660015</v>
      </c>
      <c r="E473" t="n">
        <v>0.7887559897499798</v>
      </c>
    </row>
    <row r="474">
      <c r="A474" t="inlineStr">
        <is>
          <t>G|FICO x CHANNEL|where 2022|outcome_booked|band|4</t>
        </is>
      </c>
      <c r="D474" t="n">
        <v>4.085406698780601</v>
      </c>
    </row>
    <row r="475">
      <c r="A475" t="inlineStr">
        <is>
          <t>G|FICO x CHANNEL|where 2022|outcome_booked|rate|5</t>
        </is>
      </c>
      <c r="B475" t="n">
        <v>0.06252566516244838</v>
      </c>
      <c r="C475" t="n">
        <v>0.01626113079145101</v>
      </c>
      <c r="D475" t="n">
        <v>0.03431495414186457</v>
      </c>
      <c r="E475" t="n">
        <v>0.03643738718754351</v>
      </c>
    </row>
    <row r="476">
      <c r="A476" t="inlineStr">
        <is>
          <t>G|FICO x CHANNEL|where 2022|outcome_booked|book|5</t>
        </is>
      </c>
      <c r="E476" t="n">
        <v>0.4869429123035139</v>
      </c>
    </row>
    <row r="477">
      <c r="A477" t="inlineStr">
        <is>
          <t>G|FICO x CHANNEL|where 2022|outcome_booked|band|5</t>
        </is>
      </c>
    </row>
    <row r="478">
      <c r="A478" t="inlineStr">
        <is>
          <t>G|FICO x CHANNEL|where 2022|outcome_booked|rate|6</t>
        </is>
      </c>
    </row>
    <row r="479">
      <c r="A479" t="inlineStr">
        <is>
          <t>G|FICO x CHANNEL|where 2022|outcome_booked|book|6</t>
        </is>
      </c>
    </row>
    <row r="480">
      <c r="A480" t="inlineStr">
        <is>
          <t>G|FICO x CHANNEL|where 2022|outcome_booked|band|6</t>
        </is>
      </c>
    </row>
    <row r="481">
      <c r="A481" t="inlineStr">
        <is>
          <t>G|FICO x CHANNEL|where 2022|outcome_booked|rate|7</t>
        </is>
      </c>
      <c r="B481" t="n">
        <v>0</v>
      </c>
      <c r="C481" t="n">
        <v>0.1372051981963903</v>
      </c>
      <c r="D481" t="n">
        <v>0.01996861396019799</v>
      </c>
      <c r="E481" t="n">
        <v>0.06806956425629149</v>
      </c>
    </row>
    <row r="482">
      <c r="A482" t="inlineStr">
        <is>
          <t>G|FICO x CHANNEL|where 2022|outcome_booked|book|7</t>
        </is>
      </c>
    </row>
    <row r="483">
      <c r="A483" t="inlineStr">
        <is>
          <t>G|FICO x CHANNEL|where 2022|outcome_booked|band|7</t>
        </is>
      </c>
    </row>
    <row r="484">
      <c r="A484" t="inlineStr">
        <is>
          <t>G|FICO x CHANNEL|where 2022|outcome_booked|rate|8</t>
        </is>
      </c>
      <c r="B484" t="n">
        <v>0.06181784741283932</v>
      </c>
      <c r="C484" t="n">
        <v>0.109699825984744</v>
      </c>
      <c r="D484" t="n">
        <v>0.0676858861584376</v>
      </c>
      <c r="E484" t="n">
        <v>0.08074685661595551</v>
      </c>
    </row>
    <row r="485">
      <c r="A485" t="inlineStr">
        <is>
          <t>G|FICO x CHANNEL|where 2022|outcome_booked|book|8</t>
        </is>
      </c>
      <c r="B485" t="n">
        <v>0.8261229735438553</v>
      </c>
      <c r="C485" t="n">
        <v>1.466009416900816</v>
      </c>
      <c r="D485" t="n">
        <v>0.904542423917298</v>
      </c>
      <c r="E485" t="n">
        <v>1.07908696409959</v>
      </c>
    </row>
    <row r="486">
      <c r="A486" t="inlineStr">
        <is>
          <t>G|FICO x CHANNEL|where 2022|outcome_booked|band|8</t>
        </is>
      </c>
    </row>
    <row r="487">
      <c r="A487" t="inlineStr">
        <is>
          <t>G|FICO x CHANNEL|where 2022|outcome_booked|meta</t>
        </is>
      </c>
      <c r="B487" t="inlineStr">
        <is>
          <t>x</t>
        </is>
      </c>
      <c r="C487" t="n">
        <v>4.333982934394523</v>
      </c>
      <c r="D487" t="n">
        <v>10</v>
      </c>
      <c r="E487" t="n">
        <v>0.07482886857347235</v>
      </c>
      <c r="F487" t="n">
        <v>30</v>
      </c>
    </row>
    <row r="488">
      <c r="A488" t="inlineStr">
        <is>
          <t>G|FICO x CHANNEL|where 2022|gco_rate|rate|1</t>
        </is>
      </c>
      <c r="B488" t="n">
        <v>0.03143449671813685</v>
      </c>
      <c r="C488" t="n">
        <v>0.1921733117754539</v>
      </c>
      <c r="D488" t="n">
        <v>0.05882051370534934</v>
      </c>
      <c r="E488" t="n">
        <v>0.1041652833434117</v>
      </c>
    </row>
    <row r="489">
      <c r="A489" t="inlineStr">
        <is>
          <t>G|FICO x CHANNEL|where 2022|gco_rate|book|1</t>
        </is>
      </c>
      <c r="C489" t="n">
        <v>4.618966138919864</v>
      </c>
      <c r="D489" t="n">
        <v>1.413775714061369</v>
      </c>
      <c r="E489" t="n">
        <v>2.503656268235615</v>
      </c>
    </row>
    <row r="490">
      <c r="A490" t="inlineStr">
        <is>
          <t>G|FICO x CHANNEL|where 2022|gco_rate|band|1</t>
        </is>
      </c>
      <c r="C490" t="n">
        <v>4.219009079562359</v>
      </c>
      <c r="D490" t="n">
        <v>0.4725418987454616</v>
      </c>
    </row>
    <row r="491">
      <c r="A491" t="inlineStr">
        <is>
          <t>G|FICO x CHANNEL|where 2022|gco_rate|rate|2</t>
        </is>
      </c>
      <c r="B491" t="n">
        <v>0.05054696139893834</v>
      </c>
      <c r="C491" t="n">
        <v>0.05862160199544558</v>
      </c>
      <c r="D491" t="n">
        <v>0.03359102117353489</v>
      </c>
      <c r="E491" t="n">
        <v>0.04758725481239561</v>
      </c>
    </row>
    <row r="492">
      <c r="A492" t="inlineStr">
        <is>
          <t>G|FICO x CHANNEL|where 2022|gco_rate|book|2</t>
        </is>
      </c>
      <c r="C492" t="n">
        <v>1.4089947876976</v>
      </c>
      <c r="E492" t="n">
        <v>1.143779625754892</v>
      </c>
    </row>
    <row r="493">
      <c r="A493" t="inlineStr">
        <is>
          <t>G|FICO x CHANNEL|where 2022|gco_rate|band|2</t>
        </is>
      </c>
      <c r="C493" t="n">
        <v>1.391068757141006</v>
      </c>
    </row>
    <row r="494">
      <c r="A494" t="inlineStr">
        <is>
          <t>G|FICO x CHANNEL|where 2022|gco_rate|rate|3</t>
        </is>
      </c>
      <c r="B494" t="n">
        <v>0.03248377331290692</v>
      </c>
      <c r="C494" t="n">
        <v>0.01536144644081169</v>
      </c>
      <c r="D494" t="n">
        <v>0.01113029505754248</v>
      </c>
      <c r="E494" t="n">
        <v>0.01947862021501455</v>
      </c>
    </row>
    <row r="495">
      <c r="A495" t="inlineStr">
        <is>
          <t>G|FICO x CHANNEL|where 2022|gco_rate|book|3</t>
        </is>
      </c>
      <c r="E495" t="n">
        <v>0.46817680548254</v>
      </c>
    </row>
    <row r="496">
      <c r="A496" t="inlineStr">
        <is>
          <t>G|FICO x CHANNEL|where 2022|gco_rate|band|3</t>
        </is>
      </c>
    </row>
    <row r="497">
      <c r="A497" t="inlineStr">
        <is>
          <t>G|FICO x CHANNEL|where 2022|gco_rate|rate|4</t>
        </is>
      </c>
      <c r="B497" t="n">
        <v>0.02039858036696464</v>
      </c>
      <c r="C497" t="n">
        <v>0.01560931995572917</v>
      </c>
      <c r="D497" t="n">
        <v>0.06247369918778974</v>
      </c>
      <c r="E497" t="n">
        <v>0.03308446823464994</v>
      </c>
    </row>
    <row r="498">
      <c r="A498" t="inlineStr">
        <is>
          <t>G|FICO x CHANNEL|where 2022|gco_rate|book|4</t>
        </is>
      </c>
      <c r="D498" t="n">
        <v>1.501581559143033</v>
      </c>
      <c r="E498" t="n">
        <v>0.7951990684251559</v>
      </c>
    </row>
    <row r="499">
      <c r="A499" t="inlineStr">
        <is>
          <t>G|FICO x CHANNEL|where 2022|gco_rate|band|4</t>
        </is>
      </c>
      <c r="D499" t="n">
        <v>3.472277840144685</v>
      </c>
    </row>
    <row r="500">
      <c r="A500" t="inlineStr">
        <is>
          <t>G|FICO x CHANNEL|where 2022|gco_rate|rate|5</t>
        </is>
      </c>
      <c r="B500" t="n">
        <v>0.03530668232031517</v>
      </c>
      <c r="C500" t="n">
        <v>0.007350554405189868</v>
      </c>
      <c r="D500" t="n">
        <v>0.02126702275882507</v>
      </c>
      <c r="E500" t="n">
        <v>0.02040173770240599</v>
      </c>
    </row>
    <row r="501">
      <c r="A501" t="inlineStr">
        <is>
          <t>G|FICO x CHANNEL|where 2022|gco_rate|book|5</t>
        </is>
      </c>
      <c r="E501" t="n">
        <v>0.4903643214134096</v>
      </c>
    </row>
    <row r="502">
      <c r="A502" t="inlineStr">
        <is>
          <t>G|FICO x CHANNEL|where 2022|gco_rate|band|5</t>
        </is>
      </c>
    </row>
    <row r="503">
      <c r="A503" t="inlineStr">
        <is>
          <t>G|FICO x CHANNEL|where 2022|gco_rate|rate|6</t>
        </is>
      </c>
    </row>
    <row r="504">
      <c r="A504" t="inlineStr">
        <is>
          <t>G|FICO x CHANNEL|where 2022|gco_rate|book|6</t>
        </is>
      </c>
    </row>
    <row r="505">
      <c r="A505" t="inlineStr">
        <is>
          <t>G|FICO x CHANNEL|where 2022|gco_rate|band|6</t>
        </is>
      </c>
    </row>
    <row r="506">
      <c r="A506" t="inlineStr">
        <is>
          <t>G|FICO x CHANNEL|where 2022|gco_rate|rate|7</t>
        </is>
      </c>
      <c r="B506" t="n">
        <v>0</v>
      </c>
      <c r="C506" t="n">
        <v>0.06794478716788273</v>
      </c>
      <c r="D506" t="n">
        <v>0.008513811233446165</v>
      </c>
      <c r="E506" t="n">
        <v>0.03331542942027227</v>
      </c>
    </row>
    <row r="507">
      <c r="A507" t="inlineStr">
        <is>
          <t>G|FICO x CHANNEL|where 2022|gco_rate|book|7</t>
        </is>
      </c>
    </row>
    <row r="508">
      <c r="A508" t="inlineStr">
        <is>
          <t>G|FICO x CHANNEL|where 2022|gco_rate|band|7</t>
        </is>
      </c>
    </row>
    <row r="509">
      <c r="A509" t="inlineStr">
        <is>
          <t>G|FICO x CHANNEL|where 2022|gco_rate|rate|8</t>
        </is>
      </c>
      <c r="B509" t="n">
        <v>0.03364403553062011</v>
      </c>
      <c r="C509" t="n">
        <v>0.06350983582025496</v>
      </c>
      <c r="D509" t="n">
        <v>0.0371546321831619</v>
      </c>
      <c r="E509" t="n">
        <v>0.04540234576679107</v>
      </c>
    </row>
    <row r="510">
      <c r="A510" t="inlineStr">
        <is>
          <t>G|FICO x CHANNEL|where 2022|gco_rate|book|8</t>
        </is>
      </c>
      <c r="B510" t="n">
        <v>0.808648503045678</v>
      </c>
      <c r="C510" t="n">
        <v>1.526485537621811</v>
      </c>
      <c r="D510" t="n">
        <v>0.8930271658042344</v>
      </c>
      <c r="E510" t="n">
        <v>1.091264420573544</v>
      </c>
    </row>
    <row r="511">
      <c r="A511" t="inlineStr">
        <is>
          <t>G|FICO x CHANNEL|where 2022|gco_rate|band|8</t>
        </is>
      </c>
    </row>
    <row r="512">
      <c r="A512" t="inlineStr">
        <is>
          <t>G|FICO x CHANNEL|where 2022|gco_rate|meta</t>
        </is>
      </c>
      <c r="B512" t="inlineStr">
        <is>
          <t>x</t>
        </is>
      </c>
      <c r="C512" t="n">
        <v>4.618966138919864</v>
      </c>
      <c r="D512" t="n">
        <v>10</v>
      </c>
      <c r="E512" t="n">
        <v>0.04160526533333565</v>
      </c>
      <c r="F512" t="n">
        <v>30</v>
      </c>
    </row>
    <row r="513">
      <c r="A513" t="inlineStr">
        <is>
          <t>G|FICO x CHANNEL|where 2022|ranr_rate|rate|1</t>
        </is>
      </c>
      <c r="B513" t="n">
        <v>0.3838961885985774</v>
      </c>
      <c r="C513" t="n">
        <v>0.2135090040971729</v>
      </c>
      <c r="D513" t="n">
        <v>0.3544841918977353</v>
      </c>
      <c r="E513" t="n">
        <v>0.3066815100959975</v>
      </c>
    </row>
    <row r="514">
      <c r="A514" t="inlineStr">
        <is>
          <t>G|FICO x CHANNEL|where 2022|ranr_rate|book|1</t>
        </is>
      </c>
      <c r="B514" t="n">
        <v>25.590613895</v>
      </c>
      <c r="C514" t="n">
        <v>8.551895445</v>
      </c>
      <c r="D514" t="n">
        <v>22.649414225</v>
      </c>
      <c r="E514" t="n">
        <v>17.869146045</v>
      </c>
    </row>
    <row r="515">
      <c r="A515" t="inlineStr">
        <is>
          <t>G|FICO x CHANNEL|where 2022|ranr_rate|band|1</t>
        </is>
      </c>
      <c r="B515" t="n">
        <v>10.888620466</v>
      </c>
      <c r="C515" t="n">
        <v>-15.522808536</v>
      </c>
      <c r="D515" t="n">
        <v>6.921520668</v>
      </c>
    </row>
    <row r="516">
      <c r="A516" t="inlineStr">
        <is>
          <t>G|FICO x CHANNEL|where 2022|ranr_rate|rate|2</t>
        </is>
      </c>
      <c r="B516" t="n">
        <v>0.2487892469313543</v>
      </c>
      <c r="C516" t="n">
        <v>0.2442315997764231</v>
      </c>
      <c r="D516" t="n">
        <v>0.2875502091334267</v>
      </c>
      <c r="E516" t="n">
        <v>0.2601485796771142</v>
      </c>
    </row>
    <row r="517">
      <c r="A517" t="inlineStr">
        <is>
          <t>G|FICO x CHANNEL|where 2022|ranr_rate|book|2</t>
        </is>
      </c>
      <c r="B517" t="n">
        <v>12.079919728</v>
      </c>
      <c r="C517" t="n">
        <v>11.624155013</v>
      </c>
      <c r="D517" t="n">
        <v>15.956015949</v>
      </c>
      <c r="E517" t="n">
        <v>13.215853003</v>
      </c>
    </row>
    <row r="518">
      <c r="A518" t="inlineStr">
        <is>
          <t>G|FICO x CHANNEL|where 2022|ranr_rate|band|2</t>
        </is>
      </c>
      <c r="B518" t="n">
        <v>-1.714967903</v>
      </c>
      <c r="C518" t="n">
        <v>-2.377257523</v>
      </c>
      <c r="D518" t="n">
        <v>4.10152675</v>
      </c>
    </row>
    <row r="519">
      <c r="A519" t="inlineStr">
        <is>
          <t>G|FICO x CHANNEL|where 2022|ranr_rate|rate|3</t>
        </is>
      </c>
      <c r="B519" t="n">
        <v>0.1994711090327703</v>
      </c>
      <c r="C519" t="n">
        <v>0.2148814358829173</v>
      </c>
      <c r="D519" t="n">
        <v>0.3026898997773005</v>
      </c>
      <c r="E519" t="n">
        <v>0.240989403029995</v>
      </c>
    </row>
    <row r="520">
      <c r="A520" t="inlineStr">
        <is>
          <t>G|FICO x CHANNEL|where 2022|ranr_rate|book|3</t>
        </is>
      </c>
      <c r="B520" t="n">
        <v>7.148105938</v>
      </c>
      <c r="C520" t="n">
        <v>8.689138623</v>
      </c>
      <c r="D520" t="n">
        <v>17.469985013</v>
      </c>
      <c r="E520" t="n">
        <v>11.299935338</v>
      </c>
    </row>
    <row r="521">
      <c r="A521" t="inlineStr">
        <is>
          <t>G|FICO x CHANNEL|where 2022|ranr_rate|band|3</t>
        </is>
      </c>
      <c r="B521" t="n">
        <v>-6.179807561</v>
      </c>
      <c r="C521" t="n">
        <v>-3.822079225</v>
      </c>
      <c r="D521" t="n">
        <v>9.564794182</v>
      </c>
    </row>
    <row r="522">
      <c r="A522" t="inlineStr">
        <is>
          <t>G|FICO x CHANNEL|where 2022|ranr_rate|rate|4</t>
        </is>
      </c>
      <c r="B522" t="n">
        <v>0.1423088484108012</v>
      </c>
      <c r="C522" t="n">
        <v>0.1469296543291224</v>
      </c>
      <c r="D522" t="n">
        <v>0.1767022835010534</v>
      </c>
      <c r="E522" t="n">
        <v>0.1555123649204904</v>
      </c>
    </row>
    <row r="523">
      <c r="A523" t="inlineStr">
        <is>
          <t>G|FICO x CHANNEL|where 2022|ranr_rate|book|4</t>
        </is>
      </c>
      <c r="B523" t="n">
        <v>1.431879876</v>
      </c>
      <c r="C523" t="n">
        <v>1.893960468</v>
      </c>
      <c r="D523" t="n">
        <v>4.871223385</v>
      </c>
      <c r="E523" t="n">
        <v>2.752231527</v>
      </c>
    </row>
    <row r="524">
      <c r="A524" t="inlineStr">
        <is>
          <t>G|FICO x CHANNEL|where 2022|ranr_rate|band|4</t>
        </is>
      </c>
      <c r="B524" t="n">
        <v>-1.966926042</v>
      </c>
      <c r="C524" t="n">
        <v>-1.284803497</v>
      </c>
      <c r="D524" t="n">
        <v>3.207163464</v>
      </c>
    </row>
    <row r="525">
      <c r="A525" t="inlineStr">
        <is>
          <t>G|FICO x CHANNEL|where 2022|ranr_rate|rate|5</t>
        </is>
      </c>
      <c r="B525" t="n">
        <v>0.06059607263887639</v>
      </c>
      <c r="C525" t="n">
        <v>0.08730197847620512</v>
      </c>
      <c r="D525" t="n">
        <v>0.07354892011557697</v>
      </c>
      <c r="E525" t="n">
        <v>0.07470330395231514</v>
      </c>
    </row>
    <row r="526">
      <c r="A526" t="inlineStr">
        <is>
          <t>G|FICO x CHANNEL|where 2022|ranr_rate|book|5</t>
        </is>
      </c>
      <c r="B526" t="n">
        <v>-6.739397701</v>
      </c>
      <c r="C526" t="n">
        <v>-4.068807117</v>
      </c>
      <c r="D526" t="n">
        <v>-5.444112953</v>
      </c>
      <c r="E526" t="n">
        <v>-5.32867457</v>
      </c>
    </row>
    <row r="527">
      <c r="A527" t="inlineStr">
        <is>
          <t>G|FICO x CHANNEL|where 2022|ranr_rate|band|5</t>
        </is>
      </c>
      <c r="B527" t="n">
        <v>-2.088696805</v>
      </c>
      <c r="C527" t="n">
        <v>2.064145461</v>
      </c>
      <c r="D527" t="n">
        <v>-0.161625477</v>
      </c>
    </row>
    <row r="528">
      <c r="A528" t="inlineStr">
        <is>
          <t>G|FICO x CHANNEL|where 2022|ranr_rate|rate|6</t>
        </is>
      </c>
    </row>
    <row r="529">
      <c r="A529" t="inlineStr">
        <is>
          <t>G|FICO x CHANNEL|where 2022|ranr_rate|book|6</t>
        </is>
      </c>
    </row>
    <row r="530">
      <c r="A530" t="inlineStr">
        <is>
          <t>G|FICO x CHANNEL|where 2022|ranr_rate|band|6</t>
        </is>
      </c>
    </row>
    <row r="531">
      <c r="A531" t="inlineStr">
        <is>
          <t>G|FICO x CHANNEL|where 2022|ranr_rate|rate|7</t>
        </is>
      </c>
      <c r="B531" t="n">
        <v>0.2277338091566836</v>
      </c>
      <c r="C531" t="n">
        <v>0.171306276094135</v>
      </c>
      <c r="D531" t="n">
        <v>0.2981303702583745</v>
      </c>
      <c r="E531" t="n">
        <v>0.2222111940219612</v>
      </c>
    </row>
    <row r="532">
      <c r="A532" t="inlineStr">
        <is>
          <t>G|FICO x CHANNEL|where 2022|ranr_rate|book|7</t>
        </is>
      </c>
      <c r="B532" t="n">
        <v>9.974375951000001</v>
      </c>
      <c r="C532" t="n">
        <v>4.331622645</v>
      </c>
      <c r="D532" t="n">
        <v>17.014032061</v>
      </c>
      <c r="E532" t="n">
        <v>9.422114436999999</v>
      </c>
    </row>
    <row r="533">
      <c r="A533" t="inlineStr">
        <is>
          <t>G|FICO x CHANNEL|where 2022|ranr_rate|band|7</t>
        </is>
      </c>
      <c r="B533" t="n">
        <v>0.745916303</v>
      </c>
      <c r="C533" t="n">
        <v>-9.331961991</v>
      </c>
      <c r="D533" t="n">
        <v>10.631002004</v>
      </c>
    </row>
    <row r="534">
      <c r="A534" t="inlineStr">
        <is>
          <t>G|FICO x CHANNEL|where 2022|ranr_rate|rate|8</t>
        </is>
      </c>
      <c r="B534" t="n">
        <v>0.2073122468897271</v>
      </c>
      <c r="C534" t="n">
        <v>0.1811423233778288</v>
      </c>
      <c r="D534" t="n">
        <v>0.2468550581452217</v>
      </c>
      <c r="E534" t="n">
        <v>0.2108129091146171</v>
      </c>
    </row>
    <row r="535">
      <c r="A535" t="inlineStr">
        <is>
          <t>G|FICO x CHANNEL|where 2022|ranr_rate|book|8</t>
        </is>
      </c>
      <c r="B535" t="n">
        <v>7.932219724</v>
      </c>
      <c r="C535" t="n">
        <v>5.315227373</v>
      </c>
      <c r="D535" t="n">
        <v>11.88650085</v>
      </c>
      <c r="E535" t="n">
        <v>8.282285947</v>
      </c>
    </row>
    <row r="536">
      <c r="A536" t="inlineStr">
        <is>
          <t>G|FICO x CHANNEL|where 2022|ranr_rate|band|8</t>
        </is>
      </c>
    </row>
    <row r="537">
      <c r="A537" t="inlineStr">
        <is>
          <t>G|FICO x CHANNEL|where 2022|ranr_rate|meta</t>
        </is>
      </c>
      <c r="B537" t="inlineStr">
        <is>
          <t>pts</t>
        </is>
      </c>
      <c r="C537" t="n">
        <v>25.590613895</v>
      </c>
      <c r="D537" t="n">
        <v>10</v>
      </c>
      <c r="E537" t="n">
        <v>0.1279900496481481</v>
      </c>
      <c r="F537" t="n">
        <v>30</v>
      </c>
    </row>
    <row r="538">
      <c r="A538" t="inlineStr">
        <is>
          <t>G|FICO x CHANNEL|where 2022|contribution_rate|rate|1</t>
        </is>
      </c>
      <c r="B538" t="n">
        <v>0.4153306853167145</v>
      </c>
      <c r="C538" t="n">
        <v>0.4056823158726268</v>
      </c>
      <c r="D538" t="n">
        <v>0.4133047056030845</v>
      </c>
      <c r="E538" t="n">
        <v>0.4108467934394093</v>
      </c>
    </row>
    <row r="539">
      <c r="A539" t="inlineStr">
        <is>
          <t>G|FICO x CHANNEL|where 2022|contribution_rate|book|1</t>
        </is>
      </c>
      <c r="B539" t="n">
        <v>24.573822958</v>
      </c>
      <c r="C539" t="n">
        <v>23.608986014</v>
      </c>
      <c r="D539" t="n">
        <v>24.371224987</v>
      </c>
      <c r="E539" t="n">
        <v>24.12543377</v>
      </c>
    </row>
    <row r="540">
      <c r="A540" t="inlineStr">
        <is>
          <t>G|FICO x CHANNEL|where 2022|contribution_rate|band|1</t>
        </is>
      </c>
      <c r="B540" t="n">
        <v>0.632307196</v>
      </c>
      <c r="C540" t="n">
        <v>-0.860416875</v>
      </c>
      <c r="D540" t="n">
        <v>0.355889862</v>
      </c>
    </row>
    <row r="541">
      <c r="A541" t="inlineStr">
        <is>
          <t>G|FICO x CHANNEL|where 2022|contribution_rate|rate|2</t>
        </is>
      </c>
      <c r="B541" t="n">
        <v>0.2993362083302927</v>
      </c>
      <c r="C541" t="n">
        <v>0.3028532017718687</v>
      </c>
      <c r="D541" t="n">
        <v>0.3211412303069616</v>
      </c>
      <c r="E541" t="n">
        <v>0.3077358344895098</v>
      </c>
    </row>
    <row r="542">
      <c r="A542" t="inlineStr">
        <is>
          <t>G|FICO x CHANNEL|where 2022|contribution_rate|book|2</t>
        </is>
      </c>
      <c r="B542" t="n">
        <v>12.97437526</v>
      </c>
      <c r="C542" t="n">
        <v>13.326074604</v>
      </c>
      <c r="D542" t="n">
        <v>15.154877457</v>
      </c>
      <c r="E542" t="n">
        <v>13.814337875</v>
      </c>
    </row>
    <row r="543">
      <c r="A543" t="inlineStr">
        <is>
          <t>G|FICO x CHANNEL|where 2022|contribution_rate|band|2</t>
        </is>
      </c>
      <c r="B543" t="n">
        <v>-1.268128118</v>
      </c>
      <c r="C543" t="n">
        <v>-0.729238551</v>
      </c>
      <c r="D543" t="n">
        <v>2.006544524</v>
      </c>
    </row>
    <row r="544">
      <c r="A544" t="inlineStr">
        <is>
          <t>G|FICO x CHANNEL|where 2022|contribution_rate|rate|3</t>
        </is>
      </c>
      <c r="B544" t="n">
        <v>0.2319548823456772</v>
      </c>
      <c r="C544" t="n">
        <v>0.230242882323729</v>
      </c>
      <c r="D544" t="n">
        <v>0.313820194834843</v>
      </c>
      <c r="E544" t="n">
        <v>0.2604680232450096</v>
      </c>
    </row>
    <row r="545">
      <c r="A545" t="inlineStr">
        <is>
          <t>G|FICO x CHANNEL|where 2022|contribution_rate|book|3</t>
        </is>
      </c>
      <c r="B545" t="n">
        <v>6.236242661</v>
      </c>
      <c r="C545" t="n">
        <v>6.065042659</v>
      </c>
      <c r="D545" t="n">
        <v>14.42277391</v>
      </c>
      <c r="E545" t="n">
        <v>9.087556750999999</v>
      </c>
    </row>
    <row r="546">
      <c r="A546" t="inlineStr">
        <is>
          <t>G|FICO x CHANNEL|where 2022|contribution_rate|band|3</t>
        </is>
      </c>
      <c r="B546" t="n">
        <v>-4.244050195</v>
      </c>
      <c r="C546" t="n">
        <v>-4.424813412</v>
      </c>
      <c r="D546" t="n">
        <v>8.270639092</v>
      </c>
    </row>
    <row r="547">
      <c r="A547" t="inlineStr">
        <is>
          <t>G|FICO x CHANNEL|where 2022|contribution_rate|rate|4</t>
        </is>
      </c>
      <c r="B547" t="n">
        <v>0.1627074287777659</v>
      </c>
      <c r="C547" t="n">
        <v>0.1625389742848516</v>
      </c>
      <c r="D547" t="n">
        <v>0.239175982688843</v>
      </c>
      <c r="E547" t="n">
        <v>0.1885968331551403</v>
      </c>
    </row>
    <row r="548">
      <c r="A548" t="inlineStr">
        <is>
          <t>G|FICO x CHANNEL|where 2022|contribution_rate|book|4</t>
        </is>
      </c>
      <c r="B548" t="n">
        <v>-0.688502696</v>
      </c>
      <c r="C548" t="n">
        <v>-0.705348145</v>
      </c>
      <c r="D548" t="n">
        <v>6.958352695</v>
      </c>
      <c r="E548" t="n">
        <v>1.900437742</v>
      </c>
    </row>
    <row r="549">
      <c r="A549" t="inlineStr">
        <is>
          <t>G|FICO x CHANNEL|where 2022|contribution_rate|band|4</t>
        </is>
      </c>
      <c r="B549" t="n">
        <v>-3.856741015</v>
      </c>
      <c r="C549" t="n">
        <v>-3.900775618</v>
      </c>
      <c r="D549" t="n">
        <v>7.655319666</v>
      </c>
    </row>
    <row r="550">
      <c r="A550" t="inlineStr">
        <is>
          <t>G|FICO x CHANNEL|where 2022|contribution_rate|rate|5</t>
        </is>
      </c>
      <c r="B550" t="n">
        <v>0.09590275495919157</v>
      </c>
      <c r="C550" t="n">
        <v>0.09465253288139498</v>
      </c>
      <c r="D550" t="n">
        <v>0.09481594287440204</v>
      </c>
      <c r="E550" t="n">
        <v>0.09510504165472113</v>
      </c>
    </row>
    <row r="551">
      <c r="A551" t="inlineStr">
        <is>
          <t>G|FICO x CHANNEL|where 2022|contribution_rate|book|5</t>
        </is>
      </c>
      <c r="B551" t="n">
        <v>-7.368970078</v>
      </c>
      <c r="C551" t="n">
        <v>-7.493992285</v>
      </c>
      <c r="D551" t="n">
        <v>-7.477651286</v>
      </c>
      <c r="E551" t="n">
        <v>-7.448741408</v>
      </c>
    </row>
    <row r="552">
      <c r="A552" t="inlineStr">
        <is>
          <t>G|FICO x CHANNEL|where 2022|contribution_rate|band|5</t>
        </is>
      </c>
      <c r="B552" t="n">
        <v>0.118108309</v>
      </c>
      <c r="C552" t="n">
        <v>-0.07413827000000001</v>
      </c>
      <c r="D552" t="n">
        <v>-0.040476769</v>
      </c>
    </row>
    <row r="553">
      <c r="A553" t="inlineStr">
        <is>
          <t>G|FICO x CHANNEL|where 2022|contribution_rate|rate|6</t>
        </is>
      </c>
    </row>
    <row r="554">
      <c r="A554" t="inlineStr">
        <is>
          <t>G|FICO x CHANNEL|where 2022|contribution_rate|book|6</t>
        </is>
      </c>
    </row>
    <row r="555">
      <c r="A555" t="inlineStr">
        <is>
          <t>G|FICO x CHANNEL|where 2022|contribution_rate|band|6</t>
        </is>
      </c>
    </row>
    <row r="556">
      <c r="A556" t="inlineStr">
        <is>
          <t>G|FICO x CHANNEL|where 2022|contribution_rate|rate|7</t>
        </is>
      </c>
      <c r="B556" t="n">
        <v>0.2277338091566836</v>
      </c>
      <c r="C556" t="n">
        <v>0.2392510632620177</v>
      </c>
      <c r="D556" t="n">
        <v>0.3066441814918206</v>
      </c>
      <c r="E556" t="n">
        <v>0.2555266234422335</v>
      </c>
    </row>
    <row r="557">
      <c r="A557" t="inlineStr">
        <is>
          <t>G|FICO x CHANNEL|where 2022|contribution_rate|book|7</t>
        </is>
      </c>
      <c r="B557" t="n">
        <v>5.814135342</v>
      </c>
      <c r="C557" t="n">
        <v>6.965860753</v>
      </c>
      <c r="D557" t="n">
        <v>13.705172576</v>
      </c>
      <c r="E557" t="n">
        <v>8.593416770999999</v>
      </c>
    </row>
    <row r="558">
      <c r="A558" t="inlineStr">
        <is>
          <t>G|FICO x CHANNEL|where 2022|contribution_rate|band|7</t>
        </is>
      </c>
      <c r="B558" t="n">
        <v>-3.753858052</v>
      </c>
      <c r="C558" t="n">
        <v>-2.983658852</v>
      </c>
      <c r="D558" t="n">
        <v>7.158018422</v>
      </c>
    </row>
    <row r="559">
      <c r="A559" t="inlineStr">
        <is>
          <t>G|FICO x CHANNEL|where 2022|contribution_rate|rate|8</t>
        </is>
      </c>
      <c r="B559" t="n">
        <v>0.2409562824203472</v>
      </c>
      <c r="C559" t="n">
        <v>0.2446521591980838</v>
      </c>
      <c r="D559" t="n">
        <v>0.2840096903283836</v>
      </c>
      <c r="E559" t="n">
        <v>0.2562152548814082</v>
      </c>
    </row>
    <row r="560">
      <c r="A560" t="inlineStr">
        <is>
          <t>G|FICO x CHANNEL|where 2022|contribution_rate|book|8</t>
        </is>
      </c>
      <c r="B560" t="n">
        <v>7.136382669</v>
      </c>
      <c r="C560" t="n">
        <v>7.505970346</v>
      </c>
      <c r="D560" t="n">
        <v>11.441723459</v>
      </c>
      <c r="E560" t="n">
        <v>8.662279914999999</v>
      </c>
    </row>
    <row r="561">
      <c r="A561" t="inlineStr">
        <is>
          <t>G|FICO x CHANNEL|where 2022|contribution_rate|band|8</t>
        </is>
      </c>
    </row>
    <row r="562">
      <c r="A562" t="inlineStr">
        <is>
          <t>G|FICO x CHANNEL|where 2022|contribution_rate|meta</t>
        </is>
      </c>
      <c r="B562" t="inlineStr">
        <is>
          <t>pts</t>
        </is>
      </c>
      <c r="C562" t="n">
        <v>24.573822958</v>
      </c>
      <c r="D562" t="n">
        <v>10</v>
      </c>
      <c r="E562" t="n">
        <v>0.1695924557349815</v>
      </c>
      <c r="F562" t="n">
        <v>30</v>
      </c>
    </row>
    <row r="563">
      <c r="A563" t="inlineStr">
        <is>
          <t>G|FICO x CHANNEL|where 2022|loan_size|rate|1</t>
        </is>
      </c>
      <c r="B563" t="n">
        <v>31843.38485436893</v>
      </c>
      <c r="C563" t="n">
        <v>33391.58888888889</v>
      </c>
      <c r="D563" t="n">
        <v>30333.94113043478</v>
      </c>
      <c r="E563" t="n">
        <v>31943.72909348442</v>
      </c>
    </row>
    <row r="564">
      <c r="A564" t="inlineStr">
        <is>
          <t>G|FICO x CHANNEL|where 2022|loan_size|median|1</t>
        </is>
      </c>
      <c r="B564" t="n">
        <v>32211.22</v>
      </c>
      <c r="C564" t="n">
        <v>32367.16</v>
      </c>
      <c r="D564" t="n">
        <v>29276.11</v>
      </c>
      <c r="E564" t="n">
        <v>31592.05</v>
      </c>
    </row>
    <row r="565">
      <c r="A565" t="inlineStr">
        <is>
          <t>G|FICO x CHANNEL|where 2022|loan_size|book|1</t>
        </is>
      </c>
      <c r="B565" t="n">
        <v>0.9870065068725484</v>
      </c>
      <c r="C565" t="n">
        <v>1.034994101879361</v>
      </c>
      <c r="D565" t="n">
        <v>0.9402203130023157</v>
      </c>
      <c r="E565" t="n">
        <v>0.9901167420874009</v>
      </c>
    </row>
    <row r="566">
      <c r="A566" t="inlineStr">
        <is>
          <t>G|FICO x CHANNEL|where 2022|loan_size|band|1</t>
        </is>
      </c>
      <c r="B566" t="n">
        <v>0.9955702438182663</v>
      </c>
      <c r="C566" t="n">
        <v>1.075513294618553</v>
      </c>
      <c r="D566" t="n">
        <v>0.9270320206482421</v>
      </c>
    </row>
    <row r="567">
      <c r="A567" t="inlineStr">
        <is>
          <t>G|FICO x CHANNEL|where 2022|loan_size|rate|2</t>
        </is>
      </c>
      <c r="B567" t="n">
        <v>33281.20452991453</v>
      </c>
      <c r="C567" t="n">
        <v>32296.63110169492</v>
      </c>
      <c r="D567" t="n">
        <v>35118.70642201835</v>
      </c>
      <c r="E567" t="n">
        <v>33525.70465116279</v>
      </c>
    </row>
    <row r="568">
      <c r="A568" t="inlineStr">
        <is>
          <t>G|FICO x CHANNEL|where 2022|loan_size|median|2</t>
        </is>
      </c>
      <c r="B568" t="n">
        <v>34171.73</v>
      </c>
      <c r="C568" t="n">
        <v>33802.955</v>
      </c>
      <c r="D568" t="n">
        <v>35629.87</v>
      </c>
      <c r="E568" t="n">
        <v>34475.44</v>
      </c>
    </row>
    <row r="569">
      <c r="A569" t="inlineStr">
        <is>
          <t>G|FICO x CHANNEL|where 2022|loan_size|book|2</t>
        </is>
      </c>
      <c r="B569" t="n">
        <v>1.031572666593417</v>
      </c>
      <c r="C569" t="n">
        <v>1.001055170272254</v>
      </c>
      <c r="D569" t="n">
        <v>1.088527237603736</v>
      </c>
      <c r="E569" t="n">
        <v>1.039151107506869</v>
      </c>
    </row>
    <row r="570">
      <c r="A570" t="inlineStr">
        <is>
          <t>G|FICO x CHANNEL|where 2022|loan_size|band|2</t>
        </is>
      </c>
      <c r="B570" t="n">
        <v>0.988989568510282</v>
      </c>
      <c r="C570" t="n">
        <v>0.9452460417659878</v>
      </c>
      <c r="D570" t="n">
        <v>1.071122580092868</v>
      </c>
    </row>
    <row r="571">
      <c r="A571" t="inlineStr">
        <is>
          <t>G|FICO x CHANNEL|where 2022|loan_size|rate|3</t>
        </is>
      </c>
      <c r="B571" t="n">
        <v>33020.56351851852</v>
      </c>
      <c r="C571" t="n">
        <v>33115.57769230769</v>
      </c>
      <c r="D571" t="n">
        <v>31876.16074380165</v>
      </c>
      <c r="E571" t="n">
        <v>32634.40357357357</v>
      </c>
    </row>
    <row r="572">
      <c r="A572" t="inlineStr">
        <is>
          <t>G|FICO x CHANNEL|where 2022|loan_size|median|3</t>
        </is>
      </c>
      <c r="B572" t="n">
        <v>33939.6</v>
      </c>
      <c r="C572" t="n">
        <v>35614.97</v>
      </c>
      <c r="D572" t="n">
        <v>32114.73</v>
      </c>
      <c r="E572" t="n">
        <v>33796.68</v>
      </c>
    </row>
    <row r="573">
      <c r="A573" t="inlineStr">
        <is>
          <t>G|FICO x CHANNEL|where 2022|loan_size|book|3</t>
        </is>
      </c>
      <c r="B573" t="n">
        <v>1.023493928250046</v>
      </c>
      <c r="C573" t="n">
        <v>1.026438954609647</v>
      </c>
      <c r="D573" t="n">
        <v>0.9880224169677402</v>
      </c>
      <c r="E573" t="n">
        <v>1.011524648599113</v>
      </c>
    </row>
    <row r="574">
      <c r="A574" t="inlineStr">
        <is>
          <t>G|FICO x CHANNEL|where 2022|loan_size|band|3</t>
        </is>
      </c>
      <c r="B574" t="n">
        <v>1.017612742896303</v>
      </c>
      <c r="C574" t="n">
        <v>1.02158505735869</v>
      </c>
      <c r="D574" t="n">
        <v>0.9639819994098449</v>
      </c>
    </row>
    <row r="575">
      <c r="A575" t="inlineStr">
        <is>
          <t>G|FICO x CHANNEL|where 2022|loan_size|rate|4</t>
        </is>
      </c>
      <c r="B575" t="n">
        <v>29896.71245901639</v>
      </c>
      <c r="C575" t="n">
        <v>34425.82635514018</v>
      </c>
      <c r="D575" t="n">
        <v>29643.2194488189</v>
      </c>
      <c r="E575" t="n">
        <v>31167.55957865168</v>
      </c>
    </row>
    <row r="576">
      <c r="A576" t="inlineStr">
        <is>
          <t>G|FICO x CHANNEL|where 2022|loan_size|median|4</t>
        </is>
      </c>
      <c r="B576" t="n">
        <v>30274.505</v>
      </c>
      <c r="C576" t="n">
        <v>37214.98</v>
      </c>
      <c r="D576" t="n">
        <v>28365.83</v>
      </c>
      <c r="E576" t="n">
        <v>30548.91</v>
      </c>
    </row>
    <row r="577">
      <c r="A577" t="inlineStr">
        <is>
          <t>G|FICO x CHANNEL|where 2022|loan_size|book|4</t>
        </is>
      </c>
      <c r="B577" t="n">
        <v>0.9266681248271323</v>
      </c>
      <c r="C577" t="n">
        <v>1.067050967489279</v>
      </c>
      <c r="D577" t="n">
        <v>0.9188109434484603</v>
      </c>
      <c r="E577" t="n">
        <v>0.9660588611466783</v>
      </c>
    </row>
    <row r="578">
      <c r="A578" t="inlineStr">
        <is>
          <t>G|FICO x CHANNEL|where 2022|loan_size|band|4</t>
        </is>
      </c>
      <c r="B578" t="n">
        <v>0.9392580222883181</v>
      </c>
      <c r="C578" t="n">
        <v>1.156493420651984</v>
      </c>
      <c r="D578" t="n">
        <v>0.9259762823688887</v>
      </c>
    </row>
    <row r="579">
      <c r="A579" t="inlineStr">
        <is>
          <t>G|FICO x CHANNEL|where 2022|loan_size|rate|5</t>
        </is>
      </c>
      <c r="B579" t="n">
        <v>31035.34311320755</v>
      </c>
      <c r="C579" t="n">
        <v>32369.13196721311</v>
      </c>
      <c r="D579" t="n">
        <v>33677.30662790698</v>
      </c>
      <c r="E579" t="n">
        <v>32277.16191082802</v>
      </c>
    </row>
    <row r="580">
      <c r="A580" t="inlineStr">
        <is>
          <t>G|FICO x CHANNEL|where 2022|loan_size|median|5</t>
        </is>
      </c>
      <c r="B580" t="n">
        <v>29890.345</v>
      </c>
      <c r="C580" t="n">
        <v>30284.805</v>
      </c>
      <c r="D580" t="n">
        <v>36396.655</v>
      </c>
      <c r="E580" t="n">
        <v>30919.07</v>
      </c>
    </row>
    <row r="581">
      <c r="A581" t="inlineStr">
        <is>
          <t>G|FICO x CHANNEL|where 2022|loan_size|book|5</t>
        </is>
      </c>
      <c r="B581" t="n">
        <v>0.9619607254646249</v>
      </c>
      <c r="C581" t="n">
        <v>1.003302381941102</v>
      </c>
      <c r="D581" t="n">
        <v>1.043850109770151</v>
      </c>
      <c r="E581" t="n">
        <v>1.000451709988209</v>
      </c>
    </row>
    <row r="582">
      <c r="A582" t="inlineStr">
        <is>
          <t>G|FICO x CHANNEL|where 2022|loan_size|band|5</t>
        </is>
      </c>
      <c r="B582" t="n">
        <v>0.943036521259461</v>
      </c>
      <c r="C582" t="n">
        <v>1.004668383811933</v>
      </c>
      <c r="D582" t="n">
        <v>1.060734738811991</v>
      </c>
    </row>
    <row r="583">
      <c r="A583" t="inlineStr">
        <is>
          <t>G|FICO x CHANNEL|where 2022|loan_size|rate|6</t>
        </is>
      </c>
    </row>
    <row r="584">
      <c r="A584" t="inlineStr">
        <is>
          <t>G|FICO x CHANNEL|where 2022|loan_size|median|6</t>
        </is>
      </c>
    </row>
    <row r="585">
      <c r="A585" t="inlineStr">
        <is>
          <t>G|FICO x CHANNEL|where 2022|loan_size|book|6</t>
        </is>
      </c>
    </row>
    <row r="586">
      <c r="A586" t="inlineStr">
        <is>
          <t>G|FICO x CHANNEL|where 2022|loan_size|band|6</t>
        </is>
      </c>
    </row>
    <row r="587">
      <c r="A587" t="inlineStr">
        <is>
          <t>G|FICO x CHANNEL|where 2022|loan_size|rate|7</t>
        </is>
      </c>
      <c r="B587" t="n">
        <v>31322.03909090909</v>
      </c>
      <c r="C587" t="n">
        <v>31746.39578947368</v>
      </c>
      <c r="D587" t="n">
        <v>34488.98727272727</v>
      </c>
      <c r="E587" t="n">
        <v>32368.3612195122</v>
      </c>
    </row>
    <row r="588">
      <c r="A588" t="inlineStr">
        <is>
          <t>G|FICO x CHANNEL|where 2022|loan_size|median|7</t>
        </is>
      </c>
      <c r="B588" t="n">
        <v>28753.68</v>
      </c>
      <c r="C588" t="n">
        <v>29168.96</v>
      </c>
      <c r="D588" t="n">
        <v>39057.21</v>
      </c>
      <c r="E588" t="n">
        <v>30338.52</v>
      </c>
    </row>
    <row r="589">
      <c r="A589" t="inlineStr">
        <is>
          <t>G|FICO x CHANNEL|where 2022|loan_size|book|7</t>
        </is>
      </c>
      <c r="B589" t="n">
        <v>0.9708470545021858</v>
      </c>
      <c r="C589" t="n">
        <v>0.9840002674735367</v>
      </c>
      <c r="D589" t="n">
        <v>1.069008681373139</v>
      </c>
      <c r="E589" t="n">
        <v>1.003278492112824</v>
      </c>
    </row>
    <row r="590">
      <c r="A590" t="inlineStr">
        <is>
          <t>G|FICO x CHANNEL|where 2022|loan_size|band|7</t>
        </is>
      </c>
      <c r="B590" t="n">
        <v>0.956339367894391</v>
      </c>
      <c r="C590" t="n">
        <v>0.9647743712143361</v>
      </c>
      <c r="D590" t="n">
        <v>1.091741554259358</v>
      </c>
    </row>
    <row r="591">
      <c r="A591" t="inlineStr">
        <is>
          <t>G|FICO x CHANNEL|where 2022|loan_size|rate|8</t>
        </is>
      </c>
      <c r="B591" t="n">
        <v>31784.26481481481</v>
      </c>
      <c r="C591" t="n">
        <v>33055.64642975207</v>
      </c>
      <c r="D591" t="n">
        <v>32009.97149384886</v>
      </c>
      <c r="E591" t="n">
        <v>32299.83803561172</v>
      </c>
    </row>
    <row r="592">
      <c r="A592" t="inlineStr">
        <is>
          <t>G|FICO x CHANNEL|where 2022|loan_size|median|8</t>
        </is>
      </c>
      <c r="B592" t="n">
        <v>32066.69</v>
      </c>
      <c r="C592" t="n">
        <v>33431.25</v>
      </c>
      <c r="D592" t="n">
        <v>31861.01</v>
      </c>
      <c r="E592" t="n">
        <v>32367.16</v>
      </c>
    </row>
    <row r="593">
      <c r="A593" t="inlineStr">
        <is>
          <t>G|FICO x CHANNEL|where 2022|loan_size|book|8</t>
        </is>
      </c>
      <c r="B593" t="n">
        <v>0.9851740426419603</v>
      </c>
      <c r="C593" t="n">
        <v>1.024581345992409</v>
      </c>
      <c r="D593" t="n">
        <v>0.9921699685421128</v>
      </c>
      <c r="E593" t="n">
        <v>1.001154571283091</v>
      </c>
    </row>
    <row r="594">
      <c r="A594" t="inlineStr">
        <is>
          <t>G|FICO x CHANNEL|where 2022|loan_size|band|8</t>
        </is>
      </c>
    </row>
    <row r="595">
      <c r="A595" t="inlineStr">
        <is>
          <t>G|FICO x CHANNEL|where 2022|loan_size|meta</t>
        </is>
      </c>
      <c r="B595" t="inlineStr">
        <is>
          <t>size</t>
        </is>
      </c>
      <c r="C595" t="n">
        <v>1</v>
      </c>
      <c r="E595" t="n">
        <v>32262.58857732217</v>
      </c>
      <c r="F595" t="n">
        <v>30</v>
      </c>
    </row>
    <row r="596">
      <c r="A596" t="inlineStr">
        <is>
          <t>G|FICO x CHANNEL|where 2023|cols</t>
        </is>
      </c>
      <c r="B596" t="inlineStr">
        <is>
          <t>Branch</t>
        </is>
      </c>
      <c r="C596" t="inlineStr">
        <is>
          <t>Broker</t>
        </is>
      </c>
      <c r="D596" t="inlineStr">
        <is>
          <t>Online</t>
        </is>
      </c>
      <c r="E596" t="inlineStr">
        <is>
          <t>All</t>
        </is>
      </c>
    </row>
    <row r="597">
      <c r="A597" t="inlineStr">
        <is>
          <t>G|FICO x CHANNEL|where 2023|heads</t>
        </is>
      </c>
      <c r="B597" t="inlineStr">
        <is>
          <t>Branch</t>
        </is>
      </c>
      <c r="C597" t="inlineStr">
        <is>
          <t>Broker</t>
        </is>
      </c>
      <c r="D597" t="inlineStr">
        <is>
          <t>Online</t>
        </is>
      </c>
      <c r="E597" t="inlineStr">
        <is>
          <t>All</t>
        </is>
      </c>
    </row>
    <row r="598">
      <c r="A598" t="inlineStr">
        <is>
          <t>G|FICO x CHANNEL|where 2023|segs</t>
        </is>
      </c>
    </row>
    <row r="599">
      <c r="A599" t="inlineStr">
        <is>
          <t>G|FICO x CHANNEL|where 2023|rows</t>
        </is>
      </c>
      <c r="B599" t="inlineStr">
        <is>
          <t>496 - 653</t>
        </is>
      </c>
      <c r="C599" t="inlineStr">
        <is>
          <t>654 - 685</t>
        </is>
      </c>
      <c r="D599" t="inlineStr">
        <is>
          <t>686 - 711</t>
        </is>
      </c>
      <c r="E599" t="inlineStr">
        <is>
          <t>712 - 745</t>
        </is>
      </c>
      <c r="F599" t="inlineStr">
        <is>
          <t>746 - 921</t>
        </is>
      </c>
      <c r="G599" t="inlineStr">
        <is>
          <t>(blank)</t>
        </is>
      </c>
      <c r="H599" t="inlineStr">
        <is>
          <t>(marked missing)</t>
        </is>
      </c>
      <c r="I599" t="inlineStr">
        <is>
          <t>All</t>
        </is>
      </c>
    </row>
    <row r="600">
      <c r="A600" t="inlineStr">
        <is>
          <t>G|FICO x CHANNEL|where 2023|names</t>
        </is>
      </c>
      <c r="B600" t="inlineStr">
        <is>
          <t>FICO</t>
        </is>
      </c>
      <c r="C600" t="inlineStr">
        <is>
          <t>CHANNEL</t>
        </is>
      </c>
    </row>
    <row r="601">
      <c r="A601" t="inlineStr">
        <is>
          <t>G|FICO x CHANNEL|where 2023|total</t>
        </is>
      </c>
      <c r="B601" t="n">
        <v>1612</v>
      </c>
    </row>
    <row r="602">
      <c r="A602" t="inlineStr">
        <is>
          <t>G|FICO x CHANNEL|where 2023|loans|1</t>
        </is>
      </c>
      <c r="B602" t="n">
        <v>116</v>
      </c>
      <c r="C602" t="n">
        <v>95</v>
      </c>
      <c r="D602" t="n">
        <v>110</v>
      </c>
      <c r="E602" t="n">
        <v>321</v>
      </c>
    </row>
    <row r="603">
      <c r="A603" t="inlineStr">
        <is>
          <t>G|FICO x CHANNEL|where 2023|loans|2</t>
        </is>
      </c>
      <c r="B603" t="n">
        <v>87</v>
      </c>
      <c r="C603" t="n">
        <v>104</v>
      </c>
      <c r="D603" t="n">
        <v>92</v>
      </c>
      <c r="E603" t="n">
        <v>283</v>
      </c>
    </row>
    <row r="604">
      <c r="A604" t="inlineStr">
        <is>
          <t>G|FICO x CHANNEL|where 2023|loans|3</t>
        </is>
      </c>
      <c r="B604" t="n">
        <v>117</v>
      </c>
      <c r="C604" t="n">
        <v>109</v>
      </c>
      <c r="D604" t="n">
        <v>116</v>
      </c>
      <c r="E604" t="n">
        <v>342</v>
      </c>
    </row>
    <row r="605">
      <c r="A605" t="inlineStr">
        <is>
          <t>G|FICO x CHANNEL|where 2023|loans|4</t>
        </is>
      </c>
      <c r="B605" t="n">
        <v>108</v>
      </c>
      <c r="C605" t="n">
        <v>85</v>
      </c>
      <c r="D605" t="n">
        <v>120</v>
      </c>
      <c r="E605" t="n">
        <v>313</v>
      </c>
    </row>
    <row r="606">
      <c r="A606" t="inlineStr">
        <is>
          <t>G|FICO x CHANNEL|where 2023|loans|5</t>
        </is>
      </c>
      <c r="B606" t="n">
        <v>95</v>
      </c>
      <c r="C606" t="n">
        <v>116</v>
      </c>
      <c r="D606" t="n">
        <v>121</v>
      </c>
      <c r="E606" t="n">
        <v>332</v>
      </c>
    </row>
    <row r="607">
      <c r="A607" t="inlineStr">
        <is>
          <t>G|FICO x CHANNEL|where 2023|loans|6</t>
        </is>
      </c>
    </row>
    <row r="608">
      <c r="A608" t="inlineStr">
        <is>
          <t>G|FICO x CHANNEL|where 2023|loans|7</t>
        </is>
      </c>
      <c r="B608" t="n">
        <v>5</v>
      </c>
      <c r="C608" t="n">
        <v>4</v>
      </c>
      <c r="D608" t="n">
        <v>12</v>
      </c>
      <c r="E608" t="n">
        <v>21</v>
      </c>
    </row>
    <row r="609">
      <c r="A609" t="inlineStr">
        <is>
          <t>G|FICO x CHANNEL|where 2023|loans|8</t>
        </is>
      </c>
      <c r="B609" t="n">
        <v>528</v>
      </c>
      <c r="C609" t="n">
        <v>513</v>
      </c>
      <c r="D609" t="n">
        <v>571</v>
      </c>
      <c r="E609" t="n">
        <v>1612</v>
      </c>
    </row>
    <row r="610">
      <c r="A610" t="inlineStr">
        <is>
          <t>G|FICO x CHANNEL|where 2023|outcome_loans|rate|1</t>
        </is>
      </c>
      <c r="B610" t="n">
        <v>0.09565217391304348</v>
      </c>
      <c r="C610" t="n">
        <v>0.1789473684210526</v>
      </c>
      <c r="D610" t="n">
        <v>0.09090909090909091</v>
      </c>
      <c r="E610" t="n">
        <v>0.11875</v>
      </c>
    </row>
    <row r="611">
      <c r="A611" t="inlineStr">
        <is>
          <t>G|FICO x CHANNEL|where 2023|outcome_loans|book|1</t>
        </is>
      </c>
      <c r="B611" t="n">
        <v>1.236060967900541</v>
      </c>
      <c r="C611" t="n">
        <v>2.312439418416801</v>
      </c>
      <c r="D611" t="n">
        <v>1.174768688500514</v>
      </c>
      <c r="E611" t="n">
        <v>1.534541599353796</v>
      </c>
    </row>
    <row r="612">
      <c r="A612" t="inlineStr">
        <is>
          <t>G|FICO x CHANNEL|where 2023|outcome_loans|band|1</t>
        </is>
      </c>
      <c r="B612" t="n">
        <v>0.7262479871175523</v>
      </c>
      <c r="C612" t="n">
        <v>1.917293233082707</v>
      </c>
      <c r="D612" t="n">
        <v>0.6818181818181819</v>
      </c>
    </row>
    <row r="613">
      <c r="A613" t="inlineStr">
        <is>
          <t>G|FICO x CHANNEL|where 2023|outcome_loans|rate|2</t>
        </is>
      </c>
      <c r="B613" t="n">
        <v>0.1609195402298851</v>
      </c>
      <c r="C613" t="n">
        <v>0.07692307692307693</v>
      </c>
      <c r="D613" t="n">
        <v>0.05434782608695652</v>
      </c>
      <c r="E613" t="n">
        <v>0.09540636042402827</v>
      </c>
    </row>
    <row r="614">
      <c r="A614" t="inlineStr">
        <is>
          <t>G|FICO x CHANNEL|where 2023|outcome_loans|book|2</t>
        </is>
      </c>
      <c r="B614" t="n">
        <v>2.079475609529645</v>
      </c>
      <c r="E614" t="n">
        <v>1.232884454009373</v>
      </c>
    </row>
    <row r="615">
      <c r="A615" t="inlineStr">
        <is>
          <t>G|FICO x CHANNEL|where 2023|outcome_loans|band|2</t>
        </is>
      </c>
      <c r="B615" t="n">
        <v>2.426171529619805</v>
      </c>
    </row>
    <row r="616">
      <c r="A616" t="inlineStr">
        <is>
          <t>G|FICO x CHANNEL|where 2023|outcome_loans|rate|3</t>
        </is>
      </c>
      <c r="B616" t="n">
        <v>0.02564102564102564</v>
      </c>
      <c r="C616" t="n">
        <v>0.06422018348623854</v>
      </c>
      <c r="D616" t="n">
        <v>0.09482758620689655</v>
      </c>
      <c r="E616" t="n">
        <v>0.06140350877192982</v>
      </c>
    </row>
    <row r="617">
      <c r="A617" t="inlineStr">
        <is>
          <t>G|FICO x CHANNEL|where 2023|outcome_loans|book|3</t>
        </is>
      </c>
      <c r="D617" t="n">
        <v>1.225405269901398</v>
      </c>
      <c r="E617" t="n">
        <v>0.7934841141626279</v>
      </c>
    </row>
    <row r="618">
      <c r="A618" t="inlineStr">
        <is>
          <t>G|FICO x CHANNEL|where 2023|outcome_loans|band|3</t>
        </is>
      </c>
      <c r="D618" t="n">
        <v>2.143103448275862</v>
      </c>
    </row>
    <row r="619">
      <c r="A619" t="inlineStr">
        <is>
          <t>G|FICO x CHANNEL|where 2023|outcome_loans|rate|4</t>
        </is>
      </c>
      <c r="B619" t="n">
        <v>0.04629629629629629</v>
      </c>
      <c r="C619" t="n">
        <v>0</v>
      </c>
      <c r="D619" t="n">
        <v>0.075</v>
      </c>
      <c r="E619" t="n">
        <v>0.04472843450479233</v>
      </c>
    </row>
    <row r="620">
      <c r="A620" t="inlineStr">
        <is>
          <t>G|FICO x CHANNEL|where 2023|outcome_loans|book|4</t>
        </is>
      </c>
      <c r="E620" t="n">
        <v>0.5780012077606362</v>
      </c>
    </row>
    <row r="621">
      <c r="A621" t="inlineStr">
        <is>
          <t>G|FICO x CHANNEL|where 2023|outcome_loans|band|4</t>
        </is>
      </c>
    </row>
    <row r="622">
      <c r="A622" t="inlineStr">
        <is>
          <t>G|FICO x CHANNEL|where 2023|outcome_loans|rate|5</t>
        </is>
      </c>
      <c r="B622" t="n">
        <v>0.05263157894736842</v>
      </c>
      <c r="C622" t="n">
        <v>0.04310344827586207</v>
      </c>
      <c r="D622" t="n">
        <v>0.02479338842975207</v>
      </c>
      <c r="E622" t="n">
        <v>0.0391566265060241</v>
      </c>
    </row>
    <row r="623">
      <c r="A623" t="inlineStr">
        <is>
          <t>G|FICO x CHANNEL|where 2023|outcome_loans|book|5</t>
        </is>
      </c>
      <c r="E623" t="n">
        <v>0.5059997664324504</v>
      </c>
    </row>
    <row r="624">
      <c r="A624" t="inlineStr">
        <is>
          <t>G|FICO x CHANNEL|where 2023|outcome_loans|band|5</t>
        </is>
      </c>
    </row>
    <row r="625">
      <c r="A625" t="inlineStr">
        <is>
          <t>G|FICO x CHANNEL|where 2023|outcome_loans|rate|6</t>
        </is>
      </c>
    </row>
    <row r="626">
      <c r="A626" t="inlineStr">
        <is>
          <t>G|FICO x CHANNEL|where 2023|outcome_loans|book|6</t>
        </is>
      </c>
    </row>
    <row r="627">
      <c r="A627" t="inlineStr">
        <is>
          <t>G|FICO x CHANNEL|where 2023|outcome_loans|band|6</t>
        </is>
      </c>
    </row>
    <row r="628">
      <c r="A628" t="inlineStr">
        <is>
          <t>G|FICO x CHANNEL|where 2023|outcome_loans|rate|7</t>
        </is>
      </c>
      <c r="B628" t="n">
        <v>0</v>
      </c>
      <c r="C628" t="n">
        <v>0</v>
      </c>
      <c r="D628" t="n">
        <v>0</v>
      </c>
      <c r="E628" t="n">
        <v>0</v>
      </c>
    </row>
    <row r="629">
      <c r="A629" t="inlineStr">
        <is>
          <t>G|FICO x CHANNEL|where 2023|outcome_loans|book|7</t>
        </is>
      </c>
    </row>
    <row r="630">
      <c r="A630" t="inlineStr">
        <is>
          <t>G|FICO x CHANNEL|where 2023|outcome_loans|band|7</t>
        </is>
      </c>
    </row>
    <row r="631">
      <c r="A631" t="inlineStr">
        <is>
          <t>G|FICO x CHANNEL|where 2023|outcome_loans|rate|8</t>
        </is>
      </c>
      <c r="B631" t="n">
        <v>0.07210626185958255</v>
      </c>
      <c r="C631" t="n">
        <v>0.07212475633528265</v>
      </c>
      <c r="D631" t="n">
        <v>0.06654991243432574</v>
      </c>
      <c r="E631" t="n">
        <v>0.07014276846679081</v>
      </c>
    </row>
    <row r="632">
      <c r="A632" t="inlineStr">
        <is>
          <t>G|FICO x CHANNEL|where 2023|outcome_loans|book|8</t>
        </is>
      </c>
      <c r="B632" t="n">
        <v>0.9317899654520206</v>
      </c>
      <c r="C632" t="n">
        <v>0.9320289594926104</v>
      </c>
      <c r="D632" t="n">
        <v>0.8599882868532659</v>
      </c>
      <c r="E632" t="n">
        <v>0.9064168093147975</v>
      </c>
    </row>
    <row r="633">
      <c r="A633" t="inlineStr">
        <is>
          <t>G|FICO x CHANNEL|where 2023|outcome_loans|band|8</t>
        </is>
      </c>
    </row>
    <row r="634">
      <c r="A634" t="inlineStr">
        <is>
          <t>G|FICO x CHANNEL|where 2023|outcome_loans|meta</t>
        </is>
      </c>
      <c r="B634" t="inlineStr">
        <is>
          <t>x</t>
        </is>
      </c>
      <c r="C634" t="n">
        <v>2.426171529619805</v>
      </c>
      <c r="D634" t="n">
        <v>10</v>
      </c>
      <c r="E634" t="n">
        <v>0.07738467308413552</v>
      </c>
      <c r="F634" t="n">
        <v>30</v>
      </c>
    </row>
    <row r="635">
      <c r="A635" t="inlineStr">
        <is>
          <t>G|FICO x CHANNEL|where 2023|outcome_booked|rate|1</t>
        </is>
      </c>
      <c r="B635" t="n">
        <v>0.09451031653303145</v>
      </c>
      <c r="C635" t="n">
        <v>0.1846598713372951</v>
      </c>
      <c r="D635" t="n">
        <v>0.08586375309717233</v>
      </c>
      <c r="E635" t="n">
        <v>0.1201530370208323</v>
      </c>
    </row>
    <row r="636">
      <c r="A636" t="inlineStr">
        <is>
          <t>G|FICO x CHANNEL|where 2023|outcome_booked|book|1</t>
        </is>
      </c>
      <c r="B636" t="n">
        <v>1.26301945137971</v>
      </c>
      <c r="C636" t="n">
        <v>2.467762440587791</v>
      </c>
      <c r="D636" t="n">
        <v>1.147468279743735</v>
      </c>
      <c r="E636" t="n">
        <v>1.605704313207107</v>
      </c>
    </row>
    <row r="637">
      <c r="A637" t="inlineStr">
        <is>
          <t>G|FICO x CHANNEL|where 2023|outcome_booked|band|1</t>
        </is>
      </c>
      <c r="B637" t="n">
        <v>0.7045656288582756</v>
      </c>
      <c r="C637" t="n">
        <v>2.044359778532395</v>
      </c>
      <c r="D637" t="n">
        <v>0.6262444104741823</v>
      </c>
    </row>
    <row r="638">
      <c r="A638" t="inlineStr">
        <is>
          <t>G|FICO x CHANNEL|where 2023|outcome_booked|rate|2</t>
        </is>
      </c>
      <c r="B638" t="n">
        <v>0.1638830757835</v>
      </c>
      <c r="C638" t="n">
        <v>0.07126381283144691</v>
      </c>
      <c r="D638" t="n">
        <v>0.05213951133037081</v>
      </c>
      <c r="E638" t="n">
        <v>0.09245982108148641</v>
      </c>
    </row>
    <row r="639">
      <c r="A639" t="inlineStr">
        <is>
          <t>G|FICO x CHANNEL|where 2023|outcome_booked|book|2</t>
        </is>
      </c>
      <c r="B639" t="n">
        <v>2.190104954247542</v>
      </c>
      <c r="E639" t="n">
        <v>1.235616986386781</v>
      </c>
    </row>
    <row r="640">
      <c r="A640" t="inlineStr">
        <is>
          <t>G|FICO x CHANNEL|where 2023|outcome_booked|band|2</t>
        </is>
      </c>
      <c r="B640" t="n">
        <v>2.616432641241062</v>
      </c>
    </row>
    <row r="641">
      <c r="A641" t="inlineStr">
        <is>
          <t>G|FICO x CHANNEL|where 2023|outcome_booked|rate|3</t>
        </is>
      </c>
      <c r="B641" t="n">
        <v>0.02303094425978963</v>
      </c>
      <c r="C641" t="n">
        <v>0.05975564463529114</v>
      </c>
      <c r="D641" t="n">
        <v>0.1027157000139811</v>
      </c>
      <c r="E641" t="n">
        <v>0.06274686977503717</v>
      </c>
    </row>
    <row r="642">
      <c r="A642" t="inlineStr">
        <is>
          <t>G|FICO x CHANNEL|where 2023|outcome_booked|book|3</t>
        </is>
      </c>
      <c r="D642" t="n">
        <v>1.372674770742089</v>
      </c>
      <c r="E642" t="n">
        <v>0.8385382669982213</v>
      </c>
    </row>
    <row r="643">
      <c r="A643" t="inlineStr">
        <is>
          <t>G|FICO x CHANNEL|where 2023|outcome_booked|band|3</t>
        </is>
      </c>
      <c r="D643" t="n">
        <v>2.513460148985084</v>
      </c>
    </row>
    <row r="644">
      <c r="A644" t="inlineStr">
        <is>
          <t>G|FICO x CHANNEL|where 2023|outcome_booked|rate|4</t>
        </is>
      </c>
      <c r="B644" t="n">
        <v>0.04467511139390293</v>
      </c>
      <c r="C644" t="n">
        <v>0</v>
      </c>
      <c r="D644" t="n">
        <v>0.07869051616093072</v>
      </c>
      <c r="E644" t="n">
        <v>0.04643821045492428</v>
      </c>
    </row>
    <row r="645">
      <c r="A645" t="inlineStr">
        <is>
          <t>G|FICO x CHANNEL|where 2023|outcome_booked|book|4</t>
        </is>
      </c>
      <c r="E645" t="n">
        <v>0.6205921770596854</v>
      </c>
    </row>
    <row r="646">
      <c r="A646" t="inlineStr">
        <is>
          <t>G|FICO x CHANNEL|where 2023|outcome_booked|band|4</t>
        </is>
      </c>
    </row>
    <row r="647">
      <c r="A647" t="inlineStr">
        <is>
          <t>G|FICO x CHANNEL|where 2023|outcome_booked|rate|5</t>
        </is>
      </c>
      <c r="B647" t="n">
        <v>0.04837522053425517</v>
      </c>
      <c r="C647" t="n">
        <v>0.03271489239219347</v>
      </c>
      <c r="D647" t="n">
        <v>0.03165477763183643</v>
      </c>
      <c r="E647" t="n">
        <v>0.03682248697496392</v>
      </c>
    </row>
    <row r="648">
      <c r="A648" t="inlineStr">
        <is>
          <t>G|FICO x CHANNEL|where 2023|outcome_booked|book|5</t>
        </is>
      </c>
      <c r="E648" t="n">
        <v>0.4920893189612904</v>
      </c>
    </row>
    <row r="649">
      <c r="A649" t="inlineStr">
        <is>
          <t>G|FICO x CHANNEL|where 2023|outcome_booked|band|5</t>
        </is>
      </c>
    </row>
    <row r="650">
      <c r="A650" t="inlineStr">
        <is>
          <t>G|FICO x CHANNEL|where 2023|outcome_booked|rate|6</t>
        </is>
      </c>
    </row>
    <row r="651">
      <c r="A651" t="inlineStr">
        <is>
          <t>G|FICO x CHANNEL|where 2023|outcome_booked|book|6</t>
        </is>
      </c>
    </row>
    <row r="652">
      <c r="A652" t="inlineStr">
        <is>
          <t>G|FICO x CHANNEL|where 2023|outcome_booked|band|6</t>
        </is>
      </c>
    </row>
    <row r="653">
      <c r="A653" t="inlineStr">
        <is>
          <t>G|FICO x CHANNEL|where 2023|outcome_booked|rate|7</t>
        </is>
      </c>
      <c r="B653" t="n">
        <v>0</v>
      </c>
      <c r="C653" t="n">
        <v>0</v>
      </c>
      <c r="D653" t="n">
        <v>0</v>
      </c>
      <c r="E653" t="n">
        <v>0</v>
      </c>
    </row>
    <row r="654">
      <c r="A654" t="inlineStr">
        <is>
          <t>G|FICO x CHANNEL|where 2023|outcome_booked|book|7</t>
        </is>
      </c>
    </row>
    <row r="655">
      <c r="A655" t="inlineStr">
        <is>
          <t>G|FICO x CHANNEL|where 2023|outcome_booked|band|7</t>
        </is>
      </c>
    </row>
    <row r="656">
      <c r="A656" t="inlineStr">
        <is>
          <t>G|FICO x CHANNEL|where 2023|outcome_booked|rate|8</t>
        </is>
      </c>
      <c r="B656" t="n">
        <v>0.06961191842826145</v>
      </c>
      <c r="C656" t="n">
        <v>0.07068453377751999</v>
      </c>
      <c r="D656" t="n">
        <v>0.06962974692620884</v>
      </c>
      <c r="E656" t="n">
        <v>0.06996261105776509</v>
      </c>
    </row>
    <row r="657">
      <c r="A657" t="inlineStr">
        <is>
          <t>G|FICO x CHANNEL|where 2023|outcome_booked|book|8</t>
        </is>
      </c>
      <c r="B657" t="n">
        <v>0.9302815845720223</v>
      </c>
      <c r="C657" t="n">
        <v>0.9446158297598318</v>
      </c>
      <c r="D657" t="n">
        <v>0.9305198415213423</v>
      </c>
      <c r="E657" t="n">
        <v>0.9349681799487692</v>
      </c>
    </row>
    <row r="658">
      <c r="A658" t="inlineStr">
        <is>
          <t>G|FICO x CHANNEL|where 2023|outcome_booked|band|8</t>
        </is>
      </c>
    </row>
    <row r="659">
      <c r="A659" t="inlineStr">
        <is>
          <t>G|FICO x CHANNEL|where 2023|outcome_booked|meta</t>
        </is>
      </c>
      <c r="B659" t="inlineStr">
        <is>
          <t>x</t>
        </is>
      </c>
      <c r="C659" t="n">
        <v>2.616432641241062</v>
      </c>
      <c r="D659" t="n">
        <v>10</v>
      </c>
      <c r="E659" t="n">
        <v>0.07482886857347235</v>
      </c>
      <c r="F659" t="n">
        <v>30</v>
      </c>
    </row>
    <row r="660">
      <c r="A660" t="inlineStr">
        <is>
          <t>G|FICO x CHANNEL|where 2023|gco_rate|rate|1</t>
        </is>
      </c>
      <c r="B660" t="n">
        <v>0.04837189936821949</v>
      </c>
      <c r="C660" t="n">
        <v>0.1102028876854386</v>
      </c>
      <c r="D660" t="n">
        <v>0.04113397358285734</v>
      </c>
      <c r="E660" t="n">
        <v>0.06546603073308264</v>
      </c>
    </row>
    <row r="661">
      <c r="A661" t="inlineStr">
        <is>
          <t>G|FICO x CHANNEL|where 2023|gco_rate|book|1</t>
        </is>
      </c>
      <c r="B661" t="n">
        <v>1.162638886705096</v>
      </c>
      <c r="C661" t="n">
        <v>2.648772620544738</v>
      </c>
      <c r="D661" t="n">
        <v>0.9886723051348817</v>
      </c>
      <c r="E661" t="n">
        <v>1.573503502707598</v>
      </c>
    </row>
    <row r="662">
      <c r="A662" t="inlineStr">
        <is>
          <t>G|FICO x CHANNEL|where 2023|gco_rate|band|1</t>
        </is>
      </c>
      <c r="B662" t="n">
        <v>0.6459573127570349</v>
      </c>
      <c r="C662" t="n">
        <v>2.455073222744163</v>
      </c>
      <c r="D662" t="n">
        <v>0.5312098560568622</v>
      </c>
    </row>
    <row r="663">
      <c r="A663" t="inlineStr">
        <is>
          <t>G|FICO x CHANNEL|where 2023|gco_rate|rate|2</t>
        </is>
      </c>
      <c r="B663" t="n">
        <v>0.09415634228990534</v>
      </c>
      <c r="C663" t="n">
        <v>0.04056240038586626</v>
      </c>
      <c r="D663" t="n">
        <v>0.02937276130932814</v>
      </c>
      <c r="E663" t="n">
        <v>0.05278815324582749</v>
      </c>
    </row>
    <row r="664">
      <c r="A664" t="inlineStr">
        <is>
          <t>G|FICO x CHANNEL|where 2023|gco_rate|book|2</t>
        </is>
      </c>
      <c r="B664" t="n">
        <v>2.263087172633985</v>
      </c>
      <c r="E664" t="n">
        <v>1.268785400667346</v>
      </c>
    </row>
    <row r="665">
      <c r="A665" t="inlineStr">
        <is>
          <t>G|FICO x CHANNEL|where 2023|gco_rate|band|2</t>
        </is>
      </c>
      <c r="B665" t="n">
        <v>2.651222823247814</v>
      </c>
    </row>
    <row r="666">
      <c r="A666" t="inlineStr">
        <is>
          <t>G|FICO x CHANNEL|where 2023|gco_rate|rate|3</t>
        </is>
      </c>
      <c r="B666" t="n">
        <v>0.01494993071329585</v>
      </c>
      <c r="C666" t="n">
        <v>0.03816168158904643</v>
      </c>
      <c r="D666" t="n">
        <v>0.05332877699592734</v>
      </c>
      <c r="E666" t="n">
        <v>0.03581207155189133</v>
      </c>
    </row>
    <row r="667">
      <c r="A667" t="inlineStr">
        <is>
          <t>G|FICO x CHANNEL|where 2023|gco_rate|book|3</t>
        </is>
      </c>
      <c r="D667" t="n">
        <v>1.28177951921865</v>
      </c>
      <c r="E667" t="n">
        <v>0.8607581580112504</v>
      </c>
    </row>
    <row r="668">
      <c r="A668" t="inlineStr">
        <is>
          <t>G|FICO x CHANNEL|where 2023|gco_rate|band|3</t>
        </is>
      </c>
      <c r="D668" t="n">
        <v>2.033688158996003</v>
      </c>
    </row>
    <row r="669">
      <c r="A669" t="inlineStr">
        <is>
          <t>G|FICO x CHANNEL|where 2023|gco_rate|rate|4</t>
        </is>
      </c>
      <c r="B669" t="n">
        <v>0.02035083414641737</v>
      </c>
      <c r="C669" t="n">
        <v>0</v>
      </c>
      <c r="D669" t="n">
        <v>0.04604083760192394</v>
      </c>
      <c r="E669" t="n">
        <v>0.02531128049231553</v>
      </c>
    </row>
    <row r="670">
      <c r="A670" t="inlineStr">
        <is>
          <t>G|FICO x CHANNEL|where 2023|gco_rate|book|4</t>
        </is>
      </c>
      <c r="E670" t="n">
        <v>0.6083672412499966</v>
      </c>
    </row>
    <row r="671">
      <c r="A671" t="inlineStr">
        <is>
          <t>G|FICO x CHANNEL|where 2023|gco_rate|band|4</t>
        </is>
      </c>
    </row>
    <row r="672">
      <c r="A672" t="inlineStr">
        <is>
          <t>G|FICO x CHANNEL|where 2023|gco_rate|rate|5</t>
        </is>
      </c>
      <c r="B672" t="n">
        <v>0.0277719831272476</v>
      </c>
      <c r="C672" t="n">
        <v>0.01990576545930208</v>
      </c>
      <c r="D672" t="n">
        <v>0.01743142013966797</v>
      </c>
      <c r="E672" t="n">
        <v>0.02124350289544901</v>
      </c>
    </row>
    <row r="673">
      <c r="A673" t="inlineStr">
        <is>
          <t>G|FICO x CHANNEL|where 2023|gco_rate|book|5</t>
        </is>
      </c>
      <c r="E673" t="n">
        <v>0.5105965008334642</v>
      </c>
    </row>
    <row r="674">
      <c r="A674" t="inlineStr">
        <is>
          <t>G|FICO x CHANNEL|where 2023|gco_rate|band|5</t>
        </is>
      </c>
    </row>
    <row r="675">
      <c r="A675" t="inlineStr">
        <is>
          <t>G|FICO x CHANNEL|where 2023|gco_rate|rate|6</t>
        </is>
      </c>
    </row>
    <row r="676">
      <c r="A676" t="inlineStr">
        <is>
          <t>G|FICO x CHANNEL|where 2023|gco_rate|book|6</t>
        </is>
      </c>
    </row>
    <row r="677">
      <c r="A677" t="inlineStr">
        <is>
          <t>G|FICO x CHANNEL|where 2023|gco_rate|band|6</t>
        </is>
      </c>
    </row>
    <row r="678">
      <c r="A678" t="inlineStr">
        <is>
          <t>G|FICO x CHANNEL|where 2023|gco_rate|rate|7</t>
        </is>
      </c>
      <c r="B678" t="n">
        <v>0</v>
      </c>
      <c r="C678" t="n">
        <v>0</v>
      </c>
      <c r="D678" t="n">
        <v>0</v>
      </c>
      <c r="E678" t="n">
        <v>0</v>
      </c>
    </row>
    <row r="679">
      <c r="A679" t="inlineStr">
        <is>
          <t>G|FICO x CHANNEL|where 2023|gco_rate|book|7</t>
        </is>
      </c>
    </row>
    <row r="680">
      <c r="A680" t="inlineStr">
        <is>
          <t>G|FICO x CHANNEL|where 2023|gco_rate|band|7</t>
        </is>
      </c>
    </row>
    <row r="681">
      <c r="A681" t="inlineStr">
        <is>
          <t>G|FICO x CHANNEL|where 2023|gco_rate|rate|8</t>
        </is>
      </c>
      <c r="B681" t="n">
        <v>0.03810221662153168</v>
      </c>
      <c r="C681" t="n">
        <v>0.04240157996828298</v>
      </c>
      <c r="D681" t="n">
        <v>0.03720922855410321</v>
      </c>
      <c r="E681" t="n">
        <v>0.03916022588795639</v>
      </c>
    </row>
    <row r="682">
      <c r="A682" t="inlineStr">
        <is>
          <t>G|FICO x CHANNEL|where 2023|gco_rate|book|8</t>
        </is>
      </c>
      <c r="B682" t="n">
        <v>0.9158027551624051</v>
      </c>
      <c r="C682" t="n">
        <v>1.019139756195937</v>
      </c>
      <c r="D682" t="n">
        <v>0.8943394124755125</v>
      </c>
      <c r="E682" t="n">
        <v>0.9412324515709746</v>
      </c>
    </row>
    <row r="683">
      <c r="A683" t="inlineStr">
        <is>
          <t>G|FICO x CHANNEL|where 2023|gco_rate|band|8</t>
        </is>
      </c>
    </row>
    <row r="684">
      <c r="A684" t="inlineStr">
        <is>
          <t>G|FICO x CHANNEL|where 2023|gco_rate|meta</t>
        </is>
      </c>
      <c r="B684" t="inlineStr">
        <is>
          <t>x</t>
        </is>
      </c>
      <c r="C684" t="n">
        <v>2.651222823247814</v>
      </c>
      <c r="D684" t="n">
        <v>10</v>
      </c>
      <c r="E684" t="n">
        <v>0.04160526533333565</v>
      </c>
      <c r="F684" t="n">
        <v>30</v>
      </c>
    </row>
    <row r="685">
      <c r="A685" t="inlineStr">
        <is>
          <t>G|FICO x CHANNEL|where 2023|ranr_rate|rate|1</t>
        </is>
      </c>
      <c r="B685" t="n">
        <v>0.2693790599863746</v>
      </c>
      <c r="C685" t="n">
        <v>0.1910273300952864</v>
      </c>
      <c r="D685" t="n">
        <v>0.2742630877908483</v>
      </c>
      <c r="E685" t="n">
        <v>0.246303799933948</v>
      </c>
    </row>
    <row r="686">
      <c r="A686" t="inlineStr">
        <is>
          <t>G|FICO x CHANNEL|where 2023|ranr_rate|book|1</t>
        </is>
      </c>
      <c r="B686" t="n">
        <v>14.138901034</v>
      </c>
      <c r="C686" t="n">
        <v>6.303728045</v>
      </c>
      <c r="D686" t="n">
        <v>14.627303814</v>
      </c>
      <c r="E686" t="n">
        <v>11.831375029</v>
      </c>
    </row>
    <row r="687">
      <c r="A687" t="inlineStr">
        <is>
          <t>G|FICO x CHANNEL|where 2023|ranr_rate|band|1</t>
        </is>
      </c>
      <c r="B687" t="n">
        <v>3.578858412</v>
      </c>
      <c r="C687" t="n">
        <v>-8.070272595</v>
      </c>
      <c r="D687" t="n">
        <v>4.171193052</v>
      </c>
    </row>
    <row r="688">
      <c r="A688" t="inlineStr">
        <is>
          <t>G|FICO x CHANNEL|where 2023|ranr_rate|rate|2</t>
        </is>
      </c>
      <c r="B688" t="n">
        <v>0.1310223149243053</v>
      </c>
      <c r="C688" t="n">
        <v>0.1856661019466104</v>
      </c>
      <c r="D688" t="n">
        <v>0.2082148585736466</v>
      </c>
      <c r="E688" t="n">
        <v>0.1767461442065496</v>
      </c>
    </row>
    <row r="689">
      <c r="A689" t="inlineStr">
        <is>
          <t>G|FICO x CHANNEL|where 2023|ranr_rate|book|2</t>
        </is>
      </c>
      <c r="B689" t="n">
        <v>0.303226528</v>
      </c>
      <c r="C689" t="n">
        <v>5.76760523</v>
      </c>
      <c r="D689" t="n">
        <v>8.022480892999999</v>
      </c>
      <c r="E689" t="n">
        <v>4.875609456</v>
      </c>
    </row>
    <row r="690">
      <c r="A690" t="inlineStr">
        <is>
          <t>G|FICO x CHANNEL|where 2023|ranr_rate|band|2</t>
        </is>
      </c>
      <c r="B690" t="n">
        <v>-6.481643153</v>
      </c>
      <c r="C690" t="n">
        <v>1.455572299</v>
      </c>
      <c r="D690" t="n">
        <v>4.615874684</v>
      </c>
    </row>
    <row r="691">
      <c r="A691" t="inlineStr">
        <is>
          <t>G|FICO x CHANNEL|where 2023|ranr_rate|rate|3</t>
        </is>
      </c>
      <c r="B691" t="n">
        <v>0.1618846050674392</v>
      </c>
      <c r="C691" t="n">
        <v>0.1392340290266733</v>
      </c>
      <c r="D691" t="n">
        <v>0.1798263022292627</v>
      </c>
      <c r="E691" t="n">
        <v>0.1611232270655248</v>
      </c>
    </row>
    <row r="692">
      <c r="A692" t="inlineStr">
        <is>
          <t>G|FICO x CHANNEL|where 2023|ranr_rate|book|3</t>
        </is>
      </c>
      <c r="B692" t="n">
        <v>3.389455542</v>
      </c>
      <c r="C692" t="n">
        <v>1.124397938</v>
      </c>
      <c r="D692" t="n">
        <v>5.183625258</v>
      </c>
      <c r="E692" t="n">
        <v>3.313317742</v>
      </c>
    </row>
    <row r="693">
      <c r="A693" t="inlineStr">
        <is>
          <t>G|FICO x CHANNEL|where 2023|ranr_rate|band|3</t>
        </is>
      </c>
      <c r="B693" t="n">
        <v>0.114044982</v>
      </c>
      <c r="C693" t="n">
        <v>-3.190100184</v>
      </c>
      <c r="D693" t="n">
        <v>2.894192392</v>
      </c>
    </row>
    <row r="694">
      <c r="A694" t="inlineStr">
        <is>
          <t>G|FICO x CHANNEL|where 2023|ranr_rate|rate|4</t>
        </is>
      </c>
      <c r="B694" t="n">
        <v>0.1053490849614283</v>
      </c>
      <c r="C694" t="n">
        <v>0.1314870797204657</v>
      </c>
      <c r="D694" t="n">
        <v>0.1313556934894988</v>
      </c>
      <c r="E694" t="n">
        <v>0.1229505359606699</v>
      </c>
    </row>
    <row r="695">
      <c r="A695" t="inlineStr">
        <is>
          <t>G|FICO x CHANNEL|where 2023|ranr_rate|book|4</t>
        </is>
      </c>
      <c r="B695" t="n">
        <v>-2.264096469</v>
      </c>
      <c r="C695" t="n">
        <v>0.349703007</v>
      </c>
      <c r="D695" t="n">
        <v>0.336564384</v>
      </c>
      <c r="E695" t="n">
        <v>-0.503951369</v>
      </c>
    </row>
    <row r="696">
      <c r="A696" t="inlineStr">
        <is>
          <t>G|FICO x CHANNEL|where 2023|ranr_rate|band|4</t>
        </is>
      </c>
      <c r="B696" t="n">
        <v>-2.605904434</v>
      </c>
      <c r="C696" t="n">
        <v>1.168697754</v>
      </c>
      <c r="D696" t="n">
        <v>1.414717002</v>
      </c>
    </row>
    <row r="697">
      <c r="A697" t="inlineStr">
        <is>
          <t>G|FICO x CHANNEL|where 2023|ranr_rate|rate|5</t>
        </is>
      </c>
      <c r="B697" t="n">
        <v>0.04366661467327775</v>
      </c>
      <c r="C697" t="n">
        <v>0.05590433391519339</v>
      </c>
      <c r="D697" t="n">
        <v>0.05441539938325549</v>
      </c>
      <c r="E697" t="n">
        <v>0.05182865020196429</v>
      </c>
    </row>
    <row r="698">
      <c r="A698" t="inlineStr">
        <is>
          <t>G|FICO x CHANNEL|where 2023|ranr_rate|book|5</t>
        </is>
      </c>
      <c r="B698" t="n">
        <v>-8.432343497</v>
      </c>
      <c r="C698" t="n">
        <v>-7.208571573</v>
      </c>
      <c r="D698" t="n">
        <v>-7.357465026</v>
      </c>
      <c r="E698" t="n">
        <v>-7.616139945</v>
      </c>
    </row>
    <row r="699">
      <c r="A699" t="inlineStr">
        <is>
          <t>G|FICO x CHANNEL|where 2023|ranr_rate|band|5</t>
        </is>
      </c>
      <c r="B699" t="n">
        <v>-1.145685636</v>
      </c>
      <c r="C699" t="n">
        <v>0.616400705</v>
      </c>
      <c r="D699" t="n">
        <v>0.412969213</v>
      </c>
    </row>
    <row r="700">
      <c r="A700" t="inlineStr">
        <is>
          <t>G|FICO x CHANNEL|where 2023|ranr_rate|rate|6</t>
        </is>
      </c>
    </row>
    <row r="701">
      <c r="A701" t="inlineStr">
        <is>
          <t>G|FICO x CHANNEL|where 2023|ranr_rate|book|6</t>
        </is>
      </c>
    </row>
    <row r="702">
      <c r="A702" t="inlineStr">
        <is>
          <t>G|FICO x CHANNEL|where 2023|ranr_rate|band|6</t>
        </is>
      </c>
    </row>
    <row r="703">
      <c r="A703" t="inlineStr">
        <is>
          <t>G|FICO x CHANNEL|where 2023|ranr_rate|rate|7</t>
        </is>
      </c>
      <c r="B703" t="n">
        <v>0.1861052204482821</v>
      </c>
      <c r="C703" t="n">
        <v>0.1558587034597329</v>
      </c>
      <c r="D703" t="n">
        <v>0.1867449344410691</v>
      </c>
      <c r="E703" t="n">
        <v>0.1818095679837946</v>
      </c>
    </row>
    <row r="704">
      <c r="A704" t="inlineStr">
        <is>
          <t>G|FICO x CHANNEL|where 2023|ranr_rate|book|7</t>
        </is>
      </c>
      <c r="B704" t="n">
        <v>5.81151708</v>
      </c>
      <c r="C704" t="n">
        <v>2.786865381</v>
      </c>
      <c r="D704" t="n">
        <v>5.875488479</v>
      </c>
      <c r="E704" t="n">
        <v>5.381951834</v>
      </c>
    </row>
    <row r="705">
      <c r="A705" t="inlineStr">
        <is>
          <t>G|FICO x CHANNEL|where 2023|ranr_rate|band|7</t>
        </is>
      </c>
      <c r="B705" t="n">
        <v>0.5825676910000001</v>
      </c>
      <c r="C705" t="n">
        <v>-3.068755367</v>
      </c>
      <c r="D705" t="n">
        <v>1.183578733</v>
      </c>
    </row>
    <row r="706">
      <c r="A706" t="inlineStr">
        <is>
          <t>G|FICO x CHANNEL|where 2023|ranr_rate|rate|8</t>
        </is>
      </c>
      <c r="B706" t="n">
        <v>0.1486721090829903</v>
      </c>
      <c r="C706" t="n">
        <v>0.1402088802872818</v>
      </c>
      <c r="D706" t="n">
        <v>0.1649085236622783</v>
      </c>
      <c r="E706" t="n">
        <v>0.151807487232064</v>
      </c>
    </row>
    <row r="707">
      <c r="A707" t="inlineStr">
        <is>
          <t>G|FICO x CHANNEL|where 2023|ranr_rate|book|8</t>
        </is>
      </c>
      <c r="B707" t="n">
        <v>2.068205943</v>
      </c>
      <c r="C707" t="n">
        <v>1.221883064</v>
      </c>
      <c r="D707" t="n">
        <v>3.691847401</v>
      </c>
      <c r="E707" t="n">
        <v>2.381743758</v>
      </c>
    </row>
    <row r="708">
      <c r="A708" t="inlineStr">
        <is>
          <t>G|FICO x CHANNEL|where 2023|ranr_rate|band|8</t>
        </is>
      </c>
    </row>
    <row r="709">
      <c r="A709" t="inlineStr">
        <is>
          <t>G|FICO x CHANNEL|where 2023|ranr_rate|meta</t>
        </is>
      </c>
      <c r="B709" t="inlineStr">
        <is>
          <t>pts</t>
        </is>
      </c>
      <c r="C709" t="n">
        <v>14.627303814</v>
      </c>
      <c r="D709" t="n">
        <v>10</v>
      </c>
      <c r="E709" t="n">
        <v>0.1279900496481481</v>
      </c>
      <c r="F709" t="n">
        <v>30</v>
      </c>
    </row>
    <row r="710">
      <c r="A710" t="inlineStr">
        <is>
          <t>G|FICO x CHANNEL|where 2023|contribution_rate|rate|1</t>
        </is>
      </c>
      <c r="B710" t="n">
        <v>0.3177509593545941</v>
      </c>
      <c r="C710" t="n">
        <v>0.301230217780725</v>
      </c>
      <c r="D710" t="n">
        <v>0.3153970613737056</v>
      </c>
      <c r="E710" t="n">
        <v>0.3117698306670306</v>
      </c>
    </row>
    <row r="711">
      <c r="A711" t="inlineStr">
        <is>
          <t>G|FICO x CHANNEL|where 2023|contribution_rate|book|1</t>
        </is>
      </c>
      <c r="B711" t="n">
        <v>14.815850362</v>
      </c>
      <c r="C711" t="n">
        <v>13.163776205</v>
      </c>
      <c r="D711" t="n">
        <v>14.580460564</v>
      </c>
      <c r="E711" t="n">
        <v>14.217737493</v>
      </c>
    </row>
    <row r="712">
      <c r="A712" t="inlineStr">
        <is>
          <t>G|FICO x CHANNEL|where 2023|contribution_rate|band|1</t>
        </is>
      </c>
      <c r="B712" t="n">
        <v>0.927643401</v>
      </c>
      <c r="C712" t="n">
        <v>-1.538765939</v>
      </c>
      <c r="D712" t="n">
        <v>0.54113966</v>
      </c>
    </row>
    <row r="713">
      <c r="A713" t="inlineStr">
        <is>
          <t>G|FICO x CHANNEL|where 2023|contribution_rate|rate|2</t>
        </is>
      </c>
      <c r="B713" t="n">
        <v>0.2251786572142105</v>
      </c>
      <c r="C713" t="n">
        <v>0.2262285023324767</v>
      </c>
      <c r="D713" t="n">
        <v>0.2375876198829747</v>
      </c>
      <c r="E713" t="n">
        <v>0.2295342974523771</v>
      </c>
    </row>
    <row r="714">
      <c r="A714" t="inlineStr">
        <is>
          <t>G|FICO x CHANNEL|where 2023|contribution_rate|book|2</t>
        </is>
      </c>
      <c r="B714" t="n">
        <v>5.558620148</v>
      </c>
      <c r="C714" t="n">
        <v>5.66360466</v>
      </c>
      <c r="D714" t="n">
        <v>6.799516415</v>
      </c>
      <c r="E714" t="n">
        <v>5.994184172</v>
      </c>
    </row>
    <row r="715">
      <c r="A715" t="inlineStr">
        <is>
          <t>G|FICO x CHANNEL|where 2023|contribution_rate|band|2</t>
        </is>
      </c>
      <c r="B715" t="n">
        <v>-0.617439663</v>
      </c>
      <c r="C715" t="n">
        <v>-0.539444686</v>
      </c>
      <c r="D715" t="n">
        <v>1.181272508</v>
      </c>
    </row>
    <row r="716">
      <c r="A716" t="inlineStr">
        <is>
          <t>G|FICO x CHANNEL|where 2023|contribution_rate|rate|3</t>
        </is>
      </c>
      <c r="B716" t="n">
        <v>0.176834535780735</v>
      </c>
      <c r="C716" t="n">
        <v>0.1773957106157197</v>
      </c>
      <c r="D716" t="n">
        <v>0.23315507922519</v>
      </c>
      <c r="E716" t="n">
        <v>0.1969352986174162</v>
      </c>
    </row>
    <row r="717">
      <c r="A717" t="inlineStr">
        <is>
          <t>G|FICO x CHANNEL|where 2023|contribution_rate|book|3</t>
        </is>
      </c>
      <c r="B717" t="n">
        <v>0.724208005</v>
      </c>
      <c r="C717" t="n">
        <v>0.780325488</v>
      </c>
      <c r="D717" t="n">
        <v>6.356262349</v>
      </c>
      <c r="E717" t="n">
        <v>2.734284288</v>
      </c>
    </row>
    <row r="718">
      <c r="A718" t="inlineStr">
        <is>
          <t>G|FICO x CHANNEL|where 2023|contribution_rate|band|3</t>
        </is>
      </c>
      <c r="B718" t="n">
        <v>-3.010844978</v>
      </c>
      <c r="C718" t="n">
        <v>-2.847671403</v>
      </c>
      <c r="D718" t="n">
        <v>5.604800952</v>
      </c>
    </row>
    <row r="719">
      <c r="A719" t="inlineStr">
        <is>
          <t>G|FICO x CHANNEL|where 2023|contribution_rate|rate|4</t>
        </is>
      </c>
      <c r="B719" t="n">
        <v>0.1251971868021855</v>
      </c>
      <c r="C719" t="n">
        <v>0.1314870797204657</v>
      </c>
      <c r="D719" t="n">
        <v>0.1773965310914228</v>
      </c>
      <c r="E719" t="n">
        <v>0.1481690691788835</v>
      </c>
    </row>
    <row r="720">
      <c r="A720" t="inlineStr">
        <is>
          <t>G|FICO x CHANNEL|where 2023|contribution_rate|book|4</t>
        </is>
      </c>
      <c r="B720" t="n">
        <v>-4.439526893</v>
      </c>
      <c r="C720" t="n">
        <v>-3.810537601</v>
      </c>
      <c r="D720" t="n">
        <v>0.780407536</v>
      </c>
      <c r="E720" t="n">
        <v>-2.142338656</v>
      </c>
    </row>
    <row r="721">
      <c r="A721" t="inlineStr">
        <is>
          <t>G|FICO x CHANNEL|where 2023|contribution_rate|band|4</t>
        </is>
      </c>
      <c r="B721" t="n">
        <v>-3.387703278</v>
      </c>
      <c r="C721" t="n">
        <v>-2.287165086</v>
      </c>
      <c r="D721" t="n">
        <v>4.932656413</v>
      </c>
    </row>
    <row r="722">
      <c r="A722" t="inlineStr">
        <is>
          <t>G|FICO x CHANNEL|where 2023|contribution_rate|rate|5</t>
        </is>
      </c>
      <c r="B722" t="n">
        <v>0.07143859780052535</v>
      </c>
      <c r="C722" t="n">
        <v>0.07581009937449545</v>
      </c>
      <c r="D722" t="n">
        <v>0.07184681952292349</v>
      </c>
      <c r="E722" t="n">
        <v>0.07307215309741333</v>
      </c>
    </row>
    <row r="723">
      <c r="A723" t="inlineStr">
        <is>
          <t>G|FICO x CHANNEL|where 2023|contribution_rate|book|5</t>
        </is>
      </c>
      <c r="B723" t="n">
        <v>-9.815385793000001</v>
      </c>
      <c r="C723" t="n">
        <v>-9.378235635999999</v>
      </c>
      <c r="D723" t="n">
        <v>-9.774563621</v>
      </c>
      <c r="E723" t="n">
        <v>-9.652030264</v>
      </c>
    </row>
    <row r="724">
      <c r="A724" t="inlineStr">
        <is>
          <t>G|FICO x CHANNEL|where 2023|contribution_rate|band|5</t>
        </is>
      </c>
      <c r="B724" t="n">
        <v>-0.229298296</v>
      </c>
      <c r="C724" t="n">
        <v>0.414083166</v>
      </c>
      <c r="D724" t="n">
        <v>-0.195621997</v>
      </c>
    </row>
    <row r="725">
      <c r="A725" t="inlineStr">
        <is>
          <t>G|FICO x CHANNEL|where 2023|contribution_rate|rate|6</t>
        </is>
      </c>
    </row>
    <row r="726">
      <c r="A726" t="inlineStr">
        <is>
          <t>G|FICO x CHANNEL|where 2023|contribution_rate|book|6</t>
        </is>
      </c>
    </row>
    <row r="727">
      <c r="A727" t="inlineStr">
        <is>
          <t>G|FICO x CHANNEL|where 2023|contribution_rate|band|6</t>
        </is>
      </c>
    </row>
    <row r="728">
      <c r="A728" t="inlineStr">
        <is>
          <t>G|FICO x CHANNEL|where 2023|contribution_rate|rate|7</t>
        </is>
      </c>
      <c r="B728" t="n">
        <v>0.1861052204482821</v>
      </c>
      <c r="C728" t="n">
        <v>0.1558587034597329</v>
      </c>
      <c r="D728" t="n">
        <v>0.1867449344410691</v>
      </c>
      <c r="E728" t="n">
        <v>0.1818095679837946</v>
      </c>
    </row>
    <row r="729">
      <c r="A729" t="inlineStr">
        <is>
          <t>G|FICO x CHANNEL|where 2023|contribution_rate|book|7</t>
        </is>
      </c>
      <c r="B729" t="n">
        <v>1.651276471</v>
      </c>
      <c r="C729" t="n">
        <v>-1.373375228</v>
      </c>
      <c r="D729" t="n">
        <v>1.715247871</v>
      </c>
      <c r="E729" t="n">
        <v>1.221711225</v>
      </c>
    </row>
    <row r="730">
      <c r="A730" t="inlineStr">
        <is>
          <t>G|FICO x CHANNEL|where 2023|contribution_rate|band|7</t>
        </is>
      </c>
      <c r="B730" t="n">
        <v>0.5825676910000001</v>
      </c>
      <c r="C730" t="n">
        <v>-3.068755367</v>
      </c>
      <c r="D730" t="n">
        <v>1.183578733</v>
      </c>
    </row>
    <row r="731">
      <c r="A731" t="inlineStr">
        <is>
          <t>G|FICO x CHANNEL|where 2023|contribution_rate|rate|8</t>
        </is>
      </c>
      <c r="B731" t="n">
        <v>0.1867792988790908</v>
      </c>
      <c r="C731" t="n">
        <v>0.1826104602555648</v>
      </c>
      <c r="D731" t="n">
        <v>0.2021177522163815</v>
      </c>
      <c r="E731" t="n">
        <v>0.1909716714812922</v>
      </c>
    </row>
    <row r="732">
      <c r="A732" t="inlineStr">
        <is>
          <t>G|FICO x CHANNEL|where 2023|contribution_rate|book|8</t>
        </is>
      </c>
      <c r="B732" t="n">
        <v>1.718684314</v>
      </c>
      <c r="C732" t="n">
        <v>1.301800452</v>
      </c>
      <c r="D732" t="n">
        <v>3.252529648</v>
      </c>
      <c r="E732" t="n">
        <v>2.137921575</v>
      </c>
    </row>
    <row r="733">
      <c r="A733" t="inlineStr">
        <is>
          <t>G|FICO x CHANNEL|where 2023|contribution_rate|band|8</t>
        </is>
      </c>
    </row>
    <row r="734">
      <c r="A734" t="inlineStr">
        <is>
          <t>G|FICO x CHANNEL|where 2023|contribution_rate|meta</t>
        </is>
      </c>
      <c r="B734" t="inlineStr">
        <is>
          <t>pts</t>
        </is>
      </c>
      <c r="C734" t="n">
        <v>14.815850362</v>
      </c>
      <c r="D734" t="n">
        <v>10</v>
      </c>
      <c r="E734" t="n">
        <v>0.1695924557349815</v>
      </c>
      <c r="F734" t="n">
        <v>30</v>
      </c>
    </row>
    <row r="735">
      <c r="A735" t="inlineStr">
        <is>
          <t>G|FICO x CHANNEL|where 2023|loan_size|rate|1</t>
        </is>
      </c>
      <c r="B735" t="n">
        <v>31933.28620689656</v>
      </c>
      <c r="C735" t="n">
        <v>34582.59747368421</v>
      </c>
      <c r="D735" t="n">
        <v>31255.04909090909</v>
      </c>
      <c r="E735" t="n">
        <v>32484.93258566978</v>
      </c>
    </row>
    <row r="736">
      <c r="A736" t="inlineStr">
        <is>
          <t>G|FICO x CHANNEL|where 2023|loan_size|median|1</t>
        </is>
      </c>
      <c r="B736" t="n">
        <v>28427.5</v>
      </c>
      <c r="C736" t="n">
        <v>35853.91</v>
      </c>
      <c r="D736" t="n">
        <v>29697.775</v>
      </c>
      <c r="E736" t="n">
        <v>31407.19</v>
      </c>
    </row>
    <row r="737">
      <c r="A737" t="inlineStr">
        <is>
          <t>G|FICO x CHANNEL|where 2023|loan_size|book|1</t>
        </is>
      </c>
      <c r="B737" t="n">
        <v>0.9897930579985426</v>
      </c>
      <c r="C737" t="n">
        <v>1.071910190678029</v>
      </c>
      <c r="D737" t="n">
        <v>0.9687706557085971</v>
      </c>
      <c r="E737" t="n">
        <v>1.006891697726447</v>
      </c>
    </row>
    <row r="738">
      <c r="A738" t="inlineStr">
        <is>
          <t>G|FICO x CHANNEL|where 2023|loan_size|band|1</t>
        </is>
      </c>
      <c r="B738" t="n">
        <v>0.9736623686383494</v>
      </c>
      <c r="C738" t="n">
        <v>1.094276194512664</v>
      </c>
      <c r="D738" t="n">
        <v>0.943517203814936</v>
      </c>
    </row>
    <row r="739">
      <c r="A739" t="inlineStr">
        <is>
          <t>G|FICO x CHANNEL|where 2023|loan_size|rate|2</t>
        </is>
      </c>
      <c r="B739" t="n">
        <v>30375.33643678161</v>
      </c>
      <c r="C739" t="n">
        <v>33399.97298076923</v>
      </c>
      <c r="D739" t="n">
        <v>31034.25043478261</v>
      </c>
      <c r="E739" t="n">
        <v>31701.06890459364</v>
      </c>
    </row>
    <row r="740">
      <c r="A740" t="inlineStr">
        <is>
          <t>G|FICO x CHANNEL|where 2023|loan_size|median|2</t>
        </is>
      </c>
      <c r="B740" t="n">
        <v>29395.65</v>
      </c>
      <c r="C740" t="n">
        <v>34120.165</v>
      </c>
      <c r="D740" t="n">
        <v>29888.185</v>
      </c>
      <c r="E740" t="n">
        <v>31687.93</v>
      </c>
    </row>
    <row r="741">
      <c r="A741" t="inlineStr">
        <is>
          <t>G|FICO x CHANNEL|where 2023|loan_size|book|2</t>
        </is>
      </c>
      <c r="B741" t="n">
        <v>0.941503387553126</v>
      </c>
      <c r="C741" t="n">
        <v>1.035253972281894</v>
      </c>
      <c r="D741" t="n">
        <v>0.9619268571833391</v>
      </c>
      <c r="E741" t="n">
        <v>0.9825953310788202</v>
      </c>
    </row>
    <row r="742">
      <c r="A742" t="inlineStr">
        <is>
          <t>G|FICO x CHANNEL|where 2023|loan_size|band|2</t>
        </is>
      </c>
      <c r="B742" t="n">
        <v>0.9407177731273401</v>
      </c>
      <c r="C742" t="n">
        <v>1.087451233073528</v>
      </c>
      <c r="D742" t="n">
        <v>0.9691461954776266</v>
      </c>
    </row>
    <row r="743">
      <c r="A743" t="inlineStr">
        <is>
          <t>G|FICO x CHANNEL|where 2023|loan_size|rate|3</t>
        </is>
      </c>
      <c r="B743" t="n">
        <v>33096.2229059829</v>
      </c>
      <c r="C743" t="n">
        <v>33542.89082568807</v>
      </c>
      <c r="D743" t="n">
        <v>35529.14198275862</v>
      </c>
      <c r="E743" t="n">
        <v>34063.78260233918</v>
      </c>
    </row>
    <row r="744">
      <c r="A744" t="inlineStr">
        <is>
          <t>G|FICO x CHANNEL|where 2023|loan_size|median|3</t>
        </is>
      </c>
      <c r="B744" t="n">
        <v>31772.69</v>
      </c>
      <c r="C744" t="n">
        <v>34479.1</v>
      </c>
      <c r="D744" t="n">
        <v>38293.83</v>
      </c>
      <c r="E744" t="n">
        <v>34861.11500000001</v>
      </c>
    </row>
    <row r="745">
      <c r="A745" t="inlineStr">
        <is>
          <t>G|FICO x CHANNEL|where 2023|loan_size|book|3</t>
        </is>
      </c>
      <c r="B745" t="n">
        <v>1.025839040369089</v>
      </c>
      <c r="C745" t="n">
        <v>1.039683804208626</v>
      </c>
      <c r="D745" t="n">
        <v>1.101248955817902</v>
      </c>
      <c r="E745" t="n">
        <v>1.055829184961405</v>
      </c>
    </row>
    <row r="746">
      <c r="A746" t="inlineStr">
        <is>
          <t>G|FICO x CHANNEL|where 2023|loan_size|band|3</t>
        </is>
      </c>
      <c r="B746" t="n">
        <v>0.9574538023964454</v>
      </c>
      <c r="C746" t="n">
        <v>0.9777141552622893</v>
      </c>
      <c r="D746" t="n">
        <v>1.066568022338939</v>
      </c>
    </row>
    <row r="747">
      <c r="A747" t="inlineStr">
        <is>
          <t>G|FICO x CHANNEL|where 2023|loan_size|rate|4</t>
        </is>
      </c>
      <c r="B747" t="n">
        <v>30503.90537037037</v>
      </c>
      <c r="C747" t="n">
        <v>32191.41788235294</v>
      </c>
      <c r="D747" t="n">
        <v>34332.40283333333</v>
      </c>
      <c r="E747" t="n">
        <v>32429.97009584665</v>
      </c>
    </row>
    <row r="748">
      <c r="A748" t="inlineStr">
        <is>
          <t>G|FICO x CHANNEL|where 2023|loan_size|median|4</t>
        </is>
      </c>
      <c r="B748" t="n">
        <v>30393.26</v>
      </c>
      <c r="C748" t="n">
        <v>32453.05</v>
      </c>
      <c r="D748" t="n">
        <v>37205.88</v>
      </c>
      <c r="E748" t="n">
        <v>33073.02</v>
      </c>
    </row>
    <row r="749">
      <c r="A749" t="inlineStr">
        <is>
          <t>G|FICO x CHANNEL|where 2023|loan_size|book|4</t>
        </is>
      </c>
      <c r="B749" t="n">
        <v>0.9454884656035318</v>
      </c>
      <c r="C749" t="n">
        <v>0.9977940178359013</v>
      </c>
      <c r="D749" t="n">
        <v>1.064155244426545</v>
      </c>
      <c r="E749" t="n">
        <v>1.005188099464596</v>
      </c>
    </row>
    <row r="750">
      <c r="A750" t="inlineStr">
        <is>
          <t>G|FICO x CHANNEL|where 2023|loan_size|band|4</t>
        </is>
      </c>
      <c r="B750" t="n">
        <v>0.9120705527126489</v>
      </c>
      <c r="C750" t="n">
        <v>0.9899293607071927</v>
      </c>
      <c r="D750" t="n">
        <v>1.098738489249954</v>
      </c>
    </row>
    <row r="751">
      <c r="A751" t="inlineStr">
        <is>
          <t>G|FICO x CHANNEL|where 2023|loan_size|rate|5</t>
        </is>
      </c>
      <c r="B751" t="n">
        <v>31718.60747368421</v>
      </c>
      <c r="C751" t="n">
        <v>30601.87301724138</v>
      </c>
      <c r="D751" t="n">
        <v>32353.27165289256</v>
      </c>
      <c r="E751" t="n">
        <v>31559.73147590361</v>
      </c>
    </row>
    <row r="752">
      <c r="A752" t="inlineStr">
        <is>
          <t>G|FICO x CHANNEL|where 2023|loan_size|median|5</t>
        </is>
      </c>
      <c r="B752" t="n">
        <v>29186.17</v>
      </c>
      <c r="C752" t="n">
        <v>28906.415</v>
      </c>
      <c r="D752" t="n">
        <v>35380.42</v>
      </c>
      <c r="E752" t="n">
        <v>30470.05</v>
      </c>
    </row>
    <row r="753">
      <c r="A753" t="inlineStr">
        <is>
          <t>G|FICO x CHANNEL|where 2023|loan_size|book|5</t>
        </is>
      </c>
      <c r="B753" t="n">
        <v>0.9831389504802374</v>
      </c>
      <c r="C753" t="n">
        <v>0.9485250367898833</v>
      </c>
      <c r="D753" t="n">
        <v>1.00281078114216</v>
      </c>
      <c r="E753" t="n">
        <v>0.9782144851850914</v>
      </c>
    </row>
    <row r="754">
      <c r="A754" t="inlineStr">
        <is>
          <t>G|FICO x CHANNEL|where 2023|loan_size|band|5</t>
        </is>
      </c>
      <c r="B754" t="n">
        <v>1.007066298492474</v>
      </c>
      <c r="C754" t="n">
        <v>0.9540980968637387</v>
      </c>
      <c r="D754" t="n">
        <v>1.040141997180163</v>
      </c>
    </row>
    <row r="755">
      <c r="A755" t="inlineStr">
        <is>
          <t>G|FICO x CHANNEL|where 2023|loan_size|rate|6</t>
        </is>
      </c>
    </row>
    <row r="756">
      <c r="A756" t="inlineStr">
        <is>
          <t>G|FICO x CHANNEL|where 2023|loan_size|median|6</t>
        </is>
      </c>
    </row>
    <row r="757">
      <c r="A757" t="inlineStr">
        <is>
          <t>G|FICO x CHANNEL|where 2023|loan_size|book|6</t>
        </is>
      </c>
    </row>
    <row r="758">
      <c r="A758" t="inlineStr">
        <is>
          <t>G|FICO x CHANNEL|where 2023|loan_size|band|6</t>
        </is>
      </c>
    </row>
    <row r="759">
      <c r="A759" t="inlineStr">
        <is>
          <t>G|FICO x CHANNEL|where 2023|loan_size|rate|7</t>
        </is>
      </c>
      <c r="B759" t="n">
        <v>39986.068</v>
      </c>
      <c r="C759" t="n">
        <v>29375.1</v>
      </c>
      <c r="D759" t="n">
        <v>36984.85416666666</v>
      </c>
      <c r="E759" t="n">
        <v>36249.9519047619</v>
      </c>
    </row>
    <row r="760">
      <c r="A760" t="inlineStr">
        <is>
          <t>G|FICO x CHANNEL|where 2023|loan_size|median|7</t>
        </is>
      </c>
      <c r="B760" t="n">
        <v>42639.41</v>
      </c>
      <c r="C760" t="n">
        <v>34218.19</v>
      </c>
      <c r="D760" t="n">
        <v>42112.57000000001</v>
      </c>
      <c r="E760" t="n">
        <v>41492.88</v>
      </c>
    </row>
    <row r="761">
      <c r="A761" t="inlineStr">
        <is>
          <t>G|FICO x CHANNEL|where 2023|loan_size|book|7</t>
        </is>
      </c>
      <c r="B761" t="n">
        <v>1.239394288036354</v>
      </c>
      <c r="C761" t="n">
        <v>0.9105004060538457</v>
      </c>
      <c r="D761" t="n">
        <v>1.146369705519037</v>
      </c>
      <c r="E761" t="n">
        <v>1.12359093002979</v>
      </c>
    </row>
    <row r="762">
      <c r="A762" t="inlineStr">
        <is>
          <t>G|FICO x CHANNEL|where 2023|loan_size|band|7</t>
        </is>
      </c>
      <c r="B762" t="n">
        <v>1.139775220367255</v>
      </c>
      <c r="C762" t="n">
        <v>0.7757324951966108</v>
      </c>
      <c r="D762" t="n">
        <v>1.048618314344729</v>
      </c>
    </row>
    <row r="763">
      <c r="A763" t="inlineStr">
        <is>
          <t>G|FICO x CHANNEL|where 2023|loan_size|rate|8</t>
        </is>
      </c>
      <c r="B763" t="n">
        <v>31679.53291666667</v>
      </c>
      <c r="C763" t="n">
        <v>32785.00436647173</v>
      </c>
      <c r="D763" t="n">
        <v>33087.6346234676</v>
      </c>
      <c r="E763" t="n">
        <v>32530.11165632755</v>
      </c>
    </row>
    <row r="764">
      <c r="A764" t="inlineStr">
        <is>
          <t>G|FICO x CHANNEL|where 2023|loan_size|median|8</t>
        </is>
      </c>
      <c r="B764" t="n">
        <v>29971.015</v>
      </c>
      <c r="C764" t="n">
        <v>33140.91</v>
      </c>
      <c r="D764" t="n">
        <v>33897.11</v>
      </c>
      <c r="E764" t="n">
        <v>32687.82</v>
      </c>
    </row>
    <row r="765">
      <c r="A765" t="inlineStr">
        <is>
          <t>G|FICO x CHANNEL|where 2023|loan_size|book|8</t>
        </is>
      </c>
      <c r="B765" t="n">
        <v>0.981927809070307</v>
      </c>
      <c r="C765" t="n">
        <v>1.016192618515328</v>
      </c>
      <c r="D765" t="n">
        <v>1.025572840944492</v>
      </c>
      <c r="E765" t="n">
        <v>1.008292052522823</v>
      </c>
    </row>
    <row r="766">
      <c r="A766" t="inlineStr">
        <is>
          <t>G|FICO x CHANNEL|where 2023|loan_size|band|8</t>
        </is>
      </c>
    </row>
    <row r="767">
      <c r="A767" t="inlineStr">
        <is>
          <t>G|FICO x CHANNEL|where 2023|loan_size|meta</t>
        </is>
      </c>
      <c r="B767" t="inlineStr">
        <is>
          <t>size</t>
        </is>
      </c>
      <c r="C767" t="n">
        <v>1</v>
      </c>
      <c r="E767" t="n">
        <v>32262.58857732217</v>
      </c>
      <c r="F767" t="n">
        <v>30</v>
      </c>
    </row>
    <row r="768">
      <c r="A768" t="inlineStr">
        <is>
          <t>G|FICO x CHANNEL|where 2024|cols</t>
        </is>
      </c>
      <c r="B768" t="inlineStr">
        <is>
          <t>Branch</t>
        </is>
      </c>
      <c r="C768" t="inlineStr">
        <is>
          <t>Broker</t>
        </is>
      </c>
      <c r="D768" t="inlineStr">
        <is>
          <t>Online</t>
        </is>
      </c>
      <c r="E768" t="inlineStr">
        <is>
          <t>All</t>
        </is>
      </c>
    </row>
    <row r="769">
      <c r="A769" t="inlineStr">
        <is>
          <t>G|FICO x CHANNEL|where 2024|heads</t>
        </is>
      </c>
      <c r="B769" t="inlineStr">
        <is>
          <t>Branch</t>
        </is>
      </c>
      <c r="C769" t="inlineStr">
        <is>
          <t>Broker</t>
        </is>
      </c>
      <c r="D769" t="inlineStr">
        <is>
          <t>Online</t>
        </is>
      </c>
      <c r="E769" t="inlineStr">
        <is>
          <t>All</t>
        </is>
      </c>
    </row>
    <row r="770">
      <c r="A770" t="inlineStr">
        <is>
          <t>G|FICO x CHANNEL|where 2024|segs</t>
        </is>
      </c>
    </row>
    <row r="771">
      <c r="A771" t="inlineStr">
        <is>
          <t>G|FICO x CHANNEL|where 2024|rows</t>
        </is>
      </c>
      <c r="B771" t="inlineStr">
        <is>
          <t>496 - 653</t>
        </is>
      </c>
      <c r="C771" t="inlineStr">
        <is>
          <t>654 - 685</t>
        </is>
      </c>
      <c r="D771" t="inlineStr">
        <is>
          <t>686 - 711</t>
        </is>
      </c>
      <c r="E771" t="inlineStr">
        <is>
          <t>712 - 745</t>
        </is>
      </c>
      <c r="F771" t="inlineStr">
        <is>
          <t>746 - 921</t>
        </is>
      </c>
      <c r="G771" t="inlineStr">
        <is>
          <t>(blank)</t>
        </is>
      </c>
      <c r="H771" t="inlineStr">
        <is>
          <t>(marked missing)</t>
        </is>
      </c>
      <c r="I771" t="inlineStr">
        <is>
          <t>All</t>
        </is>
      </c>
    </row>
    <row r="772">
      <c r="A772" t="inlineStr">
        <is>
          <t>G|FICO x CHANNEL|where 2024|names</t>
        </is>
      </c>
      <c r="B772" t="inlineStr">
        <is>
          <t>FICO</t>
        </is>
      </c>
      <c r="C772" t="inlineStr">
        <is>
          <t>CHANNEL</t>
        </is>
      </c>
    </row>
    <row r="773">
      <c r="A773" t="inlineStr">
        <is>
          <t>G|FICO x CHANNEL|where 2024|total</t>
        </is>
      </c>
      <c r="B773" t="n">
        <v>1733</v>
      </c>
    </row>
    <row r="774">
      <c r="A774" t="inlineStr">
        <is>
          <t>G|FICO x CHANNEL|where 2024|loans|1</t>
        </is>
      </c>
      <c r="B774" t="n">
        <v>101</v>
      </c>
      <c r="C774" t="n">
        <v>107</v>
      </c>
      <c r="D774" t="n">
        <v>122</v>
      </c>
      <c r="E774" t="n">
        <v>330</v>
      </c>
    </row>
    <row r="775">
      <c r="A775" t="inlineStr">
        <is>
          <t>G|FICO x CHANNEL|where 2024|loans|2</t>
        </is>
      </c>
      <c r="B775" t="n">
        <v>101</v>
      </c>
      <c r="C775" t="n">
        <v>98</v>
      </c>
      <c r="D775" t="n">
        <v>112</v>
      </c>
      <c r="E775" t="n">
        <v>311</v>
      </c>
    </row>
    <row r="776">
      <c r="A776" t="inlineStr">
        <is>
          <t>G|FICO x CHANNEL|where 2024|loans|3</t>
        </is>
      </c>
      <c r="B776" t="n">
        <v>95</v>
      </c>
      <c r="C776" t="n">
        <v>112</v>
      </c>
      <c r="D776" t="n">
        <v>126</v>
      </c>
      <c r="E776" t="n">
        <v>333</v>
      </c>
    </row>
    <row r="777">
      <c r="A777" t="inlineStr">
        <is>
          <t>G|FICO x CHANNEL|where 2024|loans|4</t>
        </is>
      </c>
      <c r="B777" t="n">
        <v>109</v>
      </c>
      <c r="C777" t="n">
        <v>122</v>
      </c>
      <c r="D777" t="n">
        <v>128</v>
      </c>
      <c r="E777" t="n">
        <v>359</v>
      </c>
    </row>
    <row r="778">
      <c r="A778" t="inlineStr">
        <is>
          <t>G|FICO x CHANNEL|where 2024|loans|5</t>
        </is>
      </c>
      <c r="B778" t="n">
        <v>121</v>
      </c>
      <c r="C778" t="n">
        <v>109</v>
      </c>
      <c r="D778" t="n">
        <v>132</v>
      </c>
      <c r="E778" t="n">
        <v>362</v>
      </c>
    </row>
    <row r="779">
      <c r="A779" t="inlineStr">
        <is>
          <t>G|FICO x CHANNEL|where 2024|loans|6</t>
        </is>
      </c>
      <c r="C779" t="n">
        <v>1</v>
      </c>
      <c r="E779" t="n">
        <v>1</v>
      </c>
    </row>
    <row r="780">
      <c r="A780" t="inlineStr">
        <is>
          <t>G|FICO x CHANNEL|where 2024|loans|7</t>
        </is>
      </c>
      <c r="B780" t="n">
        <v>14</v>
      </c>
      <c r="C780" t="n">
        <v>6</v>
      </c>
      <c r="D780" t="n">
        <v>17</v>
      </c>
      <c r="E780" t="n">
        <v>37</v>
      </c>
    </row>
    <row r="781">
      <c r="A781" t="inlineStr">
        <is>
          <t>G|FICO x CHANNEL|where 2024|loans|8</t>
        </is>
      </c>
      <c r="B781" t="n">
        <v>541</v>
      </c>
      <c r="C781" t="n">
        <v>555</v>
      </c>
      <c r="D781" t="n">
        <v>637</v>
      </c>
      <c r="E781" t="n">
        <v>1733</v>
      </c>
    </row>
    <row r="782">
      <c r="A782" t="inlineStr">
        <is>
          <t>G|FICO x CHANNEL|where 2024|outcome_loans|rate|1</t>
        </is>
      </c>
      <c r="B782" t="n">
        <v>0.1188118811881188</v>
      </c>
      <c r="C782" t="n">
        <v>0.2897196261682243</v>
      </c>
      <c r="D782" t="n">
        <v>0.09836065573770492</v>
      </c>
      <c r="E782" t="n">
        <v>0.1666666666666667</v>
      </c>
    </row>
    <row r="783">
      <c r="A783" t="inlineStr">
        <is>
          <t>G|FICO x CHANNEL|where 2024|outcome_loans|book|1</t>
        </is>
      </c>
      <c r="B783" t="n">
        <v>1.535341256258097</v>
      </c>
      <c r="C783" t="n">
        <v>3.743888997931544</v>
      </c>
      <c r="D783" t="n">
        <v>1.271061203951376</v>
      </c>
      <c r="E783" t="n">
        <v>2.153742595584275</v>
      </c>
    </row>
    <row r="784">
      <c r="A784" t="inlineStr">
        <is>
          <t>G|FICO x CHANNEL|where 2024|outcome_loans|band|1</t>
        </is>
      </c>
      <c r="B784" t="n">
        <v>0.632742344001842</v>
      </c>
      <c r="C784" t="n">
        <v>2.691978193146417</v>
      </c>
      <c r="D784" t="n">
        <v>0.4757910789172703</v>
      </c>
    </row>
    <row r="785">
      <c r="A785" t="inlineStr">
        <is>
          <t>G|FICO x CHANNEL|where 2024|outcome_loans|rate|2</t>
        </is>
      </c>
      <c r="B785" t="n">
        <v>0.0594059405940594</v>
      </c>
      <c r="C785" t="n">
        <v>0.1122448979591837</v>
      </c>
      <c r="D785" t="n">
        <v>0.1160714285714286</v>
      </c>
      <c r="E785" t="n">
        <v>0.09646302250803858</v>
      </c>
    </row>
    <row r="786">
      <c r="A786" t="inlineStr">
        <is>
          <t>G|FICO x CHANNEL|where 2024|outcome_loans|book|2</t>
        </is>
      </c>
      <c r="C786" t="n">
        <v>1.450479707230226</v>
      </c>
      <c r="D786" t="n">
        <v>1.499927879067621</v>
      </c>
      <c r="E786" t="n">
        <v>1.246539122846204</v>
      </c>
    </row>
    <row r="787">
      <c r="A787" t="inlineStr">
        <is>
          <t>G|FICO x CHANNEL|where 2024|outcome_loans|band|2</t>
        </is>
      </c>
      <c r="C787" t="n">
        <v>1.258324382384533</v>
      </c>
      <c r="D787" t="n">
        <v>1.358718487394958</v>
      </c>
    </row>
    <row r="788">
      <c r="A788" t="inlineStr">
        <is>
          <t>G|FICO x CHANNEL|where 2024|outcome_loans|rate|3</t>
        </is>
      </c>
      <c r="B788" t="n">
        <v>0.06315789473684211</v>
      </c>
      <c r="C788" t="n">
        <v>0.04464285714285714</v>
      </c>
      <c r="D788" t="n">
        <v>0.0873015873015873</v>
      </c>
      <c r="E788" t="n">
        <v>0.06606606606606606</v>
      </c>
    </row>
    <row r="789">
      <c r="A789" t="inlineStr">
        <is>
          <t>G|FICO x CHANNEL|where 2024|outcome_loans|book|3</t>
        </is>
      </c>
      <c r="D789" t="n">
        <v>1.128150883401287</v>
      </c>
      <c r="E789" t="n">
        <v>0.8537358036550281</v>
      </c>
    </row>
    <row r="790">
      <c r="A790" t="inlineStr">
        <is>
          <t>G|FICO x CHANNEL|where 2024|outcome_loans|band|3</t>
        </is>
      </c>
      <c r="D790" t="n">
        <v>1.642857142857143</v>
      </c>
    </row>
    <row r="791">
      <c r="A791" t="inlineStr">
        <is>
          <t>G|FICO x CHANNEL|where 2024|outcome_loans|rate|4</t>
        </is>
      </c>
      <c r="B791" t="n">
        <v>0.04587155963302753</v>
      </c>
      <c r="C791" t="n">
        <v>0.04098360655737705</v>
      </c>
      <c r="D791" t="n">
        <v>0.0859375</v>
      </c>
      <c r="E791" t="n">
        <v>0.0584958217270195</v>
      </c>
    </row>
    <row r="792">
      <c r="A792" t="inlineStr">
        <is>
          <t>G|FICO x CHANNEL|where 2024|outcome_loans|book|4</t>
        </is>
      </c>
      <c r="D792" t="n">
        <v>1.110523525848142</v>
      </c>
      <c r="E792" t="n">
        <v>0.7559096575031162</v>
      </c>
    </row>
    <row r="793">
      <c r="A793" t="inlineStr">
        <is>
          <t>G|FICO x CHANNEL|where 2024|outcome_loans|band|4</t>
        </is>
      </c>
      <c r="D793" t="n">
        <v>1.98515625</v>
      </c>
    </row>
    <row r="794">
      <c r="A794" t="inlineStr">
        <is>
          <t>G|FICO x CHANNEL|where 2024|outcome_loans|rate|5</t>
        </is>
      </c>
      <c r="B794" t="n">
        <v>0.05785123966942149</v>
      </c>
      <c r="C794" t="n">
        <v>0.05504587155963303</v>
      </c>
      <c r="D794" t="n">
        <v>0.02272727272727273</v>
      </c>
      <c r="E794" t="n">
        <v>0.04419889502762431</v>
      </c>
    </row>
    <row r="795">
      <c r="A795" t="inlineStr">
        <is>
          <t>G|FICO x CHANNEL|where 2024|outcome_loans|book|5</t>
        </is>
      </c>
      <c r="E795" t="n">
        <v>0.571158257392515</v>
      </c>
    </row>
    <row r="796">
      <c r="A796" t="inlineStr">
        <is>
          <t>G|FICO x CHANNEL|where 2024|outcome_loans|band|5</t>
        </is>
      </c>
    </row>
    <row r="797">
      <c r="A797" t="inlineStr">
        <is>
          <t>G|FICO x CHANNEL|where 2024|outcome_loans|rate|6</t>
        </is>
      </c>
      <c r="C797" t="n">
        <v>0</v>
      </c>
      <c r="E797" t="n">
        <v>0</v>
      </c>
    </row>
    <row r="798">
      <c r="A798" t="inlineStr">
        <is>
          <t>G|FICO x CHANNEL|where 2024|outcome_loans|book|6</t>
        </is>
      </c>
    </row>
    <row r="799">
      <c r="A799" t="inlineStr">
        <is>
          <t>G|FICO x CHANNEL|where 2024|outcome_loans|band|6</t>
        </is>
      </c>
    </row>
    <row r="800">
      <c r="A800" t="inlineStr">
        <is>
          <t>G|FICO x CHANNEL|where 2024|outcome_loans|rate|7</t>
        </is>
      </c>
      <c r="B800" t="n">
        <v>0</v>
      </c>
      <c r="C800" t="n">
        <v>0.1666666666666667</v>
      </c>
      <c r="D800" t="n">
        <v>0.05882352941176471</v>
      </c>
      <c r="E800" t="n">
        <v>0.05405405405405406</v>
      </c>
    </row>
    <row r="801">
      <c r="A801" t="inlineStr">
        <is>
          <t>G|FICO x CHANNEL|where 2024|outcome_loans|book|7</t>
        </is>
      </c>
    </row>
    <row r="802">
      <c r="A802" t="inlineStr">
        <is>
          <t>G|FICO x CHANNEL|where 2024|outcome_loans|band|7</t>
        </is>
      </c>
    </row>
    <row r="803">
      <c r="A803" t="inlineStr">
        <is>
          <t>G|FICO x CHANNEL|where 2024|outcome_loans|rate|8</t>
        </is>
      </c>
      <c r="B803" t="n">
        <v>0.06654343807763401</v>
      </c>
      <c r="C803" t="n">
        <v>0.1063063063063063</v>
      </c>
      <c r="D803" t="n">
        <v>0.08006279434850863</v>
      </c>
      <c r="E803" t="n">
        <v>0.08424697057126371</v>
      </c>
    </row>
    <row r="804">
      <c r="A804" t="inlineStr">
        <is>
          <t>G|FICO x CHANNEL|where 2024|outcome_loans|book|8</t>
        </is>
      </c>
      <c r="B804" t="n">
        <v>0.85990462226655</v>
      </c>
      <c r="C804" t="n">
        <v>1.373738520426727</v>
      </c>
      <c r="D804" t="n">
        <v>1.034607903059322</v>
      </c>
      <c r="E804" t="n">
        <v>1.088677734409593</v>
      </c>
    </row>
    <row r="805">
      <c r="A805" t="inlineStr">
        <is>
          <t>G|FICO x CHANNEL|where 2024|outcome_loans|band|8</t>
        </is>
      </c>
    </row>
    <row r="806">
      <c r="A806" t="inlineStr">
        <is>
          <t>G|FICO x CHANNEL|where 2024|outcome_loans|meta</t>
        </is>
      </c>
      <c r="B806" t="inlineStr">
        <is>
          <t>x</t>
        </is>
      </c>
      <c r="C806" t="n">
        <v>3.743888997931544</v>
      </c>
      <c r="D806" t="n">
        <v>10</v>
      </c>
      <c r="E806" t="n">
        <v>0.07738467308413552</v>
      </c>
      <c r="F806" t="n">
        <v>30</v>
      </c>
    </row>
    <row r="807">
      <c r="A807" t="inlineStr">
        <is>
          <t>G|FICO x CHANNEL|where 2024|outcome_booked|rate|1</t>
        </is>
      </c>
      <c r="B807" t="n">
        <v>0.1433784718877748</v>
      </c>
      <c r="C807" t="n">
        <v>0.2740091252305339</v>
      </c>
      <c r="D807" t="n">
        <v>0.07561031457612015</v>
      </c>
      <c r="E807" t="n">
        <v>0.1580899038998032</v>
      </c>
    </row>
    <row r="808">
      <c r="A808" t="inlineStr">
        <is>
          <t>G|FICO x CHANNEL|where 2024|outcome_booked|book|1</t>
        </is>
      </c>
      <c r="B808" t="n">
        <v>1.916084989939351</v>
      </c>
      <c r="C808" t="n">
        <v>3.661810347452896</v>
      </c>
      <c r="D808" t="n">
        <v>1.010443108622985</v>
      </c>
      <c r="E808" t="n">
        <v>2.112686011610335</v>
      </c>
    </row>
    <row r="809">
      <c r="A809" t="inlineStr">
        <is>
          <t>G|FICO x CHANNEL|where 2024|outcome_booked|band|1</t>
        </is>
      </c>
      <c r="B809" t="n">
        <v>0.8753820490790969</v>
      </c>
      <c r="C809" t="n">
        <v>2.64861857556851</v>
      </c>
      <c r="D809" t="n">
        <v>0.3546935030856114</v>
      </c>
    </row>
    <row r="810">
      <c r="A810" t="inlineStr">
        <is>
          <t>G|FICO x CHANNEL|where 2024|outcome_booked|rate|2</t>
        </is>
      </c>
      <c r="B810" t="n">
        <v>0.06309946979307185</v>
      </c>
      <c r="C810" t="n">
        <v>0.1018947096126533</v>
      </c>
      <c r="D810" t="n">
        <v>0.1056986768937927</v>
      </c>
      <c r="E810" t="n">
        <v>0.09088241522135185</v>
      </c>
    </row>
    <row r="811">
      <c r="A811" t="inlineStr">
        <is>
          <t>G|FICO x CHANNEL|where 2024|outcome_booked|book|2</t>
        </is>
      </c>
      <c r="C811" t="n">
        <v>1.361703197644981</v>
      </c>
      <c r="D811" t="n">
        <v>1.412538755547402</v>
      </c>
      <c r="E811" t="n">
        <v>1.214536808506158</v>
      </c>
    </row>
    <row r="812">
      <c r="A812" t="inlineStr">
        <is>
          <t>G|FICO x CHANNEL|where 2024|outcome_booked|band|2</t>
        </is>
      </c>
      <c r="C812" t="n">
        <v>1.19242024129673</v>
      </c>
      <c r="D812" t="n">
        <v>1.275715659019892</v>
      </c>
    </row>
    <row r="813">
      <c r="A813" t="inlineStr">
        <is>
          <t>G|FICO x CHANNEL|where 2024|outcome_booked|rate|3</t>
        </is>
      </c>
      <c r="B813" t="n">
        <v>0.05460198092262939</v>
      </c>
      <c r="C813" t="n">
        <v>0.03984610777923615</v>
      </c>
      <c r="D813" t="n">
        <v>0.08083622691566843</v>
      </c>
      <c r="E813" t="n">
        <v>0.05996863709403656</v>
      </c>
    </row>
    <row r="814">
      <c r="A814" t="inlineStr">
        <is>
          <t>G|FICO x CHANNEL|where 2024|outcome_booked|book|3</t>
        </is>
      </c>
      <c r="D814" t="n">
        <v>1.080281293259133</v>
      </c>
      <c r="E814" t="n">
        <v>0.8014104480967136</v>
      </c>
    </row>
    <row r="815">
      <c r="A815" t="inlineStr">
        <is>
          <t>G|FICO x CHANNEL|where 2024|outcome_booked|band|3</t>
        </is>
      </c>
      <c r="D815" t="n">
        <v>1.724551298601586</v>
      </c>
    </row>
    <row r="816">
      <c r="A816" t="inlineStr">
        <is>
          <t>G|FICO x CHANNEL|where 2024|outcome_booked|rate|4</t>
        </is>
      </c>
      <c r="B816" t="n">
        <v>0.04333678386319798</v>
      </c>
      <c r="C816" t="n">
        <v>0.04074470830379185</v>
      </c>
      <c r="D816" t="n">
        <v>0.08889228153827673</v>
      </c>
      <c r="E816" t="n">
        <v>0.05891105476547238</v>
      </c>
    </row>
    <row r="817">
      <c r="A817" t="inlineStr">
        <is>
          <t>G|FICO x CHANNEL|where 2024|outcome_booked|book|4</t>
        </is>
      </c>
      <c r="D817" t="n">
        <v>1.187941007700737</v>
      </c>
      <c r="E817" t="n">
        <v>0.7872771015858576</v>
      </c>
    </row>
    <row r="818">
      <c r="A818" t="inlineStr">
        <is>
          <t>G|FICO x CHANNEL|where 2024|outcome_booked|band|4</t>
        </is>
      </c>
      <c r="D818" t="n">
        <v>2.116048296200199</v>
      </c>
    </row>
    <row r="819">
      <c r="A819" t="inlineStr">
        <is>
          <t>G|FICO x CHANNEL|where 2024|outcome_booked|rate|5</t>
        </is>
      </c>
      <c r="B819" t="n">
        <v>0.04983977962268549</v>
      </c>
      <c r="C819" t="n">
        <v>0.0477636369638542</v>
      </c>
      <c r="D819" t="n">
        <v>0.0249311686528388</v>
      </c>
      <c r="E819" t="n">
        <v>0.04009175973067419</v>
      </c>
    </row>
    <row r="820">
      <c r="A820" t="inlineStr">
        <is>
          <t>G|FICO x CHANNEL|where 2024|outcome_booked|book|5</t>
        </is>
      </c>
      <c r="E820" t="n">
        <v>0.5357793121154736</v>
      </c>
    </row>
    <row r="821">
      <c r="A821" t="inlineStr">
        <is>
          <t>G|FICO x CHANNEL|where 2024|outcome_booked|band|5</t>
        </is>
      </c>
    </row>
    <row r="822">
      <c r="A822" t="inlineStr">
        <is>
          <t>G|FICO x CHANNEL|where 2024|outcome_booked|rate|6</t>
        </is>
      </c>
      <c r="C822" t="n">
        <v>0</v>
      </c>
      <c r="E822" t="n">
        <v>0</v>
      </c>
    </row>
    <row r="823">
      <c r="A823" t="inlineStr">
        <is>
          <t>G|FICO x CHANNEL|where 2024|outcome_booked|book|6</t>
        </is>
      </c>
    </row>
    <row r="824">
      <c r="A824" t="inlineStr">
        <is>
          <t>G|FICO x CHANNEL|where 2024|outcome_booked|band|6</t>
        </is>
      </c>
    </row>
    <row r="825">
      <c r="A825" t="inlineStr">
        <is>
          <t>G|FICO x CHANNEL|where 2024|outcome_booked|rate|7</t>
        </is>
      </c>
      <c r="B825" t="n">
        <v>0</v>
      </c>
      <c r="C825" t="n">
        <v>0.07979470754662371</v>
      </c>
      <c r="D825" t="n">
        <v>0.0792787965150572</v>
      </c>
      <c r="E825" t="n">
        <v>0.05094627375387065</v>
      </c>
    </row>
    <row r="826">
      <c r="A826" t="inlineStr">
        <is>
          <t>G|FICO x CHANNEL|where 2024|outcome_booked|book|7</t>
        </is>
      </c>
    </row>
    <row r="827">
      <c r="A827" t="inlineStr">
        <is>
          <t>G|FICO x CHANNEL|where 2024|outcome_booked|band|7</t>
        </is>
      </c>
    </row>
    <row r="828">
      <c r="A828" t="inlineStr">
        <is>
          <t>G|FICO x CHANNEL|where 2024|outcome_booked|rate|8</t>
        </is>
      </c>
      <c r="B828" t="n">
        <v>0.06673849055124768</v>
      </c>
      <c r="C828" t="n">
        <v>0.09881312931166446</v>
      </c>
      <c r="D828" t="n">
        <v>0.07372695811926433</v>
      </c>
      <c r="E828" t="n">
        <v>0.07947960838476552</v>
      </c>
    </row>
    <row r="829">
      <c r="A829" t="inlineStr">
        <is>
          <t>G|FICO x CHANNEL|where 2024|outcome_booked|book|8</t>
        </is>
      </c>
      <c r="B829" t="n">
        <v>0.8918815936087428</v>
      </c>
      <c r="C829" t="n">
        <v>1.320521493848897</v>
      </c>
      <c r="D829" t="n">
        <v>0.9852742601189262</v>
      </c>
      <c r="E829" t="n">
        <v>1.06215167889017</v>
      </c>
    </row>
    <row r="830">
      <c r="A830" t="inlineStr">
        <is>
          <t>G|FICO x CHANNEL|where 2024|outcome_booked|band|8</t>
        </is>
      </c>
    </row>
    <row r="831">
      <c r="A831" t="inlineStr">
        <is>
          <t>G|FICO x CHANNEL|where 2024|outcome_booked|meta</t>
        </is>
      </c>
      <c r="B831" t="inlineStr">
        <is>
          <t>x</t>
        </is>
      </c>
      <c r="C831" t="n">
        <v>3.661810347452896</v>
      </c>
      <c r="D831" t="n">
        <v>10</v>
      </c>
      <c r="E831" t="n">
        <v>0.07482886857347235</v>
      </c>
      <c r="F831" t="n">
        <v>30</v>
      </c>
    </row>
    <row r="832">
      <c r="A832" t="inlineStr">
        <is>
          <t>G|FICO x CHANNEL|where 2024|gco_rate|rate|1</t>
        </is>
      </c>
      <c r="B832" t="n">
        <v>0.07921776865530847</v>
      </c>
      <c r="C832" t="n">
        <v>0.148768800109799</v>
      </c>
      <c r="D832" t="n">
        <v>0.04092987675375053</v>
      </c>
      <c r="E832" t="n">
        <v>0.08616702248249569</v>
      </c>
    </row>
    <row r="833">
      <c r="A833" t="inlineStr">
        <is>
          <t>G|FICO x CHANNEL|where 2024|gco_rate|book|1</t>
        </is>
      </c>
      <c r="B833" t="n">
        <v>1.904032290639818</v>
      </c>
      <c r="C833" t="n">
        <v>3.575720498785042</v>
      </c>
      <c r="D833" t="n">
        <v>0.9837667522566196</v>
      </c>
      <c r="E833" t="n">
        <v>2.071060520636929</v>
      </c>
    </row>
    <row r="834">
      <c r="A834" t="inlineStr">
        <is>
          <t>G|FICO x CHANNEL|where 2024|gco_rate|band|1</t>
        </is>
      </c>
      <c r="B834" t="n">
        <v>0.8914957355181524</v>
      </c>
      <c r="C834" t="n">
        <v>2.625600174578167</v>
      </c>
      <c r="D834" t="n">
        <v>0.3517008064848974</v>
      </c>
    </row>
    <row r="835">
      <c r="A835" t="inlineStr">
        <is>
          <t>G|FICO x CHANNEL|where 2024|gco_rate|rate|2</t>
        </is>
      </c>
      <c r="B835" t="n">
        <v>0.03674361074215837</v>
      </c>
      <c r="C835" t="n">
        <v>0.0549239155090151</v>
      </c>
      <c r="D835" t="n">
        <v>0.06239787699210575</v>
      </c>
      <c r="E835" t="n">
        <v>0.05176337882052177</v>
      </c>
    </row>
    <row r="836">
      <c r="A836" t="inlineStr">
        <is>
          <t>G|FICO x CHANNEL|where 2024|gco_rate|book|2</t>
        </is>
      </c>
      <c r="C836" t="n">
        <v>1.320119342322955</v>
      </c>
      <c r="D836" t="n">
        <v>1.499759140872737</v>
      </c>
      <c r="E836" t="n">
        <v>1.244154517602537</v>
      </c>
    </row>
    <row r="837">
      <c r="A837" t="inlineStr">
        <is>
          <t>G|FICO x CHANNEL|where 2024|gco_rate|band|2</t>
        </is>
      </c>
      <c r="C837" t="n">
        <v>1.093996223918524</v>
      </c>
      <c r="D837" t="n">
        <v>1.356439774758952</v>
      </c>
    </row>
    <row r="838">
      <c r="A838" t="inlineStr">
        <is>
          <t>G|FICO x CHANNEL|where 2024|gco_rate|rate|3</t>
        </is>
      </c>
      <c r="B838" t="n">
        <v>0.02702846415278825</v>
      </c>
      <c r="C838" t="n">
        <v>0.02583782770752703</v>
      </c>
      <c r="D838" t="n">
        <v>0.04376543774115892</v>
      </c>
      <c r="E838" t="n">
        <v>0.03309857182880276</v>
      </c>
    </row>
    <row r="839">
      <c r="A839" t="inlineStr">
        <is>
          <t>G|FICO x CHANNEL|where 2024|gco_rate|book|3</t>
        </is>
      </c>
      <c r="D839" t="n">
        <v>1.051920649718642</v>
      </c>
      <c r="E839" t="n">
        <v>0.7955380542251459</v>
      </c>
    </row>
    <row r="840">
      <c r="A840" t="inlineStr">
        <is>
          <t>G|FICO x CHANNEL|where 2024|gco_rate|band|3</t>
        </is>
      </c>
      <c r="D840" t="n">
        <v>1.65747516700368</v>
      </c>
    </row>
    <row r="841">
      <c r="A841" t="inlineStr">
        <is>
          <t>G|FICO x CHANNEL|where 2024|gco_rate|rate|4</t>
        </is>
      </c>
      <c r="B841" t="n">
        <v>0.0267168692820604</v>
      </c>
      <c r="C841" t="n">
        <v>0.0244178134545149</v>
      </c>
      <c r="D841" t="n">
        <v>0.04356143900594135</v>
      </c>
      <c r="E841" t="n">
        <v>0.03203632960598934</v>
      </c>
    </row>
    <row r="842">
      <c r="A842" t="inlineStr">
        <is>
          <t>G|FICO x CHANNEL|where 2024|gco_rate|book|4</t>
        </is>
      </c>
      <c r="D842" t="n">
        <v>1.047017454568145</v>
      </c>
      <c r="E842" t="n">
        <v>0.7700066169346281</v>
      </c>
    </row>
    <row r="843">
      <c r="A843" t="inlineStr">
        <is>
          <t>G|FICO x CHANNEL|where 2024|gco_rate|band|4</t>
        </is>
      </c>
      <c r="D843" t="n">
        <v>1.705692897975328</v>
      </c>
    </row>
    <row r="844">
      <c r="A844" t="inlineStr">
        <is>
          <t>G|FICO x CHANNEL|where 2024|gco_rate|rate|5</t>
        </is>
      </c>
      <c r="B844" t="n">
        <v>0.02681207404606082</v>
      </c>
      <c r="C844" t="n">
        <v>0.02097373672579523</v>
      </c>
      <c r="D844" t="n">
        <v>0.01058581879148511</v>
      </c>
      <c r="E844" t="n">
        <v>0.01913348648149216</v>
      </c>
    </row>
    <row r="845">
      <c r="A845" t="inlineStr">
        <is>
          <t>G|FICO x CHANNEL|where 2024|gco_rate|book|5</t>
        </is>
      </c>
      <c r="E845" t="n">
        <v>0.4598813714609752</v>
      </c>
    </row>
    <row r="846">
      <c r="A846" t="inlineStr">
        <is>
          <t>G|FICO x CHANNEL|where 2024|gco_rate|band|5</t>
        </is>
      </c>
    </row>
    <row r="847">
      <c r="A847" t="inlineStr">
        <is>
          <t>G|FICO x CHANNEL|where 2024|gco_rate|rate|6</t>
        </is>
      </c>
      <c r="C847" t="n">
        <v>0</v>
      </c>
      <c r="E847" t="n">
        <v>0</v>
      </c>
    </row>
    <row r="848">
      <c r="A848" t="inlineStr">
        <is>
          <t>G|FICO x CHANNEL|where 2024|gco_rate|book|6</t>
        </is>
      </c>
    </row>
    <row r="849">
      <c r="A849" t="inlineStr">
        <is>
          <t>G|FICO x CHANNEL|where 2024|gco_rate|band|6</t>
        </is>
      </c>
    </row>
    <row r="850">
      <c r="A850" t="inlineStr">
        <is>
          <t>G|FICO x CHANNEL|where 2024|gco_rate|rate|7</t>
        </is>
      </c>
      <c r="B850" t="n">
        <v>0</v>
      </c>
      <c r="C850" t="n">
        <v>0.03435557025516727</v>
      </c>
      <c r="D850" t="n">
        <v>0.05278239590908448</v>
      </c>
      <c r="E850" t="n">
        <v>0.03106785860526125</v>
      </c>
    </row>
    <row r="851">
      <c r="A851" t="inlineStr">
        <is>
          <t>G|FICO x CHANNEL|where 2024|gco_rate|book|7</t>
        </is>
      </c>
    </row>
    <row r="852">
      <c r="A852" t="inlineStr">
        <is>
          <t>G|FICO x CHANNEL|where 2024|gco_rate|band|7</t>
        </is>
      </c>
    </row>
    <row r="853">
      <c r="A853" t="inlineStr">
        <is>
          <t>G|FICO x CHANNEL|where 2024|gco_rate|rate|8</t>
        </is>
      </c>
      <c r="B853" t="n">
        <v>0.03701226455514206</v>
      </c>
      <c r="C853" t="n">
        <v>0.05381014438814987</v>
      </c>
      <c r="D853" t="n">
        <v>0.0395742000546609</v>
      </c>
      <c r="E853" t="n">
        <v>0.043272837897988</v>
      </c>
    </row>
    <row r="854">
      <c r="A854" t="inlineStr">
        <is>
          <t>G|FICO x CHANNEL|where 2024|gco_rate|book|8</t>
        </is>
      </c>
      <c r="B854" t="n">
        <v>0.889605300161047</v>
      </c>
      <c r="C854" t="n">
        <v>1.293349386358443</v>
      </c>
      <c r="D854" t="n">
        <v>0.9511824942732098</v>
      </c>
      <c r="E854" t="n">
        <v>1.040080805909829</v>
      </c>
    </row>
    <row r="855">
      <c r="A855" t="inlineStr">
        <is>
          <t>G|FICO x CHANNEL|where 2024|gco_rate|band|8</t>
        </is>
      </c>
    </row>
    <row r="856">
      <c r="A856" t="inlineStr">
        <is>
          <t>G|FICO x CHANNEL|where 2024|gco_rate|meta</t>
        </is>
      </c>
      <c r="B856" t="inlineStr">
        <is>
          <t>x</t>
        </is>
      </c>
      <c r="C856" t="n">
        <v>3.575720498785042</v>
      </c>
      <c r="D856" t="n">
        <v>10</v>
      </c>
      <c r="E856" t="n">
        <v>0.04160526533333565</v>
      </c>
      <c r="F856" t="n">
        <v>30</v>
      </c>
    </row>
    <row r="857">
      <c r="A857" t="inlineStr">
        <is>
          <t>G|FICO x CHANNEL|where 2024|ranr_rate|rate|1</t>
        </is>
      </c>
      <c r="B857" t="n">
        <v>0.13451533594289</v>
      </c>
      <c r="C857" t="n">
        <v>0.05958080548612929</v>
      </c>
      <c r="D857" t="n">
        <v>0.1636538049831389</v>
      </c>
      <c r="E857" t="n">
        <v>0.1221779723809023</v>
      </c>
    </row>
    <row r="858">
      <c r="A858" t="inlineStr">
        <is>
          <t>G|FICO x CHANNEL|where 2024|ranr_rate|book|1</t>
        </is>
      </c>
      <c r="B858" t="n">
        <v>0.652528629</v>
      </c>
      <c r="C858" t="n">
        <v>-6.840924416</v>
      </c>
      <c r="D858" t="n">
        <v>3.566375533</v>
      </c>
      <c r="E858" t="n">
        <v>-0.581207727</v>
      </c>
    </row>
    <row r="859">
      <c r="A859" t="inlineStr">
        <is>
          <t>G|FICO x CHANNEL|where 2024|ranr_rate|band|1</t>
        </is>
      </c>
      <c r="B859" t="n">
        <v>1.711726328</v>
      </c>
      <c r="C859" t="n">
        <v>-9.210114240999999</v>
      </c>
      <c r="D859" t="n">
        <v>6.91739335</v>
      </c>
    </row>
    <row r="860">
      <c r="A860" t="inlineStr">
        <is>
          <t>G|FICO x CHANNEL|where 2024|ranr_rate|rate|2</t>
        </is>
      </c>
      <c r="B860" t="n">
        <v>0.1160168018310623</v>
      </c>
      <c r="C860" t="n">
        <v>0.09579402871625414</v>
      </c>
      <c r="D860" t="n">
        <v>0.1006976007960102</v>
      </c>
      <c r="E860" t="n">
        <v>0.1039544631406136</v>
      </c>
    </row>
    <row r="861">
      <c r="A861" t="inlineStr">
        <is>
          <t>G|FICO x CHANNEL|where 2024|ranr_rate|book|2</t>
        </is>
      </c>
      <c r="B861" t="n">
        <v>-1.197324782</v>
      </c>
      <c r="C861" t="n">
        <v>-3.219602093</v>
      </c>
      <c r="D861" t="n">
        <v>-2.729244885</v>
      </c>
      <c r="E861" t="n">
        <v>-2.403558651</v>
      </c>
    </row>
    <row r="862">
      <c r="A862" t="inlineStr">
        <is>
          <t>G|FICO x CHANNEL|where 2024|ranr_rate|band|2</t>
        </is>
      </c>
      <c r="B862" t="n">
        <v>1.769487927</v>
      </c>
      <c r="C862" t="n">
        <v>-1.21845226</v>
      </c>
      <c r="D862" t="n">
        <v>-0.50215508</v>
      </c>
    </row>
    <row r="863">
      <c r="A863" t="inlineStr">
        <is>
          <t>G|FICO x CHANNEL|where 2024|ranr_rate|rate|3</t>
        </is>
      </c>
      <c r="B863" t="n">
        <v>0.09020272115187618</v>
      </c>
      <c r="C863" t="n">
        <v>0.0935631895466761</v>
      </c>
      <c r="D863" t="n">
        <v>0.1176342136383923</v>
      </c>
      <c r="E863" t="n">
        <v>0.1018608511165433</v>
      </c>
    </row>
    <row r="864">
      <c r="A864" t="inlineStr">
        <is>
          <t>G|FICO x CHANNEL|where 2024|ranr_rate|book|3</t>
        </is>
      </c>
      <c r="B864" t="n">
        <v>-3.77873285</v>
      </c>
      <c r="C864" t="n">
        <v>-3.44268601</v>
      </c>
      <c r="D864" t="n">
        <v>-1.035583601</v>
      </c>
      <c r="E864" t="n">
        <v>-2.612919853</v>
      </c>
    </row>
    <row r="865">
      <c r="A865" t="inlineStr">
        <is>
          <t>G|FICO x CHANNEL|where 2024|ranr_rate|band|3</t>
        </is>
      </c>
      <c r="B865" t="n">
        <v>-1.648095945</v>
      </c>
      <c r="C865" t="n">
        <v>-1.223484389</v>
      </c>
      <c r="D865" t="n">
        <v>2.567148841</v>
      </c>
    </row>
    <row r="866">
      <c r="A866" t="inlineStr">
        <is>
          <t>G|FICO x CHANNEL|where 2024|ranr_rate|rate|4</t>
        </is>
      </c>
      <c r="B866" t="n">
        <v>0.05899558140626371</v>
      </c>
      <c r="C866" t="n">
        <v>0.05931697367274238</v>
      </c>
      <c r="D866" t="n">
        <v>0.08082961309902569</v>
      </c>
      <c r="E866" t="n">
        <v>0.06697246440182084</v>
      </c>
    </row>
    <row r="867">
      <c r="A867" t="inlineStr">
        <is>
          <t>G|FICO x CHANNEL|where 2024|ranr_rate|book|4</t>
        </is>
      </c>
      <c r="B867" t="n">
        <v>-6.899446824</v>
      </c>
      <c r="C867" t="n">
        <v>-6.867307598</v>
      </c>
      <c r="D867" t="n">
        <v>-4.716043655</v>
      </c>
      <c r="E867" t="n">
        <v>-6.101758525</v>
      </c>
    </row>
    <row r="868">
      <c r="A868" t="inlineStr">
        <is>
          <t>G|FICO x CHANNEL|where 2024|ranr_rate|band|4</t>
        </is>
      </c>
      <c r="B868" t="n">
        <v>-1.159121499</v>
      </c>
      <c r="C868" t="n">
        <v>-1.138642188</v>
      </c>
      <c r="D868" t="n">
        <v>2.166935298</v>
      </c>
    </row>
    <row r="869">
      <c r="A869" t="inlineStr">
        <is>
          <t>G|FICO x CHANNEL|where 2024|ranr_rate|rate|5</t>
        </is>
      </c>
      <c r="B869" t="n">
        <v>0.0248661455149118</v>
      </c>
      <c r="C869" t="n">
        <v>0.0307419218167715</v>
      </c>
      <c r="D869" t="n">
        <v>0.04005791878543905</v>
      </c>
      <c r="E869" t="n">
        <v>0.03217650807073952</v>
      </c>
    </row>
    <row r="870">
      <c r="A870" t="inlineStr">
        <is>
          <t>G|FICO x CHANNEL|where 2024|ranr_rate|book|5</t>
        </is>
      </c>
      <c r="B870" t="n">
        <v>-10.312390413</v>
      </c>
      <c r="C870" t="n">
        <v>-9.724812783000001</v>
      </c>
      <c r="D870" t="n">
        <v>-8.793213086</v>
      </c>
      <c r="E870" t="n">
        <v>-9.581354158</v>
      </c>
    </row>
    <row r="871">
      <c r="A871" t="inlineStr">
        <is>
          <t>G|FICO x CHANNEL|where 2024|ranr_rate|band|5</t>
        </is>
      </c>
      <c r="B871" t="n">
        <v>-1.10294717</v>
      </c>
      <c r="C871" t="n">
        <v>-0.203815278</v>
      </c>
      <c r="D871" t="n">
        <v>1.244436893</v>
      </c>
    </row>
    <row r="872">
      <c r="A872" t="inlineStr">
        <is>
          <t>G|FICO x CHANNEL|where 2024|ranr_rate|rate|6</t>
        </is>
      </c>
      <c r="C872" t="n">
        <v>0.140296941334961</v>
      </c>
      <c r="E872" t="n">
        <v>0.140296941334961</v>
      </c>
    </row>
    <row r="873">
      <c r="A873" t="inlineStr">
        <is>
          <t>G|FICO x CHANNEL|where 2024|ranr_rate|book|6</t>
        </is>
      </c>
      <c r="C873" t="n">
        <v>1.230689169</v>
      </c>
      <c r="E873" t="n">
        <v>1.230689169</v>
      </c>
    </row>
    <row r="874">
      <c r="A874" t="inlineStr">
        <is>
          <t>G|FICO x CHANNEL|where 2024|ranr_rate|band|6</t>
        </is>
      </c>
    </row>
    <row r="875">
      <c r="A875" t="inlineStr">
        <is>
          <t>G|FICO x CHANNEL|where 2024|ranr_rate|rate|7</t>
        </is>
      </c>
      <c r="B875" t="n">
        <v>0.1264523415242619</v>
      </c>
      <c r="C875" t="n">
        <v>0.1109089914500472</v>
      </c>
      <c r="D875" t="n">
        <v>0.08745618813392458</v>
      </c>
      <c r="E875" t="n">
        <v>0.1049936510846425</v>
      </c>
    </row>
    <row r="876">
      <c r="A876" t="inlineStr">
        <is>
          <t>G|FICO x CHANNEL|where 2024|ranr_rate|book|7</t>
        </is>
      </c>
      <c r="B876" t="n">
        <v>-0.153770812</v>
      </c>
      <c r="C876" t="n">
        <v>-1.70810582</v>
      </c>
      <c r="D876" t="n">
        <v>-4.053386151</v>
      </c>
      <c r="E876" t="n">
        <v>-2.299639856</v>
      </c>
    </row>
    <row r="877">
      <c r="A877" t="inlineStr">
        <is>
          <t>G|FICO x CHANNEL|where 2024|ranr_rate|band|7</t>
        </is>
      </c>
      <c r="B877" t="n">
        <v>3.344386073</v>
      </c>
      <c r="C877" t="n">
        <v>0.697483377</v>
      </c>
      <c r="D877" t="n">
        <v>-3.436904453</v>
      </c>
    </row>
    <row r="878">
      <c r="A878" t="inlineStr">
        <is>
          <t>G|FICO x CHANNEL|where 2024|ranr_rate|rate|8</t>
        </is>
      </c>
      <c r="B878" t="n">
        <v>0.08198593916579255</v>
      </c>
      <c r="C878" t="n">
        <v>0.06801773718515701</v>
      </c>
      <c r="D878" t="n">
        <v>0.1001324417016112</v>
      </c>
      <c r="E878" t="n">
        <v>0.08439030858189983</v>
      </c>
    </row>
    <row r="879">
      <c r="A879" t="inlineStr">
        <is>
          <t>G|FICO x CHANNEL|where 2024|ranr_rate|book|8</t>
        </is>
      </c>
      <c r="B879" t="n">
        <v>-4.600411048</v>
      </c>
      <c r="C879" t="n">
        <v>-5.997231246</v>
      </c>
      <c r="D879" t="n">
        <v>-2.785760795</v>
      </c>
      <c r="E879" t="n">
        <v>-4.359974107</v>
      </c>
    </row>
    <row r="880">
      <c r="A880" t="inlineStr">
        <is>
          <t>G|FICO x CHANNEL|where 2024|ranr_rate|band|8</t>
        </is>
      </c>
    </row>
    <row r="881">
      <c r="A881" t="inlineStr">
        <is>
          <t>G|FICO x CHANNEL|where 2024|ranr_rate|meta</t>
        </is>
      </c>
      <c r="B881" t="inlineStr">
        <is>
          <t>pts</t>
        </is>
      </c>
      <c r="C881" t="n">
        <v>10.312390413</v>
      </c>
      <c r="D881" t="n">
        <v>10</v>
      </c>
      <c r="E881" t="n">
        <v>0.1279900496481481</v>
      </c>
      <c r="F881" t="n">
        <v>30</v>
      </c>
    </row>
    <row r="882">
      <c r="A882" t="inlineStr">
        <is>
          <t>G|FICO x CHANNEL|where 2024|contribution_rate|rate|1</t>
        </is>
      </c>
      <c r="B882" t="n">
        <v>0.2137331045981983</v>
      </c>
      <c r="C882" t="n">
        <v>0.2083496055959283</v>
      </c>
      <c r="D882" t="n">
        <v>0.2045836817368895</v>
      </c>
      <c r="E882" t="n">
        <v>0.208344994863398</v>
      </c>
    </row>
    <row r="883">
      <c r="A883" t="inlineStr">
        <is>
          <t>G|FICO x CHANNEL|where 2024|contribution_rate|book|1</t>
        </is>
      </c>
      <c r="B883" t="n">
        <v>4.414064886</v>
      </c>
      <c r="C883" t="n">
        <v>3.875714986</v>
      </c>
      <c r="D883" t="n">
        <v>3.4991226</v>
      </c>
      <c r="E883" t="n">
        <v>3.875253913</v>
      </c>
    </row>
    <row r="884">
      <c r="A884" t="inlineStr">
        <is>
          <t>G|FICO x CHANNEL|where 2024|contribution_rate|band|1</t>
        </is>
      </c>
      <c r="B884" t="n">
        <v>0.747564035</v>
      </c>
      <c r="C884" t="n">
        <v>0.000678391</v>
      </c>
      <c r="D884" t="n">
        <v>-0.627316699</v>
      </c>
    </row>
    <row r="885">
      <c r="A885" t="inlineStr">
        <is>
          <t>G|FICO x CHANNEL|where 2024|contribution_rate|rate|2</t>
        </is>
      </c>
      <c r="B885" t="n">
        <v>0.1527604125732206</v>
      </c>
      <c r="C885" t="n">
        <v>0.1507179442252692</v>
      </c>
      <c r="D885" t="n">
        <v>0.163095477788116</v>
      </c>
      <c r="E885" t="n">
        <v>0.1557178419611353</v>
      </c>
    </row>
    <row r="886">
      <c r="A886" t="inlineStr">
        <is>
          <t>G|FICO x CHANNEL|where 2024|contribution_rate|book|2</t>
        </is>
      </c>
      <c r="B886" t="n">
        <v>-1.683204316</v>
      </c>
      <c r="C886" t="n">
        <v>-1.887451151</v>
      </c>
      <c r="D886" t="n">
        <v>-0.649697795</v>
      </c>
      <c r="E886" t="n">
        <v>-1.387461377</v>
      </c>
    </row>
    <row r="887">
      <c r="A887" t="inlineStr">
        <is>
          <t>G|FICO x CHANNEL|where 2024|contribution_rate|band|2</t>
        </is>
      </c>
      <c r="B887" t="n">
        <v>-0.433840877</v>
      </c>
      <c r="C887" t="n">
        <v>-0.746545634</v>
      </c>
      <c r="D887" t="n">
        <v>1.137511173</v>
      </c>
    </row>
    <row r="888">
      <c r="A888" t="inlineStr">
        <is>
          <t>G|FICO x CHANNEL|where 2024|contribution_rate|rate|3</t>
        </is>
      </c>
      <c r="B888" t="n">
        <v>0.1172311853046644</v>
      </c>
      <c r="C888" t="n">
        <v>0.1194010172542032</v>
      </c>
      <c r="D888" t="n">
        <v>0.1613996513795512</v>
      </c>
      <c r="E888" t="n">
        <v>0.1349594229453461</v>
      </c>
    </row>
    <row r="889">
      <c r="A889" t="inlineStr">
        <is>
          <t>G|FICO x CHANNEL|where 2024|contribution_rate|book|3</t>
        </is>
      </c>
      <c r="B889" t="n">
        <v>-5.236127043</v>
      </c>
      <c r="C889" t="n">
        <v>-5.019143848</v>
      </c>
      <c r="D889" t="n">
        <v>-0.819280436</v>
      </c>
      <c r="E889" t="n">
        <v>-3.463303279</v>
      </c>
    </row>
    <row r="890">
      <c r="A890" t="inlineStr">
        <is>
          <t>G|FICO x CHANNEL|where 2024|contribution_rate|band|3</t>
        </is>
      </c>
      <c r="B890" t="n">
        <v>-2.506219836</v>
      </c>
      <c r="C890" t="n">
        <v>-2.294076026</v>
      </c>
      <c r="D890" t="n">
        <v>4.303204322</v>
      </c>
    </row>
    <row r="891">
      <c r="A891" t="inlineStr">
        <is>
          <t>G|FICO x CHANNEL|where 2024|contribution_rate|rate|4</t>
        </is>
      </c>
      <c r="B891" t="n">
        <v>0.08571245068832406</v>
      </c>
      <c r="C891" t="n">
        <v>0.08373478712725727</v>
      </c>
      <c r="D891" t="n">
        <v>0.124391052104967</v>
      </c>
      <c r="E891" t="n">
        <v>0.09900879400781014</v>
      </c>
    </row>
    <row r="892">
      <c r="A892" t="inlineStr">
        <is>
          <t>G|FICO x CHANNEL|where 2024|contribution_rate|book|4</t>
        </is>
      </c>
      <c r="B892" t="n">
        <v>-8.388000505000001</v>
      </c>
      <c r="C892" t="n">
        <v>-8.585766861</v>
      </c>
      <c r="D892" t="n">
        <v>-4.520140363</v>
      </c>
      <c r="E892" t="n">
        <v>-7.058366173</v>
      </c>
    </row>
    <row r="893">
      <c r="A893" t="inlineStr">
        <is>
          <t>G|FICO x CHANNEL|where 2024|contribution_rate|band|4</t>
        </is>
      </c>
      <c r="B893" t="n">
        <v>-1.932092699</v>
      </c>
      <c r="C893" t="n">
        <v>-2.271784948</v>
      </c>
      <c r="D893" t="n">
        <v>3.969193968</v>
      </c>
    </row>
    <row r="894">
      <c r="A894" t="inlineStr">
        <is>
          <t>G|FICO x CHANNEL|where 2024|contribution_rate|rate|5</t>
        </is>
      </c>
      <c r="B894" t="n">
        <v>0.05167821956097265</v>
      </c>
      <c r="C894" t="n">
        <v>0.05171565854256673</v>
      </c>
      <c r="D894" t="n">
        <v>0.05064373757692416</v>
      </c>
      <c r="E894" t="n">
        <v>0.0513099945522317</v>
      </c>
    </row>
    <row r="895">
      <c r="A895" t="inlineStr">
        <is>
          <t>G|FICO x CHANNEL|where 2024|contribution_rate|book|5</t>
        </is>
      </c>
      <c r="B895" t="n">
        <v>-11.791423617</v>
      </c>
      <c r="C895" t="n">
        <v>-11.787679719</v>
      </c>
      <c r="D895" t="n">
        <v>-11.894871816</v>
      </c>
      <c r="E895" t="n">
        <v>-11.828246118</v>
      </c>
    </row>
    <row r="896">
      <c r="A896" t="inlineStr">
        <is>
          <t>G|FICO x CHANNEL|where 2024|contribution_rate|band|5</t>
        </is>
      </c>
      <c r="B896" t="n">
        <v>0.055555758</v>
      </c>
      <c r="C896" t="n">
        <v>0.057633704</v>
      </c>
      <c r="D896" t="n">
        <v>-0.105198776</v>
      </c>
    </row>
    <row r="897">
      <c r="A897" t="inlineStr">
        <is>
          <t>G|FICO x CHANNEL|where 2024|contribution_rate|rate|6</t>
        </is>
      </c>
      <c r="C897" t="n">
        <v>0.140296941334961</v>
      </c>
      <c r="E897" t="n">
        <v>0.140296941334961</v>
      </c>
    </row>
    <row r="898">
      <c r="A898" t="inlineStr">
        <is>
          <t>G|FICO x CHANNEL|where 2024|contribution_rate|book|6</t>
        </is>
      </c>
      <c r="C898" t="n">
        <v>-2.92955144</v>
      </c>
      <c r="E898" t="n">
        <v>-2.92955144</v>
      </c>
    </row>
    <row r="899">
      <c r="A899" t="inlineStr">
        <is>
          <t>G|FICO x CHANNEL|where 2024|contribution_rate|band|6</t>
        </is>
      </c>
    </row>
    <row r="900">
      <c r="A900" t="inlineStr">
        <is>
          <t>G|FICO x CHANNEL|where 2024|contribution_rate|rate|7</t>
        </is>
      </c>
      <c r="B900" t="n">
        <v>0.1264523415242619</v>
      </c>
      <c r="C900" t="n">
        <v>0.1452645617052145</v>
      </c>
      <c r="D900" t="n">
        <v>0.140238584043009</v>
      </c>
      <c r="E900" t="n">
        <v>0.1360615096899037</v>
      </c>
    </row>
    <row r="901">
      <c r="A901" t="inlineStr">
        <is>
          <t>G|FICO x CHANNEL|where 2024|contribution_rate|book|7</t>
        </is>
      </c>
      <c r="B901" t="n">
        <v>-4.314011421</v>
      </c>
      <c r="C901" t="n">
        <v>-2.432789403</v>
      </c>
      <c r="D901" t="n">
        <v>-2.935387169</v>
      </c>
      <c r="E901" t="n">
        <v>-3.353094605</v>
      </c>
    </row>
    <row r="902">
      <c r="A902" t="inlineStr">
        <is>
          <t>G|FICO x CHANNEL|where 2024|contribution_rate|band|7</t>
        </is>
      </c>
      <c r="B902" t="n">
        <v>-1.497610876</v>
      </c>
      <c r="C902" t="n">
        <v>1.085140567</v>
      </c>
      <c r="D902" t="n">
        <v>0.818602182</v>
      </c>
    </row>
    <row r="903">
      <c r="A903" t="inlineStr">
        <is>
          <t>G|FICO x CHANNEL|where 2024|contribution_rate|rate|8</t>
        </is>
      </c>
      <c r="B903" t="n">
        <v>0.1189982037209346</v>
      </c>
      <c r="C903" t="n">
        <v>0.1218278815733069</v>
      </c>
      <c r="D903" t="n">
        <v>0.1397066417562721</v>
      </c>
      <c r="E903" t="n">
        <v>0.1276631464798879</v>
      </c>
    </row>
    <row r="904">
      <c r="A904" t="inlineStr">
        <is>
          <t>G|FICO x CHANNEL|where 2024|contribution_rate|book|8</t>
        </is>
      </c>
      <c r="B904" t="n">
        <v>-5.059425201</v>
      </c>
      <c r="C904" t="n">
        <v>-4.776457416</v>
      </c>
      <c r="D904" t="n">
        <v>-2.988581398</v>
      </c>
      <c r="E904" t="n">
        <v>-4.192930926</v>
      </c>
    </row>
    <row r="905">
      <c r="A905" t="inlineStr">
        <is>
          <t>G|FICO x CHANNEL|where 2024|contribution_rate|band|8</t>
        </is>
      </c>
    </row>
    <row r="906">
      <c r="A906" t="inlineStr">
        <is>
          <t>G|FICO x CHANNEL|where 2024|contribution_rate|meta</t>
        </is>
      </c>
      <c r="B906" t="inlineStr">
        <is>
          <t>pts</t>
        </is>
      </c>
      <c r="C906" t="n">
        <v>11.894871816</v>
      </c>
      <c r="D906" t="n">
        <v>10</v>
      </c>
      <c r="E906" t="n">
        <v>0.1695924557349815</v>
      </c>
      <c r="F906" t="n">
        <v>30</v>
      </c>
    </row>
    <row r="907">
      <c r="A907" t="inlineStr">
        <is>
          <t>G|FICO x CHANNEL|where 2024|loan_size|rate|1</t>
        </is>
      </c>
      <c r="B907" t="n">
        <v>29987.44168316832</v>
      </c>
      <c r="C907" t="n">
        <v>32471.92831775701</v>
      </c>
      <c r="D907" t="n">
        <v>35597.87106557377</v>
      </c>
      <c r="E907" t="n">
        <v>32867.17639393939</v>
      </c>
    </row>
    <row r="908">
      <c r="A908" t="inlineStr">
        <is>
          <t>G|FICO x CHANNEL|where 2024|loan_size|median|1</t>
        </is>
      </c>
      <c r="B908" t="n">
        <v>28217.15</v>
      </c>
      <c r="C908" t="n">
        <v>30469.45</v>
      </c>
      <c r="D908" t="n">
        <v>37187.08</v>
      </c>
      <c r="E908" t="n">
        <v>32579.845</v>
      </c>
    </row>
    <row r="909">
      <c r="A909" t="inlineStr">
        <is>
          <t>G|FICO x CHANNEL|where 2024|loan_size|book|1</t>
        </is>
      </c>
      <c r="B909" t="n">
        <v>0.9294803363747109</v>
      </c>
      <c r="C909" t="n">
        <v>1.006488621950874</v>
      </c>
      <c r="D909" t="n">
        <v>1.103379258618945</v>
      </c>
      <c r="E909" t="n">
        <v>1.018739594163941</v>
      </c>
    </row>
    <row r="910">
      <c r="A910" t="inlineStr">
        <is>
          <t>G|FICO x CHANNEL|where 2024|loan_size|band|1</t>
        </is>
      </c>
      <c r="B910" t="n">
        <v>0.8784368197428736</v>
      </c>
      <c r="C910" t="n">
        <v>0.98230633874331</v>
      </c>
      <c r="D910" t="n">
        <v>1.138566454990249</v>
      </c>
    </row>
    <row r="911">
      <c r="A911" t="inlineStr">
        <is>
          <t>G|FICO x CHANNEL|where 2024|loan_size|rate|2</t>
        </is>
      </c>
      <c r="B911" t="n">
        <v>32001.72188118812</v>
      </c>
      <c r="C911" t="n">
        <v>34219.28173469388</v>
      </c>
      <c r="D911" t="n">
        <v>31860.32160714286</v>
      </c>
      <c r="E911" t="n">
        <v>32649.58051446945</v>
      </c>
    </row>
    <row r="912">
      <c r="A912" t="inlineStr">
        <is>
          <t>G|FICO x CHANNEL|where 2024|loan_size|median|2</t>
        </is>
      </c>
      <c r="B912" t="n">
        <v>31124.35</v>
      </c>
      <c r="C912" t="n">
        <v>36359.42</v>
      </c>
      <c r="D912" t="n">
        <v>30694.055</v>
      </c>
      <c r="E912" t="n">
        <v>33967.22</v>
      </c>
    </row>
    <row r="913">
      <c r="A913" t="inlineStr">
        <is>
          <t>G|FICO x CHANNEL|where 2024|loan_size|book|2</t>
        </is>
      </c>
      <c r="B913" t="n">
        <v>0.9919142664108046</v>
      </c>
      <c r="C913" t="n">
        <v>1.060648982107626</v>
      </c>
      <c r="D913" t="n">
        <v>0.9875314725842529</v>
      </c>
      <c r="E913" t="n">
        <v>1.011995067792524</v>
      </c>
    </row>
    <row r="914">
      <c r="A914" t="inlineStr">
        <is>
          <t>G|FICO x CHANNEL|where 2024|loan_size|band|2</t>
        </is>
      </c>
      <c r="B914" t="n">
        <v>0.9708915734732309</v>
      </c>
      <c r="C914" t="n">
        <v>1.071785152703503</v>
      </c>
      <c r="D914" t="n">
        <v>0.9627282020356591</v>
      </c>
    </row>
    <row r="915">
      <c r="A915" t="inlineStr">
        <is>
          <t>G|FICO x CHANNEL|where 2024|loan_size|rate|3</t>
        </is>
      </c>
      <c r="B915" t="n">
        <v>34821.36052631579</v>
      </c>
      <c r="C915" t="n">
        <v>32480.2225</v>
      </c>
      <c r="D915" t="n">
        <v>34592.44849206349</v>
      </c>
      <c r="E915" t="n">
        <v>33947.33537537538</v>
      </c>
    </row>
    <row r="916">
      <c r="A916" t="inlineStr">
        <is>
          <t>G|FICO x CHANNEL|where 2024|loan_size|median|3</t>
        </is>
      </c>
      <c r="B916" t="n">
        <v>39003.66</v>
      </c>
      <c r="C916" t="n">
        <v>31823.26</v>
      </c>
      <c r="D916" t="n">
        <v>34538.895</v>
      </c>
      <c r="E916" t="n">
        <v>34683.44</v>
      </c>
    </row>
    <row r="917">
      <c r="A917" t="inlineStr">
        <is>
          <t>G|FICO x CHANNEL|where 2024|loan_size|book|3</t>
        </is>
      </c>
      <c r="B917" t="n">
        <v>1.079310807403477</v>
      </c>
      <c r="C917" t="n">
        <v>1.006745705545488</v>
      </c>
      <c r="D917" t="n">
        <v>1.07221552942528</v>
      </c>
      <c r="E917" t="n">
        <v>1.052219827123154</v>
      </c>
    </row>
    <row r="918">
      <c r="A918" t="inlineStr">
        <is>
          <t>G|FICO x CHANNEL|where 2024|loan_size|band|3</t>
        </is>
      </c>
      <c r="B918" t="n">
        <v>1.036397523697407</v>
      </c>
      <c r="C918" t="n">
        <v>0.9362763634009836</v>
      </c>
      <c r="D918" t="n">
        <v>1.030928363846098</v>
      </c>
    </row>
    <row r="919">
      <c r="A919" t="inlineStr">
        <is>
          <t>G|FICO x CHANNEL|where 2024|loan_size|rate|4</t>
        </is>
      </c>
      <c r="B919" t="n">
        <v>32188.55899082569</v>
      </c>
      <c r="C919" t="n">
        <v>30220.32180327869</v>
      </c>
      <c r="D919" t="n">
        <v>31691.779765625</v>
      </c>
      <c r="E919" t="n">
        <v>31342.56267409471</v>
      </c>
    </row>
    <row r="920">
      <c r="A920" t="inlineStr">
        <is>
          <t>G|FICO x CHANNEL|where 2024|loan_size|median|4</t>
        </is>
      </c>
      <c r="B920" t="n">
        <v>31262.03</v>
      </c>
      <c r="C920" t="n">
        <v>27473.555</v>
      </c>
      <c r="D920" t="n">
        <v>30480.24</v>
      </c>
      <c r="E920" t="n">
        <v>29456.92</v>
      </c>
    </row>
    <row r="921">
      <c r="A921" t="inlineStr">
        <is>
          <t>G|FICO x CHANNEL|where 2024|loan_size|book|4</t>
        </is>
      </c>
      <c r="B921" t="n">
        <v>0.9977054046261956</v>
      </c>
      <c r="C921" t="n">
        <v>0.9366986077651867</v>
      </c>
      <c r="D921" t="n">
        <v>0.9823074081508018</v>
      </c>
      <c r="E921" t="n">
        <v>0.9714831963646539</v>
      </c>
    </row>
    <row r="922">
      <c r="A922" t="inlineStr">
        <is>
          <t>G|FICO x CHANNEL|where 2024|loan_size|band|4</t>
        </is>
      </c>
      <c r="B922" t="n">
        <v>1.039221997567857</v>
      </c>
      <c r="C922" t="n">
        <v>0.9467443347459042</v>
      </c>
      <c r="D922" t="n">
        <v>1.017423405926</v>
      </c>
    </row>
    <row r="923">
      <c r="A923" t="inlineStr">
        <is>
          <t>G|FICO x CHANNEL|where 2024|loan_size|rate|5</t>
        </is>
      </c>
      <c r="B923" t="n">
        <v>33959.39826446281</v>
      </c>
      <c r="C923" t="n">
        <v>33107.24596330275</v>
      </c>
      <c r="D923" t="n">
        <v>33850.16780303031</v>
      </c>
      <c r="E923" t="n">
        <v>33662.98107734806</v>
      </c>
    </row>
    <row r="924">
      <c r="A924" t="inlineStr">
        <is>
          <t>G|FICO x CHANNEL|where 2024|loan_size|median|5</t>
        </is>
      </c>
      <c r="B924" t="n">
        <v>36116.73</v>
      </c>
      <c r="C924" t="n">
        <v>34027.83</v>
      </c>
      <c r="D924" t="n">
        <v>34637.875</v>
      </c>
      <c r="E924" t="n">
        <v>34347.605</v>
      </c>
    </row>
    <row r="925">
      <c r="A925" t="inlineStr">
        <is>
          <t>G|FICO x CHANNEL|where 2024|loan_size|book|5</t>
        </is>
      </c>
      <c r="B925" t="n">
        <v>1.052593724247327</v>
      </c>
      <c r="C925" t="n">
        <v>1.026180707228629</v>
      </c>
      <c r="D925" t="n">
        <v>1.049208054769172</v>
      </c>
      <c r="E925" t="n">
        <v>1.043406079976182</v>
      </c>
    </row>
    <row r="926">
      <c r="A926" t="inlineStr">
        <is>
          <t>G|FICO x CHANNEL|where 2024|loan_size|band|5</t>
        </is>
      </c>
      <c r="B926" t="n">
        <v>1.013285154309833</v>
      </c>
      <c r="C926" t="n">
        <v>0.976545545542327</v>
      </c>
      <c r="D926" t="n">
        <v>1.00877993685189</v>
      </c>
    </row>
    <row r="927">
      <c r="A927" t="inlineStr">
        <is>
          <t>G|FICO x CHANNEL|where 2024|loan_size|rate|6</t>
        </is>
      </c>
      <c r="C927" t="n">
        <v>27999.47</v>
      </c>
      <c r="E927" t="n">
        <v>27999.47</v>
      </c>
    </row>
    <row r="928">
      <c r="A928" t="inlineStr">
        <is>
          <t>G|FICO x CHANNEL|where 2024|loan_size|median|6</t>
        </is>
      </c>
      <c r="C928" t="n">
        <v>27999.47</v>
      </c>
      <c r="E928" t="n">
        <v>27999.47</v>
      </c>
    </row>
    <row r="929">
      <c r="A929" t="inlineStr">
        <is>
          <t>G|FICO x CHANNEL|where 2024|loan_size|book|6</t>
        </is>
      </c>
      <c r="C929" t="n">
        <v>0.8678618559355534</v>
      </c>
      <c r="E929" t="n">
        <v>0.8678618559355534</v>
      </c>
    </row>
    <row r="930">
      <c r="A930" t="inlineStr">
        <is>
          <t>G|FICO x CHANNEL|where 2024|loan_size|band|6</t>
        </is>
      </c>
    </row>
    <row r="931">
      <c r="A931" t="inlineStr">
        <is>
          <t>G|FICO x CHANNEL|where 2024|loan_size|rate|7</t>
        </is>
      </c>
      <c r="B931" t="n">
        <v>30682.28785714286</v>
      </c>
      <c r="C931" t="n">
        <v>30345.97666666667</v>
      </c>
      <c r="D931" t="n">
        <v>34529.99529411765</v>
      </c>
      <c r="E931" t="n">
        <v>32395.61648648649</v>
      </c>
    </row>
    <row r="932">
      <c r="A932" t="inlineStr">
        <is>
          <t>G|FICO x CHANNEL|where 2024|loan_size|median|7</t>
        </is>
      </c>
      <c r="B932" t="n">
        <v>30680.77</v>
      </c>
      <c r="C932" t="n">
        <v>27419.89</v>
      </c>
      <c r="D932" t="n">
        <v>36736.09</v>
      </c>
      <c r="E932" t="n">
        <v>34982.22</v>
      </c>
    </row>
    <row r="933">
      <c r="A933" t="inlineStr">
        <is>
          <t>G|FICO x CHANNEL|where 2024|loan_size|book|7</t>
        </is>
      </c>
      <c r="B933" t="n">
        <v>0.9510175472624621</v>
      </c>
      <c r="C933" t="n">
        <v>0.9405933623068697</v>
      </c>
      <c r="D933" t="n">
        <v>1.070279751773832</v>
      </c>
      <c r="E933" t="n">
        <v>1.004123286910023</v>
      </c>
    </row>
    <row r="934">
      <c r="A934" t="inlineStr">
        <is>
          <t>G|FICO x CHANNEL|where 2024|loan_size|band|7</t>
        </is>
      </c>
      <c r="B934" t="n">
        <v>0.9175733566602747</v>
      </c>
      <c r="C934" t="n">
        <v>0.925398866902963</v>
      </c>
      <c r="D934" t="n">
        <v>1.129117748182401</v>
      </c>
    </row>
    <row r="935">
      <c r="A935" t="inlineStr">
        <is>
          <t>G|FICO x CHANNEL|where 2024|loan_size|rate|8</t>
        </is>
      </c>
      <c r="B935" t="n">
        <v>32562.15696857671</v>
      </c>
      <c r="C935" t="n">
        <v>32380.9283963964</v>
      </c>
      <c r="D935" t="n">
        <v>33566.28678178964</v>
      </c>
      <c r="E935" t="n">
        <v>32873.20649740335</v>
      </c>
    </row>
    <row r="936">
      <c r="A936" t="inlineStr">
        <is>
          <t>G|FICO x CHANNEL|where 2024|loan_size|median|8</t>
        </is>
      </c>
      <c r="B936" t="n">
        <v>32424.21</v>
      </c>
      <c r="C936" t="n">
        <v>32343.46</v>
      </c>
      <c r="D936" t="n">
        <v>33814.31</v>
      </c>
      <c r="E936" t="n">
        <v>32964.31</v>
      </c>
    </row>
    <row r="937">
      <c r="A937" t="inlineStr">
        <is>
          <t>G|FICO x CHANNEL|where 2024|loan_size|book|8</t>
        </is>
      </c>
      <c r="B937" t="n">
        <v>1.009285317901153</v>
      </c>
      <c r="C937" t="n">
        <v>1.003668019966551</v>
      </c>
      <c r="D937" t="n">
        <v>1.040408977145246</v>
      </c>
      <c r="E937" t="n">
        <v>1.018926501158385</v>
      </c>
    </row>
    <row r="938">
      <c r="A938" t="inlineStr">
        <is>
          <t>G|FICO x CHANNEL|where 2024|loan_size|band|8</t>
        </is>
      </c>
    </row>
    <row r="939">
      <c r="A939" t="inlineStr">
        <is>
          <t>G|FICO x CHANNEL|where 2024|loan_size|meta</t>
        </is>
      </c>
      <c r="B939" t="inlineStr">
        <is>
          <t>size</t>
        </is>
      </c>
      <c r="C939" t="n">
        <v>1</v>
      </c>
      <c r="E939" t="n">
        <v>32262.58857732217</v>
      </c>
      <c r="F939" t="n">
        <v>30</v>
      </c>
    </row>
    <row r="940">
      <c r="A940" t="inlineStr">
        <is>
          <t>G|FICO x CHANNEL|where 2025|cols</t>
        </is>
      </c>
      <c r="B940" t="inlineStr">
        <is>
          <t>Branch</t>
        </is>
      </c>
      <c r="C940" t="inlineStr">
        <is>
          <t>Broker</t>
        </is>
      </c>
      <c r="D940" t="inlineStr">
        <is>
          <t>Online</t>
        </is>
      </c>
      <c r="E940" t="inlineStr">
        <is>
          <t>All</t>
        </is>
      </c>
    </row>
    <row r="941">
      <c r="A941" t="inlineStr">
        <is>
          <t>G|FICO x CHANNEL|where 2025|heads</t>
        </is>
      </c>
      <c r="B941" t="inlineStr">
        <is>
          <t>Branch</t>
        </is>
      </c>
      <c r="C941" t="inlineStr">
        <is>
          <t>Broker</t>
        </is>
      </c>
      <c r="D941" t="inlineStr">
        <is>
          <t>Online</t>
        </is>
      </c>
      <c r="E941" t="inlineStr">
        <is>
          <t>All</t>
        </is>
      </c>
    </row>
    <row r="942">
      <c r="A942" t="inlineStr">
        <is>
          <t>G|FICO x CHANNEL|where 2025|segs</t>
        </is>
      </c>
    </row>
    <row r="943">
      <c r="A943" t="inlineStr">
        <is>
          <t>G|FICO x CHANNEL|where 2025|rows</t>
        </is>
      </c>
      <c r="B943" t="inlineStr">
        <is>
          <t>496 - 653</t>
        </is>
      </c>
      <c r="C943" t="inlineStr">
        <is>
          <t>654 - 685</t>
        </is>
      </c>
      <c r="D943" t="inlineStr">
        <is>
          <t>686 - 711</t>
        </is>
      </c>
      <c r="E943" t="inlineStr">
        <is>
          <t>712 - 745</t>
        </is>
      </c>
      <c r="F943" t="inlineStr">
        <is>
          <t>746 - 921</t>
        </is>
      </c>
      <c r="G943" t="inlineStr">
        <is>
          <t>(blank)</t>
        </is>
      </c>
      <c r="H943" t="inlineStr">
        <is>
          <t>(marked missing)</t>
        </is>
      </c>
      <c r="I943" t="inlineStr">
        <is>
          <t>All</t>
        </is>
      </c>
    </row>
    <row r="944">
      <c r="A944" t="inlineStr">
        <is>
          <t>G|FICO x CHANNEL|where 2025|names</t>
        </is>
      </c>
      <c r="B944" t="inlineStr">
        <is>
          <t>FICO</t>
        </is>
      </c>
      <c r="C944" t="inlineStr">
        <is>
          <t>CHANNEL</t>
        </is>
      </c>
    </row>
    <row r="945">
      <c r="A945" t="inlineStr">
        <is>
          <t>G|FICO x CHANNEL|where 2025|total</t>
        </is>
      </c>
      <c r="B945" t="n">
        <v>1702</v>
      </c>
    </row>
    <row r="946">
      <c r="A946" t="inlineStr">
        <is>
          <t>G|FICO x CHANNEL|where 2025|loans|1</t>
        </is>
      </c>
      <c r="B946" t="n">
        <v>114</v>
      </c>
      <c r="C946" t="n">
        <v>98</v>
      </c>
      <c r="D946" t="n">
        <v>122</v>
      </c>
      <c r="E946" t="n">
        <v>334</v>
      </c>
    </row>
    <row r="947">
      <c r="A947" t="inlineStr">
        <is>
          <t>G|FICO x CHANNEL|where 2025|loans|2</t>
        </is>
      </c>
      <c r="B947" t="n">
        <v>114</v>
      </c>
      <c r="C947" t="n">
        <v>126</v>
      </c>
      <c r="D947" t="n">
        <v>99</v>
      </c>
      <c r="E947" t="n">
        <v>339</v>
      </c>
    </row>
    <row r="948">
      <c r="A948" t="inlineStr">
        <is>
          <t>G|FICO x CHANNEL|where 2025|loans|3</t>
        </is>
      </c>
      <c r="B948" t="n">
        <v>125</v>
      </c>
      <c r="C948" t="n">
        <v>103</v>
      </c>
      <c r="D948" t="n">
        <v>105</v>
      </c>
      <c r="E948" t="n">
        <v>333</v>
      </c>
    </row>
    <row r="949">
      <c r="A949" t="inlineStr">
        <is>
          <t>G|FICO x CHANNEL|where 2025|loans|4</t>
        </is>
      </c>
      <c r="B949" t="n">
        <v>118</v>
      </c>
      <c r="C949" t="n">
        <v>110</v>
      </c>
      <c r="D949" t="n">
        <v>116</v>
      </c>
      <c r="E949" t="n">
        <v>344</v>
      </c>
    </row>
    <row r="950">
      <c r="A950" t="inlineStr">
        <is>
          <t>G|FICO x CHANNEL|where 2025|loans|5</t>
        </is>
      </c>
      <c r="B950" t="n">
        <v>113</v>
      </c>
      <c r="C950" t="n">
        <v>116</v>
      </c>
      <c r="D950" t="n">
        <v>95</v>
      </c>
      <c r="E950" t="n">
        <v>324</v>
      </c>
    </row>
    <row r="951">
      <c r="A951" t="inlineStr">
        <is>
          <t>G|FICO x CHANNEL|where 2025|loans|6</t>
        </is>
      </c>
    </row>
    <row r="952">
      <c r="A952" t="inlineStr">
        <is>
          <t>G|FICO x CHANNEL|where 2025|loans|7</t>
        </is>
      </c>
      <c r="B952" t="n">
        <v>13</v>
      </c>
      <c r="C952" t="n">
        <v>10</v>
      </c>
      <c r="D952" t="n">
        <v>5</v>
      </c>
      <c r="E952" t="n">
        <v>28</v>
      </c>
    </row>
    <row r="953">
      <c r="A953" t="inlineStr">
        <is>
          <t>G|FICO x CHANNEL|where 2025|loans|8</t>
        </is>
      </c>
      <c r="B953" t="n">
        <v>597</v>
      </c>
      <c r="C953" t="n">
        <v>563</v>
      </c>
      <c r="D953" t="n">
        <v>542</v>
      </c>
      <c r="E953" t="n">
        <v>1702</v>
      </c>
    </row>
    <row r="954">
      <c r="A954" t="inlineStr">
        <is>
          <t>G|FICO x CHANNEL|where 2025|outcome_loans|rate|1</t>
        </is>
      </c>
      <c r="B954" t="n">
        <v>0.1140350877192982</v>
      </c>
      <c r="C954" t="n">
        <v>0.173469387755102</v>
      </c>
      <c r="D954" t="n">
        <v>0.1311475409836066</v>
      </c>
      <c r="E954" t="n">
        <v>0.1377245508982036</v>
      </c>
    </row>
    <row r="955">
      <c r="A955" t="inlineStr">
        <is>
          <t>G|FICO x CHANNEL|where 2025|outcome_loans|book|1</t>
        </is>
      </c>
      <c r="B955" t="n">
        <v>1.473613354873452</v>
      </c>
      <c r="C955" t="n">
        <v>2.241650456628532</v>
      </c>
      <c r="D955" t="n">
        <v>1.694748271935168</v>
      </c>
      <c r="E955" t="n">
        <v>1.779739390363054</v>
      </c>
    </row>
    <row r="956">
      <c r="A956" t="inlineStr">
        <is>
          <t>G|FICO x CHANNEL|where 2025|outcome_loans|band|1</t>
        </is>
      </c>
      <c r="B956" t="n">
        <v>0.7602339181286549</v>
      </c>
      <c r="C956" t="n">
        <v>1.411681914144968</v>
      </c>
      <c r="D956" t="n">
        <v>0.9267759562841531</v>
      </c>
    </row>
    <row r="957">
      <c r="A957" t="inlineStr">
        <is>
          <t>G|FICO x CHANNEL|where 2025|outcome_loans|rate|2</t>
        </is>
      </c>
      <c r="B957" t="n">
        <v>0.1052631578947368</v>
      </c>
      <c r="C957" t="n">
        <v>0.05555555555555555</v>
      </c>
      <c r="D957" t="n">
        <v>0.101010101010101</v>
      </c>
      <c r="E957" t="n">
        <v>0.08554572271386431</v>
      </c>
    </row>
    <row r="958">
      <c r="A958" t="inlineStr">
        <is>
          <t>G|FICO x CHANNEL|where 2025|outcome_loans|book|2</t>
        </is>
      </c>
      <c r="B958" t="n">
        <v>1.360258481421648</v>
      </c>
      <c r="D958" t="n">
        <v>1.305298542778349</v>
      </c>
      <c r="E958" t="n">
        <v>1.105460801273345</v>
      </c>
    </row>
    <row r="959">
      <c r="A959" t="inlineStr">
        <is>
          <t>G|FICO x CHANNEL|where 2025|outcome_loans|band|2</t>
        </is>
      </c>
      <c r="B959" t="n">
        <v>1.393188854489164</v>
      </c>
      <c r="D959" t="n">
        <v>1.27591706539075</v>
      </c>
    </row>
    <row r="960">
      <c r="A960" t="inlineStr">
        <is>
          <t>G|FICO x CHANNEL|where 2025|outcome_loans|rate|3</t>
        </is>
      </c>
      <c r="B960" t="n">
        <v>0.056</v>
      </c>
      <c r="C960" t="n">
        <v>0.07766990291262135</v>
      </c>
      <c r="D960" t="n">
        <v>0.0761904761904762</v>
      </c>
      <c r="E960" t="n">
        <v>0.06906906906906907</v>
      </c>
    </row>
    <row r="961">
      <c r="A961" t="inlineStr">
        <is>
          <t>G|FICO x CHANNEL|where 2025|outcome_loans|book|3</t>
        </is>
      </c>
      <c r="E961" t="n">
        <v>0.8925419765484385</v>
      </c>
    </row>
    <row r="962">
      <c r="A962" t="inlineStr">
        <is>
          <t>G|FICO x CHANNEL|where 2025|outcome_loans|band|3</t>
        </is>
      </c>
    </row>
    <row r="963">
      <c r="A963" t="inlineStr">
        <is>
          <t>G|FICO x CHANNEL|where 2025|outcome_loans|rate|4</t>
        </is>
      </c>
      <c r="B963" t="n">
        <v>0.05084745762711865</v>
      </c>
      <c r="C963" t="n">
        <v>0.03636363636363636</v>
      </c>
      <c r="D963" t="n">
        <v>0.06896551724137931</v>
      </c>
      <c r="E963" t="n">
        <v>0.05232558139534884</v>
      </c>
    </row>
    <row r="964">
      <c r="A964" t="inlineStr">
        <is>
          <t>G|FICO x CHANNEL|where 2025|outcome_loans|book|4</t>
        </is>
      </c>
      <c r="E964" t="n">
        <v>0.6761750009392493</v>
      </c>
    </row>
    <row r="965">
      <c r="A965" t="inlineStr">
        <is>
          <t>G|FICO x CHANNEL|where 2025|outcome_loans|band|4</t>
        </is>
      </c>
    </row>
    <row r="966">
      <c r="A966" t="inlineStr">
        <is>
          <t>G|FICO x CHANNEL|where 2025|outcome_loans|rate|5</t>
        </is>
      </c>
      <c r="B966" t="n">
        <v>0.03539823008849557</v>
      </c>
      <c r="C966" t="n">
        <v>0.03448275862068965</v>
      </c>
      <c r="D966" t="n">
        <v>0.06315789473684211</v>
      </c>
      <c r="E966" t="n">
        <v>0.04320987654320987</v>
      </c>
    </row>
    <row r="967">
      <c r="A967" t="inlineStr">
        <is>
          <t>G|FICO x CHANNEL|where 2025|outcome_loans|book|5</t>
        </is>
      </c>
      <c r="E967" t="n">
        <v>0.5583777099662937</v>
      </c>
    </row>
    <row r="968">
      <c r="A968" t="inlineStr">
        <is>
          <t>G|FICO x CHANNEL|where 2025|outcome_loans|band|5</t>
        </is>
      </c>
    </row>
    <row r="969">
      <c r="A969" t="inlineStr">
        <is>
          <t>G|FICO x CHANNEL|where 2025|outcome_loans|rate|6</t>
        </is>
      </c>
    </row>
    <row r="970">
      <c r="A970" t="inlineStr">
        <is>
          <t>G|FICO x CHANNEL|where 2025|outcome_loans|book|6</t>
        </is>
      </c>
    </row>
    <row r="971">
      <c r="A971" t="inlineStr">
        <is>
          <t>G|FICO x CHANNEL|where 2025|outcome_loans|band|6</t>
        </is>
      </c>
    </row>
    <row r="972">
      <c r="A972" t="inlineStr">
        <is>
          <t>G|FICO x CHANNEL|where 2025|outcome_loans|rate|7</t>
        </is>
      </c>
      <c r="B972" t="n">
        <v>0</v>
      </c>
      <c r="C972" t="n">
        <v>0</v>
      </c>
      <c r="D972" t="n">
        <v>0</v>
      </c>
      <c r="E972" t="n">
        <v>0</v>
      </c>
    </row>
    <row r="973">
      <c r="A973" t="inlineStr">
        <is>
          <t>G|FICO x CHANNEL|where 2025|outcome_loans|book|7</t>
        </is>
      </c>
    </row>
    <row r="974">
      <c r="A974" t="inlineStr">
        <is>
          <t>G|FICO x CHANNEL|where 2025|outcome_loans|band|7</t>
        </is>
      </c>
    </row>
    <row r="975">
      <c r="A975" t="inlineStr">
        <is>
          <t>G|FICO x CHANNEL|where 2025|outcome_loans|rate|8</t>
        </is>
      </c>
      <c r="B975" t="n">
        <v>0.07035175879396985</v>
      </c>
      <c r="C975" t="n">
        <v>0.07104795737122557</v>
      </c>
      <c r="D975" t="n">
        <v>0.08856088560885608</v>
      </c>
      <c r="E975" t="n">
        <v>0.07638072855464159</v>
      </c>
    </row>
    <row r="976">
      <c r="A976" t="inlineStr">
        <is>
          <t>G|FICO x CHANNEL|where 2025|outcome_loans|book|8</t>
        </is>
      </c>
      <c r="B976" t="n">
        <v>0.909117477533061</v>
      </c>
      <c r="C976" t="n">
        <v>0.9181140727179861</v>
      </c>
      <c r="D976" t="n">
        <v>1.144424109830759</v>
      </c>
      <c r="E976" t="n">
        <v>0.9870265714193507</v>
      </c>
    </row>
    <row r="977">
      <c r="A977" t="inlineStr">
        <is>
          <t>G|FICO x CHANNEL|where 2025|outcome_loans|band|8</t>
        </is>
      </c>
    </row>
    <row r="978">
      <c r="A978" t="inlineStr">
        <is>
          <t>G|FICO x CHANNEL|where 2025|outcome_loans|meta</t>
        </is>
      </c>
      <c r="B978" t="inlineStr">
        <is>
          <t>x</t>
        </is>
      </c>
      <c r="C978" t="n">
        <v>2.241650456628532</v>
      </c>
      <c r="D978" t="n">
        <v>10</v>
      </c>
      <c r="E978" t="n">
        <v>0.07738467308413552</v>
      </c>
      <c r="F978" t="n">
        <v>30</v>
      </c>
    </row>
    <row r="979">
      <c r="A979" t="inlineStr">
        <is>
          <t>G|FICO x CHANNEL|where 2025|outcome_booked|rate|1</t>
        </is>
      </c>
      <c r="B979" t="n">
        <v>0.11697509544065</v>
      </c>
      <c r="C979" t="n">
        <v>0.189286779700782</v>
      </c>
      <c r="D979" t="n">
        <v>0.119984854056249</v>
      </c>
      <c r="E979" t="n">
        <v>0.1383430318692265</v>
      </c>
    </row>
    <row r="980">
      <c r="A980" t="inlineStr">
        <is>
          <t>G|FICO x CHANNEL|where 2025|outcome_booked|book|1</t>
        </is>
      </c>
      <c r="B980" t="n">
        <v>1.563234854016208</v>
      </c>
      <c r="C980" t="n">
        <v>2.529595640149586</v>
      </c>
      <c r="D980" t="n">
        <v>1.603456745285936</v>
      </c>
      <c r="E980" t="n">
        <v>1.848792244311317</v>
      </c>
    </row>
    <row r="981">
      <c r="A981" t="inlineStr">
        <is>
          <t>G|FICO x CHANNEL|where 2025|outcome_booked|band|1</t>
        </is>
      </c>
      <c r="B981" t="n">
        <v>0.7785888091978183</v>
      </c>
      <c r="C981" t="n">
        <v>1.597505963666221</v>
      </c>
      <c r="D981" t="n">
        <v>0.8065880168307671</v>
      </c>
    </row>
    <row r="982">
      <c r="A982" t="inlineStr">
        <is>
          <t>G|FICO x CHANNEL|where 2025|outcome_booked|rate|2</t>
        </is>
      </c>
      <c r="B982" t="n">
        <v>0.08111142317740086</v>
      </c>
      <c r="C982" t="n">
        <v>0.04859057103935168</v>
      </c>
      <c r="D982" t="n">
        <v>0.1026756939239095</v>
      </c>
      <c r="E982" t="n">
        <v>0.07475977996904959</v>
      </c>
    </row>
    <row r="983">
      <c r="A983" t="inlineStr">
        <is>
          <t>G|FICO x CHANNEL|where 2025|outcome_booked|book|2</t>
        </is>
      </c>
      <c r="B983" t="n">
        <v>1.083958968292563</v>
      </c>
      <c r="D983" t="n">
        <v>1.372140136304415</v>
      </c>
      <c r="E983" t="n">
        <v>0.999076711892885</v>
      </c>
    </row>
    <row r="984">
      <c r="A984" t="inlineStr">
        <is>
          <t>G|FICO x CHANNEL|where 2025|outcome_booked|band|2</t>
        </is>
      </c>
      <c r="B984" t="n">
        <v>1.13739353574726</v>
      </c>
      <c r="D984" t="n">
        <v>1.596549195640809</v>
      </c>
    </row>
    <row r="985">
      <c r="A985" t="inlineStr">
        <is>
          <t>G|FICO x CHANNEL|where 2025|outcome_booked|rate|3</t>
        </is>
      </c>
      <c r="B985" t="n">
        <v>0.04182315285323713</v>
      </c>
      <c r="C985" t="n">
        <v>0.05692328452934003</v>
      </c>
      <c r="D985" t="n">
        <v>0.1073579535313255</v>
      </c>
      <c r="E985" t="n">
        <v>0.06571381639062515</v>
      </c>
    </row>
    <row r="986">
      <c r="A986" t="inlineStr">
        <is>
          <t>G|FICO x CHANNEL|where 2025|outcome_booked|book|3</t>
        </is>
      </c>
      <c r="E986" t="n">
        <v>0.8781880261373004</v>
      </c>
    </row>
    <row r="987">
      <c r="A987" t="inlineStr">
        <is>
          <t>G|FICO x CHANNEL|where 2025|outcome_booked|band|3</t>
        </is>
      </c>
    </row>
    <row r="988">
      <c r="A988" t="inlineStr">
        <is>
          <t>G|FICO x CHANNEL|where 2025|outcome_booked|rate|4</t>
        </is>
      </c>
      <c r="B988" t="n">
        <v>0.05842057083899219</v>
      </c>
      <c r="C988" t="n">
        <v>0.04271465745180754</v>
      </c>
      <c r="D988" t="n">
        <v>0.06978761211598014</v>
      </c>
      <c r="E988" t="n">
        <v>0.05799561171674311</v>
      </c>
    </row>
    <row r="989">
      <c r="A989" t="inlineStr">
        <is>
          <t>G|FICO x CHANNEL|where 2025|outcome_booked|book|4</t>
        </is>
      </c>
      <c r="E989" t="n">
        <v>0.7750432797176248</v>
      </c>
    </row>
    <row r="990">
      <c r="A990" t="inlineStr">
        <is>
          <t>G|FICO x CHANNEL|where 2025|outcome_booked|band|4</t>
        </is>
      </c>
    </row>
    <row r="991">
      <c r="A991" t="inlineStr">
        <is>
          <t>G|FICO x CHANNEL|where 2025|outcome_booked|rate|5</t>
        </is>
      </c>
      <c r="B991" t="n">
        <v>0.02133399809250098</v>
      </c>
      <c r="C991" t="n">
        <v>0.02805147989081097</v>
      </c>
      <c r="D991" t="n">
        <v>0.06932229724042771</v>
      </c>
      <c r="E991" t="n">
        <v>0.03771150744903581</v>
      </c>
    </row>
    <row r="992">
      <c r="A992" t="inlineStr">
        <is>
          <t>G|FICO x CHANNEL|where 2025|outcome_booked|book|5</t>
        </is>
      </c>
      <c r="E992" t="n">
        <v>0.5039700341320537</v>
      </c>
    </row>
    <row r="993">
      <c r="A993" t="inlineStr">
        <is>
          <t>G|FICO x CHANNEL|where 2025|outcome_booked|band|5</t>
        </is>
      </c>
    </row>
    <row r="994">
      <c r="A994" t="inlineStr">
        <is>
          <t>G|FICO x CHANNEL|where 2025|outcome_booked|rate|6</t>
        </is>
      </c>
    </row>
    <row r="995">
      <c r="A995" t="inlineStr">
        <is>
          <t>G|FICO x CHANNEL|where 2025|outcome_booked|book|6</t>
        </is>
      </c>
    </row>
    <row r="996">
      <c r="A996" t="inlineStr">
        <is>
          <t>G|FICO x CHANNEL|where 2025|outcome_booked|band|6</t>
        </is>
      </c>
    </row>
    <row r="997">
      <c r="A997" t="inlineStr">
        <is>
          <t>G|FICO x CHANNEL|where 2025|outcome_booked|rate|7</t>
        </is>
      </c>
      <c r="B997" t="n">
        <v>0</v>
      </c>
      <c r="C997" t="n">
        <v>0</v>
      </c>
      <c r="D997" t="n">
        <v>0</v>
      </c>
      <c r="E997" t="n">
        <v>0</v>
      </c>
    </row>
    <row r="998">
      <c r="A998" t="inlineStr">
        <is>
          <t>G|FICO x CHANNEL|where 2025|outcome_booked|book|7</t>
        </is>
      </c>
    </row>
    <row r="999">
      <c r="A999" t="inlineStr">
        <is>
          <t>G|FICO x CHANNEL|where 2025|outcome_booked|band|7</t>
        </is>
      </c>
    </row>
    <row r="1000">
      <c r="A1000" t="inlineStr">
        <is>
          <t>G|FICO x CHANNEL|where 2025|outcome_booked|rate|8</t>
        </is>
      </c>
      <c r="B1000" t="n">
        <v>0.06363433850899018</v>
      </c>
      <c r="C1000" t="n">
        <v>0.06820985329855665</v>
      </c>
      <c r="D1000" t="n">
        <v>0.09305925732169659</v>
      </c>
      <c r="E1000" t="n">
        <v>0.07444206116597255</v>
      </c>
    </row>
    <row r="1001">
      <c r="A1001" t="inlineStr">
        <is>
          <t>G|FICO x CHANNEL|where 2025|outcome_booked|book|8</t>
        </is>
      </c>
      <c r="B1001" t="n">
        <v>0.8503982449836112</v>
      </c>
      <c r="C1001" t="n">
        <v>0.9115446297518628</v>
      </c>
      <c r="D1001" t="n">
        <v>1.243627748164124</v>
      </c>
      <c r="E1001" t="n">
        <v>0.994830773004138</v>
      </c>
    </row>
    <row r="1002">
      <c r="A1002" t="inlineStr">
        <is>
          <t>G|FICO x CHANNEL|where 2025|outcome_booked|band|8</t>
        </is>
      </c>
    </row>
    <row r="1003">
      <c r="A1003" t="inlineStr">
        <is>
          <t>G|FICO x CHANNEL|where 2025|outcome_booked|meta</t>
        </is>
      </c>
      <c r="B1003" t="inlineStr">
        <is>
          <t>x</t>
        </is>
      </c>
      <c r="C1003" t="n">
        <v>2.529595640149586</v>
      </c>
      <c r="D1003" t="n">
        <v>10</v>
      </c>
      <c r="E1003" t="n">
        <v>0.07482886857347235</v>
      </c>
      <c r="F1003" t="n">
        <v>30</v>
      </c>
    </row>
    <row r="1004">
      <c r="A1004" t="inlineStr">
        <is>
          <t>G|FICO x CHANNEL|where 2025|gco_rate|rate|1</t>
        </is>
      </c>
      <c r="B1004" t="n">
        <v>0.05672779378118455</v>
      </c>
      <c r="C1004" t="n">
        <v>0.1058375283993901</v>
      </c>
      <c r="D1004" t="n">
        <v>0.07191945362462705</v>
      </c>
      <c r="E1004" t="n">
        <v>0.07599806119961273</v>
      </c>
    </row>
    <row r="1005">
      <c r="A1005" t="inlineStr">
        <is>
          <t>G|FICO x CHANNEL|where 2025|gco_rate|book|1</t>
        </is>
      </c>
      <c r="B1005" t="n">
        <v>1.363476313074542</v>
      </c>
      <c r="C1005" t="n">
        <v>2.543849379433936</v>
      </c>
      <c r="D1005" t="n">
        <v>1.728614228233333</v>
      </c>
      <c r="E1005" t="n">
        <v>1.826645271715653</v>
      </c>
    </row>
    <row r="1006">
      <c r="A1006" t="inlineStr">
        <is>
          <t>G|FICO x CHANNEL|where 2025|gco_rate|band|1</t>
        </is>
      </c>
      <c r="B1006" t="n">
        <v>0.6540960037939787</v>
      </c>
      <c r="C1006" t="n">
        <v>1.644235231755897</v>
      </c>
      <c r="D1006" t="n">
        <v>0.9183765761113685</v>
      </c>
    </row>
    <row r="1007">
      <c r="A1007" t="inlineStr">
        <is>
          <t>G|FICO x CHANNEL|where 2025|gco_rate|rate|2</t>
        </is>
      </c>
      <c r="B1007" t="n">
        <v>0.04246421300344053</v>
      </c>
      <c r="C1007" t="n">
        <v>0.02859497349015392</v>
      </c>
      <c r="D1007" t="n">
        <v>0.05319350573724314</v>
      </c>
      <c r="E1007" t="n">
        <v>0.04017285878795855</v>
      </c>
    </row>
    <row r="1008">
      <c r="A1008" t="inlineStr">
        <is>
          <t>G|FICO x CHANNEL|where 2025|gco_rate|book|2</t>
        </is>
      </c>
      <c r="B1008" t="n">
        <v>1.020645167461933</v>
      </c>
      <c r="D1008" t="n">
        <v>1.278528217788401</v>
      </c>
      <c r="E1008" t="n">
        <v>0.9655715079834042</v>
      </c>
    </row>
    <row r="1009">
      <c r="A1009" t="inlineStr">
        <is>
          <t>G|FICO x CHANNEL|where 2025|gco_rate|band|2</t>
        </is>
      </c>
      <c r="B1009" t="n">
        <v>1.090795416973375</v>
      </c>
      <c r="D1009" t="n">
        <v>1.506927871610607</v>
      </c>
    </row>
    <row r="1010">
      <c r="A1010" t="inlineStr">
        <is>
          <t>G|FICO x CHANNEL|where 2025|gco_rate|rate|3</t>
        </is>
      </c>
      <c r="B1010" t="n">
        <v>0.02456836988954112</v>
      </c>
      <c r="C1010" t="n">
        <v>0.03237374153741635</v>
      </c>
      <c r="D1010" t="n">
        <v>0.06929956420239645</v>
      </c>
      <c r="E1010" t="n">
        <v>0.04004456808294039</v>
      </c>
    </row>
    <row r="1011">
      <c r="A1011" t="inlineStr">
        <is>
          <t>G|FICO x CHANNEL|where 2025|gco_rate|book|3</t>
        </is>
      </c>
      <c r="E1011" t="n">
        <v>0.9624879870879042</v>
      </c>
    </row>
    <row r="1012">
      <c r="A1012" t="inlineStr">
        <is>
          <t>G|FICO x CHANNEL|where 2025|gco_rate|band|3</t>
        </is>
      </c>
    </row>
    <row r="1013">
      <c r="A1013" t="inlineStr">
        <is>
          <t>G|FICO x CHANNEL|where 2025|gco_rate|rate|4</t>
        </is>
      </c>
      <c r="B1013" t="n">
        <v>0.0331681470137172</v>
      </c>
      <c r="C1013" t="n">
        <v>0.02148606645174706</v>
      </c>
      <c r="D1013" t="n">
        <v>0.03934917135876241</v>
      </c>
      <c r="E1013" t="n">
        <v>0.03199731498797338</v>
      </c>
    </row>
    <row r="1014">
      <c r="A1014" t="inlineStr">
        <is>
          <t>G|FICO x CHANNEL|where 2025|gco_rate|book|4</t>
        </is>
      </c>
      <c r="E1014" t="n">
        <v>0.7690688842293231</v>
      </c>
    </row>
    <row r="1015">
      <c r="A1015" t="inlineStr">
        <is>
          <t>G|FICO x CHANNEL|where 2025|gco_rate|band|4</t>
        </is>
      </c>
    </row>
    <row r="1016">
      <c r="A1016" t="inlineStr">
        <is>
          <t>G|FICO x CHANNEL|where 2025|gco_rate|rate|5</t>
        </is>
      </c>
      <c r="B1016" t="n">
        <v>0.01134140428758449</v>
      </c>
      <c r="C1016" t="n">
        <v>0.01810209655410583</v>
      </c>
      <c r="D1016" t="n">
        <v>0.03071460446066194</v>
      </c>
      <c r="E1016" t="n">
        <v>0.01948094595282413</v>
      </c>
    </row>
    <row r="1017">
      <c r="A1017" t="inlineStr">
        <is>
          <t>G|FICO x CHANNEL|where 2025|gco_rate|book|5</t>
        </is>
      </c>
      <c r="E1017" t="n">
        <v>0.4682327055661219</v>
      </c>
    </row>
    <row r="1018">
      <c r="A1018" t="inlineStr">
        <is>
          <t>G|FICO x CHANNEL|where 2025|gco_rate|band|5</t>
        </is>
      </c>
    </row>
    <row r="1019">
      <c r="A1019" t="inlineStr">
        <is>
          <t>G|FICO x CHANNEL|where 2025|gco_rate|rate|6</t>
        </is>
      </c>
    </row>
    <row r="1020">
      <c r="A1020" t="inlineStr">
        <is>
          <t>G|FICO x CHANNEL|where 2025|gco_rate|book|6</t>
        </is>
      </c>
    </row>
    <row r="1021">
      <c r="A1021" t="inlineStr">
        <is>
          <t>G|FICO x CHANNEL|where 2025|gco_rate|band|6</t>
        </is>
      </c>
    </row>
    <row r="1022">
      <c r="A1022" t="inlineStr">
        <is>
          <t>G|FICO x CHANNEL|where 2025|gco_rate|rate|7</t>
        </is>
      </c>
      <c r="B1022" t="n">
        <v>0</v>
      </c>
      <c r="C1022" t="n">
        <v>0</v>
      </c>
      <c r="D1022" t="n">
        <v>0</v>
      </c>
      <c r="E1022" t="n">
        <v>0</v>
      </c>
    </row>
    <row r="1023">
      <c r="A1023" t="inlineStr">
        <is>
          <t>G|FICO x CHANNEL|where 2025|gco_rate|book|7</t>
        </is>
      </c>
    </row>
    <row r="1024">
      <c r="A1024" t="inlineStr">
        <is>
          <t>G|FICO x CHANNEL|where 2025|gco_rate|band|7</t>
        </is>
      </c>
    </row>
    <row r="1025">
      <c r="A1025" t="inlineStr">
        <is>
          <t>G|FICO x CHANNEL|where 2025|gco_rate|rate|8</t>
        </is>
      </c>
      <c r="B1025" t="n">
        <v>0.03344201986202094</v>
      </c>
      <c r="C1025" t="n">
        <v>0.03862432268921596</v>
      </c>
      <c r="D1025" t="n">
        <v>0.0527793250418122</v>
      </c>
      <c r="E1025" t="n">
        <v>0.04126723109963323</v>
      </c>
    </row>
    <row r="1026">
      <c r="A1026" t="inlineStr">
        <is>
          <t>G|FICO x CHANNEL|where 2025|gco_rate|book|8</t>
        </is>
      </c>
      <c r="B1026" t="n">
        <v>0.8037929717329788</v>
      </c>
      <c r="C1026" t="n">
        <v>0.9283517934512188</v>
      </c>
      <c r="D1026" t="n">
        <v>1.268573211081615</v>
      </c>
      <c r="E1026" t="n">
        <v>0.9918752054338763</v>
      </c>
    </row>
    <row r="1027">
      <c r="A1027" t="inlineStr">
        <is>
          <t>G|FICO x CHANNEL|where 2025|gco_rate|band|8</t>
        </is>
      </c>
    </row>
    <row r="1028">
      <c r="A1028" t="inlineStr">
        <is>
          <t>G|FICO x CHANNEL|where 2025|gco_rate|meta</t>
        </is>
      </c>
      <c r="B1028" t="inlineStr">
        <is>
          <t>x</t>
        </is>
      </c>
      <c r="C1028" t="n">
        <v>2.543849379433936</v>
      </c>
      <c r="D1028" t="n">
        <v>10</v>
      </c>
      <c r="E1028" t="n">
        <v>0.04160526533333565</v>
      </c>
      <c r="F1028" t="n">
        <v>30</v>
      </c>
    </row>
    <row r="1029">
      <c r="A1029" t="inlineStr">
        <is>
          <t>G|FICO x CHANNEL|where 2025|ranr_rate|rate|1</t>
        </is>
      </c>
      <c r="B1029" t="n">
        <v>0.04577322681933302</v>
      </c>
      <c r="C1029" t="n">
        <v>-0.001382785102242078</v>
      </c>
      <c r="D1029" t="n">
        <v>0.03353570272084726</v>
      </c>
      <c r="E1029" t="n">
        <v>0.02812002539922624</v>
      </c>
    </row>
    <row r="1030">
      <c r="A1030" t="inlineStr">
        <is>
          <t>G|FICO x CHANNEL|where 2025|ranr_rate|book|1</t>
        </is>
      </c>
      <c r="B1030" t="n">
        <v>-8.221682283</v>
      </c>
      <c r="C1030" t="n">
        <v>-12.937283475</v>
      </c>
      <c r="D1030" t="n">
        <v>-9.445434692999999</v>
      </c>
      <c r="E1030" t="n">
        <v>-9.987002425</v>
      </c>
    </row>
    <row r="1031">
      <c r="A1031" t="inlineStr">
        <is>
          <t>G|FICO x CHANNEL|where 2025|ranr_rate|band|1</t>
        </is>
      </c>
      <c r="B1031" t="n">
        <v>2.748183401</v>
      </c>
      <c r="C1031" t="n">
        <v>-4.100081945</v>
      </c>
      <c r="D1031" t="n">
        <v>0.848752855</v>
      </c>
    </row>
    <row r="1032">
      <c r="A1032" t="inlineStr">
        <is>
          <t>G|FICO x CHANNEL|where 2025|ranr_rate|rate|2</t>
        </is>
      </c>
      <c r="B1032" t="n">
        <v>0.03492519206465122</v>
      </c>
      <c r="C1032" t="n">
        <v>0.05012721542094054</v>
      </c>
      <c r="D1032" t="n">
        <v>0.03566492889154396</v>
      </c>
      <c r="E1032" t="n">
        <v>0.04084118073504934</v>
      </c>
    </row>
    <row r="1033">
      <c r="A1033" t="inlineStr">
        <is>
          <t>G|FICO x CHANNEL|where 2025|ranr_rate|book|2</t>
        </is>
      </c>
      <c r="B1033" t="n">
        <v>-9.306485758000001</v>
      </c>
      <c r="C1033" t="n">
        <v>-7.786283423</v>
      </c>
      <c r="D1033" t="n">
        <v>-9.232512076000001</v>
      </c>
      <c r="E1033" t="n">
        <v>-8.714886891000001</v>
      </c>
    </row>
    <row r="1034">
      <c r="A1034" t="inlineStr">
        <is>
          <t>G|FICO x CHANNEL|where 2025|ranr_rate|band|2</t>
        </is>
      </c>
      <c r="B1034" t="n">
        <v>-0.912596513</v>
      </c>
      <c r="C1034" t="n">
        <v>1.487920359</v>
      </c>
      <c r="D1034" t="n">
        <v>-0.711369356</v>
      </c>
    </row>
    <row r="1035">
      <c r="A1035" t="inlineStr">
        <is>
          <t>G|FICO x CHANNEL|where 2025|ranr_rate|rate|3</t>
        </is>
      </c>
      <c r="B1035" t="n">
        <v>0.03726482940211431</v>
      </c>
      <c r="C1035" t="n">
        <v>0.02739510236240075</v>
      </c>
      <c r="D1035" t="n">
        <v>0.0159717108454498</v>
      </c>
      <c r="E1035" t="n">
        <v>0.02785438354624583</v>
      </c>
    </row>
    <row r="1036">
      <c r="A1036" t="inlineStr">
        <is>
          <t>G|FICO x CHANNEL|where 2025|ranr_rate|book|3</t>
        </is>
      </c>
      <c r="B1036" t="n">
        <v>-9.072522025</v>
      </c>
      <c r="C1036" t="n">
        <v>-10.059494729</v>
      </c>
      <c r="D1036" t="n">
        <v>-11.20183388</v>
      </c>
      <c r="E1036" t="n">
        <v>-10.01356661</v>
      </c>
    </row>
    <row r="1037">
      <c r="A1037" t="inlineStr">
        <is>
          <t>G|FICO x CHANNEL|where 2025|ranr_rate|band|3</t>
        </is>
      </c>
      <c r="B1037" t="n">
        <v>1.51762072</v>
      </c>
      <c r="C1037" t="n">
        <v>-0.068758288</v>
      </c>
      <c r="D1037" t="n">
        <v>-1.669017229</v>
      </c>
    </row>
    <row r="1038">
      <c r="A1038" t="inlineStr">
        <is>
          <t>G|FICO x CHANNEL|where 2025|ranr_rate|rate|4</t>
        </is>
      </c>
      <c r="B1038" t="n">
        <v>0.01455624928125558</v>
      </c>
      <c r="C1038" t="n">
        <v>0.02498908058579679</v>
      </c>
      <c r="D1038" t="n">
        <v>0.02129199978219421</v>
      </c>
      <c r="E1038" t="n">
        <v>0.0202089714844566</v>
      </c>
    </row>
    <row r="1039">
      <c r="A1039" t="inlineStr">
        <is>
          <t>G|FICO x CHANNEL|where 2025|ranr_rate|book|4</t>
        </is>
      </c>
      <c r="B1039" t="n">
        <v>-11.343380037</v>
      </c>
      <c r="C1039" t="n">
        <v>-10.300096906</v>
      </c>
      <c r="D1039" t="n">
        <v>-10.669804987</v>
      </c>
      <c r="E1039" t="n">
        <v>-10.778107816</v>
      </c>
    </row>
    <row r="1040">
      <c r="A1040" t="inlineStr">
        <is>
          <t>G|FICO x CHANNEL|where 2025|ranr_rate|band|4</t>
        </is>
      </c>
      <c r="B1040" t="n">
        <v>-0.8374002659999999</v>
      </c>
      <c r="C1040" t="n">
        <v>0.682015943</v>
      </c>
      <c r="D1040" t="n">
        <v>0.173537662</v>
      </c>
    </row>
    <row r="1041">
      <c r="A1041" t="inlineStr">
        <is>
          <t>G|FICO x CHANNEL|where 2025|ranr_rate|rate|5</t>
        </is>
      </c>
      <c r="B1041" t="n">
        <v>0.02109825106616093</v>
      </c>
      <c r="C1041" t="n">
        <v>0.01159569247339141</v>
      </c>
      <c r="D1041" t="n">
        <v>0.0009037454187657538</v>
      </c>
      <c r="E1041" t="n">
        <v>0.01168714254087645</v>
      </c>
    </row>
    <row r="1042">
      <c r="A1042" t="inlineStr">
        <is>
          <t>G|FICO x CHANNEL|where 2025|ranr_rate|book|5</t>
        </is>
      </c>
      <c r="B1042" t="n">
        <v>-10.689179858</v>
      </c>
      <c r="C1042" t="n">
        <v>-11.639435717</v>
      </c>
      <c r="D1042" t="n">
        <v>-12.708630423</v>
      </c>
      <c r="E1042" t="n">
        <v>-11.630290711</v>
      </c>
    </row>
    <row r="1043">
      <c r="A1043" t="inlineStr">
        <is>
          <t>G|FICO x CHANNEL|where 2025|ranr_rate|band|5</t>
        </is>
      </c>
      <c r="B1043" t="n">
        <v>1.413476978</v>
      </c>
      <c r="C1043" t="n">
        <v>-0.014687329</v>
      </c>
      <c r="D1043" t="n">
        <v>-1.515498347</v>
      </c>
    </row>
    <row r="1044">
      <c r="A1044" t="inlineStr">
        <is>
          <t>G|FICO x CHANNEL|where 2025|ranr_rate|rate|6</t>
        </is>
      </c>
    </row>
    <row r="1045">
      <c r="A1045" t="inlineStr">
        <is>
          <t>G|FICO x CHANNEL|where 2025|ranr_rate|book|6</t>
        </is>
      </c>
    </row>
    <row r="1046">
      <c r="A1046" t="inlineStr">
        <is>
          <t>G|FICO x CHANNEL|where 2025|ranr_rate|band|6</t>
        </is>
      </c>
    </row>
    <row r="1047">
      <c r="A1047" t="inlineStr">
        <is>
          <t>G|FICO x CHANNEL|where 2025|ranr_rate|rate|7</t>
        </is>
      </c>
      <c r="B1047" t="n">
        <v>0.07315588848925272</v>
      </c>
      <c r="C1047" t="n">
        <v>0.05952615104697344</v>
      </c>
      <c r="D1047" t="n">
        <v>0.09758174118494764</v>
      </c>
      <c r="E1047" t="n">
        <v>0.07147699232450493</v>
      </c>
    </row>
    <row r="1048">
      <c r="A1048" t="inlineStr">
        <is>
          <t>G|FICO x CHANNEL|where 2025|ranr_rate|book|7</t>
        </is>
      </c>
      <c r="B1048" t="n">
        <v>-5.483416116</v>
      </c>
      <c r="C1048" t="n">
        <v>-6.84638986</v>
      </c>
      <c r="D1048" t="n">
        <v>-3.040830846</v>
      </c>
      <c r="E1048" t="n">
        <v>-5.651305732</v>
      </c>
    </row>
    <row r="1049">
      <c r="A1049" t="inlineStr">
        <is>
          <t>G|FICO x CHANNEL|where 2025|ranr_rate|band|7</t>
        </is>
      </c>
      <c r="B1049" t="n">
        <v>0.337877827</v>
      </c>
      <c r="C1049" t="n">
        <v>-1.876251584</v>
      </c>
      <c r="D1049" t="n">
        <v>3.013874364</v>
      </c>
    </row>
    <row r="1050">
      <c r="A1050" t="inlineStr">
        <is>
          <t>G|FICO x CHANNEL|where 2025|ranr_rate|rate|8</t>
        </is>
      </c>
      <c r="B1050" t="n">
        <v>0.03230531033172608</v>
      </c>
      <c r="C1050" t="n">
        <v>0.02423600925188872</v>
      </c>
      <c r="D1050" t="n">
        <v>0.02276094655457334</v>
      </c>
      <c r="E1050" t="n">
        <v>0.02661212722928229</v>
      </c>
    </row>
    <row r="1051">
      <c r="A1051" t="inlineStr">
        <is>
          <t>G|FICO x CHANNEL|where 2025|ranr_rate|book|8</t>
        </is>
      </c>
      <c r="B1051" t="n">
        <v>-9.568473932</v>
      </c>
      <c r="C1051" t="n">
        <v>-10.37540404</v>
      </c>
      <c r="D1051" t="n">
        <v>-10.522910309</v>
      </c>
      <c r="E1051" t="n">
        <v>-10.137792242</v>
      </c>
    </row>
    <row r="1052">
      <c r="A1052" t="inlineStr">
        <is>
          <t>G|FICO x CHANNEL|where 2025|ranr_rate|band|8</t>
        </is>
      </c>
    </row>
    <row r="1053">
      <c r="A1053" t="inlineStr">
        <is>
          <t>G|FICO x CHANNEL|where 2025|ranr_rate|meta</t>
        </is>
      </c>
      <c r="B1053" t="inlineStr">
        <is>
          <t>pts</t>
        </is>
      </c>
      <c r="C1053" t="n">
        <v>12.937283475</v>
      </c>
      <c r="D1053" t="n">
        <v>10</v>
      </c>
      <c r="E1053" t="n">
        <v>0.1279900496481481</v>
      </c>
      <c r="F1053" t="n">
        <v>30</v>
      </c>
    </row>
    <row r="1054">
      <c r="A1054" t="inlineStr">
        <is>
          <t>G|FICO x CHANNEL|where 2025|contribution_rate|rate|1</t>
        </is>
      </c>
      <c r="B1054" t="n">
        <v>0.1025010206005176</v>
      </c>
      <c r="C1054" t="n">
        <v>0.1044547432971481</v>
      </c>
      <c r="D1054" t="n">
        <v>0.1054551563454743</v>
      </c>
      <c r="E1054" t="n">
        <v>0.104118086598839</v>
      </c>
    </row>
    <row r="1055">
      <c r="A1055" t="inlineStr">
        <is>
          <t>G|FICO x CHANNEL|where 2025|contribution_rate|book|1</t>
        </is>
      </c>
      <c r="B1055" t="n">
        <v>-6.709143513</v>
      </c>
      <c r="C1055" t="n">
        <v>-6.513771244</v>
      </c>
      <c r="D1055" t="n">
        <v>-6.413729939</v>
      </c>
      <c r="E1055" t="n">
        <v>-6.547436914</v>
      </c>
    </row>
    <row r="1056">
      <c r="A1056" t="inlineStr">
        <is>
          <t>G|FICO x CHANNEL|where 2025|contribution_rate|band|1</t>
        </is>
      </c>
      <c r="B1056" t="n">
        <v>-0.251738698</v>
      </c>
      <c r="C1056" t="n">
        <v>0.046786053</v>
      </c>
      <c r="D1056" t="n">
        <v>0.209547522</v>
      </c>
    </row>
    <row r="1057">
      <c r="A1057" t="inlineStr">
        <is>
          <t>G|FICO x CHANNEL|where 2025|contribution_rate|rate|2</t>
        </is>
      </c>
      <c r="B1057" t="n">
        <v>0.07738940506809175</v>
      </c>
      <c r="C1057" t="n">
        <v>0.07872218891109442</v>
      </c>
      <c r="D1057" t="n">
        <v>0.08885843462878708</v>
      </c>
      <c r="E1057" t="n">
        <v>0.08101403952300787</v>
      </c>
    </row>
    <row r="1058">
      <c r="A1058" t="inlineStr">
        <is>
          <t>G|FICO x CHANNEL|where 2025|contribution_rate|book|2</t>
        </is>
      </c>
      <c r="B1058" t="n">
        <v>-9.220305067</v>
      </c>
      <c r="C1058" t="n">
        <v>-9.087026681999999</v>
      </c>
      <c r="D1058" t="n">
        <v>-8.073402111</v>
      </c>
      <c r="E1058" t="n">
        <v>-8.857841621</v>
      </c>
    </row>
    <row r="1059">
      <c r="A1059" t="inlineStr">
        <is>
          <t>G|FICO x CHANNEL|where 2025|contribution_rate|band|2</t>
        </is>
      </c>
      <c r="B1059" t="n">
        <v>-0.559133722</v>
      </c>
      <c r="C1059" t="n">
        <v>-0.367227918</v>
      </c>
      <c r="D1059" t="n">
        <v>1.078050772</v>
      </c>
    </row>
    <row r="1060">
      <c r="A1060" t="inlineStr">
        <is>
          <t>G|FICO x CHANNEL|where 2025|contribution_rate|rate|3</t>
        </is>
      </c>
      <c r="B1060" t="n">
        <v>0.06183319929165543</v>
      </c>
      <c r="C1060" t="n">
        <v>0.05976884389981713</v>
      </c>
      <c r="D1060" t="n">
        <v>0.08527127504784626</v>
      </c>
      <c r="E1060" t="n">
        <v>0.06789895162918623</v>
      </c>
    </row>
    <row r="1061">
      <c r="A1061" t="inlineStr">
        <is>
          <t>G|FICO x CHANNEL|where 2025|contribution_rate|book|3</t>
        </is>
      </c>
      <c r="B1061" t="n">
        <v>-10.775925644</v>
      </c>
      <c r="C1061" t="n">
        <v>-10.982361184</v>
      </c>
      <c r="D1061" t="n">
        <v>-8.432118068999999</v>
      </c>
      <c r="E1061" t="n">
        <v>-10.169350411</v>
      </c>
    </row>
    <row r="1062">
      <c r="A1062" t="inlineStr">
        <is>
          <t>G|FICO x CHANNEL|where 2025|contribution_rate|band|3</t>
        </is>
      </c>
      <c r="B1062" t="n">
        <v>-0.978222665</v>
      </c>
      <c r="C1062" t="n">
        <v>-1.217146065</v>
      </c>
      <c r="D1062" t="n">
        <v>2.440082953</v>
      </c>
    </row>
    <row r="1063">
      <c r="A1063" t="inlineStr">
        <is>
          <t>G|FICO x CHANNEL|where 2025|contribution_rate|rate|4</t>
        </is>
      </c>
      <c r="B1063" t="n">
        <v>0.04772439629497279</v>
      </c>
      <c r="C1063" t="n">
        <v>0.04647514703754387</v>
      </c>
      <c r="D1063" t="n">
        <v>0.06064117114095661</v>
      </c>
      <c r="E1063" t="n">
        <v>0.05220628647242999</v>
      </c>
    </row>
    <row r="1064">
      <c r="A1064" t="inlineStr">
        <is>
          <t>G|FICO x CHANNEL|where 2025|contribution_rate|book|4</t>
        </is>
      </c>
      <c r="B1064" t="n">
        <v>-12.186805944</v>
      </c>
      <c r="C1064" t="n">
        <v>-12.31173087</v>
      </c>
      <c r="D1064" t="n">
        <v>-10.895128459</v>
      </c>
      <c r="E1064" t="n">
        <v>-11.738616926</v>
      </c>
    </row>
    <row r="1065">
      <c r="A1065" t="inlineStr">
        <is>
          <t>G|FICO x CHANNEL|where 2025|contribution_rate|band|4</t>
        </is>
      </c>
      <c r="B1065" t="n">
        <v>-0.663951967</v>
      </c>
      <c r="C1065" t="n">
        <v>-0.817706957</v>
      </c>
      <c r="D1065" t="n">
        <v>1.351553018</v>
      </c>
    </row>
    <row r="1066">
      <c r="A1066" t="inlineStr">
        <is>
          <t>G|FICO x CHANNEL|where 2025|contribution_rate|rate|5</t>
        </is>
      </c>
      <c r="B1066" t="n">
        <v>0.03243965535374543</v>
      </c>
      <c r="C1066" t="n">
        <v>0.02969778902749725</v>
      </c>
      <c r="D1066" t="n">
        <v>0.03161834987942769</v>
      </c>
      <c r="E1066" t="n">
        <v>0.03116808849370058</v>
      </c>
    </row>
    <row r="1067">
      <c r="A1067" t="inlineStr">
        <is>
          <t>G|FICO x CHANNEL|where 2025|contribution_rate|book|5</t>
        </is>
      </c>
      <c r="B1067" t="n">
        <v>-13.715280038</v>
      </c>
      <c r="C1067" t="n">
        <v>-13.989466671</v>
      </c>
      <c r="D1067" t="n">
        <v>-13.797410586</v>
      </c>
      <c r="E1067" t="n">
        <v>-13.842436724</v>
      </c>
    </row>
    <row r="1068">
      <c r="A1068" t="inlineStr">
        <is>
          <t>G|FICO x CHANNEL|where 2025|contribution_rate|band|5</t>
        </is>
      </c>
      <c r="B1068" t="n">
        <v>0.190979679</v>
      </c>
      <c r="C1068" t="n">
        <v>-0.236137295</v>
      </c>
      <c r="D1068" t="n">
        <v>0.063279723</v>
      </c>
    </row>
    <row r="1069">
      <c r="A1069" t="inlineStr">
        <is>
          <t>G|FICO x CHANNEL|where 2025|contribution_rate|rate|6</t>
        </is>
      </c>
    </row>
    <row r="1070">
      <c r="A1070" t="inlineStr">
        <is>
          <t>G|FICO x CHANNEL|where 2025|contribution_rate|book|6</t>
        </is>
      </c>
    </row>
    <row r="1071">
      <c r="A1071" t="inlineStr">
        <is>
          <t>G|FICO x CHANNEL|where 2025|contribution_rate|band|6</t>
        </is>
      </c>
    </row>
    <row r="1072">
      <c r="A1072" t="inlineStr">
        <is>
          <t>G|FICO x CHANNEL|where 2025|contribution_rate|rate|7</t>
        </is>
      </c>
      <c r="B1072" t="n">
        <v>0.07315588848925272</v>
      </c>
      <c r="C1072" t="n">
        <v>0.05952615104697344</v>
      </c>
      <c r="D1072" t="n">
        <v>0.09758174118494764</v>
      </c>
      <c r="E1072" t="n">
        <v>0.07147699232450493</v>
      </c>
    </row>
    <row r="1073">
      <c r="A1073" t="inlineStr">
        <is>
          <t>G|FICO x CHANNEL|where 2025|contribution_rate|book|7</t>
        </is>
      </c>
      <c r="B1073" t="n">
        <v>-9.643656725</v>
      </c>
      <c r="C1073" t="n">
        <v>-11.006630469</v>
      </c>
      <c r="D1073" t="n">
        <v>-7.201071455</v>
      </c>
      <c r="E1073" t="n">
        <v>-9.811546341</v>
      </c>
    </row>
    <row r="1074">
      <c r="A1074" t="inlineStr">
        <is>
          <t>G|FICO x CHANNEL|where 2025|contribution_rate|band|7</t>
        </is>
      </c>
      <c r="B1074" t="n">
        <v>0.337877827</v>
      </c>
      <c r="C1074" t="n">
        <v>-1.876251584</v>
      </c>
      <c r="D1074" t="n">
        <v>3.013874364</v>
      </c>
    </row>
    <row r="1075">
      <c r="A1075" t="inlineStr">
        <is>
          <t>G|FICO x CHANNEL|where 2025|contribution_rate|rate|8</t>
        </is>
      </c>
      <c r="B1075" t="n">
        <v>0.06574733019374703</v>
      </c>
      <c r="C1075" t="n">
        <v>0.06286033194110469</v>
      </c>
      <c r="D1075" t="n">
        <v>0.07554027159638553</v>
      </c>
      <c r="E1075" t="n">
        <v>0.06787935832891552</v>
      </c>
    </row>
    <row r="1076">
      <c r="A1076" t="inlineStr">
        <is>
          <t>G|FICO x CHANNEL|where 2025|contribution_rate|book|8</t>
        </is>
      </c>
      <c r="B1076" t="n">
        <v>-10.384512554</v>
      </c>
      <c r="C1076" t="n">
        <v>-10.673212379</v>
      </c>
      <c r="D1076" t="n">
        <v>-9.405218414</v>
      </c>
      <c r="E1076" t="n">
        <v>-10.171309741</v>
      </c>
    </row>
    <row r="1077">
      <c r="A1077" t="inlineStr">
        <is>
          <t>G|FICO x CHANNEL|where 2025|contribution_rate|band|8</t>
        </is>
      </c>
    </row>
    <row r="1078">
      <c r="A1078" t="inlineStr">
        <is>
          <t>G|FICO x CHANNEL|where 2025|contribution_rate|meta</t>
        </is>
      </c>
      <c r="B1078" t="inlineStr">
        <is>
          <t>pts</t>
        </is>
      </c>
      <c r="C1078" t="n">
        <v>13.989466671</v>
      </c>
      <c r="D1078" t="n">
        <v>10</v>
      </c>
      <c r="E1078" t="n">
        <v>0.1695924557349815</v>
      </c>
      <c r="F1078" t="n">
        <v>30</v>
      </c>
    </row>
    <row r="1079">
      <c r="A1079" t="inlineStr">
        <is>
          <t>G|FICO x CHANNEL|where 2025|loan_size|rate|1</t>
        </is>
      </c>
      <c r="B1079" t="n">
        <v>34319.96464912281</v>
      </c>
      <c r="C1079" t="n">
        <v>31304.61193877551</v>
      </c>
      <c r="D1079" t="n">
        <v>32453.63852459016</v>
      </c>
      <c r="E1079" t="n">
        <v>32753.50850299401</v>
      </c>
    </row>
    <row r="1080">
      <c r="A1080" t="inlineStr">
        <is>
          <t>G|FICO x CHANNEL|where 2025|loan_size|median|1</t>
        </is>
      </c>
      <c r="B1080" t="n">
        <v>36243.01</v>
      </c>
      <c r="C1080" t="n">
        <v>32107.77</v>
      </c>
      <c r="D1080" t="n">
        <v>33182.205</v>
      </c>
      <c r="E1080" t="n">
        <v>33879.88</v>
      </c>
    </row>
    <row r="1081">
      <c r="A1081" t="inlineStr">
        <is>
          <t>G|FICO x CHANNEL|where 2025|loan_size|book|1</t>
        </is>
      </c>
      <c r="B1081" t="n">
        <v>1.063769714784969</v>
      </c>
      <c r="C1081" t="n">
        <v>0.9703068885421045</v>
      </c>
      <c r="D1081" t="n">
        <v>1.005921717868674</v>
      </c>
      <c r="E1081" t="n">
        <v>1.015216383660452</v>
      </c>
    </row>
    <row r="1082">
      <c r="A1082" t="inlineStr">
        <is>
          <t>G|FICO x CHANNEL|where 2025|loan_size|band|1</t>
        </is>
      </c>
      <c r="B1082" t="n">
        <v>1.074453076659014</v>
      </c>
      <c r="C1082" t="n">
        <v>0.9385235612042813</v>
      </c>
      <c r="D1082" t="n">
        <v>0.985651594932532</v>
      </c>
    </row>
    <row r="1083">
      <c r="A1083" t="inlineStr">
        <is>
          <t>G|FICO x CHANNEL|where 2025|loan_size|rate|2</t>
        </is>
      </c>
      <c r="B1083" t="n">
        <v>32006.99473684211</v>
      </c>
      <c r="C1083" t="n">
        <v>30948.12984126984</v>
      </c>
      <c r="D1083" t="n">
        <v>28538.09676767677</v>
      </c>
      <c r="E1083" t="n">
        <v>30600.39333333333</v>
      </c>
    </row>
    <row r="1084">
      <c r="A1084" t="inlineStr">
        <is>
          <t>G|FICO x CHANNEL|where 2025|loan_size|median|2</t>
        </is>
      </c>
      <c r="B1084" t="n">
        <v>32539.945</v>
      </c>
      <c r="C1084" t="n">
        <v>31895.66</v>
      </c>
      <c r="D1084" t="n">
        <v>27839.81</v>
      </c>
      <c r="E1084" t="n">
        <v>30749.4</v>
      </c>
    </row>
    <row r="1085">
      <c r="A1085" t="inlineStr">
        <is>
          <t>G|FICO x CHANNEL|where 2025|loan_size|book|2</t>
        </is>
      </c>
      <c r="B1085" t="n">
        <v>0.9920777020149052</v>
      </c>
      <c r="C1085" t="n">
        <v>0.9592574931517963</v>
      </c>
      <c r="D1085" t="n">
        <v>0.884556944315888</v>
      </c>
      <c r="E1085" t="n">
        <v>0.9484791730209393</v>
      </c>
    </row>
    <row r="1086">
      <c r="A1086" t="inlineStr">
        <is>
          <t>G|FICO x CHANNEL|where 2025|loan_size|band|2</t>
        </is>
      </c>
      <c r="B1086" t="n">
        <v>1.070908044575126</v>
      </c>
      <c r="C1086" t="n">
        <v>1.018208436850865</v>
      </c>
      <c r="D1086" t="n">
        <v>0.9073801945419583</v>
      </c>
    </row>
    <row r="1087">
      <c r="A1087" t="inlineStr">
        <is>
          <t>G|FICO x CHANNEL|where 2025|loan_size|rate|3</t>
        </is>
      </c>
      <c r="B1087" t="n">
        <v>30744.26848</v>
      </c>
      <c r="C1087" t="n">
        <v>32608.25932038835</v>
      </c>
      <c r="D1087" t="n">
        <v>27749.16371428571</v>
      </c>
      <c r="E1087" t="n">
        <v>30376.4157957958</v>
      </c>
    </row>
    <row r="1088">
      <c r="A1088" t="inlineStr">
        <is>
          <t>G|FICO x CHANNEL|where 2025|loan_size|median|3</t>
        </is>
      </c>
      <c r="B1088" t="n">
        <v>30394.77</v>
      </c>
      <c r="C1088" t="n">
        <v>30410.99</v>
      </c>
      <c r="D1088" t="n">
        <v>24878.72</v>
      </c>
      <c r="E1088" t="n">
        <v>28386.51</v>
      </c>
    </row>
    <row r="1089">
      <c r="A1089" t="inlineStr">
        <is>
          <t>G|FICO x CHANNEL|where 2025|loan_size|book|3</t>
        </is>
      </c>
      <c r="B1089" t="n">
        <v>0.9529386771404507</v>
      </c>
      <c r="C1089" t="n">
        <v>1.010714290399784</v>
      </c>
      <c r="D1089" t="n">
        <v>0.8601034491631275</v>
      </c>
      <c r="E1089" t="n">
        <v>0.941536842990578</v>
      </c>
    </row>
    <row r="1090">
      <c r="A1090" t="inlineStr">
        <is>
          <t>G|FICO x CHANNEL|where 2025|loan_size|band|3</t>
        </is>
      </c>
      <c r="B1090" t="n">
        <v>1.019529469558191</v>
      </c>
      <c r="C1090" t="n">
        <v>1.109995169412404</v>
      </c>
      <c r="D1090" t="n">
        <v>0.878518009073611</v>
      </c>
    </row>
    <row r="1091">
      <c r="A1091" t="inlineStr">
        <is>
          <t>G|FICO x CHANNEL|where 2025|loan_size|rate|4</t>
        </is>
      </c>
      <c r="B1091" t="n">
        <v>30188.88593220339</v>
      </c>
      <c r="C1091" t="n">
        <v>29808.667</v>
      </c>
      <c r="D1091" t="n">
        <v>35523.57810344828</v>
      </c>
      <c r="E1091" t="n">
        <v>31866.21212209302</v>
      </c>
    </row>
    <row r="1092">
      <c r="A1092" t="inlineStr">
        <is>
          <t>G|FICO x CHANNEL|where 2025|loan_size|median|4</t>
        </is>
      </c>
      <c r="B1092" t="n">
        <v>28731.765</v>
      </c>
      <c r="C1092" t="n">
        <v>31252.32</v>
      </c>
      <c r="D1092" t="n">
        <v>35563.935</v>
      </c>
      <c r="E1092" t="n">
        <v>31826.995</v>
      </c>
    </row>
    <row r="1093">
      <c r="A1093" t="inlineStr">
        <is>
          <t>G|FICO x CHANNEL|where 2025|loan_size|book|4</t>
        </is>
      </c>
      <c r="B1093" t="n">
        <v>0.9357242324139975</v>
      </c>
      <c r="C1093" t="n">
        <v>0.9239390983323928</v>
      </c>
      <c r="D1093" t="n">
        <v>1.101076499745538</v>
      </c>
      <c r="E1093" t="n">
        <v>0.9877140529415621</v>
      </c>
    </row>
    <row r="1094">
      <c r="A1094" t="inlineStr">
        <is>
          <t>G|FICO x CHANNEL|where 2025|loan_size|band|4</t>
        </is>
      </c>
      <c r="B1094" t="n">
        <v>0.9220237156225732</v>
      </c>
      <c r="C1094" t="n">
        <v>0.9078753940050373</v>
      </c>
      <c r="D1094" t="n">
        <v>1.183904313593584</v>
      </c>
    </row>
    <row r="1095">
      <c r="A1095" t="inlineStr">
        <is>
          <t>G|FICO x CHANNEL|where 2025|loan_size|rate|5</t>
        </is>
      </c>
      <c r="B1095" t="n">
        <v>29357.62778761062</v>
      </c>
      <c r="C1095" t="n">
        <v>32292.40163793103</v>
      </c>
      <c r="D1095" t="n">
        <v>30141.814</v>
      </c>
      <c r="E1095" t="n">
        <v>30638.28043209876</v>
      </c>
    </row>
    <row r="1096">
      <c r="A1096" t="inlineStr">
        <is>
          <t>G|FICO x CHANNEL|where 2025|loan_size|median|5</t>
        </is>
      </c>
      <c r="B1096" t="n">
        <v>27905.53</v>
      </c>
      <c r="C1096" t="n">
        <v>32273.115</v>
      </c>
      <c r="D1096" t="n">
        <v>25471.69</v>
      </c>
      <c r="E1096" t="n">
        <v>28858.44</v>
      </c>
    </row>
    <row r="1097">
      <c r="A1097" t="inlineStr">
        <is>
          <t>G|FICO x CHANNEL|where 2025|loan_size|book|5</t>
        </is>
      </c>
      <c r="B1097" t="n">
        <v>0.9099588434217121</v>
      </c>
      <c r="C1097" t="n">
        <v>1.000924075281108</v>
      </c>
      <c r="D1097" t="n">
        <v>0.9342652071380011</v>
      </c>
      <c r="E1097" t="n">
        <v>0.949653508386951</v>
      </c>
    </row>
    <row r="1098">
      <c r="A1098" t="inlineStr">
        <is>
          <t>G|FICO x CHANNEL|where 2025|loan_size|band|5</t>
        </is>
      </c>
      <c r="B1098" t="n">
        <v>0.9372209237074209</v>
      </c>
      <c r="C1098" t="n">
        <v>1.086708510834107</v>
      </c>
      <c r="D1098" t="n">
        <v>0.9772267313108454</v>
      </c>
    </row>
    <row r="1099">
      <c r="A1099" t="inlineStr">
        <is>
          <t>G|FICO x CHANNEL|where 2025|loan_size|rate|6</t>
        </is>
      </c>
    </row>
    <row r="1100">
      <c r="A1100" t="inlineStr">
        <is>
          <t>G|FICO x CHANNEL|where 2025|loan_size|median|6</t>
        </is>
      </c>
    </row>
    <row r="1101">
      <c r="A1101" t="inlineStr">
        <is>
          <t>G|FICO x CHANNEL|where 2025|loan_size|book|6</t>
        </is>
      </c>
    </row>
    <row r="1102">
      <c r="A1102" t="inlineStr">
        <is>
          <t>G|FICO x CHANNEL|where 2025|loan_size|band|6</t>
        </is>
      </c>
    </row>
    <row r="1103">
      <c r="A1103" t="inlineStr">
        <is>
          <t>G|FICO x CHANNEL|where 2025|loan_size|rate|7</t>
        </is>
      </c>
      <c r="B1103" t="n">
        <v>35954.28538461539</v>
      </c>
      <c r="C1103" t="n">
        <v>33728.554</v>
      </c>
      <c r="D1103" t="n">
        <v>24869.96</v>
      </c>
      <c r="E1103" t="n">
        <v>33180.0375</v>
      </c>
    </row>
    <row r="1104">
      <c r="A1104" t="inlineStr">
        <is>
          <t>G|FICO x CHANNEL|where 2025|loan_size|median|7</t>
        </is>
      </c>
      <c r="B1104" t="n">
        <v>38946.05</v>
      </c>
      <c r="C1104" t="n">
        <v>37799.09</v>
      </c>
      <c r="D1104" t="n">
        <v>22358.89</v>
      </c>
      <c r="E1104" t="n">
        <v>29629.22</v>
      </c>
    </row>
    <row r="1105">
      <c r="A1105" t="inlineStr">
        <is>
          <t>G|FICO x CHANNEL|where 2025|loan_size|book|7</t>
        </is>
      </c>
      <c r="B1105" t="n">
        <v>1.114426553171501</v>
      </c>
      <c r="C1105" t="n">
        <v>1.045438555532034</v>
      </c>
      <c r="D1105" t="n">
        <v>0.7708606499566947</v>
      </c>
      <c r="E1105" t="n">
        <v>1.028436928440476</v>
      </c>
    </row>
    <row r="1106">
      <c r="A1106" t="inlineStr">
        <is>
          <t>G|FICO x CHANNEL|where 2025|loan_size|band|7</t>
        </is>
      </c>
      <c r="B1106" t="n">
        <v>1.168269051431874</v>
      </c>
      <c r="C1106" t="n">
        <v>1.025954066739488</v>
      </c>
      <c r="D1106" t="n">
        <v>0.7108429226737584</v>
      </c>
    </row>
    <row r="1107">
      <c r="A1107" t="inlineStr">
        <is>
          <t>G|FICO x CHANNEL|where 2025|loan_size|rate|8</t>
        </is>
      </c>
      <c r="B1107" t="n">
        <v>31409.40221105528</v>
      </c>
      <c r="C1107" t="n">
        <v>31417.62795737122</v>
      </c>
      <c r="D1107" t="n">
        <v>31008.92040590406</v>
      </c>
      <c r="E1107" t="n">
        <v>31284.59019976499</v>
      </c>
    </row>
    <row r="1108">
      <c r="A1108" t="inlineStr">
        <is>
          <t>G|FICO x CHANNEL|where 2025|loan_size|median|8</t>
        </is>
      </c>
      <c r="B1108" t="n">
        <v>30663.27</v>
      </c>
      <c r="C1108" t="n">
        <v>31792.12</v>
      </c>
      <c r="D1108" t="n">
        <v>29219.555</v>
      </c>
      <c r="E1108" t="n">
        <v>30730.845</v>
      </c>
    </row>
    <row r="1109">
      <c r="A1109" t="inlineStr">
        <is>
          <t>G|FICO x CHANNEL|where 2025|loan_size|book|8</t>
        </is>
      </c>
      <c r="B1109" t="n">
        <v>0.973554931458085</v>
      </c>
      <c r="C1109" t="n">
        <v>0.9738098938364519</v>
      </c>
      <c r="D1109" t="n">
        <v>0.9611417363980728</v>
      </c>
      <c r="E1109" t="n">
        <v>0.969686301667541</v>
      </c>
    </row>
    <row r="1110">
      <c r="A1110" t="inlineStr">
        <is>
          <t>G|FICO x CHANNEL|where 2025|loan_size|band|8</t>
        </is>
      </c>
    </row>
    <row r="1111">
      <c r="A1111" t="inlineStr">
        <is>
          <t>G|FICO x CHANNEL|where 2025|loan_size|meta</t>
        </is>
      </c>
      <c r="B1111" t="inlineStr">
        <is>
          <t>size</t>
        </is>
      </c>
      <c r="C1111" t="n">
        <v>1</v>
      </c>
      <c r="E1111" t="n">
        <v>32262.58857732217</v>
      </c>
      <c r="F1111" t="n">
        <v>30</v>
      </c>
    </row>
    <row r="1112">
      <c r="A1112" t="inlineStr">
        <is>
          <t>G|FICO x CHANNEL|where 2026|cols</t>
        </is>
      </c>
      <c r="B1112" t="inlineStr">
        <is>
          <t>Branch</t>
        </is>
      </c>
      <c r="C1112" t="inlineStr">
        <is>
          <t>Broker</t>
        </is>
      </c>
      <c r="D1112" t="inlineStr">
        <is>
          <t>Online</t>
        </is>
      </c>
      <c r="E1112" t="inlineStr">
        <is>
          <t>All</t>
        </is>
      </c>
    </row>
    <row r="1113">
      <c r="A1113" t="inlineStr">
        <is>
          <t>G|FICO x CHANNEL|where 2026|heads</t>
        </is>
      </c>
      <c r="B1113" t="inlineStr">
        <is>
          <t>Branch</t>
        </is>
      </c>
      <c r="C1113" t="inlineStr">
        <is>
          <t>Broker</t>
        </is>
      </c>
      <c r="D1113" t="inlineStr">
        <is>
          <t>Online</t>
        </is>
      </c>
      <c r="E1113" t="inlineStr">
        <is>
          <t>All</t>
        </is>
      </c>
    </row>
    <row r="1114">
      <c r="A1114" t="inlineStr">
        <is>
          <t>G|FICO x CHANNEL|where 2026|segs</t>
        </is>
      </c>
    </row>
    <row r="1115">
      <c r="A1115" t="inlineStr">
        <is>
          <t>G|FICO x CHANNEL|where 2026|rows</t>
        </is>
      </c>
      <c r="B1115" t="inlineStr">
        <is>
          <t>496 - 653</t>
        </is>
      </c>
      <c r="C1115" t="inlineStr">
        <is>
          <t>654 - 685</t>
        </is>
      </c>
      <c r="D1115" t="inlineStr">
        <is>
          <t>686 - 711</t>
        </is>
      </c>
      <c r="E1115" t="inlineStr">
        <is>
          <t>712 - 745</t>
        </is>
      </c>
      <c r="F1115" t="inlineStr">
        <is>
          <t>746 - 921</t>
        </is>
      </c>
      <c r="G1115" t="inlineStr">
        <is>
          <t>(blank)</t>
        </is>
      </c>
      <c r="H1115" t="inlineStr">
        <is>
          <t>(marked missing)</t>
        </is>
      </c>
      <c r="I1115" t="inlineStr">
        <is>
          <t>All</t>
        </is>
      </c>
    </row>
    <row r="1116">
      <c r="A1116" t="inlineStr">
        <is>
          <t>G|FICO x CHANNEL|where 2026|names</t>
        </is>
      </c>
      <c r="B1116" t="inlineStr">
        <is>
          <t>FICO</t>
        </is>
      </c>
      <c r="C1116" t="inlineStr">
        <is>
          <t>CHANNEL</t>
        </is>
      </c>
    </row>
    <row r="1117">
      <c r="A1117" t="inlineStr">
        <is>
          <t>G|FICO x CHANNEL|where 2026|total</t>
        </is>
      </c>
      <c r="B1117" t="n">
        <v>373</v>
      </c>
    </row>
    <row r="1118">
      <c r="A1118" t="inlineStr">
        <is>
          <t>G|FICO x CHANNEL|where 2026|loans|1</t>
        </is>
      </c>
      <c r="B1118" t="n">
        <v>24</v>
      </c>
      <c r="C1118" t="n">
        <v>30</v>
      </c>
      <c r="D1118" t="n">
        <v>14</v>
      </c>
      <c r="E1118" t="n">
        <v>68</v>
      </c>
    </row>
    <row r="1119">
      <c r="A1119" t="inlineStr">
        <is>
          <t>G|FICO x CHANNEL|where 2026|loans|2</t>
        </is>
      </c>
      <c r="B1119" t="n">
        <v>28</v>
      </c>
      <c r="C1119" t="n">
        <v>28</v>
      </c>
      <c r="D1119" t="n">
        <v>25</v>
      </c>
      <c r="E1119" t="n">
        <v>81</v>
      </c>
    </row>
    <row r="1120">
      <c r="A1120" t="inlineStr">
        <is>
          <t>G|FICO x CHANNEL|where 2026|loans|3</t>
        </is>
      </c>
      <c r="B1120" t="n">
        <v>21</v>
      </c>
      <c r="C1120" t="n">
        <v>23</v>
      </c>
      <c r="D1120" t="n">
        <v>28</v>
      </c>
      <c r="E1120" t="n">
        <v>72</v>
      </c>
    </row>
    <row r="1121">
      <c r="A1121" t="inlineStr">
        <is>
          <t>G|FICO x CHANNEL|where 2026|loans|4</t>
        </is>
      </c>
      <c r="B1121" t="n">
        <v>32</v>
      </c>
      <c r="C1121" t="n">
        <v>29</v>
      </c>
      <c r="D1121" t="n">
        <v>22</v>
      </c>
      <c r="E1121" t="n">
        <v>83</v>
      </c>
    </row>
    <row r="1122">
      <c r="A1122" t="inlineStr">
        <is>
          <t>G|FICO x CHANNEL|where 2026|loans|5</t>
        </is>
      </c>
      <c r="B1122" t="n">
        <v>16</v>
      </c>
      <c r="C1122" t="n">
        <v>18</v>
      </c>
      <c r="D1122" t="n">
        <v>28</v>
      </c>
      <c r="E1122" t="n">
        <v>62</v>
      </c>
    </row>
    <row r="1123">
      <c r="A1123" t="inlineStr">
        <is>
          <t>G|FICO x CHANNEL|where 2026|loans|6</t>
        </is>
      </c>
    </row>
    <row r="1124">
      <c r="A1124" t="inlineStr">
        <is>
          <t>G|FICO x CHANNEL|where 2026|loans|7</t>
        </is>
      </c>
      <c r="B1124" t="n">
        <v>1</v>
      </c>
      <c r="C1124" t="n">
        <v>5</v>
      </c>
      <c r="D1124" t="n">
        <v>1</v>
      </c>
      <c r="E1124" t="n">
        <v>7</v>
      </c>
    </row>
    <row r="1125">
      <c r="A1125" t="inlineStr">
        <is>
          <t>G|FICO x CHANNEL|where 2026|loans|8</t>
        </is>
      </c>
      <c r="B1125" t="n">
        <v>122</v>
      </c>
      <c r="C1125" t="n">
        <v>133</v>
      </c>
      <c r="D1125" t="n">
        <v>118</v>
      </c>
      <c r="E1125" t="n">
        <v>373</v>
      </c>
    </row>
    <row r="1126">
      <c r="A1126" t="inlineStr">
        <is>
          <t>G|FICO x CHANNEL|where 2026|outcome_loans|rate|1</t>
        </is>
      </c>
      <c r="B1126" t="n">
        <v>0.08333333333333333</v>
      </c>
      <c r="C1126" t="n">
        <v>0.3</v>
      </c>
      <c r="D1126" t="n">
        <v>0</v>
      </c>
      <c r="E1126" t="n">
        <v>0.1617647058823529</v>
      </c>
    </row>
    <row r="1127">
      <c r="A1127" t="inlineStr">
        <is>
          <t>G|FICO x CHANNEL|where 2026|outcome_loans|book|1</t>
        </is>
      </c>
      <c r="E1127" t="n">
        <v>2.090397225125915</v>
      </c>
    </row>
    <row r="1128">
      <c r="A1128" t="inlineStr">
        <is>
          <t>G|FICO x CHANNEL|where 2026|outcome_loans|band|1</t>
        </is>
      </c>
    </row>
    <row r="1129">
      <c r="A1129" t="inlineStr">
        <is>
          <t>G|FICO x CHANNEL|where 2026|outcome_loans|rate|2</t>
        </is>
      </c>
      <c r="B1129" t="n">
        <v>0.03571428571428571</v>
      </c>
      <c r="C1129" t="n">
        <v>0.03571428571428571</v>
      </c>
      <c r="D1129" t="n">
        <v>0.08</v>
      </c>
      <c r="E1129" t="n">
        <v>0.04938271604938271</v>
      </c>
    </row>
    <row r="1130">
      <c r="A1130" t="inlineStr">
        <is>
          <t>G|FICO x CHANNEL|where 2026|outcome_loans|book|2</t>
        </is>
      </c>
    </row>
    <row r="1131">
      <c r="A1131" t="inlineStr">
        <is>
          <t>G|FICO x CHANNEL|where 2026|outcome_loans|band|2</t>
        </is>
      </c>
    </row>
    <row r="1132">
      <c r="A1132" t="inlineStr">
        <is>
          <t>G|FICO x CHANNEL|where 2026|outcome_loans|rate|3</t>
        </is>
      </c>
      <c r="B1132" t="n">
        <v>0</v>
      </c>
      <c r="C1132" t="n">
        <v>0</v>
      </c>
      <c r="D1132" t="n">
        <v>0.1071428571428571</v>
      </c>
      <c r="E1132" t="n">
        <v>0.04166666666666666</v>
      </c>
    </row>
    <row r="1133">
      <c r="A1133" t="inlineStr">
        <is>
          <t>G|FICO x CHANNEL|where 2026|outcome_loans|book|3</t>
        </is>
      </c>
    </row>
    <row r="1134">
      <c r="A1134" t="inlineStr">
        <is>
          <t>G|FICO x CHANNEL|where 2026|outcome_loans|band|3</t>
        </is>
      </c>
    </row>
    <row r="1135">
      <c r="A1135" t="inlineStr">
        <is>
          <t>G|FICO x CHANNEL|where 2026|outcome_loans|rate|4</t>
        </is>
      </c>
      <c r="B1135" t="n">
        <v>0.0625</v>
      </c>
      <c r="C1135" t="n">
        <v>0.03448275862068965</v>
      </c>
      <c r="D1135" t="n">
        <v>0.04545454545454546</v>
      </c>
      <c r="E1135" t="n">
        <v>0.04819277108433735</v>
      </c>
    </row>
    <row r="1136">
      <c r="A1136" t="inlineStr">
        <is>
          <t>G|FICO x CHANNEL|where 2026|outcome_loans|book|4</t>
        </is>
      </c>
    </row>
    <row r="1137">
      <c r="A1137" t="inlineStr">
        <is>
          <t>G|FICO x CHANNEL|where 2026|outcome_loans|band|4</t>
        </is>
      </c>
    </row>
    <row r="1138">
      <c r="A1138" t="inlineStr">
        <is>
          <t>G|FICO x CHANNEL|where 2026|outcome_loans|rate|5</t>
        </is>
      </c>
      <c r="B1138" t="n">
        <v>0</v>
      </c>
      <c r="C1138" t="n">
        <v>0.05555555555555555</v>
      </c>
      <c r="D1138" t="n">
        <v>0.07142857142857142</v>
      </c>
      <c r="E1138" t="n">
        <v>0.04838709677419355</v>
      </c>
    </row>
    <row r="1139">
      <c r="A1139" t="inlineStr">
        <is>
          <t>G|FICO x CHANNEL|where 2026|outcome_loans|book|5</t>
        </is>
      </c>
    </row>
    <row r="1140">
      <c r="A1140" t="inlineStr">
        <is>
          <t>G|FICO x CHANNEL|where 2026|outcome_loans|band|5</t>
        </is>
      </c>
    </row>
    <row r="1141">
      <c r="A1141" t="inlineStr">
        <is>
          <t>G|FICO x CHANNEL|where 2026|outcome_loans|rate|6</t>
        </is>
      </c>
    </row>
    <row r="1142">
      <c r="A1142" t="inlineStr">
        <is>
          <t>G|FICO x CHANNEL|where 2026|outcome_loans|book|6</t>
        </is>
      </c>
    </row>
    <row r="1143">
      <c r="A1143" t="inlineStr">
        <is>
          <t>G|FICO x CHANNEL|where 2026|outcome_loans|band|6</t>
        </is>
      </c>
    </row>
    <row r="1144">
      <c r="A1144" t="inlineStr">
        <is>
          <t>G|FICO x CHANNEL|where 2026|outcome_loans|rate|7</t>
        </is>
      </c>
      <c r="B1144" t="n">
        <v>0</v>
      </c>
      <c r="C1144" t="n">
        <v>0</v>
      </c>
      <c r="D1144" t="n">
        <v>0</v>
      </c>
      <c r="E1144" t="n">
        <v>0</v>
      </c>
    </row>
    <row r="1145">
      <c r="A1145" t="inlineStr">
        <is>
          <t>G|FICO x CHANNEL|where 2026|outcome_loans|book|7</t>
        </is>
      </c>
    </row>
    <row r="1146">
      <c r="A1146" t="inlineStr">
        <is>
          <t>G|FICO x CHANNEL|where 2026|outcome_loans|band|7</t>
        </is>
      </c>
    </row>
    <row r="1147">
      <c r="A1147" t="inlineStr">
        <is>
          <t>G|FICO x CHANNEL|where 2026|outcome_loans|rate|8</t>
        </is>
      </c>
      <c r="B1147" t="n">
        <v>0.04098360655737705</v>
      </c>
      <c r="C1147" t="n">
        <v>0.09022556390977443</v>
      </c>
      <c r="D1147" t="n">
        <v>0.06779661016949153</v>
      </c>
      <c r="E1147" t="n">
        <v>0.06702412868632708</v>
      </c>
    </row>
    <row r="1148">
      <c r="A1148" t="inlineStr">
        <is>
          <t>G|FICO x CHANNEL|where 2026|outcome_loans|book|8</t>
        </is>
      </c>
      <c r="C1148" t="n">
        <v>1.165935841218555</v>
      </c>
      <c r="E1148" t="n">
        <v>0.8661163253019876</v>
      </c>
    </row>
    <row r="1149">
      <c r="A1149" t="inlineStr">
        <is>
          <t>G|FICO x CHANNEL|where 2026|outcome_loans|band|8</t>
        </is>
      </c>
    </row>
    <row r="1150">
      <c r="A1150" t="inlineStr">
        <is>
          <t>G|FICO x CHANNEL|where 2026|outcome_loans|meta</t>
        </is>
      </c>
      <c r="B1150" t="inlineStr">
        <is>
          <t>x</t>
        </is>
      </c>
      <c r="C1150" t="n">
        <v>2.090397225125915</v>
      </c>
      <c r="D1150" t="n">
        <v>10</v>
      </c>
      <c r="E1150" t="n">
        <v>0.07738467308413552</v>
      </c>
      <c r="F1150" t="n">
        <v>30</v>
      </c>
    </row>
    <row r="1151">
      <c r="A1151" t="inlineStr">
        <is>
          <t>G|FICO x CHANNEL|where 2026|outcome_booked|rate|1</t>
        </is>
      </c>
      <c r="B1151" t="n">
        <v>0.1029805346068758</v>
      </c>
      <c r="C1151" t="n">
        <v>0.2372500906038561</v>
      </c>
      <c r="D1151" t="n">
        <v>0</v>
      </c>
      <c r="E1151" t="n">
        <v>0.144832327963888</v>
      </c>
    </row>
    <row r="1152">
      <c r="A1152" t="inlineStr">
        <is>
          <t>G|FICO x CHANNEL|where 2026|outcome_booked|book|1</t>
        </is>
      </c>
      <c r="E1152" t="n">
        <v>1.93551406996995</v>
      </c>
    </row>
    <row r="1153">
      <c r="A1153" t="inlineStr">
        <is>
          <t>G|FICO x CHANNEL|where 2026|outcome_booked|band|1</t>
        </is>
      </c>
    </row>
    <row r="1154">
      <c r="A1154" t="inlineStr">
        <is>
          <t>G|FICO x CHANNEL|where 2026|outcome_booked|rate|2</t>
        </is>
      </c>
      <c r="B1154" t="n">
        <v>0.04822490365406908</v>
      </c>
      <c r="C1154" t="n">
        <v>0.04610919856258535</v>
      </c>
      <c r="D1154" t="n">
        <v>0.03603201742689073</v>
      </c>
      <c r="E1154" t="n">
        <v>0.04428380007922961</v>
      </c>
    </row>
    <row r="1155">
      <c r="A1155" t="inlineStr">
        <is>
          <t>G|FICO x CHANNEL|where 2026|outcome_booked|book|2</t>
        </is>
      </c>
    </row>
    <row r="1156">
      <c r="A1156" t="inlineStr">
        <is>
          <t>G|FICO x CHANNEL|where 2026|outcome_booked|band|2</t>
        </is>
      </c>
    </row>
    <row r="1157">
      <c r="A1157" t="inlineStr">
        <is>
          <t>G|FICO x CHANNEL|where 2026|outcome_booked|rate|3</t>
        </is>
      </c>
      <c r="B1157" t="n">
        <v>0</v>
      </c>
      <c r="C1157" t="n">
        <v>0</v>
      </c>
      <c r="D1157" t="n">
        <v>0.1313365614795251</v>
      </c>
      <c r="E1157" t="n">
        <v>0.04768756498362427</v>
      </c>
    </row>
    <row r="1158">
      <c r="A1158" t="inlineStr">
        <is>
          <t>G|FICO x CHANNEL|where 2026|outcome_booked|book|3</t>
        </is>
      </c>
    </row>
    <row r="1159">
      <c r="A1159" t="inlineStr">
        <is>
          <t>G|FICO x CHANNEL|where 2026|outcome_booked|band|3</t>
        </is>
      </c>
    </row>
    <row r="1160">
      <c r="A1160" t="inlineStr">
        <is>
          <t>G|FICO x CHANNEL|where 2026|outcome_booked|rate|4</t>
        </is>
      </c>
      <c r="B1160" t="n">
        <v>0.03914252558261706</v>
      </c>
      <c r="C1160" t="n">
        <v>0.05554718011659626</v>
      </c>
      <c r="D1160" t="n">
        <v>0.01868976358949152</v>
      </c>
      <c r="E1160" t="n">
        <v>0.03970289099384697</v>
      </c>
    </row>
    <row r="1161">
      <c r="A1161" t="inlineStr">
        <is>
          <t>G|FICO x CHANNEL|where 2026|outcome_booked|book|4</t>
        </is>
      </c>
    </row>
    <row r="1162">
      <c r="A1162" t="inlineStr">
        <is>
          <t>G|FICO x CHANNEL|where 2026|outcome_booked|band|4</t>
        </is>
      </c>
    </row>
    <row r="1163">
      <c r="A1163" t="inlineStr">
        <is>
          <t>G|FICO x CHANNEL|where 2026|outcome_booked|rate|5</t>
        </is>
      </c>
      <c r="B1163" t="n">
        <v>0</v>
      </c>
      <c r="C1163" t="n">
        <v>0.1162830930003664</v>
      </c>
      <c r="D1163" t="n">
        <v>0.06139658369630895</v>
      </c>
      <c r="E1163" t="n">
        <v>0.05897516734014241</v>
      </c>
    </row>
    <row r="1164">
      <c r="A1164" t="inlineStr">
        <is>
          <t>G|FICO x CHANNEL|where 2026|outcome_booked|book|5</t>
        </is>
      </c>
    </row>
    <row r="1165">
      <c r="A1165" t="inlineStr">
        <is>
          <t>G|FICO x CHANNEL|where 2026|outcome_booked|band|5</t>
        </is>
      </c>
    </row>
    <row r="1166">
      <c r="A1166" t="inlineStr">
        <is>
          <t>G|FICO x CHANNEL|where 2026|outcome_booked|rate|6</t>
        </is>
      </c>
    </row>
    <row r="1167">
      <c r="A1167" t="inlineStr">
        <is>
          <t>G|FICO x CHANNEL|where 2026|outcome_booked|book|6</t>
        </is>
      </c>
    </row>
    <row r="1168">
      <c r="A1168" t="inlineStr">
        <is>
          <t>G|FICO x CHANNEL|where 2026|outcome_booked|band|6</t>
        </is>
      </c>
    </row>
    <row r="1169">
      <c r="A1169" t="inlineStr">
        <is>
          <t>G|FICO x CHANNEL|where 2026|outcome_booked|rate|7</t>
        </is>
      </c>
      <c r="B1169" t="n">
        <v>0</v>
      </c>
      <c r="C1169" t="n">
        <v>0</v>
      </c>
      <c r="D1169" t="n">
        <v>0</v>
      </c>
      <c r="E1169" t="n">
        <v>0</v>
      </c>
    </row>
    <row r="1170">
      <c r="A1170" t="inlineStr">
        <is>
          <t>G|FICO x CHANNEL|where 2026|outcome_booked|book|7</t>
        </is>
      </c>
    </row>
    <row r="1171">
      <c r="A1171" t="inlineStr">
        <is>
          <t>G|FICO x CHANNEL|where 2026|outcome_booked|band|7</t>
        </is>
      </c>
    </row>
    <row r="1172">
      <c r="A1172" t="inlineStr">
        <is>
          <t>G|FICO x CHANNEL|where 2026|outcome_booked|rate|8</t>
        </is>
      </c>
      <c r="B1172" t="n">
        <v>0.04113440547678392</v>
      </c>
      <c r="C1172" t="n">
        <v>0.08581214173843688</v>
      </c>
      <c r="D1172" t="n">
        <v>0.05840855601772112</v>
      </c>
      <c r="E1172" t="n">
        <v>0.06287894503192365</v>
      </c>
    </row>
    <row r="1173">
      <c r="A1173" t="inlineStr">
        <is>
          <t>G|FICO x CHANNEL|where 2026|outcome_booked|book|8</t>
        </is>
      </c>
      <c r="C1173" t="n">
        <v>1.146778554511757</v>
      </c>
      <c r="E1173" t="n">
        <v>0.84030329778653</v>
      </c>
    </row>
    <row r="1174">
      <c r="A1174" t="inlineStr">
        <is>
          <t>G|FICO x CHANNEL|where 2026|outcome_booked|band|8</t>
        </is>
      </c>
    </row>
    <row r="1175">
      <c r="A1175" t="inlineStr">
        <is>
          <t>G|FICO x CHANNEL|where 2026|outcome_booked|meta</t>
        </is>
      </c>
      <c r="B1175" t="inlineStr">
        <is>
          <t>x</t>
        </is>
      </c>
      <c r="C1175" t="n">
        <v>1.93551406996995</v>
      </c>
      <c r="D1175" t="n">
        <v>10</v>
      </c>
      <c r="E1175" t="n">
        <v>0.07482886857347235</v>
      </c>
      <c r="F1175" t="n">
        <v>30</v>
      </c>
    </row>
    <row r="1176">
      <c r="A1176" t="inlineStr">
        <is>
          <t>G|FICO x CHANNEL|where 2026|gco_rate|rate|1</t>
        </is>
      </c>
      <c r="B1176" t="n">
        <v>0.04883513013280051</v>
      </c>
      <c r="C1176" t="n">
        <v>0.1404377952648093</v>
      </c>
      <c r="D1176" t="n">
        <v>0</v>
      </c>
      <c r="E1176" t="n">
        <v>0.08129175392605051</v>
      </c>
    </row>
    <row r="1177">
      <c r="A1177" t="inlineStr">
        <is>
          <t>G|FICO x CHANNEL|where 2026|gco_rate|book|1</t>
        </is>
      </c>
      <c r="E1177" t="n">
        <v>1.953881396375007</v>
      </c>
    </row>
    <row r="1178">
      <c r="A1178" t="inlineStr">
        <is>
          <t>G|FICO x CHANNEL|where 2026|gco_rate|band|1</t>
        </is>
      </c>
    </row>
    <row r="1179">
      <c r="A1179" t="inlineStr">
        <is>
          <t>G|FICO x CHANNEL|where 2026|gco_rate|rate|2</t>
        </is>
      </c>
      <c r="B1179" t="n">
        <v>0.03238254194257487</v>
      </c>
      <c r="C1179" t="n">
        <v>0.02202361126308098</v>
      </c>
      <c r="D1179" t="n">
        <v>0.01502925311225831</v>
      </c>
      <c r="E1179" t="n">
        <v>0.02402915942276874</v>
      </c>
    </row>
    <row r="1180">
      <c r="A1180" t="inlineStr">
        <is>
          <t>G|FICO x CHANNEL|where 2026|gco_rate|book|2</t>
        </is>
      </c>
    </row>
    <row r="1181">
      <c r="A1181" t="inlineStr">
        <is>
          <t>G|FICO x CHANNEL|where 2026|gco_rate|band|2</t>
        </is>
      </c>
    </row>
    <row r="1182">
      <c r="A1182" t="inlineStr">
        <is>
          <t>G|FICO x CHANNEL|where 2026|gco_rate|rate|3</t>
        </is>
      </c>
      <c r="B1182" t="n">
        <v>0</v>
      </c>
      <c r="C1182" t="n">
        <v>0</v>
      </c>
      <c r="D1182" t="n">
        <v>0.05941823705827717</v>
      </c>
      <c r="E1182" t="n">
        <v>0.02157442686948005</v>
      </c>
    </row>
    <row r="1183">
      <c r="A1183" t="inlineStr">
        <is>
          <t>G|FICO x CHANNEL|where 2026|gco_rate|book|3</t>
        </is>
      </c>
    </row>
    <row r="1184">
      <c r="A1184" t="inlineStr">
        <is>
          <t>G|FICO x CHANNEL|where 2026|gco_rate|band|3</t>
        </is>
      </c>
    </row>
    <row r="1185">
      <c r="A1185" t="inlineStr">
        <is>
          <t>G|FICO x CHANNEL|where 2026|gco_rate|rate|4</t>
        </is>
      </c>
      <c r="B1185" t="n">
        <v>0.02688469131620961</v>
      </c>
      <c r="C1185" t="n">
        <v>0.04288638903778064</v>
      </c>
      <c r="D1185" t="n">
        <v>0.01391322926314242</v>
      </c>
      <c r="E1185" t="n">
        <v>0.02930825613922252</v>
      </c>
    </row>
    <row r="1186">
      <c r="A1186" t="inlineStr">
        <is>
          <t>G|FICO x CHANNEL|where 2026|gco_rate|book|4</t>
        </is>
      </c>
    </row>
    <row r="1187">
      <c r="A1187" t="inlineStr">
        <is>
          <t>G|FICO x CHANNEL|where 2026|gco_rate|band|4</t>
        </is>
      </c>
    </row>
    <row r="1188">
      <c r="A1188" t="inlineStr">
        <is>
          <t>G|FICO x CHANNEL|where 2026|gco_rate|rate|5</t>
        </is>
      </c>
      <c r="B1188" t="n">
        <v>0</v>
      </c>
      <c r="C1188" t="n">
        <v>0.06370548935784794</v>
      </c>
      <c r="D1188" t="n">
        <v>0.02781606329902972</v>
      </c>
      <c r="E1188" t="n">
        <v>0.02939669956834657</v>
      </c>
    </row>
    <row r="1189">
      <c r="A1189" t="inlineStr">
        <is>
          <t>G|FICO x CHANNEL|where 2026|gco_rate|book|5</t>
        </is>
      </c>
    </row>
    <row r="1190">
      <c r="A1190" t="inlineStr">
        <is>
          <t>G|FICO x CHANNEL|where 2026|gco_rate|band|5</t>
        </is>
      </c>
    </row>
    <row r="1191">
      <c r="A1191" t="inlineStr">
        <is>
          <t>G|FICO x CHANNEL|where 2026|gco_rate|rate|6</t>
        </is>
      </c>
    </row>
    <row r="1192">
      <c r="A1192" t="inlineStr">
        <is>
          <t>G|FICO x CHANNEL|where 2026|gco_rate|book|6</t>
        </is>
      </c>
    </row>
    <row r="1193">
      <c r="A1193" t="inlineStr">
        <is>
          <t>G|FICO x CHANNEL|where 2026|gco_rate|band|6</t>
        </is>
      </c>
    </row>
    <row r="1194">
      <c r="A1194" t="inlineStr">
        <is>
          <t>G|FICO x CHANNEL|where 2026|gco_rate|rate|7</t>
        </is>
      </c>
      <c r="B1194" t="n">
        <v>0</v>
      </c>
      <c r="C1194" t="n">
        <v>0</v>
      </c>
      <c r="D1194" t="n">
        <v>0</v>
      </c>
      <c r="E1194" t="n">
        <v>0</v>
      </c>
    </row>
    <row r="1195">
      <c r="A1195" t="inlineStr">
        <is>
          <t>G|FICO x CHANNEL|where 2026|gco_rate|book|7</t>
        </is>
      </c>
    </row>
    <row r="1196">
      <c r="A1196" t="inlineStr">
        <is>
          <t>G|FICO x CHANNEL|where 2026|gco_rate|band|7</t>
        </is>
      </c>
    </row>
    <row r="1197">
      <c r="A1197" t="inlineStr">
        <is>
          <t>G|FICO x CHANNEL|where 2026|gco_rate|rate|8</t>
        </is>
      </c>
      <c r="B1197" t="n">
        <v>0.02376693928293991</v>
      </c>
      <c r="C1197" t="n">
        <v>0.05146584576660739</v>
      </c>
      <c r="D1197" t="n">
        <v>0.02731885868778408</v>
      </c>
      <c r="E1197" t="n">
        <v>0.03505614948170636</v>
      </c>
    </row>
    <row r="1198">
      <c r="A1198" t="inlineStr">
        <is>
          <t>G|FICO x CHANNEL|where 2026|gco_rate|book|8</t>
        </is>
      </c>
      <c r="C1198" t="n">
        <v>1.23700318587732</v>
      </c>
      <c r="E1198" t="n">
        <v>0.8425892540485278</v>
      </c>
    </row>
    <row r="1199">
      <c r="A1199" t="inlineStr">
        <is>
          <t>G|FICO x CHANNEL|where 2026|gco_rate|band|8</t>
        </is>
      </c>
    </row>
    <row r="1200">
      <c r="A1200" t="inlineStr">
        <is>
          <t>G|FICO x CHANNEL|where 2026|gco_rate|meta</t>
        </is>
      </c>
      <c r="B1200" t="inlineStr">
        <is>
          <t>x</t>
        </is>
      </c>
      <c r="C1200" t="n">
        <v>1.953881396375007</v>
      </c>
      <c r="D1200" t="n">
        <v>10</v>
      </c>
      <c r="E1200" t="n">
        <v>0.04160526533333565</v>
      </c>
      <c r="F1200" t="n">
        <v>30</v>
      </c>
    </row>
    <row r="1201">
      <c r="A1201" t="inlineStr">
        <is>
          <t>G|FICO x CHANNEL|where 2026|ranr_rate|rate|1</t>
        </is>
      </c>
      <c r="B1201" t="n">
        <v>-0.004125245226236445</v>
      </c>
      <c r="C1201" t="n">
        <v>-0.09705553513611116</v>
      </c>
      <c r="D1201" t="n">
        <v>0.04241866816975767</v>
      </c>
      <c r="E1201" t="n">
        <v>-0.03759885003308464</v>
      </c>
    </row>
    <row r="1202">
      <c r="A1202" t="inlineStr">
        <is>
          <t>G|FICO x CHANNEL|where 2026|ranr_rate|book|1</t>
        </is>
      </c>
      <c r="B1202" t="n">
        <v>-13.211529487</v>
      </c>
      <c r="C1202" t="n">
        <v>-22.504558478</v>
      </c>
      <c r="D1202" t="n">
        <v>-8.557138148</v>
      </c>
      <c r="E1202" t="n">
        <v>-16.558889968</v>
      </c>
    </row>
    <row r="1203">
      <c r="A1203" t="inlineStr">
        <is>
          <t>G|FICO x CHANNEL|where 2026|ranr_rate|band|1</t>
        </is>
      </c>
      <c r="B1203" t="n">
        <v>5.281950503</v>
      </c>
      <c r="C1203" t="n">
        <v>-10.839521177</v>
      </c>
      <c r="D1203" t="n">
        <v>9.785122867</v>
      </c>
    </row>
    <row r="1204">
      <c r="A1204" t="inlineStr">
        <is>
          <t>G|FICO x CHANNEL|where 2026|ranr_rate|rate|2</t>
        </is>
      </c>
      <c r="B1204" t="n">
        <v>0.003806377267191707</v>
      </c>
      <c r="C1204" t="n">
        <v>0.0120972923626623</v>
      </c>
      <c r="D1204" t="n">
        <v>0.02302461717318259</v>
      </c>
      <c r="E1204" t="n">
        <v>0.0118693353228044</v>
      </c>
    </row>
    <row r="1205">
      <c r="A1205" t="inlineStr">
        <is>
          <t>G|FICO x CHANNEL|where 2026|ranr_rate|book|2</t>
        </is>
      </c>
      <c r="B1205" t="n">
        <v>-12.418367238</v>
      </c>
      <c r="C1205" t="n">
        <v>-11.589275729</v>
      </c>
      <c r="D1205" t="n">
        <v>-10.496543247</v>
      </c>
      <c r="E1205" t="n">
        <v>-11.612071433</v>
      </c>
    </row>
    <row r="1206">
      <c r="A1206" t="inlineStr">
        <is>
          <t>G|FICO x CHANNEL|where 2026|ranr_rate|band|2</t>
        </is>
      </c>
      <c r="B1206" t="n">
        <v>-1.275972456</v>
      </c>
      <c r="C1206" t="n">
        <v>0.036384868</v>
      </c>
      <c r="D1206" t="n">
        <v>1.504264717</v>
      </c>
    </row>
    <row r="1207">
      <c r="A1207" t="inlineStr">
        <is>
          <t>G|FICO x CHANNEL|where 2026|ranr_rate|rate|3</t>
        </is>
      </c>
      <c r="B1207" t="n">
        <v>0.03199585781782008</v>
      </c>
      <c r="C1207" t="n">
        <v>0.03059183824183877</v>
      </c>
      <c r="D1207" t="n">
        <v>-0.02378209018349138</v>
      </c>
      <c r="E1207" t="n">
        <v>0.01124549822150777</v>
      </c>
    </row>
    <row r="1208">
      <c r="A1208" t="inlineStr">
        <is>
          <t>G|FICO x CHANNEL|where 2026|ranr_rate|book|3</t>
        </is>
      </c>
      <c r="B1208" t="n">
        <v>-9.599419183</v>
      </c>
      <c r="C1208" t="n">
        <v>-9.739821141</v>
      </c>
      <c r="D1208" t="n">
        <v>-15.177213983</v>
      </c>
      <c r="E1208" t="n">
        <v>-11.674455143</v>
      </c>
    </row>
    <row r="1209">
      <c r="A1209" t="inlineStr">
        <is>
          <t>G|FICO x CHANNEL|where 2026|ranr_rate|band|3</t>
        </is>
      </c>
      <c r="B1209" t="n">
        <v>2.891724139</v>
      </c>
      <c r="C1209" t="n">
        <v>2.997030581</v>
      </c>
      <c r="D1209" t="n">
        <v>-5.499651174</v>
      </c>
    </row>
    <row r="1210">
      <c r="A1210" t="inlineStr">
        <is>
          <t>G|FICO x CHANNEL|where 2026|ranr_rate|rate|4</t>
        </is>
      </c>
      <c r="B1210" t="n">
        <v>-0.005831473741083266</v>
      </c>
      <c r="C1210" t="n">
        <v>-0.02050908006571772</v>
      </c>
      <c r="D1210" t="n">
        <v>0.01583435649532272</v>
      </c>
      <c r="E1210" t="n">
        <v>-0.005427486891015208</v>
      </c>
    </row>
    <row r="1211">
      <c r="A1211" t="inlineStr">
        <is>
          <t>G|FICO x CHANNEL|where 2026|ranr_rate|book|4</t>
        </is>
      </c>
      <c r="B1211" t="n">
        <v>-13.382152339</v>
      </c>
      <c r="C1211" t="n">
        <v>-14.849912971</v>
      </c>
      <c r="D1211" t="n">
        <v>-11.215569315</v>
      </c>
      <c r="E1211" t="n">
        <v>-13.341753654</v>
      </c>
    </row>
    <row r="1212">
      <c r="A1212" t="inlineStr">
        <is>
          <t>G|FICO x CHANNEL|where 2026|ranr_rate|band|4</t>
        </is>
      </c>
      <c r="B1212" t="n">
        <v>-0.063278931</v>
      </c>
      <c r="C1212" t="n">
        <v>-2.391907558</v>
      </c>
      <c r="D1212" t="n">
        <v>2.908390506</v>
      </c>
    </row>
    <row r="1213">
      <c r="A1213" t="inlineStr">
        <is>
          <t>G|FICO x CHANNEL|where 2026|ranr_rate|rate|5</t>
        </is>
      </c>
      <c r="B1213" t="n">
        <v>0.01785580894113102</v>
      </c>
      <c r="C1213" t="n">
        <v>-0.04568489470373746</v>
      </c>
      <c r="D1213" t="n">
        <v>-0.01329294468126554</v>
      </c>
      <c r="E1213" t="n">
        <v>-0.01316879136728345</v>
      </c>
    </row>
    <row r="1214">
      <c r="A1214" t="inlineStr">
        <is>
          <t>G|FICO x CHANNEL|where 2026|ranr_rate|book|5</t>
        </is>
      </c>
      <c r="B1214" t="n">
        <v>-11.013424071</v>
      </c>
      <c r="C1214" t="n">
        <v>-17.367494435</v>
      </c>
      <c r="D1214" t="n">
        <v>-14.128299433</v>
      </c>
      <c r="E1214" t="n">
        <v>-14.115884102</v>
      </c>
    </row>
    <row r="1215">
      <c r="A1215" t="inlineStr">
        <is>
          <t>G|FICO x CHANNEL|where 2026|ranr_rate|band|5</t>
        </is>
      </c>
      <c r="B1215" t="n">
        <v>4.173354027</v>
      </c>
      <c r="C1215" t="n">
        <v>-4.294944846</v>
      </c>
      <c r="D1215" t="n">
        <v>-0.024854312</v>
      </c>
    </row>
    <row r="1216">
      <c r="A1216" t="inlineStr">
        <is>
          <t>G|FICO x CHANNEL|where 2026|ranr_rate|rate|6</t>
        </is>
      </c>
    </row>
    <row r="1217">
      <c r="A1217" t="inlineStr">
        <is>
          <t>G|FICO x CHANNEL|where 2026|ranr_rate|book|6</t>
        </is>
      </c>
    </row>
    <row r="1218">
      <c r="A1218" t="inlineStr">
        <is>
          <t>G|FICO x CHANNEL|where 2026|ranr_rate|band|6</t>
        </is>
      </c>
    </row>
    <row r="1219">
      <c r="A1219" t="inlineStr">
        <is>
          <t>G|FICO x CHANNEL|where 2026|ranr_rate|rate|7</t>
        </is>
      </c>
      <c r="B1219" t="n">
        <v>0.009387337126588827</v>
      </c>
      <c r="C1219" t="n">
        <v>0.02510813160216104</v>
      </c>
      <c r="D1219" t="n">
        <v>0.01076916707574566</v>
      </c>
      <c r="E1219" t="n">
        <v>0.02021536856057496</v>
      </c>
    </row>
    <row r="1220">
      <c r="A1220" t="inlineStr">
        <is>
          <t>G|FICO x CHANNEL|where 2026|ranr_rate|book|7</t>
        </is>
      </c>
      <c r="B1220" t="n">
        <v>-11.860271252</v>
      </c>
      <c r="C1220" t="n">
        <v>-10.288191805</v>
      </c>
      <c r="D1220" t="n">
        <v>-11.722088257</v>
      </c>
      <c r="E1220" t="n">
        <v>-10.777468109</v>
      </c>
    </row>
    <row r="1221">
      <c r="A1221" t="inlineStr">
        <is>
          <t>G|FICO x CHANNEL|where 2026|ranr_rate|band|7</t>
        </is>
      </c>
      <c r="B1221" t="n">
        <v>-1.324458104</v>
      </c>
      <c r="C1221" t="n">
        <v>1.511799057</v>
      </c>
      <c r="D1221" t="n">
        <v>-1.099908186</v>
      </c>
    </row>
    <row r="1222">
      <c r="A1222" t="inlineStr">
        <is>
          <t>G|FICO x CHANNEL|where 2026|ranr_rate|rate|8</t>
        </is>
      </c>
      <c r="B1222" t="n">
        <v>0.006723085964388736</v>
      </c>
      <c r="C1222" t="n">
        <v>-0.0209336787657089</v>
      </c>
      <c r="D1222" t="n">
        <v>0.002216146988791798</v>
      </c>
      <c r="E1222" t="n">
        <v>-0.004843048118039677</v>
      </c>
    </row>
    <row r="1223">
      <c r="A1223" t="inlineStr">
        <is>
          <t>G|FICO x CHANNEL|where 2026|ranr_rate|book|8</t>
        </is>
      </c>
      <c r="B1223" t="n">
        <v>-12.126696368</v>
      </c>
      <c r="C1223" t="n">
        <v>-14.892372841</v>
      </c>
      <c r="D1223" t="n">
        <v>-12.577390266</v>
      </c>
      <c r="E1223" t="n">
        <v>-13.283309777</v>
      </c>
    </row>
    <row r="1224">
      <c r="A1224" t="inlineStr">
        <is>
          <t>G|FICO x CHANNEL|where 2026|ranr_rate|band|8</t>
        </is>
      </c>
    </row>
    <row r="1225">
      <c r="A1225" t="inlineStr">
        <is>
          <t>G|FICO x CHANNEL|where 2026|ranr_rate|meta</t>
        </is>
      </c>
      <c r="B1225" t="inlineStr">
        <is>
          <t>pts</t>
        </is>
      </c>
      <c r="C1225" t="n">
        <v>22.504558478</v>
      </c>
      <c r="D1225" t="n">
        <v>10</v>
      </c>
      <c r="E1225" t="n">
        <v>0.1279900496481481</v>
      </c>
      <c r="F1225" t="n">
        <v>30</v>
      </c>
    </row>
    <row r="1226">
      <c r="A1226" t="inlineStr">
        <is>
          <t>G|FICO x CHANNEL|where 2026|contribution_rate|rate|1</t>
        </is>
      </c>
      <c r="B1226" t="n">
        <v>0.04470988490656407</v>
      </c>
      <c r="C1226" t="n">
        <v>0.04338226012869816</v>
      </c>
      <c r="D1226" t="n">
        <v>0.04241866816975767</v>
      </c>
      <c r="E1226" t="n">
        <v>0.04369290389296585</v>
      </c>
    </row>
    <row r="1227">
      <c r="A1227" t="inlineStr">
        <is>
          <t>G|FICO x CHANNEL|where 2026|contribution_rate|book|1</t>
        </is>
      </c>
      <c r="B1227" t="n">
        <v>-12.488257083</v>
      </c>
      <c r="C1227" t="n">
        <v>-12.621019561</v>
      </c>
      <c r="D1227" t="n">
        <v>-12.717378757</v>
      </c>
      <c r="E1227" t="n">
        <v>-12.589955184</v>
      </c>
    </row>
    <row r="1228">
      <c r="A1228" t="inlineStr">
        <is>
          <t>G|FICO x CHANNEL|where 2026|contribution_rate|band|1</t>
        </is>
      </c>
      <c r="B1228" t="n">
        <v>0.160474004</v>
      </c>
      <c r="C1228" t="n">
        <v>-0.056633323</v>
      </c>
      <c r="D1228" t="n">
        <v>-0.155822792</v>
      </c>
    </row>
    <row r="1229">
      <c r="A1229" t="inlineStr">
        <is>
          <t>G|FICO x CHANNEL|where 2026|contribution_rate|rate|2</t>
        </is>
      </c>
      <c r="B1229" t="n">
        <v>0.03618891920976658</v>
      </c>
      <c r="C1229" t="n">
        <v>0.03412090362574328</v>
      </c>
      <c r="D1229" t="n">
        <v>0.0380538702854409</v>
      </c>
      <c r="E1229" t="n">
        <v>0.03589849474557314</v>
      </c>
    </row>
    <row r="1230">
      <c r="A1230" t="inlineStr">
        <is>
          <t>G|FICO x CHANNEL|where 2026|contribution_rate|book|2</t>
        </is>
      </c>
      <c r="B1230" t="n">
        <v>-13.340353653</v>
      </c>
      <c r="C1230" t="n">
        <v>-13.547155211</v>
      </c>
      <c r="D1230" t="n">
        <v>-13.153858545</v>
      </c>
      <c r="E1230" t="n">
        <v>-13.369396099</v>
      </c>
    </row>
    <row r="1231">
      <c r="A1231" t="inlineStr">
        <is>
          <t>G|FICO x CHANNEL|where 2026|contribution_rate|band|2</t>
        </is>
      </c>
      <c r="B1231" t="n">
        <v>0.045960008</v>
      </c>
      <c r="C1231" t="n">
        <v>-0.28372635</v>
      </c>
      <c r="D1231" t="n">
        <v>0.290647553</v>
      </c>
    </row>
    <row r="1232">
      <c r="A1232" t="inlineStr">
        <is>
          <t>G|FICO x CHANNEL|where 2026|contribution_rate|rate|3</t>
        </is>
      </c>
      <c r="B1232" t="n">
        <v>0.03199585781782008</v>
      </c>
      <c r="C1232" t="n">
        <v>0.03059183824183877</v>
      </c>
      <c r="D1232" t="n">
        <v>0.03563614687478579</v>
      </c>
      <c r="E1232" t="n">
        <v>0.03281992509098782</v>
      </c>
    </row>
    <row r="1233">
      <c r="A1233" t="inlineStr">
        <is>
          <t>G|FICO x CHANNEL|where 2026|contribution_rate|book|3</t>
        </is>
      </c>
      <c r="B1233" t="n">
        <v>-13.759659792</v>
      </c>
      <c r="C1233" t="n">
        <v>-13.900061749</v>
      </c>
      <c r="D1233" t="n">
        <v>-13.395630886</v>
      </c>
      <c r="E1233" t="n">
        <v>-13.677253064</v>
      </c>
    </row>
    <row r="1234">
      <c r="A1234" t="inlineStr">
        <is>
          <t>G|FICO x CHANNEL|where 2026|contribution_rate|band|3</t>
        </is>
      </c>
      <c r="B1234" t="n">
        <v>-0.114840189</v>
      </c>
      <c r="C1234" t="n">
        <v>-0.345163189</v>
      </c>
      <c r="D1234" t="n">
        <v>0.442172532</v>
      </c>
    </row>
    <row r="1235">
      <c r="A1235" t="inlineStr">
        <is>
          <t>G|FICO x CHANNEL|where 2026|contribution_rate|rate|4</t>
        </is>
      </c>
      <c r="B1235" t="n">
        <v>0.02105321757512634</v>
      </c>
      <c r="C1235" t="n">
        <v>0.02237730897206293</v>
      </c>
      <c r="D1235" t="n">
        <v>0.02974758575846513</v>
      </c>
      <c r="E1235" t="n">
        <v>0.02388076924820731</v>
      </c>
    </row>
    <row r="1236">
      <c r="A1236" t="inlineStr">
        <is>
          <t>G|FICO x CHANNEL|where 2026|contribution_rate|book|4</t>
        </is>
      </c>
      <c r="B1236" t="n">
        <v>-14.853923816</v>
      </c>
      <c r="C1236" t="n">
        <v>-14.721514676</v>
      </c>
      <c r="D1236" t="n">
        <v>-13.984486998</v>
      </c>
      <c r="E1236" t="n">
        <v>-14.571168649</v>
      </c>
    </row>
    <row r="1237">
      <c r="A1237" t="inlineStr">
        <is>
          <t>G|FICO x CHANNEL|where 2026|contribution_rate|band|4</t>
        </is>
      </c>
      <c r="B1237" t="n">
        <v>-0.442896711</v>
      </c>
      <c r="C1237" t="n">
        <v>-0.238445498</v>
      </c>
      <c r="D1237" t="n">
        <v>0.802517126</v>
      </c>
    </row>
    <row r="1238">
      <c r="A1238" t="inlineStr">
        <is>
          <t>G|FICO x CHANNEL|where 2026|contribution_rate|rate|5</t>
        </is>
      </c>
      <c r="B1238" t="n">
        <v>0.01785580894113102</v>
      </c>
      <c r="C1238" t="n">
        <v>0.01802059465411047</v>
      </c>
      <c r="D1238" t="n">
        <v>0.01452311861776419</v>
      </c>
      <c r="E1238" t="n">
        <v>0.01622790820106312</v>
      </c>
    </row>
    <row r="1239">
      <c r="A1239" t="inlineStr">
        <is>
          <t>G|FICO x CHANNEL|where 2026|contribution_rate|book|5</t>
        </is>
      </c>
      <c r="B1239" t="n">
        <v>-15.173664679</v>
      </c>
      <c r="C1239" t="n">
        <v>-15.157186108</v>
      </c>
      <c r="D1239" t="n">
        <v>-15.506933712</v>
      </c>
      <c r="E1239" t="n">
        <v>-15.336454753</v>
      </c>
    </row>
    <row r="1240">
      <c r="A1240" t="inlineStr">
        <is>
          <t>G|FICO x CHANNEL|where 2026|contribution_rate|band|5</t>
        </is>
      </c>
      <c r="B1240" t="n">
        <v>0.218981261</v>
      </c>
      <c r="C1240" t="n">
        <v>0.236790041</v>
      </c>
      <c r="D1240" t="n">
        <v>-0.341282657</v>
      </c>
    </row>
    <row r="1241">
      <c r="A1241" t="inlineStr">
        <is>
          <t>G|FICO x CHANNEL|where 2026|contribution_rate|rate|6</t>
        </is>
      </c>
    </row>
    <row r="1242">
      <c r="A1242" t="inlineStr">
        <is>
          <t>G|FICO x CHANNEL|where 2026|contribution_rate|book|6</t>
        </is>
      </c>
    </row>
    <row r="1243">
      <c r="A1243" t="inlineStr">
        <is>
          <t>G|FICO x CHANNEL|where 2026|contribution_rate|band|6</t>
        </is>
      </c>
    </row>
    <row r="1244">
      <c r="A1244" t="inlineStr">
        <is>
          <t>G|FICO x CHANNEL|where 2026|contribution_rate|rate|7</t>
        </is>
      </c>
      <c r="B1244" t="n">
        <v>0.009387337126588827</v>
      </c>
      <c r="C1244" t="n">
        <v>0.02510813160216104</v>
      </c>
      <c r="D1244" t="n">
        <v>0.01076916707574566</v>
      </c>
      <c r="E1244" t="n">
        <v>0.02021536856057496</v>
      </c>
    </row>
    <row r="1245">
      <c r="A1245" t="inlineStr">
        <is>
          <t>G|FICO x CHANNEL|where 2026|contribution_rate|book|7</t>
        </is>
      </c>
      <c r="B1245" t="n">
        <v>-16.020511861</v>
      </c>
      <c r="C1245" t="n">
        <v>-14.448432413</v>
      </c>
      <c r="D1245" t="n">
        <v>-15.882328866</v>
      </c>
      <c r="E1245" t="n">
        <v>-14.937708717</v>
      </c>
    </row>
    <row r="1246">
      <c r="A1246" t="inlineStr">
        <is>
          <t>G|FICO x CHANNEL|where 2026|contribution_rate|band|7</t>
        </is>
      </c>
      <c r="B1246" t="n">
        <v>-1.324458104</v>
      </c>
      <c r="C1246" t="n">
        <v>1.511799057</v>
      </c>
      <c r="D1246" t="n">
        <v>-1.099908186</v>
      </c>
    </row>
    <row r="1247">
      <c r="A1247" t="inlineStr">
        <is>
          <t>G|FICO x CHANNEL|where 2026|contribution_rate|rate|8</t>
        </is>
      </c>
      <c r="B1247" t="n">
        <v>0.03049002524732865</v>
      </c>
      <c r="C1247" t="n">
        <v>0.03053216700089849</v>
      </c>
      <c r="D1247" t="n">
        <v>0.02953500567657588</v>
      </c>
      <c r="E1247" t="n">
        <v>0.03021310136366667</v>
      </c>
    </row>
    <row r="1248">
      <c r="A1248" t="inlineStr">
        <is>
          <t>G|FICO x CHANNEL|where 2026|contribution_rate|book|8</t>
        </is>
      </c>
      <c r="B1248" t="n">
        <v>-13.910243049</v>
      </c>
      <c r="C1248" t="n">
        <v>-13.906028873</v>
      </c>
      <c r="D1248" t="n">
        <v>-14.005745006</v>
      </c>
      <c r="E1248" t="n">
        <v>-13.937935437</v>
      </c>
    </row>
    <row r="1249">
      <c r="A1249" t="inlineStr">
        <is>
          <t>G|FICO x CHANNEL|where 2026|contribution_rate|band|8</t>
        </is>
      </c>
    </row>
    <row r="1250">
      <c r="A1250" t="inlineStr">
        <is>
          <t>G|FICO x CHANNEL|where 2026|contribution_rate|meta</t>
        </is>
      </c>
      <c r="B1250" t="inlineStr">
        <is>
          <t>pts</t>
        </is>
      </c>
      <c r="C1250" t="n">
        <v>15.336454753</v>
      </c>
      <c r="D1250" t="n">
        <v>10</v>
      </c>
      <c r="E1250" t="n">
        <v>0.1695924557349815</v>
      </c>
      <c r="F1250" t="n">
        <v>30</v>
      </c>
    </row>
    <row r="1251">
      <c r="A1251" t="inlineStr">
        <is>
          <t>G|FICO x CHANNEL|where 2026|loan_size|rate|1</t>
        </is>
      </c>
      <c r="B1251" t="n">
        <v>31599.43458333334</v>
      </c>
      <c r="C1251" t="n">
        <v>31161.29333333333</v>
      </c>
      <c r="D1251" t="n">
        <v>26955.24785714285</v>
      </c>
      <c r="E1251" t="n">
        <v>30449.98088235294</v>
      </c>
    </row>
    <row r="1252">
      <c r="A1252" t="inlineStr">
        <is>
          <t>G|FICO x CHANNEL|where 2026|loan_size|median|1</t>
        </is>
      </c>
      <c r="B1252" t="n">
        <v>29448.215</v>
      </c>
      <c r="C1252" t="n">
        <v>30033.16</v>
      </c>
      <c r="D1252" t="n">
        <v>22851.735</v>
      </c>
      <c r="E1252" t="n">
        <v>28108.575</v>
      </c>
    </row>
    <row r="1253">
      <c r="A1253" t="inlineStr">
        <is>
          <t>G|FICO x CHANNEL|where 2026|loan_size|book|1</t>
        </is>
      </c>
      <c r="B1253" t="n">
        <v>0.9794451089254824</v>
      </c>
      <c r="C1253" t="n">
        <v>0.9658646347812603</v>
      </c>
      <c r="D1253" t="n">
        <v>0.8354955087543745</v>
      </c>
      <c r="E1253" t="n">
        <v>0.9438170408854505</v>
      </c>
    </row>
    <row r="1254">
      <c r="A1254" t="inlineStr">
        <is>
          <t>G|FICO x CHANNEL|where 2026|loan_size|band|1</t>
        </is>
      </c>
      <c r="B1254" t="n">
        <v>1.059565707053377</v>
      </c>
      <c r="C1254" t="n">
        <v>1.042587563328012</v>
      </c>
      <c r="D1254" t="n">
        <v>0.8596513674000205</v>
      </c>
    </row>
    <row r="1255">
      <c r="A1255" t="inlineStr">
        <is>
          <t>G|FICO x CHANNEL|where 2026|loan_size|rate|2</t>
        </is>
      </c>
      <c r="B1255" t="n">
        <v>30943.37071428571</v>
      </c>
      <c r="C1255" t="n">
        <v>31396.5475</v>
      </c>
      <c r="D1255" t="n">
        <v>24330.9496</v>
      </c>
      <c r="E1255" t="n">
        <v>29059.15370370371</v>
      </c>
    </row>
    <row r="1256">
      <c r="A1256" t="inlineStr">
        <is>
          <t>G|FICO x CHANNEL|where 2026|loan_size|median|2</t>
        </is>
      </c>
      <c r="B1256" t="n">
        <v>34045.81</v>
      </c>
      <c r="C1256" t="n">
        <v>31976.595</v>
      </c>
      <c r="D1256" t="n">
        <v>20227.52</v>
      </c>
      <c r="E1256" t="n">
        <v>26869.82</v>
      </c>
    </row>
    <row r="1257">
      <c r="A1257" t="inlineStr">
        <is>
          <t>G|FICO x CHANNEL|where 2026|loan_size|book|2</t>
        </is>
      </c>
      <c r="B1257" t="n">
        <v>0.9591099809032759</v>
      </c>
      <c r="C1257" t="n">
        <v>0.9731564912949694</v>
      </c>
      <c r="D1257" t="n">
        <v>0.7541536706419947</v>
      </c>
      <c r="E1257" t="n">
        <v>0.9007074442913672</v>
      </c>
    </row>
    <row r="1258">
      <c r="A1258" t="inlineStr">
        <is>
          <t>G|FICO x CHANNEL|where 2026|loan_size|band|2</t>
        </is>
      </c>
      <c r="B1258" t="n">
        <v>1.102611221414851</v>
      </c>
      <c r="C1258" t="n">
        <v>1.128385720975361</v>
      </c>
      <c r="D1258" t="n">
        <v>0.7805897183363437</v>
      </c>
    </row>
    <row r="1259">
      <c r="A1259" t="inlineStr">
        <is>
          <t>G|FICO x CHANNEL|where 2026|loan_size|rate|3</t>
        </is>
      </c>
      <c r="B1259" t="n">
        <v>32539.55428571429</v>
      </c>
      <c r="C1259" t="n">
        <v>37290.58</v>
      </c>
      <c r="D1259" t="n">
        <v>31375.66642857143</v>
      </c>
      <c r="E1259" t="n">
        <v>33604.62</v>
      </c>
    </row>
    <row r="1260">
      <c r="A1260" t="inlineStr">
        <is>
          <t>G|FICO x CHANNEL|where 2026|loan_size|median|3</t>
        </is>
      </c>
      <c r="B1260" t="n">
        <v>32472.89</v>
      </c>
      <c r="C1260" t="n">
        <v>39687.9</v>
      </c>
      <c r="D1260" t="n">
        <v>32048.36</v>
      </c>
      <c r="E1260" t="n">
        <v>33215.7</v>
      </c>
    </row>
    <row r="1261">
      <c r="A1261" t="inlineStr">
        <is>
          <t>G|FICO x CHANNEL|where 2026|loan_size|book|3</t>
        </is>
      </c>
      <c r="B1261" t="n">
        <v>1.008584732986578</v>
      </c>
      <c r="C1261" t="n">
        <v>1.155845877358151</v>
      </c>
      <c r="D1261" t="n">
        <v>0.9725092688509759</v>
      </c>
      <c r="E1261" t="n">
        <v>1.041597140274763</v>
      </c>
    </row>
    <row r="1262">
      <c r="A1262" t="inlineStr">
        <is>
          <t>G|FICO x CHANNEL|where 2026|loan_size|band|3</t>
        </is>
      </c>
      <c r="B1262" t="n">
        <v>0.9558319069851483</v>
      </c>
      <c r="C1262" t="n">
        <v>1.169919799560687</v>
      </c>
      <c r="D1262" t="n">
        <v>0.895857753903792</v>
      </c>
    </row>
    <row r="1263">
      <c r="A1263" t="inlineStr">
        <is>
          <t>G|FICO x CHANNEL|where 2026|loan_size|rate|4</t>
        </is>
      </c>
      <c r="B1263" t="n">
        <v>31539.75032258065</v>
      </c>
      <c r="C1263" t="n">
        <v>34451.21655172414</v>
      </c>
      <c r="D1263" t="n">
        <v>33057.06</v>
      </c>
      <c r="E1263" t="n">
        <v>32976.49829268293</v>
      </c>
    </row>
    <row r="1264">
      <c r="A1264" t="inlineStr">
        <is>
          <t>G|FICO x CHANNEL|where 2026|loan_size|median|4</t>
        </is>
      </c>
      <c r="B1264" t="n">
        <v>33412.56</v>
      </c>
      <c r="C1264" t="n">
        <v>36570.25</v>
      </c>
      <c r="D1264" t="n">
        <v>34472.235</v>
      </c>
      <c r="E1264" t="n">
        <v>34789.91</v>
      </c>
    </row>
    <row r="1265">
      <c r="A1265" t="inlineStr">
        <is>
          <t>G|FICO x CHANNEL|where 2026|loan_size|book|4</t>
        </is>
      </c>
      <c r="B1265" t="n">
        <v>0.9775951562904158</v>
      </c>
      <c r="C1265" t="n">
        <v>1.067837953211863</v>
      </c>
      <c r="D1265" t="n">
        <v>1.024625160525287</v>
      </c>
      <c r="E1265" t="n">
        <v>1.022128097801259</v>
      </c>
    </row>
    <row r="1266">
      <c r="A1266" t="inlineStr">
        <is>
          <t>G|FICO x CHANNEL|where 2026|loan_size|band|4</t>
        </is>
      </c>
      <c r="B1266" t="n">
        <v>0.9317554522274533</v>
      </c>
      <c r="C1266" t="n">
        <v>1.070925383070168</v>
      </c>
      <c r="D1266" t="n">
        <v>1.003341765168676</v>
      </c>
    </row>
    <row r="1267">
      <c r="A1267" t="inlineStr">
        <is>
          <t>G|FICO x CHANNEL|where 2026|loan_size|rate|5</t>
        </is>
      </c>
      <c r="B1267" t="n">
        <v>31518.034375</v>
      </c>
      <c r="C1267" t="n">
        <v>26522.30888888889</v>
      </c>
      <c r="D1267" t="n">
        <v>35127.14642857142</v>
      </c>
      <c r="E1267" t="n">
        <v>31697.58403225806</v>
      </c>
    </row>
    <row r="1268">
      <c r="A1268" t="inlineStr">
        <is>
          <t>G|FICO x CHANNEL|where 2026|loan_size|median|5</t>
        </is>
      </c>
      <c r="B1268" t="n">
        <v>29949.01</v>
      </c>
      <c r="C1268" t="n">
        <v>24591.375</v>
      </c>
      <c r="D1268" t="n">
        <v>38002.63</v>
      </c>
      <c r="E1268" t="n">
        <v>30535.46</v>
      </c>
    </row>
    <row r="1269">
      <c r="A1269" t="inlineStr">
        <is>
          <t>G|FICO x CHANNEL|where 2026|loan_size|book|5</t>
        </is>
      </c>
      <c r="B1269" t="n">
        <v>0.9769220563149256</v>
      </c>
      <c r="C1269" t="n">
        <v>0.8220762827298922</v>
      </c>
      <c r="D1269" t="n">
        <v>1.088788841118062</v>
      </c>
      <c r="E1269" t="n">
        <v>0.9824873151852033</v>
      </c>
    </row>
    <row r="1270">
      <c r="A1270" t="inlineStr">
        <is>
          <t>G|FICO x CHANNEL|where 2026|loan_size|band|5</t>
        </is>
      </c>
      <c r="B1270" t="n">
        <v>0.9923803073997165</v>
      </c>
      <c r="C1270" t="n">
        <v>0.7843416002770922</v>
      </c>
      <c r="D1270" t="n">
        <v>1.216598768191144</v>
      </c>
    </row>
    <row r="1271">
      <c r="A1271" t="inlineStr">
        <is>
          <t>G|FICO x CHANNEL|where 2026|loan_size|rate|6</t>
        </is>
      </c>
    </row>
    <row r="1272">
      <c r="A1272" t="inlineStr">
        <is>
          <t>G|FICO x CHANNEL|where 2026|loan_size|median|6</t>
        </is>
      </c>
    </row>
    <row r="1273">
      <c r="A1273" t="inlineStr">
        <is>
          <t>G|FICO x CHANNEL|where 2026|loan_size|book|6</t>
        </is>
      </c>
    </row>
    <row r="1274">
      <c r="A1274" t="inlineStr">
        <is>
          <t>G|FICO x CHANNEL|where 2026|loan_size|band|6</t>
        </is>
      </c>
    </row>
    <row r="1275">
      <c r="A1275" t="inlineStr">
        <is>
          <t>G|FICO x CHANNEL|where 2026|loan_size|rate|7</t>
        </is>
      </c>
      <c r="B1275" t="n">
        <v>54626.78</v>
      </c>
      <c r="C1275" t="n">
        <v>40500.186</v>
      </c>
      <c r="D1275" t="n">
        <v>42269.75</v>
      </c>
      <c r="E1275" t="n">
        <v>42771.06571428572</v>
      </c>
    </row>
    <row r="1276">
      <c r="A1276" t="inlineStr">
        <is>
          <t>G|FICO x CHANNEL|where 2026|loan_size|median|7</t>
        </is>
      </c>
      <c r="B1276" t="n">
        <v>54626.78</v>
      </c>
      <c r="C1276" t="n">
        <v>43842.96</v>
      </c>
      <c r="D1276" t="n">
        <v>42269.75</v>
      </c>
      <c r="E1276" t="n">
        <v>43842.96</v>
      </c>
    </row>
    <row r="1277">
      <c r="A1277" t="inlineStr">
        <is>
          <t>G|FICO x CHANNEL|where 2026|loan_size|book|7</t>
        </is>
      </c>
      <c r="B1277" t="n">
        <v>1.693192716668679</v>
      </c>
      <c r="C1277" t="n">
        <v>1.255329711158644</v>
      </c>
      <c r="D1277" t="n">
        <v>1.310178502840656</v>
      </c>
      <c r="E1277" t="n">
        <v>1.325717110757508</v>
      </c>
    </row>
    <row r="1278">
      <c r="A1278" t="inlineStr">
        <is>
          <t>G|FICO x CHANNEL|where 2026|loan_size|band|7</t>
        </is>
      </c>
      <c r="B1278" t="n">
        <v>1.339052046593162</v>
      </c>
      <c r="C1278" t="n">
        <v>0.8359470870628698</v>
      </c>
      <c r="D1278" t="n">
        <v>0.9863522682950039</v>
      </c>
    </row>
    <row r="1279">
      <c r="A1279" t="inlineStr">
        <is>
          <t>G|FICO x CHANNEL|where 2026|loan_size|rate|8</t>
        </is>
      </c>
      <c r="B1279" t="n">
        <v>31775.03338842975</v>
      </c>
      <c r="C1279" t="n">
        <v>32711.3777443609</v>
      </c>
      <c r="D1279" t="n">
        <v>30654.66983050848</v>
      </c>
      <c r="E1279" t="n">
        <v>31754.41752688172</v>
      </c>
    </row>
    <row r="1280">
      <c r="A1280" t="inlineStr">
        <is>
          <t>G|FICO x CHANNEL|where 2026|loan_size|median|8</t>
        </is>
      </c>
      <c r="B1280" t="n">
        <v>31828.65</v>
      </c>
      <c r="C1280" t="n">
        <v>33180.72</v>
      </c>
      <c r="D1280" t="n">
        <v>28213.82</v>
      </c>
      <c r="E1280" t="n">
        <v>32048.36</v>
      </c>
    </row>
    <row r="1281">
      <c r="A1281" t="inlineStr">
        <is>
          <t>G|FICO x CHANNEL|where 2026|loan_size|book|8</t>
        </is>
      </c>
      <c r="B1281" t="n">
        <v>0.9848879085531554</v>
      </c>
      <c r="C1281" t="n">
        <v>1.013910513285788</v>
      </c>
      <c r="D1281" t="n">
        <v>0.9501615084927215</v>
      </c>
      <c r="E1281" t="n">
        <v>0.9842489064625878</v>
      </c>
    </row>
    <row r="1282">
      <c r="A1282" t="inlineStr">
        <is>
          <t>G|FICO x CHANNEL|where 2026|loan_size|band|8</t>
        </is>
      </c>
    </row>
    <row r="1283">
      <c r="A1283" t="inlineStr">
        <is>
          <t>G|FICO x CHANNEL|where 2026|loan_size|meta</t>
        </is>
      </c>
      <c r="B1283" t="inlineStr">
        <is>
          <t>size</t>
        </is>
      </c>
      <c r="C1283" t="n">
        <v>1</v>
      </c>
      <c r="E1283" t="n">
        <v>32262.58857732217</v>
      </c>
      <c r="F1283" t="n">
        <v>30</v>
      </c>
    </row>
    <row r="1284">
      <c r="A1284" t="inlineStr">
        <is>
          <t>G|FICO x ASSET_CLASS|cols</t>
        </is>
      </c>
      <c r="B1284" t="inlineStr">
        <is>
          <t>1</t>
        </is>
      </c>
      <c r="C1284" t="inlineStr">
        <is>
          <t>2</t>
        </is>
      </c>
      <c r="D1284" t="inlineStr">
        <is>
          <t>3</t>
        </is>
      </c>
      <c r="E1284" t="inlineStr">
        <is>
          <t>4</t>
        </is>
      </c>
      <c r="F1284" t="inlineStr">
        <is>
          <t>All</t>
        </is>
      </c>
    </row>
    <row r="1285">
      <c r="A1285" t="inlineStr">
        <is>
          <t>G|FICO x ASSET_CLASS|heads</t>
        </is>
      </c>
      <c r="B1285" t="inlineStr">
        <is>
          <t>1</t>
        </is>
      </c>
      <c r="C1285" t="inlineStr">
        <is>
          <t>2</t>
        </is>
      </c>
      <c r="D1285" t="inlineStr">
        <is>
          <t>3</t>
        </is>
      </c>
      <c r="E1285" t="inlineStr">
        <is>
          <t>4</t>
        </is>
      </c>
      <c r="F1285" t="inlineStr">
        <is>
          <t>All</t>
        </is>
      </c>
    </row>
    <row r="1286">
      <c r="A1286" t="inlineStr">
        <is>
          <t>G|FICO x ASSET_CLASS|segs</t>
        </is>
      </c>
    </row>
    <row r="1287">
      <c r="A1287" t="inlineStr">
        <is>
          <t>G|FICO x ASSET_CLASS|rows</t>
        </is>
      </c>
      <c r="B1287" t="inlineStr">
        <is>
          <t>496 - 653</t>
        </is>
      </c>
      <c r="C1287" t="inlineStr">
        <is>
          <t>654 - 685</t>
        </is>
      </c>
      <c r="D1287" t="inlineStr">
        <is>
          <t>686 - 711</t>
        </is>
      </c>
      <c r="E1287" t="inlineStr">
        <is>
          <t>712 - 745</t>
        </is>
      </c>
      <c r="F1287" t="inlineStr">
        <is>
          <t>746 - 921</t>
        </is>
      </c>
      <c r="G1287" t="inlineStr">
        <is>
          <t>(blank)</t>
        </is>
      </c>
      <c r="H1287" t="inlineStr">
        <is>
          <t>(marked missing)</t>
        </is>
      </c>
      <c r="I1287" t="inlineStr">
        <is>
          <t>All</t>
        </is>
      </c>
    </row>
    <row r="1288">
      <c r="A1288" t="inlineStr">
        <is>
          <t>G|FICO x ASSET_CLASS|names</t>
        </is>
      </c>
      <c r="B1288" t="inlineStr">
        <is>
          <t>FICO</t>
        </is>
      </c>
      <c r="C1288" t="inlineStr">
        <is>
          <t>ASSET_CLASS</t>
        </is>
      </c>
    </row>
    <row r="1289">
      <c r="A1289" t="inlineStr">
        <is>
          <t>G|FICO x ASSET_CLASS|total</t>
        </is>
      </c>
      <c r="B1289" t="n">
        <v>8000</v>
      </c>
    </row>
    <row r="1290">
      <c r="A1290" t="inlineStr">
        <is>
          <t>G|FICO x ASSET_CLASS|loans|1</t>
        </is>
      </c>
      <c r="B1290" t="n">
        <v>420</v>
      </c>
      <c r="C1290" t="n">
        <v>394</v>
      </c>
      <c r="D1290" t="n">
        <v>350</v>
      </c>
      <c r="E1290" t="n">
        <v>392</v>
      </c>
      <c r="F1290" t="n">
        <v>1556</v>
      </c>
    </row>
    <row r="1291">
      <c r="A1291" t="inlineStr">
        <is>
          <t>G|FICO x ASSET_CLASS|loans|2</t>
        </is>
      </c>
      <c r="B1291" t="n">
        <v>397</v>
      </c>
      <c r="C1291" t="n">
        <v>355</v>
      </c>
      <c r="D1291" t="n">
        <v>377</v>
      </c>
      <c r="E1291" t="n">
        <v>410</v>
      </c>
      <c r="F1291" t="n">
        <v>1539</v>
      </c>
    </row>
    <row r="1292">
      <c r="A1292" t="inlineStr">
        <is>
          <t>G|FICO x ASSET_CLASS|loans|3</t>
        </is>
      </c>
      <c r="B1292" t="n">
        <v>372</v>
      </c>
      <c r="C1292" t="n">
        <v>395</v>
      </c>
      <c r="D1292" t="n">
        <v>388</v>
      </c>
      <c r="E1292" t="n">
        <v>407</v>
      </c>
      <c r="F1292" t="n">
        <v>1562</v>
      </c>
    </row>
    <row r="1293">
      <c r="A1293" t="inlineStr">
        <is>
          <t>G|FICO x ASSET_CLASS|loans|4</t>
        </is>
      </c>
      <c r="B1293" t="n">
        <v>361</v>
      </c>
      <c r="C1293" t="n">
        <v>431</v>
      </c>
      <c r="D1293" t="n">
        <v>392</v>
      </c>
      <c r="E1293" t="n">
        <v>427</v>
      </c>
      <c r="F1293" t="n">
        <v>1611</v>
      </c>
    </row>
    <row r="1294">
      <c r="A1294" t="inlineStr">
        <is>
          <t>G|FICO x ASSET_CLASS|loans|5</t>
        </is>
      </c>
      <c r="B1294" t="n">
        <v>414</v>
      </c>
      <c r="C1294" t="n">
        <v>399</v>
      </c>
      <c r="D1294" t="n">
        <v>385</v>
      </c>
      <c r="E1294" t="n">
        <v>373</v>
      </c>
      <c r="F1294" t="n">
        <v>1571</v>
      </c>
    </row>
    <row r="1295">
      <c r="A1295" t="inlineStr">
        <is>
          <t>G|FICO x ASSET_CLASS|loans|6</t>
        </is>
      </c>
      <c r="C1295" t="n">
        <v>1</v>
      </c>
      <c r="F1295" t="n">
        <v>1</v>
      </c>
    </row>
    <row r="1296">
      <c r="A1296" t="inlineStr">
        <is>
          <t>G|FICO x ASSET_CLASS|loans|7</t>
        </is>
      </c>
      <c r="B1296" t="n">
        <v>42</v>
      </c>
      <c r="C1296" t="n">
        <v>36</v>
      </c>
      <c r="D1296" t="n">
        <v>43</v>
      </c>
      <c r="E1296" t="n">
        <v>39</v>
      </c>
      <c r="F1296" t="n">
        <v>160</v>
      </c>
    </row>
    <row r="1297">
      <c r="A1297" t="inlineStr">
        <is>
          <t>G|FICO x ASSET_CLASS|loans|8</t>
        </is>
      </c>
      <c r="B1297" t="n">
        <v>2006</v>
      </c>
      <c r="C1297" t="n">
        <v>2011</v>
      </c>
      <c r="D1297" t="n">
        <v>1935</v>
      </c>
      <c r="E1297" t="n">
        <v>2048</v>
      </c>
      <c r="F1297" t="n">
        <v>8000</v>
      </c>
    </row>
    <row r="1298">
      <c r="A1298" t="inlineStr">
        <is>
          <t>G|FICO x ASSET_CLASS|outcome_loans|rate|1</t>
        </is>
      </c>
      <c r="B1298" t="n">
        <v>0.1357142857142857</v>
      </c>
      <c r="C1298" t="n">
        <v>0.1119592875318066</v>
      </c>
      <c r="D1298" t="n">
        <v>0.1514285714285714</v>
      </c>
      <c r="E1298" t="n">
        <v>0.2040816326530612</v>
      </c>
      <c r="F1298" t="n">
        <v>0.1504823151125402</v>
      </c>
    </row>
    <row r="1299">
      <c r="A1299" t="inlineStr">
        <is>
          <t>G|FICO x ASSET_CLASS|outcome_loans|book|1</t>
        </is>
      </c>
      <c r="B1299" t="n">
        <v>1.75376182783291</v>
      </c>
      <c r="C1299" t="n">
        <v>1.446788919171117</v>
      </c>
      <c r="D1299" t="n">
        <v>1.956828986845142</v>
      </c>
      <c r="E1299" t="n">
        <v>2.637235831327684</v>
      </c>
      <c r="F1299" t="n">
        <v>1.944601031640079</v>
      </c>
    </row>
    <row r="1300">
      <c r="A1300" t="inlineStr">
        <is>
          <t>G|FICO x ASSET_CLASS|outcome_loans|band|1</t>
        </is>
      </c>
      <c r="B1300" t="n">
        <v>0.8702582728006456</v>
      </c>
      <c r="C1300" t="n">
        <v>0.6847194321682067</v>
      </c>
      <c r="D1300" t="n">
        <v>1.008129439621152</v>
      </c>
      <c r="E1300" t="n">
        <v>1.541213888152664</v>
      </c>
    </row>
    <row r="1301">
      <c r="A1301" t="inlineStr">
        <is>
          <t>G|FICO x ASSET_CLASS|outcome_loans|rate|2</t>
        </is>
      </c>
      <c r="B1301" t="n">
        <v>0.07556675062972293</v>
      </c>
      <c r="C1301" t="n">
        <v>0.05915492957746479</v>
      </c>
      <c r="D1301" t="n">
        <v>0.08222811671087533</v>
      </c>
      <c r="E1301" t="n">
        <v>0.1170731707317073</v>
      </c>
      <c r="F1301" t="n">
        <v>0.08447043534762833</v>
      </c>
    </row>
    <row r="1302">
      <c r="A1302" t="inlineStr">
        <is>
          <t>G|FICO x ASSET_CLASS|outcome_loans|book|2</t>
        </is>
      </c>
      <c r="B1302" t="n">
        <v>0.9765079778467749</v>
      </c>
      <c r="C1302" t="n">
        <v>0.7644269494186443</v>
      </c>
      <c r="D1302" t="n">
        <v>1.062589185089324</v>
      </c>
      <c r="E1302" t="n">
        <v>1.51287284762993</v>
      </c>
      <c r="F1302" t="n">
        <v>1.091565448054409</v>
      </c>
    </row>
    <row r="1303">
      <c r="A1303" t="inlineStr">
        <is>
          <t>G|FICO x ASSET_CLASS|outcome_loans|band|2</t>
        </is>
      </c>
      <c r="B1303" t="n">
        <v>0.8629722921914358</v>
      </c>
      <c r="C1303" t="n">
        <v>0.6425636387130119</v>
      </c>
      <c r="D1303" t="n">
        <v>0.9651421375559307</v>
      </c>
      <c r="E1303" t="n">
        <v>1.611897679952409</v>
      </c>
    </row>
    <row r="1304">
      <c r="A1304" t="inlineStr">
        <is>
          <t>G|FICO x ASSET_CLASS|outcome_loans|rate|3</t>
        </is>
      </c>
      <c r="B1304" t="n">
        <v>0.05376344086021505</v>
      </c>
      <c r="C1304" t="n">
        <v>0.04050632911392405</v>
      </c>
      <c r="D1304" t="n">
        <v>0.06958762886597938</v>
      </c>
      <c r="E1304" t="n">
        <v>0.08108108108108109</v>
      </c>
      <c r="F1304" t="n">
        <v>0.06145966709346991</v>
      </c>
    </row>
    <row r="1305">
      <c r="A1305" t="inlineStr">
        <is>
          <t>G|FICO x ASSET_CLASS|outcome_loans|book|3</t>
        </is>
      </c>
      <c r="B1305" t="n">
        <v>0.6947556759949276</v>
      </c>
      <c r="C1305" t="n">
        <v>0.5234412384204822</v>
      </c>
      <c r="D1305" t="n">
        <v>0.8992430424862182</v>
      </c>
      <c r="E1305" t="n">
        <v>1.04776666812208</v>
      </c>
      <c r="F1305" t="n">
        <v>0.7942098175778123</v>
      </c>
    </row>
    <row r="1306">
      <c r="A1306" t="inlineStr">
        <is>
          <t>G|FICO x ASSET_CLASS|outcome_loans|band|3</t>
        </is>
      </c>
      <c r="B1306" t="n">
        <v>0.8418222976796832</v>
      </c>
      <c r="C1306" t="n">
        <v>0.590886075949367</v>
      </c>
      <c r="D1306" t="n">
        <v>1.183998207082026</v>
      </c>
      <c r="E1306" t="n">
        <v>1.486486486486487</v>
      </c>
    </row>
    <row r="1307">
      <c r="A1307" t="inlineStr">
        <is>
          <t>G|FICO x ASSET_CLASS|outcome_loans|rate|4</t>
        </is>
      </c>
      <c r="B1307" t="n">
        <v>0.03601108033240998</v>
      </c>
      <c r="C1307" t="n">
        <v>0.04640371229698376</v>
      </c>
      <c r="D1307" t="n">
        <v>0.04846938775510204</v>
      </c>
      <c r="E1307" t="n">
        <v>0.08196721311475409</v>
      </c>
      <c r="F1307" t="n">
        <v>0.05400372439478585</v>
      </c>
    </row>
    <row r="1308">
      <c r="A1308" t="inlineStr">
        <is>
          <t>G|FICO x ASSET_CLASS|outcome_loans|book|4</t>
        </is>
      </c>
      <c r="B1308" t="n">
        <v>0.4653515857495111</v>
      </c>
      <c r="C1308" t="n">
        <v>0.5996499106035106</v>
      </c>
      <c r="D1308" t="n">
        <v>0.6263435099403251</v>
      </c>
      <c r="E1308" t="n">
        <v>1.05921766995948</v>
      </c>
      <c r="F1308" t="n">
        <v>0.6978607292954636</v>
      </c>
    </row>
    <row r="1309">
      <c r="A1309" t="inlineStr">
        <is>
          <t>G|FICO x ASSET_CLASS|outcome_loans|band|4</t>
        </is>
      </c>
      <c r="B1309" t="n">
        <v>0.6082952758853036</v>
      </c>
      <c r="C1309" t="n">
        <v>0.8172594106035945</v>
      </c>
      <c r="D1309" t="n">
        <v>0.8688850540216086</v>
      </c>
      <c r="E1309" t="n">
        <v>1.866330390920555</v>
      </c>
    </row>
    <row r="1310">
      <c r="A1310" t="inlineStr">
        <is>
          <t>G|FICO x ASSET_CLASS|outcome_loans|rate|5</t>
        </is>
      </c>
      <c r="B1310" t="n">
        <v>0.03623188405797102</v>
      </c>
      <c r="C1310" t="n">
        <v>0.04010025062656641</v>
      </c>
      <c r="D1310" t="n">
        <v>0.04155844155844156</v>
      </c>
      <c r="E1310" t="n">
        <v>0.04021447721179625</v>
      </c>
      <c r="F1310" t="n">
        <v>0.03946530872056015</v>
      </c>
    </row>
    <row r="1311">
      <c r="A1311" t="inlineStr">
        <is>
          <t>G|FICO x ASSET_CLASS|outcome_loans|book|5</t>
        </is>
      </c>
      <c r="B1311" t="n">
        <v>0.4682049120835382</v>
      </c>
      <c r="C1311" t="n">
        <v>0.5181937072082468</v>
      </c>
      <c r="D1311" t="n">
        <v>0.5370371147430921</v>
      </c>
      <c r="E1311" t="n">
        <v>0.5196697951811925</v>
      </c>
      <c r="F1311" t="n">
        <v>0.5099886986361238</v>
      </c>
    </row>
    <row r="1312">
      <c r="A1312" t="inlineStr">
        <is>
          <t>G|FICO x ASSET_CLASS|outcome_loans|band|5</t>
        </is>
      </c>
      <c r="B1312" t="n">
        <v>0.8919210607462227</v>
      </c>
      <c r="C1312" t="n">
        <v>1.021684646398605</v>
      </c>
      <c r="D1312" t="n">
        <v>1.071485036702428</v>
      </c>
      <c r="E1312" t="n">
        <v>1.025041355313445</v>
      </c>
    </row>
    <row r="1313">
      <c r="A1313" t="inlineStr">
        <is>
          <t>G|FICO x ASSET_CLASS|outcome_loans|rate|6</t>
        </is>
      </c>
      <c r="C1313" t="n">
        <v>0</v>
      </c>
      <c r="F1313" t="n">
        <v>0</v>
      </c>
    </row>
    <row r="1314">
      <c r="A1314" t="inlineStr">
        <is>
          <t>G|FICO x ASSET_CLASS|outcome_loans|book|6</t>
        </is>
      </c>
    </row>
    <row r="1315">
      <c r="A1315" t="inlineStr">
        <is>
          <t>G|FICO x ASSET_CLASS|outcome_loans|band|6</t>
        </is>
      </c>
    </row>
    <row r="1316">
      <c r="A1316" t="inlineStr">
        <is>
          <t>G|FICO x ASSET_CLASS|outcome_loans|rate|7</t>
        </is>
      </c>
      <c r="B1316" t="n">
        <v>0.02380952380952381</v>
      </c>
      <c r="C1316" t="n">
        <v>0.1388888888888889</v>
      </c>
      <c r="D1316" t="n">
        <v>0.04651162790697674</v>
      </c>
      <c r="E1316" t="n">
        <v>0.05128205128205128</v>
      </c>
      <c r="F1316" t="n">
        <v>0.0625</v>
      </c>
    </row>
    <row r="1317">
      <c r="A1317" t="inlineStr">
        <is>
          <t>G|FICO x ASSET_CLASS|outcome_loans|book|7</t>
        </is>
      </c>
      <c r="F1317" t="n">
        <v>0.8076534733441034</v>
      </c>
    </row>
    <row r="1318">
      <c r="A1318" t="inlineStr">
        <is>
          <t>G|FICO x ASSET_CLASS|outcome_loans|band|7</t>
        </is>
      </c>
    </row>
    <row r="1319">
      <c r="A1319" t="inlineStr">
        <is>
          <t>G|FICO x ASSET_CLASS|outcome_loans|rate|8</t>
        </is>
      </c>
      <c r="B1319" t="n">
        <v>0.06779661016949153</v>
      </c>
      <c r="C1319" t="n">
        <v>0.06069651741293532</v>
      </c>
      <c r="D1319" t="n">
        <v>0.07648578811369509</v>
      </c>
      <c r="E1319" t="n">
        <v>0.10400390625</v>
      </c>
      <c r="F1319" t="n">
        <v>0.07738467308413552</v>
      </c>
    </row>
    <row r="1320">
      <c r="A1320" t="inlineStr">
        <is>
          <t>G|FICO x ASSET_CLASS|outcome_loans|book|8</t>
        </is>
      </c>
      <c r="B1320" t="n">
        <v>0.8760986829495359</v>
      </c>
      <c r="C1320" t="n">
        <v>0.784348049735169</v>
      </c>
      <c r="D1320" t="n">
        <v>0.9883841989037917</v>
      </c>
      <c r="E1320" t="n">
        <v>1.343985857986672</v>
      </c>
      <c r="F1320" t="n">
        <v>1</v>
      </c>
    </row>
    <row r="1321">
      <c r="A1321" t="inlineStr">
        <is>
          <t>G|FICO x ASSET_CLASS|outcome_loans|band|8</t>
        </is>
      </c>
    </row>
    <row r="1322">
      <c r="A1322" t="inlineStr">
        <is>
          <t>G|FICO x ASSET_CLASS|outcome_loans|meta</t>
        </is>
      </c>
      <c r="B1322" t="inlineStr">
        <is>
          <t>x</t>
        </is>
      </c>
      <c r="C1322" t="n">
        <v>2.637235831327684</v>
      </c>
      <c r="D1322" t="n">
        <v>10</v>
      </c>
      <c r="E1322" t="n">
        <v>0.07738467308413552</v>
      </c>
      <c r="F1322" t="n">
        <v>30</v>
      </c>
    </row>
    <row r="1323">
      <c r="A1323" t="inlineStr">
        <is>
          <t>G|FICO x ASSET_CLASS|outcome_booked|rate|1</t>
        </is>
      </c>
      <c r="B1323" t="n">
        <v>0.1276352086740425</v>
      </c>
      <c r="C1323" t="n">
        <v>0.108700694066502</v>
      </c>
      <c r="D1323" t="n">
        <v>0.1408827058373993</v>
      </c>
      <c r="E1323" t="n">
        <v>0.2242535291400861</v>
      </c>
      <c r="F1323" t="n">
        <v>0.1491655756309188</v>
      </c>
    </row>
    <row r="1324">
      <c r="A1324" t="inlineStr">
        <is>
          <t>G|FICO x ASSET_CLASS|outcome_booked|book|1</t>
        </is>
      </c>
      <c r="B1324" t="n">
        <v>1.705694755343268</v>
      </c>
      <c r="C1324" t="n">
        <v>1.452657191519231</v>
      </c>
      <c r="D1324" t="n">
        <v>1.882732006018113</v>
      </c>
      <c r="E1324" t="n">
        <v>2.996885205071595</v>
      </c>
      <c r="F1324" t="n">
        <v>1.993422839000397</v>
      </c>
    </row>
    <row r="1325">
      <c r="A1325" t="inlineStr">
        <is>
          <t>G|FICO x ASSET_CLASS|outcome_booked|band|1</t>
        </is>
      </c>
      <c r="B1325" t="n">
        <v>0.8132096170035026</v>
      </c>
      <c r="C1325" t="n">
        <v>0.6650342939790537</v>
      </c>
      <c r="D1325" t="n">
        <v>0.9289596398675806</v>
      </c>
      <c r="E1325" t="n">
        <v>1.791775105196673</v>
      </c>
    </row>
    <row r="1326">
      <c r="A1326" t="inlineStr">
        <is>
          <t>G|FICO x ASSET_CLASS|outcome_booked|rate|2</t>
        </is>
      </c>
      <c r="B1326" t="n">
        <v>0.06348643500205574</v>
      </c>
      <c r="C1326" t="n">
        <v>0.05558659797747173</v>
      </c>
      <c r="D1326" t="n">
        <v>0.08342653528102482</v>
      </c>
      <c r="E1326" t="n">
        <v>0.1119359301162006</v>
      </c>
      <c r="F1326" t="n">
        <v>0.07985779590889652</v>
      </c>
    </row>
    <row r="1327">
      <c r="A1327" t="inlineStr">
        <is>
          <t>G|FICO x ASSET_CLASS|outcome_booked|book|2</t>
        </is>
      </c>
      <c r="B1327" t="n">
        <v>0.8484216882114182</v>
      </c>
      <c r="C1327" t="n">
        <v>0.7428496386109704</v>
      </c>
      <c r="D1327" t="n">
        <v>1.11489772425345</v>
      </c>
      <c r="E1327" t="n">
        <v>1.495892324047288</v>
      </c>
      <c r="F1327" t="n">
        <v>1.067205711262177</v>
      </c>
    </row>
    <row r="1328">
      <c r="A1328" t="inlineStr">
        <is>
          <t>G|FICO x ASSET_CLASS|outcome_booked|band|2</t>
        </is>
      </c>
      <c r="B1328" t="n">
        <v>0.7426239781355174</v>
      </c>
      <c r="C1328" t="n">
        <v>0.6392392239448949</v>
      </c>
      <c r="D1328" t="n">
        <v>1.059885234816398</v>
      </c>
      <c r="E1328" t="n">
        <v>1.653404103717667</v>
      </c>
    </row>
    <row r="1329">
      <c r="A1329" t="inlineStr">
        <is>
          <t>G|FICO x ASSET_CLASS|outcome_booked|rate|3</t>
        </is>
      </c>
      <c r="B1329" t="n">
        <v>0.06046557269561652</v>
      </c>
      <c r="C1329" t="n">
        <v>0.03818519804568093</v>
      </c>
      <c r="D1329" t="n">
        <v>0.06427548153730028</v>
      </c>
      <c r="E1329" t="n">
        <v>0.06461676794219112</v>
      </c>
      <c r="F1329" t="n">
        <v>0.05686223568965074</v>
      </c>
    </row>
    <row r="1330">
      <c r="A1330" t="inlineStr">
        <is>
          <t>G|FICO x ASSET_CLASS|outcome_booked|book|3</t>
        </is>
      </c>
      <c r="B1330" t="n">
        <v>0.8080514091462855</v>
      </c>
      <c r="C1330" t="n">
        <v>0.5103003529739055</v>
      </c>
      <c r="D1330" t="n">
        <v>0.8589663690316259</v>
      </c>
      <c r="E1330" t="n">
        <v>0.8635272612567401</v>
      </c>
      <c r="F1330" t="n">
        <v>0.7598970393868687</v>
      </c>
    </row>
    <row r="1331">
      <c r="A1331" t="inlineStr">
        <is>
          <t>G|FICO x ASSET_CLASS|outcome_booked|band|3</t>
        </is>
      </c>
      <c r="B1331" t="n">
        <v>1.084039607321751</v>
      </c>
      <c r="C1331" t="n">
        <v>0.6040497133408764</v>
      </c>
      <c r="D1331" t="n">
        <v>1.181934324020646</v>
      </c>
      <c r="E1331" t="n">
        <v>1.194871410271308</v>
      </c>
    </row>
    <row r="1332">
      <c r="A1332" t="inlineStr">
        <is>
          <t>G|FICO x ASSET_CLASS|outcome_booked|rate|4</t>
        </is>
      </c>
      <c r="B1332" t="n">
        <v>0.04054846076713071</v>
      </c>
      <c r="C1332" t="n">
        <v>0.0454678030440295</v>
      </c>
      <c r="D1332" t="n">
        <v>0.04231326070887811</v>
      </c>
      <c r="E1332" t="n">
        <v>0.08791346933525528</v>
      </c>
      <c r="F1332" t="n">
        <v>0.05451749193722223</v>
      </c>
    </row>
    <row r="1333">
      <c r="A1333" t="inlineStr">
        <is>
          <t>G|FICO x ASSET_CLASS|outcome_booked|book|4</t>
        </is>
      </c>
      <c r="B1333" t="n">
        <v>0.5418825854264698</v>
      </c>
      <c r="C1333" t="n">
        <v>0.607623821004135</v>
      </c>
      <c r="D1333" t="n">
        <v>0.5654670652588034</v>
      </c>
      <c r="E1333" t="n">
        <v>1.174860331463325</v>
      </c>
      <c r="F1333" t="n">
        <v>0.7285622912191042</v>
      </c>
    </row>
    <row r="1334">
      <c r="A1334" t="inlineStr">
        <is>
          <t>G|FICO x ASSET_CLASS|outcome_booked|band|4</t>
        </is>
      </c>
      <c r="B1334" t="n">
        <v>0.6919066973184953</v>
      </c>
      <c r="C1334" t="n">
        <v>0.7844395065388725</v>
      </c>
      <c r="D1334" t="n">
        <v>0.7247250369920415</v>
      </c>
      <c r="E1334" t="n">
        <v>2.04704720669849</v>
      </c>
    </row>
    <row r="1335">
      <c r="A1335" t="inlineStr">
        <is>
          <t>G|FICO x ASSET_CLASS|outcome_booked|rate|5</t>
        </is>
      </c>
      <c r="B1335" t="n">
        <v>0.03369942521373164</v>
      </c>
      <c r="C1335" t="n">
        <v>0.04674229712438486</v>
      </c>
      <c r="D1335" t="n">
        <v>0.03337613677724733</v>
      </c>
      <c r="E1335" t="n">
        <v>0.03299889535073695</v>
      </c>
      <c r="F1335" t="n">
        <v>0.03682990751373653</v>
      </c>
    </row>
    <row r="1336">
      <c r="A1336" t="inlineStr">
        <is>
          <t>G|FICO x ASSET_CLASS|outcome_booked|book|5</t>
        </is>
      </c>
      <c r="B1336" t="n">
        <v>0.4503532641368636</v>
      </c>
      <c r="C1336" t="n">
        <v>0.624655938483019</v>
      </c>
      <c r="D1336" t="n">
        <v>0.4460328936348442</v>
      </c>
      <c r="E1336" t="n">
        <v>0.4409915047470787</v>
      </c>
      <c r="F1336" t="n">
        <v>0.4921884857523176</v>
      </c>
    </row>
    <row r="1337">
      <c r="A1337" t="inlineStr">
        <is>
          <t>G|FICO x ASSET_CLASS|outcome_booked|band|5</t>
        </is>
      </c>
      <c r="B1337" t="n">
        <v>0.8879293490733464</v>
      </c>
      <c r="C1337" t="n">
        <v>1.400534289227499</v>
      </c>
      <c r="D1337" t="n">
        <v>0.8789983459261625</v>
      </c>
      <c r="E1337" t="n">
        <v>0.8690946877055101</v>
      </c>
    </row>
    <row r="1338">
      <c r="A1338" t="inlineStr">
        <is>
          <t>G|FICO x ASSET_CLASS|outcome_booked|rate|6</t>
        </is>
      </c>
      <c r="C1338" t="n">
        <v>0</v>
      </c>
      <c r="F1338" t="n">
        <v>0</v>
      </c>
    </row>
    <row r="1339">
      <c r="A1339" t="inlineStr">
        <is>
          <t>G|FICO x ASSET_CLASS|outcome_booked|book|6</t>
        </is>
      </c>
    </row>
    <row r="1340">
      <c r="A1340" t="inlineStr">
        <is>
          <t>G|FICO x ASSET_CLASS|outcome_booked|band|6</t>
        </is>
      </c>
    </row>
    <row r="1341">
      <c r="A1341" t="inlineStr">
        <is>
          <t>G|FICO x ASSET_CLASS|outcome_booked|rate|7</t>
        </is>
      </c>
      <c r="B1341" t="n">
        <v>0.009586870506969991</v>
      </c>
      <c r="C1341" t="n">
        <v>0.1158764205229406</v>
      </c>
      <c r="D1341" t="n">
        <v>0.03694305066533045</v>
      </c>
      <c r="E1341" t="n">
        <v>0.04927232715453918</v>
      </c>
      <c r="F1341" t="n">
        <v>0.04815037624246446</v>
      </c>
    </row>
    <row r="1342">
      <c r="A1342" t="inlineStr">
        <is>
          <t>G|FICO x ASSET_CLASS|outcome_booked|book|7</t>
        </is>
      </c>
      <c r="F1342" t="n">
        <v>0.6434732631990415</v>
      </c>
    </row>
    <row r="1343">
      <c r="A1343" t="inlineStr">
        <is>
          <t>G|FICO x ASSET_CLASS|outcome_booked|band|7</t>
        </is>
      </c>
    </row>
    <row r="1344">
      <c r="A1344" t="inlineStr">
        <is>
          <t>G|FICO x ASSET_CLASS|outcome_booked|rate|8</t>
        </is>
      </c>
      <c r="B1344" t="n">
        <v>0.06479266841209207</v>
      </c>
      <c r="C1344" t="n">
        <v>0.05990447229803184</v>
      </c>
      <c r="D1344" t="n">
        <v>0.07111558928800159</v>
      </c>
      <c r="E1344" t="n">
        <v>0.1032953749844734</v>
      </c>
      <c r="F1344" t="n">
        <v>0.07482886857347225</v>
      </c>
    </row>
    <row r="1345">
      <c r="A1345" t="inlineStr">
        <is>
          <t>G|FICO x ASSET_CLASS|outcome_booked|book|8</t>
        </is>
      </c>
      <c r="B1345" t="n">
        <v>0.8658779645782561</v>
      </c>
      <c r="C1345" t="n">
        <v>0.8005529609099106</v>
      </c>
      <c r="D1345" t="n">
        <v>0.9503763807169583</v>
      </c>
      <c r="E1345" t="n">
        <v>1.380421446343942</v>
      </c>
      <c r="F1345" t="n">
        <v>0.9999999999999987</v>
      </c>
    </row>
    <row r="1346">
      <c r="A1346" t="inlineStr">
        <is>
          <t>G|FICO x ASSET_CLASS|outcome_booked|band|8</t>
        </is>
      </c>
    </row>
    <row r="1347">
      <c r="A1347" t="inlineStr">
        <is>
          <t>G|FICO x ASSET_CLASS|outcome_booked|meta</t>
        </is>
      </c>
      <c r="B1347" t="inlineStr">
        <is>
          <t>x</t>
        </is>
      </c>
      <c r="C1347" t="n">
        <v>2.996885205071595</v>
      </c>
      <c r="D1347" t="n">
        <v>10</v>
      </c>
      <c r="E1347" t="n">
        <v>0.07482886857347235</v>
      </c>
      <c r="F1347" t="n">
        <v>30</v>
      </c>
    </row>
    <row r="1348">
      <c r="A1348" t="inlineStr">
        <is>
          <t>G|FICO x ASSET_CLASS|gco_rate|rate|1</t>
        </is>
      </c>
      <c r="B1348" t="n">
        <v>0.07355223055051165</v>
      </c>
      <c r="C1348" t="n">
        <v>0.05940718881303055</v>
      </c>
      <c r="D1348" t="n">
        <v>0.08042333444240277</v>
      </c>
      <c r="E1348" t="n">
        <v>0.1231658585862879</v>
      </c>
      <c r="F1348" t="n">
        <v>0.08345255929305034</v>
      </c>
    </row>
    <row r="1349">
      <c r="A1349" t="inlineStr">
        <is>
          <t>G|FICO x ASSET_CLASS|gco_rate|book|1</t>
        </is>
      </c>
      <c r="B1349" t="n">
        <v>1.767858706373372</v>
      </c>
      <c r="C1349" t="n">
        <v>1.427876696304382</v>
      </c>
      <c r="D1349" t="n">
        <v>1.933008569902442</v>
      </c>
      <c r="E1349" t="n">
        <v>2.960343062338384</v>
      </c>
      <c r="F1349" t="n">
        <v>2.005817259532897</v>
      </c>
    </row>
    <row r="1350">
      <c r="A1350" t="inlineStr">
        <is>
          <t>G|FICO x ASSET_CLASS|gco_rate|band|1</t>
        </is>
      </c>
      <c r="B1350" t="n">
        <v>0.8451400690093763</v>
      </c>
      <c r="C1350" t="n">
        <v>0.6459743404111616</v>
      </c>
      <c r="D1350" t="n">
        <v>0.9533049072608608</v>
      </c>
      <c r="E1350" t="n">
        <v>1.7404429065153</v>
      </c>
    </row>
    <row r="1351">
      <c r="A1351" t="inlineStr">
        <is>
          <t>G|FICO x ASSET_CLASS|gco_rate|rate|2</t>
        </is>
      </c>
      <c r="B1351" t="n">
        <v>0.03262896125692831</v>
      </c>
      <c r="C1351" t="n">
        <v>0.03220881070191754</v>
      </c>
      <c r="D1351" t="n">
        <v>0.04904611205615317</v>
      </c>
      <c r="E1351" t="n">
        <v>0.06425822850758699</v>
      </c>
      <c r="F1351" t="n">
        <v>0.04521453740915432</v>
      </c>
    </row>
    <row r="1352">
      <c r="A1352" t="inlineStr">
        <is>
          <t>G|FICO x ASSET_CLASS|gco_rate|book|2</t>
        </is>
      </c>
      <c r="B1352" t="n">
        <v>0.7842507671927957</v>
      </c>
      <c r="C1352" t="n">
        <v>0.7741522724074702</v>
      </c>
      <c r="D1352" t="n">
        <v>1.178843871399509</v>
      </c>
      <c r="E1352" t="n">
        <v>1.544473469710118</v>
      </c>
      <c r="F1352" t="n">
        <v>1.086750367937848</v>
      </c>
    </row>
    <row r="1353">
      <c r="A1353" t="inlineStr">
        <is>
          <t>G|FICO x ASSET_CLASS|gco_rate|band|2</t>
        </is>
      </c>
      <c r="B1353" t="n">
        <v>0.6585879176080297</v>
      </c>
      <c r="C1353" t="n">
        <v>0.6570695463311553</v>
      </c>
      <c r="D1353" t="n">
        <v>1.115059073035587</v>
      </c>
      <c r="E1353" t="n">
        <v>1.691137770960734</v>
      </c>
    </row>
    <row r="1354">
      <c r="A1354" t="inlineStr">
        <is>
          <t>G|FICO x ASSET_CLASS|gco_rate|rate|3</t>
        </is>
      </c>
      <c r="B1354" t="n">
        <v>0.03498530803243795</v>
      </c>
      <c r="C1354" t="n">
        <v>0.01870715496835951</v>
      </c>
      <c r="D1354" t="n">
        <v>0.03438001216278803</v>
      </c>
      <c r="E1354" t="n">
        <v>0.03806352628725936</v>
      </c>
      <c r="F1354" t="n">
        <v>0.03151500509362794</v>
      </c>
    </row>
    <row r="1355">
      <c r="A1355" t="inlineStr">
        <is>
          <t>G|FICO x ASSET_CLASS|gco_rate|book|3</t>
        </is>
      </c>
      <c r="B1355" t="n">
        <v>0.8408865501070715</v>
      </c>
      <c r="C1355" t="n">
        <v>0.4496343147551246</v>
      </c>
      <c r="D1355" t="n">
        <v>0.8263380100412802</v>
      </c>
      <c r="E1355" t="n">
        <v>0.9148728167528709</v>
      </c>
      <c r="F1355" t="n">
        <v>0.7574763636557553</v>
      </c>
    </row>
    <row r="1356">
      <c r="A1356" t="inlineStr">
        <is>
          <t>G|FICO x ASSET_CLASS|gco_rate|band|3</t>
        </is>
      </c>
      <c r="B1356" t="n">
        <v>1.148158152115248</v>
      </c>
      <c r="C1356" t="n">
        <v>0.5215023580325703</v>
      </c>
      <c r="D1356" t="n">
        <v>1.125136212823914</v>
      </c>
      <c r="E1356" t="n">
        <v>1.305148031995351</v>
      </c>
    </row>
    <row r="1357">
      <c r="A1357" t="inlineStr">
        <is>
          <t>G|FICO x ASSET_CLASS|gco_rate|rate|4</t>
        </is>
      </c>
      <c r="B1357" t="n">
        <v>0.02461761470580813</v>
      </c>
      <c r="C1357" t="n">
        <v>0.02633420507366459</v>
      </c>
      <c r="D1357" t="n">
        <v>0.02322727151614726</v>
      </c>
      <c r="E1357" t="n">
        <v>0.04600441784929067</v>
      </c>
      <c r="F1357" t="n">
        <v>0.03026397173122731</v>
      </c>
    </row>
    <row r="1358">
      <c r="A1358" t="inlineStr">
        <is>
          <t>G|FICO x ASSET_CLASS|gco_rate|book|4</t>
        </is>
      </c>
      <c r="B1358" t="n">
        <v>0.5916946931734529</v>
      </c>
      <c r="C1358" t="n">
        <v>0.6329536625395505</v>
      </c>
      <c r="D1358" t="n">
        <v>0.5582772115513159</v>
      </c>
      <c r="E1358" t="n">
        <v>1.10573547556324</v>
      </c>
      <c r="F1358" t="n">
        <v>0.7274072521532202</v>
      </c>
    </row>
    <row r="1359">
      <c r="A1359" t="inlineStr">
        <is>
          <t>G|FICO x ASSET_CLASS|gco_rate|band|4</t>
        </is>
      </c>
      <c r="B1359" t="n">
        <v>0.7714685081564954</v>
      </c>
      <c r="C1359" t="n">
        <v>0.8291261313311146</v>
      </c>
      <c r="D1359" t="n">
        <v>0.7147660377971981</v>
      </c>
      <c r="E1359" t="n">
        <v>1.854678345569113</v>
      </c>
    </row>
    <row r="1360">
      <c r="A1360" t="inlineStr">
        <is>
          <t>G|FICO x ASSET_CLASS|gco_rate|rate|5</t>
        </is>
      </c>
      <c r="B1360" t="n">
        <v>0.01846337237406543</v>
      </c>
      <c r="C1360" t="n">
        <v>0.02429547794680709</v>
      </c>
      <c r="D1360" t="n">
        <v>0.01682813232770902</v>
      </c>
      <c r="E1360" t="n">
        <v>0.01778061167366514</v>
      </c>
      <c r="F1360" t="n">
        <v>0.01940834703954903</v>
      </c>
    </row>
    <row r="1361">
      <c r="A1361" t="inlineStr">
        <is>
          <t>G|FICO x ASSET_CLASS|gco_rate|book|5</t>
        </is>
      </c>
      <c r="B1361" t="n">
        <v>0.4437748978678406</v>
      </c>
      <c r="C1361" t="n">
        <v>0.5839520010785912</v>
      </c>
      <c r="D1361" t="n">
        <v>0.40447121759432</v>
      </c>
      <c r="E1361" t="n">
        <v>0.4273644581090717</v>
      </c>
      <c r="F1361" t="n">
        <v>0.4664877602402492</v>
      </c>
    </row>
    <row r="1362">
      <c r="A1362" t="inlineStr">
        <is>
          <t>G|FICO x ASSET_CLASS|gco_rate|band|5</t>
        </is>
      </c>
      <c r="B1362" t="n">
        <v>0.9349815094307363</v>
      </c>
      <c r="C1362" t="n">
        <v>1.372255529935013</v>
      </c>
      <c r="D1362" t="n">
        <v>0.8305856601183079</v>
      </c>
      <c r="E1362" t="n">
        <v>0.8938373725528002</v>
      </c>
    </row>
    <row r="1363">
      <c r="A1363" t="inlineStr">
        <is>
          <t>G|FICO x ASSET_CLASS|gco_rate|rate|6</t>
        </is>
      </c>
      <c r="C1363" t="n">
        <v>0</v>
      </c>
      <c r="F1363" t="n">
        <v>0</v>
      </c>
    </row>
    <row r="1364">
      <c r="A1364" t="inlineStr">
        <is>
          <t>G|FICO x ASSET_CLASS|gco_rate|book|6</t>
        </is>
      </c>
    </row>
    <row r="1365">
      <c r="A1365" t="inlineStr">
        <is>
          <t>G|FICO x ASSET_CLASS|gco_rate|band|6</t>
        </is>
      </c>
    </row>
    <row r="1366">
      <c r="A1366" t="inlineStr">
        <is>
          <t>G|FICO x ASSET_CLASS|gco_rate|rate|7</t>
        </is>
      </c>
      <c r="B1366" t="n">
        <v>0.004127622161368955</v>
      </c>
      <c r="C1366" t="n">
        <v>0.06113306624451557</v>
      </c>
      <c r="D1366" t="n">
        <v>0.02458982875144944</v>
      </c>
      <c r="E1366" t="n">
        <v>0.02144455121582318</v>
      </c>
      <c r="F1366" t="n">
        <v>0.02551311188947889</v>
      </c>
    </row>
    <row r="1367">
      <c r="A1367" t="inlineStr">
        <is>
          <t>G|FICO x ASSET_CLASS|gco_rate|book|7</t>
        </is>
      </c>
      <c r="F1367" t="n">
        <v>0.6132183435214595</v>
      </c>
    </row>
    <row r="1368">
      <c r="A1368" t="inlineStr">
        <is>
          <t>G|FICO x ASSET_CLASS|gco_rate|band|7</t>
        </is>
      </c>
    </row>
    <row r="1369">
      <c r="A1369" t="inlineStr">
        <is>
          <t>G|FICO x ASSET_CLASS|gco_rate|rate|8</t>
        </is>
      </c>
      <c r="B1369" t="n">
        <v>0.03658802020131283</v>
      </c>
      <c r="C1369" t="n">
        <v>0.03267264405351186</v>
      </c>
      <c r="D1369" t="n">
        <v>0.0398533959196397</v>
      </c>
      <c r="E1369" t="n">
        <v>0.05721698514012346</v>
      </c>
      <c r="F1369" t="n">
        <v>0.0416052653333356</v>
      </c>
    </row>
    <row r="1370">
      <c r="A1370" t="inlineStr">
        <is>
          <t>G|FICO x ASSET_CLASS|gco_rate|book|8</t>
        </is>
      </c>
      <c r="B1370" t="n">
        <v>0.8794084092043318</v>
      </c>
      <c r="C1370" t="n">
        <v>0.7853007015276345</v>
      </c>
      <c r="D1370" t="n">
        <v>0.9578930839724202</v>
      </c>
      <c r="E1370" t="n">
        <v>1.375234232535446</v>
      </c>
      <c r="F1370" t="n">
        <v>0.9999999999999988</v>
      </c>
    </row>
    <row r="1371">
      <c r="A1371" t="inlineStr">
        <is>
          <t>G|FICO x ASSET_CLASS|gco_rate|band|8</t>
        </is>
      </c>
    </row>
    <row r="1372">
      <c r="A1372" t="inlineStr">
        <is>
          <t>G|FICO x ASSET_CLASS|gco_rate|meta</t>
        </is>
      </c>
      <c r="B1372" t="inlineStr">
        <is>
          <t>x</t>
        </is>
      </c>
      <c r="C1372" t="n">
        <v>2.960343062338384</v>
      </c>
      <c r="D1372" t="n">
        <v>10</v>
      </c>
      <c r="E1372" t="n">
        <v>0.04160526533333565</v>
      </c>
      <c r="F1372" t="n">
        <v>30</v>
      </c>
    </row>
    <row r="1373">
      <c r="A1373" t="inlineStr">
        <is>
          <t>G|FICO x ASSET_CLASS|ranr_rate|rate|1</t>
        </is>
      </c>
      <c r="B1373" t="n">
        <v>0.2077442608211614</v>
      </c>
      <c r="C1373" t="n">
        <v>0.2055596297167591</v>
      </c>
      <c r="D1373" t="n">
        <v>0.1917460412988871</v>
      </c>
      <c r="E1373" t="n">
        <v>0.1527857550175701</v>
      </c>
      <c r="F1373" t="n">
        <v>0.1901717430158448</v>
      </c>
    </row>
    <row r="1374">
      <c r="A1374" t="inlineStr">
        <is>
          <t>G|FICO x ASSET_CLASS|ranr_rate|book|1</t>
        </is>
      </c>
      <c r="B1374" t="n">
        <v>7.975421117</v>
      </c>
      <c r="C1374" t="n">
        <v>7.756958007</v>
      </c>
      <c r="D1374" t="n">
        <v>6.375599165</v>
      </c>
      <c r="E1374" t="n">
        <v>2.479570537</v>
      </c>
      <c r="F1374" t="n">
        <v>6.218169337</v>
      </c>
    </row>
    <row r="1375">
      <c r="A1375" t="inlineStr">
        <is>
          <t>G|FICO x ASSET_CLASS|ranr_rate|band|1</t>
        </is>
      </c>
      <c r="B1375" t="n">
        <v>2.392162031</v>
      </c>
      <c r="C1375" t="n">
        <v>2.083559861</v>
      </c>
      <c r="D1375" t="n">
        <v>0.204727885</v>
      </c>
      <c r="E1375" t="n">
        <v>-4.932817269</v>
      </c>
    </row>
    <row r="1376">
      <c r="A1376" t="inlineStr">
        <is>
          <t>G|FICO x ASSET_CLASS|ranr_rate|rate|2</t>
        </is>
      </c>
      <c r="B1376" t="n">
        <v>0.1778760363577258</v>
      </c>
      <c r="C1376" t="n">
        <v>0.1780228111174895</v>
      </c>
      <c r="D1376" t="n">
        <v>0.1597304607764646</v>
      </c>
      <c r="E1376" t="n">
        <v>0.1399400584406234</v>
      </c>
      <c r="F1376" t="n">
        <v>0.1630754408239561</v>
      </c>
    </row>
    <row r="1377">
      <c r="A1377" t="inlineStr">
        <is>
          <t>G|FICO x ASSET_CLASS|ranr_rate|book|2</t>
        </is>
      </c>
      <c r="B1377" t="n">
        <v>4.988598671</v>
      </c>
      <c r="C1377" t="n">
        <v>5.003276147</v>
      </c>
      <c r="D1377" t="n">
        <v>3.174041113</v>
      </c>
      <c r="E1377" t="n">
        <v>1.195000879</v>
      </c>
      <c r="F1377" t="n">
        <v>3.508539118</v>
      </c>
    </row>
    <row r="1378">
      <c r="A1378" t="inlineStr">
        <is>
          <t>G|FICO x ASSET_CLASS|ranr_rate|band|2</t>
        </is>
      </c>
      <c r="B1378" t="n">
        <v>1.989181743</v>
      </c>
      <c r="C1378" t="n">
        <v>1.93196642</v>
      </c>
      <c r="D1378" t="n">
        <v>-0.441818424</v>
      </c>
      <c r="E1378" t="n">
        <v>-3.190361831</v>
      </c>
    </row>
    <row r="1379">
      <c r="A1379" t="inlineStr">
        <is>
          <t>G|FICO x ASSET_CLASS|ranr_rate|rate|3</t>
        </is>
      </c>
      <c r="B1379" t="n">
        <v>0.1394747088927646</v>
      </c>
      <c r="C1379" t="n">
        <v>0.1529877133403514</v>
      </c>
      <c r="D1379" t="n">
        <v>0.1323364145670277</v>
      </c>
      <c r="E1379" t="n">
        <v>0.1425164613916163</v>
      </c>
      <c r="F1379" t="n">
        <v>0.1419183148673722</v>
      </c>
    </row>
    <row r="1380">
      <c r="A1380" t="inlineStr">
        <is>
          <t>G|FICO x ASSET_CLASS|ranr_rate|book|3</t>
        </is>
      </c>
      <c r="B1380" t="n">
        <v>1.148465924</v>
      </c>
      <c r="C1380" t="n">
        <v>2.499766369</v>
      </c>
      <c r="D1380" t="n">
        <v>0.434636492</v>
      </c>
      <c r="E1380" t="n">
        <v>1.452641174</v>
      </c>
      <c r="F1380" t="n">
        <v>1.392826522</v>
      </c>
    </row>
    <row r="1381">
      <c r="A1381" t="inlineStr">
        <is>
          <t>G|FICO x ASSET_CLASS|ranr_rate|band|3</t>
        </is>
      </c>
      <c r="B1381" t="n">
        <v>-0.317887412</v>
      </c>
      <c r="C1381" t="n">
        <v>1.483470976</v>
      </c>
      <c r="D1381" t="n">
        <v>-1.278821356</v>
      </c>
      <c r="E1381" t="n">
        <v>0.081287575</v>
      </c>
    </row>
    <row r="1382">
      <c r="A1382" t="inlineStr">
        <is>
          <t>G|FICO x ASSET_CLASS|ranr_rate|rate|4</t>
        </is>
      </c>
      <c r="B1382" t="n">
        <v>0.1013543955768143</v>
      </c>
      <c r="C1382" t="n">
        <v>0.09423281563887562</v>
      </c>
      <c r="D1382" t="n">
        <v>0.1008589944409684</v>
      </c>
      <c r="E1382" t="n">
        <v>0.08852018205526856</v>
      </c>
      <c r="F1382" t="n">
        <v>0.09596924359374788</v>
      </c>
    </row>
    <row r="1383">
      <c r="A1383" t="inlineStr">
        <is>
          <t>G|FICO x ASSET_CLASS|ranr_rate|book|4</t>
        </is>
      </c>
      <c r="B1383" t="n">
        <v>-2.663565407</v>
      </c>
      <c r="C1383" t="n">
        <v>-3.375723401</v>
      </c>
      <c r="D1383" t="n">
        <v>-2.713105521</v>
      </c>
      <c r="E1383" t="n">
        <v>-3.946986759</v>
      </c>
      <c r="F1383" t="n">
        <v>-3.202080605</v>
      </c>
    </row>
    <row r="1384">
      <c r="A1384" t="inlineStr">
        <is>
          <t>G|FICO x ASSET_CLASS|ranr_rate|band|4</t>
        </is>
      </c>
      <c r="B1384" t="n">
        <v>0.69605054</v>
      </c>
      <c r="C1384" t="n">
        <v>-0.239737957</v>
      </c>
      <c r="D1384" t="n">
        <v>0.643941248</v>
      </c>
      <c r="E1384" t="n">
        <v>-1.003000679</v>
      </c>
    </row>
    <row r="1385">
      <c r="A1385" t="inlineStr">
        <is>
          <t>G|FICO x ASSET_CLASS|ranr_rate|rate|5</t>
        </is>
      </c>
      <c r="B1385" t="n">
        <v>0.04893947310134965</v>
      </c>
      <c r="C1385" t="n">
        <v>0.03938017904569642</v>
      </c>
      <c r="D1385" t="n">
        <v>0.05119390860871899</v>
      </c>
      <c r="E1385" t="n">
        <v>0.04769662628883067</v>
      </c>
      <c r="F1385" t="n">
        <v>0.04674341748455087</v>
      </c>
    </row>
    <row r="1386">
      <c r="A1386" t="inlineStr">
        <is>
          <t>G|FICO x ASSET_CLASS|ranr_rate|book|5</t>
        </is>
      </c>
      <c r="B1386" t="n">
        <v>-7.905057655</v>
      </c>
      <c r="C1386" t="n">
        <v>-8.860987059999999</v>
      </c>
      <c r="D1386" t="n">
        <v>-7.679614104</v>
      </c>
      <c r="E1386" t="n">
        <v>-8.029342335999999</v>
      </c>
      <c r="F1386" t="n">
        <v>-8.124663216</v>
      </c>
    </row>
    <row r="1387">
      <c r="A1387" t="inlineStr">
        <is>
          <t>G|FICO x ASSET_CLASS|ranr_rate|band|5</t>
        </is>
      </c>
      <c r="B1387" t="n">
        <v>0.298378866</v>
      </c>
      <c r="C1387" t="n">
        <v>-0.992993733</v>
      </c>
      <c r="D1387" t="n">
        <v>0.59204368</v>
      </c>
      <c r="E1387" t="n">
        <v>0.123669923</v>
      </c>
    </row>
    <row r="1388">
      <c r="A1388" t="inlineStr">
        <is>
          <t>G|FICO x ASSET_CLASS|ranr_rate|rate|6</t>
        </is>
      </c>
      <c r="C1388" t="n">
        <v>0.140296941334961</v>
      </c>
      <c r="F1388" t="n">
        <v>0.140296941334961</v>
      </c>
    </row>
    <row r="1389">
      <c r="A1389" t="inlineStr">
        <is>
          <t>G|FICO x ASSET_CLASS|ranr_rate|book|6</t>
        </is>
      </c>
      <c r="C1389" t="n">
        <v>1.230689169</v>
      </c>
      <c r="F1389" t="n">
        <v>1.230689169</v>
      </c>
    </row>
    <row r="1390">
      <c r="A1390" t="inlineStr">
        <is>
          <t>G|FICO x ASSET_CLASS|ranr_rate|band|6</t>
        </is>
      </c>
    </row>
    <row r="1391">
      <c r="A1391" t="inlineStr">
        <is>
          <t>G|FICO x ASSET_CLASS|ranr_rate|rate|7</t>
        </is>
      </c>
      <c r="B1391" t="n">
        <v>0.1796574184198243</v>
      </c>
      <c r="C1391" t="n">
        <v>0.112038788814841</v>
      </c>
      <c r="D1391" t="n">
        <v>0.1540231821186723</v>
      </c>
      <c r="E1391" t="n">
        <v>0.1646195456584492</v>
      </c>
      <c r="F1391" t="n">
        <v>0.1551731988462655</v>
      </c>
    </row>
    <row r="1392">
      <c r="A1392" t="inlineStr">
        <is>
          <t>G|FICO x ASSET_CLASS|ranr_rate|book|7</t>
        </is>
      </c>
      <c r="B1392" t="n">
        <v>5.166736877</v>
      </c>
      <c r="C1392" t="n">
        <v>-1.595126083</v>
      </c>
      <c r="D1392" t="n">
        <v>2.603313247</v>
      </c>
      <c r="E1392" t="n">
        <v>3.662949601</v>
      </c>
      <c r="F1392" t="n">
        <v>2.71831492</v>
      </c>
    </row>
    <row r="1393">
      <c r="A1393" t="inlineStr">
        <is>
          <t>G|FICO x ASSET_CLASS|ranr_rate|band|7</t>
        </is>
      </c>
      <c r="B1393" t="n">
        <v>3.431925923</v>
      </c>
      <c r="C1393" t="n">
        <v>-5.428953282</v>
      </c>
      <c r="D1393" t="n">
        <v>-0.159407582</v>
      </c>
      <c r="E1393" t="n">
        <v>1.225814525</v>
      </c>
    </row>
    <row r="1394">
      <c r="A1394" t="inlineStr">
        <is>
          <t>G|FICO x ASSET_CLASS|ranr_rate|rate|8</t>
        </is>
      </c>
      <c r="B1394" t="n">
        <v>0.1366271301464631</v>
      </c>
      <c r="C1394" t="n">
        <v>0.1319777891966655</v>
      </c>
      <c r="D1394" t="n">
        <v>0.1267931865560142</v>
      </c>
      <c r="E1394" t="n">
        <v>0.1166197094471362</v>
      </c>
      <c r="F1394" t="n">
        <v>0.1279900496481476</v>
      </c>
    </row>
    <row r="1395">
      <c r="A1395" t="inlineStr">
        <is>
          <t>G|FICO x ASSET_CLASS|ranr_rate|book|8</t>
        </is>
      </c>
      <c r="B1395" t="n">
        <v>0.8637080499999999</v>
      </c>
      <c r="C1395" t="n">
        <v>0.398773955</v>
      </c>
      <c r="D1395" t="n">
        <v>-0.119686309</v>
      </c>
      <c r="E1395" t="n">
        <v>-1.13703402</v>
      </c>
      <c r="F1395" t="n">
        <v>0</v>
      </c>
    </row>
    <row r="1396">
      <c r="A1396" t="inlineStr">
        <is>
          <t>G|FICO x ASSET_CLASS|ranr_rate|band|8</t>
        </is>
      </c>
    </row>
    <row r="1397">
      <c r="A1397" t="inlineStr">
        <is>
          <t>G|FICO x ASSET_CLASS|ranr_rate|meta</t>
        </is>
      </c>
      <c r="B1397" t="inlineStr">
        <is>
          <t>pts</t>
        </is>
      </c>
      <c r="C1397" t="n">
        <v>8.860987059999999</v>
      </c>
      <c r="D1397" t="n">
        <v>10</v>
      </c>
      <c r="E1397" t="n">
        <v>0.1279900496481481</v>
      </c>
      <c r="F1397" t="n">
        <v>30</v>
      </c>
    </row>
    <row r="1398">
      <c r="A1398" t="inlineStr">
        <is>
          <t>G|FICO x ASSET_CLASS|contribution_rate|rate|1</t>
        </is>
      </c>
      <c r="B1398" t="n">
        <v>0.2812964913716731</v>
      </c>
      <c r="C1398" t="n">
        <v>0.2649668185297895</v>
      </c>
      <c r="D1398" t="n">
        <v>0.2721693757412896</v>
      </c>
      <c r="E1398" t="n">
        <v>0.2759516136038578</v>
      </c>
      <c r="F1398" t="n">
        <v>0.2736243023088951</v>
      </c>
    </row>
    <row r="1399">
      <c r="A1399" t="inlineStr">
        <is>
          <t>G|FICO x ASSET_CLASS|contribution_rate|book|1</t>
        </is>
      </c>
      <c r="B1399" t="n">
        <v>11.170403564</v>
      </c>
      <c r="C1399" t="n">
        <v>9.537436279</v>
      </c>
      <c r="D1399" t="n">
        <v>10.257692001</v>
      </c>
      <c r="E1399" t="n">
        <v>10.635915787</v>
      </c>
      <c r="F1399" t="n">
        <v>10.403184657</v>
      </c>
    </row>
    <row r="1400">
      <c r="A1400" t="inlineStr">
        <is>
          <t>G|FICO x ASSET_CLASS|contribution_rate|band|1</t>
        </is>
      </c>
      <c r="B1400" t="n">
        <v>1.044421726</v>
      </c>
      <c r="C1400" t="n">
        <v>-1.172245809</v>
      </c>
      <c r="D1400" t="n">
        <v>-0.189204322</v>
      </c>
      <c r="E1400" t="n">
        <v>0.307072301</v>
      </c>
    </row>
    <row r="1401">
      <c r="A1401" t="inlineStr">
        <is>
          <t>G|FICO x ASSET_CLASS|contribution_rate|rate|2</t>
        </is>
      </c>
      <c r="B1401" t="n">
        <v>0.2105049976146541</v>
      </c>
      <c r="C1401" t="n">
        <v>0.210231621819407</v>
      </c>
      <c r="D1401" t="n">
        <v>0.2087765728326179</v>
      </c>
      <c r="E1401" t="n">
        <v>0.2041982869482105</v>
      </c>
      <c r="F1401" t="n">
        <v>0.2082899782331105</v>
      </c>
    </row>
    <row r="1402">
      <c r="A1402" t="inlineStr">
        <is>
          <t>G|FICO x ASSET_CLASS|contribution_rate|book|2</t>
        </is>
      </c>
      <c r="B1402" t="n">
        <v>4.091254188</v>
      </c>
      <c r="C1402" t="n">
        <v>4.063916608</v>
      </c>
      <c r="D1402" t="n">
        <v>3.91841171</v>
      </c>
      <c r="E1402" t="n">
        <v>3.460583121</v>
      </c>
      <c r="F1402" t="n">
        <v>3.86975225</v>
      </c>
    </row>
    <row r="1403">
      <c r="A1403" t="inlineStr">
        <is>
          <t>G|FICO x ASSET_CLASS|contribution_rate|band|2</t>
        </is>
      </c>
      <c r="B1403" t="n">
        <v>0.297695867</v>
      </c>
      <c r="C1403" t="n">
        <v>0.250959877</v>
      </c>
      <c r="D1403" t="n">
        <v>0.06427137300000001</v>
      </c>
      <c r="E1403" t="n">
        <v>-0.564242919</v>
      </c>
    </row>
    <row r="1404">
      <c r="A1404" t="inlineStr">
        <is>
          <t>G|FICO x ASSET_CLASS|contribution_rate|rate|3</t>
        </is>
      </c>
      <c r="B1404" t="n">
        <v>0.1744600169252025</v>
      </c>
      <c r="C1404" t="n">
        <v>0.1716948683087108</v>
      </c>
      <c r="D1404" t="n">
        <v>0.1667164267298157</v>
      </c>
      <c r="E1404" t="n">
        <v>0.1805799876788757</v>
      </c>
      <c r="F1404" t="n">
        <v>0.1734333199610002</v>
      </c>
    </row>
    <row r="1405">
      <c r="A1405" t="inlineStr">
        <is>
          <t>G|FICO x ASSET_CLASS|contribution_rate|book|3</t>
        </is>
      </c>
      <c r="B1405" t="n">
        <v>0.486756119</v>
      </c>
      <c r="C1405" t="n">
        <v>0.210241257</v>
      </c>
      <c r="D1405" t="n">
        <v>-0.287602901</v>
      </c>
      <c r="E1405" t="n">
        <v>1.098753194</v>
      </c>
      <c r="F1405" t="n">
        <v>0.384086423</v>
      </c>
    </row>
    <row r="1406">
      <c r="A1406" t="inlineStr">
        <is>
          <t>G|FICO x ASSET_CLASS|contribution_rate|band|3</t>
        </is>
      </c>
      <c r="B1406" t="n">
        <v>0.133562467</v>
      </c>
      <c r="C1406" t="n">
        <v>-0.232979468</v>
      </c>
      <c r="D1406" t="n">
        <v>-0.896451251</v>
      </c>
      <c r="E1406" t="n">
        <v>0.971225716</v>
      </c>
    </row>
    <row r="1407">
      <c r="A1407" t="inlineStr">
        <is>
          <t>G|FICO x ASSET_CLASS|contribution_rate|rate|4</t>
        </is>
      </c>
      <c r="B1407" t="n">
        <v>0.1258163271754221</v>
      </c>
      <c r="C1407" t="n">
        <v>0.1205670207125402</v>
      </c>
      <c r="D1407" t="n">
        <v>0.1240862659571156</v>
      </c>
      <c r="E1407" t="n">
        <v>0.1345245999045592</v>
      </c>
      <c r="F1407" t="n">
        <v>0.126193889200492</v>
      </c>
    </row>
    <row r="1408">
      <c r="A1408" t="inlineStr">
        <is>
          <t>G|FICO x ASSET_CLASS|contribution_rate|book|4</t>
        </is>
      </c>
      <c r="B1408" t="n">
        <v>-4.377612856</v>
      </c>
      <c r="C1408" t="n">
        <v>-4.902543502</v>
      </c>
      <c r="D1408" t="n">
        <v>-4.550618978</v>
      </c>
      <c r="E1408" t="n">
        <v>-3.506785583</v>
      </c>
      <c r="F1408" t="n">
        <v>-4.339856653</v>
      </c>
    </row>
    <row r="1409">
      <c r="A1409" t="inlineStr">
        <is>
          <t>G|FICO x ASSET_CLASS|contribution_rate|band|4</t>
        </is>
      </c>
      <c r="B1409" t="n">
        <v>-0.048763379</v>
      </c>
      <c r="C1409" t="n">
        <v>-0.777097056</v>
      </c>
      <c r="D1409" t="n">
        <v>-0.277625563</v>
      </c>
      <c r="E1409" t="n">
        <v>1.122014979</v>
      </c>
    </row>
    <row r="1410">
      <c r="A1410" t="inlineStr">
        <is>
          <t>G|FICO x ASSET_CLASS|contribution_rate|rate|5</t>
        </is>
      </c>
      <c r="B1410" t="n">
        <v>0.06740284547541511</v>
      </c>
      <c r="C1410" t="n">
        <v>0.06367565699250349</v>
      </c>
      <c r="D1410" t="n">
        <v>0.068022040936428</v>
      </c>
      <c r="E1410" t="n">
        <v>0.06547723796249581</v>
      </c>
      <c r="F1410" t="n">
        <v>0.06615176452409989</v>
      </c>
    </row>
    <row r="1411">
      <c r="A1411" t="inlineStr">
        <is>
          <t>G|FICO x ASSET_CLASS|contribution_rate|book|5</t>
        </is>
      </c>
      <c r="B1411" t="n">
        <v>-10.218961026</v>
      </c>
      <c r="C1411" t="n">
        <v>-10.591679874</v>
      </c>
      <c r="D1411" t="n">
        <v>-10.15704148</v>
      </c>
      <c r="E1411" t="n">
        <v>-10.411521777</v>
      </c>
      <c r="F1411" t="n">
        <v>-10.344069121</v>
      </c>
    </row>
    <row r="1412">
      <c r="A1412" t="inlineStr">
        <is>
          <t>G|FICO x ASSET_CLASS|contribution_rate|band|5</t>
        </is>
      </c>
      <c r="B1412" t="n">
        <v>0.169984818</v>
      </c>
      <c r="C1412" t="n">
        <v>-0.333923623</v>
      </c>
      <c r="D1412" t="n">
        <v>0.248800705</v>
      </c>
      <c r="E1412" t="n">
        <v>-0.08751351</v>
      </c>
    </row>
    <row r="1413">
      <c r="A1413" t="inlineStr">
        <is>
          <t>G|FICO x ASSET_CLASS|contribution_rate|rate|6</t>
        </is>
      </c>
      <c r="C1413" t="n">
        <v>0.140296941334961</v>
      </c>
      <c r="F1413" t="n">
        <v>0.140296941334961</v>
      </c>
    </row>
    <row r="1414">
      <c r="A1414" t="inlineStr">
        <is>
          <t>G|FICO x ASSET_CLASS|contribution_rate|book|6</t>
        </is>
      </c>
      <c r="C1414" t="n">
        <v>-2.92955144</v>
      </c>
      <c r="F1414" t="n">
        <v>-2.92955144</v>
      </c>
    </row>
    <row r="1415">
      <c r="A1415" t="inlineStr">
        <is>
          <t>G|FICO x ASSET_CLASS|contribution_rate|band|6</t>
        </is>
      </c>
    </row>
    <row r="1416">
      <c r="A1416" t="inlineStr">
        <is>
          <t>G|FICO x ASSET_CLASS|contribution_rate|rate|7</t>
        </is>
      </c>
      <c r="B1416" t="n">
        <v>0.1837850405811932</v>
      </c>
      <c r="C1416" t="n">
        <v>0.1731718550593566</v>
      </c>
      <c r="D1416" t="n">
        <v>0.1786130108701217</v>
      </c>
      <c r="E1416" t="n">
        <v>0.1860640968742723</v>
      </c>
      <c r="F1416" t="n">
        <v>0.1806863107357444</v>
      </c>
    </row>
    <row r="1417">
      <c r="A1417" t="inlineStr">
        <is>
          <t>G|FICO x ASSET_CLASS|contribution_rate|book|7</t>
        </is>
      </c>
      <c r="B1417" t="n">
        <v>1.419258485</v>
      </c>
      <c r="C1417" t="n">
        <v>0.357939932</v>
      </c>
      <c r="D1417" t="n">
        <v>0.9020555139999999</v>
      </c>
      <c r="E1417" t="n">
        <v>1.647164114</v>
      </c>
      <c r="F1417" t="n">
        <v>1.1093855</v>
      </c>
    </row>
    <row r="1418">
      <c r="A1418" t="inlineStr">
        <is>
          <t>G|FICO x ASSET_CLASS|contribution_rate|band|7</t>
        </is>
      </c>
      <c r="B1418" t="n">
        <v>0.434345528</v>
      </c>
      <c r="C1418" t="n">
        <v>-0.9457792229999999</v>
      </c>
      <c r="D1418" t="n">
        <v>-0.287386879</v>
      </c>
      <c r="E1418" t="n">
        <v>0.6978537299999999</v>
      </c>
    </row>
    <row r="1419">
      <c r="A1419" t="inlineStr">
        <is>
          <t>G|FICO x ASSET_CLASS|contribution_rate|rate|8</t>
        </is>
      </c>
      <c r="B1419" t="n">
        <v>0.1732090054791082</v>
      </c>
      <c r="C1419" t="n">
        <v>0.1646504332501773</v>
      </c>
      <c r="D1419" t="n">
        <v>0.1666465824756539</v>
      </c>
      <c r="E1419" t="n">
        <v>0.1738366945872596</v>
      </c>
      <c r="F1419" t="n">
        <v>0.1695924557349811</v>
      </c>
    </row>
    <row r="1420">
      <c r="A1420" t="inlineStr">
        <is>
          <t>G|FICO x ASSET_CLASS|contribution_rate|book|8</t>
        </is>
      </c>
      <c r="B1420" t="n">
        <v>0.361654974</v>
      </c>
      <c r="C1420" t="n">
        <v>-0.494202248</v>
      </c>
      <c r="D1420" t="n">
        <v>-0.294587326</v>
      </c>
      <c r="E1420" t="n">
        <v>0.424423885</v>
      </c>
      <c r="F1420" t="n">
        <v>0</v>
      </c>
    </row>
    <row r="1421">
      <c r="A1421" t="inlineStr">
        <is>
          <t>G|FICO x ASSET_CLASS|contribution_rate|band|8</t>
        </is>
      </c>
    </row>
    <row r="1422">
      <c r="A1422" t="inlineStr">
        <is>
          <t>G|FICO x ASSET_CLASS|contribution_rate|meta</t>
        </is>
      </c>
      <c r="B1422" t="inlineStr">
        <is>
          <t>pts</t>
        </is>
      </c>
      <c r="C1422" t="n">
        <v>11.170403564</v>
      </c>
      <c r="D1422" t="n">
        <v>10</v>
      </c>
      <c r="E1422" t="n">
        <v>0.1695924557349815</v>
      </c>
      <c r="F1422" t="n">
        <v>30</v>
      </c>
    </row>
    <row r="1423">
      <c r="A1423" t="inlineStr">
        <is>
          <t>G|FICO x ASSET_CLASS|loan_size|rate|1</t>
        </is>
      </c>
      <c r="B1423" t="n">
        <v>32069.41071428571</v>
      </c>
      <c r="C1423" t="n">
        <v>33676.77170050762</v>
      </c>
      <c r="D1423" t="n">
        <v>33497.838</v>
      </c>
      <c r="E1423" t="n">
        <v>31341.60354591837</v>
      </c>
      <c r="F1423" t="n">
        <v>32614.36532133676</v>
      </c>
    </row>
    <row r="1424">
      <c r="A1424" t="inlineStr">
        <is>
          <t>G|FICO x ASSET_CLASS|loan_size|median|1</t>
        </is>
      </c>
      <c r="B1424" t="n">
        <v>30522.735</v>
      </c>
      <c r="C1424" t="n">
        <v>34580.375</v>
      </c>
      <c r="D1424" t="n">
        <v>33487.69500000001</v>
      </c>
      <c r="E1424" t="n">
        <v>31415.885</v>
      </c>
      <c r="F1424" t="n">
        <v>32375.37</v>
      </c>
    </row>
    <row r="1425">
      <c r="A1425" t="inlineStr">
        <is>
          <t>G|FICO x ASSET_CLASS|loan_size|book|1</t>
        </is>
      </c>
      <c r="B1425" t="n">
        <v>0.9940123259925819</v>
      </c>
      <c r="C1425" t="n">
        <v>1.043833529346108</v>
      </c>
      <c r="D1425" t="n">
        <v>1.038287362457522</v>
      </c>
      <c r="E1425" t="n">
        <v>0.97145346756053</v>
      </c>
      <c r="F1425" t="n">
        <v>1.010903549886318</v>
      </c>
    </row>
    <row r="1426">
      <c r="A1426" t="inlineStr">
        <is>
          <t>G|FICO x ASSET_CLASS|loan_size|band|1</t>
        </is>
      </c>
      <c r="B1426" t="n">
        <v>0.9772538448143129</v>
      </c>
      <c r="C1426" t="n">
        <v>1.044107123995367</v>
      </c>
      <c r="D1426" t="n">
        <v>1.03522687920485</v>
      </c>
      <c r="E1426" t="n">
        <v>0.9485098261997063</v>
      </c>
    </row>
    <row r="1427">
      <c r="A1427" t="inlineStr">
        <is>
          <t>G|FICO x ASSET_CLASS|loan_size|rate|2</t>
        </is>
      </c>
      <c r="B1427" t="n">
        <v>31815.63921914358</v>
      </c>
      <c r="C1427" t="n">
        <v>31460.45647887324</v>
      </c>
      <c r="D1427" t="n">
        <v>31796.6074801061</v>
      </c>
      <c r="E1427" t="n">
        <v>33080.49717073171</v>
      </c>
      <c r="F1427" t="n">
        <v>32066.01408706952</v>
      </c>
    </row>
    <row r="1428">
      <c r="A1428" t="inlineStr">
        <is>
          <t>G|FICO x ASSET_CLASS|loan_size|median|2</t>
        </is>
      </c>
      <c r="B1428" t="n">
        <v>31668.2</v>
      </c>
      <c r="C1428" t="n">
        <v>31111.95</v>
      </c>
      <c r="D1428" t="n">
        <v>32702.65</v>
      </c>
      <c r="E1428" t="n">
        <v>34305.495</v>
      </c>
      <c r="F1428" t="n">
        <v>32343.46</v>
      </c>
    </row>
    <row r="1429">
      <c r="A1429" t="inlineStr">
        <is>
          <t>G|FICO x ASSET_CLASS|loan_size|book|2</t>
        </is>
      </c>
      <c r="B1429" t="n">
        <v>0.9861465127912037</v>
      </c>
      <c r="C1429" t="n">
        <v>0.975137391826868</v>
      </c>
      <c r="D1429" t="n">
        <v>0.9855566116122619</v>
      </c>
      <c r="E1429" t="n">
        <v>1.02535161093628</v>
      </c>
      <c r="F1429" t="n">
        <v>0.9939070453140634</v>
      </c>
    </row>
    <row r="1430">
      <c r="A1430" t="inlineStr">
        <is>
          <t>G|FICO x ASSET_CLASS|loan_size|band|2</t>
        </is>
      </c>
      <c r="B1430" t="n">
        <v>0.9895060007651535</v>
      </c>
      <c r="C1430" t="n">
        <v>0.9755912653603921</v>
      </c>
      <c r="D1430" t="n">
        <v>0.9889027964199246</v>
      </c>
      <c r="E1430" t="n">
        <v>1.043627777485393</v>
      </c>
    </row>
    <row r="1431">
      <c r="A1431" t="inlineStr">
        <is>
          <t>G|FICO x ASSET_CLASS|loan_size|rate|3</t>
        </is>
      </c>
      <c r="B1431" t="n">
        <v>31720.4635483871</v>
      </c>
      <c r="C1431" t="n">
        <v>32781.94967088608</v>
      </c>
      <c r="D1431" t="n">
        <v>32966.61737113402</v>
      </c>
      <c r="E1431" t="n">
        <v>33111.78702702703</v>
      </c>
      <c r="F1431" t="n">
        <v>32660.96505761844</v>
      </c>
    </row>
    <row r="1432">
      <c r="A1432" t="inlineStr">
        <is>
          <t>G|FICO x ASSET_CLASS|loan_size|median|3</t>
        </is>
      </c>
      <c r="B1432" t="n">
        <v>31225.725</v>
      </c>
      <c r="C1432" t="n">
        <v>34227.66</v>
      </c>
      <c r="D1432" t="n">
        <v>31813.995</v>
      </c>
      <c r="E1432" t="n">
        <v>34082.52</v>
      </c>
      <c r="F1432" t="n">
        <v>32657.185</v>
      </c>
    </row>
    <row r="1433">
      <c r="A1433" t="inlineStr">
        <is>
          <t>G|FICO x ASSET_CLASS|loan_size|book|3</t>
        </is>
      </c>
      <c r="B1433" t="n">
        <v>0.9831964807276456</v>
      </c>
      <c r="C1433" t="n">
        <v>1.016097936230975</v>
      </c>
      <c r="D1433" t="n">
        <v>1.021821832185739</v>
      </c>
      <c r="E1433" t="n">
        <v>1.026321460464018</v>
      </c>
      <c r="F1433" t="n">
        <v>1.012347939141384</v>
      </c>
    </row>
    <row r="1434">
      <c r="A1434" t="inlineStr">
        <is>
          <t>G|FICO x ASSET_CLASS|loan_size|band|3</t>
        </is>
      </c>
      <c r="B1434" t="n">
        <v>0.9625395804749474</v>
      </c>
      <c r="C1434" t="n">
        <v>1.004964278754078</v>
      </c>
      <c r="D1434" t="n">
        <v>1.012489840917477</v>
      </c>
      <c r="E1434" t="n">
        <v>1.018758263916326</v>
      </c>
    </row>
    <row r="1435">
      <c r="A1435" t="inlineStr">
        <is>
          <t>G|FICO x ASSET_CLASS|loan_size|rate|4</t>
        </is>
      </c>
      <c r="B1435" t="n">
        <v>32044.75894736842</v>
      </c>
      <c r="C1435" t="n">
        <v>32771.12886046512</v>
      </c>
      <c r="D1435" t="n">
        <v>31378.45494897959</v>
      </c>
      <c r="E1435" t="n">
        <v>30801.84119437939</v>
      </c>
      <c r="F1435" t="n">
        <v>31746.88442236025</v>
      </c>
    </row>
    <row r="1436">
      <c r="A1436" t="inlineStr">
        <is>
          <t>G|FICO x ASSET_CLASS|loan_size|median|4</t>
        </is>
      </c>
      <c r="B1436" t="n">
        <v>30778.99</v>
      </c>
      <c r="C1436" t="n">
        <v>33664.825</v>
      </c>
      <c r="D1436" t="n">
        <v>31689.86</v>
      </c>
      <c r="E1436" t="n">
        <v>29518.1</v>
      </c>
      <c r="F1436" t="n">
        <v>31495.24</v>
      </c>
    </row>
    <row r="1437">
      <c r="A1437" t="inlineStr">
        <is>
          <t>G|FICO x ASSET_CLASS|loan_size|book|4</t>
        </is>
      </c>
      <c r="B1437" t="n">
        <v>0.9932482283797011</v>
      </c>
      <c r="C1437" t="n">
        <v>1.01576253814613</v>
      </c>
      <c r="D1437" t="n">
        <v>0.9725957008618941</v>
      </c>
      <c r="E1437" t="n">
        <v>0.9547231810168649</v>
      </c>
      <c r="F1437" t="n">
        <v>0.9840154129689267</v>
      </c>
    </row>
    <row r="1438">
      <c r="A1438" t="inlineStr">
        <is>
          <t>G|FICO x ASSET_CLASS|loan_size|band|4</t>
        </is>
      </c>
      <c r="B1438" t="n">
        <v>1.01212760551263</v>
      </c>
      <c r="C1438" t="n">
        <v>1.044543315038759</v>
      </c>
      <c r="D1438" t="n">
        <v>0.9847168537629402</v>
      </c>
      <c r="E1438" t="n">
        <v>0.9599179220277211</v>
      </c>
    </row>
    <row r="1439">
      <c r="A1439" t="inlineStr">
        <is>
          <t>G|FICO x ASSET_CLASS|loan_size|rate|5</t>
        </is>
      </c>
      <c r="B1439" t="n">
        <v>32219.84024154589</v>
      </c>
      <c r="C1439" t="n">
        <v>32731.6756641604</v>
      </c>
      <c r="D1439" t="n">
        <v>32583.63457142857</v>
      </c>
      <c r="E1439" t="n">
        <v>31051.18646112601</v>
      </c>
      <c r="F1439" t="n">
        <v>32161.51770210057</v>
      </c>
    </row>
    <row r="1440">
      <c r="A1440" t="inlineStr">
        <is>
          <t>G|FICO x ASSET_CLASS|loan_size|median|5</t>
        </is>
      </c>
      <c r="B1440" t="n">
        <v>32863.86</v>
      </c>
      <c r="C1440" t="n">
        <v>32452.72</v>
      </c>
      <c r="D1440" t="n">
        <v>30942.36</v>
      </c>
      <c r="E1440" t="n">
        <v>29478.93</v>
      </c>
      <c r="F1440" t="n">
        <v>31538.61</v>
      </c>
    </row>
    <row r="1441">
      <c r="A1441" t="inlineStr">
        <is>
          <t>G|FICO x ASSET_CLASS|loan_size|book|5</t>
        </is>
      </c>
      <c r="B1441" t="n">
        <v>0.9986749874185135</v>
      </c>
      <c r="C1441" t="n">
        <v>1.014539660564248</v>
      </c>
      <c r="D1441" t="n">
        <v>1.009951030226139</v>
      </c>
      <c r="E1441" t="n">
        <v>0.9624518003788551</v>
      </c>
      <c r="F1441" t="n">
        <v>0.9968672422245548</v>
      </c>
    </row>
    <row r="1442">
      <c r="A1442" t="inlineStr">
        <is>
          <t>G|FICO x ASSET_CLASS|loan_size|band|5</t>
        </is>
      </c>
      <c r="B1442" t="n">
        <v>1.002463908721198</v>
      </c>
      <c r="C1442" t="n">
        <v>1.023907617657822</v>
      </c>
      <c r="D1442" t="n">
        <v>1.017459909323566</v>
      </c>
      <c r="E1442" t="n">
        <v>0.9552088645841196</v>
      </c>
    </row>
    <row r="1443">
      <c r="A1443" t="inlineStr">
        <is>
          <t>G|FICO x ASSET_CLASS|loan_size|rate|6</t>
        </is>
      </c>
      <c r="C1443" t="n">
        <v>27999.47</v>
      </c>
      <c r="F1443" t="n">
        <v>27999.47</v>
      </c>
    </row>
    <row r="1444">
      <c r="A1444" t="inlineStr">
        <is>
          <t>G|FICO x ASSET_CLASS|loan_size|median|6</t>
        </is>
      </c>
      <c r="C1444" t="n">
        <v>27999.47</v>
      </c>
      <c r="F1444" t="n">
        <v>27999.47</v>
      </c>
    </row>
    <row r="1445">
      <c r="A1445" t="inlineStr">
        <is>
          <t>G|FICO x ASSET_CLASS|loan_size|book|6</t>
        </is>
      </c>
      <c r="C1445" t="n">
        <v>0.8678618559355534</v>
      </c>
      <c r="F1445" t="n">
        <v>0.8678618559355534</v>
      </c>
    </row>
    <row r="1446">
      <c r="A1446" t="inlineStr">
        <is>
          <t>G|FICO x ASSET_CLASS|loan_size|band|6</t>
        </is>
      </c>
    </row>
    <row r="1447">
      <c r="A1447" t="inlineStr">
        <is>
          <t>G|FICO x ASSET_CLASS|loan_size|rate|7</t>
        </is>
      </c>
      <c r="B1447" t="n">
        <v>36082.80619047619</v>
      </c>
      <c r="C1447" t="n">
        <v>30183.32888888889</v>
      </c>
      <c r="D1447" t="n">
        <v>34259.00325581395</v>
      </c>
      <c r="E1447" t="n">
        <v>31103.28076923077</v>
      </c>
      <c r="F1447" t="n">
        <v>33051.5174375</v>
      </c>
    </row>
    <row r="1448">
      <c r="A1448" t="inlineStr">
        <is>
          <t>G|FICO x ASSET_CLASS|loan_size|median|7</t>
        </is>
      </c>
      <c r="B1448" t="n">
        <v>39367.89999999999</v>
      </c>
      <c r="C1448" t="n">
        <v>25757.3</v>
      </c>
      <c r="D1448" t="n">
        <v>38946.05</v>
      </c>
      <c r="E1448" t="n">
        <v>30288.67</v>
      </c>
      <c r="F1448" t="n">
        <v>33153.41</v>
      </c>
    </row>
    <row r="1449">
      <c r="A1449" t="inlineStr">
        <is>
          <t>G|FICO x ASSET_CLASS|loan_size|book|7</t>
        </is>
      </c>
      <c r="B1449" t="n">
        <v>1.118410139471552</v>
      </c>
      <c r="C1449" t="n">
        <v>0.9355519882277885</v>
      </c>
      <c r="D1449" t="n">
        <v>1.061880176592373</v>
      </c>
      <c r="E1449" t="n">
        <v>0.9640664974754601</v>
      </c>
      <c r="F1449" t="n">
        <v>1.024453365181379</v>
      </c>
    </row>
    <row r="1450">
      <c r="A1450" t="inlineStr">
        <is>
          <t>G|FICO x ASSET_CLASS|loan_size|band|7</t>
        </is>
      </c>
      <c r="B1450" t="n">
        <v>1.128554577206641</v>
      </c>
      <c r="C1450" t="n">
        <v>0.8907783994882817</v>
      </c>
      <c r="D1450" t="n">
        <v>1.050640204663856</v>
      </c>
      <c r="E1450" t="n">
        <v>0.9235088506590057</v>
      </c>
    </row>
    <row r="1451">
      <c r="A1451" t="inlineStr">
        <is>
          <t>G|FICO x ASSET_CLASS|loan_size|rate|8</t>
        </is>
      </c>
      <c r="B1451" t="n">
        <v>32065.1163559322</v>
      </c>
      <c r="C1451" t="n">
        <v>32662.73807462686</v>
      </c>
      <c r="D1451" t="n">
        <v>32465.53108527132</v>
      </c>
      <c r="E1451" t="n">
        <v>31871.54123046875</v>
      </c>
      <c r="F1451" t="n">
        <v>32262.58857732217</v>
      </c>
    </row>
    <row r="1452">
      <c r="A1452" t="inlineStr">
        <is>
          <t>G|FICO x ASSET_CLASS|loan_size|median|8</t>
        </is>
      </c>
      <c r="B1452" t="n">
        <v>31623.27</v>
      </c>
      <c r="C1452" t="n">
        <v>33128.685</v>
      </c>
      <c r="D1452" t="n">
        <v>32094.51</v>
      </c>
      <c r="E1452" t="n">
        <v>31492.09</v>
      </c>
      <c r="F1452" t="n">
        <v>32112.83</v>
      </c>
    </row>
    <row r="1453">
      <c r="A1453" t="inlineStr">
        <is>
          <t>G|FICO x ASSET_CLASS|loan_size|book|8</t>
        </is>
      </c>
      <c r="B1453" t="n">
        <v>0.9938792195512554</v>
      </c>
      <c r="C1453" t="n">
        <v>1.012402894961317</v>
      </c>
      <c r="D1453" t="n">
        <v>1.006290335552672</v>
      </c>
      <c r="E1453" t="n">
        <v>0.9878792321355053</v>
      </c>
      <c r="F1453" t="n">
        <v>1</v>
      </c>
    </row>
    <row r="1454">
      <c r="A1454" t="inlineStr">
        <is>
          <t>G|FICO x ASSET_CLASS|loan_size|band|8</t>
        </is>
      </c>
    </row>
    <row r="1455">
      <c r="A1455" t="inlineStr">
        <is>
          <t>G|FICO x ASSET_CLASS|loan_size|meta</t>
        </is>
      </c>
      <c r="B1455" t="inlineStr">
        <is>
          <t>size</t>
        </is>
      </c>
      <c r="C1455" t="n">
        <v>1</v>
      </c>
      <c r="E1455" t="n">
        <v>32262.58857732217</v>
      </c>
      <c r="F1455" t="n">
        <v>30</v>
      </c>
    </row>
    <row r="1456">
      <c r="A1456" t="inlineStr">
        <is>
          <t>G|FICO x ASSET_CLASS|where 2021|cols</t>
        </is>
      </c>
      <c r="B1456" t="inlineStr">
        <is>
          <t>1</t>
        </is>
      </c>
      <c r="C1456" t="inlineStr">
        <is>
          <t>2</t>
        </is>
      </c>
      <c r="D1456" t="inlineStr">
        <is>
          <t>3</t>
        </is>
      </c>
      <c r="E1456" t="inlineStr">
        <is>
          <t>4</t>
        </is>
      </c>
      <c r="F1456" t="inlineStr">
        <is>
          <t>All</t>
        </is>
      </c>
    </row>
    <row r="1457">
      <c r="A1457" t="inlineStr">
        <is>
          <t>G|FICO x ASSET_CLASS|where 2021|heads</t>
        </is>
      </c>
      <c r="B1457" t="inlineStr">
        <is>
          <t>1</t>
        </is>
      </c>
      <c r="C1457" t="inlineStr">
        <is>
          <t>2</t>
        </is>
      </c>
      <c r="D1457" t="inlineStr">
        <is>
          <t>3</t>
        </is>
      </c>
      <c r="E1457" t="inlineStr">
        <is>
          <t>4</t>
        </is>
      </c>
      <c r="F1457" t="inlineStr">
        <is>
          <t>All</t>
        </is>
      </c>
    </row>
    <row r="1458">
      <c r="A1458" t="inlineStr">
        <is>
          <t>G|FICO x ASSET_CLASS|where 2021|segs</t>
        </is>
      </c>
    </row>
    <row r="1459">
      <c r="A1459" t="inlineStr">
        <is>
          <t>G|FICO x ASSET_CLASS|where 2021|rows</t>
        </is>
      </c>
      <c r="B1459" t="inlineStr">
        <is>
          <t>496 - 653</t>
        </is>
      </c>
      <c r="C1459" t="inlineStr">
        <is>
          <t>654 - 685</t>
        </is>
      </c>
      <c r="D1459" t="inlineStr">
        <is>
          <t>686 - 711</t>
        </is>
      </c>
      <c r="E1459" t="inlineStr">
        <is>
          <t>712 - 745</t>
        </is>
      </c>
      <c r="F1459" t="inlineStr">
        <is>
          <t>746 - 921</t>
        </is>
      </c>
      <c r="G1459" t="inlineStr">
        <is>
          <t>(blank)</t>
        </is>
      </c>
      <c r="H1459" t="inlineStr">
        <is>
          <t>(marked missing)</t>
        </is>
      </c>
      <c r="I1459" t="inlineStr">
        <is>
          <t>All</t>
        </is>
      </c>
    </row>
    <row r="1460">
      <c r="A1460" t="inlineStr">
        <is>
          <t>G|FICO x ASSET_CLASS|where 2021|names</t>
        </is>
      </c>
      <c r="B1460" t="inlineStr">
        <is>
          <t>FICO</t>
        </is>
      </c>
      <c r="C1460" t="inlineStr">
        <is>
          <t>ASSET_CLASS</t>
        </is>
      </c>
    </row>
    <row r="1461">
      <c r="A1461" t="inlineStr">
        <is>
          <t>G|FICO x ASSET_CLASS|where 2021|total</t>
        </is>
      </c>
      <c r="B1461" t="n">
        <v>839</v>
      </c>
    </row>
    <row r="1462">
      <c r="A1462" t="inlineStr">
        <is>
          <t>G|FICO x ASSET_CLASS|where 2021|loans|1</t>
        </is>
      </c>
      <c r="B1462" t="n">
        <v>38</v>
      </c>
      <c r="C1462" t="n">
        <v>42</v>
      </c>
      <c r="D1462" t="n">
        <v>32</v>
      </c>
      <c r="E1462" t="n">
        <v>38</v>
      </c>
      <c r="F1462" t="n">
        <v>150</v>
      </c>
    </row>
    <row r="1463">
      <c r="A1463" t="inlineStr">
        <is>
          <t>G|FICO x ASSET_CLASS|where 2021|loans|2</t>
        </is>
      </c>
      <c r="B1463" t="n">
        <v>53</v>
      </c>
      <c r="C1463" t="n">
        <v>44</v>
      </c>
      <c r="D1463" t="n">
        <v>40</v>
      </c>
      <c r="E1463" t="n">
        <v>44</v>
      </c>
      <c r="F1463" t="n">
        <v>181</v>
      </c>
    </row>
    <row r="1464">
      <c r="A1464" t="inlineStr">
        <is>
          <t>G|FICO x ASSET_CLASS|where 2021|loans|3</t>
        </is>
      </c>
      <c r="B1464" t="n">
        <v>31</v>
      </c>
      <c r="C1464" t="n">
        <v>34</v>
      </c>
      <c r="D1464" t="n">
        <v>42</v>
      </c>
      <c r="E1464" t="n">
        <v>42</v>
      </c>
      <c r="F1464" t="n">
        <v>149</v>
      </c>
    </row>
    <row r="1465">
      <c r="A1465" t="inlineStr">
        <is>
          <t>G|FICO x ASSET_CLASS|where 2021|loans|4</t>
        </is>
      </c>
      <c r="B1465" t="n">
        <v>29</v>
      </c>
      <c r="C1465" t="n">
        <v>46</v>
      </c>
      <c r="D1465" t="n">
        <v>35</v>
      </c>
      <c r="E1465" t="n">
        <v>46</v>
      </c>
      <c r="F1465" t="n">
        <v>156</v>
      </c>
    </row>
    <row r="1466">
      <c r="A1466" t="inlineStr">
        <is>
          <t>G|FICO x ASSET_CLASS|where 2021|loans|5</t>
        </is>
      </c>
      <c r="B1466" t="n">
        <v>53</v>
      </c>
      <c r="C1466" t="n">
        <v>39</v>
      </c>
      <c r="D1466" t="n">
        <v>41</v>
      </c>
      <c r="E1466" t="n">
        <v>44</v>
      </c>
      <c r="F1466" t="n">
        <v>177</v>
      </c>
    </row>
    <row r="1467">
      <c r="A1467" t="inlineStr">
        <is>
          <t>G|FICO x ASSET_CLASS|where 2021|loans|6</t>
        </is>
      </c>
    </row>
    <row r="1468">
      <c r="A1468" t="inlineStr">
        <is>
          <t>G|FICO x ASSET_CLASS|where 2021|loans|7</t>
        </is>
      </c>
      <c r="B1468" t="n">
        <v>6</v>
      </c>
      <c r="C1468" t="n">
        <v>7</v>
      </c>
      <c r="D1468" t="n">
        <v>6</v>
      </c>
      <c r="E1468" t="n">
        <v>7</v>
      </c>
      <c r="F1468" t="n">
        <v>26</v>
      </c>
    </row>
    <row r="1469">
      <c r="A1469" t="inlineStr">
        <is>
          <t>G|FICO x ASSET_CLASS|where 2021|loans|8</t>
        </is>
      </c>
      <c r="B1469" t="n">
        <v>210</v>
      </c>
      <c r="C1469" t="n">
        <v>212</v>
      </c>
      <c r="D1469" t="n">
        <v>196</v>
      </c>
      <c r="E1469" t="n">
        <v>221</v>
      </c>
      <c r="F1469" t="n">
        <v>839</v>
      </c>
    </row>
    <row r="1470">
      <c r="A1470" t="inlineStr">
        <is>
          <t>G|FICO x ASSET_CLASS|where 2021|outcome_loans|rate|1</t>
        </is>
      </c>
      <c r="B1470" t="n">
        <v>0.1842105263157895</v>
      </c>
      <c r="C1470" t="n">
        <v>0.07142857142857142</v>
      </c>
      <c r="D1470" t="n">
        <v>0.125</v>
      </c>
      <c r="E1470" t="n">
        <v>0.2368421052631579</v>
      </c>
      <c r="F1470" t="n">
        <v>0.1533333333333333</v>
      </c>
    </row>
    <row r="1471">
      <c r="A1471" t="inlineStr">
        <is>
          <t>G|FICO x ASSET_CLASS|where 2021|outcome_loans|book|1</t>
        </is>
      </c>
      <c r="F1471" t="n">
        <v>1.981443187937533</v>
      </c>
    </row>
    <row r="1472">
      <c r="A1472" t="inlineStr">
        <is>
          <t>G|FICO x ASSET_CLASS|where 2021|outcome_loans|band|1</t>
        </is>
      </c>
    </row>
    <row r="1473">
      <c r="A1473" t="inlineStr">
        <is>
          <t>G|FICO x ASSET_CLASS|where 2021|outcome_loans|rate|2</t>
        </is>
      </c>
      <c r="B1473" t="n">
        <v>0.05660377358490566</v>
      </c>
      <c r="C1473" t="n">
        <v>0.04545454545454546</v>
      </c>
      <c r="D1473" t="n">
        <v>0.05</v>
      </c>
      <c r="E1473" t="n">
        <v>0.1136363636363636</v>
      </c>
      <c r="F1473" t="n">
        <v>0.06629834254143646</v>
      </c>
    </row>
    <row r="1474">
      <c r="A1474" t="inlineStr">
        <is>
          <t>G|FICO x ASSET_CLASS|where 2021|outcome_loans|book|2</t>
        </is>
      </c>
      <c r="F1474" t="n">
        <v>0.8567373860887726</v>
      </c>
    </row>
    <row r="1475">
      <c r="A1475" t="inlineStr">
        <is>
          <t>G|FICO x ASSET_CLASS|where 2021|outcome_loans|band|2</t>
        </is>
      </c>
    </row>
    <row r="1476">
      <c r="A1476" t="inlineStr">
        <is>
          <t>G|FICO x ASSET_CLASS|where 2021|outcome_loans|rate|3</t>
        </is>
      </c>
      <c r="B1476" t="n">
        <v>0.06451612903225806</v>
      </c>
      <c r="C1476" t="n">
        <v>0.05882352941176471</v>
      </c>
      <c r="D1476" t="n">
        <v>0.07142857142857142</v>
      </c>
      <c r="E1476" t="n">
        <v>0.04761904761904762</v>
      </c>
      <c r="F1476" t="n">
        <v>0.06040268456375839</v>
      </c>
    </row>
    <row r="1477">
      <c r="A1477" t="inlineStr">
        <is>
          <t>G|FICO x ASSET_CLASS|where 2021|outcome_loans|book|3</t>
        </is>
      </c>
    </row>
    <row r="1478">
      <c r="A1478" t="inlineStr">
        <is>
          <t>G|FICO x ASSET_CLASS|where 2021|outcome_loans|band|3</t>
        </is>
      </c>
    </row>
    <row r="1479">
      <c r="A1479" t="inlineStr">
        <is>
          <t>G|FICO x ASSET_CLASS|where 2021|outcome_loans|rate|4</t>
        </is>
      </c>
      <c r="B1479" t="n">
        <v>0.06896551724137931</v>
      </c>
      <c r="C1479" t="n">
        <v>0.04347826086956522</v>
      </c>
      <c r="D1479" t="n">
        <v>0.02857142857142857</v>
      </c>
      <c r="E1479" t="n">
        <v>0.04347826086956522</v>
      </c>
      <c r="F1479" t="n">
        <v>0.04487179487179487</v>
      </c>
    </row>
    <row r="1480">
      <c r="A1480" t="inlineStr">
        <is>
          <t>G|FICO x ASSET_CLASS|where 2021|outcome_loans|book|4</t>
        </is>
      </c>
    </row>
    <row r="1481">
      <c r="A1481" t="inlineStr">
        <is>
          <t>G|FICO x ASSET_CLASS|where 2021|outcome_loans|band|4</t>
        </is>
      </c>
    </row>
    <row r="1482">
      <c r="A1482" t="inlineStr">
        <is>
          <t>G|FICO x ASSET_CLASS|where 2021|outcome_loans|rate|5</t>
        </is>
      </c>
      <c r="B1482" t="n">
        <v>0.01886792452830189</v>
      </c>
      <c r="C1482" t="n">
        <v>0</v>
      </c>
      <c r="D1482" t="n">
        <v>0.04878048780487805</v>
      </c>
      <c r="E1482" t="n">
        <v>0.04545454545454546</v>
      </c>
      <c r="F1482" t="n">
        <v>0.02824858757062147</v>
      </c>
    </row>
    <row r="1483">
      <c r="A1483" t="inlineStr">
        <is>
          <t>G|FICO x ASSET_CLASS|where 2021|outcome_loans|book|5</t>
        </is>
      </c>
    </row>
    <row r="1484">
      <c r="A1484" t="inlineStr">
        <is>
          <t>G|FICO x ASSET_CLASS|where 2021|outcome_loans|band|5</t>
        </is>
      </c>
    </row>
    <row r="1485">
      <c r="A1485" t="inlineStr">
        <is>
          <t>G|FICO x ASSET_CLASS|where 2021|outcome_loans|rate|6</t>
        </is>
      </c>
    </row>
    <row r="1486">
      <c r="A1486" t="inlineStr">
        <is>
          <t>G|FICO x ASSET_CLASS|where 2021|outcome_loans|book|6</t>
        </is>
      </c>
    </row>
    <row r="1487">
      <c r="A1487" t="inlineStr">
        <is>
          <t>G|FICO x ASSET_CLASS|where 2021|outcome_loans|band|6</t>
        </is>
      </c>
    </row>
    <row r="1488">
      <c r="A1488" t="inlineStr">
        <is>
          <t>G|FICO x ASSET_CLASS|where 2021|outcome_loans|rate|7</t>
        </is>
      </c>
      <c r="B1488" t="n">
        <v>0</v>
      </c>
      <c r="C1488" t="n">
        <v>0.4285714285714285</v>
      </c>
      <c r="D1488" t="n">
        <v>0.1666666666666667</v>
      </c>
      <c r="E1488" t="n">
        <v>0</v>
      </c>
      <c r="F1488" t="n">
        <v>0.1538461538461539</v>
      </c>
    </row>
    <row r="1489">
      <c r="A1489" t="inlineStr">
        <is>
          <t>G|FICO x ASSET_CLASS|where 2021|outcome_loans|book|7</t>
        </is>
      </c>
    </row>
    <row r="1490">
      <c r="A1490" t="inlineStr">
        <is>
          <t>G|FICO x ASSET_CLASS|where 2021|outcome_loans|band|7</t>
        </is>
      </c>
    </row>
    <row r="1491">
      <c r="A1491" t="inlineStr">
        <is>
          <t>G|FICO x ASSET_CLASS|where 2021|outcome_loans|rate|8</t>
        </is>
      </c>
      <c r="B1491" t="n">
        <v>0.07142857142857142</v>
      </c>
      <c r="C1491" t="n">
        <v>0.05660377358490566</v>
      </c>
      <c r="D1491" t="n">
        <v>0.0663265306122449</v>
      </c>
      <c r="E1491" t="n">
        <v>0.09049773755656108</v>
      </c>
      <c r="F1491" t="n">
        <v>0.07151370679380215</v>
      </c>
    </row>
    <row r="1492">
      <c r="A1492" t="inlineStr">
        <is>
          <t>G|FICO x ASSET_CLASS|where 2021|outcome_loans|book|8</t>
        </is>
      </c>
      <c r="B1492" t="n">
        <v>0.9230325409646896</v>
      </c>
      <c r="C1492" t="n">
        <v>0.7314597494437163</v>
      </c>
      <c r="D1492" t="n">
        <v>0.8571016451814976</v>
      </c>
      <c r="E1492" t="n">
        <v>1.169452993077435</v>
      </c>
      <c r="F1492" t="n">
        <v>0.9241326989396177</v>
      </c>
    </row>
    <row r="1493">
      <c r="A1493" t="inlineStr">
        <is>
          <t>G|FICO x ASSET_CLASS|where 2021|outcome_loans|band|8</t>
        </is>
      </c>
    </row>
    <row r="1494">
      <c r="A1494" t="inlineStr">
        <is>
          <t>G|FICO x ASSET_CLASS|where 2021|outcome_loans|meta</t>
        </is>
      </c>
      <c r="B1494" t="inlineStr">
        <is>
          <t>x</t>
        </is>
      </c>
      <c r="C1494" t="n">
        <v>1.981443187937533</v>
      </c>
      <c r="D1494" t="n">
        <v>10</v>
      </c>
      <c r="E1494" t="n">
        <v>0.07738467308413552</v>
      </c>
      <c r="F1494" t="n">
        <v>30</v>
      </c>
    </row>
    <row r="1495">
      <c r="A1495" t="inlineStr">
        <is>
          <t>G|FICO x ASSET_CLASS|where 2021|outcome_booked|rate|1</t>
        </is>
      </c>
      <c r="B1495" t="n">
        <v>0.153175782630392</v>
      </c>
      <c r="C1495" t="n">
        <v>0.05766182693267047</v>
      </c>
      <c r="D1495" t="n">
        <v>0.1308344196517441</v>
      </c>
      <c r="E1495" t="n">
        <v>0.2413785299335152</v>
      </c>
      <c r="F1495" t="n">
        <v>0.1433180965127846</v>
      </c>
    </row>
    <row r="1496">
      <c r="A1496" t="inlineStr">
        <is>
          <t>G|FICO x ASSET_CLASS|where 2021|outcome_booked|book|1</t>
        </is>
      </c>
      <c r="F1496" t="n">
        <v>1.915278143916671</v>
      </c>
    </row>
    <row r="1497">
      <c r="A1497" t="inlineStr">
        <is>
          <t>G|FICO x ASSET_CLASS|where 2021|outcome_booked|band|1</t>
        </is>
      </c>
    </row>
    <row r="1498">
      <c r="A1498" t="inlineStr">
        <is>
          <t>G|FICO x ASSET_CLASS|where 2021|outcome_booked|rate|2</t>
        </is>
      </c>
      <c r="B1498" t="n">
        <v>0.03623609118624421</v>
      </c>
      <c r="C1498" t="n">
        <v>0.0264791204840759</v>
      </c>
      <c r="D1498" t="n">
        <v>0.05107269018338226</v>
      </c>
      <c r="E1498" t="n">
        <v>0.1300990653709523</v>
      </c>
      <c r="F1498" t="n">
        <v>0.06198478876561241</v>
      </c>
    </row>
    <row r="1499">
      <c r="A1499" t="inlineStr">
        <is>
          <t>G|FICO x ASSET_CLASS|where 2021|outcome_booked|book|2</t>
        </is>
      </c>
      <c r="F1499" t="n">
        <v>0.8283539487804937</v>
      </c>
    </row>
    <row r="1500">
      <c r="A1500" t="inlineStr">
        <is>
          <t>G|FICO x ASSET_CLASS|where 2021|outcome_booked|band|2</t>
        </is>
      </c>
    </row>
    <row r="1501">
      <c r="A1501" t="inlineStr">
        <is>
          <t>G|FICO x ASSET_CLASS|where 2021|outcome_booked|rate|3</t>
        </is>
      </c>
      <c r="B1501" t="n">
        <v>0.04348117748048146</v>
      </c>
      <c r="C1501" t="n">
        <v>0.07107664480884468</v>
      </c>
      <c r="D1501" t="n">
        <v>0.07240011272511193</v>
      </c>
      <c r="E1501" t="n">
        <v>0.04462698205382173</v>
      </c>
      <c r="F1501" t="n">
        <v>0.05778450612912111</v>
      </c>
    </row>
    <row r="1502">
      <c r="A1502" t="inlineStr">
        <is>
          <t>G|FICO x ASSET_CLASS|where 2021|outcome_booked|book|3</t>
        </is>
      </c>
    </row>
    <row r="1503">
      <c r="A1503" t="inlineStr">
        <is>
          <t>G|FICO x ASSET_CLASS|where 2021|outcome_booked|band|3</t>
        </is>
      </c>
    </row>
    <row r="1504">
      <c r="A1504" t="inlineStr">
        <is>
          <t>G|FICO x ASSET_CLASS|where 2021|outcome_booked|rate|4</t>
        </is>
      </c>
      <c r="B1504" t="n">
        <v>0.06196361996254253</v>
      </c>
      <c r="C1504" t="n">
        <v>0.05963434597563173</v>
      </c>
      <c r="D1504" t="n">
        <v>0.0345399341433911</v>
      </c>
      <c r="E1504" t="n">
        <v>0.04699779419186095</v>
      </c>
      <c r="F1504" t="n">
        <v>0.05139081020742513</v>
      </c>
    </row>
    <row r="1505">
      <c r="A1505" t="inlineStr">
        <is>
          <t>G|FICO x ASSET_CLASS|where 2021|outcome_booked|book|4</t>
        </is>
      </c>
    </row>
    <row r="1506">
      <c r="A1506" t="inlineStr">
        <is>
          <t>G|FICO x ASSET_CLASS|where 2021|outcome_booked|band|4</t>
        </is>
      </c>
    </row>
    <row r="1507">
      <c r="A1507" t="inlineStr">
        <is>
          <t>G|FICO x ASSET_CLASS|where 2021|outcome_booked|rate|5</t>
        </is>
      </c>
      <c r="B1507" t="n">
        <v>0.009633730012504105</v>
      </c>
      <c r="C1507" t="n">
        <v>0</v>
      </c>
      <c r="D1507" t="n">
        <v>0.02889837646832132</v>
      </c>
      <c r="E1507" t="n">
        <v>0.04633030037544526</v>
      </c>
      <c r="F1507" t="n">
        <v>0.02175399588169833</v>
      </c>
    </row>
    <row r="1508">
      <c r="A1508" t="inlineStr">
        <is>
          <t>G|FICO x ASSET_CLASS|where 2021|outcome_booked|book|5</t>
        </is>
      </c>
    </row>
    <row r="1509">
      <c r="A1509" t="inlineStr">
        <is>
          <t>G|FICO x ASSET_CLASS|where 2021|outcome_booked|band|5</t>
        </is>
      </c>
    </row>
    <row r="1510">
      <c r="A1510" t="inlineStr">
        <is>
          <t>G|FICO x ASSET_CLASS|where 2021|outcome_booked|rate|6</t>
        </is>
      </c>
    </row>
    <row r="1511">
      <c r="A1511" t="inlineStr">
        <is>
          <t>G|FICO x ASSET_CLASS|where 2021|outcome_booked|book|6</t>
        </is>
      </c>
    </row>
    <row r="1512">
      <c r="A1512" t="inlineStr">
        <is>
          <t>G|FICO x ASSET_CLASS|where 2021|outcome_booked|band|6</t>
        </is>
      </c>
    </row>
    <row r="1513">
      <c r="A1513" t="inlineStr">
        <is>
          <t>G|FICO x ASSET_CLASS|where 2021|outcome_booked|rate|7</t>
        </is>
      </c>
      <c r="B1513" t="n">
        <v>0</v>
      </c>
      <c r="C1513" t="n">
        <v>0.3969588637827074</v>
      </c>
      <c r="D1513" t="n">
        <v>0.04332188557568251</v>
      </c>
      <c r="E1513" t="n">
        <v>0</v>
      </c>
      <c r="F1513" t="n">
        <v>0.1335759322477665</v>
      </c>
    </row>
    <row r="1514">
      <c r="A1514" t="inlineStr">
        <is>
          <t>G|FICO x ASSET_CLASS|where 2021|outcome_booked|book|7</t>
        </is>
      </c>
    </row>
    <row r="1515">
      <c r="A1515" t="inlineStr">
        <is>
          <t>G|FICO x ASSET_CLASS|where 2021|outcome_booked|band|7</t>
        </is>
      </c>
    </row>
    <row r="1516">
      <c r="A1516" t="inlineStr">
        <is>
          <t>G|FICO x ASSET_CLASS|where 2021|outcome_booked|rate|8</t>
        </is>
      </c>
      <c r="B1516" t="n">
        <v>0.05701000888083711</v>
      </c>
      <c r="C1516" t="n">
        <v>0.05516515536218514</v>
      </c>
      <c r="D1516" t="n">
        <v>0.06104405843518642</v>
      </c>
      <c r="E1516" t="n">
        <v>0.09672979003158207</v>
      </c>
      <c r="F1516" t="n">
        <v>0.06821573017335519</v>
      </c>
    </row>
    <row r="1517">
      <c r="A1517" t="inlineStr">
        <is>
          <t>G|FICO x ASSET_CLASS|where 2021|outcome_booked|book|8</t>
        </is>
      </c>
      <c r="B1517" t="n">
        <v>0.7618718546420437</v>
      </c>
      <c r="C1517" t="n">
        <v>0.7372175527152336</v>
      </c>
      <c r="D1517" t="n">
        <v>0.815782192072689</v>
      </c>
      <c r="E1517" t="n">
        <v>1.292680109637176</v>
      </c>
      <c r="F1517" t="n">
        <v>0.9116231672857128</v>
      </c>
    </row>
    <row r="1518">
      <c r="A1518" t="inlineStr">
        <is>
          <t>G|FICO x ASSET_CLASS|where 2021|outcome_booked|band|8</t>
        </is>
      </c>
    </row>
    <row r="1519">
      <c r="A1519" t="inlineStr">
        <is>
          <t>G|FICO x ASSET_CLASS|where 2021|outcome_booked|meta</t>
        </is>
      </c>
      <c r="B1519" t="inlineStr">
        <is>
          <t>x</t>
        </is>
      </c>
      <c r="C1519" t="n">
        <v>1.915278143916671</v>
      </c>
      <c r="D1519" t="n">
        <v>10</v>
      </c>
      <c r="E1519" t="n">
        <v>0.07482886857347235</v>
      </c>
      <c r="F1519" t="n">
        <v>30</v>
      </c>
    </row>
    <row r="1520">
      <c r="A1520" t="inlineStr">
        <is>
          <t>G|FICO x ASSET_CLASS|where 2021|gco_rate|rate|1</t>
        </is>
      </c>
      <c r="B1520" t="n">
        <v>0.07826565613640162</v>
      </c>
      <c r="C1520" t="n">
        <v>0.03860038974890607</v>
      </c>
      <c r="D1520" t="n">
        <v>0.0779466358492555</v>
      </c>
      <c r="E1520" t="n">
        <v>0.1528204223769489</v>
      </c>
      <c r="F1520" t="n">
        <v>0.08549206325169093</v>
      </c>
    </row>
    <row r="1521">
      <c r="A1521" t="inlineStr">
        <is>
          <t>G|FICO x ASSET_CLASS|where 2021|gco_rate|book|1</t>
        </is>
      </c>
      <c r="F1521" t="n">
        <v>2.054837592471537</v>
      </c>
    </row>
    <row r="1522">
      <c r="A1522" t="inlineStr">
        <is>
          <t>G|FICO x ASSET_CLASS|where 2021|gco_rate|band|1</t>
        </is>
      </c>
    </row>
    <row r="1523">
      <c r="A1523" t="inlineStr">
        <is>
          <t>G|FICO x ASSET_CLASS|where 2021|gco_rate|rate|2</t>
        </is>
      </c>
      <c r="B1523" t="n">
        <v>0.01450581257373506</v>
      </c>
      <c r="C1523" t="n">
        <v>0.01233076896782222</v>
      </c>
      <c r="D1523" t="n">
        <v>0.03282967021768171</v>
      </c>
      <c r="E1523" t="n">
        <v>0.07986514273531443</v>
      </c>
      <c r="F1523" t="n">
        <v>0.03521434488052909</v>
      </c>
    </row>
    <row r="1524">
      <c r="A1524" t="inlineStr">
        <is>
          <t>G|FICO x ASSET_CLASS|where 2021|gco_rate|book|2</t>
        </is>
      </c>
      <c r="F1524" t="n">
        <v>0.846391546800546</v>
      </c>
    </row>
    <row r="1525">
      <c r="A1525" t="inlineStr">
        <is>
          <t>G|FICO x ASSET_CLASS|where 2021|gco_rate|band|2</t>
        </is>
      </c>
    </row>
    <row r="1526">
      <c r="A1526" t="inlineStr">
        <is>
          <t>G|FICO x ASSET_CLASS|where 2021|gco_rate|rate|3</t>
        </is>
      </c>
      <c r="B1526" t="n">
        <v>0.0277133859854496</v>
      </c>
      <c r="C1526" t="n">
        <v>0.0408638138838732</v>
      </c>
      <c r="D1526" t="n">
        <v>0.03524191295749823</v>
      </c>
      <c r="E1526" t="n">
        <v>0.02428209127230749</v>
      </c>
      <c r="F1526" t="n">
        <v>0.03164658289985123</v>
      </c>
    </row>
    <row r="1527">
      <c r="A1527" t="inlineStr">
        <is>
          <t>G|FICO x ASSET_CLASS|where 2021|gco_rate|book|3</t>
        </is>
      </c>
    </row>
    <row r="1528">
      <c r="A1528" t="inlineStr">
        <is>
          <t>G|FICO x ASSET_CLASS|where 2021|gco_rate|band|3</t>
        </is>
      </c>
    </row>
    <row r="1529">
      <c r="A1529" t="inlineStr">
        <is>
          <t>G|FICO x ASSET_CLASS|where 2021|gco_rate|rate|4</t>
        </is>
      </c>
      <c r="B1529" t="n">
        <v>0.02681308230999952</v>
      </c>
      <c r="C1529" t="n">
        <v>0.03208751753643395</v>
      </c>
      <c r="D1529" t="n">
        <v>0.02236023416711186</v>
      </c>
      <c r="E1529" t="n">
        <v>0.02378166264445623</v>
      </c>
      <c r="F1529" t="n">
        <v>0.02671154883294005</v>
      </c>
    </row>
    <row r="1530">
      <c r="A1530" t="inlineStr">
        <is>
          <t>G|FICO x ASSET_CLASS|where 2021|gco_rate|book|4</t>
        </is>
      </c>
    </row>
    <row r="1531">
      <c r="A1531" t="inlineStr">
        <is>
          <t>G|FICO x ASSET_CLASS|where 2021|gco_rate|band|4</t>
        </is>
      </c>
    </row>
    <row r="1532">
      <c r="A1532" t="inlineStr">
        <is>
          <t>G|FICO x ASSET_CLASS|where 2021|gco_rate|rate|5</t>
        </is>
      </c>
      <c r="B1532" t="n">
        <v>0.004582808414524396</v>
      </c>
      <c r="C1532" t="n">
        <v>0</v>
      </c>
      <c r="D1532" t="n">
        <v>0.01567069511628233</v>
      </c>
      <c r="E1532" t="n">
        <v>0.02456684048162472</v>
      </c>
      <c r="F1532" t="n">
        <v>0.01147370059849534</v>
      </c>
    </row>
    <row r="1533">
      <c r="A1533" t="inlineStr">
        <is>
          <t>G|FICO x ASSET_CLASS|where 2021|gco_rate|book|5</t>
        </is>
      </c>
    </row>
    <row r="1534">
      <c r="A1534" t="inlineStr">
        <is>
          <t>G|FICO x ASSET_CLASS|where 2021|gco_rate|band|5</t>
        </is>
      </c>
    </row>
    <row r="1535">
      <c r="A1535" t="inlineStr">
        <is>
          <t>G|FICO x ASSET_CLASS|where 2021|gco_rate|rate|6</t>
        </is>
      </c>
    </row>
    <row r="1536">
      <c r="A1536" t="inlineStr">
        <is>
          <t>G|FICO x ASSET_CLASS|where 2021|gco_rate|book|6</t>
        </is>
      </c>
    </row>
    <row r="1537">
      <c r="A1537" t="inlineStr">
        <is>
          <t>G|FICO x ASSET_CLASS|where 2021|gco_rate|band|6</t>
        </is>
      </c>
    </row>
    <row r="1538">
      <c r="A1538" t="inlineStr">
        <is>
          <t>G|FICO x ASSET_CLASS|where 2021|gco_rate|rate|7</t>
        </is>
      </c>
      <c r="B1538" t="n">
        <v>0</v>
      </c>
      <c r="C1538" t="n">
        <v>0.2007887492731731</v>
      </c>
      <c r="D1538" t="n">
        <v>0.02879283390077626</v>
      </c>
      <c r="E1538" t="n">
        <v>0</v>
      </c>
      <c r="F1538" t="n">
        <v>0.06918530674372422</v>
      </c>
    </row>
    <row r="1539">
      <c r="A1539" t="inlineStr">
        <is>
          <t>G|FICO x ASSET_CLASS|where 2021|gco_rate|book|7</t>
        </is>
      </c>
    </row>
    <row r="1540">
      <c r="A1540" t="inlineStr">
        <is>
          <t>G|FICO x ASSET_CLASS|where 2021|gco_rate|band|7</t>
        </is>
      </c>
    </row>
    <row r="1541">
      <c r="A1541" t="inlineStr">
        <is>
          <t>G|FICO x ASSET_CLASS|where 2021|gco_rate|rate|8</t>
        </is>
      </c>
      <c r="B1541" t="n">
        <v>0.02812597122192301</v>
      </c>
      <c r="C1541" t="n">
        <v>0.03082019286206747</v>
      </c>
      <c r="D1541" t="n">
        <v>0.03525920237276861</v>
      </c>
      <c r="E1541" t="n">
        <v>0.05786403423086336</v>
      </c>
      <c r="F1541" t="n">
        <v>0.03849769563981713</v>
      </c>
    </row>
    <row r="1542">
      <c r="A1542" t="inlineStr">
        <is>
          <t>G|FICO x ASSET_CLASS|where 2021|gco_rate|book|8</t>
        </is>
      </c>
      <c r="B1542" t="n">
        <v>0.6760195133135579</v>
      </c>
      <c r="C1542" t="n">
        <v>0.7407762602915841</v>
      </c>
      <c r="D1542" t="n">
        <v>0.8474697154381001</v>
      </c>
      <c r="E1542" t="n">
        <v>1.390786328779896</v>
      </c>
      <c r="F1542" t="n">
        <v>0.925308259216205</v>
      </c>
    </row>
    <row r="1543">
      <c r="A1543" t="inlineStr">
        <is>
          <t>G|FICO x ASSET_CLASS|where 2021|gco_rate|band|8</t>
        </is>
      </c>
    </row>
    <row r="1544">
      <c r="A1544" t="inlineStr">
        <is>
          <t>G|FICO x ASSET_CLASS|where 2021|gco_rate|meta</t>
        </is>
      </c>
      <c r="B1544" t="inlineStr">
        <is>
          <t>x</t>
        </is>
      </c>
      <c r="C1544" t="n">
        <v>2.054837592471537</v>
      </c>
      <c r="D1544" t="n">
        <v>10</v>
      </c>
      <c r="E1544" t="n">
        <v>0.04160526533333565</v>
      </c>
      <c r="F1544" t="n">
        <v>30</v>
      </c>
    </row>
    <row r="1545">
      <c r="A1545" t="inlineStr">
        <is>
          <t>G|FICO x ASSET_CLASS|where 2021|ranr_rate|rate|1</t>
        </is>
      </c>
      <c r="B1545" t="n">
        <v>0.40254987187295</v>
      </c>
      <c r="C1545" t="n">
        <v>0.4491107506906382</v>
      </c>
      <c r="D1545" t="n">
        <v>0.4282059282423026</v>
      </c>
      <c r="E1545" t="n">
        <v>0.313162152725777</v>
      </c>
      <c r="F1545" t="n">
        <v>0.3988917634926811</v>
      </c>
    </row>
    <row r="1546">
      <c r="A1546" t="inlineStr">
        <is>
          <t>G|FICO x ASSET_CLASS|where 2021|ranr_rate|book|1</t>
        </is>
      </c>
      <c r="B1546" t="n">
        <v>27.455982222</v>
      </c>
      <c r="C1546" t="n">
        <v>32.112070104</v>
      </c>
      <c r="D1546" t="n">
        <v>30.021587859</v>
      </c>
      <c r="E1546" t="n">
        <v>18.517210308</v>
      </c>
      <c r="F1546" t="n">
        <v>27.090171384</v>
      </c>
    </row>
    <row r="1547">
      <c r="A1547" t="inlineStr">
        <is>
          <t>G|FICO x ASSET_CLASS|where 2021|ranr_rate|band|1</t>
        </is>
      </c>
      <c r="B1547" t="n">
        <v>0.49263533</v>
      </c>
      <c r="C1547" t="n">
        <v>7.01616462</v>
      </c>
      <c r="D1547" t="n">
        <v>3.707247783</v>
      </c>
      <c r="E1547" t="n">
        <v>-11.416095429</v>
      </c>
    </row>
    <row r="1548">
      <c r="A1548" t="inlineStr">
        <is>
          <t>G|FICO x ASSET_CLASS|where 2021|ranr_rate|rate|2</t>
        </is>
      </c>
      <c r="B1548" t="n">
        <v>0.3501284621817897</v>
      </c>
      <c r="C1548" t="n">
        <v>0.3524063259509582</v>
      </c>
      <c r="D1548" t="n">
        <v>0.3268749659117395</v>
      </c>
      <c r="E1548" t="n">
        <v>0.2821441028288675</v>
      </c>
      <c r="F1548" t="n">
        <v>0.3277382035695149</v>
      </c>
    </row>
    <row r="1549">
      <c r="A1549" t="inlineStr">
        <is>
          <t>G|FICO x ASSET_CLASS|where 2021|ranr_rate|book|2</t>
        </is>
      </c>
      <c r="B1549" t="n">
        <v>22.213841253</v>
      </c>
      <c r="C1549" t="n">
        <v>22.44162763</v>
      </c>
      <c r="D1549" t="n">
        <v>19.888491626</v>
      </c>
      <c r="E1549" t="n">
        <v>15.415405318</v>
      </c>
      <c r="F1549" t="n">
        <v>19.974815392</v>
      </c>
    </row>
    <row r="1550">
      <c r="A1550" t="inlineStr">
        <is>
          <t>G|FICO x ASSET_CLASS|where 2021|ranr_rate|band|2</t>
        </is>
      </c>
      <c r="B1550" t="n">
        <v>3.105486347</v>
      </c>
      <c r="C1550" t="n">
        <v>3.286136996</v>
      </c>
      <c r="D1550" t="n">
        <v>-0.10839337</v>
      </c>
      <c r="E1550" t="n">
        <v>-6.229180402</v>
      </c>
    </row>
    <row r="1551">
      <c r="A1551" t="inlineStr">
        <is>
          <t>G|FICO x ASSET_CLASS|where 2021|ranr_rate|rate|3</t>
        </is>
      </c>
      <c r="B1551" t="n">
        <v>0.2838370121379612</v>
      </c>
      <c r="C1551" t="n">
        <v>0.2822395442940653</v>
      </c>
      <c r="D1551" t="n">
        <v>0.2666271163873149</v>
      </c>
      <c r="E1551" t="n">
        <v>0.2727049976830991</v>
      </c>
      <c r="F1551" t="n">
        <v>0.2754858653262878</v>
      </c>
    </row>
    <row r="1552">
      <c r="A1552" t="inlineStr">
        <is>
          <t>G|FICO x ASSET_CLASS|where 2021|ranr_rate|book|3</t>
        </is>
      </c>
      <c r="B1552" t="n">
        <v>15.584696249</v>
      </c>
      <c r="C1552" t="n">
        <v>15.424949465</v>
      </c>
      <c r="D1552" t="n">
        <v>13.863706674</v>
      </c>
      <c r="E1552" t="n">
        <v>14.471494803</v>
      </c>
      <c r="F1552" t="n">
        <v>14.749581568</v>
      </c>
    </row>
    <row r="1553">
      <c r="A1553" t="inlineStr">
        <is>
          <t>G|FICO x ASSET_CLASS|where 2021|ranr_rate|band|3</t>
        </is>
      </c>
      <c r="B1553" t="n">
        <v>1.047829032</v>
      </c>
      <c r="C1553" t="n">
        <v>0.871712961</v>
      </c>
      <c r="D1553" t="n">
        <v>-1.20958055</v>
      </c>
      <c r="E1553" t="n">
        <v>-0.399628362</v>
      </c>
    </row>
    <row r="1554">
      <c r="A1554" t="inlineStr">
        <is>
          <t>G|FICO x ASSET_CLASS|where 2021|ranr_rate|rate|4</t>
        </is>
      </c>
      <c r="B1554" t="n">
        <v>0.1882788506095606</v>
      </c>
      <c r="C1554" t="n">
        <v>0.1882356904392964</v>
      </c>
      <c r="D1554" t="n">
        <v>0.1991700805468887</v>
      </c>
      <c r="E1554" t="n">
        <v>0.2086186840204146</v>
      </c>
      <c r="F1554" t="n">
        <v>0.1962865232989212</v>
      </c>
    </row>
    <row r="1555">
      <c r="A1555" t="inlineStr">
        <is>
          <t>G|FICO x ASSET_CLASS|where 2021|ranr_rate|book|4</t>
        </is>
      </c>
      <c r="B1555" t="n">
        <v>6.028880096</v>
      </c>
      <c r="C1555" t="n">
        <v>6.024564079</v>
      </c>
      <c r="D1555" t="n">
        <v>7.11800309</v>
      </c>
      <c r="E1555" t="n">
        <v>8.062863437000001</v>
      </c>
      <c r="F1555" t="n">
        <v>6.829647365</v>
      </c>
    </row>
    <row r="1556">
      <c r="A1556" t="inlineStr">
        <is>
          <t>G|FICO x ASSET_CLASS|where 2021|ranr_rate|band|4</t>
        </is>
      </c>
      <c r="B1556" t="n">
        <v>-0.9951405209999999</v>
      </c>
      <c r="C1556" t="n">
        <v>-1.177282416</v>
      </c>
      <c r="D1556" t="n">
        <v>0.361665158</v>
      </c>
      <c r="E1556" t="n">
        <v>1.726774366</v>
      </c>
    </row>
    <row r="1557">
      <c r="A1557" t="inlineStr">
        <is>
          <t>G|FICO x ASSET_CLASS|where 2021|ranr_rate|rate|5</t>
        </is>
      </c>
      <c r="B1557" t="n">
        <v>0.1094244103494593</v>
      </c>
      <c r="C1557" t="n">
        <v>0.1122223157335161</v>
      </c>
      <c r="D1557" t="n">
        <v>0.0916443129859436</v>
      </c>
      <c r="E1557" t="n">
        <v>0.08480416729343317</v>
      </c>
      <c r="F1557" t="n">
        <v>0.09928907298177066</v>
      </c>
    </row>
    <row r="1558">
      <c r="A1558" t="inlineStr">
        <is>
          <t>G|FICO x ASSET_CLASS|where 2021|ranr_rate|book|5</t>
        </is>
      </c>
      <c r="B1558" t="n">
        <v>-1.85656393</v>
      </c>
      <c r="C1558" t="n">
        <v>-1.576773391</v>
      </c>
      <c r="D1558" t="n">
        <v>-3.634573666</v>
      </c>
      <c r="E1558" t="n">
        <v>-4.318588235</v>
      </c>
      <c r="F1558" t="n">
        <v>-2.870097667</v>
      </c>
    </row>
    <row r="1559">
      <c r="A1559" t="inlineStr">
        <is>
          <t>G|FICO x ASSET_CLASS|where 2021|ranr_rate|band|5</t>
        </is>
      </c>
      <c r="B1559" t="n">
        <v>1.419624576</v>
      </c>
      <c r="C1559" t="n">
        <v>1.63210152</v>
      </c>
      <c r="D1559" t="n">
        <v>-1.02749424</v>
      </c>
      <c r="E1559" t="n">
        <v>-1.932334503</v>
      </c>
    </row>
    <row r="1560">
      <c r="A1560" t="inlineStr">
        <is>
          <t>G|FICO x ASSET_CLASS|where 2021|ranr_rate|rate|6</t>
        </is>
      </c>
    </row>
    <row r="1561">
      <c r="A1561" t="inlineStr">
        <is>
          <t>G|FICO x ASSET_CLASS|where 2021|ranr_rate|book|6</t>
        </is>
      </c>
    </row>
    <row r="1562">
      <c r="A1562" t="inlineStr">
        <is>
          <t>G|FICO x ASSET_CLASS|where 2021|ranr_rate|band|6</t>
        </is>
      </c>
    </row>
    <row r="1563">
      <c r="A1563" t="inlineStr">
        <is>
          <t>G|FICO x ASSET_CLASS|where 2021|ranr_rate|rate|7</t>
        </is>
      </c>
      <c r="B1563" t="n">
        <v>0.3522714838675819</v>
      </c>
      <c r="C1563" t="n">
        <v>0.08092186674214094</v>
      </c>
      <c r="D1563" t="n">
        <v>0.2750220572535865</v>
      </c>
      <c r="E1563" t="n">
        <v>0.3349285414543803</v>
      </c>
      <c r="F1563" t="n">
        <v>0.2445440767836356</v>
      </c>
    </row>
    <row r="1564">
      <c r="A1564" t="inlineStr">
        <is>
          <t>G|FICO x ASSET_CLASS|where 2021|ranr_rate|book|7</t>
        </is>
      </c>
      <c r="B1564" t="n">
        <v>22.428143422</v>
      </c>
      <c r="C1564" t="n">
        <v>-4.706818291</v>
      </c>
      <c r="D1564" t="n">
        <v>14.703200761</v>
      </c>
      <c r="E1564" t="n">
        <v>20.693849181</v>
      </c>
      <c r="F1564" t="n">
        <v>11.655402714</v>
      </c>
    </row>
    <row r="1565">
      <c r="A1565" t="inlineStr">
        <is>
          <t>G|FICO x ASSET_CLASS|where 2021|ranr_rate|band|7</t>
        </is>
      </c>
      <c r="B1565" t="n">
        <v>12.731527246</v>
      </c>
      <c r="C1565" t="n">
        <v>-23.740758423</v>
      </c>
      <c r="D1565" t="n">
        <v>3.986694294</v>
      </c>
      <c r="E1565" t="n">
        <v>12.909173208</v>
      </c>
    </row>
    <row r="1566">
      <c r="A1566" t="inlineStr">
        <is>
          <t>G|FICO x ASSET_CLASS|where 2021|ranr_rate|rate|8</t>
        </is>
      </c>
      <c r="B1566" t="n">
        <v>0.2679453520467163</v>
      </c>
      <c r="C1566" t="n">
        <v>0.2749916202165369</v>
      </c>
      <c r="D1566" t="n">
        <v>0.2539525230140676</v>
      </c>
      <c r="E1566" t="n">
        <v>0.2344873015393123</v>
      </c>
      <c r="F1566" t="n">
        <v>0.2575062438820643</v>
      </c>
    </row>
    <row r="1567">
      <c r="A1567" t="inlineStr">
        <is>
          <t>G|FICO x ASSET_CLASS|where 2021|ranr_rate|book|8</t>
        </is>
      </c>
      <c r="B1567" t="n">
        <v>13.99553024</v>
      </c>
      <c r="C1567" t="n">
        <v>14.700157057</v>
      </c>
      <c r="D1567" t="n">
        <v>12.596247337</v>
      </c>
      <c r="E1567" t="n">
        <v>10.649725189</v>
      </c>
      <c r="F1567" t="n">
        <v>12.951619423</v>
      </c>
    </row>
    <row r="1568">
      <c r="A1568" t="inlineStr">
        <is>
          <t>G|FICO x ASSET_CLASS|where 2021|ranr_rate|band|8</t>
        </is>
      </c>
    </row>
    <row r="1569">
      <c r="A1569" t="inlineStr">
        <is>
          <t>G|FICO x ASSET_CLASS|where 2021|ranr_rate|meta</t>
        </is>
      </c>
      <c r="B1569" t="inlineStr">
        <is>
          <t>pts</t>
        </is>
      </c>
      <c r="C1569" t="n">
        <v>32.112070104</v>
      </c>
      <c r="D1569" t="n">
        <v>10</v>
      </c>
      <c r="E1569" t="n">
        <v>0.1279900496481481</v>
      </c>
      <c r="F1569" t="n">
        <v>30</v>
      </c>
    </row>
    <row r="1570">
      <c r="A1570" t="inlineStr">
        <is>
          <t>G|FICO x ASSET_CLASS|where 2021|contribution_rate|rate|1</t>
        </is>
      </c>
      <c r="B1570" t="n">
        <v>0.4808155280093516</v>
      </c>
      <c r="C1570" t="n">
        <v>0.4877111404395443</v>
      </c>
      <c r="D1570" t="n">
        <v>0.5061525640915581</v>
      </c>
      <c r="E1570" t="n">
        <v>0.4659825751027258</v>
      </c>
      <c r="F1570" t="n">
        <v>0.484383826744372</v>
      </c>
    </row>
    <row r="1571">
      <c r="A1571" t="inlineStr">
        <is>
          <t>G|FICO x ASSET_CLASS|where 2021|contribution_rate|book|1</t>
        </is>
      </c>
      <c r="B1571" t="n">
        <v>31.122307227</v>
      </c>
      <c r="C1571" t="n">
        <v>31.81186847</v>
      </c>
      <c r="D1571" t="n">
        <v>33.656010836</v>
      </c>
      <c r="E1571" t="n">
        <v>29.639011937</v>
      </c>
      <c r="F1571" t="n">
        <v>31.479137101</v>
      </c>
    </row>
    <row r="1572">
      <c r="A1572" t="inlineStr">
        <is>
          <t>G|FICO x ASSET_CLASS|where 2021|contribution_rate|band|1</t>
        </is>
      </c>
      <c r="B1572" t="n">
        <v>-0.480540717</v>
      </c>
      <c r="C1572" t="n">
        <v>0.464863629</v>
      </c>
      <c r="D1572" t="n">
        <v>2.753007085</v>
      </c>
      <c r="E1572" t="n">
        <v>-2.450383746</v>
      </c>
    </row>
    <row r="1573">
      <c r="A1573" t="inlineStr">
        <is>
          <t>G|FICO x ASSET_CLASS|where 2021|contribution_rate|rate|2</t>
        </is>
      </c>
      <c r="B1573" t="n">
        <v>0.3646342747555247</v>
      </c>
      <c r="C1573" t="n">
        <v>0.3647370949187804</v>
      </c>
      <c r="D1573" t="n">
        <v>0.3597046361294212</v>
      </c>
      <c r="E1573" t="n">
        <v>0.3620092455641821</v>
      </c>
      <c r="F1573" t="n">
        <v>0.362952548450044</v>
      </c>
    </row>
    <row r="1574">
      <c r="A1574" t="inlineStr">
        <is>
          <t>G|FICO x ASSET_CLASS|where 2021|contribution_rate|book|2</t>
        </is>
      </c>
      <c r="B1574" t="n">
        <v>19.504181902</v>
      </c>
      <c r="C1574" t="n">
        <v>19.514463918</v>
      </c>
      <c r="D1574" t="n">
        <v>19.011218039</v>
      </c>
      <c r="E1574" t="n">
        <v>19.241678983</v>
      </c>
      <c r="F1574" t="n">
        <v>19.336009272</v>
      </c>
    </row>
    <row r="1575">
      <c r="A1575" t="inlineStr">
        <is>
          <t>G|FICO x ASSET_CLASS|where 2021|contribution_rate|band|2</t>
        </is>
      </c>
      <c r="B1575" t="n">
        <v>0.233252245</v>
      </c>
      <c r="C1575" t="n">
        <v>0.23772641</v>
      </c>
      <c r="D1575" t="n">
        <v>-0.407827623</v>
      </c>
      <c r="E1575" t="n">
        <v>-0.128876406</v>
      </c>
    </row>
    <row r="1576">
      <c r="A1576" t="inlineStr">
        <is>
          <t>G|FICO x ASSET_CLASS|where 2021|contribution_rate|rate|3</t>
        </is>
      </c>
      <c r="B1576" t="n">
        <v>0.3115503981234107</v>
      </c>
      <c r="C1576" t="n">
        <v>0.3231033581779384</v>
      </c>
      <c r="D1576" t="n">
        <v>0.3018690293448131</v>
      </c>
      <c r="E1576" t="n">
        <v>0.2969870889554066</v>
      </c>
      <c r="F1576" t="n">
        <v>0.3071324482261389</v>
      </c>
    </row>
    <row r="1577">
      <c r="A1577" t="inlineStr">
        <is>
          <t>G|FICO x ASSET_CLASS|where 2021|contribution_rate|book|3</t>
        </is>
      </c>
      <c r="B1577" t="n">
        <v>14.195794239</v>
      </c>
      <c r="C1577" t="n">
        <v>15.351090244</v>
      </c>
      <c r="D1577" t="n">
        <v>13.227657361</v>
      </c>
      <c r="E1577" t="n">
        <v>12.739463322</v>
      </c>
      <c r="F1577" t="n">
        <v>13.753999249</v>
      </c>
    </row>
    <row r="1578">
      <c r="A1578" t="inlineStr">
        <is>
          <t>G|FICO x ASSET_CLASS|where 2021|contribution_rate|band|3</t>
        </is>
      </c>
      <c r="B1578" t="n">
        <v>0.554325803</v>
      </c>
      <c r="C1578" t="n">
        <v>2.061402278</v>
      </c>
      <c r="D1578" t="n">
        <v>-0.718671355</v>
      </c>
      <c r="E1578" t="n">
        <v>-1.457952634</v>
      </c>
    </row>
    <row r="1579">
      <c r="A1579" t="inlineStr">
        <is>
          <t>G|FICO x ASSET_CLASS|where 2021|contribution_rate|rate|4</t>
        </is>
      </c>
      <c r="B1579" t="n">
        <v>0.2150919329195601</v>
      </c>
      <c r="C1579" t="n">
        <v>0.2203232079757304</v>
      </c>
      <c r="D1579" t="n">
        <v>0.2215303147140005</v>
      </c>
      <c r="E1579" t="n">
        <v>0.2324003466648708</v>
      </c>
      <c r="F1579" t="n">
        <v>0.2229980721318613</v>
      </c>
    </row>
    <row r="1580">
      <c r="A1580" t="inlineStr">
        <is>
          <t>G|FICO x ASSET_CLASS|where 2021|contribution_rate|book|4</t>
        </is>
      </c>
      <c r="B1580" t="n">
        <v>4.549947718</v>
      </c>
      <c r="C1580" t="n">
        <v>5.073075224</v>
      </c>
      <c r="D1580" t="n">
        <v>5.193785898</v>
      </c>
      <c r="E1580" t="n">
        <v>6.280789093</v>
      </c>
      <c r="F1580" t="n">
        <v>5.34056164</v>
      </c>
    </row>
    <row r="1581">
      <c r="A1581" t="inlineStr">
        <is>
          <t>G|FICO x ASSET_CLASS|where 2021|contribution_rate|band|4</t>
        </is>
      </c>
      <c r="B1581" t="n">
        <v>-0.982522613</v>
      </c>
      <c r="C1581" t="n">
        <v>-0.391148418</v>
      </c>
      <c r="D1581" t="n">
        <v>-0.184090924</v>
      </c>
      <c r="E1581" t="n">
        <v>1.31652571</v>
      </c>
    </row>
    <row r="1582">
      <c r="A1582" t="inlineStr">
        <is>
          <t>G|FICO x ASSET_CLASS|where 2021|contribution_rate|rate|5</t>
        </is>
      </c>
      <c r="B1582" t="n">
        <v>0.1140072187639837</v>
      </c>
      <c r="C1582" t="n">
        <v>0.1122223157335161</v>
      </c>
      <c r="D1582" t="n">
        <v>0.1073150081022259</v>
      </c>
      <c r="E1582" t="n">
        <v>0.1093710077750579</v>
      </c>
      <c r="F1582" t="n">
        <v>0.110762773580266</v>
      </c>
    </row>
    <row r="1583">
      <c r="A1583" t="inlineStr">
        <is>
          <t>G|FICO x ASSET_CLASS|where 2021|contribution_rate|book|5</t>
        </is>
      </c>
      <c r="B1583" t="n">
        <v>-5.558523697</v>
      </c>
      <c r="C1583" t="n">
        <v>-5.737014</v>
      </c>
      <c r="D1583" t="n">
        <v>-6.227744763</v>
      </c>
      <c r="E1583" t="n">
        <v>-6.022144796</v>
      </c>
      <c r="F1583" t="n">
        <v>-5.882968215</v>
      </c>
    </row>
    <row r="1584">
      <c r="A1584" t="inlineStr">
        <is>
          <t>G|FICO x ASSET_CLASS|where 2021|contribution_rate|band|5</t>
        </is>
      </c>
      <c r="B1584" t="n">
        <v>0.454439152</v>
      </c>
      <c r="C1584" t="n">
        <v>0.184185901</v>
      </c>
      <c r="D1584" t="n">
        <v>-0.463397042</v>
      </c>
      <c r="E1584" t="n">
        <v>-0.185666179</v>
      </c>
    </row>
    <row r="1585">
      <c r="A1585" t="inlineStr">
        <is>
          <t>G|FICO x ASSET_CLASS|where 2021|contribution_rate|rate|6</t>
        </is>
      </c>
    </row>
    <row r="1586">
      <c r="A1586" t="inlineStr">
        <is>
          <t>G|FICO x ASSET_CLASS|where 2021|contribution_rate|book|6</t>
        </is>
      </c>
    </row>
    <row r="1587">
      <c r="A1587" t="inlineStr">
        <is>
          <t>G|FICO x ASSET_CLASS|where 2021|contribution_rate|band|6</t>
        </is>
      </c>
    </row>
    <row r="1588">
      <c r="A1588" t="inlineStr">
        <is>
          <t>G|FICO x ASSET_CLASS|where 2021|contribution_rate|rate|7</t>
        </is>
      </c>
      <c r="B1588" t="n">
        <v>0.3522714838675819</v>
      </c>
      <c r="C1588" t="n">
        <v>0.2817106160153141</v>
      </c>
      <c r="D1588" t="n">
        <v>0.3038148911543628</v>
      </c>
      <c r="E1588" t="n">
        <v>0.3349285414543803</v>
      </c>
      <c r="F1588" t="n">
        <v>0.3137293835273599</v>
      </c>
    </row>
    <row r="1589">
      <c r="A1589" t="inlineStr">
        <is>
          <t>G|FICO x ASSET_CLASS|where 2021|contribution_rate|book|7</t>
        </is>
      </c>
      <c r="B1589" t="n">
        <v>18.267902813</v>
      </c>
      <c r="C1589" t="n">
        <v>11.211816028</v>
      </c>
      <c r="D1589" t="n">
        <v>13.422243542</v>
      </c>
      <c r="E1589" t="n">
        <v>16.533608572</v>
      </c>
      <c r="F1589" t="n">
        <v>14.413692779</v>
      </c>
    </row>
    <row r="1590">
      <c r="A1590" t="inlineStr">
        <is>
          <t>G|FICO x ASSET_CLASS|where 2021|contribution_rate|band|7</t>
        </is>
      </c>
      <c r="B1590" t="n">
        <v>4.555013565</v>
      </c>
      <c r="C1590" t="n">
        <v>-4.64576187</v>
      </c>
      <c r="D1590" t="n">
        <v>-1.296872351</v>
      </c>
      <c r="E1590" t="n">
        <v>3.027772555</v>
      </c>
    </row>
    <row r="1591">
      <c r="A1591" t="inlineStr">
        <is>
          <t>G|FICO x ASSET_CLASS|where 2021|contribution_rate|rate|8</t>
        </is>
      </c>
      <c r="B1591" t="n">
        <v>0.2960713232686393</v>
      </c>
      <c r="C1591" t="n">
        <v>0.3058118130786044</v>
      </c>
      <c r="D1591" t="n">
        <v>0.2892117253868361</v>
      </c>
      <c r="E1591" t="n">
        <v>0.2923513357701756</v>
      </c>
      <c r="F1591" t="n">
        <v>0.2960039395218815</v>
      </c>
    </row>
    <row r="1592">
      <c r="A1592" t="inlineStr">
        <is>
          <t>G|FICO x ASSET_CLASS|where 2021|contribution_rate|book|8</t>
        </is>
      </c>
      <c r="B1592" t="n">
        <v>12.647886753</v>
      </c>
      <c r="C1592" t="n">
        <v>13.621935734</v>
      </c>
      <c r="D1592" t="n">
        <v>11.961926965</v>
      </c>
      <c r="E1592" t="n">
        <v>12.275888004</v>
      </c>
      <c r="F1592" t="n">
        <v>12.641148379</v>
      </c>
    </row>
    <row r="1593">
      <c r="A1593" t="inlineStr">
        <is>
          <t>G|FICO x ASSET_CLASS|where 2021|contribution_rate|band|8</t>
        </is>
      </c>
    </row>
    <row r="1594">
      <c r="A1594" t="inlineStr">
        <is>
          <t>G|FICO x ASSET_CLASS|where 2021|contribution_rate|meta</t>
        </is>
      </c>
      <c r="B1594" t="inlineStr">
        <is>
          <t>pts</t>
        </is>
      </c>
      <c r="C1594" t="n">
        <v>33.656010836</v>
      </c>
      <c r="D1594" t="n">
        <v>10</v>
      </c>
      <c r="E1594" t="n">
        <v>0.1695924557349815</v>
      </c>
      <c r="F1594" t="n">
        <v>30</v>
      </c>
    </row>
    <row r="1595">
      <c r="A1595" t="inlineStr">
        <is>
          <t>G|FICO x ASSET_CLASS|where 2021|loan_size|rate|1</t>
        </is>
      </c>
      <c r="B1595" t="n">
        <v>35145.52236842106</v>
      </c>
      <c r="C1595" t="n">
        <v>35108.3180952381</v>
      </c>
      <c r="D1595" t="n">
        <v>33926.70875</v>
      </c>
      <c r="E1595" t="n">
        <v>33999.47552631579</v>
      </c>
      <c r="F1595" t="n">
        <v>34584.75973333333</v>
      </c>
    </row>
    <row r="1596">
      <c r="A1596" t="inlineStr">
        <is>
          <t>G|FICO x ASSET_CLASS|where 2021|loan_size|median|1</t>
        </is>
      </c>
      <c r="B1596" t="n">
        <v>38552.765</v>
      </c>
      <c r="C1596" t="n">
        <v>35701.36500000001</v>
      </c>
      <c r="D1596" t="n">
        <v>30910.42</v>
      </c>
      <c r="E1596" t="n">
        <v>34453.475</v>
      </c>
      <c r="F1596" t="n">
        <v>34888.695</v>
      </c>
    </row>
    <row r="1597">
      <c r="A1597" t="inlineStr">
        <is>
          <t>G|FICO x ASSET_CLASS|where 2021|loan_size|book|1</t>
        </is>
      </c>
      <c r="B1597" t="n">
        <v>1.089358415372948</v>
      </c>
      <c r="C1597" t="n">
        <v>1.088205244631742</v>
      </c>
      <c r="D1597" t="n">
        <v>1.051580491400729</v>
      </c>
      <c r="E1597" t="n">
        <v>1.053835945148385</v>
      </c>
      <c r="F1597" t="n">
        <v>1.071977211327781</v>
      </c>
    </row>
    <row r="1598">
      <c r="A1598" t="inlineStr">
        <is>
          <t>G|FICO x ASSET_CLASS|where 2021|loan_size|band|1</t>
        </is>
      </c>
      <c r="B1598" t="n">
        <v>1.02183550756175</v>
      </c>
      <c r="C1598" t="n">
        <v>1.021150086986641</v>
      </c>
      <c r="D1598" t="n">
        <v>0.9759370499638416</v>
      </c>
      <c r="E1598" t="n">
        <v>0.9774644178654022</v>
      </c>
    </row>
    <row r="1599">
      <c r="A1599" t="inlineStr">
        <is>
          <t>G|FICO x ASSET_CLASS|where 2021|loan_size|rate|2</t>
        </is>
      </c>
      <c r="B1599" t="n">
        <v>31396.50981132076</v>
      </c>
      <c r="C1599" t="n">
        <v>33795.26386363636</v>
      </c>
      <c r="D1599" t="n">
        <v>30357.77525</v>
      </c>
      <c r="E1599" t="n">
        <v>36333.83659090909</v>
      </c>
      <c r="F1599" t="n">
        <v>32950.31187845304</v>
      </c>
    </row>
    <row r="1600">
      <c r="A1600" t="inlineStr">
        <is>
          <t>G|FICO x ASSET_CLASS|where 2021|loan_size|median|2</t>
        </is>
      </c>
      <c r="B1600" t="n">
        <v>31913.28</v>
      </c>
      <c r="C1600" t="n">
        <v>35253.13499999999</v>
      </c>
      <c r="D1600" t="n">
        <v>26197.255</v>
      </c>
      <c r="E1600" t="n">
        <v>37835.74</v>
      </c>
      <c r="F1600" t="n">
        <v>32380.91</v>
      </c>
    </row>
    <row r="1601">
      <c r="A1601" t="inlineStr">
        <is>
          <t>G|FICO x ASSET_CLASS|where 2021|loan_size|book|2</t>
        </is>
      </c>
      <c r="B1601" t="n">
        <v>0.9731553231097461</v>
      </c>
      <c r="C1601" t="n">
        <v>1.047506271316107</v>
      </c>
      <c r="D1601" t="n">
        <v>0.940959067101606</v>
      </c>
      <c r="E1601" t="n">
        <v>1.126190990652519</v>
      </c>
      <c r="F1601" t="n">
        <v>1.021316432792819</v>
      </c>
    </row>
    <row r="1602">
      <c r="A1602" t="inlineStr">
        <is>
          <t>G|FICO x ASSET_CLASS|where 2021|loan_size|band|2</t>
        </is>
      </c>
      <c r="B1602" t="n">
        <v>0.9345956431008647</v>
      </c>
      <c r="C1602" t="n">
        <v>1.034160331109865</v>
      </c>
      <c r="D1602" t="n">
        <v>0.9012043749588288</v>
      </c>
      <c r="E1602" t="n">
        <v>1.140291732116554</v>
      </c>
    </row>
    <row r="1603">
      <c r="A1603" t="inlineStr">
        <is>
          <t>G|FICO x ASSET_CLASS|where 2021|loan_size|rate|3</t>
        </is>
      </c>
      <c r="B1603" t="n">
        <v>30516.31161290323</v>
      </c>
      <c r="C1603" t="n">
        <v>30871.30147058823</v>
      </c>
      <c r="D1603" t="n">
        <v>29692.96547619048</v>
      </c>
      <c r="E1603" t="n">
        <v>33744.78904761904</v>
      </c>
      <c r="F1603" t="n">
        <v>31275.27248322147</v>
      </c>
    </row>
    <row r="1604">
      <c r="A1604" t="inlineStr">
        <is>
          <t>G|FICO x ASSET_CLASS|where 2021|loan_size|median|3</t>
        </is>
      </c>
      <c r="B1604" t="n">
        <v>26527.83</v>
      </c>
      <c r="C1604" t="n">
        <v>28812.05</v>
      </c>
      <c r="D1604" t="n">
        <v>26960.375</v>
      </c>
      <c r="E1604" t="n">
        <v>33467.465</v>
      </c>
      <c r="F1604" t="n">
        <v>28862.47</v>
      </c>
    </row>
    <row r="1605">
      <c r="A1605" t="inlineStr">
        <is>
          <t>G|FICO x ASSET_CLASS|where 2021|loan_size|book|3</t>
        </is>
      </c>
      <c r="B1605" t="n">
        <v>0.9458730051919509</v>
      </c>
      <c r="C1605" t="n">
        <v>0.9568761476346046</v>
      </c>
      <c r="D1605" t="n">
        <v>0.9203528540503438</v>
      </c>
      <c r="E1605" t="n">
        <v>1.045941771434259</v>
      </c>
      <c r="F1605" t="n">
        <v>0.9693974929589285</v>
      </c>
    </row>
    <row r="1606">
      <c r="A1606" t="inlineStr">
        <is>
          <t>G|FICO x ASSET_CLASS|where 2021|loan_size|band|3</t>
        </is>
      </c>
      <c r="B1606" t="n">
        <v>0.9695517320889511</v>
      </c>
      <c r="C1606" t="n">
        <v>0.9833282115296579</v>
      </c>
      <c r="D1606" t="n">
        <v>0.9309200443276661</v>
      </c>
      <c r="E1606" t="n">
        <v>1.113471507653216</v>
      </c>
    </row>
    <row r="1607">
      <c r="A1607" t="inlineStr">
        <is>
          <t>G|FICO x ASSET_CLASS|where 2021|loan_size|rate|4</t>
        </is>
      </c>
      <c r="B1607" t="n">
        <v>33327.5424137931</v>
      </c>
      <c r="C1607" t="n">
        <v>34008.38913043478</v>
      </c>
      <c r="D1607" t="n">
        <v>28657.23885714286</v>
      </c>
      <c r="E1607" t="n">
        <v>30746.39673913044</v>
      </c>
      <c r="F1607" t="n">
        <v>31719.37333333333</v>
      </c>
    </row>
    <row r="1608">
      <c r="A1608" t="inlineStr">
        <is>
          <t>G|FICO x ASSET_CLASS|where 2021|loan_size|median|4</t>
        </is>
      </c>
      <c r="B1608" t="n">
        <v>36857.19</v>
      </c>
      <c r="C1608" t="n">
        <v>36862.43</v>
      </c>
      <c r="D1608" t="n">
        <v>28594.88</v>
      </c>
      <c r="E1608" t="n">
        <v>28753.565</v>
      </c>
      <c r="F1608" t="n">
        <v>31146.235</v>
      </c>
    </row>
    <row r="1609">
      <c r="A1609" t="inlineStr">
        <is>
          <t>G|FICO x ASSET_CLASS|where 2021|loan_size|book|4</t>
        </is>
      </c>
      <c r="B1609" t="n">
        <v>1.033008939562261</v>
      </c>
      <c r="C1609" t="n">
        <v>1.054112228128519</v>
      </c>
      <c r="D1609" t="n">
        <v>0.8882498311771064</v>
      </c>
      <c r="E1609" t="n">
        <v>0.9530046439219237</v>
      </c>
      <c r="F1609" t="n">
        <v>0.9831626888001582</v>
      </c>
    </row>
    <row r="1610">
      <c r="A1610" t="inlineStr">
        <is>
          <t>G|FICO x ASSET_CLASS|where 2021|loan_size|band|4</t>
        </is>
      </c>
      <c r="B1610" t="n">
        <v>1.063006478456291</v>
      </c>
      <c r="C1610" t="n">
        <v>1.105527108426238</v>
      </c>
      <c r="D1610" t="n">
        <v>0.8789185105274274</v>
      </c>
      <c r="E1610" t="n">
        <v>0.9570489078530041</v>
      </c>
    </row>
    <row r="1611">
      <c r="A1611" t="inlineStr">
        <is>
          <t>G|FICO x ASSET_CLASS|where 2021|loan_size|rate|5</t>
        </is>
      </c>
      <c r="B1611" t="n">
        <v>31492.14188679245</v>
      </c>
      <c r="C1611" t="n">
        <v>31054.95051282051</v>
      </c>
      <c r="D1611" t="n">
        <v>36429.31463414634</v>
      </c>
      <c r="E1611" t="n">
        <v>33204.63431818182</v>
      </c>
      <c r="F1611" t="n">
        <v>32965.15480225989</v>
      </c>
    </row>
    <row r="1612">
      <c r="A1612" t="inlineStr">
        <is>
          <t>G|FICO x ASSET_CLASS|where 2021|loan_size|median|5</t>
        </is>
      </c>
      <c r="B1612" t="n">
        <v>30283.81</v>
      </c>
      <c r="C1612" t="n">
        <v>29067.98</v>
      </c>
      <c r="D1612" t="n">
        <v>37921.53</v>
      </c>
      <c r="E1612" t="n">
        <v>32453.97</v>
      </c>
      <c r="F1612" t="n">
        <v>32407.36</v>
      </c>
    </row>
    <row r="1613">
      <c r="A1613" t="inlineStr">
        <is>
          <t>G|FICO x ASSET_CLASS|where 2021|loan_size|book|5</t>
        </is>
      </c>
      <c r="B1613" t="n">
        <v>0.9761195017354786</v>
      </c>
      <c r="C1613" t="n">
        <v>0.9625684696190026</v>
      </c>
      <c r="D1613" t="n">
        <v>1.129150394948564</v>
      </c>
      <c r="E1613" t="n">
        <v>1.02919932288142</v>
      </c>
      <c r="F1613" t="n">
        <v>1.021776498908447</v>
      </c>
    </row>
    <row r="1614">
      <c r="A1614" t="inlineStr">
        <is>
          <t>G|FICO x ASSET_CLASS|where 2021|loan_size|band|5</t>
        </is>
      </c>
      <c r="B1614" t="n">
        <v>0.9374126253050241</v>
      </c>
      <c r="C1614" t="n">
        <v>0.9268752428851509</v>
      </c>
      <c r="D1614" t="n">
        <v>1.141240206030042</v>
      </c>
      <c r="E1614" t="n">
        <v>1.00969125204957</v>
      </c>
    </row>
    <row r="1615">
      <c r="A1615" t="inlineStr">
        <is>
          <t>G|FICO x ASSET_CLASS|where 2021|loan_size|rate|6</t>
        </is>
      </c>
    </row>
    <row r="1616">
      <c r="A1616" t="inlineStr">
        <is>
          <t>G|FICO x ASSET_CLASS|where 2021|loan_size|median|6</t>
        </is>
      </c>
    </row>
    <row r="1617">
      <c r="A1617" t="inlineStr">
        <is>
          <t>G|FICO x ASSET_CLASS|where 2021|loan_size|book|6</t>
        </is>
      </c>
    </row>
    <row r="1618">
      <c r="A1618" t="inlineStr">
        <is>
          <t>G|FICO x ASSET_CLASS|where 2021|loan_size|band|6</t>
        </is>
      </c>
    </row>
    <row r="1619">
      <c r="A1619" t="inlineStr">
        <is>
          <t>G|FICO x ASSET_CLASS|where 2021|loan_size|rate|7</t>
        </is>
      </c>
      <c r="B1619" t="n">
        <v>19816.67166666667</v>
      </c>
      <c r="C1619" t="n">
        <v>34312.55142857142</v>
      </c>
      <c r="D1619" t="n">
        <v>30333.93666666666</v>
      </c>
      <c r="E1619" t="n">
        <v>33103.30857142857</v>
      </c>
      <c r="F1619" t="n">
        <v>29723.64115384615</v>
      </c>
    </row>
    <row r="1620">
      <c r="A1620" t="inlineStr">
        <is>
          <t>G|FICO x ASSET_CLASS|where 2021|loan_size|median|7</t>
        </is>
      </c>
      <c r="B1620" t="n">
        <v>16142.345</v>
      </c>
      <c r="C1620" t="n">
        <v>28343.7</v>
      </c>
      <c r="D1620" t="n">
        <v>28721.765</v>
      </c>
      <c r="E1620" t="n">
        <v>31931.34</v>
      </c>
      <c r="F1620" t="n">
        <v>28081.48</v>
      </c>
    </row>
    <row r="1621">
      <c r="A1621" t="inlineStr">
        <is>
          <t>G|FICO x ASSET_CLASS|where 2021|loan_size|book|7</t>
        </is>
      </c>
      <c r="B1621" t="n">
        <v>0.6142306783342266</v>
      </c>
      <c r="C1621" t="n">
        <v>1.063539937173243</v>
      </c>
      <c r="D1621" t="n">
        <v>0.940220174644908</v>
      </c>
      <c r="E1621" t="n">
        <v>1.026058665196424</v>
      </c>
      <c r="F1621" t="n">
        <v>0.9213036667100954</v>
      </c>
    </row>
    <row r="1622">
      <c r="A1622" t="inlineStr">
        <is>
          <t>G|FICO x ASSET_CLASS|where 2021|loan_size|band|7</t>
        </is>
      </c>
      <c r="B1622" t="n">
        <v>0.6060935313106514</v>
      </c>
      <c r="C1622" t="n">
        <v>1.224006123805253</v>
      </c>
      <c r="D1622" t="n">
        <v>1.026857458629681</v>
      </c>
      <c r="E1622" t="n">
        <v>1.162396473116244</v>
      </c>
    </row>
    <row r="1623">
      <c r="A1623" t="inlineStr">
        <is>
          <t>G|FICO x ASSET_CLASS|where 2021|loan_size|rate|8</t>
        </is>
      </c>
      <c r="B1623" t="n">
        <v>31904.91814285714</v>
      </c>
      <c r="C1623" t="n">
        <v>33145.67004716981</v>
      </c>
      <c r="D1623" t="n">
        <v>31763.66897959184</v>
      </c>
      <c r="E1623" t="n">
        <v>33552.08751131222</v>
      </c>
      <c r="F1623" t="n">
        <v>32619.31504171633</v>
      </c>
    </row>
    <row r="1624">
      <c r="A1624" t="inlineStr">
        <is>
          <t>G|FICO x ASSET_CLASS|where 2021|loan_size|median|8</t>
        </is>
      </c>
      <c r="B1624" t="n">
        <v>31588.33</v>
      </c>
      <c r="C1624" t="n">
        <v>33784.315</v>
      </c>
      <c r="D1624" t="n">
        <v>30370.475</v>
      </c>
      <c r="E1624" t="n">
        <v>32575.77</v>
      </c>
      <c r="F1624" t="n">
        <v>31978.84</v>
      </c>
    </row>
    <row r="1625">
      <c r="A1625" t="inlineStr">
        <is>
          <t>G|FICO x ASSET_CLASS|where 2021|loan_size|book|8</t>
        </is>
      </c>
      <c r="B1625" t="n">
        <v>0.9889137713296682</v>
      </c>
      <c r="C1625" t="n">
        <v>1.02737168679851</v>
      </c>
      <c r="D1625" t="n">
        <v>0.9845356612804148</v>
      </c>
      <c r="E1625" t="n">
        <v>1.039968861484861</v>
      </c>
      <c r="F1625" t="n">
        <v>1.011056969701585</v>
      </c>
    </row>
    <row r="1626">
      <c r="A1626" t="inlineStr">
        <is>
          <t>G|FICO x ASSET_CLASS|where 2021|loan_size|band|8</t>
        </is>
      </c>
    </row>
    <row r="1627">
      <c r="A1627" t="inlineStr">
        <is>
          <t>G|FICO x ASSET_CLASS|where 2021|loan_size|meta</t>
        </is>
      </c>
      <c r="B1627" t="inlineStr">
        <is>
          <t>size</t>
        </is>
      </c>
      <c r="C1627" t="n">
        <v>1</v>
      </c>
      <c r="E1627" t="n">
        <v>32262.58857732217</v>
      </c>
      <c r="F1627" t="n">
        <v>30</v>
      </c>
    </row>
    <row r="1628">
      <c r="A1628" t="inlineStr">
        <is>
          <t>G|FICO x ASSET_CLASS|where 2022|cols</t>
        </is>
      </c>
      <c r="B1628" t="inlineStr">
        <is>
          <t>1</t>
        </is>
      </c>
      <c r="C1628" t="inlineStr">
        <is>
          <t>2</t>
        </is>
      </c>
      <c r="D1628" t="inlineStr">
        <is>
          <t>3</t>
        </is>
      </c>
      <c r="E1628" t="inlineStr">
        <is>
          <t>4</t>
        </is>
      </c>
      <c r="F1628" t="inlineStr">
        <is>
          <t>All</t>
        </is>
      </c>
    </row>
    <row r="1629">
      <c r="A1629" t="inlineStr">
        <is>
          <t>G|FICO x ASSET_CLASS|where 2022|heads</t>
        </is>
      </c>
      <c r="B1629" t="inlineStr">
        <is>
          <t>1</t>
        </is>
      </c>
      <c r="C1629" t="inlineStr">
        <is>
          <t>2</t>
        </is>
      </c>
      <c r="D1629" t="inlineStr">
        <is>
          <t>3</t>
        </is>
      </c>
      <c r="E1629" t="inlineStr">
        <is>
          <t>4</t>
        </is>
      </c>
      <c r="F1629" t="inlineStr">
        <is>
          <t>All</t>
        </is>
      </c>
    </row>
    <row r="1630">
      <c r="A1630" t="inlineStr">
        <is>
          <t>G|FICO x ASSET_CLASS|where 2022|segs</t>
        </is>
      </c>
    </row>
    <row r="1631">
      <c r="A1631" t="inlineStr">
        <is>
          <t>G|FICO x ASSET_CLASS|where 2022|rows</t>
        </is>
      </c>
      <c r="B1631" t="inlineStr">
        <is>
          <t>496 - 653</t>
        </is>
      </c>
      <c r="C1631" t="inlineStr">
        <is>
          <t>654 - 685</t>
        </is>
      </c>
      <c r="D1631" t="inlineStr">
        <is>
          <t>686 - 711</t>
        </is>
      </c>
      <c r="E1631" t="inlineStr">
        <is>
          <t>712 - 745</t>
        </is>
      </c>
      <c r="F1631" t="inlineStr">
        <is>
          <t>746 - 921</t>
        </is>
      </c>
      <c r="G1631" t="inlineStr">
        <is>
          <t>(blank)</t>
        </is>
      </c>
      <c r="H1631" t="inlineStr">
        <is>
          <t>(marked missing)</t>
        </is>
      </c>
      <c r="I1631" t="inlineStr">
        <is>
          <t>All</t>
        </is>
      </c>
    </row>
    <row r="1632">
      <c r="A1632" t="inlineStr">
        <is>
          <t>G|FICO x ASSET_CLASS|where 2022|names</t>
        </is>
      </c>
      <c r="B1632" t="inlineStr">
        <is>
          <t>FICO</t>
        </is>
      </c>
      <c r="C1632" t="inlineStr">
        <is>
          <t>ASSET_CLASS</t>
        </is>
      </c>
    </row>
    <row r="1633">
      <c r="A1633" t="inlineStr">
        <is>
          <t>G|FICO x ASSET_CLASS|where 2022|total</t>
        </is>
      </c>
      <c r="B1633" t="n">
        <v>1741</v>
      </c>
    </row>
    <row r="1634">
      <c r="A1634" t="inlineStr">
        <is>
          <t>G|FICO x ASSET_CLASS|where 2022|loans|1</t>
        </is>
      </c>
      <c r="B1634" t="n">
        <v>110</v>
      </c>
      <c r="C1634" t="n">
        <v>75</v>
      </c>
      <c r="D1634" t="n">
        <v>79</v>
      </c>
      <c r="E1634" t="n">
        <v>89</v>
      </c>
      <c r="F1634" t="n">
        <v>353</v>
      </c>
    </row>
    <row r="1635">
      <c r="A1635" t="inlineStr">
        <is>
          <t>G|FICO x ASSET_CLASS|where 2022|loans|2</t>
        </is>
      </c>
      <c r="B1635" t="n">
        <v>93</v>
      </c>
      <c r="C1635" t="n">
        <v>78</v>
      </c>
      <c r="D1635" t="n">
        <v>93</v>
      </c>
      <c r="E1635" t="n">
        <v>80</v>
      </c>
      <c r="F1635" t="n">
        <v>344</v>
      </c>
    </row>
    <row r="1636">
      <c r="A1636" t="inlineStr">
        <is>
          <t>G|FICO x ASSET_CLASS|where 2022|loans|3</t>
        </is>
      </c>
      <c r="B1636" t="n">
        <v>89</v>
      </c>
      <c r="C1636" t="n">
        <v>76</v>
      </c>
      <c r="D1636" t="n">
        <v>80</v>
      </c>
      <c r="E1636" t="n">
        <v>88</v>
      </c>
      <c r="F1636" t="n">
        <v>333</v>
      </c>
    </row>
    <row r="1637">
      <c r="A1637" t="inlineStr">
        <is>
          <t>G|FICO x ASSET_CLASS|where 2022|loans|4</t>
        </is>
      </c>
      <c r="B1637" t="n">
        <v>89</v>
      </c>
      <c r="C1637" t="n">
        <v>84</v>
      </c>
      <c r="D1637" t="n">
        <v>87</v>
      </c>
      <c r="E1637" t="n">
        <v>96</v>
      </c>
      <c r="F1637" t="n">
        <v>356</v>
      </c>
    </row>
    <row r="1638">
      <c r="A1638" t="inlineStr">
        <is>
          <t>G|FICO x ASSET_CLASS|where 2022|loans|5</t>
        </is>
      </c>
      <c r="B1638" t="n">
        <v>82</v>
      </c>
      <c r="C1638" t="n">
        <v>75</v>
      </c>
      <c r="D1638" t="n">
        <v>89</v>
      </c>
      <c r="E1638" t="n">
        <v>68</v>
      </c>
      <c r="F1638" t="n">
        <v>314</v>
      </c>
    </row>
    <row r="1639">
      <c r="A1639" t="inlineStr">
        <is>
          <t>G|FICO x ASSET_CLASS|where 2022|loans|6</t>
        </is>
      </c>
    </row>
    <row r="1640">
      <c r="A1640" t="inlineStr">
        <is>
          <t>G|FICO x ASSET_CLASS|where 2022|loans|7</t>
        </is>
      </c>
      <c r="B1640" t="n">
        <v>13</v>
      </c>
      <c r="C1640" t="n">
        <v>8</v>
      </c>
      <c r="D1640" t="n">
        <v>12</v>
      </c>
      <c r="E1640" t="n">
        <v>8</v>
      </c>
      <c r="F1640" t="n">
        <v>41</v>
      </c>
    </row>
    <row r="1641">
      <c r="A1641" t="inlineStr">
        <is>
          <t>G|FICO x ASSET_CLASS|where 2022|loans|8</t>
        </is>
      </c>
      <c r="B1641" t="n">
        <v>476</v>
      </c>
      <c r="C1641" t="n">
        <v>396</v>
      </c>
      <c r="D1641" t="n">
        <v>440</v>
      </c>
      <c r="E1641" t="n">
        <v>429</v>
      </c>
      <c r="F1641" t="n">
        <v>1741</v>
      </c>
    </row>
    <row r="1642">
      <c r="A1642" t="inlineStr">
        <is>
          <t>G|FICO x ASSET_CLASS|where 2022|outcome_loans|rate|1</t>
        </is>
      </c>
      <c r="B1642" t="n">
        <v>0.1545454545454545</v>
      </c>
      <c r="C1642" t="n">
        <v>0.1866666666666667</v>
      </c>
      <c r="D1642" t="n">
        <v>0.1265822784810127</v>
      </c>
      <c r="E1642" t="n">
        <v>0.2247191011235955</v>
      </c>
      <c r="F1642" t="n">
        <v>0.1728045325779037</v>
      </c>
    </row>
    <row r="1643">
      <c r="A1643" t="inlineStr">
        <is>
          <t>G|FICO x ASSET_CLASS|where 2022|outcome_loans|book|1</t>
        </is>
      </c>
      <c r="B1643" t="n">
        <v>1.997106770450874</v>
      </c>
      <c r="C1643" t="n">
        <v>2.412191707054389</v>
      </c>
      <c r="D1643" t="n">
        <v>1.635753870064007</v>
      </c>
      <c r="E1643" t="n">
        <v>2.903922600787787</v>
      </c>
      <c r="F1643" t="n">
        <v>2.233058895138371</v>
      </c>
    </row>
    <row r="1644">
      <c r="A1644" t="inlineStr">
        <is>
          <t>G|FICO x ASSET_CLASS|where 2022|outcome_loans|band|1</t>
        </is>
      </c>
      <c r="B1644" t="n">
        <v>0.8535123966942149</v>
      </c>
      <c r="C1644" t="n">
        <v>1.104113475177305</v>
      </c>
      <c r="D1644" t="n">
        <v>0.6800694961528916</v>
      </c>
      <c r="E1644" t="n">
        <v>1.446971773088517</v>
      </c>
    </row>
    <row r="1645">
      <c r="A1645" t="inlineStr">
        <is>
          <t>G|FICO x ASSET_CLASS|where 2022|outcome_loans|rate|2</t>
        </is>
      </c>
      <c r="B1645" t="n">
        <v>0.06451612903225806</v>
      </c>
      <c r="C1645" t="n">
        <v>0.0641025641025641</v>
      </c>
      <c r="D1645" t="n">
        <v>0.06451612903225806</v>
      </c>
      <c r="E1645" t="n">
        <v>0.1375</v>
      </c>
      <c r="F1645" t="n">
        <v>0.08139534883720931</v>
      </c>
    </row>
    <row r="1646">
      <c r="A1646" t="inlineStr">
        <is>
          <t>G|FICO x ASSET_CLASS|where 2022|outcome_loans|book|2</t>
        </is>
      </c>
      <c r="E1646" t="n">
        <v>1.776837641357027</v>
      </c>
      <c r="F1646" t="n">
        <v>1.051827779238832</v>
      </c>
    </row>
    <row r="1647">
      <c r="A1647" t="inlineStr">
        <is>
          <t>G|FICO x ASSET_CLASS|where 2022|outcome_loans|band|2</t>
        </is>
      </c>
      <c r="E1647" t="n">
        <v>2.135294117647059</v>
      </c>
    </row>
    <row r="1648">
      <c r="A1648" t="inlineStr">
        <is>
          <t>G|FICO x ASSET_CLASS|where 2022|outcome_loans|rate|3</t>
        </is>
      </c>
      <c r="B1648" t="n">
        <v>0.02247191011235955</v>
      </c>
      <c r="C1648" t="n">
        <v>0.02631578947368421</v>
      </c>
      <c r="D1648" t="n">
        <v>0.08749999999999999</v>
      </c>
      <c r="E1648" t="n">
        <v>0.07954545454545454</v>
      </c>
      <c r="F1648" t="n">
        <v>0.05405405405405406</v>
      </c>
    </row>
    <row r="1649">
      <c r="A1649" t="inlineStr">
        <is>
          <t>G|FICO x ASSET_CLASS|where 2022|outcome_loans|book|3</t>
        </is>
      </c>
      <c r="F1649" t="n">
        <v>0.6985111120813867</v>
      </c>
    </row>
    <row r="1650">
      <c r="A1650" t="inlineStr">
        <is>
          <t>G|FICO x ASSET_CLASS|where 2022|outcome_loans|band|3</t>
        </is>
      </c>
    </row>
    <row r="1651">
      <c r="A1651" t="inlineStr">
        <is>
          <t>G|FICO x ASSET_CLASS|where 2022|outcome_loans|rate|4</t>
        </is>
      </c>
      <c r="B1651" t="n">
        <v>0.06741573033707865</v>
      </c>
      <c r="C1651" t="n">
        <v>0.07142857142857142</v>
      </c>
      <c r="D1651" t="n">
        <v>0.05747126436781609</v>
      </c>
      <c r="E1651" t="n">
        <v>0.0625</v>
      </c>
      <c r="F1651" t="n">
        <v>0.06460674157303371</v>
      </c>
    </row>
    <row r="1652">
      <c r="A1652" t="inlineStr">
        <is>
          <t>G|FICO x ASSET_CLASS|where 2022|outcome_loans|book|4</t>
        </is>
      </c>
      <c r="F1652" t="n">
        <v>0.8348777477264889</v>
      </c>
    </row>
    <row r="1653">
      <c r="A1653" t="inlineStr">
        <is>
          <t>G|FICO x ASSET_CLASS|where 2022|outcome_loans|band|4</t>
        </is>
      </c>
    </row>
    <row r="1654">
      <c r="A1654" t="inlineStr">
        <is>
          <t>G|FICO x ASSET_CLASS|where 2022|outcome_loans|rate|5</t>
        </is>
      </c>
      <c r="B1654" t="n">
        <v>0.03658536585365853</v>
      </c>
      <c r="C1654" t="n">
        <v>0.01333333333333333</v>
      </c>
      <c r="D1654" t="n">
        <v>0.01123595505617977</v>
      </c>
      <c r="E1654" t="n">
        <v>0.08823529411764706</v>
      </c>
      <c r="F1654" t="n">
        <v>0.03503184713375796</v>
      </c>
    </row>
    <row r="1655">
      <c r="A1655" t="inlineStr">
        <is>
          <t>G|FICO x ASSET_CLASS|where 2022|outcome_loans|book|5</t>
        </is>
      </c>
      <c r="F1655" t="n">
        <v>0.4526974882438286</v>
      </c>
    </row>
    <row r="1656">
      <c r="A1656" t="inlineStr">
        <is>
          <t>G|FICO x ASSET_CLASS|where 2022|outcome_loans|band|5</t>
        </is>
      </c>
    </row>
    <row r="1657">
      <c r="A1657" t="inlineStr">
        <is>
          <t>G|FICO x ASSET_CLASS|where 2022|outcome_loans|rate|6</t>
        </is>
      </c>
    </row>
    <row r="1658">
      <c r="A1658" t="inlineStr">
        <is>
          <t>G|FICO x ASSET_CLASS|where 2022|outcome_loans|book|6</t>
        </is>
      </c>
    </row>
    <row r="1659">
      <c r="A1659" t="inlineStr">
        <is>
          <t>G|FICO x ASSET_CLASS|where 2022|outcome_loans|band|6</t>
        </is>
      </c>
    </row>
    <row r="1660">
      <c r="A1660" t="inlineStr">
        <is>
          <t>G|FICO x ASSET_CLASS|where 2022|outcome_loans|rate|7</t>
        </is>
      </c>
      <c r="B1660" t="n">
        <v>0</v>
      </c>
      <c r="C1660" t="n">
        <v>0.25</v>
      </c>
      <c r="D1660" t="n">
        <v>0</v>
      </c>
      <c r="E1660" t="n">
        <v>0.25</v>
      </c>
      <c r="F1660" t="n">
        <v>0.0975609756097561</v>
      </c>
    </row>
    <row r="1661">
      <c r="A1661" t="inlineStr">
        <is>
          <t>G|FICO x ASSET_CLASS|where 2022|outcome_loans|book|7</t>
        </is>
      </c>
    </row>
    <row r="1662">
      <c r="A1662" t="inlineStr">
        <is>
          <t>G|FICO x ASSET_CLASS|where 2022|outcome_loans|band|7</t>
        </is>
      </c>
    </row>
    <row r="1663">
      <c r="A1663" t="inlineStr">
        <is>
          <t>G|FICO x ASSET_CLASS|where 2022|outcome_loans|rate|8</t>
        </is>
      </c>
      <c r="B1663" t="n">
        <v>0.07142857142857142</v>
      </c>
      <c r="C1663" t="n">
        <v>0.07575757575757576</v>
      </c>
      <c r="D1663" t="n">
        <v>0.0659090909090909</v>
      </c>
      <c r="E1663" t="n">
        <v>0.1212121212121212</v>
      </c>
      <c r="F1663" t="n">
        <v>0.0832854681217691</v>
      </c>
    </row>
    <row r="1664">
      <c r="A1664" t="inlineStr">
        <is>
          <t>G|FICO x ASSET_CLASS|where 2022|outcome_loans|book|8</t>
        </is>
      </c>
      <c r="B1664" t="n">
        <v>0.9230325409646896</v>
      </c>
      <c r="C1664" t="n">
        <v>0.9789739070837616</v>
      </c>
      <c r="D1664" t="n">
        <v>0.8517072991628726</v>
      </c>
      <c r="E1664" t="n">
        <v>1.566358251334019</v>
      </c>
      <c r="F1664" t="n">
        <v>1.076252761722182</v>
      </c>
    </row>
    <row r="1665">
      <c r="A1665" t="inlineStr">
        <is>
          <t>G|FICO x ASSET_CLASS|where 2022|outcome_loans|band|8</t>
        </is>
      </c>
    </row>
    <row r="1666">
      <c r="A1666" t="inlineStr">
        <is>
          <t>G|FICO x ASSET_CLASS|where 2022|outcome_loans|meta</t>
        </is>
      </c>
      <c r="B1666" t="inlineStr">
        <is>
          <t>x</t>
        </is>
      </c>
      <c r="C1666" t="n">
        <v>2.903922600787787</v>
      </c>
      <c r="D1666" t="n">
        <v>10</v>
      </c>
      <c r="E1666" t="n">
        <v>0.07738467308413552</v>
      </c>
      <c r="F1666" t="n">
        <v>30</v>
      </c>
    </row>
    <row r="1667">
      <c r="A1667" t="inlineStr">
        <is>
          <t>G|FICO x ASSET_CLASS|where 2022|outcome_booked|rate|1</t>
        </is>
      </c>
      <c r="B1667" t="n">
        <v>0.138565114807972</v>
      </c>
      <c r="C1667" t="n">
        <v>0.1873920497195949</v>
      </c>
      <c r="D1667" t="n">
        <v>0.1148374756530553</v>
      </c>
      <c r="E1667" t="n">
        <v>0.2904747885954354</v>
      </c>
      <c r="F1667" t="n">
        <v>0.1813013742401201</v>
      </c>
    </row>
    <row r="1668">
      <c r="A1668" t="inlineStr">
        <is>
          <t>G|FICO x ASSET_CLASS|where 2022|outcome_booked|book|1</t>
        </is>
      </c>
      <c r="B1668" t="n">
        <v>1.851760122123439</v>
      </c>
      <c r="C1668" t="n">
        <v>2.504274797842225</v>
      </c>
      <c r="D1668" t="n">
        <v>1.534668074531952</v>
      </c>
      <c r="E1668" t="n">
        <v>3.881854612170522</v>
      </c>
      <c r="F1668" t="n">
        <v>2.422880068834737</v>
      </c>
    </row>
    <row r="1669">
      <c r="A1669" t="inlineStr">
        <is>
          <t>G|FICO x ASSET_CLASS|where 2022|outcome_booked|band|1</t>
        </is>
      </c>
      <c r="B1669" t="n">
        <v>0.6933631454965919</v>
      </c>
      <c r="C1669" t="n">
        <v>1.043953798684375</v>
      </c>
      <c r="D1669" t="n">
        <v>0.5721532094823327</v>
      </c>
      <c r="E1669" t="n">
        <v>1.986939255533694</v>
      </c>
    </row>
    <row r="1670">
      <c r="A1670" t="inlineStr">
        <is>
          <t>G|FICO x ASSET_CLASS|where 2022|outcome_booked|rate|2</t>
        </is>
      </c>
      <c r="B1670" t="n">
        <v>0.07334008766517235</v>
      </c>
      <c r="C1670" t="n">
        <v>0.05754161948752164</v>
      </c>
      <c r="D1670" t="n">
        <v>0.07736090471888671</v>
      </c>
      <c r="E1670" t="n">
        <v>0.1200568691704722</v>
      </c>
      <c r="F1670" t="n">
        <v>0.08143684249079827</v>
      </c>
    </row>
    <row r="1671">
      <c r="A1671" t="inlineStr">
        <is>
          <t>G|FICO x ASSET_CLASS|where 2022|outcome_booked|book|2</t>
        </is>
      </c>
      <c r="E1671" t="n">
        <v>1.604419142761616</v>
      </c>
      <c r="F1671" t="n">
        <v>1.088307815463463</v>
      </c>
    </row>
    <row r="1672">
      <c r="A1672" t="inlineStr">
        <is>
          <t>G|FICO x ASSET_CLASS|where 2022|outcome_booked|band|2</t>
        </is>
      </c>
      <c r="E1672" t="n">
        <v>1.714113396701931</v>
      </c>
    </row>
    <row r="1673">
      <c r="A1673" t="inlineStr">
        <is>
          <t>G|FICO x ASSET_CLASS|where 2022|outcome_booked|rate|3</t>
        </is>
      </c>
      <c r="B1673" t="n">
        <v>0.01974584240063374</v>
      </c>
      <c r="C1673" t="n">
        <v>0.009412481187503123</v>
      </c>
      <c r="D1673" t="n">
        <v>0.08956133795597121</v>
      </c>
      <c r="E1673" t="n">
        <v>0.04372906794108131</v>
      </c>
      <c r="F1673" t="n">
        <v>0.04073053990032897</v>
      </c>
    </row>
    <row r="1674">
      <c r="A1674" t="inlineStr">
        <is>
          <t>G|FICO x ASSET_CLASS|where 2022|outcome_booked|book|3</t>
        </is>
      </c>
      <c r="F1674" t="n">
        <v>0.5443158593309052</v>
      </c>
    </row>
    <row r="1675">
      <c r="A1675" t="inlineStr">
        <is>
          <t>G|FICO x ASSET_CLASS|where 2022|outcome_booked|band|3</t>
        </is>
      </c>
    </row>
    <row r="1676">
      <c r="A1676" t="inlineStr">
        <is>
          <t>G|FICO x ASSET_CLASS|where 2022|outcome_booked|rate|4</t>
        </is>
      </c>
      <c r="B1676" t="n">
        <v>0.06871289989846167</v>
      </c>
      <c r="C1676" t="n">
        <v>0.05019841458769991</v>
      </c>
      <c r="D1676" t="n">
        <v>0.04858842534106273</v>
      </c>
      <c r="E1676" t="n">
        <v>0.06615836739016967</v>
      </c>
      <c r="F1676" t="n">
        <v>0.05902171829354035</v>
      </c>
    </row>
    <row r="1677">
      <c r="A1677" t="inlineStr">
        <is>
          <t>G|FICO x ASSET_CLASS|where 2022|outcome_booked|book|4</t>
        </is>
      </c>
      <c r="F1677" t="n">
        <v>0.7887559897499798</v>
      </c>
    </row>
    <row r="1678">
      <c r="A1678" t="inlineStr">
        <is>
          <t>G|FICO x ASSET_CLASS|where 2022|outcome_booked|band|4</t>
        </is>
      </c>
    </row>
    <row r="1679">
      <c r="A1679" t="inlineStr">
        <is>
          <t>G|FICO x ASSET_CLASS|where 2022|outcome_booked|rate|5</t>
        </is>
      </c>
      <c r="B1679" t="n">
        <v>0.02779196351993989</v>
      </c>
      <c r="C1679" t="n">
        <v>0.01576697597887762</v>
      </c>
      <c r="D1679" t="n">
        <v>0.01571922167276059</v>
      </c>
      <c r="E1679" t="n">
        <v>0.1067000916790081</v>
      </c>
      <c r="F1679" t="n">
        <v>0.03643738718754352</v>
      </c>
    </row>
    <row r="1680">
      <c r="A1680" t="inlineStr">
        <is>
          <t>G|FICO x ASSET_CLASS|where 2022|outcome_booked|book|5</t>
        </is>
      </c>
      <c r="F1680" t="n">
        <v>0.4869429123035141</v>
      </c>
    </row>
    <row r="1681">
      <c r="A1681" t="inlineStr">
        <is>
          <t>G|FICO x ASSET_CLASS|where 2022|outcome_booked|band|5</t>
        </is>
      </c>
    </row>
    <row r="1682">
      <c r="A1682" t="inlineStr">
        <is>
          <t>G|FICO x ASSET_CLASS|where 2022|outcome_booked|rate|6</t>
        </is>
      </c>
    </row>
    <row r="1683">
      <c r="A1683" t="inlineStr">
        <is>
          <t>G|FICO x ASSET_CLASS|where 2022|outcome_booked|book|6</t>
        </is>
      </c>
    </row>
    <row r="1684">
      <c r="A1684" t="inlineStr">
        <is>
          <t>G|FICO x ASSET_CLASS|where 2022|outcome_booked|band|6</t>
        </is>
      </c>
    </row>
    <row r="1685">
      <c r="A1685" t="inlineStr">
        <is>
          <t>G|FICO x ASSET_CLASS|where 2022|outcome_booked|rate|7</t>
        </is>
      </c>
      <c r="B1685" t="n">
        <v>0</v>
      </c>
      <c r="C1685" t="n">
        <v>0.1560506234091353</v>
      </c>
      <c r="D1685" t="n">
        <v>0</v>
      </c>
      <c r="E1685" t="n">
        <v>0.358407251052398</v>
      </c>
      <c r="F1685" t="n">
        <v>0.06806956425629149</v>
      </c>
    </row>
    <row r="1686">
      <c r="A1686" t="inlineStr">
        <is>
          <t>G|FICO x ASSET_CLASS|where 2022|outcome_booked|book|7</t>
        </is>
      </c>
    </row>
    <row r="1687">
      <c r="A1687" t="inlineStr">
        <is>
          <t>G|FICO x ASSET_CLASS|where 2022|outcome_booked|band|7</t>
        </is>
      </c>
    </row>
    <row r="1688">
      <c r="A1688" t="inlineStr">
        <is>
          <t>G|FICO x ASSET_CLASS|where 2022|outcome_booked|rate|8</t>
        </is>
      </c>
      <c r="B1688" t="n">
        <v>0.06652569829222703</v>
      </c>
      <c r="C1688" t="n">
        <v>0.06553650929229629</v>
      </c>
      <c r="D1688" t="n">
        <v>0.06640202678273106</v>
      </c>
      <c r="E1688" t="n">
        <v>0.1273951846799523</v>
      </c>
      <c r="F1688" t="n">
        <v>0.08074685661595556</v>
      </c>
    </row>
    <row r="1689">
      <c r="A1689" t="inlineStr">
        <is>
          <t>G|FICO x ASSET_CLASS|where 2022|outcome_booked|book|8</t>
        </is>
      </c>
      <c r="B1689" t="n">
        <v>0.8890378748264426</v>
      </c>
      <c r="C1689" t="n">
        <v>0.8758185248778397</v>
      </c>
      <c r="D1689" t="n">
        <v>0.887385150258323</v>
      </c>
      <c r="E1689" t="n">
        <v>1.702487116384321</v>
      </c>
      <c r="F1689" t="n">
        <v>1.079086964099591</v>
      </c>
    </row>
    <row r="1690">
      <c r="A1690" t="inlineStr">
        <is>
          <t>G|FICO x ASSET_CLASS|where 2022|outcome_booked|band|8</t>
        </is>
      </c>
    </row>
    <row r="1691">
      <c r="A1691" t="inlineStr">
        <is>
          <t>G|FICO x ASSET_CLASS|where 2022|outcome_booked|meta</t>
        </is>
      </c>
      <c r="B1691" t="inlineStr">
        <is>
          <t>x</t>
        </is>
      </c>
      <c r="C1691" t="n">
        <v>3.881854612170522</v>
      </c>
      <c r="D1691" t="n">
        <v>10</v>
      </c>
      <c r="E1691" t="n">
        <v>0.07482886857347235</v>
      </c>
      <c r="F1691" t="n">
        <v>30</v>
      </c>
    </row>
    <row r="1692">
      <c r="A1692" t="inlineStr">
        <is>
          <t>G|FICO x ASSET_CLASS|where 2022|gco_rate|rate|1</t>
        </is>
      </c>
      <c r="B1692" t="n">
        <v>0.07836030790219724</v>
      </c>
      <c r="C1692" t="n">
        <v>0.09844628443826869</v>
      </c>
      <c r="D1692" t="n">
        <v>0.07501741425123036</v>
      </c>
      <c r="E1692" t="n">
        <v>0.1686890510750562</v>
      </c>
      <c r="F1692" t="n">
        <v>0.1041652833434117</v>
      </c>
    </row>
    <row r="1693">
      <c r="A1693" t="inlineStr">
        <is>
          <t>G|FICO x ASSET_CLASS|where 2022|gco_rate|book|1</t>
        </is>
      </c>
      <c r="B1693" t="n">
        <v>1.883422861851385</v>
      </c>
      <c r="C1693" t="n">
        <v>2.366197731213361</v>
      </c>
      <c r="D1693" t="n">
        <v>1.803075011064133</v>
      </c>
      <c r="E1693" t="n">
        <v>4.054512084553307</v>
      </c>
      <c r="F1693" t="n">
        <v>2.503656268235614</v>
      </c>
    </row>
    <row r="1694">
      <c r="A1694" t="inlineStr">
        <is>
          <t>G|FICO x ASSET_CLASS|where 2022|gco_rate|band|1</t>
        </is>
      </c>
      <c r="B1694" t="n">
        <v>0.6792543671330282</v>
      </c>
      <c r="C1694" t="n">
        <v>0.9300140247641608</v>
      </c>
      <c r="D1694" t="n">
        <v>0.6657713948121684</v>
      </c>
      <c r="E1694" t="n">
        <v>2.022287764640903</v>
      </c>
    </row>
    <row r="1695">
      <c r="A1695" t="inlineStr">
        <is>
          <t>G|FICO x ASSET_CLASS|where 2022|gco_rate|rate|2</t>
        </is>
      </c>
      <c r="B1695" t="n">
        <v>0.03538847233230702</v>
      </c>
      <c r="C1695" t="n">
        <v>0.02954026089842824</v>
      </c>
      <c r="D1695" t="n">
        <v>0.0508670818674864</v>
      </c>
      <c r="E1695" t="n">
        <v>0.0759563349459231</v>
      </c>
      <c r="F1695" t="n">
        <v>0.0475872548123956</v>
      </c>
    </row>
    <row r="1696">
      <c r="A1696" t="inlineStr">
        <is>
          <t>G|FICO x ASSET_CLASS|where 2022|gco_rate|book|2</t>
        </is>
      </c>
      <c r="E1696" t="n">
        <v>1.825642363709772</v>
      </c>
      <c r="F1696" t="n">
        <v>1.143779625754892</v>
      </c>
    </row>
    <row r="1697">
      <c r="A1697" t="inlineStr">
        <is>
          <t>G|FICO x ASSET_CLASS|where 2022|gco_rate|band|2</t>
        </is>
      </c>
      <c r="E1697" t="n">
        <v>1.936888671588068</v>
      </c>
    </row>
    <row r="1698">
      <c r="A1698" t="inlineStr">
        <is>
          <t>G|FICO x ASSET_CLASS|where 2022|gco_rate|rate|3</t>
        </is>
      </c>
      <c r="B1698" t="n">
        <v>0.007868908536601205</v>
      </c>
      <c r="C1698" t="n">
        <v>0.006912999606949403</v>
      </c>
      <c r="D1698" t="n">
        <v>0.04256878090043981</v>
      </c>
      <c r="E1698" t="n">
        <v>0.02066054449920362</v>
      </c>
      <c r="F1698" t="n">
        <v>0.01947862021501454</v>
      </c>
    </row>
    <row r="1699">
      <c r="A1699" t="inlineStr">
        <is>
          <t>G|FICO x ASSET_CLASS|where 2022|gco_rate|book|3</t>
        </is>
      </c>
      <c r="F1699" t="n">
        <v>0.4681768054825399</v>
      </c>
    </row>
    <row r="1700">
      <c r="A1700" t="inlineStr">
        <is>
          <t>G|FICO x ASSET_CLASS|where 2022|gco_rate|band|3</t>
        </is>
      </c>
    </row>
    <row r="1701">
      <c r="A1701" t="inlineStr">
        <is>
          <t>G|FICO x ASSET_CLASS|where 2022|gco_rate|rate|4</t>
        </is>
      </c>
      <c r="B1701" t="n">
        <v>0.04451345286557343</v>
      </c>
      <c r="C1701" t="n">
        <v>0.02246438514369105</v>
      </c>
      <c r="D1701" t="n">
        <v>0.02345898440890027</v>
      </c>
      <c r="E1701" t="n">
        <v>0.03936746324583943</v>
      </c>
      <c r="F1701" t="n">
        <v>0.03308446823464994</v>
      </c>
    </row>
    <row r="1702">
      <c r="A1702" t="inlineStr">
        <is>
          <t>G|FICO x ASSET_CLASS|where 2022|gco_rate|book|4</t>
        </is>
      </c>
      <c r="F1702" t="n">
        <v>0.7951990684251559</v>
      </c>
    </row>
    <row r="1703">
      <c r="A1703" t="inlineStr">
        <is>
          <t>G|FICO x ASSET_CLASS|where 2022|gco_rate|band|4</t>
        </is>
      </c>
    </row>
    <row r="1704">
      <c r="A1704" t="inlineStr">
        <is>
          <t>G|FICO x ASSET_CLASS|where 2022|gco_rate|rate|5</t>
        </is>
      </c>
      <c r="B1704" t="n">
        <v>0.01742784759034727</v>
      </c>
      <c r="C1704" t="n">
        <v>0.009543147612163346</v>
      </c>
      <c r="D1704" t="n">
        <v>0.006956484689667804</v>
      </c>
      <c r="E1704" t="n">
        <v>0.05889158925239936</v>
      </c>
      <c r="F1704" t="n">
        <v>0.02040173770240599</v>
      </c>
    </row>
    <row r="1705">
      <c r="A1705" t="inlineStr">
        <is>
          <t>G|FICO x ASSET_CLASS|where 2022|gco_rate|book|5</t>
        </is>
      </c>
      <c r="F1705" t="n">
        <v>0.4903643214134096</v>
      </c>
    </row>
    <row r="1706">
      <c r="A1706" t="inlineStr">
        <is>
          <t>G|FICO x ASSET_CLASS|where 2022|gco_rate|band|5</t>
        </is>
      </c>
    </row>
    <row r="1707">
      <c r="A1707" t="inlineStr">
        <is>
          <t>G|FICO x ASSET_CLASS|where 2022|gco_rate|rate|6</t>
        </is>
      </c>
    </row>
    <row r="1708">
      <c r="A1708" t="inlineStr">
        <is>
          <t>G|FICO x ASSET_CLASS|where 2022|gco_rate|book|6</t>
        </is>
      </c>
    </row>
    <row r="1709">
      <c r="A1709" t="inlineStr">
        <is>
          <t>G|FICO x ASSET_CLASS|where 2022|gco_rate|band|6</t>
        </is>
      </c>
    </row>
    <row r="1710">
      <c r="A1710" t="inlineStr">
        <is>
          <t>G|FICO x ASSET_CLASS|where 2022|gco_rate|rate|7</t>
        </is>
      </c>
      <c r="B1710" t="n">
        <v>0</v>
      </c>
      <c r="C1710" t="n">
        <v>0.09291665786008282</v>
      </c>
      <c r="D1710" t="n">
        <v>0</v>
      </c>
      <c r="E1710" t="n">
        <v>0.1559878149698372</v>
      </c>
      <c r="F1710" t="n">
        <v>0.03331542942027227</v>
      </c>
    </row>
    <row r="1711">
      <c r="A1711" t="inlineStr">
        <is>
          <t>G|FICO x ASSET_CLASS|where 2022|gco_rate|book|7</t>
        </is>
      </c>
    </row>
    <row r="1712">
      <c r="A1712" t="inlineStr">
        <is>
          <t>G|FICO x ASSET_CLASS|where 2022|gco_rate|band|7</t>
        </is>
      </c>
    </row>
    <row r="1713">
      <c r="A1713" t="inlineStr">
        <is>
          <t>G|FICO x ASSET_CLASS|where 2022|gco_rate|rate|8</t>
        </is>
      </c>
      <c r="B1713" t="n">
        <v>0.03720108685761762</v>
      </c>
      <c r="C1713" t="n">
        <v>0.03430149136726576</v>
      </c>
      <c r="D1713" t="n">
        <v>0.03835673216618486</v>
      </c>
      <c r="E1713" t="n">
        <v>0.07328637913838063</v>
      </c>
      <c r="F1713" t="n">
        <v>0.04540234576679109</v>
      </c>
    </row>
    <row r="1714">
      <c r="A1714" t="inlineStr">
        <is>
          <t>G|FICO x ASSET_CLASS|where 2022|gco_rate|book|8</t>
        </is>
      </c>
      <c r="B1714" t="n">
        <v>0.8941437233861541</v>
      </c>
      <c r="C1714" t="n">
        <v>0.8244507297921777</v>
      </c>
      <c r="D1714" t="n">
        <v>0.9219201430125733</v>
      </c>
      <c r="E1714" t="n">
        <v>1.761468856194529</v>
      </c>
      <c r="F1714" t="n">
        <v>1.091264420573544</v>
      </c>
    </row>
    <row r="1715">
      <c r="A1715" t="inlineStr">
        <is>
          <t>G|FICO x ASSET_CLASS|where 2022|gco_rate|band|8</t>
        </is>
      </c>
    </row>
    <row r="1716">
      <c r="A1716" t="inlineStr">
        <is>
          <t>G|FICO x ASSET_CLASS|where 2022|gco_rate|meta</t>
        </is>
      </c>
      <c r="B1716" t="inlineStr">
        <is>
          <t>x</t>
        </is>
      </c>
      <c r="C1716" t="n">
        <v>4.054512084553307</v>
      </c>
      <c r="D1716" t="n">
        <v>10</v>
      </c>
      <c r="E1716" t="n">
        <v>0.04160526533333565</v>
      </c>
      <c r="F1716" t="n">
        <v>30</v>
      </c>
    </row>
    <row r="1717">
      <c r="A1717" t="inlineStr">
        <is>
          <t>G|FICO x ASSET_CLASS|where 2022|ranr_rate|rate|1</t>
        </is>
      </c>
      <c r="B1717" t="n">
        <v>0.328354390186807</v>
      </c>
      <c r="C1717" t="n">
        <v>0.3111470523201242</v>
      </c>
      <c r="D1717" t="n">
        <v>0.3295153308874484</v>
      </c>
      <c r="E1717" t="n">
        <v>0.2543357638079732</v>
      </c>
      <c r="F1717" t="n">
        <v>0.3066815100959974</v>
      </c>
    </row>
    <row r="1718">
      <c r="A1718" t="inlineStr">
        <is>
          <t>G|FICO x ASSET_CLASS|where 2022|ranr_rate|book|1</t>
        </is>
      </c>
      <c r="B1718" t="n">
        <v>20.036434054</v>
      </c>
      <c r="C1718" t="n">
        <v>18.315700267</v>
      </c>
      <c r="D1718" t="n">
        <v>20.152528124</v>
      </c>
      <c r="E1718" t="n">
        <v>12.634571416</v>
      </c>
      <c r="F1718" t="n">
        <v>17.869146045</v>
      </c>
    </row>
    <row r="1719">
      <c r="A1719" t="inlineStr">
        <is>
          <t>G|FICO x ASSET_CLASS|where 2022|ranr_rate|band|1</t>
        </is>
      </c>
      <c r="B1719" t="n">
        <v>3.107689529</v>
      </c>
      <c r="C1719" t="n">
        <v>0.5784622699999999</v>
      </c>
      <c r="D1719" t="n">
        <v>2.950206078</v>
      </c>
      <c r="E1719" t="n">
        <v>-6.917971692</v>
      </c>
    </row>
    <row r="1720">
      <c r="A1720" t="inlineStr">
        <is>
          <t>G|FICO x ASSET_CLASS|where 2022|ranr_rate|rate|2</t>
        </is>
      </c>
      <c r="B1720" t="n">
        <v>0.2758301169012208</v>
      </c>
      <c r="C1720" t="n">
        <v>0.2782684208867903</v>
      </c>
      <c r="D1720" t="n">
        <v>0.2599886654443718</v>
      </c>
      <c r="E1720" t="n">
        <v>0.2238959929243047</v>
      </c>
      <c r="F1720" t="n">
        <v>0.2601485796771141</v>
      </c>
    </row>
    <row r="1721">
      <c r="A1721" t="inlineStr">
        <is>
          <t>G|FICO x ASSET_CLASS|where 2022|ranr_rate|book|2</t>
        </is>
      </c>
      <c r="B1721" t="n">
        <v>14.784006725</v>
      </c>
      <c r="C1721" t="n">
        <v>15.027837124</v>
      </c>
      <c r="D1721" t="n">
        <v>13.19986158</v>
      </c>
      <c r="E1721" t="n">
        <v>9.590594328</v>
      </c>
      <c r="F1721" t="n">
        <v>13.215853003</v>
      </c>
    </row>
    <row r="1722">
      <c r="A1722" t="inlineStr">
        <is>
          <t>G|FICO x ASSET_CLASS|where 2022|ranr_rate|band|2</t>
        </is>
      </c>
      <c r="B1722" t="n">
        <v>2.122853783</v>
      </c>
      <c r="C1722" t="n">
        <v>2.359960844</v>
      </c>
      <c r="D1722" t="n">
        <v>-0.022168643</v>
      </c>
      <c r="E1722" t="n">
        <v>-4.695059236</v>
      </c>
    </row>
    <row r="1723">
      <c r="A1723" t="inlineStr">
        <is>
          <t>G|FICO x ASSET_CLASS|where 2022|ranr_rate|rate|3</t>
        </is>
      </c>
      <c r="B1723" t="n">
        <v>0.264677110837244</v>
      </c>
      <c r="C1723" t="n">
        <v>0.2531081909646085</v>
      </c>
      <c r="D1723" t="n">
        <v>0.2017809883800831</v>
      </c>
      <c r="E1723" t="n">
        <v>0.2428485826667793</v>
      </c>
      <c r="F1723" t="n">
        <v>0.2409894030299952</v>
      </c>
    </row>
    <row r="1724">
      <c r="A1724" t="inlineStr">
        <is>
          <t>G|FICO x ASSET_CLASS|where 2022|ranr_rate|book|3</t>
        </is>
      </c>
      <c r="B1724" t="n">
        <v>13.668706119</v>
      </c>
      <c r="C1724" t="n">
        <v>12.511814132</v>
      </c>
      <c r="D1724" t="n">
        <v>7.379093873</v>
      </c>
      <c r="E1724" t="n">
        <v>11.485853302</v>
      </c>
      <c r="F1724" t="n">
        <v>11.299935338</v>
      </c>
    </row>
    <row r="1725">
      <c r="A1725" t="inlineStr">
        <is>
          <t>G|FICO x ASSET_CLASS|where 2022|ranr_rate|band|3</t>
        </is>
      </c>
      <c r="B1725" t="n">
        <v>3.215203332</v>
      </c>
      <c r="C1725" t="n">
        <v>1.566179121</v>
      </c>
      <c r="D1725" t="n">
        <v>-5.170672539</v>
      </c>
      <c r="E1725" t="n">
        <v>0.254266142</v>
      </c>
    </row>
    <row r="1726">
      <c r="A1726" t="inlineStr">
        <is>
          <t>G|FICO x ASSET_CLASS|where 2022|ranr_rate|rate|4</t>
        </is>
      </c>
      <c r="B1726" t="n">
        <v>0.1431488323662679</v>
      </c>
      <c r="C1726" t="n">
        <v>0.1683547069696498</v>
      </c>
      <c r="D1726" t="n">
        <v>0.1589435247523208</v>
      </c>
      <c r="E1726" t="n">
        <v>0.1535807764587818</v>
      </c>
      <c r="F1726" t="n">
        <v>0.1555123649204904</v>
      </c>
    </row>
    <row r="1727">
      <c r="A1727" t="inlineStr">
        <is>
          <t>G|FICO x ASSET_CLASS|where 2022|ranr_rate|book|4</t>
        </is>
      </c>
      <c r="B1727" t="n">
        <v>1.515878272</v>
      </c>
      <c r="C1727" t="n">
        <v>4.036465732</v>
      </c>
      <c r="D1727" t="n">
        <v>3.09534751</v>
      </c>
      <c r="E1727" t="n">
        <v>2.559072681</v>
      </c>
      <c r="F1727" t="n">
        <v>2.752231527</v>
      </c>
    </row>
    <row r="1728">
      <c r="A1728" t="inlineStr">
        <is>
          <t>G|FICO x ASSET_CLASS|where 2022|ranr_rate|band|4</t>
        </is>
      </c>
      <c r="B1728" t="n">
        <v>-1.684153288</v>
      </c>
      <c r="C1728" t="n">
        <v>1.677110201</v>
      </c>
      <c r="D1728" t="n">
        <v>0.446795601</v>
      </c>
      <c r="E1728" t="n">
        <v>-0.263806278</v>
      </c>
    </row>
    <row r="1729">
      <c r="A1729" t="inlineStr">
        <is>
          <t>G|FICO x ASSET_CLASS|where 2022|ranr_rate|rate|5</t>
        </is>
      </c>
      <c r="B1729" t="n">
        <v>0.07763619579662938</v>
      </c>
      <c r="C1729" t="n">
        <v>0.08350139844973378</v>
      </c>
      <c r="D1729" t="n">
        <v>0.08938658741323112</v>
      </c>
      <c r="E1729" t="n">
        <v>0.03726047224305838</v>
      </c>
      <c r="F1729" t="n">
        <v>0.07470330395231516</v>
      </c>
    </row>
    <row r="1730">
      <c r="A1730" t="inlineStr">
        <is>
          <t>G|FICO x ASSET_CLASS|where 2022|ranr_rate|book|5</t>
        </is>
      </c>
      <c r="B1730" t="n">
        <v>-5.035385385</v>
      </c>
      <c r="C1730" t="n">
        <v>-4.44886512</v>
      </c>
      <c r="D1730" t="n">
        <v>-3.860346223</v>
      </c>
      <c r="E1730" t="n">
        <v>-9.072957741</v>
      </c>
      <c r="F1730" t="n">
        <v>-5.32867457</v>
      </c>
    </row>
    <row r="1731">
      <c r="A1731" t="inlineStr">
        <is>
          <t>G|FICO x ASSET_CLASS|where 2022|ranr_rate|band|5</t>
        </is>
      </c>
      <c r="B1731" t="n">
        <v>0.399206731</v>
      </c>
      <c r="C1731" t="n">
        <v>1.191037599</v>
      </c>
      <c r="D1731" t="n">
        <v>2.042168292</v>
      </c>
      <c r="E1731" t="n">
        <v>-4.636171927</v>
      </c>
    </row>
    <row r="1732">
      <c r="A1732" t="inlineStr">
        <is>
          <t>G|FICO x ASSET_CLASS|where 2022|ranr_rate|rate|6</t>
        </is>
      </c>
    </row>
    <row r="1733">
      <c r="A1733" t="inlineStr">
        <is>
          <t>G|FICO x ASSET_CLASS|where 2022|ranr_rate|book|6</t>
        </is>
      </c>
    </row>
    <row r="1734">
      <c r="A1734" t="inlineStr">
        <is>
          <t>G|FICO x ASSET_CLASS|where 2022|ranr_rate|band|6</t>
        </is>
      </c>
    </row>
    <row r="1735">
      <c r="A1735" t="inlineStr">
        <is>
          <t>G|FICO x ASSET_CLASS|where 2022|ranr_rate|rate|7</t>
        </is>
      </c>
      <c r="B1735" t="n">
        <v>0.2253685643132974</v>
      </c>
      <c r="C1735" t="n">
        <v>0.1247761723758346</v>
      </c>
      <c r="D1735" t="n">
        <v>0.2872378952735087</v>
      </c>
      <c r="E1735" t="n">
        <v>0.1547228985020568</v>
      </c>
      <c r="F1735" t="n">
        <v>0.2222111940219612</v>
      </c>
    </row>
    <row r="1736">
      <c r="A1736" t="inlineStr">
        <is>
          <t>G|FICO x ASSET_CLASS|where 2022|ranr_rate|book|7</t>
        </is>
      </c>
      <c r="B1736" t="n">
        <v>9.737851467</v>
      </c>
      <c r="C1736" t="n">
        <v>-0.321387727</v>
      </c>
      <c r="D1736" t="n">
        <v>15.924784563</v>
      </c>
      <c r="E1736" t="n">
        <v>2.673284885</v>
      </c>
      <c r="F1736" t="n">
        <v>9.422114436999999</v>
      </c>
    </row>
    <row r="1737">
      <c r="A1737" t="inlineStr">
        <is>
          <t>G|FICO x ASSET_CLASS|where 2022|ranr_rate|band|7</t>
        </is>
      </c>
      <c r="B1737" t="n">
        <v>0.521291927</v>
      </c>
      <c r="C1737" t="n">
        <v>-11.430626507</v>
      </c>
      <c r="D1737" t="n">
        <v>9.740751892</v>
      </c>
      <c r="E1737" t="n">
        <v>-7.718758649</v>
      </c>
    </row>
    <row r="1738">
      <c r="A1738" t="inlineStr">
        <is>
          <t>G|FICO x ASSET_CLASS|where 2022|ranr_rate|rate|8</t>
        </is>
      </c>
      <c r="B1738" t="n">
        <v>0.2238223104853717</v>
      </c>
      <c r="C1738" t="n">
        <v>0.2167613851230884</v>
      </c>
      <c r="D1738" t="n">
        <v>0.210195342144108</v>
      </c>
      <c r="E1738" t="n">
        <v>0.1906040324301052</v>
      </c>
      <c r="F1738" t="n">
        <v>0.2108129091146171</v>
      </c>
    </row>
    <row r="1739">
      <c r="A1739" t="inlineStr">
        <is>
          <t>G|FICO x ASSET_CLASS|where 2022|ranr_rate|book|8</t>
        </is>
      </c>
      <c r="B1739" t="n">
        <v>9.583226084</v>
      </c>
      <c r="C1739" t="n">
        <v>8.877133547</v>
      </c>
      <c r="D1739" t="n">
        <v>8.22052925</v>
      </c>
      <c r="E1739" t="n">
        <v>6.261398278</v>
      </c>
      <c r="F1739" t="n">
        <v>8.282285947</v>
      </c>
    </row>
    <row r="1740">
      <c r="A1740" t="inlineStr">
        <is>
          <t>G|FICO x ASSET_CLASS|where 2022|ranr_rate|band|8</t>
        </is>
      </c>
    </row>
    <row r="1741">
      <c r="A1741" t="inlineStr">
        <is>
          <t>G|FICO x ASSET_CLASS|where 2022|ranr_rate|meta</t>
        </is>
      </c>
      <c r="B1741" t="inlineStr">
        <is>
          <t>pts</t>
        </is>
      </c>
      <c r="C1741" t="n">
        <v>20.152528124</v>
      </c>
      <c r="D1741" t="n">
        <v>10</v>
      </c>
      <c r="E1741" t="n">
        <v>0.1279900496481481</v>
      </c>
      <c r="F1741" t="n">
        <v>30</v>
      </c>
    </row>
    <row r="1742">
      <c r="A1742" t="inlineStr">
        <is>
          <t>G|FICO x ASSET_CLASS|where 2022|contribution_rate|rate|1</t>
        </is>
      </c>
      <c r="B1742" t="n">
        <v>0.4067146980890042</v>
      </c>
      <c r="C1742" t="n">
        <v>0.4095933367583928</v>
      </c>
      <c r="D1742" t="n">
        <v>0.4045327451386789</v>
      </c>
      <c r="E1742" t="n">
        <v>0.4230248148830297</v>
      </c>
      <c r="F1742" t="n">
        <v>0.4108467934394093</v>
      </c>
    </row>
    <row r="1743">
      <c r="A1743" t="inlineStr">
        <is>
          <t>G|FICO x ASSET_CLASS|where 2022|contribution_rate|book|1</t>
        </is>
      </c>
      <c r="B1743" t="n">
        <v>23.712224235</v>
      </c>
      <c r="C1743" t="n">
        <v>24.000088102</v>
      </c>
      <c r="D1743" t="n">
        <v>23.49402894</v>
      </c>
      <c r="E1743" t="n">
        <v>25.343235915</v>
      </c>
      <c r="F1743" t="n">
        <v>24.12543377</v>
      </c>
    </row>
    <row r="1744">
      <c r="A1744" t="inlineStr">
        <is>
          <t>G|FICO x ASSET_CLASS|where 2022|contribution_rate|band|1</t>
        </is>
      </c>
      <c r="B1744" t="n">
        <v>-0.59250406</v>
      </c>
      <c r="C1744" t="n">
        <v>-0.162371636</v>
      </c>
      <c r="D1744" t="n">
        <v>-0.815796175</v>
      </c>
      <c r="E1744" t="n">
        <v>1.609437511</v>
      </c>
    </row>
    <row r="1745">
      <c r="A1745" t="inlineStr">
        <is>
          <t>G|FICO x ASSET_CLASS|where 2022|contribution_rate|rate|2</t>
        </is>
      </c>
      <c r="B1745" t="n">
        <v>0.3112185892335279</v>
      </c>
      <c r="C1745" t="n">
        <v>0.3078086817852185</v>
      </c>
      <c r="D1745" t="n">
        <v>0.3108557473118582</v>
      </c>
      <c r="E1745" t="n">
        <v>0.2998523278702278</v>
      </c>
      <c r="F1745" t="n">
        <v>0.3077358344895097</v>
      </c>
    </row>
    <row r="1746">
      <c r="A1746" t="inlineStr">
        <is>
          <t>G|FICO x ASSET_CLASS|where 2022|contribution_rate|book|2</t>
        </is>
      </c>
      <c r="B1746" t="n">
        <v>14.16261335</v>
      </c>
      <c r="C1746" t="n">
        <v>13.821622605</v>
      </c>
      <c r="D1746" t="n">
        <v>14.126329158</v>
      </c>
      <c r="E1746" t="n">
        <v>13.025987214</v>
      </c>
      <c r="F1746" t="n">
        <v>13.814337875</v>
      </c>
    </row>
    <row r="1747">
      <c r="A1747" t="inlineStr">
        <is>
          <t>G|FICO x ASSET_CLASS|where 2022|contribution_rate|band|2</t>
        </is>
      </c>
      <c r="B1747" t="n">
        <v>0.471470302</v>
      </c>
      <c r="C1747" t="n">
        <v>0.009487763</v>
      </c>
      <c r="D1747" t="n">
        <v>0.432508302</v>
      </c>
      <c r="E1747" t="n">
        <v>-1.020990056</v>
      </c>
    </row>
    <row r="1748">
      <c r="A1748" t="inlineStr">
        <is>
          <t>G|FICO x ASSET_CLASS|where 2022|contribution_rate|rate|3</t>
        </is>
      </c>
      <c r="B1748" t="n">
        <v>0.2725460193738453</v>
      </c>
      <c r="C1748" t="n">
        <v>0.2600211905715579</v>
      </c>
      <c r="D1748" t="n">
        <v>0.2443497692805229</v>
      </c>
      <c r="E1748" t="n">
        <v>0.2635091271659828</v>
      </c>
      <c r="F1748" t="n">
        <v>0.2604680232450097</v>
      </c>
    </row>
    <row r="1749">
      <c r="A1749" t="inlineStr">
        <is>
          <t>G|FICO x ASSET_CLASS|where 2022|contribution_rate|book|3</t>
        </is>
      </c>
      <c r="B1749" t="n">
        <v>10.295356364</v>
      </c>
      <c r="C1749" t="n">
        <v>9.042873483999999</v>
      </c>
      <c r="D1749" t="n">
        <v>7.475731355</v>
      </c>
      <c r="E1749" t="n">
        <v>9.391667142999999</v>
      </c>
      <c r="F1749" t="n">
        <v>9.087556750999999</v>
      </c>
    </row>
    <row r="1750">
      <c r="A1750" t="inlineStr">
        <is>
          <t>G|FICO x ASSET_CLASS|where 2022|contribution_rate|band|3</t>
        </is>
      </c>
      <c r="B1750" t="n">
        <v>1.63938249</v>
      </c>
      <c r="C1750" t="n">
        <v>-0.057746699</v>
      </c>
      <c r="D1750" t="n">
        <v>-2.125620582</v>
      </c>
      <c r="E1750" t="n">
        <v>0.415909117</v>
      </c>
    </row>
    <row r="1751">
      <c r="A1751" t="inlineStr">
        <is>
          <t>G|FICO x ASSET_CLASS|where 2022|contribution_rate|rate|4</t>
        </is>
      </c>
      <c r="B1751" t="n">
        <v>0.1876622852318413</v>
      </c>
      <c r="C1751" t="n">
        <v>0.1908190921133408</v>
      </c>
      <c r="D1751" t="n">
        <v>0.1824025091612211</v>
      </c>
      <c r="E1751" t="n">
        <v>0.1929482397046212</v>
      </c>
      <c r="F1751" t="n">
        <v>0.1885968331551403</v>
      </c>
    </row>
    <row r="1752">
      <c r="A1752" t="inlineStr">
        <is>
          <t>G|FICO x ASSET_CLASS|where 2022|contribution_rate|book|4</t>
        </is>
      </c>
      <c r="B1752" t="n">
        <v>1.80698295</v>
      </c>
      <c r="C1752" t="n">
        <v>2.122663638</v>
      </c>
      <c r="D1752" t="n">
        <v>1.281005343</v>
      </c>
      <c r="E1752" t="n">
        <v>2.335578397</v>
      </c>
      <c r="F1752" t="n">
        <v>1.900437742</v>
      </c>
    </row>
    <row r="1753">
      <c r="A1753" t="inlineStr">
        <is>
          <t>G|FICO x ASSET_CLASS|where 2022|contribution_rate|band|4</t>
        </is>
      </c>
      <c r="B1753" t="n">
        <v>-0.12730358</v>
      </c>
      <c r="C1753" t="n">
        <v>0.290209773</v>
      </c>
      <c r="D1753" t="n">
        <v>-0.806606759</v>
      </c>
      <c r="E1753" t="n">
        <v>0.594292413</v>
      </c>
    </row>
    <row r="1754">
      <c r="A1754" t="inlineStr">
        <is>
          <t>G|FICO x ASSET_CLASS|where 2022|contribution_rate|rate|5</t>
        </is>
      </c>
      <c r="B1754" t="n">
        <v>0.0950640433869767</v>
      </c>
      <c r="C1754" t="n">
        <v>0.09304454606189713</v>
      </c>
      <c r="D1754" t="n">
        <v>0.09634307210289889</v>
      </c>
      <c r="E1754" t="n">
        <v>0.09615206149545769</v>
      </c>
      <c r="F1754" t="n">
        <v>0.09510504165472114</v>
      </c>
    </row>
    <row r="1755">
      <c r="A1755" t="inlineStr">
        <is>
          <t>G|FICO x ASSET_CLASS|where 2022|contribution_rate|book|5</t>
        </is>
      </c>
      <c r="B1755" t="n">
        <v>-7.452841235</v>
      </c>
      <c r="C1755" t="n">
        <v>-7.654790967</v>
      </c>
      <c r="D1755" t="n">
        <v>-7.324938363</v>
      </c>
      <c r="E1755" t="n">
        <v>-7.344039424</v>
      </c>
      <c r="F1755" t="n">
        <v>-7.448741408</v>
      </c>
    </row>
    <row r="1756">
      <c r="A1756" t="inlineStr">
        <is>
          <t>G|FICO x ASSET_CLASS|where 2022|contribution_rate|band|5</t>
        </is>
      </c>
      <c r="B1756" t="n">
        <v>-0.005580425</v>
      </c>
      <c r="C1756" t="n">
        <v>-0.27893855</v>
      </c>
      <c r="D1756" t="n">
        <v>0.172186727</v>
      </c>
      <c r="E1756" t="n">
        <v>0.129642011</v>
      </c>
    </row>
    <row r="1757">
      <c r="A1757" t="inlineStr">
        <is>
          <t>G|FICO x ASSET_CLASS|where 2022|contribution_rate|rate|6</t>
        </is>
      </c>
    </row>
    <row r="1758">
      <c r="A1758" t="inlineStr">
        <is>
          <t>G|FICO x ASSET_CLASS|where 2022|contribution_rate|book|6</t>
        </is>
      </c>
    </row>
    <row r="1759">
      <c r="A1759" t="inlineStr">
        <is>
          <t>G|FICO x ASSET_CLASS|where 2022|contribution_rate|band|6</t>
        </is>
      </c>
    </row>
    <row r="1760">
      <c r="A1760" t="inlineStr">
        <is>
          <t>G|FICO x ASSET_CLASS|where 2022|contribution_rate|rate|7</t>
        </is>
      </c>
      <c r="B1760" t="n">
        <v>0.2253685643132974</v>
      </c>
      <c r="C1760" t="n">
        <v>0.2176928302359174</v>
      </c>
      <c r="D1760" t="n">
        <v>0.2872378952735087</v>
      </c>
      <c r="E1760" t="n">
        <v>0.310710713471894</v>
      </c>
      <c r="F1760" t="n">
        <v>0.2555266234422335</v>
      </c>
    </row>
    <row r="1761">
      <c r="A1761" t="inlineStr">
        <is>
          <t>G|FICO x ASSET_CLASS|where 2022|contribution_rate|book|7</t>
        </is>
      </c>
      <c r="B1761" t="n">
        <v>5.577610858</v>
      </c>
      <c r="C1761" t="n">
        <v>4.81003745</v>
      </c>
      <c r="D1761" t="n">
        <v>11.764543954</v>
      </c>
      <c r="E1761" t="n">
        <v>14.111825774</v>
      </c>
      <c r="F1761" t="n">
        <v>8.593416770999999</v>
      </c>
    </row>
    <row r="1762">
      <c r="A1762" t="inlineStr">
        <is>
          <t>G|FICO x ASSET_CLASS|where 2022|contribution_rate|band|7</t>
        </is>
      </c>
      <c r="B1762" t="n">
        <v>-4.979191955</v>
      </c>
      <c r="C1762" t="n">
        <v>-4.438485795</v>
      </c>
      <c r="D1762" t="n">
        <v>4.750227601</v>
      </c>
      <c r="E1762" t="n">
        <v>6.311504371</v>
      </c>
    </row>
    <row r="1763">
      <c r="A1763" t="inlineStr">
        <is>
          <t>G|FICO x ASSET_CLASS|where 2022|contribution_rate|rate|8</t>
        </is>
      </c>
      <c r="B1763" t="n">
        <v>0.2610233973429893</v>
      </c>
      <c r="C1763" t="n">
        <v>0.2510628764903541</v>
      </c>
      <c r="D1763" t="n">
        <v>0.2485520743102928</v>
      </c>
      <c r="E1763" t="n">
        <v>0.2638904115684859</v>
      </c>
      <c r="F1763" t="n">
        <v>0.2562152548814081</v>
      </c>
    </row>
    <row r="1764">
      <c r="A1764" t="inlineStr">
        <is>
          <t>G|FICO x ASSET_CLASS|where 2022|contribution_rate|book|8</t>
        </is>
      </c>
      <c r="B1764" t="n">
        <v>9.143094161</v>
      </c>
      <c r="C1764" t="n">
        <v>8.147042076</v>
      </c>
      <c r="D1764" t="n">
        <v>7.895961858</v>
      </c>
      <c r="E1764" t="n">
        <v>9.429795583000001</v>
      </c>
      <c r="F1764" t="n">
        <v>8.662279914999999</v>
      </c>
    </row>
    <row r="1765">
      <c r="A1765" t="inlineStr">
        <is>
          <t>G|FICO x ASSET_CLASS|where 2022|contribution_rate|band|8</t>
        </is>
      </c>
    </row>
    <row r="1766">
      <c r="A1766" t="inlineStr">
        <is>
          <t>G|FICO x ASSET_CLASS|where 2022|contribution_rate|meta</t>
        </is>
      </c>
      <c r="B1766" t="inlineStr">
        <is>
          <t>pts</t>
        </is>
      </c>
      <c r="C1766" t="n">
        <v>25.343235915</v>
      </c>
      <c r="D1766" t="n">
        <v>10</v>
      </c>
      <c r="E1766" t="n">
        <v>0.1695924557349815</v>
      </c>
      <c r="F1766" t="n">
        <v>30</v>
      </c>
    </row>
    <row r="1767">
      <c r="A1767" t="inlineStr">
        <is>
          <t>G|FICO x ASSET_CLASS|where 2022|loan_size|rate|1</t>
        </is>
      </c>
      <c r="B1767" t="n">
        <v>31020.10990909091</v>
      </c>
      <c r="C1767" t="n">
        <v>34284.30186666667</v>
      </c>
      <c r="D1767" t="n">
        <v>32262.06012658228</v>
      </c>
      <c r="E1767" t="n">
        <v>30830.32460674157</v>
      </c>
      <c r="F1767" t="n">
        <v>31943.72909348442</v>
      </c>
    </row>
    <row r="1768">
      <c r="A1768" t="inlineStr">
        <is>
          <t>G|FICO x ASSET_CLASS|where 2022|loan_size|median|1</t>
        </is>
      </c>
      <c r="B1768" t="n">
        <v>30943.275</v>
      </c>
      <c r="C1768" t="n">
        <v>37169.56</v>
      </c>
      <c r="D1768" t="n">
        <v>29395.99</v>
      </c>
      <c r="E1768" t="n">
        <v>31503.57</v>
      </c>
      <c r="F1768" t="n">
        <v>31592.05</v>
      </c>
    </row>
    <row r="1769">
      <c r="A1769" t="inlineStr">
        <is>
          <t>G|FICO x ASSET_CLASS|where 2022|loan_size|book|1</t>
        </is>
      </c>
      <c r="B1769" t="n">
        <v>0.9614885623559476</v>
      </c>
      <c r="C1769" t="n">
        <v>1.062664323555413</v>
      </c>
      <c r="D1769" t="n">
        <v>0.9999836203242457</v>
      </c>
      <c r="E1769" t="n">
        <v>0.9556060429823244</v>
      </c>
      <c r="F1769" t="n">
        <v>0.9901167420874009</v>
      </c>
    </row>
    <row r="1770">
      <c r="A1770" t="inlineStr">
        <is>
          <t>G|FICO x ASSET_CLASS|where 2022|loan_size|band|1</t>
        </is>
      </c>
      <c r="B1770" t="n">
        <v>0.9585400926455883</v>
      </c>
      <c r="C1770" t="n">
        <v>1.094915550701087</v>
      </c>
      <c r="D1770" t="n">
        <v>1.012875589729612</v>
      </c>
      <c r="E1770" t="n">
        <v>0.9539356722382013</v>
      </c>
    </row>
    <row r="1771">
      <c r="A1771" t="inlineStr">
        <is>
          <t>G|FICO x ASSET_CLASS|where 2022|loan_size|rate|2</t>
        </is>
      </c>
      <c r="B1771" t="n">
        <v>32403.47150537635</v>
      </c>
      <c r="C1771" t="n">
        <v>34331.99717948717</v>
      </c>
      <c r="D1771" t="n">
        <v>34554.71731182795</v>
      </c>
      <c r="E1771" t="n">
        <v>32847.93825</v>
      </c>
      <c r="F1771" t="n">
        <v>33525.70465116279</v>
      </c>
    </row>
    <row r="1772">
      <c r="A1772" t="inlineStr">
        <is>
          <t>G|FICO x ASSET_CLASS|where 2022|loan_size|median|2</t>
        </is>
      </c>
      <c r="B1772" t="n">
        <v>31660.5</v>
      </c>
      <c r="C1772" t="n">
        <v>34872.615</v>
      </c>
      <c r="D1772" t="n">
        <v>36091.51</v>
      </c>
      <c r="E1772" t="n">
        <v>32969.695</v>
      </c>
      <c r="F1772" t="n">
        <v>34475.44</v>
      </c>
    </row>
    <row r="1773">
      <c r="A1773" t="inlineStr">
        <is>
          <t>G|FICO x ASSET_CLASS|where 2022|loan_size|book|2</t>
        </is>
      </c>
      <c r="B1773" t="n">
        <v>1.004366758349738</v>
      </c>
      <c r="C1773" t="n">
        <v>1.064142670920697</v>
      </c>
      <c r="D1773" t="n">
        <v>1.071046026855916</v>
      </c>
      <c r="E1773" t="n">
        <v>1.018143295330285</v>
      </c>
      <c r="F1773" t="n">
        <v>1.039151107506869</v>
      </c>
    </row>
    <row r="1774">
      <c r="A1774" t="inlineStr">
        <is>
          <t>G|FICO x ASSET_CLASS|where 2022|loan_size|band|2</t>
        </is>
      </c>
      <c r="B1774" t="n">
        <v>0.9546855591124601</v>
      </c>
      <c r="C1774" t="n">
        <v>1.031323128376305</v>
      </c>
      <c r="D1774" t="n">
        <v>1.042549532501252</v>
      </c>
      <c r="E1774" t="n">
        <v>0.9738179169204367</v>
      </c>
    </row>
    <row r="1775">
      <c r="A1775" t="inlineStr">
        <is>
          <t>G|FICO x ASSET_CLASS|where 2022|loan_size|rate|3</t>
        </is>
      </c>
      <c r="B1775" t="n">
        <v>32145.02887640449</v>
      </c>
      <c r="C1775" t="n">
        <v>32347.18144736842</v>
      </c>
      <c r="D1775" t="n">
        <v>32834.7875</v>
      </c>
      <c r="E1775" t="n">
        <v>33195.22761363636</v>
      </c>
      <c r="F1775" t="n">
        <v>32634.40357357357</v>
      </c>
    </row>
    <row r="1776">
      <c r="A1776" t="inlineStr">
        <is>
          <t>G|FICO x ASSET_CLASS|where 2022|loan_size|median|3</t>
        </is>
      </c>
      <c r="B1776" t="n">
        <v>33046.23</v>
      </c>
      <c r="C1776" t="n">
        <v>35210.85000000001</v>
      </c>
      <c r="D1776" t="n">
        <v>30633.53</v>
      </c>
      <c r="E1776" t="n">
        <v>34318.445</v>
      </c>
      <c r="F1776" t="n">
        <v>33796.68</v>
      </c>
    </row>
    <row r="1777">
      <c r="A1777" t="inlineStr">
        <is>
          <t>G|FICO x ASSET_CLASS|where 2022|loan_size|book|3</t>
        </is>
      </c>
      <c r="B1777" t="n">
        <v>0.9963561603051185</v>
      </c>
      <c r="C1777" t="n">
        <v>1.002622011245115</v>
      </c>
      <c r="D1777" t="n">
        <v>1.017735679246768</v>
      </c>
      <c r="E1777" t="n">
        <v>1.028907755931579</v>
      </c>
      <c r="F1777" t="n">
        <v>1.011524648599113</v>
      </c>
    </row>
    <row r="1778">
      <c r="A1778" t="inlineStr">
        <is>
          <t>G|FICO x ASSET_CLASS|where 2022|loan_size|band|3</t>
        </is>
      </c>
      <c r="B1778" t="n">
        <v>0.9796459312701662</v>
      </c>
      <c r="C1778" t="n">
        <v>0.9886257058080645</v>
      </c>
      <c r="D1778" t="n">
        <v>1.008097574537523</v>
      </c>
      <c r="E1778" t="n">
        <v>1.023502719692075</v>
      </c>
    </row>
    <row r="1779">
      <c r="A1779" t="inlineStr">
        <is>
          <t>G|FICO x ASSET_CLASS|where 2022|loan_size|rate|4</t>
        </is>
      </c>
      <c r="B1779" t="n">
        <v>33148.60775280899</v>
      </c>
      <c r="C1779" t="n">
        <v>30943.35535714286</v>
      </c>
      <c r="D1779" t="n">
        <v>29594.97942528735</v>
      </c>
      <c r="E1779" t="n">
        <v>30952.29229166667</v>
      </c>
      <c r="F1779" t="n">
        <v>31167.55957865168</v>
      </c>
    </row>
    <row r="1780">
      <c r="A1780" t="inlineStr">
        <is>
          <t>G|FICO x ASSET_CLASS|where 2022|loan_size|median|4</t>
        </is>
      </c>
      <c r="B1780" t="n">
        <v>31719.68</v>
      </c>
      <c r="C1780" t="n">
        <v>32455.225</v>
      </c>
      <c r="D1780" t="n">
        <v>26764.07</v>
      </c>
      <c r="E1780" t="n">
        <v>30935.865</v>
      </c>
      <c r="F1780" t="n">
        <v>30548.91</v>
      </c>
    </row>
    <row r="1781">
      <c r="A1781" t="inlineStr">
        <is>
          <t>G|FICO x ASSET_CLASS|where 2022|loan_size|book|4</t>
        </is>
      </c>
      <c r="B1781" t="n">
        <v>1.027462742903079</v>
      </c>
      <c r="C1781" t="n">
        <v>0.9591095048986051</v>
      </c>
      <c r="D1781" t="n">
        <v>0.9173157124189993</v>
      </c>
      <c r="E1781" t="n">
        <v>0.9593865110198714</v>
      </c>
      <c r="F1781" t="n">
        <v>0.9660588611466783</v>
      </c>
    </row>
    <row r="1782">
      <c r="A1782" t="inlineStr">
        <is>
          <t>G|FICO x ASSET_CLASS|where 2022|loan_size|band|4</t>
        </is>
      </c>
      <c r="B1782" t="n">
        <v>1.086582730748865</v>
      </c>
      <c r="C1782" t="n">
        <v>0.9906058313017604</v>
      </c>
      <c r="D1782" t="n">
        <v>0.9342980996114839</v>
      </c>
      <c r="E1782" t="n">
        <v>0.990567088410986</v>
      </c>
    </row>
    <row r="1783">
      <c r="A1783" t="inlineStr">
        <is>
          <t>G|FICO x ASSET_CLASS|where 2022|loan_size|rate|5</t>
        </is>
      </c>
      <c r="B1783" t="n">
        <v>32793.00329268293</v>
      </c>
      <c r="C1783" t="n">
        <v>35311.57786666667</v>
      </c>
      <c r="D1783" t="n">
        <v>31998.83966292135</v>
      </c>
      <c r="E1783" t="n">
        <v>28672.61029411765</v>
      </c>
      <c r="F1783" t="n">
        <v>32277.16191082802</v>
      </c>
    </row>
    <row r="1784">
      <c r="A1784" t="inlineStr">
        <is>
          <t>G|FICO x ASSET_CLASS|where 2022|loan_size|median|5</t>
        </is>
      </c>
      <c r="B1784" t="n">
        <v>33504.325</v>
      </c>
      <c r="C1784" t="n">
        <v>36372.64</v>
      </c>
      <c r="D1784" t="n">
        <v>30216.82</v>
      </c>
      <c r="E1784" t="n">
        <v>25839.255</v>
      </c>
      <c r="F1784" t="n">
        <v>30919.07</v>
      </c>
    </row>
    <row r="1785">
      <c r="A1785" t="inlineStr">
        <is>
          <t>G|FICO x ASSET_CLASS|where 2022|loan_size|book|5</t>
        </is>
      </c>
      <c r="B1785" t="n">
        <v>1.016440550456438</v>
      </c>
      <c r="C1785" t="n">
        <v>1.094505413973127</v>
      </c>
      <c r="D1785" t="n">
        <v>0.9918249301735754</v>
      </c>
      <c r="E1785" t="n">
        <v>0.8887262789034861</v>
      </c>
      <c r="F1785" t="n">
        <v>1.000451709988209</v>
      </c>
    </row>
    <row r="1786">
      <c r="A1786" t="inlineStr">
        <is>
          <t>G|FICO x ASSET_CLASS|where 2022|loan_size|band|5</t>
        </is>
      </c>
      <c r="B1786" t="n">
        <v>1.021753174589952</v>
      </c>
      <c r="C1786" t="n">
        <v>1.127267238862151</v>
      </c>
      <c r="D1786" t="n">
        <v>0.9880071906857887</v>
      </c>
      <c r="E1786" t="n">
        <v>0.8617240168207552</v>
      </c>
    </row>
    <row r="1787">
      <c r="A1787" t="inlineStr">
        <is>
          <t>G|FICO x ASSET_CLASS|where 2022|loan_size|rate|6</t>
        </is>
      </c>
    </row>
    <row r="1788">
      <c r="A1788" t="inlineStr">
        <is>
          <t>G|FICO x ASSET_CLASS|where 2022|loan_size|median|6</t>
        </is>
      </c>
    </row>
    <row r="1789">
      <c r="A1789" t="inlineStr">
        <is>
          <t>G|FICO x ASSET_CLASS|where 2022|loan_size|book|6</t>
        </is>
      </c>
    </row>
    <row r="1790">
      <c r="A1790" t="inlineStr">
        <is>
          <t>G|FICO x ASSET_CLASS|where 2022|loan_size|band|6</t>
        </is>
      </c>
    </row>
    <row r="1791">
      <c r="A1791" t="inlineStr">
        <is>
          <t>G|FICO x ASSET_CLASS|where 2022|loan_size|rate|7</t>
        </is>
      </c>
      <c r="B1791" t="n">
        <v>40253.90769230769</v>
      </c>
      <c r="C1791" t="n">
        <v>24484.5225</v>
      </c>
      <c r="D1791" t="n">
        <v>36763.6525</v>
      </c>
      <c r="E1791" t="n">
        <v>20845.25</v>
      </c>
      <c r="F1791" t="n">
        <v>32368.3612195122</v>
      </c>
    </row>
    <row r="1792">
      <c r="A1792" t="inlineStr">
        <is>
          <t>G|FICO x ASSET_CLASS|where 2022|loan_size|median|7</t>
        </is>
      </c>
      <c r="B1792" t="n">
        <v>39057.21</v>
      </c>
      <c r="C1792" t="n">
        <v>20917.335</v>
      </c>
      <c r="D1792" t="n">
        <v>38237.62</v>
      </c>
      <c r="E1792" t="n">
        <v>21551.62</v>
      </c>
      <c r="F1792" t="n">
        <v>30338.52</v>
      </c>
    </row>
    <row r="1793">
      <c r="A1793" t="inlineStr">
        <is>
          <t>G|FICO x ASSET_CLASS|where 2022|loan_size|book|7</t>
        </is>
      </c>
      <c r="B1793" t="n">
        <v>1.247696154195226</v>
      </c>
      <c r="C1793" t="n">
        <v>0.7589137629585779</v>
      </c>
      <c r="D1793" t="n">
        <v>1.139513415418926</v>
      </c>
      <c r="E1793" t="n">
        <v>0.6461121354240131</v>
      </c>
      <c r="F1793" t="n">
        <v>1.003278492112824</v>
      </c>
    </row>
    <row r="1794">
      <c r="A1794" t="inlineStr">
        <is>
          <t>G|FICO x ASSET_CLASS|where 2022|loan_size|band|7</t>
        </is>
      </c>
      <c r="B1794" t="n">
        <v>1.402222688376476</v>
      </c>
      <c r="C1794" t="n">
        <v>0.7142593898271294</v>
      </c>
      <c r="D1794" t="n">
        <v>1.203407849262937</v>
      </c>
      <c r="E1794" t="n">
        <v>0.5928372458088412</v>
      </c>
    </row>
    <row r="1795">
      <c r="A1795" t="inlineStr">
        <is>
          <t>G|FICO x ASSET_CLASS|where 2022|loan_size|rate|8</t>
        </is>
      </c>
      <c r="B1795" t="n">
        <v>32456.29342436975</v>
      </c>
      <c r="C1795" t="n">
        <v>33209.8246969697</v>
      </c>
      <c r="D1795" t="n">
        <v>32392.95052272727</v>
      </c>
      <c r="E1795" t="n">
        <v>31190.75417249417</v>
      </c>
      <c r="F1795" t="n">
        <v>32299.83803561172</v>
      </c>
    </row>
    <row r="1796">
      <c r="A1796" t="inlineStr">
        <is>
          <t>G|FICO x ASSET_CLASS|where 2022|loan_size|median|8</t>
        </is>
      </c>
      <c r="B1796" t="n">
        <v>31775.165</v>
      </c>
      <c r="C1796" t="n">
        <v>35073.03999999999</v>
      </c>
      <c r="D1796" t="n">
        <v>31965.14</v>
      </c>
      <c r="E1796" t="n">
        <v>30990.21</v>
      </c>
      <c r="F1796" t="n">
        <v>32367.16</v>
      </c>
    </row>
    <row r="1797">
      <c r="A1797" t="inlineStr">
        <is>
          <t>G|FICO x ASSET_CLASS|where 2022|loan_size|book|8</t>
        </is>
      </c>
      <c r="B1797" t="n">
        <v>1.006004008220956</v>
      </c>
      <c r="C1797" t="n">
        <v>1.0293602020612</v>
      </c>
      <c r="D1797" t="n">
        <v>1.004040653622467</v>
      </c>
      <c r="E1797" t="n">
        <v>0.9667777927285908</v>
      </c>
      <c r="F1797" t="n">
        <v>1.001154571283091</v>
      </c>
    </row>
    <row r="1798">
      <c r="A1798" t="inlineStr">
        <is>
          <t>G|FICO x ASSET_CLASS|where 2022|loan_size|band|8</t>
        </is>
      </c>
    </row>
    <row r="1799">
      <c r="A1799" t="inlineStr">
        <is>
          <t>G|FICO x ASSET_CLASS|where 2022|loan_size|meta</t>
        </is>
      </c>
      <c r="B1799" t="inlineStr">
        <is>
          <t>size</t>
        </is>
      </c>
      <c r="C1799" t="n">
        <v>1</v>
      </c>
      <c r="E1799" t="n">
        <v>32262.58857732217</v>
      </c>
      <c r="F1799" t="n">
        <v>30</v>
      </c>
    </row>
    <row r="1800">
      <c r="A1800" t="inlineStr">
        <is>
          <t>G|FICO x ASSET_CLASS|where 2023|cols</t>
        </is>
      </c>
      <c r="B1800" t="inlineStr">
        <is>
          <t>1</t>
        </is>
      </c>
      <c r="C1800" t="inlineStr">
        <is>
          <t>2</t>
        </is>
      </c>
      <c r="D1800" t="inlineStr">
        <is>
          <t>3</t>
        </is>
      </c>
      <c r="E1800" t="inlineStr">
        <is>
          <t>4</t>
        </is>
      </c>
      <c r="F1800" t="inlineStr">
        <is>
          <t>All</t>
        </is>
      </c>
    </row>
    <row r="1801">
      <c r="A1801" t="inlineStr">
        <is>
          <t>G|FICO x ASSET_CLASS|where 2023|heads</t>
        </is>
      </c>
      <c r="B1801" t="inlineStr">
        <is>
          <t>1</t>
        </is>
      </c>
      <c r="C1801" t="inlineStr">
        <is>
          <t>2</t>
        </is>
      </c>
      <c r="D1801" t="inlineStr">
        <is>
          <t>3</t>
        </is>
      </c>
      <c r="E1801" t="inlineStr">
        <is>
          <t>4</t>
        </is>
      </c>
      <c r="F1801" t="inlineStr">
        <is>
          <t>All</t>
        </is>
      </c>
    </row>
    <row r="1802">
      <c r="A1802" t="inlineStr">
        <is>
          <t>G|FICO x ASSET_CLASS|where 2023|segs</t>
        </is>
      </c>
    </row>
    <row r="1803">
      <c r="A1803" t="inlineStr">
        <is>
          <t>G|FICO x ASSET_CLASS|where 2023|rows</t>
        </is>
      </c>
      <c r="B1803" t="inlineStr">
        <is>
          <t>496 - 653</t>
        </is>
      </c>
      <c r="C1803" t="inlineStr">
        <is>
          <t>654 - 685</t>
        </is>
      </c>
      <c r="D1803" t="inlineStr">
        <is>
          <t>686 - 711</t>
        </is>
      </c>
      <c r="E1803" t="inlineStr">
        <is>
          <t>712 - 745</t>
        </is>
      </c>
      <c r="F1803" t="inlineStr">
        <is>
          <t>746 - 921</t>
        </is>
      </c>
      <c r="G1803" t="inlineStr">
        <is>
          <t>(blank)</t>
        </is>
      </c>
      <c r="H1803" t="inlineStr">
        <is>
          <t>(marked missing)</t>
        </is>
      </c>
      <c r="I1803" t="inlineStr">
        <is>
          <t>All</t>
        </is>
      </c>
    </row>
    <row r="1804">
      <c r="A1804" t="inlineStr">
        <is>
          <t>G|FICO x ASSET_CLASS|where 2023|names</t>
        </is>
      </c>
      <c r="B1804" t="inlineStr">
        <is>
          <t>FICO</t>
        </is>
      </c>
      <c r="C1804" t="inlineStr">
        <is>
          <t>ASSET_CLASS</t>
        </is>
      </c>
    </row>
    <row r="1805">
      <c r="A1805" t="inlineStr">
        <is>
          <t>G|FICO x ASSET_CLASS|where 2023|total</t>
        </is>
      </c>
      <c r="B1805" t="n">
        <v>1612</v>
      </c>
    </row>
    <row r="1806">
      <c r="A1806" t="inlineStr">
        <is>
          <t>G|FICO x ASSET_CLASS|where 2023|loans|1</t>
        </is>
      </c>
      <c r="B1806" t="n">
        <v>96</v>
      </c>
      <c r="C1806" t="n">
        <v>69</v>
      </c>
      <c r="D1806" t="n">
        <v>75</v>
      </c>
      <c r="E1806" t="n">
        <v>81</v>
      </c>
      <c r="F1806" t="n">
        <v>321</v>
      </c>
    </row>
    <row r="1807">
      <c r="A1807" t="inlineStr">
        <is>
          <t>G|FICO x ASSET_CLASS|where 2023|loans|2</t>
        </is>
      </c>
      <c r="B1807" t="n">
        <v>58</v>
      </c>
      <c r="C1807" t="n">
        <v>62</v>
      </c>
      <c r="D1807" t="n">
        <v>71</v>
      </c>
      <c r="E1807" t="n">
        <v>92</v>
      </c>
      <c r="F1807" t="n">
        <v>283</v>
      </c>
    </row>
    <row r="1808">
      <c r="A1808" t="inlineStr">
        <is>
          <t>G|FICO x ASSET_CLASS|where 2023|loans|3</t>
        </is>
      </c>
      <c r="B1808" t="n">
        <v>70</v>
      </c>
      <c r="C1808" t="n">
        <v>88</v>
      </c>
      <c r="D1808" t="n">
        <v>79</v>
      </c>
      <c r="E1808" t="n">
        <v>105</v>
      </c>
      <c r="F1808" t="n">
        <v>342</v>
      </c>
    </row>
    <row r="1809">
      <c r="A1809" t="inlineStr">
        <is>
          <t>G|FICO x ASSET_CLASS|where 2023|loans|4</t>
        </is>
      </c>
      <c r="B1809" t="n">
        <v>70</v>
      </c>
      <c r="C1809" t="n">
        <v>74</v>
      </c>
      <c r="D1809" t="n">
        <v>72</v>
      </c>
      <c r="E1809" t="n">
        <v>97</v>
      </c>
      <c r="F1809" t="n">
        <v>313</v>
      </c>
    </row>
    <row r="1810">
      <c r="A1810" t="inlineStr">
        <is>
          <t>G|FICO x ASSET_CLASS|where 2023|loans|5</t>
        </is>
      </c>
      <c r="B1810" t="n">
        <v>95</v>
      </c>
      <c r="C1810" t="n">
        <v>89</v>
      </c>
      <c r="D1810" t="n">
        <v>73</v>
      </c>
      <c r="E1810" t="n">
        <v>75</v>
      </c>
      <c r="F1810" t="n">
        <v>332</v>
      </c>
    </row>
    <row r="1811">
      <c r="A1811" t="inlineStr">
        <is>
          <t>G|FICO x ASSET_CLASS|where 2023|loans|6</t>
        </is>
      </c>
    </row>
    <row r="1812">
      <c r="A1812" t="inlineStr">
        <is>
          <t>G|FICO x ASSET_CLASS|where 2023|loans|7</t>
        </is>
      </c>
      <c r="B1812" t="n">
        <v>7</v>
      </c>
      <c r="C1812" t="n">
        <v>4</v>
      </c>
      <c r="D1812" t="n">
        <v>6</v>
      </c>
      <c r="E1812" t="n">
        <v>4</v>
      </c>
      <c r="F1812" t="n">
        <v>21</v>
      </c>
    </row>
    <row r="1813">
      <c r="A1813" t="inlineStr">
        <is>
          <t>G|FICO x ASSET_CLASS|where 2023|loans|8</t>
        </is>
      </c>
      <c r="B1813" t="n">
        <v>396</v>
      </c>
      <c r="C1813" t="n">
        <v>386</v>
      </c>
      <c r="D1813" t="n">
        <v>376</v>
      </c>
      <c r="E1813" t="n">
        <v>454</v>
      </c>
      <c r="F1813" t="n">
        <v>1612</v>
      </c>
    </row>
    <row r="1814">
      <c r="A1814" t="inlineStr">
        <is>
          <t>G|FICO x ASSET_CLASS|where 2023|outcome_loans|rate|1</t>
        </is>
      </c>
      <c r="B1814" t="n">
        <v>0.1041666666666667</v>
      </c>
      <c r="C1814" t="n">
        <v>0.05882352941176471</v>
      </c>
      <c r="D1814" t="n">
        <v>0.12</v>
      </c>
      <c r="E1814" t="n">
        <v>0.1851851851851852</v>
      </c>
      <c r="F1814" t="n">
        <v>0.11875</v>
      </c>
    </row>
    <row r="1815">
      <c r="A1815" t="inlineStr">
        <is>
          <t>G|FICO x ASSET_CLASS|where 2023|outcome_loans|book|1</t>
        </is>
      </c>
      <c r="B1815" t="n">
        <v>1.346089122240172</v>
      </c>
      <c r="E1815" t="n">
        <v>2.393047328426973</v>
      </c>
      <c r="F1815" t="n">
        <v>1.534541599353796</v>
      </c>
    </row>
    <row r="1816">
      <c r="A1816" t="inlineStr">
        <is>
          <t>G|FICO x ASSET_CLASS|where 2023|outcome_loans|band|1</t>
        </is>
      </c>
      <c r="B1816" t="n">
        <v>0.8333333333333334</v>
      </c>
      <c r="E1816" t="n">
        <v>1.924315619967794</v>
      </c>
    </row>
    <row r="1817">
      <c r="A1817" t="inlineStr">
        <is>
          <t>G|FICO x ASSET_CLASS|where 2023|outcome_loans|rate|2</t>
        </is>
      </c>
      <c r="B1817" t="n">
        <v>0.08620689655172414</v>
      </c>
      <c r="C1817" t="n">
        <v>0.09677419354838709</v>
      </c>
      <c r="D1817" t="n">
        <v>0.05633802816901409</v>
      </c>
      <c r="E1817" t="n">
        <v>0.1304347826086956</v>
      </c>
      <c r="F1817" t="n">
        <v>0.09540636042402827</v>
      </c>
    </row>
    <row r="1818">
      <c r="A1818" t="inlineStr">
        <is>
          <t>G|FICO x ASSET_CLASS|where 2023|outcome_loans|book|2</t>
        </is>
      </c>
      <c r="E1818" t="n">
        <v>1.685537683500737</v>
      </c>
      <c r="F1818" t="n">
        <v>1.232884454009373</v>
      </c>
    </row>
    <row r="1819">
      <c r="A1819" t="inlineStr">
        <is>
          <t>G|FICO x ASSET_CLASS|where 2023|outcome_loans|band|2</t>
        </is>
      </c>
      <c r="E1819" t="n">
        <v>1.660869565217391</v>
      </c>
    </row>
    <row r="1820">
      <c r="A1820" t="inlineStr">
        <is>
          <t>G|FICO x ASSET_CLASS|where 2023|outcome_loans|rate|3</t>
        </is>
      </c>
      <c r="B1820" t="n">
        <v>0.04285714285714286</v>
      </c>
      <c r="C1820" t="n">
        <v>0.02272727272727273</v>
      </c>
      <c r="D1820" t="n">
        <v>0.06329113924050633</v>
      </c>
      <c r="E1820" t="n">
        <v>0.1047619047619048</v>
      </c>
      <c r="F1820" t="n">
        <v>0.06140350877192982</v>
      </c>
    </row>
    <row r="1821">
      <c r="A1821" t="inlineStr">
        <is>
          <t>G|FICO x ASSET_CLASS|where 2023|outcome_loans|book|3</t>
        </is>
      </c>
      <c r="E1821" t="n">
        <v>1.353781060081545</v>
      </c>
      <c r="F1821" t="n">
        <v>0.7934841141626279</v>
      </c>
    </row>
    <row r="1822">
      <c r="A1822" t="inlineStr">
        <is>
          <t>G|FICO x ASSET_CLASS|where 2023|outcome_loans|band|3</t>
        </is>
      </c>
      <c r="E1822" t="n">
        <v>2.482857142857143</v>
      </c>
    </row>
    <row r="1823">
      <c r="A1823" t="inlineStr">
        <is>
          <t>G|FICO x ASSET_CLASS|where 2023|outcome_loans|rate|4</t>
        </is>
      </c>
      <c r="B1823" t="n">
        <v>0.02857142857142857</v>
      </c>
      <c r="C1823" t="n">
        <v>0.01351351351351351</v>
      </c>
      <c r="D1823" t="n">
        <v>0.05555555555555555</v>
      </c>
      <c r="E1823" t="n">
        <v>0.07216494845360824</v>
      </c>
      <c r="F1823" t="n">
        <v>0.04472843450479233</v>
      </c>
    </row>
    <row r="1824">
      <c r="A1824" t="inlineStr">
        <is>
          <t>G|FICO x ASSET_CLASS|where 2023|outcome_loans|book|4</t>
        </is>
      </c>
      <c r="F1824" t="n">
        <v>0.5780012077606362</v>
      </c>
    </row>
    <row r="1825">
      <c r="A1825" t="inlineStr">
        <is>
          <t>G|FICO x ASSET_CLASS|where 2023|outcome_loans|band|4</t>
        </is>
      </c>
    </row>
    <row r="1826">
      <c r="A1826" t="inlineStr">
        <is>
          <t>G|FICO x ASSET_CLASS|where 2023|outcome_loans|rate|5</t>
        </is>
      </c>
      <c r="B1826" t="n">
        <v>0.04210526315789474</v>
      </c>
      <c r="C1826" t="n">
        <v>0.06741573033707865</v>
      </c>
      <c r="D1826" t="n">
        <v>0.0410958904109589</v>
      </c>
      <c r="E1826" t="n">
        <v>0</v>
      </c>
      <c r="F1826" t="n">
        <v>0.0391566265060241</v>
      </c>
    </row>
    <row r="1827">
      <c r="A1827" t="inlineStr">
        <is>
          <t>G|FICO x ASSET_CLASS|where 2023|outcome_loans|book|5</t>
        </is>
      </c>
      <c r="F1827" t="n">
        <v>0.5059997664324504</v>
      </c>
    </row>
    <row r="1828">
      <c r="A1828" t="inlineStr">
        <is>
          <t>G|FICO x ASSET_CLASS|where 2023|outcome_loans|band|5</t>
        </is>
      </c>
    </row>
    <row r="1829">
      <c r="A1829" t="inlineStr">
        <is>
          <t>G|FICO x ASSET_CLASS|where 2023|outcome_loans|rate|6</t>
        </is>
      </c>
    </row>
    <row r="1830">
      <c r="A1830" t="inlineStr">
        <is>
          <t>G|FICO x ASSET_CLASS|where 2023|outcome_loans|book|6</t>
        </is>
      </c>
    </row>
    <row r="1831">
      <c r="A1831" t="inlineStr">
        <is>
          <t>G|FICO x ASSET_CLASS|where 2023|outcome_loans|band|6</t>
        </is>
      </c>
    </row>
    <row r="1832">
      <c r="A1832" t="inlineStr">
        <is>
          <t>G|FICO x ASSET_CLASS|where 2023|outcome_loans|rate|7</t>
        </is>
      </c>
      <c r="B1832" t="n">
        <v>0</v>
      </c>
      <c r="C1832" t="n">
        <v>0</v>
      </c>
      <c r="D1832" t="n">
        <v>0</v>
      </c>
      <c r="E1832" t="n">
        <v>0</v>
      </c>
      <c r="F1832" t="n">
        <v>0</v>
      </c>
    </row>
    <row r="1833">
      <c r="A1833" t="inlineStr">
        <is>
          <t>G|FICO x ASSET_CLASS|where 2023|outcome_loans|book|7</t>
        </is>
      </c>
    </row>
    <row r="1834">
      <c r="A1834" t="inlineStr">
        <is>
          <t>G|FICO x ASSET_CLASS|where 2023|outcome_loans|band|7</t>
        </is>
      </c>
    </row>
    <row r="1835">
      <c r="A1835" t="inlineStr">
        <is>
          <t>G|FICO x ASSET_CLASS|where 2023|outcome_loans|rate|8</t>
        </is>
      </c>
      <c r="B1835" t="n">
        <v>0.06060606060606061</v>
      </c>
      <c r="C1835" t="n">
        <v>0.04935064935064935</v>
      </c>
      <c r="D1835" t="n">
        <v>0.06648936170212766</v>
      </c>
      <c r="E1835" t="n">
        <v>0.09911894273127753</v>
      </c>
      <c r="F1835" t="n">
        <v>0.07014276846679081</v>
      </c>
    </row>
    <row r="1836">
      <c r="A1836" t="inlineStr">
        <is>
          <t>G|FICO x ASSET_CLASS|where 2023|outcome_loans|book|8</t>
        </is>
      </c>
      <c r="B1836" t="n">
        <v>0.7831791256670093</v>
      </c>
      <c r="C1836" t="n">
        <v>0.637731573757422</v>
      </c>
      <c r="D1836" t="n">
        <v>0.8592058227064929</v>
      </c>
      <c r="E1836" t="n">
        <v>1.280860133937785</v>
      </c>
      <c r="F1836" t="n">
        <v>0.9064168093147975</v>
      </c>
    </row>
    <row r="1837">
      <c r="A1837" t="inlineStr">
        <is>
          <t>G|FICO x ASSET_CLASS|where 2023|outcome_loans|band|8</t>
        </is>
      </c>
    </row>
    <row r="1838">
      <c r="A1838" t="inlineStr">
        <is>
          <t>G|FICO x ASSET_CLASS|where 2023|outcome_loans|meta</t>
        </is>
      </c>
      <c r="B1838" t="inlineStr">
        <is>
          <t>x</t>
        </is>
      </c>
      <c r="C1838" t="n">
        <v>2.482857142857143</v>
      </c>
      <c r="D1838" t="n">
        <v>10</v>
      </c>
      <c r="E1838" t="n">
        <v>0.07738467308413552</v>
      </c>
      <c r="F1838" t="n">
        <v>30</v>
      </c>
    </row>
    <row r="1839">
      <c r="A1839" t="inlineStr">
        <is>
          <t>G|FICO x ASSET_CLASS|where 2023|outcome_booked|rate|1</t>
        </is>
      </c>
      <c r="B1839" t="n">
        <v>0.08704244178955962</v>
      </c>
      <c r="C1839" t="n">
        <v>0.06181973901470453</v>
      </c>
      <c r="D1839" t="n">
        <v>0.1347174235944486</v>
      </c>
      <c r="E1839" t="n">
        <v>0.208066403129619</v>
      </c>
      <c r="F1839" t="n">
        <v>0.1201530370208323</v>
      </c>
    </row>
    <row r="1840">
      <c r="A1840" t="inlineStr">
        <is>
          <t>G|FICO x ASSET_CLASS|where 2023|outcome_booked|book|1</t>
        </is>
      </c>
      <c r="B1840" t="n">
        <v>1.163220070661567</v>
      </c>
      <c r="E1840" t="n">
        <v>2.780563265169839</v>
      </c>
      <c r="F1840" t="n">
        <v>1.605704313207107</v>
      </c>
    </row>
    <row r="1841">
      <c r="A1841" t="inlineStr">
        <is>
          <t>G|FICO x ASSET_CLASS|where 2023|outcome_booked|band|1</t>
        </is>
      </c>
      <c r="B1841" t="n">
        <v>0.6447124418193377</v>
      </c>
      <c r="E1841" t="n">
        <v>2.182310379072846</v>
      </c>
    </row>
    <row r="1842">
      <c r="A1842" t="inlineStr">
        <is>
          <t>G|FICO x ASSET_CLASS|where 2023|outcome_booked|rate|2</t>
        </is>
      </c>
      <c r="B1842" t="n">
        <v>0.05656873129734853</v>
      </c>
      <c r="C1842" t="n">
        <v>0.1097796308403353</v>
      </c>
      <c r="D1842" t="n">
        <v>0.07017035319849727</v>
      </c>
      <c r="E1842" t="n">
        <v>0.121336631926077</v>
      </c>
      <c r="F1842" t="n">
        <v>0.09245982108148644</v>
      </c>
    </row>
    <row r="1843">
      <c r="A1843" t="inlineStr">
        <is>
          <t>G|FICO x ASSET_CLASS|where 2023|outcome_booked|book|2</t>
        </is>
      </c>
      <c r="E1843" t="n">
        <v>1.621521669901235</v>
      </c>
      <c r="F1843" t="n">
        <v>1.235616986386781</v>
      </c>
    </row>
    <row r="1844">
      <c r="A1844" t="inlineStr">
        <is>
          <t>G|FICO x ASSET_CLASS|where 2023|outcome_booked|band|2</t>
        </is>
      </c>
      <c r="E1844" t="n">
        <v>1.547763015086203</v>
      </c>
    </row>
    <row r="1845">
      <c r="A1845" t="inlineStr">
        <is>
          <t>G|FICO x ASSET_CLASS|where 2023|outcome_booked|rate|3</t>
        </is>
      </c>
      <c r="B1845" t="n">
        <v>0.06615534953211288</v>
      </c>
      <c r="C1845" t="n">
        <v>0.02798292298887772</v>
      </c>
      <c r="D1845" t="n">
        <v>0.05449768449142512</v>
      </c>
      <c r="E1845" t="n">
        <v>0.09586327107954921</v>
      </c>
      <c r="F1845" t="n">
        <v>0.06274686977503714</v>
      </c>
    </row>
    <row r="1846">
      <c r="A1846" t="inlineStr">
        <is>
          <t>G|FICO x ASSET_CLASS|where 2023|outcome_booked|book|3</t>
        </is>
      </c>
      <c r="E1846" t="n">
        <v>1.281100100897875</v>
      </c>
      <c r="F1846" t="n">
        <v>0.838538266998221</v>
      </c>
    </row>
    <row r="1847">
      <c r="A1847" t="inlineStr">
        <is>
          <t>G|FICO x ASSET_CLASS|where 2023|outcome_booked|band|3</t>
        </is>
      </c>
      <c r="E1847" t="n">
        <v>2.007656240772604</v>
      </c>
    </row>
    <row r="1848">
      <c r="A1848" t="inlineStr">
        <is>
          <t>G|FICO x ASSET_CLASS|where 2023|outcome_booked|rate|4</t>
        </is>
      </c>
      <c r="B1848" t="n">
        <v>0.03339835137692827</v>
      </c>
      <c r="C1848" t="n">
        <v>0.01972708220786526</v>
      </c>
      <c r="D1848" t="n">
        <v>0.05165119846670508</v>
      </c>
      <c r="E1848" t="n">
        <v>0.07100305744520898</v>
      </c>
      <c r="F1848" t="n">
        <v>0.04643821045492427</v>
      </c>
    </row>
    <row r="1849">
      <c r="A1849" t="inlineStr">
        <is>
          <t>G|FICO x ASSET_CLASS|where 2023|outcome_booked|book|4</t>
        </is>
      </c>
      <c r="F1849" t="n">
        <v>0.6205921770596853</v>
      </c>
    </row>
    <row r="1850">
      <c r="A1850" t="inlineStr">
        <is>
          <t>G|FICO x ASSET_CLASS|where 2023|outcome_booked|band|4</t>
        </is>
      </c>
    </row>
    <row r="1851">
      <c r="A1851" t="inlineStr">
        <is>
          <t>G|FICO x ASSET_CLASS|where 2023|outcome_booked|rate|5</t>
        </is>
      </c>
      <c r="B1851" t="n">
        <v>0.03495058606034097</v>
      </c>
      <c r="C1851" t="n">
        <v>0.06853793185523284</v>
      </c>
      <c r="D1851" t="n">
        <v>0.03483967474039468</v>
      </c>
      <c r="E1851" t="n">
        <v>0</v>
      </c>
      <c r="F1851" t="n">
        <v>0.03682248697496392</v>
      </c>
    </row>
    <row r="1852">
      <c r="A1852" t="inlineStr">
        <is>
          <t>G|FICO x ASSET_CLASS|where 2023|outcome_booked|book|5</t>
        </is>
      </c>
      <c r="F1852" t="n">
        <v>0.4920893189612904</v>
      </c>
    </row>
    <row r="1853">
      <c r="A1853" t="inlineStr">
        <is>
          <t>G|FICO x ASSET_CLASS|where 2023|outcome_booked|band|5</t>
        </is>
      </c>
    </row>
    <row r="1854">
      <c r="A1854" t="inlineStr">
        <is>
          <t>G|FICO x ASSET_CLASS|where 2023|outcome_booked|rate|6</t>
        </is>
      </c>
    </row>
    <row r="1855">
      <c r="A1855" t="inlineStr">
        <is>
          <t>G|FICO x ASSET_CLASS|where 2023|outcome_booked|book|6</t>
        </is>
      </c>
    </row>
    <row r="1856">
      <c r="A1856" t="inlineStr">
        <is>
          <t>G|FICO x ASSET_CLASS|where 2023|outcome_booked|band|6</t>
        </is>
      </c>
    </row>
    <row r="1857">
      <c r="A1857" t="inlineStr">
        <is>
          <t>G|FICO x ASSET_CLASS|where 2023|outcome_booked|rate|7</t>
        </is>
      </c>
      <c r="B1857" t="n">
        <v>0</v>
      </c>
      <c r="C1857" t="n">
        <v>0</v>
      </c>
      <c r="D1857" t="n">
        <v>0</v>
      </c>
      <c r="E1857" t="n">
        <v>0</v>
      </c>
      <c r="F1857" t="n">
        <v>0</v>
      </c>
    </row>
    <row r="1858">
      <c r="A1858" t="inlineStr">
        <is>
          <t>G|FICO x ASSET_CLASS|where 2023|outcome_booked|book|7</t>
        </is>
      </c>
    </row>
    <row r="1859">
      <c r="A1859" t="inlineStr">
        <is>
          <t>G|FICO x ASSET_CLASS|where 2023|outcome_booked|band|7</t>
        </is>
      </c>
    </row>
    <row r="1860">
      <c r="A1860" t="inlineStr">
        <is>
          <t>G|FICO x ASSET_CLASS|where 2023|outcome_booked|rate|8</t>
        </is>
      </c>
      <c r="B1860" t="n">
        <v>0.05584086062633106</v>
      </c>
      <c r="C1860" t="n">
        <v>0.05413165651835606</v>
      </c>
      <c r="D1860" t="n">
        <v>0.06836647238963861</v>
      </c>
      <c r="E1860" t="n">
        <v>0.09749307258346317</v>
      </c>
      <c r="F1860" t="n">
        <v>0.06996261105776512</v>
      </c>
    </row>
    <row r="1861">
      <c r="A1861" t="inlineStr">
        <is>
          <t>G|FICO x ASSET_CLASS|where 2023|outcome_booked|book|8</t>
        </is>
      </c>
      <c r="B1861" t="n">
        <v>0.7462475604786474</v>
      </c>
      <c r="C1861" t="n">
        <v>0.7234060537104837</v>
      </c>
      <c r="D1861" t="n">
        <v>0.9136376600764918</v>
      </c>
      <c r="E1861" t="n">
        <v>1.302880485059553</v>
      </c>
      <c r="F1861" t="n">
        <v>0.9349681799487696</v>
      </c>
    </row>
    <row r="1862">
      <c r="A1862" t="inlineStr">
        <is>
          <t>G|FICO x ASSET_CLASS|where 2023|outcome_booked|band|8</t>
        </is>
      </c>
    </row>
    <row r="1863">
      <c r="A1863" t="inlineStr">
        <is>
          <t>G|FICO x ASSET_CLASS|where 2023|outcome_booked|meta</t>
        </is>
      </c>
      <c r="B1863" t="inlineStr">
        <is>
          <t>x</t>
        </is>
      </c>
      <c r="C1863" t="n">
        <v>2.780563265169839</v>
      </c>
      <c r="D1863" t="n">
        <v>10</v>
      </c>
      <c r="E1863" t="n">
        <v>0.07482886857347235</v>
      </c>
      <c r="F1863" t="n">
        <v>30</v>
      </c>
    </row>
    <row r="1864">
      <c r="A1864" t="inlineStr">
        <is>
          <t>G|FICO x ASSET_CLASS|where 2023|gco_rate|rate|1</t>
        </is>
      </c>
      <c r="B1864" t="n">
        <v>0.05255468699334436</v>
      </c>
      <c r="C1864" t="n">
        <v>0.02770899889500422</v>
      </c>
      <c r="D1864" t="n">
        <v>0.07635399782321514</v>
      </c>
      <c r="E1864" t="n">
        <v>0.1093214005706833</v>
      </c>
      <c r="F1864" t="n">
        <v>0.06546603073308264</v>
      </c>
    </row>
    <row r="1865">
      <c r="A1865" t="inlineStr">
        <is>
          <t>G|FICO x ASSET_CLASS|where 2023|gco_rate|book|1</t>
        </is>
      </c>
      <c r="B1865" t="n">
        <v>1.263173941381781</v>
      </c>
      <c r="E1865" t="n">
        <v>2.627585708078421</v>
      </c>
      <c r="F1865" t="n">
        <v>1.573503502707598</v>
      </c>
    </row>
    <row r="1866">
      <c r="A1866" t="inlineStr">
        <is>
          <t>G|FICO x ASSET_CLASS|where 2023|gco_rate|band|1</t>
        </is>
      </c>
      <c r="B1866" t="n">
        <v>0.7378207954488489</v>
      </c>
      <c r="E1866" t="n">
        <v>2.05702199307695</v>
      </c>
    </row>
    <row r="1867">
      <c r="A1867" t="inlineStr">
        <is>
          <t>G|FICO x ASSET_CLASS|where 2023|gco_rate|rate|2</t>
        </is>
      </c>
      <c r="B1867" t="n">
        <v>0.0302063485487198</v>
      </c>
      <c r="C1867" t="n">
        <v>0.06842061456342931</v>
      </c>
      <c r="D1867" t="n">
        <v>0.03573813764931578</v>
      </c>
      <c r="E1867" t="n">
        <v>0.07018966470404035</v>
      </c>
      <c r="F1867" t="n">
        <v>0.05278815324582752</v>
      </c>
    </row>
    <row r="1868">
      <c r="A1868" t="inlineStr">
        <is>
          <t>G|FICO x ASSET_CLASS|where 2023|gco_rate|book|2</t>
        </is>
      </c>
      <c r="E1868" t="n">
        <v>1.687038026117378</v>
      </c>
      <c r="F1868" t="n">
        <v>1.268785400667346</v>
      </c>
    </row>
    <row r="1869">
      <c r="A1869" t="inlineStr">
        <is>
          <t>G|FICO x ASSET_CLASS|where 2023|gco_rate|band|2</t>
        </is>
      </c>
      <c r="E1869" t="n">
        <v>1.583972486149799</v>
      </c>
    </row>
    <row r="1870">
      <c r="A1870" t="inlineStr">
        <is>
          <t>G|FICO x ASSET_CLASS|where 2023|gco_rate|rate|3</t>
        </is>
      </c>
      <c r="B1870" t="n">
        <v>0.04595773550572774</v>
      </c>
      <c r="C1870" t="n">
        <v>0.01674252653097595</v>
      </c>
      <c r="D1870" t="n">
        <v>0.02193146743753798</v>
      </c>
      <c r="E1870" t="n">
        <v>0.05649486929959153</v>
      </c>
      <c r="F1870" t="n">
        <v>0.0358120715518913</v>
      </c>
    </row>
    <row r="1871">
      <c r="A1871" t="inlineStr">
        <is>
          <t>G|FICO x ASSET_CLASS|where 2023|gco_rate|book|3</t>
        </is>
      </c>
      <c r="E1871" t="n">
        <v>1.35787787547952</v>
      </c>
      <c r="F1871" t="n">
        <v>0.86075815801125</v>
      </c>
    </row>
    <row r="1872">
      <c r="A1872" t="inlineStr">
        <is>
          <t>G|FICO x ASSET_CLASS|where 2023|gco_rate|band|3</t>
        </is>
      </c>
      <c r="E1872" t="n">
        <v>2.136309300043388</v>
      </c>
    </row>
    <row r="1873">
      <c r="A1873" t="inlineStr">
        <is>
          <t>G|FICO x ASSET_CLASS|where 2023|gco_rate|rate|4</t>
        </is>
      </c>
      <c r="B1873" t="n">
        <v>0.02424595298707592</v>
      </c>
      <c r="C1873" t="n">
        <v>0.01561786418748078</v>
      </c>
      <c r="D1873" t="n">
        <v>0.02526963378612644</v>
      </c>
      <c r="E1873" t="n">
        <v>0.03319584154118926</v>
      </c>
      <c r="F1873" t="n">
        <v>0.02531128049231552</v>
      </c>
    </row>
    <row r="1874">
      <c r="A1874" t="inlineStr">
        <is>
          <t>G|FICO x ASSET_CLASS|where 2023|gco_rate|book|4</t>
        </is>
      </c>
      <c r="F1874" t="n">
        <v>0.6083672412499964</v>
      </c>
    </row>
    <row r="1875">
      <c r="A1875" t="inlineStr">
        <is>
          <t>G|FICO x ASSET_CLASS|where 2023|gco_rate|band|4</t>
        </is>
      </c>
    </row>
    <row r="1876">
      <c r="A1876" t="inlineStr">
        <is>
          <t>G|FICO x ASSET_CLASS|where 2023|gco_rate|rate|5</t>
        </is>
      </c>
      <c r="B1876" t="n">
        <v>0.02207678625438078</v>
      </c>
      <c r="C1876" t="n">
        <v>0.03871317951669748</v>
      </c>
      <c r="D1876" t="n">
        <v>0.01880519924730035</v>
      </c>
      <c r="E1876" t="n">
        <v>0</v>
      </c>
      <c r="F1876" t="n">
        <v>0.02124350289544902</v>
      </c>
    </row>
    <row r="1877">
      <c r="A1877" t="inlineStr">
        <is>
          <t>G|FICO x ASSET_CLASS|where 2023|gco_rate|book|5</t>
        </is>
      </c>
      <c r="F1877" t="n">
        <v>0.5105965008334644</v>
      </c>
    </row>
    <row r="1878">
      <c r="A1878" t="inlineStr">
        <is>
          <t>G|FICO x ASSET_CLASS|where 2023|gco_rate|band|5</t>
        </is>
      </c>
    </row>
    <row r="1879">
      <c r="A1879" t="inlineStr">
        <is>
          <t>G|FICO x ASSET_CLASS|where 2023|gco_rate|rate|6</t>
        </is>
      </c>
    </row>
    <row r="1880">
      <c r="A1880" t="inlineStr">
        <is>
          <t>G|FICO x ASSET_CLASS|where 2023|gco_rate|book|6</t>
        </is>
      </c>
    </row>
    <row r="1881">
      <c r="A1881" t="inlineStr">
        <is>
          <t>G|FICO x ASSET_CLASS|where 2023|gco_rate|band|6</t>
        </is>
      </c>
    </row>
    <row r="1882">
      <c r="A1882" t="inlineStr">
        <is>
          <t>G|FICO x ASSET_CLASS|where 2023|gco_rate|rate|7</t>
        </is>
      </c>
      <c r="B1882" t="n">
        <v>0</v>
      </c>
      <c r="C1882" t="n">
        <v>0</v>
      </c>
      <c r="D1882" t="n">
        <v>0</v>
      </c>
      <c r="E1882" t="n">
        <v>0</v>
      </c>
      <c r="F1882" t="n">
        <v>0</v>
      </c>
    </row>
    <row r="1883">
      <c r="A1883" t="inlineStr">
        <is>
          <t>G|FICO x ASSET_CLASS|where 2023|gco_rate|book|7</t>
        </is>
      </c>
    </row>
    <row r="1884">
      <c r="A1884" t="inlineStr">
        <is>
          <t>G|FICO x ASSET_CLASS|where 2023|gco_rate|band|7</t>
        </is>
      </c>
    </row>
    <row r="1885">
      <c r="A1885" t="inlineStr">
        <is>
          <t>G|FICO x ASSET_CLASS|where 2023|gco_rate|rate|8</t>
        </is>
      </c>
      <c r="B1885" t="n">
        <v>0.0351135297402121</v>
      </c>
      <c r="C1885" t="n">
        <v>0.03128716766306726</v>
      </c>
      <c r="D1885" t="n">
        <v>0.0350908187182954</v>
      </c>
      <c r="E1885" t="n">
        <v>0.05317850396231008</v>
      </c>
      <c r="F1885" t="n">
        <v>0.0391602258879564</v>
      </c>
    </row>
    <row r="1886">
      <c r="A1886" t="inlineStr">
        <is>
          <t>G|FICO x ASSET_CLASS|where 2023|gco_rate|book|8</t>
        </is>
      </c>
      <c r="B1886" t="n">
        <v>0.8439684126248769</v>
      </c>
      <c r="C1886" t="n">
        <v>0.7520001954656168</v>
      </c>
      <c r="D1886" t="n">
        <v>0.8434225436889442</v>
      </c>
      <c r="E1886" t="n">
        <v>1.278167643836693</v>
      </c>
      <c r="F1886" t="n">
        <v>0.9412324515709749</v>
      </c>
    </row>
    <row r="1887">
      <c r="A1887" t="inlineStr">
        <is>
          <t>G|FICO x ASSET_CLASS|where 2023|gco_rate|band|8</t>
        </is>
      </c>
    </row>
    <row r="1888">
      <c r="A1888" t="inlineStr">
        <is>
          <t>G|FICO x ASSET_CLASS|where 2023|gco_rate|meta</t>
        </is>
      </c>
      <c r="B1888" t="inlineStr">
        <is>
          <t>x</t>
        </is>
      </c>
      <c r="C1888" t="n">
        <v>2.627585708078421</v>
      </c>
      <c r="D1888" t="n">
        <v>10</v>
      </c>
      <c r="E1888" t="n">
        <v>0.04160526533333565</v>
      </c>
      <c r="F1888" t="n">
        <v>30</v>
      </c>
    </row>
    <row r="1889">
      <c r="A1889" t="inlineStr">
        <is>
          <t>G|FICO x ASSET_CLASS|where 2023|ranr_rate|rate|1</t>
        </is>
      </c>
      <c r="B1889" t="n">
        <v>0.2565533338002737</v>
      </c>
      <c r="C1889" t="n">
        <v>0.2844522295189869</v>
      </c>
      <c r="D1889" t="n">
        <v>0.2286482981115868</v>
      </c>
      <c r="E1889" t="n">
        <v>0.213531099309225</v>
      </c>
      <c r="F1889" t="n">
        <v>0.246303799933948</v>
      </c>
    </row>
    <row r="1890">
      <c r="A1890" t="inlineStr">
        <is>
          <t>G|FICO x ASSET_CLASS|where 2023|ranr_rate|book|1</t>
        </is>
      </c>
      <c r="B1890" t="n">
        <v>12.856328415</v>
      </c>
      <c r="C1890" t="n">
        <v>15.646217987</v>
      </c>
      <c r="D1890" t="n">
        <v>10.065824846</v>
      </c>
      <c r="E1890" t="n">
        <v>8.554104966000001</v>
      </c>
      <c r="F1890" t="n">
        <v>11.831375029</v>
      </c>
    </row>
    <row r="1891">
      <c r="A1891" t="inlineStr">
        <is>
          <t>G|FICO x ASSET_CLASS|where 2023|ranr_rate|band|1</t>
        </is>
      </c>
      <c r="B1891" t="n">
        <v>1.482488984</v>
      </c>
      <c r="C1891" t="n">
        <v>4.900046252</v>
      </c>
      <c r="D1891" t="n">
        <v>-2.355902621</v>
      </c>
      <c r="E1891" t="n">
        <v>-4.197973846</v>
      </c>
    </row>
    <row r="1892">
      <c r="A1892" t="inlineStr">
        <is>
          <t>G|FICO x ASSET_CLASS|where 2023|ranr_rate|rate|2</t>
        </is>
      </c>
      <c r="B1892" t="n">
        <v>0.1956621310187698</v>
      </c>
      <c r="C1892" t="n">
        <v>0.16478407542935</v>
      </c>
      <c r="D1892" t="n">
        <v>0.1926580813505061</v>
      </c>
      <c r="E1892" t="n">
        <v>0.1601967497827569</v>
      </c>
      <c r="F1892" t="n">
        <v>0.1767461442065497</v>
      </c>
    </row>
    <row r="1893">
      <c r="A1893" t="inlineStr">
        <is>
          <t>G|FICO x ASSET_CLASS|where 2023|ranr_rate|book|2</t>
        </is>
      </c>
      <c r="B1893" t="n">
        <v>6.767208137</v>
      </c>
      <c r="C1893" t="n">
        <v>3.679402578</v>
      </c>
      <c r="D1893" t="n">
        <v>6.46680317</v>
      </c>
      <c r="E1893" t="n">
        <v>3.220670013</v>
      </c>
      <c r="F1893" t="n">
        <v>4.875609456</v>
      </c>
    </row>
    <row r="1894">
      <c r="A1894" t="inlineStr">
        <is>
          <t>G|FICO x ASSET_CLASS|where 2023|ranr_rate|band|2</t>
        </is>
      </c>
      <c r="B1894" t="n">
        <v>2.39830733</v>
      </c>
      <c r="C1894" t="n">
        <v>-1.518380359</v>
      </c>
      <c r="D1894" t="n">
        <v>2.118778097</v>
      </c>
      <c r="E1894" t="n">
        <v>-2.461008167</v>
      </c>
    </row>
    <row r="1895">
      <c r="A1895" t="inlineStr">
        <is>
          <t>G|FICO x ASSET_CLASS|where 2023|ranr_rate|rate|3</t>
        </is>
      </c>
      <c r="B1895" t="n">
        <v>0.1515790857353828</v>
      </c>
      <c r="C1895" t="n">
        <v>0.1796298364942694</v>
      </c>
      <c r="D1895" t="n">
        <v>0.1703288431983057</v>
      </c>
      <c r="E1895" t="n">
        <v>0.1442548727882446</v>
      </c>
      <c r="F1895" t="n">
        <v>0.1611232270655248</v>
      </c>
    </row>
    <row r="1896">
      <c r="A1896" t="inlineStr">
        <is>
          <t>G|FICO x ASSET_CLASS|where 2023|ranr_rate|book|3</t>
        </is>
      </c>
      <c r="B1896" t="n">
        <v>2.358903609</v>
      </c>
      <c r="C1896" t="n">
        <v>5.163978685</v>
      </c>
      <c r="D1896" t="n">
        <v>4.233879355</v>
      </c>
      <c r="E1896" t="n">
        <v>1.626482314</v>
      </c>
      <c r="F1896" t="n">
        <v>3.313317742</v>
      </c>
    </row>
    <row r="1897">
      <c r="A1897" t="inlineStr">
        <is>
          <t>G|FICO x ASSET_CLASS|where 2023|ranr_rate|band|3</t>
        </is>
      </c>
      <c r="B1897" t="n">
        <v>-1.170591231</v>
      </c>
      <c r="C1897" t="n">
        <v>2.488734403</v>
      </c>
      <c r="D1897" t="n">
        <v>1.222892622</v>
      </c>
      <c r="E1897" t="n">
        <v>-2.450783043</v>
      </c>
    </row>
    <row r="1898">
      <c r="A1898" t="inlineStr">
        <is>
          <t>G|FICO x ASSET_CLASS|where 2023|ranr_rate|rate|4</t>
        </is>
      </c>
      <c r="B1898" t="n">
        <v>0.1235158102858225</v>
      </c>
      <c r="C1898" t="n">
        <v>0.1251508082635272</v>
      </c>
      <c r="D1898" t="n">
        <v>0.1332271920716037</v>
      </c>
      <c r="E1898" t="n">
        <v>0.1128937754346166</v>
      </c>
      <c r="F1898" t="n">
        <v>0.1229505359606699</v>
      </c>
    </row>
    <row r="1899">
      <c r="A1899" t="inlineStr">
        <is>
          <t>G|FICO x ASSET_CLASS|where 2023|ranr_rate|book|4</t>
        </is>
      </c>
      <c r="B1899" t="n">
        <v>-0.447423936</v>
      </c>
      <c r="C1899" t="n">
        <v>-0.283924138</v>
      </c>
      <c r="D1899" t="n">
        <v>0.5237142420000001</v>
      </c>
      <c r="E1899" t="n">
        <v>-1.509627421</v>
      </c>
      <c r="F1899" t="n">
        <v>-0.503951369</v>
      </c>
    </row>
    <row r="1900">
      <c r="A1900" t="inlineStr">
        <is>
          <t>G|FICO x ASSET_CLASS|where 2023|ranr_rate|band|4</t>
        </is>
      </c>
      <c r="B1900" t="n">
        <v>0.072017288</v>
      </c>
      <c r="C1900" t="n">
        <v>0.28546187</v>
      </c>
      <c r="D1900" t="n">
        <v>1.359448715</v>
      </c>
      <c r="E1900" t="n">
        <v>-1.460961072</v>
      </c>
    </row>
    <row r="1901">
      <c r="A1901" t="inlineStr">
        <is>
          <t>G|FICO x ASSET_CLASS|where 2023|ranr_rate|rate|5</t>
        </is>
      </c>
      <c r="B1901" t="n">
        <v>0.05210907195038386</v>
      </c>
      <c r="C1901" t="n">
        <v>0.03325907998635252</v>
      </c>
      <c r="D1901" t="n">
        <v>0.05330431896510451</v>
      </c>
      <c r="E1901" t="n">
        <v>0.07411260549215194</v>
      </c>
      <c r="F1901" t="n">
        <v>0.05182865020196428</v>
      </c>
    </row>
    <row r="1902">
      <c r="A1902" t="inlineStr">
        <is>
          <t>G|FICO x ASSET_CLASS|where 2023|ranr_rate|book|5</t>
        </is>
      </c>
      <c r="B1902" t="n">
        <v>-7.58809777</v>
      </c>
      <c r="C1902" t="n">
        <v>-9.473096966</v>
      </c>
      <c r="D1902" t="n">
        <v>-7.468573068</v>
      </c>
      <c r="E1902" t="n">
        <v>-5.387744416</v>
      </c>
      <c r="F1902" t="n">
        <v>-7.616139945</v>
      </c>
    </row>
    <row r="1903">
      <c r="A1903" t="inlineStr">
        <is>
          <t>G|FICO x ASSET_CLASS|where 2023|ranr_rate|band|5</t>
        </is>
      </c>
      <c r="B1903" t="n">
        <v>0.038841157</v>
      </c>
      <c r="C1903" t="n">
        <v>-2.566281345</v>
      </c>
      <c r="D1903" t="n">
        <v>0.19270901</v>
      </c>
      <c r="E1903" t="n">
        <v>2.825470479</v>
      </c>
    </row>
    <row r="1904">
      <c r="A1904" t="inlineStr">
        <is>
          <t>G|FICO x ASSET_CLASS|where 2023|ranr_rate|rate|6</t>
        </is>
      </c>
    </row>
    <row r="1905">
      <c r="A1905" t="inlineStr">
        <is>
          <t>G|FICO x ASSET_CLASS|where 2023|ranr_rate|book|6</t>
        </is>
      </c>
    </row>
    <row r="1906">
      <c r="A1906" t="inlineStr">
        <is>
          <t>G|FICO x ASSET_CLASS|where 2023|ranr_rate|band|6</t>
        </is>
      </c>
    </row>
    <row r="1907">
      <c r="A1907" t="inlineStr">
        <is>
          <t>G|FICO x ASSET_CLASS|where 2023|ranr_rate|rate|7</t>
        </is>
      </c>
      <c r="B1907" t="n">
        <v>0.2299262517365788</v>
      </c>
      <c r="C1907" t="n">
        <v>0.1947913976506919</v>
      </c>
      <c r="D1907" t="n">
        <v>0.1223251060236326</v>
      </c>
      <c r="E1907" t="n">
        <v>0.1712945081418332</v>
      </c>
      <c r="F1907" t="n">
        <v>0.1818095679837946</v>
      </c>
    </row>
    <row r="1908">
      <c r="A1908" t="inlineStr">
        <is>
          <t>G|FICO x ASSET_CLASS|where 2023|ranr_rate|book|7</t>
        </is>
      </c>
      <c r="B1908" t="n">
        <v>10.193620209</v>
      </c>
      <c r="C1908" t="n">
        <v>6.6801348</v>
      </c>
      <c r="D1908" t="n">
        <v>-0.566494362</v>
      </c>
      <c r="E1908" t="n">
        <v>4.330445849</v>
      </c>
      <c r="F1908" t="n">
        <v>5.381951834</v>
      </c>
    </row>
    <row r="1909">
      <c r="A1909" t="inlineStr">
        <is>
          <t>G|FICO x ASSET_CLASS|where 2023|ranr_rate|band|7</t>
        </is>
      </c>
      <c r="B1909" t="n">
        <v>7.207739318</v>
      </c>
      <c r="C1909" t="n">
        <v>1.562434442</v>
      </c>
      <c r="D1909" t="n">
        <v>-8.087057427</v>
      </c>
      <c r="E1909" t="n">
        <v>-1.372710732</v>
      </c>
    </row>
    <row r="1910">
      <c r="A1910" t="inlineStr">
        <is>
          <t>G|FICO x ASSET_CLASS|where 2023|ranr_rate|rate|8</t>
        </is>
      </c>
      <c r="B1910" t="n">
        <v>0.1587278574354547</v>
      </c>
      <c r="C1910" t="n">
        <v>0.1529480229945828</v>
      </c>
      <c r="D1910" t="n">
        <v>0.1558239760490648</v>
      </c>
      <c r="E1910" t="n">
        <v>0.1411732506754115</v>
      </c>
      <c r="F1910" t="n">
        <v>0.151807487232064</v>
      </c>
    </row>
    <row r="1911">
      <c r="A1911" t="inlineStr">
        <is>
          <t>G|FICO x ASSET_CLASS|where 2023|ranr_rate|book|8</t>
        </is>
      </c>
      <c r="B1911" t="n">
        <v>3.073780779</v>
      </c>
      <c r="C1911" t="n">
        <v>2.495797335</v>
      </c>
      <c r="D1911" t="n">
        <v>2.78339264</v>
      </c>
      <c r="E1911" t="n">
        <v>1.318320103</v>
      </c>
      <c r="F1911" t="n">
        <v>2.381743758</v>
      </c>
    </row>
    <row r="1912">
      <c r="A1912" t="inlineStr">
        <is>
          <t>G|FICO x ASSET_CLASS|where 2023|ranr_rate|band|8</t>
        </is>
      </c>
    </row>
    <row r="1913">
      <c r="A1913" t="inlineStr">
        <is>
          <t>G|FICO x ASSET_CLASS|where 2023|ranr_rate|meta</t>
        </is>
      </c>
      <c r="B1913" t="inlineStr">
        <is>
          <t>pts</t>
        </is>
      </c>
      <c r="C1913" t="n">
        <v>15.646217987</v>
      </c>
      <c r="D1913" t="n">
        <v>10</v>
      </c>
      <c r="E1913" t="n">
        <v>0.1279900496481481</v>
      </c>
      <c r="F1913" t="n">
        <v>30</v>
      </c>
    </row>
    <row r="1914">
      <c r="A1914" t="inlineStr">
        <is>
          <t>G|FICO x ASSET_CLASS|where 2023|contribution_rate|rate|1</t>
        </is>
      </c>
      <c r="B1914" t="n">
        <v>0.3091080207936181</v>
      </c>
      <c r="C1914" t="n">
        <v>0.312161228413991</v>
      </c>
      <c r="D1914" t="n">
        <v>0.3050022959348018</v>
      </c>
      <c r="E1914" t="n">
        <v>0.3228524998799084</v>
      </c>
      <c r="F1914" t="n">
        <v>0.3117698306670306</v>
      </c>
    </row>
    <row r="1915">
      <c r="A1915" t="inlineStr">
        <is>
          <t>G|FICO x ASSET_CLASS|where 2023|contribution_rate|book|1</t>
        </is>
      </c>
      <c r="B1915" t="n">
        <v>13.951556506</v>
      </c>
      <c r="C1915" t="n">
        <v>14.256877268</v>
      </c>
      <c r="D1915" t="n">
        <v>13.54098402</v>
      </c>
      <c r="E1915" t="n">
        <v>15.326004414</v>
      </c>
      <c r="F1915" t="n">
        <v>14.217737493</v>
      </c>
    </row>
    <row r="1916">
      <c r="A1916" t="inlineStr">
        <is>
          <t>G|FICO x ASSET_CLASS|where 2023|contribution_rate|band|1</t>
        </is>
      </c>
      <c r="B1916" t="n">
        <v>-0.385003247</v>
      </c>
      <c r="C1916" t="n">
        <v>0.050273814</v>
      </c>
      <c r="D1916" t="n">
        <v>-0.903041611</v>
      </c>
      <c r="E1916" t="n">
        <v>1.419619214</v>
      </c>
    </row>
    <row r="1917">
      <c r="A1917" t="inlineStr">
        <is>
          <t>G|FICO x ASSET_CLASS|where 2023|contribution_rate|rate|2</t>
        </is>
      </c>
      <c r="B1917" t="n">
        <v>0.2258684795674895</v>
      </c>
      <c r="C1917" t="n">
        <v>0.2332046899927793</v>
      </c>
      <c r="D1917" t="n">
        <v>0.2283962189998219</v>
      </c>
      <c r="E1917" t="n">
        <v>0.2303864144867971</v>
      </c>
      <c r="F1917" t="n">
        <v>0.2295342974523772</v>
      </c>
    </row>
    <row r="1918">
      <c r="A1918" t="inlineStr">
        <is>
          <t>G|FICO x ASSET_CLASS|where 2023|contribution_rate|book|2</t>
        </is>
      </c>
      <c r="B1918" t="n">
        <v>5.627602383</v>
      </c>
      <c r="C1918" t="n">
        <v>6.361223426</v>
      </c>
      <c r="D1918" t="n">
        <v>5.880376326</v>
      </c>
      <c r="E1918" t="n">
        <v>6.079395875</v>
      </c>
      <c r="F1918" t="n">
        <v>5.994184172</v>
      </c>
    </row>
    <row r="1919">
      <c r="A1919" t="inlineStr">
        <is>
          <t>G|FICO x ASSET_CLASS|where 2023|contribution_rate|band|2</t>
        </is>
      </c>
      <c r="B1919" t="n">
        <v>-0.464779236</v>
      </c>
      <c r="C1919" t="n">
        <v>0.465893655</v>
      </c>
      <c r="D1919" t="n">
        <v>-0.151542561</v>
      </c>
      <c r="E1919" t="n">
        <v>0.126715632</v>
      </c>
    </row>
    <row r="1920">
      <c r="A1920" t="inlineStr">
        <is>
          <t>G|FICO x ASSET_CLASS|where 2023|contribution_rate|rate|3</t>
        </is>
      </c>
      <c r="B1920" t="n">
        <v>0.1975368212411104</v>
      </c>
      <c r="C1920" t="n">
        <v>0.1963723630252454</v>
      </c>
      <c r="D1920" t="n">
        <v>0.1922603106358437</v>
      </c>
      <c r="E1920" t="n">
        <v>0.2007497420878363</v>
      </c>
      <c r="F1920" t="n">
        <v>0.1969352986174161</v>
      </c>
    </row>
    <row r="1921">
      <c r="A1921" t="inlineStr">
        <is>
          <t>G|FICO x ASSET_CLASS|where 2023|contribution_rate|book|3</t>
        </is>
      </c>
      <c r="B1921" t="n">
        <v>2.794436551</v>
      </c>
      <c r="C1921" t="n">
        <v>2.677990729</v>
      </c>
      <c r="D1921" t="n">
        <v>2.26678549</v>
      </c>
      <c r="E1921" t="n">
        <v>3.115728635</v>
      </c>
      <c r="F1921" t="n">
        <v>2.734284288</v>
      </c>
    </row>
    <row r="1922">
      <c r="A1922" t="inlineStr">
        <is>
          <t>G|FICO x ASSET_CLASS|where 2023|contribution_rate|band|3</t>
        </is>
      </c>
      <c r="B1922" t="n">
        <v>0.073776895</v>
      </c>
      <c r="C1922" t="n">
        <v>-0.075702531</v>
      </c>
      <c r="D1922" t="n">
        <v>-0.621034837</v>
      </c>
      <c r="E1922" t="n">
        <v>0.554195935</v>
      </c>
    </row>
    <row r="1923">
      <c r="A1923" t="inlineStr">
        <is>
          <t>G|FICO x ASSET_CLASS|where 2023|contribution_rate|rate|4</t>
        </is>
      </c>
      <c r="B1923" t="n">
        <v>0.1473347505828949</v>
      </c>
      <c r="C1923" t="n">
        <v>0.1407686724510079</v>
      </c>
      <c r="D1923" t="n">
        <v>0.1584968258577302</v>
      </c>
      <c r="E1923" t="n">
        <v>0.1460896169758059</v>
      </c>
      <c r="F1923" t="n">
        <v>0.1481690691788834</v>
      </c>
    </row>
    <row r="1924">
      <c r="A1924" t="inlineStr">
        <is>
          <t>G|FICO x ASSET_CLASS|where 2023|contribution_rate|book|4</t>
        </is>
      </c>
      <c r="B1924" t="n">
        <v>-2.225770515</v>
      </c>
      <c r="C1924" t="n">
        <v>-2.882378328</v>
      </c>
      <c r="D1924" t="n">
        <v>-1.109562988</v>
      </c>
      <c r="E1924" t="n">
        <v>-2.350283876</v>
      </c>
      <c r="F1924" t="n">
        <v>-2.142338656</v>
      </c>
    </row>
    <row r="1925">
      <c r="A1925" t="inlineStr">
        <is>
          <t>G|FICO x ASSET_CLASS|where 2023|contribution_rate|band|4</t>
        </is>
      </c>
      <c r="B1925" t="n">
        <v>-0.105878601</v>
      </c>
      <c r="C1925" t="n">
        <v>-0.961244572</v>
      </c>
      <c r="D1925" t="n">
        <v>1.367941967</v>
      </c>
      <c r="E1925" t="n">
        <v>-0.302622942</v>
      </c>
    </row>
    <row r="1926">
      <c r="A1926" t="inlineStr">
        <is>
          <t>G|FICO x ASSET_CLASS|where 2023|contribution_rate|rate|5</t>
        </is>
      </c>
      <c r="B1926" t="n">
        <v>0.07418585820476463</v>
      </c>
      <c r="C1926" t="n">
        <v>0.07197225950304997</v>
      </c>
      <c r="D1926" t="n">
        <v>0.07210951821240487</v>
      </c>
      <c r="E1926" t="n">
        <v>0.07411260549215194</v>
      </c>
      <c r="F1926" t="n">
        <v>0.0730721530974133</v>
      </c>
    </row>
    <row r="1927">
      <c r="A1927" t="inlineStr">
        <is>
          <t>G|FICO x ASSET_CLASS|where 2023|contribution_rate|book|5</t>
        </is>
      </c>
      <c r="B1927" t="n">
        <v>-9.540659753</v>
      </c>
      <c r="C1927" t="n">
        <v>-9.762019623</v>
      </c>
      <c r="D1927" t="n">
        <v>-9.748293752</v>
      </c>
      <c r="E1927" t="n">
        <v>-9.547985024000001</v>
      </c>
      <c r="F1927" t="n">
        <v>-9.652030264</v>
      </c>
    </row>
    <row r="1928">
      <c r="A1928" t="inlineStr">
        <is>
          <t>G|FICO x ASSET_CLASS|where 2023|contribution_rate|band|5</t>
        </is>
      </c>
      <c r="B1928" t="n">
        <v>0.154259057</v>
      </c>
      <c r="C1928" t="n">
        <v>-0.152003325</v>
      </c>
      <c r="D1928" t="n">
        <v>-0.12571142</v>
      </c>
      <c r="E1928" t="n">
        <v>0.131923058</v>
      </c>
    </row>
    <row r="1929">
      <c r="A1929" t="inlineStr">
        <is>
          <t>G|FICO x ASSET_CLASS|where 2023|contribution_rate|rate|6</t>
        </is>
      </c>
    </row>
    <row r="1930">
      <c r="A1930" t="inlineStr">
        <is>
          <t>G|FICO x ASSET_CLASS|where 2023|contribution_rate|book|6</t>
        </is>
      </c>
    </row>
    <row r="1931">
      <c r="A1931" t="inlineStr">
        <is>
          <t>G|FICO x ASSET_CLASS|where 2023|contribution_rate|band|6</t>
        </is>
      </c>
    </row>
    <row r="1932">
      <c r="A1932" t="inlineStr">
        <is>
          <t>G|FICO x ASSET_CLASS|where 2023|contribution_rate|rate|7</t>
        </is>
      </c>
      <c r="B1932" t="n">
        <v>0.2299262517365788</v>
      </c>
      <c r="C1932" t="n">
        <v>0.1947913976506919</v>
      </c>
      <c r="D1932" t="n">
        <v>0.1223251060236326</v>
      </c>
      <c r="E1932" t="n">
        <v>0.1712945081418332</v>
      </c>
      <c r="F1932" t="n">
        <v>0.1818095679837946</v>
      </c>
    </row>
    <row r="1933">
      <c r="A1933" t="inlineStr">
        <is>
          <t>G|FICO x ASSET_CLASS|where 2023|contribution_rate|book|7</t>
        </is>
      </c>
      <c r="B1933" t="n">
        <v>6.0333796</v>
      </c>
      <c r="C1933" t="n">
        <v>2.519894192</v>
      </c>
      <c r="D1933" t="n">
        <v>-4.726734971</v>
      </c>
      <c r="E1933" t="n">
        <v>0.170205241</v>
      </c>
      <c r="F1933" t="n">
        <v>1.221711225</v>
      </c>
    </row>
    <row r="1934">
      <c r="A1934" t="inlineStr">
        <is>
          <t>G|FICO x ASSET_CLASS|where 2023|contribution_rate|band|7</t>
        </is>
      </c>
      <c r="B1934" t="n">
        <v>7.207739318</v>
      </c>
      <c r="C1934" t="n">
        <v>1.562434442</v>
      </c>
      <c r="D1934" t="n">
        <v>-8.087057427</v>
      </c>
      <c r="E1934" t="n">
        <v>-1.372710732</v>
      </c>
    </row>
    <row r="1935">
      <c r="A1935" t="inlineStr">
        <is>
          <t>G|FICO x ASSET_CLASS|where 2023|contribution_rate|rate|8</t>
        </is>
      </c>
      <c r="B1935" t="n">
        <v>0.1938797210893883</v>
      </c>
      <c r="C1935" t="n">
        <v>0.1842351906576501</v>
      </c>
      <c r="D1935" t="n">
        <v>0.1909147947673601</v>
      </c>
      <c r="E1935" t="n">
        <v>0.1943517546377216</v>
      </c>
      <c r="F1935" t="n">
        <v>0.1909716714812922</v>
      </c>
    </row>
    <row r="1936">
      <c r="A1936" t="inlineStr">
        <is>
          <t>G|FICO x ASSET_CLASS|where 2023|contribution_rate|book|8</t>
        </is>
      </c>
      <c r="B1936" t="n">
        <v>2.428726535</v>
      </c>
      <c r="C1936" t="n">
        <v>1.464273492</v>
      </c>
      <c r="D1936" t="n">
        <v>2.132233903</v>
      </c>
      <c r="E1936" t="n">
        <v>2.47592989</v>
      </c>
      <c r="F1936" t="n">
        <v>2.137921575</v>
      </c>
    </row>
    <row r="1937">
      <c r="A1937" t="inlineStr">
        <is>
          <t>G|FICO x ASSET_CLASS|where 2023|contribution_rate|band|8</t>
        </is>
      </c>
    </row>
    <row r="1938">
      <c r="A1938" t="inlineStr">
        <is>
          <t>G|FICO x ASSET_CLASS|where 2023|contribution_rate|meta</t>
        </is>
      </c>
      <c r="B1938" t="inlineStr">
        <is>
          <t>pts</t>
        </is>
      </c>
      <c r="C1938" t="n">
        <v>15.326004414</v>
      </c>
      <c r="D1938" t="n">
        <v>10</v>
      </c>
      <c r="E1938" t="n">
        <v>0.1695924557349815</v>
      </c>
      <c r="F1938" t="n">
        <v>30</v>
      </c>
    </row>
    <row r="1939">
      <c r="A1939" t="inlineStr">
        <is>
          <t>G|FICO x ASSET_CLASS|where 2023|loan_size|rate|1</t>
        </is>
      </c>
      <c r="B1939" t="n">
        <v>33523.48677083333</v>
      </c>
      <c r="C1939" t="n">
        <v>33469.47</v>
      </c>
      <c r="D1939" t="n">
        <v>34840.12986666667</v>
      </c>
      <c r="E1939" t="n">
        <v>28234.63530864197</v>
      </c>
      <c r="F1939" t="n">
        <v>32484.93258566978</v>
      </c>
    </row>
    <row r="1940">
      <c r="A1940" t="inlineStr">
        <is>
          <t>G|FICO x ASSET_CLASS|where 2023|loan_size|median|1</t>
        </is>
      </c>
      <c r="B1940" t="n">
        <v>33835.75999999999</v>
      </c>
      <c r="C1940" t="n">
        <v>31641.43</v>
      </c>
      <c r="D1940" t="n">
        <v>35853.91</v>
      </c>
      <c r="E1940" t="n">
        <v>25522.32</v>
      </c>
      <c r="F1940" t="n">
        <v>31407.19</v>
      </c>
    </row>
    <row r="1941">
      <c r="A1941" t="inlineStr">
        <is>
          <t>G|FICO x ASSET_CLASS|where 2023|loan_size|book|1</t>
        </is>
      </c>
      <c r="B1941" t="n">
        <v>1.039082362857811</v>
      </c>
      <c r="C1941" t="n">
        <v>1.037408077773591</v>
      </c>
      <c r="D1941" t="n">
        <v>1.079892575363785</v>
      </c>
      <c r="E1941" t="n">
        <v>0.875150958236764</v>
      </c>
      <c r="F1941" t="n">
        <v>1.006891697726447</v>
      </c>
    </row>
    <row r="1942">
      <c r="A1942" t="inlineStr">
        <is>
          <t>G|FICO x ASSET_CLASS|where 2023|loan_size|band|1</t>
        </is>
      </c>
      <c r="B1942" t="n">
        <v>1.046241780782164</v>
      </c>
      <c r="C1942" t="n">
        <v>1.038929046795072</v>
      </c>
      <c r="D1942" t="n">
        <v>1.096743677194486</v>
      </c>
      <c r="E1942" t="n">
        <v>0.8324035424795426</v>
      </c>
    </row>
    <row r="1943">
      <c r="A1943" t="inlineStr">
        <is>
          <t>G|FICO x ASSET_CLASS|where 2023|loan_size|rate|2</t>
        </is>
      </c>
      <c r="B1943" t="n">
        <v>32680.28465517241</v>
      </c>
      <c r="C1943" t="n">
        <v>30702.79161290323</v>
      </c>
      <c r="D1943" t="n">
        <v>31463.60267605634</v>
      </c>
      <c r="E1943" t="n">
        <v>31939.75130434783</v>
      </c>
      <c r="F1943" t="n">
        <v>31701.06890459364</v>
      </c>
    </row>
    <row r="1944">
      <c r="A1944" t="inlineStr">
        <is>
          <t>G|FICO x ASSET_CLASS|where 2023|loan_size|median|2</t>
        </is>
      </c>
      <c r="B1944" t="n">
        <v>33353.1</v>
      </c>
      <c r="C1944" t="n">
        <v>30274.97</v>
      </c>
      <c r="D1944" t="n">
        <v>28501.47</v>
      </c>
      <c r="E1944" t="n">
        <v>32466.36</v>
      </c>
      <c r="F1944" t="n">
        <v>31687.93</v>
      </c>
    </row>
    <row r="1945">
      <c r="A1945" t="inlineStr">
        <is>
          <t>G|FICO x ASSET_CLASS|where 2023|loan_size|book|2</t>
        </is>
      </c>
      <c r="B1945" t="n">
        <v>1.012946762683012</v>
      </c>
      <c r="C1945" t="n">
        <v>0.9516530745609376</v>
      </c>
      <c r="D1945" t="n">
        <v>0.9752349102629835</v>
      </c>
      <c r="E1945" t="n">
        <v>0.9899934479156683</v>
      </c>
      <c r="F1945" t="n">
        <v>0.9825953310788202</v>
      </c>
    </row>
    <row r="1946">
      <c r="A1946" t="inlineStr">
        <is>
          <t>G|FICO x ASSET_CLASS|where 2023|loan_size|band|2</t>
        </is>
      </c>
      <c r="B1946" t="n">
        <v>1.039163393531469</v>
      </c>
      <c r="C1946" t="n">
        <v>0.960028396731116</v>
      </c>
      <c r="D1946" t="n">
        <v>0.9900255175900665</v>
      </c>
      <c r="E1946" t="n">
        <v>1.011196375049965</v>
      </c>
    </row>
    <row r="1947">
      <c r="A1947" t="inlineStr">
        <is>
          <t>G|FICO x ASSET_CLASS|where 2023|loan_size|rate|3</t>
        </is>
      </c>
      <c r="B1947" t="n">
        <v>30734.44357142857</v>
      </c>
      <c r="C1947" t="n">
        <v>33941.29715909091</v>
      </c>
      <c r="D1947" t="n">
        <v>36457.44721518987</v>
      </c>
      <c r="E1947" t="n">
        <v>34585.04876190476</v>
      </c>
      <c r="F1947" t="n">
        <v>34063.78260233918</v>
      </c>
    </row>
    <row r="1948">
      <c r="A1948" t="inlineStr">
        <is>
          <t>G|FICO x ASSET_CLASS|where 2023|loan_size|median|3</t>
        </is>
      </c>
      <c r="B1948" t="n">
        <v>30205.96</v>
      </c>
      <c r="C1948" t="n">
        <v>34625.665</v>
      </c>
      <c r="D1948" t="n">
        <v>38376.41</v>
      </c>
      <c r="E1948" t="n">
        <v>35879.74</v>
      </c>
      <c r="F1948" t="n">
        <v>34861.11500000001</v>
      </c>
    </row>
    <row r="1949">
      <c r="A1949" t="inlineStr">
        <is>
          <t>G|FICO x ASSET_CLASS|where 2023|loan_size|book|3</t>
        </is>
      </c>
      <c r="B1949" t="n">
        <v>0.9526341476837431</v>
      </c>
      <c r="C1949" t="n">
        <v>1.052032668666541</v>
      </c>
      <c r="D1949" t="n">
        <v>1.130022382668213</v>
      </c>
      <c r="E1949" t="n">
        <v>1.071986169957084</v>
      </c>
      <c r="F1949" t="n">
        <v>1.055829184961405</v>
      </c>
    </row>
    <row r="1950">
      <c r="A1950" t="inlineStr">
        <is>
          <t>G|FICO x ASSET_CLASS|where 2023|loan_size|band|3</t>
        </is>
      </c>
      <c r="B1950" t="n">
        <v>0.8801236379924103</v>
      </c>
      <c r="C1950" t="n">
        <v>0.9951644787349537</v>
      </c>
      <c r="D1950" t="n">
        <v>1.093348187672122</v>
      </c>
      <c r="E1950" t="n">
        <v>1.022233038106052</v>
      </c>
    </row>
    <row r="1951">
      <c r="A1951" t="inlineStr">
        <is>
          <t>G|FICO x ASSET_CLASS|where 2023|loan_size|rate|4</t>
        </is>
      </c>
      <c r="B1951" t="n">
        <v>31189.14428571429</v>
      </c>
      <c r="C1951" t="n">
        <v>31442.62337837838</v>
      </c>
      <c r="D1951" t="n">
        <v>34407.23916666667</v>
      </c>
      <c r="E1951" t="n">
        <v>32610.98134020618</v>
      </c>
      <c r="F1951" t="n">
        <v>32429.97009584665</v>
      </c>
    </row>
    <row r="1952">
      <c r="A1952" t="inlineStr">
        <is>
          <t>G|FICO x ASSET_CLASS|where 2023|loan_size|median|4</t>
        </is>
      </c>
      <c r="B1952" t="n">
        <v>30163.18</v>
      </c>
      <c r="C1952" t="n">
        <v>31704.695</v>
      </c>
      <c r="D1952" t="n">
        <v>36563.495</v>
      </c>
      <c r="E1952" t="n">
        <v>34655.68</v>
      </c>
      <c r="F1952" t="n">
        <v>33073.02</v>
      </c>
    </row>
    <row r="1953">
      <c r="A1953" t="inlineStr">
        <is>
          <t>G|FICO x ASSET_CLASS|where 2023|loan_size|book|4</t>
        </is>
      </c>
      <c r="B1953" t="n">
        <v>0.9667278932366133</v>
      </c>
      <c r="C1953" t="n">
        <v>0.9745846432322496</v>
      </c>
      <c r="D1953" t="n">
        <v>1.066474845445353</v>
      </c>
      <c r="E1953" t="n">
        <v>1.010798661181481</v>
      </c>
      <c r="F1953" t="n">
        <v>1.005188099464596</v>
      </c>
    </row>
    <row r="1954">
      <c r="A1954" t="inlineStr">
        <is>
          <t>G|FICO x ASSET_CLASS|where 2023|loan_size|band|4</t>
        </is>
      </c>
      <c r="B1954" t="n">
        <v>0.9512536866446744</v>
      </c>
      <c r="C1954" t="n">
        <v>0.960500207644869</v>
      </c>
      <c r="D1954" t="n">
        <v>1.080654801993736</v>
      </c>
      <c r="E1954" t="n">
        <v>1.008108481703733</v>
      </c>
    </row>
    <row r="1955">
      <c r="A1955" t="inlineStr">
        <is>
          <t>G|FICO x ASSET_CLASS|where 2023|loan_size|rate|5</t>
        </is>
      </c>
      <c r="B1955" t="n">
        <v>30664.67968421053</v>
      </c>
      <c r="C1955" t="n">
        <v>32540.33067415731</v>
      </c>
      <c r="D1955" t="n">
        <v>33622.39054794521</v>
      </c>
      <c r="E1955" t="n">
        <v>29522.16453333333</v>
      </c>
      <c r="F1955" t="n">
        <v>31559.73147590361</v>
      </c>
    </row>
    <row r="1956">
      <c r="A1956" t="inlineStr">
        <is>
          <t>G|FICO x ASSET_CLASS|where 2023|loan_size|median|5</t>
        </is>
      </c>
      <c r="B1956" t="n">
        <v>31761.13</v>
      </c>
      <c r="C1956" t="n">
        <v>29521.51</v>
      </c>
      <c r="D1956" t="n">
        <v>31350.29</v>
      </c>
      <c r="E1956" t="n">
        <v>27238.86</v>
      </c>
      <c r="F1956" t="n">
        <v>30470.05</v>
      </c>
    </row>
    <row r="1957">
      <c r="A1957" t="inlineStr">
        <is>
          <t>G|FICO x ASSET_CLASS|where 2023|loan_size|book|5</t>
        </is>
      </c>
      <c r="B1957" t="n">
        <v>0.9504717704445192</v>
      </c>
      <c r="C1957" t="n">
        <v>1.00860879765334</v>
      </c>
      <c r="D1957" t="n">
        <v>1.042147950012259</v>
      </c>
      <c r="E1957" t="n">
        <v>0.9150587672957179</v>
      </c>
      <c r="F1957" t="n">
        <v>0.9782144851850914</v>
      </c>
    </row>
    <row r="1958">
      <c r="A1958" t="inlineStr">
        <is>
          <t>G|FICO x ASSET_CLASS|where 2023|loan_size|band|5</t>
        </is>
      </c>
      <c r="B1958" t="n">
        <v>0.9607178429027853</v>
      </c>
      <c r="C1958" t="n">
        <v>1.042939862465031</v>
      </c>
      <c r="D1958" t="n">
        <v>1.085350739624289</v>
      </c>
      <c r="E1958" t="n">
        <v>0.9181389930979535</v>
      </c>
    </row>
    <row r="1959">
      <c r="A1959" t="inlineStr">
        <is>
          <t>G|FICO x ASSET_CLASS|where 2023|loan_size|rate|6</t>
        </is>
      </c>
    </row>
    <row r="1960">
      <c r="A1960" t="inlineStr">
        <is>
          <t>G|FICO x ASSET_CLASS|where 2023|loan_size|median|6</t>
        </is>
      </c>
    </row>
    <row r="1961">
      <c r="A1961" t="inlineStr">
        <is>
          <t>G|FICO x ASSET_CLASS|where 2023|loan_size|book|6</t>
        </is>
      </c>
    </row>
    <row r="1962">
      <c r="A1962" t="inlineStr">
        <is>
          <t>G|FICO x ASSET_CLASS|where 2023|loan_size|band|6</t>
        </is>
      </c>
    </row>
    <row r="1963">
      <c r="A1963" t="inlineStr">
        <is>
          <t>G|FICO x ASSET_CLASS|where 2023|loan_size|rate|7</t>
        </is>
      </c>
      <c r="B1963" t="n">
        <v>36151.74714285714</v>
      </c>
      <c r="C1963" t="n">
        <v>32187.1375</v>
      </c>
      <c r="D1963" t="n">
        <v>33551.875</v>
      </c>
      <c r="E1963" t="n">
        <v>44531.74</v>
      </c>
      <c r="F1963" t="n">
        <v>36249.9519047619</v>
      </c>
    </row>
    <row r="1964">
      <c r="A1964" t="inlineStr">
        <is>
          <t>G|FICO x ASSET_CLASS|where 2023|loan_size|median|7</t>
        </is>
      </c>
      <c r="B1964" t="n">
        <v>41604.16</v>
      </c>
      <c r="C1964" t="n">
        <v>32605.5</v>
      </c>
      <c r="D1964" t="n">
        <v>34218.19</v>
      </c>
      <c r="E1964" t="n">
        <v>42056.93</v>
      </c>
      <c r="F1964" t="n">
        <v>41492.88</v>
      </c>
    </row>
    <row r="1965">
      <c r="A1965" t="inlineStr">
        <is>
          <t>G|FICO x ASSET_CLASS|where 2023|loan_size|book|7</t>
        </is>
      </c>
      <c r="B1965" t="n">
        <v>1.120547009308135</v>
      </c>
      <c r="C1965" t="n">
        <v>0.9976613445898386</v>
      </c>
      <c r="D1965" t="n">
        <v>1.039962274557972</v>
      </c>
      <c r="E1965" t="n">
        <v>1.380290359940367</v>
      </c>
      <c r="F1965" t="n">
        <v>1.12359093002979</v>
      </c>
    </row>
    <row r="1966">
      <c r="A1966" t="inlineStr">
        <is>
          <t>G|FICO x ASSET_CLASS|where 2023|loan_size|band|7</t>
        </is>
      </c>
      <c r="B1966" t="n">
        <v>0.995941846261402</v>
      </c>
      <c r="C1966" t="n">
        <v>0.8651082321776726</v>
      </c>
      <c r="D1966" t="n">
        <v>0.8988108660080673</v>
      </c>
      <c r="E1966" t="n">
        <v>1.298252408676791</v>
      </c>
    </row>
    <row r="1967">
      <c r="A1967" t="inlineStr">
        <is>
          <t>G|FICO x ASSET_CLASS|where 2023|loan_size|rate|8</t>
        </is>
      </c>
      <c r="B1967" t="n">
        <v>31854.9727020202</v>
      </c>
      <c r="C1967" t="n">
        <v>32516.56158031088</v>
      </c>
      <c r="D1967" t="n">
        <v>34202.47563829787</v>
      </c>
      <c r="E1967" t="n">
        <v>31745.47839207048</v>
      </c>
      <c r="F1967" t="n">
        <v>32530.11165632755</v>
      </c>
    </row>
    <row r="1968">
      <c r="A1968" t="inlineStr">
        <is>
          <t>G|FICO x ASSET_CLASS|where 2023|loan_size|median|8</t>
        </is>
      </c>
      <c r="B1968" t="n">
        <v>31632.31</v>
      </c>
      <c r="C1968" t="n">
        <v>32373.84</v>
      </c>
      <c r="D1968" t="n">
        <v>35527.47500000001</v>
      </c>
      <c r="E1968" t="n">
        <v>31808.025</v>
      </c>
      <c r="F1968" t="n">
        <v>32687.82</v>
      </c>
    </row>
    <row r="1969">
      <c r="A1969" t="inlineStr">
        <is>
          <t>G|FICO x ASSET_CLASS|where 2023|loan_size|book|8</t>
        </is>
      </c>
      <c r="B1969" t="n">
        <v>0.9873656797772115</v>
      </c>
      <c r="C1969" t="n">
        <v>1.007872059068665</v>
      </c>
      <c r="D1969" t="n">
        <v>1.060128066175672</v>
      </c>
      <c r="E1969" t="n">
        <v>0.9839718321419761</v>
      </c>
      <c r="F1969" t="n">
        <v>1.008292052522823</v>
      </c>
    </row>
    <row r="1970">
      <c r="A1970" t="inlineStr">
        <is>
          <t>G|FICO x ASSET_CLASS|where 2023|loan_size|band|8</t>
        </is>
      </c>
    </row>
    <row r="1971">
      <c r="A1971" t="inlineStr">
        <is>
          <t>G|FICO x ASSET_CLASS|where 2023|loan_size|meta</t>
        </is>
      </c>
      <c r="B1971" t="inlineStr">
        <is>
          <t>size</t>
        </is>
      </c>
      <c r="C1971" t="n">
        <v>1</v>
      </c>
      <c r="E1971" t="n">
        <v>32262.58857732217</v>
      </c>
      <c r="F1971" t="n">
        <v>30</v>
      </c>
    </row>
    <row r="1972">
      <c r="A1972" t="inlineStr">
        <is>
          <t>G|FICO x ASSET_CLASS|where 2024|cols</t>
        </is>
      </c>
      <c r="B1972" t="inlineStr">
        <is>
          <t>1</t>
        </is>
      </c>
      <c r="C1972" t="inlineStr">
        <is>
          <t>2</t>
        </is>
      </c>
      <c r="D1972" t="inlineStr">
        <is>
          <t>3</t>
        </is>
      </c>
      <c r="E1972" t="inlineStr">
        <is>
          <t>4</t>
        </is>
      </c>
      <c r="F1972" t="inlineStr">
        <is>
          <t>All</t>
        </is>
      </c>
    </row>
    <row r="1973">
      <c r="A1973" t="inlineStr">
        <is>
          <t>G|FICO x ASSET_CLASS|where 2024|heads</t>
        </is>
      </c>
      <c r="B1973" t="inlineStr">
        <is>
          <t>1</t>
        </is>
      </c>
      <c r="C1973" t="inlineStr">
        <is>
          <t>2</t>
        </is>
      </c>
      <c r="D1973" t="inlineStr">
        <is>
          <t>3</t>
        </is>
      </c>
      <c r="E1973" t="inlineStr">
        <is>
          <t>4</t>
        </is>
      </c>
      <c r="F1973" t="inlineStr">
        <is>
          <t>All</t>
        </is>
      </c>
    </row>
    <row r="1974">
      <c r="A1974" t="inlineStr">
        <is>
          <t>G|FICO x ASSET_CLASS|where 2024|segs</t>
        </is>
      </c>
    </row>
    <row r="1975">
      <c r="A1975" t="inlineStr">
        <is>
          <t>G|FICO x ASSET_CLASS|where 2024|rows</t>
        </is>
      </c>
      <c r="B1975" t="inlineStr">
        <is>
          <t>496 - 653</t>
        </is>
      </c>
      <c r="C1975" t="inlineStr">
        <is>
          <t>654 - 685</t>
        </is>
      </c>
      <c r="D1975" t="inlineStr">
        <is>
          <t>686 - 711</t>
        </is>
      </c>
      <c r="E1975" t="inlineStr">
        <is>
          <t>712 - 745</t>
        </is>
      </c>
      <c r="F1975" t="inlineStr">
        <is>
          <t>746 - 921</t>
        </is>
      </c>
      <c r="G1975" t="inlineStr">
        <is>
          <t>(blank)</t>
        </is>
      </c>
      <c r="H1975" t="inlineStr">
        <is>
          <t>(marked missing)</t>
        </is>
      </c>
      <c r="I1975" t="inlineStr">
        <is>
          <t>All</t>
        </is>
      </c>
    </row>
    <row r="1976">
      <c r="A1976" t="inlineStr">
        <is>
          <t>G|FICO x ASSET_CLASS|where 2024|names</t>
        </is>
      </c>
      <c r="B1976" t="inlineStr">
        <is>
          <t>FICO</t>
        </is>
      </c>
      <c r="C1976" t="inlineStr">
        <is>
          <t>ASSET_CLASS</t>
        </is>
      </c>
    </row>
    <row r="1977">
      <c r="A1977" t="inlineStr">
        <is>
          <t>G|FICO x ASSET_CLASS|where 2024|total</t>
        </is>
      </c>
      <c r="B1977" t="n">
        <v>1733</v>
      </c>
    </row>
    <row r="1978">
      <c r="A1978" t="inlineStr">
        <is>
          <t>G|FICO x ASSET_CLASS|where 2024|loans|1</t>
        </is>
      </c>
      <c r="B1978" t="n">
        <v>65</v>
      </c>
      <c r="C1978" t="n">
        <v>100</v>
      </c>
      <c r="D1978" t="n">
        <v>78</v>
      </c>
      <c r="E1978" t="n">
        <v>87</v>
      </c>
      <c r="F1978" t="n">
        <v>330</v>
      </c>
    </row>
    <row r="1979">
      <c r="A1979" t="inlineStr">
        <is>
          <t>G|FICO x ASSET_CLASS|where 2024|loans|2</t>
        </is>
      </c>
      <c r="B1979" t="n">
        <v>92</v>
      </c>
      <c r="C1979" t="n">
        <v>63</v>
      </c>
      <c r="D1979" t="n">
        <v>66</v>
      </c>
      <c r="E1979" t="n">
        <v>90</v>
      </c>
      <c r="F1979" t="n">
        <v>311</v>
      </c>
    </row>
    <row r="1980">
      <c r="A1980" t="inlineStr">
        <is>
          <t>G|FICO x ASSET_CLASS|where 2024|loans|3</t>
        </is>
      </c>
      <c r="B1980" t="n">
        <v>76</v>
      </c>
      <c r="C1980" t="n">
        <v>96</v>
      </c>
      <c r="D1980" t="n">
        <v>81</v>
      </c>
      <c r="E1980" t="n">
        <v>80</v>
      </c>
      <c r="F1980" t="n">
        <v>333</v>
      </c>
    </row>
    <row r="1981">
      <c r="A1981" t="inlineStr">
        <is>
          <t>G|FICO x ASSET_CLASS|where 2024|loans|4</t>
        </is>
      </c>
      <c r="B1981" t="n">
        <v>83</v>
      </c>
      <c r="C1981" t="n">
        <v>104</v>
      </c>
      <c r="D1981" t="n">
        <v>83</v>
      </c>
      <c r="E1981" t="n">
        <v>89</v>
      </c>
      <c r="F1981" t="n">
        <v>359</v>
      </c>
    </row>
    <row r="1982">
      <c r="A1982" t="inlineStr">
        <is>
          <t>G|FICO x ASSET_CLASS|where 2024|loans|5</t>
        </is>
      </c>
      <c r="B1982" t="n">
        <v>82</v>
      </c>
      <c r="C1982" t="n">
        <v>90</v>
      </c>
      <c r="D1982" t="n">
        <v>93</v>
      </c>
      <c r="E1982" t="n">
        <v>97</v>
      </c>
      <c r="F1982" t="n">
        <v>362</v>
      </c>
    </row>
    <row r="1983">
      <c r="A1983" t="inlineStr">
        <is>
          <t>G|FICO x ASSET_CLASS|where 2024|loans|6</t>
        </is>
      </c>
      <c r="C1983" t="n">
        <v>1</v>
      </c>
      <c r="F1983" t="n">
        <v>1</v>
      </c>
    </row>
    <row r="1984">
      <c r="A1984" t="inlineStr">
        <is>
          <t>G|FICO x ASSET_CLASS|where 2024|loans|7</t>
        </is>
      </c>
      <c r="B1984" t="n">
        <v>9</v>
      </c>
      <c r="C1984" t="n">
        <v>10</v>
      </c>
      <c r="D1984" t="n">
        <v>6</v>
      </c>
      <c r="E1984" t="n">
        <v>12</v>
      </c>
      <c r="F1984" t="n">
        <v>37</v>
      </c>
    </row>
    <row r="1985">
      <c r="A1985" t="inlineStr">
        <is>
          <t>G|FICO x ASSET_CLASS|where 2024|loans|8</t>
        </is>
      </c>
      <c r="B1985" t="n">
        <v>407</v>
      </c>
      <c r="C1985" t="n">
        <v>464</v>
      </c>
      <c r="D1985" t="n">
        <v>407</v>
      </c>
      <c r="E1985" t="n">
        <v>455</v>
      </c>
      <c r="F1985" t="n">
        <v>1733</v>
      </c>
    </row>
    <row r="1986">
      <c r="A1986" t="inlineStr">
        <is>
          <t>G|FICO x ASSET_CLASS|where 2024|outcome_loans|rate|1</t>
        </is>
      </c>
      <c r="B1986" t="n">
        <v>0.1384615384615385</v>
      </c>
      <c r="C1986" t="n">
        <v>0.11</v>
      </c>
      <c r="D1986" t="n">
        <v>0.1923076923076923</v>
      </c>
      <c r="E1986" t="n">
        <v>0.2298850574712644</v>
      </c>
      <c r="F1986" t="n">
        <v>0.1666666666666667</v>
      </c>
    </row>
    <row r="1987">
      <c r="A1987" t="inlineStr">
        <is>
          <t>G|FICO x ASSET_CLASS|where 2024|outcome_loans|book|1</t>
        </is>
      </c>
      <c r="C1987" t="n">
        <v>1.421470113085622</v>
      </c>
      <c r="D1987" t="n">
        <v>2.485087610289549</v>
      </c>
      <c r="E1987" t="n">
        <v>2.970679442185208</v>
      </c>
      <c r="F1987" t="n">
        <v>2.153742595584275</v>
      </c>
    </row>
    <row r="1988">
      <c r="A1988" t="inlineStr">
        <is>
          <t>G|FICO x ASSET_CLASS|where 2024|outcome_loans|band|1</t>
        </is>
      </c>
      <c r="C1988" t="n">
        <v>0.575</v>
      </c>
      <c r="D1988" t="n">
        <v>1.211538461538462</v>
      </c>
      <c r="E1988" t="n">
        <v>1.596059113300492</v>
      </c>
    </row>
    <row r="1989">
      <c r="A1989" t="inlineStr">
        <is>
          <t>G|FICO x ASSET_CLASS|where 2024|outcome_loans|rate|2</t>
        </is>
      </c>
      <c r="B1989" t="n">
        <v>0.07608695652173914</v>
      </c>
      <c r="C1989" t="n">
        <v>0.06349206349206349</v>
      </c>
      <c r="D1989" t="n">
        <v>0.1060606060606061</v>
      </c>
      <c r="E1989" t="n">
        <v>0.1333333333333333</v>
      </c>
      <c r="F1989" t="n">
        <v>0.09646302250803858</v>
      </c>
    </row>
    <row r="1990">
      <c r="A1990" t="inlineStr">
        <is>
          <t>G|FICO x ASSET_CLASS|where 2024|outcome_loans|book|2</t>
        </is>
      </c>
      <c r="E1990" t="n">
        <v>1.722994076467421</v>
      </c>
      <c r="F1990" t="n">
        <v>1.246539122846204</v>
      </c>
    </row>
    <row r="1991">
      <c r="A1991" t="inlineStr">
        <is>
          <t>G|FICO x ASSET_CLASS|where 2024|outcome_loans|band|2</t>
        </is>
      </c>
      <c r="E1991" t="n">
        <v>1.637037037037037</v>
      </c>
    </row>
    <row r="1992">
      <c r="A1992" t="inlineStr">
        <is>
          <t>G|FICO x ASSET_CLASS|where 2024|outcome_loans|rate|3</t>
        </is>
      </c>
      <c r="B1992" t="n">
        <v>0.05263157894736842</v>
      </c>
      <c r="C1992" t="n">
        <v>0.0625</v>
      </c>
      <c r="D1992" t="n">
        <v>0.06172839506172839</v>
      </c>
      <c r="E1992" t="n">
        <v>0.08749999999999999</v>
      </c>
      <c r="F1992" t="n">
        <v>0.06606606606606606</v>
      </c>
    </row>
    <row r="1993">
      <c r="A1993" t="inlineStr">
        <is>
          <t>G|FICO x ASSET_CLASS|where 2024|outcome_loans|book|3</t>
        </is>
      </c>
      <c r="F1993" t="n">
        <v>0.8537358036550281</v>
      </c>
    </row>
    <row r="1994">
      <c r="A1994" t="inlineStr">
        <is>
          <t>G|FICO x ASSET_CLASS|where 2024|outcome_loans|band|3</t>
        </is>
      </c>
    </row>
    <row r="1995">
      <c r="A1995" t="inlineStr">
        <is>
          <t>G|FICO x ASSET_CLASS|where 2024|outcome_loans|rate|4</t>
        </is>
      </c>
      <c r="B1995" t="n">
        <v>0.02409638554216868</v>
      </c>
      <c r="C1995" t="n">
        <v>0.04807692307692308</v>
      </c>
      <c r="D1995" t="n">
        <v>0.04819277108433735</v>
      </c>
      <c r="E1995" t="n">
        <v>0.1123595505617977</v>
      </c>
      <c r="F1995" t="n">
        <v>0.0584958217270195</v>
      </c>
    </row>
    <row r="1996">
      <c r="A1996" t="inlineStr">
        <is>
          <t>G|FICO x ASSET_CLASS|where 2024|outcome_loans|book|4</t>
        </is>
      </c>
      <c r="E1996" t="n">
        <v>1.451961300393894</v>
      </c>
      <c r="F1996" t="n">
        <v>0.7559096575031162</v>
      </c>
    </row>
    <row r="1997">
      <c r="A1997" t="inlineStr">
        <is>
          <t>G|FICO x ASSET_CLASS|where 2024|outcome_loans|band|4</t>
        </is>
      </c>
      <c r="E1997" t="n">
        <v>2.757916241062308</v>
      </c>
    </row>
    <row r="1998">
      <c r="A1998" t="inlineStr">
        <is>
          <t>G|FICO x ASSET_CLASS|where 2024|outcome_loans|rate|5</t>
        </is>
      </c>
      <c r="B1998" t="n">
        <v>0.04878048780487805</v>
      </c>
      <c r="C1998" t="n">
        <v>0.06666666666666667</v>
      </c>
      <c r="D1998" t="n">
        <v>0.03225806451612903</v>
      </c>
      <c r="E1998" t="n">
        <v>0.03092783505154639</v>
      </c>
      <c r="F1998" t="n">
        <v>0.04419889502762431</v>
      </c>
    </row>
    <row r="1999">
      <c r="A1999" t="inlineStr">
        <is>
          <t>G|FICO x ASSET_CLASS|where 2024|outcome_loans|book|5</t>
        </is>
      </c>
      <c r="F1999" t="n">
        <v>0.571158257392515</v>
      </c>
    </row>
    <row r="2000">
      <c r="A2000" t="inlineStr">
        <is>
          <t>G|FICO x ASSET_CLASS|where 2024|outcome_loans|band|5</t>
        </is>
      </c>
    </row>
    <row r="2001">
      <c r="A2001" t="inlineStr">
        <is>
          <t>G|FICO x ASSET_CLASS|where 2024|outcome_loans|rate|6</t>
        </is>
      </c>
      <c r="C2001" t="n">
        <v>0</v>
      </c>
      <c r="F2001" t="n">
        <v>0</v>
      </c>
    </row>
    <row r="2002">
      <c r="A2002" t="inlineStr">
        <is>
          <t>G|FICO x ASSET_CLASS|where 2024|outcome_loans|book|6</t>
        </is>
      </c>
    </row>
    <row r="2003">
      <c r="A2003" t="inlineStr">
        <is>
          <t>G|FICO x ASSET_CLASS|where 2024|outcome_loans|band|6</t>
        </is>
      </c>
    </row>
    <row r="2004">
      <c r="A2004" t="inlineStr">
        <is>
          <t>G|FICO x ASSET_CLASS|where 2024|outcome_loans|rate|7</t>
        </is>
      </c>
      <c r="B2004" t="n">
        <v>0.1111111111111111</v>
      </c>
      <c r="C2004" t="n">
        <v>0</v>
      </c>
      <c r="D2004" t="n">
        <v>0.1666666666666667</v>
      </c>
      <c r="E2004" t="n">
        <v>0</v>
      </c>
      <c r="F2004" t="n">
        <v>0.05405405405405406</v>
      </c>
    </row>
    <row r="2005">
      <c r="A2005" t="inlineStr">
        <is>
          <t>G|FICO x ASSET_CLASS|where 2024|outcome_loans|book|7</t>
        </is>
      </c>
    </row>
    <row r="2006">
      <c r="A2006" t="inlineStr">
        <is>
          <t>G|FICO x ASSET_CLASS|where 2024|outcome_loans|band|7</t>
        </is>
      </c>
    </row>
    <row r="2007">
      <c r="A2007" t="inlineStr">
        <is>
          <t>G|FICO x ASSET_CLASS|where 2024|outcome_loans|rate|8</t>
        </is>
      </c>
      <c r="B2007" t="n">
        <v>0.06633906633906633</v>
      </c>
      <c r="C2007" t="n">
        <v>0.06896551724137931</v>
      </c>
      <c r="D2007" t="n">
        <v>0.085995085995086</v>
      </c>
      <c r="E2007" t="n">
        <v>0.1142857142857143</v>
      </c>
      <c r="F2007" t="n">
        <v>0.08424697057126371</v>
      </c>
    </row>
    <row r="2008">
      <c r="A2008" t="inlineStr">
        <is>
          <t>G|FICO x ASSET_CLASS|where 2024|outcome_loans|book|8</t>
        </is>
      </c>
      <c r="B2008" t="n">
        <v>0.857263637554429</v>
      </c>
      <c r="C2008" t="n">
        <v>0.8912038326555624</v>
      </c>
      <c r="D2008" t="n">
        <v>1.111267678311297</v>
      </c>
      <c r="E2008" t="n">
        <v>1.476852065543503</v>
      </c>
      <c r="F2008" t="n">
        <v>1.088677734409593</v>
      </c>
    </row>
    <row r="2009">
      <c r="A2009" t="inlineStr">
        <is>
          <t>G|FICO x ASSET_CLASS|where 2024|outcome_loans|band|8</t>
        </is>
      </c>
    </row>
    <row r="2010">
      <c r="A2010" t="inlineStr">
        <is>
          <t>G|FICO x ASSET_CLASS|where 2024|outcome_loans|meta</t>
        </is>
      </c>
      <c r="B2010" t="inlineStr">
        <is>
          <t>x</t>
        </is>
      </c>
      <c r="C2010" t="n">
        <v>2.970679442185208</v>
      </c>
      <c r="D2010" t="n">
        <v>10</v>
      </c>
      <c r="E2010" t="n">
        <v>0.07738467308413552</v>
      </c>
      <c r="F2010" t="n">
        <v>30</v>
      </c>
    </row>
    <row r="2011">
      <c r="A2011" t="inlineStr">
        <is>
          <t>G|FICO x ASSET_CLASS|where 2024|outcome_booked|rate|1</t>
        </is>
      </c>
      <c r="B2011" t="n">
        <v>0.1779063020874698</v>
      </c>
      <c r="C2011" t="n">
        <v>0.09977213051534399</v>
      </c>
      <c r="D2011" t="n">
        <v>0.1522622348775226</v>
      </c>
      <c r="E2011" t="n">
        <v>0.2171303004343864</v>
      </c>
      <c r="F2011" t="n">
        <v>0.1580899038998032</v>
      </c>
    </row>
    <row r="2012">
      <c r="A2012" t="inlineStr">
        <is>
          <t>G|FICO x ASSET_CLASS|where 2024|outcome_booked|book|1</t>
        </is>
      </c>
      <c r="C2012" t="n">
        <v>1.333337419332761</v>
      </c>
      <c r="D2012" t="n">
        <v>2.034806055206095</v>
      </c>
      <c r="E2012" t="n">
        <v>2.901691614128741</v>
      </c>
      <c r="F2012" t="n">
        <v>2.112686011610334</v>
      </c>
    </row>
    <row r="2013">
      <c r="A2013" t="inlineStr">
        <is>
          <t>G|FICO x ASSET_CLASS|where 2024|outcome_booked|band|1</t>
        </is>
      </c>
      <c r="C2013" t="n">
        <v>0.5392726721130244</v>
      </c>
      <c r="D2013" t="n">
        <v>0.9528191996967031</v>
      </c>
      <c r="E2013" t="n">
        <v>1.596698136871344</v>
      </c>
    </row>
    <row r="2014">
      <c r="A2014" t="inlineStr">
        <is>
          <t>G|FICO x ASSET_CLASS|where 2024|outcome_booked|rate|2</t>
        </is>
      </c>
      <c r="B2014" t="n">
        <v>0.06706851173823035</v>
      </c>
      <c r="C2014" t="n">
        <v>0.05581995989234753</v>
      </c>
      <c r="D2014" t="n">
        <v>0.09036680848608755</v>
      </c>
      <c r="E2014" t="n">
        <v>0.1356303462651643</v>
      </c>
      <c r="F2014" t="n">
        <v>0.09088241522135186</v>
      </c>
    </row>
    <row r="2015">
      <c r="A2015" t="inlineStr">
        <is>
          <t>G|FICO x ASSET_CLASS|where 2024|outcome_booked|book|2</t>
        </is>
      </c>
      <c r="E2015" t="n">
        <v>1.812540385158874</v>
      </c>
      <c r="F2015" t="n">
        <v>1.214536808506158</v>
      </c>
    </row>
    <row r="2016">
      <c r="A2016" t="inlineStr">
        <is>
          <t>G|FICO x ASSET_CLASS|where 2024|outcome_booked|band|2</t>
        </is>
      </c>
      <c r="E2016" t="n">
        <v>1.910659798755642</v>
      </c>
    </row>
    <row r="2017">
      <c r="A2017" t="inlineStr">
        <is>
          <t>G|FICO x ASSET_CLASS|where 2024|outcome_booked|rate|3</t>
        </is>
      </c>
      <c r="B2017" t="n">
        <v>0.05601551362881593</v>
      </c>
      <c r="C2017" t="n">
        <v>0.06134710356495366</v>
      </c>
      <c r="D2017" t="n">
        <v>0.04687654484880582</v>
      </c>
      <c r="E2017" t="n">
        <v>0.07536783118460227</v>
      </c>
      <c r="F2017" t="n">
        <v>0.05996863709403655</v>
      </c>
    </row>
    <row r="2018">
      <c r="A2018" t="inlineStr">
        <is>
          <t>G|FICO x ASSET_CLASS|where 2024|outcome_booked|book|3</t>
        </is>
      </c>
      <c r="F2018" t="n">
        <v>0.8014104480967135</v>
      </c>
    </row>
    <row r="2019">
      <c r="A2019" t="inlineStr">
        <is>
          <t>G|FICO x ASSET_CLASS|where 2024|outcome_booked|band|3</t>
        </is>
      </c>
    </row>
    <row r="2020">
      <c r="A2020" t="inlineStr">
        <is>
          <t>G|FICO x ASSET_CLASS|where 2024|outcome_booked|rate|4</t>
        </is>
      </c>
      <c r="B2020" t="n">
        <v>0.0301875899496099</v>
      </c>
      <c r="C2020" t="n">
        <v>0.05554356570222067</v>
      </c>
      <c r="D2020" t="n">
        <v>0.04456260389054178</v>
      </c>
      <c r="E2020" t="n">
        <v>0.1076512979831454</v>
      </c>
      <c r="F2020" t="n">
        <v>0.05891105476547238</v>
      </c>
    </row>
    <row r="2021">
      <c r="A2021" t="inlineStr">
        <is>
          <t>G|FICO x ASSET_CLASS|where 2024|outcome_booked|book|4</t>
        </is>
      </c>
      <c r="E2021" t="n">
        <v>1.438633244567177</v>
      </c>
      <c r="F2021" t="n">
        <v>0.7872771015858576</v>
      </c>
    </row>
    <row r="2022">
      <c r="A2022" t="inlineStr">
        <is>
          <t>G|FICO x ASSET_CLASS|where 2024|outcome_booked|band|4</t>
        </is>
      </c>
      <c r="E2022" t="n">
        <v>2.420797393455637</v>
      </c>
    </row>
    <row r="2023">
      <c r="A2023" t="inlineStr">
        <is>
          <t>G|FICO x ASSET_CLASS|where 2024|outcome_booked|rate|5</t>
        </is>
      </c>
      <c r="B2023" t="n">
        <v>0.05379186549066885</v>
      </c>
      <c r="C2023" t="n">
        <v>0.07886491354898381</v>
      </c>
      <c r="D2023" t="n">
        <v>0.01834086966977638</v>
      </c>
      <c r="E2023" t="n">
        <v>0.01487779981145946</v>
      </c>
      <c r="F2023" t="n">
        <v>0.0400917597306742</v>
      </c>
    </row>
    <row r="2024">
      <c r="A2024" t="inlineStr">
        <is>
          <t>G|FICO x ASSET_CLASS|where 2024|outcome_booked|book|5</t>
        </is>
      </c>
      <c r="F2024" t="n">
        <v>0.5357793121154737</v>
      </c>
    </row>
    <row r="2025">
      <c r="A2025" t="inlineStr">
        <is>
          <t>G|FICO x ASSET_CLASS|where 2024|outcome_booked|band|5</t>
        </is>
      </c>
    </row>
    <row r="2026">
      <c r="A2026" t="inlineStr">
        <is>
          <t>G|FICO x ASSET_CLASS|where 2024|outcome_booked|rate|6</t>
        </is>
      </c>
      <c r="C2026" t="n">
        <v>0</v>
      </c>
      <c r="F2026" t="n">
        <v>0</v>
      </c>
    </row>
    <row r="2027">
      <c r="A2027" t="inlineStr">
        <is>
          <t>G|FICO x ASSET_CLASS|where 2024|outcome_booked|book|6</t>
        </is>
      </c>
    </row>
    <row r="2028">
      <c r="A2028" t="inlineStr">
        <is>
          <t>G|FICO x ASSET_CLASS|where 2024|outcome_booked|band|6</t>
        </is>
      </c>
    </row>
    <row r="2029">
      <c r="A2029" t="inlineStr">
        <is>
          <t>G|FICO x ASSET_CLASS|where 2024|outcome_booked|rate|7</t>
        </is>
      </c>
      <c r="B2029" t="n">
        <v>0.04380826508241537</v>
      </c>
      <c r="C2029" t="n">
        <v>0</v>
      </c>
      <c r="D2029" t="n">
        <v>0.2042455389381263</v>
      </c>
      <c r="E2029" t="n">
        <v>0</v>
      </c>
      <c r="F2029" t="n">
        <v>0.05094627375387067</v>
      </c>
    </row>
    <row r="2030">
      <c r="A2030" t="inlineStr">
        <is>
          <t>G|FICO x ASSET_CLASS|where 2024|outcome_booked|book|7</t>
        </is>
      </c>
    </row>
    <row r="2031">
      <c r="A2031" t="inlineStr">
        <is>
          <t>G|FICO x ASSET_CLASS|where 2024|outcome_booked|band|7</t>
        </is>
      </c>
    </row>
    <row r="2032">
      <c r="A2032" t="inlineStr">
        <is>
          <t>G|FICO x ASSET_CLASS|where 2024|outcome_booked|rate|8</t>
        </is>
      </c>
      <c r="B2032" t="n">
        <v>0.07094495833413525</v>
      </c>
      <c r="C2032" t="n">
        <v>0.07018445918411881</v>
      </c>
      <c r="D2032" t="n">
        <v>0.06915872260633642</v>
      </c>
      <c r="E2032" t="n">
        <v>0.1055113529597904</v>
      </c>
      <c r="F2032" t="n">
        <v>0.0794796083847655</v>
      </c>
    </row>
    <row r="2033">
      <c r="A2033" t="inlineStr">
        <is>
          <t>G|FICO x ASSET_CLASS|where 2024|outcome_booked|book|8</t>
        </is>
      </c>
      <c r="B2033" t="n">
        <v>0.9480960982922841</v>
      </c>
      <c r="C2033" t="n">
        <v>0.9379329197688814</v>
      </c>
      <c r="D2033" t="n">
        <v>0.9242251543390827</v>
      </c>
      <c r="E2033" t="n">
        <v>1.410035391036172</v>
      </c>
      <c r="F2033" t="n">
        <v>1.06215167889017</v>
      </c>
    </row>
    <row r="2034">
      <c r="A2034" t="inlineStr">
        <is>
          <t>G|FICO x ASSET_CLASS|where 2024|outcome_booked|band|8</t>
        </is>
      </c>
    </row>
    <row r="2035">
      <c r="A2035" t="inlineStr">
        <is>
          <t>G|FICO x ASSET_CLASS|where 2024|outcome_booked|meta</t>
        </is>
      </c>
      <c r="B2035" t="inlineStr">
        <is>
          <t>x</t>
        </is>
      </c>
      <c r="C2035" t="n">
        <v>2.901691614128741</v>
      </c>
      <c r="D2035" t="n">
        <v>10</v>
      </c>
      <c r="E2035" t="n">
        <v>0.07482886857347235</v>
      </c>
      <c r="F2035" t="n">
        <v>30</v>
      </c>
    </row>
    <row r="2036">
      <c r="A2036" t="inlineStr">
        <is>
          <t>G|FICO x ASSET_CLASS|where 2024|gco_rate|rate|1</t>
        </is>
      </c>
      <c r="B2036" t="n">
        <v>0.09973259726221834</v>
      </c>
      <c r="C2036" t="n">
        <v>0.05793860307360617</v>
      </c>
      <c r="D2036" t="n">
        <v>0.09309934540416095</v>
      </c>
      <c r="E2036" t="n">
        <v>0.1039209012256141</v>
      </c>
      <c r="F2036" t="n">
        <v>0.08616702248249569</v>
      </c>
    </row>
    <row r="2037">
      <c r="A2037" t="inlineStr">
        <is>
          <t>G|FICO x ASSET_CLASS|where 2024|gco_rate|book|1</t>
        </is>
      </c>
      <c r="C2037" t="n">
        <v>1.392578622186641</v>
      </c>
      <c r="D2037" t="n">
        <v>2.237681809219623</v>
      </c>
      <c r="E2037" t="n">
        <v>2.497782441549506</v>
      </c>
      <c r="F2037" t="n">
        <v>2.071060520636929</v>
      </c>
    </row>
    <row r="2038">
      <c r="A2038" t="inlineStr">
        <is>
          <t>G|FICO x ASSET_CLASS|where 2024|gco_rate|band|1</t>
        </is>
      </c>
      <c r="C2038" t="n">
        <v>0.5840660465125406</v>
      </c>
      <c r="D2038" t="n">
        <v>1.106604819702265</v>
      </c>
      <c r="E2038" t="n">
        <v>1.306843527792796</v>
      </c>
    </row>
    <row r="2039">
      <c r="A2039" t="inlineStr">
        <is>
          <t>G|FICO x ASSET_CLASS|where 2024|gco_rate|rate|2</t>
        </is>
      </c>
      <c r="B2039" t="n">
        <v>0.03258890124041079</v>
      </c>
      <c r="C2039" t="n">
        <v>0.03436828868046415</v>
      </c>
      <c r="D2039" t="n">
        <v>0.05602960935456928</v>
      </c>
      <c r="E2039" t="n">
        <v>0.0779034056034614</v>
      </c>
      <c r="F2039" t="n">
        <v>0.05176337882052176</v>
      </c>
    </row>
    <row r="2040">
      <c r="A2040" t="inlineStr">
        <is>
          <t>G|FICO x ASSET_CLASS|where 2024|gco_rate|book|2</t>
        </is>
      </c>
      <c r="E2040" t="n">
        <v>1.872441023493302</v>
      </c>
      <c r="F2040" t="n">
        <v>1.244154517602537</v>
      </c>
    </row>
    <row r="2041">
      <c r="A2041" t="inlineStr">
        <is>
          <t>G|FICO x ASSET_CLASS|where 2024|gco_rate|band|2</t>
        </is>
      </c>
      <c r="E2041" t="n">
        <v>1.940756986572018</v>
      </c>
    </row>
    <row r="2042">
      <c r="A2042" t="inlineStr">
        <is>
          <t>G|FICO x ASSET_CLASS|where 2024|gco_rate|rate|3</t>
        </is>
      </c>
      <c r="B2042" t="n">
        <v>0.03372657659573598</v>
      </c>
      <c r="C2042" t="n">
        <v>0.0228086727666593</v>
      </c>
      <c r="D2042" t="n">
        <v>0.0307554442170946</v>
      </c>
      <c r="E2042" t="n">
        <v>0.04801656426014274</v>
      </c>
      <c r="F2042" t="n">
        <v>0.03309857182880274</v>
      </c>
    </row>
    <row r="2043">
      <c r="A2043" t="inlineStr">
        <is>
          <t>G|FICO x ASSET_CLASS|where 2024|gco_rate|book|3</t>
        </is>
      </c>
      <c r="F2043" t="n">
        <v>0.7955380542251456</v>
      </c>
    </row>
    <row r="2044">
      <c r="A2044" t="inlineStr">
        <is>
          <t>G|FICO x ASSET_CLASS|where 2024|gco_rate|band|3</t>
        </is>
      </c>
    </row>
    <row r="2045">
      <c r="A2045" t="inlineStr">
        <is>
          <t>G|FICO x ASSET_CLASS|where 2024|gco_rate|rate|4</t>
        </is>
      </c>
      <c r="B2045" t="n">
        <v>0.016656675217751</v>
      </c>
      <c r="C2045" t="n">
        <v>0.03219520339314045</v>
      </c>
      <c r="D2045" t="n">
        <v>0.02729532008413992</v>
      </c>
      <c r="E2045" t="n">
        <v>0.0525356480733026</v>
      </c>
      <c r="F2045" t="n">
        <v>0.03203632960598934</v>
      </c>
    </row>
    <row r="2046">
      <c r="A2046" t="inlineStr">
        <is>
          <t>G|FICO x ASSET_CLASS|where 2024|gco_rate|book|4</t>
        </is>
      </c>
      <c r="E2046" t="n">
        <v>1.262716332954356</v>
      </c>
      <c r="F2046" t="n">
        <v>0.770006616934628</v>
      </c>
    </row>
    <row r="2047">
      <c r="A2047" t="inlineStr">
        <is>
          <t>G|FICO x ASSET_CLASS|where 2024|gco_rate|band|4</t>
        </is>
      </c>
      <c r="E2047" t="n">
        <v>2.023528505467356</v>
      </c>
    </row>
    <row r="2048">
      <c r="A2048" t="inlineStr">
        <is>
          <t>G|FICO x ASSET_CLASS|where 2024|gco_rate|rate|5</t>
        </is>
      </c>
      <c r="B2048" t="n">
        <v>0.02490425569165682</v>
      </c>
      <c r="C2048" t="n">
        <v>0.03921219648029323</v>
      </c>
      <c r="D2048" t="n">
        <v>0.00801579461297095</v>
      </c>
      <c r="E2048" t="n">
        <v>0.006993216116813016</v>
      </c>
      <c r="F2048" t="n">
        <v>0.01913348648149216</v>
      </c>
    </row>
    <row r="2049">
      <c r="A2049" t="inlineStr">
        <is>
          <t>G|FICO x ASSET_CLASS|where 2024|gco_rate|book|5</t>
        </is>
      </c>
      <c r="F2049" t="n">
        <v>0.4598813714609752</v>
      </c>
    </row>
    <row r="2050">
      <c r="A2050" t="inlineStr">
        <is>
          <t>G|FICO x ASSET_CLASS|where 2024|gco_rate|band|5</t>
        </is>
      </c>
    </row>
    <row r="2051">
      <c r="A2051" t="inlineStr">
        <is>
          <t>G|FICO x ASSET_CLASS|where 2024|gco_rate|rate|6</t>
        </is>
      </c>
      <c r="C2051" t="n">
        <v>0</v>
      </c>
      <c r="F2051" t="n">
        <v>0</v>
      </c>
    </row>
    <row r="2052">
      <c r="A2052" t="inlineStr">
        <is>
          <t>G|FICO x ASSET_CLASS|where 2024|gco_rate|book|6</t>
        </is>
      </c>
    </row>
    <row r="2053">
      <c r="A2053" t="inlineStr">
        <is>
          <t>G|FICO x ASSET_CLASS|where 2024|gco_rate|band|6</t>
        </is>
      </c>
    </row>
    <row r="2054">
      <c r="A2054" t="inlineStr">
        <is>
          <t>G|FICO x ASSET_CLASS|where 2024|gco_rate|rate|7</t>
        </is>
      </c>
      <c r="B2054" t="n">
        <v>0.01886162597834591</v>
      </c>
      <c r="C2054" t="n">
        <v>0</v>
      </c>
      <c r="D2054" t="n">
        <v>0.1359830039403914</v>
      </c>
      <c r="E2054" t="n">
        <v>0</v>
      </c>
      <c r="F2054" t="n">
        <v>0.03106785860526125</v>
      </c>
    </row>
    <row r="2055">
      <c r="A2055" t="inlineStr">
        <is>
          <t>G|FICO x ASSET_CLASS|where 2024|gco_rate|book|7</t>
        </is>
      </c>
    </row>
    <row r="2056">
      <c r="A2056" t="inlineStr">
        <is>
          <t>G|FICO x ASSET_CLASS|where 2024|gco_rate|band|7</t>
        </is>
      </c>
    </row>
    <row r="2057">
      <c r="A2057" t="inlineStr">
        <is>
          <t>G|FICO x ASSET_CLASS|where 2024|gco_rate|rate|8</t>
        </is>
      </c>
      <c r="B2057" t="n">
        <v>0.0378469658831873</v>
      </c>
      <c r="C2057" t="n">
        <v>0.0369038014230027</v>
      </c>
      <c r="D2057" t="n">
        <v>0.04228863509295591</v>
      </c>
      <c r="E2057" t="n">
        <v>0.05542114675626797</v>
      </c>
      <c r="F2057" t="n">
        <v>0.04327283789798799</v>
      </c>
    </row>
    <row r="2058">
      <c r="A2058" t="inlineStr">
        <is>
          <t>G|FICO x ASSET_CLASS|where 2024|gco_rate|book|8</t>
        </is>
      </c>
      <c r="B2058" t="n">
        <v>0.9096676966235554</v>
      </c>
      <c r="C2058" t="n">
        <v>0.8869983432946414</v>
      </c>
      <c r="D2058" t="n">
        <v>1.016425078752538</v>
      </c>
      <c r="E2058" t="n">
        <v>1.332070503871118</v>
      </c>
      <c r="F2058" t="n">
        <v>1.040080805909829</v>
      </c>
    </row>
    <row r="2059">
      <c r="A2059" t="inlineStr">
        <is>
          <t>G|FICO x ASSET_CLASS|where 2024|gco_rate|band|8</t>
        </is>
      </c>
    </row>
    <row r="2060">
      <c r="A2060" t="inlineStr">
        <is>
          <t>G|FICO x ASSET_CLASS|where 2024|gco_rate|meta</t>
        </is>
      </c>
      <c r="B2060" t="inlineStr">
        <is>
          <t>x</t>
        </is>
      </c>
      <c r="C2060" t="n">
        <v>2.497782441549506</v>
      </c>
      <c r="D2060" t="n">
        <v>10</v>
      </c>
      <c r="E2060" t="n">
        <v>0.04160526533333565</v>
      </c>
      <c r="F2060" t="n">
        <v>30</v>
      </c>
    </row>
    <row r="2061">
      <c r="A2061" t="inlineStr">
        <is>
          <t>G|FICO x ASSET_CLASS|where 2024|ranr_rate|rate|1</t>
        </is>
      </c>
      <c r="B2061" t="n">
        <v>0.12185937029615</v>
      </c>
      <c r="C2061" t="n">
        <v>0.1437512230417487</v>
      </c>
      <c r="D2061" t="n">
        <v>0.1166055750154596</v>
      </c>
      <c r="E2061" t="n">
        <v>0.1020245347978751</v>
      </c>
      <c r="F2061" t="n">
        <v>0.1221779723809022</v>
      </c>
    </row>
    <row r="2062">
      <c r="A2062" t="inlineStr">
        <is>
          <t>G|FICO x ASSET_CLASS|where 2024|ranr_rate|book|1</t>
        </is>
      </c>
      <c r="B2062" t="n">
        <v>-0.613067935</v>
      </c>
      <c r="C2062" t="n">
        <v>1.576117339</v>
      </c>
      <c r="D2062" t="n">
        <v>-1.138447463</v>
      </c>
      <c r="E2062" t="n">
        <v>-2.596551485</v>
      </c>
      <c r="F2062" t="n">
        <v>-0.581207727</v>
      </c>
    </row>
    <row r="2063">
      <c r="A2063" t="inlineStr">
        <is>
          <t>G|FICO x ASSET_CLASS|where 2024|ranr_rate|band|1</t>
        </is>
      </c>
      <c r="B2063" t="n">
        <v>-0.039078301</v>
      </c>
      <c r="C2063" t="n">
        <v>3.153257679</v>
      </c>
      <c r="D2063" t="n">
        <v>-0.720931835</v>
      </c>
      <c r="E2063" t="n">
        <v>-2.769823946</v>
      </c>
    </row>
    <row r="2064">
      <c r="A2064" t="inlineStr">
        <is>
          <t>G|FICO x ASSET_CLASS|where 2024|ranr_rate|rate|2</t>
        </is>
      </c>
      <c r="B2064" t="n">
        <v>0.1225539064572881</v>
      </c>
      <c r="C2064" t="n">
        <v>0.1288109575380753</v>
      </c>
      <c r="D2064" t="n">
        <v>0.09662112788028963</v>
      </c>
      <c r="E2064" t="n">
        <v>0.07581368893528653</v>
      </c>
      <c r="F2064" t="n">
        <v>0.1039544631406136</v>
      </c>
    </row>
    <row r="2065">
      <c r="A2065" t="inlineStr">
        <is>
          <t>G|FICO x ASSET_CLASS|where 2024|ranr_rate|book|2</t>
        </is>
      </c>
      <c r="B2065" t="n">
        <v>-0.543614319</v>
      </c>
      <c r="C2065" t="n">
        <v>0.082090789</v>
      </c>
      <c r="D2065" t="n">
        <v>-3.136892177</v>
      </c>
      <c r="E2065" t="n">
        <v>-5.217636071</v>
      </c>
      <c r="F2065" t="n">
        <v>-2.403558651</v>
      </c>
    </row>
    <row r="2066">
      <c r="A2066" t="inlineStr">
        <is>
          <t>G|FICO x ASSET_CLASS|where 2024|ranr_rate|band|2</t>
        </is>
      </c>
      <c r="B2066" t="n">
        <v>2.630290391</v>
      </c>
      <c r="C2066" t="n">
        <v>3.071807279</v>
      </c>
      <c r="D2066" t="n">
        <v>-0.926540556</v>
      </c>
      <c r="E2066" t="n">
        <v>-4.065301413</v>
      </c>
    </row>
    <row r="2067">
      <c r="A2067" t="inlineStr">
        <is>
          <t>G|FICO x ASSET_CLASS|where 2024|ranr_rate|rate|3</t>
        </is>
      </c>
      <c r="B2067" t="n">
        <v>0.1028837869684005</v>
      </c>
      <c r="C2067" t="n">
        <v>0.1179206010342126</v>
      </c>
      <c r="D2067" t="n">
        <v>0.1018703500215215</v>
      </c>
      <c r="E2067" t="n">
        <v>0.08026570083029516</v>
      </c>
      <c r="F2067" t="n">
        <v>0.1018608511165433</v>
      </c>
    </row>
    <row r="2068">
      <c r="A2068" t="inlineStr">
        <is>
          <t>G|FICO x ASSET_CLASS|where 2024|ranr_rate|book|3</t>
        </is>
      </c>
      <c r="B2068" t="n">
        <v>-2.510626268</v>
      </c>
      <c r="C2068" t="n">
        <v>-1.006944861</v>
      </c>
      <c r="D2068" t="n">
        <v>-2.611969963</v>
      </c>
      <c r="E2068" t="n">
        <v>-4.772434882</v>
      </c>
      <c r="F2068" t="n">
        <v>-2.612919853</v>
      </c>
    </row>
    <row r="2069">
      <c r="A2069" t="inlineStr">
        <is>
          <t>G|FICO x ASSET_CLASS|where 2024|ranr_rate|band|3</t>
        </is>
      </c>
      <c r="B2069" t="n">
        <v>0.133277467</v>
      </c>
      <c r="C2069" t="n">
        <v>2.289952745</v>
      </c>
      <c r="D2069" t="n">
        <v>0.001242655</v>
      </c>
      <c r="E2069" t="n">
        <v>-2.816419707</v>
      </c>
    </row>
    <row r="2070">
      <c r="A2070" t="inlineStr">
        <is>
          <t>G|FICO x ASSET_CLASS|where 2024|ranr_rate|rate|4</t>
        </is>
      </c>
      <c r="B2070" t="n">
        <v>0.07498755145412776</v>
      </c>
      <c r="C2070" t="n">
        <v>0.06691263504196127</v>
      </c>
      <c r="D2070" t="n">
        <v>0.07651442744736564</v>
      </c>
      <c r="E2070" t="n">
        <v>0.04903662184513018</v>
      </c>
      <c r="F2070" t="n">
        <v>0.06697246440182084</v>
      </c>
    </row>
    <row r="2071">
      <c r="A2071" t="inlineStr">
        <is>
          <t>G|FICO x ASSET_CLASS|where 2024|ranr_rate|book|4</t>
        </is>
      </c>
      <c r="B2071" t="n">
        <v>-5.300249819</v>
      </c>
      <c r="C2071" t="n">
        <v>-6.107741461</v>
      </c>
      <c r="D2071" t="n">
        <v>-5.14756222</v>
      </c>
      <c r="E2071" t="n">
        <v>-7.89534278</v>
      </c>
      <c r="F2071" t="n">
        <v>-6.101758525</v>
      </c>
    </row>
    <row r="2072">
      <c r="A2072" t="inlineStr">
        <is>
          <t>G|FICO x ASSET_CLASS|where 2024|ranr_rate|band|4</t>
        </is>
      </c>
      <c r="B2072" t="n">
        <v>1.048843217</v>
      </c>
      <c r="C2072" t="n">
        <v>-0.00857342</v>
      </c>
      <c r="D2072" t="n">
        <v>1.244805213</v>
      </c>
      <c r="E2072" t="n">
        <v>-2.325022019</v>
      </c>
    </row>
    <row r="2073">
      <c r="A2073" t="inlineStr">
        <is>
          <t>G|FICO x ASSET_CLASS|where 2024|ranr_rate|rate|5</t>
        </is>
      </c>
      <c r="B2073" t="n">
        <v>0.02770878100970449</v>
      </c>
      <c r="C2073" t="n">
        <v>0.01022606011585676</v>
      </c>
      <c r="D2073" t="n">
        <v>0.04476956462173796</v>
      </c>
      <c r="E2073" t="n">
        <v>0.04359477850330457</v>
      </c>
      <c r="F2073" t="n">
        <v>0.03217650807073952</v>
      </c>
    </row>
    <row r="2074">
      <c r="A2074" t="inlineStr">
        <is>
          <t>G|FICO x ASSET_CLASS|where 2024|ranr_rate|book|5</t>
        </is>
      </c>
      <c r="B2074" t="n">
        <v>-10.028126864</v>
      </c>
      <c r="C2074" t="n">
        <v>-11.776398953</v>
      </c>
      <c r="D2074" t="n">
        <v>-8.322048503</v>
      </c>
      <c r="E2074" t="n">
        <v>-8.439527114000001</v>
      </c>
      <c r="F2074" t="n">
        <v>-9.581354158</v>
      </c>
    </row>
    <row r="2075">
      <c r="A2075" t="inlineStr">
        <is>
          <t>G|FICO x ASSET_CLASS|where 2024|ranr_rate|band|5</t>
        </is>
      </c>
      <c r="B2075" t="n">
        <v>-0.574158011</v>
      </c>
      <c r="C2075" t="n">
        <v>-2.909084707</v>
      </c>
      <c r="D2075" t="n">
        <v>1.684777573</v>
      </c>
      <c r="E2075" t="n">
        <v>1.586189869</v>
      </c>
    </row>
    <row r="2076">
      <c r="A2076" t="inlineStr">
        <is>
          <t>G|FICO x ASSET_CLASS|where 2024|ranr_rate|rate|6</t>
        </is>
      </c>
      <c r="C2076" t="n">
        <v>0.140296941334961</v>
      </c>
      <c r="F2076" t="n">
        <v>0.140296941334961</v>
      </c>
    </row>
    <row r="2077">
      <c r="A2077" t="inlineStr">
        <is>
          <t>G|FICO x ASSET_CLASS|where 2024|ranr_rate|book|6</t>
        </is>
      </c>
      <c r="C2077" t="n">
        <v>1.230689169</v>
      </c>
      <c r="F2077" t="n">
        <v>1.230689169</v>
      </c>
    </row>
    <row r="2078">
      <c r="A2078" t="inlineStr">
        <is>
          <t>G|FICO x ASSET_CLASS|where 2024|ranr_rate|band|6</t>
        </is>
      </c>
    </row>
    <row r="2079">
      <c r="A2079" t="inlineStr">
        <is>
          <t>G|FICO x ASSET_CLASS|where 2024|ranr_rate|rate|7</t>
        </is>
      </c>
      <c r="B2079" t="n">
        <v>0.1060492306373001</v>
      </c>
      <c r="C2079" t="n">
        <v>0.1645696908612712</v>
      </c>
      <c r="D2079" t="n">
        <v>0.0008104877207621177</v>
      </c>
      <c r="E2079" t="n">
        <v>0.1263133271616257</v>
      </c>
      <c r="F2079" t="n">
        <v>0.1049936510846425</v>
      </c>
    </row>
    <row r="2080">
      <c r="A2080" t="inlineStr">
        <is>
          <t>G|FICO x ASSET_CLASS|where 2024|ranr_rate|book|7</t>
        </is>
      </c>
      <c r="B2080" t="n">
        <v>-2.194081901</v>
      </c>
      <c r="C2080" t="n">
        <v>3.657964121</v>
      </c>
      <c r="D2080" t="n">
        <v>-12.717956193</v>
      </c>
      <c r="E2080" t="n">
        <v>-0.167672249</v>
      </c>
      <c r="F2080" t="n">
        <v>-2.299639856</v>
      </c>
    </row>
    <row r="2081">
      <c r="A2081" t="inlineStr">
        <is>
          <t>G|FICO x ASSET_CLASS|where 2024|ranr_rate|band|7</t>
        </is>
      </c>
      <c r="B2081" t="n">
        <v>0.145935946</v>
      </c>
      <c r="C2081" t="n">
        <v>7.568868916</v>
      </c>
      <c r="D2081" t="n">
        <v>-12.863566751</v>
      </c>
      <c r="E2081" t="n">
        <v>3.136839432</v>
      </c>
    </row>
    <row r="2082">
      <c r="A2082" t="inlineStr">
        <is>
          <t>G|FICO x ASSET_CLASS|where 2024|ranr_rate|rate|8</t>
        </is>
      </c>
      <c r="B2082" t="n">
        <v>0.08936598130836507</v>
      </c>
      <c r="C2082" t="n">
        <v>0.09369412855483616</v>
      </c>
      <c r="D2082" t="n">
        <v>0.0836407959039631</v>
      </c>
      <c r="E2082" t="n">
        <v>0.07115432413316224</v>
      </c>
      <c r="F2082" t="n">
        <v>0.08439030858189983</v>
      </c>
    </row>
    <row r="2083">
      <c r="A2083" t="inlineStr">
        <is>
          <t>G|FICO x ASSET_CLASS|where 2024|ranr_rate|book|8</t>
        </is>
      </c>
      <c r="B2083" t="n">
        <v>-3.862406834</v>
      </c>
      <c r="C2083" t="n">
        <v>-3.429592109</v>
      </c>
      <c r="D2083" t="n">
        <v>-4.434925374</v>
      </c>
      <c r="E2083" t="n">
        <v>-5.683572551</v>
      </c>
      <c r="F2083" t="n">
        <v>-4.359974107</v>
      </c>
    </row>
    <row r="2084">
      <c r="A2084" t="inlineStr">
        <is>
          <t>G|FICO x ASSET_CLASS|where 2024|ranr_rate|band|8</t>
        </is>
      </c>
    </row>
    <row r="2085">
      <c r="A2085" t="inlineStr">
        <is>
          <t>G|FICO x ASSET_CLASS|where 2024|ranr_rate|meta</t>
        </is>
      </c>
      <c r="B2085" t="inlineStr">
        <is>
          <t>pts</t>
        </is>
      </c>
      <c r="C2085" t="n">
        <v>11.776398953</v>
      </c>
      <c r="D2085" t="n">
        <v>10</v>
      </c>
      <c r="E2085" t="n">
        <v>0.1279900496481481</v>
      </c>
      <c r="F2085" t="n">
        <v>30</v>
      </c>
    </row>
    <row r="2086">
      <c r="A2086" t="inlineStr">
        <is>
          <t>G|FICO x ASSET_CLASS|where 2024|contribution_rate|rate|1</t>
        </is>
      </c>
      <c r="B2086" t="n">
        <v>0.2215919675583683</v>
      </c>
      <c r="C2086" t="n">
        <v>0.2016898261153549</v>
      </c>
      <c r="D2086" t="n">
        <v>0.2097049204196205</v>
      </c>
      <c r="E2086" t="n">
        <v>0.2059454360234892</v>
      </c>
      <c r="F2086" t="n">
        <v>0.2083449948633979</v>
      </c>
    </row>
    <row r="2087">
      <c r="A2087" t="inlineStr">
        <is>
          <t>G|FICO x ASSET_CLASS|where 2024|contribution_rate|book|1</t>
        </is>
      </c>
      <c r="B2087" t="n">
        <v>5.199951182</v>
      </c>
      <c r="C2087" t="n">
        <v>3.209737038</v>
      </c>
      <c r="D2087" t="n">
        <v>4.011246468</v>
      </c>
      <c r="E2087" t="n">
        <v>3.635298029</v>
      </c>
      <c r="F2087" t="n">
        <v>3.875253913</v>
      </c>
    </row>
    <row r="2088">
      <c r="A2088" t="inlineStr">
        <is>
          <t>G|FICO x ASSET_CLASS|where 2024|contribution_rate|band|1</t>
        </is>
      </c>
      <c r="B2088" t="n">
        <v>1.624814173</v>
      </c>
      <c r="C2088" t="n">
        <v>-0.972753819</v>
      </c>
      <c r="D2088" t="n">
        <v>0.175941083</v>
      </c>
      <c r="E2088" t="n">
        <v>-0.329787685</v>
      </c>
    </row>
    <row r="2089">
      <c r="A2089" t="inlineStr">
        <is>
          <t>G|FICO x ASSET_CLASS|where 2024|contribution_rate|rate|2</t>
        </is>
      </c>
      <c r="B2089" t="n">
        <v>0.1551428076976989</v>
      </c>
      <c r="C2089" t="n">
        <v>0.1631792462185394</v>
      </c>
      <c r="D2089" t="n">
        <v>0.1526507372348589</v>
      </c>
      <c r="E2089" t="n">
        <v>0.1537170945387479</v>
      </c>
      <c r="F2089" t="n">
        <v>0.1557178419611353</v>
      </c>
    </row>
    <row r="2090">
      <c r="A2090" t="inlineStr">
        <is>
          <t>G|FICO x ASSET_CLASS|where 2024|contribution_rate|book|2</t>
        </is>
      </c>
      <c r="B2090" t="n">
        <v>-1.444964804</v>
      </c>
      <c r="C2090" t="n">
        <v>-0.6413209520000001</v>
      </c>
      <c r="D2090" t="n">
        <v>-1.69417185</v>
      </c>
      <c r="E2090" t="n">
        <v>-1.58753612</v>
      </c>
      <c r="F2090" t="n">
        <v>-1.387461377</v>
      </c>
    </row>
    <row r="2091">
      <c r="A2091" t="inlineStr">
        <is>
          <t>G|FICO x ASSET_CLASS|where 2024|contribution_rate|band|2</t>
        </is>
      </c>
      <c r="B2091" t="n">
        <v>-0.08132002000000001</v>
      </c>
      <c r="C2091" t="n">
        <v>0.922092856</v>
      </c>
      <c r="D2091" t="n">
        <v>-0.38751766</v>
      </c>
      <c r="E2091" t="n">
        <v>-0.289034028</v>
      </c>
    </row>
    <row r="2092">
      <c r="A2092" t="inlineStr">
        <is>
          <t>G|FICO x ASSET_CLASS|where 2024|contribution_rate|rate|3</t>
        </is>
      </c>
      <c r="B2092" t="n">
        <v>0.1366103635641365</v>
      </c>
      <c r="C2092" t="n">
        <v>0.140729273800872</v>
      </c>
      <c r="D2092" t="n">
        <v>0.1326257942386161</v>
      </c>
      <c r="E2092" t="n">
        <v>0.1282822650904379</v>
      </c>
      <c r="F2092" t="n">
        <v>0.134959422945346</v>
      </c>
    </row>
    <row r="2093">
      <c r="A2093" t="inlineStr">
        <is>
          <t>G|FICO x ASSET_CLASS|where 2024|contribution_rate|book|3</t>
        </is>
      </c>
      <c r="B2093" t="n">
        <v>-3.298209217</v>
      </c>
      <c r="C2093" t="n">
        <v>-2.886318193</v>
      </c>
      <c r="D2093" t="n">
        <v>-3.69666615</v>
      </c>
      <c r="E2093" t="n">
        <v>-4.131019064</v>
      </c>
      <c r="F2093" t="n">
        <v>-3.463303279</v>
      </c>
    </row>
    <row r="2094">
      <c r="A2094" t="inlineStr">
        <is>
          <t>G|FICO x ASSET_CLASS|where 2024|contribution_rate|band|3</t>
        </is>
      </c>
      <c r="B2094" t="n">
        <v>0.215099689</v>
      </c>
      <c r="C2094" t="n">
        <v>0.82272052</v>
      </c>
      <c r="D2094" t="n">
        <v>-0.305287361</v>
      </c>
      <c r="E2094" t="n">
        <v>-0.870828807</v>
      </c>
    </row>
    <row r="2095">
      <c r="A2095" t="inlineStr">
        <is>
          <t>G|FICO x ASSET_CLASS|where 2024|contribution_rate|rate|4</t>
        </is>
      </c>
      <c r="B2095" t="n">
        <v>0.09164422667187876</v>
      </c>
      <c r="C2095" t="n">
        <v>0.09910783843510169</v>
      </c>
      <c r="D2095" t="n">
        <v>0.1038097475315056</v>
      </c>
      <c r="E2095" t="n">
        <v>0.1015722699184328</v>
      </c>
      <c r="F2095" t="n">
        <v>0.09900879400781017</v>
      </c>
    </row>
    <row r="2096">
      <c r="A2096" t="inlineStr">
        <is>
          <t>G|FICO x ASSET_CLASS|where 2024|contribution_rate|book|4</t>
        </is>
      </c>
      <c r="B2096" t="n">
        <v>-7.794822906</v>
      </c>
      <c r="C2096" t="n">
        <v>-7.04846173</v>
      </c>
      <c r="D2096" t="n">
        <v>-6.57827082</v>
      </c>
      <c r="E2096" t="n">
        <v>-6.802018582</v>
      </c>
      <c r="F2096" t="n">
        <v>-7.058366173</v>
      </c>
    </row>
    <row r="2097">
      <c r="A2097" t="inlineStr">
        <is>
          <t>G|FICO x ASSET_CLASS|where 2024|contribution_rate|band|4</t>
        </is>
      </c>
      <c r="B2097" t="n">
        <v>-0.963717106</v>
      </c>
      <c r="C2097" t="n">
        <v>0.014192856</v>
      </c>
      <c r="D2097" t="n">
        <v>0.62631263</v>
      </c>
      <c r="E2097" t="n">
        <v>0.332303203</v>
      </c>
    </row>
    <row r="2098">
      <c r="A2098" t="inlineStr">
        <is>
          <t>G|FICO x ASSET_CLASS|where 2024|contribution_rate|rate|5</t>
        </is>
      </c>
      <c r="B2098" t="n">
        <v>0.0526130367013613</v>
      </c>
      <c r="C2098" t="n">
        <v>0.04943825659614998</v>
      </c>
      <c r="D2098" t="n">
        <v>0.05278535923470892</v>
      </c>
      <c r="E2098" t="n">
        <v>0.05058799462011761</v>
      </c>
      <c r="F2098" t="n">
        <v>0.05130999455223169</v>
      </c>
    </row>
    <row r="2099">
      <c r="A2099" t="inlineStr">
        <is>
          <t>G|FICO x ASSET_CLASS|where 2024|contribution_rate|book|5</t>
        </is>
      </c>
      <c r="B2099" t="n">
        <v>-11.697941903</v>
      </c>
      <c r="C2099" t="n">
        <v>-12.015419914</v>
      </c>
      <c r="D2099" t="n">
        <v>-11.68070965</v>
      </c>
      <c r="E2099" t="n">
        <v>-11.900446111</v>
      </c>
      <c r="F2099" t="n">
        <v>-11.828246118</v>
      </c>
    </row>
    <row r="2100">
      <c r="A2100" t="inlineStr">
        <is>
          <t>G|FICO x ASSET_CLASS|where 2024|contribution_rate|band|5</t>
        </is>
      </c>
      <c r="B2100" t="n">
        <v>0.167456982</v>
      </c>
      <c r="C2100" t="n">
        <v>-0.248060735</v>
      </c>
      <c r="D2100" t="n">
        <v>0.19738348</v>
      </c>
      <c r="E2100" t="n">
        <v>-0.100297938</v>
      </c>
    </row>
    <row r="2101">
      <c r="A2101" t="inlineStr">
        <is>
          <t>G|FICO x ASSET_CLASS|where 2024|contribution_rate|rate|6</t>
        </is>
      </c>
      <c r="C2101" t="n">
        <v>0.140296941334961</v>
      </c>
      <c r="F2101" t="n">
        <v>0.140296941334961</v>
      </c>
    </row>
    <row r="2102">
      <c r="A2102" t="inlineStr">
        <is>
          <t>G|FICO x ASSET_CLASS|where 2024|contribution_rate|book|6</t>
        </is>
      </c>
      <c r="C2102" t="n">
        <v>-2.92955144</v>
      </c>
      <c r="F2102" t="n">
        <v>-2.92955144</v>
      </c>
    </row>
    <row r="2103">
      <c r="A2103" t="inlineStr">
        <is>
          <t>G|FICO x ASSET_CLASS|where 2024|contribution_rate|band|6</t>
        </is>
      </c>
    </row>
    <row r="2104">
      <c r="A2104" t="inlineStr">
        <is>
          <t>G|FICO x ASSET_CLASS|where 2024|contribution_rate|rate|7</t>
        </is>
      </c>
      <c r="B2104" t="n">
        <v>0.124910856615646</v>
      </c>
      <c r="C2104" t="n">
        <v>0.1645696908612712</v>
      </c>
      <c r="D2104" t="n">
        <v>0.1367934916611535</v>
      </c>
      <c r="E2104" t="n">
        <v>0.1263133271616257</v>
      </c>
      <c r="F2104" t="n">
        <v>0.1360615096899038</v>
      </c>
    </row>
    <row r="2105">
      <c r="A2105" t="inlineStr">
        <is>
          <t>G|FICO x ASSET_CLASS|where 2024|contribution_rate|book|7</t>
        </is>
      </c>
      <c r="B2105" t="n">
        <v>-4.468159912</v>
      </c>
      <c r="C2105" t="n">
        <v>-0.502276487</v>
      </c>
      <c r="D2105" t="n">
        <v>-3.279896407</v>
      </c>
      <c r="E2105" t="n">
        <v>-4.327912857</v>
      </c>
      <c r="F2105" t="n">
        <v>-3.353094605</v>
      </c>
    </row>
    <row r="2106">
      <c r="A2106" t="inlineStr">
        <is>
          <t>G|FICO x ASSET_CLASS|where 2024|contribution_rate|band|7</t>
        </is>
      </c>
      <c r="B2106" t="n">
        <v>-1.541599689</v>
      </c>
      <c r="C2106" t="n">
        <v>3.621836683</v>
      </c>
      <c r="D2106" t="n">
        <v>0.090378317</v>
      </c>
      <c r="E2106" t="n">
        <v>-1.434284613</v>
      </c>
    </row>
    <row r="2107">
      <c r="A2107" t="inlineStr">
        <is>
          <t>G|FICO x ASSET_CLASS|where 2024|contribution_rate|rate|8</t>
        </is>
      </c>
      <c r="B2107" t="n">
        <v>0.1272129471915524</v>
      </c>
      <c r="C2107" t="n">
        <v>0.1305979299778389</v>
      </c>
      <c r="D2107" t="n">
        <v>0.125929430996919</v>
      </c>
      <c r="E2107" t="n">
        <v>0.1265754708894302</v>
      </c>
      <c r="F2107" t="n">
        <v>0.1276631464798878</v>
      </c>
    </row>
    <row r="2108">
      <c r="A2108" t="inlineStr">
        <is>
          <t>G|FICO x ASSET_CLASS|where 2024|contribution_rate|book|8</t>
        </is>
      </c>
      <c r="B2108" t="n">
        <v>-4.237950854</v>
      </c>
      <c r="C2108" t="n">
        <v>-3.899452576</v>
      </c>
      <c r="D2108" t="n">
        <v>-4.366302474</v>
      </c>
      <c r="E2108" t="n">
        <v>-4.301698485</v>
      </c>
      <c r="F2108" t="n">
        <v>-4.192930926</v>
      </c>
    </row>
    <row r="2109">
      <c r="A2109" t="inlineStr">
        <is>
          <t>G|FICO x ASSET_CLASS|where 2024|contribution_rate|band|8</t>
        </is>
      </c>
    </row>
    <row r="2110">
      <c r="A2110" t="inlineStr">
        <is>
          <t>G|FICO x ASSET_CLASS|where 2024|contribution_rate|meta</t>
        </is>
      </c>
      <c r="B2110" t="inlineStr">
        <is>
          <t>pts</t>
        </is>
      </c>
      <c r="C2110" t="n">
        <v>12.015419914</v>
      </c>
      <c r="D2110" t="n">
        <v>10</v>
      </c>
      <c r="E2110" t="n">
        <v>0.1695924557349815</v>
      </c>
      <c r="F2110" t="n">
        <v>30</v>
      </c>
    </row>
    <row r="2111">
      <c r="A2111" t="inlineStr">
        <is>
          <t>G|FICO x ASSET_CLASS|where 2024|loan_size|rate|1</t>
        </is>
      </c>
      <c r="B2111" t="n">
        <v>30821.21369230769</v>
      </c>
      <c r="C2111" t="n">
        <v>34256.8028</v>
      </c>
      <c r="D2111" t="n">
        <v>31572.95602564102</v>
      </c>
      <c r="E2111" t="n">
        <v>33958.83298850575</v>
      </c>
      <c r="F2111" t="n">
        <v>32867.17639393939</v>
      </c>
    </row>
    <row r="2112">
      <c r="A2112" t="inlineStr">
        <is>
          <t>G|FICO x ASSET_CLASS|where 2024|loan_size|median|1</t>
        </is>
      </c>
      <c r="B2112" t="n">
        <v>28487.98</v>
      </c>
      <c r="C2112" t="n">
        <v>35951.17</v>
      </c>
      <c r="D2112" t="n">
        <v>29761.295</v>
      </c>
      <c r="E2112" t="n">
        <v>33897.48</v>
      </c>
      <c r="F2112" t="n">
        <v>32579.845</v>
      </c>
    </row>
    <row r="2113">
      <c r="A2113" t="inlineStr">
        <is>
          <t>G|FICO x ASSET_CLASS|where 2024|loan_size|book|1</t>
        </is>
      </c>
      <c r="B2113" t="n">
        <v>0.9553236442401389</v>
      </c>
      <c r="C2113" t="n">
        <v>1.061811972027551</v>
      </c>
      <c r="D2113" t="n">
        <v>0.9786243887396594</v>
      </c>
      <c r="E2113" t="n">
        <v>1.05257620314992</v>
      </c>
      <c r="F2113" t="n">
        <v>1.018739594163941</v>
      </c>
    </row>
    <row r="2114">
      <c r="A2114" t="inlineStr">
        <is>
          <t>G|FICO x ASSET_CLASS|where 2024|loan_size|band|1</t>
        </is>
      </c>
      <c r="B2114" t="n">
        <v>0.9236476560612593</v>
      </c>
      <c r="C2114" t="n">
        <v>1.061798727836486</v>
      </c>
      <c r="D2114" t="n">
        <v>0.9490554230739902</v>
      </c>
      <c r="E2114" t="n">
        <v>1.045648517512023</v>
      </c>
    </row>
    <row r="2115">
      <c r="A2115" t="inlineStr">
        <is>
          <t>G|FICO x ASSET_CLASS|where 2024|loan_size|rate|2</t>
        </is>
      </c>
      <c r="B2115" t="n">
        <v>32324.53858695652</v>
      </c>
      <c r="C2115" t="n">
        <v>30755.16476190476</v>
      </c>
      <c r="D2115" t="n">
        <v>32081.34363636364</v>
      </c>
      <c r="E2115" t="n">
        <v>34724.64366666667</v>
      </c>
      <c r="F2115" t="n">
        <v>32649.58051446945</v>
      </c>
    </row>
    <row r="2116">
      <c r="A2116" t="inlineStr">
        <is>
          <t>G|FICO x ASSET_CLASS|where 2024|loan_size|median|2</t>
        </is>
      </c>
      <c r="B2116" t="n">
        <v>31522.61</v>
      </c>
      <c r="C2116" t="n">
        <v>28284.31</v>
      </c>
      <c r="D2116" t="n">
        <v>34070.245</v>
      </c>
      <c r="E2116" t="n">
        <v>37062.41</v>
      </c>
      <c r="F2116" t="n">
        <v>33967.22</v>
      </c>
    </row>
    <row r="2117">
      <c r="A2117" t="inlineStr">
        <is>
          <t>G|FICO x ASSET_CLASS|where 2024|loan_size|book|2</t>
        </is>
      </c>
      <c r="B2117" t="n">
        <v>1.001920181001158</v>
      </c>
      <c r="C2117" t="n">
        <v>0.9532764145132174</v>
      </c>
      <c r="D2117" t="n">
        <v>0.9943821947044285</v>
      </c>
      <c r="E2117" t="n">
        <v>1.076313005183816</v>
      </c>
      <c r="F2117" t="n">
        <v>1.011995067792524</v>
      </c>
    </row>
    <row r="2118">
      <c r="A2118" t="inlineStr">
        <is>
          <t>G|FICO x ASSET_CLASS|where 2024|loan_size|band|2</t>
        </is>
      </c>
      <c r="B2118" t="n">
        <v>0.9859212035052537</v>
      </c>
      <c r="C2118" t="n">
        <v>0.9282946141208099</v>
      </c>
      <c r="D2118" t="n">
        <v>0.9780105329733202</v>
      </c>
      <c r="E2118" t="n">
        <v>1.091814320013698</v>
      </c>
    </row>
    <row r="2119">
      <c r="A2119" t="inlineStr">
        <is>
          <t>G|FICO x ASSET_CLASS|where 2024|loan_size|rate|3</t>
        </is>
      </c>
      <c r="B2119" t="n">
        <v>34579.23868421053</v>
      </c>
      <c r="C2119" t="n">
        <v>35171.76375</v>
      </c>
      <c r="D2119" t="n">
        <v>32880.08049382716</v>
      </c>
      <c r="E2119" t="n">
        <v>32958.30875</v>
      </c>
      <c r="F2119" t="n">
        <v>33947.33537537538</v>
      </c>
    </row>
    <row r="2120">
      <c r="A2120" t="inlineStr">
        <is>
          <t>G|FICO x ASSET_CLASS|where 2024|loan_size|median|3</t>
        </is>
      </c>
      <c r="B2120" t="n">
        <v>35219.63</v>
      </c>
      <c r="C2120" t="n">
        <v>37014.115</v>
      </c>
      <c r="D2120" t="n">
        <v>30909.88</v>
      </c>
      <c r="E2120" t="n">
        <v>33010.36</v>
      </c>
      <c r="F2120" t="n">
        <v>34683.44</v>
      </c>
    </row>
    <row r="2121">
      <c r="A2121" t="inlineStr">
        <is>
          <t>G|FICO x ASSET_CLASS|where 2024|loan_size|book|3</t>
        </is>
      </c>
      <c r="B2121" t="n">
        <v>1.071806082805047</v>
      </c>
      <c r="C2121" t="n">
        <v>1.090171784130264</v>
      </c>
      <c r="D2121" t="n">
        <v>1.01913956516617</v>
      </c>
      <c r="E2121" t="n">
        <v>1.02156430104827</v>
      </c>
      <c r="F2121" t="n">
        <v>1.052219827123154</v>
      </c>
    </row>
    <row r="2122">
      <c r="A2122" t="inlineStr">
        <is>
          <t>G|FICO x ASSET_CLASS|where 2024|loan_size|band|3</t>
        </is>
      </c>
      <c r="B2122" t="n">
        <v>1.024252318778883</v>
      </c>
      <c r="C2122" t="n">
        <v>1.051429871195985</v>
      </c>
      <c r="D2122" t="n">
        <v>0.9588718168713326</v>
      </c>
      <c r="E2122" t="n">
        <v>0.9620035138093979</v>
      </c>
    </row>
    <row r="2123">
      <c r="A2123" t="inlineStr">
        <is>
          <t>G|FICO x ASSET_CLASS|where 2024|loan_size|rate|4</t>
        </is>
      </c>
      <c r="B2123" t="n">
        <v>31968.7021686747</v>
      </c>
      <c r="C2123" t="n">
        <v>32690.56903846154</v>
      </c>
      <c r="D2123" t="n">
        <v>31648.88277108434</v>
      </c>
      <c r="E2123" t="n">
        <v>28897.76707865169</v>
      </c>
      <c r="F2123" t="n">
        <v>31342.56267409471</v>
      </c>
    </row>
    <row r="2124">
      <c r="A2124" t="inlineStr">
        <is>
          <t>G|FICO x ASSET_CLASS|where 2024|loan_size|median|4</t>
        </is>
      </c>
      <c r="B2124" t="n">
        <v>30778.99</v>
      </c>
      <c r="C2124" t="n">
        <v>32791.63499999999</v>
      </c>
      <c r="D2124" t="n">
        <v>27260.14</v>
      </c>
      <c r="E2124" t="n">
        <v>27455.24</v>
      </c>
      <c r="F2124" t="n">
        <v>29456.92</v>
      </c>
    </row>
    <row r="2125">
      <c r="A2125" t="inlineStr">
        <is>
          <t>G|FICO x ASSET_CLASS|where 2024|loan_size|book|4</t>
        </is>
      </c>
      <c r="B2125" t="n">
        <v>0.9908907988600131</v>
      </c>
      <c r="C2125" t="n">
        <v>1.013265533858626</v>
      </c>
      <c r="D2125" t="n">
        <v>0.9809777877938408</v>
      </c>
      <c r="E2125" t="n">
        <v>0.8957051604645369</v>
      </c>
      <c r="F2125" t="n">
        <v>0.9714831963646539</v>
      </c>
    </row>
    <row r="2126">
      <c r="A2126" t="inlineStr">
        <is>
          <t>G|FICO x ASSET_CLASS|where 2024|loan_size|band|4</t>
        </is>
      </c>
      <c r="B2126" t="n">
        <v>1.026142006954403</v>
      </c>
      <c r="C2126" t="n">
        <v>1.061630714895074</v>
      </c>
      <c r="D2126" t="n">
        <v>1.012749837684835</v>
      </c>
      <c r="E2126" t="n">
        <v>0.8988855232694364</v>
      </c>
    </row>
    <row r="2127">
      <c r="A2127" t="inlineStr">
        <is>
          <t>G|FICO x ASSET_CLASS|where 2024|loan_size|rate|5</t>
        </is>
      </c>
      <c r="B2127" t="n">
        <v>32971.23329268293</v>
      </c>
      <c r="C2127" t="n">
        <v>33234.16366666667</v>
      </c>
      <c r="D2127" t="n">
        <v>33090.74333333333</v>
      </c>
      <c r="E2127" t="n">
        <v>35194.26969072165</v>
      </c>
      <c r="F2127" t="n">
        <v>33662.98107734806</v>
      </c>
    </row>
    <row r="2128">
      <c r="A2128" t="inlineStr">
        <is>
          <t>G|FICO x ASSET_CLASS|where 2024|loan_size|median|5</t>
        </is>
      </c>
      <c r="B2128" t="n">
        <v>34558.835</v>
      </c>
      <c r="C2128" t="n">
        <v>34530.01</v>
      </c>
      <c r="D2128" t="n">
        <v>32405.27</v>
      </c>
      <c r="E2128" t="n">
        <v>36116.73</v>
      </c>
      <c r="F2128" t="n">
        <v>34347.605</v>
      </c>
    </row>
    <row r="2129">
      <c r="A2129" t="inlineStr">
        <is>
          <t>G|FICO x ASSET_CLASS|where 2024|loan_size|book|5</t>
        </is>
      </c>
      <c r="B2129" t="n">
        <v>1.021964905688283</v>
      </c>
      <c r="C2129" t="n">
        <v>1.030114604319984</v>
      </c>
      <c r="D2129" t="n">
        <v>1.025669197436727</v>
      </c>
      <c r="E2129" t="n">
        <v>1.090869370459015</v>
      </c>
      <c r="F2129" t="n">
        <v>1.043406079976182</v>
      </c>
    </row>
    <row r="2130">
      <c r="A2130" t="inlineStr">
        <is>
          <t>G|FICO x ASSET_CLASS|where 2024|loan_size|band|5</t>
        </is>
      </c>
      <c r="B2130" t="n">
        <v>0.9735917271294107</v>
      </c>
      <c r="C2130" t="n">
        <v>0.9831176532208336</v>
      </c>
      <c r="D2130" t="n">
        <v>0.9772576496308434</v>
      </c>
      <c r="E2130" t="n">
        <v>1.063191596440459</v>
      </c>
    </row>
    <row r="2131">
      <c r="A2131" t="inlineStr">
        <is>
          <t>G|FICO x ASSET_CLASS|where 2024|loan_size|rate|6</t>
        </is>
      </c>
      <c r="C2131" t="n">
        <v>27999.47</v>
      </c>
      <c r="F2131" t="n">
        <v>27999.47</v>
      </c>
    </row>
    <row r="2132">
      <c r="A2132" t="inlineStr">
        <is>
          <t>G|FICO x ASSET_CLASS|where 2024|loan_size|median|6</t>
        </is>
      </c>
      <c r="C2132" t="n">
        <v>27999.47</v>
      </c>
      <c r="F2132" t="n">
        <v>27999.47</v>
      </c>
    </row>
    <row r="2133">
      <c r="A2133" t="inlineStr">
        <is>
          <t>G|FICO x ASSET_CLASS|where 2024|loan_size|book|6</t>
        </is>
      </c>
      <c r="C2133" t="n">
        <v>0.8678618559355534</v>
      </c>
      <c r="F2133" t="n">
        <v>0.8678618559355534</v>
      </c>
    </row>
    <row r="2134">
      <c r="A2134" t="inlineStr">
        <is>
          <t>G|FICO x ASSET_CLASS|where 2024|loan_size|band|6</t>
        </is>
      </c>
    </row>
    <row r="2135">
      <c r="A2135" t="inlineStr">
        <is>
          <t>G|FICO x ASSET_CLASS|where 2024|loan_size|rate|7</t>
        </is>
      </c>
      <c r="B2135" t="n">
        <v>36849.18555555555</v>
      </c>
      <c r="C2135" t="n">
        <v>25516.667</v>
      </c>
      <c r="D2135" t="n">
        <v>37975.07666666667</v>
      </c>
      <c r="E2135" t="n">
        <v>31998.1675</v>
      </c>
      <c r="F2135" t="n">
        <v>32395.61648648649</v>
      </c>
    </row>
    <row r="2136">
      <c r="A2136" t="inlineStr">
        <is>
          <t>G|FICO x ASSET_CLASS|where 2024|loan_size|median|7</t>
        </is>
      </c>
      <c r="B2136" t="n">
        <v>39678.59</v>
      </c>
      <c r="C2136" t="n">
        <v>25757.3</v>
      </c>
      <c r="D2136" t="n">
        <v>42853.31</v>
      </c>
      <c r="E2136" t="n">
        <v>33638.33</v>
      </c>
      <c r="F2136" t="n">
        <v>34982.22</v>
      </c>
    </row>
    <row r="2137">
      <c r="A2137" t="inlineStr">
        <is>
          <t>G|FICO x ASSET_CLASS|where 2024|loan_size|book|7</t>
        </is>
      </c>
      <c r="B2137" t="n">
        <v>1.14216456832783</v>
      </c>
      <c r="C2137" t="n">
        <v>0.7909057557128577</v>
      </c>
      <c r="D2137" t="n">
        <v>1.177062298508803</v>
      </c>
      <c r="E2137" t="n">
        <v>0.9918040960449146</v>
      </c>
      <c r="F2137" t="n">
        <v>1.004123286910023</v>
      </c>
    </row>
    <row r="2138">
      <c r="A2138" t="inlineStr">
        <is>
          <t>G|FICO x ASSET_CLASS|where 2024|loan_size|band|7</t>
        </is>
      </c>
      <c r="B2138" t="n">
        <v>1.190061106404305</v>
      </c>
      <c r="C2138" t="n">
        <v>0.7302290232216322</v>
      </c>
      <c r="D2138" t="n">
        <v>1.212652159782126</v>
      </c>
      <c r="E2138" t="n">
        <v>0.9819487686762006</v>
      </c>
    </row>
    <row r="2139">
      <c r="A2139" t="inlineStr">
        <is>
          <t>G|FICO x ASSET_CLASS|where 2024|loan_size|rate|8</t>
        </is>
      </c>
      <c r="B2139" t="n">
        <v>32663.25469287469</v>
      </c>
      <c r="C2139" t="n">
        <v>33219.40739224138</v>
      </c>
      <c r="D2139" t="n">
        <v>32372.21776412777</v>
      </c>
      <c r="E2139" t="n">
        <v>33156.09789010989</v>
      </c>
      <c r="F2139" t="n">
        <v>32873.20649740335</v>
      </c>
    </row>
    <row r="2140">
      <c r="A2140" t="inlineStr">
        <is>
          <t>G|FICO x ASSET_CLASS|where 2024|loan_size|median|8</t>
        </is>
      </c>
      <c r="B2140" t="n">
        <v>32690.66</v>
      </c>
      <c r="C2140" t="n">
        <v>34021.495</v>
      </c>
      <c r="D2140" t="n">
        <v>31366.59</v>
      </c>
      <c r="E2140" t="n">
        <v>33220.72</v>
      </c>
      <c r="F2140" t="n">
        <v>32964.31</v>
      </c>
    </row>
    <row r="2141">
      <c r="A2141" t="inlineStr">
        <is>
          <t>G|FICO x ASSET_CLASS|where 2024|loan_size|book|8</t>
        </is>
      </c>
      <c r="B2141" t="n">
        <v>1.012418907881253</v>
      </c>
      <c r="C2141" t="n">
        <v>1.029657223958519</v>
      </c>
      <c r="D2141" t="n">
        <v>1.003398028231456</v>
      </c>
      <c r="E2141" t="n">
        <v>1.027694904599682</v>
      </c>
      <c r="F2141" t="n">
        <v>1.018926501158385</v>
      </c>
    </row>
    <row r="2142">
      <c r="A2142" t="inlineStr">
        <is>
          <t>G|FICO x ASSET_CLASS|where 2024|loan_size|band|8</t>
        </is>
      </c>
    </row>
    <row r="2143">
      <c r="A2143" t="inlineStr">
        <is>
          <t>G|FICO x ASSET_CLASS|where 2024|loan_size|meta</t>
        </is>
      </c>
      <c r="B2143" t="inlineStr">
        <is>
          <t>size</t>
        </is>
      </c>
      <c r="C2143" t="n">
        <v>1</v>
      </c>
      <c r="E2143" t="n">
        <v>32262.58857732217</v>
      </c>
      <c r="F2143" t="n">
        <v>30</v>
      </c>
    </row>
    <row r="2144">
      <c r="A2144" t="inlineStr">
        <is>
          <t>G|FICO x ASSET_CLASS|where 2025|cols</t>
        </is>
      </c>
      <c r="B2144" t="inlineStr">
        <is>
          <t>1</t>
        </is>
      </c>
      <c r="C2144" t="inlineStr">
        <is>
          <t>2</t>
        </is>
      </c>
      <c r="D2144" t="inlineStr">
        <is>
          <t>3</t>
        </is>
      </c>
      <c r="E2144" t="inlineStr">
        <is>
          <t>4</t>
        </is>
      </c>
      <c r="F2144" t="inlineStr">
        <is>
          <t>All</t>
        </is>
      </c>
    </row>
    <row r="2145">
      <c r="A2145" t="inlineStr">
        <is>
          <t>G|FICO x ASSET_CLASS|where 2025|heads</t>
        </is>
      </c>
      <c r="B2145" t="inlineStr">
        <is>
          <t>1</t>
        </is>
      </c>
      <c r="C2145" t="inlineStr">
        <is>
          <t>2</t>
        </is>
      </c>
      <c r="D2145" t="inlineStr">
        <is>
          <t>3</t>
        </is>
      </c>
      <c r="E2145" t="inlineStr">
        <is>
          <t>4</t>
        </is>
      </c>
      <c r="F2145" t="inlineStr">
        <is>
          <t>All</t>
        </is>
      </c>
    </row>
    <row r="2146">
      <c r="A2146" t="inlineStr">
        <is>
          <t>G|FICO x ASSET_CLASS|where 2025|segs</t>
        </is>
      </c>
    </row>
    <row r="2147">
      <c r="A2147" t="inlineStr">
        <is>
          <t>G|FICO x ASSET_CLASS|where 2025|rows</t>
        </is>
      </c>
      <c r="B2147" t="inlineStr">
        <is>
          <t>496 - 653</t>
        </is>
      </c>
      <c r="C2147" t="inlineStr">
        <is>
          <t>654 - 685</t>
        </is>
      </c>
      <c r="D2147" t="inlineStr">
        <is>
          <t>686 - 711</t>
        </is>
      </c>
      <c r="E2147" t="inlineStr">
        <is>
          <t>712 - 745</t>
        </is>
      </c>
      <c r="F2147" t="inlineStr">
        <is>
          <t>746 - 921</t>
        </is>
      </c>
      <c r="G2147" t="inlineStr">
        <is>
          <t>(blank)</t>
        </is>
      </c>
      <c r="H2147" t="inlineStr">
        <is>
          <t>(marked missing)</t>
        </is>
      </c>
      <c r="I2147" t="inlineStr">
        <is>
          <t>All</t>
        </is>
      </c>
    </row>
    <row r="2148">
      <c r="A2148" t="inlineStr">
        <is>
          <t>G|FICO x ASSET_CLASS|where 2025|names</t>
        </is>
      </c>
      <c r="B2148" t="inlineStr">
        <is>
          <t>FICO</t>
        </is>
      </c>
      <c r="C2148" t="inlineStr">
        <is>
          <t>ASSET_CLASS</t>
        </is>
      </c>
    </row>
    <row r="2149">
      <c r="A2149" t="inlineStr">
        <is>
          <t>G|FICO x ASSET_CLASS|where 2025|total</t>
        </is>
      </c>
      <c r="B2149" t="n">
        <v>1702</v>
      </c>
    </row>
    <row r="2150">
      <c r="A2150" t="inlineStr">
        <is>
          <t>G|FICO x ASSET_CLASS|where 2025|loans|1</t>
        </is>
      </c>
      <c r="B2150" t="n">
        <v>91</v>
      </c>
      <c r="C2150" t="n">
        <v>88</v>
      </c>
      <c r="D2150" t="n">
        <v>75</v>
      </c>
      <c r="E2150" t="n">
        <v>80</v>
      </c>
      <c r="F2150" t="n">
        <v>334</v>
      </c>
    </row>
    <row r="2151">
      <c r="A2151" t="inlineStr">
        <is>
          <t>G|FICO x ASSET_CLASS|where 2025|loans|2</t>
        </is>
      </c>
      <c r="B2151" t="n">
        <v>83</v>
      </c>
      <c r="C2151" t="n">
        <v>85</v>
      </c>
      <c r="D2151" t="n">
        <v>87</v>
      </c>
      <c r="E2151" t="n">
        <v>84</v>
      </c>
      <c r="F2151" t="n">
        <v>339</v>
      </c>
    </row>
    <row r="2152">
      <c r="A2152" t="inlineStr">
        <is>
          <t>G|FICO x ASSET_CLASS|where 2025|loans|3</t>
        </is>
      </c>
      <c r="B2152" t="n">
        <v>91</v>
      </c>
      <c r="C2152" t="n">
        <v>82</v>
      </c>
      <c r="D2152" t="n">
        <v>83</v>
      </c>
      <c r="E2152" t="n">
        <v>77</v>
      </c>
      <c r="F2152" t="n">
        <v>333</v>
      </c>
    </row>
    <row r="2153">
      <c r="A2153" t="inlineStr">
        <is>
          <t>G|FICO x ASSET_CLASS|where 2025|loans|4</t>
        </is>
      </c>
      <c r="B2153" t="n">
        <v>74</v>
      </c>
      <c r="C2153" t="n">
        <v>95</v>
      </c>
      <c r="D2153" t="n">
        <v>90</v>
      </c>
      <c r="E2153" t="n">
        <v>85</v>
      </c>
      <c r="F2153" t="n">
        <v>344</v>
      </c>
    </row>
    <row r="2154">
      <c r="A2154" t="inlineStr">
        <is>
          <t>G|FICO x ASSET_CLASS|where 2025|loans|5</t>
        </is>
      </c>
      <c r="B2154" t="n">
        <v>87</v>
      </c>
      <c r="C2154" t="n">
        <v>84</v>
      </c>
      <c r="D2154" t="n">
        <v>79</v>
      </c>
      <c r="E2154" t="n">
        <v>74</v>
      </c>
      <c r="F2154" t="n">
        <v>324</v>
      </c>
    </row>
    <row r="2155">
      <c r="A2155" t="inlineStr">
        <is>
          <t>G|FICO x ASSET_CLASS|where 2025|loans|6</t>
        </is>
      </c>
    </row>
    <row r="2156">
      <c r="A2156" t="inlineStr">
        <is>
          <t>G|FICO x ASSET_CLASS|where 2025|loans|7</t>
        </is>
      </c>
      <c r="B2156" t="n">
        <v>6</v>
      </c>
      <c r="C2156" t="n">
        <v>4</v>
      </c>
      <c r="D2156" t="n">
        <v>12</v>
      </c>
      <c r="E2156" t="n">
        <v>6</v>
      </c>
      <c r="F2156" t="n">
        <v>28</v>
      </c>
    </row>
    <row r="2157">
      <c r="A2157" t="inlineStr">
        <is>
          <t>G|FICO x ASSET_CLASS|where 2025|loans|8</t>
        </is>
      </c>
      <c r="B2157" t="n">
        <v>432</v>
      </c>
      <c r="C2157" t="n">
        <v>438</v>
      </c>
      <c r="D2157" t="n">
        <v>426</v>
      </c>
      <c r="E2157" t="n">
        <v>406</v>
      </c>
      <c r="F2157" t="n">
        <v>1702</v>
      </c>
    </row>
    <row r="2158">
      <c r="A2158" t="inlineStr">
        <is>
          <t>G|FICO x ASSET_CLASS|where 2025|outcome_loans|rate|1</t>
        </is>
      </c>
      <c r="B2158" t="n">
        <v>0.1098901098901099</v>
      </c>
      <c r="C2158" t="n">
        <v>0.1022727272727273</v>
      </c>
      <c r="D2158" t="n">
        <v>0.2</v>
      </c>
      <c r="E2158" t="n">
        <v>0.15</v>
      </c>
      <c r="F2158" t="n">
        <v>0.1377245508982036</v>
      </c>
    </row>
    <row r="2159">
      <c r="A2159" t="inlineStr">
        <is>
          <t>G|FICO x ASSET_CLASS|where 2025|outcome_loans|book|1</t>
        </is>
      </c>
      <c r="B2159" t="n">
        <v>1.420050063022599</v>
      </c>
      <c r="D2159" t="n">
        <v>2.584491114701131</v>
      </c>
      <c r="E2159" t="n">
        <v>1.938368336025848</v>
      </c>
      <c r="F2159" t="n">
        <v>1.779739390363054</v>
      </c>
    </row>
    <row r="2160">
      <c r="A2160" t="inlineStr">
        <is>
          <t>G|FICO x ASSET_CLASS|where 2025|outcome_loans|band|1</t>
        </is>
      </c>
      <c r="B2160" t="n">
        <v>0.7417582417582418</v>
      </c>
      <c r="D2160" t="n">
        <v>1.670967741935484</v>
      </c>
      <c r="E2160" t="n">
        <v>1.120588235294117</v>
      </c>
    </row>
    <row r="2161">
      <c r="A2161" t="inlineStr">
        <is>
          <t>G|FICO x ASSET_CLASS|where 2025|outcome_loans|rate|2</t>
        </is>
      </c>
      <c r="B2161" t="n">
        <v>0.108433734939759</v>
      </c>
      <c r="C2161" t="n">
        <v>0.04705882352941176</v>
      </c>
      <c r="D2161" t="n">
        <v>0.103448275862069</v>
      </c>
      <c r="E2161" t="n">
        <v>0.08333333333333333</v>
      </c>
      <c r="F2161" t="n">
        <v>0.08554572271386431</v>
      </c>
    </row>
    <row r="2162">
      <c r="A2162" t="inlineStr">
        <is>
          <t>G|FICO x ASSET_CLASS|where 2025|outcome_loans|book|2</t>
        </is>
      </c>
      <c r="F2162" t="n">
        <v>1.105460801273345</v>
      </c>
    </row>
    <row r="2163">
      <c r="A2163" t="inlineStr">
        <is>
          <t>G|FICO x ASSET_CLASS|where 2025|outcome_loans|band|2</t>
        </is>
      </c>
    </row>
    <row r="2164">
      <c r="A2164" t="inlineStr">
        <is>
          <t>G|FICO x ASSET_CLASS|where 2025|outcome_loans|rate|3</t>
        </is>
      </c>
      <c r="B2164" t="n">
        <v>0.08791208791208792</v>
      </c>
      <c r="C2164" t="n">
        <v>0.02439024390243903</v>
      </c>
      <c r="D2164" t="n">
        <v>0.08433734939759036</v>
      </c>
      <c r="E2164" t="n">
        <v>0.07792207792207792</v>
      </c>
      <c r="F2164" t="n">
        <v>0.06906906906906907</v>
      </c>
    </row>
    <row r="2165">
      <c r="A2165" t="inlineStr">
        <is>
          <t>G|FICO x ASSET_CLASS|where 2025|outcome_loans|book|3</t>
        </is>
      </c>
      <c r="F2165" t="n">
        <v>0.8925419765484385</v>
      </c>
    </row>
    <row r="2166">
      <c r="A2166" t="inlineStr">
        <is>
          <t>G|FICO x ASSET_CLASS|where 2025|outcome_loans|band|3</t>
        </is>
      </c>
    </row>
    <row r="2167">
      <c r="A2167" t="inlineStr">
        <is>
          <t>G|FICO x ASSET_CLASS|where 2025|outcome_loans|rate|4</t>
        </is>
      </c>
      <c r="B2167" t="n">
        <v>0.01351351351351351</v>
      </c>
      <c r="C2167" t="n">
        <v>0.04210526315789474</v>
      </c>
      <c r="D2167" t="n">
        <v>0.03333333333333333</v>
      </c>
      <c r="E2167" t="n">
        <v>0.1176470588235294</v>
      </c>
      <c r="F2167" t="n">
        <v>0.05232558139534884</v>
      </c>
    </row>
    <row r="2168">
      <c r="A2168" t="inlineStr">
        <is>
          <t>G|FICO x ASSET_CLASS|where 2025|outcome_loans|book|4</t>
        </is>
      </c>
      <c r="E2168" t="n">
        <v>1.520288891000665</v>
      </c>
      <c r="F2168" t="n">
        <v>0.6761750009392493</v>
      </c>
    </row>
    <row r="2169">
      <c r="A2169" t="inlineStr">
        <is>
          <t>G|FICO x ASSET_CLASS|where 2025|outcome_loans|band|4</t>
        </is>
      </c>
      <c r="E2169" t="n">
        <v>3.808823529411764</v>
      </c>
    </row>
    <row r="2170">
      <c r="A2170" t="inlineStr">
        <is>
          <t>G|FICO x ASSET_CLASS|where 2025|outcome_loans|rate|5</t>
        </is>
      </c>
      <c r="B2170" t="n">
        <v>0.02298850574712644</v>
      </c>
      <c r="C2170" t="n">
        <v>0.02380952380952381</v>
      </c>
      <c r="D2170" t="n">
        <v>0.08860759493670886</v>
      </c>
      <c r="E2170" t="n">
        <v>0.04054054054054054</v>
      </c>
      <c r="F2170" t="n">
        <v>0.04320987654320987</v>
      </c>
    </row>
    <row r="2171">
      <c r="A2171" t="inlineStr">
        <is>
          <t>G|FICO x ASSET_CLASS|where 2025|outcome_loans|book|5</t>
        </is>
      </c>
      <c r="F2171" t="n">
        <v>0.5583777099662937</v>
      </c>
    </row>
    <row r="2172">
      <c r="A2172" t="inlineStr">
        <is>
          <t>G|FICO x ASSET_CLASS|where 2025|outcome_loans|band|5</t>
        </is>
      </c>
    </row>
    <row r="2173">
      <c r="A2173" t="inlineStr">
        <is>
          <t>G|FICO x ASSET_CLASS|where 2025|outcome_loans|rate|6</t>
        </is>
      </c>
    </row>
    <row r="2174">
      <c r="A2174" t="inlineStr">
        <is>
          <t>G|FICO x ASSET_CLASS|where 2025|outcome_loans|book|6</t>
        </is>
      </c>
    </row>
    <row r="2175">
      <c r="A2175" t="inlineStr">
        <is>
          <t>G|FICO x ASSET_CLASS|where 2025|outcome_loans|band|6</t>
        </is>
      </c>
    </row>
    <row r="2176">
      <c r="A2176" t="inlineStr">
        <is>
          <t>G|FICO x ASSET_CLASS|where 2025|outcome_loans|rate|7</t>
        </is>
      </c>
      <c r="B2176" t="n">
        <v>0</v>
      </c>
      <c r="C2176" t="n">
        <v>0</v>
      </c>
      <c r="D2176" t="n">
        <v>0</v>
      </c>
      <c r="E2176" t="n">
        <v>0</v>
      </c>
      <c r="F2176" t="n">
        <v>0</v>
      </c>
    </row>
    <row r="2177">
      <c r="A2177" t="inlineStr">
        <is>
          <t>G|FICO x ASSET_CLASS|where 2025|outcome_loans|book|7</t>
        </is>
      </c>
    </row>
    <row r="2178">
      <c r="A2178" t="inlineStr">
        <is>
          <t>G|FICO x ASSET_CLASS|where 2025|outcome_loans|band|7</t>
        </is>
      </c>
    </row>
    <row r="2179">
      <c r="A2179" t="inlineStr">
        <is>
          <t>G|FICO x ASSET_CLASS|where 2025|outcome_loans|rate|8</t>
        </is>
      </c>
      <c r="B2179" t="n">
        <v>0.06944444444444445</v>
      </c>
      <c r="C2179" t="n">
        <v>0.04794520547945205</v>
      </c>
      <c r="D2179" t="n">
        <v>0.09624413145539906</v>
      </c>
      <c r="E2179" t="n">
        <v>0.09359605911330049</v>
      </c>
      <c r="F2179" t="n">
        <v>0.07638072855464159</v>
      </c>
    </row>
    <row r="2180">
      <c r="A2180" t="inlineStr">
        <is>
          <t>G|FICO x ASSET_CLASS|where 2025|outcome_loans|book|8</t>
        </is>
      </c>
      <c r="B2180" t="n">
        <v>0.8973927481601149</v>
      </c>
      <c r="C2180" t="n">
        <v>0.6195697877708189</v>
      </c>
      <c r="D2180" t="n">
        <v>1.243710512943032</v>
      </c>
      <c r="E2180" t="n">
        <v>1.209490915746835</v>
      </c>
      <c r="F2180" t="n">
        <v>0.9870265714193507</v>
      </c>
    </row>
    <row r="2181">
      <c r="A2181" t="inlineStr">
        <is>
          <t>G|FICO x ASSET_CLASS|where 2025|outcome_loans|band|8</t>
        </is>
      </c>
    </row>
    <row r="2182">
      <c r="A2182" t="inlineStr">
        <is>
          <t>G|FICO x ASSET_CLASS|where 2025|outcome_loans|meta</t>
        </is>
      </c>
      <c r="B2182" t="inlineStr">
        <is>
          <t>x</t>
        </is>
      </c>
      <c r="C2182" t="n">
        <v>3.808823529411764</v>
      </c>
      <c r="D2182" t="n">
        <v>10</v>
      </c>
      <c r="E2182" t="n">
        <v>0.07738467308413552</v>
      </c>
      <c r="F2182" t="n">
        <v>30</v>
      </c>
    </row>
    <row r="2183">
      <c r="A2183" t="inlineStr">
        <is>
          <t>G|FICO x ASSET_CLASS|where 2025|outcome_booked|rate|1</t>
        </is>
      </c>
      <c r="B2183" t="n">
        <v>0.09776161005069055</v>
      </c>
      <c r="C2183" t="n">
        <v>0.114238353388914</v>
      </c>
      <c r="D2183" t="n">
        <v>0.1816780636597799</v>
      </c>
      <c r="E2183" t="n">
        <v>0.1663750177750565</v>
      </c>
      <c r="F2183" t="n">
        <v>0.1383430318692265</v>
      </c>
    </row>
    <row r="2184">
      <c r="A2184" t="inlineStr">
        <is>
          <t>G|FICO x ASSET_CLASS|where 2025|outcome_booked|book|1</t>
        </is>
      </c>
      <c r="B2184" t="n">
        <v>1.306469173120013</v>
      </c>
      <c r="D2184" t="n">
        <v>2.427914080798848</v>
      </c>
      <c r="E2184" t="n">
        <v>2.223406834111057</v>
      </c>
      <c r="F2184" t="n">
        <v>1.848792244311317</v>
      </c>
    </row>
    <row r="2185">
      <c r="A2185" t="inlineStr">
        <is>
          <t>G|FICO x ASSET_CLASS|where 2025|outcome_booked|band|1</t>
        </is>
      </c>
      <c r="B2185" t="n">
        <v>0.6397422177821057</v>
      </c>
      <c r="D2185" t="n">
        <v>1.463229352424338</v>
      </c>
      <c r="E2185" t="n">
        <v>1.278478668838145</v>
      </c>
    </row>
    <row r="2186">
      <c r="A2186" t="inlineStr">
        <is>
          <t>G|FICO x ASSET_CLASS|where 2025|outcome_booked|rate|2</t>
        </is>
      </c>
      <c r="B2186" t="n">
        <v>0.08443666501877527</v>
      </c>
      <c r="C2186" t="n">
        <v>0.04267135071132577</v>
      </c>
      <c r="D2186" t="n">
        <v>0.09514263617412011</v>
      </c>
      <c r="E2186" t="n">
        <v>0.0771340088547187</v>
      </c>
      <c r="F2186" t="n">
        <v>0.07475977996904959</v>
      </c>
    </row>
    <row r="2187">
      <c r="A2187" t="inlineStr">
        <is>
          <t>G|FICO x ASSET_CLASS|where 2025|outcome_booked|book|2</t>
        </is>
      </c>
      <c r="F2187" t="n">
        <v>0.999076711892885</v>
      </c>
    </row>
    <row r="2188">
      <c r="A2188" t="inlineStr">
        <is>
          <t>G|FICO x ASSET_CLASS|where 2025|outcome_booked|band|2</t>
        </is>
      </c>
    </row>
    <row r="2189">
      <c r="A2189" t="inlineStr">
        <is>
          <t>G|FICO x ASSET_CLASS|where 2025|outcome_booked|rate|3</t>
        </is>
      </c>
      <c r="B2189" t="n">
        <v>0.1027298906422104</v>
      </c>
      <c r="C2189" t="n">
        <v>0.01680647412832064</v>
      </c>
      <c r="D2189" t="n">
        <v>0.08389310405257151</v>
      </c>
      <c r="E2189" t="n">
        <v>0.05536429245350222</v>
      </c>
      <c r="F2189" t="n">
        <v>0.06571381639062515</v>
      </c>
    </row>
    <row r="2190">
      <c r="A2190" t="inlineStr">
        <is>
          <t>G|FICO x ASSET_CLASS|where 2025|outcome_booked|book|3</t>
        </is>
      </c>
      <c r="F2190" t="n">
        <v>0.8781880261373004</v>
      </c>
    </row>
    <row r="2191">
      <c r="A2191" t="inlineStr">
        <is>
          <t>G|FICO x ASSET_CLASS|where 2025|outcome_booked|band|3</t>
        </is>
      </c>
    </row>
    <row r="2192">
      <c r="A2192" t="inlineStr">
        <is>
          <t>G|FICO x ASSET_CLASS|where 2025|outcome_booked|rate|4</t>
        </is>
      </c>
      <c r="B2192" t="n">
        <v>0.02407003086899077</v>
      </c>
      <c r="C2192" t="n">
        <v>0.03524778065165064</v>
      </c>
      <c r="D2192" t="n">
        <v>0.02692936169865881</v>
      </c>
      <c r="E2192" t="n">
        <v>0.147450842965893</v>
      </c>
      <c r="F2192" t="n">
        <v>0.0579956117167431</v>
      </c>
    </row>
    <row r="2193">
      <c r="A2193" t="inlineStr">
        <is>
          <t>G|FICO x ASSET_CLASS|where 2025|outcome_booked|book|4</t>
        </is>
      </c>
      <c r="E2193" t="n">
        <v>1.970507449556252</v>
      </c>
      <c r="F2193" t="n">
        <v>0.7750432797176247</v>
      </c>
    </row>
    <row r="2194">
      <c r="A2194" t="inlineStr">
        <is>
          <t>G|FICO x ASSET_CLASS|where 2025|outcome_booked|band|4</t>
        </is>
      </c>
      <c r="E2194" t="n">
        <v>5.018885053723889</v>
      </c>
    </row>
    <row r="2195">
      <c r="A2195" t="inlineStr">
        <is>
          <t>G|FICO x ASSET_CLASS|where 2025|outcome_booked|rate|5</t>
        </is>
      </c>
      <c r="B2195" t="n">
        <v>0.02054610749264959</v>
      </c>
      <c r="C2195" t="n">
        <v>0.02975392046353976</v>
      </c>
      <c r="D2195" t="n">
        <v>0.08003657655134952</v>
      </c>
      <c r="E2195" t="n">
        <v>0.02325052873906313</v>
      </c>
      <c r="F2195" t="n">
        <v>0.03771150744903581</v>
      </c>
    </row>
    <row r="2196">
      <c r="A2196" t="inlineStr">
        <is>
          <t>G|FICO x ASSET_CLASS|where 2025|outcome_booked|book|5</t>
        </is>
      </c>
      <c r="F2196" t="n">
        <v>0.5039700341320537</v>
      </c>
    </row>
    <row r="2197">
      <c r="A2197" t="inlineStr">
        <is>
          <t>G|FICO x ASSET_CLASS|where 2025|outcome_booked|band|5</t>
        </is>
      </c>
    </row>
    <row r="2198">
      <c r="A2198" t="inlineStr">
        <is>
          <t>G|FICO x ASSET_CLASS|where 2025|outcome_booked|rate|6</t>
        </is>
      </c>
    </row>
    <row r="2199">
      <c r="A2199" t="inlineStr">
        <is>
          <t>G|FICO x ASSET_CLASS|where 2025|outcome_booked|book|6</t>
        </is>
      </c>
    </row>
    <row r="2200">
      <c r="A2200" t="inlineStr">
        <is>
          <t>G|FICO x ASSET_CLASS|where 2025|outcome_booked|band|6</t>
        </is>
      </c>
    </row>
    <row r="2201">
      <c r="A2201" t="inlineStr">
        <is>
          <t>G|FICO x ASSET_CLASS|where 2025|outcome_booked|rate|7</t>
        </is>
      </c>
      <c r="B2201" t="n">
        <v>0</v>
      </c>
      <c r="C2201" t="n">
        <v>0</v>
      </c>
      <c r="D2201" t="n">
        <v>0</v>
      </c>
      <c r="E2201" t="n">
        <v>0</v>
      </c>
      <c r="F2201" t="n">
        <v>0</v>
      </c>
    </row>
    <row r="2202">
      <c r="A2202" t="inlineStr">
        <is>
          <t>G|FICO x ASSET_CLASS|where 2025|outcome_booked|book|7</t>
        </is>
      </c>
    </row>
    <row r="2203">
      <c r="A2203" t="inlineStr">
        <is>
          <t>G|FICO x ASSET_CLASS|where 2025|outcome_booked|band|7</t>
        </is>
      </c>
    </row>
    <row r="2204">
      <c r="A2204" t="inlineStr">
        <is>
          <t>G|FICO x ASSET_CLASS|where 2025|outcome_booked|rate|8</t>
        </is>
      </c>
      <c r="B2204" t="n">
        <v>0.06597557362234216</v>
      </c>
      <c r="C2204" t="n">
        <v>0.04829891038808991</v>
      </c>
      <c r="D2204" t="n">
        <v>0.09045736194019013</v>
      </c>
      <c r="E2204" t="n">
        <v>0.09545634441027966</v>
      </c>
      <c r="F2204" t="n">
        <v>0.07444206116597252</v>
      </c>
    </row>
    <row r="2205">
      <c r="A2205" t="inlineStr">
        <is>
          <t>G|FICO x ASSET_CLASS|where 2025|outcome_booked|book|8</t>
        </is>
      </c>
      <c r="B2205" t="n">
        <v>0.881686104308294</v>
      </c>
      <c r="C2205" t="n">
        <v>0.6454582477171438</v>
      </c>
      <c r="D2205" t="n">
        <v>1.208856470298928</v>
      </c>
      <c r="E2205" t="n">
        <v>1.275662003582932</v>
      </c>
      <c r="F2205" t="n">
        <v>0.9948307730041377</v>
      </c>
    </row>
    <row r="2206">
      <c r="A2206" t="inlineStr">
        <is>
          <t>G|FICO x ASSET_CLASS|where 2025|outcome_booked|band|8</t>
        </is>
      </c>
    </row>
    <row r="2207">
      <c r="A2207" t="inlineStr">
        <is>
          <t>G|FICO x ASSET_CLASS|where 2025|outcome_booked|meta</t>
        </is>
      </c>
      <c r="B2207" t="inlineStr">
        <is>
          <t>x</t>
        </is>
      </c>
      <c r="C2207" t="n">
        <v>5.018885053723889</v>
      </c>
      <c r="D2207" t="n">
        <v>10</v>
      </c>
      <c r="E2207" t="n">
        <v>0.07482886857347235</v>
      </c>
      <c r="F2207" t="n">
        <v>30</v>
      </c>
    </row>
    <row r="2208">
      <c r="A2208" t="inlineStr">
        <is>
          <t>G|FICO x ASSET_CLASS|where 2025|gco_rate|rate|1</t>
        </is>
      </c>
      <c r="B2208" t="n">
        <v>0.06753013193164135</v>
      </c>
      <c r="C2208" t="n">
        <v>0.06285859198968832</v>
      </c>
      <c r="D2208" t="n">
        <v>0.08834848616629166</v>
      </c>
      <c r="E2208" t="n">
        <v>0.08770284445744968</v>
      </c>
      <c r="F2208" t="n">
        <v>0.07599806119961273</v>
      </c>
    </row>
    <row r="2209">
      <c r="A2209" t="inlineStr">
        <is>
          <t>G|FICO x ASSET_CLASS|where 2025|gco_rate|book|1</t>
        </is>
      </c>
      <c r="B2209" t="n">
        <v>1.623115040622846</v>
      </c>
      <c r="D2209" t="n">
        <v>2.12349291510235</v>
      </c>
      <c r="E2209" t="n">
        <v>2.107974645872021</v>
      </c>
      <c r="F2209" t="n">
        <v>1.826645271715653</v>
      </c>
    </row>
    <row r="2210">
      <c r="A2210" t="inlineStr">
        <is>
          <t>G|FICO x ASSET_CLASS|where 2025|gco_rate|band|1</t>
        </is>
      </c>
      <c r="B2210" t="n">
        <v>0.8546207274905591</v>
      </c>
      <c r="D2210" t="n">
        <v>1.227802407031075</v>
      </c>
      <c r="E2210" t="n">
        <v>1.208513338582372</v>
      </c>
    </row>
    <row r="2211">
      <c r="A2211" t="inlineStr">
        <is>
          <t>G|FICO x ASSET_CLASS|where 2025|gco_rate|rate|2</t>
        </is>
      </c>
      <c r="B2211" t="n">
        <v>0.05020363582769689</v>
      </c>
      <c r="C2211" t="n">
        <v>0.0253367265224664</v>
      </c>
      <c r="D2211" t="n">
        <v>0.05231355608085522</v>
      </c>
      <c r="E2211" t="n">
        <v>0.03351874141840841</v>
      </c>
      <c r="F2211" t="n">
        <v>0.04017285878795855</v>
      </c>
    </row>
    <row r="2212">
      <c r="A2212" t="inlineStr">
        <is>
          <t>G|FICO x ASSET_CLASS|where 2025|gco_rate|book|2</t>
        </is>
      </c>
      <c r="F2212" t="n">
        <v>0.9655715079834042</v>
      </c>
    </row>
    <row r="2213">
      <c r="A2213" t="inlineStr">
        <is>
          <t>G|FICO x ASSET_CLASS|where 2025|gco_rate|band|2</t>
        </is>
      </c>
    </row>
    <row r="2214">
      <c r="A2214" t="inlineStr">
        <is>
          <t>G|FICO x ASSET_CLASS|where 2025|gco_rate|rate|3</t>
        </is>
      </c>
      <c r="B2214" t="n">
        <v>0.0583025248633451</v>
      </c>
      <c r="C2214" t="n">
        <v>0.009474682364665796</v>
      </c>
      <c r="D2214" t="n">
        <v>0.0542546884624121</v>
      </c>
      <c r="E2214" t="n">
        <v>0.03598636938071632</v>
      </c>
      <c r="F2214" t="n">
        <v>0.04004456808294039</v>
      </c>
    </row>
    <row r="2215">
      <c r="A2215" t="inlineStr">
        <is>
          <t>G|FICO x ASSET_CLASS|where 2025|gco_rate|book|3</t>
        </is>
      </c>
      <c r="F2215" t="n">
        <v>0.9624879870879042</v>
      </c>
    </row>
    <row r="2216">
      <c r="A2216" t="inlineStr">
        <is>
          <t>G|FICO x ASSET_CLASS|where 2025|gco_rate|band|3</t>
        </is>
      </c>
    </row>
    <row r="2217">
      <c r="A2217" t="inlineStr">
        <is>
          <t>G|FICO x ASSET_CLASS|where 2025|gco_rate|rate|4</t>
        </is>
      </c>
      <c r="B2217" t="n">
        <v>0.01368797489661643</v>
      </c>
      <c r="C2217" t="n">
        <v>0.01986175020764498</v>
      </c>
      <c r="D2217" t="n">
        <v>0.01470630182916415</v>
      </c>
      <c r="E2217" t="n">
        <v>0.08067293308628751</v>
      </c>
      <c r="F2217" t="n">
        <v>0.03199731498797338</v>
      </c>
    </row>
    <row r="2218">
      <c r="A2218" t="inlineStr">
        <is>
          <t>G|FICO x ASSET_CLASS|where 2025|gco_rate|book|4</t>
        </is>
      </c>
      <c r="E2218" t="n">
        <v>1.939007777980674</v>
      </c>
      <c r="F2218" t="n">
        <v>0.7690688842293231</v>
      </c>
    </row>
    <row r="2219">
      <c r="A2219" t="inlineStr">
        <is>
          <t>G|FICO x ASSET_CLASS|where 2025|gco_rate|band|4</t>
        </is>
      </c>
      <c r="E2219" t="n">
        <v>4.911247616548</v>
      </c>
    </row>
    <row r="2220">
      <c r="A2220" t="inlineStr">
        <is>
          <t>G|FICO x ASSET_CLASS|where 2025|gco_rate|rate|5</t>
        </is>
      </c>
      <c r="B2220" t="n">
        <v>0.01250612371531309</v>
      </c>
      <c r="C2220" t="n">
        <v>0.01216130013509304</v>
      </c>
      <c r="D2220" t="n">
        <v>0.04114488146145022</v>
      </c>
      <c r="E2220" t="n">
        <v>0.0137415175854166</v>
      </c>
      <c r="F2220" t="n">
        <v>0.01948094595282413</v>
      </c>
    </row>
    <row r="2221">
      <c r="A2221" t="inlineStr">
        <is>
          <t>G|FICO x ASSET_CLASS|where 2025|gco_rate|book|5</t>
        </is>
      </c>
      <c r="F2221" t="n">
        <v>0.468232705566122</v>
      </c>
    </row>
    <row r="2222">
      <c r="A2222" t="inlineStr">
        <is>
          <t>G|FICO x ASSET_CLASS|where 2025|gco_rate|band|5</t>
        </is>
      </c>
    </row>
    <row r="2223">
      <c r="A2223" t="inlineStr">
        <is>
          <t>G|FICO x ASSET_CLASS|where 2025|gco_rate|rate|6</t>
        </is>
      </c>
    </row>
    <row r="2224">
      <c r="A2224" t="inlineStr">
        <is>
          <t>G|FICO x ASSET_CLASS|where 2025|gco_rate|book|6</t>
        </is>
      </c>
    </row>
    <row r="2225">
      <c r="A2225" t="inlineStr">
        <is>
          <t>G|FICO x ASSET_CLASS|where 2025|gco_rate|band|6</t>
        </is>
      </c>
    </row>
    <row r="2226">
      <c r="A2226" t="inlineStr">
        <is>
          <t>G|FICO x ASSET_CLASS|where 2025|gco_rate|rate|7</t>
        </is>
      </c>
      <c r="B2226" t="n">
        <v>0</v>
      </c>
      <c r="C2226" t="n">
        <v>0</v>
      </c>
      <c r="D2226" t="n">
        <v>0</v>
      </c>
      <c r="E2226" t="n">
        <v>0</v>
      </c>
      <c r="F2226" t="n">
        <v>0</v>
      </c>
    </row>
    <row r="2227">
      <c r="A2227" t="inlineStr">
        <is>
          <t>G|FICO x ASSET_CLASS|where 2025|gco_rate|book|7</t>
        </is>
      </c>
    </row>
    <row r="2228">
      <c r="A2228" t="inlineStr">
        <is>
          <t>G|FICO x ASSET_CLASS|where 2025|gco_rate|band|7</t>
        </is>
      </c>
    </row>
    <row r="2229">
      <c r="A2229" t="inlineStr">
        <is>
          <t>G|FICO x ASSET_CLASS|where 2025|gco_rate|rate|8</t>
        </is>
      </c>
      <c r="B2229" t="n">
        <v>0.04065088561845833</v>
      </c>
      <c r="C2229" t="n">
        <v>0.02626824153799506</v>
      </c>
      <c r="D2229" t="n">
        <v>0.04844203080810978</v>
      </c>
      <c r="E2229" t="n">
        <v>0.05095256826077385</v>
      </c>
      <c r="F2229" t="n">
        <v>0.04126723109963322</v>
      </c>
    </row>
    <row r="2230">
      <c r="A2230" t="inlineStr">
        <is>
          <t>G|FICO x ASSET_CLASS|where 2025|gco_rate|book|8</t>
        </is>
      </c>
      <c r="B2230" t="n">
        <v>0.9770610833212826</v>
      </c>
      <c r="C2230" t="n">
        <v>0.6313682012970603</v>
      </c>
      <c r="D2230" t="n">
        <v>1.164324525273398</v>
      </c>
      <c r="E2230" t="n">
        <v>1.224666345774962</v>
      </c>
      <c r="F2230" t="n">
        <v>0.9918752054338762</v>
      </c>
    </row>
    <row r="2231">
      <c r="A2231" t="inlineStr">
        <is>
          <t>G|FICO x ASSET_CLASS|where 2025|gco_rate|band|8</t>
        </is>
      </c>
    </row>
    <row r="2232">
      <c r="A2232" t="inlineStr">
        <is>
          <t>G|FICO x ASSET_CLASS|where 2025|gco_rate|meta</t>
        </is>
      </c>
      <c r="B2232" t="inlineStr">
        <is>
          <t>x</t>
        </is>
      </c>
      <c r="C2232" t="n">
        <v>4.911247616548</v>
      </c>
      <c r="D2232" t="n">
        <v>10</v>
      </c>
      <c r="E2232" t="n">
        <v>0.04160526533333565</v>
      </c>
      <c r="F2232" t="n">
        <v>30</v>
      </c>
    </row>
    <row r="2233">
      <c r="A2233" t="inlineStr">
        <is>
          <t>G|FICO x ASSET_CLASS|where 2025|ranr_rate|rate|1</t>
        </is>
      </c>
      <c r="B2233" t="n">
        <v>0.03330575697740371</v>
      </c>
      <c r="C2233" t="n">
        <v>0.04325789750672609</v>
      </c>
      <c r="D2233" t="n">
        <v>0.01677213446037645</v>
      </c>
      <c r="E2233" t="n">
        <v>0.01680289269291838</v>
      </c>
      <c r="F2233" t="n">
        <v>0.02812002539922624</v>
      </c>
    </row>
    <row r="2234">
      <c r="A2234" t="inlineStr">
        <is>
          <t>G|FICO x ASSET_CLASS|where 2025|ranr_rate|book|1</t>
        </is>
      </c>
      <c r="B2234" t="n">
        <v>-9.468429266999999</v>
      </c>
      <c r="C2234" t="n">
        <v>-8.473215214</v>
      </c>
      <c r="D2234" t="n">
        <v>-11.121791519</v>
      </c>
      <c r="E2234" t="n">
        <v>-11.118715696</v>
      </c>
      <c r="F2234" t="n">
        <v>-9.987002425</v>
      </c>
    </row>
    <row r="2235">
      <c r="A2235" t="inlineStr">
        <is>
          <t>G|FICO x ASSET_CLASS|where 2025|ranr_rate|band|1</t>
        </is>
      </c>
      <c r="B2235" t="n">
        <v>0.703492512</v>
      </c>
      <c r="C2235" t="n">
        <v>2.057057989</v>
      </c>
      <c r="D2235" t="n">
        <v>-1.506129075</v>
      </c>
      <c r="E2235" t="n">
        <v>-1.463083475</v>
      </c>
    </row>
    <row r="2236">
      <c r="A2236" t="inlineStr">
        <is>
          <t>G|FICO x ASSET_CLASS|where 2025|ranr_rate|rate|2</t>
        </is>
      </c>
      <c r="B2236" t="n">
        <v>0.03029944179856706</v>
      </c>
      <c r="C2236" t="n">
        <v>0.0518163323363862</v>
      </c>
      <c r="D2236" t="n">
        <v>0.03084537381336724</v>
      </c>
      <c r="E2236" t="n">
        <v>0.04963703815878618</v>
      </c>
      <c r="F2236" t="n">
        <v>0.04084118073504934</v>
      </c>
    </row>
    <row r="2237">
      <c r="A2237" t="inlineStr">
        <is>
          <t>G|FICO x ASSET_CLASS|where 2025|ranr_rate|book|2</t>
        </is>
      </c>
      <c r="B2237" t="n">
        <v>-9.769060785000001</v>
      </c>
      <c r="C2237" t="n">
        <v>-7.617371731</v>
      </c>
      <c r="D2237" t="n">
        <v>-9.714467582999999</v>
      </c>
      <c r="E2237" t="n">
        <v>-7.835301149</v>
      </c>
      <c r="F2237" t="n">
        <v>-8.714886891000001</v>
      </c>
    </row>
    <row r="2238">
      <c r="A2238" t="inlineStr">
        <is>
          <t>G|FICO x ASSET_CLASS|where 2025|ranr_rate|band|2</t>
        </is>
      </c>
      <c r="B2238" t="n">
        <v>-1.394786145</v>
      </c>
      <c r="C2238" t="n">
        <v>1.461416757</v>
      </c>
      <c r="D2238" t="n">
        <v>-1.32509113</v>
      </c>
      <c r="E2238" t="n">
        <v>1.190461207</v>
      </c>
    </row>
    <row r="2239">
      <c r="A2239" t="inlineStr">
        <is>
          <t>G|FICO x ASSET_CLASS|where 2025|ranr_rate|rate|3</t>
        </is>
      </c>
      <c r="B2239" t="n">
        <v>0.009979194294864571</v>
      </c>
      <c r="C2239" t="n">
        <v>0.05678590726452192</v>
      </c>
      <c r="D2239" t="n">
        <v>0.01643825371681301</v>
      </c>
      <c r="E2239" t="n">
        <v>0.0301934927454782</v>
      </c>
      <c r="F2239" t="n">
        <v>0.02785438354624583</v>
      </c>
    </row>
    <row r="2240">
      <c r="A2240" t="inlineStr">
        <is>
          <t>G|FICO x ASSET_CLASS|where 2025|ranr_rate|book|3</t>
        </is>
      </c>
      <c r="B2240" t="n">
        <v>-11.801085535</v>
      </c>
      <c r="C2240" t="n">
        <v>-7.120414238</v>
      </c>
      <c r="D2240" t="n">
        <v>-11.155179593</v>
      </c>
      <c r="E2240" t="n">
        <v>-9.77965569</v>
      </c>
      <c r="F2240" t="n">
        <v>-10.01356661</v>
      </c>
    </row>
    <row r="2241">
      <c r="A2241" t="inlineStr">
        <is>
          <t>G|FICO x ASSET_CLASS|where 2025|ranr_rate|band|3</t>
        </is>
      </c>
      <c r="B2241" t="n">
        <v>-2.432056983</v>
      </c>
      <c r="C2241" t="n">
        <v>3.829044242</v>
      </c>
      <c r="D2241" t="n">
        <v>-1.528499307</v>
      </c>
      <c r="E2241" t="n">
        <v>0.306747503</v>
      </c>
    </row>
    <row r="2242">
      <c r="A2242" t="inlineStr">
        <is>
          <t>G|FICO x ASSET_CLASS|where 2025|ranr_rate|rate|4</t>
        </is>
      </c>
      <c r="B2242" t="n">
        <v>0.03886802486983566</v>
      </c>
      <c r="C2242" t="n">
        <v>0.0332773615055918</v>
      </c>
      <c r="D2242" t="n">
        <v>0.0371647255583961</v>
      </c>
      <c r="E2242" t="n">
        <v>-0.02952286962021103</v>
      </c>
      <c r="F2242" t="n">
        <v>0.02020897148445661</v>
      </c>
    </row>
    <row r="2243">
      <c r="A2243" t="inlineStr">
        <is>
          <t>G|FICO x ASSET_CLASS|where 2025|ranr_rate|book|4</t>
        </is>
      </c>
      <c r="B2243" t="n">
        <v>-8.912202477999999</v>
      </c>
      <c r="C2243" t="n">
        <v>-9.471268814</v>
      </c>
      <c r="D2243" t="n">
        <v>-9.082532409000001</v>
      </c>
      <c r="E2243" t="n">
        <v>-15.751291927</v>
      </c>
      <c r="F2243" t="n">
        <v>-10.778107816</v>
      </c>
    </row>
    <row r="2244">
      <c r="A2244" t="inlineStr">
        <is>
          <t>G|FICO x ASSET_CLASS|where 2025|ranr_rate|band|4</t>
        </is>
      </c>
      <c r="B2244" t="n">
        <v>2.339888339</v>
      </c>
      <c r="C2244" t="n">
        <v>1.847798286</v>
      </c>
      <c r="D2244" t="n">
        <v>2.298492712</v>
      </c>
      <c r="E2244" t="n">
        <v>-6.564087929</v>
      </c>
    </row>
    <row r="2245">
      <c r="A2245" t="inlineStr">
        <is>
          <t>G|FICO x ASSET_CLASS|where 2025|ranr_rate|rate|5</t>
        </is>
      </c>
      <c r="B2245" t="n">
        <v>0.01811557095774731</v>
      </c>
      <c r="C2245" t="n">
        <v>0.01887756955152948</v>
      </c>
      <c r="D2245" t="n">
        <v>-0.009673717345438908</v>
      </c>
      <c r="E2245" t="n">
        <v>0.01798411839749687</v>
      </c>
      <c r="F2245" t="n">
        <v>0.01168714254087645</v>
      </c>
    </row>
    <row r="2246">
      <c r="A2246" t="inlineStr">
        <is>
          <t>G|FICO x ASSET_CLASS|where 2025|ranr_rate|book|5</t>
        </is>
      </c>
      <c r="B2246" t="n">
        <v>-10.987447869</v>
      </c>
      <c r="C2246" t="n">
        <v>-10.91124801</v>
      </c>
      <c r="D2246" t="n">
        <v>-13.766376699</v>
      </c>
      <c r="E2246" t="n">
        <v>-11.000593125</v>
      </c>
      <c r="F2246" t="n">
        <v>-11.630290711</v>
      </c>
    </row>
    <row r="2247">
      <c r="A2247" t="inlineStr">
        <is>
          <t>G|FICO x ASSET_CLASS|where 2025|ranr_rate|band|5</t>
        </is>
      </c>
      <c r="B2247" t="n">
        <v>0.898205907</v>
      </c>
      <c r="C2247" t="n">
        <v>0.980672128</v>
      </c>
      <c r="D2247" t="n">
        <v>-2.80195203</v>
      </c>
      <c r="E2247" t="n">
        <v>0.7983660339999999</v>
      </c>
    </row>
    <row r="2248">
      <c r="A2248" t="inlineStr">
        <is>
          <t>G|FICO x ASSET_CLASS|where 2025|ranr_rate|rate|6</t>
        </is>
      </c>
    </row>
    <row r="2249">
      <c r="A2249" t="inlineStr">
        <is>
          <t>G|FICO x ASSET_CLASS|where 2025|ranr_rate|book|6</t>
        </is>
      </c>
    </row>
    <row r="2250">
      <c r="A2250" t="inlineStr">
        <is>
          <t>G|FICO x ASSET_CLASS|where 2025|ranr_rate|band|6</t>
        </is>
      </c>
    </row>
    <row r="2251">
      <c r="A2251" t="inlineStr">
        <is>
          <t>G|FICO x ASSET_CLASS|where 2025|ranr_rate|rate|7</t>
        </is>
      </c>
      <c r="B2251" t="n">
        <v>0.07940871660838739</v>
      </c>
      <c r="C2251" t="n">
        <v>0.05900643567733443</v>
      </c>
      <c r="D2251" t="n">
        <v>0.06258922463492238</v>
      </c>
      <c r="E2251" t="n">
        <v>0.09065888418312312</v>
      </c>
      <c r="F2251" t="n">
        <v>0.07147699232450494</v>
      </c>
    </row>
    <row r="2252">
      <c r="A2252" t="inlineStr">
        <is>
          <t>G|FICO x ASSET_CLASS|where 2025|ranr_rate|book|7</t>
        </is>
      </c>
      <c r="B2252" t="n">
        <v>-4.858133304</v>
      </c>
      <c r="C2252" t="n">
        <v>-6.898361397</v>
      </c>
      <c r="D2252" t="n">
        <v>-6.540082501</v>
      </c>
      <c r="E2252" t="n">
        <v>-3.733116547</v>
      </c>
      <c r="F2252" t="n">
        <v>-5.651305732</v>
      </c>
    </row>
    <row r="2253">
      <c r="A2253" t="inlineStr">
        <is>
          <t>G|FICO x ASSET_CLASS|where 2025|ranr_rate|band|7</t>
        </is>
      </c>
      <c r="B2253" t="n">
        <v>1.060127038</v>
      </c>
      <c r="C2253" t="n">
        <v>-1.482084308</v>
      </c>
      <c r="D2253" t="n">
        <v>-1.49028862</v>
      </c>
      <c r="E2253" t="n">
        <v>2.356455377</v>
      </c>
    </row>
    <row r="2254">
      <c r="A2254" t="inlineStr">
        <is>
          <t>G|FICO x ASSET_CLASS|where 2025|ranr_rate|rate|8</t>
        </is>
      </c>
      <c r="B2254" t="n">
        <v>0.02658125173530246</v>
      </c>
      <c r="C2254" t="n">
        <v>0.0404819452605416</v>
      </c>
      <c r="D2254" t="n">
        <v>0.02038285418863111</v>
      </c>
      <c r="E2254" t="n">
        <v>0.01786307083412912</v>
      </c>
      <c r="F2254" t="n">
        <v>0.02661212722928228</v>
      </c>
    </row>
    <row r="2255">
      <c r="A2255" t="inlineStr">
        <is>
          <t>G|FICO x ASSET_CLASS|where 2025|ranr_rate|book|8</t>
        </is>
      </c>
      <c r="B2255" t="n">
        <v>-10.140879791</v>
      </c>
      <c r="C2255" t="n">
        <v>-8.750810439</v>
      </c>
      <c r="D2255" t="n">
        <v>-10.760719546</v>
      </c>
      <c r="E2255" t="n">
        <v>-11.012697881</v>
      </c>
      <c r="F2255" t="n">
        <v>-10.137792242</v>
      </c>
    </row>
    <row r="2256">
      <c r="A2256" t="inlineStr">
        <is>
          <t>G|FICO x ASSET_CLASS|where 2025|ranr_rate|band|8</t>
        </is>
      </c>
    </row>
    <row r="2257">
      <c r="A2257" t="inlineStr">
        <is>
          <t>G|FICO x ASSET_CLASS|where 2025|ranr_rate|meta</t>
        </is>
      </c>
      <c r="B2257" t="inlineStr">
        <is>
          <t>pts</t>
        </is>
      </c>
      <c r="C2257" t="n">
        <v>15.751291927</v>
      </c>
      <c r="D2257" t="n">
        <v>10</v>
      </c>
      <c r="E2257" t="n">
        <v>0.1279900496481481</v>
      </c>
      <c r="F2257" t="n">
        <v>30</v>
      </c>
    </row>
    <row r="2258">
      <c r="A2258" t="inlineStr">
        <is>
          <t>G|FICO x ASSET_CLASS|where 2025|contribution_rate|rate|1</t>
        </is>
      </c>
      <c r="B2258" t="n">
        <v>0.1008358889090451</v>
      </c>
      <c r="C2258" t="n">
        <v>0.1061164894964144</v>
      </c>
      <c r="D2258" t="n">
        <v>0.1051206206266681</v>
      </c>
      <c r="E2258" t="n">
        <v>0.104505737150368</v>
      </c>
      <c r="F2258" t="n">
        <v>0.104118086598839</v>
      </c>
    </row>
    <row r="2259">
      <c r="A2259" t="inlineStr">
        <is>
          <t>G|FICO x ASSET_CLASS|where 2025|contribution_rate|book|1</t>
        </is>
      </c>
      <c r="B2259" t="n">
        <v>-6.875656683</v>
      </c>
      <c r="C2259" t="n">
        <v>-6.347596624</v>
      </c>
      <c r="D2259" t="n">
        <v>-6.447183511</v>
      </c>
      <c r="E2259" t="n">
        <v>-6.508671858</v>
      </c>
      <c r="F2259" t="n">
        <v>-6.547436914</v>
      </c>
    </row>
    <row r="2260">
      <c r="A2260" t="inlineStr">
        <is>
          <t>G|FICO x ASSET_CLASS|where 2025|contribution_rate|band|1</t>
        </is>
      </c>
      <c r="B2260" t="n">
        <v>-0.445260512</v>
      </c>
      <c r="C2260" t="n">
        <v>0.271559346</v>
      </c>
      <c r="D2260" t="n">
        <v>0.133059584</v>
      </c>
      <c r="E2260" t="n">
        <v>0.050115619</v>
      </c>
    </row>
    <row r="2261">
      <c r="A2261" t="inlineStr">
        <is>
          <t>G|FICO x ASSET_CLASS|where 2025|contribution_rate|rate|2</t>
        </is>
      </c>
      <c r="B2261" t="n">
        <v>0.08050307762626395</v>
      </c>
      <c r="C2261" t="n">
        <v>0.0771530588588526</v>
      </c>
      <c r="D2261" t="n">
        <v>0.08315892989422242</v>
      </c>
      <c r="E2261" t="n">
        <v>0.08315577957719454</v>
      </c>
      <c r="F2261" t="n">
        <v>0.08101403952300787</v>
      </c>
    </row>
    <row r="2262">
      <c r="A2262" t="inlineStr">
        <is>
          <t>G|FICO x ASSET_CLASS|where 2025|contribution_rate|book|2</t>
        </is>
      </c>
      <c r="B2262" t="n">
        <v>-8.908937810999999</v>
      </c>
      <c r="C2262" t="n">
        <v>-9.243939687999999</v>
      </c>
      <c r="D2262" t="n">
        <v>-8.643352584000001</v>
      </c>
      <c r="E2262" t="n">
        <v>-8.643667616</v>
      </c>
      <c r="F2262" t="n">
        <v>-8.857841621</v>
      </c>
    </row>
    <row r="2263">
      <c r="A2263" t="inlineStr">
        <is>
          <t>G|FICO x ASSET_CLASS|where 2025|contribution_rate|band|2</t>
        </is>
      </c>
      <c r="B2263" t="n">
        <v>-0.067605789</v>
      </c>
      <c r="C2263" t="n">
        <v>-0.514116073</v>
      </c>
      <c r="D2263" t="n">
        <v>0.284336745</v>
      </c>
      <c r="E2263" t="n">
        <v>0.28987037</v>
      </c>
    </row>
    <row r="2264">
      <c r="A2264" t="inlineStr">
        <is>
          <t>G|FICO x ASSET_CLASS|where 2025|contribution_rate|rate|3</t>
        </is>
      </c>
      <c r="B2264" t="n">
        <v>0.06828171915820963</v>
      </c>
      <c r="C2264" t="n">
        <v>0.06626058962918771</v>
      </c>
      <c r="D2264" t="n">
        <v>0.07069294217922514</v>
      </c>
      <c r="E2264" t="n">
        <v>0.06617986212619452</v>
      </c>
      <c r="F2264" t="n">
        <v>0.06789895162918623</v>
      </c>
    </row>
    <row r="2265">
      <c r="A2265" t="inlineStr">
        <is>
          <t>G|FICO x ASSET_CLASS|where 2025|contribution_rate|book|3</t>
        </is>
      </c>
      <c r="B2265" t="n">
        <v>-10.131073658</v>
      </c>
      <c r="C2265" t="n">
        <v>-10.333186611</v>
      </c>
      <c r="D2265" t="n">
        <v>-9.889951355999999</v>
      </c>
      <c r="E2265" t="n">
        <v>-10.341259361</v>
      </c>
      <c r="F2265" t="n">
        <v>-10.169350411</v>
      </c>
    </row>
    <row r="2266">
      <c r="A2266" t="inlineStr">
        <is>
          <t>G|FICO x ASSET_CLASS|where 2025|contribution_rate|band|3</t>
        </is>
      </c>
      <c r="B2266" t="n">
        <v>0.052078466</v>
      </c>
      <c r="C2266" t="n">
        <v>-0.21683478</v>
      </c>
      <c r="D2266" t="n">
        <v>0.374085849</v>
      </c>
      <c r="E2266" t="n">
        <v>-0.225438989</v>
      </c>
    </row>
    <row r="2267">
      <c r="A2267" t="inlineStr">
        <is>
          <t>G|FICO x ASSET_CLASS|where 2025|contribution_rate|rate|4</t>
        </is>
      </c>
      <c r="B2267" t="n">
        <v>0.05255599976645209</v>
      </c>
      <c r="C2267" t="n">
        <v>0.05313911171323681</v>
      </c>
      <c r="D2267" t="n">
        <v>0.05187102738756024</v>
      </c>
      <c r="E2267" t="n">
        <v>0.05115006346607651</v>
      </c>
      <c r="F2267" t="n">
        <v>0.05220628647243</v>
      </c>
    </row>
    <row r="2268">
      <c r="A2268" t="inlineStr">
        <is>
          <t>G|FICO x ASSET_CLASS|where 2025|contribution_rate|book|4</t>
        </is>
      </c>
      <c r="B2268" t="n">
        <v>-11.703645597</v>
      </c>
      <c r="C2268" t="n">
        <v>-11.645334402</v>
      </c>
      <c r="D2268" t="n">
        <v>-11.772142835</v>
      </c>
      <c r="E2268" t="n">
        <v>-11.844239227</v>
      </c>
      <c r="F2268" t="n">
        <v>-11.738616926</v>
      </c>
    </row>
    <row r="2269">
      <c r="A2269" t="inlineStr">
        <is>
          <t>G|FICO x ASSET_CLASS|where 2025|contribution_rate|band|4</t>
        </is>
      </c>
      <c r="B2269" t="n">
        <v>0.043854854</v>
      </c>
      <c r="C2269" t="n">
        <v>0.131896345</v>
      </c>
      <c r="D2269" t="n">
        <v>-0.045447142</v>
      </c>
      <c r="E2269" t="n">
        <v>-0.139410497</v>
      </c>
    </row>
    <row r="2270">
      <c r="A2270" t="inlineStr">
        <is>
          <t>G|FICO x ASSET_CLASS|where 2025|contribution_rate|rate|5</t>
        </is>
      </c>
      <c r="B2270" t="n">
        <v>0.03062169467306039</v>
      </c>
      <c r="C2270" t="n">
        <v>0.03103886968662251</v>
      </c>
      <c r="D2270" t="n">
        <v>0.03147116411601131</v>
      </c>
      <c r="E2270" t="n">
        <v>0.03172563598291345</v>
      </c>
      <c r="F2270" t="n">
        <v>0.03116808849370058</v>
      </c>
    </row>
    <row r="2271">
      <c r="A2271" t="inlineStr">
        <is>
          <t>G|FICO x ASSET_CLASS|where 2025|contribution_rate|book|5</t>
        </is>
      </c>
      <c r="B2271" t="n">
        <v>-13.897076106</v>
      </c>
      <c r="C2271" t="n">
        <v>-13.855358605</v>
      </c>
      <c r="D2271" t="n">
        <v>-13.812129162</v>
      </c>
      <c r="E2271" t="n">
        <v>-13.786681975</v>
      </c>
      <c r="F2271" t="n">
        <v>-13.842436724</v>
      </c>
    </row>
    <row r="2272">
      <c r="A2272" t="inlineStr">
        <is>
          <t>G|FICO x ASSET_CLASS|where 2025|contribution_rate|band|5</t>
        </is>
      </c>
      <c r="B2272" t="n">
        <v>-0.07634434499999999</v>
      </c>
      <c r="C2272" t="n">
        <v>-0.01762361</v>
      </c>
      <c r="D2272" t="n">
        <v>0.039755111</v>
      </c>
      <c r="E2272" t="n">
        <v>0.070689008</v>
      </c>
    </row>
    <row r="2273">
      <c r="A2273" t="inlineStr">
        <is>
          <t>G|FICO x ASSET_CLASS|where 2025|contribution_rate|rate|6</t>
        </is>
      </c>
    </row>
    <row r="2274">
      <c r="A2274" t="inlineStr">
        <is>
          <t>G|FICO x ASSET_CLASS|where 2025|contribution_rate|book|6</t>
        </is>
      </c>
    </row>
    <row r="2275">
      <c r="A2275" t="inlineStr">
        <is>
          <t>G|FICO x ASSET_CLASS|where 2025|contribution_rate|band|6</t>
        </is>
      </c>
    </row>
    <row r="2276">
      <c r="A2276" t="inlineStr">
        <is>
          <t>G|FICO x ASSET_CLASS|where 2025|contribution_rate|rate|7</t>
        </is>
      </c>
      <c r="B2276" t="n">
        <v>0.07940871660838739</v>
      </c>
      <c r="C2276" t="n">
        <v>0.05900643567733443</v>
      </c>
      <c r="D2276" t="n">
        <v>0.06258922463492238</v>
      </c>
      <c r="E2276" t="n">
        <v>0.09065888418312312</v>
      </c>
      <c r="F2276" t="n">
        <v>0.07147699232450494</v>
      </c>
    </row>
    <row r="2277">
      <c r="A2277" t="inlineStr">
        <is>
          <t>G|FICO x ASSET_CLASS|where 2025|contribution_rate|book|7</t>
        </is>
      </c>
      <c r="B2277" t="n">
        <v>-9.018373913</v>
      </c>
      <c r="C2277" t="n">
        <v>-11.058602006</v>
      </c>
      <c r="D2277" t="n">
        <v>-10.70032311</v>
      </c>
      <c r="E2277" t="n">
        <v>-7.893357155</v>
      </c>
      <c r="F2277" t="n">
        <v>-9.811546341</v>
      </c>
    </row>
    <row r="2278">
      <c r="A2278" t="inlineStr">
        <is>
          <t>G|FICO x ASSET_CLASS|where 2025|contribution_rate|band|7</t>
        </is>
      </c>
      <c r="B2278" t="n">
        <v>1.060127038</v>
      </c>
      <c r="C2278" t="n">
        <v>-1.482084308</v>
      </c>
      <c r="D2278" t="n">
        <v>-1.49028862</v>
      </c>
      <c r="E2278" t="n">
        <v>2.356455377</v>
      </c>
    </row>
    <row r="2279">
      <c r="A2279" t="inlineStr">
        <is>
          <t>G|FICO x ASSET_CLASS|where 2025|contribution_rate|rate|8</t>
        </is>
      </c>
      <c r="B2279" t="n">
        <v>0.0672321373537608</v>
      </c>
      <c r="C2279" t="n">
        <v>0.06675018679853666</v>
      </c>
      <c r="D2279" t="n">
        <v>0.0688248849967409</v>
      </c>
      <c r="E2279" t="n">
        <v>0.06881563909490297</v>
      </c>
      <c r="F2279" t="n">
        <v>0.06787935832891548</v>
      </c>
    </row>
    <row r="2280">
      <c r="A2280" t="inlineStr">
        <is>
          <t>G|FICO x ASSET_CLASS|where 2025|contribution_rate|book|8</t>
        </is>
      </c>
      <c r="B2280" t="n">
        <v>-10.236031838</v>
      </c>
      <c r="C2280" t="n">
        <v>-10.284226894</v>
      </c>
      <c r="D2280" t="n">
        <v>-10.076757074</v>
      </c>
      <c r="E2280" t="n">
        <v>-10.077681664</v>
      </c>
      <c r="F2280" t="n">
        <v>-10.171309741</v>
      </c>
    </row>
    <row r="2281">
      <c r="A2281" t="inlineStr">
        <is>
          <t>G|FICO x ASSET_CLASS|where 2025|contribution_rate|band|8</t>
        </is>
      </c>
    </row>
    <row r="2282">
      <c r="A2282" t="inlineStr">
        <is>
          <t>G|FICO x ASSET_CLASS|where 2025|contribution_rate|meta</t>
        </is>
      </c>
      <c r="B2282" t="inlineStr">
        <is>
          <t>pts</t>
        </is>
      </c>
      <c r="C2282" t="n">
        <v>13.897076106</v>
      </c>
      <c r="D2282" t="n">
        <v>10</v>
      </c>
      <c r="E2282" t="n">
        <v>0.1695924557349815</v>
      </c>
      <c r="F2282" t="n">
        <v>30</v>
      </c>
    </row>
    <row r="2283">
      <c r="A2283" t="inlineStr">
        <is>
          <t>G|FICO x ASSET_CLASS|where 2025|loan_size|rate|1</t>
        </is>
      </c>
      <c r="B2283" t="n">
        <v>31599.90604395605</v>
      </c>
      <c r="C2283" t="n">
        <v>32831.55352272727</v>
      </c>
      <c r="D2283" t="n">
        <v>35962.72146666666</v>
      </c>
      <c r="E2283" t="n">
        <v>30971.244625</v>
      </c>
      <c r="F2283" t="n">
        <v>32753.50850299401</v>
      </c>
    </row>
    <row r="2284">
      <c r="A2284" t="inlineStr">
        <is>
          <t>G|FICO x ASSET_CLASS|where 2025|loan_size|median|1</t>
        </is>
      </c>
      <c r="B2284" t="n">
        <v>31044.76</v>
      </c>
      <c r="C2284" t="n">
        <v>34356.925</v>
      </c>
      <c r="D2284" t="n">
        <v>39394.93</v>
      </c>
      <c r="E2284" t="n">
        <v>31776.025</v>
      </c>
      <c r="F2284" t="n">
        <v>33879.88</v>
      </c>
    </row>
    <row r="2285">
      <c r="A2285" t="inlineStr">
        <is>
          <t>G|FICO x ASSET_CLASS|where 2025|loan_size|book|1</t>
        </is>
      </c>
      <c r="B2285" t="n">
        <v>0.9794597221553409</v>
      </c>
      <c r="C2285" t="n">
        <v>1.017635440009455</v>
      </c>
      <c r="D2285" t="n">
        <v>1.114688035043331</v>
      </c>
      <c r="E2285" t="n">
        <v>0.9599739509671623</v>
      </c>
      <c r="F2285" t="n">
        <v>1.015216383660452</v>
      </c>
    </row>
    <row r="2286">
      <c r="A2286" t="inlineStr">
        <is>
          <t>G|FICO x ASSET_CLASS|where 2025|loan_size|band|1</t>
        </is>
      </c>
      <c r="B2286" t="n">
        <v>0.9522198189149401</v>
      </c>
      <c r="C2286" t="n">
        <v>1.003237942035859</v>
      </c>
      <c r="D2286" t="n">
        <v>1.130043230374487</v>
      </c>
      <c r="E2286" t="n">
        <v>0.9296527905958264</v>
      </c>
    </row>
    <row r="2287">
      <c r="A2287" t="inlineStr">
        <is>
          <t>G|FICO x ASSET_CLASS|where 2025|loan_size|rate|2</t>
        </is>
      </c>
      <c r="B2287" t="n">
        <v>30521.17542168675</v>
      </c>
      <c r="C2287" t="n">
        <v>30389.08752941176</v>
      </c>
      <c r="D2287" t="n">
        <v>29290.48931034483</v>
      </c>
      <c r="E2287" t="n">
        <v>32249.17583333333</v>
      </c>
      <c r="F2287" t="n">
        <v>30600.39333333333</v>
      </c>
    </row>
    <row r="2288">
      <c r="A2288" t="inlineStr">
        <is>
          <t>G|FICO x ASSET_CLASS|where 2025|loan_size|median|2</t>
        </is>
      </c>
      <c r="B2288" t="n">
        <v>28291.14</v>
      </c>
      <c r="C2288" t="n">
        <v>28613.84</v>
      </c>
      <c r="D2288" t="n">
        <v>28955.7</v>
      </c>
      <c r="E2288" t="n">
        <v>34871.69</v>
      </c>
      <c r="F2288" t="n">
        <v>30749.4</v>
      </c>
    </row>
    <row r="2289">
      <c r="A2289" t="inlineStr">
        <is>
          <t>G|FICO x ASSET_CLASS|where 2025|loan_size|book|2</t>
        </is>
      </c>
      <c r="B2289" t="n">
        <v>0.9460237621211993</v>
      </c>
      <c r="C2289" t="n">
        <v>0.9419296116484803</v>
      </c>
      <c r="D2289" t="n">
        <v>0.9078778424783165</v>
      </c>
      <c r="E2289" t="n">
        <v>0.9995842632417208</v>
      </c>
      <c r="F2289" t="n">
        <v>0.9484791730209393</v>
      </c>
    </row>
    <row r="2290">
      <c r="A2290" t="inlineStr">
        <is>
          <t>G|FICO x ASSET_CLASS|where 2025|loan_size|band|2</t>
        </is>
      </c>
      <c r="B2290" t="n">
        <v>0.9965747541538402</v>
      </c>
      <c r="C2290" t="n">
        <v>0.990805079641769</v>
      </c>
      <c r="D2290" t="n">
        <v>0.9432533334230211</v>
      </c>
      <c r="E2290" t="n">
        <v>1.072924494439899</v>
      </c>
    </row>
    <row r="2291">
      <c r="A2291" t="inlineStr">
        <is>
          <t>G|FICO x ASSET_CLASS|where 2025|loan_size|rate|3</t>
        </is>
      </c>
      <c r="B2291" t="n">
        <v>29458.74153846154</v>
      </c>
      <c r="C2291" t="n">
        <v>30151.03329268293</v>
      </c>
      <c r="D2291" t="n">
        <v>30847.55891566265</v>
      </c>
      <c r="E2291" t="n">
        <v>31193.10207792208</v>
      </c>
      <c r="F2291" t="n">
        <v>30376.4157957958</v>
      </c>
    </row>
    <row r="2292">
      <c r="A2292" t="inlineStr">
        <is>
          <t>G|FICO x ASSET_CLASS|where 2025|loan_size|median|3</t>
        </is>
      </c>
      <c r="B2292" t="n">
        <v>27318.8</v>
      </c>
      <c r="C2292" t="n">
        <v>29203.945</v>
      </c>
      <c r="D2292" t="n">
        <v>28164.59</v>
      </c>
      <c r="E2292" t="n">
        <v>29290.88</v>
      </c>
      <c r="F2292" t="n">
        <v>28386.51</v>
      </c>
    </row>
    <row r="2293">
      <c r="A2293" t="inlineStr">
        <is>
          <t>G|FICO x ASSET_CLASS|where 2025|loan_size|book|3</t>
        </is>
      </c>
      <c r="B2293" t="n">
        <v>0.9130929301552854</v>
      </c>
      <c r="C2293" t="n">
        <v>0.9345509651347851</v>
      </c>
      <c r="D2293" t="n">
        <v>0.9561402316411102</v>
      </c>
      <c r="E2293" t="n">
        <v>0.9668505675904802</v>
      </c>
      <c r="F2293" t="n">
        <v>0.941536842990578</v>
      </c>
    </row>
    <row r="2294">
      <c r="A2294" t="inlineStr">
        <is>
          <t>G|FICO x ASSET_CLASS|where 2025|loan_size|band|3</t>
        </is>
      </c>
      <c r="B2294" t="n">
        <v>0.9588968488672934</v>
      </c>
      <c r="C2294" t="n">
        <v>0.9901801976526989</v>
      </c>
      <c r="D2294" t="n">
        <v>1.020766469653009</v>
      </c>
      <c r="E2294" t="n">
        <v>1.035257317911709</v>
      </c>
    </row>
    <row r="2295">
      <c r="A2295" t="inlineStr">
        <is>
          <t>G|FICO x ASSET_CLASS|where 2025|loan_size|rate|4</t>
        </is>
      </c>
      <c r="B2295" t="n">
        <v>30007.15337837838</v>
      </c>
      <c r="C2295" t="n">
        <v>33781.21757894737</v>
      </c>
      <c r="D2295" t="n">
        <v>31949.274</v>
      </c>
      <c r="E2295" t="n">
        <v>31256.43870588235</v>
      </c>
      <c r="F2295" t="n">
        <v>31866.21212209302</v>
      </c>
    </row>
    <row r="2296">
      <c r="A2296" t="inlineStr">
        <is>
          <t>G|FICO x ASSET_CLASS|where 2025|loan_size|median|4</t>
        </is>
      </c>
      <c r="B2296" t="n">
        <v>28628.895</v>
      </c>
      <c r="C2296" t="n">
        <v>34362.99</v>
      </c>
      <c r="D2296" t="n">
        <v>32702.96</v>
      </c>
      <c r="E2296" t="n">
        <v>29755.38</v>
      </c>
      <c r="F2296" t="n">
        <v>31826.995</v>
      </c>
    </row>
    <row r="2297">
      <c r="A2297" t="inlineStr">
        <is>
          <t>G|FICO x ASSET_CLASS|where 2025|loan_size|book|4</t>
        </is>
      </c>
      <c r="B2297" t="n">
        <v>0.9300913132392244</v>
      </c>
      <c r="C2297" t="n">
        <v>1.047070897550132</v>
      </c>
      <c r="D2297" t="n">
        <v>0.9902886100856024</v>
      </c>
      <c r="E2297" t="n">
        <v>0.9688137277320936</v>
      </c>
      <c r="F2297" t="n">
        <v>0.9877140529415621</v>
      </c>
    </row>
    <row r="2298">
      <c r="A2298" t="inlineStr">
        <is>
          <t>G|FICO x ASSET_CLASS|where 2025|loan_size|band|4</t>
        </is>
      </c>
      <c r="B2298" t="n">
        <v>0.9268409266247094</v>
      </c>
      <c r="C2298" t="n">
        <v>1.084971257551538</v>
      </c>
      <c r="D2298" t="n">
        <v>1.003533436777381</v>
      </c>
      <c r="E2298" t="n">
        <v>0.9747432249200331</v>
      </c>
    </row>
    <row r="2299">
      <c r="A2299" t="inlineStr">
        <is>
          <t>G|FICO x ASSET_CLASS|where 2025|loan_size|rate|5</t>
        </is>
      </c>
      <c r="B2299" t="n">
        <v>32439.3632183908</v>
      </c>
      <c r="C2299" t="n">
        <v>31527.74202380953</v>
      </c>
      <c r="D2299" t="n">
        <v>29861.28392405064</v>
      </c>
      <c r="E2299" t="n">
        <v>28340.62837837838</v>
      </c>
      <c r="F2299" t="n">
        <v>30638.28043209876</v>
      </c>
    </row>
    <row r="2300">
      <c r="A2300" t="inlineStr">
        <is>
          <t>G|FICO x ASSET_CLASS|where 2025|loan_size|median|5</t>
        </is>
      </c>
      <c r="B2300" t="n">
        <v>32609.4</v>
      </c>
      <c r="C2300" t="n">
        <v>31182.465</v>
      </c>
      <c r="D2300" t="n">
        <v>26926.23</v>
      </c>
      <c r="E2300" t="n">
        <v>26553.16</v>
      </c>
      <c r="F2300" t="n">
        <v>28858.44</v>
      </c>
    </row>
    <row r="2301">
      <c r="A2301" t="inlineStr">
        <is>
          <t>G|FICO x ASSET_CLASS|where 2025|loan_size|book|5</t>
        </is>
      </c>
      <c r="B2301" t="n">
        <v>1.005479245431437</v>
      </c>
      <c r="C2301" t="n">
        <v>0.9772229512287438</v>
      </c>
      <c r="D2301" t="n">
        <v>0.9255699942515015</v>
      </c>
      <c r="E2301" t="n">
        <v>0.8784362826453241</v>
      </c>
      <c r="F2301" t="n">
        <v>0.949653508386951</v>
      </c>
    </row>
    <row r="2302">
      <c r="A2302" t="inlineStr">
        <is>
          <t>G|FICO x ASSET_CLASS|where 2025|loan_size|band|5</t>
        </is>
      </c>
      <c r="B2302" t="n">
        <v>1.082137292517997</v>
      </c>
      <c r="C2302" t="n">
        <v>1.039594235538633</v>
      </c>
      <c r="D2302" t="n">
        <v>0.9667343016906397</v>
      </c>
      <c r="E2302" t="n">
        <v>0.9049198411799859</v>
      </c>
    </row>
    <row r="2303">
      <c r="A2303" t="inlineStr">
        <is>
          <t>G|FICO x ASSET_CLASS|where 2025|loan_size|rate|6</t>
        </is>
      </c>
    </row>
    <row r="2304">
      <c r="A2304" t="inlineStr">
        <is>
          <t>G|FICO x ASSET_CLASS|where 2025|loan_size|median|6</t>
        </is>
      </c>
    </row>
    <row r="2305">
      <c r="A2305" t="inlineStr">
        <is>
          <t>G|FICO x ASSET_CLASS|where 2025|loan_size|book|6</t>
        </is>
      </c>
    </row>
    <row r="2306">
      <c r="A2306" t="inlineStr">
        <is>
          <t>G|FICO x ASSET_CLASS|where 2025|loan_size|band|6</t>
        </is>
      </c>
    </row>
    <row r="2307">
      <c r="A2307" t="inlineStr">
        <is>
          <t>G|FICO x ASSET_CLASS|where 2025|loan_size|rate|7</t>
        </is>
      </c>
      <c r="B2307" t="n">
        <v>38990.89166666667</v>
      </c>
      <c r="C2307" t="n">
        <v>36831.7875</v>
      </c>
      <c r="D2307" t="n">
        <v>31248.37666666667</v>
      </c>
      <c r="E2307" t="n">
        <v>28798.005</v>
      </c>
      <c r="F2307" t="n">
        <v>33180.0375</v>
      </c>
    </row>
    <row r="2308">
      <c r="A2308" t="inlineStr">
        <is>
          <t>G|FICO x ASSET_CLASS|where 2025|loan_size|median|7</t>
        </is>
      </c>
      <c r="B2308" t="n">
        <v>50395.885</v>
      </c>
      <c r="C2308" t="n">
        <v>37208.85</v>
      </c>
      <c r="D2308" t="n">
        <v>31286.2</v>
      </c>
      <c r="E2308" t="n">
        <v>27294.535</v>
      </c>
      <c r="F2308" t="n">
        <v>29629.22</v>
      </c>
    </row>
    <row r="2309">
      <c r="A2309" t="inlineStr">
        <is>
          <t>G|FICO x ASSET_CLASS|where 2025|loan_size|book|7</t>
        </is>
      </c>
      <c r="B2309" t="n">
        <v>1.208548147747634</v>
      </c>
      <c r="C2309" t="n">
        <v>1.141625304235184</v>
      </c>
      <c r="D2309" t="n">
        <v>0.9685638395621979</v>
      </c>
      <c r="E2309" t="n">
        <v>0.892612969693403</v>
      </c>
      <c r="F2309" t="n">
        <v>1.028436928440476</v>
      </c>
    </row>
    <row r="2310">
      <c r="A2310" t="inlineStr">
        <is>
          <t>G|FICO x ASSET_CLASS|where 2025|loan_size|band|7</t>
        </is>
      </c>
      <c r="B2310" t="n">
        <v>1.234074123414469</v>
      </c>
      <c r="C2310" t="n">
        <v>1.130801051382098</v>
      </c>
      <c r="D2310" t="n">
        <v>0.9023815983908232</v>
      </c>
      <c r="E2310" t="n">
        <v>0.8377567999662335</v>
      </c>
    </row>
    <row r="2311">
      <c r="A2311" t="inlineStr">
        <is>
          <t>G|FICO x ASSET_CLASS|where 2025|loan_size|rate|8</t>
        </is>
      </c>
      <c r="B2311" t="n">
        <v>30940.49488425926</v>
      </c>
      <c r="C2311" t="n">
        <v>31848.18956621004</v>
      </c>
      <c r="D2311" t="n">
        <v>31491.26920187793</v>
      </c>
      <c r="E2311" t="n">
        <v>30825.83995073891</v>
      </c>
      <c r="F2311" t="n">
        <v>31284.59019976499</v>
      </c>
    </row>
    <row r="2312">
      <c r="A2312" t="inlineStr">
        <is>
          <t>G|FICO x ASSET_CLASS|where 2025|loan_size|median|8</t>
        </is>
      </c>
      <c r="B2312" t="n">
        <v>28859.355</v>
      </c>
      <c r="C2312" t="n">
        <v>31899.815</v>
      </c>
      <c r="D2312" t="n">
        <v>31221.05</v>
      </c>
      <c r="E2312" t="n">
        <v>29498.515</v>
      </c>
      <c r="F2312" t="n">
        <v>30730.845</v>
      </c>
    </row>
    <row r="2313">
      <c r="A2313" t="inlineStr">
        <is>
          <t>G|FICO x ASSET_CLASS|where 2025|loan_size|book|8</t>
        </is>
      </c>
      <c r="B2313" t="n">
        <v>0.9590208426737268</v>
      </c>
      <c r="C2313" t="n">
        <v>0.9871554320534772</v>
      </c>
      <c r="D2313" t="n">
        <v>0.9760924522967012</v>
      </c>
      <c r="E2313" t="n">
        <v>0.9554670381411006</v>
      </c>
      <c r="F2313" t="n">
        <v>0.969686301667541</v>
      </c>
    </row>
    <row r="2314">
      <c r="A2314" t="inlineStr">
        <is>
          <t>G|FICO x ASSET_CLASS|where 2025|loan_size|band|8</t>
        </is>
      </c>
    </row>
    <row r="2315">
      <c r="A2315" t="inlineStr">
        <is>
          <t>G|FICO x ASSET_CLASS|where 2025|loan_size|meta</t>
        </is>
      </c>
      <c r="B2315" t="inlineStr">
        <is>
          <t>size</t>
        </is>
      </c>
      <c r="C2315" t="n">
        <v>1</v>
      </c>
      <c r="E2315" t="n">
        <v>32262.58857732217</v>
      </c>
      <c r="F2315" t="n">
        <v>30</v>
      </c>
    </row>
    <row r="2316">
      <c r="A2316" t="inlineStr">
        <is>
          <t>G|FICO x ASSET_CLASS|where 2026|cols</t>
        </is>
      </c>
      <c r="B2316" t="inlineStr">
        <is>
          <t>1</t>
        </is>
      </c>
      <c r="C2316" t="inlineStr">
        <is>
          <t>2</t>
        </is>
      </c>
      <c r="D2316" t="inlineStr">
        <is>
          <t>3</t>
        </is>
      </c>
      <c r="E2316" t="inlineStr">
        <is>
          <t>4</t>
        </is>
      </c>
      <c r="F2316" t="inlineStr">
        <is>
          <t>All</t>
        </is>
      </c>
    </row>
    <row r="2317">
      <c r="A2317" t="inlineStr">
        <is>
          <t>G|FICO x ASSET_CLASS|where 2026|heads</t>
        </is>
      </c>
      <c r="B2317" t="inlineStr">
        <is>
          <t>1</t>
        </is>
      </c>
      <c r="C2317" t="inlineStr">
        <is>
          <t>2</t>
        </is>
      </c>
      <c r="D2317" t="inlineStr">
        <is>
          <t>3</t>
        </is>
      </c>
      <c r="E2317" t="inlineStr">
        <is>
          <t>4</t>
        </is>
      </c>
      <c r="F2317" t="inlineStr">
        <is>
          <t>All</t>
        </is>
      </c>
    </row>
    <row r="2318">
      <c r="A2318" t="inlineStr">
        <is>
          <t>G|FICO x ASSET_CLASS|where 2026|segs</t>
        </is>
      </c>
    </row>
    <row r="2319">
      <c r="A2319" t="inlineStr">
        <is>
          <t>G|FICO x ASSET_CLASS|where 2026|rows</t>
        </is>
      </c>
      <c r="B2319" t="inlineStr">
        <is>
          <t>496 - 653</t>
        </is>
      </c>
      <c r="C2319" t="inlineStr">
        <is>
          <t>654 - 685</t>
        </is>
      </c>
      <c r="D2319" t="inlineStr">
        <is>
          <t>686 - 711</t>
        </is>
      </c>
      <c r="E2319" t="inlineStr">
        <is>
          <t>712 - 745</t>
        </is>
      </c>
      <c r="F2319" t="inlineStr">
        <is>
          <t>746 - 921</t>
        </is>
      </c>
      <c r="G2319" t="inlineStr">
        <is>
          <t>(blank)</t>
        </is>
      </c>
      <c r="H2319" t="inlineStr">
        <is>
          <t>(marked missing)</t>
        </is>
      </c>
      <c r="I2319" t="inlineStr">
        <is>
          <t>All</t>
        </is>
      </c>
    </row>
    <row r="2320">
      <c r="A2320" t="inlineStr">
        <is>
          <t>G|FICO x ASSET_CLASS|where 2026|names</t>
        </is>
      </c>
      <c r="B2320" t="inlineStr">
        <is>
          <t>FICO</t>
        </is>
      </c>
      <c r="C2320" t="inlineStr">
        <is>
          <t>ASSET_CLASS</t>
        </is>
      </c>
    </row>
    <row r="2321">
      <c r="A2321" t="inlineStr">
        <is>
          <t>G|FICO x ASSET_CLASS|where 2026|total</t>
        </is>
      </c>
      <c r="B2321" t="n">
        <v>373</v>
      </c>
    </row>
    <row r="2322">
      <c r="A2322" t="inlineStr">
        <is>
          <t>G|FICO x ASSET_CLASS|where 2026|loans|1</t>
        </is>
      </c>
      <c r="B2322" t="n">
        <v>20</v>
      </c>
      <c r="C2322" t="n">
        <v>20</v>
      </c>
      <c r="D2322" t="n">
        <v>11</v>
      </c>
      <c r="E2322" t="n">
        <v>17</v>
      </c>
      <c r="F2322" t="n">
        <v>68</v>
      </c>
    </row>
    <row r="2323">
      <c r="A2323" t="inlineStr">
        <is>
          <t>G|FICO x ASSET_CLASS|where 2026|loans|2</t>
        </is>
      </c>
      <c r="B2323" t="n">
        <v>18</v>
      </c>
      <c r="C2323" t="n">
        <v>23</v>
      </c>
      <c r="D2323" t="n">
        <v>20</v>
      </c>
      <c r="E2323" t="n">
        <v>20</v>
      </c>
      <c r="F2323" t="n">
        <v>81</v>
      </c>
    </row>
    <row r="2324">
      <c r="A2324" t="inlineStr">
        <is>
          <t>G|FICO x ASSET_CLASS|where 2026|loans|3</t>
        </is>
      </c>
      <c r="B2324" t="n">
        <v>15</v>
      </c>
      <c r="C2324" t="n">
        <v>19</v>
      </c>
      <c r="D2324" t="n">
        <v>23</v>
      </c>
      <c r="E2324" t="n">
        <v>15</v>
      </c>
      <c r="F2324" t="n">
        <v>72</v>
      </c>
    </row>
    <row r="2325">
      <c r="A2325" t="inlineStr">
        <is>
          <t>G|FICO x ASSET_CLASS|where 2026|loans|4</t>
        </is>
      </c>
      <c r="B2325" t="n">
        <v>16</v>
      </c>
      <c r="C2325" t="n">
        <v>28</v>
      </c>
      <c r="D2325" t="n">
        <v>25</v>
      </c>
      <c r="E2325" t="n">
        <v>14</v>
      </c>
      <c r="F2325" t="n">
        <v>83</v>
      </c>
    </row>
    <row r="2326">
      <c r="A2326" t="inlineStr">
        <is>
          <t>G|FICO x ASSET_CLASS|where 2026|loans|5</t>
        </is>
      </c>
      <c r="B2326" t="n">
        <v>15</v>
      </c>
      <c r="C2326" t="n">
        <v>22</v>
      </c>
      <c r="D2326" t="n">
        <v>10</v>
      </c>
      <c r="E2326" t="n">
        <v>15</v>
      </c>
      <c r="F2326" t="n">
        <v>62</v>
      </c>
    </row>
    <row r="2327">
      <c r="A2327" t="inlineStr">
        <is>
          <t>G|FICO x ASSET_CLASS|where 2026|loans|6</t>
        </is>
      </c>
    </row>
    <row r="2328">
      <c r="A2328" t="inlineStr">
        <is>
          <t>G|FICO x ASSET_CLASS|where 2026|loans|7</t>
        </is>
      </c>
      <c r="B2328" t="n">
        <v>1</v>
      </c>
      <c r="C2328" t="n">
        <v>3</v>
      </c>
      <c r="D2328" t="n">
        <v>1</v>
      </c>
      <c r="E2328" t="n">
        <v>2</v>
      </c>
      <c r="F2328" t="n">
        <v>7</v>
      </c>
    </row>
    <row r="2329">
      <c r="A2329" t="inlineStr">
        <is>
          <t>G|FICO x ASSET_CLASS|where 2026|loans|8</t>
        </is>
      </c>
      <c r="B2329" t="n">
        <v>85</v>
      </c>
      <c r="C2329" t="n">
        <v>115</v>
      </c>
      <c r="D2329" t="n">
        <v>90</v>
      </c>
      <c r="E2329" t="n">
        <v>83</v>
      </c>
      <c r="F2329" t="n">
        <v>373</v>
      </c>
    </row>
    <row r="2330">
      <c r="A2330" t="inlineStr">
        <is>
          <t>G|FICO x ASSET_CLASS|where 2026|outcome_loans|rate|1</t>
        </is>
      </c>
      <c r="B2330" t="n">
        <v>0.2</v>
      </c>
      <c r="C2330" t="n">
        <v>0.15</v>
      </c>
      <c r="D2330" t="n">
        <v>0</v>
      </c>
      <c r="E2330" t="n">
        <v>0.2352941176470588</v>
      </c>
      <c r="F2330" t="n">
        <v>0.1617647058823529</v>
      </c>
    </row>
    <row r="2331">
      <c r="A2331" t="inlineStr">
        <is>
          <t>G|FICO x ASSET_CLASS|where 2026|outcome_loans|book|1</t>
        </is>
      </c>
      <c r="F2331" t="n">
        <v>2.090397225125915</v>
      </c>
    </row>
    <row r="2332">
      <c r="A2332" t="inlineStr">
        <is>
          <t>G|FICO x ASSET_CLASS|where 2026|outcome_loans|band|1</t>
        </is>
      </c>
    </row>
    <row r="2333">
      <c r="A2333" t="inlineStr">
        <is>
          <t>G|FICO x ASSET_CLASS|where 2026|outcome_loans|rate|2</t>
        </is>
      </c>
      <c r="B2333" t="n">
        <v>0</v>
      </c>
      <c r="C2333" t="n">
        <v>0</v>
      </c>
      <c r="D2333" t="n">
        <v>0.15</v>
      </c>
      <c r="E2333" t="n">
        <v>0.05</v>
      </c>
      <c r="F2333" t="n">
        <v>0.04938271604938271</v>
      </c>
    </row>
    <row r="2334">
      <c r="A2334" t="inlineStr">
        <is>
          <t>G|FICO x ASSET_CLASS|where 2026|outcome_loans|book|2</t>
        </is>
      </c>
    </row>
    <row r="2335">
      <c r="A2335" t="inlineStr">
        <is>
          <t>G|FICO x ASSET_CLASS|where 2026|outcome_loans|band|2</t>
        </is>
      </c>
    </row>
    <row r="2336">
      <c r="A2336" t="inlineStr">
        <is>
          <t>G|FICO x ASSET_CLASS|where 2026|outcome_loans|rate|3</t>
        </is>
      </c>
      <c r="B2336" t="n">
        <v>0.06666666666666667</v>
      </c>
      <c r="C2336" t="n">
        <v>0.1052631578947368</v>
      </c>
      <c r="D2336" t="n">
        <v>0</v>
      </c>
      <c r="E2336" t="n">
        <v>0</v>
      </c>
      <c r="F2336" t="n">
        <v>0.04166666666666666</v>
      </c>
    </row>
    <row r="2337">
      <c r="A2337" t="inlineStr">
        <is>
          <t>G|FICO x ASSET_CLASS|where 2026|outcome_loans|book|3</t>
        </is>
      </c>
    </row>
    <row r="2338">
      <c r="A2338" t="inlineStr">
        <is>
          <t>G|FICO x ASSET_CLASS|where 2026|outcome_loans|band|3</t>
        </is>
      </c>
    </row>
    <row r="2339">
      <c r="A2339" t="inlineStr">
        <is>
          <t>G|FICO x ASSET_CLASS|where 2026|outcome_loans|rate|4</t>
        </is>
      </c>
      <c r="B2339" t="n">
        <v>0</v>
      </c>
      <c r="C2339" t="n">
        <v>0.07142857142857142</v>
      </c>
      <c r="D2339" t="n">
        <v>0.08</v>
      </c>
      <c r="E2339" t="n">
        <v>0</v>
      </c>
      <c r="F2339" t="n">
        <v>0.04819277108433735</v>
      </c>
    </row>
    <row r="2340">
      <c r="A2340" t="inlineStr">
        <is>
          <t>G|FICO x ASSET_CLASS|where 2026|outcome_loans|book|4</t>
        </is>
      </c>
    </row>
    <row r="2341">
      <c r="A2341" t="inlineStr">
        <is>
          <t>G|FICO x ASSET_CLASS|where 2026|outcome_loans|band|4</t>
        </is>
      </c>
    </row>
    <row r="2342">
      <c r="A2342" t="inlineStr">
        <is>
          <t>G|FICO x ASSET_CLASS|where 2026|outcome_loans|rate|5</t>
        </is>
      </c>
      <c r="B2342" t="n">
        <v>0.06666666666666667</v>
      </c>
      <c r="C2342" t="n">
        <v>0.04545454545454546</v>
      </c>
      <c r="D2342" t="n">
        <v>0</v>
      </c>
      <c r="E2342" t="n">
        <v>0.06666666666666667</v>
      </c>
      <c r="F2342" t="n">
        <v>0.04838709677419355</v>
      </c>
    </row>
    <row r="2343">
      <c r="A2343" t="inlineStr">
        <is>
          <t>G|FICO x ASSET_CLASS|where 2026|outcome_loans|book|5</t>
        </is>
      </c>
    </row>
    <row r="2344">
      <c r="A2344" t="inlineStr">
        <is>
          <t>G|FICO x ASSET_CLASS|where 2026|outcome_loans|band|5</t>
        </is>
      </c>
    </row>
    <row r="2345">
      <c r="A2345" t="inlineStr">
        <is>
          <t>G|FICO x ASSET_CLASS|where 2026|outcome_loans|rate|6</t>
        </is>
      </c>
    </row>
    <row r="2346">
      <c r="A2346" t="inlineStr">
        <is>
          <t>G|FICO x ASSET_CLASS|where 2026|outcome_loans|book|6</t>
        </is>
      </c>
    </row>
    <row r="2347">
      <c r="A2347" t="inlineStr">
        <is>
          <t>G|FICO x ASSET_CLASS|where 2026|outcome_loans|band|6</t>
        </is>
      </c>
    </row>
    <row r="2348">
      <c r="A2348" t="inlineStr">
        <is>
          <t>G|FICO x ASSET_CLASS|where 2026|outcome_loans|rate|7</t>
        </is>
      </c>
      <c r="B2348" t="n">
        <v>0</v>
      </c>
      <c r="C2348" t="n">
        <v>0</v>
      </c>
      <c r="D2348" t="n">
        <v>0</v>
      </c>
      <c r="E2348" t="n">
        <v>0</v>
      </c>
      <c r="F2348" t="n">
        <v>0</v>
      </c>
    </row>
    <row r="2349">
      <c r="A2349" t="inlineStr">
        <is>
          <t>G|FICO x ASSET_CLASS|where 2026|outcome_loans|book|7</t>
        </is>
      </c>
    </row>
    <row r="2350">
      <c r="A2350" t="inlineStr">
        <is>
          <t>G|FICO x ASSET_CLASS|where 2026|outcome_loans|band|7</t>
        </is>
      </c>
    </row>
    <row r="2351">
      <c r="A2351" t="inlineStr">
        <is>
          <t>G|FICO x ASSET_CLASS|where 2026|outcome_loans|rate|8</t>
        </is>
      </c>
      <c r="B2351" t="n">
        <v>0.07058823529411765</v>
      </c>
      <c r="C2351" t="n">
        <v>0.06956521739130435</v>
      </c>
      <c r="D2351" t="n">
        <v>0.05555555555555555</v>
      </c>
      <c r="E2351" t="n">
        <v>0.07228915662650602</v>
      </c>
      <c r="F2351" t="n">
        <v>0.06702412868632708</v>
      </c>
    </row>
    <row r="2352">
      <c r="A2352" t="inlineStr">
        <is>
          <t>G|FICO x ASSET_CLASS|where 2026|outcome_loans|book|8</t>
        </is>
      </c>
      <c r="F2352" t="n">
        <v>0.8661163253019876</v>
      </c>
    </row>
    <row r="2353">
      <c r="A2353" t="inlineStr">
        <is>
          <t>G|FICO x ASSET_CLASS|where 2026|outcome_loans|band|8</t>
        </is>
      </c>
    </row>
    <row r="2354">
      <c r="A2354" t="inlineStr">
        <is>
          <t>G|FICO x ASSET_CLASS|where 2026|outcome_loans|meta</t>
        </is>
      </c>
      <c r="B2354" t="inlineStr">
        <is>
          <t>x</t>
        </is>
      </c>
      <c r="C2354" t="n">
        <v>2.090397225125915</v>
      </c>
      <c r="D2354" t="n">
        <v>10</v>
      </c>
      <c r="E2354" t="n">
        <v>0.07738467308413552</v>
      </c>
      <c r="F2354" t="n">
        <v>30</v>
      </c>
    </row>
    <row r="2355">
      <c r="A2355" t="inlineStr">
        <is>
          <t>G|FICO x ASSET_CLASS|where 2026|outcome_booked|rate|1</t>
        </is>
      </c>
      <c r="B2355" t="n">
        <v>0.1988075211424732</v>
      </c>
      <c r="C2355" t="n">
        <v>0.09873976491198881</v>
      </c>
      <c r="D2355" t="n">
        <v>0</v>
      </c>
      <c r="E2355" t="n">
        <v>0.2198101950715845</v>
      </c>
      <c r="F2355" t="n">
        <v>0.1448323279638879</v>
      </c>
    </row>
    <row r="2356">
      <c r="A2356" t="inlineStr">
        <is>
          <t>G|FICO x ASSET_CLASS|where 2026|outcome_booked|book|1</t>
        </is>
      </c>
      <c r="F2356" t="n">
        <v>1.93551406996995</v>
      </c>
    </row>
    <row r="2357">
      <c r="A2357" t="inlineStr">
        <is>
          <t>G|FICO x ASSET_CLASS|where 2026|outcome_booked|band|1</t>
        </is>
      </c>
    </row>
    <row r="2358">
      <c r="A2358" t="inlineStr">
        <is>
          <t>G|FICO x ASSET_CLASS|where 2026|outcome_booked|rate|2</t>
        </is>
      </c>
      <c r="B2358" t="n">
        <v>0</v>
      </c>
      <c r="C2358" t="n">
        <v>0</v>
      </c>
      <c r="D2358" t="n">
        <v>0.1498679743618786</v>
      </c>
      <c r="E2358" t="n">
        <v>0.009474294929107853</v>
      </c>
      <c r="F2358" t="n">
        <v>0.04428380007922961</v>
      </c>
    </row>
    <row r="2359">
      <c r="A2359" t="inlineStr">
        <is>
          <t>G|FICO x ASSET_CLASS|where 2026|outcome_booked|book|2</t>
        </is>
      </c>
    </row>
    <row r="2360">
      <c r="A2360" t="inlineStr">
        <is>
          <t>G|FICO x ASSET_CLASS|where 2026|outcome_booked|band|2</t>
        </is>
      </c>
    </row>
    <row r="2361">
      <c r="A2361" t="inlineStr">
        <is>
          <t>G|FICO x ASSET_CLASS|where 2026|outcome_booked|rate|3</t>
        </is>
      </c>
      <c r="B2361" t="n">
        <v>0.09558646397828841</v>
      </c>
      <c r="C2361" t="n">
        <v>0.1064883579309049</v>
      </c>
      <c r="D2361" t="n">
        <v>0</v>
      </c>
      <c r="E2361" t="n">
        <v>0</v>
      </c>
      <c r="F2361" t="n">
        <v>0.04768756498362428</v>
      </c>
    </row>
    <row r="2362">
      <c r="A2362" t="inlineStr">
        <is>
          <t>G|FICO x ASSET_CLASS|where 2026|outcome_booked|book|3</t>
        </is>
      </c>
    </row>
    <row r="2363">
      <c r="A2363" t="inlineStr">
        <is>
          <t>G|FICO x ASSET_CLASS|where 2026|outcome_booked|band|3</t>
        </is>
      </c>
    </row>
    <row r="2364">
      <c r="A2364" t="inlineStr">
        <is>
          <t>G|FICO x ASSET_CLASS|where 2026|outcome_booked|rate|4</t>
        </is>
      </c>
      <c r="B2364" t="n">
        <v>0</v>
      </c>
      <c r="C2364" t="n">
        <v>0.06963392555386853</v>
      </c>
      <c r="D2364" t="n">
        <v>0.05151038672088153</v>
      </c>
      <c r="E2364" t="n">
        <v>0</v>
      </c>
      <c r="F2364" t="n">
        <v>0.03970289099384697</v>
      </c>
    </row>
    <row r="2365">
      <c r="A2365" t="inlineStr">
        <is>
          <t>G|FICO x ASSET_CLASS|where 2026|outcome_booked|book|4</t>
        </is>
      </c>
    </row>
    <row r="2366">
      <c r="A2366" t="inlineStr">
        <is>
          <t>G|FICO x ASSET_CLASS|where 2026|outcome_booked|band|4</t>
        </is>
      </c>
    </row>
    <row r="2367">
      <c r="A2367" t="inlineStr">
        <is>
          <t>G|FICO x ASSET_CLASS|where 2026|outcome_booked|rate|5</t>
        </is>
      </c>
      <c r="B2367" t="n">
        <v>0.09866978171754955</v>
      </c>
      <c r="C2367" t="n">
        <v>0.08348774369929084</v>
      </c>
      <c r="D2367" t="n">
        <v>0</v>
      </c>
      <c r="E2367" t="n">
        <v>0.01550795455416567</v>
      </c>
      <c r="F2367" t="n">
        <v>0.05897516734014242</v>
      </c>
    </row>
    <row r="2368">
      <c r="A2368" t="inlineStr">
        <is>
          <t>G|FICO x ASSET_CLASS|where 2026|outcome_booked|book|5</t>
        </is>
      </c>
    </row>
    <row r="2369">
      <c r="A2369" t="inlineStr">
        <is>
          <t>G|FICO x ASSET_CLASS|where 2026|outcome_booked|band|5</t>
        </is>
      </c>
    </row>
    <row r="2370">
      <c r="A2370" t="inlineStr">
        <is>
          <t>G|FICO x ASSET_CLASS|where 2026|outcome_booked|rate|6</t>
        </is>
      </c>
    </row>
    <row r="2371">
      <c r="A2371" t="inlineStr">
        <is>
          <t>G|FICO x ASSET_CLASS|where 2026|outcome_booked|book|6</t>
        </is>
      </c>
    </row>
    <row r="2372">
      <c r="A2372" t="inlineStr">
        <is>
          <t>G|FICO x ASSET_CLASS|where 2026|outcome_booked|band|6</t>
        </is>
      </c>
    </row>
    <row r="2373">
      <c r="A2373" t="inlineStr">
        <is>
          <t>G|FICO x ASSET_CLASS|where 2026|outcome_booked|rate|7</t>
        </is>
      </c>
      <c r="B2373" t="n">
        <v>0</v>
      </c>
      <c r="C2373" t="n">
        <v>0</v>
      </c>
      <c r="D2373" t="n">
        <v>0</v>
      </c>
      <c r="E2373" t="n">
        <v>0</v>
      </c>
      <c r="F2373" t="n">
        <v>0</v>
      </c>
    </row>
    <row r="2374">
      <c r="A2374" t="inlineStr">
        <is>
          <t>G|FICO x ASSET_CLASS|where 2026|outcome_booked|book|7</t>
        </is>
      </c>
    </row>
    <row r="2375">
      <c r="A2375" t="inlineStr">
        <is>
          <t>G|FICO x ASSET_CLASS|where 2026|outcome_booked|band|7</t>
        </is>
      </c>
    </row>
    <row r="2376">
      <c r="A2376" t="inlineStr">
        <is>
          <t>G|FICO x ASSET_CLASS|where 2026|outcome_booked|rate|8</t>
        </is>
      </c>
      <c r="B2376" t="n">
        <v>0.07883195403095833</v>
      </c>
      <c r="C2376" t="n">
        <v>0.06971411545569761</v>
      </c>
      <c r="D2376" t="n">
        <v>0.04743970762293216</v>
      </c>
      <c r="E2376" t="n">
        <v>0.05235217747627834</v>
      </c>
      <c r="F2376" t="n">
        <v>0.06287894503192365</v>
      </c>
    </row>
    <row r="2377">
      <c r="A2377" t="inlineStr">
        <is>
          <t>G|FICO x ASSET_CLASS|where 2026|outcome_booked|book|8</t>
        </is>
      </c>
      <c r="F2377" t="n">
        <v>0.84030329778653</v>
      </c>
    </row>
    <row r="2378">
      <c r="A2378" t="inlineStr">
        <is>
          <t>G|FICO x ASSET_CLASS|where 2026|outcome_booked|band|8</t>
        </is>
      </c>
    </row>
    <row r="2379">
      <c r="A2379" t="inlineStr">
        <is>
          <t>G|FICO x ASSET_CLASS|where 2026|outcome_booked|meta</t>
        </is>
      </c>
      <c r="B2379" t="inlineStr">
        <is>
          <t>x</t>
        </is>
      </c>
      <c r="C2379" t="n">
        <v>1.93551406996995</v>
      </c>
      <c r="D2379" t="n">
        <v>10</v>
      </c>
      <c r="E2379" t="n">
        <v>0.07482886857347235</v>
      </c>
      <c r="F2379" t="n">
        <v>30</v>
      </c>
    </row>
    <row r="2380">
      <c r="A2380" t="inlineStr">
        <is>
          <t>G|FICO x ASSET_CLASS|where 2026|gco_rate|rate|1</t>
        </is>
      </c>
      <c r="B2380" t="n">
        <v>0.08916016295092026</v>
      </c>
      <c r="C2380" t="n">
        <v>0.05700349039355258</v>
      </c>
      <c r="D2380" t="n">
        <v>0</v>
      </c>
      <c r="E2380" t="n">
        <v>0.1479584912685035</v>
      </c>
      <c r="F2380" t="n">
        <v>0.08129175392605048</v>
      </c>
    </row>
    <row r="2381">
      <c r="A2381" t="inlineStr">
        <is>
          <t>G|FICO x ASSET_CLASS|where 2026|gco_rate|book|1</t>
        </is>
      </c>
      <c r="F2381" t="n">
        <v>1.953881396375006</v>
      </c>
    </row>
    <row r="2382">
      <c r="A2382" t="inlineStr">
        <is>
          <t>G|FICO x ASSET_CLASS|where 2026|gco_rate|band|1</t>
        </is>
      </c>
    </row>
    <row r="2383">
      <c r="A2383" t="inlineStr">
        <is>
          <t>G|FICO x ASSET_CLASS|where 2026|gco_rate|rate|2</t>
        </is>
      </c>
      <c r="B2383" t="n">
        <v>0</v>
      </c>
      <c r="C2383" t="n">
        <v>0</v>
      </c>
      <c r="D2383" t="n">
        <v>0.08004623556972154</v>
      </c>
      <c r="E2383" t="n">
        <v>0.006632650211044432</v>
      </c>
      <c r="F2383" t="n">
        <v>0.02402915942276874</v>
      </c>
    </row>
    <row r="2384">
      <c r="A2384" t="inlineStr">
        <is>
          <t>G|FICO x ASSET_CLASS|where 2026|gco_rate|book|2</t>
        </is>
      </c>
    </row>
    <row r="2385">
      <c r="A2385" t="inlineStr">
        <is>
          <t>G|FICO x ASSET_CLASS|where 2026|gco_rate|band|2</t>
        </is>
      </c>
    </row>
    <row r="2386">
      <c r="A2386" t="inlineStr">
        <is>
          <t>G|FICO x ASSET_CLASS|where 2026|gco_rate|rate|3</t>
        </is>
      </c>
      <c r="B2386" t="n">
        <v>0.03808340733123178</v>
      </c>
      <c r="C2386" t="n">
        <v>0.05272164072265625</v>
      </c>
      <c r="D2386" t="n">
        <v>0</v>
      </c>
      <c r="E2386" t="n">
        <v>0</v>
      </c>
      <c r="F2386" t="n">
        <v>0.02157442686948005</v>
      </c>
    </row>
    <row r="2387">
      <c r="A2387" t="inlineStr">
        <is>
          <t>G|FICO x ASSET_CLASS|where 2026|gco_rate|book|3</t>
        </is>
      </c>
    </row>
    <row r="2388">
      <c r="A2388" t="inlineStr">
        <is>
          <t>G|FICO x ASSET_CLASS|where 2026|gco_rate|band|3</t>
        </is>
      </c>
    </row>
    <row r="2389">
      <c r="A2389" t="inlineStr">
        <is>
          <t>G|FICO x ASSET_CLASS|where 2026|gco_rate|rate|4</t>
        </is>
      </c>
      <c r="B2389" t="n">
        <v>0</v>
      </c>
      <c r="C2389" t="n">
        <v>0.05338369479673558</v>
      </c>
      <c r="D2389" t="n">
        <v>0.03537944539747535</v>
      </c>
      <c r="E2389" t="n">
        <v>0</v>
      </c>
      <c r="F2389" t="n">
        <v>0.02930825613922252</v>
      </c>
    </row>
    <row r="2390">
      <c r="A2390" t="inlineStr">
        <is>
          <t>G|FICO x ASSET_CLASS|where 2026|gco_rate|book|4</t>
        </is>
      </c>
    </row>
    <row r="2391">
      <c r="A2391" t="inlineStr">
        <is>
          <t>G|FICO x ASSET_CLASS|where 2026|gco_rate|band|4</t>
        </is>
      </c>
    </row>
    <row r="2392">
      <c r="A2392" t="inlineStr">
        <is>
          <t>G|FICO x ASSET_CLASS|where 2026|gco_rate|rate|5</t>
        </is>
      </c>
      <c r="B2392" t="n">
        <v>0.04582082573121296</v>
      </c>
      <c r="C2392" t="n">
        <v>0.04573861453555547</v>
      </c>
      <c r="D2392" t="n">
        <v>0</v>
      </c>
      <c r="E2392" t="n">
        <v>0.00566808746725846</v>
      </c>
      <c r="F2392" t="n">
        <v>0.02939669956834657</v>
      </c>
    </row>
    <row r="2393">
      <c r="A2393" t="inlineStr">
        <is>
          <t>G|FICO x ASSET_CLASS|where 2026|gco_rate|book|5</t>
        </is>
      </c>
    </row>
    <row r="2394">
      <c r="A2394" t="inlineStr">
        <is>
          <t>G|FICO x ASSET_CLASS|where 2026|gco_rate|band|5</t>
        </is>
      </c>
    </row>
    <row r="2395">
      <c r="A2395" t="inlineStr">
        <is>
          <t>G|FICO x ASSET_CLASS|where 2026|gco_rate|rate|6</t>
        </is>
      </c>
    </row>
    <row r="2396">
      <c r="A2396" t="inlineStr">
        <is>
          <t>G|FICO x ASSET_CLASS|where 2026|gco_rate|book|6</t>
        </is>
      </c>
    </row>
    <row r="2397">
      <c r="A2397" t="inlineStr">
        <is>
          <t>G|FICO x ASSET_CLASS|where 2026|gco_rate|band|6</t>
        </is>
      </c>
    </row>
    <row r="2398">
      <c r="A2398" t="inlineStr">
        <is>
          <t>G|FICO x ASSET_CLASS|where 2026|gco_rate|rate|7</t>
        </is>
      </c>
      <c r="B2398" t="n">
        <v>0</v>
      </c>
      <c r="C2398" t="n">
        <v>0</v>
      </c>
      <c r="D2398" t="n">
        <v>0</v>
      </c>
      <c r="E2398" t="n">
        <v>0</v>
      </c>
      <c r="F2398" t="n">
        <v>0</v>
      </c>
    </row>
    <row r="2399">
      <c r="A2399" t="inlineStr">
        <is>
          <t>G|FICO x ASSET_CLASS|where 2026|gco_rate|book|7</t>
        </is>
      </c>
    </row>
    <row r="2400">
      <c r="A2400" t="inlineStr">
        <is>
          <t>G|FICO x ASSET_CLASS|where 2026|gco_rate|band|7</t>
        </is>
      </c>
    </row>
    <row r="2401">
      <c r="A2401" t="inlineStr">
        <is>
          <t>G|FICO x ASSET_CLASS|where 2026|gco_rate|rate|8</t>
        </is>
      </c>
      <c r="B2401" t="n">
        <v>0.03476794725060704</v>
      </c>
      <c r="C2401" t="n">
        <v>0.04197344657870643</v>
      </c>
      <c r="D2401" t="n">
        <v>0.02735970025329078</v>
      </c>
      <c r="E2401" t="n">
        <v>0.03443368515375058</v>
      </c>
      <c r="F2401" t="n">
        <v>0.03505614948170634</v>
      </c>
    </row>
    <row r="2402">
      <c r="A2402" t="inlineStr">
        <is>
          <t>G|FICO x ASSET_CLASS|where 2026|gco_rate|book|8</t>
        </is>
      </c>
      <c r="F2402" t="n">
        <v>0.8425892540485275</v>
      </c>
    </row>
    <row r="2403">
      <c r="A2403" t="inlineStr">
        <is>
          <t>G|FICO x ASSET_CLASS|where 2026|gco_rate|band|8</t>
        </is>
      </c>
    </row>
    <row r="2404">
      <c r="A2404" t="inlineStr">
        <is>
          <t>G|FICO x ASSET_CLASS|where 2026|gco_rate|meta</t>
        </is>
      </c>
      <c r="B2404" t="inlineStr">
        <is>
          <t>x</t>
        </is>
      </c>
      <c r="C2404" t="n">
        <v>1.953881396375006</v>
      </c>
      <c r="D2404" t="n">
        <v>10</v>
      </c>
      <c r="E2404" t="n">
        <v>0.04160526533333565</v>
      </c>
      <c r="F2404" t="n">
        <v>30</v>
      </c>
    </row>
    <row r="2405">
      <c r="A2405" t="inlineStr">
        <is>
          <t>G|FICO x ASSET_CLASS|where 2026|ranr_rate|rate|1</t>
        </is>
      </c>
      <c r="B2405" t="n">
        <v>-0.04077518687593971</v>
      </c>
      <c r="C2405" t="n">
        <v>-0.01526183598854405</v>
      </c>
      <c r="D2405" t="n">
        <v>0.04257438408462073</v>
      </c>
      <c r="E2405" t="n">
        <v>-0.1069144558568197</v>
      </c>
      <c r="F2405" t="n">
        <v>-0.03759885003308463</v>
      </c>
    </row>
    <row r="2406">
      <c r="A2406" t="inlineStr">
        <is>
          <t>G|FICO x ASSET_CLASS|where 2026|ranr_rate|book|1</t>
        </is>
      </c>
      <c r="B2406" t="n">
        <v>-16.876523652</v>
      </c>
      <c r="C2406" t="n">
        <v>-14.325188564</v>
      </c>
      <c r="D2406" t="n">
        <v>-8.541566555999999</v>
      </c>
      <c r="E2406" t="n">
        <v>-23.49045055</v>
      </c>
      <c r="F2406" t="n">
        <v>-16.558889968</v>
      </c>
    </row>
    <row r="2407">
      <c r="A2407" t="inlineStr">
        <is>
          <t>G|FICO x ASSET_CLASS|where 2026|ranr_rate|band|1</t>
        </is>
      </c>
      <c r="B2407" t="n">
        <v>-0.454705398</v>
      </c>
      <c r="C2407" t="n">
        <v>3.14189514</v>
      </c>
      <c r="D2407" t="n">
        <v>9.466523799999999</v>
      </c>
      <c r="E2407" t="n">
        <v>-9.321653303</v>
      </c>
    </row>
    <row r="2408">
      <c r="A2408" t="inlineStr">
        <is>
          <t>G|FICO x ASSET_CLASS|where 2026|ranr_rate|rate|2</t>
        </is>
      </c>
      <c r="B2408" t="n">
        <v>0.03776218846699781</v>
      </c>
      <c r="C2408" t="n">
        <v>0.03786480992200689</v>
      </c>
      <c r="D2408" t="n">
        <v>-0.04735989186624533</v>
      </c>
      <c r="E2408" t="n">
        <v>0.02918436675985235</v>
      </c>
      <c r="F2408" t="n">
        <v>0.0118693353228044</v>
      </c>
    </row>
    <row r="2409">
      <c r="A2409" t="inlineStr">
        <is>
          <t>G|FICO x ASSET_CLASS|where 2026|ranr_rate|book|2</t>
        </is>
      </c>
      <c r="B2409" t="n">
        <v>-9.022786118000001</v>
      </c>
      <c r="C2409" t="n">
        <v>-9.012523973</v>
      </c>
      <c r="D2409" t="n">
        <v>-17.534994151</v>
      </c>
      <c r="E2409" t="n">
        <v>-9.880568288999999</v>
      </c>
      <c r="F2409" t="n">
        <v>-11.612071433</v>
      </c>
    </row>
    <row r="2410">
      <c r="A2410" t="inlineStr">
        <is>
          <t>G|FICO x ASSET_CLASS|where 2026|ranr_rate|band|2</t>
        </is>
      </c>
      <c r="B2410" t="n">
        <v>3.380103212</v>
      </c>
      <c r="C2410" t="n">
        <v>3.448299492</v>
      </c>
      <c r="D2410" t="n">
        <v>-8.230179511999999</v>
      </c>
      <c r="E2410" t="n">
        <v>2.276975196</v>
      </c>
    </row>
    <row r="2411">
      <c r="A2411" t="inlineStr">
        <is>
          <t>G|FICO x ASSET_CLASS|where 2026|ranr_rate|rate|3</t>
        </is>
      </c>
      <c r="B2411" t="n">
        <v>-0.005941486136000693</v>
      </c>
      <c r="C2411" t="n">
        <v>-0.02072836657138039</v>
      </c>
      <c r="D2411" t="n">
        <v>0.03221884027636266</v>
      </c>
      <c r="E2411" t="n">
        <v>0.03570513343799092</v>
      </c>
      <c r="F2411" t="n">
        <v>0.01124549822150777</v>
      </c>
    </row>
    <row r="2412">
      <c r="A2412" t="inlineStr">
        <is>
          <t>G|FICO x ASSET_CLASS|where 2026|ranr_rate|book|3</t>
        </is>
      </c>
      <c r="B2412" t="n">
        <v>-13.393153578</v>
      </c>
      <c r="C2412" t="n">
        <v>-14.871841622</v>
      </c>
      <c r="D2412" t="n">
        <v>-9.577120937</v>
      </c>
      <c r="E2412" t="n">
        <v>-9.228491621</v>
      </c>
      <c r="F2412" t="n">
        <v>-11.674455143</v>
      </c>
    </row>
    <row r="2413">
      <c r="A2413" t="inlineStr">
        <is>
          <t>G|FICO x ASSET_CLASS|where 2026|ranr_rate|band|3</t>
        </is>
      </c>
      <c r="B2413" t="n">
        <v>-2.204187582</v>
      </c>
      <c r="C2413" t="n">
        <v>-4.263813374</v>
      </c>
      <c r="D2413" t="n">
        <v>3.159471228</v>
      </c>
      <c r="E2413" t="n">
        <v>3.032646358</v>
      </c>
    </row>
    <row r="2414">
      <c r="A2414" t="inlineStr">
        <is>
          <t>G|FICO x ASSET_CLASS|where 2026|ranr_rate|rate|4</t>
        </is>
      </c>
      <c r="B2414" t="n">
        <v>0.0222908123113425</v>
      </c>
      <c r="C2414" t="n">
        <v>-0.02989243724161904</v>
      </c>
      <c r="D2414" t="n">
        <v>-0.008496387130962828</v>
      </c>
      <c r="E2414" t="n">
        <v>0.02148047660205313</v>
      </c>
      <c r="F2414" t="n">
        <v>-0.005427486891015207</v>
      </c>
    </row>
    <row r="2415">
      <c r="A2415" t="inlineStr">
        <is>
          <t>G|FICO x ASSET_CLASS|where 2026|ranr_rate|book|4</t>
        </is>
      </c>
      <c r="B2415" t="n">
        <v>-10.569923734</v>
      </c>
      <c r="C2415" t="n">
        <v>-15.788248689</v>
      </c>
      <c r="D2415" t="n">
        <v>-13.648643678</v>
      </c>
      <c r="E2415" t="n">
        <v>-10.650957305</v>
      </c>
      <c r="F2415" t="n">
        <v>-13.341753654</v>
      </c>
    </row>
    <row r="2416">
      <c r="A2416" t="inlineStr">
        <is>
          <t>G|FICO x ASSET_CLASS|where 2026|ranr_rate|band|4</t>
        </is>
      </c>
      <c r="B2416" t="n">
        <v>3.552559226</v>
      </c>
      <c r="C2416" t="n">
        <v>-3.864410698</v>
      </c>
      <c r="D2416" t="n">
        <v>-0.423157274</v>
      </c>
      <c r="E2416" t="n">
        <v>3.123591743</v>
      </c>
    </row>
    <row r="2417">
      <c r="A2417" t="inlineStr">
        <is>
          <t>G|FICO x ASSET_CLASS|where 2026|ranr_rate|rate|5</t>
        </is>
      </c>
      <c r="B2417" t="n">
        <v>-0.03034175868085731</v>
      </c>
      <c r="C2417" t="n">
        <v>-0.02956575950567269</v>
      </c>
      <c r="D2417" t="n">
        <v>0.01595151950805546</v>
      </c>
      <c r="E2417" t="n">
        <v>0.0117449048404604</v>
      </c>
      <c r="F2417" t="n">
        <v>-0.01316879136728346</v>
      </c>
    </row>
    <row r="2418">
      <c r="A2418" t="inlineStr">
        <is>
          <t>G|FICO x ASSET_CLASS|where 2026|ranr_rate|book|5</t>
        </is>
      </c>
      <c r="B2418" t="n">
        <v>-15.833180833</v>
      </c>
      <c r="C2418" t="n">
        <v>-15.755580915</v>
      </c>
      <c r="D2418" t="n">
        <v>-11.203853014</v>
      </c>
      <c r="E2418" t="n">
        <v>-11.624514481</v>
      </c>
      <c r="F2418" t="n">
        <v>-14.115884102</v>
      </c>
    </row>
    <row r="2419">
      <c r="A2419" t="inlineStr">
        <is>
          <t>G|FICO x ASSET_CLASS|where 2026|ranr_rate|band|5</t>
        </is>
      </c>
      <c r="B2419" t="n">
        <v>-2.371098108</v>
      </c>
      <c r="C2419" t="n">
        <v>-2.478175106</v>
      </c>
      <c r="D2419" t="n">
        <v>3.46218528</v>
      </c>
      <c r="E2419" t="n">
        <v>3.223043755</v>
      </c>
    </row>
    <row r="2420">
      <c r="A2420" t="inlineStr">
        <is>
          <t>G|FICO x ASSET_CLASS|where 2026|ranr_rate|rate|6</t>
        </is>
      </c>
    </row>
    <row r="2421">
      <c r="A2421" t="inlineStr">
        <is>
          <t>G|FICO x ASSET_CLASS|where 2026|ranr_rate|book|6</t>
        </is>
      </c>
    </row>
    <row r="2422">
      <c r="A2422" t="inlineStr">
        <is>
          <t>G|FICO x ASSET_CLASS|where 2026|ranr_rate|band|6</t>
        </is>
      </c>
    </row>
    <row r="2423">
      <c r="A2423" t="inlineStr">
        <is>
          <t>G|FICO x ASSET_CLASS|where 2026|ranr_rate|rate|7</t>
        </is>
      </c>
      <c r="B2423" t="n">
        <v>0.009387337126588827</v>
      </c>
      <c r="C2423" t="n">
        <v>0.01759644265405061</v>
      </c>
      <c r="D2423" t="n">
        <v>0.04022610024644613</v>
      </c>
      <c r="E2423" t="n">
        <v>0.02005064922330617</v>
      </c>
      <c r="F2423" t="n">
        <v>0.02021536856057496</v>
      </c>
    </row>
    <row r="2424">
      <c r="A2424" t="inlineStr">
        <is>
          <t>G|FICO x ASSET_CLASS|where 2026|ranr_rate|book|7</t>
        </is>
      </c>
      <c r="B2424" t="n">
        <v>-11.860271252</v>
      </c>
      <c r="C2424" t="n">
        <v>-11.039360699</v>
      </c>
      <c r="D2424" t="n">
        <v>-8.776394939999999</v>
      </c>
      <c r="E2424" t="n">
        <v>-10.793940042</v>
      </c>
      <c r="F2424" t="n">
        <v>-10.777468109</v>
      </c>
    </row>
    <row r="2425">
      <c r="A2425" t="inlineStr">
        <is>
          <t>G|FICO x ASSET_CLASS|where 2026|ranr_rate|band|7</t>
        </is>
      </c>
      <c r="B2425" t="n">
        <v>-1.324458104</v>
      </c>
      <c r="C2425" t="n">
        <v>-0.435359367</v>
      </c>
      <c r="D2425" t="n">
        <v>2.36272518</v>
      </c>
      <c r="E2425" t="n">
        <v>-0.022442355</v>
      </c>
    </row>
    <row r="2426">
      <c r="A2426" t="inlineStr">
        <is>
          <t>G|FICO x ASSET_CLASS|where 2026|ranr_rate|rate|8</t>
        </is>
      </c>
      <c r="B2426" t="n">
        <v>-0.003624058532320411</v>
      </c>
      <c r="C2426" t="n">
        <v>-0.01319306232984915</v>
      </c>
      <c r="D2426" t="n">
        <v>0.003099928902743992</v>
      </c>
      <c r="E2426" t="n">
        <v>-0.003534964826436025</v>
      </c>
      <c r="F2426" t="n">
        <v>-0.00484304811803968</v>
      </c>
    </row>
    <row r="2427">
      <c r="A2427" t="inlineStr">
        <is>
          <t>G|FICO x ASSET_CLASS|where 2026|ranr_rate|book|8</t>
        </is>
      </c>
      <c r="B2427" t="n">
        <v>-13.161410818</v>
      </c>
      <c r="C2427" t="n">
        <v>-14.118311198</v>
      </c>
      <c r="D2427" t="n">
        <v>-12.489012075</v>
      </c>
      <c r="E2427" t="n">
        <v>-13.152501447</v>
      </c>
      <c r="F2427" t="n">
        <v>-13.283309777</v>
      </c>
    </row>
    <row r="2428">
      <c r="A2428" t="inlineStr">
        <is>
          <t>G|FICO x ASSET_CLASS|where 2026|ranr_rate|band|8</t>
        </is>
      </c>
    </row>
    <row r="2429">
      <c r="A2429" t="inlineStr">
        <is>
          <t>G|FICO x ASSET_CLASS|where 2026|ranr_rate|meta</t>
        </is>
      </c>
      <c r="B2429" t="inlineStr">
        <is>
          <t>pts</t>
        </is>
      </c>
      <c r="C2429" t="n">
        <v>16.558889968</v>
      </c>
      <c r="D2429" t="n">
        <v>10</v>
      </c>
      <c r="E2429" t="n">
        <v>0.1279900496481481</v>
      </c>
      <c r="F2429" t="n">
        <v>30</v>
      </c>
    </row>
    <row r="2430">
      <c r="A2430" t="inlineStr">
        <is>
          <t>G|FICO x ASSET_CLASS|where 2026|contribution_rate|rate|1</t>
        </is>
      </c>
      <c r="B2430" t="n">
        <v>0.04838497607498055</v>
      </c>
      <c r="C2430" t="n">
        <v>0.04174165440500852</v>
      </c>
      <c r="D2430" t="n">
        <v>0.04257438408462073</v>
      </c>
      <c r="E2430" t="n">
        <v>0.04104403541168378</v>
      </c>
      <c r="F2430" t="n">
        <v>0.04369290389296583</v>
      </c>
    </row>
    <row r="2431">
      <c r="A2431" t="inlineStr">
        <is>
          <t>G|FICO x ASSET_CLASS|where 2026|contribution_rate|book|1</t>
        </is>
      </c>
      <c r="B2431" t="n">
        <v>-12.120747966</v>
      </c>
      <c r="C2431" t="n">
        <v>-12.785080133</v>
      </c>
      <c r="D2431" t="n">
        <v>-12.701807165</v>
      </c>
      <c r="E2431" t="n">
        <v>-12.854842032</v>
      </c>
      <c r="F2431" t="n">
        <v>-12.589955184</v>
      </c>
    </row>
    <row r="2432">
      <c r="A2432" t="inlineStr">
        <is>
          <t>G|FICO x ASSET_CLASS|where 2026|contribution_rate|band|1</t>
        </is>
      </c>
      <c r="B2432" t="n">
        <v>0.6716890089999999</v>
      </c>
      <c r="C2432" t="n">
        <v>-0.274460197</v>
      </c>
      <c r="D2432" t="n">
        <v>-0.132070192</v>
      </c>
      <c r="E2432" t="n">
        <v>-0.356223297</v>
      </c>
    </row>
    <row r="2433">
      <c r="A2433" t="inlineStr">
        <is>
          <t>G|FICO x ASSET_CLASS|where 2026|contribution_rate|rate|2</t>
        </is>
      </c>
      <c r="B2433" t="n">
        <v>0.03776218846699781</v>
      </c>
      <c r="C2433" t="n">
        <v>0.03786480992200689</v>
      </c>
      <c r="D2433" t="n">
        <v>0.03268634370347621</v>
      </c>
      <c r="E2433" t="n">
        <v>0.03581701697089679</v>
      </c>
      <c r="F2433" t="n">
        <v>0.03589849474557315</v>
      </c>
    </row>
    <row r="2434">
      <c r="A2434" t="inlineStr">
        <is>
          <t>G|FICO x ASSET_CLASS|where 2026|contribution_rate|book|2</t>
        </is>
      </c>
      <c r="B2434" t="n">
        <v>-13.183026727</v>
      </c>
      <c r="C2434" t="n">
        <v>-13.172764581</v>
      </c>
      <c r="D2434" t="n">
        <v>-13.690611203</v>
      </c>
      <c r="E2434" t="n">
        <v>-13.377543876</v>
      </c>
      <c r="F2434" t="n">
        <v>-13.369396099</v>
      </c>
    </row>
    <row r="2435">
      <c r="A2435" t="inlineStr">
        <is>
          <t>G|FICO x ASSET_CLASS|where 2026|contribution_rate|band|2</t>
        </is>
      </c>
      <c r="B2435" t="n">
        <v>0.243290189</v>
      </c>
      <c r="C2435" t="n">
        <v>0.260831692</v>
      </c>
      <c r="D2435" t="n">
        <v>-0.446343485</v>
      </c>
      <c r="E2435" t="n">
        <v>-0.010714556</v>
      </c>
    </row>
    <row r="2436">
      <c r="A2436" t="inlineStr">
        <is>
          <t>G|FICO x ASSET_CLASS|where 2026|contribution_rate|rate|3</t>
        </is>
      </c>
      <c r="B2436" t="n">
        <v>0.03214192119523109</v>
      </c>
      <c r="C2436" t="n">
        <v>0.03199327415127587</v>
      </c>
      <c r="D2436" t="n">
        <v>0.03221884027636266</v>
      </c>
      <c r="E2436" t="n">
        <v>0.03570513343799092</v>
      </c>
      <c r="F2436" t="n">
        <v>0.03281992509098783</v>
      </c>
    </row>
    <row r="2437">
      <c r="A2437" t="inlineStr">
        <is>
          <t>G|FICO x ASSET_CLASS|where 2026|contribution_rate|book|3</t>
        </is>
      </c>
      <c r="B2437" t="n">
        <v>-13.745053454</v>
      </c>
      <c r="C2437" t="n">
        <v>-13.759918158</v>
      </c>
      <c r="D2437" t="n">
        <v>-13.737361546</v>
      </c>
      <c r="E2437" t="n">
        <v>-13.38873223</v>
      </c>
      <c r="F2437" t="n">
        <v>-13.677253064</v>
      </c>
    </row>
    <row r="2438">
      <c r="A2438" t="inlineStr">
        <is>
          <t>G|FICO x ASSET_CLASS|where 2026|contribution_rate|band|3</t>
        </is>
      </c>
      <c r="B2438" t="n">
        <v>-0.086952297</v>
      </c>
      <c r="C2438" t="n">
        <v>-0.11023645</v>
      </c>
      <c r="D2438" t="n">
        <v>-0.090548763</v>
      </c>
      <c r="E2438" t="n">
        <v>0.357724737</v>
      </c>
    </row>
    <row r="2439">
      <c r="A2439" t="inlineStr">
        <is>
          <t>G|FICO x ASSET_CLASS|where 2026|contribution_rate|rate|4</t>
        </is>
      </c>
      <c r="B2439" t="n">
        <v>0.0222908123113425</v>
      </c>
      <c r="C2439" t="n">
        <v>0.02349125755511654</v>
      </c>
      <c r="D2439" t="n">
        <v>0.02688305826651253</v>
      </c>
      <c r="E2439" t="n">
        <v>0.02148047660205313</v>
      </c>
      <c r="F2439" t="n">
        <v>0.02388076924820731</v>
      </c>
    </row>
    <row r="2440">
      <c r="A2440" t="inlineStr">
        <is>
          <t>G|FICO x ASSET_CLASS|where 2026|contribution_rate|book|4</t>
        </is>
      </c>
      <c r="B2440" t="n">
        <v>-14.730164342</v>
      </c>
      <c r="C2440" t="n">
        <v>-14.610119818</v>
      </c>
      <c r="D2440" t="n">
        <v>-14.270939747</v>
      </c>
      <c r="E2440" t="n">
        <v>-14.811197913</v>
      </c>
      <c r="F2440" t="n">
        <v>-14.571168649</v>
      </c>
    </row>
    <row r="2441">
      <c r="A2441" t="inlineStr">
        <is>
          <t>G|FICO x ASSET_CLASS|where 2026|contribution_rate|band|4</t>
        </is>
      </c>
      <c r="B2441" t="n">
        <v>-0.203779321</v>
      </c>
      <c r="C2441" t="n">
        <v>-0.061526107</v>
      </c>
      <c r="D2441" t="n">
        <v>0.413972543</v>
      </c>
      <c r="E2441" t="n">
        <v>-0.278636259</v>
      </c>
    </row>
    <row r="2442">
      <c r="A2442" t="inlineStr">
        <is>
          <t>G|FICO x ASSET_CLASS|where 2026|contribution_rate|rate|5</t>
        </is>
      </c>
      <c r="B2442" t="n">
        <v>0.01547906705035564</v>
      </c>
      <c r="C2442" t="n">
        <v>0.0161728550298828</v>
      </c>
      <c r="D2442" t="n">
        <v>0.01595151950805546</v>
      </c>
      <c r="E2442" t="n">
        <v>0.01741299230771886</v>
      </c>
      <c r="F2442" t="n">
        <v>0.01622790820106311</v>
      </c>
    </row>
    <row r="2443">
      <c r="A2443" t="inlineStr">
        <is>
          <t>G|FICO x ASSET_CLASS|where 2026|contribution_rate|book|5</t>
        </is>
      </c>
      <c r="B2443" t="n">
        <v>-15.411338868</v>
      </c>
      <c r="C2443" t="n">
        <v>-15.341960071</v>
      </c>
      <c r="D2443" t="n">
        <v>-15.364093623</v>
      </c>
      <c r="E2443" t="n">
        <v>-15.217946343</v>
      </c>
      <c r="F2443" t="n">
        <v>-15.336454753</v>
      </c>
    </row>
    <row r="2444">
      <c r="A2444" t="inlineStr">
        <is>
          <t>G|FICO x ASSET_CLASS|where 2026|contribution_rate|band|5</t>
        </is>
      </c>
      <c r="B2444" t="n">
        <v>-0.103393654</v>
      </c>
      <c r="C2444" t="n">
        <v>-0.008320526</v>
      </c>
      <c r="D2444" t="n">
        <v>-0.032860531</v>
      </c>
      <c r="E2444" t="n">
        <v>0.153312375</v>
      </c>
    </row>
    <row r="2445">
      <c r="A2445" t="inlineStr">
        <is>
          <t>G|FICO x ASSET_CLASS|where 2026|contribution_rate|rate|6</t>
        </is>
      </c>
    </row>
    <row r="2446">
      <c r="A2446" t="inlineStr">
        <is>
          <t>G|FICO x ASSET_CLASS|where 2026|contribution_rate|book|6</t>
        </is>
      </c>
    </row>
    <row r="2447">
      <c r="A2447" t="inlineStr">
        <is>
          <t>G|FICO x ASSET_CLASS|where 2026|contribution_rate|band|6</t>
        </is>
      </c>
    </row>
    <row r="2448">
      <c r="A2448" t="inlineStr">
        <is>
          <t>G|FICO x ASSET_CLASS|where 2026|contribution_rate|rate|7</t>
        </is>
      </c>
      <c r="B2448" t="n">
        <v>0.009387337126588827</v>
      </c>
      <c r="C2448" t="n">
        <v>0.01759644265405061</v>
      </c>
      <c r="D2448" t="n">
        <v>0.04022610024644613</v>
      </c>
      <c r="E2448" t="n">
        <v>0.02005064922330617</v>
      </c>
      <c r="F2448" t="n">
        <v>0.02021536856057496</v>
      </c>
    </row>
    <row r="2449">
      <c r="A2449" t="inlineStr">
        <is>
          <t>G|FICO x ASSET_CLASS|where 2026|contribution_rate|book|7</t>
        </is>
      </c>
      <c r="B2449" t="n">
        <v>-16.020511861</v>
      </c>
      <c r="C2449" t="n">
        <v>-15.199601308</v>
      </c>
      <c r="D2449" t="n">
        <v>-12.936635549</v>
      </c>
      <c r="E2449" t="n">
        <v>-14.954180651</v>
      </c>
      <c r="F2449" t="n">
        <v>-14.937708717</v>
      </c>
    </row>
    <row r="2450">
      <c r="A2450" t="inlineStr">
        <is>
          <t>G|FICO x ASSET_CLASS|where 2026|contribution_rate|band|7</t>
        </is>
      </c>
      <c r="B2450" t="n">
        <v>-1.324458104</v>
      </c>
      <c r="C2450" t="n">
        <v>-0.435359367</v>
      </c>
      <c r="D2450" t="n">
        <v>2.36272518</v>
      </c>
      <c r="E2450" t="n">
        <v>-0.022442355</v>
      </c>
    </row>
    <row r="2451">
      <c r="A2451" t="inlineStr">
        <is>
          <t>G|FICO x ASSET_CLASS|where 2026|contribution_rate|rate|8</t>
        </is>
      </c>
      <c r="B2451" t="n">
        <v>0.03114388871828664</v>
      </c>
      <c r="C2451" t="n">
        <v>0.02878038424885728</v>
      </c>
      <c r="D2451" t="n">
        <v>0.03045962915603477</v>
      </c>
      <c r="E2451" t="n">
        <v>0.03089872032731454</v>
      </c>
      <c r="F2451" t="n">
        <v>0.03021310136366667</v>
      </c>
    </row>
    <row r="2452">
      <c r="A2452" t="inlineStr">
        <is>
          <t>G|FICO x ASSET_CLASS|where 2026|contribution_rate|book|8</t>
        </is>
      </c>
      <c r="B2452" t="n">
        <v>-13.844856702</v>
      </c>
      <c r="C2452" t="n">
        <v>-14.081207149</v>
      </c>
      <c r="D2452" t="n">
        <v>-13.913282658</v>
      </c>
      <c r="E2452" t="n">
        <v>-13.869373541</v>
      </c>
      <c r="F2452" t="n">
        <v>-13.937935437</v>
      </c>
    </row>
    <row r="2453">
      <c r="A2453" t="inlineStr">
        <is>
          <t>G|FICO x ASSET_CLASS|where 2026|contribution_rate|band|8</t>
        </is>
      </c>
    </row>
    <row r="2454">
      <c r="A2454" t="inlineStr">
        <is>
          <t>G|FICO x ASSET_CLASS|where 2026|contribution_rate|meta</t>
        </is>
      </c>
      <c r="B2454" t="inlineStr">
        <is>
          <t>pts</t>
        </is>
      </c>
      <c r="C2454" t="n">
        <v>15.336454753</v>
      </c>
      <c r="D2454" t="n">
        <v>10</v>
      </c>
      <c r="E2454" t="n">
        <v>0.1695924557349815</v>
      </c>
      <c r="F2454" t="n">
        <v>30</v>
      </c>
    </row>
    <row r="2455">
      <c r="A2455" t="inlineStr">
        <is>
          <t>G|FICO x ASSET_CLASS|where 2026|loan_size|rate|1</t>
        </is>
      </c>
      <c r="B2455" t="n">
        <v>31209.2745</v>
      </c>
      <c r="C2455" t="n">
        <v>29926.2815</v>
      </c>
      <c r="D2455" t="n">
        <v>28816.49545454546</v>
      </c>
      <c r="E2455" t="n">
        <v>31229.77235294118</v>
      </c>
      <c r="F2455" t="n">
        <v>30449.98088235294</v>
      </c>
    </row>
    <row r="2456">
      <c r="A2456" t="inlineStr">
        <is>
          <t>G|FICO x ASSET_CLASS|where 2026|loan_size|median|1</t>
        </is>
      </c>
      <c r="B2456" t="n">
        <v>26208.425</v>
      </c>
      <c r="C2456" t="n">
        <v>33488.615</v>
      </c>
      <c r="D2456" t="n">
        <v>27815.2</v>
      </c>
      <c r="E2456" t="n">
        <v>24952.51</v>
      </c>
      <c r="F2456" t="n">
        <v>28108.575</v>
      </c>
    </row>
    <row r="2457">
      <c r="A2457" t="inlineStr">
        <is>
          <t>G|FICO x ASSET_CLASS|where 2026|loan_size|book|1</t>
        </is>
      </c>
      <c r="B2457" t="n">
        <v>0.9673518423731642</v>
      </c>
      <c r="C2457" t="n">
        <v>0.9275846365606141</v>
      </c>
      <c r="D2457" t="n">
        <v>0.8931860934060629</v>
      </c>
      <c r="E2457" t="n">
        <v>0.9679871867099042</v>
      </c>
      <c r="F2457" t="n">
        <v>0.9438170408854505</v>
      </c>
    </row>
    <row r="2458">
      <c r="A2458" t="inlineStr">
        <is>
          <t>G|FICO x ASSET_CLASS|where 2026|loan_size|band|1</t>
        </is>
      </c>
      <c r="B2458" t="n">
        <v>1.0356965531309</v>
      </c>
      <c r="C2458" t="n">
        <v>0.9758085663505822</v>
      </c>
      <c r="D2458" t="n">
        <v>0.9366583505660036</v>
      </c>
      <c r="E2458" t="n">
        <v>1.034439225747514</v>
      </c>
    </row>
    <row r="2459">
      <c r="A2459" t="inlineStr">
        <is>
          <t>G|FICO x ASSET_CLASS|where 2026|loan_size|rate|2</t>
        </is>
      </c>
      <c r="B2459" t="n">
        <v>30594.40444444444</v>
      </c>
      <c r="C2459" t="n">
        <v>25189.29391304348</v>
      </c>
      <c r="D2459" t="n">
        <v>32993.213</v>
      </c>
      <c r="E2459" t="n">
        <v>28193.7075</v>
      </c>
      <c r="F2459" t="n">
        <v>29059.15370370371</v>
      </c>
    </row>
    <row r="2460">
      <c r="A2460" t="inlineStr">
        <is>
          <t>G|FICO x ASSET_CLASS|where 2026|loan_size|median|2</t>
        </is>
      </c>
      <c r="B2460" t="n">
        <v>29812.34</v>
      </c>
      <c r="C2460" t="n">
        <v>21886.9</v>
      </c>
      <c r="D2460" t="n">
        <v>33677.06</v>
      </c>
      <c r="E2460" t="n">
        <v>26752.37</v>
      </c>
      <c r="F2460" t="n">
        <v>26869.82</v>
      </c>
    </row>
    <row r="2461">
      <c r="A2461" t="inlineStr">
        <is>
          <t>G|FICO x ASSET_CLASS|where 2026|loan_size|book|2</t>
        </is>
      </c>
      <c r="B2461" t="n">
        <v>0.9482935434991626</v>
      </c>
      <c r="C2461" t="n">
        <v>0.7807586131123214</v>
      </c>
      <c r="D2461" t="n">
        <v>1.022646181069035</v>
      </c>
      <c r="E2461" t="n">
        <v>0.8738823740825855</v>
      </c>
      <c r="F2461" t="n">
        <v>0.9007074442913672</v>
      </c>
    </row>
    <row r="2462">
      <c r="A2462" t="inlineStr">
        <is>
          <t>G|FICO x ASSET_CLASS|where 2026|loan_size|band|2</t>
        </is>
      </c>
      <c r="B2462" t="n">
        <v>1.068967805456113</v>
      </c>
      <c r="C2462" t="n">
        <v>0.8233476189048495</v>
      </c>
      <c r="D2462" t="n">
        <v>1.188118358853429</v>
      </c>
      <c r="E2462" t="n">
        <v>0.9608355411168995</v>
      </c>
    </row>
    <row r="2463">
      <c r="A2463" t="inlineStr">
        <is>
          <t>G|FICO x ASSET_CLASS|where 2026|loan_size|rate|3</t>
        </is>
      </c>
      <c r="B2463" t="n">
        <v>35528.036</v>
      </c>
      <c r="C2463" t="n">
        <v>31850.09894736842</v>
      </c>
      <c r="D2463" t="n">
        <v>35364.6847826087</v>
      </c>
      <c r="E2463" t="n">
        <v>31204.83133333333</v>
      </c>
      <c r="F2463" t="n">
        <v>33604.62</v>
      </c>
    </row>
    <row r="2464">
      <c r="A2464" t="inlineStr">
        <is>
          <t>G|FICO x ASSET_CLASS|where 2026|loan_size|median|3</t>
        </is>
      </c>
      <c r="B2464" t="n">
        <v>38862.88</v>
      </c>
      <c r="C2464" t="n">
        <v>32156.38</v>
      </c>
      <c r="D2464" t="n">
        <v>35586.25</v>
      </c>
      <c r="E2464" t="n">
        <v>32472.89</v>
      </c>
      <c r="F2464" t="n">
        <v>33215.7</v>
      </c>
    </row>
    <row r="2465">
      <c r="A2465" t="inlineStr">
        <is>
          <t>G|FICO x ASSET_CLASS|where 2026|loan_size|book|3</t>
        </is>
      </c>
      <c r="B2465" t="n">
        <v>1.101214675160107</v>
      </c>
      <c r="C2465" t="n">
        <v>0.9872146145692819</v>
      </c>
      <c r="D2465" t="n">
        <v>1.096151497510867</v>
      </c>
      <c r="E2465" t="n">
        <v>0.9672141235210014</v>
      </c>
      <c r="F2465" t="n">
        <v>1.041597140274763</v>
      </c>
    </row>
    <row r="2466">
      <c r="A2466" t="inlineStr">
        <is>
          <t>G|FICO x ASSET_CLASS|where 2026|loan_size|band|3</t>
        </is>
      </c>
      <c r="B2466" t="n">
        <v>1.073404571082736</v>
      </c>
      <c r="C2466" t="n">
        <v>0.9303754104020183</v>
      </c>
      <c r="D2466" t="n">
        <v>1.078899895729722</v>
      </c>
      <c r="E2466" t="n">
        <v>0.9114587186270883</v>
      </c>
    </row>
    <row r="2467">
      <c r="A2467" t="inlineStr">
        <is>
          <t>G|FICO x ASSET_CLASS|where 2026|loan_size|rate|4</t>
        </is>
      </c>
      <c r="B2467" t="n">
        <v>37141.339375</v>
      </c>
      <c r="C2467" t="n">
        <v>36746.98814814815</v>
      </c>
      <c r="D2467" t="n">
        <v>29718.9848</v>
      </c>
      <c r="E2467" t="n">
        <v>26762.00928571428</v>
      </c>
      <c r="F2467" t="n">
        <v>32976.49829268293</v>
      </c>
    </row>
    <row r="2468">
      <c r="A2468" t="inlineStr">
        <is>
          <t>G|FICO x ASSET_CLASS|where 2026|loan_size|median|4</t>
        </is>
      </c>
      <c r="B2468" t="n">
        <v>38013.74000000001</v>
      </c>
      <c r="C2468" t="n">
        <v>39097.34</v>
      </c>
      <c r="D2468" t="n">
        <v>33412.56</v>
      </c>
      <c r="E2468" t="n">
        <v>23222.27</v>
      </c>
      <c r="F2468" t="n">
        <v>34789.91</v>
      </c>
    </row>
    <row r="2469">
      <c r="A2469" t="inlineStr">
        <is>
          <t>G|FICO x ASSET_CLASS|where 2026|loan_size|book|4</t>
        </is>
      </c>
      <c r="B2469" t="n">
        <v>1.151220066734111</v>
      </c>
      <c r="C2469" t="n">
        <v>1.138996892951675</v>
      </c>
      <c r="D2469" t="n">
        <v>0.9211593399820961</v>
      </c>
      <c r="E2469" t="n">
        <v>0.8295059530507011</v>
      </c>
      <c r="F2469" t="n">
        <v>1.022128097801259</v>
      </c>
    </row>
    <row r="2470">
      <c r="A2470" t="inlineStr">
        <is>
          <t>G|FICO x ASSET_CLASS|where 2026|loan_size|band|4</t>
        </is>
      </c>
      <c r="B2470" t="n">
        <v>1.16187084963797</v>
      </c>
      <c r="C2470" t="n">
        <v>1.180606001060263</v>
      </c>
      <c r="D2470" t="n">
        <v>0.8637925928687796</v>
      </c>
      <c r="E2470" t="n">
        <v>0.7812367717775568</v>
      </c>
    </row>
    <row r="2471">
      <c r="A2471" t="inlineStr">
        <is>
          <t>G|FICO x ASSET_CLASS|where 2026|loan_size|rate|5</t>
        </is>
      </c>
      <c r="B2471" t="n">
        <v>36126.25133333333</v>
      </c>
      <c r="C2471" t="n">
        <v>30224.21318181818</v>
      </c>
      <c r="D2471" t="n">
        <v>31228.561</v>
      </c>
      <c r="E2471" t="n">
        <v>29742.54266666667</v>
      </c>
      <c r="F2471" t="n">
        <v>31697.58403225806</v>
      </c>
    </row>
    <row r="2472">
      <c r="A2472" t="inlineStr">
        <is>
          <t>G|FICO x ASSET_CLASS|where 2026|loan_size|median|5</t>
        </is>
      </c>
      <c r="B2472" t="n">
        <v>36514.68</v>
      </c>
      <c r="C2472" t="n">
        <v>29325.525</v>
      </c>
      <c r="D2472" t="n">
        <v>26143.745</v>
      </c>
      <c r="E2472" t="n">
        <v>22405.91</v>
      </c>
      <c r="F2472" t="n">
        <v>30535.46</v>
      </c>
    </row>
    <row r="2473">
      <c r="A2473" t="inlineStr">
        <is>
          <t>G|FICO x ASSET_CLASS|where 2026|loan_size|book|5</t>
        </is>
      </c>
      <c r="B2473" t="n">
        <v>1.119756750043516</v>
      </c>
      <c r="C2473" t="n">
        <v>0.9368192235840372</v>
      </c>
      <c r="D2473" t="n">
        <v>0.9679496400344949</v>
      </c>
      <c r="E2473" t="n">
        <v>0.9218895314424065</v>
      </c>
      <c r="F2473" t="n">
        <v>0.9824873151852033</v>
      </c>
    </row>
    <row r="2474">
      <c r="A2474" t="inlineStr">
        <is>
          <t>G|FICO x ASSET_CLASS|where 2026|loan_size|band|5</t>
        </is>
      </c>
      <c r="B2474" t="n">
        <v>1.192908371332951</v>
      </c>
      <c r="C2474" t="n">
        <v>0.9297487026651207</v>
      </c>
      <c r="D2474" t="n">
        <v>0.9824077127846536</v>
      </c>
      <c r="E2474" t="n">
        <v>0.9202082801786531</v>
      </c>
    </row>
    <row r="2475">
      <c r="A2475" t="inlineStr">
        <is>
          <t>G|FICO x ASSET_CLASS|where 2026|loan_size|rate|6</t>
        </is>
      </c>
    </row>
    <row r="2476">
      <c r="A2476" t="inlineStr">
        <is>
          <t>G|FICO x ASSET_CLASS|where 2026|loan_size|median|6</t>
        </is>
      </c>
    </row>
    <row r="2477">
      <c r="A2477" t="inlineStr">
        <is>
          <t>G|FICO x ASSET_CLASS|where 2026|loan_size|book|6</t>
        </is>
      </c>
    </row>
    <row r="2478">
      <c r="A2478" t="inlineStr">
        <is>
          <t>G|FICO x ASSET_CLASS|where 2026|loan_size|band|6</t>
        </is>
      </c>
    </row>
    <row r="2479">
      <c r="A2479" t="inlineStr">
        <is>
          <t>G|FICO x ASSET_CLASS|where 2026|loan_size|rate|7</t>
        </is>
      </c>
      <c r="B2479" t="n">
        <v>54626.78</v>
      </c>
      <c r="C2479" t="n">
        <v>39764.47666666666</v>
      </c>
      <c r="D2479" t="n">
        <v>45827.46</v>
      </c>
      <c r="E2479" t="n">
        <v>39824.895</v>
      </c>
      <c r="F2479" t="n">
        <v>42771.06571428572</v>
      </c>
    </row>
    <row r="2480">
      <c r="A2480" t="inlineStr">
        <is>
          <t>G|FICO x ASSET_CLASS|where 2026|loan_size|median|7</t>
        </is>
      </c>
      <c r="B2480" t="n">
        <v>54626.78</v>
      </c>
      <c r="C2480" t="n">
        <v>42269.75</v>
      </c>
      <c r="D2480" t="n">
        <v>45827.46</v>
      </c>
      <c r="E2480" t="n">
        <v>39824.895</v>
      </c>
      <c r="F2480" t="n">
        <v>43842.96</v>
      </c>
    </row>
    <row r="2481">
      <c r="A2481" t="inlineStr">
        <is>
          <t>G|FICO x ASSET_CLASS|where 2026|loan_size|book|7</t>
        </is>
      </c>
      <c r="B2481" t="n">
        <v>1.693192716668679</v>
      </c>
      <c r="C2481" t="n">
        <v>1.232525919963461</v>
      </c>
      <c r="D2481" t="n">
        <v>1.420452047428481</v>
      </c>
      <c r="E2481" t="n">
        <v>1.234398625657505</v>
      </c>
      <c r="F2481" t="n">
        <v>1.325717110757508</v>
      </c>
    </row>
    <row r="2482">
      <c r="A2482" t="inlineStr">
        <is>
          <t>G|FICO x ASSET_CLASS|where 2026|loan_size|band|7</t>
        </is>
      </c>
      <c r="B2482" t="n">
        <v>1.339052046593162</v>
      </c>
      <c r="C2482" t="n">
        <v>0.8831446285053511</v>
      </c>
      <c r="D2482" t="n">
        <v>1.084374176755925</v>
      </c>
      <c r="E2482" t="n">
        <v>0.9061505635076814</v>
      </c>
    </row>
    <row r="2483">
      <c r="A2483" t="inlineStr">
        <is>
          <t>G|FICO x ASSET_CLASS|where 2026|loan_size|rate|8</t>
        </is>
      </c>
      <c r="B2483" t="n">
        <v>34101.02694117647</v>
      </c>
      <c r="C2483" t="n">
        <v>31223.03570175438</v>
      </c>
      <c r="D2483" t="n">
        <v>32125.79055555556</v>
      </c>
      <c r="E2483" t="n">
        <v>29678.41939759036</v>
      </c>
      <c r="F2483" t="n">
        <v>31754.41752688172</v>
      </c>
    </row>
    <row r="2484">
      <c r="A2484" t="inlineStr">
        <is>
          <t>G|FICO x ASSET_CLASS|where 2026|loan_size|median|8</t>
        </is>
      </c>
      <c r="B2484" t="n">
        <v>36266.37</v>
      </c>
      <c r="C2484" t="n">
        <v>31992.515</v>
      </c>
      <c r="D2484" t="n">
        <v>32886.15</v>
      </c>
      <c r="E2484" t="n">
        <v>24952.51</v>
      </c>
      <c r="F2484" t="n">
        <v>32048.36</v>
      </c>
    </row>
    <row r="2485">
      <c r="A2485" t="inlineStr">
        <is>
          <t>G|FICO x ASSET_CLASS|where 2026|loan_size|book|8</t>
        </is>
      </c>
      <c r="B2485" t="n">
        <v>1.056983597563729</v>
      </c>
      <c r="C2485" t="n">
        <v>0.967778379807425</v>
      </c>
      <c r="D2485" t="n">
        <v>0.9957598559880354</v>
      </c>
      <c r="E2485" t="n">
        <v>0.9199019888457353</v>
      </c>
      <c r="F2485" t="n">
        <v>0.9842489064625878</v>
      </c>
    </row>
    <row r="2486">
      <c r="A2486" t="inlineStr">
        <is>
          <t>G|FICO x ASSET_CLASS|where 2026|loan_size|band|8</t>
        </is>
      </c>
    </row>
    <row r="2487">
      <c r="A2487" t="inlineStr">
        <is>
          <t>G|FICO x ASSET_CLASS|where 2026|loan_size|meta</t>
        </is>
      </c>
      <c r="B2487" t="inlineStr">
        <is>
          <t>size</t>
        </is>
      </c>
      <c r="C2487" t="n">
        <v>1</v>
      </c>
      <c r="E2487" t="n">
        <v>32262.58857732217</v>
      </c>
      <c r="F2487" t="n">
        <v>30</v>
      </c>
    </row>
    <row r="2488">
      <c r="A2488" t="inlineStr">
        <is>
          <t>G|REV_DEBT x CHANNEL|cols</t>
        </is>
      </c>
      <c r="B2488" t="inlineStr">
        <is>
          <t>Branch</t>
        </is>
      </c>
      <c r="C2488" t="inlineStr">
        <is>
          <t>Broker</t>
        </is>
      </c>
      <c r="D2488" t="inlineStr">
        <is>
          <t>Online</t>
        </is>
      </c>
      <c r="E2488" t="inlineStr">
        <is>
          <t>All</t>
        </is>
      </c>
    </row>
    <row r="2489">
      <c r="A2489" t="inlineStr">
        <is>
          <t>G|REV_DEBT x CHANNEL|heads</t>
        </is>
      </c>
      <c r="B2489" t="inlineStr">
        <is>
          <t>Branch</t>
        </is>
      </c>
      <c r="C2489" t="inlineStr">
        <is>
          <t>Broker</t>
        </is>
      </c>
      <c r="D2489" t="inlineStr">
        <is>
          <t>Online</t>
        </is>
      </c>
      <c r="E2489" t="inlineStr">
        <is>
          <t>All</t>
        </is>
      </c>
    </row>
    <row r="2490">
      <c r="A2490" t="inlineStr">
        <is>
          <t>G|REV_DEBT x CHANNEL|segs</t>
        </is>
      </c>
    </row>
    <row r="2491">
      <c r="A2491" t="inlineStr">
        <is>
          <t>G|REV_DEBT x CHANNEL|rows</t>
        </is>
      </c>
      <c r="B2491" t="inlineStr">
        <is>
          <t>0 - 6,558</t>
        </is>
      </c>
      <c r="C2491" t="inlineStr">
        <is>
          <t>6,559 - 9,836</t>
        </is>
      </c>
      <c r="D2491" t="inlineStr">
        <is>
          <t>9,837 - 13,051</t>
        </is>
      </c>
      <c r="E2491" t="inlineStr">
        <is>
          <t>13,052 - 17,186</t>
        </is>
      </c>
      <c r="F2491" t="inlineStr">
        <is>
          <t>17,187 - 48,521</t>
        </is>
      </c>
      <c r="G2491" t="inlineStr">
        <is>
          <t>All</t>
        </is>
      </c>
    </row>
    <row r="2492">
      <c r="A2492" t="inlineStr">
        <is>
          <t>G|REV_DEBT x CHANNEL|names</t>
        </is>
      </c>
      <c r="B2492" t="inlineStr">
        <is>
          <t>REV_DEBT</t>
        </is>
      </c>
      <c r="C2492" t="inlineStr">
        <is>
          <t>CHANNEL</t>
        </is>
      </c>
    </row>
    <row r="2493">
      <c r="A2493" t="inlineStr">
        <is>
          <t>G|REV_DEBT x CHANNEL|total</t>
        </is>
      </c>
      <c r="B2493" t="n">
        <v>8000</v>
      </c>
    </row>
    <row r="2494">
      <c r="A2494" t="inlineStr">
        <is>
          <t>G|REV_DEBT x CHANNEL|loans|1</t>
        </is>
      </c>
      <c r="B2494" t="n">
        <v>522</v>
      </c>
      <c r="C2494" t="n">
        <v>542</v>
      </c>
      <c r="D2494" t="n">
        <v>537</v>
      </c>
      <c r="E2494" t="n">
        <v>1601</v>
      </c>
    </row>
    <row r="2495">
      <c r="A2495" t="inlineStr">
        <is>
          <t>G|REV_DEBT x CHANNEL|loans|2</t>
        </is>
      </c>
      <c r="B2495" t="n">
        <v>514</v>
      </c>
      <c r="C2495" t="n">
        <v>521</v>
      </c>
      <c r="D2495" t="n">
        <v>565</v>
      </c>
      <c r="E2495" t="n">
        <v>1600</v>
      </c>
    </row>
    <row r="2496">
      <c r="A2496" t="inlineStr">
        <is>
          <t>G|REV_DEBT x CHANNEL|loans|3</t>
        </is>
      </c>
      <c r="B2496" t="n">
        <v>541</v>
      </c>
      <c r="C2496" t="n">
        <v>532</v>
      </c>
      <c r="D2496" t="n">
        <v>526</v>
      </c>
      <c r="E2496" t="n">
        <v>1599</v>
      </c>
    </row>
    <row r="2497">
      <c r="A2497" t="inlineStr">
        <is>
          <t>G|REV_DEBT x CHANNEL|loans|4</t>
        </is>
      </c>
      <c r="B2497" t="n">
        <v>525</v>
      </c>
      <c r="C2497" t="n">
        <v>553</v>
      </c>
      <c r="D2497" t="n">
        <v>522</v>
      </c>
      <c r="E2497" t="n">
        <v>1600</v>
      </c>
    </row>
    <row r="2498">
      <c r="A2498" t="inlineStr">
        <is>
          <t>G|REV_DEBT x CHANNEL|loans|5</t>
        </is>
      </c>
      <c r="B2498" t="n">
        <v>525</v>
      </c>
      <c r="C2498" t="n">
        <v>507</v>
      </c>
      <c r="D2498" t="n">
        <v>568</v>
      </c>
      <c r="E2498" t="n">
        <v>1600</v>
      </c>
    </row>
    <row r="2499">
      <c r="A2499" t="inlineStr">
        <is>
          <t>G|REV_DEBT x CHANNEL|loans|6</t>
        </is>
      </c>
      <c r="B2499" t="n">
        <v>2627</v>
      </c>
      <c r="C2499" t="n">
        <v>2655</v>
      </c>
      <c r="D2499" t="n">
        <v>2718</v>
      </c>
      <c r="E2499" t="n">
        <v>8000</v>
      </c>
    </row>
    <row r="2500">
      <c r="A2500" t="inlineStr">
        <is>
          <t>G|REV_DEBT x CHANNEL|outcome_loans|rate|1</t>
        </is>
      </c>
      <c r="B2500" t="n">
        <v>0.0421455938697318</v>
      </c>
      <c r="C2500" t="n">
        <v>0.03690036900369004</v>
      </c>
      <c r="D2500" t="n">
        <v>0.04283054003724395</v>
      </c>
      <c r="E2500" t="n">
        <v>0.04059962523422861</v>
      </c>
    </row>
    <row r="2501">
      <c r="A2501" t="inlineStr">
        <is>
          <t>G|REV_DEBT x CHANNEL|outcome_loans|book|1</t>
        </is>
      </c>
      <c r="B2501" t="n">
        <v>0.5446245644006215</v>
      </c>
      <c r="C2501" t="n">
        <v>0.4768433790961496</v>
      </c>
      <c r="D2501" t="n">
        <v>0.5534757508205401</v>
      </c>
      <c r="E2501" t="n">
        <v>0.5246468533902983</v>
      </c>
    </row>
    <row r="2502">
      <c r="A2502" t="inlineStr">
        <is>
          <t>G|REV_DEBT x CHANNEL|outcome_loans|band|1</t>
        </is>
      </c>
      <c r="B2502" t="n">
        <v>1.05756036710327</v>
      </c>
      <c r="C2502" t="n">
        <v>0.8683886838868389</v>
      </c>
      <c r="D2502" t="n">
        <v>1.08504034761018</v>
      </c>
    </row>
    <row r="2503">
      <c r="A2503" t="inlineStr">
        <is>
          <t>G|REV_DEBT x CHANNEL|outcome_loans|rate|2</t>
        </is>
      </c>
      <c r="B2503" t="n">
        <v>0.03307392996108949</v>
      </c>
      <c r="C2503" t="n">
        <v>0.0345489443378119</v>
      </c>
      <c r="D2503" t="n">
        <v>0.0495575221238938</v>
      </c>
      <c r="E2503" t="n">
        <v>0.039375</v>
      </c>
    </row>
    <row r="2504">
      <c r="A2504" t="inlineStr">
        <is>
          <t>G|REV_DEBT x CHANNEL|outcome_loans|book|2</t>
        </is>
      </c>
      <c r="B2504" t="n">
        <v>0.4273963905634166</v>
      </c>
      <c r="C2504" t="n">
        <v>0.446457198316894</v>
      </c>
      <c r="D2504" t="n">
        <v>0.6404048779790412</v>
      </c>
      <c r="E2504" t="n">
        <v>0.5088216882067851</v>
      </c>
    </row>
    <row r="2505">
      <c r="A2505" t="inlineStr">
        <is>
          <t>G|REV_DEBT x CHANNEL|outcome_loans|band|2</t>
        </is>
      </c>
      <c r="B2505" t="n">
        <v>0.780832346472678</v>
      </c>
      <c r="C2505" t="n">
        <v>0.8284069097888677</v>
      </c>
      <c r="D2505" t="n">
        <v>1.465486725663717</v>
      </c>
    </row>
    <row r="2506">
      <c r="A2506" t="inlineStr">
        <is>
          <t>G|REV_DEBT x CHANNEL|outcome_loans|rate|3</t>
        </is>
      </c>
      <c r="B2506" t="n">
        <v>0.06296296296296296</v>
      </c>
      <c r="C2506" t="n">
        <v>0.06390977443609022</v>
      </c>
      <c r="D2506" t="n">
        <v>0.05893536121673004</v>
      </c>
      <c r="E2506" t="n">
        <v>0.06195244055068836</v>
      </c>
    </row>
    <row r="2507">
      <c r="A2507" t="inlineStr">
        <is>
          <t>G|REV_DEBT x CHANNEL|outcome_loans|book|3</t>
        </is>
      </c>
      <c r="B2507" t="n">
        <v>0.8136360916651707</v>
      </c>
      <c r="C2507" t="n">
        <v>0.8258712208631432</v>
      </c>
      <c r="D2507" t="n">
        <v>0.761589587031702</v>
      </c>
      <c r="E2507" t="n">
        <v>0.8005776606865205</v>
      </c>
    </row>
    <row r="2508">
      <c r="A2508" t="inlineStr">
        <is>
          <t>G|REV_DEBT x CHANNEL|outcome_loans|band|3</t>
        </is>
      </c>
      <c r="B2508" t="n">
        <v>1.024843304843305</v>
      </c>
      <c r="C2508" t="n">
        <v>1.04812030075188</v>
      </c>
      <c r="D2508" t="n">
        <v>0.9290986356519794</v>
      </c>
    </row>
    <row r="2509">
      <c r="A2509" t="inlineStr">
        <is>
          <t>G|REV_DEBT x CHANNEL|outcome_loans|rate|4</t>
        </is>
      </c>
      <c r="B2509" t="n">
        <v>0.06857142857142857</v>
      </c>
      <c r="C2509" t="n">
        <v>0.09945750452079566</v>
      </c>
      <c r="D2509" t="n">
        <v>0.1111111111111111</v>
      </c>
      <c r="E2509" t="n">
        <v>0.093125</v>
      </c>
    </row>
    <row r="2510">
      <c r="A2510" t="inlineStr">
        <is>
          <t>G|REV_DEBT x CHANNEL|outcome_loans|book|4</t>
        </is>
      </c>
      <c r="B2510" t="n">
        <v>0.886111239326102</v>
      </c>
      <c r="C2510" t="n">
        <v>1.28523518362172</v>
      </c>
      <c r="D2510" t="n">
        <v>1.435828397056184</v>
      </c>
      <c r="E2510" t="n">
        <v>1.203403675282714</v>
      </c>
    </row>
    <row r="2511">
      <c r="A2511" t="inlineStr">
        <is>
          <t>G|REV_DEBT x CHANNEL|outcome_loans|band|4</t>
        </is>
      </c>
      <c r="B2511" t="n">
        <v>0.6523388116308471</v>
      </c>
      <c r="C2511" t="n">
        <v>1.107787310992267</v>
      </c>
      <c r="D2511" t="n">
        <v>1.316239316239316</v>
      </c>
    </row>
    <row r="2512">
      <c r="A2512" t="inlineStr">
        <is>
          <t>G|REV_DEBT x CHANNEL|outcome_loans|rate|5</t>
        </is>
      </c>
      <c r="B2512" t="n">
        <v>0.1161904761904762</v>
      </c>
      <c r="C2512" t="n">
        <v>0.222879684418146</v>
      </c>
      <c r="D2512" t="n">
        <v>0.1214788732394366</v>
      </c>
      <c r="E2512" t="n">
        <v>0.151875</v>
      </c>
    </row>
    <row r="2513">
      <c r="A2513" t="inlineStr">
        <is>
          <t>G|REV_DEBT x CHANNEL|outcome_loans|book|5</t>
        </is>
      </c>
      <c r="B2513" t="n">
        <v>1.501466266635895</v>
      </c>
      <c r="C2513" t="n">
        <v>2.880152820130451</v>
      </c>
      <c r="D2513" t="n">
        <v>1.569805342556145</v>
      </c>
      <c r="E2513" t="n">
        <v>1.962597940226171</v>
      </c>
    </row>
    <row r="2514">
      <c r="A2514" t="inlineStr">
        <is>
          <t>G|REV_DEBT x CHANNEL|outcome_loans|band|5</t>
        </is>
      </c>
      <c r="B2514" t="n">
        <v>0.6862899005756149</v>
      </c>
      <c r="C2514" t="n">
        <v>1.873903808223335</v>
      </c>
      <c r="D2514" t="n">
        <v>0.720495386109762</v>
      </c>
    </row>
    <row r="2515">
      <c r="A2515" t="inlineStr">
        <is>
          <t>G|REV_DEBT x CHANNEL|outcome_loans|rate|6</t>
        </is>
      </c>
      <c r="B2515" t="n">
        <v>0.06473724295506474</v>
      </c>
      <c r="C2515" t="n">
        <v>0.0903954802259887</v>
      </c>
      <c r="D2515" t="n">
        <v>0.07689477557027226</v>
      </c>
      <c r="E2515" t="n">
        <v>0.07738467308413552</v>
      </c>
    </row>
    <row r="2516">
      <c r="A2516" t="inlineStr">
        <is>
          <t>G|REV_DEBT x CHANNEL|outcome_loans|book|6</t>
        </is>
      </c>
      <c r="B2516" t="n">
        <v>0.8365641460380659</v>
      </c>
      <c r="C2516" t="n">
        <v>1.168131577266048</v>
      </c>
      <c r="D2516" t="n">
        <v>0.9936693211415312</v>
      </c>
      <c r="E2516" t="n">
        <v>1</v>
      </c>
    </row>
    <row r="2517">
      <c r="A2517" t="inlineStr">
        <is>
          <t>G|REV_DEBT x CHANNEL|outcome_loans|band|6</t>
        </is>
      </c>
    </row>
    <row r="2518">
      <c r="A2518" t="inlineStr">
        <is>
          <t>G|REV_DEBT x CHANNEL|outcome_loans|meta</t>
        </is>
      </c>
      <c r="B2518" t="inlineStr">
        <is>
          <t>x</t>
        </is>
      </c>
      <c r="C2518" t="n">
        <v>2.880152820130451</v>
      </c>
      <c r="D2518" t="n">
        <v>10</v>
      </c>
      <c r="E2518" t="n">
        <v>0.07738467308413552</v>
      </c>
      <c r="F2518" t="n">
        <v>30</v>
      </c>
    </row>
    <row r="2519">
      <c r="A2519" t="inlineStr">
        <is>
          <t>G|REV_DEBT x CHANNEL|outcome_booked|rate|1</t>
        </is>
      </c>
      <c r="B2519" t="n">
        <v>0.0348556987616122</v>
      </c>
      <c r="C2519" t="n">
        <v>0.03603681958217555</v>
      </c>
      <c r="D2519" t="n">
        <v>0.04101428116750502</v>
      </c>
      <c r="E2519" t="n">
        <v>0.03732302625708483</v>
      </c>
    </row>
    <row r="2520">
      <c r="A2520" t="inlineStr">
        <is>
          <t>G|REV_DEBT x CHANNEL|outcome_booked|book|1</t>
        </is>
      </c>
      <c r="B2520" t="n">
        <v>0.4658055029575702</v>
      </c>
      <c r="C2520" t="n">
        <v>0.4815897964138268</v>
      </c>
      <c r="D2520" t="n">
        <v>0.5481077283326056</v>
      </c>
      <c r="E2520" t="n">
        <v>0.4987784389715636</v>
      </c>
    </row>
    <row r="2521">
      <c r="A2521" t="inlineStr">
        <is>
          <t>G|REV_DEBT x CHANNEL|outcome_booked|band|1</t>
        </is>
      </c>
      <c r="B2521" t="n">
        <v>0.9053799834082064</v>
      </c>
      <c r="C2521" t="n">
        <v>0.9485219919903553</v>
      </c>
      <c r="D2521" t="n">
        <v>1.156513044472076</v>
      </c>
    </row>
    <row r="2522">
      <c r="A2522" t="inlineStr">
        <is>
          <t>G|REV_DEBT x CHANNEL|outcome_booked|rate|2</t>
        </is>
      </c>
      <c r="B2522" t="n">
        <v>0.03207325488696074</v>
      </c>
      <c r="C2522" t="n">
        <v>0.03596592246155192</v>
      </c>
      <c r="D2522" t="n">
        <v>0.04679027888898713</v>
      </c>
      <c r="E2522" t="n">
        <v>0.03864817611492112</v>
      </c>
    </row>
    <row r="2523">
      <c r="A2523" t="inlineStr">
        <is>
          <t>G|REV_DEBT x CHANNEL|outcome_booked|book|2</t>
        </is>
      </c>
      <c r="B2523" t="n">
        <v>0.4286214063957004</v>
      </c>
      <c r="C2523" t="n">
        <v>0.4806423396103871</v>
      </c>
      <c r="D2523" t="n">
        <v>0.6252971584495506</v>
      </c>
      <c r="E2523" t="n">
        <v>0.5164875114605477</v>
      </c>
    </row>
    <row r="2524">
      <c r="A2524" t="inlineStr">
        <is>
          <t>G|REV_DEBT x CHANNEL|outcome_booked|band|2</t>
        </is>
      </c>
      <c r="B2524" t="n">
        <v>0.7693599201642247</v>
      </c>
      <c r="C2524" t="n">
        <v>0.9008618250857579</v>
      </c>
      <c r="D2524" t="n">
        <v>1.374636114669133</v>
      </c>
    </row>
    <row r="2525">
      <c r="A2525" t="inlineStr">
        <is>
          <t>G|REV_DEBT x CHANNEL|outcome_booked|rate|3</t>
        </is>
      </c>
      <c r="B2525" t="n">
        <v>0.05854081866034846</v>
      </c>
      <c r="C2525" t="n">
        <v>0.06281203270641562</v>
      </c>
      <c r="D2525" t="n">
        <v>0.05498325737085331</v>
      </c>
      <c r="E2525" t="n">
        <v>0.05877266265318827</v>
      </c>
    </row>
    <row r="2526">
      <c r="A2526" t="inlineStr">
        <is>
          <t>G|REV_DEBT x CHANNEL|outcome_booked|book|3</t>
        </is>
      </c>
      <c r="B2526" t="n">
        <v>0.782329330596104</v>
      </c>
      <c r="C2526" t="n">
        <v>0.8394090930927584</v>
      </c>
      <c r="D2526" t="n">
        <v>0.7347866995592325</v>
      </c>
      <c r="E2526" t="n">
        <v>0.7854276534394083</v>
      </c>
    </row>
    <row r="2527">
      <c r="A2527" t="inlineStr">
        <is>
          <t>G|REV_DEBT x CHANNEL|outcome_booked|band|3</t>
        </is>
      </c>
      <c r="B2527" t="n">
        <v>0.9941010319904369</v>
      </c>
      <c r="C2527" t="n">
        <v>1.106684919912648</v>
      </c>
      <c r="D2527" t="n">
        <v>0.9061569487201071</v>
      </c>
    </row>
    <row r="2528">
      <c r="A2528" t="inlineStr">
        <is>
          <t>G|REV_DEBT x CHANNEL|outcome_booked|rate|4</t>
        </is>
      </c>
      <c r="B2528" t="n">
        <v>0.06061260311700749</v>
      </c>
      <c r="C2528" t="n">
        <v>0.1090744159423651</v>
      </c>
      <c r="D2528" t="n">
        <v>0.1029879262853658</v>
      </c>
      <c r="E2528" t="n">
        <v>0.09123638059739883</v>
      </c>
    </row>
    <row r="2529">
      <c r="A2529" t="inlineStr">
        <is>
          <t>G|REV_DEBT x CHANNEL|outcome_booked|book|4</t>
        </is>
      </c>
      <c r="B2529" t="n">
        <v>0.8100162981549519</v>
      </c>
      <c r="C2529" t="n">
        <v>1.457651545743579</v>
      </c>
      <c r="D2529" t="n">
        <v>1.376312755340472</v>
      </c>
      <c r="E2529" t="n">
        <v>1.219267140299154</v>
      </c>
    </row>
    <row r="2530">
      <c r="A2530" t="inlineStr">
        <is>
          <t>G|REV_DEBT x CHANNEL|outcome_booked|band|4</t>
        </is>
      </c>
      <c r="B2530" t="n">
        <v>0.5709036648277326</v>
      </c>
      <c r="C2530" t="n">
        <v>1.337147725603051</v>
      </c>
      <c r="D2530" t="n">
        <v>1.201930374189385</v>
      </c>
    </row>
    <row r="2531">
      <c r="A2531" t="inlineStr">
        <is>
          <t>G|REV_DEBT x CHANNEL|outcome_booked|rate|5</t>
        </is>
      </c>
      <c r="B2531" t="n">
        <v>0.1239780276795152</v>
      </c>
      <c r="C2531" t="n">
        <v>0.2052851475636274</v>
      </c>
      <c r="D2531" t="n">
        <v>0.1251666108172668</v>
      </c>
      <c r="E2531" t="n">
        <v>0.1500959129612363</v>
      </c>
    </row>
    <row r="2532">
      <c r="A2532" t="inlineStr">
        <is>
          <t>G|REV_DEBT x CHANNEL|outcome_booked|book|5</t>
        </is>
      </c>
      <c r="B2532" t="n">
        <v>1.656820823874741</v>
      </c>
      <c r="C2532" t="n">
        <v>2.74339504895846</v>
      </c>
      <c r="D2532" t="n">
        <v>1.672704842441513</v>
      </c>
      <c r="E2532" t="n">
        <v>2.005855705460272</v>
      </c>
    </row>
    <row r="2533">
      <c r="A2533" t="inlineStr">
        <is>
          <t>G|REV_DEBT x CHANNEL|outcome_booked|band|5</t>
        </is>
      </c>
      <c r="B2533" t="n">
        <v>0.7609140186247237</v>
      </c>
      <c r="C2533" t="n">
        <v>1.647633496412686</v>
      </c>
      <c r="D2533" t="n">
        <v>0.7642273631427039</v>
      </c>
    </row>
    <row r="2534">
      <c r="A2534" t="inlineStr">
        <is>
          <t>G|REV_DEBT x CHANNEL|outcome_booked|rate|6</t>
        </is>
      </c>
      <c r="B2534" t="n">
        <v>0.06209402737287427</v>
      </c>
      <c r="C2534" t="n">
        <v>0.08834961310910709</v>
      </c>
      <c r="D2534" t="n">
        <v>0.07378839081032544</v>
      </c>
      <c r="E2534" t="n">
        <v>0.07482886857347226</v>
      </c>
    </row>
    <row r="2535">
      <c r="A2535" t="inlineStr">
        <is>
          <t>G|REV_DEBT x CHANNEL|outcome_booked|book|6</t>
        </is>
      </c>
      <c r="B2535" t="n">
        <v>0.829813794550507</v>
      </c>
      <c r="C2535" t="n">
        <v>1.180688881088174</v>
      </c>
      <c r="D2535" t="n">
        <v>0.9860952359298967</v>
      </c>
      <c r="E2535" t="n">
        <v>0.9999999999999989</v>
      </c>
    </row>
    <row r="2536">
      <c r="A2536" t="inlineStr">
        <is>
          <t>G|REV_DEBT x CHANNEL|outcome_booked|band|6</t>
        </is>
      </c>
    </row>
    <row r="2537">
      <c r="A2537" t="inlineStr">
        <is>
          <t>G|REV_DEBT x CHANNEL|outcome_booked|meta</t>
        </is>
      </c>
      <c r="B2537" t="inlineStr">
        <is>
          <t>x</t>
        </is>
      </c>
      <c r="C2537" t="n">
        <v>2.74339504895846</v>
      </c>
      <c r="D2537" t="n">
        <v>10</v>
      </c>
      <c r="E2537" t="n">
        <v>0.07482886857347235</v>
      </c>
      <c r="F2537" t="n">
        <v>30</v>
      </c>
    </row>
    <row r="2538">
      <c r="A2538" t="inlineStr">
        <is>
          <t>G|REV_DEBT x CHANNEL|gco_rate|rate|1</t>
        </is>
      </c>
      <c r="B2538" t="n">
        <v>0.01880381434003961</v>
      </c>
      <c r="C2538" t="n">
        <v>0.0197350536515908</v>
      </c>
      <c r="D2538" t="n">
        <v>0.02011176124132084</v>
      </c>
      <c r="E2538" t="n">
        <v>0.0195607585516792</v>
      </c>
    </row>
    <row r="2539">
      <c r="A2539" t="inlineStr">
        <is>
          <t>G|REV_DEBT x CHANNEL|gco_rate|book|1</t>
        </is>
      </c>
      <c r="B2539" t="n">
        <v>0.45195756328883</v>
      </c>
      <c r="C2539" t="n">
        <v>0.4743402906693726</v>
      </c>
      <c r="D2539" t="n">
        <v>0.4833946155657989</v>
      </c>
      <c r="E2539" t="n">
        <v>0.4701510348500629</v>
      </c>
    </row>
    <row r="2540">
      <c r="A2540" t="inlineStr">
        <is>
          <t>G|REV_DEBT x CHANNEL|gco_rate|band|1</t>
        </is>
      </c>
      <c r="B2540" t="n">
        <v>0.9439024179238202</v>
      </c>
      <c r="C2540" t="n">
        <v>1.013612212669388</v>
      </c>
      <c r="D2540" t="n">
        <v>1.04296702270954</v>
      </c>
    </row>
    <row r="2541">
      <c r="A2541" t="inlineStr">
        <is>
          <t>G|REV_DEBT x CHANNEL|gco_rate|rate|2</t>
        </is>
      </c>
      <c r="B2541" t="n">
        <v>0.01910694312293322</v>
      </c>
      <c r="C2541" t="n">
        <v>0.02214724517999882</v>
      </c>
      <c r="D2541" t="n">
        <v>0.02455288723006774</v>
      </c>
      <c r="E2541" t="n">
        <v>0.02205788620377181</v>
      </c>
    </row>
    <row r="2542">
      <c r="A2542" t="inlineStr">
        <is>
          <t>G|REV_DEBT x CHANNEL|gco_rate|book|2</t>
        </is>
      </c>
      <c r="B2542" t="n">
        <v>0.4592433907067056</v>
      </c>
      <c r="C2542" t="n">
        <v>0.53231832563879</v>
      </c>
      <c r="D2542" t="n">
        <v>0.5901389411497173</v>
      </c>
      <c r="E2542" t="n">
        <v>0.530170545171316</v>
      </c>
    </row>
    <row r="2543">
      <c r="A2543" t="inlineStr">
        <is>
          <t>G|REV_DEBT x CHANNEL|gco_rate|band|2</t>
        </is>
      </c>
      <c r="B2543" t="n">
        <v>0.8158738876755874</v>
      </c>
      <c r="C2543" t="n">
        <v>1.005991648832148</v>
      </c>
      <c r="D2543" t="n">
        <v>1.18937242465529</v>
      </c>
    </row>
    <row r="2544">
      <c r="A2544" t="inlineStr">
        <is>
          <t>G|REV_DEBT x CHANNEL|gco_rate|rate|3</t>
        </is>
      </c>
      <c r="B2544" t="n">
        <v>0.03333944065158645</v>
      </c>
      <c r="C2544" t="n">
        <v>0.03517259270522886</v>
      </c>
      <c r="D2544" t="n">
        <v>0.0283627258078488</v>
      </c>
      <c r="E2544" t="n">
        <v>0.03228568505980428</v>
      </c>
    </row>
    <row r="2545">
      <c r="A2545" t="inlineStr">
        <is>
          <t>G|REV_DEBT x CHANNEL|gco_rate|book|3</t>
        </is>
      </c>
      <c r="B2545" t="n">
        <v>0.8013274373922495</v>
      </c>
      <c r="C2545" t="n">
        <v>0.8453880157578829</v>
      </c>
      <c r="D2545" t="n">
        <v>0.6817100090724229</v>
      </c>
      <c r="E2545" t="n">
        <v>0.7759999798375476</v>
      </c>
    </row>
    <row r="2546">
      <c r="A2546" t="inlineStr">
        <is>
          <t>G|REV_DEBT x CHANNEL|gco_rate|band|3</t>
        </is>
      </c>
      <c r="B2546" t="n">
        <v>1.049748943539211</v>
      </c>
      <c r="C2546" t="n">
        <v>1.140242696530194</v>
      </c>
      <c r="D2546" t="n">
        <v>0.8279767478132315</v>
      </c>
    </row>
    <row r="2547">
      <c r="A2547" t="inlineStr">
        <is>
          <t>G|REV_DEBT x CHANNEL|gco_rate|rate|4</t>
        </is>
      </c>
      <c r="B2547" t="n">
        <v>0.03262635128397009</v>
      </c>
      <c r="C2547" t="n">
        <v>0.06060609501833374</v>
      </c>
      <c r="D2547" t="n">
        <v>0.06120602536248573</v>
      </c>
      <c r="E2547" t="n">
        <v>0.05162703465623154</v>
      </c>
    </row>
    <row r="2548">
      <c r="A2548" t="inlineStr">
        <is>
          <t>G|REV_DEBT x CHANNEL|gco_rate|book|4</t>
        </is>
      </c>
      <c r="B2548" t="n">
        <v>0.7841880353982186</v>
      </c>
      <c r="C2548" t="n">
        <v>1.456692909725874</v>
      </c>
      <c r="D2548" t="n">
        <v>1.471112487136219</v>
      </c>
      <c r="E2548" t="n">
        <v>1.240877428436109</v>
      </c>
    </row>
    <row r="2549">
      <c r="A2549" t="inlineStr">
        <is>
          <t>G|REV_DEBT x CHANNEL|gco_rate|band|4</t>
        </is>
      </c>
      <c r="B2549" t="n">
        <v>0.5358031863758912</v>
      </c>
      <c r="C2549" t="n">
        <v>1.296039398411383</v>
      </c>
      <c r="D2549" t="n">
        <v>1.299427144320736</v>
      </c>
    </row>
    <row r="2550">
      <c r="A2550" t="inlineStr">
        <is>
          <t>G|REV_DEBT x CHANNEL|gco_rate|rate|5</t>
        </is>
      </c>
      <c r="B2550" t="n">
        <v>0.06603165789890604</v>
      </c>
      <c r="C2550" t="n">
        <v>0.1178634966394626</v>
      </c>
      <c r="D2550" t="n">
        <v>0.06935825632171821</v>
      </c>
      <c r="E2550" t="n">
        <v>0.08359180987333997</v>
      </c>
    </row>
    <row r="2551">
      <c r="A2551" t="inlineStr">
        <is>
          <t>G|REV_DEBT x CHANNEL|gco_rate|book|5</t>
        </is>
      </c>
      <c r="B2551" t="n">
        <v>1.587098588841328</v>
      </c>
      <c r="C2551" t="n">
        <v>2.832898569331467</v>
      </c>
      <c r="D2551" t="n">
        <v>1.667054776986264</v>
      </c>
      <c r="E2551" t="n">
        <v>2.009164205626714</v>
      </c>
    </row>
    <row r="2552">
      <c r="A2552" t="inlineStr">
        <is>
          <t>G|REV_DEBT x CHANNEL|gco_rate|band|5</t>
        </is>
      </c>
      <c r="B2552" t="n">
        <v>0.7160018770911919</v>
      </c>
      <c r="C2552" t="n">
        <v>1.739542244948538</v>
      </c>
      <c r="D2552" t="n">
        <v>0.7587939395703512</v>
      </c>
    </row>
    <row r="2553">
      <c r="A2553" t="inlineStr">
        <is>
          <t>G|REV_DEBT x CHANNEL|gco_rate|rate|6</t>
        </is>
      </c>
      <c r="B2553" t="n">
        <v>0.03403247368482894</v>
      </c>
      <c r="C2553" t="n">
        <v>0.05021215552951191</v>
      </c>
      <c r="D2553" t="n">
        <v>0.04043303389582083</v>
      </c>
      <c r="E2553" t="n">
        <v>0.04160526533333562</v>
      </c>
    </row>
    <row r="2554">
      <c r="A2554" t="inlineStr">
        <is>
          <t>G|REV_DEBT x CHANNEL|gco_rate|book|6</t>
        </is>
      </c>
      <c r="B2554" t="n">
        <v>0.8179847769787177</v>
      </c>
      <c r="C2554" t="n">
        <v>1.206870215277298</v>
      </c>
      <c r="D2554" t="n">
        <v>0.9718249258087153</v>
      </c>
      <c r="E2554" t="n">
        <v>0.9999999999999993</v>
      </c>
    </row>
    <row r="2555">
      <c r="A2555" t="inlineStr">
        <is>
          <t>G|REV_DEBT x CHANNEL|gco_rate|band|6</t>
        </is>
      </c>
    </row>
    <row r="2556">
      <c r="A2556" t="inlineStr">
        <is>
          <t>G|REV_DEBT x CHANNEL|gco_rate|meta</t>
        </is>
      </c>
      <c r="B2556" t="inlineStr">
        <is>
          <t>x</t>
        </is>
      </c>
      <c r="C2556" t="n">
        <v>2.832898569331467</v>
      </c>
      <c r="D2556" t="n">
        <v>10</v>
      </c>
      <c r="E2556" t="n">
        <v>0.04160526533333565</v>
      </c>
      <c r="F2556" t="n">
        <v>30</v>
      </c>
    </row>
    <row r="2557">
      <c r="A2557" t="inlineStr">
        <is>
          <t>G|REV_DEBT x CHANNEL|ranr_rate|rate|1</t>
        </is>
      </c>
      <c r="B2557" t="n">
        <v>0.0962997590522824</v>
      </c>
      <c r="C2557" t="n">
        <v>0.09267325847885684</v>
      </c>
      <c r="D2557" t="n">
        <v>0.1302408045524091</v>
      </c>
      <c r="E2557" t="n">
        <v>0.1064275518897941</v>
      </c>
    </row>
    <row r="2558">
      <c r="A2558" t="inlineStr">
        <is>
          <t>G|REV_DEBT x CHANNEL|ranr_rate|book|1</t>
        </is>
      </c>
      <c r="B2558" t="n">
        <v>-3.16902906</v>
      </c>
      <c r="C2558" t="n">
        <v>-3.531679117</v>
      </c>
      <c r="D2558" t="n">
        <v>0.22507549</v>
      </c>
      <c r="E2558" t="n">
        <v>-2.156249776</v>
      </c>
    </row>
    <row r="2559">
      <c r="A2559" t="inlineStr">
        <is>
          <t>G|REV_DEBT x CHANNEL|ranr_rate|band|1</t>
        </is>
      </c>
      <c r="B2559" t="n">
        <v>-1.495250429</v>
      </c>
      <c r="C2559" t="n">
        <v>-2.091453963</v>
      </c>
      <c r="D2559" t="n">
        <v>3.580797737</v>
      </c>
    </row>
    <row r="2560">
      <c r="A2560" t="inlineStr">
        <is>
          <t>G|REV_DEBT x CHANNEL|ranr_rate|rate|2</t>
        </is>
      </c>
      <c r="B2560" t="n">
        <v>0.1107345143446188</v>
      </c>
      <c r="C2560" t="n">
        <v>0.1098718529447439</v>
      </c>
      <c r="D2560" t="n">
        <v>0.1299060342573901</v>
      </c>
      <c r="E2560" t="n">
        <v>0.1173870194832487</v>
      </c>
    </row>
    <row r="2561">
      <c r="A2561" t="inlineStr">
        <is>
          <t>G|REV_DEBT x CHANNEL|ranr_rate|book|2</t>
        </is>
      </c>
      <c r="B2561" t="n">
        <v>-1.72555353</v>
      </c>
      <c r="C2561" t="n">
        <v>-1.81181967</v>
      </c>
      <c r="D2561" t="n">
        <v>0.191598461</v>
      </c>
      <c r="E2561" t="n">
        <v>-1.060303016</v>
      </c>
    </row>
    <row r="2562">
      <c r="A2562" t="inlineStr">
        <is>
          <t>G|REV_DEBT x CHANNEL|ranr_rate|band|2</t>
        </is>
      </c>
      <c r="B2562" t="n">
        <v>-0.972843367</v>
      </c>
      <c r="C2562" t="n">
        <v>-1.108951884</v>
      </c>
      <c r="D2562" t="n">
        <v>1.960699766</v>
      </c>
    </row>
    <row r="2563">
      <c r="A2563" t="inlineStr">
        <is>
          <t>G|REV_DEBT x CHANNEL|ranr_rate|rate|3</t>
        </is>
      </c>
      <c r="B2563" t="n">
        <v>0.1144817207944326</v>
      </c>
      <c r="C2563" t="n">
        <v>0.1294819789208098</v>
      </c>
      <c r="D2563" t="n">
        <v>0.1501802874866614</v>
      </c>
      <c r="E2563" t="n">
        <v>0.1314047752525825</v>
      </c>
    </row>
    <row r="2564">
      <c r="A2564" t="inlineStr">
        <is>
          <t>G|REV_DEBT x CHANNEL|ranr_rate|book|3</t>
        </is>
      </c>
      <c r="B2564" t="n">
        <v>-1.350832885</v>
      </c>
      <c r="C2564" t="n">
        <v>0.149192927</v>
      </c>
      <c r="D2564" t="n">
        <v>2.219023784</v>
      </c>
      <c r="E2564" t="n">
        <v>0.34147256</v>
      </c>
    </row>
    <row r="2565">
      <c r="A2565" t="inlineStr">
        <is>
          <t>G|REV_DEBT x CHANNEL|ranr_rate|band|3</t>
        </is>
      </c>
      <c r="B2565" t="n">
        <v>-2.537438852</v>
      </c>
      <c r="C2565" t="n">
        <v>-0.288129504</v>
      </c>
      <c r="D2565" t="n">
        <v>2.820297855</v>
      </c>
    </row>
    <row r="2566">
      <c r="A2566" t="inlineStr">
        <is>
          <t>G|REV_DEBT x CHANNEL|ranr_rate|rate|4</t>
        </is>
      </c>
      <c r="B2566" t="n">
        <v>0.1481168382560132</v>
      </c>
      <c r="C2566" t="n">
        <v>0.1259112359240815</v>
      </c>
      <c r="D2566" t="n">
        <v>0.1445120007409815</v>
      </c>
      <c r="E2566" t="n">
        <v>0.1391575039086779</v>
      </c>
    </row>
    <row r="2567">
      <c r="A2567" t="inlineStr">
        <is>
          <t>G|REV_DEBT x CHANNEL|ranr_rate|book|4</t>
        </is>
      </c>
      <c r="B2567" t="n">
        <v>2.012678861</v>
      </c>
      <c r="C2567" t="n">
        <v>-0.207881372</v>
      </c>
      <c r="D2567" t="n">
        <v>1.652195109</v>
      </c>
      <c r="E2567" t="n">
        <v>1.116745426</v>
      </c>
    </row>
    <row r="2568">
      <c r="A2568" t="inlineStr">
        <is>
          <t>G|REV_DEBT x CHANNEL|ranr_rate|band|4</t>
        </is>
      </c>
      <c r="B2568" t="n">
        <v>1.332821206</v>
      </c>
      <c r="C2568" t="n">
        <v>-2.042256361</v>
      </c>
      <c r="D2568" t="n">
        <v>0.788374059</v>
      </c>
    </row>
    <row r="2569">
      <c r="A2569" t="inlineStr">
        <is>
          <t>G|REV_DEBT x CHANNEL|ranr_rate|rate|5</t>
        </is>
      </c>
      <c r="B2569" t="n">
        <v>0.1592857260166891</v>
      </c>
      <c r="C2569" t="n">
        <v>0.106832446765482</v>
      </c>
      <c r="D2569" t="n">
        <v>0.1691501091829541</v>
      </c>
      <c r="E2569" t="n">
        <v>0.1462043045948438</v>
      </c>
    </row>
    <row r="2570">
      <c r="A2570" t="inlineStr">
        <is>
          <t>G|REV_DEBT x CHANNEL|ranr_rate|book|5</t>
        </is>
      </c>
      <c r="B2570" t="n">
        <v>3.129567637</v>
      </c>
      <c r="C2570" t="n">
        <v>-2.115760288</v>
      </c>
      <c r="D2570" t="n">
        <v>4.116005953</v>
      </c>
      <c r="E2570" t="n">
        <v>1.821425495</v>
      </c>
    </row>
    <row r="2571">
      <c r="A2571" t="inlineStr">
        <is>
          <t>G|REV_DEBT x CHANNEL|ranr_rate|band|5</t>
        </is>
      </c>
      <c r="B2571" t="n">
        <v>1.951102911</v>
      </c>
      <c r="C2571" t="n">
        <v>-5.756490028</v>
      </c>
      <c r="D2571" t="n">
        <v>3.554286887</v>
      </c>
    </row>
    <row r="2572">
      <c r="A2572" t="inlineStr">
        <is>
          <t>G|REV_DEBT x CHANNEL|ranr_rate|rate|6</t>
        </is>
      </c>
      <c r="B2572" t="n">
        <v>0.1257424641427197</v>
      </c>
      <c r="C2572" t="n">
        <v>0.1130333511764385</v>
      </c>
      <c r="D2572" t="n">
        <v>0.1447377923020619</v>
      </c>
      <c r="E2572" t="n">
        <v>0.1279900496481476</v>
      </c>
    </row>
    <row r="2573">
      <c r="A2573" t="inlineStr">
        <is>
          <t>G|REV_DEBT x CHANNEL|ranr_rate|book|6</t>
        </is>
      </c>
      <c r="B2573" t="n">
        <v>-0.224758551</v>
      </c>
      <c r="C2573" t="n">
        <v>-1.495669847</v>
      </c>
      <c r="D2573" t="n">
        <v>1.674774265</v>
      </c>
      <c r="E2573" t="n">
        <v>0</v>
      </c>
    </row>
    <row r="2574">
      <c r="A2574" t="inlineStr">
        <is>
          <t>G|REV_DEBT x CHANNEL|ranr_rate|band|6</t>
        </is>
      </c>
    </row>
    <row r="2575">
      <c r="A2575" t="inlineStr">
        <is>
          <t>G|REV_DEBT x CHANNEL|ranr_rate|meta</t>
        </is>
      </c>
      <c r="B2575" t="inlineStr">
        <is>
          <t>pts</t>
        </is>
      </c>
      <c r="C2575" t="n">
        <v>5.756490028</v>
      </c>
      <c r="D2575" t="n">
        <v>10</v>
      </c>
      <c r="E2575" t="n">
        <v>0.1279900496481481</v>
      </c>
      <c r="F2575" t="n">
        <v>30</v>
      </c>
    </row>
    <row r="2576">
      <c r="A2576" t="inlineStr">
        <is>
          <t>G|REV_DEBT x CHANNEL|contribution_rate|rate|1</t>
        </is>
      </c>
      <c r="B2576" t="n">
        <v>0.1151035733923221</v>
      </c>
      <c r="C2576" t="n">
        <v>0.1124083121304476</v>
      </c>
      <c r="D2576" t="n">
        <v>0.1503525657937299</v>
      </c>
      <c r="E2576" t="n">
        <v>0.1259883104414733</v>
      </c>
    </row>
    <row r="2577">
      <c r="A2577" t="inlineStr">
        <is>
          <t>G|REV_DEBT x CHANNEL|contribution_rate|book|1</t>
        </is>
      </c>
      <c r="B2577" t="n">
        <v>-5.448888234</v>
      </c>
      <c r="C2577" t="n">
        <v>-5.71841436</v>
      </c>
      <c r="D2577" t="n">
        <v>-1.923988994</v>
      </c>
      <c r="E2577" t="n">
        <v>-4.360414529</v>
      </c>
    </row>
    <row r="2578">
      <c r="A2578" t="inlineStr">
        <is>
          <t>G|REV_DEBT x CHANNEL|contribution_rate|band|1</t>
        </is>
      </c>
      <c r="B2578" t="n">
        <v>-1.607004409</v>
      </c>
      <c r="C2578" t="n">
        <v>-2.064950953</v>
      </c>
      <c r="D2578" t="n">
        <v>3.663651986</v>
      </c>
    </row>
    <row r="2579">
      <c r="A2579" t="inlineStr">
        <is>
          <t>G|REV_DEBT x CHANNEL|contribution_rate|rate|2</t>
        </is>
      </c>
      <c r="B2579" t="n">
        <v>0.1297538313420601</v>
      </c>
      <c r="C2579" t="n">
        <v>0.1320190981247428</v>
      </c>
      <c r="D2579" t="n">
        <v>0.1544589214874577</v>
      </c>
      <c r="E2579" t="n">
        <v>0.1394223794805455</v>
      </c>
    </row>
    <row r="2580">
      <c r="A2580" t="inlineStr">
        <is>
          <t>G|REV_DEBT x CHANNEL|contribution_rate|book|2</t>
        </is>
      </c>
      <c r="B2580" t="n">
        <v>-3.983862439</v>
      </c>
      <c r="C2580" t="n">
        <v>-3.757335761</v>
      </c>
      <c r="D2580" t="n">
        <v>-1.513353425</v>
      </c>
      <c r="E2580" t="n">
        <v>-3.017007625</v>
      </c>
    </row>
    <row r="2581">
      <c r="A2581" t="inlineStr">
        <is>
          <t>G|REV_DEBT x CHANNEL|contribution_rate|band|2</t>
        </is>
      </c>
      <c r="B2581" t="n">
        <v>-1.412810753</v>
      </c>
      <c r="C2581" t="n">
        <v>-1.092842962</v>
      </c>
      <c r="D2581" t="n">
        <v>2.356018449</v>
      </c>
    </row>
    <row r="2582">
      <c r="A2582" t="inlineStr">
        <is>
          <t>G|REV_DEBT x CHANNEL|contribution_rate|rate|3</t>
        </is>
      </c>
      <c r="B2582" t="n">
        <v>0.147821161446019</v>
      </c>
      <c r="C2582" t="n">
        <v>0.1646545716260387</v>
      </c>
      <c r="D2582" t="n">
        <v>0.1785430132945102</v>
      </c>
      <c r="E2582" t="n">
        <v>0.1636904603123867</v>
      </c>
    </row>
    <row r="2583">
      <c r="A2583" t="inlineStr">
        <is>
          <t>G|REV_DEBT x CHANNEL|contribution_rate|book|3</t>
        </is>
      </c>
      <c r="B2583" t="n">
        <v>-2.177129429</v>
      </c>
      <c r="C2583" t="n">
        <v>-0.493788411</v>
      </c>
      <c r="D2583" t="n">
        <v>0.895055756</v>
      </c>
      <c r="E2583" t="n">
        <v>-0.590199542</v>
      </c>
    </row>
    <row r="2584">
      <c r="A2584" t="inlineStr">
        <is>
          <t>G|REV_DEBT x CHANNEL|contribution_rate|band|3</t>
        </is>
      </c>
      <c r="B2584" t="n">
        <v>-2.379438984</v>
      </c>
      <c r="C2584" t="n">
        <v>0.144471315</v>
      </c>
      <c r="D2584" t="n">
        <v>2.231024261</v>
      </c>
    </row>
    <row r="2585">
      <c r="A2585" t="inlineStr">
        <is>
          <t>G|REV_DEBT x CHANNEL|contribution_rate|rate|4</t>
        </is>
      </c>
      <c r="B2585" t="n">
        <v>0.1807431895399833</v>
      </c>
      <c r="C2585" t="n">
        <v>0.1865173309424153</v>
      </c>
      <c r="D2585" t="n">
        <v>0.2057180261034673</v>
      </c>
      <c r="E2585" t="n">
        <v>0.1907845385649094</v>
      </c>
    </row>
    <row r="2586">
      <c r="A2586" t="inlineStr">
        <is>
          <t>G|REV_DEBT x CHANNEL|contribution_rate|book|4</t>
        </is>
      </c>
      <c r="B2586" t="n">
        <v>1.115073381</v>
      </c>
      <c r="C2586" t="n">
        <v>1.692487521</v>
      </c>
      <c r="D2586" t="n">
        <v>3.612557037</v>
      </c>
      <c r="E2586" t="n">
        <v>2.119208283</v>
      </c>
    </row>
    <row r="2587">
      <c r="A2587" t="inlineStr">
        <is>
          <t>G|REV_DEBT x CHANNEL|contribution_rate|band|4</t>
        </is>
      </c>
      <c r="B2587" t="n">
        <v>-1.493785408</v>
      </c>
      <c r="C2587" t="n">
        <v>-0.657900921</v>
      </c>
      <c r="D2587" t="n">
        <v>2.198745196</v>
      </c>
    </row>
    <row r="2588">
      <c r="A2588" t="inlineStr">
        <is>
          <t>G|REV_DEBT x CHANNEL|contribution_rate|rate|5</t>
        </is>
      </c>
      <c r="B2588" t="n">
        <v>0.2253173839155952</v>
      </c>
      <c r="C2588" t="n">
        <v>0.2246959434049446</v>
      </c>
      <c r="D2588" t="n">
        <v>0.2385083655046723</v>
      </c>
      <c r="E2588" t="n">
        <v>0.2297961144681838</v>
      </c>
    </row>
    <row r="2589">
      <c r="A2589" t="inlineStr">
        <is>
          <t>G|REV_DEBT x CHANNEL|contribution_rate|book|5</t>
        </is>
      </c>
      <c r="B2589" t="n">
        <v>5.572492818</v>
      </c>
      <c r="C2589" t="n">
        <v>5.510348767</v>
      </c>
      <c r="D2589" t="n">
        <v>6.891590977</v>
      </c>
      <c r="E2589" t="n">
        <v>6.020365873</v>
      </c>
    </row>
    <row r="2590">
      <c r="A2590" t="inlineStr">
        <is>
          <t>G|REV_DEBT x CHANNEL|contribution_rate|band|5</t>
        </is>
      </c>
      <c r="B2590" t="n">
        <v>-0.6680057109999999</v>
      </c>
      <c r="C2590" t="n">
        <v>-0.7456870330000001</v>
      </c>
      <c r="D2590" t="n">
        <v>1.349520759</v>
      </c>
    </row>
    <row r="2591">
      <c r="A2591" t="inlineStr">
        <is>
          <t>G|REV_DEBT x CHANNEL|contribution_rate|rate|6</t>
        </is>
      </c>
      <c r="B2591" t="n">
        <v>0.1597650989343295</v>
      </c>
      <c r="C2591" t="n">
        <v>0.1632455067059504</v>
      </c>
      <c r="D2591" t="n">
        <v>0.1851708261978827</v>
      </c>
      <c r="E2591" t="n">
        <v>0.1695924557349811</v>
      </c>
    </row>
    <row r="2592">
      <c r="A2592" t="inlineStr">
        <is>
          <t>G|REV_DEBT x CHANNEL|contribution_rate|book|6</t>
        </is>
      </c>
      <c r="B2592" t="n">
        <v>-0.98273568</v>
      </c>
      <c r="C2592" t="n">
        <v>-0.634694903</v>
      </c>
      <c r="D2592" t="n">
        <v>1.557837046</v>
      </c>
      <c r="E2592" t="n">
        <v>0</v>
      </c>
    </row>
    <row r="2593">
      <c r="A2593" t="inlineStr">
        <is>
          <t>G|REV_DEBT x CHANNEL|contribution_rate|band|6</t>
        </is>
      </c>
    </row>
    <row r="2594">
      <c r="A2594" t="inlineStr">
        <is>
          <t>G|REV_DEBT x CHANNEL|contribution_rate|meta</t>
        </is>
      </c>
      <c r="B2594" t="inlineStr">
        <is>
          <t>pts</t>
        </is>
      </c>
      <c r="C2594" t="n">
        <v>6.891590977</v>
      </c>
      <c r="D2594" t="n">
        <v>10</v>
      </c>
      <c r="E2594" t="n">
        <v>0.1695924557349815</v>
      </c>
      <c r="F2594" t="n">
        <v>30</v>
      </c>
    </row>
    <row r="2595">
      <c r="A2595" t="inlineStr">
        <is>
          <t>G|REV_DEBT x CHANNEL|loan_size|rate|1</t>
        </is>
      </c>
      <c r="B2595" t="n">
        <v>32394.99457854407</v>
      </c>
      <c r="C2595" t="n">
        <v>33103.30583025831</v>
      </c>
      <c r="D2595" t="n">
        <v>32690.9253631285</v>
      </c>
      <c r="E2595" t="n">
        <v>32734.04487820113</v>
      </c>
    </row>
    <row r="2596">
      <c r="A2596" t="inlineStr">
        <is>
          <t>G|REV_DEBT x CHANNEL|loan_size|median|1</t>
        </is>
      </c>
      <c r="B2596" t="n">
        <v>32356.345</v>
      </c>
      <c r="C2596" t="n">
        <v>32770.425</v>
      </c>
      <c r="D2596" t="n">
        <v>32328.88</v>
      </c>
      <c r="E2596" t="n">
        <v>32575.46</v>
      </c>
    </row>
    <row r="2597">
      <c r="A2597" t="inlineStr">
        <is>
          <t>G|REV_DEBT x CHANNEL|loan_size|book|1</t>
        </is>
      </c>
      <c r="B2597" t="n">
        <v>1.00410401046725</v>
      </c>
      <c r="C2597" t="n">
        <v>1.026058580232061</v>
      </c>
      <c r="D2597" t="n">
        <v>1.013276578374353</v>
      </c>
      <c r="E2597" t="n">
        <v>1.014613095900505</v>
      </c>
    </row>
    <row r="2598">
      <c r="A2598" t="inlineStr">
        <is>
          <t>G|REV_DEBT x CHANNEL|loan_size|band|1</t>
        </is>
      </c>
      <c r="B2598" t="n">
        <v>0.9847080247880988</v>
      </c>
      <c r="C2598" t="n">
        <v>1.0171531441151</v>
      </c>
      <c r="D2598" t="n">
        <v>0.998019224457388</v>
      </c>
    </row>
    <row r="2599">
      <c r="A2599" t="inlineStr">
        <is>
          <t>G|REV_DEBT x CHANNEL|loan_size|rate|2</t>
        </is>
      </c>
      <c r="B2599" t="n">
        <v>31661.33968871595</v>
      </c>
      <c r="C2599" t="n">
        <v>31842.41644913628</v>
      </c>
      <c r="D2599" t="n">
        <v>32932.31065486726</v>
      </c>
      <c r="E2599" t="n">
        <v>32169.11443125</v>
      </c>
    </row>
    <row r="2600">
      <c r="A2600" t="inlineStr">
        <is>
          <t>G|REV_DEBT x CHANNEL|loan_size|median|2</t>
        </is>
      </c>
      <c r="B2600" t="n">
        <v>29950.145</v>
      </c>
      <c r="C2600" t="n">
        <v>31928.12</v>
      </c>
      <c r="D2600" t="n">
        <v>33660.52</v>
      </c>
      <c r="E2600" t="n">
        <v>31889.65</v>
      </c>
    </row>
    <row r="2601">
      <c r="A2601" t="inlineStr">
        <is>
          <t>G|REV_DEBT x CHANNEL|loan_size|book|2</t>
        </is>
      </c>
      <c r="B2601" t="n">
        <v>0.9813638980900361</v>
      </c>
      <c r="C2601" t="n">
        <v>0.9869764905200064</v>
      </c>
      <c r="D2601" t="n">
        <v>1.020758473113216</v>
      </c>
      <c r="E2601" t="n">
        <v>0.9971027078051057</v>
      </c>
    </row>
    <row r="2602">
      <c r="A2602" t="inlineStr">
        <is>
          <t>G|REV_DEBT x CHANNEL|loan_size|band|2</t>
        </is>
      </c>
      <c r="B2602" t="n">
        <v>0.9769171360225358</v>
      </c>
      <c r="C2602" t="n">
        <v>0.9850141479569707</v>
      </c>
      <c r="D2602" t="n">
        <v>1.037156778381539</v>
      </c>
    </row>
    <row r="2603">
      <c r="A2603" t="inlineStr">
        <is>
          <t>G|REV_DEBT x CHANNEL|loan_size|rate|3</t>
        </is>
      </c>
      <c r="B2603" t="n">
        <v>32140.95837037037</v>
      </c>
      <c r="C2603" t="n">
        <v>32584.80052631579</v>
      </c>
      <c r="D2603" t="n">
        <v>33115.94606463878</v>
      </c>
      <c r="E2603" t="n">
        <v>32609.64895494368</v>
      </c>
    </row>
    <row r="2604">
      <c r="A2604" t="inlineStr">
        <is>
          <t>G|REV_DEBT x CHANNEL|loan_size|median|3</t>
        </is>
      </c>
      <c r="B2604" t="n">
        <v>32249.155</v>
      </c>
      <c r="C2604" t="n">
        <v>33001.61500000001</v>
      </c>
      <c r="D2604" t="n">
        <v>33741.52</v>
      </c>
      <c r="E2604" t="n">
        <v>33070.265</v>
      </c>
    </row>
    <row r="2605">
      <c r="A2605" t="inlineStr">
        <is>
          <t>G|REV_DEBT x CHANNEL|loan_size|book|3</t>
        </is>
      </c>
      <c r="B2605" t="n">
        <v>0.996229992312604</v>
      </c>
      <c r="C2605" t="n">
        <v>1.009987169759221</v>
      </c>
      <c r="D2605" t="n">
        <v>1.026450372550591</v>
      </c>
      <c r="E2605" t="n">
        <v>1.01075736303024</v>
      </c>
    </row>
    <row r="2606">
      <c r="A2606" t="inlineStr">
        <is>
          <t>G|REV_DEBT x CHANNEL|loan_size|band|3</t>
        </is>
      </c>
      <c r="B2606" t="n">
        <v>0.9784495204419931</v>
      </c>
      <c r="C2606" t="n">
        <v>0.9988581547409821</v>
      </c>
      <c r="D2606" t="n">
        <v>1.023321823660972</v>
      </c>
    </row>
    <row r="2607">
      <c r="A2607" t="inlineStr">
        <is>
          <t>G|REV_DEBT x CHANNEL|loan_size|rate|4</t>
        </is>
      </c>
      <c r="B2607" t="n">
        <v>32028.68954285714</v>
      </c>
      <c r="C2607" t="n">
        <v>32596.08267631103</v>
      </c>
      <c r="D2607" t="n">
        <v>31527.4130651341</v>
      </c>
      <c r="E2607" t="n">
        <v>32061.25334375</v>
      </c>
    </row>
    <row r="2608">
      <c r="A2608" t="inlineStr">
        <is>
          <t>G|REV_DEBT x CHANNEL|loan_size|median|4</t>
        </is>
      </c>
      <c r="B2608" t="n">
        <v>31530.48</v>
      </c>
      <c r="C2608" t="n">
        <v>33138.76</v>
      </c>
      <c r="D2608" t="n">
        <v>30838.21</v>
      </c>
      <c r="E2608" t="n">
        <v>31755.875</v>
      </c>
    </row>
    <row r="2609">
      <c r="A2609" t="inlineStr">
        <is>
          <t>G|REV_DEBT x CHANNEL|loan_size|book|4</t>
        </is>
      </c>
      <c r="B2609" t="n">
        <v>0.9927501466937643</v>
      </c>
      <c r="C2609" t="n">
        <v>1.010336867365419</v>
      </c>
      <c r="D2609" t="n">
        <v>0.9772127549397931</v>
      </c>
      <c r="E2609" t="n">
        <v>0.993759482966172</v>
      </c>
    </row>
    <row r="2610">
      <c r="A2610" t="inlineStr">
        <is>
          <t>G|REV_DEBT x CHANNEL|loan_size|band|4</t>
        </is>
      </c>
      <c r="B2610" t="n">
        <v>0.9984890477325312</v>
      </c>
      <c r="C2610" t="n">
        <v>1.025718843898884</v>
      </c>
      <c r="D2610" t="n">
        <v>0.975484288476766</v>
      </c>
    </row>
    <row r="2611">
      <c r="A2611" t="inlineStr">
        <is>
          <t>G|REV_DEBT x CHANNEL|loan_size|rate|5</t>
        </is>
      </c>
      <c r="B2611" t="n">
        <v>31875.60937142857</v>
      </c>
      <c r="C2611" t="n">
        <v>31655.78725838264</v>
      </c>
      <c r="D2611" t="n">
        <v>31687.06628521127</v>
      </c>
      <c r="E2611" t="n">
        <v>31739.02044375</v>
      </c>
    </row>
    <row r="2612">
      <c r="A2612" t="inlineStr">
        <is>
          <t>G|REV_DEBT x CHANNEL|loan_size|median|5</t>
        </is>
      </c>
      <c r="B2612" t="n">
        <v>31262.03</v>
      </c>
      <c r="C2612" t="n">
        <v>31426.19</v>
      </c>
      <c r="D2612" t="n">
        <v>31300.775</v>
      </c>
      <c r="E2612" t="n">
        <v>31332.515</v>
      </c>
    </row>
    <row r="2613">
      <c r="A2613" t="inlineStr">
        <is>
          <t>G|REV_DEBT x CHANNEL|loan_size|book|5</t>
        </is>
      </c>
      <c r="B2613" t="n">
        <v>0.9880053268209976</v>
      </c>
      <c r="C2613" t="n">
        <v>0.9811917968861912</v>
      </c>
      <c r="D2613" t="n">
        <v>0.9821613107475373</v>
      </c>
      <c r="E2613" t="n">
        <v>0.9837716638168275</v>
      </c>
    </row>
    <row r="2614">
      <c r="A2614" t="inlineStr">
        <is>
          <t>G|REV_DEBT x CHANNEL|loan_size|band|5</t>
        </is>
      </c>
      <c r="B2614" t="n">
        <v>1.006418702048096</v>
      </c>
      <c r="C2614" t="n">
        <v>0.9961657992750204</v>
      </c>
      <c r="D2614" t="n">
        <v>0.9974644277805511</v>
      </c>
    </row>
    <row r="2615">
      <c r="A2615" t="inlineStr">
        <is>
          <t>G|REV_DEBT x CHANNEL|loan_size|rate|6</t>
        </is>
      </c>
      <c r="B2615" t="n">
        <v>32022.08309977152</v>
      </c>
      <c r="C2615" t="n">
        <v>32369.91430131827</v>
      </c>
      <c r="D2615" t="n">
        <v>32390.11528329654</v>
      </c>
      <c r="E2615" t="n">
        <v>32262.58857732217</v>
      </c>
    </row>
    <row r="2616">
      <c r="A2616" t="inlineStr">
        <is>
          <t>G|REV_DEBT x CHANNEL|loan_size|median|6</t>
        </is>
      </c>
      <c r="B2616" t="n">
        <v>31587.98</v>
      </c>
      <c r="C2616" t="n">
        <v>32609.4</v>
      </c>
      <c r="D2616" t="n">
        <v>32036.465</v>
      </c>
      <c r="E2616" t="n">
        <v>32112.83</v>
      </c>
    </row>
    <row r="2617">
      <c r="A2617" t="inlineStr">
        <is>
          <t>G|REV_DEBT x CHANNEL|loan_size|book|6</t>
        </is>
      </c>
      <c r="B2617" t="n">
        <v>0.9925453756764048</v>
      </c>
      <c r="C2617" t="n">
        <v>1.003326630897545</v>
      </c>
      <c r="D2617" t="n">
        <v>1.003952773524937</v>
      </c>
      <c r="E2617" t="n">
        <v>1</v>
      </c>
    </row>
    <row r="2618">
      <c r="A2618" t="inlineStr">
        <is>
          <t>G|REV_DEBT x CHANNEL|loan_size|band|6</t>
        </is>
      </c>
    </row>
    <row r="2619">
      <c r="A2619" t="inlineStr">
        <is>
          <t>G|REV_DEBT x CHANNEL|loan_size|meta</t>
        </is>
      </c>
      <c r="B2619" t="inlineStr">
        <is>
          <t>size</t>
        </is>
      </c>
      <c r="C2619" t="n">
        <v>1</v>
      </c>
      <c r="E2619" t="n">
        <v>32262.58857732217</v>
      </c>
      <c r="F2619" t="n">
        <v>30</v>
      </c>
    </row>
    <row r="2620">
      <c r="A2620" t="inlineStr">
        <is>
          <t>G|REV_DEBT x CHANNEL|where 2021|cols</t>
        </is>
      </c>
      <c r="B2620" t="inlineStr">
        <is>
          <t>Branch</t>
        </is>
      </c>
      <c r="C2620" t="inlineStr">
        <is>
          <t>Broker</t>
        </is>
      </c>
      <c r="D2620" t="inlineStr">
        <is>
          <t>Online</t>
        </is>
      </c>
      <c r="E2620" t="inlineStr">
        <is>
          <t>All</t>
        </is>
      </c>
    </row>
    <row r="2621">
      <c r="A2621" t="inlineStr">
        <is>
          <t>G|REV_DEBT x CHANNEL|where 2021|heads</t>
        </is>
      </c>
      <c r="B2621" t="inlineStr">
        <is>
          <t>Branch</t>
        </is>
      </c>
      <c r="C2621" t="inlineStr">
        <is>
          <t>Broker</t>
        </is>
      </c>
      <c r="D2621" t="inlineStr">
        <is>
          <t>Online</t>
        </is>
      </c>
      <c r="E2621" t="inlineStr">
        <is>
          <t>All</t>
        </is>
      </c>
    </row>
    <row r="2622">
      <c r="A2622" t="inlineStr">
        <is>
          <t>G|REV_DEBT x CHANNEL|where 2021|segs</t>
        </is>
      </c>
    </row>
    <row r="2623">
      <c r="A2623" t="inlineStr">
        <is>
          <t>G|REV_DEBT x CHANNEL|where 2021|rows</t>
        </is>
      </c>
      <c r="B2623" t="inlineStr">
        <is>
          <t>0 - 6,558</t>
        </is>
      </c>
      <c r="C2623" t="inlineStr">
        <is>
          <t>6,559 - 9,836</t>
        </is>
      </c>
      <c r="D2623" t="inlineStr">
        <is>
          <t>9,837 - 13,051</t>
        </is>
      </c>
      <c r="E2623" t="inlineStr">
        <is>
          <t>13,052 - 17,186</t>
        </is>
      </c>
      <c r="F2623" t="inlineStr">
        <is>
          <t>17,187 - 48,521</t>
        </is>
      </c>
      <c r="G2623" t="inlineStr">
        <is>
          <t>All</t>
        </is>
      </c>
    </row>
    <row r="2624">
      <c r="A2624" t="inlineStr">
        <is>
          <t>G|REV_DEBT x CHANNEL|where 2021|names</t>
        </is>
      </c>
      <c r="B2624" t="inlineStr">
        <is>
          <t>REV_DEBT</t>
        </is>
      </c>
      <c r="C2624" t="inlineStr">
        <is>
          <t>CHANNEL</t>
        </is>
      </c>
    </row>
    <row r="2625">
      <c r="A2625" t="inlineStr">
        <is>
          <t>G|REV_DEBT x CHANNEL|where 2021|total</t>
        </is>
      </c>
      <c r="B2625" t="n">
        <v>839</v>
      </c>
    </row>
    <row r="2626">
      <c r="A2626" t="inlineStr">
        <is>
          <t>G|REV_DEBT x CHANNEL|where 2021|loans|1</t>
        </is>
      </c>
      <c r="B2626" t="n">
        <v>57</v>
      </c>
      <c r="C2626" t="n">
        <v>57</v>
      </c>
      <c r="D2626" t="n">
        <v>60</v>
      </c>
      <c r="E2626" t="n">
        <v>174</v>
      </c>
    </row>
    <row r="2627">
      <c r="A2627" t="inlineStr">
        <is>
          <t>G|REV_DEBT x CHANNEL|where 2021|loans|2</t>
        </is>
      </c>
      <c r="B2627" t="n">
        <v>63</v>
      </c>
      <c r="C2627" t="n">
        <v>52</v>
      </c>
      <c r="D2627" t="n">
        <v>58</v>
      </c>
      <c r="E2627" t="n">
        <v>173</v>
      </c>
    </row>
    <row r="2628">
      <c r="A2628" t="inlineStr">
        <is>
          <t>G|REV_DEBT x CHANNEL|where 2021|loans|3</t>
        </is>
      </c>
      <c r="B2628" t="n">
        <v>47</v>
      </c>
      <c r="C2628" t="n">
        <v>70</v>
      </c>
      <c r="D2628" t="n">
        <v>62</v>
      </c>
      <c r="E2628" t="n">
        <v>179</v>
      </c>
    </row>
    <row r="2629">
      <c r="A2629" t="inlineStr">
        <is>
          <t>G|REV_DEBT x CHANNEL|where 2021|loans|4</t>
        </is>
      </c>
      <c r="B2629" t="n">
        <v>54</v>
      </c>
      <c r="C2629" t="n">
        <v>56</v>
      </c>
      <c r="D2629" t="n">
        <v>53</v>
      </c>
      <c r="E2629" t="n">
        <v>163</v>
      </c>
    </row>
    <row r="2630">
      <c r="A2630" t="inlineStr">
        <is>
          <t>G|REV_DEBT x CHANNEL|where 2021|loans|5</t>
        </is>
      </c>
      <c r="B2630" t="n">
        <v>51</v>
      </c>
      <c r="C2630" t="n">
        <v>51</v>
      </c>
      <c r="D2630" t="n">
        <v>48</v>
      </c>
      <c r="E2630" t="n">
        <v>150</v>
      </c>
    </row>
    <row r="2631">
      <c r="A2631" t="inlineStr">
        <is>
          <t>G|REV_DEBT x CHANNEL|where 2021|loans|6</t>
        </is>
      </c>
      <c r="B2631" t="n">
        <v>272</v>
      </c>
      <c r="C2631" t="n">
        <v>286</v>
      </c>
      <c r="D2631" t="n">
        <v>281</v>
      </c>
      <c r="E2631" t="n">
        <v>839</v>
      </c>
    </row>
    <row r="2632">
      <c r="A2632" t="inlineStr">
        <is>
          <t>G|REV_DEBT x CHANNEL|where 2021|outcome_loans|rate|1</t>
        </is>
      </c>
      <c r="B2632" t="n">
        <v>0.01754385964912281</v>
      </c>
      <c r="C2632" t="n">
        <v>0.05263157894736842</v>
      </c>
      <c r="D2632" t="n">
        <v>0.05</v>
      </c>
      <c r="E2632" t="n">
        <v>0.04022988505747126</v>
      </c>
    </row>
    <row r="2633">
      <c r="A2633" t="inlineStr">
        <is>
          <t>G|REV_DEBT x CHANNEL|where 2021|outcome_loans|book|1</t>
        </is>
      </c>
    </row>
    <row r="2634">
      <c r="A2634" t="inlineStr">
        <is>
          <t>G|REV_DEBT x CHANNEL|where 2021|outcome_loans|band|1</t>
        </is>
      </c>
    </row>
    <row r="2635">
      <c r="A2635" t="inlineStr">
        <is>
          <t>G|REV_DEBT x CHANNEL|where 2021|outcome_loans|rate|2</t>
        </is>
      </c>
      <c r="B2635" t="n">
        <v>0.06349206349206349</v>
      </c>
      <c r="C2635" t="n">
        <v>0.01923076923076923</v>
      </c>
      <c r="D2635" t="n">
        <v>0.08620689655172414</v>
      </c>
      <c r="E2635" t="n">
        <v>0.05780346820809248</v>
      </c>
    </row>
    <row r="2636">
      <c r="A2636" t="inlineStr">
        <is>
          <t>G|REV_DEBT x CHANNEL|where 2021|outcome_loans|book|2</t>
        </is>
      </c>
      <c r="E2636" t="n">
        <v>0.7469627499136215</v>
      </c>
    </row>
    <row r="2637">
      <c r="A2637" t="inlineStr">
        <is>
          <t>G|REV_DEBT x CHANNEL|where 2021|outcome_loans|band|2</t>
        </is>
      </c>
    </row>
    <row r="2638">
      <c r="A2638" t="inlineStr">
        <is>
          <t>G|REV_DEBT x CHANNEL|where 2021|outcome_loans|rate|3</t>
        </is>
      </c>
      <c r="B2638" t="n">
        <v>0.02127659574468085</v>
      </c>
      <c r="C2638" t="n">
        <v>0.05714285714285714</v>
      </c>
      <c r="D2638" t="n">
        <v>0.01612903225806452</v>
      </c>
      <c r="E2638" t="n">
        <v>0.0335195530726257</v>
      </c>
    </row>
    <row r="2639">
      <c r="A2639" t="inlineStr">
        <is>
          <t>G|REV_DEBT x CHANNEL|where 2021|outcome_loans|book|3</t>
        </is>
      </c>
    </row>
    <row r="2640">
      <c r="A2640" t="inlineStr">
        <is>
          <t>G|REV_DEBT x CHANNEL|where 2021|outcome_loans|band|3</t>
        </is>
      </c>
    </row>
    <row r="2641">
      <c r="A2641" t="inlineStr">
        <is>
          <t>G|REV_DEBT x CHANNEL|where 2021|outcome_loans|rate|4</t>
        </is>
      </c>
      <c r="B2641" t="n">
        <v>0.05555555555555555</v>
      </c>
      <c r="C2641" t="n">
        <v>0.05357142857142857</v>
      </c>
      <c r="D2641" t="n">
        <v>0.09433962264150944</v>
      </c>
      <c r="E2641" t="n">
        <v>0.06748466257668712</v>
      </c>
    </row>
    <row r="2642">
      <c r="A2642" t="inlineStr">
        <is>
          <t>G|REV_DEBT x CHANNEL|where 2021|outcome_loans|book|4</t>
        </is>
      </c>
      <c r="E2642" t="n">
        <v>0.8720675540402588</v>
      </c>
    </row>
    <row r="2643">
      <c r="A2643" t="inlineStr">
        <is>
          <t>G|REV_DEBT x CHANNEL|where 2021|outcome_loans|band|4</t>
        </is>
      </c>
    </row>
    <row r="2644">
      <c r="A2644" t="inlineStr">
        <is>
          <t>G|REV_DEBT x CHANNEL|where 2021|outcome_loans|rate|5</t>
        </is>
      </c>
      <c r="B2644" t="n">
        <v>0.1176470588235294</v>
      </c>
      <c r="C2644" t="n">
        <v>0.2941176470588235</v>
      </c>
      <c r="D2644" t="n">
        <v>0.1041666666666667</v>
      </c>
      <c r="E2644" t="n">
        <v>0.1733333333333333</v>
      </c>
    </row>
    <row r="2645">
      <c r="A2645" t="inlineStr">
        <is>
          <t>G|REV_DEBT x CHANNEL|where 2021|outcome_loans|book|5</t>
        </is>
      </c>
      <c r="C2645" t="n">
        <v>3.800722227501663</v>
      </c>
      <c r="E2645" t="n">
        <v>2.239892299407647</v>
      </c>
    </row>
    <row r="2646">
      <c r="A2646" t="inlineStr">
        <is>
          <t>G|REV_DEBT x CHANNEL|where 2021|outcome_loans|band|5</t>
        </is>
      </c>
      <c r="C2646" t="n">
        <v>2.647058823529412</v>
      </c>
    </row>
    <row r="2647">
      <c r="A2647" t="inlineStr">
        <is>
          <t>G|REV_DEBT x CHANNEL|where 2021|outcome_loans|rate|6</t>
        </is>
      </c>
      <c r="B2647" t="n">
        <v>0.05514705882352941</v>
      </c>
      <c r="C2647" t="n">
        <v>0.09090909090909091</v>
      </c>
      <c r="D2647" t="n">
        <v>0.06761565836298933</v>
      </c>
      <c r="E2647" t="n">
        <v>0.07151370679380215</v>
      </c>
    </row>
    <row r="2648">
      <c r="A2648" t="inlineStr">
        <is>
          <t>G|REV_DEBT x CHANNEL|where 2021|outcome_loans|book|6</t>
        </is>
      </c>
      <c r="B2648" t="n">
        <v>0.7126354176565618</v>
      </c>
      <c r="C2648" t="n">
        <v>1.174768688500514</v>
      </c>
      <c r="D2648" t="n">
        <v>0.8737603412690657</v>
      </c>
      <c r="E2648" t="n">
        <v>0.9241326989396177</v>
      </c>
    </row>
    <row r="2649">
      <c r="A2649" t="inlineStr">
        <is>
          <t>G|REV_DEBT x CHANNEL|where 2021|outcome_loans|band|6</t>
        </is>
      </c>
    </row>
    <row r="2650">
      <c r="A2650" t="inlineStr">
        <is>
          <t>G|REV_DEBT x CHANNEL|where 2021|outcome_loans|meta</t>
        </is>
      </c>
      <c r="B2650" t="inlineStr">
        <is>
          <t>x</t>
        </is>
      </c>
      <c r="C2650" t="n">
        <v>3.800722227501663</v>
      </c>
      <c r="D2650" t="n">
        <v>10</v>
      </c>
      <c r="E2650" t="n">
        <v>0.07738467308413552</v>
      </c>
      <c r="F2650" t="n">
        <v>30</v>
      </c>
    </row>
    <row r="2651">
      <c r="A2651" t="inlineStr">
        <is>
          <t>G|REV_DEBT x CHANNEL|where 2021|outcome_booked|rate|1</t>
        </is>
      </c>
      <c r="B2651" t="n">
        <v>0.007006635634946125</v>
      </c>
      <c r="C2651" t="n">
        <v>0.05482317586010184</v>
      </c>
      <c r="D2651" t="n">
        <v>0.03882173647514239</v>
      </c>
      <c r="E2651" t="n">
        <v>0.03310879196636588</v>
      </c>
    </row>
    <row r="2652">
      <c r="A2652" t="inlineStr">
        <is>
          <t>G|REV_DEBT x CHANNEL|where 2021|outcome_booked|book|1</t>
        </is>
      </c>
    </row>
    <row r="2653">
      <c r="A2653" t="inlineStr">
        <is>
          <t>G|REV_DEBT x CHANNEL|where 2021|outcome_booked|band|1</t>
        </is>
      </c>
    </row>
    <row r="2654">
      <c r="A2654" t="inlineStr">
        <is>
          <t>G|REV_DEBT x CHANNEL|where 2021|outcome_booked|rate|2</t>
        </is>
      </c>
      <c r="B2654" t="n">
        <v>0.05769387366619049</v>
      </c>
      <c r="C2654" t="n">
        <v>0.01453765208646946</v>
      </c>
      <c r="D2654" t="n">
        <v>0.09084433572679533</v>
      </c>
      <c r="E2654" t="n">
        <v>0.05749111160743422</v>
      </c>
    </row>
    <row r="2655">
      <c r="A2655" t="inlineStr">
        <is>
          <t>G|REV_DEBT x CHANNEL|where 2021|outcome_booked|book|2</t>
        </is>
      </c>
      <c r="E2655" t="n">
        <v>0.7683012279009046</v>
      </c>
    </row>
    <row r="2656">
      <c r="A2656" t="inlineStr">
        <is>
          <t>G|REV_DEBT x CHANNEL|where 2021|outcome_booked|band|2</t>
        </is>
      </c>
    </row>
    <row r="2657">
      <c r="A2657" t="inlineStr">
        <is>
          <t>G|REV_DEBT x CHANNEL|where 2021|outcome_booked|rate|3</t>
        </is>
      </c>
      <c r="B2657" t="n">
        <v>0.004372637116956373</v>
      </c>
      <c r="C2657" t="n">
        <v>0.07194389186345325</v>
      </c>
      <c r="D2657" t="n">
        <v>0.002652325479046704</v>
      </c>
      <c r="E2657" t="n">
        <v>0.03011573788792901</v>
      </c>
    </row>
    <row r="2658">
      <c r="A2658" t="inlineStr">
        <is>
          <t>G|REV_DEBT x CHANNEL|where 2021|outcome_booked|book|3</t>
        </is>
      </c>
    </row>
    <row r="2659">
      <c r="A2659" t="inlineStr">
        <is>
          <t>G|REV_DEBT x CHANNEL|where 2021|outcome_booked|band|3</t>
        </is>
      </c>
    </row>
    <row r="2660">
      <c r="A2660" t="inlineStr">
        <is>
          <t>G|REV_DEBT x CHANNEL|where 2021|outcome_booked|rate|4</t>
        </is>
      </c>
      <c r="B2660" t="n">
        <v>0.04484178598788712</v>
      </c>
      <c r="C2660" t="n">
        <v>0.07033039719991531</v>
      </c>
      <c r="D2660" t="n">
        <v>0.09337882762047373</v>
      </c>
      <c r="E2660" t="n">
        <v>0.06830719223496298</v>
      </c>
    </row>
    <row r="2661">
      <c r="A2661" t="inlineStr">
        <is>
          <t>G|REV_DEBT x CHANNEL|where 2021|outcome_booked|book|4</t>
        </is>
      </c>
      <c r="E2661" t="n">
        <v>0.9128454503878284</v>
      </c>
    </row>
    <row r="2662">
      <c r="A2662" t="inlineStr">
        <is>
          <t>G|REV_DEBT x CHANNEL|where 2021|outcome_booked|band|4</t>
        </is>
      </c>
    </row>
    <row r="2663">
      <c r="A2663" t="inlineStr">
        <is>
          <t>G|REV_DEBT x CHANNEL|where 2021|outcome_booked|rate|5</t>
        </is>
      </c>
      <c r="B2663" t="n">
        <v>0.119846809059336</v>
      </c>
      <c r="C2663" t="n">
        <v>0.2816188068961538</v>
      </c>
      <c r="D2663" t="n">
        <v>0.123394655137787</v>
      </c>
      <c r="E2663" t="n">
        <v>0.173727199094206</v>
      </c>
    </row>
    <row r="2664">
      <c r="A2664" t="inlineStr">
        <is>
          <t>G|REV_DEBT x CHANNEL|where 2021|outcome_booked|book|5</t>
        </is>
      </c>
      <c r="C2664" t="n">
        <v>3.763504811243274</v>
      </c>
      <c r="E2664" t="n">
        <v>2.321660108005351</v>
      </c>
    </row>
    <row r="2665">
      <c r="A2665" t="inlineStr">
        <is>
          <t>G|REV_DEBT x CHANNEL|where 2021|outcome_booked|band|5</t>
        </is>
      </c>
      <c r="C2665" t="n">
        <v>2.316214421507196</v>
      </c>
    </row>
    <row r="2666">
      <c r="A2666" t="inlineStr">
        <is>
          <t>G|REV_DEBT x CHANNEL|where 2021|outcome_booked|rate|6</t>
        </is>
      </c>
      <c r="B2666" t="n">
        <v>0.04559638607792475</v>
      </c>
      <c r="C2666" t="n">
        <v>0.09376487895058781</v>
      </c>
      <c r="D2666" t="n">
        <v>0.06532508847474733</v>
      </c>
      <c r="E2666" t="n">
        <v>0.06821573017335518</v>
      </c>
    </row>
    <row r="2667">
      <c r="A2667" t="inlineStr">
        <is>
          <t>G|REV_DEBT x CHANNEL|where 2021|outcome_booked|book|6</t>
        </is>
      </c>
      <c r="B2667" t="n">
        <v>0.6093421823310738</v>
      </c>
      <c r="C2667" t="n">
        <v>1.253057553028785</v>
      </c>
      <c r="D2667" t="n">
        <v>0.8729931338011141</v>
      </c>
      <c r="E2667" t="n">
        <v>0.9116231672857126</v>
      </c>
    </row>
    <row r="2668">
      <c r="A2668" t="inlineStr">
        <is>
          <t>G|REV_DEBT x CHANNEL|where 2021|outcome_booked|band|6</t>
        </is>
      </c>
    </row>
    <row r="2669">
      <c r="A2669" t="inlineStr">
        <is>
          <t>G|REV_DEBT x CHANNEL|where 2021|outcome_booked|meta</t>
        </is>
      </c>
      <c r="B2669" t="inlineStr">
        <is>
          <t>x</t>
        </is>
      </c>
      <c r="C2669" t="n">
        <v>3.763504811243274</v>
      </c>
      <c r="D2669" t="n">
        <v>10</v>
      </c>
      <c r="E2669" t="n">
        <v>0.07482886857347235</v>
      </c>
      <c r="F2669" t="n">
        <v>30</v>
      </c>
    </row>
    <row r="2670">
      <c r="A2670" t="inlineStr">
        <is>
          <t>G|REV_DEBT x CHANNEL|where 2021|gco_rate|rate|1</t>
        </is>
      </c>
      <c r="B2670" t="n">
        <v>0.00235223289884498</v>
      </c>
      <c r="C2670" t="n">
        <v>0.02224733722389332</v>
      </c>
      <c r="D2670" t="n">
        <v>0.01876919192938736</v>
      </c>
      <c r="E2670" t="n">
        <v>0.01432942380712437</v>
      </c>
    </row>
    <row r="2671">
      <c r="A2671" t="inlineStr">
        <is>
          <t>G|REV_DEBT x CHANNEL|where 2021|gco_rate|book|1</t>
        </is>
      </c>
    </row>
    <row r="2672">
      <c r="A2672" t="inlineStr">
        <is>
          <t>G|REV_DEBT x CHANNEL|where 2021|gco_rate|band|1</t>
        </is>
      </c>
    </row>
    <row r="2673">
      <c r="A2673" t="inlineStr">
        <is>
          <t>G|REV_DEBT x CHANNEL|where 2021|gco_rate|rate|2</t>
        </is>
      </c>
      <c r="B2673" t="n">
        <v>0.03649277107998953</v>
      </c>
      <c r="C2673" t="n">
        <v>0.00798207945049776</v>
      </c>
      <c r="D2673" t="n">
        <v>0.04741849973437492</v>
      </c>
      <c r="E2673" t="n">
        <v>0.03252768340061245</v>
      </c>
    </row>
    <row r="2674">
      <c r="A2674" t="inlineStr">
        <is>
          <t>G|REV_DEBT x CHANNEL|where 2021|gco_rate|book|2</t>
        </is>
      </c>
      <c r="E2674" t="n">
        <v>0.7818165114440476</v>
      </c>
    </row>
    <row r="2675">
      <c r="A2675" t="inlineStr">
        <is>
          <t>G|REV_DEBT x CHANNEL|where 2021|gco_rate|band|2</t>
        </is>
      </c>
    </row>
    <row r="2676">
      <c r="A2676" t="inlineStr">
        <is>
          <t>G|REV_DEBT x CHANNEL|where 2021|gco_rate|rate|3</t>
        </is>
      </c>
      <c r="B2676" t="n">
        <v>0.003271664906597048</v>
      </c>
      <c r="C2676" t="n">
        <v>0.03344211612006125</v>
      </c>
      <c r="D2676" t="n">
        <v>0.001895964665923521</v>
      </c>
      <c r="E2676" t="n">
        <v>0.01456036080754342</v>
      </c>
    </row>
    <row r="2677">
      <c r="A2677" t="inlineStr">
        <is>
          <t>G|REV_DEBT x CHANNEL|where 2021|gco_rate|book|3</t>
        </is>
      </c>
    </row>
    <row r="2678">
      <c r="A2678" t="inlineStr">
        <is>
          <t>G|REV_DEBT x CHANNEL|where 2021|gco_rate|band|3</t>
        </is>
      </c>
    </row>
    <row r="2679">
      <c r="A2679" t="inlineStr">
        <is>
          <t>G|REV_DEBT x CHANNEL|where 2021|gco_rate|rate|4</t>
        </is>
      </c>
      <c r="B2679" t="n">
        <v>0.02364172317112558</v>
      </c>
      <c r="C2679" t="n">
        <v>0.03409966754948329</v>
      </c>
      <c r="D2679" t="n">
        <v>0.05584218544376599</v>
      </c>
      <c r="E2679" t="n">
        <v>0.03687593587726685</v>
      </c>
    </row>
    <row r="2680">
      <c r="A2680" t="inlineStr">
        <is>
          <t>G|REV_DEBT x CHANNEL|where 2021|gco_rate|book|4</t>
        </is>
      </c>
      <c r="E2680" t="n">
        <v>0.8863285832170985</v>
      </c>
    </row>
    <row r="2681">
      <c r="A2681" t="inlineStr">
        <is>
          <t>G|REV_DEBT x CHANNEL|where 2021|gco_rate|band|4</t>
        </is>
      </c>
    </row>
    <row r="2682">
      <c r="A2682" t="inlineStr">
        <is>
          <t>G|REV_DEBT x CHANNEL|where 2021|gco_rate|rate|5</t>
        </is>
      </c>
      <c r="B2682" t="n">
        <v>0.07351048098419581</v>
      </c>
      <c r="C2682" t="n">
        <v>0.171536470647418</v>
      </c>
      <c r="D2682" t="n">
        <v>0.08238700437056712</v>
      </c>
      <c r="E2682" t="n">
        <v>0.1083822621514397</v>
      </c>
    </row>
    <row r="2683">
      <c r="A2683" t="inlineStr">
        <is>
          <t>G|REV_DEBT x CHANNEL|where 2021|gco_rate|book|5</t>
        </is>
      </c>
      <c r="C2683" t="n">
        <v>4.122951008077738</v>
      </c>
      <c r="E2683" t="n">
        <v>2.605013122331897</v>
      </c>
    </row>
    <row r="2684">
      <c r="A2684" t="inlineStr">
        <is>
          <t>G|REV_DEBT x CHANNEL|where 2021|gco_rate|band|5</t>
        </is>
      </c>
      <c r="C2684" t="n">
        <v>2.203101115842232</v>
      </c>
    </row>
    <row r="2685">
      <c r="A2685" t="inlineStr">
        <is>
          <t>G|REV_DEBT x CHANNEL|where 2021|gco_rate|rate|6</t>
        </is>
      </c>
      <c r="B2685" t="n">
        <v>0.02714646415755171</v>
      </c>
      <c r="C2685" t="n">
        <v>0.05024283961414373</v>
      </c>
      <c r="D2685" t="n">
        <v>0.03812234963986716</v>
      </c>
      <c r="E2685" t="n">
        <v>0.03849769563981711</v>
      </c>
    </row>
    <row r="2686">
      <c r="A2686" t="inlineStr">
        <is>
          <t>G|REV_DEBT x CHANNEL|where 2021|gco_rate|book|6</t>
        </is>
      </c>
      <c r="B2686" t="n">
        <v>0.6524766502522693</v>
      </c>
      <c r="C2686" t="n">
        <v>1.207607720119197</v>
      </c>
      <c r="D2686" t="n">
        <v>0.9162866607011433</v>
      </c>
      <c r="E2686" t="n">
        <v>0.9253082592162046</v>
      </c>
    </row>
    <row r="2687">
      <c r="A2687" t="inlineStr">
        <is>
          <t>G|REV_DEBT x CHANNEL|where 2021|gco_rate|band|6</t>
        </is>
      </c>
    </row>
    <row r="2688">
      <c r="A2688" t="inlineStr">
        <is>
          <t>G|REV_DEBT x CHANNEL|where 2021|gco_rate|meta</t>
        </is>
      </c>
      <c r="B2688" t="inlineStr">
        <is>
          <t>x</t>
        </is>
      </c>
      <c r="C2688" t="n">
        <v>4.122951008077738</v>
      </c>
      <c r="D2688" t="n">
        <v>10</v>
      </c>
      <c r="E2688" t="n">
        <v>0.04160526533333565</v>
      </c>
      <c r="F2688" t="n">
        <v>30</v>
      </c>
    </row>
    <row r="2689">
      <c r="A2689" t="inlineStr">
        <is>
          <t>G|REV_DEBT x CHANNEL|where 2021|ranr_rate|rate|1</t>
        </is>
      </c>
      <c r="B2689" t="n">
        <v>0.1944772930054847</v>
      </c>
      <c r="C2689" t="n">
        <v>0.1735509970054835</v>
      </c>
      <c r="D2689" t="n">
        <v>0.2861119395343713</v>
      </c>
      <c r="E2689" t="n">
        <v>0.2201310019533074</v>
      </c>
    </row>
    <row r="2690">
      <c r="A2690" t="inlineStr">
        <is>
          <t>G|REV_DEBT x CHANNEL|where 2021|ranr_rate|book|1</t>
        </is>
      </c>
      <c r="B2690" t="n">
        <v>6.648724336</v>
      </c>
      <c r="C2690" t="n">
        <v>4.556094736</v>
      </c>
      <c r="D2690" t="n">
        <v>15.812188989</v>
      </c>
      <c r="E2690" t="n">
        <v>9.214095231</v>
      </c>
    </row>
    <row r="2691">
      <c r="A2691" t="inlineStr">
        <is>
          <t>G|REV_DEBT x CHANNEL|where 2021|ranr_rate|band|1</t>
        </is>
      </c>
      <c r="B2691" t="n">
        <v>-3.866867796</v>
      </c>
      <c r="C2691" t="n">
        <v>-6.772085663</v>
      </c>
      <c r="D2691" t="n">
        <v>10.170426674</v>
      </c>
    </row>
    <row r="2692">
      <c r="A2692" t="inlineStr">
        <is>
          <t>G|REV_DEBT x CHANNEL|where 2021|ranr_rate|rate|2</t>
        </is>
      </c>
      <c r="B2692" t="n">
        <v>0.1985313282203017</v>
      </c>
      <c r="C2692" t="n">
        <v>0.2558379283451817</v>
      </c>
      <c r="D2692" t="n">
        <v>0.2179607737903359</v>
      </c>
      <c r="E2692" t="n">
        <v>0.2209499021455531</v>
      </c>
    </row>
    <row r="2693">
      <c r="A2693" t="inlineStr">
        <is>
          <t>G|REV_DEBT x CHANNEL|where 2021|ranr_rate|book|2</t>
        </is>
      </c>
      <c r="B2693" t="n">
        <v>7.054127857</v>
      </c>
      <c r="C2693" t="n">
        <v>12.78478787</v>
      </c>
      <c r="D2693" t="n">
        <v>8.997072414</v>
      </c>
      <c r="E2693" t="n">
        <v>9.295985249999999</v>
      </c>
    </row>
    <row r="2694">
      <c r="A2694" t="inlineStr">
        <is>
          <t>G|REV_DEBT x CHANNEL|where 2021|ranr_rate|band|2</t>
        </is>
      </c>
      <c r="B2694" t="n">
        <v>-3.604651975</v>
      </c>
      <c r="C2694" t="n">
        <v>4.797904533</v>
      </c>
      <c r="D2694" t="n">
        <v>-0.459220034</v>
      </c>
    </row>
    <row r="2695">
      <c r="A2695" t="inlineStr">
        <is>
          <t>G|REV_DEBT x CHANNEL|where 2021|ranr_rate|rate|3</t>
        </is>
      </c>
      <c r="B2695" t="n">
        <v>0.2616949980038996</v>
      </c>
      <c r="C2695" t="n">
        <v>0.2422277855712828</v>
      </c>
      <c r="D2695" t="n">
        <v>0.2906775328015805</v>
      </c>
      <c r="E2695" t="n">
        <v>0.2639160037343272</v>
      </c>
    </row>
    <row r="2696">
      <c r="A2696" t="inlineStr">
        <is>
          <t>G|REV_DEBT x CHANNEL|where 2021|ranr_rate|book|3</t>
        </is>
      </c>
      <c r="B2696" t="n">
        <v>13.370494836</v>
      </c>
      <c r="C2696" t="n">
        <v>11.423773592</v>
      </c>
      <c r="D2696" t="n">
        <v>16.268748315</v>
      </c>
      <c r="E2696" t="n">
        <v>13.592595409</v>
      </c>
    </row>
    <row r="2697">
      <c r="A2697" t="inlineStr">
        <is>
          <t>G|REV_DEBT x CHANNEL|where 2021|ranr_rate|band|3</t>
        </is>
      </c>
      <c r="B2697" t="n">
        <v>-0.305122618</v>
      </c>
      <c r="C2697" t="n">
        <v>-3.55305954</v>
      </c>
      <c r="D2697" t="n">
        <v>4.044455247</v>
      </c>
    </row>
    <row r="2698">
      <c r="A2698" t="inlineStr">
        <is>
          <t>G|REV_DEBT x CHANNEL|where 2021|ranr_rate|rate|4</t>
        </is>
      </c>
      <c r="B2698" t="n">
        <v>0.2831199078937766</v>
      </c>
      <c r="C2698" t="n">
        <v>0.2937698808008272</v>
      </c>
      <c r="D2698" t="n">
        <v>0.3330855730478698</v>
      </c>
      <c r="E2698" t="n">
        <v>0.3016383926609031</v>
      </c>
    </row>
    <row r="2699">
      <c r="A2699" t="inlineStr">
        <is>
          <t>G|REV_DEBT x CHANNEL|where 2021|ranr_rate|book|4</t>
        </is>
      </c>
      <c r="B2699" t="n">
        <v>15.512985825</v>
      </c>
      <c r="C2699" t="n">
        <v>16.577983115</v>
      </c>
      <c r="D2699" t="n">
        <v>20.50955234</v>
      </c>
      <c r="E2699" t="n">
        <v>17.364834301</v>
      </c>
    </row>
    <row r="2700">
      <c r="A2700" t="inlineStr">
        <is>
          <t>G|REV_DEBT x CHANNEL|where 2021|ranr_rate|band|4</t>
        </is>
      </c>
      <c r="B2700" t="n">
        <v>-2.826455171</v>
      </c>
      <c r="C2700" t="n">
        <v>-1.232618337</v>
      </c>
      <c r="D2700" t="n">
        <v>4.451384705</v>
      </c>
    </row>
    <row r="2701">
      <c r="A2701" t="inlineStr">
        <is>
          <t>G|REV_DEBT x CHANNEL|where 2021|ranr_rate|rate|5</t>
        </is>
      </c>
      <c r="B2701" t="n">
        <v>0.331479623199228</v>
      </c>
      <c r="C2701" t="n">
        <v>0.2247319845935341</v>
      </c>
      <c r="D2701" t="n">
        <v>0.3115678801202598</v>
      </c>
      <c r="E2701" t="n">
        <v>0.2901195340784071</v>
      </c>
    </row>
    <row r="2702">
      <c r="A2702" t="inlineStr">
        <is>
          <t>G|REV_DEBT x CHANNEL|where 2021|ranr_rate|book|5</t>
        </is>
      </c>
      <c r="B2702" t="n">
        <v>20.348957355</v>
      </c>
      <c r="C2702" t="n">
        <v>9.674193495000001</v>
      </c>
      <c r="D2702" t="n">
        <v>18.357783047</v>
      </c>
      <c r="E2702" t="n">
        <v>16.212948443</v>
      </c>
    </row>
    <row r="2703">
      <c r="A2703" t="inlineStr">
        <is>
          <t>G|REV_DEBT x CHANNEL|where 2021|ranr_rate|band|5</t>
        </is>
      </c>
      <c r="B2703" t="n">
        <v>6.30227697</v>
      </c>
      <c r="C2703" t="n">
        <v>-9.698776122</v>
      </c>
      <c r="D2703" t="n">
        <v>3.203424345</v>
      </c>
    </row>
    <row r="2704">
      <c r="A2704" t="inlineStr">
        <is>
          <t>G|REV_DEBT x CHANNEL|where 2021|ranr_rate|rate|6</t>
        </is>
      </c>
      <c r="B2704" t="n">
        <v>0.2491857695288142</v>
      </c>
      <c r="C2704" t="n">
        <v>0.238474522200715</v>
      </c>
      <c r="D2704" t="n">
        <v>0.2848441365053868</v>
      </c>
      <c r="E2704" t="n">
        <v>0.2575062438820643</v>
      </c>
    </row>
    <row r="2705">
      <c r="A2705" t="inlineStr">
        <is>
          <t>G|REV_DEBT x CHANNEL|where 2021|ranr_rate|book|6</t>
        </is>
      </c>
      <c r="B2705" t="n">
        <v>12.119571988</v>
      </c>
      <c r="C2705" t="n">
        <v>11.048447255</v>
      </c>
      <c r="D2705" t="n">
        <v>15.685408686</v>
      </c>
      <c r="E2705" t="n">
        <v>12.951619423</v>
      </c>
    </row>
    <row r="2706">
      <c r="A2706" t="inlineStr">
        <is>
          <t>G|REV_DEBT x CHANNEL|where 2021|ranr_rate|band|6</t>
        </is>
      </c>
    </row>
    <row r="2707">
      <c r="A2707" t="inlineStr">
        <is>
          <t>G|REV_DEBT x CHANNEL|where 2021|ranr_rate|meta</t>
        </is>
      </c>
      <c r="B2707" t="inlineStr">
        <is>
          <t>pts</t>
        </is>
      </c>
      <c r="C2707" t="n">
        <v>20.50955234</v>
      </c>
      <c r="D2707" t="n">
        <v>10</v>
      </c>
      <c r="E2707" t="n">
        <v>0.1279900496481481</v>
      </c>
      <c r="F2707" t="n">
        <v>30</v>
      </c>
    </row>
    <row r="2708">
      <c r="A2708" t="inlineStr">
        <is>
          <t>G|REV_DEBT x CHANNEL|where 2021|contribution_rate|rate|1</t>
        </is>
      </c>
      <c r="B2708" t="n">
        <v>0.1968295259043297</v>
      </c>
      <c r="C2708" t="n">
        <v>0.1957983342293768</v>
      </c>
      <c r="D2708" t="n">
        <v>0.3048811314637586</v>
      </c>
      <c r="E2708" t="n">
        <v>0.2344604257604317</v>
      </c>
    </row>
    <row r="2709">
      <c r="A2709" t="inlineStr">
        <is>
          <t>G|REV_DEBT x CHANNEL|where 2021|contribution_rate|book|1</t>
        </is>
      </c>
      <c r="B2709" t="n">
        <v>2.723707017</v>
      </c>
      <c r="C2709" t="n">
        <v>2.620587849</v>
      </c>
      <c r="D2709" t="n">
        <v>13.528867573</v>
      </c>
      <c r="E2709" t="n">
        <v>6.486797003</v>
      </c>
    </row>
    <row r="2710">
      <c r="A2710" t="inlineStr">
        <is>
          <t>G|REV_DEBT x CHANNEL|where 2021|contribution_rate|band|1</t>
        </is>
      </c>
      <c r="B2710" t="n">
        <v>-5.672229115</v>
      </c>
      <c r="C2710" t="n">
        <v>-5.620931042</v>
      </c>
      <c r="D2710" t="n">
        <v>10.85478094</v>
      </c>
    </row>
    <row r="2711">
      <c r="A2711" t="inlineStr">
        <is>
          <t>G|REV_DEBT x CHANNEL|where 2021|contribution_rate|rate|2</t>
        </is>
      </c>
      <c r="B2711" t="n">
        <v>0.2350240993002912</v>
      </c>
      <c r="C2711" t="n">
        <v>0.2638200077956794</v>
      </c>
      <c r="D2711" t="n">
        <v>0.2653792735247108</v>
      </c>
      <c r="E2711" t="n">
        <v>0.2534775855461655</v>
      </c>
    </row>
    <row r="2712">
      <c r="A2712" t="inlineStr">
        <is>
          <t>G|REV_DEBT x CHANNEL|where 2021|contribution_rate|book|2</t>
        </is>
      </c>
      <c r="B2712" t="n">
        <v>6.543164357</v>
      </c>
      <c r="C2712" t="n">
        <v>9.422755206</v>
      </c>
      <c r="D2712" t="n">
        <v>9.578681779</v>
      </c>
      <c r="E2712" t="n">
        <v>8.388512981</v>
      </c>
    </row>
    <row r="2713">
      <c r="A2713" t="inlineStr">
        <is>
          <t>G|REV_DEBT x CHANNEL|where 2021|contribution_rate|band|2</t>
        </is>
      </c>
      <c r="B2713" t="n">
        <v>-2.967110926</v>
      </c>
      <c r="C2713" t="n">
        <v>1.422320492</v>
      </c>
      <c r="D2713" t="n">
        <v>1.8284573</v>
      </c>
    </row>
    <row r="2714">
      <c r="A2714" t="inlineStr">
        <is>
          <t>G|REV_DEBT x CHANNEL|where 2021|contribution_rate|rate|3</t>
        </is>
      </c>
      <c r="B2714" t="n">
        <v>0.2649666629104966</v>
      </c>
      <c r="C2714" t="n">
        <v>0.275669901691344</v>
      </c>
      <c r="D2714" t="n">
        <v>0.2925734974675041</v>
      </c>
      <c r="E2714" t="n">
        <v>0.2784763645418706</v>
      </c>
    </row>
    <row r="2715">
      <c r="A2715" t="inlineStr">
        <is>
          <t>G|REV_DEBT x CHANNEL|where 2021|contribution_rate|book|3</t>
        </is>
      </c>
      <c r="B2715" t="n">
        <v>9.537420718</v>
      </c>
      <c r="C2715" t="n">
        <v>10.607744596</v>
      </c>
      <c r="D2715" t="n">
        <v>12.298104173</v>
      </c>
      <c r="E2715" t="n">
        <v>10.888390881</v>
      </c>
    </row>
    <row r="2716">
      <c r="A2716" t="inlineStr">
        <is>
          <t>G|REV_DEBT x CHANNEL|where 2021|contribution_rate|band|3</t>
        </is>
      </c>
      <c r="B2716" t="n">
        <v>-1.855967985</v>
      </c>
      <c r="C2716" t="n">
        <v>-0.45976712</v>
      </c>
      <c r="D2716" t="n">
        <v>2.130491987</v>
      </c>
    </row>
    <row r="2717">
      <c r="A2717" t="inlineStr">
        <is>
          <t>G|REV_DEBT x CHANNEL|where 2021|contribution_rate|rate|4</t>
        </is>
      </c>
      <c r="B2717" t="n">
        <v>0.3067616310649023</v>
      </c>
      <c r="C2717" t="n">
        <v>0.3278695483503105</v>
      </c>
      <c r="D2717" t="n">
        <v>0.3889277584916358</v>
      </c>
      <c r="E2717" t="n">
        <v>0.33851432853817</v>
      </c>
    </row>
    <row r="2718">
      <c r="A2718" t="inlineStr">
        <is>
          <t>G|REV_DEBT x CHANNEL|where 2021|contribution_rate|book|4</t>
        </is>
      </c>
      <c r="B2718" t="n">
        <v>13.716917533</v>
      </c>
      <c r="C2718" t="n">
        <v>15.827709262</v>
      </c>
      <c r="D2718" t="n">
        <v>21.933530276</v>
      </c>
      <c r="E2718" t="n">
        <v>16.89218728</v>
      </c>
    </row>
    <row r="2719">
      <c r="A2719" t="inlineStr">
        <is>
          <t>G|REV_DEBT x CHANNEL|where 2021|contribution_rate|band|4</t>
        </is>
      </c>
      <c r="B2719" t="n">
        <v>-4.846377935</v>
      </c>
      <c r="C2719" t="n">
        <v>-1.667526399</v>
      </c>
      <c r="D2719" t="n">
        <v>7.136079237</v>
      </c>
    </row>
    <row r="2720">
      <c r="A2720" t="inlineStr">
        <is>
          <t>G|REV_DEBT x CHANNEL|where 2021|contribution_rate|rate|5</t>
        </is>
      </c>
      <c r="B2720" t="n">
        <v>0.4049901041834238</v>
      </c>
      <c r="C2720" t="n">
        <v>0.3962684552409521</v>
      </c>
      <c r="D2720" t="n">
        <v>0.3939548844908269</v>
      </c>
      <c r="E2720" t="n">
        <v>0.3985017962298468</v>
      </c>
    </row>
    <row r="2721">
      <c r="A2721" t="inlineStr">
        <is>
          <t>G|REV_DEBT x CHANNEL|where 2021|contribution_rate|book|5</t>
        </is>
      </c>
      <c r="B2721" t="n">
        <v>23.539764845</v>
      </c>
      <c r="C2721" t="n">
        <v>22.667599951</v>
      </c>
      <c r="D2721" t="n">
        <v>22.436242876</v>
      </c>
      <c r="E2721" t="n">
        <v>22.890934049</v>
      </c>
    </row>
    <row r="2722">
      <c r="A2722" t="inlineStr">
        <is>
          <t>G|REV_DEBT x CHANNEL|where 2021|contribution_rate|band|5</t>
        </is>
      </c>
      <c r="B2722" t="n">
        <v>0.988661162</v>
      </c>
      <c r="C2722" t="n">
        <v>-0.331266035</v>
      </c>
      <c r="D2722" t="n">
        <v>-0.679105407</v>
      </c>
    </row>
    <row r="2723">
      <c r="A2723" t="inlineStr">
        <is>
          <t>G|REV_DEBT x CHANNEL|where 2021|contribution_rate|rate|6</t>
        </is>
      </c>
      <c r="B2723" t="n">
        <v>0.2763322336863659</v>
      </c>
      <c r="C2723" t="n">
        <v>0.2887173618148587</v>
      </c>
      <c r="D2723" t="n">
        <v>0.322966486145254</v>
      </c>
      <c r="E2723" t="n">
        <v>0.2960039395218814</v>
      </c>
    </row>
    <row r="2724">
      <c r="A2724" t="inlineStr">
        <is>
          <t>G|REV_DEBT x CHANNEL|where 2021|contribution_rate|book|6</t>
        </is>
      </c>
      <c r="B2724" t="n">
        <v>10.673977795</v>
      </c>
      <c r="C2724" t="n">
        <v>11.912490608</v>
      </c>
      <c r="D2724" t="n">
        <v>15.337403041</v>
      </c>
      <c r="E2724" t="n">
        <v>12.641148379</v>
      </c>
    </row>
    <row r="2725">
      <c r="A2725" t="inlineStr">
        <is>
          <t>G|REV_DEBT x CHANNEL|where 2021|contribution_rate|band|6</t>
        </is>
      </c>
    </row>
    <row r="2726">
      <c r="A2726" t="inlineStr">
        <is>
          <t>G|REV_DEBT x CHANNEL|where 2021|contribution_rate|meta</t>
        </is>
      </c>
      <c r="B2726" t="inlineStr">
        <is>
          <t>pts</t>
        </is>
      </c>
      <c r="C2726" t="n">
        <v>23.539764845</v>
      </c>
      <c r="D2726" t="n">
        <v>10</v>
      </c>
      <c r="E2726" t="n">
        <v>0.1695924557349815</v>
      </c>
      <c r="F2726" t="n">
        <v>30</v>
      </c>
    </row>
    <row r="2727">
      <c r="A2727" t="inlineStr">
        <is>
          <t>G|REV_DEBT x CHANNEL|where 2021|loan_size|rate|1</t>
        </is>
      </c>
      <c r="B2727" t="n">
        <v>34559.92070175439</v>
      </c>
      <c r="C2727" t="n">
        <v>32054.49649122807</v>
      </c>
      <c r="D2727" t="n">
        <v>34262.99166666667</v>
      </c>
      <c r="E2727" t="n">
        <v>33636.78896551724</v>
      </c>
    </row>
    <row r="2728">
      <c r="A2728" t="inlineStr">
        <is>
          <t>G|REV_DEBT x CHANNEL|where 2021|loan_size|median|1</t>
        </is>
      </c>
      <c r="B2728" t="n">
        <v>37827.28</v>
      </c>
      <c r="C2728" t="n">
        <v>32237.03</v>
      </c>
      <c r="D2728" t="n">
        <v>32818.98</v>
      </c>
      <c r="E2728" t="n">
        <v>32871.125</v>
      </c>
    </row>
    <row r="2729">
      <c r="A2729" t="inlineStr">
        <is>
          <t>G|REV_DEBT x CHANNEL|where 2021|loan_size|book|1</t>
        </is>
      </c>
      <c r="B2729" t="n">
        <v>1.071207309324431</v>
      </c>
      <c r="C2729" t="n">
        <v>0.9935500499101189</v>
      </c>
      <c r="D2729" t="n">
        <v>1.062003799991133</v>
      </c>
      <c r="E2729" t="n">
        <v>1.042594238366881</v>
      </c>
    </row>
    <row r="2730">
      <c r="A2730" t="inlineStr">
        <is>
          <t>G|REV_DEBT x CHANNEL|where 2021|loan_size|band|1</t>
        </is>
      </c>
      <c r="B2730" t="n">
        <v>1.041367408257349</v>
      </c>
      <c r="C2730" t="n">
        <v>0.9316095998593722</v>
      </c>
      <c r="D2730" t="n">
        <v>1.028695982354886</v>
      </c>
    </row>
    <row r="2731">
      <c r="A2731" t="inlineStr">
        <is>
          <t>G|REV_DEBT x CHANNEL|where 2021|loan_size|rate|2</t>
        </is>
      </c>
      <c r="B2731" t="n">
        <v>33385.11603174603</v>
      </c>
      <c r="C2731" t="n">
        <v>29190.72576923077</v>
      </c>
      <c r="D2731" t="n">
        <v>33483.4798275862</v>
      </c>
      <c r="E2731" t="n">
        <v>32157.35190751445</v>
      </c>
    </row>
    <row r="2732">
      <c r="A2732" t="inlineStr">
        <is>
          <t>G|REV_DEBT x CHANNEL|where 2021|loan_size|median|2</t>
        </is>
      </c>
      <c r="B2732" t="n">
        <v>29473.67</v>
      </c>
      <c r="C2732" t="n">
        <v>29811.93</v>
      </c>
      <c r="D2732" t="n">
        <v>33786.94</v>
      </c>
      <c r="E2732" t="n">
        <v>30283.81</v>
      </c>
    </row>
    <row r="2733">
      <c r="A2733" t="inlineStr">
        <is>
          <t>G|REV_DEBT x CHANNEL|where 2021|loan_size|book|2</t>
        </is>
      </c>
      <c r="B2733" t="n">
        <v>1.034793471445528</v>
      </c>
      <c r="C2733" t="n">
        <v>0.9047856063772064</v>
      </c>
      <c r="D2733" t="n">
        <v>1.037842321527858</v>
      </c>
      <c r="E2733" t="n">
        <v>0.9967381207011489</v>
      </c>
    </row>
    <row r="2734">
      <c r="A2734" t="inlineStr">
        <is>
          <t>G|REV_DEBT x CHANNEL|where 2021|loan_size|band|2</t>
        </is>
      </c>
      <c r="B2734" t="n">
        <v>1.061388923539376</v>
      </c>
      <c r="C2734" t="n">
        <v>0.8731303496198738</v>
      </c>
      <c r="D2734" t="n">
        <v>1.063355074037927</v>
      </c>
    </row>
    <row r="2735">
      <c r="A2735" t="inlineStr">
        <is>
          <t>G|REV_DEBT x CHANNEL|where 2021|loan_size|rate|3</t>
        </is>
      </c>
      <c r="B2735" t="n">
        <v>34966.58106382979</v>
      </c>
      <c r="C2735" t="n">
        <v>33615.7</v>
      </c>
      <c r="D2735" t="n">
        <v>32958.11387096774</v>
      </c>
      <c r="E2735" t="n">
        <v>33742.63335195531</v>
      </c>
    </row>
    <row r="2736">
      <c r="A2736" t="inlineStr">
        <is>
          <t>G|REV_DEBT x CHANNEL|where 2021|loan_size|median|3</t>
        </is>
      </c>
      <c r="B2736" t="n">
        <v>36287.4</v>
      </c>
      <c r="C2736" t="n">
        <v>36496.905</v>
      </c>
      <c r="D2736" t="n">
        <v>33852.65</v>
      </c>
      <c r="E2736" t="n">
        <v>34990.75</v>
      </c>
    </row>
    <row r="2737">
      <c r="A2737" t="inlineStr">
        <is>
          <t>G|REV_DEBT x CHANNEL|where 2021|loan_size|book|3</t>
        </is>
      </c>
      <c r="B2737" t="n">
        <v>1.083812012790824</v>
      </c>
      <c r="C2737" t="n">
        <v>1.041940572109857</v>
      </c>
      <c r="D2737" t="n">
        <v>1.021558260645411</v>
      </c>
      <c r="E2737" t="n">
        <v>1.045874954239521</v>
      </c>
    </row>
    <row r="2738">
      <c r="A2738" t="inlineStr">
        <is>
          <t>G|REV_DEBT x CHANNEL|where 2021|loan_size|band|3</t>
        </is>
      </c>
      <c r="B2738" t="n">
        <v>1.049832034066085</v>
      </c>
      <c r="C2738" t="n">
        <v>0.9938372381166869</v>
      </c>
      <c r="D2738" t="n">
        <v>0.9648622563875259</v>
      </c>
    </row>
    <row r="2739">
      <c r="A2739" t="inlineStr">
        <is>
          <t>G|REV_DEBT x CHANNEL|where 2021|loan_size|rate|4</t>
        </is>
      </c>
      <c r="B2739" t="n">
        <v>33346.84388888889</v>
      </c>
      <c r="C2739" t="n">
        <v>33725.05125</v>
      </c>
      <c r="D2739" t="n">
        <v>28923.77811320755</v>
      </c>
      <c r="E2739" t="n">
        <v>32038.605398773</v>
      </c>
    </row>
    <row r="2740">
      <c r="A2740" t="inlineStr">
        <is>
          <t>G|REV_DEBT x CHANNEL|where 2021|loan_size|median|4</t>
        </is>
      </c>
      <c r="B2740" t="n">
        <v>30342.035</v>
      </c>
      <c r="C2740" t="n">
        <v>33442.935</v>
      </c>
      <c r="D2740" t="n">
        <v>24676.89</v>
      </c>
      <c r="E2740" t="n">
        <v>30826.21</v>
      </c>
    </row>
    <row r="2741">
      <c r="A2741" t="inlineStr">
        <is>
          <t>G|REV_DEBT x CHANNEL|where 2021|loan_size|book|4</t>
        </is>
      </c>
      <c r="B2741" t="n">
        <v>1.033607201386465</v>
      </c>
      <c r="C2741" t="n">
        <v>1.045329985508535</v>
      </c>
      <c r="D2741" t="n">
        <v>0.8965113894654592</v>
      </c>
      <c r="E2741" t="n">
        <v>0.9930574951227998</v>
      </c>
    </row>
    <row r="2742">
      <c r="A2742" t="inlineStr">
        <is>
          <t>G|REV_DEBT x CHANNEL|where 2021|loan_size|band|4</t>
        </is>
      </c>
      <c r="B2742" t="n">
        <v>1.062323232696091</v>
      </c>
      <c r="C2742" t="n">
        <v>1.082458383778064</v>
      </c>
      <c r="D2742" t="n">
        <v>0.8623824619211682</v>
      </c>
    </row>
    <row r="2743">
      <c r="A2743" t="inlineStr">
        <is>
          <t>G|REV_DEBT x CHANNEL|where 2021|loan_size|rate|5</t>
        </is>
      </c>
      <c r="B2743" t="n">
        <v>31605.15568627451</v>
      </c>
      <c r="C2743" t="n">
        <v>29958.23901960784</v>
      </c>
      <c r="D2743" t="n">
        <v>32283.85375</v>
      </c>
      <c r="E2743" t="n">
        <v>31262.3874</v>
      </c>
    </row>
    <row r="2744">
      <c r="A2744" t="inlineStr">
        <is>
          <t>G|REV_DEBT x CHANNEL|where 2021|loan_size|median|5</t>
        </is>
      </c>
      <c r="B2744" t="n">
        <v>29677.02</v>
      </c>
      <c r="C2744" t="n">
        <v>26622.26</v>
      </c>
      <c r="D2744" t="n">
        <v>31330.58</v>
      </c>
      <c r="E2744" t="n">
        <v>28772.98</v>
      </c>
    </row>
    <row r="2745">
      <c r="A2745" t="inlineStr">
        <is>
          <t>G|REV_DEBT x CHANNEL|where 2021|loan_size|book|5</t>
        </is>
      </c>
      <c r="B2745" t="n">
        <v>0.9796224382469491</v>
      </c>
      <c r="C2745" t="n">
        <v>0.9285751807486989</v>
      </c>
      <c r="D2745" t="n">
        <v>1.000659127913027</v>
      </c>
      <c r="E2745" t="n">
        <v>0.9689981113906893</v>
      </c>
    </row>
    <row r="2746">
      <c r="A2746" t="inlineStr">
        <is>
          <t>G|REV_DEBT x CHANNEL|where 2021|loan_size|band|5</t>
        </is>
      </c>
      <c r="B2746" t="n">
        <v>1.016706847647523</v>
      </c>
      <c r="C2746" t="n">
        <v>0.9381233577325122</v>
      </c>
      <c r="D2746" t="n">
        <v>1.048800310776731</v>
      </c>
    </row>
    <row r="2747">
      <c r="A2747" t="inlineStr">
        <is>
          <t>G|REV_DEBT x CHANNEL|where 2021|loan_size|rate|6</t>
        </is>
      </c>
      <c r="B2747" t="n">
        <v>33563.23386029412</v>
      </c>
      <c r="C2747" t="n">
        <v>31869.21713286713</v>
      </c>
      <c r="D2747" t="n">
        <v>32469.07334519573</v>
      </c>
      <c r="E2747" t="n">
        <v>32619.31504171633</v>
      </c>
    </row>
    <row r="2748">
      <c r="A2748" t="inlineStr">
        <is>
          <t>G|REV_DEBT x CHANNEL|where 2021|loan_size|median|6</t>
        </is>
      </c>
      <c r="B2748" t="n">
        <v>32476.645</v>
      </c>
      <c r="C2748" t="n">
        <v>31604.9</v>
      </c>
      <c r="D2748" t="n">
        <v>31861.86</v>
      </c>
      <c r="E2748" t="n">
        <v>31978.84</v>
      </c>
    </row>
    <row r="2749">
      <c r="A2749" t="inlineStr">
        <is>
          <t>G|REV_DEBT x CHANNEL|where 2021|loan_size|book|6</t>
        </is>
      </c>
      <c r="B2749" t="n">
        <v>1.040314349849974</v>
      </c>
      <c r="C2749" t="n">
        <v>0.9878071952127381</v>
      </c>
      <c r="D2749" t="n">
        <v>1.006400130212078</v>
      </c>
      <c r="E2749" t="n">
        <v>1.011056969701585</v>
      </c>
    </row>
    <row r="2750">
      <c r="A2750" t="inlineStr">
        <is>
          <t>G|REV_DEBT x CHANNEL|where 2021|loan_size|band|6</t>
        </is>
      </c>
    </row>
    <row r="2751">
      <c r="A2751" t="inlineStr">
        <is>
          <t>G|REV_DEBT x CHANNEL|where 2021|loan_size|meta</t>
        </is>
      </c>
      <c r="B2751" t="inlineStr">
        <is>
          <t>size</t>
        </is>
      </c>
      <c r="C2751" t="n">
        <v>1</v>
      </c>
      <c r="E2751" t="n">
        <v>32262.58857732217</v>
      </c>
      <c r="F2751" t="n">
        <v>30</v>
      </c>
    </row>
    <row r="2752">
      <c r="A2752" t="inlineStr">
        <is>
          <t>G|REV_DEBT x CHANNEL|where 2022|cols</t>
        </is>
      </c>
      <c r="B2752" t="inlineStr">
        <is>
          <t>Branch</t>
        </is>
      </c>
      <c r="C2752" t="inlineStr">
        <is>
          <t>Broker</t>
        </is>
      </c>
      <c r="D2752" t="inlineStr">
        <is>
          <t>Online</t>
        </is>
      </c>
      <c r="E2752" t="inlineStr">
        <is>
          <t>All</t>
        </is>
      </c>
    </row>
    <row r="2753">
      <c r="A2753" t="inlineStr">
        <is>
          <t>G|REV_DEBT x CHANNEL|where 2022|heads</t>
        </is>
      </c>
      <c r="B2753" t="inlineStr">
        <is>
          <t>Branch</t>
        </is>
      </c>
      <c r="C2753" t="inlineStr">
        <is>
          <t>Broker</t>
        </is>
      </c>
      <c r="D2753" t="inlineStr">
        <is>
          <t>Online</t>
        </is>
      </c>
      <c r="E2753" t="inlineStr">
        <is>
          <t>All</t>
        </is>
      </c>
    </row>
    <row r="2754">
      <c r="A2754" t="inlineStr">
        <is>
          <t>G|REV_DEBT x CHANNEL|where 2022|segs</t>
        </is>
      </c>
    </row>
    <row r="2755">
      <c r="A2755" t="inlineStr">
        <is>
          <t>G|REV_DEBT x CHANNEL|where 2022|rows</t>
        </is>
      </c>
      <c r="B2755" t="inlineStr">
        <is>
          <t>0 - 6,558</t>
        </is>
      </c>
      <c r="C2755" t="inlineStr">
        <is>
          <t>6,559 - 9,836</t>
        </is>
      </c>
      <c r="D2755" t="inlineStr">
        <is>
          <t>9,837 - 13,051</t>
        </is>
      </c>
      <c r="E2755" t="inlineStr">
        <is>
          <t>13,052 - 17,186</t>
        </is>
      </c>
      <c r="F2755" t="inlineStr">
        <is>
          <t>17,187 - 48,521</t>
        </is>
      </c>
      <c r="G2755" t="inlineStr">
        <is>
          <t>All</t>
        </is>
      </c>
    </row>
    <row r="2756">
      <c r="A2756" t="inlineStr">
        <is>
          <t>G|REV_DEBT x CHANNEL|where 2022|names</t>
        </is>
      </c>
      <c r="B2756" t="inlineStr">
        <is>
          <t>REV_DEBT</t>
        </is>
      </c>
      <c r="C2756" t="inlineStr">
        <is>
          <t>CHANNEL</t>
        </is>
      </c>
    </row>
    <row r="2757">
      <c r="A2757" t="inlineStr">
        <is>
          <t>G|REV_DEBT x CHANNEL|where 2022|total</t>
        </is>
      </c>
      <c r="B2757" t="n">
        <v>1741</v>
      </c>
    </row>
    <row r="2758">
      <c r="A2758" t="inlineStr">
        <is>
          <t>G|REV_DEBT x CHANNEL|where 2022|loans|1</t>
        </is>
      </c>
      <c r="B2758" t="n">
        <v>109</v>
      </c>
      <c r="C2758" t="n">
        <v>129</v>
      </c>
      <c r="D2758" t="n">
        <v>96</v>
      </c>
      <c r="E2758" t="n">
        <v>334</v>
      </c>
    </row>
    <row r="2759">
      <c r="A2759" t="inlineStr">
        <is>
          <t>G|REV_DEBT x CHANNEL|where 2022|loans|2</t>
        </is>
      </c>
      <c r="B2759" t="n">
        <v>111</v>
      </c>
      <c r="C2759" t="n">
        <v>100</v>
      </c>
      <c r="D2759" t="n">
        <v>113</v>
      </c>
      <c r="E2759" t="n">
        <v>324</v>
      </c>
    </row>
    <row r="2760">
      <c r="A2760" t="inlineStr">
        <is>
          <t>G|REV_DEBT x CHANNEL|where 2022|loans|3</t>
        </is>
      </c>
      <c r="B2760" t="n">
        <v>114</v>
      </c>
      <c r="C2760" t="n">
        <v>126</v>
      </c>
      <c r="D2760" t="n">
        <v>124</v>
      </c>
      <c r="E2760" t="n">
        <v>364</v>
      </c>
    </row>
    <row r="2761">
      <c r="A2761" t="inlineStr">
        <is>
          <t>G|REV_DEBT x CHANNEL|where 2022|loans|4</t>
        </is>
      </c>
      <c r="B2761" t="n">
        <v>121</v>
      </c>
      <c r="C2761" t="n">
        <v>131</v>
      </c>
      <c r="D2761" t="n">
        <v>107</v>
      </c>
      <c r="E2761" t="n">
        <v>359</v>
      </c>
    </row>
    <row r="2762">
      <c r="A2762" t="inlineStr">
        <is>
          <t>G|REV_DEBT x CHANNEL|where 2022|loans|5</t>
        </is>
      </c>
      <c r="B2762" t="n">
        <v>112</v>
      </c>
      <c r="C2762" t="n">
        <v>119</v>
      </c>
      <c r="D2762" t="n">
        <v>129</v>
      </c>
      <c r="E2762" t="n">
        <v>360</v>
      </c>
    </row>
    <row r="2763">
      <c r="A2763" t="inlineStr">
        <is>
          <t>G|REV_DEBT x CHANNEL|where 2022|loans|6</t>
        </is>
      </c>
      <c r="B2763" t="n">
        <v>567</v>
      </c>
      <c r="C2763" t="n">
        <v>605</v>
      </c>
      <c r="D2763" t="n">
        <v>569</v>
      </c>
      <c r="E2763" t="n">
        <v>1741</v>
      </c>
    </row>
    <row r="2764">
      <c r="A2764" t="inlineStr">
        <is>
          <t>G|REV_DEBT x CHANNEL|where 2022|outcome_loans|rate|1</t>
        </is>
      </c>
      <c r="B2764" t="n">
        <v>0.03669724770642202</v>
      </c>
      <c r="C2764" t="n">
        <v>0.0310077519379845</v>
      </c>
      <c r="D2764" t="n">
        <v>0.03125</v>
      </c>
      <c r="E2764" t="n">
        <v>0.03293413173652695</v>
      </c>
    </row>
    <row r="2765">
      <c r="A2765" t="inlineStr">
        <is>
          <t>G|REV_DEBT x CHANNEL|where 2022|outcome_loans|book|1</t>
        </is>
      </c>
      <c r="E2765" t="n">
        <v>0.4255898542172521</v>
      </c>
    </row>
    <row r="2766">
      <c r="A2766" t="inlineStr">
        <is>
          <t>G|REV_DEBT x CHANNEL|where 2022|outcome_loans|band|1</t>
        </is>
      </c>
    </row>
    <row r="2767">
      <c r="A2767" t="inlineStr">
        <is>
          <t>G|REV_DEBT x CHANNEL|where 2022|outcome_loans|rate|2</t>
        </is>
      </c>
      <c r="B2767" t="n">
        <v>0.009009009009009009</v>
      </c>
      <c r="C2767" t="n">
        <v>0.03</v>
      </c>
      <c r="D2767" t="n">
        <v>0.05309734513274336</v>
      </c>
      <c r="E2767" t="n">
        <v>0.0308641975308642</v>
      </c>
    </row>
    <row r="2768">
      <c r="A2768" t="inlineStr">
        <is>
          <t>G|REV_DEBT x CHANNEL|where 2022|outcome_loans|book|2</t>
        </is>
      </c>
      <c r="E2768" t="n">
        <v>0.3988412214044955</v>
      </c>
    </row>
    <row r="2769">
      <c r="A2769" t="inlineStr">
        <is>
          <t>G|REV_DEBT x CHANNEL|where 2022|outcome_loans|band|2</t>
        </is>
      </c>
    </row>
    <row r="2770">
      <c r="A2770" t="inlineStr">
        <is>
          <t>G|REV_DEBT x CHANNEL|where 2022|outcome_loans|rate|3</t>
        </is>
      </c>
      <c r="B2770" t="n">
        <v>0.07894736842105263</v>
      </c>
      <c r="C2770" t="n">
        <v>0.07142857142857142</v>
      </c>
      <c r="D2770" t="n">
        <v>0.08064516129032258</v>
      </c>
      <c r="E2770" t="n">
        <v>0.07692307692307693</v>
      </c>
    </row>
    <row r="2771">
      <c r="A2771" t="inlineStr">
        <is>
          <t>G|REV_DEBT x CHANNEL|where 2022|outcome_loans|book|3</t>
        </is>
      </c>
      <c r="D2771" t="n">
        <v>1.042133513992392</v>
      </c>
      <c r="E2771" t="n">
        <v>0.9940350441158196</v>
      </c>
    </row>
    <row r="2772">
      <c r="A2772" t="inlineStr">
        <is>
          <t>G|REV_DEBT x CHANNEL|where 2022|outcome_loans|band|3</t>
        </is>
      </c>
      <c r="D2772" t="n">
        <v>1.075268817204301</v>
      </c>
    </row>
    <row r="2773">
      <c r="A2773" t="inlineStr">
        <is>
          <t>G|REV_DEBT x CHANNEL|where 2022|outcome_loans|rate|4</t>
        </is>
      </c>
      <c r="B2773" t="n">
        <v>0.06611570247933884</v>
      </c>
      <c r="C2773" t="n">
        <v>0.1374045801526718</v>
      </c>
      <c r="D2773" t="n">
        <v>0.1121495327102804</v>
      </c>
      <c r="E2773" t="n">
        <v>0.1058495821727019</v>
      </c>
    </row>
    <row r="2774">
      <c r="A2774" t="inlineStr">
        <is>
          <t>G|REV_DEBT x CHANNEL|where 2022|outcome_loans|book|4</t>
        </is>
      </c>
      <c r="C2774" t="n">
        <v>1.775604582619098</v>
      </c>
      <c r="D2774" t="n">
        <v>1.449247354038017</v>
      </c>
      <c r="E2774" t="n">
        <v>1.367836523100877</v>
      </c>
    </row>
    <row r="2775">
      <c r="A2775" t="inlineStr">
        <is>
          <t>G|REV_DEBT x CHANNEL|where 2022|outcome_loans|band|4</t>
        </is>
      </c>
      <c r="C2775" t="n">
        <v>1.566412213740458</v>
      </c>
      <c r="D2775" t="n">
        <v>1.086987778576564</v>
      </c>
    </row>
    <row r="2776">
      <c r="A2776" t="inlineStr">
        <is>
          <t>G|REV_DEBT x CHANNEL|where 2022|outcome_loans|rate|5</t>
        </is>
      </c>
      <c r="B2776" t="n">
        <v>0.1071428571428571</v>
      </c>
      <c r="C2776" t="n">
        <v>0.2689075630252101</v>
      </c>
      <c r="D2776" t="n">
        <v>0.1085271317829457</v>
      </c>
      <c r="E2776" t="n">
        <v>0.1611111111111111</v>
      </c>
    </row>
    <row r="2777">
      <c r="A2777" t="inlineStr">
        <is>
          <t>G|REV_DEBT x CHANNEL|where 2022|outcome_loans|book|5</t>
        </is>
      </c>
      <c r="B2777" t="n">
        <v>1.384548811447034</v>
      </c>
      <c r="C2777" t="n">
        <v>3.474946036572949</v>
      </c>
      <c r="D2777" t="n">
        <v>1.40243703898511</v>
      </c>
      <c r="E2777" t="n">
        <v>2.081951175731467</v>
      </c>
    </row>
    <row r="2778">
      <c r="A2778" t="inlineStr">
        <is>
          <t>G|REV_DEBT x CHANNEL|where 2022|outcome_loans|band|5</t>
        </is>
      </c>
      <c r="B2778" t="n">
        <v>0.577639751552795</v>
      </c>
      <c r="C2778" t="n">
        <v>2.492566257272139</v>
      </c>
      <c r="D2778" t="n">
        <v>0.5697674418604651</v>
      </c>
    </row>
    <row r="2779">
      <c r="A2779" t="inlineStr">
        <is>
          <t>G|REV_DEBT x CHANNEL|where 2022|outcome_loans|rate|6</t>
        </is>
      </c>
      <c r="B2779" t="n">
        <v>0.05996472663139329</v>
      </c>
      <c r="C2779" t="n">
        <v>0.1090909090909091</v>
      </c>
      <c r="D2779" t="n">
        <v>0.07908611599297012</v>
      </c>
      <c r="E2779" t="n">
        <v>0.0832854681217691</v>
      </c>
    </row>
    <row r="2780">
      <c r="A2780" t="inlineStr">
        <is>
          <t>G|REV_DEBT x CHANNEL|where 2022|outcome_loans|book|6</t>
        </is>
      </c>
      <c r="B2780" t="n">
        <v>0.7748915158715912</v>
      </c>
      <c r="C2780" t="n">
        <v>1.409722426200617</v>
      </c>
      <c r="D2780" t="n">
        <v>1.021986820400271</v>
      </c>
      <c r="E2780" t="n">
        <v>1.076252761722182</v>
      </c>
    </row>
    <row r="2781">
      <c r="A2781" t="inlineStr">
        <is>
          <t>G|REV_DEBT x CHANNEL|where 2022|outcome_loans|band|6</t>
        </is>
      </c>
    </row>
    <row r="2782">
      <c r="A2782" t="inlineStr">
        <is>
          <t>G|REV_DEBT x CHANNEL|where 2022|outcome_loans|meta</t>
        </is>
      </c>
      <c r="B2782" t="inlineStr">
        <is>
          <t>x</t>
        </is>
      </c>
      <c r="C2782" t="n">
        <v>3.474946036572949</v>
      </c>
      <c r="D2782" t="n">
        <v>10</v>
      </c>
      <c r="E2782" t="n">
        <v>0.07738467308413552</v>
      </c>
      <c r="F2782" t="n">
        <v>30</v>
      </c>
    </row>
    <row r="2783">
      <c r="A2783" t="inlineStr">
        <is>
          <t>G|REV_DEBT x CHANNEL|where 2022|outcome_booked|rate|1</t>
        </is>
      </c>
      <c r="B2783" t="n">
        <v>0.02793721082232468</v>
      </c>
      <c r="C2783" t="n">
        <v>0.02339033879202463</v>
      </c>
      <c r="D2783" t="n">
        <v>0.02255942656150145</v>
      </c>
      <c r="E2783" t="n">
        <v>0.02444213509033554</v>
      </c>
    </row>
    <row r="2784">
      <c r="A2784" t="inlineStr">
        <is>
          <t>G|REV_DEBT x CHANNEL|where 2022|outcome_booked|book|1</t>
        </is>
      </c>
      <c r="E2784" t="n">
        <v>0.3266404471468989</v>
      </c>
    </row>
    <row r="2785">
      <c r="A2785" t="inlineStr">
        <is>
          <t>G|REV_DEBT x CHANNEL|where 2022|outcome_booked|band|1</t>
        </is>
      </c>
    </row>
    <row r="2786">
      <c r="A2786" t="inlineStr">
        <is>
          <t>G|REV_DEBT x CHANNEL|where 2022|outcome_booked|rate|2</t>
        </is>
      </c>
      <c r="B2786" t="n">
        <v>0.01661190705099927</v>
      </c>
      <c r="C2786" t="n">
        <v>0.04302153891718384</v>
      </c>
      <c r="D2786" t="n">
        <v>0.0465057404467495</v>
      </c>
      <c r="E2786" t="n">
        <v>0.03543619185478145</v>
      </c>
    </row>
    <row r="2787">
      <c r="A2787" t="inlineStr">
        <is>
          <t>G|REV_DEBT x CHANNEL|where 2022|outcome_booked|book|2</t>
        </is>
      </c>
      <c r="E2787" t="n">
        <v>0.4735631118087487</v>
      </c>
    </row>
    <row r="2788">
      <c r="A2788" t="inlineStr">
        <is>
          <t>G|REV_DEBT x CHANNEL|where 2022|outcome_booked|band|2</t>
        </is>
      </c>
    </row>
    <row r="2789">
      <c r="A2789" t="inlineStr">
        <is>
          <t>G|REV_DEBT x CHANNEL|where 2022|outcome_booked|rate|3</t>
        </is>
      </c>
      <c r="B2789" t="n">
        <v>0.08066335708639547</v>
      </c>
      <c r="C2789" t="n">
        <v>0.07113790686611812</v>
      </c>
      <c r="D2789" t="n">
        <v>0.07561472308907898</v>
      </c>
      <c r="E2789" t="n">
        <v>0.07560307963644741</v>
      </c>
    </row>
    <row r="2790">
      <c r="A2790" t="inlineStr">
        <is>
          <t>G|REV_DEBT x CHANNEL|where 2022|outcome_booked|book|3</t>
        </is>
      </c>
      <c r="D2790" t="n">
        <v>1.010502023224299</v>
      </c>
      <c r="E2790" t="n">
        <v>1.010346422146085</v>
      </c>
    </row>
    <row r="2791">
      <c r="A2791" t="inlineStr">
        <is>
          <t>G|REV_DEBT x CHANNEL|where 2022|outcome_booked|band|3</t>
        </is>
      </c>
      <c r="D2791" t="n">
        <v>1.000226557178822</v>
      </c>
    </row>
    <row r="2792">
      <c r="A2792" t="inlineStr">
        <is>
          <t>G|REV_DEBT x CHANNEL|where 2022|outcome_booked|rate|4</t>
        </is>
      </c>
      <c r="B2792" t="n">
        <v>0.05656667002583665</v>
      </c>
      <c r="C2792" t="n">
        <v>0.169932011262907</v>
      </c>
      <c r="D2792" t="n">
        <v>0.07030148670135344</v>
      </c>
      <c r="E2792" t="n">
        <v>0.1040438813632008</v>
      </c>
    </row>
    <row r="2793">
      <c r="A2793" t="inlineStr">
        <is>
          <t>G|REV_DEBT x CHANNEL|where 2022|outcome_booked|book|4</t>
        </is>
      </c>
      <c r="C2793" t="n">
        <v>2.27094187714539</v>
      </c>
      <c r="D2793" t="n">
        <v>0.9394968551786455</v>
      </c>
      <c r="E2793" t="n">
        <v>1.390424355555277</v>
      </c>
    </row>
    <row r="2794">
      <c r="A2794" t="inlineStr">
        <is>
          <t>G|REV_DEBT x CHANNEL|where 2022|outcome_booked|band|4</t>
        </is>
      </c>
      <c r="C2794" t="n">
        <v>2.707204517514953</v>
      </c>
      <c r="D2794" t="n">
        <v>0.6007787312255558</v>
      </c>
    </row>
    <row r="2795">
      <c r="A2795" t="inlineStr">
        <is>
          <t>G|REV_DEBT x CHANNEL|where 2022|outcome_booked|rate|5</t>
        </is>
      </c>
      <c r="B2795" t="n">
        <v>0.1174231096010212</v>
      </c>
      <c r="C2795" t="n">
        <v>0.2322637048807802</v>
      </c>
      <c r="D2795" t="n">
        <v>0.114221289905999</v>
      </c>
      <c r="E2795" t="n">
        <v>0.153957933178023</v>
      </c>
    </row>
    <row r="2796">
      <c r="A2796" t="inlineStr">
        <is>
          <t>G|REV_DEBT x CHANNEL|where 2022|outcome_booked|book|5</t>
        </is>
      </c>
      <c r="B2796" t="n">
        <v>1.569222037424323</v>
      </c>
      <c r="C2796" t="n">
        <v>3.103931802105588</v>
      </c>
      <c r="D2796" t="n">
        <v>1.52643347525492</v>
      </c>
      <c r="E2796" t="n">
        <v>2.057467072709459</v>
      </c>
    </row>
    <row r="2797">
      <c r="A2797" t="inlineStr">
        <is>
          <t>G|REV_DEBT x CHANNEL|where 2022|outcome_booked|band|5</t>
        </is>
      </c>
      <c r="B2797" t="n">
        <v>0.6852654162196141</v>
      </c>
      <c r="C2797" t="n">
        <v>2.006460704266804</v>
      </c>
      <c r="D2797" t="n">
        <v>0.6515288795284691</v>
      </c>
    </row>
    <row r="2798">
      <c r="A2798" t="inlineStr">
        <is>
          <t>G|REV_DEBT x CHANNEL|where 2022|outcome_booked|rate|6</t>
        </is>
      </c>
      <c r="B2798" t="n">
        <v>0.06181784741283931</v>
      </c>
      <c r="C2798" t="n">
        <v>0.109699825984744</v>
      </c>
      <c r="D2798" t="n">
        <v>0.0676858861584376</v>
      </c>
      <c r="E2798" t="n">
        <v>0.08074685661595557</v>
      </c>
    </row>
    <row r="2799">
      <c r="A2799" t="inlineStr">
        <is>
          <t>G|REV_DEBT x CHANNEL|where 2022|outcome_booked|book|6</t>
        </is>
      </c>
      <c r="B2799" t="n">
        <v>0.8261229735438551</v>
      </c>
      <c r="C2799" t="n">
        <v>1.466009416900816</v>
      </c>
      <c r="D2799" t="n">
        <v>0.904542423917298</v>
      </c>
      <c r="E2799" t="n">
        <v>1.079086964099591</v>
      </c>
    </row>
    <row r="2800">
      <c r="A2800" t="inlineStr">
        <is>
          <t>G|REV_DEBT x CHANNEL|where 2022|outcome_booked|band|6</t>
        </is>
      </c>
    </row>
    <row r="2801">
      <c r="A2801" t="inlineStr">
        <is>
          <t>G|REV_DEBT x CHANNEL|where 2022|outcome_booked|meta</t>
        </is>
      </c>
      <c r="B2801" t="inlineStr">
        <is>
          <t>x</t>
        </is>
      </c>
      <c r="C2801" t="n">
        <v>3.103931802105588</v>
      </c>
      <c r="D2801" t="n">
        <v>10</v>
      </c>
      <c r="E2801" t="n">
        <v>0.07482886857347235</v>
      </c>
      <c r="F2801" t="n">
        <v>30</v>
      </c>
    </row>
    <row r="2802">
      <c r="A2802" t="inlineStr">
        <is>
          <t>G|REV_DEBT x CHANNEL|where 2022|gco_rate|rate|1</t>
        </is>
      </c>
      <c r="B2802" t="n">
        <v>0.01294789886209141</v>
      </c>
      <c r="C2802" t="n">
        <v>0.01121637716242286</v>
      </c>
      <c r="D2802" t="n">
        <v>0.01258371513451157</v>
      </c>
      <c r="E2802" t="n">
        <v>0.01214691258055978</v>
      </c>
    </row>
    <row r="2803">
      <c r="A2803" t="inlineStr">
        <is>
          <t>G|REV_DEBT x CHANNEL|where 2022|gco_rate|book|1</t>
        </is>
      </c>
      <c r="E2803" t="n">
        <v>0.291956137840737</v>
      </c>
    </row>
    <row r="2804">
      <c r="A2804" t="inlineStr">
        <is>
          <t>G|REV_DEBT x CHANNEL|where 2022|gco_rate|band|1</t>
        </is>
      </c>
    </row>
    <row r="2805">
      <c r="A2805" t="inlineStr">
        <is>
          <t>G|REV_DEBT x CHANNEL|where 2022|gco_rate|rate|2</t>
        </is>
      </c>
      <c r="B2805" t="n">
        <v>0.01323598430265157</v>
      </c>
      <c r="C2805" t="n">
        <v>0.02136063686301115</v>
      </c>
      <c r="D2805" t="n">
        <v>0.02789481788714518</v>
      </c>
      <c r="E2805" t="n">
        <v>0.02098650541280223</v>
      </c>
    </row>
    <row r="2806">
      <c r="A2806" t="inlineStr">
        <is>
          <t>G|REV_DEBT x CHANNEL|where 2022|gco_rate|book|2</t>
        </is>
      </c>
      <c r="E2806" t="n">
        <v>0.5044194585627864</v>
      </c>
    </row>
    <row r="2807">
      <c r="A2807" t="inlineStr">
        <is>
          <t>G|REV_DEBT x CHANNEL|where 2022|gco_rate|band|2</t>
        </is>
      </c>
    </row>
    <row r="2808">
      <c r="A2808" t="inlineStr">
        <is>
          <t>G|REV_DEBT x CHANNEL|where 2022|gco_rate|rate|3</t>
        </is>
      </c>
      <c r="B2808" t="n">
        <v>0.05075359655434791</v>
      </c>
      <c r="C2808" t="n">
        <v>0.04072712390283739</v>
      </c>
      <c r="D2808" t="n">
        <v>0.04205193871548481</v>
      </c>
      <c r="E2808" t="n">
        <v>0.04434256638848543</v>
      </c>
    </row>
    <row r="2809">
      <c r="A2809" t="inlineStr">
        <is>
          <t>G|REV_DEBT x CHANNEL|where 2022|gco_rate|book|3</t>
        </is>
      </c>
      <c r="D2809" t="n">
        <v>1.010735982058292</v>
      </c>
      <c r="E2809" t="n">
        <v>1.065792178783596</v>
      </c>
    </row>
    <row r="2810">
      <c r="A2810" t="inlineStr">
        <is>
          <t>G|REV_DEBT x CHANNEL|where 2022|gco_rate|band|3</t>
        </is>
      </c>
      <c r="D2810" t="n">
        <v>0.9258180641330221</v>
      </c>
    </row>
    <row r="2811">
      <c r="A2811" t="inlineStr">
        <is>
          <t>G|REV_DEBT x CHANNEL|where 2022|gco_rate|rate|4</t>
        </is>
      </c>
      <c r="B2811" t="n">
        <v>0.02488203697581746</v>
      </c>
      <c r="C2811" t="n">
        <v>0.09913282339628442</v>
      </c>
      <c r="D2811" t="n">
        <v>0.03751891239347004</v>
      </c>
      <c r="E2811" t="n">
        <v>0.05698927649933207</v>
      </c>
    </row>
    <row r="2812">
      <c r="A2812" t="inlineStr">
        <is>
          <t>G|REV_DEBT x CHANNEL|where 2022|gco_rate|book|4</t>
        </is>
      </c>
      <c r="C2812" t="n">
        <v>2.382698982978378</v>
      </c>
      <c r="D2812" t="n">
        <v>0.9017827934246709</v>
      </c>
      <c r="E2812" t="n">
        <v>1.369761159861423</v>
      </c>
    </row>
    <row r="2813">
      <c r="A2813" t="inlineStr">
        <is>
          <t>G|REV_DEBT x CHANNEL|where 2022|gco_rate|band|4</t>
        </is>
      </c>
      <c r="C2813" t="n">
        <v>3.240720485627818</v>
      </c>
      <c r="D2813" t="n">
        <v>0.5819113428658546</v>
      </c>
    </row>
    <row r="2814">
      <c r="A2814" t="inlineStr">
        <is>
          <t>G|REV_DEBT x CHANNEL|where 2022|gco_rate|rate|5</t>
        </is>
      </c>
      <c r="B2814" t="n">
        <v>0.0611584816650624</v>
      </c>
      <c r="C2814" t="n">
        <v>0.1395689862078765</v>
      </c>
      <c r="D2814" t="n">
        <v>0.06072093737430512</v>
      </c>
      <c r="E2814" t="n">
        <v>0.08671484016037891</v>
      </c>
    </row>
    <row r="2815">
      <c r="A2815" t="inlineStr">
        <is>
          <t>G|REV_DEBT x CHANNEL|where 2022|gco_rate|book|5</t>
        </is>
      </c>
      <c r="B2815" t="n">
        <v>1.469969754430577</v>
      </c>
      <c r="C2815" t="n">
        <v>3.354599113589808</v>
      </c>
      <c r="D2815" t="n">
        <v>1.459453193912293</v>
      </c>
      <c r="E2815" t="n">
        <v>2.084227548259375</v>
      </c>
    </row>
    <row r="2816">
      <c r="A2816" t="inlineStr">
        <is>
          <t>G|REV_DEBT x CHANNEL|where 2022|gco_rate|band|5</t>
        </is>
      </c>
      <c r="B2816" t="n">
        <v>0.6184893220463854</v>
      </c>
      <c r="C2816" t="n">
        <v>2.290610020132391</v>
      </c>
      <c r="D2816" t="n">
        <v>0.6030833234930835</v>
      </c>
    </row>
    <row r="2817">
      <c r="A2817" t="inlineStr">
        <is>
          <t>G|REV_DEBT x CHANNEL|where 2022|gco_rate|rate|6</t>
        </is>
      </c>
      <c r="B2817" t="n">
        <v>0.0336440355306201</v>
      </c>
      <c r="C2817" t="n">
        <v>0.06350983582025496</v>
      </c>
      <c r="D2817" t="n">
        <v>0.0371546321831619</v>
      </c>
      <c r="E2817" t="n">
        <v>0.04540234576679109</v>
      </c>
    </row>
    <row r="2818">
      <c r="A2818" t="inlineStr">
        <is>
          <t>G|REV_DEBT x CHANNEL|where 2022|gco_rate|book|6</t>
        </is>
      </c>
      <c r="B2818" t="n">
        <v>0.8086485030456777</v>
      </c>
      <c r="C2818" t="n">
        <v>1.526485537621811</v>
      </c>
      <c r="D2818" t="n">
        <v>0.8930271658042344</v>
      </c>
      <c r="E2818" t="n">
        <v>1.091264420573544</v>
      </c>
    </row>
    <row r="2819">
      <c r="A2819" t="inlineStr">
        <is>
          <t>G|REV_DEBT x CHANNEL|where 2022|gco_rate|band|6</t>
        </is>
      </c>
    </row>
    <row r="2820">
      <c r="A2820" t="inlineStr">
        <is>
          <t>G|REV_DEBT x CHANNEL|where 2022|gco_rate|meta</t>
        </is>
      </c>
      <c r="B2820" t="inlineStr">
        <is>
          <t>x</t>
        </is>
      </c>
      <c r="C2820" t="n">
        <v>3.354599113589808</v>
      </c>
      <c r="D2820" t="n">
        <v>10</v>
      </c>
      <c r="E2820" t="n">
        <v>0.04160526533333565</v>
      </c>
      <c r="F2820" t="n">
        <v>30</v>
      </c>
    </row>
    <row r="2821">
      <c r="A2821" t="inlineStr">
        <is>
          <t>G|REV_DEBT x CHANNEL|where 2022|ranr_rate|rate|1</t>
        </is>
      </c>
      <c r="B2821" t="n">
        <v>0.1432814227710763</v>
      </c>
      <c r="C2821" t="n">
        <v>0.1645554064402058</v>
      </c>
      <c r="D2821" t="n">
        <v>0.2180427478611173</v>
      </c>
      <c r="E2821" t="n">
        <v>0.1752466259617571</v>
      </c>
    </row>
    <row r="2822">
      <c r="A2822" t="inlineStr">
        <is>
          <t>G|REV_DEBT x CHANNEL|where 2022|ranr_rate|book|1</t>
        </is>
      </c>
      <c r="B2822" t="n">
        <v>1.529137312</v>
      </c>
      <c r="C2822" t="n">
        <v>3.656535679</v>
      </c>
      <c r="D2822" t="n">
        <v>9.005269821000001</v>
      </c>
      <c r="E2822" t="n">
        <v>4.725657631</v>
      </c>
    </row>
    <row r="2823">
      <c r="A2823" t="inlineStr">
        <is>
          <t>G|REV_DEBT x CHANNEL|where 2022|ranr_rate|band|1</t>
        </is>
      </c>
      <c r="B2823" t="n">
        <v>-4.494828722</v>
      </c>
      <c r="C2823" t="n">
        <v>-1.771204691</v>
      </c>
      <c r="D2823" t="n">
        <v>6.245493427</v>
      </c>
    </row>
    <row r="2824">
      <c r="A2824" t="inlineStr">
        <is>
          <t>G|REV_DEBT x CHANNEL|where 2022|ranr_rate|rate|2</t>
        </is>
      </c>
      <c r="B2824" t="n">
        <v>0.1776123542896753</v>
      </c>
      <c r="C2824" t="n">
        <v>0.1726478019170055</v>
      </c>
      <c r="D2824" t="n">
        <v>0.1993817007474346</v>
      </c>
      <c r="E2824" t="n">
        <v>0.1838985791443699</v>
      </c>
    </row>
    <row r="2825">
      <c r="A2825" t="inlineStr">
        <is>
          <t>G|REV_DEBT x CHANNEL|where 2022|ranr_rate|book|2</t>
        </is>
      </c>
      <c r="B2825" t="n">
        <v>4.962230464</v>
      </c>
      <c r="C2825" t="n">
        <v>4.465775227</v>
      </c>
      <c r="D2825" t="n">
        <v>7.13916511</v>
      </c>
      <c r="E2825" t="n">
        <v>5.59085295</v>
      </c>
    </row>
    <row r="2826">
      <c r="A2826" t="inlineStr">
        <is>
          <t>G|REV_DEBT x CHANNEL|where 2022|ranr_rate|band|2</t>
        </is>
      </c>
      <c r="B2826" t="n">
        <v>-0.944649582</v>
      </c>
      <c r="C2826" t="n">
        <v>-1.622876012</v>
      </c>
      <c r="D2826" t="n">
        <v>2.41439915</v>
      </c>
    </row>
    <row r="2827">
      <c r="A2827" t="inlineStr">
        <is>
          <t>G|REV_DEBT x CHANNEL|where 2022|ranr_rate|rate|3</t>
        </is>
      </c>
      <c r="B2827" t="n">
        <v>0.1781198360365314</v>
      </c>
      <c r="C2827" t="n">
        <v>0.1859289617731212</v>
      </c>
      <c r="D2827" t="n">
        <v>0.2309092086076989</v>
      </c>
      <c r="E2827" t="n">
        <v>0.1978450731400189</v>
      </c>
    </row>
    <row r="2828">
      <c r="A2828" t="inlineStr">
        <is>
          <t>G|REV_DEBT x CHANNEL|where 2022|ranr_rate|book|3</t>
        </is>
      </c>
      <c r="B2828" t="n">
        <v>5.012978639</v>
      </c>
      <c r="C2828" t="n">
        <v>5.793891212</v>
      </c>
      <c r="D2828" t="n">
        <v>10.291915896</v>
      </c>
      <c r="E2828" t="n">
        <v>6.985502349</v>
      </c>
    </row>
    <row r="2829">
      <c r="A2829" t="inlineStr">
        <is>
          <t>G|REV_DEBT x CHANNEL|where 2022|ranr_rate|band|3</t>
        </is>
      </c>
      <c r="B2829" t="n">
        <v>-2.893469116</v>
      </c>
      <c r="C2829" t="n">
        <v>-1.866380499</v>
      </c>
      <c r="D2829" t="n">
        <v>4.863637559</v>
      </c>
    </row>
    <row r="2830">
      <c r="A2830" t="inlineStr">
        <is>
          <t>G|REV_DEBT x CHANNEL|where 2022|ranr_rate|rate|4</t>
        </is>
      </c>
      <c r="B2830" t="n">
        <v>0.2522349375517884</v>
      </c>
      <c r="C2830" t="n">
        <v>0.18367007382833</v>
      </c>
      <c r="D2830" t="n">
        <v>0.2847915409685193</v>
      </c>
      <c r="E2830" t="n">
        <v>0.2348682754649324</v>
      </c>
    </row>
    <row r="2831">
      <c r="A2831" t="inlineStr">
        <is>
          <t>G|REV_DEBT x CHANNEL|where 2022|ranr_rate|book|4</t>
        </is>
      </c>
      <c r="B2831" t="n">
        <v>12.42448879</v>
      </c>
      <c r="C2831" t="n">
        <v>5.568002418</v>
      </c>
      <c r="D2831" t="n">
        <v>15.680149132</v>
      </c>
      <c r="E2831" t="n">
        <v>10.687822582</v>
      </c>
    </row>
    <row r="2832">
      <c r="A2832" t="inlineStr">
        <is>
          <t>G|REV_DEBT x CHANNEL|where 2022|ranr_rate|band|4</t>
        </is>
      </c>
      <c r="B2832" t="n">
        <v>2.619954277</v>
      </c>
      <c r="C2832" t="n">
        <v>-8.326973990000001</v>
      </c>
      <c r="D2832" t="n">
        <v>6.911792868</v>
      </c>
    </row>
    <row r="2833">
      <c r="A2833" t="inlineStr">
        <is>
          <t>G|REV_DEBT x CHANNEL|where 2022|ranr_rate|rate|5</t>
        </is>
      </c>
      <c r="B2833" t="n">
        <v>0.2691748313144237</v>
      </c>
      <c r="C2833" t="n">
        <v>0.1981040321486093</v>
      </c>
      <c r="D2833" t="n">
        <v>0.2985338304899133</v>
      </c>
      <c r="E2833" t="n">
        <v>0.2561346428742481</v>
      </c>
    </row>
    <row r="2834">
      <c r="A2834" t="inlineStr">
        <is>
          <t>G|REV_DEBT x CHANNEL|where 2022|ranr_rate|book|5</t>
        </is>
      </c>
      <c r="B2834" t="n">
        <v>14.118478167</v>
      </c>
      <c r="C2834" t="n">
        <v>7.01139825</v>
      </c>
      <c r="D2834" t="n">
        <v>17.054378084</v>
      </c>
      <c r="E2834" t="n">
        <v>12.814459323</v>
      </c>
    </row>
    <row r="2835">
      <c r="A2835" t="inlineStr">
        <is>
          <t>G|REV_DEBT x CHANNEL|where 2022|ranr_rate|band|5</t>
        </is>
      </c>
      <c r="B2835" t="n">
        <v>1.924935058</v>
      </c>
      <c r="C2835" t="n">
        <v>-8.633976874</v>
      </c>
      <c r="D2835" t="n">
        <v>6.518483028</v>
      </c>
    </row>
    <row r="2836">
      <c r="A2836" t="inlineStr">
        <is>
          <t>G|REV_DEBT x CHANNEL|where 2022|ranr_rate|rate|6</t>
        </is>
      </c>
      <c r="B2836" t="n">
        <v>0.2073122468897271</v>
      </c>
      <c r="C2836" t="n">
        <v>0.1811423233778289</v>
      </c>
      <c r="D2836" t="n">
        <v>0.2468550581452217</v>
      </c>
      <c r="E2836" t="n">
        <v>0.2108129091146171</v>
      </c>
    </row>
    <row r="2837">
      <c r="A2837" t="inlineStr">
        <is>
          <t>G|REV_DEBT x CHANNEL|where 2022|ranr_rate|book|6</t>
        </is>
      </c>
      <c r="B2837" t="n">
        <v>7.932219724</v>
      </c>
      <c r="C2837" t="n">
        <v>5.315227373</v>
      </c>
      <c r="D2837" t="n">
        <v>11.88650085</v>
      </c>
      <c r="E2837" t="n">
        <v>8.282285947</v>
      </c>
    </row>
    <row r="2838">
      <c r="A2838" t="inlineStr">
        <is>
          <t>G|REV_DEBT x CHANNEL|where 2022|ranr_rate|band|6</t>
        </is>
      </c>
    </row>
    <row r="2839">
      <c r="A2839" t="inlineStr">
        <is>
          <t>G|REV_DEBT x CHANNEL|where 2022|ranr_rate|meta</t>
        </is>
      </c>
      <c r="B2839" t="inlineStr">
        <is>
          <t>pts</t>
        </is>
      </c>
      <c r="C2839" t="n">
        <v>17.054378084</v>
      </c>
      <c r="D2839" t="n">
        <v>10</v>
      </c>
      <c r="E2839" t="n">
        <v>0.1279900496481481</v>
      </c>
      <c r="F2839" t="n">
        <v>30</v>
      </c>
    </row>
    <row r="2840">
      <c r="A2840" t="inlineStr">
        <is>
          <t>G|REV_DEBT x CHANNEL|where 2022|contribution_rate|rate|1</t>
        </is>
      </c>
      <c r="B2840" t="n">
        <v>0.1562293216331677</v>
      </c>
      <c r="C2840" t="n">
        <v>0.1757717836026287</v>
      </c>
      <c r="D2840" t="n">
        <v>0.2306264629956289</v>
      </c>
      <c r="E2840" t="n">
        <v>0.1873935385423169</v>
      </c>
    </row>
    <row r="2841">
      <c r="A2841" t="inlineStr">
        <is>
          <t>G|REV_DEBT x CHANNEL|where 2022|contribution_rate|book|1</t>
        </is>
      </c>
      <c r="B2841" t="n">
        <v>-1.33631341</v>
      </c>
      <c r="C2841" t="n">
        <v>0.617932787</v>
      </c>
      <c r="D2841" t="n">
        <v>6.103400726</v>
      </c>
      <c r="E2841" t="n">
        <v>1.780108281</v>
      </c>
    </row>
    <row r="2842">
      <c r="A2842" t="inlineStr">
        <is>
          <t>G|REV_DEBT x CHANNEL|where 2022|contribution_rate|band|1</t>
        </is>
      </c>
      <c r="B2842" t="n">
        <v>-4.382196992</v>
      </c>
      <c r="C2842" t="n">
        <v>-1.925365654</v>
      </c>
      <c r="D2842" t="n">
        <v>6.30923863</v>
      </c>
    </row>
    <row r="2843">
      <c r="A2843" t="inlineStr">
        <is>
          <t>G|REV_DEBT x CHANNEL|where 2022|contribution_rate|rate|2</t>
        </is>
      </c>
      <c r="B2843" t="n">
        <v>0.1908483385923269</v>
      </c>
      <c r="C2843" t="n">
        <v>0.1940084387800167</v>
      </c>
      <c r="D2843" t="n">
        <v>0.2272765186345798</v>
      </c>
      <c r="E2843" t="n">
        <v>0.2048850845571721</v>
      </c>
    </row>
    <row r="2844">
      <c r="A2844" t="inlineStr">
        <is>
          <t>G|REV_DEBT x CHANNEL|where 2022|contribution_rate|book|2</t>
        </is>
      </c>
      <c r="B2844" t="n">
        <v>2.125588286</v>
      </c>
      <c r="C2844" t="n">
        <v>2.441598305</v>
      </c>
      <c r="D2844" t="n">
        <v>5.76840629</v>
      </c>
      <c r="E2844" t="n">
        <v>3.529262882</v>
      </c>
    </row>
    <row r="2845">
      <c r="A2845" t="inlineStr">
        <is>
          <t>G|REV_DEBT x CHANNEL|where 2022|contribution_rate|band|2</t>
        </is>
      </c>
      <c r="B2845" t="n">
        <v>-2.109343289</v>
      </c>
      <c r="C2845" t="n">
        <v>-1.568909167</v>
      </c>
      <c r="D2845" t="n">
        <v>3.49166407</v>
      </c>
    </row>
    <row r="2846">
      <c r="A2846" t="inlineStr">
        <is>
          <t>G|REV_DEBT x CHANNEL|where 2022|contribution_rate|rate|3</t>
        </is>
      </c>
      <c r="B2846" t="n">
        <v>0.2288734325908793</v>
      </c>
      <c r="C2846" t="n">
        <v>0.2266560856759586</v>
      </c>
      <c r="D2846" t="n">
        <v>0.2729611473231836</v>
      </c>
      <c r="E2846" t="n">
        <v>0.2421876395285042</v>
      </c>
    </row>
    <row r="2847">
      <c r="A2847" t="inlineStr">
        <is>
          <t>G|REV_DEBT x CHANNEL|where 2022|contribution_rate|book|3</t>
        </is>
      </c>
      <c r="B2847" t="n">
        <v>5.928097686</v>
      </c>
      <c r="C2847" t="n">
        <v>5.706362994</v>
      </c>
      <c r="D2847" t="n">
        <v>10.336869159</v>
      </c>
      <c r="E2847" t="n">
        <v>7.259518379</v>
      </c>
    </row>
    <row r="2848">
      <c r="A2848" t="inlineStr">
        <is>
          <t>G|REV_DEBT x CHANNEL|where 2022|contribution_rate|band|3</t>
        </is>
      </c>
      <c r="B2848" t="n">
        <v>-1.953043524</v>
      </c>
      <c r="C2848" t="n">
        <v>-2.432655112</v>
      </c>
      <c r="D2848" t="n">
        <v>4.526692933</v>
      </c>
    </row>
    <row r="2849">
      <c r="A2849" t="inlineStr">
        <is>
          <t>G|REV_DEBT x CHANNEL|where 2022|contribution_rate|rate|4</t>
        </is>
      </c>
      <c r="B2849" t="n">
        <v>0.2771169745276059</v>
      </c>
      <c r="C2849" t="n">
        <v>0.2828028972246144</v>
      </c>
      <c r="D2849" t="n">
        <v>0.3223104533619894</v>
      </c>
      <c r="E2849" t="n">
        <v>0.2918575519642645</v>
      </c>
    </row>
    <row r="2850">
      <c r="A2850" t="inlineStr">
        <is>
          <t>G|REV_DEBT x CHANNEL|where 2022|contribution_rate|book|4</t>
        </is>
      </c>
      <c r="B2850" t="n">
        <v>10.752451879</v>
      </c>
      <c r="C2850" t="n">
        <v>11.321044149</v>
      </c>
      <c r="D2850" t="n">
        <v>15.271799763</v>
      </c>
      <c r="E2850" t="n">
        <v>12.226509623</v>
      </c>
    </row>
    <row r="2851">
      <c r="A2851" t="inlineStr">
        <is>
          <t>G|REV_DEBT x CHANNEL|where 2022|contribution_rate|band|4</t>
        </is>
      </c>
      <c r="B2851" t="n">
        <v>-2.223780177</v>
      </c>
      <c r="C2851" t="n">
        <v>-1.472666463</v>
      </c>
      <c r="D2851" t="n">
        <v>4.216153422</v>
      </c>
    </row>
    <row r="2852">
      <c r="A2852" t="inlineStr">
        <is>
          <t>G|REV_DEBT x CHANNEL|where 2022|contribution_rate|rate|5</t>
        </is>
      </c>
      <c r="B2852" t="n">
        <v>0.3303333129794861</v>
      </c>
      <c r="C2852" t="n">
        <v>0.3376730183564858</v>
      </c>
      <c r="D2852" t="n">
        <v>0.3592547678642183</v>
      </c>
      <c r="E2852" t="n">
        <v>0.342849483034627</v>
      </c>
    </row>
    <row r="2853">
      <c r="A2853" t="inlineStr">
        <is>
          <t>G|REV_DEBT x CHANNEL|where 2022|contribution_rate|book|5</t>
        </is>
      </c>
      <c r="B2853" t="n">
        <v>16.074085724</v>
      </c>
      <c r="C2853" t="n">
        <v>16.808056262</v>
      </c>
      <c r="D2853" t="n">
        <v>18.966231213</v>
      </c>
      <c r="E2853" t="n">
        <v>17.32570273</v>
      </c>
    </row>
    <row r="2854">
      <c r="A2854" t="inlineStr">
        <is>
          <t>G|REV_DEBT x CHANNEL|where 2022|contribution_rate|band|5</t>
        </is>
      </c>
      <c r="B2854" t="n">
        <v>-1.847581777</v>
      </c>
      <c r="C2854" t="n">
        <v>-0.770170704</v>
      </c>
      <c r="D2854" t="n">
        <v>2.522160842</v>
      </c>
    </row>
    <row r="2855">
      <c r="A2855" t="inlineStr">
        <is>
          <t>G|REV_DEBT x CHANNEL|where 2022|contribution_rate|rate|6</t>
        </is>
      </c>
      <c r="B2855" t="n">
        <v>0.2409562824203472</v>
      </c>
      <c r="C2855" t="n">
        <v>0.2446521591980838</v>
      </c>
      <c r="D2855" t="n">
        <v>0.2840096903283836</v>
      </c>
      <c r="E2855" t="n">
        <v>0.2562152548814082</v>
      </c>
    </row>
    <row r="2856">
      <c r="A2856" t="inlineStr">
        <is>
          <t>G|REV_DEBT x CHANNEL|where 2022|contribution_rate|book|6</t>
        </is>
      </c>
      <c r="B2856" t="n">
        <v>7.136382669</v>
      </c>
      <c r="C2856" t="n">
        <v>7.505970346</v>
      </c>
      <c r="D2856" t="n">
        <v>11.441723459</v>
      </c>
      <c r="E2856" t="n">
        <v>8.662279914999999</v>
      </c>
    </row>
    <row r="2857">
      <c r="A2857" t="inlineStr">
        <is>
          <t>G|REV_DEBT x CHANNEL|where 2022|contribution_rate|band|6</t>
        </is>
      </c>
    </row>
    <row r="2858">
      <c r="A2858" t="inlineStr">
        <is>
          <t>G|REV_DEBT x CHANNEL|where 2022|contribution_rate|meta</t>
        </is>
      </c>
      <c r="B2858" t="inlineStr">
        <is>
          <t>pts</t>
        </is>
      </c>
      <c r="C2858" t="n">
        <v>18.966231213</v>
      </c>
      <c r="D2858" t="n">
        <v>10</v>
      </c>
      <c r="E2858" t="n">
        <v>0.1695924557349815</v>
      </c>
      <c r="F2858" t="n">
        <v>30</v>
      </c>
    </row>
    <row r="2859">
      <c r="A2859" t="inlineStr">
        <is>
          <t>G|REV_DEBT x CHANNEL|where 2022|loan_size|rate|1</t>
        </is>
      </c>
      <c r="B2859" t="n">
        <v>28287.38513761468</v>
      </c>
      <c r="C2859" t="n">
        <v>32800.79821705426</v>
      </c>
      <c r="D2859" t="n">
        <v>35000.46947916666</v>
      </c>
      <c r="E2859" t="n">
        <v>31960.09886227545</v>
      </c>
    </row>
    <row r="2860">
      <c r="A2860" t="inlineStr">
        <is>
          <t>G|REV_DEBT x CHANNEL|where 2022|loan_size|median|1</t>
        </is>
      </c>
      <c r="B2860" t="n">
        <v>26188.1</v>
      </c>
      <c r="C2860" t="n">
        <v>33015.4</v>
      </c>
      <c r="D2860" t="n">
        <v>38857.64999999999</v>
      </c>
      <c r="E2860" t="n">
        <v>32487.645</v>
      </c>
    </row>
    <row r="2861">
      <c r="A2861" t="inlineStr">
        <is>
          <t>G|REV_DEBT x CHANNEL|where 2022|loan_size|book|1</t>
        </is>
      </c>
      <c r="B2861" t="n">
        <v>0.8767859736307174</v>
      </c>
      <c r="C2861" t="n">
        <v>1.01668215922731</v>
      </c>
      <c r="D2861" t="n">
        <v>1.08486240635288</v>
      </c>
      <c r="E2861" t="n">
        <v>0.9906241337603225</v>
      </c>
    </row>
    <row r="2862">
      <c r="A2862" t="inlineStr">
        <is>
          <t>G|REV_DEBT x CHANNEL|where 2022|loan_size|band|1</t>
        </is>
      </c>
      <c r="B2862" t="n">
        <v>0.838409940161735</v>
      </c>
      <c r="C2862" t="n">
        <v>1.04357868356422</v>
      </c>
      <c r="D2862" t="n">
        <v>1.13882917805022</v>
      </c>
    </row>
    <row r="2863">
      <c r="A2863" t="inlineStr">
        <is>
          <t>G|REV_DEBT x CHANNEL|where 2022|loan_size|rate|2</t>
        </is>
      </c>
      <c r="B2863" t="n">
        <v>31619.24963963964</v>
      </c>
      <c r="C2863" t="n">
        <v>32180.2203</v>
      </c>
      <c r="D2863" t="n">
        <v>33303.88938053097</v>
      </c>
      <c r="E2863" t="n">
        <v>32379.93283950617</v>
      </c>
    </row>
    <row r="2864">
      <c r="A2864" t="inlineStr">
        <is>
          <t>G|REV_DEBT x CHANNEL|where 2022|loan_size|median|2</t>
        </is>
      </c>
      <c r="B2864" t="n">
        <v>31958.32</v>
      </c>
      <c r="C2864" t="n">
        <v>31977.375</v>
      </c>
      <c r="D2864" t="n">
        <v>34508.4</v>
      </c>
      <c r="E2864" t="n">
        <v>33425.37</v>
      </c>
    </row>
    <row r="2865">
      <c r="A2865" t="inlineStr">
        <is>
          <t>G|REV_DEBT x CHANNEL|where 2022|loan_size|book|2</t>
        </is>
      </c>
      <c r="B2865" t="n">
        <v>0.9800592895346674</v>
      </c>
      <c r="C2865" t="n">
        <v>0.9974469414589979</v>
      </c>
      <c r="D2865" t="n">
        <v>1.032275798351182</v>
      </c>
      <c r="E2865" t="n">
        <v>1.003637162030653</v>
      </c>
    </row>
    <row r="2866">
      <c r="A2866" t="inlineStr">
        <is>
          <t>G|REV_DEBT x CHANNEL|where 2022|loan_size|band|2</t>
        </is>
      </c>
      <c r="B2866" t="n">
        <v>0.964697236248592</v>
      </c>
      <c r="C2866" t="n">
        <v>0.9911032332218609</v>
      </c>
      <c r="D2866" t="n">
        <v>1.044496530101797</v>
      </c>
    </row>
    <row r="2867">
      <c r="A2867" t="inlineStr">
        <is>
          <t>G|REV_DEBT x CHANNEL|where 2022|loan_size|rate|3</t>
        </is>
      </c>
      <c r="B2867" t="n">
        <v>32742.93754385965</v>
      </c>
      <c r="C2867" t="n">
        <v>33650.54317460318</v>
      </c>
      <c r="D2867" t="n">
        <v>30281.37975806452</v>
      </c>
      <c r="E2867" t="n">
        <v>32218.55607142857</v>
      </c>
    </row>
    <row r="2868">
      <c r="A2868" t="inlineStr">
        <is>
          <t>G|REV_DEBT x CHANNEL|where 2022|loan_size|median|3</t>
        </is>
      </c>
      <c r="B2868" t="n">
        <v>33939.6</v>
      </c>
      <c r="C2868" t="n">
        <v>35109.345</v>
      </c>
      <c r="D2868" t="n">
        <v>29384.435</v>
      </c>
      <c r="E2868" t="n">
        <v>33411.355</v>
      </c>
    </row>
    <row r="2869">
      <c r="A2869" t="inlineStr">
        <is>
          <t>G|REV_DEBT x CHANNEL|where 2022|loan_size|book|3</t>
        </is>
      </c>
      <c r="B2869" t="n">
        <v>1.014888729879385</v>
      </c>
      <c r="C2869" t="n">
        <v>1.043020559058817</v>
      </c>
      <c r="D2869" t="n">
        <v>0.9385911389438145</v>
      </c>
      <c r="E2869" t="n">
        <v>0.998635183727181</v>
      </c>
    </row>
    <row r="2870">
      <c r="A2870" t="inlineStr">
        <is>
          <t>G|REV_DEBT x CHANNEL|where 2022|loan_size|band|3</t>
        </is>
      </c>
      <c r="B2870" t="n">
        <v>1.023874697891648</v>
      </c>
      <c r="C2870" t="n">
        <v>1.069614333330393</v>
      </c>
      <c r="D2870" t="n">
        <v>0.9115562579576586</v>
      </c>
    </row>
    <row r="2871">
      <c r="A2871" t="inlineStr">
        <is>
          <t>G|REV_DEBT x CHANNEL|where 2022|loan_size|rate|4</t>
        </is>
      </c>
      <c r="B2871" t="n">
        <v>31934.29586776859</v>
      </c>
      <c r="C2871" t="n">
        <v>33697.31908396947</v>
      </c>
      <c r="D2871" t="n">
        <v>29746.78719626168</v>
      </c>
      <c r="E2871" t="n">
        <v>31925.64019498607</v>
      </c>
    </row>
    <row r="2872">
      <c r="A2872" t="inlineStr">
        <is>
          <t>G|REV_DEBT x CHANNEL|where 2022|loan_size|median|4</t>
        </is>
      </c>
      <c r="B2872" t="n">
        <v>32066.69</v>
      </c>
      <c r="C2872" t="n">
        <v>32998.3</v>
      </c>
      <c r="D2872" t="n">
        <v>30024.05</v>
      </c>
      <c r="E2872" t="n">
        <v>31495.69</v>
      </c>
    </row>
    <row r="2873">
      <c r="A2873" t="inlineStr">
        <is>
          <t>G|REV_DEBT x CHANNEL|where 2022|loan_size|book|4</t>
        </is>
      </c>
      <c r="B2873" t="n">
        <v>0.9898243530965666</v>
      </c>
      <c r="C2873" t="n">
        <v>1.044470408913679</v>
      </c>
      <c r="D2873" t="n">
        <v>0.9220210934088259</v>
      </c>
      <c r="E2873" t="n">
        <v>0.9895560648666319</v>
      </c>
    </row>
    <row r="2874">
      <c r="A2874" t="inlineStr">
        <is>
          <t>G|REV_DEBT x CHANNEL|where 2022|loan_size|band|4</t>
        </is>
      </c>
      <c r="B2874" t="n">
        <v>1.000409014376463</v>
      </c>
      <c r="C2874" t="n">
        <v>1.090256377141754</v>
      </c>
      <c r="D2874" t="n">
        <v>0.9055121329212081</v>
      </c>
    </row>
    <row r="2875">
      <c r="A2875" t="inlineStr">
        <is>
          <t>G|REV_DEBT x CHANNEL|where 2022|loan_size|rate|5</t>
        </is>
      </c>
      <c r="B2875" t="n">
        <v>34213.14089285714</v>
      </c>
      <c r="C2875" t="n">
        <v>32731.29285714286</v>
      </c>
      <c r="D2875" t="n">
        <v>32189.8596124031</v>
      </c>
      <c r="E2875" t="n">
        <v>32998.29866666666</v>
      </c>
    </row>
    <row r="2876">
      <c r="A2876" t="inlineStr">
        <is>
          <t>G|REV_DEBT x CHANNEL|where 2022|loan_size|median|5</t>
        </is>
      </c>
      <c r="B2876" t="n">
        <v>35074.23</v>
      </c>
      <c r="C2876" t="n">
        <v>32367.16</v>
      </c>
      <c r="D2876" t="n">
        <v>31668.2</v>
      </c>
      <c r="E2876" t="n">
        <v>32544.73</v>
      </c>
    </row>
    <row r="2877">
      <c r="A2877" t="inlineStr">
        <is>
          <t>G|REV_DEBT x CHANNEL|where 2022|loan_size|book|5</t>
        </is>
      </c>
      <c r="B2877" t="n">
        <v>1.060458642705007</v>
      </c>
      <c r="C2877" t="n">
        <v>1.014527795210771</v>
      </c>
      <c r="D2877" t="n">
        <v>0.9977457182412763</v>
      </c>
      <c r="E2877" t="n">
        <v>1.022803814628242</v>
      </c>
    </row>
    <row r="2878">
      <c r="A2878" t="inlineStr">
        <is>
          <t>G|REV_DEBT x CHANNEL|where 2022|loan_size|band|5</t>
        </is>
      </c>
      <c r="B2878" t="n">
        <v>1.054345119109835</v>
      </c>
      <c r="C2878" t="n">
        <v>0.9879612082563655</v>
      </c>
      <c r="D2878" t="n">
        <v>0.9623344130073513</v>
      </c>
    </row>
    <row r="2879">
      <c r="A2879" t="inlineStr">
        <is>
          <t>G|REV_DEBT x CHANNEL|where 2022|loan_size|rate|6</t>
        </is>
      </c>
      <c r="B2879" t="n">
        <v>31784.26481481481</v>
      </c>
      <c r="C2879" t="n">
        <v>33055.64642975207</v>
      </c>
      <c r="D2879" t="n">
        <v>32009.97149384886</v>
      </c>
      <c r="E2879" t="n">
        <v>32299.83803561172</v>
      </c>
    </row>
    <row r="2880">
      <c r="A2880" t="inlineStr">
        <is>
          <t>G|REV_DEBT x CHANNEL|where 2022|loan_size|median|6</t>
        </is>
      </c>
      <c r="B2880" t="n">
        <v>32066.69</v>
      </c>
      <c r="C2880" t="n">
        <v>33431.25</v>
      </c>
      <c r="D2880" t="n">
        <v>31861.01</v>
      </c>
      <c r="E2880" t="n">
        <v>32367.16</v>
      </c>
    </row>
    <row r="2881">
      <c r="A2881" t="inlineStr">
        <is>
          <t>G|REV_DEBT x CHANNEL|where 2022|loan_size|book|6</t>
        </is>
      </c>
      <c r="B2881" t="n">
        <v>0.9851740426419603</v>
      </c>
      <c r="C2881" t="n">
        <v>1.024581345992409</v>
      </c>
      <c r="D2881" t="n">
        <v>0.9921699685421128</v>
      </c>
      <c r="E2881" t="n">
        <v>1.001154571283091</v>
      </c>
    </row>
    <row r="2882">
      <c r="A2882" t="inlineStr">
        <is>
          <t>G|REV_DEBT x CHANNEL|where 2022|loan_size|band|6</t>
        </is>
      </c>
    </row>
    <row r="2883">
      <c r="A2883" t="inlineStr">
        <is>
          <t>G|REV_DEBT x CHANNEL|where 2022|loan_size|meta</t>
        </is>
      </c>
      <c r="B2883" t="inlineStr">
        <is>
          <t>size</t>
        </is>
      </c>
      <c r="C2883" t="n">
        <v>1</v>
      </c>
      <c r="E2883" t="n">
        <v>32262.58857732217</v>
      </c>
      <c r="F2883" t="n">
        <v>30</v>
      </c>
    </row>
    <row r="2884">
      <c r="A2884" t="inlineStr">
        <is>
          <t>G|REV_DEBT x CHANNEL|where 2023|cols</t>
        </is>
      </c>
      <c r="B2884" t="inlineStr">
        <is>
          <t>Branch</t>
        </is>
      </c>
      <c r="C2884" t="inlineStr">
        <is>
          <t>Broker</t>
        </is>
      </c>
      <c r="D2884" t="inlineStr">
        <is>
          <t>Online</t>
        </is>
      </c>
      <c r="E2884" t="inlineStr">
        <is>
          <t>All</t>
        </is>
      </c>
    </row>
    <row r="2885">
      <c r="A2885" t="inlineStr">
        <is>
          <t>G|REV_DEBT x CHANNEL|where 2023|heads</t>
        </is>
      </c>
      <c r="B2885" t="inlineStr">
        <is>
          <t>Branch</t>
        </is>
      </c>
      <c r="C2885" t="inlineStr">
        <is>
          <t>Broker</t>
        </is>
      </c>
      <c r="D2885" t="inlineStr">
        <is>
          <t>Online</t>
        </is>
      </c>
      <c r="E2885" t="inlineStr">
        <is>
          <t>All</t>
        </is>
      </c>
    </row>
    <row r="2886">
      <c r="A2886" t="inlineStr">
        <is>
          <t>G|REV_DEBT x CHANNEL|where 2023|segs</t>
        </is>
      </c>
    </row>
    <row r="2887">
      <c r="A2887" t="inlineStr">
        <is>
          <t>G|REV_DEBT x CHANNEL|where 2023|rows</t>
        </is>
      </c>
      <c r="B2887" t="inlineStr">
        <is>
          <t>0 - 6,558</t>
        </is>
      </c>
      <c r="C2887" t="inlineStr">
        <is>
          <t>6,559 - 9,836</t>
        </is>
      </c>
      <c r="D2887" t="inlineStr">
        <is>
          <t>9,837 - 13,051</t>
        </is>
      </c>
      <c r="E2887" t="inlineStr">
        <is>
          <t>13,052 - 17,186</t>
        </is>
      </c>
      <c r="F2887" t="inlineStr">
        <is>
          <t>17,187 - 48,521</t>
        </is>
      </c>
      <c r="G2887" t="inlineStr">
        <is>
          <t>All</t>
        </is>
      </c>
    </row>
    <row r="2888">
      <c r="A2888" t="inlineStr">
        <is>
          <t>G|REV_DEBT x CHANNEL|where 2023|names</t>
        </is>
      </c>
      <c r="B2888" t="inlineStr">
        <is>
          <t>REV_DEBT</t>
        </is>
      </c>
      <c r="C2888" t="inlineStr">
        <is>
          <t>CHANNEL</t>
        </is>
      </c>
    </row>
    <row r="2889">
      <c r="A2889" t="inlineStr">
        <is>
          <t>G|REV_DEBT x CHANNEL|where 2023|total</t>
        </is>
      </c>
      <c r="B2889" t="n">
        <v>1612</v>
      </c>
    </row>
    <row r="2890">
      <c r="A2890" t="inlineStr">
        <is>
          <t>G|REV_DEBT x CHANNEL|where 2023|loans|1</t>
        </is>
      </c>
      <c r="B2890" t="n">
        <v>103</v>
      </c>
      <c r="C2890" t="n">
        <v>91</v>
      </c>
      <c r="D2890" t="n">
        <v>117</v>
      </c>
      <c r="E2890" t="n">
        <v>311</v>
      </c>
    </row>
    <row r="2891">
      <c r="A2891" t="inlineStr">
        <is>
          <t>G|REV_DEBT x CHANNEL|where 2023|loans|2</t>
        </is>
      </c>
      <c r="B2891" t="n">
        <v>98</v>
      </c>
      <c r="C2891" t="n">
        <v>112</v>
      </c>
      <c r="D2891" t="n">
        <v>133</v>
      </c>
      <c r="E2891" t="n">
        <v>343</v>
      </c>
    </row>
    <row r="2892">
      <c r="A2892" t="inlineStr">
        <is>
          <t>G|REV_DEBT x CHANNEL|where 2023|loans|3</t>
        </is>
      </c>
      <c r="B2892" t="n">
        <v>116</v>
      </c>
      <c r="C2892" t="n">
        <v>109</v>
      </c>
      <c r="D2892" t="n">
        <v>101</v>
      </c>
      <c r="E2892" t="n">
        <v>326</v>
      </c>
    </row>
    <row r="2893">
      <c r="A2893" t="inlineStr">
        <is>
          <t>G|REV_DEBT x CHANNEL|where 2023|loans|4</t>
        </is>
      </c>
      <c r="B2893" t="n">
        <v>104</v>
      </c>
      <c r="C2893" t="n">
        <v>100</v>
      </c>
      <c r="D2893" t="n">
        <v>105</v>
      </c>
      <c r="E2893" t="n">
        <v>309</v>
      </c>
    </row>
    <row r="2894">
      <c r="A2894" t="inlineStr">
        <is>
          <t>G|REV_DEBT x CHANNEL|where 2023|loans|5</t>
        </is>
      </c>
      <c r="B2894" t="n">
        <v>107</v>
      </c>
      <c r="C2894" t="n">
        <v>101</v>
      </c>
      <c r="D2894" t="n">
        <v>115</v>
      </c>
      <c r="E2894" t="n">
        <v>323</v>
      </c>
    </row>
    <row r="2895">
      <c r="A2895" t="inlineStr">
        <is>
          <t>G|REV_DEBT x CHANNEL|where 2023|loans|6</t>
        </is>
      </c>
      <c r="B2895" t="n">
        <v>528</v>
      </c>
      <c r="C2895" t="n">
        <v>513</v>
      </c>
      <c r="D2895" t="n">
        <v>571</v>
      </c>
      <c r="E2895" t="n">
        <v>1612</v>
      </c>
    </row>
    <row r="2896">
      <c r="A2896" t="inlineStr">
        <is>
          <t>G|REV_DEBT x CHANNEL|where 2023|outcome_loans|rate|1</t>
        </is>
      </c>
      <c r="B2896" t="n">
        <v>0.06796116504854369</v>
      </c>
      <c r="C2896" t="n">
        <v>0.01098901098901099</v>
      </c>
      <c r="D2896" t="n">
        <v>0.02564102564102564</v>
      </c>
      <c r="E2896" t="n">
        <v>0.03536977491961415</v>
      </c>
    </row>
    <row r="2897">
      <c r="A2897" t="inlineStr">
        <is>
          <t>G|REV_DEBT x CHANNEL|where 2023|outcome_loans|book|1</t>
        </is>
      </c>
      <c r="E2897" t="n">
        <v>0.4570643450436083</v>
      </c>
    </row>
    <row r="2898">
      <c r="A2898" t="inlineStr">
        <is>
          <t>G|REV_DEBT x CHANNEL|where 2023|outcome_loans|band|1</t>
        </is>
      </c>
    </row>
    <row r="2899">
      <c r="A2899" t="inlineStr">
        <is>
          <t>G|REV_DEBT x CHANNEL|where 2023|outcome_loans|rate|2</t>
        </is>
      </c>
      <c r="B2899" t="n">
        <v>0.03061224489795918</v>
      </c>
      <c r="C2899" t="n">
        <v>0.04464285714285714</v>
      </c>
      <c r="D2899" t="n">
        <v>0.03007518796992481</v>
      </c>
      <c r="E2899" t="n">
        <v>0.03498542274052478</v>
      </c>
    </row>
    <row r="2900">
      <c r="A2900" t="inlineStr">
        <is>
          <t>G|REV_DEBT x CHANNEL|where 2023|outcome_loans|book|2</t>
        </is>
      </c>
      <c r="E2900" t="n">
        <v>0.4520975710847459</v>
      </c>
    </row>
    <row r="2901">
      <c r="A2901" t="inlineStr">
        <is>
          <t>G|REV_DEBT x CHANNEL|where 2023|outcome_loans|band|2</t>
        </is>
      </c>
    </row>
    <row r="2902">
      <c r="A2902" t="inlineStr">
        <is>
          <t>G|REV_DEBT x CHANNEL|where 2023|outcome_loans|rate|3</t>
        </is>
      </c>
      <c r="B2902" t="n">
        <v>0.05217391304347826</v>
      </c>
      <c r="C2902" t="n">
        <v>0.07339449541284404</v>
      </c>
      <c r="D2902" t="n">
        <v>0.09900990099009901</v>
      </c>
      <c r="E2902" t="n">
        <v>0.07384615384615385</v>
      </c>
    </row>
    <row r="2903">
      <c r="A2903" t="inlineStr">
        <is>
          <t>G|REV_DEBT x CHANNEL|where 2023|outcome_loans|book|3</t>
        </is>
      </c>
      <c r="D2903" t="n">
        <v>1.279451046881748</v>
      </c>
      <c r="E2903" t="n">
        <v>0.9542736423511868</v>
      </c>
    </row>
    <row r="2904">
      <c r="A2904" t="inlineStr">
        <is>
          <t>G|REV_DEBT x CHANNEL|where 2023|outcome_loans|band|3</t>
        </is>
      </c>
      <c r="D2904" t="n">
        <v>1.584158415841584</v>
      </c>
    </row>
    <row r="2905">
      <c r="A2905" t="inlineStr">
        <is>
          <t>G|REV_DEBT x CHANNEL|where 2023|outcome_loans|rate|4</t>
        </is>
      </c>
      <c r="B2905" t="n">
        <v>0.08653846153846154</v>
      </c>
      <c r="C2905" t="n">
        <v>0.07000000000000001</v>
      </c>
      <c r="D2905" t="n">
        <v>0.1238095238095238</v>
      </c>
      <c r="E2905" t="n">
        <v>0.09385113268608414</v>
      </c>
    </row>
    <row r="2906">
      <c r="A2906" t="inlineStr">
        <is>
          <t>G|REV_DEBT x CHANNEL|where 2023|outcome_loans|book|4</t>
        </is>
      </c>
      <c r="D2906" t="n">
        <v>1.599923071005462</v>
      </c>
      <c r="E2906" t="n">
        <v>1.212787092659107</v>
      </c>
    </row>
    <row r="2907">
      <c r="A2907" t="inlineStr">
        <is>
          <t>G|REV_DEBT x CHANNEL|where 2023|outcome_loans|band|4</t>
        </is>
      </c>
      <c r="D2907" t="n">
        <v>1.578571428571429</v>
      </c>
    </row>
    <row r="2908">
      <c r="A2908" t="inlineStr">
        <is>
          <t>G|REV_DEBT x CHANNEL|where 2023|outcome_loans|rate|5</t>
        </is>
      </c>
      <c r="B2908" t="n">
        <v>0.1214953271028037</v>
      </c>
      <c r="C2908" t="n">
        <v>0.1584158415841584</v>
      </c>
      <c r="D2908" t="n">
        <v>0.06956521739130435</v>
      </c>
      <c r="E2908" t="n">
        <v>0.1145510835913313</v>
      </c>
    </row>
    <row r="2909">
      <c r="A2909" t="inlineStr">
        <is>
          <t>G|REV_DEBT x CHANNEL|where 2023|outcome_loans|book|5</t>
        </is>
      </c>
      <c r="B2909" t="n">
        <v>1.570017966874519</v>
      </c>
      <c r="C2909" t="n">
        <v>2.047121675010797</v>
      </c>
      <c r="E2909" t="n">
        <v>1.480281288605911</v>
      </c>
    </row>
    <row r="2910">
      <c r="A2910" t="inlineStr">
        <is>
          <t>G|REV_DEBT x CHANNEL|where 2023|outcome_loans|band|5</t>
        </is>
      </c>
      <c r="B2910" t="n">
        <v>1.093457943925234</v>
      </c>
      <c r="C2910" t="n">
        <v>1.674681753889675</v>
      </c>
    </row>
    <row r="2911">
      <c r="A2911" t="inlineStr">
        <is>
          <t>G|REV_DEBT x CHANNEL|where 2023|outcome_loans|rate|6</t>
        </is>
      </c>
      <c r="B2911" t="n">
        <v>0.07210626185958255</v>
      </c>
      <c r="C2911" t="n">
        <v>0.07212475633528265</v>
      </c>
      <c r="D2911" t="n">
        <v>0.06654991243432574</v>
      </c>
      <c r="E2911" t="n">
        <v>0.07014276846679081</v>
      </c>
    </row>
    <row r="2912">
      <c r="A2912" t="inlineStr">
        <is>
          <t>G|REV_DEBT x CHANNEL|where 2023|outcome_loans|book|6</t>
        </is>
      </c>
      <c r="B2912" t="n">
        <v>0.9317899654520206</v>
      </c>
      <c r="C2912" t="n">
        <v>0.9320289594926104</v>
      </c>
      <c r="D2912" t="n">
        <v>0.8599882868532659</v>
      </c>
      <c r="E2912" t="n">
        <v>0.9064168093147975</v>
      </c>
    </row>
    <row r="2913">
      <c r="A2913" t="inlineStr">
        <is>
          <t>G|REV_DEBT x CHANNEL|where 2023|outcome_loans|band|6</t>
        </is>
      </c>
    </row>
    <row r="2914">
      <c r="A2914" t="inlineStr">
        <is>
          <t>G|REV_DEBT x CHANNEL|where 2023|outcome_loans|meta</t>
        </is>
      </c>
      <c r="B2914" t="inlineStr">
        <is>
          <t>x</t>
        </is>
      </c>
      <c r="C2914" t="n">
        <v>2.047121675010797</v>
      </c>
      <c r="D2914" t="n">
        <v>10</v>
      </c>
      <c r="E2914" t="n">
        <v>0.07738467308413552</v>
      </c>
      <c r="F2914" t="n">
        <v>30</v>
      </c>
    </row>
    <row r="2915">
      <c r="A2915" t="inlineStr">
        <is>
          <t>G|REV_DEBT x CHANNEL|where 2023|outcome_booked|rate|1</t>
        </is>
      </c>
      <c r="B2915" t="n">
        <v>0.05139466925572268</v>
      </c>
      <c r="C2915" t="n">
        <v>0.01808900480239269</v>
      </c>
      <c r="D2915" t="n">
        <v>0.0181071384806605</v>
      </c>
      <c r="E2915" t="n">
        <v>0.02960486595235295</v>
      </c>
    </row>
    <row r="2916">
      <c r="A2916" t="inlineStr">
        <is>
          <t>G|REV_DEBT x CHANNEL|where 2023|outcome_booked|book|1</t>
        </is>
      </c>
      <c r="E2916" t="n">
        <v>0.3956342854935027</v>
      </c>
    </row>
    <row r="2917">
      <c r="A2917" t="inlineStr">
        <is>
          <t>G|REV_DEBT x CHANNEL|where 2023|outcome_booked|band|1</t>
        </is>
      </c>
    </row>
    <row r="2918">
      <c r="A2918" t="inlineStr">
        <is>
          <t>G|REV_DEBT x CHANNEL|where 2023|outcome_booked|rate|2</t>
        </is>
      </c>
      <c r="B2918" t="n">
        <v>0.02126015219670068</v>
      </c>
      <c r="C2918" t="n">
        <v>0.04918815204666142</v>
      </c>
      <c r="D2918" t="n">
        <v>0.03674943979506263</v>
      </c>
      <c r="E2918" t="n">
        <v>0.03687696981270253</v>
      </c>
    </row>
    <row r="2919">
      <c r="A2919" t="inlineStr">
        <is>
          <t>G|REV_DEBT x CHANNEL|where 2023|outcome_booked|book|2</t>
        </is>
      </c>
      <c r="E2919" t="n">
        <v>0.4928174181398197</v>
      </c>
    </row>
    <row r="2920">
      <c r="A2920" t="inlineStr">
        <is>
          <t>G|REV_DEBT x CHANNEL|where 2023|outcome_booked|band|2</t>
        </is>
      </c>
    </row>
    <row r="2921">
      <c r="A2921" t="inlineStr">
        <is>
          <t>G|REV_DEBT x CHANNEL|where 2023|outcome_booked|rate|3</t>
        </is>
      </c>
      <c r="B2921" t="n">
        <v>0.05293127620891653</v>
      </c>
      <c r="C2921" t="n">
        <v>0.0573773962577145</v>
      </c>
      <c r="D2921" t="n">
        <v>0.1103647190268412</v>
      </c>
      <c r="E2921" t="n">
        <v>0.07374262304480877</v>
      </c>
    </row>
    <row r="2922">
      <c r="A2922" t="inlineStr">
        <is>
          <t>G|REV_DEBT x CHANNEL|where 2023|outcome_booked|book|3</t>
        </is>
      </c>
      <c r="D2922" t="n">
        <v>1.474894932007119</v>
      </c>
      <c r="E2922" t="n">
        <v>0.9854836034625191</v>
      </c>
    </row>
    <row r="2923">
      <c r="A2923" t="inlineStr">
        <is>
          <t>G|REV_DEBT x CHANNEL|where 2023|outcome_booked|band|3</t>
        </is>
      </c>
      <c r="D2923" t="n">
        <v>2.003019047105467</v>
      </c>
    </row>
    <row r="2924">
      <c r="A2924" t="inlineStr">
        <is>
          <t>G|REV_DEBT x CHANNEL|where 2023|outcome_booked|rate|4</t>
        </is>
      </c>
      <c r="B2924" t="n">
        <v>0.0923856719386769</v>
      </c>
      <c r="C2924" t="n">
        <v>0.06832954593469827</v>
      </c>
      <c r="D2924" t="n">
        <v>0.1177510285896831</v>
      </c>
      <c r="E2924" t="n">
        <v>0.09315695046371854</v>
      </c>
    </row>
    <row r="2925">
      <c r="A2925" t="inlineStr">
        <is>
          <t>G|REV_DEBT x CHANNEL|where 2023|outcome_booked|book|4</t>
        </is>
      </c>
      <c r="D2925" t="n">
        <v>1.573604289821203</v>
      </c>
      <c r="E2925" t="n">
        <v>1.244933302342402</v>
      </c>
    </row>
    <row r="2926">
      <c r="A2926" t="inlineStr">
        <is>
          <t>G|REV_DEBT x CHANNEL|where 2023|outcome_booked|band|4</t>
        </is>
      </c>
      <c r="D2926" t="n">
        <v>1.471143653228143</v>
      </c>
    </row>
    <row r="2927">
      <c r="A2927" t="inlineStr">
        <is>
          <t>G|REV_DEBT x CHANNEL|where 2023|outcome_booked|rate|5</t>
        </is>
      </c>
      <c r="B2927" t="n">
        <v>0.1230088173454126</v>
      </c>
      <c r="C2927" t="n">
        <v>0.156841323520921</v>
      </c>
      <c r="D2927" t="n">
        <v>0.07385159891442661</v>
      </c>
      <c r="E2927" t="n">
        <v>0.1164010807892261</v>
      </c>
    </row>
    <row r="2928">
      <c r="A2928" t="inlineStr">
        <is>
          <t>G|REV_DEBT x CHANNEL|where 2023|outcome_booked|book|5</t>
        </is>
      </c>
      <c r="B2928" t="n">
        <v>1.64386846534548</v>
      </c>
      <c r="C2928" t="n">
        <v>2.09600020033609</v>
      </c>
      <c r="E2928" t="n">
        <v>1.555563821935048</v>
      </c>
    </row>
    <row r="2929">
      <c r="A2929" t="inlineStr">
        <is>
          <t>G|REV_DEBT x CHANNEL|where 2023|outcome_booked|band|5</t>
        </is>
      </c>
      <c r="B2929" t="n">
        <v>1.087358599473245</v>
      </c>
      <c r="C2929" t="n">
        <v>1.605642630236299</v>
      </c>
    </row>
    <row r="2930">
      <c r="A2930" t="inlineStr">
        <is>
          <t>G|REV_DEBT x CHANNEL|where 2023|outcome_booked|rate|6</t>
        </is>
      </c>
      <c r="B2930" t="n">
        <v>0.06961191842826146</v>
      </c>
      <c r="C2930" t="n">
        <v>0.07068453377751999</v>
      </c>
      <c r="D2930" t="n">
        <v>0.06962974692620885</v>
      </c>
      <c r="E2930" t="n">
        <v>0.06996261105776508</v>
      </c>
    </row>
    <row r="2931">
      <c r="A2931" t="inlineStr">
        <is>
          <t>G|REV_DEBT x CHANNEL|where 2023|outcome_booked|book|6</t>
        </is>
      </c>
      <c r="B2931" t="n">
        <v>0.9302815845720224</v>
      </c>
      <c r="C2931" t="n">
        <v>0.9446158297598318</v>
      </c>
      <c r="D2931" t="n">
        <v>0.9305198415213425</v>
      </c>
      <c r="E2931" t="n">
        <v>0.934968179948769</v>
      </c>
    </row>
    <row r="2932">
      <c r="A2932" t="inlineStr">
        <is>
          <t>G|REV_DEBT x CHANNEL|where 2023|outcome_booked|band|6</t>
        </is>
      </c>
    </row>
    <row r="2933">
      <c r="A2933" t="inlineStr">
        <is>
          <t>G|REV_DEBT x CHANNEL|where 2023|outcome_booked|meta</t>
        </is>
      </c>
      <c r="B2933" t="inlineStr">
        <is>
          <t>x</t>
        </is>
      </c>
      <c r="C2933" t="n">
        <v>2.09600020033609</v>
      </c>
      <c r="D2933" t="n">
        <v>10</v>
      </c>
      <c r="E2933" t="n">
        <v>0.07482886857347235</v>
      </c>
      <c r="F2933" t="n">
        <v>30</v>
      </c>
    </row>
    <row r="2934">
      <c r="A2934" t="inlineStr">
        <is>
          <t>G|REV_DEBT x CHANNEL|where 2023|gco_rate|rate|1</t>
        </is>
      </c>
      <c r="B2934" t="n">
        <v>0.03159258653550692</v>
      </c>
      <c r="C2934" t="n">
        <v>0.01403352989572057</v>
      </c>
      <c r="D2934" t="n">
        <v>0.01055994347194459</v>
      </c>
      <c r="E2934" t="n">
        <v>0.01884562419791119</v>
      </c>
    </row>
    <row r="2935">
      <c r="A2935" t="inlineStr">
        <is>
          <t>G|REV_DEBT x CHANNEL|where 2023|gco_rate|book|1</t>
        </is>
      </c>
      <c r="E2935" t="n">
        <v>0.4529624807562853</v>
      </c>
    </row>
    <row r="2936">
      <c r="A2936" t="inlineStr">
        <is>
          <t>G|REV_DEBT x CHANNEL|where 2023|gco_rate|band|1</t>
        </is>
      </c>
    </row>
    <row r="2937">
      <c r="A2937" t="inlineStr">
        <is>
          <t>G|REV_DEBT x CHANNEL|where 2023|gco_rate|rate|2</t>
        </is>
      </c>
      <c r="B2937" t="n">
        <v>0.01219337420603294</v>
      </c>
      <c r="C2937" t="n">
        <v>0.0327565559728875</v>
      </c>
      <c r="D2937" t="n">
        <v>0.02000742518537633</v>
      </c>
      <c r="E2937" t="n">
        <v>0.02228510535684902</v>
      </c>
    </row>
    <row r="2938">
      <c r="A2938" t="inlineStr">
        <is>
          <t>G|REV_DEBT x CHANNEL|where 2023|gco_rate|book|2</t>
        </is>
      </c>
      <c r="E2938" t="n">
        <v>0.5356318528028564</v>
      </c>
    </row>
    <row r="2939">
      <c r="A2939" t="inlineStr">
        <is>
          <t>G|REV_DEBT x CHANNEL|where 2023|gco_rate|band|2</t>
        </is>
      </c>
    </row>
    <row r="2940">
      <c r="A2940" t="inlineStr">
        <is>
          <t>G|REV_DEBT x CHANNEL|where 2023|gco_rate|rate|3</t>
        </is>
      </c>
      <c r="B2940" t="n">
        <v>0.02416371473942914</v>
      </c>
      <c r="C2940" t="n">
        <v>0.03368931766102612</v>
      </c>
      <c r="D2940" t="n">
        <v>0.05512160762484485</v>
      </c>
      <c r="E2940" t="n">
        <v>0.03763749199095807</v>
      </c>
    </row>
    <row r="2941">
      <c r="A2941" t="inlineStr">
        <is>
          <t>G|REV_DEBT x CHANNEL|where 2023|gco_rate|book|3</t>
        </is>
      </c>
      <c r="D2941" t="n">
        <v>1.324870955231703</v>
      </c>
      <c r="E2941" t="n">
        <v>0.9046329037782039</v>
      </c>
    </row>
    <row r="2942">
      <c r="A2942" t="inlineStr">
        <is>
          <t>G|REV_DEBT x CHANNEL|where 2023|gco_rate|band|3</t>
        </is>
      </c>
      <c r="D2942" t="n">
        <v>1.915021695298929</v>
      </c>
    </row>
    <row r="2943">
      <c r="A2943" t="inlineStr">
        <is>
          <t>G|REV_DEBT x CHANNEL|where 2023|gco_rate|rate|4</t>
        </is>
      </c>
      <c r="B2943" t="n">
        <v>0.05435121763872725</v>
      </c>
      <c r="C2943" t="n">
        <v>0.03963174061055343</v>
      </c>
      <c r="D2943" t="n">
        <v>0.07169551751091142</v>
      </c>
      <c r="E2943" t="n">
        <v>0.05545747750725644</v>
      </c>
    </row>
    <row r="2944">
      <c r="A2944" t="inlineStr">
        <is>
          <t>G|REV_DEBT x CHANNEL|where 2023|gco_rate|book|4</t>
        </is>
      </c>
      <c r="D2944" t="n">
        <v>1.723231829829634</v>
      </c>
      <c r="E2944" t="n">
        <v>1.332943728706902</v>
      </c>
    </row>
    <row r="2945">
      <c r="A2945" t="inlineStr">
        <is>
          <t>G|REV_DEBT x CHANNEL|where 2023|gco_rate|band|4</t>
        </is>
      </c>
      <c r="D2945" t="n">
        <v>1.532039712029809</v>
      </c>
    </row>
    <row r="2946">
      <c r="A2946" t="inlineStr">
        <is>
          <t>G|REV_DEBT x CHANNEL|where 2023|gco_rate|rate|5</t>
        </is>
      </c>
      <c r="B2946" t="n">
        <v>0.06463500437926459</v>
      </c>
      <c r="C2946" t="n">
        <v>0.08983499940617036</v>
      </c>
      <c r="D2946" t="n">
        <v>0.03337724486666573</v>
      </c>
      <c r="E2946" t="n">
        <v>0.06159992305694553</v>
      </c>
    </row>
    <row r="2947">
      <c r="A2947" t="inlineStr">
        <is>
          <t>G|REV_DEBT x CHANNEL|where 2023|gco_rate|book|5</t>
        </is>
      </c>
      <c r="B2947" t="n">
        <v>1.553529435791789</v>
      </c>
      <c r="C2947" t="n">
        <v>2.159221884211644</v>
      </c>
      <c r="E2947" t="n">
        <v>1.480579983408721</v>
      </c>
    </row>
    <row r="2948">
      <c r="A2948" t="inlineStr">
        <is>
          <t>G|REV_DEBT x CHANNEL|where 2023|gco_rate|band|5</t>
        </is>
      </c>
      <c r="B2948" t="n">
        <v>1.075534112644654</v>
      </c>
      <c r="C2948" t="n">
        <v>1.851125317560257</v>
      </c>
    </row>
    <row r="2949">
      <c r="A2949" t="inlineStr">
        <is>
          <t>G|REV_DEBT x CHANNEL|where 2023|gco_rate|rate|6</t>
        </is>
      </c>
      <c r="B2949" t="n">
        <v>0.03810221662153168</v>
      </c>
      <c r="C2949" t="n">
        <v>0.04240157996828298</v>
      </c>
      <c r="D2949" t="n">
        <v>0.03720922855410322</v>
      </c>
      <c r="E2949" t="n">
        <v>0.0391602258879564</v>
      </c>
    </row>
    <row r="2950">
      <c r="A2950" t="inlineStr">
        <is>
          <t>G|REV_DEBT x CHANNEL|where 2023|gco_rate|book|6</t>
        </is>
      </c>
      <c r="B2950" t="n">
        <v>0.9158027551624051</v>
      </c>
      <c r="C2950" t="n">
        <v>1.019139756195937</v>
      </c>
      <c r="D2950" t="n">
        <v>0.8943394124755127</v>
      </c>
      <c r="E2950" t="n">
        <v>0.9412324515709749</v>
      </c>
    </row>
    <row r="2951">
      <c r="A2951" t="inlineStr">
        <is>
          <t>G|REV_DEBT x CHANNEL|where 2023|gco_rate|band|6</t>
        </is>
      </c>
    </row>
    <row r="2952">
      <c r="A2952" t="inlineStr">
        <is>
          <t>G|REV_DEBT x CHANNEL|where 2023|gco_rate|meta</t>
        </is>
      </c>
      <c r="B2952" t="inlineStr">
        <is>
          <t>x</t>
        </is>
      </c>
      <c r="C2952" t="n">
        <v>2.159221884211644</v>
      </c>
      <c r="D2952" t="n">
        <v>10</v>
      </c>
      <c r="E2952" t="n">
        <v>0.04160526533333565</v>
      </c>
      <c r="F2952" t="n">
        <v>30</v>
      </c>
    </row>
    <row r="2953">
      <c r="A2953" t="inlineStr">
        <is>
          <t>G|REV_DEBT x CHANNEL|where 2023|ranr_rate|rate|1</t>
        </is>
      </c>
      <c r="B2953" t="n">
        <v>0.1152260108775846</v>
      </c>
      <c r="C2953" t="n">
        <v>0.1083691410860564</v>
      </c>
      <c r="D2953" t="n">
        <v>0.1410481189561137</v>
      </c>
      <c r="E2953" t="n">
        <v>0.1225522567482614</v>
      </c>
    </row>
    <row r="2954">
      <c r="A2954" t="inlineStr">
        <is>
          <t>G|REV_DEBT x CHANNEL|where 2023|ranr_rate|book|1</t>
        </is>
      </c>
      <c r="B2954" t="n">
        <v>-1.276403877</v>
      </c>
      <c r="C2954" t="n">
        <v>-1.962090856</v>
      </c>
      <c r="D2954" t="n">
        <v>1.305806931</v>
      </c>
      <c r="E2954" t="n">
        <v>-0.54377929</v>
      </c>
    </row>
    <row r="2955">
      <c r="A2955" t="inlineStr">
        <is>
          <t>G|REV_DEBT x CHANNEL|where 2023|ranr_rate|band|1</t>
        </is>
      </c>
      <c r="B2955" t="n">
        <v>-1.119478211</v>
      </c>
      <c r="C2955" t="n">
        <v>-2.005896862</v>
      </c>
      <c r="D2955" t="n">
        <v>2.896790537</v>
      </c>
    </row>
    <row r="2956">
      <c r="A2956" t="inlineStr">
        <is>
          <t>G|REV_DEBT x CHANNEL|where 2023|ranr_rate|rate|2</t>
        </is>
      </c>
      <c r="B2956" t="n">
        <v>0.1377698981947337</v>
      </c>
      <c r="C2956" t="n">
        <v>0.1262222595969203</v>
      </c>
      <c r="D2956" t="n">
        <v>0.1514659251568225</v>
      </c>
      <c r="E2956" t="n">
        <v>0.1393933024224844</v>
      </c>
    </row>
    <row r="2957">
      <c r="A2957" t="inlineStr">
        <is>
          <t>G|REV_DEBT x CHANNEL|where 2023|ranr_rate|book|2</t>
        </is>
      </c>
      <c r="B2957" t="n">
        <v>0.977984855</v>
      </c>
      <c r="C2957" t="n">
        <v>-0.176779005</v>
      </c>
      <c r="D2957" t="n">
        <v>2.347587551</v>
      </c>
      <c r="E2957" t="n">
        <v>1.140325277</v>
      </c>
    </row>
    <row r="2958">
      <c r="A2958" t="inlineStr">
        <is>
          <t>G|REV_DEBT x CHANNEL|where 2023|ranr_rate|band|2</t>
        </is>
      </c>
      <c r="B2958" t="n">
        <v>-0.219904635</v>
      </c>
      <c r="C2958" t="n">
        <v>-1.984248512</v>
      </c>
      <c r="D2958" t="n">
        <v>2.018870102</v>
      </c>
    </row>
    <row r="2959">
      <c r="A2959" t="inlineStr">
        <is>
          <t>G|REV_DEBT x CHANNEL|where 2023|ranr_rate|rate|3</t>
        </is>
      </c>
      <c r="B2959" t="n">
        <v>0.1441390914672144</v>
      </c>
      <c r="C2959" t="n">
        <v>0.1486825484277469</v>
      </c>
      <c r="D2959" t="n">
        <v>0.1353795649564669</v>
      </c>
      <c r="E2959" t="n">
        <v>0.1426573769736572</v>
      </c>
    </row>
    <row r="2960">
      <c r="A2960" t="inlineStr">
        <is>
          <t>G|REV_DEBT x CHANNEL|where 2023|ranr_rate|book|3</t>
        </is>
      </c>
      <c r="B2960" t="n">
        <v>1.614904182</v>
      </c>
      <c r="C2960" t="n">
        <v>2.069249878</v>
      </c>
      <c r="D2960" t="n">
        <v>0.738951531</v>
      </c>
      <c r="E2960" t="n">
        <v>1.466732733</v>
      </c>
    </row>
    <row r="2961">
      <c r="A2961" t="inlineStr">
        <is>
          <t>G|REV_DEBT x CHANNEL|where 2023|ranr_rate|band|3</t>
        </is>
      </c>
      <c r="B2961" t="n">
        <v>0.225138799</v>
      </c>
      <c r="C2961" t="n">
        <v>0.888635364</v>
      </c>
      <c r="D2961" t="n">
        <v>-1.096318473</v>
      </c>
    </row>
    <row r="2962">
      <c r="A2962" t="inlineStr">
        <is>
          <t>G|REV_DEBT x CHANNEL|where 2023|ranr_rate|rate|4</t>
        </is>
      </c>
      <c r="B2962" t="n">
        <v>0.1407470648883017</v>
      </c>
      <c r="C2962" t="n">
        <v>0.1617915042390675</v>
      </c>
      <c r="D2962" t="n">
        <v>0.162794195409961</v>
      </c>
      <c r="E2962" t="n">
        <v>0.1554588152533356</v>
      </c>
    </row>
    <row r="2963">
      <c r="A2963" t="inlineStr">
        <is>
          <t>G|REV_DEBT x CHANNEL|where 2023|ranr_rate|book|4</t>
        </is>
      </c>
      <c r="B2963" t="n">
        <v>1.275701524</v>
      </c>
      <c r="C2963" t="n">
        <v>3.380145459</v>
      </c>
      <c r="D2963" t="n">
        <v>3.480414576</v>
      </c>
      <c r="E2963" t="n">
        <v>2.746876561</v>
      </c>
    </row>
    <row r="2964">
      <c r="A2964" t="inlineStr">
        <is>
          <t>G|REV_DEBT x CHANNEL|where 2023|ranr_rate|band|4</t>
        </is>
      </c>
      <c r="B2964" t="n">
        <v>-2.155543114</v>
      </c>
      <c r="C2964" t="n">
        <v>0.951837442</v>
      </c>
      <c r="D2964" t="n">
        <v>1.124747535</v>
      </c>
    </row>
    <row r="2965">
      <c r="A2965" t="inlineStr">
        <is>
          <t>G|REV_DEBT x CHANNEL|where 2023|ranr_rate|rate|5</t>
        </is>
      </c>
      <c r="B2965" t="n">
        <v>0.203027099091556</v>
      </c>
      <c r="C2965" t="n">
        <v>0.1528880679489994</v>
      </c>
      <c r="D2965" t="n">
        <v>0.234380807841269</v>
      </c>
      <c r="E2965" t="n">
        <v>0.1982046211523345</v>
      </c>
    </row>
    <row r="2966">
      <c r="A2966" t="inlineStr">
        <is>
          <t>G|REV_DEBT x CHANNEL|where 2023|ranr_rate|book|5</t>
        </is>
      </c>
      <c r="B2966" t="n">
        <v>7.503704944</v>
      </c>
      <c r="C2966" t="n">
        <v>2.48980183</v>
      </c>
      <c r="D2966" t="n">
        <v>10.639075819</v>
      </c>
      <c r="E2966" t="n">
        <v>7.02145715</v>
      </c>
    </row>
    <row r="2967">
      <c r="A2967" t="inlineStr">
        <is>
          <t>G|REV_DEBT x CHANNEL|where 2023|ranr_rate|band|5</t>
        </is>
      </c>
      <c r="B2967" t="n">
        <v>0.721251355</v>
      </c>
      <c r="C2967" t="n">
        <v>-6.629353249</v>
      </c>
      <c r="D2967" t="n">
        <v>5.58447541</v>
      </c>
    </row>
    <row r="2968">
      <c r="A2968" t="inlineStr">
        <is>
          <t>G|REV_DEBT x CHANNEL|where 2023|ranr_rate|rate|6</t>
        </is>
      </c>
      <c r="B2968" t="n">
        <v>0.1486721090829903</v>
      </c>
      <c r="C2968" t="n">
        <v>0.1402088802872818</v>
      </c>
      <c r="D2968" t="n">
        <v>0.1649085236622783</v>
      </c>
      <c r="E2968" t="n">
        <v>0.151807487232064</v>
      </c>
    </row>
    <row r="2969">
      <c r="A2969" t="inlineStr">
        <is>
          <t>G|REV_DEBT x CHANNEL|where 2023|ranr_rate|book|6</t>
        </is>
      </c>
      <c r="B2969" t="n">
        <v>2.068205943</v>
      </c>
      <c r="C2969" t="n">
        <v>1.221883064</v>
      </c>
      <c r="D2969" t="n">
        <v>3.691847401</v>
      </c>
      <c r="E2969" t="n">
        <v>2.381743758</v>
      </c>
    </row>
    <row r="2970">
      <c r="A2970" t="inlineStr">
        <is>
          <t>G|REV_DEBT x CHANNEL|where 2023|ranr_rate|band|6</t>
        </is>
      </c>
    </row>
    <row r="2971">
      <c r="A2971" t="inlineStr">
        <is>
          <t>G|REV_DEBT x CHANNEL|where 2023|ranr_rate|meta</t>
        </is>
      </c>
      <c r="B2971" t="inlineStr">
        <is>
          <t>pts</t>
        </is>
      </c>
      <c r="C2971" t="n">
        <v>10.639075819</v>
      </c>
      <c r="D2971" t="n">
        <v>10</v>
      </c>
      <c r="E2971" t="n">
        <v>0.1279900496481481</v>
      </c>
      <c r="F2971" t="n">
        <v>30</v>
      </c>
    </row>
    <row r="2972">
      <c r="A2972" t="inlineStr">
        <is>
          <t>G|REV_DEBT x CHANNEL|where 2023|contribution_rate|rate|1</t>
        </is>
      </c>
      <c r="B2972" t="n">
        <v>0.1468185974130915</v>
      </c>
      <c r="C2972" t="n">
        <v>0.122402670981777</v>
      </c>
      <c r="D2972" t="n">
        <v>0.1516080624280583</v>
      </c>
      <c r="E2972" t="n">
        <v>0.1413978809461726</v>
      </c>
    </row>
    <row r="2973">
      <c r="A2973" t="inlineStr">
        <is>
          <t>G|REV_DEBT x CHANNEL|where 2023|contribution_rate|book|1</t>
        </is>
      </c>
      <c r="B2973" t="n">
        <v>-2.277385832</v>
      </c>
      <c r="C2973" t="n">
        <v>-4.718978475</v>
      </c>
      <c r="D2973" t="n">
        <v>-1.798439331</v>
      </c>
      <c r="E2973" t="n">
        <v>-2.819457479</v>
      </c>
    </row>
    <row r="2974">
      <c r="A2974" t="inlineStr">
        <is>
          <t>G|REV_DEBT x CHANNEL|where 2023|contribution_rate|band|1</t>
        </is>
      </c>
      <c r="B2974" t="n">
        <v>0.828306077</v>
      </c>
      <c r="C2974" t="n">
        <v>-2.68646417</v>
      </c>
      <c r="D2974" t="n">
        <v>1.599101289</v>
      </c>
    </row>
    <row r="2975">
      <c r="A2975" t="inlineStr">
        <is>
          <t>G|REV_DEBT x CHANNEL|where 2023|contribution_rate|rate|2</t>
        </is>
      </c>
      <c r="B2975" t="n">
        <v>0.1498393381455082</v>
      </c>
      <c r="C2975" t="n">
        <v>0.1589788155698078</v>
      </c>
      <c r="D2975" t="n">
        <v>0.1714733503421988</v>
      </c>
      <c r="E2975" t="n">
        <v>0.1616522149888485</v>
      </c>
    </row>
    <row r="2976">
      <c r="A2976" t="inlineStr">
        <is>
          <t>G|REV_DEBT x CHANNEL|where 2023|contribution_rate|book|2</t>
        </is>
      </c>
      <c r="B2976" t="n">
        <v>-1.975311759</v>
      </c>
      <c r="C2976" t="n">
        <v>-1.061364017</v>
      </c>
      <c r="D2976" t="n">
        <v>0.188089461</v>
      </c>
      <c r="E2976" t="n">
        <v>-0.7940240750000001</v>
      </c>
    </row>
    <row r="2977">
      <c r="A2977" t="inlineStr">
        <is>
          <t>G|REV_DEBT x CHANNEL|where 2023|contribution_rate|band|2</t>
        </is>
      </c>
      <c r="B2977" t="n">
        <v>-1.594349852</v>
      </c>
      <c r="C2977" t="n">
        <v>-0.403498695</v>
      </c>
      <c r="D2977" t="n">
        <v>1.646393759</v>
      </c>
    </row>
    <row r="2978">
      <c r="A2978" t="inlineStr">
        <is>
          <t>G|REV_DEBT x CHANNEL|where 2023|contribution_rate|rate|3</t>
        </is>
      </c>
      <c r="B2978" t="n">
        <v>0.1683028062066436</v>
      </c>
      <c r="C2978" t="n">
        <v>0.1823718660887731</v>
      </c>
      <c r="D2978" t="n">
        <v>0.1905011725813118</v>
      </c>
      <c r="E2978" t="n">
        <v>0.1802948689646153</v>
      </c>
    </row>
    <row r="2979">
      <c r="A2979" t="inlineStr">
        <is>
          <t>G|REV_DEBT x CHANNEL|where 2023|contribution_rate|book|3</t>
        </is>
      </c>
      <c r="B2979" t="n">
        <v>-0.128964953</v>
      </c>
      <c r="C2979" t="n">
        <v>1.277941035</v>
      </c>
      <c r="D2979" t="n">
        <v>2.090871685</v>
      </c>
      <c r="E2979" t="n">
        <v>1.070241323</v>
      </c>
    </row>
    <row r="2980">
      <c r="A2980" t="inlineStr">
        <is>
          <t>G|REV_DEBT x CHANNEL|where 2023|contribution_rate|band|3</t>
        </is>
      </c>
      <c r="B2980" t="n">
        <v>-1.82213147</v>
      </c>
      <c r="C2980" t="n">
        <v>0.306330386</v>
      </c>
      <c r="D2980" t="n">
        <v>1.537461969</v>
      </c>
    </row>
    <row r="2981">
      <c r="A2981" t="inlineStr">
        <is>
          <t>G|REV_DEBT x CHANNEL|where 2023|contribution_rate|rate|4</t>
        </is>
      </c>
      <c r="B2981" t="n">
        <v>0.1950982825270288</v>
      </c>
      <c r="C2981" t="n">
        <v>0.2014232448496209</v>
      </c>
      <c r="D2981" t="n">
        <v>0.2344897129208725</v>
      </c>
      <c r="E2981" t="n">
        <v>0.210916292760592</v>
      </c>
    </row>
    <row r="2982">
      <c r="A2982" t="inlineStr">
        <is>
          <t>G|REV_DEBT x CHANNEL|where 2023|contribution_rate|book|4</t>
        </is>
      </c>
      <c r="B2982" t="n">
        <v>2.550582679</v>
      </c>
      <c r="C2982" t="n">
        <v>3.183078911</v>
      </c>
      <c r="D2982" t="n">
        <v>6.489725719</v>
      </c>
      <c r="E2982" t="n">
        <v>4.132383703</v>
      </c>
    </row>
    <row r="2983">
      <c r="A2983" t="inlineStr">
        <is>
          <t>G|REV_DEBT x CHANNEL|where 2023|contribution_rate|band|4</t>
        </is>
      </c>
      <c r="B2983" t="n">
        <v>-2.317630614</v>
      </c>
      <c r="C2983" t="n">
        <v>-1.426856499</v>
      </c>
      <c r="D2983" t="n">
        <v>3.614556525</v>
      </c>
    </row>
    <row r="2984">
      <c r="A2984" t="inlineStr">
        <is>
          <t>G|REV_DEBT x CHANNEL|where 2023|contribution_rate|rate|5</t>
        </is>
      </c>
      <c r="B2984" t="n">
        <v>0.2676621034708205</v>
      </c>
      <c r="C2984" t="n">
        <v>0.2427230673551698</v>
      </c>
      <c r="D2984" t="n">
        <v>0.2677580527079348</v>
      </c>
      <c r="E2984" t="n">
        <v>0.25980454420928</v>
      </c>
    </row>
    <row r="2985">
      <c r="A2985" t="inlineStr">
        <is>
          <t>G|REV_DEBT x CHANNEL|where 2023|contribution_rate|book|5</t>
        </is>
      </c>
      <c r="B2985" t="n">
        <v>9.806964774000001</v>
      </c>
      <c r="C2985" t="n">
        <v>7.313061162</v>
      </c>
      <c r="D2985" t="n">
        <v>9.816559697000001</v>
      </c>
      <c r="E2985" t="n">
        <v>9.021208847</v>
      </c>
    </row>
    <row r="2986">
      <c r="A2986" t="inlineStr">
        <is>
          <t>G|REV_DEBT x CHANNEL|where 2023|contribution_rate|band|5</t>
        </is>
      </c>
      <c r="B2986" t="n">
        <v>1.175179096</v>
      </c>
      <c r="C2986" t="n">
        <v>-2.498847244</v>
      </c>
      <c r="D2986" t="n">
        <v>1.227773757</v>
      </c>
    </row>
    <row r="2987">
      <c r="A2987" t="inlineStr">
        <is>
          <t>G|REV_DEBT x CHANNEL|where 2023|contribution_rate|rate|6</t>
        </is>
      </c>
      <c r="B2987" t="n">
        <v>0.1867792988790907</v>
      </c>
      <c r="C2987" t="n">
        <v>0.1826104602555648</v>
      </c>
      <c r="D2987" t="n">
        <v>0.2021177522163816</v>
      </c>
      <c r="E2987" t="n">
        <v>0.1909716714812922</v>
      </c>
    </row>
    <row r="2988">
      <c r="A2988" t="inlineStr">
        <is>
          <t>G|REV_DEBT x CHANNEL|where 2023|contribution_rate|book|6</t>
        </is>
      </c>
      <c r="B2988" t="n">
        <v>1.718684314</v>
      </c>
      <c r="C2988" t="n">
        <v>1.301800452</v>
      </c>
      <c r="D2988" t="n">
        <v>3.252529648</v>
      </c>
      <c r="E2988" t="n">
        <v>2.137921575</v>
      </c>
    </row>
    <row r="2989">
      <c r="A2989" t="inlineStr">
        <is>
          <t>G|REV_DEBT x CHANNEL|where 2023|contribution_rate|band|6</t>
        </is>
      </c>
    </row>
    <row r="2990">
      <c r="A2990" t="inlineStr">
        <is>
          <t>G|REV_DEBT x CHANNEL|where 2023|contribution_rate|meta</t>
        </is>
      </c>
      <c r="B2990" t="inlineStr">
        <is>
          <t>pts</t>
        </is>
      </c>
      <c r="C2990" t="n">
        <v>9.816559697000001</v>
      </c>
      <c r="D2990" t="n">
        <v>10</v>
      </c>
      <c r="E2990" t="n">
        <v>0.1695924557349815</v>
      </c>
      <c r="F2990" t="n">
        <v>30</v>
      </c>
    </row>
    <row r="2991">
      <c r="A2991" t="inlineStr">
        <is>
          <t>G|REV_DEBT x CHANNEL|where 2023|loan_size|rate|1</t>
        </is>
      </c>
      <c r="B2991" t="n">
        <v>33885.3245631068</v>
      </c>
      <c r="C2991" t="n">
        <v>32511.63252747253</v>
      </c>
      <c r="D2991" t="n">
        <v>31206.59025641026</v>
      </c>
      <c r="E2991" t="n">
        <v>32475.62073954984</v>
      </c>
    </row>
    <row r="2992">
      <c r="A2992" t="inlineStr">
        <is>
          <t>G|REV_DEBT x CHANNEL|where 2023|loan_size|median|1</t>
        </is>
      </c>
      <c r="B2992" t="n">
        <v>35949.91</v>
      </c>
      <c r="C2992" t="n">
        <v>32408.09</v>
      </c>
      <c r="D2992" t="n">
        <v>31503.49</v>
      </c>
      <c r="E2992" t="n">
        <v>32453.05</v>
      </c>
    </row>
    <row r="2993">
      <c r="A2993" t="inlineStr">
        <is>
          <t>G|REV_DEBT x CHANNEL|where 2023|loan_size|book|1</t>
        </is>
      </c>
      <c r="B2993" t="n">
        <v>1.050297761504645</v>
      </c>
      <c r="C2993" t="n">
        <v>1.007719279857334</v>
      </c>
      <c r="D2993" t="n">
        <v>0.9672686424903244</v>
      </c>
      <c r="E2993" t="n">
        <v>1.006603070975446</v>
      </c>
    </row>
    <row r="2994">
      <c r="A2994" t="inlineStr">
        <is>
          <t>G|REV_DEBT x CHANNEL|where 2023|loan_size|band|1</t>
        </is>
      </c>
      <c r="B2994" t="n">
        <v>1.066329171438364</v>
      </c>
      <c r="C2994" t="n">
        <v>1.001568282070051</v>
      </c>
      <c r="D2994" t="n">
        <v>0.9387991991516462</v>
      </c>
    </row>
    <row r="2995">
      <c r="A2995" t="inlineStr">
        <is>
          <t>G|REV_DEBT x CHANNEL|where 2023|loan_size|rate|2</t>
        </is>
      </c>
      <c r="B2995" t="n">
        <v>29194.08132653061</v>
      </c>
      <c r="C2995" t="n">
        <v>32810.16044642857</v>
      </c>
      <c r="D2995" t="n">
        <v>33036.1109774436</v>
      </c>
      <c r="E2995" t="n">
        <v>31864.60845481049</v>
      </c>
    </row>
    <row r="2996">
      <c r="A2996" t="inlineStr">
        <is>
          <t>G|REV_DEBT x CHANNEL|where 2023|loan_size|median|2</t>
        </is>
      </c>
      <c r="B2996" t="n">
        <v>27795.515</v>
      </c>
      <c r="C2996" t="n">
        <v>32404.11</v>
      </c>
      <c r="D2996" t="n">
        <v>32294.63</v>
      </c>
      <c r="E2996" t="n">
        <v>31275.97</v>
      </c>
    </row>
    <row r="2997">
      <c r="A2997" t="inlineStr">
        <is>
          <t>G|REV_DEBT x CHANNEL|where 2023|loan_size|book|2</t>
        </is>
      </c>
      <c r="B2997" t="n">
        <v>0.9048896140668499</v>
      </c>
      <c r="C2997" t="n">
        <v>1.01697234764018</v>
      </c>
      <c r="D2997" t="n">
        <v>1.023975831891715</v>
      </c>
      <c r="E2997" t="n">
        <v>0.9876643462269664</v>
      </c>
    </row>
    <row r="2998">
      <c r="A2998" t="inlineStr">
        <is>
          <t>G|REV_DEBT x CHANNEL|where 2023|loan_size|band|2</t>
        </is>
      </c>
      <c r="B2998" t="n">
        <v>0.8864737954913938</v>
      </c>
      <c r="C2998" t="n">
        <v>1.044704653055665</v>
      </c>
      <c r="D2998" t="n">
        <v>1.061481065999081</v>
      </c>
    </row>
    <row r="2999">
      <c r="A2999" t="inlineStr">
        <is>
          <t>G|REV_DEBT x CHANNEL|where 2023|loan_size|rate|3</t>
        </is>
      </c>
      <c r="B2999" t="n">
        <v>31058.92698275862</v>
      </c>
      <c r="C2999" t="n">
        <v>31130.32623853211</v>
      </c>
      <c r="D2999" t="n">
        <v>35076.12099009901</v>
      </c>
      <c r="E2999" t="n">
        <v>32327.39052147239</v>
      </c>
    </row>
    <row r="3000">
      <c r="A3000" t="inlineStr">
        <is>
          <t>G|REV_DEBT x CHANNEL|where 2023|loan_size|median|3</t>
        </is>
      </c>
      <c r="B3000" t="n">
        <v>28963.185</v>
      </c>
      <c r="C3000" t="n">
        <v>33065.97</v>
      </c>
      <c r="D3000" t="n">
        <v>37827.45</v>
      </c>
      <c r="E3000" t="n">
        <v>33262.795</v>
      </c>
    </row>
    <row r="3001">
      <c r="A3001" t="inlineStr">
        <is>
          <t>G|REV_DEBT x CHANNEL|where 2023|loan_size|book|3</t>
        </is>
      </c>
      <c r="B3001" t="n">
        <v>0.9626917229013168</v>
      </c>
      <c r="C3001" t="n">
        <v>0.9649047894567908</v>
      </c>
      <c r="D3001" t="n">
        <v>1.08720727433367</v>
      </c>
      <c r="E3001" t="n">
        <v>1.002008578573753</v>
      </c>
    </row>
    <row r="3002">
      <c r="A3002" t="inlineStr">
        <is>
          <t>G|REV_DEBT x CHANNEL|where 2023|loan_size|band|3</t>
        </is>
      </c>
      <c r="B3002" t="n">
        <v>0.9403798375902044</v>
      </c>
      <c r="C3002" t="n">
        <v>0.9453863747582489</v>
      </c>
      <c r="D3002" t="n">
        <v>1.128084744106653</v>
      </c>
    </row>
    <row r="3003">
      <c r="A3003" t="inlineStr">
        <is>
          <t>G|REV_DEBT x CHANNEL|where 2023|loan_size|rate|4</t>
        </is>
      </c>
      <c r="B3003" t="n">
        <v>31476.37711538462</v>
      </c>
      <c r="C3003" t="n">
        <v>34508.4263</v>
      </c>
      <c r="D3003" t="n">
        <v>34154.67161904762</v>
      </c>
      <c r="E3003" t="n">
        <v>33367.72288025889</v>
      </c>
    </row>
    <row r="3004">
      <c r="A3004" t="inlineStr">
        <is>
          <t>G|REV_DEBT x CHANNEL|where 2023|loan_size|median|4</t>
        </is>
      </c>
      <c r="B3004" t="n">
        <v>29436.495</v>
      </c>
      <c r="C3004" t="n">
        <v>35218</v>
      </c>
      <c r="D3004" t="n">
        <v>36493.32</v>
      </c>
      <c r="E3004" t="n">
        <v>33261.49</v>
      </c>
    </row>
    <row r="3005">
      <c r="A3005" t="inlineStr">
        <is>
          <t>G|REV_DEBT x CHANNEL|where 2023|loan_size|book|4</t>
        </is>
      </c>
      <c r="B3005" t="n">
        <v>0.9756308623515043</v>
      </c>
      <c r="C3005" t="n">
        <v>1.069611206716886</v>
      </c>
      <c r="D3005" t="n">
        <v>1.058646349383615</v>
      </c>
      <c r="E3005" t="n">
        <v>1.034254359357685</v>
      </c>
    </row>
    <row r="3006">
      <c r="A3006" t="inlineStr">
        <is>
          <t>G|REV_DEBT x CHANNEL|where 2023|loan_size|band|4</t>
        </is>
      </c>
      <c r="B3006" t="n">
        <v>0.916950556233494</v>
      </c>
      <c r="C3006" t="n">
        <v>1.051383158720395</v>
      </c>
      <c r="D3006" t="n">
        <v>1.036161987980764</v>
      </c>
    </row>
    <row r="3007">
      <c r="A3007" t="inlineStr">
        <is>
          <t>G|REV_DEBT x CHANNEL|where 2023|loan_size|rate|5</t>
        </is>
      </c>
      <c r="B3007" t="n">
        <v>32702.86196261682</v>
      </c>
      <c r="C3007" t="n">
        <v>33082.79722772277</v>
      </c>
      <c r="D3007" t="n">
        <v>32340.32008695652</v>
      </c>
      <c r="E3007" t="n">
        <v>32692.58687306502</v>
      </c>
    </row>
    <row r="3008">
      <c r="A3008" t="inlineStr">
        <is>
          <t>G|REV_DEBT x CHANNEL|where 2023|loan_size|median|5</t>
        </is>
      </c>
      <c r="B3008" t="n">
        <v>33248.03</v>
      </c>
      <c r="C3008" t="n">
        <v>33608.08</v>
      </c>
      <c r="D3008" t="n">
        <v>32824.25</v>
      </c>
      <c r="E3008" t="n">
        <v>33360.67</v>
      </c>
    </row>
    <row r="3009">
      <c r="A3009" t="inlineStr">
        <is>
          <t>G|REV_DEBT x CHANNEL|where 2023|loan_size|book|5</t>
        </is>
      </c>
      <c r="B3009" t="n">
        <v>1.013646561069936</v>
      </c>
      <c r="C3009" t="n">
        <v>1.025422902704625</v>
      </c>
      <c r="D3009" t="n">
        <v>1.00240933889877</v>
      </c>
      <c r="E3009" t="n">
        <v>1.01332807795978</v>
      </c>
    </row>
    <row r="3010">
      <c r="A3010" t="inlineStr">
        <is>
          <t>G|REV_DEBT x CHANNEL|where 2023|loan_size|band|5</t>
        </is>
      </c>
      <c r="B3010" t="n">
        <v>1.000470059378256</v>
      </c>
      <c r="C3010" t="n">
        <v>1.017460786202044</v>
      </c>
      <c r="D3010" t="n">
        <v>0.9833665626249216</v>
      </c>
    </row>
    <row r="3011">
      <c r="A3011" t="inlineStr">
        <is>
          <t>G|REV_DEBT x CHANNEL|where 2023|loan_size|rate|6</t>
        </is>
      </c>
      <c r="B3011" t="n">
        <v>31679.53291666667</v>
      </c>
      <c r="C3011" t="n">
        <v>32785.00436647173</v>
      </c>
      <c r="D3011" t="n">
        <v>33087.6346234676</v>
      </c>
      <c r="E3011" t="n">
        <v>32530.11165632755</v>
      </c>
    </row>
    <row r="3012">
      <c r="A3012" t="inlineStr">
        <is>
          <t>G|REV_DEBT x CHANNEL|where 2023|loan_size|median|6</t>
        </is>
      </c>
      <c r="B3012" t="n">
        <v>29971.015</v>
      </c>
      <c r="C3012" t="n">
        <v>33140.91</v>
      </c>
      <c r="D3012" t="n">
        <v>33897.11</v>
      </c>
      <c r="E3012" t="n">
        <v>32687.82</v>
      </c>
    </row>
    <row r="3013">
      <c r="A3013" t="inlineStr">
        <is>
          <t>G|REV_DEBT x CHANNEL|where 2023|loan_size|book|6</t>
        </is>
      </c>
      <c r="B3013" t="n">
        <v>0.981927809070307</v>
      </c>
      <c r="C3013" t="n">
        <v>1.016192618515328</v>
      </c>
      <c r="D3013" t="n">
        <v>1.025572840944492</v>
      </c>
      <c r="E3013" t="n">
        <v>1.008292052522823</v>
      </c>
    </row>
    <row r="3014">
      <c r="A3014" t="inlineStr">
        <is>
          <t>G|REV_DEBT x CHANNEL|where 2023|loan_size|band|6</t>
        </is>
      </c>
    </row>
    <row r="3015">
      <c r="A3015" t="inlineStr">
        <is>
          <t>G|REV_DEBT x CHANNEL|where 2023|loan_size|meta</t>
        </is>
      </c>
      <c r="B3015" t="inlineStr">
        <is>
          <t>size</t>
        </is>
      </c>
      <c r="C3015" t="n">
        <v>1</v>
      </c>
      <c r="E3015" t="n">
        <v>32262.58857732217</v>
      </c>
      <c r="F3015" t="n">
        <v>30</v>
      </c>
    </row>
    <row r="3016">
      <c r="A3016" t="inlineStr">
        <is>
          <t>G|REV_DEBT x CHANNEL|where 2024|cols</t>
        </is>
      </c>
      <c r="B3016" t="inlineStr">
        <is>
          <t>Branch</t>
        </is>
      </c>
      <c r="C3016" t="inlineStr">
        <is>
          <t>Broker</t>
        </is>
      </c>
      <c r="D3016" t="inlineStr">
        <is>
          <t>Online</t>
        </is>
      </c>
      <c r="E3016" t="inlineStr">
        <is>
          <t>All</t>
        </is>
      </c>
    </row>
    <row r="3017">
      <c r="A3017" t="inlineStr">
        <is>
          <t>G|REV_DEBT x CHANNEL|where 2024|heads</t>
        </is>
      </c>
      <c r="B3017" t="inlineStr">
        <is>
          <t>Branch</t>
        </is>
      </c>
      <c r="C3017" t="inlineStr">
        <is>
          <t>Broker</t>
        </is>
      </c>
      <c r="D3017" t="inlineStr">
        <is>
          <t>Online</t>
        </is>
      </c>
      <c r="E3017" t="inlineStr">
        <is>
          <t>All</t>
        </is>
      </c>
    </row>
    <row r="3018">
      <c r="A3018" t="inlineStr">
        <is>
          <t>G|REV_DEBT x CHANNEL|where 2024|segs</t>
        </is>
      </c>
    </row>
    <row r="3019">
      <c r="A3019" t="inlineStr">
        <is>
          <t>G|REV_DEBT x CHANNEL|where 2024|rows</t>
        </is>
      </c>
      <c r="B3019" t="inlineStr">
        <is>
          <t>0 - 6,558</t>
        </is>
      </c>
      <c r="C3019" t="inlineStr">
        <is>
          <t>6,559 - 9,836</t>
        </is>
      </c>
      <c r="D3019" t="inlineStr">
        <is>
          <t>9,837 - 13,051</t>
        </is>
      </c>
      <c r="E3019" t="inlineStr">
        <is>
          <t>13,052 - 17,186</t>
        </is>
      </c>
      <c r="F3019" t="inlineStr">
        <is>
          <t>17,187 - 48,521</t>
        </is>
      </c>
      <c r="G3019" t="inlineStr">
        <is>
          <t>All</t>
        </is>
      </c>
    </row>
    <row r="3020">
      <c r="A3020" t="inlineStr">
        <is>
          <t>G|REV_DEBT x CHANNEL|where 2024|names</t>
        </is>
      </c>
      <c r="B3020" t="inlineStr">
        <is>
          <t>REV_DEBT</t>
        </is>
      </c>
      <c r="C3020" t="inlineStr">
        <is>
          <t>CHANNEL</t>
        </is>
      </c>
    </row>
    <row r="3021">
      <c r="A3021" t="inlineStr">
        <is>
          <t>G|REV_DEBT x CHANNEL|where 2024|total</t>
        </is>
      </c>
      <c r="B3021" t="n">
        <v>1733</v>
      </c>
    </row>
    <row r="3022">
      <c r="A3022" t="inlineStr">
        <is>
          <t>G|REV_DEBT x CHANNEL|where 2024|loans|1</t>
        </is>
      </c>
      <c r="B3022" t="n">
        <v>111</v>
      </c>
      <c r="C3022" t="n">
        <v>112</v>
      </c>
      <c r="D3022" t="n">
        <v>141</v>
      </c>
      <c r="E3022" t="n">
        <v>364</v>
      </c>
    </row>
    <row r="3023">
      <c r="A3023" t="inlineStr">
        <is>
          <t>G|REV_DEBT x CHANNEL|where 2024|loans|2</t>
        </is>
      </c>
      <c r="B3023" t="n">
        <v>104</v>
      </c>
      <c r="C3023" t="n">
        <v>113</v>
      </c>
      <c r="D3023" t="n">
        <v>123</v>
      </c>
      <c r="E3023" t="n">
        <v>340</v>
      </c>
    </row>
    <row r="3024">
      <c r="A3024" t="inlineStr">
        <is>
          <t>G|REV_DEBT x CHANNEL|where 2024|loans|3</t>
        </is>
      </c>
      <c r="B3024" t="n">
        <v>113</v>
      </c>
      <c r="C3024" t="n">
        <v>110</v>
      </c>
      <c r="D3024" t="n">
        <v>110</v>
      </c>
      <c r="E3024" t="n">
        <v>333</v>
      </c>
    </row>
    <row r="3025">
      <c r="A3025" t="inlineStr">
        <is>
          <t>G|REV_DEBT x CHANNEL|where 2024|loans|4</t>
        </is>
      </c>
      <c r="B3025" t="n">
        <v>108</v>
      </c>
      <c r="C3025" t="n">
        <v>113</v>
      </c>
      <c r="D3025" t="n">
        <v>121</v>
      </c>
      <c r="E3025" t="n">
        <v>342</v>
      </c>
    </row>
    <row r="3026">
      <c r="A3026" t="inlineStr">
        <is>
          <t>G|REV_DEBT x CHANNEL|where 2024|loans|5</t>
        </is>
      </c>
      <c r="B3026" t="n">
        <v>105</v>
      </c>
      <c r="C3026" t="n">
        <v>107</v>
      </c>
      <c r="D3026" t="n">
        <v>142</v>
      </c>
      <c r="E3026" t="n">
        <v>354</v>
      </c>
    </row>
    <row r="3027">
      <c r="A3027" t="inlineStr">
        <is>
          <t>G|REV_DEBT x CHANNEL|where 2024|loans|6</t>
        </is>
      </c>
      <c r="B3027" t="n">
        <v>541</v>
      </c>
      <c r="C3027" t="n">
        <v>555</v>
      </c>
      <c r="D3027" t="n">
        <v>637</v>
      </c>
      <c r="E3027" t="n">
        <v>1733</v>
      </c>
    </row>
    <row r="3028">
      <c r="A3028" t="inlineStr">
        <is>
          <t>G|REV_DEBT x CHANNEL|where 2024|outcome_loans|rate|1</t>
        </is>
      </c>
      <c r="B3028" t="n">
        <v>0.05405405405405406</v>
      </c>
      <c r="C3028" t="n">
        <v>0.0625</v>
      </c>
      <c r="D3028" t="n">
        <v>0.0425531914893617</v>
      </c>
      <c r="E3028" t="n">
        <v>0.0521978021978022</v>
      </c>
    </row>
    <row r="3029">
      <c r="A3029" t="inlineStr">
        <is>
          <t>G|REV_DEBT x CHANNEL|where 2024|outcome_loans|book|1</t>
        </is>
      </c>
      <c r="E3029" t="n">
        <v>0.6745237799357348</v>
      </c>
    </row>
    <row r="3030">
      <c r="A3030" t="inlineStr">
        <is>
          <t>G|REV_DEBT x CHANNEL|where 2024|outcome_loans|band|1</t>
        </is>
      </c>
    </row>
    <row r="3031">
      <c r="A3031" t="inlineStr">
        <is>
          <t>G|REV_DEBT x CHANNEL|where 2024|outcome_loans|rate|2</t>
        </is>
      </c>
      <c r="B3031" t="n">
        <v>0.009615384615384616</v>
      </c>
      <c r="C3031" t="n">
        <v>0.05309734513274336</v>
      </c>
      <c r="D3031" t="n">
        <v>0.04065040650406504</v>
      </c>
      <c r="E3031" t="n">
        <v>0.03529411764705882</v>
      </c>
    </row>
    <row r="3032">
      <c r="A3032" t="inlineStr">
        <is>
          <t>G|REV_DEBT x CHANNEL|where 2024|outcome_loans|book|2</t>
        </is>
      </c>
      <c r="E3032" t="n">
        <v>0.4560866673001995</v>
      </c>
    </row>
    <row r="3033">
      <c r="A3033" t="inlineStr">
        <is>
          <t>G|REV_DEBT x CHANNEL|where 2024|outcome_loans|band|2</t>
        </is>
      </c>
    </row>
    <row r="3034">
      <c r="A3034" t="inlineStr">
        <is>
          <t>G|REV_DEBT x CHANNEL|where 2024|outcome_loans|rate|3</t>
        </is>
      </c>
      <c r="B3034" t="n">
        <v>0.07079646017699115</v>
      </c>
      <c r="C3034" t="n">
        <v>0.04545454545454546</v>
      </c>
      <c r="D3034" t="n">
        <v>0.04545454545454546</v>
      </c>
      <c r="E3034" t="n">
        <v>0.05405405405405406</v>
      </c>
    </row>
    <row r="3035">
      <c r="A3035" t="inlineStr">
        <is>
          <t>G|REV_DEBT x CHANNEL|where 2024|outcome_loans|book|3</t>
        </is>
      </c>
      <c r="E3035" t="n">
        <v>0.6985111120813867</v>
      </c>
    </row>
    <row r="3036">
      <c r="A3036" t="inlineStr">
        <is>
          <t>G|REV_DEBT x CHANNEL|where 2024|outcome_loans|band|3</t>
        </is>
      </c>
    </row>
    <row r="3037">
      <c r="A3037" t="inlineStr">
        <is>
          <t>G|REV_DEBT x CHANNEL|where 2024|outcome_loans|rate|4</t>
        </is>
      </c>
      <c r="B3037" t="n">
        <v>0.08333333333333333</v>
      </c>
      <c r="C3037" t="n">
        <v>0.1415929203539823</v>
      </c>
      <c r="D3037" t="n">
        <v>0.09917355371900827</v>
      </c>
      <c r="E3037" t="n">
        <v>0.108187134502924</v>
      </c>
    </row>
    <row r="3038">
      <c r="A3038" t="inlineStr">
        <is>
          <t>G|REV_DEBT x CHANNEL|where 2024|outcome_loans|book|4</t>
        </is>
      </c>
      <c r="C3038" t="n">
        <v>1.829728222797261</v>
      </c>
      <c r="D3038" t="n">
        <v>1.281565842000561</v>
      </c>
      <c r="E3038" t="n">
        <v>1.398043439238916</v>
      </c>
    </row>
    <row r="3039">
      <c r="A3039" t="inlineStr">
        <is>
          <t>G|REV_DEBT x CHANNEL|where 2024|outcome_loans|band|4</t>
        </is>
      </c>
      <c r="C3039" t="n">
        <v>1.544037083860093</v>
      </c>
      <c r="D3039" t="n">
        <v>0.8766942148760331</v>
      </c>
    </row>
    <row r="3040">
      <c r="A3040" t="inlineStr">
        <is>
          <t>G|REV_DEBT x CHANNEL|where 2024|outcome_loans|rate|5</t>
        </is>
      </c>
      <c r="B3040" t="n">
        <v>0.1142857142857143</v>
      </c>
      <c r="C3040" t="n">
        <v>0.2336448598130841</v>
      </c>
      <c r="D3040" t="n">
        <v>0.1619718309859155</v>
      </c>
      <c r="E3040" t="n">
        <v>0.1694915254237288</v>
      </c>
    </row>
    <row r="3041">
      <c r="A3041" t="inlineStr">
        <is>
          <t>G|REV_DEBT x CHANNEL|where 2024|outcome_loans|book|5</t>
        </is>
      </c>
      <c r="B3041" t="n">
        <v>1.476852065543503</v>
      </c>
      <c r="C3041" t="n">
        <v>3.019265320912536</v>
      </c>
      <c r="D3041" t="n">
        <v>2.09307379007486</v>
      </c>
      <c r="E3041" t="n">
        <v>2.19024670737384</v>
      </c>
    </row>
    <row r="3042">
      <c r="A3042" t="inlineStr">
        <is>
          <t>G|REV_DEBT x CHANNEL|where 2024|outcome_loans|band|5</t>
        </is>
      </c>
      <c r="B3042" t="n">
        <v>0.5928571428571429</v>
      </c>
      <c r="C3042" t="n">
        <v>1.648865153538051</v>
      </c>
      <c r="D3042" t="n">
        <v>0.9280548153787591</v>
      </c>
    </row>
    <row r="3043">
      <c r="A3043" t="inlineStr">
        <is>
          <t>G|REV_DEBT x CHANNEL|where 2024|outcome_loans|rate|6</t>
        </is>
      </c>
      <c r="B3043" t="n">
        <v>0.06654343807763401</v>
      </c>
      <c r="C3043" t="n">
        <v>0.1063063063063063</v>
      </c>
      <c r="D3043" t="n">
        <v>0.08006279434850863</v>
      </c>
      <c r="E3043" t="n">
        <v>0.08424697057126371</v>
      </c>
    </row>
    <row r="3044">
      <c r="A3044" t="inlineStr">
        <is>
          <t>G|REV_DEBT x CHANNEL|where 2024|outcome_loans|book|6</t>
        </is>
      </c>
      <c r="B3044" t="n">
        <v>0.85990462226655</v>
      </c>
      <c r="C3044" t="n">
        <v>1.373738520426727</v>
      </c>
      <c r="D3044" t="n">
        <v>1.034607903059322</v>
      </c>
      <c r="E3044" t="n">
        <v>1.088677734409593</v>
      </c>
    </row>
    <row r="3045">
      <c r="A3045" t="inlineStr">
        <is>
          <t>G|REV_DEBT x CHANNEL|where 2024|outcome_loans|band|6</t>
        </is>
      </c>
    </row>
    <row r="3046">
      <c r="A3046" t="inlineStr">
        <is>
          <t>G|REV_DEBT x CHANNEL|where 2024|outcome_loans|meta</t>
        </is>
      </c>
      <c r="B3046" t="inlineStr">
        <is>
          <t>x</t>
        </is>
      </c>
      <c r="C3046" t="n">
        <v>3.019265320912536</v>
      </c>
      <c r="D3046" t="n">
        <v>10</v>
      </c>
      <c r="E3046" t="n">
        <v>0.07738467308413552</v>
      </c>
      <c r="F3046" t="n">
        <v>30</v>
      </c>
    </row>
    <row r="3047">
      <c r="A3047" t="inlineStr">
        <is>
          <t>G|REV_DEBT x CHANNEL|where 2024|outcome_booked|rate|1</t>
        </is>
      </c>
      <c r="B3047" t="n">
        <v>0.06267772069179733</v>
      </c>
      <c r="C3047" t="n">
        <v>0.05717200216070918</v>
      </c>
      <c r="D3047" t="n">
        <v>0.04632999965472771</v>
      </c>
      <c r="E3047" t="n">
        <v>0.05470899093938739</v>
      </c>
    </row>
    <row r="3048">
      <c r="A3048" t="inlineStr">
        <is>
          <t>G|REV_DEBT x CHANNEL|where 2024|outcome_booked|book|1</t>
        </is>
      </c>
      <c r="E3048" t="n">
        <v>0.7311214506159502</v>
      </c>
    </row>
    <row r="3049">
      <c r="A3049" t="inlineStr">
        <is>
          <t>G|REV_DEBT x CHANNEL|where 2024|outcome_booked|band|1</t>
        </is>
      </c>
    </row>
    <row r="3050">
      <c r="A3050" t="inlineStr">
        <is>
          <t>G|REV_DEBT x CHANNEL|where 2024|outcome_booked|rate|2</t>
        </is>
      </c>
      <c r="B3050" t="n">
        <v>0.008451106866319232</v>
      </c>
      <c r="C3050" t="n">
        <v>0.04257790311423615</v>
      </c>
      <c r="D3050" t="n">
        <v>0.02974726989932135</v>
      </c>
      <c r="E3050" t="n">
        <v>0.02736324245115888</v>
      </c>
    </row>
    <row r="3051">
      <c r="A3051" t="inlineStr">
        <is>
          <t>G|REV_DEBT x CHANNEL|where 2024|outcome_booked|book|2</t>
        </is>
      </c>
      <c r="E3051" t="n">
        <v>0.3656776184487099</v>
      </c>
    </row>
    <row r="3052">
      <c r="A3052" t="inlineStr">
        <is>
          <t>G|REV_DEBT x CHANNEL|where 2024|outcome_booked|band|2</t>
        </is>
      </c>
    </row>
    <row r="3053">
      <c r="A3053" t="inlineStr">
        <is>
          <t>G|REV_DEBT x CHANNEL|where 2024|outcome_booked|rate|3</t>
        </is>
      </c>
      <c r="B3053" t="n">
        <v>0.05595498738923307</v>
      </c>
      <c r="C3053" t="n">
        <v>0.04868633406657674</v>
      </c>
      <c r="D3053" t="n">
        <v>0.03621651864599214</v>
      </c>
      <c r="E3053" t="n">
        <v>0.04654165382154035</v>
      </c>
    </row>
    <row r="3054">
      <c r="A3054" t="inlineStr">
        <is>
          <t>G|REV_DEBT x CHANNEL|where 2024|outcome_booked|book|3</t>
        </is>
      </c>
      <c r="E3054" t="n">
        <v>0.6219745762404842</v>
      </c>
    </row>
    <row r="3055">
      <c r="A3055" t="inlineStr">
        <is>
          <t>G|REV_DEBT x CHANNEL|where 2024|outcome_booked|band|3</t>
        </is>
      </c>
    </row>
    <row r="3056">
      <c r="A3056" t="inlineStr">
        <is>
          <t>G|REV_DEBT x CHANNEL|where 2024|outcome_booked|rate|4</t>
        </is>
      </c>
      <c r="B3056" t="n">
        <v>0.07233438005235898</v>
      </c>
      <c r="C3056" t="n">
        <v>0.1532410878451719</v>
      </c>
      <c r="D3056" t="n">
        <v>0.09705878387985944</v>
      </c>
      <c r="E3056" t="n">
        <v>0.1065529934771359</v>
      </c>
    </row>
    <row r="3057">
      <c r="A3057" t="inlineStr">
        <is>
          <t>G|REV_DEBT x CHANNEL|where 2024|outcome_booked|book|4</t>
        </is>
      </c>
      <c r="C3057" t="n">
        <v>2.047887276214912</v>
      </c>
      <c r="D3057" t="n">
        <v>1.297076726271227</v>
      </c>
      <c r="E3057" t="n">
        <v>1.423955693951386</v>
      </c>
    </row>
    <row r="3058">
      <c r="A3058" t="inlineStr">
        <is>
          <t>G|REV_DEBT x CHANNEL|where 2024|outcome_booked|band|4</t>
        </is>
      </c>
      <c r="C3058" t="n">
        <v>1.80324499266245</v>
      </c>
      <c r="D3058" t="n">
        <v>0.8692209746290983</v>
      </c>
    </row>
    <row r="3059">
      <c r="A3059" t="inlineStr">
        <is>
          <t>G|REV_DEBT x CHANNEL|where 2024|outcome_booked|rate|5</t>
        </is>
      </c>
      <c r="B3059" t="n">
        <v>0.1408109397291037</v>
      </c>
      <c r="C3059" t="n">
        <v>0.2064333653945891</v>
      </c>
      <c r="D3059" t="n">
        <v>0.1555671631566462</v>
      </c>
      <c r="E3059" t="n">
        <v>0.1666196185009144</v>
      </c>
    </row>
    <row r="3060">
      <c r="A3060" t="inlineStr">
        <is>
          <t>G|REV_DEBT x CHANNEL|where 2024|outcome_booked|book|5</t>
        </is>
      </c>
      <c r="B3060" t="n">
        <v>1.88177293621439</v>
      </c>
      <c r="C3060" t="n">
        <v>2.75873963257774</v>
      </c>
      <c r="D3060" t="n">
        <v>2.078972542580932</v>
      </c>
      <c r="E3060" t="n">
        <v>2.226675635718257</v>
      </c>
    </row>
    <row r="3061">
      <c r="A3061" t="inlineStr">
        <is>
          <t>G|REV_DEBT x CHANNEL|where 2024|outcome_booked|band|5</t>
        </is>
      </c>
      <c r="B3061" t="n">
        <v>0.795812996831093</v>
      </c>
      <c r="C3061" t="n">
        <v>1.380416004876504</v>
      </c>
      <c r="D3061" t="n">
        <v>0.891837211911567</v>
      </c>
    </row>
    <row r="3062">
      <c r="A3062" t="inlineStr">
        <is>
          <t>G|REV_DEBT x CHANNEL|where 2024|outcome_booked|rate|6</t>
        </is>
      </c>
      <c r="B3062" t="n">
        <v>0.06673849055124768</v>
      </c>
      <c r="C3062" t="n">
        <v>0.09881312931166446</v>
      </c>
      <c r="D3062" t="n">
        <v>0.0737269581192643</v>
      </c>
      <c r="E3062" t="n">
        <v>0.07947960838476553</v>
      </c>
    </row>
    <row r="3063">
      <c r="A3063" t="inlineStr">
        <is>
          <t>G|REV_DEBT x CHANNEL|where 2024|outcome_booked|book|6</t>
        </is>
      </c>
      <c r="B3063" t="n">
        <v>0.8918815936087428</v>
      </c>
      <c r="C3063" t="n">
        <v>1.320521493848897</v>
      </c>
      <c r="D3063" t="n">
        <v>0.9852742601189257</v>
      </c>
      <c r="E3063" t="n">
        <v>1.06215167889017</v>
      </c>
    </row>
    <row r="3064">
      <c r="A3064" t="inlineStr">
        <is>
          <t>G|REV_DEBT x CHANNEL|where 2024|outcome_booked|band|6</t>
        </is>
      </c>
    </row>
    <row r="3065">
      <c r="A3065" t="inlineStr">
        <is>
          <t>G|REV_DEBT x CHANNEL|where 2024|outcome_booked|meta</t>
        </is>
      </c>
      <c r="B3065" t="inlineStr">
        <is>
          <t>x</t>
        </is>
      </c>
      <c r="C3065" t="n">
        <v>2.75873963257774</v>
      </c>
      <c r="D3065" t="n">
        <v>10</v>
      </c>
      <c r="E3065" t="n">
        <v>0.07482886857347235</v>
      </c>
      <c r="F3065" t="n">
        <v>30</v>
      </c>
    </row>
    <row r="3066">
      <c r="A3066" t="inlineStr">
        <is>
          <t>G|REV_DEBT x CHANNEL|where 2024|gco_rate|rate|1</t>
        </is>
      </c>
      <c r="B3066" t="n">
        <v>0.0329169525056361</v>
      </c>
      <c r="C3066" t="n">
        <v>0.03017341531896824</v>
      </c>
      <c r="D3066" t="n">
        <v>0.02229989401985763</v>
      </c>
      <c r="E3066" t="n">
        <v>0.02800489348358357</v>
      </c>
    </row>
    <row r="3067">
      <c r="A3067" t="inlineStr">
        <is>
          <t>G|REV_DEBT x CHANNEL|where 2024|gco_rate|book|1</t>
        </is>
      </c>
      <c r="E3067" t="n">
        <v>0.6731093590970333</v>
      </c>
    </row>
    <row r="3068">
      <c r="A3068" t="inlineStr">
        <is>
          <t>G|REV_DEBT x CHANNEL|where 2024|gco_rate|band|1</t>
        </is>
      </c>
    </row>
    <row r="3069">
      <c r="A3069" t="inlineStr">
        <is>
          <t>G|REV_DEBT x CHANNEL|where 2024|gco_rate|rate|2</t>
        </is>
      </c>
      <c r="B3069" t="n">
        <v>0.004214945936772289</v>
      </c>
      <c r="C3069" t="n">
        <v>0.02548687869316952</v>
      </c>
      <c r="D3069" t="n">
        <v>0.01283194006966111</v>
      </c>
      <c r="E3069" t="n">
        <v>0.01426276974269765</v>
      </c>
    </row>
    <row r="3070">
      <c r="A3070" t="inlineStr">
        <is>
          <t>G|REV_DEBT x CHANNEL|where 2024|gco_rate|book|2</t>
        </is>
      </c>
      <c r="E3070" t="n">
        <v>0.3428116520451512</v>
      </c>
    </row>
    <row r="3071">
      <c r="A3071" t="inlineStr">
        <is>
          <t>G|REV_DEBT x CHANNEL|where 2024|gco_rate|band|2</t>
        </is>
      </c>
    </row>
    <row r="3072">
      <c r="A3072" t="inlineStr">
        <is>
          <t>G|REV_DEBT x CHANNEL|where 2024|gco_rate|rate|3</t>
        </is>
      </c>
      <c r="B3072" t="n">
        <v>0.03179376959959592</v>
      </c>
      <c r="C3072" t="n">
        <v>0.02926056193134363</v>
      </c>
      <c r="D3072" t="n">
        <v>0.01566933862569355</v>
      </c>
      <c r="E3072" t="n">
        <v>0.0252052591148607</v>
      </c>
    </row>
    <row r="3073">
      <c r="A3073" t="inlineStr">
        <is>
          <t>G|REV_DEBT x CHANNEL|where 2024|gco_rate|book|3</t>
        </is>
      </c>
      <c r="E3073" t="n">
        <v>0.6058189729814158</v>
      </c>
    </row>
    <row r="3074">
      <c r="A3074" t="inlineStr">
        <is>
          <t>G|REV_DEBT x CHANNEL|where 2024|gco_rate|band|3</t>
        </is>
      </c>
    </row>
    <row r="3075">
      <c r="A3075" t="inlineStr">
        <is>
          <t>G|REV_DEBT x CHANNEL|where 2024|gco_rate|rate|4</t>
        </is>
      </c>
      <c r="B3075" t="n">
        <v>0.03650084115455415</v>
      </c>
      <c r="C3075" t="n">
        <v>0.08199029833013863</v>
      </c>
      <c r="D3075" t="n">
        <v>0.05177534029315706</v>
      </c>
      <c r="E3075" t="n">
        <v>0.0562205592826901</v>
      </c>
    </row>
    <row r="3076">
      <c r="A3076" t="inlineStr">
        <is>
          <t>G|REV_DEBT x CHANNEL|where 2024|gco_rate|book|4</t>
        </is>
      </c>
      <c r="C3076" t="n">
        <v>1.970671204071015</v>
      </c>
      <c r="D3076" t="n">
        <v>1.244442016613527</v>
      </c>
      <c r="E3076" t="n">
        <v>1.351284719187794</v>
      </c>
    </row>
    <row r="3077">
      <c r="A3077" t="inlineStr">
        <is>
          <t>G|REV_DEBT x CHANNEL|where 2024|gco_rate|band|4</t>
        </is>
      </c>
      <c r="C3077" t="n">
        <v>1.850227167613313</v>
      </c>
      <c r="D3077" t="n">
        <v>0.8833494783672408</v>
      </c>
    </row>
    <row r="3078">
      <c r="A3078" t="inlineStr">
        <is>
          <t>G|REV_DEBT x CHANNEL|where 2024|gco_rate|rate|5</t>
        </is>
      </c>
      <c r="B3078" t="n">
        <v>0.08424817989019863</v>
      </c>
      <c r="C3078" t="n">
        <v>0.1096130331794653</v>
      </c>
      <c r="D3078" t="n">
        <v>0.09263720799387525</v>
      </c>
      <c r="E3078" t="n">
        <v>0.09533620990533467</v>
      </c>
    </row>
    <row r="3079">
      <c r="A3079" t="inlineStr">
        <is>
          <t>G|REV_DEBT x CHANNEL|where 2024|gco_rate|book|5</t>
        </is>
      </c>
      <c r="B3079" t="n">
        <v>2.02494033423928</v>
      </c>
      <c r="C3079" t="n">
        <v>2.634595220130451</v>
      </c>
      <c r="D3079" t="n">
        <v>2.226574142760026</v>
      </c>
      <c r="E3079" t="n">
        <v>2.291445785563777</v>
      </c>
    </row>
    <row r="3080">
      <c r="A3080" t="inlineStr">
        <is>
          <t>G|REV_DEBT x CHANNEL|where 2024|gco_rate|band|5</t>
        </is>
      </c>
      <c r="B3080" t="n">
        <v>0.8444241436792929</v>
      </c>
      <c r="C3080" t="n">
        <v>1.228664233670645</v>
      </c>
      <c r="D3080" t="n">
        <v>0.9526206421591239</v>
      </c>
    </row>
    <row r="3081">
      <c r="A3081" t="inlineStr">
        <is>
          <t>G|REV_DEBT x CHANNEL|where 2024|gco_rate|rate|6</t>
        </is>
      </c>
      <c r="B3081" t="n">
        <v>0.03701226455514206</v>
      </c>
      <c r="C3081" t="n">
        <v>0.05381014438814989</v>
      </c>
      <c r="D3081" t="n">
        <v>0.03957420005466088</v>
      </c>
      <c r="E3081" t="n">
        <v>0.04327283789798802</v>
      </c>
    </row>
    <row r="3082">
      <c r="A3082" t="inlineStr">
        <is>
          <t>G|REV_DEBT x CHANNEL|where 2024|gco_rate|book|6</t>
        </is>
      </c>
      <c r="B3082" t="n">
        <v>0.889605300161047</v>
      </c>
      <c r="C3082" t="n">
        <v>1.293349386358444</v>
      </c>
      <c r="D3082" t="n">
        <v>0.9511824942732092</v>
      </c>
      <c r="E3082" t="n">
        <v>1.040080805909829</v>
      </c>
    </row>
    <row r="3083">
      <c r="A3083" t="inlineStr">
        <is>
          <t>G|REV_DEBT x CHANNEL|where 2024|gco_rate|band|6</t>
        </is>
      </c>
    </row>
    <row r="3084">
      <c r="A3084" t="inlineStr">
        <is>
          <t>G|REV_DEBT x CHANNEL|where 2024|gco_rate|meta</t>
        </is>
      </c>
      <c r="B3084" t="inlineStr">
        <is>
          <t>x</t>
        </is>
      </c>
      <c r="C3084" t="n">
        <v>2.634595220130451</v>
      </c>
      <c r="D3084" t="n">
        <v>10</v>
      </c>
      <c r="E3084" t="n">
        <v>0.04160526533333565</v>
      </c>
      <c r="F3084" t="n">
        <v>30</v>
      </c>
    </row>
    <row r="3085">
      <c r="A3085" t="inlineStr">
        <is>
          <t>G|REV_DEBT x CHANNEL|where 2024|ranr_rate|rate|1</t>
        </is>
      </c>
      <c r="B3085" t="n">
        <v>0.05736756579926704</v>
      </c>
      <c r="C3085" t="n">
        <v>0.05559275053791579</v>
      </c>
      <c r="D3085" t="n">
        <v>0.08410955621441353</v>
      </c>
      <c r="E3085" t="n">
        <v>0.06699245919935899</v>
      </c>
    </row>
    <row r="3086">
      <c r="A3086" t="inlineStr">
        <is>
          <t>G|REV_DEBT x CHANNEL|where 2024|ranr_rate|book|1</t>
        </is>
      </c>
      <c r="B3086" t="n">
        <v>-7.062248385</v>
      </c>
      <c r="C3086" t="n">
        <v>-7.239729911</v>
      </c>
      <c r="D3086" t="n">
        <v>-4.388049343</v>
      </c>
      <c r="E3086" t="n">
        <v>-6.099759045</v>
      </c>
    </row>
    <row r="3087">
      <c r="A3087" t="inlineStr">
        <is>
          <t>G|REV_DEBT x CHANNEL|where 2024|ranr_rate|band|1</t>
        </is>
      </c>
      <c r="B3087" t="n">
        <v>-1.380400593</v>
      </c>
      <c r="C3087" t="n">
        <v>-1.667457242</v>
      </c>
      <c r="D3087" t="n">
        <v>2.764888586</v>
      </c>
    </row>
    <row r="3088">
      <c r="A3088" t="inlineStr">
        <is>
          <t>G|REV_DEBT x CHANNEL|where 2024|ranr_rate|rate|2</t>
        </is>
      </c>
      <c r="B3088" t="n">
        <v>0.0847317488709229</v>
      </c>
      <c r="C3088" t="n">
        <v>0.07464512785888359</v>
      </c>
      <c r="D3088" t="n">
        <v>0.1018603083738648</v>
      </c>
      <c r="E3088" t="n">
        <v>0.08789541645475636</v>
      </c>
    </row>
    <row r="3089">
      <c r="A3089" t="inlineStr">
        <is>
          <t>G|REV_DEBT x CHANNEL|where 2024|ranr_rate|book|2</t>
        </is>
      </c>
      <c r="B3089" t="n">
        <v>-4.325830078</v>
      </c>
      <c r="C3089" t="n">
        <v>-5.334492179</v>
      </c>
      <c r="D3089" t="n">
        <v>-2.612974127</v>
      </c>
      <c r="E3089" t="n">
        <v>-4.009463319</v>
      </c>
    </row>
    <row r="3090">
      <c r="A3090" t="inlineStr">
        <is>
          <t>G|REV_DEBT x CHANNEL|where 2024|ranr_rate|band|2</t>
        </is>
      </c>
      <c r="B3090" t="n">
        <v>-0.455415993</v>
      </c>
      <c r="C3090" t="n">
        <v>-1.951343004</v>
      </c>
      <c r="D3090" t="n">
        <v>2.229783108</v>
      </c>
    </row>
    <row r="3091">
      <c r="A3091" t="inlineStr">
        <is>
          <t>G|REV_DEBT x CHANNEL|where 2024|ranr_rate|rate|3</t>
        </is>
      </c>
      <c r="B3091" t="n">
        <v>0.07728190451579134</v>
      </c>
      <c r="C3091" t="n">
        <v>0.0853102348412622</v>
      </c>
      <c r="D3091" t="n">
        <v>0.1236814494099835</v>
      </c>
      <c r="E3091" t="n">
        <v>0.09647993017156731</v>
      </c>
    </row>
    <row r="3092">
      <c r="A3092" t="inlineStr">
        <is>
          <t>G|REV_DEBT x CHANNEL|where 2024|ranr_rate|book|3</t>
        </is>
      </c>
      <c r="B3092" t="n">
        <v>-5.070814513</v>
      </c>
      <c r="C3092" t="n">
        <v>-4.267981481</v>
      </c>
      <c r="D3092" t="n">
        <v>-0.430860024</v>
      </c>
      <c r="E3092" t="n">
        <v>-3.151011948</v>
      </c>
    </row>
    <row r="3093">
      <c r="A3093" t="inlineStr">
        <is>
          <t>G|REV_DEBT x CHANNEL|where 2024|ranr_rate|band|3</t>
        </is>
      </c>
      <c r="B3093" t="n">
        <v>-2.818037166</v>
      </c>
      <c r="C3093" t="n">
        <v>-1.651025462</v>
      </c>
      <c r="D3093" t="n">
        <v>4.235584945</v>
      </c>
    </row>
    <row r="3094">
      <c r="A3094" t="inlineStr">
        <is>
          <t>G|REV_DEBT x CHANNEL|where 2024|ranr_rate|rate|4</t>
        </is>
      </c>
      <c r="B3094" t="n">
        <v>0.1006832557175055</v>
      </c>
      <c r="C3094" t="n">
        <v>0.05988627387386863</v>
      </c>
      <c r="D3094" t="n">
        <v>0.1050434679971309</v>
      </c>
      <c r="E3094" t="n">
        <v>0.08931562650219288</v>
      </c>
    </row>
    <row r="3095">
      <c r="A3095" t="inlineStr">
        <is>
          <t>G|REV_DEBT x CHANNEL|where 2024|ranr_rate|book|4</t>
        </is>
      </c>
      <c r="B3095" t="n">
        <v>-2.730679393</v>
      </c>
      <c r="C3095" t="n">
        <v>-6.810377577</v>
      </c>
      <c r="D3095" t="n">
        <v>-2.294658165</v>
      </c>
      <c r="E3095" t="n">
        <v>-3.867442315</v>
      </c>
    </row>
    <row r="3096">
      <c r="A3096" t="inlineStr">
        <is>
          <t>G|REV_DEBT x CHANNEL|where 2024|ranr_rate|band|4</t>
        </is>
      </c>
      <c r="B3096" t="n">
        <v>1.707170767</v>
      </c>
      <c r="C3096" t="n">
        <v>-4.302719939</v>
      </c>
      <c r="D3096" t="n">
        <v>2.41909572</v>
      </c>
    </row>
    <row r="3097">
      <c r="A3097" t="inlineStr">
        <is>
          <t>G|REV_DEBT x CHANNEL|where 2024|ranr_rate|rate|5</t>
        </is>
      </c>
      <c r="B3097" t="n">
        <v>0.0916430523272535</v>
      </c>
      <c r="C3097" t="n">
        <v>0.06544237787727672</v>
      </c>
      <c r="D3097" t="n">
        <v>0.09044720629904723</v>
      </c>
      <c r="E3097" t="n">
        <v>0.0832835737000857</v>
      </c>
    </row>
    <row r="3098">
      <c r="A3098" t="inlineStr">
        <is>
          <t>G|REV_DEBT x CHANNEL|where 2024|ranr_rate|book|5</t>
        </is>
      </c>
      <c r="B3098" t="n">
        <v>-3.634699732</v>
      </c>
      <c r="C3098" t="n">
        <v>-6.254767177</v>
      </c>
      <c r="D3098" t="n">
        <v>-3.754284335</v>
      </c>
      <c r="E3098" t="n">
        <v>-4.470647595</v>
      </c>
    </row>
    <row r="3099">
      <c r="A3099" t="inlineStr">
        <is>
          <t>G|REV_DEBT x CHANNEL|where 2024|ranr_rate|band|5</t>
        </is>
      </c>
      <c r="B3099" t="n">
        <v>1.170218296</v>
      </c>
      <c r="C3099" t="n">
        <v>-2.549292075</v>
      </c>
      <c r="D3099" t="n">
        <v>1.22288256</v>
      </c>
    </row>
    <row r="3100">
      <c r="A3100" t="inlineStr">
        <is>
          <t>G|REV_DEBT x CHANNEL|where 2024|ranr_rate|rate|6</t>
        </is>
      </c>
      <c r="B3100" t="n">
        <v>0.08198593916579251</v>
      </c>
      <c r="C3100" t="n">
        <v>0.06801773718515701</v>
      </c>
      <c r="D3100" t="n">
        <v>0.1001324417016111</v>
      </c>
      <c r="E3100" t="n">
        <v>0.08439030858189986</v>
      </c>
    </row>
    <row r="3101">
      <c r="A3101" t="inlineStr">
        <is>
          <t>G|REV_DEBT x CHANNEL|where 2024|ranr_rate|book|6</t>
        </is>
      </c>
      <c r="B3101" t="n">
        <v>-4.600411048</v>
      </c>
      <c r="C3101" t="n">
        <v>-5.997231246</v>
      </c>
      <c r="D3101" t="n">
        <v>-2.785760795</v>
      </c>
      <c r="E3101" t="n">
        <v>-4.359974107</v>
      </c>
    </row>
    <row r="3102">
      <c r="A3102" t="inlineStr">
        <is>
          <t>G|REV_DEBT x CHANNEL|where 2024|ranr_rate|band|6</t>
        </is>
      </c>
    </row>
    <row r="3103">
      <c r="A3103" t="inlineStr">
        <is>
          <t>G|REV_DEBT x CHANNEL|where 2024|ranr_rate|meta</t>
        </is>
      </c>
      <c r="B3103" t="inlineStr">
        <is>
          <t>pts</t>
        </is>
      </c>
      <c r="C3103" t="n">
        <v>7.239729911</v>
      </c>
      <c r="D3103" t="n">
        <v>10</v>
      </c>
      <c r="E3103" t="n">
        <v>0.1279900496481481</v>
      </c>
      <c r="F3103" t="n">
        <v>30</v>
      </c>
    </row>
    <row r="3104">
      <c r="A3104" t="inlineStr">
        <is>
          <t>G|REV_DEBT x CHANNEL|where 2024|contribution_rate|rate|1</t>
        </is>
      </c>
      <c r="B3104" t="n">
        <v>0.09028451830490312</v>
      </c>
      <c r="C3104" t="n">
        <v>0.08576616585688399</v>
      </c>
      <c r="D3104" t="n">
        <v>0.1064094502342712</v>
      </c>
      <c r="E3104" t="n">
        <v>0.09499735268294254</v>
      </c>
    </row>
    <row r="3105">
      <c r="A3105" t="inlineStr">
        <is>
          <t>G|REV_DEBT x CHANNEL|where 2024|contribution_rate|book|1</t>
        </is>
      </c>
      <c r="B3105" t="n">
        <v>-7.930793743</v>
      </c>
      <c r="C3105" t="n">
        <v>-8.382628988</v>
      </c>
      <c r="D3105" t="n">
        <v>-6.31830055</v>
      </c>
      <c r="E3105" t="n">
        <v>-7.459510305</v>
      </c>
    </row>
    <row r="3106">
      <c r="A3106" t="inlineStr">
        <is>
          <t>G|REV_DEBT x CHANNEL|where 2024|contribution_rate|band|1</t>
        </is>
      </c>
      <c r="B3106" t="n">
        <v>-0.675913914</v>
      </c>
      <c r="C3106" t="n">
        <v>-1.350263395</v>
      </c>
      <c r="D3106" t="n">
        <v>1.843372052</v>
      </c>
    </row>
    <row r="3107">
      <c r="A3107" t="inlineStr">
        <is>
          <t>G|REV_DEBT x CHANNEL|where 2024|contribution_rate|rate|2</t>
        </is>
      </c>
      <c r="B3107" t="n">
        <v>0.08894669480769521</v>
      </c>
      <c r="C3107" t="n">
        <v>0.1001320065520531</v>
      </c>
      <c r="D3107" t="n">
        <v>0.1146922484435259</v>
      </c>
      <c r="E3107" t="n">
        <v>0.102158186197454</v>
      </c>
    </row>
    <row r="3108">
      <c r="A3108" t="inlineStr">
        <is>
          <t>G|REV_DEBT x CHANNEL|where 2024|contribution_rate|book|2</t>
        </is>
      </c>
      <c r="B3108" t="n">
        <v>-8.064576092999999</v>
      </c>
      <c r="C3108" t="n">
        <v>-6.946044918</v>
      </c>
      <c r="D3108" t="n">
        <v>-5.490020729</v>
      </c>
      <c r="E3108" t="n">
        <v>-6.743426954</v>
      </c>
    </row>
    <row r="3109">
      <c r="A3109" t="inlineStr">
        <is>
          <t>G|REV_DEBT x CHANNEL|where 2024|contribution_rate|band|2</t>
        </is>
      </c>
      <c r="B3109" t="n">
        <v>-1.901819428</v>
      </c>
      <c r="C3109" t="n">
        <v>-0.298391348</v>
      </c>
      <c r="D3109" t="n">
        <v>2.001321631</v>
      </c>
    </row>
    <row r="3110">
      <c r="A3110" t="inlineStr">
        <is>
          <t>G|REV_DEBT x CHANNEL|where 2024|contribution_rate|rate|3</t>
        </is>
      </c>
      <c r="B3110" t="n">
        <v>0.1090756741153873</v>
      </c>
      <c r="C3110" t="n">
        <v>0.1145707967726058</v>
      </c>
      <c r="D3110" t="n">
        <v>0.139350788035677</v>
      </c>
      <c r="E3110" t="n">
        <v>0.121685189286428</v>
      </c>
    </row>
    <row r="3111">
      <c r="A3111" t="inlineStr">
        <is>
          <t>G|REV_DEBT x CHANNEL|where 2024|contribution_rate|book|3</t>
        </is>
      </c>
      <c r="B3111" t="n">
        <v>-6.051678162</v>
      </c>
      <c r="C3111" t="n">
        <v>-5.502165896</v>
      </c>
      <c r="D3111" t="n">
        <v>-3.02416677</v>
      </c>
      <c r="E3111" t="n">
        <v>-4.790726645</v>
      </c>
    </row>
    <row r="3112">
      <c r="A3112" t="inlineStr">
        <is>
          <t>G|REV_DEBT x CHANNEL|where 2024|contribution_rate|band|3</t>
        </is>
      </c>
      <c r="B3112" t="n">
        <v>-1.85092379</v>
      </c>
      <c r="C3112" t="n">
        <v>-1.051599246</v>
      </c>
      <c r="D3112" t="n">
        <v>2.750734011</v>
      </c>
    </row>
    <row r="3113">
      <c r="A3113" t="inlineStr">
        <is>
          <t>G|REV_DEBT x CHANNEL|where 2024|contribution_rate|rate|4</t>
        </is>
      </c>
      <c r="B3113" t="n">
        <v>0.1371840968720596</v>
      </c>
      <c r="C3113" t="n">
        <v>0.1418765722040073</v>
      </c>
      <c r="D3113" t="n">
        <v>0.1568188082902879</v>
      </c>
      <c r="E3113" t="n">
        <v>0.1455361857848829</v>
      </c>
    </row>
    <row r="3114">
      <c r="A3114" t="inlineStr">
        <is>
          <t>G|REV_DEBT x CHANNEL|where 2024|contribution_rate|book|4</t>
        </is>
      </c>
      <c r="B3114" t="n">
        <v>-3.240835886</v>
      </c>
      <c r="C3114" t="n">
        <v>-2.771588353</v>
      </c>
      <c r="D3114" t="n">
        <v>-1.277364744</v>
      </c>
      <c r="E3114" t="n">
        <v>-2.405626995</v>
      </c>
    </row>
    <row r="3115">
      <c r="A3115" t="inlineStr">
        <is>
          <t>G|REV_DEBT x CHANNEL|where 2024|contribution_rate|band|4</t>
        </is>
      </c>
      <c r="B3115" t="n">
        <v>-1.254302174</v>
      </c>
      <c r="C3115" t="n">
        <v>-0.535053982</v>
      </c>
      <c r="D3115" t="n">
        <v>1.735377599</v>
      </c>
    </row>
    <row r="3116">
      <c r="A3116" t="inlineStr">
        <is>
          <t>G|REV_DEBT x CHANNEL|where 2024|contribution_rate|rate|5</t>
        </is>
      </c>
      <c r="B3116" t="n">
        <v>0.1758912322174522</v>
      </c>
      <c r="C3116" t="n">
        <v>0.1750554110567419</v>
      </c>
      <c r="D3116" t="n">
        <v>0.1830844142929225</v>
      </c>
      <c r="E3116" t="n">
        <v>0.1786197836054204</v>
      </c>
    </row>
    <row r="3117">
      <c r="A3117" t="inlineStr">
        <is>
          <t>G|REV_DEBT x CHANNEL|where 2024|contribution_rate|book|5</t>
        </is>
      </c>
      <c r="B3117" t="n">
        <v>0.629877648</v>
      </c>
      <c r="C3117" t="n">
        <v>0.546295532</v>
      </c>
      <c r="D3117" t="n">
        <v>1.349195856</v>
      </c>
      <c r="E3117" t="n">
        <v>0.902732787</v>
      </c>
    </row>
    <row r="3118">
      <c r="A3118" t="inlineStr">
        <is>
          <t>G|REV_DEBT x CHANNEL|where 2024|contribution_rate|band|5</t>
        </is>
      </c>
      <c r="B3118" t="n">
        <v>-0.381961711</v>
      </c>
      <c r="C3118" t="n">
        <v>-0.509305922</v>
      </c>
      <c r="D3118" t="n">
        <v>0.7621439169999999</v>
      </c>
    </row>
    <row r="3119">
      <c r="A3119" t="inlineStr">
        <is>
          <t>G|REV_DEBT x CHANNEL|where 2024|contribution_rate|rate|6</t>
        </is>
      </c>
      <c r="B3119" t="n">
        <v>0.1189982037209346</v>
      </c>
      <c r="C3119" t="n">
        <v>0.1218278815733069</v>
      </c>
      <c r="D3119" t="n">
        <v>0.1397066417562721</v>
      </c>
      <c r="E3119" t="n">
        <v>0.1276631464798878</v>
      </c>
    </row>
    <row r="3120">
      <c r="A3120" t="inlineStr">
        <is>
          <t>G|REV_DEBT x CHANNEL|where 2024|contribution_rate|book|6</t>
        </is>
      </c>
      <c r="B3120" t="n">
        <v>-5.059425201</v>
      </c>
      <c r="C3120" t="n">
        <v>-4.776457416</v>
      </c>
      <c r="D3120" t="n">
        <v>-2.988581398</v>
      </c>
      <c r="E3120" t="n">
        <v>-4.192930926</v>
      </c>
    </row>
    <row r="3121">
      <c r="A3121" t="inlineStr">
        <is>
          <t>G|REV_DEBT x CHANNEL|where 2024|contribution_rate|band|6</t>
        </is>
      </c>
    </row>
    <row r="3122">
      <c r="A3122" t="inlineStr">
        <is>
          <t>G|REV_DEBT x CHANNEL|where 2024|contribution_rate|meta</t>
        </is>
      </c>
      <c r="B3122" t="inlineStr">
        <is>
          <t>pts</t>
        </is>
      </c>
      <c r="C3122" t="n">
        <v>8.382628988</v>
      </c>
      <c r="D3122" t="n">
        <v>10</v>
      </c>
      <c r="E3122" t="n">
        <v>0.1695924557349815</v>
      </c>
      <c r="F3122" t="n">
        <v>30</v>
      </c>
    </row>
    <row r="3123">
      <c r="A3123" t="inlineStr">
        <is>
          <t>G|REV_DEBT x CHANNEL|where 2024|loan_size|rate|1</t>
        </is>
      </c>
      <c r="B3123" t="n">
        <v>33958.69792792793</v>
      </c>
      <c r="C3123" t="n">
        <v>35166.86044642857</v>
      </c>
      <c r="D3123" t="n">
        <v>33635.70035460993</v>
      </c>
      <c r="E3123" t="n">
        <v>34205.32304945055</v>
      </c>
    </row>
    <row r="3124">
      <c r="A3124" t="inlineStr">
        <is>
          <t>G|REV_DEBT x CHANNEL|where 2024|loan_size|median|1</t>
        </is>
      </c>
      <c r="B3124" t="n">
        <v>35200.71</v>
      </c>
      <c r="C3124" t="n">
        <v>33930.07</v>
      </c>
      <c r="D3124" t="n">
        <v>33390.28</v>
      </c>
      <c r="E3124" t="n">
        <v>34021.495</v>
      </c>
    </row>
    <row r="3125">
      <c r="A3125" t="inlineStr">
        <is>
          <t>G|REV_DEBT x CHANNEL|where 2024|loan_size|book|1</t>
        </is>
      </c>
      <c r="B3125" t="n">
        <v>1.052572016859118</v>
      </c>
      <c r="C3125" t="n">
        <v>1.090019803034275</v>
      </c>
      <c r="D3125" t="n">
        <v>1.04256049616096</v>
      </c>
      <c r="E3125" t="n">
        <v>1.060216323543671</v>
      </c>
    </row>
    <row r="3126">
      <c r="A3126" t="inlineStr">
        <is>
          <t>G|REV_DEBT x CHANNEL|where 2024|loan_size|band|1</t>
        </is>
      </c>
      <c r="B3126" t="n">
        <v>0.9896592312791369</v>
      </c>
      <c r="C3126" t="n">
        <v>1.041118137766126</v>
      </c>
      <c r="D3126" t="n">
        <v>0.9731006917880357</v>
      </c>
    </row>
    <row r="3127">
      <c r="A3127" t="inlineStr">
        <is>
          <t>G|REV_DEBT x CHANNEL|where 2024|loan_size|rate|2</t>
        </is>
      </c>
      <c r="B3127" t="n">
        <v>33004.59798076923</v>
      </c>
      <c r="C3127" t="n">
        <v>31932.1103539823</v>
      </c>
      <c r="D3127" t="n">
        <v>34156.86</v>
      </c>
      <c r="E3127" t="n">
        <v>33065.00129411765</v>
      </c>
    </row>
    <row r="3128">
      <c r="A3128" t="inlineStr">
        <is>
          <t>G|REV_DEBT x CHANNEL|where 2024|loan_size|median|2</t>
        </is>
      </c>
      <c r="B3128" t="n">
        <v>31916.355</v>
      </c>
      <c r="C3128" t="n">
        <v>33343.04</v>
      </c>
      <c r="D3128" t="n">
        <v>34658.83</v>
      </c>
      <c r="E3128" t="n">
        <v>34089.515</v>
      </c>
    </row>
    <row r="3129">
      <c r="A3129" t="inlineStr">
        <is>
          <t>G|REV_DEBT x CHANNEL|where 2024|loan_size|book|2</t>
        </is>
      </c>
      <c r="B3129" t="n">
        <v>1.02299906598222</v>
      </c>
      <c r="C3129" t="n">
        <v>0.9897566116696488</v>
      </c>
      <c r="D3129" t="n">
        <v>1.058714179680218</v>
      </c>
      <c r="E3129" t="n">
        <v>1.024871306122024</v>
      </c>
    </row>
    <row r="3130">
      <c r="A3130" t="inlineStr">
        <is>
          <t>G|REV_DEBT x CHANNEL|where 2024|loan_size|band|2</t>
        </is>
      </c>
      <c r="B3130" t="n">
        <v>0.9973702791401388</v>
      </c>
      <c r="C3130" t="n">
        <v>0.9495422549743758</v>
      </c>
      <c r="D3130" t="n">
        <v>1.05272577105533</v>
      </c>
    </row>
    <row r="3131">
      <c r="A3131" t="inlineStr">
        <is>
          <t>G|REV_DEBT x CHANNEL|where 2024|loan_size|rate|3</t>
        </is>
      </c>
      <c r="B3131" t="n">
        <v>31365.66831858407</v>
      </c>
      <c r="C3131" t="n">
        <v>32698.67918181818</v>
      </c>
      <c r="D3131" t="n">
        <v>36167.67490909091</v>
      </c>
      <c r="E3131" t="n">
        <v>33392.25066066066</v>
      </c>
    </row>
    <row r="3132">
      <c r="A3132" t="inlineStr">
        <is>
          <t>G|REV_DEBT x CHANNEL|where 2024|loan_size|median|3</t>
        </is>
      </c>
      <c r="B3132" t="n">
        <v>29842.24</v>
      </c>
      <c r="C3132" t="n">
        <v>31162.315</v>
      </c>
      <c r="D3132" t="n">
        <v>37447.325</v>
      </c>
      <c r="E3132" t="n">
        <v>33188.41</v>
      </c>
    </row>
    <row r="3133">
      <c r="A3133" t="inlineStr">
        <is>
          <t>G|REV_DEBT x CHANNEL|where 2024|loan_size|book|3</t>
        </is>
      </c>
      <c r="B3133" t="n">
        <v>0.9721993709032835</v>
      </c>
      <c r="C3133" t="n">
        <v>1.013516913047781</v>
      </c>
      <c r="D3133" t="n">
        <v>1.121040700823172</v>
      </c>
      <c r="E3133" t="n">
        <v>1.035014613927555</v>
      </c>
    </row>
    <row r="3134">
      <c r="A3134" t="inlineStr">
        <is>
          <t>G|REV_DEBT x CHANNEL|where 2024|loan_size|band|3</t>
        </is>
      </c>
      <c r="B3134" t="n">
        <v>0.9109141534392508</v>
      </c>
      <c r="C3134" t="n">
        <v>0.9692986142963553</v>
      </c>
      <c r="D3134" t="n">
        <v>1.129420752881773</v>
      </c>
    </row>
    <row r="3135">
      <c r="A3135" t="inlineStr">
        <is>
          <t>G|REV_DEBT x CHANNEL|where 2024|loan_size|rate|4</t>
        </is>
      </c>
      <c r="B3135" t="n">
        <v>34517.64694444444</v>
      </c>
      <c r="C3135" t="n">
        <v>31203.62380530973</v>
      </c>
      <c r="D3135" t="n">
        <v>32258.80446280992</v>
      </c>
      <c r="E3135" t="n">
        <v>32623.48157894737</v>
      </c>
    </row>
    <row r="3136">
      <c r="A3136" t="inlineStr">
        <is>
          <t>G|REV_DEBT x CHANNEL|where 2024|loan_size|median|4</t>
        </is>
      </c>
      <c r="B3136" t="n">
        <v>34675.275</v>
      </c>
      <c r="C3136" t="n">
        <v>33138.76</v>
      </c>
      <c r="D3136" t="n">
        <v>31419.1</v>
      </c>
      <c r="E3136" t="n">
        <v>33149.855</v>
      </c>
    </row>
    <row r="3137">
      <c r="A3137" t="inlineStr">
        <is>
          <t>G|REV_DEBT x CHANNEL|where 2024|loan_size|book|4</t>
        </is>
      </c>
      <c r="B3137" t="n">
        <v>1.069897006612402</v>
      </c>
      <c r="C3137" t="n">
        <v>0.96717669540141</v>
      </c>
      <c r="D3137" t="n">
        <v>0.9998827088997158</v>
      </c>
      <c r="E3137" t="n">
        <v>1.011186114243755</v>
      </c>
    </row>
    <row r="3138">
      <c r="A3138" t="inlineStr">
        <is>
          <t>G|REV_DEBT x CHANNEL|where 2024|loan_size|band|4</t>
        </is>
      </c>
      <c r="B3138" t="n">
        <v>1.087195615997854</v>
      </c>
      <c r="C3138" t="n">
        <v>0.936367804677481</v>
      </c>
      <c r="D3138" t="n">
        <v>0.9828065854742744</v>
      </c>
    </row>
    <row r="3139">
      <c r="A3139" t="inlineStr">
        <is>
          <t>G|REV_DEBT x CHANNEL|where 2024|loan_size|rate|5</t>
        </is>
      </c>
      <c r="B3139" t="n">
        <v>29923.87495238095</v>
      </c>
      <c r="C3139" t="n">
        <v>30855.46</v>
      </c>
      <c r="D3139" t="n">
        <v>32084.77161971831</v>
      </c>
      <c r="E3139" t="n">
        <v>31072.25610169491</v>
      </c>
    </row>
    <row r="3140">
      <c r="A3140" t="inlineStr">
        <is>
          <t>G|REV_DEBT x CHANNEL|where 2024|loan_size|median|5</t>
        </is>
      </c>
      <c r="B3140" t="n">
        <v>28822.35</v>
      </c>
      <c r="C3140" t="n">
        <v>29219.19</v>
      </c>
      <c r="D3140" t="n">
        <v>31175.77</v>
      </c>
      <c r="E3140" t="n">
        <v>30357.58</v>
      </c>
    </row>
    <row r="3141">
      <c r="A3141" t="inlineStr">
        <is>
          <t>G|REV_DEBT x CHANNEL|where 2024|loan_size|book|5</t>
        </is>
      </c>
      <c r="B3141" t="n">
        <v>0.9275100440457177</v>
      </c>
      <c r="C3141" t="n">
        <v>0.9563851309094505</v>
      </c>
      <c r="D3141" t="n">
        <v>0.9944884472869345</v>
      </c>
      <c r="E3141" t="n">
        <v>0.9631048676464865</v>
      </c>
    </row>
    <row r="3142">
      <c r="A3142" t="inlineStr">
        <is>
          <t>G|REV_DEBT x CHANNEL|where 2024|loan_size|band|5</t>
        </is>
      </c>
      <c r="B3142" t="n">
        <v>0.9482630337053347</v>
      </c>
      <c r="C3142" t="n">
        <v>0.9900304784418731</v>
      </c>
      <c r="D3142" t="n">
        <v>1.055626322292962</v>
      </c>
    </row>
    <row r="3143">
      <c r="A3143" t="inlineStr">
        <is>
          <t>G|REV_DEBT x CHANNEL|where 2024|loan_size|rate|6</t>
        </is>
      </c>
      <c r="B3143" t="n">
        <v>32562.15696857671</v>
      </c>
      <c r="C3143" t="n">
        <v>32380.9283963964</v>
      </c>
      <c r="D3143" t="n">
        <v>33566.28678178964</v>
      </c>
      <c r="E3143" t="n">
        <v>32873.20649740335</v>
      </c>
    </row>
    <row r="3144">
      <c r="A3144" t="inlineStr">
        <is>
          <t>G|REV_DEBT x CHANNEL|where 2024|loan_size|median|6</t>
        </is>
      </c>
      <c r="B3144" t="n">
        <v>32424.21</v>
      </c>
      <c r="C3144" t="n">
        <v>32343.46</v>
      </c>
      <c r="D3144" t="n">
        <v>33814.31</v>
      </c>
      <c r="E3144" t="n">
        <v>32964.31</v>
      </c>
    </row>
    <row r="3145">
      <c r="A3145" t="inlineStr">
        <is>
          <t>G|REV_DEBT x CHANNEL|where 2024|loan_size|book|6</t>
        </is>
      </c>
      <c r="B3145" t="n">
        <v>1.009285317901153</v>
      </c>
      <c r="C3145" t="n">
        <v>1.003668019966551</v>
      </c>
      <c r="D3145" t="n">
        <v>1.040408977145246</v>
      </c>
      <c r="E3145" t="n">
        <v>1.018926501158385</v>
      </c>
    </row>
    <row r="3146">
      <c r="A3146" t="inlineStr">
        <is>
          <t>G|REV_DEBT x CHANNEL|where 2024|loan_size|band|6</t>
        </is>
      </c>
    </row>
    <row r="3147">
      <c r="A3147" t="inlineStr">
        <is>
          <t>G|REV_DEBT x CHANNEL|where 2024|loan_size|meta</t>
        </is>
      </c>
      <c r="B3147" t="inlineStr">
        <is>
          <t>size</t>
        </is>
      </c>
      <c r="C3147" t="n">
        <v>1</v>
      </c>
      <c r="E3147" t="n">
        <v>32262.58857732217</v>
      </c>
      <c r="F3147" t="n">
        <v>30</v>
      </c>
    </row>
    <row r="3148">
      <c r="A3148" t="inlineStr">
        <is>
          <t>G|REV_DEBT x CHANNEL|where 2025|cols</t>
        </is>
      </c>
      <c r="B3148" t="inlineStr">
        <is>
          <t>Branch</t>
        </is>
      </c>
      <c r="C3148" t="inlineStr">
        <is>
          <t>Broker</t>
        </is>
      </c>
      <c r="D3148" t="inlineStr">
        <is>
          <t>Online</t>
        </is>
      </c>
      <c r="E3148" t="inlineStr">
        <is>
          <t>All</t>
        </is>
      </c>
    </row>
    <row r="3149">
      <c r="A3149" t="inlineStr">
        <is>
          <t>G|REV_DEBT x CHANNEL|where 2025|heads</t>
        </is>
      </c>
      <c r="B3149" t="inlineStr">
        <is>
          <t>Branch</t>
        </is>
      </c>
      <c r="C3149" t="inlineStr">
        <is>
          <t>Broker</t>
        </is>
      </c>
      <c r="D3149" t="inlineStr">
        <is>
          <t>Online</t>
        </is>
      </c>
      <c r="E3149" t="inlineStr">
        <is>
          <t>All</t>
        </is>
      </c>
    </row>
    <row r="3150">
      <c r="A3150" t="inlineStr">
        <is>
          <t>G|REV_DEBT x CHANNEL|where 2025|segs</t>
        </is>
      </c>
    </row>
    <row r="3151">
      <c r="A3151" t="inlineStr">
        <is>
          <t>G|REV_DEBT x CHANNEL|where 2025|rows</t>
        </is>
      </c>
      <c r="B3151" t="inlineStr">
        <is>
          <t>0 - 6,558</t>
        </is>
      </c>
      <c r="C3151" t="inlineStr">
        <is>
          <t>6,559 - 9,836</t>
        </is>
      </c>
      <c r="D3151" t="inlineStr">
        <is>
          <t>9,837 - 13,051</t>
        </is>
      </c>
      <c r="E3151" t="inlineStr">
        <is>
          <t>13,052 - 17,186</t>
        </is>
      </c>
      <c r="F3151" t="inlineStr">
        <is>
          <t>17,187 - 48,521</t>
        </is>
      </c>
      <c r="G3151" t="inlineStr">
        <is>
          <t>All</t>
        </is>
      </c>
    </row>
    <row r="3152">
      <c r="A3152" t="inlineStr">
        <is>
          <t>G|REV_DEBT x CHANNEL|where 2025|names</t>
        </is>
      </c>
      <c r="B3152" t="inlineStr">
        <is>
          <t>REV_DEBT</t>
        </is>
      </c>
      <c r="C3152" t="inlineStr">
        <is>
          <t>CHANNEL</t>
        </is>
      </c>
    </row>
    <row r="3153">
      <c r="A3153" t="inlineStr">
        <is>
          <t>G|REV_DEBT x CHANNEL|where 2025|total</t>
        </is>
      </c>
      <c r="B3153" t="n">
        <v>1702</v>
      </c>
    </row>
    <row r="3154">
      <c r="A3154" t="inlineStr">
        <is>
          <t>G|REV_DEBT x CHANNEL|where 2025|loans|1</t>
        </is>
      </c>
      <c r="B3154" t="n">
        <v>123</v>
      </c>
      <c r="C3154" t="n">
        <v>126</v>
      </c>
      <c r="D3154" t="n">
        <v>95</v>
      </c>
      <c r="E3154" t="n">
        <v>344</v>
      </c>
    </row>
    <row r="3155">
      <c r="A3155" t="inlineStr">
        <is>
          <t>G|REV_DEBT x CHANNEL|where 2025|loans|2</t>
        </is>
      </c>
      <c r="B3155" t="n">
        <v>115</v>
      </c>
      <c r="C3155" t="n">
        <v>120</v>
      </c>
      <c r="D3155" t="n">
        <v>112</v>
      </c>
      <c r="E3155" t="n">
        <v>347</v>
      </c>
    </row>
    <row r="3156">
      <c r="A3156" t="inlineStr">
        <is>
          <t>G|REV_DEBT x CHANNEL|where 2025|loans|3</t>
        </is>
      </c>
      <c r="B3156" t="n">
        <v>126</v>
      </c>
      <c r="C3156" t="n">
        <v>92</v>
      </c>
      <c r="D3156" t="n">
        <v>107</v>
      </c>
      <c r="E3156" t="n">
        <v>325</v>
      </c>
    </row>
    <row r="3157">
      <c r="A3157" t="inlineStr">
        <is>
          <t>G|REV_DEBT x CHANNEL|where 2025|loans|4</t>
        </is>
      </c>
      <c r="B3157" t="n">
        <v>114</v>
      </c>
      <c r="C3157" t="n">
        <v>124</v>
      </c>
      <c r="D3157" t="n">
        <v>109</v>
      </c>
      <c r="E3157" t="n">
        <v>347</v>
      </c>
    </row>
    <row r="3158">
      <c r="A3158" t="inlineStr">
        <is>
          <t>G|REV_DEBT x CHANNEL|where 2025|loans|5</t>
        </is>
      </c>
      <c r="B3158" t="n">
        <v>119</v>
      </c>
      <c r="C3158" t="n">
        <v>101</v>
      </c>
      <c r="D3158" t="n">
        <v>119</v>
      </c>
      <c r="E3158" t="n">
        <v>339</v>
      </c>
    </row>
    <row r="3159">
      <c r="A3159" t="inlineStr">
        <is>
          <t>G|REV_DEBT x CHANNEL|where 2025|loans|6</t>
        </is>
      </c>
      <c r="B3159" t="n">
        <v>597</v>
      </c>
      <c r="C3159" t="n">
        <v>563</v>
      </c>
      <c r="D3159" t="n">
        <v>542</v>
      </c>
      <c r="E3159" t="n">
        <v>1702</v>
      </c>
    </row>
    <row r="3160">
      <c r="A3160" t="inlineStr">
        <is>
          <t>G|REV_DEBT x CHANNEL|where 2025|outcome_loans|rate|1</t>
        </is>
      </c>
      <c r="B3160" t="n">
        <v>0.03252032520325204</v>
      </c>
      <c r="C3160" t="n">
        <v>0.03174603174603174</v>
      </c>
      <c r="D3160" t="n">
        <v>0.06315789473684211</v>
      </c>
      <c r="E3160" t="n">
        <v>0.04069767441860465</v>
      </c>
    </row>
    <row r="3161">
      <c r="A3161" t="inlineStr">
        <is>
          <t>G|REV_DEBT x CHANNEL|where 2025|outcome_loans|book|1</t>
        </is>
      </c>
      <c r="E3161" t="n">
        <v>0.5259138896194162</v>
      </c>
    </row>
    <row r="3162">
      <c r="A3162" t="inlineStr">
        <is>
          <t>G|REV_DEBT x CHANNEL|where 2025|outcome_loans|band|1</t>
        </is>
      </c>
    </row>
    <row r="3163">
      <c r="A3163" t="inlineStr">
        <is>
          <t>G|REV_DEBT x CHANNEL|where 2025|outcome_loans|rate|2</t>
        </is>
      </c>
      <c r="B3163" t="n">
        <v>0.05217391304347826</v>
      </c>
      <c r="C3163" t="n">
        <v>0.01666666666666667</v>
      </c>
      <c r="D3163" t="n">
        <v>0.0625</v>
      </c>
      <c r="E3163" t="n">
        <v>0.04322766570605188</v>
      </c>
    </row>
    <row r="3164">
      <c r="A3164" t="inlineStr">
        <is>
          <t>G|REV_DEBT x CHANNEL|where 2025|outcome_loans|book|2</t>
        </is>
      </c>
      <c r="E3164" t="n">
        <v>0.5586075896328093</v>
      </c>
    </row>
    <row r="3165">
      <c r="A3165" t="inlineStr">
        <is>
          <t>G|REV_DEBT x CHANNEL|where 2025|outcome_loans|band|2</t>
        </is>
      </c>
    </row>
    <row r="3166">
      <c r="A3166" t="inlineStr">
        <is>
          <t>G|REV_DEBT x CHANNEL|where 2025|outcome_loans|rate|3</t>
        </is>
      </c>
      <c r="B3166" t="n">
        <v>0.06349206349206349</v>
      </c>
      <c r="C3166" t="n">
        <v>0.07608695652173914</v>
      </c>
      <c r="D3166" t="n">
        <v>0.04672897196261682</v>
      </c>
      <c r="E3166" t="n">
        <v>0.06153846153846154</v>
      </c>
    </row>
    <row r="3167">
      <c r="A3167" t="inlineStr">
        <is>
          <t>G|REV_DEBT x CHANNEL|where 2025|outcome_loans|book|3</t>
        </is>
      </c>
      <c r="E3167" t="n">
        <v>0.7952280352926556</v>
      </c>
    </row>
    <row r="3168">
      <c r="A3168" t="inlineStr">
        <is>
          <t>G|REV_DEBT x CHANNEL|where 2025|outcome_loans|band|3</t>
        </is>
      </c>
    </row>
    <row r="3169">
      <c r="A3169" t="inlineStr">
        <is>
          <t>G|REV_DEBT x CHANNEL|where 2025|outcome_loans|rate|4</t>
        </is>
      </c>
      <c r="B3169" t="n">
        <v>0.06140350877192982</v>
      </c>
      <c r="C3169" t="n">
        <v>0.08870967741935484</v>
      </c>
      <c r="D3169" t="n">
        <v>0.1192660550458716</v>
      </c>
      <c r="E3169" t="n">
        <v>0.0893371757925072</v>
      </c>
    </row>
    <row r="3170">
      <c r="A3170" t="inlineStr">
        <is>
          <t>G|REV_DEBT x CHANNEL|where 2025|outcome_loans|book|4</t>
        </is>
      </c>
      <c r="C3170" t="n">
        <v>1.146346865391631</v>
      </c>
      <c r="D3170" t="n">
        <v>1.541210297757555</v>
      </c>
      <c r="E3170" t="n">
        <v>1.154455685241139</v>
      </c>
    </row>
    <row r="3171">
      <c r="A3171" t="inlineStr">
        <is>
          <t>G|REV_DEBT x CHANNEL|where 2025|outcome_loans|band|4</t>
        </is>
      </c>
      <c r="C3171" t="n">
        <v>0.9891129032258066</v>
      </c>
      <c r="D3171" t="n">
        <v>1.576962283384302</v>
      </c>
    </row>
    <row r="3172">
      <c r="A3172" t="inlineStr">
        <is>
          <t>G|REV_DEBT x CHANNEL|where 2025|outcome_loans|rate|5</t>
        </is>
      </c>
      <c r="B3172" t="n">
        <v>0.1428571428571428</v>
      </c>
      <c r="C3172" t="n">
        <v>0.1584158415841584</v>
      </c>
      <c r="D3172" t="n">
        <v>0.1428571428571428</v>
      </c>
      <c r="E3172" t="n">
        <v>0.1474926253687316</v>
      </c>
    </row>
    <row r="3173">
      <c r="A3173" t="inlineStr">
        <is>
          <t>G|REV_DEBT x CHANNEL|where 2025|outcome_loans|book|5</t>
        </is>
      </c>
      <c r="B3173" t="n">
        <v>1.846065081929379</v>
      </c>
      <c r="C3173" t="n">
        <v>2.047121675010797</v>
      </c>
      <c r="D3173" t="n">
        <v>1.846065081929379</v>
      </c>
      <c r="E3173" t="n">
        <v>1.905966898747147</v>
      </c>
    </row>
    <row r="3174">
      <c r="A3174" t="inlineStr">
        <is>
          <t>G|REV_DEBT x CHANNEL|where 2025|outcome_loans|band|5</t>
        </is>
      </c>
      <c r="B3174" t="n">
        <v>0.9523809523809523</v>
      </c>
      <c r="C3174" t="n">
        <v>1.108910891089109</v>
      </c>
      <c r="D3174" t="n">
        <v>0.9523809523809523</v>
      </c>
    </row>
    <row r="3175">
      <c r="A3175" t="inlineStr">
        <is>
          <t>G|REV_DEBT x CHANNEL|where 2025|outcome_loans|rate|6</t>
        </is>
      </c>
      <c r="B3175" t="n">
        <v>0.07035175879396985</v>
      </c>
      <c r="C3175" t="n">
        <v>0.07104795737122557</v>
      </c>
      <c r="D3175" t="n">
        <v>0.08856088560885608</v>
      </c>
      <c r="E3175" t="n">
        <v>0.07638072855464159</v>
      </c>
    </row>
    <row r="3176">
      <c r="A3176" t="inlineStr">
        <is>
          <t>G|REV_DEBT x CHANNEL|where 2025|outcome_loans|book|6</t>
        </is>
      </c>
      <c r="B3176" t="n">
        <v>0.909117477533061</v>
      </c>
      <c r="C3176" t="n">
        <v>0.9181140727179861</v>
      </c>
      <c r="D3176" t="n">
        <v>1.144424109830759</v>
      </c>
      <c r="E3176" t="n">
        <v>0.9870265714193507</v>
      </c>
    </row>
    <row r="3177">
      <c r="A3177" t="inlineStr">
        <is>
          <t>G|REV_DEBT x CHANNEL|where 2025|outcome_loans|band|6</t>
        </is>
      </c>
    </row>
    <row r="3178">
      <c r="A3178" t="inlineStr">
        <is>
          <t>G|REV_DEBT x CHANNEL|where 2025|outcome_loans|meta</t>
        </is>
      </c>
      <c r="B3178" t="inlineStr">
        <is>
          <t>x</t>
        </is>
      </c>
      <c r="C3178" t="n">
        <v>2.047121675010797</v>
      </c>
      <c r="D3178" t="n">
        <v>10</v>
      </c>
      <c r="E3178" t="n">
        <v>0.07738467308413552</v>
      </c>
      <c r="F3178" t="n">
        <v>30</v>
      </c>
    </row>
    <row r="3179">
      <c r="A3179" t="inlineStr">
        <is>
          <t>G|REV_DEBT x CHANNEL|where 2025|outcome_booked|rate|1</t>
        </is>
      </c>
      <c r="B3179" t="n">
        <v>0.01905209978951314</v>
      </c>
      <c r="C3179" t="n">
        <v>0.03152570342633699</v>
      </c>
      <c r="D3179" t="n">
        <v>0.07728826881219554</v>
      </c>
      <c r="E3179" t="n">
        <v>0.03903497349966134</v>
      </c>
    </row>
    <row r="3180">
      <c r="A3180" t="inlineStr">
        <is>
          <t>G|REV_DEBT x CHANNEL|where 2025|outcome_booked|book|1</t>
        </is>
      </c>
      <c r="E3180" t="n">
        <v>0.5216566045139919</v>
      </c>
    </row>
    <row r="3181">
      <c r="A3181" t="inlineStr">
        <is>
          <t>G|REV_DEBT x CHANNEL|where 2025|outcome_booked|band|1</t>
        </is>
      </c>
    </row>
    <row r="3182">
      <c r="A3182" t="inlineStr">
        <is>
          <t>G|REV_DEBT x CHANNEL|where 2025|outcome_booked|rate|2</t>
        </is>
      </c>
      <c r="B3182" t="n">
        <v>0.04818897272153649</v>
      </c>
      <c r="C3182" t="n">
        <v>0.01183336352953105</v>
      </c>
      <c r="D3182" t="n">
        <v>0.05788800111629506</v>
      </c>
      <c r="E3182" t="n">
        <v>0.03829622525726894</v>
      </c>
    </row>
    <row r="3183">
      <c r="A3183" t="inlineStr">
        <is>
          <t>G|REV_DEBT x CHANNEL|where 2025|outcome_booked|book|2</t>
        </is>
      </c>
      <c r="E3183" t="n">
        <v>0.5117841013414089</v>
      </c>
    </row>
    <row r="3184">
      <c r="A3184" t="inlineStr">
        <is>
          <t>G|REV_DEBT x CHANNEL|where 2025|outcome_booked|band|2</t>
        </is>
      </c>
    </row>
    <row r="3185">
      <c r="A3185" t="inlineStr">
        <is>
          <t>G|REV_DEBT x CHANNEL|where 2025|outcome_booked|rate|3</t>
        </is>
      </c>
      <c r="B3185" t="n">
        <v>0.06988309998955818</v>
      </c>
      <c r="C3185" t="n">
        <v>0.06542433183155445</v>
      </c>
      <c r="D3185" t="n">
        <v>0.04015106365048678</v>
      </c>
      <c r="E3185" t="n">
        <v>0.05899664566474774</v>
      </c>
    </row>
    <row r="3186">
      <c r="A3186" t="inlineStr">
        <is>
          <t>G|REV_DEBT x CHANNEL|where 2025|outcome_booked|book|3</t>
        </is>
      </c>
      <c r="E3186" t="n">
        <v>0.7884209234945282</v>
      </c>
    </row>
    <row r="3187">
      <c r="A3187" t="inlineStr">
        <is>
          <t>G|REV_DEBT x CHANNEL|where 2025|outcome_booked|band|3</t>
        </is>
      </c>
    </row>
    <row r="3188">
      <c r="A3188" t="inlineStr">
        <is>
          <t>G|REV_DEBT x CHANNEL|where 2025|outcome_booked|rate|4</t>
        </is>
      </c>
      <c r="B3188" t="n">
        <v>0.04208413657537906</v>
      </c>
      <c r="C3188" t="n">
        <v>0.08326546521238641</v>
      </c>
      <c r="D3188" t="n">
        <v>0.1338980665785462</v>
      </c>
      <c r="E3188" t="n">
        <v>0.08644851889720409</v>
      </c>
    </row>
    <row r="3189">
      <c r="A3189" t="inlineStr">
        <is>
          <t>G|REV_DEBT x CHANNEL|where 2025|outcome_booked|book|4</t>
        </is>
      </c>
      <c r="C3189" t="n">
        <v>1.112745211838001</v>
      </c>
      <c r="D3189" t="n">
        <v>1.789390500366519</v>
      </c>
      <c r="E3189" t="n">
        <v>1.15528298830715</v>
      </c>
    </row>
    <row r="3190">
      <c r="A3190" t="inlineStr">
        <is>
          <t>G|REV_DEBT x CHANNEL|where 2025|outcome_booked|band|4</t>
        </is>
      </c>
      <c r="C3190" t="n">
        <v>0.9449622212325377</v>
      </c>
      <c r="D3190" t="n">
        <v>2.119407321091419</v>
      </c>
    </row>
    <row r="3191">
      <c r="A3191" t="inlineStr">
        <is>
          <t>G|REV_DEBT x CHANNEL|where 2025|outcome_booked|rate|5</t>
        </is>
      </c>
      <c r="B3191" t="n">
        <v>0.1380453294661966</v>
      </c>
      <c r="C3191" t="n">
        <v>0.1728769237418719</v>
      </c>
      <c r="D3191" t="n">
        <v>0.1469615489162473</v>
      </c>
      <c r="E3191" t="n">
        <v>0.1513777882739947</v>
      </c>
    </row>
    <row r="3192">
      <c r="A3192" t="inlineStr">
        <is>
          <t>G|REV_DEBT x CHANNEL|where 2025|outcome_booked|book|5</t>
        </is>
      </c>
      <c r="B3192" t="n">
        <v>1.844813801115459</v>
      </c>
      <c r="C3192" t="n">
        <v>2.31029717591051</v>
      </c>
      <c r="D3192" t="n">
        <v>1.963968608879204</v>
      </c>
      <c r="E3192" t="n">
        <v>2.022986464446688</v>
      </c>
    </row>
    <row r="3193">
      <c r="A3193" t="inlineStr">
        <is>
          <t>G|REV_DEBT x CHANNEL|where 2025|outcome_booked|band|5</t>
        </is>
      </c>
      <c r="B3193" t="n">
        <v>0.8693787783877727</v>
      </c>
      <c r="C3193" t="n">
        <v>1.213554566899134</v>
      </c>
      <c r="D3193" t="n">
        <v>0.9558434162273158</v>
      </c>
    </row>
    <row r="3194">
      <c r="A3194" t="inlineStr">
        <is>
          <t>G|REV_DEBT x CHANNEL|where 2025|outcome_booked|rate|6</t>
        </is>
      </c>
      <c r="B3194" t="n">
        <v>0.0636343385089902</v>
      </c>
      <c r="C3194" t="n">
        <v>0.06820985329855665</v>
      </c>
      <c r="D3194" t="n">
        <v>0.09305925732169661</v>
      </c>
      <c r="E3194" t="n">
        <v>0.07444206116597255</v>
      </c>
    </row>
    <row r="3195">
      <c r="A3195" t="inlineStr">
        <is>
          <t>G|REV_DEBT x CHANNEL|where 2025|outcome_booked|book|6</t>
        </is>
      </c>
      <c r="B3195" t="n">
        <v>0.8503982449836114</v>
      </c>
      <c r="C3195" t="n">
        <v>0.9115446297518628</v>
      </c>
      <c r="D3195" t="n">
        <v>1.243627748164124</v>
      </c>
      <c r="E3195" t="n">
        <v>0.994830773004138</v>
      </c>
    </row>
    <row r="3196">
      <c r="A3196" t="inlineStr">
        <is>
          <t>G|REV_DEBT x CHANNEL|where 2025|outcome_booked|band|6</t>
        </is>
      </c>
    </row>
    <row r="3197">
      <c r="A3197" t="inlineStr">
        <is>
          <t>G|REV_DEBT x CHANNEL|where 2025|outcome_booked|meta</t>
        </is>
      </c>
      <c r="B3197" t="inlineStr">
        <is>
          <t>x</t>
        </is>
      </c>
      <c r="C3197" t="n">
        <v>2.31029717591051</v>
      </c>
      <c r="D3197" t="n">
        <v>10</v>
      </c>
      <c r="E3197" t="n">
        <v>0.07482886857347235</v>
      </c>
      <c r="F3197" t="n">
        <v>30</v>
      </c>
    </row>
    <row r="3198">
      <c r="A3198" t="inlineStr">
        <is>
          <t>G|REV_DEBT x CHANNEL|where 2025|gco_rate|rate|1</t>
        </is>
      </c>
      <c r="B3198" t="n">
        <v>0.01008299365339919</v>
      </c>
      <c r="C3198" t="n">
        <v>0.02121113549214024</v>
      </c>
      <c r="D3198" t="n">
        <v>0.03560974465081451</v>
      </c>
      <c r="E3198" t="n">
        <v>0.02098040409049997</v>
      </c>
    </row>
    <row r="3199">
      <c r="A3199" t="inlineStr">
        <is>
          <t>G|REV_DEBT x CHANNEL|where 2025|gco_rate|book|1</t>
        </is>
      </c>
      <c r="E3199" t="n">
        <v>0.5042728107225819</v>
      </c>
    </row>
    <row r="3200">
      <c r="A3200" t="inlineStr">
        <is>
          <t>G|REV_DEBT x CHANNEL|where 2025|gco_rate|band|1</t>
        </is>
      </c>
    </row>
    <row r="3201">
      <c r="A3201" t="inlineStr">
        <is>
          <t>G|REV_DEBT x CHANNEL|where 2025|gco_rate|rate|2</t>
        </is>
      </c>
      <c r="B3201" t="n">
        <v>0.02457381292269862</v>
      </c>
      <c r="C3201" t="n">
        <v>0.008024850298673848</v>
      </c>
      <c r="D3201" t="n">
        <v>0.02919440941381924</v>
      </c>
      <c r="E3201" t="n">
        <v>0.02013553194459775</v>
      </c>
    </row>
    <row r="3202">
      <c r="A3202" t="inlineStr">
        <is>
          <t>G|REV_DEBT x CHANNEL|where 2025|gco_rate|book|2</t>
        </is>
      </c>
      <c r="E3202" t="n">
        <v>0.4839659543876153</v>
      </c>
    </row>
    <row r="3203">
      <c r="A3203" t="inlineStr">
        <is>
          <t>G|REV_DEBT x CHANNEL|where 2025|gco_rate|band|2</t>
        </is>
      </c>
    </row>
    <row r="3204">
      <c r="A3204" t="inlineStr">
        <is>
          <t>G|REV_DEBT x CHANNEL|where 2025|gco_rate|rate|3</t>
        </is>
      </c>
      <c r="B3204" t="n">
        <v>0.03934448170756003</v>
      </c>
      <c r="C3204" t="n">
        <v>0.03681018899667503</v>
      </c>
      <c r="D3204" t="n">
        <v>0.02248147136072665</v>
      </c>
      <c r="E3204" t="n">
        <v>0.03316849555298429</v>
      </c>
    </row>
    <row r="3205">
      <c r="A3205" t="inlineStr">
        <is>
          <t>G|REV_DEBT x CHANNEL|where 2025|gco_rate|book|3</t>
        </is>
      </c>
      <c r="E3205" t="n">
        <v>0.7972187002592792</v>
      </c>
    </row>
    <row r="3206">
      <c r="A3206" t="inlineStr">
        <is>
          <t>G|REV_DEBT x CHANNEL|where 2025|gco_rate|band|3</t>
        </is>
      </c>
    </row>
    <row r="3207">
      <c r="A3207" t="inlineStr">
        <is>
          <t>G|REV_DEBT x CHANNEL|where 2025|gco_rate|rate|4</t>
        </is>
      </c>
      <c r="B3207" t="n">
        <v>0.02730802895359662</v>
      </c>
      <c r="C3207" t="n">
        <v>0.04463503951350108</v>
      </c>
      <c r="D3207" t="n">
        <v>0.09030990512449422</v>
      </c>
      <c r="E3207" t="n">
        <v>0.05399389284165242</v>
      </c>
    </row>
    <row r="3208">
      <c r="A3208" t="inlineStr">
        <is>
          <t>G|REV_DEBT x CHANNEL|where 2025|gco_rate|book|4</t>
        </is>
      </c>
      <c r="C3208" t="n">
        <v>1.072821892995785</v>
      </c>
      <c r="D3208" t="n">
        <v>2.170636442309494</v>
      </c>
      <c r="E3208" t="n">
        <v>1.297765857495699</v>
      </c>
    </row>
    <row r="3209">
      <c r="A3209" t="inlineStr">
        <is>
          <t>G|REV_DEBT x CHANNEL|where 2025|gco_rate|band|4</t>
        </is>
      </c>
      <c r="C3209" t="n">
        <v>0.7578868024275791</v>
      </c>
      <c r="D3209" t="n">
        <v>2.495928620916835</v>
      </c>
    </row>
    <row r="3210">
      <c r="A3210" t="inlineStr">
        <is>
          <t>G|REV_DEBT x CHANNEL|where 2025|gco_rate|rate|5</t>
        </is>
      </c>
      <c r="B3210" t="n">
        <v>0.06553476432366508</v>
      </c>
      <c r="C3210" t="n">
        <v>0.09501271272425545</v>
      </c>
      <c r="D3210" t="n">
        <v>0.07954688319133012</v>
      </c>
      <c r="E3210" t="n">
        <v>0.07907806418710929</v>
      </c>
    </row>
    <row r="3211">
      <c r="A3211" t="inlineStr">
        <is>
          <t>G|REV_DEBT x CHANNEL|where 2025|gco_rate|book|5</t>
        </is>
      </c>
      <c r="B3211" t="n">
        <v>1.575155543381579</v>
      </c>
      <c r="C3211" t="n">
        <v>2.283670395153755</v>
      </c>
      <c r="D3211" t="n">
        <v>1.911942696531592</v>
      </c>
      <c r="E3211" t="n">
        <v>1.900674435159751</v>
      </c>
    </row>
    <row r="3212">
      <c r="A3212" t="inlineStr">
        <is>
          <t>G|REV_DEBT x CHANNEL|where 2025|gco_rate|band|5</t>
        </is>
      </c>
      <c r="B3212" t="n">
        <v>0.7567209618050122</v>
      </c>
      <c r="C3212" t="n">
        <v>1.311158387799581</v>
      </c>
      <c r="D3212" t="n">
        <v>1.00914312454984</v>
      </c>
    </row>
    <row r="3213">
      <c r="A3213" t="inlineStr">
        <is>
          <t>G|REV_DEBT x CHANNEL|where 2025|gco_rate|rate|6</t>
        </is>
      </c>
      <c r="B3213" t="n">
        <v>0.03344201986202094</v>
      </c>
      <c r="C3213" t="n">
        <v>0.03862432268921596</v>
      </c>
      <c r="D3213" t="n">
        <v>0.05277932504181222</v>
      </c>
      <c r="E3213" t="n">
        <v>0.04126723109963323</v>
      </c>
    </row>
    <row r="3214">
      <c r="A3214" t="inlineStr">
        <is>
          <t>G|REV_DEBT x CHANNEL|where 2025|gco_rate|book|6</t>
        </is>
      </c>
      <c r="B3214" t="n">
        <v>0.8037929717329787</v>
      </c>
      <c r="C3214" t="n">
        <v>0.9283517934512188</v>
      </c>
      <c r="D3214" t="n">
        <v>1.268573211081615</v>
      </c>
      <c r="E3214" t="n">
        <v>0.9918752054338763</v>
      </c>
    </row>
    <row r="3215">
      <c r="A3215" t="inlineStr">
        <is>
          <t>G|REV_DEBT x CHANNEL|where 2025|gco_rate|band|6</t>
        </is>
      </c>
    </row>
    <row r="3216">
      <c r="A3216" t="inlineStr">
        <is>
          <t>G|REV_DEBT x CHANNEL|where 2025|gco_rate|meta</t>
        </is>
      </c>
      <c r="B3216" t="inlineStr">
        <is>
          <t>x</t>
        </is>
      </c>
      <c r="C3216" t="n">
        <v>2.495928620916835</v>
      </c>
      <c r="D3216" t="n">
        <v>10</v>
      </c>
      <c r="E3216" t="n">
        <v>0.04160526533333565</v>
      </c>
      <c r="F3216" t="n">
        <v>30</v>
      </c>
    </row>
    <row r="3217">
      <c r="A3217" t="inlineStr">
        <is>
          <t>G|REV_DEBT x CHANNEL|where 2025|ranr_rate|rate|1</t>
        </is>
      </c>
      <c r="B3217" t="n">
        <v>0.04322828289990359</v>
      </c>
      <c r="C3217" t="n">
        <v>0.02568425119685888</v>
      </c>
      <c r="D3217" t="n">
        <v>0.02105714288183948</v>
      </c>
      <c r="E3217" t="n">
        <v>0.03078718612011025</v>
      </c>
    </row>
    <row r="3218">
      <c r="A3218" t="inlineStr">
        <is>
          <t>G|REV_DEBT x CHANNEL|where 2025|ranr_rate|book|1</t>
        </is>
      </c>
      <c r="B3218" t="n">
        <v>-8.476176675</v>
      </c>
      <c r="C3218" t="n">
        <v>-10.230579845</v>
      </c>
      <c r="D3218" t="n">
        <v>-10.693290677</v>
      </c>
      <c r="E3218" t="n">
        <v>-9.720286353000001</v>
      </c>
    </row>
    <row r="3219">
      <c r="A3219" t="inlineStr">
        <is>
          <t>G|REV_DEBT x CHANNEL|where 2025|ranr_rate|band|1</t>
        </is>
      </c>
      <c r="B3219" t="n">
        <v>1.943994964</v>
      </c>
      <c r="C3219" t="n">
        <v>-0.820079499</v>
      </c>
      <c r="D3219" t="n">
        <v>-1.318835381</v>
      </c>
    </row>
    <row r="3220">
      <c r="A3220" t="inlineStr">
        <is>
          <t>G|REV_DEBT x CHANNEL|where 2025|ranr_rate|rate|2</t>
        </is>
      </c>
      <c r="B3220" t="n">
        <v>0.0293256181862133</v>
      </c>
      <c r="C3220" t="n">
        <v>0.04372197267561626</v>
      </c>
      <c r="D3220" t="n">
        <v>0.04168223506240413</v>
      </c>
      <c r="E3220" t="n">
        <v>0.03835262568703716</v>
      </c>
    </row>
    <row r="3221">
      <c r="A3221" t="inlineStr">
        <is>
          <t>G|REV_DEBT x CHANNEL|where 2025|ranr_rate|book|2</t>
        </is>
      </c>
      <c r="B3221" t="n">
        <v>-9.866443146</v>
      </c>
      <c r="C3221" t="n">
        <v>-8.426807696999999</v>
      </c>
      <c r="D3221" t="n">
        <v>-8.630781459</v>
      </c>
      <c r="E3221" t="n">
        <v>-8.963742396000001</v>
      </c>
    </row>
    <row r="3222">
      <c r="A3222" t="inlineStr">
        <is>
          <t>G|REV_DEBT x CHANNEL|where 2025|ranr_rate|band|2</t>
        </is>
      </c>
      <c r="B3222" t="n">
        <v>-1.343844568</v>
      </c>
      <c r="C3222" t="n">
        <v>0.834098961</v>
      </c>
      <c r="D3222" t="n">
        <v>0.486401165</v>
      </c>
    </row>
    <row r="3223">
      <c r="A3223" t="inlineStr">
        <is>
          <t>G|REV_DEBT x CHANNEL|where 2025|ranr_rate|rate|3</t>
        </is>
      </c>
      <c r="B3223" t="n">
        <v>0.02548208289305021</v>
      </c>
      <c r="C3223" t="n">
        <v>0.02745800494126688</v>
      </c>
      <c r="D3223" t="n">
        <v>0.04737096758189949</v>
      </c>
      <c r="E3223" t="n">
        <v>0.03312236760525498</v>
      </c>
    </row>
    <row r="3224">
      <c r="A3224" t="inlineStr">
        <is>
          <t>G|REV_DEBT x CHANNEL|where 2025|ranr_rate|book|3</t>
        </is>
      </c>
      <c r="B3224" t="n">
        <v>-10.250796676</v>
      </c>
      <c r="C3224" t="n">
        <v>-10.053204471</v>
      </c>
      <c r="D3224" t="n">
        <v>-8.061908207</v>
      </c>
      <c r="E3224" t="n">
        <v>-9.486768204000001</v>
      </c>
    </row>
    <row r="3225">
      <c r="A3225" t="inlineStr">
        <is>
          <t>G|REV_DEBT x CHANNEL|where 2025|ranr_rate|band|3</t>
        </is>
      </c>
      <c r="B3225" t="n">
        <v>-1.253111917</v>
      </c>
      <c r="C3225" t="n">
        <v>-0.793907048</v>
      </c>
      <c r="D3225" t="n">
        <v>2.10524052</v>
      </c>
    </row>
    <row r="3226">
      <c r="A3226" t="inlineStr">
        <is>
          <t>G|REV_DEBT x CHANNEL|where 2025|ranr_rate|rate|4</t>
        </is>
      </c>
      <c r="B3226" t="n">
        <v>0.04206636851075932</v>
      </c>
      <c r="C3226" t="n">
        <v>0.02749685933587367</v>
      </c>
      <c r="D3226" t="n">
        <v>-0.009340017883535379</v>
      </c>
      <c r="E3226" t="n">
        <v>0.02014373719393787</v>
      </c>
    </row>
    <row r="3227">
      <c r="A3227" t="inlineStr">
        <is>
          <t>G|REV_DEBT x CHANNEL|where 2025|ranr_rate|book|4</t>
        </is>
      </c>
      <c r="B3227" t="n">
        <v>-8.592368113999999</v>
      </c>
      <c r="C3227" t="n">
        <v>-10.049319031</v>
      </c>
      <c r="D3227" t="n">
        <v>-13.733006753</v>
      </c>
      <c r="E3227" t="n">
        <v>-10.784631245</v>
      </c>
    </row>
    <row r="3228">
      <c r="A3228" t="inlineStr">
        <is>
          <t>G|REV_DEBT x CHANNEL|where 2025|ranr_rate|band|4</t>
        </is>
      </c>
      <c r="B3228" t="n">
        <v>3.258834824</v>
      </c>
      <c r="C3228" t="n">
        <v>1.1203125</v>
      </c>
      <c r="D3228" t="n">
        <v>-4.394391408</v>
      </c>
    </row>
    <row r="3229">
      <c r="A3229" t="inlineStr">
        <is>
          <t>G|REV_DEBT x CHANNEL|where 2025|ranr_rate|rate|5</t>
        </is>
      </c>
      <c r="B3229" t="n">
        <v>0.02203582794944876</v>
      </c>
      <c r="C3229" t="n">
        <v>-0.009406175477322639</v>
      </c>
      <c r="D3229" t="n">
        <v>0.01483480806586632</v>
      </c>
      <c r="E3229" t="n">
        <v>0.01029702043055185</v>
      </c>
    </row>
    <row r="3230">
      <c r="A3230" t="inlineStr">
        <is>
          <t>G|REV_DEBT x CHANNEL|where 2025|ranr_rate|book|5</t>
        </is>
      </c>
      <c r="B3230" t="n">
        <v>-10.59542217</v>
      </c>
      <c r="C3230" t="n">
        <v>-13.739622513</v>
      </c>
      <c r="D3230" t="n">
        <v>-11.315524158</v>
      </c>
      <c r="E3230" t="n">
        <v>-11.769302922</v>
      </c>
    </row>
    <row r="3231">
      <c r="A3231" t="inlineStr">
        <is>
          <t>G|REV_DEBT x CHANNEL|where 2025|ranr_rate|band|5</t>
        </is>
      </c>
      <c r="B3231" t="n">
        <v>1.826165589</v>
      </c>
      <c r="C3231" t="n">
        <v>-2.788060924</v>
      </c>
      <c r="D3231" t="n">
        <v>0.697596025</v>
      </c>
    </row>
    <row r="3232">
      <c r="A3232" t="inlineStr">
        <is>
          <t>G|REV_DEBT x CHANNEL|where 2025|ranr_rate|rate|6</t>
        </is>
      </c>
      <c r="B3232" t="n">
        <v>0.03230531033172607</v>
      </c>
      <c r="C3232" t="n">
        <v>0.02423600925188872</v>
      </c>
      <c r="D3232" t="n">
        <v>0.02276094655457334</v>
      </c>
      <c r="E3232" t="n">
        <v>0.02661212722928228</v>
      </c>
    </row>
    <row r="3233">
      <c r="A3233" t="inlineStr">
        <is>
          <t>G|REV_DEBT x CHANNEL|where 2025|ranr_rate|book|6</t>
        </is>
      </c>
      <c r="B3233" t="n">
        <v>-9.568473932</v>
      </c>
      <c r="C3233" t="n">
        <v>-10.37540404</v>
      </c>
      <c r="D3233" t="n">
        <v>-10.522910309</v>
      </c>
      <c r="E3233" t="n">
        <v>-10.137792242</v>
      </c>
    </row>
    <row r="3234">
      <c r="A3234" t="inlineStr">
        <is>
          <t>G|REV_DEBT x CHANNEL|where 2025|ranr_rate|band|6</t>
        </is>
      </c>
    </row>
    <row r="3235">
      <c r="A3235" t="inlineStr">
        <is>
          <t>G|REV_DEBT x CHANNEL|where 2025|ranr_rate|meta</t>
        </is>
      </c>
      <c r="B3235" t="inlineStr">
        <is>
          <t>pts</t>
        </is>
      </c>
      <c r="C3235" t="n">
        <v>13.739622513</v>
      </c>
      <c r="D3235" t="n">
        <v>10</v>
      </c>
      <c r="E3235" t="n">
        <v>0.1279900496481481</v>
      </c>
      <c r="F3235" t="n">
        <v>30</v>
      </c>
    </row>
    <row r="3236">
      <c r="A3236" t="inlineStr">
        <is>
          <t>G|REV_DEBT x CHANNEL|where 2025|contribution_rate|rate|1</t>
        </is>
      </c>
      <c r="B3236" t="n">
        <v>0.05331127655330273</v>
      </c>
      <c r="C3236" t="n">
        <v>0.04689538668899914</v>
      </c>
      <c r="D3236" t="n">
        <v>0.056666887532654</v>
      </c>
      <c r="E3236" t="n">
        <v>0.05176759021061021</v>
      </c>
    </row>
    <row r="3237">
      <c r="A3237" t="inlineStr">
        <is>
          <t>G|REV_DEBT x CHANNEL|where 2025|contribution_rate|book|1</t>
        </is>
      </c>
      <c r="B3237" t="n">
        <v>-11.628117918</v>
      </c>
      <c r="C3237" t="n">
        <v>-12.269706905</v>
      </c>
      <c r="D3237" t="n">
        <v>-11.29255682</v>
      </c>
      <c r="E3237" t="n">
        <v>-11.782486552</v>
      </c>
    </row>
    <row r="3238">
      <c r="A3238" t="inlineStr">
        <is>
          <t>G|REV_DEBT x CHANNEL|where 2025|contribution_rate|band|1</t>
        </is>
      </c>
      <c r="B3238" t="n">
        <v>0.241210122</v>
      </c>
      <c r="C3238" t="n">
        <v>-0.782999251</v>
      </c>
      <c r="D3238" t="n">
        <v>0.664063508</v>
      </c>
    </row>
    <row r="3239">
      <c r="A3239" t="inlineStr">
        <is>
          <t>G|REV_DEBT x CHANNEL|where 2025|contribution_rate|rate|2</t>
        </is>
      </c>
      <c r="B3239" t="n">
        <v>0.0538994311089119</v>
      </c>
      <c r="C3239" t="n">
        <v>0.05174682297429011</v>
      </c>
      <c r="D3239" t="n">
        <v>0.07087664447622335</v>
      </c>
      <c r="E3239" t="n">
        <v>0.05848815763163491</v>
      </c>
    </row>
    <row r="3240">
      <c r="A3240" t="inlineStr">
        <is>
          <t>G|REV_DEBT x CHANNEL|where 2025|contribution_rate|book|2</t>
        </is>
      </c>
      <c r="B3240" t="n">
        <v>-11.569302463</v>
      </c>
      <c r="C3240" t="n">
        <v>-11.784563276</v>
      </c>
      <c r="D3240" t="n">
        <v>-9.871581126000001</v>
      </c>
      <c r="E3240" t="n">
        <v>-11.11042981</v>
      </c>
    </row>
    <row r="3241">
      <c r="A3241" t="inlineStr">
        <is>
          <t>G|REV_DEBT x CHANNEL|where 2025|contribution_rate|band|2</t>
        </is>
      </c>
      <c r="B3241" t="n">
        <v>-0.6831206480000001</v>
      </c>
      <c r="C3241" t="n">
        <v>-1.047229811</v>
      </c>
      <c r="D3241" t="n">
        <v>1.809754164</v>
      </c>
    </row>
    <row r="3242">
      <c r="A3242" t="inlineStr">
        <is>
          <t>G|REV_DEBT x CHANNEL|where 2025|contribution_rate|rate|3</t>
        </is>
      </c>
      <c r="B3242" t="n">
        <v>0.06482656460061026</v>
      </c>
      <c r="C3242" t="n">
        <v>0.06426819393794193</v>
      </c>
      <c r="D3242" t="n">
        <v>0.06985243894262615</v>
      </c>
      <c r="E3242" t="n">
        <v>0.06629086315823929</v>
      </c>
    </row>
    <row r="3243">
      <c r="A3243" t="inlineStr">
        <is>
          <t>G|REV_DEBT x CHANNEL|where 2025|contribution_rate|book|3</t>
        </is>
      </c>
      <c r="B3243" t="n">
        <v>-10.476589113</v>
      </c>
      <c r="C3243" t="n">
        <v>-10.53242618</v>
      </c>
      <c r="D3243" t="n">
        <v>-9.974001679000001</v>
      </c>
      <c r="E3243" t="n">
        <v>-10.330159258</v>
      </c>
    </row>
    <row r="3244">
      <c r="A3244" t="inlineStr">
        <is>
          <t>G|REV_DEBT x CHANNEL|where 2025|contribution_rate|band|3</t>
        </is>
      </c>
      <c r="B3244" t="n">
        <v>-0.24016513</v>
      </c>
      <c r="C3244" t="n">
        <v>-0.283493739</v>
      </c>
      <c r="D3244" t="n">
        <v>0.52622529</v>
      </c>
    </row>
    <row r="3245">
      <c r="A3245" t="inlineStr">
        <is>
          <t>G|REV_DEBT x CHANNEL|where 2025|contribution_rate|rate|4</t>
        </is>
      </c>
      <c r="B3245" t="n">
        <v>0.06937439746435591</v>
      </c>
      <c r="C3245" t="n">
        <v>0.07213189884937478</v>
      </c>
      <c r="D3245" t="n">
        <v>0.0809698872409589</v>
      </c>
      <c r="E3245" t="n">
        <v>0.07413763003559032</v>
      </c>
    </row>
    <row r="3246">
      <c r="A3246" t="inlineStr">
        <is>
          <t>G|REV_DEBT x CHANNEL|where 2025|contribution_rate|book|4</t>
        </is>
      </c>
      <c r="B3246" t="n">
        <v>-10.021805827</v>
      </c>
      <c r="C3246" t="n">
        <v>-9.746055689</v>
      </c>
      <c r="D3246" t="n">
        <v>-8.862256849</v>
      </c>
      <c r="E3246" t="n">
        <v>-9.545482570000001</v>
      </c>
    </row>
    <row r="3247">
      <c r="A3247" t="inlineStr">
        <is>
          <t>G|REV_DEBT x CHANNEL|where 2025|contribution_rate|band|4</t>
        </is>
      </c>
      <c r="B3247" t="n">
        <v>-0.708062274</v>
      </c>
      <c r="C3247" t="n">
        <v>-0.305590697</v>
      </c>
      <c r="D3247" t="n">
        <v>1.01831033</v>
      </c>
    </row>
    <row r="3248">
      <c r="A3248" t="inlineStr">
        <is>
          <t>G|REV_DEBT x CHANNEL|where 2025|contribution_rate|rate|5</t>
        </is>
      </c>
      <c r="B3248" t="n">
        <v>0.08757059227311378</v>
      </c>
      <c r="C3248" t="n">
        <v>0.08560653724693282</v>
      </c>
      <c r="D3248" t="n">
        <v>0.09438169125719642</v>
      </c>
      <c r="E3248" t="n">
        <v>0.08937508461766112</v>
      </c>
    </row>
    <row r="3249">
      <c r="A3249" t="inlineStr">
        <is>
          <t>G|REV_DEBT x CHANNEL|where 2025|contribution_rate|book|5</t>
        </is>
      </c>
      <c r="B3249" t="n">
        <v>-8.202186346</v>
      </c>
      <c r="C3249" t="n">
        <v>-8.398591849000001</v>
      </c>
      <c r="D3249" t="n">
        <v>-7.521076448</v>
      </c>
      <c r="E3249" t="n">
        <v>-8.021737112</v>
      </c>
    </row>
    <row r="3250">
      <c r="A3250" t="inlineStr">
        <is>
          <t>G|REV_DEBT x CHANNEL|where 2025|contribution_rate|band|5</t>
        </is>
      </c>
      <c r="B3250" t="n">
        <v>-0.280718618</v>
      </c>
      <c r="C3250" t="n">
        <v>-0.533260681</v>
      </c>
      <c r="D3250" t="n">
        <v>0.76966777</v>
      </c>
    </row>
    <row r="3251">
      <c r="A3251" t="inlineStr">
        <is>
          <t>G|REV_DEBT x CHANNEL|where 2025|contribution_rate|rate|6</t>
        </is>
      </c>
      <c r="B3251" t="n">
        <v>0.06574733019374698</v>
      </c>
      <c r="C3251" t="n">
        <v>0.0628603319411047</v>
      </c>
      <c r="D3251" t="n">
        <v>0.07554027159638556</v>
      </c>
      <c r="E3251" t="n">
        <v>0.06787935832891551</v>
      </c>
    </row>
    <row r="3252">
      <c r="A3252" t="inlineStr">
        <is>
          <t>G|REV_DEBT x CHANNEL|where 2025|contribution_rate|book|6</t>
        </is>
      </c>
      <c r="B3252" t="n">
        <v>-10.384512554</v>
      </c>
      <c r="C3252" t="n">
        <v>-10.673212379</v>
      </c>
      <c r="D3252" t="n">
        <v>-9.405218414</v>
      </c>
      <c r="E3252" t="n">
        <v>-10.171309741</v>
      </c>
    </row>
    <row r="3253">
      <c r="A3253" t="inlineStr">
        <is>
          <t>G|REV_DEBT x CHANNEL|where 2025|contribution_rate|band|6</t>
        </is>
      </c>
    </row>
    <row r="3254">
      <c r="A3254" t="inlineStr">
        <is>
          <t>G|REV_DEBT x CHANNEL|where 2025|contribution_rate|meta</t>
        </is>
      </c>
      <c r="B3254" t="inlineStr">
        <is>
          <t>pts</t>
        </is>
      </c>
      <c r="C3254" t="n">
        <v>12.269706905</v>
      </c>
      <c r="D3254" t="n">
        <v>10</v>
      </c>
      <c r="E3254" t="n">
        <v>0.1695924557349815</v>
      </c>
      <c r="F3254" t="n">
        <v>30</v>
      </c>
    </row>
    <row r="3255">
      <c r="A3255" t="inlineStr">
        <is>
          <t>G|REV_DEBT x CHANNEL|where 2025|loan_size|rate|1</t>
        </is>
      </c>
      <c r="B3255" t="n">
        <v>31509.21707317073</v>
      </c>
      <c r="C3255" t="n">
        <v>32273.51674603175</v>
      </c>
      <c r="D3255" t="n">
        <v>29713.97768421052</v>
      </c>
      <c r="E3255" t="n">
        <v>31293.38572674419</v>
      </c>
    </row>
    <row r="3256">
      <c r="A3256" t="inlineStr">
        <is>
          <t>G|REV_DEBT x CHANNEL|where 2025|loan_size|median|1</t>
        </is>
      </c>
      <c r="B3256" t="n">
        <v>30712.29</v>
      </c>
      <c r="C3256" t="n">
        <v>32698.41</v>
      </c>
      <c r="D3256" t="n">
        <v>25471.69</v>
      </c>
      <c r="E3256" t="n">
        <v>29462.29</v>
      </c>
    </row>
    <row r="3257">
      <c r="A3257" t="inlineStr">
        <is>
          <t>G|REV_DEBT x CHANNEL|where 2025|loan_size|book|1</t>
        </is>
      </c>
      <c r="B3257" t="n">
        <v>0.9766487582871454</v>
      </c>
      <c r="C3257" t="n">
        <v>1.000338725725104</v>
      </c>
      <c r="D3257" t="n">
        <v>0.9210041411586205</v>
      </c>
      <c r="E3257" t="n">
        <v>0.9699589247696248</v>
      </c>
    </row>
    <row r="3258">
      <c r="A3258" t="inlineStr">
        <is>
          <t>G|REV_DEBT x CHANNEL|where 2025|loan_size|band|1</t>
        </is>
      </c>
      <c r="B3258" t="n">
        <v>1.010777013669259</v>
      </c>
      <c r="C3258" t="n">
        <v>1.050334702469835</v>
      </c>
      <c r="D3258" t="n">
        <v>0.9315903117741549</v>
      </c>
    </row>
    <row r="3259">
      <c r="A3259" t="inlineStr">
        <is>
          <t>G|REV_DEBT x CHANNEL|where 2025|loan_size|rate|2</t>
        </is>
      </c>
      <c r="B3259" t="n">
        <v>31332.18356521739</v>
      </c>
      <c r="C3259" t="n">
        <v>32587.80416666666</v>
      </c>
      <c r="D3259" t="n">
        <v>30916.04633928571</v>
      </c>
      <c r="E3259" t="n">
        <v>31632.08876080692</v>
      </c>
    </row>
    <row r="3260">
      <c r="A3260" t="inlineStr">
        <is>
          <t>G|REV_DEBT x CHANNEL|where 2025|loan_size|median|2</t>
        </is>
      </c>
      <c r="B3260" t="n">
        <v>28871.86</v>
      </c>
      <c r="C3260" t="n">
        <v>32806.33</v>
      </c>
      <c r="D3260" t="n">
        <v>29313.58</v>
      </c>
      <c r="E3260" t="n">
        <v>30564.78</v>
      </c>
    </row>
    <row r="3261">
      <c r="A3261" t="inlineStr">
        <is>
          <t>G|REV_DEBT x CHANNEL|where 2025|loan_size|book|2</t>
        </is>
      </c>
      <c r="B3261" t="n">
        <v>0.9711614891075798</v>
      </c>
      <c r="C3261" t="n">
        <v>1.010080269553234</v>
      </c>
      <c r="D3261" t="n">
        <v>0.9582630440576936</v>
      </c>
      <c r="E3261" t="n">
        <v>0.9804572464790244</v>
      </c>
    </row>
    <row r="3262">
      <c r="A3262" t="inlineStr">
        <is>
          <t>G|REV_DEBT x CHANNEL|where 2025|loan_size|band|2</t>
        </is>
      </c>
      <c r="B3262" t="n">
        <v>0.9858856346236187</v>
      </c>
      <c r="C3262" t="n">
        <v>1.046935000371201</v>
      </c>
      <c r="D3262" t="n">
        <v>0.9669316745986478</v>
      </c>
    </row>
    <row r="3263">
      <c r="A3263" t="inlineStr">
        <is>
          <t>G|REV_DEBT x CHANNEL|where 2025|loan_size|rate|3</t>
        </is>
      </c>
      <c r="B3263" t="n">
        <v>31828.66634920635</v>
      </c>
      <c r="C3263" t="n">
        <v>32001.03456521739</v>
      </c>
      <c r="D3263" t="n">
        <v>31035.75093457944</v>
      </c>
      <c r="E3263" t="n">
        <v>31616.40766153846</v>
      </c>
    </row>
    <row r="3264">
      <c r="A3264" t="inlineStr">
        <is>
          <t>G|REV_DEBT x CHANNEL|where 2025|loan_size|median|3</t>
        </is>
      </c>
      <c r="B3264" t="n">
        <v>31439.705</v>
      </c>
      <c r="C3264" t="n">
        <v>31911.895</v>
      </c>
      <c r="D3264" t="n">
        <v>30830.23</v>
      </c>
      <c r="E3264" t="n">
        <v>31384.03</v>
      </c>
    </row>
    <row r="3265">
      <c r="A3265" t="inlineStr">
        <is>
          <t>G|REV_DEBT x CHANNEL|where 2025|loan_size|book|3</t>
        </is>
      </c>
      <c r="B3265" t="n">
        <v>0.9865502971940439</v>
      </c>
      <c r="C3265" t="n">
        <v>0.9918929626034836</v>
      </c>
      <c r="D3265" t="n">
        <v>0.9619733661543485</v>
      </c>
      <c r="E3265" t="n">
        <v>0.9799712005676471</v>
      </c>
    </row>
    <row r="3266">
      <c r="A3266" t="inlineStr">
        <is>
          <t>G|REV_DEBT x CHANNEL|where 2025|loan_size|band|3</t>
        </is>
      </c>
      <c r="B3266" t="n">
        <v>1.011011164971962</v>
      </c>
      <c r="C3266" t="n">
        <v>1.017050838543331</v>
      </c>
      <c r="D3266" t="n">
        <v>0.9728645851585561</v>
      </c>
    </row>
    <row r="3267">
      <c r="A3267" t="inlineStr">
        <is>
          <t>G|REV_DEBT x CHANNEL|where 2025|loan_size|rate|4</t>
        </is>
      </c>
      <c r="B3267" t="n">
        <v>30806.3051754386</v>
      </c>
      <c r="C3267" t="n">
        <v>29738.35524193548</v>
      </c>
      <c r="D3267" t="n">
        <v>32394.00119266055</v>
      </c>
      <c r="E3267" t="n">
        <v>30923.40337175793</v>
      </c>
    </row>
    <row r="3268">
      <c r="A3268" t="inlineStr">
        <is>
          <t>G|REV_DEBT x CHANNEL|where 2025|loan_size|median|4</t>
        </is>
      </c>
      <c r="B3268" t="n">
        <v>31307.93</v>
      </c>
      <c r="C3268" t="n">
        <v>28877.435</v>
      </c>
      <c r="D3268" t="n">
        <v>31524.22</v>
      </c>
      <c r="E3268" t="n">
        <v>30901.29</v>
      </c>
    </row>
    <row r="3269">
      <c r="A3269" t="inlineStr">
        <is>
          <t>G|REV_DEBT x CHANNEL|where 2025|loan_size|book|4</t>
        </is>
      </c>
      <c r="B3269" t="n">
        <v>0.9548615450247159</v>
      </c>
      <c r="C3269" t="n">
        <v>0.9217597394785301</v>
      </c>
      <c r="D3269" t="n">
        <v>1.004073219823122</v>
      </c>
      <c r="E3269" t="n">
        <v>0.9584910800832153</v>
      </c>
    </row>
    <row r="3270">
      <c r="A3270" t="inlineStr">
        <is>
          <t>G|REV_DEBT x CHANNEL|where 2025|loan_size|band|4</t>
        </is>
      </c>
      <c r="B3270" t="n">
        <v>0.9943709826346817</v>
      </c>
      <c r="C3270" t="n">
        <v>0.9416130075304088</v>
      </c>
      <c r="D3270" t="n">
        <v>1.070879814874554</v>
      </c>
    </row>
    <row r="3271">
      <c r="A3271" t="inlineStr">
        <is>
          <t>G|REV_DEBT x CHANNEL|where 2025|loan_size|rate|5</t>
        </is>
      </c>
      <c r="B3271" t="n">
        <v>31514.68537815126</v>
      </c>
      <c r="C3271" t="n">
        <v>30489.83861386139</v>
      </c>
      <c r="D3271" t="n">
        <v>30837.29672268908</v>
      </c>
      <c r="E3271" t="n">
        <v>30971.56215339233</v>
      </c>
    </row>
    <row r="3272">
      <c r="A3272" t="inlineStr">
        <is>
          <t>G|REV_DEBT x CHANNEL|where 2025|loan_size|median|5</t>
        </is>
      </c>
      <c r="B3272" t="n">
        <v>30749.4</v>
      </c>
      <c r="C3272" t="n">
        <v>30886.95</v>
      </c>
      <c r="D3272" t="n">
        <v>29290.88</v>
      </c>
      <c r="E3272" t="n">
        <v>30332.2</v>
      </c>
    </row>
    <row r="3273">
      <c r="A3273" t="inlineStr">
        <is>
          <t>G|REV_DEBT x CHANNEL|where 2025|loan_size|book|5</t>
        </is>
      </c>
      <c r="B3273" t="n">
        <v>0.976818251970748</v>
      </c>
      <c r="C3273" t="n">
        <v>0.9450524573001291</v>
      </c>
      <c r="D3273" t="n">
        <v>0.9558221482688172</v>
      </c>
      <c r="E3273" t="n">
        <v>0.9599837929670244</v>
      </c>
    </row>
    <row r="3274">
      <c r="A3274" t="inlineStr">
        <is>
          <t>G|REV_DEBT x CHANNEL|where 2025|loan_size|band|5</t>
        </is>
      </c>
      <c r="B3274" t="n">
        <v>1.027280444141462</v>
      </c>
      <c r="C3274" t="n">
        <v>0.9779909984112748</v>
      </c>
      <c r="D3274" t="n">
        <v>0.9933356019556788</v>
      </c>
    </row>
    <row r="3275">
      <c r="A3275" t="inlineStr">
        <is>
          <t>G|REV_DEBT x CHANNEL|where 2025|loan_size|rate|6</t>
        </is>
      </c>
      <c r="B3275" t="n">
        <v>31409.40221105528</v>
      </c>
      <c r="C3275" t="n">
        <v>31417.62795737122</v>
      </c>
      <c r="D3275" t="n">
        <v>31008.92040590406</v>
      </c>
      <c r="E3275" t="n">
        <v>31284.59019976499</v>
      </c>
    </row>
    <row r="3276">
      <c r="A3276" t="inlineStr">
        <is>
          <t>G|REV_DEBT x CHANNEL|where 2025|loan_size|median|6</t>
        </is>
      </c>
      <c r="B3276" t="n">
        <v>30663.27</v>
      </c>
      <c r="C3276" t="n">
        <v>31792.12</v>
      </c>
      <c r="D3276" t="n">
        <v>29219.555</v>
      </c>
      <c r="E3276" t="n">
        <v>30730.845</v>
      </c>
    </row>
    <row r="3277">
      <c r="A3277" t="inlineStr">
        <is>
          <t>G|REV_DEBT x CHANNEL|where 2025|loan_size|book|6</t>
        </is>
      </c>
      <c r="B3277" t="n">
        <v>0.973554931458085</v>
      </c>
      <c r="C3277" t="n">
        <v>0.9738098938364519</v>
      </c>
      <c r="D3277" t="n">
        <v>0.9611417363980728</v>
      </c>
      <c r="E3277" t="n">
        <v>0.969686301667541</v>
      </c>
    </row>
    <row r="3278">
      <c r="A3278" t="inlineStr">
        <is>
          <t>G|REV_DEBT x CHANNEL|where 2025|loan_size|band|6</t>
        </is>
      </c>
    </row>
    <row r="3279">
      <c r="A3279" t="inlineStr">
        <is>
          <t>G|REV_DEBT x CHANNEL|where 2025|loan_size|meta</t>
        </is>
      </c>
      <c r="B3279" t="inlineStr">
        <is>
          <t>size</t>
        </is>
      </c>
      <c r="C3279" t="n">
        <v>1</v>
      </c>
      <c r="E3279" t="n">
        <v>32262.58857732217</v>
      </c>
      <c r="F3279" t="n">
        <v>30</v>
      </c>
    </row>
    <row r="3280">
      <c r="A3280" t="inlineStr">
        <is>
          <t>G|REV_DEBT x CHANNEL|where 2026|cols</t>
        </is>
      </c>
      <c r="B3280" t="inlineStr">
        <is>
          <t>Branch</t>
        </is>
      </c>
      <c r="C3280" t="inlineStr">
        <is>
          <t>Broker</t>
        </is>
      </c>
      <c r="D3280" t="inlineStr">
        <is>
          <t>Online</t>
        </is>
      </c>
      <c r="E3280" t="inlineStr">
        <is>
          <t>All</t>
        </is>
      </c>
    </row>
    <row r="3281">
      <c r="A3281" t="inlineStr">
        <is>
          <t>G|REV_DEBT x CHANNEL|where 2026|heads</t>
        </is>
      </c>
      <c r="B3281" t="inlineStr">
        <is>
          <t>Branch</t>
        </is>
      </c>
      <c r="C3281" t="inlineStr">
        <is>
          <t>Broker</t>
        </is>
      </c>
      <c r="D3281" t="inlineStr">
        <is>
          <t>Online</t>
        </is>
      </c>
      <c r="E3281" t="inlineStr">
        <is>
          <t>All</t>
        </is>
      </c>
    </row>
    <row r="3282">
      <c r="A3282" t="inlineStr">
        <is>
          <t>G|REV_DEBT x CHANNEL|where 2026|segs</t>
        </is>
      </c>
    </row>
    <row r="3283">
      <c r="A3283" t="inlineStr">
        <is>
          <t>G|REV_DEBT x CHANNEL|where 2026|rows</t>
        </is>
      </c>
      <c r="B3283" t="inlineStr">
        <is>
          <t>0 - 6,558</t>
        </is>
      </c>
      <c r="C3283" t="inlineStr">
        <is>
          <t>6,559 - 9,836</t>
        </is>
      </c>
      <c r="D3283" t="inlineStr">
        <is>
          <t>9,837 - 13,051</t>
        </is>
      </c>
      <c r="E3283" t="inlineStr">
        <is>
          <t>13,052 - 17,186</t>
        </is>
      </c>
      <c r="F3283" t="inlineStr">
        <is>
          <t>17,187 - 48,521</t>
        </is>
      </c>
      <c r="G3283" t="inlineStr">
        <is>
          <t>All</t>
        </is>
      </c>
    </row>
    <row r="3284">
      <c r="A3284" t="inlineStr">
        <is>
          <t>G|REV_DEBT x CHANNEL|where 2026|names</t>
        </is>
      </c>
      <c r="B3284" t="inlineStr">
        <is>
          <t>REV_DEBT</t>
        </is>
      </c>
      <c r="C3284" t="inlineStr">
        <is>
          <t>CHANNEL</t>
        </is>
      </c>
    </row>
    <row r="3285">
      <c r="A3285" t="inlineStr">
        <is>
          <t>G|REV_DEBT x CHANNEL|where 2026|total</t>
        </is>
      </c>
      <c r="B3285" t="n">
        <v>373</v>
      </c>
    </row>
    <row r="3286">
      <c r="A3286" t="inlineStr">
        <is>
          <t>G|REV_DEBT x CHANNEL|where 2026|loans|1</t>
        </is>
      </c>
      <c r="B3286" t="n">
        <v>19</v>
      </c>
      <c r="C3286" t="n">
        <v>27</v>
      </c>
      <c r="D3286" t="n">
        <v>28</v>
      </c>
      <c r="E3286" t="n">
        <v>74</v>
      </c>
    </row>
    <row r="3287">
      <c r="A3287" t="inlineStr">
        <is>
          <t>G|REV_DEBT x CHANNEL|where 2026|loans|2</t>
        </is>
      </c>
      <c r="B3287" t="n">
        <v>23</v>
      </c>
      <c r="C3287" t="n">
        <v>24</v>
      </c>
      <c r="D3287" t="n">
        <v>26</v>
      </c>
      <c r="E3287" t="n">
        <v>73</v>
      </c>
    </row>
    <row r="3288">
      <c r="A3288" t="inlineStr">
        <is>
          <t>G|REV_DEBT x CHANNEL|where 2026|loans|3</t>
        </is>
      </c>
      <c r="B3288" t="n">
        <v>25</v>
      </c>
      <c r="C3288" t="n">
        <v>25</v>
      </c>
      <c r="D3288" t="n">
        <v>22</v>
      </c>
      <c r="E3288" t="n">
        <v>72</v>
      </c>
    </row>
    <row r="3289">
      <c r="A3289" t="inlineStr">
        <is>
          <t>G|REV_DEBT x CHANNEL|where 2026|loans|4</t>
        </is>
      </c>
      <c r="B3289" t="n">
        <v>24</v>
      </c>
      <c r="C3289" t="n">
        <v>29</v>
      </c>
      <c r="D3289" t="n">
        <v>27</v>
      </c>
      <c r="E3289" t="n">
        <v>80</v>
      </c>
    </row>
    <row r="3290">
      <c r="A3290" t="inlineStr">
        <is>
          <t>G|REV_DEBT x CHANNEL|where 2026|loans|5</t>
        </is>
      </c>
      <c r="B3290" t="n">
        <v>31</v>
      </c>
      <c r="C3290" t="n">
        <v>28</v>
      </c>
      <c r="D3290" t="n">
        <v>15</v>
      </c>
      <c r="E3290" t="n">
        <v>74</v>
      </c>
    </row>
    <row r="3291">
      <c r="A3291" t="inlineStr">
        <is>
          <t>G|REV_DEBT x CHANNEL|where 2026|loans|6</t>
        </is>
      </c>
      <c r="B3291" t="n">
        <v>122</v>
      </c>
      <c r="C3291" t="n">
        <v>133</v>
      </c>
      <c r="D3291" t="n">
        <v>118</v>
      </c>
      <c r="E3291" t="n">
        <v>373</v>
      </c>
    </row>
    <row r="3292">
      <c r="A3292" t="inlineStr">
        <is>
          <t>G|REV_DEBT x CHANNEL|where 2026|outcome_loans|rate|1</t>
        </is>
      </c>
      <c r="B3292" t="n">
        <v>0</v>
      </c>
      <c r="C3292" t="n">
        <v>0.03703703703703703</v>
      </c>
      <c r="D3292" t="n">
        <v>0.07142857142857142</v>
      </c>
      <c r="E3292" t="n">
        <v>0.04054054054054054</v>
      </c>
    </row>
    <row r="3293">
      <c r="A3293" t="inlineStr">
        <is>
          <t>G|REV_DEBT x CHANNEL|where 2026|outcome_loans|book|1</t>
        </is>
      </c>
    </row>
    <row r="3294">
      <c r="A3294" t="inlineStr">
        <is>
          <t>G|REV_DEBT x CHANNEL|where 2026|outcome_loans|band|1</t>
        </is>
      </c>
    </row>
    <row r="3295">
      <c r="A3295" t="inlineStr">
        <is>
          <t>G|REV_DEBT x CHANNEL|where 2026|outcome_loans|rate|2</t>
        </is>
      </c>
      <c r="B3295" t="n">
        <v>0.08695652173913043</v>
      </c>
      <c r="C3295" t="n">
        <v>0.04166666666666666</v>
      </c>
      <c r="D3295" t="n">
        <v>0.03846153846153846</v>
      </c>
      <c r="E3295" t="n">
        <v>0.0547945205479452</v>
      </c>
    </row>
    <row r="3296">
      <c r="A3296" t="inlineStr">
        <is>
          <t>G|REV_DEBT x CHANNEL|where 2026|outcome_loans|book|2</t>
        </is>
      </c>
    </row>
    <row r="3297">
      <c r="A3297" t="inlineStr">
        <is>
          <t>G|REV_DEBT x CHANNEL|where 2026|outcome_loans|band|2</t>
        </is>
      </c>
    </row>
    <row r="3298">
      <c r="A3298" t="inlineStr">
        <is>
          <t>G|REV_DEBT x CHANNEL|where 2026|outcome_loans|rate|3</t>
        </is>
      </c>
      <c r="B3298" t="n">
        <v>0.08</v>
      </c>
      <c r="C3298" t="n">
        <v>0.04</v>
      </c>
      <c r="D3298" t="n">
        <v>0</v>
      </c>
      <c r="E3298" t="n">
        <v>0.04166666666666666</v>
      </c>
    </row>
    <row r="3299">
      <c r="A3299" t="inlineStr">
        <is>
          <t>G|REV_DEBT x CHANNEL|where 2026|outcome_loans|book|3</t>
        </is>
      </c>
    </row>
    <row r="3300">
      <c r="A3300" t="inlineStr">
        <is>
          <t>G|REV_DEBT x CHANNEL|where 2026|outcome_loans|band|3</t>
        </is>
      </c>
    </row>
    <row r="3301">
      <c r="A3301" t="inlineStr">
        <is>
          <t>G|REV_DEBT x CHANNEL|where 2026|outcome_loans|rate|4</t>
        </is>
      </c>
      <c r="B3301" t="n">
        <v>0</v>
      </c>
      <c r="C3301" t="n">
        <v>0</v>
      </c>
      <c r="D3301" t="n">
        <v>0.1111111111111111</v>
      </c>
      <c r="E3301" t="n">
        <v>0.0375</v>
      </c>
    </row>
    <row r="3302">
      <c r="A3302" t="inlineStr">
        <is>
          <t>G|REV_DEBT x CHANNEL|where 2026|outcome_loans|book|4</t>
        </is>
      </c>
    </row>
    <row r="3303">
      <c r="A3303" t="inlineStr">
        <is>
          <t>G|REV_DEBT x CHANNEL|where 2026|outcome_loans|band|4</t>
        </is>
      </c>
    </row>
    <row r="3304">
      <c r="A3304" t="inlineStr">
        <is>
          <t>G|REV_DEBT x CHANNEL|where 2026|outcome_loans|rate|5</t>
        </is>
      </c>
      <c r="B3304" t="n">
        <v>0.03225806451612903</v>
      </c>
      <c r="C3304" t="n">
        <v>0.3214285714285715</v>
      </c>
      <c r="D3304" t="n">
        <v>0.1333333333333333</v>
      </c>
      <c r="E3304" t="n">
        <v>0.1621621621621622</v>
      </c>
    </row>
    <row r="3305">
      <c r="A3305" t="inlineStr">
        <is>
          <t>G|REV_DEBT x CHANNEL|where 2026|outcome_loans|book|5</t>
        </is>
      </c>
      <c r="E3305" t="n">
        <v>2.09553333624416</v>
      </c>
    </row>
    <row r="3306">
      <c r="A3306" t="inlineStr">
        <is>
          <t>G|REV_DEBT x CHANNEL|where 2026|outcome_loans|band|5</t>
        </is>
      </c>
    </row>
    <row r="3307">
      <c r="A3307" t="inlineStr">
        <is>
          <t>G|REV_DEBT x CHANNEL|where 2026|outcome_loans|rate|6</t>
        </is>
      </c>
      <c r="B3307" t="n">
        <v>0.04098360655737705</v>
      </c>
      <c r="C3307" t="n">
        <v>0.09022556390977443</v>
      </c>
      <c r="D3307" t="n">
        <v>0.06779661016949153</v>
      </c>
      <c r="E3307" t="n">
        <v>0.06702412868632708</v>
      </c>
    </row>
    <row r="3308">
      <c r="A3308" t="inlineStr">
        <is>
          <t>G|REV_DEBT x CHANNEL|where 2026|outcome_loans|book|6</t>
        </is>
      </c>
      <c r="C3308" t="n">
        <v>1.165935841218555</v>
      </c>
      <c r="E3308" t="n">
        <v>0.8661163253019876</v>
      </c>
    </row>
    <row r="3309">
      <c r="A3309" t="inlineStr">
        <is>
          <t>G|REV_DEBT x CHANNEL|where 2026|outcome_loans|band|6</t>
        </is>
      </c>
    </row>
    <row r="3310">
      <c r="A3310" t="inlineStr">
        <is>
          <t>G|REV_DEBT x CHANNEL|where 2026|outcome_loans|meta</t>
        </is>
      </c>
      <c r="B3310" t="inlineStr">
        <is>
          <t>x</t>
        </is>
      </c>
      <c r="C3310" t="n">
        <v>2.09553333624416</v>
      </c>
      <c r="D3310" t="n">
        <v>10</v>
      </c>
      <c r="E3310" t="n">
        <v>0.07738467308413552</v>
      </c>
      <c r="F3310" t="n">
        <v>30</v>
      </c>
    </row>
    <row r="3311">
      <c r="A3311" t="inlineStr">
        <is>
          <t>G|REV_DEBT x CHANNEL|where 2026|outcome_booked|rate|1</t>
        </is>
      </c>
      <c r="B3311" t="n">
        <v>0</v>
      </c>
      <c r="C3311" t="n">
        <v>0.0440656201846245</v>
      </c>
      <c r="D3311" t="n">
        <v>0.06545546923795435</v>
      </c>
      <c r="E3311" t="n">
        <v>0.03935882533480221</v>
      </c>
    </row>
    <row r="3312">
      <c r="A3312" t="inlineStr">
        <is>
          <t>G|REV_DEBT x CHANNEL|where 2026|outcome_booked|book|1</t>
        </is>
      </c>
    </row>
    <row r="3313">
      <c r="A3313" t="inlineStr">
        <is>
          <t>G|REV_DEBT x CHANNEL|where 2026|outcome_booked|band|1</t>
        </is>
      </c>
    </row>
    <row r="3314">
      <c r="A3314" t="inlineStr">
        <is>
          <t>G|REV_DEBT x CHANNEL|where 2026|outcome_booked|rate|2</t>
        </is>
      </c>
      <c r="B3314" t="n">
        <v>0.1031633644575024</v>
      </c>
      <c r="C3314" t="n">
        <v>0.08404004529312709</v>
      </c>
      <c r="D3314" t="n">
        <v>0.0382671538937858</v>
      </c>
      <c r="E3314" t="n">
        <v>0.07345792527787172</v>
      </c>
    </row>
    <row r="3315">
      <c r="A3315" t="inlineStr">
        <is>
          <t>G|REV_DEBT x CHANNEL|where 2026|outcome_booked|book|2</t>
        </is>
      </c>
    </row>
    <row r="3316">
      <c r="A3316" t="inlineStr">
        <is>
          <t>G|REV_DEBT x CHANNEL|where 2026|outcome_booked|band|2</t>
        </is>
      </c>
    </row>
    <row r="3317">
      <c r="A3317" t="inlineStr">
        <is>
          <t>G|REV_DEBT x CHANNEL|where 2026|outcome_booked|rate|3</t>
        </is>
      </c>
      <c r="B3317" t="n">
        <v>0.04653420689917476</v>
      </c>
      <c r="C3317" t="n">
        <v>0.06871438187471307</v>
      </c>
      <c r="D3317" t="n">
        <v>0</v>
      </c>
      <c r="E3317" t="n">
        <v>0.03893010228861894</v>
      </c>
    </row>
    <row r="3318">
      <c r="A3318" t="inlineStr">
        <is>
          <t>G|REV_DEBT x CHANNEL|where 2026|outcome_booked|book|3</t>
        </is>
      </c>
    </row>
    <row r="3319">
      <c r="A3319" t="inlineStr">
        <is>
          <t>G|REV_DEBT x CHANNEL|where 2026|outcome_booked|band|3</t>
        </is>
      </c>
    </row>
    <row r="3320">
      <c r="A3320" t="inlineStr">
        <is>
          <t>G|REV_DEBT x CHANNEL|where 2026|outcome_booked|rate|4</t>
        </is>
      </c>
      <c r="B3320" t="n">
        <v>0</v>
      </c>
      <c r="C3320" t="n">
        <v>0</v>
      </c>
      <c r="D3320" t="n">
        <v>0.07500433183756633</v>
      </c>
      <c r="E3320" t="n">
        <v>0.02238030009811559</v>
      </c>
    </row>
    <row r="3321">
      <c r="A3321" t="inlineStr">
        <is>
          <t>G|REV_DEBT x CHANNEL|where 2026|outcome_booked|book|4</t>
        </is>
      </c>
    </row>
    <row r="3322">
      <c r="A3322" t="inlineStr">
        <is>
          <t>G|REV_DEBT x CHANNEL|where 2026|outcome_booked|band|4</t>
        </is>
      </c>
    </row>
    <row r="3323">
      <c r="A3323" t="inlineStr">
        <is>
          <t>G|REV_DEBT x CHANNEL|where 2026|outcome_booked|rate|5</t>
        </is>
      </c>
      <c r="B3323" t="n">
        <v>0.04562672705758138</v>
      </c>
      <c r="C3323" t="n">
        <v>0.2452839722595725</v>
      </c>
      <c r="D3323" t="n">
        <v>0.1836828781083586</v>
      </c>
      <c r="E3323" t="n">
        <v>0.1519060111316836</v>
      </c>
    </row>
    <row r="3324">
      <c r="A3324" t="inlineStr">
        <is>
          <t>G|REV_DEBT x CHANNEL|where 2026|outcome_booked|book|5</t>
        </is>
      </c>
      <c r="E3324" t="n">
        <v>2.030045542951533</v>
      </c>
    </row>
    <row r="3325">
      <c r="A3325" t="inlineStr">
        <is>
          <t>G|REV_DEBT x CHANNEL|where 2026|outcome_booked|band|5</t>
        </is>
      </c>
    </row>
    <row r="3326">
      <c r="A3326" t="inlineStr">
        <is>
          <t>G|REV_DEBT x CHANNEL|where 2026|outcome_booked|rate|6</t>
        </is>
      </c>
      <c r="B3326" t="n">
        <v>0.04113440547678392</v>
      </c>
      <c r="C3326" t="n">
        <v>0.08581214173843685</v>
      </c>
      <c r="D3326" t="n">
        <v>0.05840855601772112</v>
      </c>
      <c r="E3326" t="n">
        <v>0.06287894503192364</v>
      </c>
    </row>
    <row r="3327">
      <c r="A3327" t="inlineStr">
        <is>
          <t>G|REV_DEBT x CHANNEL|where 2026|outcome_booked|book|6</t>
        </is>
      </c>
      <c r="C3327" t="n">
        <v>1.146778554511757</v>
      </c>
      <c r="E3327" t="n">
        <v>0.8403032977865298</v>
      </c>
    </row>
    <row r="3328">
      <c r="A3328" t="inlineStr">
        <is>
          <t>G|REV_DEBT x CHANNEL|where 2026|outcome_booked|band|6</t>
        </is>
      </c>
    </row>
    <row r="3329">
      <c r="A3329" t="inlineStr">
        <is>
          <t>G|REV_DEBT x CHANNEL|where 2026|outcome_booked|meta</t>
        </is>
      </c>
      <c r="B3329" t="inlineStr">
        <is>
          <t>x</t>
        </is>
      </c>
      <c r="C3329" t="n">
        <v>2.030045542951533</v>
      </c>
      <c r="D3329" t="n">
        <v>10</v>
      </c>
      <c r="E3329" t="n">
        <v>0.07482886857347235</v>
      </c>
      <c r="F3329" t="n">
        <v>30</v>
      </c>
    </row>
    <row r="3330">
      <c r="A3330" t="inlineStr">
        <is>
          <t>G|REV_DEBT x CHANNEL|where 2026|gco_rate|rate|1</t>
        </is>
      </c>
      <c r="B3330" t="n">
        <v>0</v>
      </c>
      <c r="C3330" t="n">
        <v>0.021047515881142</v>
      </c>
      <c r="D3330" t="n">
        <v>0.0296549639406091</v>
      </c>
      <c r="E3330" t="n">
        <v>0.01822037625378428</v>
      </c>
    </row>
    <row r="3331">
      <c r="A3331" t="inlineStr">
        <is>
          <t>G|REV_DEBT x CHANNEL|where 2026|gco_rate|book|1</t>
        </is>
      </c>
    </row>
    <row r="3332">
      <c r="A3332" t="inlineStr">
        <is>
          <t>G|REV_DEBT x CHANNEL|where 2026|gco_rate|band|1</t>
        </is>
      </c>
    </row>
    <row r="3333">
      <c r="A3333" t="inlineStr">
        <is>
          <t>G|REV_DEBT x CHANNEL|where 2026|gco_rate|rate|2</t>
        </is>
      </c>
      <c r="B3333" t="n">
        <v>0.06485530520243303</v>
      </c>
      <c r="C3333" t="n">
        <v>0.06488491530314258</v>
      </c>
      <c r="D3333" t="n">
        <v>0.02000198037062515</v>
      </c>
      <c r="E3333" t="n">
        <v>0.04818076026965838</v>
      </c>
    </row>
    <row r="3334">
      <c r="A3334" t="inlineStr">
        <is>
          <t>G|REV_DEBT x CHANNEL|where 2026|gco_rate|book|2</t>
        </is>
      </c>
    </row>
    <row r="3335">
      <c r="A3335" t="inlineStr">
        <is>
          <t>G|REV_DEBT x CHANNEL|where 2026|gco_rate|band|2</t>
        </is>
      </c>
    </row>
    <row r="3336">
      <c r="A3336" t="inlineStr">
        <is>
          <t>G|REV_DEBT x CHANNEL|where 2026|gco_rate|rate|3</t>
        </is>
      </c>
      <c r="B3336" t="n">
        <v>0.03196160108494714</v>
      </c>
      <c r="C3336" t="n">
        <v>0.03764505406849505</v>
      </c>
      <c r="D3336" t="n">
        <v>0</v>
      </c>
      <c r="E3336" t="n">
        <v>0.02353586824639624</v>
      </c>
    </row>
    <row r="3337">
      <c r="A3337" t="inlineStr">
        <is>
          <t>G|REV_DEBT x CHANNEL|where 2026|gco_rate|book|3</t>
        </is>
      </c>
    </row>
    <row r="3338">
      <c r="A3338" t="inlineStr">
        <is>
          <t>G|REV_DEBT x CHANNEL|where 2026|gco_rate|band|3</t>
        </is>
      </c>
    </row>
    <row r="3339">
      <c r="A3339" t="inlineStr">
        <is>
          <t>G|REV_DEBT x CHANNEL|where 2026|gco_rate|rate|4</t>
        </is>
      </c>
      <c r="B3339" t="n">
        <v>0</v>
      </c>
      <c r="C3339" t="n">
        <v>0</v>
      </c>
      <c r="D3339" t="n">
        <v>0.03352731310277804</v>
      </c>
      <c r="E3339" t="n">
        <v>0.01000410656745345</v>
      </c>
    </row>
    <row r="3340">
      <c r="A3340" t="inlineStr">
        <is>
          <t>G|REV_DEBT x CHANNEL|where 2026|gco_rate|book|4</t>
        </is>
      </c>
    </row>
    <row r="3341">
      <c r="A3341" t="inlineStr">
        <is>
          <t>G|REV_DEBT x CHANNEL|where 2026|gco_rate|band|4</t>
        </is>
      </c>
    </row>
    <row r="3342">
      <c r="A3342" t="inlineStr">
        <is>
          <t>G|REV_DEBT x CHANNEL|where 2026|gco_rate|rate|5</t>
        </is>
      </c>
      <c r="B3342" t="n">
        <v>0.01726316613791709</v>
      </c>
      <c r="C3342" t="n">
        <v>0.145193370380821</v>
      </c>
      <c r="D3342" t="n">
        <v>0.08656935537782222</v>
      </c>
      <c r="E3342" t="n">
        <v>0.08223909506708797</v>
      </c>
    </row>
    <row r="3343">
      <c r="A3343" t="inlineStr">
        <is>
          <t>G|REV_DEBT x CHANNEL|where 2026|gco_rate|book|5</t>
        </is>
      </c>
      <c r="E3343" t="n">
        <v>1.976651137979765</v>
      </c>
    </row>
    <row r="3344">
      <c r="A3344" t="inlineStr">
        <is>
          <t>G|REV_DEBT x CHANNEL|where 2026|gco_rate|band|5</t>
        </is>
      </c>
    </row>
    <row r="3345">
      <c r="A3345" t="inlineStr">
        <is>
          <t>G|REV_DEBT x CHANNEL|where 2026|gco_rate|rate|6</t>
        </is>
      </c>
      <c r="B3345" t="n">
        <v>0.02376693928293991</v>
      </c>
      <c r="C3345" t="n">
        <v>0.05146584576660738</v>
      </c>
      <c r="D3345" t="n">
        <v>0.02731885868778408</v>
      </c>
      <c r="E3345" t="n">
        <v>0.03505614948170636</v>
      </c>
    </row>
    <row r="3346">
      <c r="A3346" t="inlineStr">
        <is>
          <t>G|REV_DEBT x CHANNEL|where 2026|gco_rate|book|6</t>
        </is>
      </c>
      <c r="C3346" t="n">
        <v>1.237003185877319</v>
      </c>
      <c r="E3346" t="n">
        <v>0.8425892540485278</v>
      </c>
    </row>
    <row r="3347">
      <c r="A3347" t="inlineStr">
        <is>
          <t>G|REV_DEBT x CHANNEL|where 2026|gco_rate|band|6</t>
        </is>
      </c>
    </row>
    <row r="3348">
      <c r="A3348" t="inlineStr">
        <is>
          <t>G|REV_DEBT x CHANNEL|where 2026|gco_rate|meta</t>
        </is>
      </c>
      <c r="B3348" t="inlineStr">
        <is>
          <t>x</t>
        </is>
      </c>
      <c r="C3348" t="n">
        <v>1.976651137979765</v>
      </c>
      <c r="D3348" t="n">
        <v>10</v>
      </c>
      <c r="E3348" t="n">
        <v>0.04160526533333565</v>
      </c>
      <c r="F3348" t="n">
        <v>30</v>
      </c>
    </row>
    <row r="3349">
      <c r="A3349" t="inlineStr">
        <is>
          <t>G|REV_DEBT x CHANNEL|where 2026|ranr_rate|rate|1</t>
        </is>
      </c>
      <c r="B3349" t="n">
        <v>0.02441462876920037</v>
      </c>
      <c r="C3349" t="n">
        <v>0.005805054820372106</v>
      </c>
      <c r="D3349" t="n">
        <v>-0.008419971235559594</v>
      </c>
      <c r="E3349" t="n">
        <v>0.005924829971611425</v>
      </c>
    </row>
    <row r="3350">
      <c r="A3350" t="inlineStr">
        <is>
          <t>G|REV_DEBT x CHANNEL|where 2026|ranr_rate|book|1</t>
        </is>
      </c>
      <c r="B3350" t="n">
        <v>-10.357542088</v>
      </c>
      <c r="C3350" t="n">
        <v>-12.218499483</v>
      </c>
      <c r="D3350" t="n">
        <v>-13.641002088</v>
      </c>
      <c r="E3350" t="n">
        <v>-12.206521968</v>
      </c>
    </row>
    <row r="3351">
      <c r="A3351" t="inlineStr">
        <is>
          <t>G|REV_DEBT x CHANNEL|where 2026|ranr_rate|band|1</t>
        </is>
      </c>
      <c r="B3351" t="n">
        <v>2.573249921</v>
      </c>
      <c r="C3351" t="n">
        <v>-0.018678195</v>
      </c>
      <c r="D3351" t="n">
        <v>-2.240658668</v>
      </c>
    </row>
    <row r="3352">
      <c r="A3352" t="inlineStr">
        <is>
          <t>G|REV_DEBT x CHANNEL|where 2026|ranr_rate|rate|2</t>
        </is>
      </c>
      <c r="B3352" t="n">
        <v>-0.0386256467634737</v>
      </c>
      <c r="C3352" t="n">
        <v>-0.03833788143387935</v>
      </c>
      <c r="D3352" t="n">
        <v>0.006773393803620863</v>
      </c>
      <c r="E3352" t="n">
        <v>-0.0216557263101426</v>
      </c>
    </row>
    <row r="3353">
      <c r="A3353" t="inlineStr">
        <is>
          <t>G|REV_DEBT x CHANNEL|where 2026|ranr_rate|book|2</t>
        </is>
      </c>
      <c r="B3353" t="n">
        <v>-16.661569641</v>
      </c>
      <c r="C3353" t="n">
        <v>-16.632793108</v>
      </c>
      <c r="D3353" t="n">
        <v>-12.121665584</v>
      </c>
      <c r="E3353" t="n">
        <v>-14.964577596</v>
      </c>
    </row>
    <row r="3354">
      <c r="A3354" t="inlineStr">
        <is>
          <t>G|REV_DEBT x CHANNEL|where 2026|ranr_rate|band|2</t>
        </is>
      </c>
      <c r="B3354" t="n">
        <v>-2.559266709</v>
      </c>
      <c r="C3354" t="n">
        <v>-2.353338454</v>
      </c>
      <c r="D3354" t="n">
        <v>4.526564914</v>
      </c>
    </row>
    <row r="3355">
      <c r="A3355" t="inlineStr">
        <is>
          <t>G|REV_DEBT x CHANNEL|where 2026|ranr_rate|rate|3</t>
        </is>
      </c>
      <c r="B3355" t="n">
        <v>-0.004135281243529808</v>
      </c>
      <c r="C3355" t="n">
        <v>-0.007342562391988062</v>
      </c>
      <c r="D3355" t="n">
        <v>0.03338774760375365</v>
      </c>
      <c r="E3355" t="n">
        <v>0.006918605384347079</v>
      </c>
    </row>
    <row r="3356">
      <c r="A3356" t="inlineStr">
        <is>
          <t>G|REV_DEBT x CHANNEL|where 2026|ranr_rate|book|3</t>
        </is>
      </c>
      <c r="B3356" t="n">
        <v>-13.212533089</v>
      </c>
      <c r="C3356" t="n">
        <v>-13.533261204</v>
      </c>
      <c r="D3356" t="n">
        <v>-9.460230204</v>
      </c>
      <c r="E3356" t="n">
        <v>-12.107144426</v>
      </c>
    </row>
    <row r="3357">
      <c r="A3357" t="inlineStr">
        <is>
          <t>G|REV_DEBT x CHANNEL|where 2026|ranr_rate|band|3</t>
        </is>
      </c>
      <c r="B3357" t="n">
        <v>-1.678365058</v>
      </c>
      <c r="C3357" t="n">
        <v>-2.145686454</v>
      </c>
      <c r="D3357" t="n">
        <v>3.911237291</v>
      </c>
    </row>
    <row r="3358">
      <c r="A3358" t="inlineStr">
        <is>
          <t>G|REV_DEBT x CHANNEL|where 2026|ranr_rate|rate|4</t>
        </is>
      </c>
      <c r="B3358" t="n">
        <v>0.0350283921823385</v>
      </c>
      <c r="C3358" t="n">
        <v>0.0313327302380363</v>
      </c>
      <c r="D3358" t="n">
        <v>0.0004843807225543903</v>
      </c>
      <c r="E3358" t="n">
        <v>0.023102202538953</v>
      </c>
    </row>
    <row r="3359">
      <c r="A3359" t="inlineStr">
        <is>
          <t>G|REV_DEBT x CHANNEL|where 2026|ranr_rate|book|4</t>
        </is>
      </c>
      <c r="B3359" t="n">
        <v>-9.296165747</v>
      </c>
      <c r="C3359" t="n">
        <v>-9.665731941000001</v>
      </c>
      <c r="D3359" t="n">
        <v>-12.750566893</v>
      </c>
      <c r="E3359" t="n">
        <v>-10.488784711</v>
      </c>
    </row>
    <row r="3360">
      <c r="A3360" t="inlineStr">
        <is>
          <t>G|REV_DEBT x CHANNEL|where 2026|ranr_rate|band|4</t>
        </is>
      </c>
      <c r="B3360" t="n">
        <v>1.61954691</v>
      </c>
      <c r="C3360" t="n">
        <v>1.464516445</v>
      </c>
      <c r="D3360" t="n">
        <v>-3.223688032</v>
      </c>
    </row>
    <row r="3361">
      <c r="A3361" t="inlineStr">
        <is>
          <t>G|REV_DEBT x CHANNEL|where 2026|ranr_rate|rate|5</t>
        </is>
      </c>
      <c r="B3361" t="n">
        <v>0.02094305684692179</v>
      </c>
      <c r="C3361" t="n">
        <v>-0.1087392968208632</v>
      </c>
      <c r="D3361" t="n">
        <v>-0.0463379838257035</v>
      </c>
      <c r="E3361" t="n">
        <v>-0.04443789618722694</v>
      </c>
    </row>
    <row r="3362">
      <c r="A3362" t="inlineStr">
        <is>
          <t>G|REV_DEBT x CHANNEL|where 2026|ranr_rate|book|5</t>
        </is>
      </c>
      <c r="B3362" t="n">
        <v>-10.70469928</v>
      </c>
      <c r="C3362" t="n">
        <v>-23.672934647</v>
      </c>
      <c r="D3362" t="n">
        <v>-17.432803347</v>
      </c>
      <c r="E3362" t="n">
        <v>-17.242794584</v>
      </c>
    </row>
    <row r="3363">
      <c r="A3363" t="inlineStr">
        <is>
          <t>G|REV_DEBT x CHANNEL|where 2026|ranr_rate|band|5</t>
        </is>
      </c>
      <c r="B3363" t="n">
        <v>11.222132572</v>
      </c>
      <c r="C3363" t="n">
        <v>-11.0784845</v>
      </c>
      <c r="D3363" t="n">
        <v>-0.227018214</v>
      </c>
    </row>
    <row r="3364">
      <c r="A3364" t="inlineStr">
        <is>
          <t>G|REV_DEBT x CHANNEL|where 2026|ranr_rate|rate|6</t>
        </is>
      </c>
      <c r="B3364" t="n">
        <v>0.006723085964388737</v>
      </c>
      <c r="C3364" t="n">
        <v>-0.02093367876570889</v>
      </c>
      <c r="D3364" t="n">
        <v>0.002216146988791799</v>
      </c>
      <c r="E3364" t="n">
        <v>-0.004843048118039679</v>
      </c>
    </row>
    <row r="3365">
      <c r="A3365" t="inlineStr">
        <is>
          <t>G|REV_DEBT x CHANNEL|where 2026|ranr_rate|book|6</t>
        </is>
      </c>
      <c r="B3365" t="n">
        <v>-12.126696368</v>
      </c>
      <c r="C3365" t="n">
        <v>-14.892372841</v>
      </c>
      <c r="D3365" t="n">
        <v>-12.577390266</v>
      </c>
      <c r="E3365" t="n">
        <v>-13.283309777</v>
      </c>
    </row>
    <row r="3366">
      <c r="A3366" t="inlineStr">
        <is>
          <t>G|REV_DEBT x CHANNEL|where 2026|ranr_rate|band|6</t>
        </is>
      </c>
    </row>
    <row r="3367">
      <c r="A3367" t="inlineStr">
        <is>
          <t>G|REV_DEBT x CHANNEL|where 2026|ranr_rate|meta</t>
        </is>
      </c>
      <c r="B3367" t="inlineStr">
        <is>
          <t>pts</t>
        </is>
      </c>
      <c r="C3367" t="n">
        <v>17.242794584</v>
      </c>
      <c r="D3367" t="n">
        <v>10</v>
      </c>
      <c r="E3367" t="n">
        <v>0.1279900496481481</v>
      </c>
      <c r="F3367" t="n">
        <v>30</v>
      </c>
    </row>
    <row r="3368">
      <c r="A3368" t="inlineStr">
        <is>
          <t>G|REV_DEBT x CHANNEL|where 2026|contribution_rate|rate|1</t>
        </is>
      </c>
      <c r="B3368" t="n">
        <v>0.02441462876920037</v>
      </c>
      <c r="C3368" t="n">
        <v>0.0268525707015141</v>
      </c>
      <c r="D3368" t="n">
        <v>0.0212349927050495</v>
      </c>
      <c r="E3368" t="n">
        <v>0.0241452062253957</v>
      </c>
    </row>
    <row r="3369">
      <c r="A3369" t="inlineStr">
        <is>
          <t>G|REV_DEBT x CHANNEL|where 2026|contribution_rate|book|1</t>
        </is>
      </c>
      <c r="B3369" t="n">
        <v>-14.517782697</v>
      </c>
      <c r="C3369" t="n">
        <v>-14.273988503</v>
      </c>
      <c r="D3369" t="n">
        <v>-14.835746303</v>
      </c>
      <c r="E3369" t="n">
        <v>-14.544724951</v>
      </c>
    </row>
    <row r="3370">
      <c r="A3370" t="inlineStr">
        <is>
          <t>G|REV_DEBT x CHANNEL|where 2026|contribution_rate|band|1</t>
        </is>
      </c>
      <c r="B3370" t="n">
        <v>0.037495894</v>
      </c>
      <c r="C3370" t="n">
        <v>0.422196774</v>
      </c>
      <c r="D3370" t="n">
        <v>-0.454575498</v>
      </c>
    </row>
    <row r="3371">
      <c r="A3371" t="inlineStr">
        <is>
          <t>G|REV_DEBT x CHANNEL|where 2026|contribution_rate|rate|2</t>
        </is>
      </c>
      <c r="B3371" t="n">
        <v>0.02622965843895933</v>
      </c>
      <c r="C3371" t="n">
        <v>0.02654703386926324</v>
      </c>
      <c r="D3371" t="n">
        <v>0.02677537417424601</v>
      </c>
      <c r="E3371" t="n">
        <v>0.02652503395951578</v>
      </c>
    </row>
    <row r="3372">
      <c r="A3372" t="inlineStr">
        <is>
          <t>G|REV_DEBT x CHANNEL|where 2026|contribution_rate|book|2</t>
        </is>
      </c>
      <c r="B3372" t="n">
        <v>-14.33627973</v>
      </c>
      <c r="C3372" t="n">
        <v>-14.304542187</v>
      </c>
      <c r="D3372" t="n">
        <v>-14.281708156</v>
      </c>
      <c r="E3372" t="n">
        <v>-14.306742178</v>
      </c>
    </row>
    <row r="3373">
      <c r="A3373" t="inlineStr">
        <is>
          <t>G|REV_DEBT x CHANNEL|where 2026|contribution_rate|band|2</t>
        </is>
      </c>
      <c r="B3373" t="n">
        <v>-0.044546157</v>
      </c>
      <c r="C3373" t="n">
        <v>0.00310351</v>
      </c>
      <c r="D3373" t="n">
        <v>0.039859877</v>
      </c>
    </row>
    <row r="3374">
      <c r="A3374" t="inlineStr">
        <is>
          <t>G|REV_DEBT x CHANNEL|where 2026|contribution_rate|rate|3</t>
        </is>
      </c>
      <c r="B3374" t="n">
        <v>0.02782631984141733</v>
      </c>
      <c r="C3374" t="n">
        <v>0.03030249167650699</v>
      </c>
      <c r="D3374" t="n">
        <v>0.03338774760375365</v>
      </c>
      <c r="E3374" t="n">
        <v>0.03045447363074332</v>
      </c>
    </row>
    <row r="3375">
      <c r="A3375" t="inlineStr">
        <is>
          <t>G|REV_DEBT x CHANNEL|where 2026|contribution_rate|book|3</t>
        </is>
      </c>
      <c r="B3375" t="n">
        <v>-14.176613589</v>
      </c>
      <c r="C3375" t="n">
        <v>-13.928996406</v>
      </c>
      <c r="D3375" t="n">
        <v>-13.620470813</v>
      </c>
      <c r="E3375" t="n">
        <v>-13.91379821</v>
      </c>
    </row>
    <row r="3376">
      <c r="A3376" t="inlineStr">
        <is>
          <t>G|REV_DEBT x CHANNEL|where 2026|contribution_rate|band|3</t>
        </is>
      </c>
      <c r="B3376" t="n">
        <v>-0.399045298</v>
      </c>
      <c r="C3376" t="n">
        <v>-0.022866684</v>
      </c>
      <c r="D3376" t="n">
        <v>0.433437943</v>
      </c>
    </row>
    <row r="3377">
      <c r="A3377" t="inlineStr">
        <is>
          <t>G|REV_DEBT x CHANNEL|where 2026|contribution_rate|rate|4</t>
        </is>
      </c>
      <c r="B3377" t="n">
        <v>0.0350283921823385</v>
      </c>
      <c r="C3377" t="n">
        <v>0.0313327302380363</v>
      </c>
      <c r="D3377" t="n">
        <v>0.03401169382533244</v>
      </c>
      <c r="E3377" t="n">
        <v>0.03310630910640646</v>
      </c>
    </row>
    <row r="3378">
      <c r="A3378" t="inlineStr">
        <is>
          <t>G|REV_DEBT x CHANNEL|where 2026|contribution_rate|book|4</t>
        </is>
      </c>
      <c r="B3378" t="n">
        <v>-13.456406355</v>
      </c>
      <c r="C3378" t="n">
        <v>-13.82597255</v>
      </c>
      <c r="D3378" t="n">
        <v>-13.558076191</v>
      </c>
      <c r="E3378" t="n">
        <v>-13.648614663</v>
      </c>
    </row>
    <row r="3379">
      <c r="A3379" t="inlineStr">
        <is>
          <t>G|REV_DEBT x CHANNEL|where 2026|contribution_rate|band|4</t>
        </is>
      </c>
      <c r="B3379" t="n">
        <v>0.261014104</v>
      </c>
      <c r="C3379" t="n">
        <v>-0.315585527</v>
      </c>
      <c r="D3379" t="n">
        <v>0.129043279</v>
      </c>
    </row>
    <row r="3380">
      <c r="A3380" t="inlineStr">
        <is>
          <t>G|REV_DEBT x CHANNEL|where 2026|contribution_rate|rate|5</t>
        </is>
      </c>
      <c r="B3380" t="n">
        <v>0.03820622298483887</v>
      </c>
      <c r="C3380" t="n">
        <v>0.03645407355995779</v>
      </c>
      <c r="D3380" t="n">
        <v>0.04023137155211873</v>
      </c>
      <c r="E3380" t="n">
        <v>0.03780119887986103</v>
      </c>
    </row>
    <row r="3381">
      <c r="A3381" t="inlineStr">
        <is>
          <t>G|REV_DEBT x CHANNEL|where 2026|contribution_rate|book|5</t>
        </is>
      </c>
      <c r="B3381" t="n">
        <v>-13.138623275</v>
      </c>
      <c r="C3381" t="n">
        <v>-13.313838218</v>
      </c>
      <c r="D3381" t="n">
        <v>-12.936108418</v>
      </c>
      <c r="E3381" t="n">
        <v>-13.179125686</v>
      </c>
    </row>
    <row r="3382">
      <c r="A3382" t="inlineStr">
        <is>
          <t>G|REV_DEBT x CHANNEL|where 2026|contribution_rate|band|5</t>
        </is>
      </c>
      <c r="B3382" t="n">
        <v>0.069519241</v>
      </c>
      <c r="C3382" t="n">
        <v>-0.232096141</v>
      </c>
      <c r="D3382" t="n">
        <v>0.290351586</v>
      </c>
    </row>
    <row r="3383">
      <c r="A3383" t="inlineStr">
        <is>
          <t>G|REV_DEBT x CHANNEL|where 2026|contribution_rate|rate|6</t>
        </is>
      </c>
      <c r="B3383" t="n">
        <v>0.03049002524732864</v>
      </c>
      <c r="C3383" t="n">
        <v>0.03053216700089848</v>
      </c>
      <c r="D3383" t="n">
        <v>0.02953500567657588</v>
      </c>
      <c r="E3383" t="n">
        <v>0.03021310136366667</v>
      </c>
    </row>
    <row r="3384">
      <c r="A3384" t="inlineStr">
        <is>
          <t>G|REV_DEBT x CHANNEL|where 2026|contribution_rate|book|6</t>
        </is>
      </c>
      <c r="B3384" t="n">
        <v>-13.910243049</v>
      </c>
      <c r="C3384" t="n">
        <v>-13.906028873</v>
      </c>
      <c r="D3384" t="n">
        <v>-14.005745006</v>
      </c>
      <c r="E3384" t="n">
        <v>-13.937935437</v>
      </c>
    </row>
    <row r="3385">
      <c r="A3385" t="inlineStr">
        <is>
          <t>G|REV_DEBT x CHANNEL|where 2026|contribution_rate|band|6</t>
        </is>
      </c>
    </row>
    <row r="3386">
      <c r="A3386" t="inlineStr">
        <is>
          <t>G|REV_DEBT x CHANNEL|where 2026|contribution_rate|meta</t>
        </is>
      </c>
      <c r="B3386" t="inlineStr">
        <is>
          <t>pts</t>
        </is>
      </c>
      <c r="C3386" t="n">
        <v>14.544724951</v>
      </c>
      <c r="D3386" t="n">
        <v>10</v>
      </c>
      <c r="E3386" t="n">
        <v>0.1695924557349815</v>
      </c>
      <c r="F3386" t="n">
        <v>30</v>
      </c>
    </row>
    <row r="3387">
      <c r="A3387" t="inlineStr">
        <is>
          <t>G|REV_DEBT x CHANNEL|where 2026|loan_size|rate|1</t>
        </is>
      </c>
      <c r="B3387" t="n">
        <v>37984.69</v>
      </c>
      <c r="C3387" t="n">
        <v>34069.35</v>
      </c>
      <c r="D3387" t="n">
        <v>32948.91642857143</v>
      </c>
      <c r="E3387" t="n">
        <v>34650.69216216217</v>
      </c>
    </row>
    <row r="3388">
      <c r="A3388" t="inlineStr">
        <is>
          <t>G|REV_DEBT x CHANNEL|where 2026|loan_size|median|1</t>
        </is>
      </c>
      <c r="B3388" t="n">
        <v>40084.52</v>
      </c>
      <c r="C3388" t="n">
        <v>33589.32</v>
      </c>
      <c r="D3388" t="n">
        <v>32328.855</v>
      </c>
      <c r="E3388" t="n">
        <v>35008.005</v>
      </c>
    </row>
    <row r="3389">
      <c r="A3389" t="inlineStr">
        <is>
          <t>G|REV_DEBT x CHANNEL|where 2026|loan_size|book|1</t>
        </is>
      </c>
      <c r="B3389" t="n">
        <v>1.177360270052849</v>
      </c>
      <c r="C3389" t="n">
        <v>1.056001750087339</v>
      </c>
      <c r="D3389" t="n">
        <v>1.021273179912529</v>
      </c>
      <c r="E3389" t="n">
        <v>1.074020830012339</v>
      </c>
    </row>
    <row r="3390">
      <c r="A3390" t="inlineStr">
        <is>
          <t>G|REV_DEBT x CHANNEL|where 2026|loan_size|band|1</t>
        </is>
      </c>
      <c r="B3390" t="n">
        <v>1.13390696980976</v>
      </c>
      <c r="C3390" t="n">
        <v>0.9738369668301439</v>
      </c>
      <c r="D3390" t="n">
        <v>0.9232865382054399</v>
      </c>
    </row>
    <row r="3391">
      <c r="A3391" t="inlineStr">
        <is>
          <t>G|REV_DEBT x CHANNEL|where 2026|loan_size|rate|2</t>
        </is>
      </c>
      <c r="B3391" t="n">
        <v>33227.40478260869</v>
      </c>
      <c r="C3391" t="n">
        <v>27514.84416666667</v>
      </c>
      <c r="D3391" t="n">
        <v>32449.24846153846</v>
      </c>
      <c r="E3391" t="n">
        <v>31072.15109589041</v>
      </c>
    </row>
    <row r="3392">
      <c r="A3392" t="inlineStr">
        <is>
          <t>G|REV_DEBT x CHANNEL|where 2026|loan_size|median|2</t>
        </is>
      </c>
      <c r="B3392" t="n">
        <v>32472.89</v>
      </c>
      <c r="C3392" t="n">
        <v>20603.965</v>
      </c>
      <c r="D3392" t="n">
        <v>29176.795</v>
      </c>
      <c r="E3392" t="n">
        <v>25509.65</v>
      </c>
    </row>
    <row r="3393">
      <c r="A3393" t="inlineStr">
        <is>
          <t>G|REV_DEBT x CHANNEL|where 2026|loan_size|book|2</t>
        </is>
      </c>
      <c r="B3393" t="n">
        <v>1.029905108295145</v>
      </c>
      <c r="C3393" t="n">
        <v>0.8528405617770931</v>
      </c>
      <c r="D3393" t="n">
        <v>1.005785644997733</v>
      </c>
      <c r="E3393" t="n">
        <v>0.9631016129230084</v>
      </c>
    </row>
    <row r="3394">
      <c r="A3394" t="inlineStr">
        <is>
          <t>G|REV_DEBT x CHANNEL|where 2026|loan_size|band|2</t>
        </is>
      </c>
      <c r="B3394" t="n">
        <v>1.10460749863237</v>
      </c>
      <c r="C3394" t="n">
        <v>0.8384963825863713</v>
      </c>
      <c r="D3394" t="n">
        <v>1.070566513688465</v>
      </c>
    </row>
    <row r="3395">
      <c r="A3395" t="inlineStr">
        <is>
          <t>G|REV_DEBT x CHANNEL|where 2026|loan_size|rate|3</t>
        </is>
      </c>
      <c r="B3395" t="n">
        <v>34267.72166666666</v>
      </c>
      <c r="C3395" t="n">
        <v>32315.6396</v>
      </c>
      <c r="D3395" t="n">
        <v>35397.07590909091</v>
      </c>
      <c r="E3395" t="n">
        <v>33930.30957746479</v>
      </c>
    </row>
    <row r="3396">
      <c r="A3396" t="inlineStr">
        <is>
          <t>G|REV_DEBT x CHANNEL|where 2026|loan_size|median|3</t>
        </is>
      </c>
      <c r="B3396" t="n">
        <v>36292.58</v>
      </c>
      <c r="C3396" t="n">
        <v>32930.22</v>
      </c>
      <c r="D3396" t="n">
        <v>31517.095</v>
      </c>
      <c r="E3396" t="n">
        <v>33955.6</v>
      </c>
    </row>
    <row r="3397">
      <c r="A3397" t="inlineStr">
        <is>
          <t>G|REV_DEBT x CHANNEL|where 2026|loan_size|book|3</t>
        </is>
      </c>
      <c r="B3397" t="n">
        <v>1.062150409429761</v>
      </c>
      <c r="C3397" t="n">
        <v>1.001644351089519</v>
      </c>
      <c r="D3397" t="n">
        <v>1.097155481627163</v>
      </c>
      <c r="E3397" t="n">
        <v>1.051692101399293</v>
      </c>
    </row>
    <row r="3398">
      <c r="A3398" t="inlineStr">
        <is>
          <t>G|REV_DEBT x CHANNEL|where 2026|loan_size|band|3</t>
        </is>
      </c>
      <c r="B3398" t="n">
        <v>1.015098862849899</v>
      </c>
      <c r="C3398" t="n">
        <v>0.9284009733462217</v>
      </c>
      <c r="D3398" t="n">
        <v>1.063877426059398</v>
      </c>
    </row>
    <row r="3399">
      <c r="A3399" t="inlineStr">
        <is>
          <t>G|REV_DEBT x CHANNEL|where 2026|loan_size|rate|4</t>
        </is>
      </c>
      <c r="B3399" t="n">
        <v>26538.115</v>
      </c>
      <c r="C3399" t="n">
        <v>36492.2027586207</v>
      </c>
      <c r="D3399" t="n">
        <v>26701.52444444445</v>
      </c>
      <c r="E3399" t="n">
        <v>30201.6225</v>
      </c>
    </row>
    <row r="3400">
      <c r="A3400" t="inlineStr">
        <is>
          <t>G|REV_DEBT x CHANNEL|where 2026|loan_size|median|4</t>
        </is>
      </c>
      <c r="B3400" t="n">
        <v>25352.83</v>
      </c>
      <c r="C3400" t="n">
        <v>39097.34</v>
      </c>
      <c r="D3400" t="n">
        <v>22046.91</v>
      </c>
      <c r="E3400" t="n">
        <v>30454.385</v>
      </c>
    </row>
    <row r="3401">
      <c r="A3401" t="inlineStr">
        <is>
          <t>G|REV_DEBT x CHANNEL|where 2026|loan_size|book|4</t>
        </is>
      </c>
      <c r="B3401" t="n">
        <v>0.8225662034649638</v>
      </c>
      <c r="C3401" t="n">
        <v>1.131099653431764</v>
      </c>
      <c r="D3401" t="n">
        <v>0.8276311858997368</v>
      </c>
      <c r="E3401" t="n">
        <v>0.9361190106496646</v>
      </c>
    </row>
    <row r="3402">
      <c r="A3402" t="inlineStr">
        <is>
          <t>G|REV_DEBT x CHANNEL|where 2026|loan_size|band|4</t>
        </is>
      </c>
      <c r="B3402" t="n">
        <v>0.8352753358020177</v>
      </c>
      <c r="C3402" t="n">
        <v>1.370618423705555</v>
      </c>
      <c r="D3402" t="n">
        <v>0.8348220145903974</v>
      </c>
    </row>
    <row r="3403">
      <c r="A3403" t="inlineStr">
        <is>
          <t>G|REV_DEBT x CHANNEL|where 2026|loan_size|rate|5</t>
        </is>
      </c>
      <c r="B3403" t="n">
        <v>29016.11419354839</v>
      </c>
      <c r="C3403" t="n">
        <v>32293.55928571429</v>
      </c>
      <c r="D3403" t="n">
        <v>23421.606</v>
      </c>
      <c r="E3403" t="n">
        <v>29122.20662162162</v>
      </c>
    </row>
    <row r="3404">
      <c r="A3404" t="inlineStr">
        <is>
          <t>G|REV_DEBT x CHANNEL|where 2026|loan_size|median|5</t>
        </is>
      </c>
      <c r="B3404" t="n">
        <v>28401.95</v>
      </c>
      <c r="C3404" t="n">
        <v>33956.795</v>
      </c>
      <c r="D3404" t="n">
        <v>20227.52</v>
      </c>
      <c r="E3404" t="n">
        <v>26838.49</v>
      </c>
    </row>
    <row r="3405">
      <c r="A3405" t="inlineStr">
        <is>
          <t>G|REV_DEBT x CHANNEL|where 2026|loan_size|book|5</t>
        </is>
      </c>
      <c r="B3405" t="n">
        <v>0.8993734065698692</v>
      </c>
      <c r="C3405" t="n">
        <v>1.000959957330079</v>
      </c>
      <c r="D3405" t="n">
        <v>0.7259679719705869</v>
      </c>
      <c r="E3405" t="n">
        <v>0.9026618106549589</v>
      </c>
    </row>
    <row r="3406">
      <c r="A3406" t="inlineStr">
        <is>
          <t>G|REV_DEBT x CHANNEL|where 2026|loan_size|band|5</t>
        </is>
      </c>
      <c r="B3406" t="n">
        <v>0.9937470600467572</v>
      </c>
      <c r="C3406" t="n">
        <v>1.187620453846765</v>
      </c>
      <c r="D3406" t="n">
        <v>0.7661252117291869</v>
      </c>
    </row>
    <row r="3407">
      <c r="A3407" t="inlineStr">
        <is>
          <t>G|REV_DEBT x CHANNEL|where 2026|loan_size|rate|6</t>
        </is>
      </c>
      <c r="B3407" t="n">
        <v>31775.03338842975</v>
      </c>
      <c r="C3407" t="n">
        <v>32711.3777443609</v>
      </c>
      <c r="D3407" t="n">
        <v>30654.66983050848</v>
      </c>
      <c r="E3407" t="n">
        <v>31754.41752688172</v>
      </c>
    </row>
    <row r="3408">
      <c r="A3408" t="inlineStr">
        <is>
          <t>G|REV_DEBT x CHANNEL|where 2026|loan_size|median|6</t>
        </is>
      </c>
      <c r="B3408" t="n">
        <v>31828.65</v>
      </c>
      <c r="C3408" t="n">
        <v>33180.72</v>
      </c>
      <c r="D3408" t="n">
        <v>28213.82</v>
      </c>
      <c r="E3408" t="n">
        <v>32048.36</v>
      </c>
    </row>
    <row r="3409">
      <c r="A3409" t="inlineStr">
        <is>
          <t>G|REV_DEBT x CHANNEL|where 2026|loan_size|book|6</t>
        </is>
      </c>
      <c r="B3409" t="n">
        <v>0.9848879085531554</v>
      </c>
      <c r="C3409" t="n">
        <v>1.013910513285788</v>
      </c>
      <c r="D3409" t="n">
        <v>0.9501615084927215</v>
      </c>
      <c r="E3409" t="n">
        <v>0.9842489064625878</v>
      </c>
    </row>
    <row r="3410">
      <c r="A3410" t="inlineStr">
        <is>
          <t>G|REV_DEBT x CHANNEL|where 2026|loan_size|band|6</t>
        </is>
      </c>
    </row>
    <row r="3411">
      <c r="A3411" t="inlineStr">
        <is>
          <t>G|REV_DEBT x CHANNEL|where 2026|loan_size|meta</t>
        </is>
      </c>
      <c r="B3411" t="inlineStr">
        <is>
          <t>size</t>
        </is>
      </c>
      <c r="C3411" t="n">
        <v>1</v>
      </c>
      <c r="E3411" t="n">
        <v>32262.58857732217</v>
      </c>
      <c r="F3411" t="n">
        <v>30</v>
      </c>
    </row>
    <row r="3412">
      <c r="A3412" t="inlineStr">
        <is>
          <t>G|REV_DEBT x ASSET_CLASS|cols</t>
        </is>
      </c>
      <c r="B3412" t="inlineStr">
        <is>
          <t>1</t>
        </is>
      </c>
      <c r="C3412" t="inlineStr">
        <is>
          <t>2</t>
        </is>
      </c>
      <c r="D3412" t="inlineStr">
        <is>
          <t>3</t>
        </is>
      </c>
      <c r="E3412" t="inlineStr">
        <is>
          <t>4</t>
        </is>
      </c>
      <c r="F3412" t="inlineStr">
        <is>
          <t>All</t>
        </is>
      </c>
    </row>
    <row r="3413">
      <c r="A3413" t="inlineStr">
        <is>
          <t>G|REV_DEBT x ASSET_CLASS|heads</t>
        </is>
      </c>
      <c r="B3413" t="inlineStr">
        <is>
          <t>1</t>
        </is>
      </c>
      <c r="C3413" t="inlineStr">
        <is>
          <t>2</t>
        </is>
      </c>
      <c r="D3413" t="inlineStr">
        <is>
          <t>3</t>
        </is>
      </c>
      <c r="E3413" t="inlineStr">
        <is>
          <t>4</t>
        </is>
      </c>
      <c r="F3413" t="inlineStr">
        <is>
          <t>All</t>
        </is>
      </c>
    </row>
    <row r="3414">
      <c r="A3414" t="inlineStr">
        <is>
          <t>G|REV_DEBT x ASSET_CLASS|segs</t>
        </is>
      </c>
    </row>
    <row r="3415">
      <c r="A3415" t="inlineStr">
        <is>
          <t>G|REV_DEBT x ASSET_CLASS|rows</t>
        </is>
      </c>
      <c r="B3415" t="inlineStr">
        <is>
          <t>0 - 6,558</t>
        </is>
      </c>
      <c r="C3415" t="inlineStr">
        <is>
          <t>6,559 - 9,836</t>
        </is>
      </c>
      <c r="D3415" t="inlineStr">
        <is>
          <t>9,837 - 13,051</t>
        </is>
      </c>
      <c r="E3415" t="inlineStr">
        <is>
          <t>13,052 - 17,186</t>
        </is>
      </c>
      <c r="F3415" t="inlineStr">
        <is>
          <t>17,187 - 48,521</t>
        </is>
      </c>
      <c r="G3415" t="inlineStr">
        <is>
          <t>All</t>
        </is>
      </c>
    </row>
    <row r="3416">
      <c r="A3416" t="inlineStr">
        <is>
          <t>G|REV_DEBT x ASSET_CLASS|names</t>
        </is>
      </c>
      <c r="B3416" t="inlineStr">
        <is>
          <t>REV_DEBT</t>
        </is>
      </c>
      <c r="C3416" t="inlineStr">
        <is>
          <t>ASSET_CLASS</t>
        </is>
      </c>
    </row>
    <row r="3417">
      <c r="A3417" t="inlineStr">
        <is>
          <t>G|REV_DEBT x ASSET_CLASS|total</t>
        </is>
      </c>
      <c r="B3417" t="n">
        <v>8000</v>
      </c>
    </row>
    <row r="3418">
      <c r="A3418" t="inlineStr">
        <is>
          <t>G|REV_DEBT x ASSET_CLASS|loans|1</t>
        </is>
      </c>
      <c r="B3418" t="n">
        <v>396</v>
      </c>
      <c r="C3418" t="n">
        <v>435</v>
      </c>
      <c r="D3418" t="n">
        <v>371</v>
      </c>
      <c r="E3418" t="n">
        <v>399</v>
      </c>
      <c r="F3418" t="n">
        <v>1601</v>
      </c>
    </row>
    <row r="3419">
      <c r="A3419" t="inlineStr">
        <is>
          <t>G|REV_DEBT x ASSET_CLASS|loans|2</t>
        </is>
      </c>
      <c r="B3419" t="n">
        <v>372</v>
      </c>
      <c r="C3419" t="n">
        <v>417</v>
      </c>
      <c r="D3419" t="n">
        <v>411</v>
      </c>
      <c r="E3419" t="n">
        <v>400</v>
      </c>
      <c r="F3419" t="n">
        <v>1600</v>
      </c>
    </row>
    <row r="3420">
      <c r="A3420" t="inlineStr">
        <is>
          <t>G|REV_DEBT x ASSET_CLASS|loans|3</t>
        </is>
      </c>
      <c r="B3420" t="n">
        <v>403</v>
      </c>
      <c r="C3420" t="n">
        <v>382</v>
      </c>
      <c r="D3420" t="n">
        <v>400</v>
      </c>
      <c r="E3420" t="n">
        <v>414</v>
      </c>
      <c r="F3420" t="n">
        <v>1599</v>
      </c>
    </row>
    <row r="3421">
      <c r="A3421" t="inlineStr">
        <is>
          <t>G|REV_DEBT x ASSET_CLASS|loans|4</t>
        </is>
      </c>
      <c r="B3421" t="n">
        <v>424</v>
      </c>
      <c r="C3421" t="n">
        <v>392</v>
      </c>
      <c r="D3421" t="n">
        <v>373</v>
      </c>
      <c r="E3421" t="n">
        <v>411</v>
      </c>
      <c r="F3421" t="n">
        <v>1600</v>
      </c>
    </row>
    <row r="3422">
      <c r="A3422" t="inlineStr">
        <is>
          <t>G|REV_DEBT x ASSET_CLASS|loans|5</t>
        </is>
      </c>
      <c r="B3422" t="n">
        <v>411</v>
      </c>
      <c r="C3422" t="n">
        <v>385</v>
      </c>
      <c r="D3422" t="n">
        <v>380</v>
      </c>
      <c r="E3422" t="n">
        <v>424</v>
      </c>
      <c r="F3422" t="n">
        <v>1600</v>
      </c>
    </row>
    <row r="3423">
      <c r="A3423" t="inlineStr">
        <is>
          <t>G|REV_DEBT x ASSET_CLASS|loans|6</t>
        </is>
      </c>
      <c r="B3423" t="n">
        <v>2006</v>
      </c>
      <c r="C3423" t="n">
        <v>2011</v>
      </c>
      <c r="D3423" t="n">
        <v>1935</v>
      </c>
      <c r="E3423" t="n">
        <v>2048</v>
      </c>
      <c r="F3423" t="n">
        <v>8000</v>
      </c>
    </row>
    <row r="3424">
      <c r="A3424" t="inlineStr">
        <is>
          <t>G|REV_DEBT x ASSET_CLASS|outcome_loans|rate|1</t>
        </is>
      </c>
      <c r="B3424" t="n">
        <v>0.04040404040404041</v>
      </c>
      <c r="C3424" t="n">
        <v>0.04137931034482759</v>
      </c>
      <c r="D3424" t="n">
        <v>0.02695417789757413</v>
      </c>
      <c r="E3424" t="n">
        <v>0.05263157894736842</v>
      </c>
      <c r="F3424" t="n">
        <v>0.04059962523422861</v>
      </c>
    </row>
    <row r="3425">
      <c r="A3425" t="inlineStr">
        <is>
          <t>G|REV_DEBT x ASSET_CLASS|outcome_loans|book|1</t>
        </is>
      </c>
      <c r="B3425" t="n">
        <v>0.5221194171113396</v>
      </c>
      <c r="C3425" t="n">
        <v>0.5347222995933374</v>
      </c>
      <c r="D3425" t="n">
        <v>0.3483141664017697</v>
      </c>
      <c r="E3425" t="n">
        <v>0.6801292407108238</v>
      </c>
      <c r="F3425" t="n">
        <v>0.5246468533902983</v>
      </c>
    </row>
    <row r="3426">
      <c r="A3426" t="inlineStr">
        <is>
          <t>G|REV_DEBT x ASSET_CLASS|outcome_loans|band|1</t>
        </is>
      </c>
      <c r="B3426" t="n">
        <v>0.9936095650381365</v>
      </c>
      <c r="C3426" t="n">
        <v>1.026559060895084</v>
      </c>
      <c r="D3426" t="n">
        <v>0.6027934329821123</v>
      </c>
      <c r="E3426" t="n">
        <v>1.437799043062201</v>
      </c>
    </row>
    <row r="3427">
      <c r="A3427" t="inlineStr">
        <is>
          <t>G|REV_DEBT x ASSET_CLASS|outcome_loans|rate|2</t>
        </is>
      </c>
      <c r="B3427" t="n">
        <v>0.01881720430107527</v>
      </c>
      <c r="C3427" t="n">
        <v>0.02398081534772182</v>
      </c>
      <c r="D3427" t="n">
        <v>0.05596107055961071</v>
      </c>
      <c r="E3427" t="n">
        <v>0.0575</v>
      </c>
      <c r="F3427" t="n">
        <v>0.039375</v>
      </c>
    </row>
    <row r="3428">
      <c r="A3428" t="inlineStr">
        <is>
          <t>G|REV_DEBT x ASSET_CLASS|outcome_loans|book|2</t>
        </is>
      </c>
      <c r="C3428" t="n">
        <v>0.3098910209473778</v>
      </c>
      <c r="D3428" t="n">
        <v>0.7231544481523845</v>
      </c>
      <c r="E3428" t="n">
        <v>0.7430411954765751</v>
      </c>
      <c r="F3428" t="n">
        <v>0.5088216882067851</v>
      </c>
    </row>
    <row r="3429">
      <c r="A3429" t="inlineStr">
        <is>
          <t>G|REV_DEBT x ASSET_CLASS|outcome_loans|band|2</t>
        </is>
      </c>
      <c r="C3429" t="n">
        <v>0.5352698972897154</v>
      </c>
      <c r="D3429" t="n">
        <v>1.663442822384428</v>
      </c>
      <c r="E3429" t="n">
        <v>1.725</v>
      </c>
    </row>
    <row r="3430">
      <c r="A3430" t="inlineStr">
        <is>
          <t>G|REV_DEBT x ASSET_CLASS|outcome_loans|rate|3</t>
        </is>
      </c>
      <c r="B3430" t="n">
        <v>0.04714640198511166</v>
      </c>
      <c r="C3430" t="n">
        <v>0.04986876640419947</v>
      </c>
      <c r="D3430" t="n">
        <v>0.07000000000000001</v>
      </c>
      <c r="E3430" t="n">
        <v>0.07971014492753623</v>
      </c>
      <c r="F3430" t="n">
        <v>0.06195244055068836</v>
      </c>
    </row>
    <row r="3431">
      <c r="A3431" t="inlineStr">
        <is>
          <t>G|REV_DEBT x ASSET_CLASS|outcome_loans|book|3</t>
        </is>
      </c>
      <c r="B3431" t="n">
        <v>0.6092472851032442</v>
      </c>
      <c r="C3431" t="n">
        <v>0.644426918363799</v>
      </c>
      <c r="D3431" t="n">
        <v>0.9045718901453959</v>
      </c>
      <c r="E3431" t="n">
        <v>1.030050806583784</v>
      </c>
      <c r="F3431" t="n">
        <v>0.8005776606865205</v>
      </c>
    </row>
    <row r="3432">
      <c r="A3432" t="inlineStr">
        <is>
          <t>G|REV_DEBT x ASSET_CLASS|outcome_loans|band|3</t>
        </is>
      </c>
      <c r="B3432" t="n">
        <v>0.7042493796526055</v>
      </c>
      <c r="C3432" t="n">
        <v>0.7586286089238845</v>
      </c>
      <c r="D3432" t="n">
        <v>1.18112676056338</v>
      </c>
      <c r="E3432" t="n">
        <v>1.429951690821256</v>
      </c>
    </row>
    <row r="3433">
      <c r="A3433" t="inlineStr">
        <is>
          <t>G|REV_DEBT x ASSET_CLASS|outcome_loans|rate|4</t>
        </is>
      </c>
      <c r="B3433" t="n">
        <v>0.07783018867924528</v>
      </c>
      <c r="C3433" t="n">
        <v>0.08163265306122448</v>
      </c>
      <c r="D3433" t="n">
        <v>0.08042895442359249</v>
      </c>
      <c r="E3433" t="n">
        <v>0.1313868613138686</v>
      </c>
      <c r="F3433" t="n">
        <v>0.093125</v>
      </c>
    </row>
    <row r="3434">
      <c r="A3434" t="inlineStr">
        <is>
          <t>G|REV_DEBT x ASSET_CLASS|outcome_loans|book|4</t>
        </is>
      </c>
      <c r="B3434" t="n">
        <v>1.00575715548511</v>
      </c>
      <c r="C3434" t="n">
        <v>1.054894332531074</v>
      </c>
      <c r="D3434" t="n">
        <v>1.039339590362385</v>
      </c>
      <c r="E3434" t="n">
        <v>1.697840878270816</v>
      </c>
      <c r="F3434" t="n">
        <v>1.203403675282714</v>
      </c>
    </row>
    <row r="3435">
      <c r="A3435" t="inlineStr">
        <is>
          <t>G|REV_DEBT x ASSET_CLASS|outcome_loans|band|4</t>
        </is>
      </c>
      <c r="B3435" t="n">
        <v>0.7890370852309694</v>
      </c>
      <c r="C3435" t="n">
        <v>0.8428396999825571</v>
      </c>
      <c r="D3435" t="n">
        <v>0.8292968661995629</v>
      </c>
      <c r="E3435" t="n">
        <v>1.644410295812524</v>
      </c>
    </row>
    <row r="3436">
      <c r="A3436" t="inlineStr">
        <is>
          <t>G|REV_DEBT x ASSET_CLASS|outcome_loans|rate|5</t>
        </is>
      </c>
      <c r="B3436" t="n">
        <v>0.1484184914841849</v>
      </c>
      <c r="C3436" t="n">
        <v>0.1116883116883117</v>
      </c>
      <c r="D3436" t="n">
        <v>0.15</v>
      </c>
      <c r="E3436" t="n">
        <v>0.1933962264150944</v>
      </c>
      <c r="F3436" t="n">
        <v>0.151875</v>
      </c>
    </row>
    <row r="3437">
      <c r="A3437" t="inlineStr">
        <is>
          <t>G|REV_DEBT x ASSET_CLASS|outcome_loans|book|5</t>
        </is>
      </c>
      <c r="B3437" t="n">
        <v>1.917931362491107</v>
      </c>
      <c r="C3437" t="n">
        <v>1.44328724587206</v>
      </c>
      <c r="D3437" t="n">
        <v>1.938368336025848</v>
      </c>
      <c r="E3437" t="n">
        <v>2.499154143932697</v>
      </c>
      <c r="F3437" t="n">
        <v>1.962597940226171</v>
      </c>
    </row>
    <row r="3438">
      <c r="A3438" t="inlineStr">
        <is>
          <t>G|REV_DEBT x ASSET_CLASS|outcome_loans|band|5</t>
        </is>
      </c>
      <c r="B3438" t="n">
        <v>0.9696131119488783</v>
      </c>
      <c r="C3438" t="n">
        <v>0.6785064935064935</v>
      </c>
      <c r="D3438" t="n">
        <v>0.9838709677419355</v>
      </c>
      <c r="E3438" t="n">
        <v>1.412633305988515</v>
      </c>
    </row>
    <row r="3439">
      <c r="A3439" t="inlineStr">
        <is>
          <t>G|REV_DEBT x ASSET_CLASS|outcome_loans|rate|6</t>
        </is>
      </c>
      <c r="B3439" t="n">
        <v>0.06779661016949153</v>
      </c>
      <c r="C3439" t="n">
        <v>0.06069651741293532</v>
      </c>
      <c r="D3439" t="n">
        <v>0.07648578811369509</v>
      </c>
      <c r="E3439" t="n">
        <v>0.10400390625</v>
      </c>
      <c r="F3439" t="n">
        <v>0.07738467308413552</v>
      </c>
    </row>
    <row r="3440">
      <c r="A3440" t="inlineStr">
        <is>
          <t>G|REV_DEBT x ASSET_CLASS|outcome_loans|book|6</t>
        </is>
      </c>
      <c r="B3440" t="n">
        <v>0.8760986829495359</v>
      </c>
      <c r="C3440" t="n">
        <v>0.784348049735169</v>
      </c>
      <c r="D3440" t="n">
        <v>0.9883841989037917</v>
      </c>
      <c r="E3440" t="n">
        <v>1.343985857986672</v>
      </c>
      <c r="F3440" t="n">
        <v>1</v>
      </c>
    </row>
    <row r="3441">
      <c r="A3441" t="inlineStr">
        <is>
          <t>G|REV_DEBT x ASSET_CLASS|outcome_loans|band|6</t>
        </is>
      </c>
    </row>
    <row r="3442">
      <c r="A3442" t="inlineStr">
        <is>
          <t>G|REV_DEBT x ASSET_CLASS|outcome_loans|meta</t>
        </is>
      </c>
      <c r="B3442" t="inlineStr">
        <is>
          <t>x</t>
        </is>
      </c>
      <c r="C3442" t="n">
        <v>2.499154143932697</v>
      </c>
      <c r="D3442" t="n">
        <v>10</v>
      </c>
      <c r="E3442" t="n">
        <v>0.07738467308413552</v>
      </c>
      <c r="F3442" t="n">
        <v>30</v>
      </c>
    </row>
    <row r="3443">
      <c r="A3443" t="inlineStr">
        <is>
          <t>G|REV_DEBT x ASSET_CLASS|outcome_booked|rate|1</t>
        </is>
      </c>
      <c r="B3443" t="n">
        <v>0.04097981655279918</v>
      </c>
      <c r="C3443" t="n">
        <v>0.03632988802124573</v>
      </c>
      <c r="D3443" t="n">
        <v>0.02608194431997733</v>
      </c>
      <c r="E3443" t="n">
        <v>0.04545504894970465</v>
      </c>
      <c r="F3443" t="n">
        <v>0.03732302625708482</v>
      </c>
    </row>
    <row r="3444">
      <c r="A3444" t="inlineStr">
        <is>
          <t>G|REV_DEBT x ASSET_CLASS|outcome_booked|book|1</t>
        </is>
      </c>
      <c r="B3444" t="n">
        <v>0.5476471492090282</v>
      </c>
      <c r="C3444" t="n">
        <v>0.4855063121203609</v>
      </c>
      <c r="D3444" t="n">
        <v>0.3485545728166156</v>
      </c>
      <c r="E3444" t="n">
        <v>0.6074533775032778</v>
      </c>
      <c r="F3444" t="n">
        <v>0.4987784389715635</v>
      </c>
    </row>
    <row r="3445">
      <c r="A3445" t="inlineStr">
        <is>
          <t>G|REV_DEBT x ASSET_CLASS|outcome_booked|band|1</t>
        </is>
      </c>
      <c r="B3445" t="n">
        <v>1.132579378449637</v>
      </c>
      <c r="C3445" t="n">
        <v>0.963650888231939</v>
      </c>
      <c r="D3445" t="n">
        <v>0.6395809325757745</v>
      </c>
      <c r="E3445" t="n">
        <v>1.314268326351945</v>
      </c>
    </row>
    <row r="3446">
      <c r="A3446" t="inlineStr">
        <is>
          <t>G|REV_DEBT x ASSET_CLASS|outcome_booked|rate|2</t>
        </is>
      </c>
      <c r="B3446" t="n">
        <v>0.01600700530445903</v>
      </c>
      <c r="C3446" t="n">
        <v>0.02770473025410954</v>
      </c>
      <c r="D3446" t="n">
        <v>0.055114716394377</v>
      </c>
      <c r="E3446" t="n">
        <v>0.05481409667467448</v>
      </c>
      <c r="F3446" t="n">
        <v>0.03864817611492112</v>
      </c>
    </row>
    <row r="3447">
      <c r="A3447" t="inlineStr">
        <is>
          <t>G|REV_DEBT x ASSET_CLASS|outcome_booked|book|2</t>
        </is>
      </c>
      <c r="C3447" t="n">
        <v>0.3702412021225078</v>
      </c>
      <c r="D3447" t="n">
        <v>0.7365434951119356</v>
      </c>
      <c r="E3447" t="n">
        <v>0.7325260654028741</v>
      </c>
      <c r="F3447" t="n">
        <v>0.5164875114605477</v>
      </c>
    </row>
    <row r="3448">
      <c r="A3448" t="inlineStr">
        <is>
          <t>G|REV_DEBT x ASSET_CLASS|outcome_booked|band|2</t>
        </is>
      </c>
      <c r="C3448" t="n">
        <v>0.6510488151925167</v>
      </c>
      <c r="D3448" t="n">
        <v>1.667454280771733</v>
      </c>
      <c r="E3448" t="n">
        <v>1.646041921921599</v>
      </c>
    </row>
    <row r="3449">
      <c r="A3449" t="inlineStr">
        <is>
          <t>G|REV_DEBT x ASSET_CLASS|outcome_booked|rate|3</t>
        </is>
      </c>
      <c r="B3449" t="n">
        <v>0.05167350448665327</v>
      </c>
      <c r="C3449" t="n">
        <v>0.05538775090287236</v>
      </c>
      <c r="D3449" t="n">
        <v>0.05155508856483453</v>
      </c>
      <c r="E3449" t="n">
        <v>0.07625506590368808</v>
      </c>
      <c r="F3449" t="n">
        <v>0.05877266265318828</v>
      </c>
    </row>
    <row r="3450">
      <c r="A3450" t="inlineStr">
        <is>
          <t>G|REV_DEBT x ASSET_CLASS|outcome_booked|book|3</t>
        </is>
      </c>
      <c r="B3450" t="n">
        <v>0.6905557370003065</v>
      </c>
      <c r="C3450" t="n">
        <v>0.7401922808506546</v>
      </c>
      <c r="D3450" t="n">
        <v>0.6889732471928806</v>
      </c>
      <c r="E3450" t="n">
        <v>1.01905945335543</v>
      </c>
      <c r="F3450" t="n">
        <v>0.7854276534394086</v>
      </c>
    </row>
    <row r="3451">
      <c r="A3451" t="inlineStr">
        <is>
          <t>G|REV_DEBT x ASSET_CLASS|outcome_booked|band|3</t>
        </is>
      </c>
      <c r="B3451" t="n">
        <v>0.843630462786421</v>
      </c>
      <c r="C3451" t="n">
        <v>0.9259929926856637</v>
      </c>
      <c r="D3451" t="n">
        <v>0.8424487335771079</v>
      </c>
      <c r="E3451" t="n">
        <v>1.444060325894038</v>
      </c>
    </row>
    <row r="3452">
      <c r="A3452" t="inlineStr">
        <is>
          <t>G|REV_DEBT x ASSET_CLASS|outcome_booked|rate|4</t>
        </is>
      </c>
      <c r="B3452" t="n">
        <v>0.07991432495639467</v>
      </c>
      <c r="C3452" t="n">
        <v>0.07684490899233286</v>
      </c>
      <c r="D3452" t="n">
        <v>0.07900009233845734</v>
      </c>
      <c r="E3452" t="n">
        <v>0.1302519788019399</v>
      </c>
      <c r="F3452" t="n">
        <v>0.09123638059739882</v>
      </c>
    </row>
    <row r="3453">
      <c r="A3453" t="inlineStr">
        <is>
          <t>G|REV_DEBT x ASSET_CLASS|outcome_booked|book|4</t>
        </is>
      </c>
      <c r="B3453" t="n">
        <v>1.067961155632456</v>
      </c>
      <c r="C3453" t="n">
        <v>1.02694201392182</v>
      </c>
      <c r="D3453" t="n">
        <v>1.055743509751045</v>
      </c>
      <c r="E3453" t="n">
        <v>1.740664816735124</v>
      </c>
      <c r="F3453" t="n">
        <v>1.219267140299153</v>
      </c>
    </row>
    <row r="3454">
      <c r="A3454" t="inlineStr">
        <is>
          <t>G|REV_DEBT x ASSET_CLASS|outcome_booked|band|4</t>
        </is>
      </c>
      <c r="B3454" t="n">
        <v>0.8385875281700875</v>
      </c>
      <c r="C3454" t="n">
        <v>0.7997208342791428</v>
      </c>
      <c r="D3454" t="n">
        <v>0.8308445030661796</v>
      </c>
      <c r="E3454" t="n">
        <v>1.657149684016287</v>
      </c>
    </row>
    <row r="3455">
      <c r="A3455" t="inlineStr">
        <is>
          <t>G|REV_DEBT x ASSET_CLASS|outcome_booked|rate|5</t>
        </is>
      </c>
      <c r="B3455" t="n">
        <v>0.1320319869120306</v>
      </c>
      <c r="C3455" t="n">
        <v>0.1090457173308577</v>
      </c>
      <c r="D3455" t="n">
        <v>0.1475548421983691</v>
      </c>
      <c r="E3455" t="n">
        <v>0.2074122319028033</v>
      </c>
      <c r="F3455" t="n">
        <v>0.1500959129612363</v>
      </c>
    </row>
    <row r="3456">
      <c r="A3456" t="inlineStr">
        <is>
          <t>G|REV_DEBT x ASSET_CLASS|outcome_booked|book|5</t>
        </is>
      </c>
      <c r="B3456" t="n">
        <v>1.764452535887164</v>
      </c>
      <c r="C3456" t="n">
        <v>1.457268022485049</v>
      </c>
      <c r="D3456" t="n">
        <v>1.971897277231837</v>
      </c>
      <c r="E3456" t="n">
        <v>2.771821034540314</v>
      </c>
      <c r="F3456" t="n">
        <v>2.005855705460272</v>
      </c>
    </row>
    <row r="3457">
      <c r="A3457" t="inlineStr">
        <is>
          <t>G|REV_DEBT x ASSET_CLASS|outcome_booked|band|5</t>
        </is>
      </c>
      <c r="B3457" t="n">
        <v>0.8454874355877486</v>
      </c>
      <c r="C3457" t="n">
        <v>0.6671878798179957</v>
      </c>
      <c r="D3457" t="n">
        <v>0.9779039274209755</v>
      </c>
      <c r="E3457" t="n">
        <v>1.603112774577653</v>
      </c>
    </row>
    <row r="3458">
      <c r="A3458" t="inlineStr">
        <is>
          <t>G|REV_DEBT x ASSET_CLASS|outcome_booked|rate|6</t>
        </is>
      </c>
      <c r="B3458" t="n">
        <v>0.06479266841209205</v>
      </c>
      <c r="C3458" t="n">
        <v>0.05990447229803184</v>
      </c>
      <c r="D3458" t="n">
        <v>0.07111558928800159</v>
      </c>
      <c r="E3458" t="n">
        <v>0.1032953749844735</v>
      </c>
      <c r="F3458" t="n">
        <v>0.07482886857347225</v>
      </c>
    </row>
    <row r="3459">
      <c r="A3459" t="inlineStr">
        <is>
          <t>G|REV_DEBT x ASSET_CLASS|outcome_booked|book|6</t>
        </is>
      </c>
      <c r="B3459" t="n">
        <v>0.8658779645782558</v>
      </c>
      <c r="C3459" t="n">
        <v>0.8005529609099106</v>
      </c>
      <c r="D3459" t="n">
        <v>0.9503763807169583</v>
      </c>
      <c r="E3459" t="n">
        <v>1.380421446343942</v>
      </c>
      <c r="F3459" t="n">
        <v>0.9999999999999987</v>
      </c>
    </row>
    <row r="3460">
      <c r="A3460" t="inlineStr">
        <is>
          <t>G|REV_DEBT x ASSET_CLASS|outcome_booked|band|6</t>
        </is>
      </c>
    </row>
    <row r="3461">
      <c r="A3461" t="inlineStr">
        <is>
          <t>G|REV_DEBT x ASSET_CLASS|outcome_booked|meta</t>
        </is>
      </c>
      <c r="B3461" t="inlineStr">
        <is>
          <t>x</t>
        </is>
      </c>
      <c r="C3461" t="n">
        <v>2.771821034540314</v>
      </c>
      <c r="D3461" t="n">
        <v>10</v>
      </c>
      <c r="E3461" t="n">
        <v>0.07482886857347235</v>
      </c>
      <c r="F3461" t="n">
        <v>30</v>
      </c>
    </row>
    <row r="3462">
      <c r="A3462" t="inlineStr">
        <is>
          <t>G|REV_DEBT x ASSET_CLASS|gco_rate|rate|1</t>
        </is>
      </c>
      <c r="B3462" t="n">
        <v>0.02013011461643504</v>
      </c>
      <c r="C3462" t="n">
        <v>0.01995286922639983</v>
      </c>
      <c r="D3462" t="n">
        <v>0.01460721145002964</v>
      </c>
      <c r="E3462" t="n">
        <v>0.02322085956395044</v>
      </c>
      <c r="F3462" t="n">
        <v>0.0195607585516792</v>
      </c>
    </row>
    <row r="3463">
      <c r="A3463" t="inlineStr">
        <is>
          <t>G|REV_DEBT x ASSET_CLASS|gco_rate|book|1</t>
        </is>
      </c>
      <c r="B3463" t="n">
        <v>0.483835746633397</v>
      </c>
      <c r="C3463" t="n">
        <v>0.4795755793537234</v>
      </c>
      <c r="D3463" t="n">
        <v>0.3510904529270195</v>
      </c>
      <c r="E3463" t="n">
        <v>0.5581230975913293</v>
      </c>
      <c r="F3463" t="n">
        <v>0.4701510348500629</v>
      </c>
    </row>
    <row r="3464">
      <c r="A3464" t="inlineStr">
        <is>
          <t>G|REV_DEBT x ASSET_CLASS|gco_rate|band|1</t>
        </is>
      </c>
      <c r="B3464" t="n">
        <v>1.038533227129897</v>
      </c>
      <c r="C3464" t="n">
        <v>1.027872174502744</v>
      </c>
      <c r="D3464" t="n">
        <v>0.6928099239075833</v>
      </c>
      <c r="E3464" t="n">
        <v>1.266906743237542</v>
      </c>
    </row>
    <row r="3465">
      <c r="A3465" t="inlineStr">
        <is>
          <t>G|REV_DEBT x ASSET_CLASS|gco_rate|rate|2</t>
        </is>
      </c>
      <c r="B3465" t="n">
        <v>0.008410534985880786</v>
      </c>
      <c r="C3465" t="n">
        <v>0.01515860947491291</v>
      </c>
      <c r="D3465" t="n">
        <v>0.02990814875578868</v>
      </c>
      <c r="E3465" t="n">
        <v>0.03419767070680682</v>
      </c>
      <c r="F3465" t="n">
        <v>0.02205788620377182</v>
      </c>
    </row>
    <row r="3466">
      <c r="A3466" t="inlineStr">
        <is>
          <t>G|REV_DEBT x ASSET_CLASS|gco_rate|book|2</t>
        </is>
      </c>
      <c r="C3466" t="n">
        <v>0.3643435356910771</v>
      </c>
      <c r="D3466" t="n">
        <v>0.7188548977195246</v>
      </c>
      <c r="E3466" t="n">
        <v>0.8219553566794924</v>
      </c>
      <c r="F3466" t="n">
        <v>0.5301705451713161</v>
      </c>
    </row>
    <row r="3467">
      <c r="A3467" t="inlineStr">
        <is>
          <t>G|REV_DEBT x ASSET_CLASS|gco_rate|band|2</t>
        </is>
      </c>
      <c r="C3467" t="n">
        <v>0.6181413832184242</v>
      </c>
      <c r="D3467" t="n">
        <v>1.54262865510627</v>
      </c>
      <c r="E3467" t="n">
        <v>1.895871984797198</v>
      </c>
    </row>
    <row r="3468">
      <c r="A3468" t="inlineStr">
        <is>
          <t>G|REV_DEBT x ASSET_CLASS|gco_rate|rate|3</t>
        </is>
      </c>
      <c r="B3468" t="n">
        <v>0.03231251151907861</v>
      </c>
      <c r="C3468" t="n">
        <v>0.0279766397730185</v>
      </c>
      <c r="D3468" t="n">
        <v>0.02773412294108031</v>
      </c>
      <c r="E3468" t="n">
        <v>0.04075305989297021</v>
      </c>
      <c r="F3468" t="n">
        <v>0.03228568505980429</v>
      </c>
    </row>
    <row r="3469">
      <c r="A3469" t="inlineStr">
        <is>
          <t>G|REV_DEBT x ASSET_CLASS|gco_rate|book|3</t>
        </is>
      </c>
      <c r="B3469" t="n">
        <v>0.7766447650362334</v>
      </c>
      <c r="C3469" t="n">
        <v>0.672430269315038</v>
      </c>
      <c r="D3469" t="n">
        <v>0.6666012755567918</v>
      </c>
      <c r="E3469" t="n">
        <v>0.9795168848572967</v>
      </c>
      <c r="F3469" t="n">
        <v>0.775999979837548</v>
      </c>
    </row>
    <row r="3470">
      <c r="A3470" t="inlineStr">
        <is>
          <t>G|REV_DEBT x ASSET_CLASS|gco_rate|band|3</t>
        </is>
      </c>
      <c r="B3470" t="n">
        <v>1.001121069625541</v>
      </c>
      <c r="C3470" t="n">
        <v>0.8322446385801052</v>
      </c>
      <c r="D3470" t="n">
        <v>0.8202233271234983</v>
      </c>
      <c r="E3470" t="n">
        <v>1.386226129274965</v>
      </c>
    </row>
    <row r="3471">
      <c r="A3471" t="inlineStr">
        <is>
          <t>G|REV_DEBT x ASSET_CLASS|gco_rate|rate|4</t>
        </is>
      </c>
      <c r="B3471" t="n">
        <v>0.04565327152062187</v>
      </c>
      <c r="C3471" t="n">
        <v>0.04189164462056701</v>
      </c>
      <c r="D3471" t="n">
        <v>0.04405401744014623</v>
      </c>
      <c r="E3471" t="n">
        <v>0.07551284392533222</v>
      </c>
      <c r="F3471" t="n">
        <v>0.05162703465623154</v>
      </c>
    </row>
    <row r="3472">
      <c r="A3472" t="inlineStr">
        <is>
          <t>G|REV_DEBT x ASSET_CLASS|gco_rate|book|4</t>
        </is>
      </c>
      <c r="B3472" t="n">
        <v>1.09729552629587</v>
      </c>
      <c r="C3472" t="n">
        <v>1.006883246265513</v>
      </c>
      <c r="D3472" t="n">
        <v>1.058856783803481</v>
      </c>
      <c r="E3472" t="n">
        <v>1.814982871046098</v>
      </c>
      <c r="F3472" t="n">
        <v>1.240877428436109</v>
      </c>
    </row>
    <row r="3473">
      <c r="A3473" t="inlineStr">
        <is>
          <t>G|REV_DEBT x ASSET_CLASS|gco_rate|band|4</t>
        </is>
      </c>
      <c r="B3473" t="n">
        <v>0.8490605402658511</v>
      </c>
      <c r="C3473" t="n">
        <v>0.7629128010306759</v>
      </c>
      <c r="D3473" t="n">
        <v>0.8156886403636963</v>
      </c>
      <c r="E3473" t="n">
        <v>1.720467033463513</v>
      </c>
    </row>
    <row r="3474">
      <c r="A3474" t="inlineStr">
        <is>
          <t>G|REV_DEBT x ASSET_CLASS|gco_rate|rate|5</t>
        </is>
      </c>
      <c r="B3474" t="n">
        <v>0.07413803109605654</v>
      </c>
      <c r="C3474" t="n">
        <v>0.06149398918699137</v>
      </c>
      <c r="D3474" t="n">
        <v>0.08523288330060051</v>
      </c>
      <c r="E3474" t="n">
        <v>0.1114941752466197</v>
      </c>
      <c r="F3474" t="n">
        <v>0.08359180987333997</v>
      </c>
    </row>
    <row r="3475">
      <c r="A3475" t="inlineStr">
        <is>
          <t>G|REV_DEBT x ASSET_CLASS|gco_rate|book|5</t>
        </is>
      </c>
      <c r="B3475" t="n">
        <v>1.78193866814868</v>
      </c>
      <c r="C3475" t="n">
        <v>1.478033818419616</v>
      </c>
      <c r="D3475" t="n">
        <v>2.04860809365657</v>
      </c>
      <c r="E3475" t="n">
        <v>2.679809258596087</v>
      </c>
      <c r="F3475" t="n">
        <v>2.009164205626714</v>
      </c>
    </row>
    <row r="3476">
      <c r="A3476" t="inlineStr">
        <is>
          <t>G|REV_DEBT x ASSET_CLASS|gco_rate|band|5</t>
        </is>
      </c>
      <c r="B3476" t="n">
        <v>0.8544607421841782</v>
      </c>
      <c r="C3476" t="n">
        <v>0.6774291962569062</v>
      </c>
      <c r="D3476" t="n">
        <v>1.025917240904168</v>
      </c>
      <c r="E3476" t="n">
        <v>1.516773258353906</v>
      </c>
    </row>
    <row r="3477">
      <c r="A3477" t="inlineStr">
        <is>
          <t>G|REV_DEBT x ASSET_CLASS|gco_rate|rate|6</t>
        </is>
      </c>
      <c r="B3477" t="n">
        <v>0.03658802020131283</v>
      </c>
      <c r="C3477" t="n">
        <v>0.03267264405351187</v>
      </c>
      <c r="D3477" t="n">
        <v>0.0398533959196397</v>
      </c>
      <c r="E3477" t="n">
        <v>0.05721698514012347</v>
      </c>
      <c r="F3477" t="n">
        <v>0.04160526533333562</v>
      </c>
    </row>
    <row r="3478">
      <c r="A3478" t="inlineStr">
        <is>
          <t>G|REV_DEBT x ASSET_CLASS|gco_rate|book|6</t>
        </is>
      </c>
      <c r="B3478" t="n">
        <v>0.8794084092043318</v>
      </c>
      <c r="C3478" t="n">
        <v>0.7853007015276349</v>
      </c>
      <c r="D3478" t="n">
        <v>0.95789308397242</v>
      </c>
      <c r="E3478" t="n">
        <v>1.375234232535447</v>
      </c>
      <c r="F3478" t="n">
        <v>0.9999999999999993</v>
      </c>
    </row>
    <row r="3479">
      <c r="A3479" t="inlineStr">
        <is>
          <t>G|REV_DEBT x ASSET_CLASS|gco_rate|band|6</t>
        </is>
      </c>
    </row>
    <row r="3480">
      <c r="A3480" t="inlineStr">
        <is>
          <t>G|REV_DEBT x ASSET_CLASS|gco_rate|meta</t>
        </is>
      </c>
      <c r="B3480" t="inlineStr">
        <is>
          <t>x</t>
        </is>
      </c>
      <c r="C3480" t="n">
        <v>2.679809258596087</v>
      </c>
      <c r="D3480" t="n">
        <v>10</v>
      </c>
      <c r="E3480" t="n">
        <v>0.04160526533333565</v>
      </c>
      <c r="F3480" t="n">
        <v>30</v>
      </c>
    </row>
    <row r="3481">
      <c r="A3481" t="inlineStr">
        <is>
          <t>G|REV_DEBT x ASSET_CLASS|ranr_rate|rate|1</t>
        </is>
      </c>
      <c r="B3481" t="n">
        <v>0.1034827621708603</v>
      </c>
      <c r="C3481" t="n">
        <v>0.1027833464880234</v>
      </c>
      <c r="D3481" t="n">
        <v>0.1196491964035111</v>
      </c>
      <c r="E3481" t="n">
        <v>0.1008429185596004</v>
      </c>
      <c r="F3481" t="n">
        <v>0.1064275518897941</v>
      </c>
    </row>
    <row r="3482">
      <c r="A3482" t="inlineStr">
        <is>
          <t>G|REV_DEBT x ASSET_CLASS|ranr_rate|book|1</t>
        </is>
      </c>
      <c r="B3482" t="n">
        <v>-2.450728748</v>
      </c>
      <c r="C3482" t="n">
        <v>-2.520670316</v>
      </c>
      <c r="D3482" t="n">
        <v>-0.834085324</v>
      </c>
      <c r="E3482" t="n">
        <v>-2.714713109</v>
      </c>
      <c r="F3482" t="n">
        <v>-2.156249776</v>
      </c>
    </row>
    <row r="3483">
      <c r="A3483" t="inlineStr">
        <is>
          <t>G|REV_DEBT x ASSET_CLASS|ranr_rate|band|1</t>
        </is>
      </c>
      <c r="B3483" t="n">
        <v>-0.386306105</v>
      </c>
      <c r="C3483" t="n">
        <v>-0.502841694</v>
      </c>
      <c r="D3483" t="n">
        <v>1.728739586</v>
      </c>
      <c r="E3483" t="n">
        <v>-0.746439792</v>
      </c>
    </row>
    <row r="3484">
      <c r="A3484" t="inlineStr">
        <is>
          <t>G|REV_DEBT x ASSET_CLASS|ranr_rate|rate|2</t>
        </is>
      </c>
      <c r="B3484" t="n">
        <v>0.1337893287245297</v>
      </c>
      <c r="C3484" t="n">
        <v>0.1154127458214174</v>
      </c>
      <c r="D3484" t="n">
        <v>0.1071966156111361</v>
      </c>
      <c r="E3484" t="n">
        <v>0.1143800167750542</v>
      </c>
      <c r="F3484" t="n">
        <v>0.1173870194832488</v>
      </c>
    </row>
    <row r="3485">
      <c r="A3485" t="inlineStr">
        <is>
          <t>G|REV_DEBT x ASSET_CLASS|ranr_rate|book|2</t>
        </is>
      </c>
      <c r="B3485" t="n">
        <v>0.579927908</v>
      </c>
      <c r="C3485" t="n">
        <v>-1.257730383</v>
      </c>
      <c r="D3485" t="n">
        <v>-2.079343404</v>
      </c>
      <c r="E3485" t="n">
        <v>-1.361003287</v>
      </c>
      <c r="F3485" t="n">
        <v>-1.060303016</v>
      </c>
    </row>
    <row r="3486">
      <c r="A3486" t="inlineStr">
        <is>
          <t>G|REV_DEBT x ASSET_CLASS|ranr_rate|band|2</t>
        </is>
      </c>
      <c r="B3486" t="n">
        <v>2.143506546</v>
      </c>
      <c r="C3486" t="n">
        <v>-0.267891114</v>
      </c>
      <c r="D3486" t="n">
        <v>-1.365287772</v>
      </c>
      <c r="E3486" t="n">
        <v>-0.400170849</v>
      </c>
    </row>
    <row r="3487">
      <c r="A3487" t="inlineStr">
        <is>
          <t>G|REV_DEBT x ASSET_CLASS|ranr_rate|rate|3</t>
        </is>
      </c>
      <c r="B3487" t="n">
        <v>0.1347103640733559</v>
      </c>
      <c r="C3487" t="n">
        <v>0.1366277766559226</v>
      </c>
      <c r="D3487" t="n">
        <v>0.1262437636827947</v>
      </c>
      <c r="E3487" t="n">
        <v>0.1282969086336194</v>
      </c>
      <c r="F3487" t="n">
        <v>0.1314047752525826</v>
      </c>
    </row>
    <row r="3488">
      <c r="A3488" t="inlineStr">
        <is>
          <t>G|REV_DEBT x ASSET_CLASS|ranr_rate|book|3</t>
        </is>
      </c>
      <c r="B3488" t="n">
        <v>0.672031443</v>
      </c>
      <c r="C3488" t="n">
        <v>0.863772701</v>
      </c>
      <c r="D3488" t="n">
        <v>-0.174628597</v>
      </c>
      <c r="E3488" t="n">
        <v>0.030685899</v>
      </c>
      <c r="F3488" t="n">
        <v>0.34147256</v>
      </c>
    </row>
    <row r="3489">
      <c r="A3489" t="inlineStr">
        <is>
          <t>G|REV_DEBT x ASSET_CLASS|ranr_rate|band|3</t>
        </is>
      </c>
      <c r="B3489" t="n">
        <v>0.445863761</v>
      </c>
      <c r="C3489" t="n">
        <v>0.683533868</v>
      </c>
      <c r="D3489" t="n">
        <v>-0.689271017</v>
      </c>
      <c r="E3489" t="n">
        <v>-0.416755538</v>
      </c>
    </row>
    <row r="3490">
      <c r="A3490" t="inlineStr">
        <is>
          <t>G|REV_DEBT x ASSET_CLASS|ranr_rate|rate|4</t>
        </is>
      </c>
      <c r="B3490" t="n">
        <v>0.146205732531033</v>
      </c>
      <c r="C3490" t="n">
        <v>0.1534004168247096</v>
      </c>
      <c r="D3490" t="n">
        <v>0.1404845548960896</v>
      </c>
      <c r="E3490" t="n">
        <v>0.1155735989186376</v>
      </c>
      <c r="F3490" t="n">
        <v>0.1391575039086778</v>
      </c>
    </row>
    <row r="3491">
      <c r="A3491" t="inlineStr">
        <is>
          <t>G|REV_DEBT x ASSET_CLASS|ranr_rate|book|4</t>
        </is>
      </c>
      <c r="B3491" t="n">
        <v>1.821568288</v>
      </c>
      <c r="C3491" t="n">
        <v>2.541036718</v>
      </c>
      <c r="D3491" t="n">
        <v>1.249450525</v>
      </c>
      <c r="E3491" t="n">
        <v>-1.241645073</v>
      </c>
      <c r="F3491" t="n">
        <v>1.116745426</v>
      </c>
    </row>
    <row r="3492">
      <c r="A3492" t="inlineStr">
        <is>
          <t>G|REV_DEBT x ASSET_CLASS|ranr_rate|band|4</t>
        </is>
      </c>
      <c r="B3492" t="n">
        <v>0.9575644679999999</v>
      </c>
      <c r="C3492" t="n">
        <v>1.904610076</v>
      </c>
      <c r="D3492" t="n">
        <v>0.174434295</v>
      </c>
      <c r="E3492" t="n">
        <v>-3.122226039</v>
      </c>
    </row>
    <row r="3493">
      <c r="A3493" t="inlineStr">
        <is>
          <t>G|REV_DEBT x ASSET_CLASS|ranr_rate|rate|5</t>
        </is>
      </c>
      <c r="B3493" t="n">
        <v>0.1635245702657751</v>
      </c>
      <c r="C3493" t="n">
        <v>0.156951979386252</v>
      </c>
      <c r="D3493" t="n">
        <v>0.1419467468033069</v>
      </c>
      <c r="E3493" t="n">
        <v>0.1236870935900408</v>
      </c>
      <c r="F3493" t="n">
        <v>0.1462043045948438</v>
      </c>
    </row>
    <row r="3494">
      <c r="A3494" t="inlineStr">
        <is>
          <t>G|REV_DEBT x ASSET_CLASS|ranr_rate|book|5</t>
        </is>
      </c>
      <c r="B3494" t="n">
        <v>3.553452062</v>
      </c>
      <c r="C3494" t="n">
        <v>2.896192974</v>
      </c>
      <c r="D3494" t="n">
        <v>1.395669716</v>
      </c>
      <c r="E3494" t="n">
        <v>-0.430295606</v>
      </c>
      <c r="F3494" t="n">
        <v>1.821425495</v>
      </c>
    </row>
    <row r="3495">
      <c r="A3495" t="inlineStr">
        <is>
          <t>G|REV_DEBT x ASSET_CLASS|ranr_rate|band|5</t>
        </is>
      </c>
      <c r="B3495" t="n">
        <v>2.313546346</v>
      </c>
      <c r="C3495" t="n">
        <v>1.424160332</v>
      </c>
      <c r="D3495" t="n">
        <v>-0.5586195819999999</v>
      </c>
      <c r="E3495" t="n">
        <v>-3.065526849</v>
      </c>
    </row>
    <row r="3496">
      <c r="A3496" t="inlineStr">
        <is>
          <t>G|REV_DEBT x ASSET_CLASS|ranr_rate|rate|6</t>
        </is>
      </c>
      <c r="B3496" t="n">
        <v>0.136627130146463</v>
      </c>
      <c r="C3496" t="n">
        <v>0.1319777891966655</v>
      </c>
      <c r="D3496" t="n">
        <v>0.1267931865560142</v>
      </c>
      <c r="E3496" t="n">
        <v>0.1166197094471362</v>
      </c>
      <c r="F3496" t="n">
        <v>0.1279900496481476</v>
      </c>
    </row>
    <row r="3497">
      <c r="A3497" t="inlineStr">
        <is>
          <t>G|REV_DEBT x ASSET_CLASS|ranr_rate|book|6</t>
        </is>
      </c>
      <c r="B3497" t="n">
        <v>0.8637080499999999</v>
      </c>
      <c r="C3497" t="n">
        <v>0.398773955</v>
      </c>
      <c r="D3497" t="n">
        <v>-0.119686309</v>
      </c>
      <c r="E3497" t="n">
        <v>-1.13703402</v>
      </c>
      <c r="F3497" t="n">
        <v>0</v>
      </c>
    </row>
    <row r="3498">
      <c r="A3498" t="inlineStr">
        <is>
          <t>G|REV_DEBT x ASSET_CLASS|ranr_rate|band|6</t>
        </is>
      </c>
    </row>
    <row r="3499">
      <c r="A3499" t="inlineStr">
        <is>
          <t>G|REV_DEBT x ASSET_CLASS|ranr_rate|meta</t>
        </is>
      </c>
      <c r="B3499" t="inlineStr">
        <is>
          <t>pts</t>
        </is>
      </c>
      <c r="C3499" t="n">
        <v>3.553452062</v>
      </c>
      <c r="D3499" t="n">
        <v>10</v>
      </c>
      <c r="E3499" t="n">
        <v>0.1279900496481481</v>
      </c>
      <c r="F3499" t="n">
        <v>30</v>
      </c>
    </row>
    <row r="3500">
      <c r="A3500" t="inlineStr">
        <is>
          <t>G|REV_DEBT x ASSET_CLASS|contribution_rate|rate|1</t>
        </is>
      </c>
      <c r="B3500" t="n">
        <v>0.1236128767872953</v>
      </c>
      <c r="C3500" t="n">
        <v>0.1227362157144232</v>
      </c>
      <c r="D3500" t="n">
        <v>0.1342564078535407</v>
      </c>
      <c r="E3500" t="n">
        <v>0.1240637781235508</v>
      </c>
      <c r="F3500" t="n">
        <v>0.1259883104414733</v>
      </c>
    </row>
    <row r="3501">
      <c r="A3501" t="inlineStr">
        <is>
          <t>G|REV_DEBT x ASSET_CLASS|contribution_rate|book|1</t>
        </is>
      </c>
      <c r="B3501" t="n">
        <v>-4.597957895</v>
      </c>
      <c r="C3501" t="n">
        <v>-4.685624002</v>
      </c>
      <c r="D3501" t="n">
        <v>-3.533604788</v>
      </c>
      <c r="E3501" t="n">
        <v>-4.552867761</v>
      </c>
      <c r="F3501" t="n">
        <v>-4.360414529</v>
      </c>
    </row>
    <row r="3502">
      <c r="A3502" t="inlineStr">
        <is>
          <t>G|REV_DEBT x ASSET_CLASS|contribution_rate|band|1</t>
        </is>
      </c>
      <c r="B3502" t="n">
        <v>-0.311616315</v>
      </c>
      <c r="C3502" t="n">
        <v>-0.448736732</v>
      </c>
      <c r="D3502" t="n">
        <v>1.081059719</v>
      </c>
      <c r="E3502" t="n">
        <v>-0.257232197</v>
      </c>
    </row>
    <row r="3503">
      <c r="A3503" t="inlineStr">
        <is>
          <t>G|REV_DEBT x ASSET_CLASS|contribution_rate|rate|2</t>
        </is>
      </c>
      <c r="B3503" t="n">
        <v>0.1421577199946188</v>
      </c>
      <c r="C3503" t="n">
        <v>0.1305713552963303</v>
      </c>
      <c r="D3503" t="n">
        <v>0.1371047643669248</v>
      </c>
      <c r="E3503" t="n">
        <v>0.148577687481861</v>
      </c>
      <c r="F3503" t="n">
        <v>0.1394223794805456</v>
      </c>
    </row>
    <row r="3504">
      <c r="A3504" t="inlineStr">
        <is>
          <t>G|REV_DEBT x ASSET_CLASS|contribution_rate|book|2</t>
        </is>
      </c>
      <c r="B3504" t="n">
        <v>-2.743473574</v>
      </c>
      <c r="C3504" t="n">
        <v>-3.902110044</v>
      </c>
      <c r="D3504" t="n">
        <v>-3.248769137</v>
      </c>
      <c r="E3504" t="n">
        <v>-2.101476825</v>
      </c>
      <c r="F3504" t="n">
        <v>-3.017007625</v>
      </c>
    </row>
    <row r="3505">
      <c r="A3505" t="inlineStr">
        <is>
          <t>G|REV_DEBT x ASSET_CLASS|contribution_rate|band|2</t>
        </is>
      </c>
      <c r="B3505" t="n">
        <v>0.357187491</v>
      </c>
      <c r="C3505" t="n">
        <v>-1.201334924</v>
      </c>
      <c r="D3505" t="n">
        <v>-0.310590376</v>
      </c>
      <c r="E3505" t="n">
        <v>1.218696194</v>
      </c>
    </row>
    <row r="3506">
      <c r="A3506" t="inlineStr">
        <is>
          <t>G|REV_DEBT x ASSET_CLASS|contribution_rate|rate|3</t>
        </is>
      </c>
      <c r="B3506" t="n">
        <v>0.1670228755924344</v>
      </c>
      <c r="C3506" t="n">
        <v>0.1646044164289412</v>
      </c>
      <c r="D3506" t="n">
        <v>0.153977886623875</v>
      </c>
      <c r="E3506" t="n">
        <v>0.1690499685265897</v>
      </c>
      <c r="F3506" t="n">
        <v>0.1636904603123868</v>
      </c>
    </row>
    <row r="3507">
      <c r="A3507" t="inlineStr">
        <is>
          <t>G|REV_DEBT x ASSET_CLASS|contribution_rate|book|3</t>
        </is>
      </c>
      <c r="B3507" t="n">
        <v>-0.256958014</v>
      </c>
      <c r="C3507" t="n">
        <v>-0.498803931</v>
      </c>
      <c r="D3507" t="n">
        <v>-1.561456911</v>
      </c>
      <c r="E3507" t="n">
        <v>-0.054248721</v>
      </c>
      <c r="F3507" t="n">
        <v>-0.590199542</v>
      </c>
    </row>
    <row r="3508">
      <c r="A3508" t="inlineStr">
        <is>
          <t>G|REV_DEBT x ASSET_CLASS|contribution_rate|band|3</t>
        </is>
      </c>
      <c r="B3508" t="n">
        <v>0.449482162</v>
      </c>
      <c r="C3508" t="n">
        <v>0.11960938</v>
      </c>
      <c r="D3508" t="n">
        <v>-1.297147943</v>
      </c>
      <c r="E3508" t="n">
        <v>0.718693884</v>
      </c>
    </row>
    <row r="3509">
      <c r="A3509" t="inlineStr">
        <is>
          <t>G|REV_DEBT x ASSET_CLASS|contribution_rate|rate|4</t>
        </is>
      </c>
      <c r="B3509" t="n">
        <v>0.1918590040516549</v>
      </c>
      <c r="C3509" t="n">
        <v>0.1952920614452764</v>
      </c>
      <c r="D3509" t="n">
        <v>0.184538572336236</v>
      </c>
      <c r="E3509" t="n">
        <v>0.1910864428439699</v>
      </c>
      <c r="F3509" t="n">
        <v>0.1907845385649094</v>
      </c>
    </row>
    <row r="3510">
      <c r="A3510" t="inlineStr">
        <is>
          <t>G|REV_DEBT x ASSET_CLASS|contribution_rate|book|4</t>
        </is>
      </c>
      <c r="B3510" t="n">
        <v>2.226654832</v>
      </c>
      <c r="C3510" t="n">
        <v>2.569960571</v>
      </c>
      <c r="D3510" t="n">
        <v>1.49461166</v>
      </c>
      <c r="E3510" t="n">
        <v>2.149398711</v>
      </c>
      <c r="F3510" t="n">
        <v>2.119208283</v>
      </c>
    </row>
    <row r="3511">
      <c r="A3511" t="inlineStr">
        <is>
          <t>G|REV_DEBT x ASSET_CLASS|contribution_rate|band|4</t>
        </is>
      </c>
      <c r="B3511" t="n">
        <v>0.145975681</v>
      </c>
      <c r="C3511" t="n">
        <v>0.602761075</v>
      </c>
      <c r="D3511" t="n">
        <v>-0.821001396</v>
      </c>
      <c r="E3511" t="n">
        <v>0.039968504</v>
      </c>
    </row>
    <row r="3512">
      <c r="A3512" t="inlineStr">
        <is>
          <t>G|REV_DEBT x ASSET_CLASS|contribution_rate|rate|5</t>
        </is>
      </c>
      <c r="B3512" t="n">
        <v>0.2376626013618316</v>
      </c>
      <c r="C3512" t="n">
        <v>0.2184459685732435</v>
      </c>
      <c r="D3512" t="n">
        <v>0.2271796301039075</v>
      </c>
      <c r="E3512" t="n">
        <v>0.2351812688366604</v>
      </c>
      <c r="F3512" t="n">
        <v>0.2297961144681838</v>
      </c>
    </row>
    <row r="3513">
      <c r="A3513" t="inlineStr">
        <is>
          <t>G|REV_DEBT x ASSET_CLASS|contribution_rate|book|5</t>
        </is>
      </c>
      <c r="B3513" t="n">
        <v>6.807014563</v>
      </c>
      <c r="C3513" t="n">
        <v>4.885351284</v>
      </c>
      <c r="D3513" t="n">
        <v>5.758717437</v>
      </c>
      <c r="E3513" t="n">
        <v>6.55888131</v>
      </c>
      <c r="F3513" t="n">
        <v>6.020365873</v>
      </c>
    </row>
    <row r="3514">
      <c r="A3514" t="inlineStr">
        <is>
          <t>G|REV_DEBT x ASSET_CLASS|contribution_rate|band|5</t>
        </is>
      </c>
      <c r="B3514" t="n">
        <v>1.050762289</v>
      </c>
      <c r="C3514" t="n">
        <v>-1.50399299</v>
      </c>
      <c r="D3514" t="n">
        <v>-0.343299956</v>
      </c>
      <c r="E3514" t="n">
        <v>0.7331429860000001</v>
      </c>
    </row>
    <row r="3515">
      <c r="A3515" t="inlineStr">
        <is>
          <t>G|REV_DEBT x ASSET_CLASS|contribution_rate|rate|6</t>
        </is>
      </c>
      <c r="B3515" t="n">
        <v>0.1732090054791082</v>
      </c>
      <c r="C3515" t="n">
        <v>0.1646504332501774</v>
      </c>
      <c r="D3515" t="n">
        <v>0.1666465824756539</v>
      </c>
      <c r="E3515" t="n">
        <v>0.1738366945872597</v>
      </c>
      <c r="F3515" t="n">
        <v>0.1695924557349812</v>
      </c>
    </row>
    <row r="3516">
      <c r="A3516" t="inlineStr">
        <is>
          <t>G|REV_DEBT x ASSET_CLASS|contribution_rate|book|6</t>
        </is>
      </c>
      <c r="B3516" t="n">
        <v>0.361654974</v>
      </c>
      <c r="C3516" t="n">
        <v>-0.494202248</v>
      </c>
      <c r="D3516" t="n">
        <v>-0.294587326</v>
      </c>
      <c r="E3516" t="n">
        <v>0.424423885</v>
      </c>
      <c r="F3516" t="n">
        <v>0</v>
      </c>
    </row>
    <row r="3517">
      <c r="A3517" t="inlineStr">
        <is>
          <t>G|REV_DEBT x ASSET_CLASS|contribution_rate|band|6</t>
        </is>
      </c>
    </row>
    <row r="3518">
      <c r="A3518" t="inlineStr">
        <is>
          <t>G|REV_DEBT x ASSET_CLASS|contribution_rate|meta</t>
        </is>
      </c>
      <c r="B3518" t="inlineStr">
        <is>
          <t>pts</t>
        </is>
      </c>
      <c r="C3518" t="n">
        <v>6.807014563</v>
      </c>
      <c r="D3518" t="n">
        <v>10</v>
      </c>
      <c r="E3518" t="n">
        <v>0.1695924557349815</v>
      </c>
      <c r="F3518" t="n">
        <v>30</v>
      </c>
    </row>
    <row r="3519">
      <c r="A3519" t="inlineStr">
        <is>
          <t>G|REV_DEBT x ASSET_CLASS|loan_size|rate|1</t>
        </is>
      </c>
      <c r="B3519" t="n">
        <v>31458.30161616161</v>
      </c>
      <c r="C3519" t="n">
        <v>33164.46022988506</v>
      </c>
      <c r="D3519" t="n">
        <v>33222.19579514825</v>
      </c>
      <c r="E3519" t="n">
        <v>33077.05155388471</v>
      </c>
      <c r="F3519" t="n">
        <v>32734.04487820113</v>
      </c>
    </row>
    <row r="3520">
      <c r="A3520" t="inlineStr">
        <is>
          <t>G|REV_DEBT x ASSET_CLASS|loan_size|median|1</t>
        </is>
      </c>
      <c r="B3520" t="n">
        <v>30816.535</v>
      </c>
      <c r="C3520" t="n">
        <v>34015.16</v>
      </c>
      <c r="D3520" t="n">
        <v>32779.92</v>
      </c>
      <c r="E3520" t="n">
        <v>32085.88</v>
      </c>
      <c r="F3520" t="n">
        <v>32575.46</v>
      </c>
    </row>
    <row r="3521">
      <c r="A3521" t="inlineStr">
        <is>
          <t>G|REV_DEBT x ASSET_CLASS|loan_size|book|1</t>
        </is>
      </c>
      <c r="B3521" t="n">
        <v>0.9750706004500241</v>
      </c>
      <c r="C3521" t="n">
        <v>1.027954100781511</v>
      </c>
      <c r="D3521" t="n">
        <v>1.029743652327408</v>
      </c>
      <c r="E3521" t="n">
        <v>1.025244811792165</v>
      </c>
      <c r="F3521" t="n">
        <v>1.014613095900505</v>
      </c>
    </row>
    <row r="3522">
      <c r="A3522" t="inlineStr">
        <is>
          <t>G|REV_DEBT x ASSET_CLASS|loan_size|band|1</t>
        </is>
      </c>
      <c r="B3522" t="n">
        <v>0.9488741086591989</v>
      </c>
      <c r="C3522" t="n">
        <v>1.018143309661714</v>
      </c>
      <c r="D3522" t="n">
        <v>1.01949838029706</v>
      </c>
      <c r="E3522" t="n">
        <v>1.014005641899597</v>
      </c>
    </row>
    <row r="3523">
      <c r="A3523" t="inlineStr">
        <is>
          <t>G|REV_DEBT x ASSET_CLASS|loan_size|rate|2</t>
        </is>
      </c>
      <c r="B3523" t="n">
        <v>32486.0739516129</v>
      </c>
      <c r="C3523" t="n">
        <v>32466.12558752998</v>
      </c>
      <c r="D3523" t="n">
        <v>31759.93226277372</v>
      </c>
      <c r="E3523" t="n">
        <v>31985.142625</v>
      </c>
      <c r="F3523" t="n">
        <v>32169.11443125</v>
      </c>
    </row>
    <row r="3524">
      <c r="A3524" t="inlineStr">
        <is>
          <t>G|REV_DEBT x ASSET_CLASS|loan_size|median|2</t>
        </is>
      </c>
      <c r="B3524" t="n">
        <v>31186.405</v>
      </c>
      <c r="C3524" t="n">
        <v>32316.3</v>
      </c>
      <c r="D3524" t="n">
        <v>30585.73</v>
      </c>
      <c r="E3524" t="n">
        <v>32198.42</v>
      </c>
      <c r="F3524" t="n">
        <v>31889.65</v>
      </c>
    </row>
    <row r="3525">
      <c r="A3525" t="inlineStr">
        <is>
          <t>G|REV_DEBT x ASSET_CLASS|loan_size|book|2</t>
        </is>
      </c>
      <c r="B3525" t="n">
        <v>1.006927075109151</v>
      </c>
      <c r="C3525" t="n">
        <v>1.006308762538381</v>
      </c>
      <c r="D3525" t="n">
        <v>0.9844198393026105</v>
      </c>
      <c r="E3525" t="n">
        <v>0.9914003815392176</v>
      </c>
      <c r="F3525" t="n">
        <v>0.9971027078051057</v>
      </c>
    </row>
    <row r="3526">
      <c r="A3526" t="inlineStr">
        <is>
          <t>G|REV_DEBT x ASSET_CLASS|loan_size|band|2</t>
        </is>
      </c>
      <c r="B3526" t="n">
        <v>1.012876105132519</v>
      </c>
      <c r="C3526" t="n">
        <v>1.012528082758265</v>
      </c>
      <c r="D3526" t="n">
        <v>0.9829583987996704</v>
      </c>
      <c r="E3526" t="n">
        <v>0.9923893141360323</v>
      </c>
    </row>
    <row r="3527">
      <c r="A3527" t="inlineStr">
        <is>
          <t>G|REV_DEBT x ASSET_CLASS|loan_size|rate|3</t>
        </is>
      </c>
      <c r="B3527" t="n">
        <v>33439.77612903226</v>
      </c>
      <c r="C3527" t="n">
        <v>32262.18517060368</v>
      </c>
      <c r="D3527" t="n">
        <v>32729.938925</v>
      </c>
      <c r="E3527" t="n">
        <v>32005.12350241546</v>
      </c>
      <c r="F3527" t="n">
        <v>32609.64895494368</v>
      </c>
    </row>
    <row r="3528">
      <c r="A3528" t="inlineStr">
        <is>
          <t>G|REV_DEBT x ASSET_CLASS|loan_size|median|3</t>
        </is>
      </c>
      <c r="B3528" t="n">
        <v>34235.66</v>
      </c>
      <c r="C3528" t="n">
        <v>31963.56</v>
      </c>
      <c r="D3528" t="n">
        <v>33903.46000000001</v>
      </c>
      <c r="E3528" t="n">
        <v>32178.66</v>
      </c>
      <c r="F3528" t="n">
        <v>33070.265</v>
      </c>
    </row>
    <row r="3529">
      <c r="A3529" t="inlineStr">
        <is>
          <t>G|REV_DEBT x ASSET_CLASS|loan_size|book|3</t>
        </is>
      </c>
      <c r="B3529" t="n">
        <v>1.036487696853239</v>
      </c>
      <c r="C3529" t="n">
        <v>0.9999874961453411</v>
      </c>
      <c r="D3529" t="n">
        <v>1.014485829199903</v>
      </c>
      <c r="E3529" t="n">
        <v>0.9920197018819599</v>
      </c>
      <c r="F3529" t="n">
        <v>1.01075736303024</v>
      </c>
    </row>
    <row r="3530">
      <c r="A3530" t="inlineStr">
        <is>
          <t>G|REV_DEBT x ASSET_CLASS|loan_size|band|3</t>
        </is>
      </c>
      <c r="B3530" t="n">
        <v>1.034336170039535</v>
      </c>
      <c r="C3530" t="n">
        <v>0.9860554881015851</v>
      </c>
      <c r="D3530" t="n">
        <v>1.004926499890931</v>
      </c>
      <c r="E3530" t="n">
        <v>0.9751407812809422</v>
      </c>
    </row>
    <row r="3531">
      <c r="A3531" t="inlineStr">
        <is>
          <t>G|REV_DEBT x ASSET_CLASS|loan_size|rate|4</t>
        </is>
      </c>
      <c r="B3531" t="n">
        <v>31933.26606132076</v>
      </c>
      <c r="C3531" t="n">
        <v>33001.82109693877</v>
      </c>
      <c r="D3531" t="n">
        <v>32900.29479892761</v>
      </c>
      <c r="E3531" t="n">
        <v>30534.73652068127</v>
      </c>
      <c r="F3531" t="n">
        <v>32061.25334375</v>
      </c>
    </row>
    <row r="3532">
      <c r="A3532" t="inlineStr">
        <is>
          <t>G|REV_DEBT x ASSET_CLASS|loan_size|median|4</t>
        </is>
      </c>
      <c r="B3532" t="n">
        <v>31622.865</v>
      </c>
      <c r="C3532" t="n">
        <v>34292.12</v>
      </c>
      <c r="D3532" t="n">
        <v>33019.09</v>
      </c>
      <c r="E3532" t="n">
        <v>28997.53</v>
      </c>
      <c r="F3532" t="n">
        <v>31755.875</v>
      </c>
    </row>
    <row r="3533">
      <c r="A3533" t="inlineStr">
        <is>
          <t>G|REV_DEBT x ASSET_CLASS|loan_size|book|4</t>
        </is>
      </c>
      <c r="B3533" t="n">
        <v>0.9897924335732659</v>
      </c>
      <c r="C3533" t="n">
        <v>1.022912994654627</v>
      </c>
      <c r="D3533" t="n">
        <v>1.019766120752434</v>
      </c>
      <c r="E3533" t="n">
        <v>0.9464440972397538</v>
      </c>
      <c r="F3533" t="n">
        <v>0.993759482966172</v>
      </c>
    </row>
    <row r="3534">
      <c r="A3534" t="inlineStr">
        <is>
          <t>G|REV_DEBT x ASSET_CLASS|loan_size|band|4</t>
        </is>
      </c>
      <c r="B3534" t="n">
        <v>0.9945765659746828</v>
      </c>
      <c r="C3534" t="n">
        <v>1.039229868105109</v>
      </c>
      <c r="D3534" t="n">
        <v>1.034399108467237</v>
      </c>
      <c r="E3534" t="n">
        <v>0.936966746542095</v>
      </c>
    </row>
    <row r="3535">
      <c r="A3535" t="inlineStr">
        <is>
          <t>G|REV_DEBT x ASSET_CLASS|loan_size|rate|5</t>
        </is>
      </c>
      <c r="B3535" t="n">
        <v>31056.8901946472</v>
      </c>
      <c r="C3535" t="n">
        <v>32359.95464935065</v>
      </c>
      <c r="D3535" t="n">
        <v>31784.8692631579</v>
      </c>
      <c r="E3535" t="n">
        <v>31795.3254245283</v>
      </c>
      <c r="F3535" t="n">
        <v>31739.02044375</v>
      </c>
    </row>
    <row r="3536">
      <c r="A3536" t="inlineStr">
        <is>
          <t>G|REV_DEBT x ASSET_CLASS|loan_size|median|5</t>
        </is>
      </c>
      <c r="B3536" t="n">
        <v>30086.18</v>
      </c>
      <c r="C3536" t="n">
        <v>32706.75</v>
      </c>
      <c r="D3536" t="n">
        <v>30192.81</v>
      </c>
      <c r="E3536" t="n">
        <v>32021.895</v>
      </c>
      <c r="F3536" t="n">
        <v>31332.515</v>
      </c>
    </row>
    <row r="3537">
      <c r="A3537" t="inlineStr">
        <is>
          <t>G|REV_DEBT x ASSET_CLASS|loan_size|book|5</t>
        </is>
      </c>
      <c r="B3537" t="n">
        <v>0.9626285913238075</v>
      </c>
      <c r="C3537" t="n">
        <v>1.003017924981287</v>
      </c>
      <c r="D3537" t="n">
        <v>0.985192777913051</v>
      </c>
      <c r="E3537" t="n">
        <v>0.9855168734624626</v>
      </c>
      <c r="F3537" t="n">
        <v>0.9837716638168275</v>
      </c>
    </row>
    <row r="3538">
      <c r="A3538" t="inlineStr">
        <is>
          <t>G|REV_DEBT x ASSET_CLASS|loan_size|band|5</t>
        </is>
      </c>
      <c r="B3538" t="n">
        <v>0.9712923631156761</v>
      </c>
      <c r="C3538" t="n">
        <v>1.025923666973804</v>
      </c>
      <c r="D3538" t="n">
        <v>1.001895353590303</v>
      </c>
      <c r="E3538" t="n">
        <v>1.002415148404613</v>
      </c>
    </row>
    <row r="3539">
      <c r="A3539" t="inlineStr">
        <is>
          <t>G|REV_DEBT x ASSET_CLASS|loan_size|rate|6</t>
        </is>
      </c>
      <c r="B3539" t="n">
        <v>32065.1163559322</v>
      </c>
      <c r="C3539" t="n">
        <v>32662.73807462686</v>
      </c>
      <c r="D3539" t="n">
        <v>32465.53108527132</v>
      </c>
      <c r="E3539" t="n">
        <v>31871.54123046875</v>
      </c>
      <c r="F3539" t="n">
        <v>32262.58857732217</v>
      </c>
    </row>
    <row r="3540">
      <c r="A3540" t="inlineStr">
        <is>
          <t>G|REV_DEBT x ASSET_CLASS|loan_size|median|6</t>
        </is>
      </c>
      <c r="B3540" t="n">
        <v>31623.27</v>
      </c>
      <c r="C3540" t="n">
        <v>33128.685</v>
      </c>
      <c r="D3540" t="n">
        <v>32094.51</v>
      </c>
      <c r="E3540" t="n">
        <v>31492.09</v>
      </c>
      <c r="F3540" t="n">
        <v>32112.83</v>
      </c>
    </row>
    <row r="3541">
      <c r="A3541" t="inlineStr">
        <is>
          <t>G|REV_DEBT x ASSET_CLASS|loan_size|book|6</t>
        </is>
      </c>
      <c r="B3541" t="n">
        <v>0.9938792195512554</v>
      </c>
      <c r="C3541" t="n">
        <v>1.012402894961317</v>
      </c>
      <c r="D3541" t="n">
        <v>1.006290335552672</v>
      </c>
      <c r="E3541" t="n">
        <v>0.9878792321355053</v>
      </c>
      <c r="F3541" t="n">
        <v>1</v>
      </c>
    </row>
    <row r="3542">
      <c r="A3542" t="inlineStr">
        <is>
          <t>G|REV_DEBT x ASSET_CLASS|loan_size|band|6</t>
        </is>
      </c>
    </row>
    <row r="3543">
      <c r="A3543" t="inlineStr">
        <is>
          <t>G|REV_DEBT x ASSET_CLASS|loan_size|meta</t>
        </is>
      </c>
      <c r="B3543" t="inlineStr">
        <is>
          <t>size</t>
        </is>
      </c>
      <c r="C3543" t="n">
        <v>1</v>
      </c>
      <c r="E3543" t="n">
        <v>32262.58857732217</v>
      </c>
      <c r="F3543" t="n">
        <v>30</v>
      </c>
    </row>
    <row r="3544">
      <c r="A3544" t="inlineStr">
        <is>
          <t>G|REV_DEBT x ASSET_CLASS|where 2021|cols</t>
        </is>
      </c>
      <c r="B3544" t="inlineStr">
        <is>
          <t>1</t>
        </is>
      </c>
      <c r="C3544" t="inlineStr">
        <is>
          <t>2</t>
        </is>
      </c>
      <c r="D3544" t="inlineStr">
        <is>
          <t>3</t>
        </is>
      </c>
      <c r="E3544" t="inlineStr">
        <is>
          <t>4</t>
        </is>
      </c>
      <c r="F3544" t="inlineStr">
        <is>
          <t>All</t>
        </is>
      </c>
    </row>
    <row r="3545">
      <c r="A3545" t="inlineStr">
        <is>
          <t>G|REV_DEBT x ASSET_CLASS|where 2021|heads</t>
        </is>
      </c>
      <c r="B3545" t="inlineStr">
        <is>
          <t>1</t>
        </is>
      </c>
      <c r="C3545" t="inlineStr">
        <is>
          <t>2</t>
        </is>
      </c>
      <c r="D3545" t="inlineStr">
        <is>
          <t>3</t>
        </is>
      </c>
      <c r="E3545" t="inlineStr">
        <is>
          <t>4</t>
        </is>
      </c>
      <c r="F3545" t="inlineStr">
        <is>
          <t>All</t>
        </is>
      </c>
    </row>
    <row r="3546">
      <c r="A3546" t="inlineStr">
        <is>
          <t>G|REV_DEBT x ASSET_CLASS|where 2021|segs</t>
        </is>
      </c>
    </row>
    <row r="3547">
      <c r="A3547" t="inlineStr">
        <is>
          <t>G|REV_DEBT x ASSET_CLASS|where 2021|rows</t>
        </is>
      </c>
      <c r="B3547" t="inlineStr">
        <is>
          <t>0 - 6,558</t>
        </is>
      </c>
      <c r="C3547" t="inlineStr">
        <is>
          <t>6,559 - 9,836</t>
        </is>
      </c>
      <c r="D3547" t="inlineStr">
        <is>
          <t>9,837 - 13,051</t>
        </is>
      </c>
      <c r="E3547" t="inlineStr">
        <is>
          <t>13,052 - 17,186</t>
        </is>
      </c>
      <c r="F3547" t="inlineStr">
        <is>
          <t>17,187 - 48,521</t>
        </is>
      </c>
      <c r="G3547" t="inlineStr">
        <is>
          <t>All</t>
        </is>
      </c>
    </row>
    <row r="3548">
      <c r="A3548" t="inlineStr">
        <is>
          <t>G|REV_DEBT x ASSET_CLASS|where 2021|names</t>
        </is>
      </c>
      <c r="B3548" t="inlineStr">
        <is>
          <t>REV_DEBT</t>
        </is>
      </c>
      <c r="C3548" t="inlineStr">
        <is>
          <t>ASSET_CLASS</t>
        </is>
      </c>
    </row>
    <row r="3549">
      <c r="A3549" t="inlineStr">
        <is>
          <t>G|REV_DEBT x ASSET_CLASS|where 2021|total</t>
        </is>
      </c>
      <c r="B3549" t="n">
        <v>839</v>
      </c>
    </row>
    <row r="3550">
      <c r="A3550" t="inlineStr">
        <is>
          <t>G|REV_DEBT x ASSET_CLASS|where 2021|loans|1</t>
        </is>
      </c>
      <c r="B3550" t="n">
        <v>36</v>
      </c>
      <c r="C3550" t="n">
        <v>49</v>
      </c>
      <c r="D3550" t="n">
        <v>47</v>
      </c>
      <c r="E3550" t="n">
        <v>42</v>
      </c>
      <c r="F3550" t="n">
        <v>174</v>
      </c>
    </row>
    <row r="3551">
      <c r="A3551" t="inlineStr">
        <is>
          <t>G|REV_DEBT x ASSET_CLASS|where 2021|loans|2</t>
        </is>
      </c>
      <c r="B3551" t="n">
        <v>45</v>
      </c>
      <c r="C3551" t="n">
        <v>42</v>
      </c>
      <c r="D3551" t="n">
        <v>40</v>
      </c>
      <c r="E3551" t="n">
        <v>46</v>
      </c>
      <c r="F3551" t="n">
        <v>173</v>
      </c>
    </row>
    <row r="3552">
      <c r="A3552" t="inlineStr">
        <is>
          <t>G|REV_DEBT x ASSET_CLASS|where 2021|loans|3</t>
        </is>
      </c>
      <c r="B3552" t="n">
        <v>40</v>
      </c>
      <c r="C3552" t="n">
        <v>49</v>
      </c>
      <c r="D3552" t="n">
        <v>39</v>
      </c>
      <c r="E3552" t="n">
        <v>51</v>
      </c>
      <c r="F3552" t="n">
        <v>179</v>
      </c>
    </row>
    <row r="3553">
      <c r="A3553" t="inlineStr">
        <is>
          <t>G|REV_DEBT x ASSET_CLASS|where 2021|loans|4</t>
        </is>
      </c>
      <c r="B3553" t="n">
        <v>47</v>
      </c>
      <c r="C3553" t="n">
        <v>39</v>
      </c>
      <c r="D3553" t="n">
        <v>39</v>
      </c>
      <c r="E3553" t="n">
        <v>38</v>
      </c>
      <c r="F3553" t="n">
        <v>163</v>
      </c>
    </row>
    <row r="3554">
      <c r="A3554" t="inlineStr">
        <is>
          <t>G|REV_DEBT x ASSET_CLASS|where 2021|loans|5</t>
        </is>
      </c>
      <c r="B3554" t="n">
        <v>42</v>
      </c>
      <c r="C3554" t="n">
        <v>33</v>
      </c>
      <c r="D3554" t="n">
        <v>31</v>
      </c>
      <c r="E3554" t="n">
        <v>44</v>
      </c>
      <c r="F3554" t="n">
        <v>150</v>
      </c>
    </row>
    <row r="3555">
      <c r="A3555" t="inlineStr">
        <is>
          <t>G|REV_DEBT x ASSET_CLASS|where 2021|loans|6</t>
        </is>
      </c>
      <c r="B3555" t="n">
        <v>210</v>
      </c>
      <c r="C3555" t="n">
        <v>212</v>
      </c>
      <c r="D3555" t="n">
        <v>196</v>
      </c>
      <c r="E3555" t="n">
        <v>221</v>
      </c>
      <c r="F3555" t="n">
        <v>839</v>
      </c>
    </row>
    <row r="3556">
      <c r="A3556" t="inlineStr">
        <is>
          <t>G|REV_DEBT x ASSET_CLASS|where 2021|outcome_loans|rate|1</t>
        </is>
      </c>
      <c r="B3556" t="n">
        <v>0.05555555555555555</v>
      </c>
      <c r="C3556" t="n">
        <v>0.04081632653061224</v>
      </c>
      <c r="D3556" t="n">
        <v>0.02127659574468085</v>
      </c>
      <c r="E3556" t="n">
        <v>0.04761904761904762</v>
      </c>
      <c r="F3556" t="n">
        <v>0.04022988505747126</v>
      </c>
    </row>
    <row r="3557">
      <c r="A3557" t="inlineStr">
        <is>
          <t>G|REV_DEBT x ASSET_CLASS|where 2021|outcome_loans|book|1</t>
        </is>
      </c>
    </row>
    <row r="3558">
      <c r="A3558" t="inlineStr">
        <is>
          <t>G|REV_DEBT x ASSET_CLASS|where 2021|outcome_loans|band|1</t>
        </is>
      </c>
    </row>
    <row r="3559">
      <c r="A3559" t="inlineStr">
        <is>
          <t>G|REV_DEBT x ASSET_CLASS|where 2021|outcome_loans|rate|2</t>
        </is>
      </c>
      <c r="B3559" t="n">
        <v>0.04444444444444445</v>
      </c>
      <c r="C3559" t="n">
        <v>0.02380952380952381</v>
      </c>
      <c r="D3559" t="n">
        <v>0.1</v>
      </c>
      <c r="E3559" t="n">
        <v>0.06521739130434782</v>
      </c>
      <c r="F3559" t="n">
        <v>0.05780346820809248</v>
      </c>
    </row>
    <row r="3560">
      <c r="A3560" t="inlineStr">
        <is>
          <t>G|REV_DEBT x ASSET_CLASS|where 2021|outcome_loans|book|2</t>
        </is>
      </c>
      <c r="F3560" t="n">
        <v>0.7469627499136215</v>
      </c>
    </row>
    <row r="3561">
      <c r="A3561" t="inlineStr">
        <is>
          <t>G|REV_DEBT x ASSET_CLASS|where 2021|outcome_loans|band|2</t>
        </is>
      </c>
    </row>
    <row r="3562">
      <c r="A3562" t="inlineStr">
        <is>
          <t>G|REV_DEBT x ASSET_CLASS|where 2021|outcome_loans|rate|3</t>
        </is>
      </c>
      <c r="B3562" t="n">
        <v>0.05</v>
      </c>
      <c r="C3562" t="n">
        <v>0.06122448979591837</v>
      </c>
      <c r="D3562" t="n">
        <v>0</v>
      </c>
      <c r="E3562" t="n">
        <v>0.0196078431372549</v>
      </c>
      <c r="F3562" t="n">
        <v>0.0335195530726257</v>
      </c>
    </row>
    <row r="3563">
      <c r="A3563" t="inlineStr">
        <is>
          <t>G|REV_DEBT x ASSET_CLASS|where 2021|outcome_loans|book|3</t>
        </is>
      </c>
    </row>
    <row r="3564">
      <c r="A3564" t="inlineStr">
        <is>
          <t>G|REV_DEBT x ASSET_CLASS|where 2021|outcome_loans|band|3</t>
        </is>
      </c>
    </row>
    <row r="3565">
      <c r="A3565" t="inlineStr">
        <is>
          <t>G|REV_DEBT x ASSET_CLASS|where 2021|outcome_loans|rate|4</t>
        </is>
      </c>
      <c r="B3565" t="n">
        <v>0.06382978723404255</v>
      </c>
      <c r="C3565" t="n">
        <v>0.05128205128205128</v>
      </c>
      <c r="D3565" t="n">
        <v>0.1025641025641026</v>
      </c>
      <c r="E3565" t="n">
        <v>0.05263157894736842</v>
      </c>
      <c r="F3565" t="n">
        <v>0.06748466257668712</v>
      </c>
    </row>
    <row r="3566">
      <c r="A3566" t="inlineStr">
        <is>
          <t>G|REV_DEBT x ASSET_CLASS|where 2021|outcome_loans|book|4</t>
        </is>
      </c>
      <c r="F3566" t="n">
        <v>0.8720675540402588</v>
      </c>
    </row>
    <row r="3567">
      <c r="A3567" t="inlineStr">
        <is>
          <t>G|REV_DEBT x ASSET_CLASS|where 2021|outcome_loans|band|4</t>
        </is>
      </c>
    </row>
    <row r="3568">
      <c r="A3568" t="inlineStr">
        <is>
          <t>G|REV_DEBT x ASSET_CLASS|where 2021|outcome_loans|rate|5</t>
        </is>
      </c>
      <c r="B3568" t="n">
        <v>0.1428571428571428</v>
      </c>
      <c r="C3568" t="n">
        <v>0.1212121212121212</v>
      </c>
      <c r="D3568" t="n">
        <v>0.1290322580645161</v>
      </c>
      <c r="E3568" t="n">
        <v>0.2727272727272727</v>
      </c>
      <c r="F3568" t="n">
        <v>0.1733333333333333</v>
      </c>
    </row>
    <row r="3569">
      <c r="A3569" t="inlineStr">
        <is>
          <t>G|REV_DEBT x ASSET_CLASS|where 2021|outcome_loans|book|5</t>
        </is>
      </c>
      <c r="E3569" t="n">
        <v>3.524306065501542</v>
      </c>
      <c r="F3569" t="n">
        <v>2.239892299407647</v>
      </c>
    </row>
    <row r="3570">
      <c r="A3570" t="inlineStr">
        <is>
          <t>G|REV_DEBT x ASSET_CLASS|where 2021|outcome_loans|band|5</t>
        </is>
      </c>
      <c r="E3570" t="n">
        <v>2.064935064935065</v>
      </c>
    </row>
    <row r="3571">
      <c r="A3571" t="inlineStr">
        <is>
          <t>G|REV_DEBT x ASSET_CLASS|where 2021|outcome_loans|rate|6</t>
        </is>
      </c>
      <c r="B3571" t="n">
        <v>0.07142857142857142</v>
      </c>
      <c r="C3571" t="n">
        <v>0.05660377358490566</v>
      </c>
      <c r="D3571" t="n">
        <v>0.0663265306122449</v>
      </c>
      <c r="E3571" t="n">
        <v>0.09049773755656108</v>
      </c>
      <c r="F3571" t="n">
        <v>0.07151370679380215</v>
      </c>
    </row>
    <row r="3572">
      <c r="A3572" t="inlineStr">
        <is>
          <t>G|REV_DEBT x ASSET_CLASS|where 2021|outcome_loans|book|6</t>
        </is>
      </c>
      <c r="B3572" t="n">
        <v>0.9230325409646896</v>
      </c>
      <c r="C3572" t="n">
        <v>0.7314597494437163</v>
      </c>
      <c r="D3572" t="n">
        <v>0.8571016451814976</v>
      </c>
      <c r="E3572" t="n">
        <v>1.169452993077435</v>
      </c>
      <c r="F3572" t="n">
        <v>0.9241326989396177</v>
      </c>
    </row>
    <row r="3573">
      <c r="A3573" t="inlineStr">
        <is>
          <t>G|REV_DEBT x ASSET_CLASS|where 2021|outcome_loans|band|6</t>
        </is>
      </c>
    </row>
    <row r="3574">
      <c r="A3574" t="inlineStr">
        <is>
          <t>G|REV_DEBT x ASSET_CLASS|where 2021|outcome_loans|meta</t>
        </is>
      </c>
      <c r="B3574" t="inlineStr">
        <is>
          <t>x</t>
        </is>
      </c>
      <c r="C3574" t="n">
        <v>3.524306065501542</v>
      </c>
      <c r="D3574" t="n">
        <v>10</v>
      </c>
      <c r="E3574" t="n">
        <v>0.07738467308413552</v>
      </c>
      <c r="F3574" t="n">
        <v>30</v>
      </c>
    </row>
    <row r="3575">
      <c r="A3575" t="inlineStr">
        <is>
          <t>G|REV_DEBT x ASSET_CLASS|where 2021|outcome_booked|rate|1</t>
        </is>
      </c>
      <c r="B3575" t="n">
        <v>0.0538281977238219</v>
      </c>
      <c r="C3575" t="n">
        <v>0.01934974612915247</v>
      </c>
      <c r="D3575" t="n">
        <v>0.02249819729282293</v>
      </c>
      <c r="E3575" t="n">
        <v>0.04252233300506557</v>
      </c>
      <c r="F3575" t="n">
        <v>0.03310879196636589</v>
      </c>
    </row>
    <row r="3576">
      <c r="A3576" t="inlineStr">
        <is>
          <t>G|REV_DEBT x ASSET_CLASS|where 2021|outcome_booked|book|1</t>
        </is>
      </c>
    </row>
    <row r="3577">
      <c r="A3577" t="inlineStr">
        <is>
          <t>G|REV_DEBT x ASSET_CLASS|where 2021|outcome_booked|band|1</t>
        </is>
      </c>
    </row>
    <row r="3578">
      <c r="A3578" t="inlineStr">
        <is>
          <t>G|REV_DEBT x ASSET_CLASS|where 2021|outcome_booked|rate|2</t>
        </is>
      </c>
      <c r="B3578" t="n">
        <v>0.01520560402464224</v>
      </c>
      <c r="C3578" t="n">
        <v>0.04796128430074093</v>
      </c>
      <c r="D3578" t="n">
        <v>0.08302480886340639</v>
      </c>
      <c r="E3578" t="n">
        <v>0.08300175447962231</v>
      </c>
      <c r="F3578" t="n">
        <v>0.0574911116074342</v>
      </c>
    </row>
    <row r="3579">
      <c r="A3579" t="inlineStr">
        <is>
          <t>G|REV_DEBT x ASSET_CLASS|where 2021|outcome_booked|book|2</t>
        </is>
      </c>
      <c r="F3579" t="n">
        <v>0.7683012279009045</v>
      </c>
    </row>
    <row r="3580">
      <c r="A3580" t="inlineStr">
        <is>
          <t>G|REV_DEBT x ASSET_CLASS|where 2021|outcome_booked|band|2</t>
        </is>
      </c>
    </row>
    <row r="3581">
      <c r="A3581" t="inlineStr">
        <is>
          <t>G|REV_DEBT x ASSET_CLASS|where 2021|outcome_booked|rate|3</t>
        </is>
      </c>
      <c r="B3581" t="n">
        <v>0.0448358708048846</v>
      </c>
      <c r="C3581" t="n">
        <v>0.06744224914572482</v>
      </c>
      <c r="D3581" t="n">
        <v>0</v>
      </c>
      <c r="E3581" t="n">
        <v>0.004187317212540041</v>
      </c>
      <c r="F3581" t="n">
        <v>0.03011573788792901</v>
      </c>
    </row>
    <row r="3582">
      <c r="A3582" t="inlineStr">
        <is>
          <t>G|REV_DEBT x ASSET_CLASS|where 2021|outcome_booked|book|3</t>
        </is>
      </c>
    </row>
    <row r="3583">
      <c r="A3583" t="inlineStr">
        <is>
          <t>G|REV_DEBT x ASSET_CLASS|where 2021|outcome_booked|band|3</t>
        </is>
      </c>
    </row>
    <row r="3584">
      <c r="A3584" t="inlineStr">
        <is>
          <t>G|REV_DEBT x ASSET_CLASS|where 2021|outcome_booked|rate|4</t>
        </is>
      </c>
      <c r="B3584" t="n">
        <v>0.04635040554734322</v>
      </c>
      <c r="C3584" t="n">
        <v>0.04833803383515566</v>
      </c>
      <c r="D3584" t="n">
        <v>0.09947008692966593</v>
      </c>
      <c r="E3584" t="n">
        <v>0.08559086891293059</v>
      </c>
      <c r="F3584" t="n">
        <v>0.06830719223496298</v>
      </c>
    </row>
    <row r="3585">
      <c r="A3585" t="inlineStr">
        <is>
          <t>G|REV_DEBT x ASSET_CLASS|where 2021|outcome_booked|book|4</t>
        </is>
      </c>
      <c r="F3585" t="n">
        <v>0.9128454503878284</v>
      </c>
    </row>
    <row r="3586">
      <c r="A3586" t="inlineStr">
        <is>
          <t>G|REV_DEBT x ASSET_CLASS|where 2021|outcome_booked|band|4</t>
        </is>
      </c>
    </row>
    <row r="3587">
      <c r="A3587" t="inlineStr">
        <is>
          <t>G|REV_DEBT x ASSET_CLASS|where 2021|outcome_booked|rate|5</t>
        </is>
      </c>
      <c r="B3587" t="n">
        <v>0.1397867538927464</v>
      </c>
      <c r="C3587" t="n">
        <v>0.09654191344528683</v>
      </c>
      <c r="D3587" t="n">
        <v>0.1418170725702135</v>
      </c>
      <c r="E3587" t="n">
        <v>0.2941608253684803</v>
      </c>
      <c r="F3587" t="n">
        <v>0.1737271990942061</v>
      </c>
    </row>
    <row r="3588">
      <c r="A3588" t="inlineStr">
        <is>
          <t>G|REV_DEBT x ASSET_CLASS|where 2021|outcome_booked|book|5</t>
        </is>
      </c>
      <c r="E3588" t="n">
        <v>3.931114167250198</v>
      </c>
      <c r="F3588" t="n">
        <v>2.321660108005352</v>
      </c>
    </row>
    <row r="3589">
      <c r="A3589" t="inlineStr">
        <is>
          <t>G|REV_DEBT x ASSET_CLASS|where 2021|outcome_booked|band|5</t>
        </is>
      </c>
      <c r="E3589" t="n">
        <v>2.375603379047609</v>
      </c>
    </row>
    <row r="3590">
      <c r="A3590" t="inlineStr">
        <is>
          <t>G|REV_DEBT x ASSET_CLASS|where 2021|outcome_booked|rate|6</t>
        </is>
      </c>
      <c r="B3590" t="n">
        <v>0.05701000888083711</v>
      </c>
      <c r="C3590" t="n">
        <v>0.05516515536218514</v>
      </c>
      <c r="D3590" t="n">
        <v>0.06104405843518641</v>
      </c>
      <c r="E3590" t="n">
        <v>0.09672979003158208</v>
      </c>
      <c r="F3590" t="n">
        <v>0.06821573017335519</v>
      </c>
    </row>
    <row r="3591">
      <c r="A3591" t="inlineStr">
        <is>
          <t>G|REV_DEBT x ASSET_CLASS|where 2021|outcome_booked|book|6</t>
        </is>
      </c>
      <c r="B3591" t="n">
        <v>0.7618718546420435</v>
      </c>
      <c r="C3591" t="n">
        <v>0.7372175527152337</v>
      </c>
      <c r="D3591" t="n">
        <v>0.8157821920726889</v>
      </c>
      <c r="E3591" t="n">
        <v>1.292680109637176</v>
      </c>
      <c r="F3591" t="n">
        <v>0.9116231672857128</v>
      </c>
    </row>
    <row r="3592">
      <c r="A3592" t="inlineStr">
        <is>
          <t>G|REV_DEBT x ASSET_CLASS|where 2021|outcome_booked|band|6</t>
        </is>
      </c>
    </row>
    <row r="3593">
      <c r="A3593" t="inlineStr">
        <is>
          <t>G|REV_DEBT x ASSET_CLASS|where 2021|outcome_booked|meta</t>
        </is>
      </c>
      <c r="B3593" t="inlineStr">
        <is>
          <t>x</t>
        </is>
      </c>
      <c r="C3593" t="n">
        <v>3.931114167250198</v>
      </c>
      <c r="D3593" t="n">
        <v>10</v>
      </c>
      <c r="E3593" t="n">
        <v>0.07482886857347235</v>
      </c>
      <c r="F3593" t="n">
        <v>30</v>
      </c>
    </row>
    <row r="3594">
      <c r="A3594" t="inlineStr">
        <is>
          <t>G|REV_DEBT x ASSET_CLASS|where 2021|gco_rate|rate|1</t>
        </is>
      </c>
      <c r="B3594" t="n">
        <v>0.01801741819560668</v>
      </c>
      <c r="C3594" t="n">
        <v>0.01113057319299356</v>
      </c>
      <c r="D3594" t="n">
        <v>0.007196539140291777</v>
      </c>
      <c r="E3594" t="n">
        <v>0.02306850323405549</v>
      </c>
      <c r="F3594" t="n">
        <v>0.01432942380712437</v>
      </c>
    </row>
    <row r="3595">
      <c r="A3595" t="inlineStr">
        <is>
          <t>G|REV_DEBT x ASSET_CLASS|where 2021|gco_rate|book|1</t>
        </is>
      </c>
    </row>
    <row r="3596">
      <c r="A3596" t="inlineStr">
        <is>
          <t>G|REV_DEBT x ASSET_CLASS|where 2021|gco_rate|band|1</t>
        </is>
      </c>
    </row>
    <row r="3597">
      <c r="A3597" t="inlineStr">
        <is>
          <t>G|REV_DEBT x ASSET_CLASS|where 2021|gco_rate|rate|2</t>
        </is>
      </c>
      <c r="B3597" t="n">
        <v>0.006550897077219992</v>
      </c>
      <c r="C3597" t="n">
        <v>0.02485163058952843</v>
      </c>
      <c r="D3597" t="n">
        <v>0.04583426733944665</v>
      </c>
      <c r="E3597" t="n">
        <v>0.05146342097910148</v>
      </c>
      <c r="F3597" t="n">
        <v>0.03252768340061245</v>
      </c>
    </row>
    <row r="3598">
      <c r="A3598" t="inlineStr">
        <is>
          <t>G|REV_DEBT x ASSET_CLASS|where 2021|gco_rate|book|2</t>
        </is>
      </c>
      <c r="F3598" t="n">
        <v>0.7818165114440476</v>
      </c>
    </row>
    <row r="3599">
      <c r="A3599" t="inlineStr">
        <is>
          <t>G|REV_DEBT x ASSET_CLASS|where 2021|gco_rate|band|2</t>
        </is>
      </c>
    </row>
    <row r="3600">
      <c r="A3600" t="inlineStr">
        <is>
          <t>G|REV_DEBT x ASSET_CLASS|where 2021|gco_rate|rate|3</t>
        </is>
      </c>
      <c r="B3600" t="n">
        <v>0.01940151164600465</v>
      </c>
      <c r="C3600" t="n">
        <v>0.0332750057671194</v>
      </c>
      <c r="D3600" t="n">
        <v>0</v>
      </c>
      <c r="E3600" t="n">
        <v>0.003133006103784054</v>
      </c>
      <c r="F3600" t="n">
        <v>0.01456036080754341</v>
      </c>
    </row>
    <row r="3601">
      <c r="A3601" t="inlineStr">
        <is>
          <t>G|REV_DEBT x ASSET_CLASS|where 2021|gco_rate|book|3</t>
        </is>
      </c>
    </row>
    <row r="3602">
      <c r="A3602" t="inlineStr">
        <is>
          <t>G|REV_DEBT x ASSET_CLASS|where 2021|gco_rate|band|3</t>
        </is>
      </c>
    </row>
    <row r="3603">
      <c r="A3603" t="inlineStr">
        <is>
          <t>G|REV_DEBT x ASSET_CLASS|where 2021|gco_rate|rate|4</t>
        </is>
      </c>
      <c r="B3603" t="n">
        <v>0.02466754972194316</v>
      </c>
      <c r="C3603" t="n">
        <v>0.02190881732805357</v>
      </c>
      <c r="D3603" t="n">
        <v>0.06813543299969417</v>
      </c>
      <c r="E3603" t="n">
        <v>0.03831279722330613</v>
      </c>
      <c r="F3603" t="n">
        <v>0.03687593587726684</v>
      </c>
    </row>
    <row r="3604">
      <c r="A3604" t="inlineStr">
        <is>
          <t>G|REV_DEBT x ASSET_CLASS|where 2021|gco_rate|book|4</t>
        </is>
      </c>
      <c r="F3604" t="n">
        <v>0.8863285832170984</v>
      </c>
    </row>
    <row r="3605">
      <c r="A3605" t="inlineStr">
        <is>
          <t>G|REV_DEBT x ASSET_CLASS|where 2021|gco_rate|band|4</t>
        </is>
      </c>
    </row>
    <row r="3606">
      <c r="A3606" t="inlineStr">
        <is>
          <t>G|REV_DEBT x ASSET_CLASS|where 2021|gco_rate|rate|5</t>
        </is>
      </c>
      <c r="B3606" t="n">
        <v>0.08004060671184726</v>
      </c>
      <c r="C3606" t="n">
        <v>0.06653439432242264</v>
      </c>
      <c r="D3606" t="n">
        <v>0.08214492163241346</v>
      </c>
      <c r="E3606" t="n">
        <v>0.1878760667323304</v>
      </c>
      <c r="F3606" t="n">
        <v>0.1083822621514397</v>
      </c>
    </row>
    <row r="3607">
      <c r="A3607" t="inlineStr">
        <is>
          <t>G|REV_DEBT x ASSET_CLASS|where 2021|gco_rate|book|5</t>
        </is>
      </c>
      <c r="E3607" t="n">
        <v>4.515680052202366</v>
      </c>
      <c r="F3607" t="n">
        <v>2.605013122331897</v>
      </c>
    </row>
    <row r="3608">
      <c r="A3608" t="inlineStr">
        <is>
          <t>G|REV_DEBT x ASSET_CLASS|where 2021|gco_rate|band|5</t>
        </is>
      </c>
      <c r="E3608" t="n">
        <v>2.490267205563592</v>
      </c>
    </row>
    <row r="3609">
      <c r="A3609" t="inlineStr">
        <is>
          <t>G|REV_DEBT x ASSET_CLASS|where 2021|gco_rate|rate|6</t>
        </is>
      </c>
      <c r="B3609" t="n">
        <v>0.028125971221923</v>
      </c>
      <c r="C3609" t="n">
        <v>0.03082019286206747</v>
      </c>
      <c r="D3609" t="n">
        <v>0.0352592023727686</v>
      </c>
      <c r="E3609" t="n">
        <v>0.05786403423086337</v>
      </c>
      <c r="F3609" t="n">
        <v>0.03849769563981713</v>
      </c>
    </row>
    <row r="3610">
      <c r="A3610" t="inlineStr">
        <is>
          <t>G|REV_DEBT x ASSET_CLASS|where 2021|gco_rate|book|6</t>
        </is>
      </c>
      <c r="B3610" t="n">
        <v>0.6760195133135578</v>
      </c>
      <c r="C3610" t="n">
        <v>0.7407762602915841</v>
      </c>
      <c r="D3610" t="n">
        <v>0.8474697154380999</v>
      </c>
      <c r="E3610" t="n">
        <v>1.390786328779896</v>
      </c>
      <c r="F3610" t="n">
        <v>0.925308259216205</v>
      </c>
    </row>
    <row r="3611">
      <c r="A3611" t="inlineStr">
        <is>
          <t>G|REV_DEBT x ASSET_CLASS|where 2021|gco_rate|band|6</t>
        </is>
      </c>
    </row>
    <row r="3612">
      <c r="A3612" t="inlineStr">
        <is>
          <t>G|REV_DEBT x ASSET_CLASS|where 2021|gco_rate|meta</t>
        </is>
      </c>
      <c r="B3612" t="inlineStr">
        <is>
          <t>x</t>
        </is>
      </c>
      <c r="C3612" t="n">
        <v>4.515680052202366</v>
      </c>
      <c r="D3612" t="n">
        <v>10</v>
      </c>
      <c r="E3612" t="n">
        <v>0.04160526533333565</v>
      </c>
      <c r="F3612" t="n">
        <v>30</v>
      </c>
    </row>
    <row r="3613">
      <c r="A3613" t="inlineStr">
        <is>
          <t>G|REV_DEBT x ASSET_CLASS|where 2021|ranr_rate|rate|1</t>
        </is>
      </c>
      <c r="B3613" t="n">
        <v>0.2165408130547022</v>
      </c>
      <c r="C3613" t="n">
        <v>0.2289800590518851</v>
      </c>
      <c r="D3613" t="n">
        <v>0.2393926973461778</v>
      </c>
      <c r="E3613" t="n">
        <v>0.1906034362784146</v>
      </c>
      <c r="F3613" t="n">
        <v>0.2201310019533074</v>
      </c>
    </row>
    <row r="3614">
      <c r="A3614" t="inlineStr">
        <is>
          <t>G|REV_DEBT x ASSET_CLASS|where 2021|ranr_rate|book|1</t>
        </is>
      </c>
      <c r="B3614" t="n">
        <v>8.855076341</v>
      </c>
      <c r="C3614" t="n">
        <v>10.09900094</v>
      </c>
      <c r="D3614" t="n">
        <v>11.14026477</v>
      </c>
      <c r="E3614" t="n">
        <v>6.261338663</v>
      </c>
      <c r="F3614" t="n">
        <v>9.214095231</v>
      </c>
    </row>
    <row r="3615">
      <c r="A3615" t="inlineStr">
        <is>
          <t>G|REV_DEBT x ASSET_CLASS|where 2021|ranr_rate|band|1</t>
        </is>
      </c>
      <c r="B3615" t="n">
        <v>-0.456213282</v>
      </c>
      <c r="C3615" t="n">
        <v>1.204962639</v>
      </c>
      <c r="D3615" t="n">
        <v>2.6864996</v>
      </c>
      <c r="E3615" t="n">
        <v>-3.876634271</v>
      </c>
    </row>
    <row r="3616">
      <c r="A3616" t="inlineStr">
        <is>
          <t>G|REV_DEBT x ASSET_CLASS|where 2021|ranr_rate|rate|2</t>
        </is>
      </c>
      <c r="B3616" t="n">
        <v>0.2256732724257805</v>
      </c>
      <c r="C3616" t="n">
        <v>0.2451870775773911</v>
      </c>
      <c r="D3616" t="n">
        <v>0.2095266073148206</v>
      </c>
      <c r="E3616" t="n">
        <v>0.2073650149052327</v>
      </c>
      <c r="F3616" t="n">
        <v>0.2209499021455531</v>
      </c>
    </row>
    <row r="3617">
      <c r="A3617" t="inlineStr">
        <is>
          <t>G|REV_DEBT x ASSET_CLASS|where 2021|ranr_rate|book|2</t>
        </is>
      </c>
      <c r="B3617" t="n">
        <v>9.768322277999999</v>
      </c>
      <c r="C3617" t="n">
        <v>11.719702793</v>
      </c>
      <c r="D3617" t="n">
        <v>8.153655767</v>
      </c>
      <c r="E3617" t="n">
        <v>7.937496526</v>
      </c>
      <c r="F3617" t="n">
        <v>9.295985249999999</v>
      </c>
    </row>
    <row r="3618">
      <c r="A3618" t="inlineStr">
        <is>
          <t>G|REV_DEBT x ASSET_CLASS|where 2021|ranr_rate|band|2</t>
        </is>
      </c>
      <c r="B3618" t="n">
        <v>0.641223648</v>
      </c>
      <c r="C3618" t="n">
        <v>3.101741024</v>
      </c>
      <c r="D3618" t="n">
        <v>-1.481733508</v>
      </c>
      <c r="E3618" t="n">
        <v>-1.910579245</v>
      </c>
    </row>
    <row r="3619">
      <c r="A3619" t="inlineStr">
        <is>
          <t>G|REV_DEBT x ASSET_CLASS|where 2021|ranr_rate|rate|3</t>
        </is>
      </c>
      <c r="B3619" t="n">
        <v>0.2590711116994952</v>
      </c>
      <c r="C3619" t="n">
        <v>0.2482745087155822</v>
      </c>
      <c r="D3619" t="n">
        <v>0.2779237354283195</v>
      </c>
      <c r="E3619" t="n">
        <v>0.2727114710944724</v>
      </c>
      <c r="F3619" t="n">
        <v>0.2639160037343272</v>
      </c>
    </row>
    <row r="3620">
      <c r="A3620" t="inlineStr">
        <is>
          <t>G|REV_DEBT x ASSET_CLASS|where 2021|ranr_rate|book|3</t>
        </is>
      </c>
      <c r="B3620" t="n">
        <v>13.108106205</v>
      </c>
      <c r="C3620" t="n">
        <v>12.028445907</v>
      </c>
      <c r="D3620" t="n">
        <v>14.993368578</v>
      </c>
      <c r="E3620" t="n">
        <v>14.472142145</v>
      </c>
      <c r="F3620" t="n">
        <v>13.592595409</v>
      </c>
    </row>
    <row r="3621">
      <c r="A3621" t="inlineStr">
        <is>
          <t>G|REV_DEBT x ASSET_CLASS|where 2021|ranr_rate|band|3</t>
        </is>
      </c>
      <c r="B3621" t="n">
        <v>-0.622054502</v>
      </c>
      <c r="C3621" t="n">
        <v>-2.178119126</v>
      </c>
      <c r="D3621" t="n">
        <v>1.779519832</v>
      </c>
      <c r="E3621" t="n">
        <v>1.228650982</v>
      </c>
    </row>
    <row r="3622">
      <c r="A3622" t="inlineStr">
        <is>
          <t>G|REV_DEBT x ASSET_CLASS|where 2021|ranr_rate|rate|4</t>
        </is>
      </c>
      <c r="B3622" t="n">
        <v>0.3231303337203101</v>
      </c>
      <c r="C3622" t="n">
        <v>0.3584507399665881</v>
      </c>
      <c r="D3622" t="n">
        <v>0.2398154812948452</v>
      </c>
      <c r="E3622" t="n">
        <v>0.2752450349782106</v>
      </c>
      <c r="F3622" t="n">
        <v>0.3016383926609031</v>
      </c>
    </row>
    <row r="3623">
      <c r="A3623" t="inlineStr">
        <is>
          <t>G|REV_DEBT x ASSET_CLASS|where 2021|ranr_rate|book|4</t>
        </is>
      </c>
      <c r="B3623" t="n">
        <v>19.514028407</v>
      </c>
      <c r="C3623" t="n">
        <v>23.046069032</v>
      </c>
      <c r="D3623" t="n">
        <v>11.182543165</v>
      </c>
      <c r="E3623" t="n">
        <v>14.725498533</v>
      </c>
      <c r="F3623" t="n">
        <v>17.364834301</v>
      </c>
    </row>
    <row r="3624">
      <c r="A3624" t="inlineStr">
        <is>
          <t>G|REV_DEBT x ASSET_CLASS|where 2021|ranr_rate|band|4</t>
        </is>
      </c>
      <c r="B3624" t="n">
        <v>2.997171444</v>
      </c>
      <c r="C3624" t="n">
        <v>7.542682515</v>
      </c>
      <c r="D3624" t="n">
        <v>-7.895827258</v>
      </c>
      <c r="E3624" t="n">
        <v>-3.534513677</v>
      </c>
    </row>
    <row r="3625">
      <c r="A3625" t="inlineStr">
        <is>
          <t>G|REV_DEBT x ASSET_CLASS|where 2021|ranr_rate|rate|5</t>
        </is>
      </c>
      <c r="B3625" t="n">
        <v>0.3159201074990716</v>
      </c>
      <c r="C3625" t="n">
        <v>0.3111214694351759</v>
      </c>
      <c r="D3625" t="n">
        <v>0.3292160949298429</v>
      </c>
      <c r="E3625" t="n">
        <v>0.2237909271418085</v>
      </c>
      <c r="F3625" t="n">
        <v>0.2901195340784072</v>
      </c>
    </row>
    <row r="3626">
      <c r="A3626" t="inlineStr">
        <is>
          <t>G|REV_DEBT x ASSET_CLASS|where 2021|ranr_rate|book|5</t>
        </is>
      </c>
      <c r="B3626" t="n">
        <v>18.793005785</v>
      </c>
      <c r="C3626" t="n">
        <v>18.313141979</v>
      </c>
      <c r="D3626" t="n">
        <v>20.122604528</v>
      </c>
      <c r="E3626" t="n">
        <v>9.580087749</v>
      </c>
      <c r="F3626" t="n">
        <v>16.212948443</v>
      </c>
    </row>
    <row r="3627">
      <c r="A3627" t="inlineStr">
        <is>
          <t>G|REV_DEBT x ASSET_CLASS|where 2021|ranr_rate|band|5</t>
        </is>
      </c>
      <c r="B3627" t="n">
        <v>3.44232161</v>
      </c>
      <c r="C3627" t="n">
        <v>2.875909063</v>
      </c>
      <c r="D3627" t="n">
        <v>4.807869149</v>
      </c>
      <c r="E3627" t="n">
        <v>-9.381175225</v>
      </c>
    </row>
    <row r="3628">
      <c r="A3628" t="inlineStr">
        <is>
          <t>G|REV_DEBT x ASSET_CLASS|where 2021|ranr_rate|rate|6</t>
        </is>
      </c>
      <c r="B3628" t="n">
        <v>0.2679453520467163</v>
      </c>
      <c r="C3628" t="n">
        <v>0.2749916202165369</v>
      </c>
      <c r="D3628" t="n">
        <v>0.2539525230140675</v>
      </c>
      <c r="E3628" t="n">
        <v>0.2344873015393124</v>
      </c>
      <c r="F3628" t="n">
        <v>0.2575062438820643</v>
      </c>
    </row>
    <row r="3629">
      <c r="A3629" t="inlineStr">
        <is>
          <t>G|REV_DEBT x ASSET_CLASS|where 2021|ranr_rate|book|6</t>
        </is>
      </c>
      <c r="B3629" t="n">
        <v>13.99553024</v>
      </c>
      <c r="C3629" t="n">
        <v>14.700157057</v>
      </c>
      <c r="D3629" t="n">
        <v>12.596247337</v>
      </c>
      <c r="E3629" t="n">
        <v>10.649725189</v>
      </c>
      <c r="F3629" t="n">
        <v>12.951619423</v>
      </c>
    </row>
    <row r="3630">
      <c r="A3630" t="inlineStr">
        <is>
          <t>G|REV_DEBT x ASSET_CLASS|where 2021|ranr_rate|band|6</t>
        </is>
      </c>
    </row>
    <row r="3631">
      <c r="A3631" t="inlineStr">
        <is>
          <t>G|REV_DEBT x ASSET_CLASS|where 2021|ranr_rate|meta</t>
        </is>
      </c>
      <c r="B3631" t="inlineStr">
        <is>
          <t>pts</t>
        </is>
      </c>
      <c r="C3631" t="n">
        <v>23.046069032</v>
      </c>
      <c r="D3631" t="n">
        <v>10</v>
      </c>
      <c r="E3631" t="n">
        <v>0.1279900496481481</v>
      </c>
      <c r="F3631" t="n">
        <v>30</v>
      </c>
    </row>
    <row r="3632">
      <c r="A3632" t="inlineStr">
        <is>
          <t>G|REV_DEBT x ASSET_CLASS|where 2021|contribution_rate|rate|1</t>
        </is>
      </c>
      <c r="B3632" t="n">
        <v>0.2345582312503089</v>
      </c>
      <c r="C3632" t="n">
        <v>0.2401106322448786</v>
      </c>
      <c r="D3632" t="n">
        <v>0.2465892364864696</v>
      </c>
      <c r="E3632" t="n">
        <v>0.2136719395124701</v>
      </c>
      <c r="F3632" t="n">
        <v>0.2344604257604318</v>
      </c>
    </row>
    <row r="3633">
      <c r="A3633" t="inlineStr">
        <is>
          <t>G|REV_DEBT x ASSET_CLASS|where 2021|contribution_rate|book|1</t>
        </is>
      </c>
      <c r="B3633" t="n">
        <v>6.496577552</v>
      </c>
      <c r="C3633" t="n">
        <v>7.051817651</v>
      </c>
      <c r="D3633" t="n">
        <v>7.699678075</v>
      </c>
      <c r="E3633" t="n">
        <v>4.407948378</v>
      </c>
      <c r="F3633" t="n">
        <v>6.486797003</v>
      </c>
    </row>
    <row r="3634">
      <c r="A3634" t="inlineStr">
        <is>
          <t>G|REV_DEBT x ASSET_CLASS|where 2021|contribution_rate|band|1</t>
        </is>
      </c>
      <c r="B3634" t="n">
        <v>0.012428361</v>
      </c>
      <c r="C3634" t="n">
        <v>0.769380019</v>
      </c>
      <c r="D3634" t="n">
        <v>1.691649904</v>
      </c>
      <c r="E3634" t="n">
        <v>-2.72929232</v>
      </c>
    </row>
    <row r="3635">
      <c r="A3635" t="inlineStr">
        <is>
          <t>G|REV_DEBT x ASSET_CLASS|where 2021|contribution_rate|rate|2</t>
        </is>
      </c>
      <c r="B3635" t="n">
        <v>0.2322241695030005</v>
      </c>
      <c r="C3635" t="n">
        <v>0.2700387081669195</v>
      </c>
      <c r="D3635" t="n">
        <v>0.2553608746542673</v>
      </c>
      <c r="E3635" t="n">
        <v>0.2588284358843342</v>
      </c>
      <c r="F3635" t="n">
        <v>0.2534775855461655</v>
      </c>
    </row>
    <row r="3636">
      <c r="A3636" t="inlineStr">
        <is>
          <t>G|REV_DEBT x ASSET_CLASS|where 2021|contribution_rate|book|2</t>
        </is>
      </c>
      <c r="B3636" t="n">
        <v>6.263171377</v>
      </c>
      <c r="C3636" t="n">
        <v>10.044625243</v>
      </c>
      <c r="D3636" t="n">
        <v>8.576841891999999</v>
      </c>
      <c r="E3636" t="n">
        <v>8.923598015</v>
      </c>
      <c r="F3636" t="n">
        <v>8.388512981</v>
      </c>
    </row>
    <row r="3637">
      <c r="A3637" t="inlineStr">
        <is>
          <t>G|REV_DEBT x ASSET_CLASS|where 2021|contribution_rate|band|2</t>
        </is>
      </c>
      <c r="B3637" t="n">
        <v>-2.885268814</v>
      </c>
      <c r="C3637" t="n">
        <v>2.119401808</v>
      </c>
      <c r="D3637" t="n">
        <v>0.244284387</v>
      </c>
      <c r="E3637" t="n">
        <v>0.752543869</v>
      </c>
    </row>
    <row r="3638">
      <c r="A3638" t="inlineStr">
        <is>
          <t>G|REV_DEBT x ASSET_CLASS|where 2021|contribution_rate|rate|3</t>
        </is>
      </c>
      <c r="B3638" t="n">
        <v>0.2784726233454999</v>
      </c>
      <c r="C3638" t="n">
        <v>0.2815495144827016</v>
      </c>
      <c r="D3638" t="n">
        <v>0.2779237354283195</v>
      </c>
      <c r="E3638" t="n">
        <v>0.2758444771982564</v>
      </c>
      <c r="F3638" t="n">
        <v>0.2784763645418706</v>
      </c>
    </row>
    <row r="3639">
      <c r="A3639" t="inlineStr">
        <is>
          <t>G|REV_DEBT x ASSET_CLASS|where 2021|contribution_rate|book|3</t>
        </is>
      </c>
      <c r="B3639" t="n">
        <v>10.888016761</v>
      </c>
      <c r="C3639" t="n">
        <v>11.195705875</v>
      </c>
      <c r="D3639" t="n">
        <v>10.833127969</v>
      </c>
      <c r="E3639" t="n">
        <v>10.625202146</v>
      </c>
      <c r="F3639" t="n">
        <v>10.888390881</v>
      </c>
    </row>
    <row r="3640">
      <c r="A3640" t="inlineStr">
        <is>
          <t>G|REV_DEBT x ASSET_CLASS|where 2021|contribution_rate|band|3</t>
        </is>
      </c>
      <c r="B3640" t="n">
        <v>-0.000480347</v>
      </c>
      <c r="C3640" t="n">
        <v>0.427944174</v>
      </c>
      <c r="D3640" t="n">
        <v>-0.070205119</v>
      </c>
      <c r="E3640" t="n">
        <v>-0.367651978</v>
      </c>
    </row>
    <row r="3641">
      <c r="A3641" t="inlineStr">
        <is>
          <t>G|REV_DEBT x ASSET_CLASS|where 2021|contribution_rate|rate|4</t>
        </is>
      </c>
      <c r="B3641" t="n">
        <v>0.3477978834422533</v>
      </c>
      <c r="C3641" t="n">
        <v>0.3803595572946417</v>
      </c>
      <c r="D3641" t="n">
        <v>0.3079509142945394</v>
      </c>
      <c r="E3641" t="n">
        <v>0.3135578322015167</v>
      </c>
      <c r="F3641" t="n">
        <v>0.33851432853817</v>
      </c>
    </row>
    <row r="3642">
      <c r="A3642" t="inlineStr">
        <is>
          <t>G|REV_DEBT x ASSET_CLASS|where 2021|contribution_rate|book|4</t>
        </is>
      </c>
      <c r="B3642" t="n">
        <v>17.820542771</v>
      </c>
      <c r="C3642" t="n">
        <v>21.076710156</v>
      </c>
      <c r="D3642" t="n">
        <v>13.835845856</v>
      </c>
      <c r="E3642" t="n">
        <v>14.396537647</v>
      </c>
      <c r="F3642" t="n">
        <v>16.89218728</v>
      </c>
    </row>
    <row r="3643">
      <c r="A3643" t="inlineStr">
        <is>
          <t>G|REV_DEBT x ASSET_CLASS|where 2021|contribution_rate|band|4</t>
        </is>
      </c>
      <c r="B3643" t="n">
        <v>1.29464368</v>
      </c>
      <c r="C3643" t="n">
        <v>5.555575333</v>
      </c>
      <c r="D3643" t="n">
        <v>-3.903462874</v>
      </c>
      <c r="E3643" t="n">
        <v>-3.342093821</v>
      </c>
    </row>
    <row r="3644">
      <c r="A3644" t="inlineStr">
        <is>
          <t>G|REV_DEBT x ASSET_CLASS|where 2021|contribution_rate|rate|5</t>
        </is>
      </c>
      <c r="B3644" t="n">
        <v>0.3959607142109189</v>
      </c>
      <c r="C3644" t="n">
        <v>0.3776558637575986</v>
      </c>
      <c r="D3644" t="n">
        <v>0.4113610165622563</v>
      </c>
      <c r="E3644" t="n">
        <v>0.4116669938741388</v>
      </c>
      <c r="F3644" t="n">
        <v>0.3985017962298469</v>
      </c>
    </row>
    <row r="3645">
      <c r="A3645" t="inlineStr">
        <is>
          <t>G|REV_DEBT x ASSET_CLASS|where 2021|contribution_rate|book|5</t>
        </is>
      </c>
      <c r="B3645" t="n">
        <v>22.636825848</v>
      </c>
      <c r="C3645" t="n">
        <v>20.806340802</v>
      </c>
      <c r="D3645" t="n">
        <v>24.176856083</v>
      </c>
      <c r="E3645" t="n">
        <v>24.207453814</v>
      </c>
      <c r="F3645" t="n">
        <v>22.890934049</v>
      </c>
    </row>
    <row r="3646">
      <c r="A3646" t="inlineStr">
        <is>
          <t>G|REV_DEBT x ASSET_CLASS|where 2021|contribution_rate|band|5</t>
        </is>
      </c>
      <c r="B3646" t="n">
        <v>-0.33903206</v>
      </c>
      <c r="C3646" t="n">
        <v>-2.854546741</v>
      </c>
      <c r="D3646" t="n">
        <v>1.581352614</v>
      </c>
      <c r="E3646" t="n">
        <v>1.862017487</v>
      </c>
    </row>
    <row r="3647">
      <c r="A3647" t="inlineStr">
        <is>
          <t>G|REV_DEBT x ASSET_CLASS|where 2021|contribution_rate|rate|6</t>
        </is>
      </c>
      <c r="B3647" t="n">
        <v>0.2960713232686393</v>
      </c>
      <c r="C3647" t="n">
        <v>0.3058118130786044</v>
      </c>
      <c r="D3647" t="n">
        <v>0.2892117253868361</v>
      </c>
      <c r="E3647" t="n">
        <v>0.2923513357701757</v>
      </c>
      <c r="F3647" t="n">
        <v>0.2960039395218815</v>
      </c>
    </row>
    <row r="3648">
      <c r="A3648" t="inlineStr">
        <is>
          <t>G|REV_DEBT x ASSET_CLASS|where 2021|contribution_rate|book|6</t>
        </is>
      </c>
      <c r="B3648" t="n">
        <v>12.647886753</v>
      </c>
      <c r="C3648" t="n">
        <v>13.621935734</v>
      </c>
      <c r="D3648" t="n">
        <v>11.961926965</v>
      </c>
      <c r="E3648" t="n">
        <v>12.275888004</v>
      </c>
      <c r="F3648" t="n">
        <v>12.641148379</v>
      </c>
    </row>
    <row r="3649">
      <c r="A3649" t="inlineStr">
        <is>
          <t>G|REV_DEBT x ASSET_CLASS|where 2021|contribution_rate|band|6</t>
        </is>
      </c>
    </row>
    <row r="3650">
      <c r="A3650" t="inlineStr">
        <is>
          <t>G|REV_DEBT x ASSET_CLASS|where 2021|contribution_rate|meta</t>
        </is>
      </c>
      <c r="B3650" t="inlineStr">
        <is>
          <t>pts</t>
        </is>
      </c>
      <c r="C3650" t="n">
        <v>24.207453814</v>
      </c>
      <c r="D3650" t="n">
        <v>10</v>
      </c>
      <c r="E3650" t="n">
        <v>0.1695924557349815</v>
      </c>
      <c r="F3650" t="n">
        <v>30</v>
      </c>
    </row>
    <row r="3651">
      <c r="A3651" t="inlineStr">
        <is>
          <t>G|REV_DEBT x ASSET_CLASS|where 2021|loan_size|rate|1</t>
        </is>
      </c>
      <c r="B3651" t="n">
        <v>34636.54472222223</v>
      </c>
      <c r="C3651" t="n">
        <v>31726.4406122449</v>
      </c>
      <c r="D3651" t="n">
        <v>35243.68425531915</v>
      </c>
      <c r="E3651" t="n">
        <v>33210.40285714286</v>
      </c>
      <c r="F3651" t="n">
        <v>33636.78896551724</v>
      </c>
    </row>
    <row r="3652">
      <c r="A3652" t="inlineStr">
        <is>
          <t>G|REV_DEBT x ASSET_CLASS|where 2021|loan_size|median|1</t>
        </is>
      </c>
      <c r="B3652" t="n">
        <v>36409.22</v>
      </c>
      <c r="C3652" t="n">
        <v>29839.15</v>
      </c>
      <c r="D3652" t="n">
        <v>38885.21</v>
      </c>
      <c r="E3652" t="n">
        <v>30784.085</v>
      </c>
      <c r="F3652" t="n">
        <v>32871.125</v>
      </c>
    </row>
    <row r="3653">
      <c r="A3653" t="inlineStr">
        <is>
          <t>G|REV_DEBT x ASSET_CLASS|where 2021|loan_size|book|1</t>
        </is>
      </c>
      <c r="B3653" t="n">
        <v>1.073582320873309</v>
      </c>
      <c r="C3653" t="n">
        <v>0.9833817437248624</v>
      </c>
      <c r="D3653" t="n">
        <v>1.092401007155775</v>
      </c>
      <c r="E3653" t="n">
        <v>1.029378122513298</v>
      </c>
      <c r="F3653" t="n">
        <v>1.042594238366881</v>
      </c>
    </row>
    <row r="3654">
      <c r="A3654" t="inlineStr">
        <is>
          <t>G|REV_DEBT x ASSET_CLASS|where 2021|loan_size|band|1</t>
        </is>
      </c>
      <c r="B3654" t="n">
        <v>1.037768523608765</v>
      </c>
      <c r="C3654" t="n">
        <v>0.9226652614036747</v>
      </c>
      <c r="D3654" t="n">
        <v>1.066629310159694</v>
      </c>
      <c r="E3654" t="n">
        <v>0.9833576096922535</v>
      </c>
    </row>
    <row r="3655">
      <c r="A3655" t="inlineStr">
        <is>
          <t>G|REV_DEBT x ASSET_CLASS|where 2021|loan_size|rate|2</t>
        </is>
      </c>
      <c r="B3655" t="n">
        <v>32561.13844444444</v>
      </c>
      <c r="C3655" t="n">
        <v>28954.51476190476</v>
      </c>
      <c r="D3655" t="n">
        <v>31857.61625</v>
      </c>
      <c r="E3655" t="n">
        <v>34947.31260869565</v>
      </c>
      <c r="F3655" t="n">
        <v>32157.35190751445</v>
      </c>
    </row>
    <row r="3656">
      <c r="A3656" t="inlineStr">
        <is>
          <t>G|REV_DEBT x ASSET_CLASS|where 2021|loan_size|median|2</t>
        </is>
      </c>
      <c r="B3656" t="n">
        <v>31913.28</v>
      </c>
      <c r="C3656" t="n">
        <v>26420.13</v>
      </c>
      <c r="D3656" t="n">
        <v>29382.375</v>
      </c>
      <c r="E3656" t="n">
        <v>33930.285</v>
      </c>
      <c r="F3656" t="n">
        <v>30283.81</v>
      </c>
    </row>
    <row r="3657">
      <c r="A3657" t="inlineStr">
        <is>
          <t>G|REV_DEBT x ASSET_CLASS|where 2021|loan_size|book|2</t>
        </is>
      </c>
      <c r="B3657" t="n">
        <v>1.009253748080591</v>
      </c>
      <c r="C3657" t="n">
        <v>0.8974640919624565</v>
      </c>
      <c r="D3657" t="n">
        <v>0.9874476182730474</v>
      </c>
      <c r="E3657" t="n">
        <v>1.083214774441894</v>
      </c>
      <c r="F3657" t="n">
        <v>0.9967381207011489</v>
      </c>
    </row>
    <row r="3658">
      <c r="A3658" t="inlineStr">
        <is>
          <t>G|REV_DEBT x ASSET_CLASS|where 2021|loan_size|band|2</t>
        </is>
      </c>
      <c r="B3658" t="n">
        <v>1.017046259442802</v>
      </c>
      <c r="C3658" t="n">
        <v>0.8725387696875651</v>
      </c>
      <c r="D3658" t="n">
        <v>0.9879097063502901</v>
      </c>
      <c r="E3658" t="n">
        <v>1.122018821278183</v>
      </c>
    </row>
    <row r="3659">
      <c r="A3659" t="inlineStr">
        <is>
          <t>G|REV_DEBT x ASSET_CLASS|where 2021|loan_size|rate|3</t>
        </is>
      </c>
      <c r="B3659" t="n">
        <v>33392.77175</v>
      </c>
      <c r="C3659" t="n">
        <v>34745.70918367347</v>
      </c>
      <c r="D3659" t="n">
        <v>32961.98666666666</v>
      </c>
      <c r="E3659" t="n">
        <v>33650.26019607843</v>
      </c>
      <c r="F3659" t="n">
        <v>33742.63335195531</v>
      </c>
    </row>
    <row r="3660">
      <c r="A3660" t="inlineStr">
        <is>
          <t>G|REV_DEBT x ASSET_CLASS|where 2021|loan_size|median|3</t>
        </is>
      </c>
      <c r="B3660" t="n">
        <v>35156.52</v>
      </c>
      <c r="C3660" t="n">
        <v>37651.95</v>
      </c>
      <c r="D3660" t="n">
        <v>34123.64</v>
      </c>
      <c r="E3660" t="n">
        <v>35083.66</v>
      </c>
      <c r="F3660" t="n">
        <v>34990.75</v>
      </c>
    </row>
    <row r="3661">
      <c r="A3661" t="inlineStr">
        <is>
          <t>G|REV_DEBT x ASSET_CLASS|where 2021|loan_size|book|3</t>
        </is>
      </c>
      <c r="B3661" t="n">
        <v>1.035030765431893</v>
      </c>
      <c r="C3661" t="n">
        <v>1.076965944638947</v>
      </c>
      <c r="D3661" t="n">
        <v>1.021678300476984</v>
      </c>
      <c r="E3661" t="n">
        <v>1.043011787954661</v>
      </c>
      <c r="F3661" t="n">
        <v>1.045874954239521</v>
      </c>
    </row>
    <row r="3662">
      <c r="A3662" t="inlineStr">
        <is>
          <t>G|REV_DEBT x ASSET_CLASS|where 2021|loan_size|band|3</t>
        </is>
      </c>
      <c r="B3662" t="n">
        <v>0.986687438067582</v>
      </c>
      <c r="C3662" t="n">
        <v>1.041395979336897</v>
      </c>
      <c r="D3662" t="n">
        <v>0.9706092570189198</v>
      </c>
      <c r="E3662" t="n">
        <v>0.9961758367887583</v>
      </c>
    </row>
    <row r="3663">
      <c r="A3663" t="inlineStr">
        <is>
          <t>G|REV_DEBT x ASSET_CLASS|where 2021|loan_size|rate|4</t>
        </is>
      </c>
      <c r="B3663" t="n">
        <v>31436.63191489362</v>
      </c>
      <c r="C3663" t="n">
        <v>33046.20794871795</v>
      </c>
      <c r="D3663" t="n">
        <v>29059.77358974359</v>
      </c>
      <c r="E3663" t="n">
        <v>34806.25526315789</v>
      </c>
      <c r="F3663" t="n">
        <v>32038.605398773</v>
      </c>
    </row>
    <row r="3664">
      <c r="A3664" t="inlineStr">
        <is>
          <t>G|REV_DEBT x ASSET_CLASS|where 2021|loan_size|median|4</t>
        </is>
      </c>
      <c r="B3664" t="n">
        <v>28487.9</v>
      </c>
      <c r="C3664" t="n">
        <v>34310.1</v>
      </c>
      <c r="D3664" t="n">
        <v>27059.89</v>
      </c>
      <c r="E3664" t="n">
        <v>34547.84</v>
      </c>
      <c r="F3664" t="n">
        <v>30826.21</v>
      </c>
    </row>
    <row r="3665">
      <c r="A3665" t="inlineStr">
        <is>
          <t>G|REV_DEBT x ASSET_CLASS|where 2021|loan_size|book|4</t>
        </is>
      </c>
      <c r="B3665" t="n">
        <v>0.9743989339091926</v>
      </c>
      <c r="C3665" t="n">
        <v>1.024288794109553</v>
      </c>
      <c r="D3665" t="n">
        <v>0.9007266580639508</v>
      </c>
      <c r="E3665" t="n">
        <v>1.07884260990836</v>
      </c>
      <c r="F3665" t="n">
        <v>0.9930574951227998</v>
      </c>
    </row>
    <row r="3666">
      <c r="A3666" t="inlineStr">
        <is>
          <t>G|REV_DEBT x ASSET_CLASS|where 2021|loan_size|band|4</t>
        </is>
      </c>
      <c r="B3666" t="n">
        <v>0.9737976825828906</v>
      </c>
      <c r="C3666" t="n">
        <v>1.041754063653705</v>
      </c>
      <c r="D3666" t="n">
        <v>0.8812535692291721</v>
      </c>
      <c r="E3666" t="n">
        <v>1.115683805415713</v>
      </c>
    </row>
    <row r="3667">
      <c r="A3667" t="inlineStr">
        <is>
          <t>G|REV_DEBT x ASSET_CLASS|where 2021|loan_size|rate|5</t>
        </is>
      </c>
      <c r="B3667" t="n">
        <v>27967.4619047619</v>
      </c>
      <c r="C3667" t="n">
        <v>38328.93878787879</v>
      </c>
      <c r="D3667" t="n">
        <v>28260.40838709678</v>
      </c>
      <c r="E3667" t="n">
        <v>31222.66068181818</v>
      </c>
      <c r="F3667" t="n">
        <v>31262.3874</v>
      </c>
    </row>
    <row r="3668">
      <c r="A3668" t="inlineStr">
        <is>
          <t>G|REV_DEBT x ASSET_CLASS|where 2021|loan_size|median|5</t>
        </is>
      </c>
      <c r="B3668" t="n">
        <v>24316.585</v>
      </c>
      <c r="C3668" t="n">
        <v>40201.57</v>
      </c>
      <c r="D3668" t="n">
        <v>24657.91</v>
      </c>
      <c r="E3668" t="n">
        <v>28861.34</v>
      </c>
      <c r="F3668" t="n">
        <v>28772.98</v>
      </c>
    </row>
    <row r="3669">
      <c r="A3669" t="inlineStr">
        <is>
          <t>G|REV_DEBT x ASSET_CLASS|where 2021|loan_size|book|5</t>
        </is>
      </c>
      <c r="B3669" t="n">
        <v>0.8668697441227834</v>
      </c>
      <c r="C3669" t="n">
        <v>1.188030486023082</v>
      </c>
      <c r="D3669" t="n">
        <v>0.8759498116329518</v>
      </c>
      <c r="E3669" t="n">
        <v>0.9677667558196194</v>
      </c>
      <c r="F3669" t="n">
        <v>0.9689981113906893</v>
      </c>
    </row>
    <row r="3670">
      <c r="A3670" t="inlineStr">
        <is>
          <t>G|REV_DEBT x ASSET_CLASS|where 2021|loan_size|band|5</t>
        </is>
      </c>
      <c r="B3670" t="n">
        <v>0.8593805020121433</v>
      </c>
      <c r="C3670" t="n">
        <v>1.309528906221738</v>
      </c>
      <c r="D3670" t="n">
        <v>0.8819136784172599</v>
      </c>
      <c r="E3670" t="n">
        <v>0.9982027151195888</v>
      </c>
    </row>
    <row r="3671">
      <c r="A3671" t="inlineStr">
        <is>
          <t>G|REV_DEBT x ASSET_CLASS|where 2021|loan_size|rate|6</t>
        </is>
      </c>
      <c r="B3671" t="n">
        <v>31904.91814285714</v>
      </c>
      <c r="C3671" t="n">
        <v>33145.67004716981</v>
      </c>
      <c r="D3671" t="n">
        <v>31763.66897959184</v>
      </c>
      <c r="E3671" t="n">
        <v>33552.08751131222</v>
      </c>
      <c r="F3671" t="n">
        <v>32619.31504171633</v>
      </c>
    </row>
    <row r="3672">
      <c r="A3672" t="inlineStr">
        <is>
          <t>G|REV_DEBT x ASSET_CLASS|where 2021|loan_size|median|6</t>
        </is>
      </c>
      <c r="B3672" t="n">
        <v>31588.33</v>
      </c>
      <c r="C3672" t="n">
        <v>33784.315</v>
      </c>
      <c r="D3672" t="n">
        <v>30370.475</v>
      </c>
      <c r="E3672" t="n">
        <v>32575.77</v>
      </c>
      <c r="F3672" t="n">
        <v>31978.84</v>
      </c>
    </row>
    <row r="3673">
      <c r="A3673" t="inlineStr">
        <is>
          <t>G|REV_DEBT x ASSET_CLASS|where 2021|loan_size|book|6</t>
        </is>
      </c>
      <c r="B3673" t="n">
        <v>0.9889137713296682</v>
      </c>
      <c r="C3673" t="n">
        <v>1.02737168679851</v>
      </c>
      <c r="D3673" t="n">
        <v>0.9845356612804148</v>
      </c>
      <c r="E3673" t="n">
        <v>1.039968861484861</v>
      </c>
      <c r="F3673" t="n">
        <v>1.011056969701585</v>
      </c>
    </row>
    <row r="3674">
      <c r="A3674" t="inlineStr">
        <is>
          <t>G|REV_DEBT x ASSET_CLASS|where 2021|loan_size|band|6</t>
        </is>
      </c>
    </row>
    <row r="3675">
      <c r="A3675" t="inlineStr">
        <is>
          <t>G|REV_DEBT x ASSET_CLASS|where 2021|loan_size|meta</t>
        </is>
      </c>
      <c r="B3675" t="inlineStr">
        <is>
          <t>size</t>
        </is>
      </c>
      <c r="C3675" t="n">
        <v>1</v>
      </c>
      <c r="E3675" t="n">
        <v>32262.58857732217</v>
      </c>
      <c r="F3675" t="n">
        <v>30</v>
      </c>
    </row>
    <row r="3676">
      <c r="A3676" t="inlineStr">
        <is>
          <t>G|REV_DEBT x ASSET_CLASS|where 2022|cols</t>
        </is>
      </c>
      <c r="B3676" t="inlineStr">
        <is>
          <t>1</t>
        </is>
      </c>
      <c r="C3676" t="inlineStr">
        <is>
          <t>2</t>
        </is>
      </c>
      <c r="D3676" t="inlineStr">
        <is>
          <t>3</t>
        </is>
      </c>
      <c r="E3676" t="inlineStr">
        <is>
          <t>4</t>
        </is>
      </c>
      <c r="F3676" t="inlineStr">
        <is>
          <t>All</t>
        </is>
      </c>
    </row>
    <row r="3677">
      <c r="A3677" t="inlineStr">
        <is>
          <t>G|REV_DEBT x ASSET_CLASS|where 2022|heads</t>
        </is>
      </c>
      <c r="B3677" t="inlineStr">
        <is>
          <t>1</t>
        </is>
      </c>
      <c r="C3677" t="inlineStr">
        <is>
          <t>2</t>
        </is>
      </c>
      <c r="D3677" t="inlineStr">
        <is>
          <t>3</t>
        </is>
      </c>
      <c r="E3677" t="inlineStr">
        <is>
          <t>4</t>
        </is>
      </c>
      <c r="F3677" t="inlineStr">
        <is>
          <t>All</t>
        </is>
      </c>
    </row>
    <row r="3678">
      <c r="A3678" t="inlineStr">
        <is>
          <t>G|REV_DEBT x ASSET_CLASS|where 2022|segs</t>
        </is>
      </c>
    </row>
    <row r="3679">
      <c r="A3679" t="inlineStr">
        <is>
          <t>G|REV_DEBT x ASSET_CLASS|where 2022|rows</t>
        </is>
      </c>
      <c r="B3679" t="inlineStr">
        <is>
          <t>0 - 6,558</t>
        </is>
      </c>
      <c r="C3679" t="inlineStr">
        <is>
          <t>6,559 - 9,836</t>
        </is>
      </c>
      <c r="D3679" t="inlineStr">
        <is>
          <t>9,837 - 13,051</t>
        </is>
      </c>
      <c r="E3679" t="inlineStr">
        <is>
          <t>13,052 - 17,186</t>
        </is>
      </c>
      <c r="F3679" t="inlineStr">
        <is>
          <t>17,187 - 48,521</t>
        </is>
      </c>
      <c r="G3679" t="inlineStr">
        <is>
          <t>All</t>
        </is>
      </c>
    </row>
    <row r="3680">
      <c r="A3680" t="inlineStr">
        <is>
          <t>G|REV_DEBT x ASSET_CLASS|where 2022|names</t>
        </is>
      </c>
      <c r="B3680" t="inlineStr">
        <is>
          <t>REV_DEBT</t>
        </is>
      </c>
      <c r="C3680" t="inlineStr">
        <is>
          <t>ASSET_CLASS</t>
        </is>
      </c>
    </row>
    <row r="3681">
      <c r="A3681" t="inlineStr">
        <is>
          <t>G|REV_DEBT x ASSET_CLASS|where 2022|total</t>
        </is>
      </c>
      <c r="B3681" t="n">
        <v>1741</v>
      </c>
    </row>
    <row r="3682">
      <c r="A3682" t="inlineStr">
        <is>
          <t>G|REV_DEBT x ASSET_CLASS|where 2022|loans|1</t>
        </is>
      </c>
      <c r="B3682" t="n">
        <v>92</v>
      </c>
      <c r="C3682" t="n">
        <v>84</v>
      </c>
      <c r="D3682" t="n">
        <v>76</v>
      </c>
      <c r="E3682" t="n">
        <v>82</v>
      </c>
      <c r="F3682" t="n">
        <v>334</v>
      </c>
    </row>
    <row r="3683">
      <c r="A3683" t="inlineStr">
        <is>
          <t>G|REV_DEBT x ASSET_CLASS|where 2022|loans|2</t>
        </is>
      </c>
      <c r="B3683" t="n">
        <v>83</v>
      </c>
      <c r="C3683" t="n">
        <v>67</v>
      </c>
      <c r="D3683" t="n">
        <v>95</v>
      </c>
      <c r="E3683" t="n">
        <v>79</v>
      </c>
      <c r="F3683" t="n">
        <v>324</v>
      </c>
    </row>
    <row r="3684">
      <c r="A3684" t="inlineStr">
        <is>
          <t>G|REV_DEBT x ASSET_CLASS|where 2022|loans|3</t>
        </is>
      </c>
      <c r="B3684" t="n">
        <v>105</v>
      </c>
      <c r="C3684" t="n">
        <v>78</v>
      </c>
      <c r="D3684" t="n">
        <v>85</v>
      </c>
      <c r="E3684" t="n">
        <v>96</v>
      </c>
      <c r="F3684" t="n">
        <v>364</v>
      </c>
    </row>
    <row r="3685">
      <c r="A3685" t="inlineStr">
        <is>
          <t>G|REV_DEBT x ASSET_CLASS|where 2022|loans|4</t>
        </is>
      </c>
      <c r="B3685" t="n">
        <v>99</v>
      </c>
      <c r="C3685" t="n">
        <v>82</v>
      </c>
      <c r="D3685" t="n">
        <v>92</v>
      </c>
      <c r="E3685" t="n">
        <v>86</v>
      </c>
      <c r="F3685" t="n">
        <v>359</v>
      </c>
    </row>
    <row r="3686">
      <c r="A3686" t="inlineStr">
        <is>
          <t>G|REV_DEBT x ASSET_CLASS|where 2022|loans|5</t>
        </is>
      </c>
      <c r="B3686" t="n">
        <v>97</v>
      </c>
      <c r="C3686" t="n">
        <v>85</v>
      </c>
      <c r="D3686" t="n">
        <v>92</v>
      </c>
      <c r="E3686" t="n">
        <v>86</v>
      </c>
      <c r="F3686" t="n">
        <v>360</v>
      </c>
    </row>
    <row r="3687">
      <c r="A3687" t="inlineStr">
        <is>
          <t>G|REV_DEBT x ASSET_CLASS|where 2022|loans|6</t>
        </is>
      </c>
      <c r="B3687" t="n">
        <v>476</v>
      </c>
      <c r="C3687" t="n">
        <v>396</v>
      </c>
      <c r="D3687" t="n">
        <v>440</v>
      </c>
      <c r="E3687" t="n">
        <v>429</v>
      </c>
      <c r="F3687" t="n">
        <v>1741</v>
      </c>
    </row>
    <row r="3688">
      <c r="A3688" t="inlineStr">
        <is>
          <t>G|REV_DEBT x ASSET_CLASS|where 2022|outcome_loans|rate|1</t>
        </is>
      </c>
      <c r="B3688" t="n">
        <v>0.02173913043478261</v>
      </c>
      <c r="C3688" t="n">
        <v>0.04761904761904762</v>
      </c>
      <c r="D3688" t="n">
        <v>0</v>
      </c>
      <c r="E3688" t="n">
        <v>0.06097560975609756</v>
      </c>
      <c r="F3688" t="n">
        <v>0.03293413173652695</v>
      </c>
    </row>
    <row r="3689">
      <c r="A3689" t="inlineStr">
        <is>
          <t>G|REV_DEBT x ASSET_CLASS|where 2022|outcome_loans|book|1</t>
        </is>
      </c>
      <c r="F3689" t="n">
        <v>0.4255898542172521</v>
      </c>
    </row>
    <row r="3690">
      <c r="A3690" t="inlineStr">
        <is>
          <t>G|REV_DEBT x ASSET_CLASS|where 2022|outcome_loans|band|1</t>
        </is>
      </c>
    </row>
    <row r="3691">
      <c r="A3691" t="inlineStr">
        <is>
          <t>G|REV_DEBT x ASSET_CLASS|where 2022|outcome_loans|rate|2</t>
        </is>
      </c>
      <c r="B3691" t="n">
        <v>0.02409638554216868</v>
      </c>
      <c r="C3691" t="n">
        <v>0</v>
      </c>
      <c r="D3691" t="n">
        <v>0.02105263157894737</v>
      </c>
      <c r="E3691" t="n">
        <v>0.0759493670886076</v>
      </c>
      <c r="F3691" t="n">
        <v>0.0308641975308642</v>
      </c>
    </row>
    <row r="3692">
      <c r="A3692" t="inlineStr">
        <is>
          <t>G|REV_DEBT x ASSET_CLASS|where 2022|outcome_loans|book|2</t>
        </is>
      </c>
      <c r="F3692" t="n">
        <v>0.3988412214044955</v>
      </c>
    </row>
    <row r="3693">
      <c r="A3693" t="inlineStr">
        <is>
          <t>G|REV_DEBT x ASSET_CLASS|where 2022|outcome_loans|band|2</t>
        </is>
      </c>
    </row>
    <row r="3694">
      <c r="A3694" t="inlineStr">
        <is>
          <t>G|REV_DEBT x ASSET_CLASS|where 2022|outcome_loans|rate|3</t>
        </is>
      </c>
      <c r="B3694" t="n">
        <v>0.06666666666666667</v>
      </c>
      <c r="C3694" t="n">
        <v>0.0641025641025641</v>
      </c>
      <c r="D3694" t="n">
        <v>0.05882352941176471</v>
      </c>
      <c r="E3694" t="n">
        <v>0.1145833333333333</v>
      </c>
      <c r="F3694" t="n">
        <v>0.07692307692307693</v>
      </c>
    </row>
    <row r="3695">
      <c r="A3695" t="inlineStr">
        <is>
          <t>G|REV_DEBT x ASSET_CLASS|where 2022|outcome_loans|book|3</t>
        </is>
      </c>
      <c r="E3695" t="n">
        <v>1.480698034464189</v>
      </c>
      <c r="F3695" t="n">
        <v>0.9940350441158196</v>
      </c>
    </row>
    <row r="3696">
      <c r="A3696" t="inlineStr">
        <is>
          <t>G|REV_DEBT x ASSET_CLASS|where 2022|outcome_loans|band|3</t>
        </is>
      </c>
      <c r="E3696" t="n">
        <v>1.806372549019608</v>
      </c>
    </row>
    <row r="3697">
      <c r="A3697" t="inlineStr">
        <is>
          <t>G|REV_DEBT x ASSET_CLASS|where 2022|outcome_loans|rate|4</t>
        </is>
      </c>
      <c r="B3697" t="n">
        <v>0.06060606060606061</v>
      </c>
      <c r="C3697" t="n">
        <v>0.1463414634146341</v>
      </c>
      <c r="D3697" t="n">
        <v>0.08695652173913043</v>
      </c>
      <c r="E3697" t="n">
        <v>0.1395348837209302</v>
      </c>
      <c r="F3697" t="n">
        <v>0.1058495821727019</v>
      </c>
    </row>
    <row r="3698">
      <c r="A3698" t="inlineStr">
        <is>
          <t>G|REV_DEBT x ASSET_CLASS|where 2022|outcome_loans|book|4</t>
        </is>
      </c>
      <c r="C3698" t="n">
        <v>1.891091059537413</v>
      </c>
      <c r="E3698" t="n">
        <v>1.803133335837998</v>
      </c>
      <c r="F3698" t="n">
        <v>1.367836523100877</v>
      </c>
    </row>
    <row r="3699">
      <c r="A3699" t="inlineStr">
        <is>
          <t>G|REV_DEBT x ASSET_CLASS|where 2022|outcome_loans|band|4</t>
        </is>
      </c>
      <c r="C3699" t="n">
        <v>1.559099437148217</v>
      </c>
      <c r="E3699" t="n">
        <v>1.465116279069768</v>
      </c>
    </row>
    <row r="3700">
      <c r="A3700" t="inlineStr">
        <is>
          <t>G|REV_DEBT x ASSET_CLASS|where 2022|outcome_loans|rate|5</t>
        </is>
      </c>
      <c r="B3700" t="n">
        <v>0.1752577319587629</v>
      </c>
      <c r="C3700" t="n">
        <v>0.1058823529411765</v>
      </c>
      <c r="D3700" t="n">
        <v>0.1521739130434783</v>
      </c>
      <c r="E3700" t="n">
        <v>0.2093023255813954</v>
      </c>
      <c r="F3700" t="n">
        <v>0.1611111111111111</v>
      </c>
    </row>
    <row r="3701">
      <c r="A3701" t="inlineStr">
        <is>
          <t>G|REV_DEBT x ASSET_CLASS|where 2022|outcome_loans|book|5</t>
        </is>
      </c>
      <c r="B3701" t="n">
        <v>2.264760255150475</v>
      </c>
      <c r="D3701" t="n">
        <v>1.966460630750861</v>
      </c>
      <c r="E3701" t="n">
        <v>2.704700003756997</v>
      </c>
      <c r="F3701" t="n">
        <v>2.081951175731467</v>
      </c>
    </row>
    <row r="3702">
      <c r="A3702" t="inlineStr">
        <is>
          <t>G|REV_DEBT x ASSET_CLASS|where 2022|outcome_loans|band|5</t>
        </is>
      </c>
      <c r="B3702" t="n">
        <v>1.12421423183304</v>
      </c>
      <c r="D3702" t="n">
        <v>0.9268774703557313</v>
      </c>
      <c r="E3702" t="n">
        <v>1.433720930232558</v>
      </c>
    </row>
    <row r="3703">
      <c r="A3703" t="inlineStr">
        <is>
          <t>G|REV_DEBT x ASSET_CLASS|where 2022|outcome_loans|rate|6</t>
        </is>
      </c>
      <c r="B3703" t="n">
        <v>0.07142857142857142</v>
      </c>
      <c r="C3703" t="n">
        <v>0.07575757575757576</v>
      </c>
      <c r="D3703" t="n">
        <v>0.0659090909090909</v>
      </c>
      <c r="E3703" t="n">
        <v>0.1212121212121212</v>
      </c>
      <c r="F3703" t="n">
        <v>0.0832854681217691</v>
      </c>
    </row>
    <row r="3704">
      <c r="A3704" t="inlineStr">
        <is>
          <t>G|REV_DEBT x ASSET_CLASS|where 2022|outcome_loans|book|6</t>
        </is>
      </c>
      <c r="B3704" t="n">
        <v>0.9230325409646896</v>
      </c>
      <c r="C3704" t="n">
        <v>0.9789739070837616</v>
      </c>
      <c r="D3704" t="n">
        <v>0.8517072991628726</v>
      </c>
      <c r="E3704" t="n">
        <v>1.566358251334019</v>
      </c>
      <c r="F3704" t="n">
        <v>1.076252761722182</v>
      </c>
    </row>
    <row r="3705">
      <c r="A3705" t="inlineStr">
        <is>
          <t>G|REV_DEBT x ASSET_CLASS|where 2022|outcome_loans|band|6</t>
        </is>
      </c>
    </row>
    <row r="3706">
      <c r="A3706" t="inlineStr">
        <is>
          <t>G|REV_DEBT x ASSET_CLASS|where 2022|outcome_loans|meta</t>
        </is>
      </c>
      <c r="B3706" t="inlineStr">
        <is>
          <t>x</t>
        </is>
      </c>
      <c r="C3706" t="n">
        <v>2.704700003756997</v>
      </c>
      <c r="D3706" t="n">
        <v>10</v>
      </c>
      <c r="E3706" t="n">
        <v>0.07738467308413552</v>
      </c>
      <c r="F3706" t="n">
        <v>30</v>
      </c>
    </row>
    <row r="3707">
      <c r="A3707" t="inlineStr">
        <is>
          <t>G|REV_DEBT x ASSET_CLASS|where 2022|outcome_booked|rate|1</t>
        </is>
      </c>
      <c r="B3707" t="n">
        <v>0.01020929831462904</v>
      </c>
      <c r="C3707" t="n">
        <v>0.04168631994494527</v>
      </c>
      <c r="D3707" t="n">
        <v>0</v>
      </c>
      <c r="E3707" t="n">
        <v>0.04721609757868175</v>
      </c>
      <c r="F3707" t="n">
        <v>0.02444213509033553</v>
      </c>
    </row>
    <row r="3708">
      <c r="A3708" t="inlineStr">
        <is>
          <t>G|REV_DEBT x ASSET_CLASS|where 2022|outcome_booked|book|1</t>
        </is>
      </c>
      <c r="F3708" t="n">
        <v>0.3266404471468988</v>
      </c>
    </row>
    <row r="3709">
      <c r="A3709" t="inlineStr">
        <is>
          <t>G|REV_DEBT x ASSET_CLASS|where 2022|outcome_booked|band|1</t>
        </is>
      </c>
    </row>
    <row r="3710">
      <c r="A3710" t="inlineStr">
        <is>
          <t>G|REV_DEBT x ASSET_CLASS|where 2022|outcome_booked|rate|2</t>
        </is>
      </c>
      <c r="B3710" t="n">
        <v>0.0222618103622915</v>
      </c>
      <c r="C3710" t="n">
        <v>0</v>
      </c>
      <c r="D3710" t="n">
        <v>0.03072585610417825</v>
      </c>
      <c r="E3710" t="n">
        <v>0.08947761097642913</v>
      </c>
      <c r="F3710" t="n">
        <v>0.03543619185478145</v>
      </c>
    </row>
    <row r="3711">
      <c r="A3711" t="inlineStr">
        <is>
          <t>G|REV_DEBT x ASSET_CLASS|where 2022|outcome_booked|book|2</t>
        </is>
      </c>
      <c r="F3711" t="n">
        <v>0.4735631118087487</v>
      </c>
    </row>
    <row r="3712">
      <c r="A3712" t="inlineStr">
        <is>
          <t>G|REV_DEBT x ASSET_CLASS|where 2022|outcome_booked|band|2</t>
        </is>
      </c>
    </row>
    <row r="3713">
      <c r="A3713" t="inlineStr">
        <is>
          <t>G|REV_DEBT x ASSET_CLASS|where 2022|outcome_booked|rate|3</t>
        </is>
      </c>
      <c r="B3713" t="n">
        <v>0.0818279785793644</v>
      </c>
      <c r="C3713" t="n">
        <v>0.05131829464563719</v>
      </c>
      <c r="D3713" t="n">
        <v>0.04752892939308793</v>
      </c>
      <c r="E3713" t="n">
        <v>0.1139983639015351</v>
      </c>
      <c r="F3713" t="n">
        <v>0.07560307963644741</v>
      </c>
    </row>
    <row r="3714">
      <c r="A3714" t="inlineStr">
        <is>
          <t>G|REV_DEBT x ASSET_CLASS|where 2022|outcome_booked|book|3</t>
        </is>
      </c>
      <c r="E3714" t="n">
        <v>1.523454330858997</v>
      </c>
      <c r="F3714" t="n">
        <v>1.010346422146085</v>
      </c>
    </row>
    <row r="3715">
      <c r="A3715" t="inlineStr">
        <is>
          <t>G|REV_DEBT x ASSET_CLASS|where 2022|outcome_booked|band|3</t>
        </is>
      </c>
      <c r="E3715" t="n">
        <v>1.81710511419609</v>
      </c>
    </row>
    <row r="3716">
      <c r="A3716" t="inlineStr">
        <is>
          <t>G|REV_DEBT x ASSET_CLASS|where 2022|outcome_booked|rate|4</t>
        </is>
      </c>
      <c r="B3716" t="n">
        <v>0.0577056529259497</v>
      </c>
      <c r="C3716" t="n">
        <v>0.1166152825315454</v>
      </c>
      <c r="D3716" t="n">
        <v>0.108631306699849</v>
      </c>
      <c r="E3716" t="n">
        <v>0.1457756093841621</v>
      </c>
      <c r="F3716" t="n">
        <v>0.1040438813632008</v>
      </c>
    </row>
    <row r="3717">
      <c r="A3717" t="inlineStr">
        <is>
          <t>G|REV_DEBT x ASSET_CLASS|where 2022|outcome_booked|book|4</t>
        </is>
      </c>
      <c r="C3717" t="n">
        <v>1.55842637680729</v>
      </c>
      <c r="E3717" t="n">
        <v>1.948119918999299</v>
      </c>
      <c r="F3717" t="n">
        <v>1.390424355555277</v>
      </c>
    </row>
    <row r="3718">
      <c r="A3718" t="inlineStr">
        <is>
          <t>G|REV_DEBT x ASSET_CLASS|where 2022|outcome_booked|band|4</t>
        </is>
      </c>
      <c r="C3718" t="n">
        <v>1.162782829469043</v>
      </c>
      <c r="E3718" t="n">
        <v>1.581365305363508</v>
      </c>
    </row>
    <row r="3719">
      <c r="A3719" t="inlineStr">
        <is>
          <t>G|REV_DEBT x ASSET_CLASS|where 2022|outcome_booked|rate|5</t>
        </is>
      </c>
      <c r="B3719" t="n">
        <v>0.1492451235744738</v>
      </c>
      <c r="C3719" t="n">
        <v>0.1058558722753709</v>
      </c>
      <c r="D3719" t="n">
        <v>0.1372043876830592</v>
      </c>
      <c r="E3719" t="n">
        <v>0.223460343693128</v>
      </c>
      <c r="F3719" t="n">
        <v>0.153957933178023</v>
      </c>
    </row>
    <row r="3720">
      <c r="A3720" t="inlineStr">
        <is>
          <t>G|REV_DEBT x ASSET_CLASS|where 2022|outcome_booked|book|5</t>
        </is>
      </c>
      <c r="B3720" t="n">
        <v>1.99448590389863</v>
      </c>
      <c r="D3720" t="n">
        <v>1.833575601217893</v>
      </c>
      <c r="E3720" t="n">
        <v>2.986285212554278</v>
      </c>
      <c r="F3720" t="n">
        <v>2.057467072709459</v>
      </c>
    </row>
    <row r="3721">
      <c r="A3721" t="inlineStr">
        <is>
          <t>G|REV_DEBT x ASSET_CLASS|where 2022|outcome_booked|band|5</t>
        </is>
      </c>
      <c r="B3721" t="n">
        <v>0.9593400787984669</v>
      </c>
      <c r="D3721" t="n">
        <v>0.8606950633564688</v>
      </c>
      <c r="E3721" t="n">
        <v>1.707724975181768</v>
      </c>
    </row>
    <row r="3722">
      <c r="A3722" t="inlineStr">
        <is>
          <t>G|REV_DEBT x ASSET_CLASS|where 2022|outcome_booked|rate|6</t>
        </is>
      </c>
      <c r="B3722" t="n">
        <v>0.06652569829222703</v>
      </c>
      <c r="C3722" t="n">
        <v>0.06553650929229628</v>
      </c>
      <c r="D3722" t="n">
        <v>0.06640202678273108</v>
      </c>
      <c r="E3722" t="n">
        <v>0.1273951846799523</v>
      </c>
      <c r="F3722" t="n">
        <v>0.08074685661595556</v>
      </c>
    </row>
    <row r="3723">
      <c r="A3723" t="inlineStr">
        <is>
          <t>G|REV_DEBT x ASSET_CLASS|where 2022|outcome_booked|book|6</t>
        </is>
      </c>
      <c r="B3723" t="n">
        <v>0.8890378748264426</v>
      </c>
      <c r="C3723" t="n">
        <v>0.8758185248778396</v>
      </c>
      <c r="D3723" t="n">
        <v>0.8873851502583232</v>
      </c>
      <c r="E3723" t="n">
        <v>1.702487116384321</v>
      </c>
      <c r="F3723" t="n">
        <v>1.079086964099591</v>
      </c>
    </row>
    <row r="3724">
      <c r="A3724" t="inlineStr">
        <is>
          <t>G|REV_DEBT x ASSET_CLASS|where 2022|outcome_booked|band|6</t>
        </is>
      </c>
    </row>
    <row r="3725">
      <c r="A3725" t="inlineStr">
        <is>
          <t>G|REV_DEBT x ASSET_CLASS|where 2022|outcome_booked|meta</t>
        </is>
      </c>
      <c r="B3725" t="inlineStr">
        <is>
          <t>x</t>
        </is>
      </c>
      <c r="C3725" t="n">
        <v>2.986285212554278</v>
      </c>
      <c r="D3725" t="n">
        <v>10</v>
      </c>
      <c r="E3725" t="n">
        <v>0.07482886857347235</v>
      </c>
      <c r="F3725" t="n">
        <v>30</v>
      </c>
    </row>
    <row r="3726">
      <c r="A3726" t="inlineStr">
        <is>
          <t>G|REV_DEBT x ASSET_CLASS|where 2022|gco_rate|rate|1</t>
        </is>
      </c>
      <c r="B3726" t="n">
        <v>0.005584241388385523</v>
      </c>
      <c r="C3726" t="n">
        <v>0.02155555427622737</v>
      </c>
      <c r="D3726" t="n">
        <v>0</v>
      </c>
      <c r="E3726" t="n">
        <v>0.02195317825245409</v>
      </c>
      <c r="F3726" t="n">
        <v>0.01214691258055977</v>
      </c>
    </row>
    <row r="3727">
      <c r="A3727" t="inlineStr">
        <is>
          <t>G|REV_DEBT x ASSET_CLASS|where 2022|gco_rate|book|1</t>
        </is>
      </c>
      <c r="F3727" t="n">
        <v>0.2919561378407369</v>
      </c>
    </row>
    <row r="3728">
      <c r="A3728" t="inlineStr">
        <is>
          <t>G|REV_DEBT x ASSET_CLASS|where 2022|gco_rate|band|1</t>
        </is>
      </c>
    </row>
    <row r="3729">
      <c r="A3729" t="inlineStr">
        <is>
          <t>G|REV_DEBT x ASSET_CLASS|where 2022|gco_rate|rate|2</t>
        </is>
      </c>
      <c r="B3729" t="n">
        <v>0.009577195174304295</v>
      </c>
      <c r="C3729" t="n">
        <v>0</v>
      </c>
      <c r="D3729" t="n">
        <v>0.01899622784616262</v>
      </c>
      <c r="E3729" t="n">
        <v>0.05600760577625429</v>
      </c>
      <c r="F3729" t="n">
        <v>0.02098650541280223</v>
      </c>
    </row>
    <row r="3730">
      <c r="A3730" t="inlineStr">
        <is>
          <t>G|REV_DEBT x ASSET_CLASS|where 2022|gco_rate|book|2</t>
        </is>
      </c>
      <c r="F3730" t="n">
        <v>0.5044194585627862</v>
      </c>
    </row>
    <row r="3731">
      <c r="A3731" t="inlineStr">
        <is>
          <t>G|REV_DEBT x ASSET_CLASS|where 2022|gco_rate|band|2</t>
        </is>
      </c>
    </row>
    <row r="3732">
      <c r="A3732" t="inlineStr">
        <is>
          <t>G|REV_DEBT x ASSET_CLASS|where 2022|gco_rate|rate|3</t>
        </is>
      </c>
      <c r="B3732" t="n">
        <v>0.05229078184610601</v>
      </c>
      <c r="C3732" t="n">
        <v>0.02627796852894843</v>
      </c>
      <c r="D3732" t="n">
        <v>0.02813923641289206</v>
      </c>
      <c r="E3732" t="n">
        <v>0.06447876463222743</v>
      </c>
      <c r="F3732" t="n">
        <v>0.04434256638848542</v>
      </c>
    </row>
    <row r="3733">
      <c r="A3733" t="inlineStr">
        <is>
          <t>G|REV_DEBT x ASSET_CLASS|where 2022|gco_rate|book|3</t>
        </is>
      </c>
      <c r="E3733" t="n">
        <v>1.549774147950565</v>
      </c>
      <c r="F3733" t="n">
        <v>1.065792178783596</v>
      </c>
    </row>
    <row r="3734">
      <c r="A3734" t="inlineStr">
        <is>
          <t>G|REV_DEBT x ASSET_CLASS|where 2022|gco_rate|band|3</t>
        </is>
      </c>
      <c r="E3734" t="n">
        <v>1.715105784196779</v>
      </c>
    </row>
    <row r="3735">
      <c r="A3735" t="inlineStr">
        <is>
          <t>G|REV_DEBT x ASSET_CLASS|where 2022|gco_rate|rate|4</t>
        </is>
      </c>
      <c r="B3735" t="n">
        <v>0.02827672271572215</v>
      </c>
      <c r="C3735" t="n">
        <v>0.06139601086091959</v>
      </c>
      <c r="D3735" t="n">
        <v>0.05779798089103868</v>
      </c>
      <c r="E3735" t="n">
        <v>0.08876274006319768</v>
      </c>
      <c r="F3735" t="n">
        <v>0.05698927649933205</v>
      </c>
    </row>
    <row r="3736">
      <c r="A3736" t="inlineStr">
        <is>
          <t>G|REV_DEBT x ASSET_CLASS|where 2022|gco_rate|book|4</t>
        </is>
      </c>
      <c r="C3736" t="n">
        <v>1.475678868263986</v>
      </c>
      <c r="E3736" t="n">
        <v>2.133449681237287</v>
      </c>
      <c r="F3736" t="n">
        <v>1.369761159861422</v>
      </c>
    </row>
    <row r="3737">
      <c r="A3737" t="inlineStr">
        <is>
          <t>G|REV_DEBT x ASSET_CLASS|where 2022|gco_rate|band|4</t>
        </is>
      </c>
      <c r="C3737" t="n">
        <v>1.102790114157883</v>
      </c>
      <c r="E3737" t="n">
        <v>1.850804604132767</v>
      </c>
    </row>
    <row r="3738">
      <c r="A3738" t="inlineStr">
        <is>
          <t>G|REV_DEBT x ASSET_CLASS|where 2022|gco_rate|rate|5</t>
        </is>
      </c>
      <c r="B3738" t="n">
        <v>0.08266897316129536</v>
      </c>
      <c r="C3738" t="n">
        <v>0.05580601646182173</v>
      </c>
      <c r="D3738" t="n">
        <v>0.08242613436718726</v>
      </c>
      <c r="E3738" t="n">
        <v>0.1260401026398062</v>
      </c>
      <c r="F3738" t="n">
        <v>0.08671484016037891</v>
      </c>
    </row>
    <row r="3739">
      <c r="A3739" t="inlineStr">
        <is>
          <t>G|REV_DEBT x ASSET_CLASS|where 2022|gco_rate|book|5</t>
        </is>
      </c>
      <c r="B3739" t="n">
        <v>1.986983438249052</v>
      </c>
      <c r="D3739" t="n">
        <v>1.981146705995033</v>
      </c>
      <c r="E3739" t="n">
        <v>3.029426723516611</v>
      </c>
      <c r="F3739" t="n">
        <v>2.084227548259375</v>
      </c>
    </row>
    <row r="3740">
      <c r="A3740" t="inlineStr">
        <is>
          <t>G|REV_DEBT x ASSET_CLASS|where 2022|gco_rate|band|5</t>
        </is>
      </c>
      <c r="B3740" t="n">
        <v>0.9383613165568461</v>
      </c>
      <c r="D3740" t="n">
        <v>0.9354827884236351</v>
      </c>
      <c r="E3740" t="n">
        <v>1.711533838931379</v>
      </c>
    </row>
    <row r="3741">
      <c r="A3741" t="inlineStr">
        <is>
          <t>G|REV_DEBT x ASSET_CLASS|where 2022|gco_rate|rate|6</t>
        </is>
      </c>
      <c r="B3741" t="n">
        <v>0.03720108685761762</v>
      </c>
      <c r="C3741" t="n">
        <v>0.03430149136726576</v>
      </c>
      <c r="D3741" t="n">
        <v>0.03835673216618485</v>
      </c>
      <c r="E3741" t="n">
        <v>0.07328637913838063</v>
      </c>
      <c r="F3741" t="n">
        <v>0.04540234576679107</v>
      </c>
    </row>
    <row r="3742">
      <c r="A3742" t="inlineStr">
        <is>
          <t>G|REV_DEBT x ASSET_CLASS|where 2022|gco_rate|book|6</t>
        </is>
      </c>
      <c r="B3742" t="n">
        <v>0.8941437233861543</v>
      </c>
      <c r="C3742" t="n">
        <v>0.8244507297921775</v>
      </c>
      <c r="D3742" t="n">
        <v>0.9219201430125731</v>
      </c>
      <c r="E3742" t="n">
        <v>1.761468856194529</v>
      </c>
      <c r="F3742" t="n">
        <v>1.091264420573544</v>
      </c>
    </row>
    <row r="3743">
      <c r="A3743" t="inlineStr">
        <is>
          <t>G|REV_DEBT x ASSET_CLASS|where 2022|gco_rate|band|6</t>
        </is>
      </c>
    </row>
    <row r="3744">
      <c r="A3744" t="inlineStr">
        <is>
          <t>G|REV_DEBT x ASSET_CLASS|where 2022|gco_rate|meta</t>
        </is>
      </c>
      <c r="B3744" t="inlineStr">
        <is>
          <t>x</t>
        </is>
      </c>
      <c r="C3744" t="n">
        <v>3.029426723516611</v>
      </c>
      <c r="D3744" t="n">
        <v>10</v>
      </c>
      <c r="E3744" t="n">
        <v>0.04160526533333565</v>
      </c>
      <c r="F3744" t="n">
        <v>30</v>
      </c>
    </row>
    <row r="3745">
      <c r="A3745" t="inlineStr">
        <is>
          <t>G|REV_DEBT x ASSET_CLASS|where 2022|ranr_rate|rate|1</t>
        </is>
      </c>
      <c r="B3745" t="n">
        <v>0.1784438156200796</v>
      </c>
      <c r="C3745" t="n">
        <v>0.1593660590337011</v>
      </c>
      <c r="D3745" t="n">
        <v>0.1837974927662996</v>
      </c>
      <c r="E3745" t="n">
        <v>0.180292763714431</v>
      </c>
      <c r="F3745" t="n">
        <v>0.1752466259617571</v>
      </c>
    </row>
    <row r="3746">
      <c r="A3746" t="inlineStr">
        <is>
          <t>G|REV_DEBT x ASSET_CLASS|where 2022|ranr_rate|book|1</t>
        </is>
      </c>
      <c r="B3746" t="n">
        <v>5.045376597</v>
      </c>
      <c r="C3746" t="n">
        <v>3.137600939</v>
      </c>
      <c r="D3746" t="n">
        <v>5.580744312</v>
      </c>
      <c r="E3746" t="n">
        <v>5.230271407</v>
      </c>
      <c r="F3746" t="n">
        <v>4.725657631</v>
      </c>
    </row>
    <row r="3747">
      <c r="A3747" t="inlineStr">
        <is>
          <t>G|REV_DEBT x ASSET_CLASS|where 2022|ranr_rate|band|1</t>
        </is>
      </c>
      <c r="B3747" t="n">
        <v>0.432526183</v>
      </c>
      <c r="C3747" t="n">
        <v>-2.144702048</v>
      </c>
      <c r="D3747" t="n">
        <v>1.136360019</v>
      </c>
      <c r="E3747" t="n">
        <v>0.65715542</v>
      </c>
    </row>
    <row r="3748">
      <c r="A3748" t="inlineStr">
        <is>
          <t>G|REV_DEBT x ASSET_CLASS|where 2022|ranr_rate|rate|2</t>
        </is>
      </c>
      <c r="B3748" t="n">
        <v>0.2111394765714797</v>
      </c>
      <c r="C3748" t="n">
        <v>0.1865874424723843</v>
      </c>
      <c r="D3748" t="n">
        <v>0.1789232760188477</v>
      </c>
      <c r="E3748" t="n">
        <v>0.1572734590870779</v>
      </c>
      <c r="F3748" t="n">
        <v>0.1838985791443699</v>
      </c>
    </row>
    <row r="3749">
      <c r="A3749" t="inlineStr">
        <is>
          <t>G|REV_DEBT x ASSET_CLASS|where 2022|ranr_rate|book|2</t>
        </is>
      </c>
      <c r="B3749" t="n">
        <v>8.314942692000001</v>
      </c>
      <c r="C3749" t="n">
        <v>5.859739282</v>
      </c>
      <c r="D3749" t="n">
        <v>5.093322637</v>
      </c>
      <c r="E3749" t="n">
        <v>2.928340944</v>
      </c>
      <c r="F3749" t="n">
        <v>5.59085295</v>
      </c>
    </row>
    <row r="3750">
      <c r="A3750" t="inlineStr">
        <is>
          <t>G|REV_DEBT x ASSET_CLASS|where 2022|ranr_rate|band|2</t>
        </is>
      </c>
      <c r="B3750" t="n">
        <v>3.675013705</v>
      </c>
      <c r="C3750" t="n">
        <v>0.346324521</v>
      </c>
      <c r="D3750" t="n">
        <v>-0.694154827</v>
      </c>
      <c r="E3750" t="n">
        <v>-3.477628653</v>
      </c>
    </row>
    <row r="3751">
      <c r="A3751" t="inlineStr">
        <is>
          <t>G|REV_DEBT x ASSET_CLASS|where 2022|ranr_rate|rate|3</t>
        </is>
      </c>
      <c r="B3751" t="n">
        <v>0.1932337781189332</v>
      </c>
      <c r="C3751" t="n">
        <v>0.2200047215982704</v>
      </c>
      <c r="D3751" t="n">
        <v>0.2038411976924661</v>
      </c>
      <c r="E3751" t="n">
        <v>0.1796789732838198</v>
      </c>
      <c r="F3751" t="n">
        <v>0.1978450731400188</v>
      </c>
    </row>
    <row r="3752">
      <c r="A3752" t="inlineStr">
        <is>
          <t>G|REV_DEBT x ASSET_CLASS|where 2022|ranr_rate|book|3</t>
        </is>
      </c>
      <c r="B3752" t="n">
        <v>6.524372847</v>
      </c>
      <c r="C3752" t="n">
        <v>9.201467194999999</v>
      </c>
      <c r="D3752" t="n">
        <v>7.585114804</v>
      </c>
      <c r="E3752" t="n">
        <v>5.168892364</v>
      </c>
      <c r="F3752" t="n">
        <v>6.985502349</v>
      </c>
    </row>
    <row r="3753">
      <c r="A3753" t="inlineStr">
        <is>
          <t>G|REV_DEBT x ASSET_CLASS|where 2022|ranr_rate|band|3</t>
        </is>
      </c>
      <c r="B3753" t="n">
        <v>-0.667529801</v>
      </c>
      <c r="C3753" t="n">
        <v>2.794969178</v>
      </c>
      <c r="D3753" t="n">
        <v>0.78139621</v>
      </c>
      <c r="E3753" t="n">
        <v>-2.425382872</v>
      </c>
    </row>
    <row r="3754">
      <c r="A3754" t="inlineStr">
        <is>
          <t>G|REV_DEBT x ASSET_CLASS|where 2022|ranr_rate|rate|4</t>
        </is>
      </c>
      <c r="B3754" t="n">
        <v>0.2602603624525242</v>
      </c>
      <c r="C3754" t="n">
        <v>0.2427199712423381</v>
      </c>
      <c r="D3754" t="n">
        <v>0.2260700467184857</v>
      </c>
      <c r="E3754" t="n">
        <v>0.2041012081464101</v>
      </c>
      <c r="F3754" t="n">
        <v>0.2348682754649324</v>
      </c>
    </row>
    <row r="3755">
      <c r="A3755" t="inlineStr">
        <is>
          <t>G|REV_DEBT x ASSET_CLASS|where 2022|ranr_rate|book|4</t>
        </is>
      </c>
      <c r="B3755" t="n">
        <v>13.22703128</v>
      </c>
      <c r="C3755" t="n">
        <v>11.472992159</v>
      </c>
      <c r="D3755" t="n">
        <v>9.807999707</v>
      </c>
      <c r="E3755" t="n">
        <v>7.61111585</v>
      </c>
      <c r="F3755" t="n">
        <v>10.687822582</v>
      </c>
    </row>
    <row r="3756">
      <c r="A3756" t="inlineStr">
        <is>
          <t>G|REV_DEBT x ASSET_CLASS|where 2022|ranr_rate|band|4</t>
        </is>
      </c>
      <c r="B3756" t="n">
        <v>3.564060061</v>
      </c>
      <c r="C3756" t="n">
        <v>1.019636164</v>
      </c>
      <c r="D3756" t="n">
        <v>-1.190860232</v>
      </c>
      <c r="E3756" t="n">
        <v>-3.951131675</v>
      </c>
    </row>
    <row r="3757">
      <c r="A3757" t="inlineStr">
        <is>
          <t>G|REV_DEBT x ASSET_CLASS|where 2022|ranr_rate|rate|5</t>
        </is>
      </c>
      <c r="B3757" t="n">
        <v>0.273876097217391</v>
      </c>
      <c r="C3757" t="n">
        <v>0.2684513896852384</v>
      </c>
      <c r="D3757" t="n">
        <v>0.2556139124609717</v>
      </c>
      <c r="E3757" t="n">
        <v>0.2261768990770136</v>
      </c>
      <c r="F3757" t="n">
        <v>0.2561346428742481</v>
      </c>
    </row>
    <row r="3758">
      <c r="A3758" t="inlineStr">
        <is>
          <t>G|REV_DEBT x ASSET_CLASS|where 2022|ranr_rate|book|5</t>
        </is>
      </c>
      <c r="B3758" t="n">
        <v>14.588604757</v>
      </c>
      <c r="C3758" t="n">
        <v>14.046134004</v>
      </c>
      <c r="D3758" t="n">
        <v>12.762386281</v>
      </c>
      <c r="E3758" t="n">
        <v>9.818684942999999</v>
      </c>
      <c r="F3758" t="n">
        <v>12.814459323</v>
      </c>
    </row>
    <row r="3759">
      <c r="A3759" t="inlineStr">
        <is>
          <t>G|REV_DEBT x ASSET_CLASS|where 2022|ranr_rate|band|5</t>
        </is>
      </c>
      <c r="B3759" t="n">
        <v>2.38124136</v>
      </c>
      <c r="C3759" t="n">
        <v>1.642208388</v>
      </c>
      <c r="D3759" t="n">
        <v>-0.069022615</v>
      </c>
      <c r="E3759" t="n">
        <v>-3.991685251</v>
      </c>
    </row>
    <row r="3760">
      <c r="A3760" t="inlineStr">
        <is>
          <t>G|REV_DEBT x ASSET_CLASS|where 2022|ranr_rate|rate|6</t>
        </is>
      </c>
      <c r="B3760" t="n">
        <v>0.2238223104853717</v>
      </c>
      <c r="C3760" t="n">
        <v>0.2167613851230884</v>
      </c>
      <c r="D3760" t="n">
        <v>0.210195342144108</v>
      </c>
      <c r="E3760" t="n">
        <v>0.1906040324301052</v>
      </c>
      <c r="F3760" t="n">
        <v>0.2108129091146171</v>
      </c>
    </row>
    <row r="3761">
      <c r="A3761" t="inlineStr">
        <is>
          <t>G|REV_DEBT x ASSET_CLASS|where 2022|ranr_rate|book|6</t>
        </is>
      </c>
      <c r="B3761" t="n">
        <v>9.583226084</v>
      </c>
      <c r="C3761" t="n">
        <v>8.877133547</v>
      </c>
      <c r="D3761" t="n">
        <v>8.22052925</v>
      </c>
      <c r="E3761" t="n">
        <v>6.261398278</v>
      </c>
      <c r="F3761" t="n">
        <v>8.282285947</v>
      </c>
    </row>
    <row r="3762">
      <c r="A3762" t="inlineStr">
        <is>
          <t>G|REV_DEBT x ASSET_CLASS|where 2022|ranr_rate|band|6</t>
        </is>
      </c>
    </row>
    <row r="3763">
      <c r="A3763" t="inlineStr">
        <is>
          <t>G|REV_DEBT x ASSET_CLASS|where 2022|ranr_rate|meta</t>
        </is>
      </c>
      <c r="B3763" t="inlineStr">
        <is>
          <t>pts</t>
        </is>
      </c>
      <c r="C3763" t="n">
        <v>14.588604757</v>
      </c>
      <c r="D3763" t="n">
        <v>10</v>
      </c>
      <c r="E3763" t="n">
        <v>0.1279900496481481</v>
      </c>
      <c r="F3763" t="n">
        <v>30</v>
      </c>
    </row>
    <row r="3764">
      <c r="A3764" t="inlineStr">
        <is>
          <t>G|REV_DEBT x ASSET_CLASS|where 2022|contribution_rate|rate|1</t>
        </is>
      </c>
      <c r="B3764" t="n">
        <v>0.1840280570084651</v>
      </c>
      <c r="C3764" t="n">
        <v>0.1809216133099285</v>
      </c>
      <c r="D3764" t="n">
        <v>0.1837974927662996</v>
      </c>
      <c r="E3764" t="n">
        <v>0.202245941966885</v>
      </c>
      <c r="F3764" t="n">
        <v>0.1873935385423169</v>
      </c>
    </row>
    <row r="3765">
      <c r="A3765" t="inlineStr">
        <is>
          <t>G|REV_DEBT x ASSET_CLASS|where 2022|contribution_rate|book|1</t>
        </is>
      </c>
      <c r="B3765" t="n">
        <v>1.443560127</v>
      </c>
      <c r="C3765" t="n">
        <v>1.132915757</v>
      </c>
      <c r="D3765" t="n">
        <v>1.420503703</v>
      </c>
      <c r="E3765" t="n">
        <v>3.265348623</v>
      </c>
      <c r="F3765" t="n">
        <v>1.780108281</v>
      </c>
    </row>
    <row r="3766">
      <c r="A3766" t="inlineStr">
        <is>
          <t>G|REV_DEBT x ASSET_CLASS|where 2022|contribution_rate|band|1</t>
        </is>
      </c>
      <c r="B3766" t="n">
        <v>-0.455293253</v>
      </c>
      <c r="C3766" t="n">
        <v>-0.874046334</v>
      </c>
      <c r="D3766" t="n">
        <v>-0.477893381</v>
      </c>
      <c r="E3766" t="n">
        <v>1.934219374</v>
      </c>
    </row>
    <row r="3767">
      <c r="A3767" t="inlineStr">
        <is>
          <t>G|REV_DEBT x ASSET_CLASS|where 2022|contribution_rate|rate|2</t>
        </is>
      </c>
      <c r="B3767" t="n">
        <v>0.220716671745784</v>
      </c>
      <c r="C3767" t="n">
        <v>0.1865874424723843</v>
      </c>
      <c r="D3767" t="n">
        <v>0.1979195038650103</v>
      </c>
      <c r="E3767" t="n">
        <v>0.2132810648633321</v>
      </c>
      <c r="F3767" t="n">
        <v>0.2048850845571721</v>
      </c>
    </row>
    <row r="3768">
      <c r="A3768" t="inlineStr">
        <is>
          <t>G|REV_DEBT x ASSET_CLASS|where 2022|contribution_rate|book|2</t>
        </is>
      </c>
      <c r="B3768" t="n">
        <v>5.112421601</v>
      </c>
      <c r="C3768" t="n">
        <v>1.699498674</v>
      </c>
      <c r="D3768" t="n">
        <v>2.832704813</v>
      </c>
      <c r="E3768" t="n">
        <v>4.368860913</v>
      </c>
      <c r="F3768" t="n">
        <v>3.529262882</v>
      </c>
    </row>
    <row r="3769">
      <c r="A3769" t="inlineStr">
        <is>
          <t>G|REV_DEBT x ASSET_CLASS|where 2022|contribution_rate|band|2</t>
        </is>
      </c>
      <c r="B3769" t="n">
        <v>2.135807018</v>
      </c>
      <c r="C3769" t="n">
        <v>-2.35672898</v>
      </c>
      <c r="D3769" t="n">
        <v>-0.971838567</v>
      </c>
      <c r="E3769" t="n">
        <v>1.096637372</v>
      </c>
    </row>
    <row r="3770">
      <c r="A3770" t="inlineStr">
        <is>
          <t>G|REV_DEBT x ASSET_CLASS|where 2022|contribution_rate|rate|3</t>
        </is>
      </c>
      <c r="B3770" t="n">
        <v>0.2455245599650392</v>
      </c>
      <c r="C3770" t="n">
        <v>0.2462826901272188</v>
      </c>
      <c r="D3770" t="n">
        <v>0.2319804341053581</v>
      </c>
      <c r="E3770" t="n">
        <v>0.2441577379160473</v>
      </c>
      <c r="F3770" t="n">
        <v>0.2421876395285043</v>
      </c>
    </row>
    <row r="3771">
      <c r="A3771" t="inlineStr">
        <is>
          <t>G|REV_DEBT x ASSET_CLASS|where 2022|contribution_rate|book|3</t>
        </is>
      </c>
      <c r="B3771" t="n">
        <v>7.593210423</v>
      </c>
      <c r="C3771" t="n">
        <v>7.669023439</v>
      </c>
      <c r="D3771" t="n">
        <v>6.238797837</v>
      </c>
      <c r="E3771" t="n">
        <v>7.456528218</v>
      </c>
      <c r="F3771" t="n">
        <v>7.259518379</v>
      </c>
    </row>
    <row r="3772">
      <c r="A3772" t="inlineStr">
        <is>
          <t>G|REV_DEBT x ASSET_CLASS|where 2022|contribution_rate|band|3</t>
        </is>
      </c>
      <c r="B3772" t="n">
        <v>0.483051686</v>
      </c>
      <c r="C3772" t="n">
        <v>0.51650369</v>
      </c>
      <c r="D3772" t="n">
        <v>-1.330171106</v>
      </c>
      <c r="E3772" t="n">
        <v>0.263030751</v>
      </c>
    </row>
    <row r="3773">
      <c r="A3773" t="inlineStr">
        <is>
          <t>G|REV_DEBT x ASSET_CLASS|where 2022|contribution_rate|rate|4</t>
        </is>
      </c>
      <c r="B3773" t="n">
        <v>0.2885370851682464</v>
      </c>
      <c r="C3773" t="n">
        <v>0.3041159821032576</v>
      </c>
      <c r="D3773" t="n">
        <v>0.2838680276095245</v>
      </c>
      <c r="E3773" t="n">
        <v>0.2928639482096078</v>
      </c>
      <c r="F3773" t="n">
        <v>0.2918575519642645</v>
      </c>
    </row>
    <row r="3774">
      <c r="A3774" t="inlineStr">
        <is>
          <t>G|REV_DEBT x ASSET_CLASS|where 2022|contribution_rate|book|4</t>
        </is>
      </c>
      <c r="B3774" t="n">
        <v>11.894462943</v>
      </c>
      <c r="C3774" t="n">
        <v>13.452352637</v>
      </c>
      <c r="D3774" t="n">
        <v>11.427557187</v>
      </c>
      <c r="E3774" t="n">
        <v>12.327149247</v>
      </c>
      <c r="F3774" t="n">
        <v>12.226509623</v>
      </c>
    </row>
    <row r="3775">
      <c r="A3775" t="inlineStr">
        <is>
          <t>G|REV_DEBT x ASSET_CLASS|where 2022|contribution_rate|band|4</t>
        </is>
      </c>
      <c r="B3775" t="n">
        <v>-0.466064215</v>
      </c>
      <c r="C3775" t="n">
        <v>1.591903079</v>
      </c>
      <c r="D3775" t="n">
        <v>-1.081400257</v>
      </c>
      <c r="E3775" t="n">
        <v>0.12924222</v>
      </c>
    </row>
    <row r="3776">
      <c r="A3776" t="inlineStr">
        <is>
          <t>G|REV_DEBT x ASSET_CLASS|where 2022|contribution_rate|rate|5</t>
        </is>
      </c>
      <c r="B3776" t="n">
        <v>0.3565450703786863</v>
      </c>
      <c r="C3776" t="n">
        <v>0.3242574061470601</v>
      </c>
      <c r="D3776" t="n">
        <v>0.3380400468281591</v>
      </c>
      <c r="E3776" t="n">
        <v>0.3522170017168197</v>
      </c>
      <c r="F3776" t="n">
        <v>0.342849483034627</v>
      </c>
    </row>
    <row r="3777">
      <c r="A3777" t="inlineStr">
        <is>
          <t>G|REV_DEBT x ASSET_CLASS|where 2022|contribution_rate|book|5</t>
        </is>
      </c>
      <c r="B3777" t="n">
        <v>18.695261464</v>
      </c>
      <c r="C3777" t="n">
        <v>15.466495041</v>
      </c>
      <c r="D3777" t="n">
        <v>16.844759109</v>
      </c>
      <c r="E3777" t="n">
        <v>18.262454598</v>
      </c>
      <c r="F3777" t="n">
        <v>17.32570273</v>
      </c>
    </row>
    <row r="3778">
      <c r="A3778" t="inlineStr">
        <is>
          <t>G|REV_DEBT x ASSET_CLASS|where 2022|contribution_rate|band|5</t>
        </is>
      </c>
      <c r="B3778" t="n">
        <v>1.838208886</v>
      </c>
      <c r="C3778" t="n">
        <v>-2.478906572</v>
      </c>
      <c r="D3778" t="n">
        <v>-0.63748891</v>
      </c>
      <c r="E3778" t="n">
        <v>1.248164295</v>
      </c>
    </row>
    <row r="3779">
      <c r="A3779" t="inlineStr">
        <is>
          <t>G|REV_DEBT x ASSET_CLASS|where 2022|contribution_rate|rate|6</t>
        </is>
      </c>
      <c r="B3779" t="n">
        <v>0.2610233973429894</v>
      </c>
      <c r="C3779" t="n">
        <v>0.2510628764903541</v>
      </c>
      <c r="D3779" t="n">
        <v>0.2485520743102928</v>
      </c>
      <c r="E3779" t="n">
        <v>0.2638904115684858</v>
      </c>
      <c r="F3779" t="n">
        <v>0.2562152548814082</v>
      </c>
    </row>
    <row r="3780">
      <c r="A3780" t="inlineStr">
        <is>
          <t>G|REV_DEBT x ASSET_CLASS|where 2022|contribution_rate|book|6</t>
        </is>
      </c>
      <c r="B3780" t="n">
        <v>9.143094161</v>
      </c>
      <c r="C3780" t="n">
        <v>8.147042076</v>
      </c>
      <c r="D3780" t="n">
        <v>7.895961858</v>
      </c>
      <c r="E3780" t="n">
        <v>9.429795583000001</v>
      </c>
      <c r="F3780" t="n">
        <v>8.662279914999999</v>
      </c>
    </row>
    <row r="3781">
      <c r="A3781" t="inlineStr">
        <is>
          <t>G|REV_DEBT x ASSET_CLASS|where 2022|contribution_rate|band|6</t>
        </is>
      </c>
    </row>
    <row r="3782">
      <c r="A3782" t="inlineStr">
        <is>
          <t>G|REV_DEBT x ASSET_CLASS|where 2022|contribution_rate|meta</t>
        </is>
      </c>
      <c r="B3782" t="inlineStr">
        <is>
          <t>pts</t>
        </is>
      </c>
      <c r="C3782" t="n">
        <v>18.695261464</v>
      </c>
      <c r="D3782" t="n">
        <v>10</v>
      </c>
      <c r="E3782" t="n">
        <v>0.1695924557349815</v>
      </c>
      <c r="F3782" t="n">
        <v>30</v>
      </c>
    </row>
    <row r="3783">
      <c r="A3783" t="inlineStr">
        <is>
          <t>G|REV_DEBT x ASSET_CLASS|where 2022|loan_size|rate|1</t>
        </is>
      </c>
      <c r="B3783" t="n">
        <v>30261.55467391304</v>
      </c>
      <c r="C3783" t="n">
        <v>32982.75416666667</v>
      </c>
      <c r="D3783" t="n">
        <v>34765.91078947369</v>
      </c>
      <c r="E3783" t="n">
        <v>30217.67585365854</v>
      </c>
      <c r="F3783" t="n">
        <v>31960.09886227545</v>
      </c>
    </row>
    <row r="3784">
      <c r="A3784" t="inlineStr">
        <is>
          <t>G|REV_DEBT x ASSET_CLASS|where 2022|loan_size|median|1</t>
        </is>
      </c>
      <c r="B3784" t="n">
        <v>26419.225</v>
      </c>
      <c r="C3784" t="n">
        <v>35284.605</v>
      </c>
      <c r="D3784" t="n">
        <v>35626.27499999999</v>
      </c>
      <c r="E3784" t="n">
        <v>28131.45</v>
      </c>
      <c r="F3784" t="n">
        <v>32487.645</v>
      </c>
    </row>
    <row r="3785">
      <c r="A3785" t="inlineStr">
        <is>
          <t>G|REV_DEBT x ASSET_CLASS|where 2022|loan_size|book|1</t>
        </is>
      </c>
      <c r="B3785" t="n">
        <v>0.9379766475150205</v>
      </c>
      <c r="C3785" t="n">
        <v>1.022322002700388</v>
      </c>
      <c r="D3785" t="n">
        <v>1.077592106602108</v>
      </c>
      <c r="E3785" t="n">
        <v>0.9366165948289398</v>
      </c>
      <c r="F3785" t="n">
        <v>0.9906241337603225</v>
      </c>
    </row>
    <row r="3786">
      <c r="A3786" t="inlineStr">
        <is>
          <t>G|REV_DEBT x ASSET_CLASS|where 2022|loan_size|band|1</t>
        </is>
      </c>
      <c r="B3786" t="n">
        <v>0.9281026739843918</v>
      </c>
      <c r="C3786" t="n">
        <v>1.043213766934165</v>
      </c>
      <c r="D3786" t="n">
        <v>1.1166692072343</v>
      </c>
      <c r="E3786" t="n">
        <v>0.9290006332601755</v>
      </c>
    </row>
    <row r="3787">
      <c r="A3787" t="inlineStr">
        <is>
          <t>G|REV_DEBT x ASSET_CLASS|where 2022|loan_size|rate|2</t>
        </is>
      </c>
      <c r="B3787" t="n">
        <v>32706.17</v>
      </c>
      <c r="C3787" t="n">
        <v>35012.09447761194</v>
      </c>
      <c r="D3787" t="n">
        <v>31280.85852631579</v>
      </c>
      <c r="E3787" t="n">
        <v>31126.50936708861</v>
      </c>
      <c r="F3787" t="n">
        <v>32379.93283950617</v>
      </c>
    </row>
    <row r="3788">
      <c r="A3788" t="inlineStr">
        <is>
          <t>G|REV_DEBT x ASSET_CLASS|where 2022|loan_size|median|2</t>
        </is>
      </c>
      <c r="B3788" t="n">
        <v>28365.83</v>
      </c>
      <c r="C3788" t="n">
        <v>36327.03</v>
      </c>
      <c r="D3788" t="n">
        <v>29418.63</v>
      </c>
      <c r="E3788" t="n">
        <v>32242.4</v>
      </c>
      <c r="F3788" t="n">
        <v>33425.37</v>
      </c>
    </row>
    <row r="3789">
      <c r="A3789" t="inlineStr">
        <is>
          <t>G|REV_DEBT x ASSET_CLASS|where 2022|loan_size|book|2</t>
        </is>
      </c>
      <c r="B3789" t="n">
        <v>1.013749095848733</v>
      </c>
      <c r="C3789" t="n">
        <v>1.085222730770662</v>
      </c>
      <c r="D3789" t="n">
        <v>0.9695706360122496</v>
      </c>
      <c r="E3789" t="n">
        <v>0.9647864830340326</v>
      </c>
      <c r="F3789" t="n">
        <v>1.003637162030653</v>
      </c>
    </row>
    <row r="3790">
      <c r="A3790" t="inlineStr">
        <is>
          <t>G|REV_DEBT x ASSET_CLASS|where 2022|loan_size|band|2</t>
        </is>
      </c>
      <c r="B3790" t="n">
        <v>1.013592365270508</v>
      </c>
      <c r="C3790" t="n">
        <v>1.104701071364127</v>
      </c>
      <c r="D3790" t="n">
        <v>0.9526425928196223</v>
      </c>
      <c r="E3790" t="n">
        <v>0.9494392496582101</v>
      </c>
    </row>
    <row r="3791">
      <c r="A3791" t="inlineStr">
        <is>
          <t>G|REV_DEBT x ASSET_CLASS|where 2022|loan_size|rate|3</t>
        </is>
      </c>
      <c r="B3791" t="n">
        <v>34534.86961904762</v>
      </c>
      <c r="C3791" t="n">
        <v>31147.10192307693</v>
      </c>
      <c r="D3791" t="n">
        <v>32097.58070588235</v>
      </c>
      <c r="E3791" t="n">
        <v>30662.75822916667</v>
      </c>
      <c r="F3791" t="n">
        <v>32218.55607142857</v>
      </c>
    </row>
    <row r="3792">
      <c r="A3792" t="inlineStr">
        <is>
          <t>G|REV_DEBT x ASSET_CLASS|where 2022|loan_size|median|3</t>
        </is>
      </c>
      <c r="B3792" t="n">
        <v>35898.29</v>
      </c>
      <c r="C3792" t="n">
        <v>31644.145</v>
      </c>
      <c r="D3792" t="n">
        <v>33413.01</v>
      </c>
      <c r="E3792" t="n">
        <v>30341.5</v>
      </c>
      <c r="F3792" t="n">
        <v>33411.355</v>
      </c>
    </row>
    <row r="3793">
      <c r="A3793" t="inlineStr">
        <is>
          <t>G|REV_DEBT x ASSET_CLASS|where 2022|loan_size|book|3</t>
        </is>
      </c>
      <c r="B3793" t="n">
        <v>1.070430834657907</v>
      </c>
      <c r="C3793" t="n">
        <v>0.9654247627535587</v>
      </c>
      <c r="D3793" t="n">
        <v>0.9948854732767537</v>
      </c>
      <c r="E3793" t="n">
        <v>0.95041221369075</v>
      </c>
      <c r="F3793" t="n">
        <v>0.998635183727181</v>
      </c>
    </row>
    <row r="3794">
      <c r="A3794" t="inlineStr">
        <is>
          <t>G|REV_DEBT x ASSET_CLASS|where 2022|loan_size|band|3</t>
        </is>
      </c>
      <c r="B3794" t="n">
        <v>1.104073228014739</v>
      </c>
      <c r="C3794" t="n">
        <v>0.9580548574861439</v>
      </c>
      <c r="D3794" t="n">
        <v>0.995106816247762</v>
      </c>
      <c r="E3794" t="n">
        <v>0.9355288078249271</v>
      </c>
    </row>
    <row r="3795">
      <c r="A3795" t="inlineStr">
        <is>
          <t>G|REV_DEBT x ASSET_CLASS|where 2022|loan_size|rate|4</t>
        </is>
      </c>
      <c r="B3795" t="n">
        <v>33290.07222222222</v>
      </c>
      <c r="C3795" t="n">
        <v>32140.74512195122</v>
      </c>
      <c r="D3795" t="n">
        <v>32538.53510869565</v>
      </c>
      <c r="E3795" t="n">
        <v>29494.20174418605</v>
      </c>
      <c r="F3795" t="n">
        <v>31925.64019498607</v>
      </c>
    </row>
    <row r="3796">
      <c r="A3796" t="inlineStr">
        <is>
          <t>G|REV_DEBT x ASSET_CLASS|where 2022|loan_size|median|4</t>
        </is>
      </c>
      <c r="B3796" t="n">
        <v>32486.61</v>
      </c>
      <c r="C3796" t="n">
        <v>34146.3</v>
      </c>
      <c r="D3796" t="n">
        <v>32408.36</v>
      </c>
      <c r="E3796" t="n">
        <v>28471.12</v>
      </c>
      <c r="F3796" t="n">
        <v>31495.69</v>
      </c>
    </row>
    <row r="3797">
      <c r="A3797" t="inlineStr">
        <is>
          <t>G|REV_DEBT x ASSET_CLASS|where 2022|loan_size|book|4</t>
        </is>
      </c>
      <c r="B3797" t="n">
        <v>1.03184752650698</v>
      </c>
      <c r="C3797" t="n">
        <v>0.9962233825386042</v>
      </c>
      <c r="D3797" t="n">
        <v>1.008553142929376</v>
      </c>
      <c r="E3797" t="n">
        <v>0.9141920423867644</v>
      </c>
      <c r="F3797" t="n">
        <v>0.9895560648666319</v>
      </c>
    </row>
    <row r="3798">
      <c r="A3798" t="inlineStr">
        <is>
          <t>G|REV_DEBT x ASSET_CLASS|where 2022|loan_size|band|4</t>
        </is>
      </c>
      <c r="B3798" t="n">
        <v>1.05998724365884</v>
      </c>
      <c r="C3798" t="n">
        <v>1.008749686842171</v>
      </c>
      <c r="D3798" t="n">
        <v>1.02598435529768</v>
      </c>
      <c r="E3798" t="n">
        <v>0.9021954482478746</v>
      </c>
    </row>
    <row r="3799">
      <c r="A3799" t="inlineStr">
        <is>
          <t>G|REV_DEBT x ASSET_CLASS|where 2022|loan_size|rate|5</t>
        </is>
      </c>
      <c r="B3799" t="n">
        <v>31223.11412371134</v>
      </c>
      <c r="C3799" t="n">
        <v>34937.81</v>
      </c>
      <c r="D3799" t="n">
        <v>31708.34630434783</v>
      </c>
      <c r="E3799" t="n">
        <v>34463.53186046511</v>
      </c>
      <c r="F3799" t="n">
        <v>32998.29866666666</v>
      </c>
    </row>
    <row r="3800">
      <c r="A3800" t="inlineStr">
        <is>
          <t>G|REV_DEBT x ASSET_CLASS|where 2022|loan_size|median|5</t>
        </is>
      </c>
      <c r="B3800" t="n">
        <v>31561.68</v>
      </c>
      <c r="C3800" t="n">
        <v>35775.02</v>
      </c>
      <c r="D3800" t="n">
        <v>29336.05</v>
      </c>
      <c r="E3800" t="n">
        <v>34459.49000000001</v>
      </c>
      <c r="F3800" t="n">
        <v>32544.73</v>
      </c>
    </row>
    <row r="3801">
      <c r="A3801" t="inlineStr">
        <is>
          <t>G|REV_DEBT x ASSET_CLASS|where 2022|loan_size|book|5</t>
        </is>
      </c>
      <c r="B3801" t="n">
        <v>0.9677808105471892</v>
      </c>
      <c r="C3801" t="n">
        <v>1.082920234880294</v>
      </c>
      <c r="D3801" t="n">
        <v>0.9828208988362476</v>
      </c>
      <c r="E3801" t="n">
        <v>1.068219674248024</v>
      </c>
      <c r="F3801" t="n">
        <v>1.022803814628242</v>
      </c>
    </row>
    <row r="3802">
      <c r="A3802" t="inlineStr">
        <is>
          <t>G|REV_DEBT x ASSET_CLASS|where 2022|loan_size|band|5</t>
        </is>
      </c>
      <c r="B3802" t="n">
        <v>0.927795185267257</v>
      </c>
      <c r="C3802" t="n">
        <v>1.078366964477163</v>
      </c>
      <c r="D3802" t="n">
        <v>0.9481843931467773</v>
      </c>
      <c r="E3802" t="n">
        <v>1.059164661862126</v>
      </c>
    </row>
    <row r="3803">
      <c r="A3803" t="inlineStr">
        <is>
          <t>G|REV_DEBT x ASSET_CLASS|where 2022|loan_size|rate|6</t>
        </is>
      </c>
      <c r="B3803" t="n">
        <v>32456.29342436975</v>
      </c>
      <c r="C3803" t="n">
        <v>33209.8246969697</v>
      </c>
      <c r="D3803" t="n">
        <v>32392.95052272727</v>
      </c>
      <c r="E3803" t="n">
        <v>31190.75417249417</v>
      </c>
      <c r="F3803" t="n">
        <v>32299.83803561172</v>
      </c>
    </row>
    <row r="3804">
      <c r="A3804" t="inlineStr">
        <is>
          <t>G|REV_DEBT x ASSET_CLASS|where 2022|loan_size|median|6</t>
        </is>
      </c>
      <c r="B3804" t="n">
        <v>31775.165</v>
      </c>
      <c r="C3804" t="n">
        <v>35073.03999999999</v>
      </c>
      <c r="D3804" t="n">
        <v>31965.14</v>
      </c>
      <c r="E3804" t="n">
        <v>30990.21</v>
      </c>
      <c r="F3804" t="n">
        <v>32367.16</v>
      </c>
    </row>
    <row r="3805">
      <c r="A3805" t="inlineStr">
        <is>
          <t>G|REV_DEBT x ASSET_CLASS|where 2022|loan_size|book|6</t>
        </is>
      </c>
      <c r="B3805" t="n">
        <v>1.006004008220956</v>
      </c>
      <c r="C3805" t="n">
        <v>1.0293602020612</v>
      </c>
      <c r="D3805" t="n">
        <v>1.004040653622467</v>
      </c>
      <c r="E3805" t="n">
        <v>0.9667777927285908</v>
      </c>
      <c r="F3805" t="n">
        <v>1.001154571283091</v>
      </c>
    </row>
    <row r="3806">
      <c r="A3806" t="inlineStr">
        <is>
          <t>G|REV_DEBT x ASSET_CLASS|where 2022|loan_size|band|6</t>
        </is>
      </c>
    </row>
    <row r="3807">
      <c r="A3807" t="inlineStr">
        <is>
          <t>G|REV_DEBT x ASSET_CLASS|where 2022|loan_size|meta</t>
        </is>
      </c>
      <c r="B3807" t="inlineStr">
        <is>
          <t>size</t>
        </is>
      </c>
      <c r="C3807" t="n">
        <v>1</v>
      </c>
      <c r="E3807" t="n">
        <v>32262.58857732217</v>
      </c>
      <c r="F3807" t="n">
        <v>30</v>
      </c>
    </row>
    <row r="3808">
      <c r="A3808" t="inlineStr">
        <is>
          <t>G|REV_DEBT x ASSET_CLASS|where 2023|cols</t>
        </is>
      </c>
      <c r="B3808" t="inlineStr">
        <is>
          <t>1</t>
        </is>
      </c>
      <c r="C3808" t="inlineStr">
        <is>
          <t>2</t>
        </is>
      </c>
      <c r="D3808" t="inlineStr">
        <is>
          <t>3</t>
        </is>
      </c>
      <c r="E3808" t="inlineStr">
        <is>
          <t>4</t>
        </is>
      </c>
      <c r="F3808" t="inlineStr">
        <is>
          <t>All</t>
        </is>
      </c>
    </row>
    <row r="3809">
      <c r="A3809" t="inlineStr">
        <is>
          <t>G|REV_DEBT x ASSET_CLASS|where 2023|heads</t>
        </is>
      </c>
      <c r="B3809" t="inlineStr">
        <is>
          <t>1</t>
        </is>
      </c>
      <c r="C3809" t="inlineStr">
        <is>
          <t>2</t>
        </is>
      </c>
      <c r="D3809" t="inlineStr">
        <is>
          <t>3</t>
        </is>
      </c>
      <c r="E3809" t="inlineStr">
        <is>
          <t>4</t>
        </is>
      </c>
      <c r="F3809" t="inlineStr">
        <is>
          <t>All</t>
        </is>
      </c>
    </row>
    <row r="3810">
      <c r="A3810" t="inlineStr">
        <is>
          <t>G|REV_DEBT x ASSET_CLASS|where 2023|segs</t>
        </is>
      </c>
    </row>
    <row r="3811">
      <c r="A3811" t="inlineStr">
        <is>
          <t>G|REV_DEBT x ASSET_CLASS|where 2023|rows</t>
        </is>
      </c>
      <c r="B3811" t="inlineStr">
        <is>
          <t>0 - 6,558</t>
        </is>
      </c>
      <c r="C3811" t="inlineStr">
        <is>
          <t>6,559 - 9,836</t>
        </is>
      </c>
      <c r="D3811" t="inlineStr">
        <is>
          <t>9,837 - 13,051</t>
        </is>
      </c>
      <c r="E3811" t="inlineStr">
        <is>
          <t>13,052 - 17,186</t>
        </is>
      </c>
      <c r="F3811" t="inlineStr">
        <is>
          <t>17,187 - 48,521</t>
        </is>
      </c>
      <c r="G3811" t="inlineStr">
        <is>
          <t>All</t>
        </is>
      </c>
    </row>
    <row r="3812">
      <c r="A3812" t="inlineStr">
        <is>
          <t>G|REV_DEBT x ASSET_CLASS|where 2023|names</t>
        </is>
      </c>
      <c r="B3812" t="inlineStr">
        <is>
          <t>REV_DEBT</t>
        </is>
      </c>
      <c r="C3812" t="inlineStr">
        <is>
          <t>ASSET_CLASS</t>
        </is>
      </c>
    </row>
    <row r="3813">
      <c r="A3813" t="inlineStr">
        <is>
          <t>G|REV_DEBT x ASSET_CLASS|where 2023|total</t>
        </is>
      </c>
      <c r="B3813" t="n">
        <v>1612</v>
      </c>
    </row>
    <row r="3814">
      <c r="A3814" t="inlineStr">
        <is>
          <t>G|REV_DEBT x ASSET_CLASS|where 2023|loans|1</t>
        </is>
      </c>
      <c r="B3814" t="n">
        <v>78</v>
      </c>
      <c r="C3814" t="n">
        <v>77</v>
      </c>
      <c r="D3814" t="n">
        <v>77</v>
      </c>
      <c r="E3814" t="n">
        <v>79</v>
      </c>
      <c r="F3814" t="n">
        <v>311</v>
      </c>
    </row>
    <row r="3815">
      <c r="A3815" t="inlineStr">
        <is>
          <t>G|REV_DEBT x ASSET_CLASS|where 2023|loans|2</t>
        </is>
      </c>
      <c r="B3815" t="n">
        <v>76</v>
      </c>
      <c r="C3815" t="n">
        <v>103</v>
      </c>
      <c r="D3815" t="n">
        <v>73</v>
      </c>
      <c r="E3815" t="n">
        <v>91</v>
      </c>
      <c r="F3815" t="n">
        <v>343</v>
      </c>
    </row>
    <row r="3816">
      <c r="A3816" t="inlineStr">
        <is>
          <t>G|REV_DEBT x ASSET_CLASS|where 2023|loans|3</t>
        </is>
      </c>
      <c r="B3816" t="n">
        <v>81</v>
      </c>
      <c r="C3816" t="n">
        <v>67</v>
      </c>
      <c r="D3816" t="n">
        <v>78</v>
      </c>
      <c r="E3816" t="n">
        <v>100</v>
      </c>
      <c r="F3816" t="n">
        <v>326</v>
      </c>
    </row>
    <row r="3817">
      <c r="A3817" t="inlineStr">
        <is>
          <t>G|REV_DEBT x ASSET_CLASS|where 2023|loans|4</t>
        </is>
      </c>
      <c r="B3817" t="n">
        <v>73</v>
      </c>
      <c r="C3817" t="n">
        <v>75</v>
      </c>
      <c r="D3817" t="n">
        <v>71</v>
      </c>
      <c r="E3817" t="n">
        <v>90</v>
      </c>
      <c r="F3817" t="n">
        <v>309</v>
      </c>
    </row>
    <row r="3818">
      <c r="A3818" t="inlineStr">
        <is>
          <t>G|REV_DEBT x ASSET_CLASS|where 2023|loans|5</t>
        </is>
      </c>
      <c r="B3818" t="n">
        <v>88</v>
      </c>
      <c r="C3818" t="n">
        <v>64</v>
      </c>
      <c r="D3818" t="n">
        <v>77</v>
      </c>
      <c r="E3818" t="n">
        <v>94</v>
      </c>
      <c r="F3818" t="n">
        <v>323</v>
      </c>
    </row>
    <row r="3819">
      <c r="A3819" t="inlineStr">
        <is>
          <t>G|REV_DEBT x ASSET_CLASS|where 2023|loans|6</t>
        </is>
      </c>
      <c r="B3819" t="n">
        <v>396</v>
      </c>
      <c r="C3819" t="n">
        <v>386</v>
      </c>
      <c r="D3819" t="n">
        <v>376</v>
      </c>
      <c r="E3819" t="n">
        <v>454</v>
      </c>
      <c r="F3819" t="n">
        <v>1612</v>
      </c>
    </row>
    <row r="3820">
      <c r="A3820" t="inlineStr">
        <is>
          <t>G|REV_DEBT x ASSET_CLASS|where 2023|outcome_loans|rate|1</t>
        </is>
      </c>
      <c r="B3820" t="n">
        <v>0.0641025641025641</v>
      </c>
      <c r="C3820" t="n">
        <v>0.01298701298701299</v>
      </c>
      <c r="D3820" t="n">
        <v>0.02597402597402598</v>
      </c>
      <c r="E3820" t="n">
        <v>0.0379746835443038</v>
      </c>
      <c r="F3820" t="n">
        <v>0.03536977491961415</v>
      </c>
    </row>
    <row r="3821">
      <c r="A3821" t="inlineStr">
        <is>
          <t>G|REV_DEBT x ASSET_CLASS|where 2023|outcome_loans|book|1</t>
        </is>
      </c>
      <c r="F3821" t="n">
        <v>0.4570643450436083</v>
      </c>
    </row>
    <row r="3822">
      <c r="A3822" t="inlineStr">
        <is>
          <t>G|REV_DEBT x ASSET_CLASS|where 2023|outcome_loans|band|1</t>
        </is>
      </c>
    </row>
    <row r="3823">
      <c r="A3823" t="inlineStr">
        <is>
          <t>G|REV_DEBT x ASSET_CLASS|where 2023|outcome_loans|rate|2</t>
        </is>
      </c>
      <c r="B3823" t="n">
        <v>0.0131578947368421</v>
      </c>
      <c r="C3823" t="n">
        <v>0.02912621359223301</v>
      </c>
      <c r="D3823" t="n">
        <v>0.0684931506849315</v>
      </c>
      <c r="E3823" t="n">
        <v>0.03296703296703297</v>
      </c>
      <c r="F3823" t="n">
        <v>0.03498542274052478</v>
      </c>
    </row>
    <row r="3824">
      <c r="A3824" t="inlineStr">
        <is>
          <t>G|REV_DEBT x ASSET_CLASS|where 2023|outcome_loans|book|2</t>
        </is>
      </c>
      <c r="F3824" t="n">
        <v>0.4520975710847459</v>
      </c>
    </row>
    <row r="3825">
      <c r="A3825" t="inlineStr">
        <is>
          <t>G|REV_DEBT x ASSET_CLASS|where 2023|outcome_loans|band|2</t>
        </is>
      </c>
    </row>
    <row r="3826">
      <c r="A3826" t="inlineStr">
        <is>
          <t>G|REV_DEBT x ASSET_CLASS|where 2023|outcome_loans|rate|3</t>
        </is>
      </c>
      <c r="B3826" t="n">
        <v>0.04938271604938271</v>
      </c>
      <c r="C3826" t="n">
        <v>0.06060606060606061</v>
      </c>
      <c r="D3826" t="n">
        <v>0.07692307692307693</v>
      </c>
      <c r="E3826" t="n">
        <v>0.1</v>
      </c>
      <c r="F3826" t="n">
        <v>0.07384615384615385</v>
      </c>
    </row>
    <row r="3827">
      <c r="A3827" t="inlineStr">
        <is>
          <t>G|REV_DEBT x ASSET_CLASS|where 2023|outcome_loans|book|3</t>
        </is>
      </c>
      <c r="E3827" t="n">
        <v>1.292245557350566</v>
      </c>
      <c r="F3827" t="n">
        <v>0.9542736423511868</v>
      </c>
    </row>
    <row r="3828">
      <c r="A3828" t="inlineStr">
        <is>
          <t>G|REV_DEBT x ASSET_CLASS|where 2023|outcome_loans|band|3</t>
        </is>
      </c>
      <c r="E3828" t="n">
        <v>1.607142857142857</v>
      </c>
    </row>
    <row r="3829">
      <c r="A3829" t="inlineStr">
        <is>
          <t>G|REV_DEBT x ASSET_CLASS|where 2023|outcome_loans|rate|4</t>
        </is>
      </c>
      <c r="B3829" t="n">
        <v>0.0684931506849315</v>
      </c>
      <c r="C3829" t="n">
        <v>0.09333333333333334</v>
      </c>
      <c r="D3829" t="n">
        <v>0.05633802816901409</v>
      </c>
      <c r="E3829" t="n">
        <v>0.1444444444444444</v>
      </c>
      <c r="F3829" t="n">
        <v>0.09385113268608414</v>
      </c>
    </row>
    <row r="3830">
      <c r="A3830" t="inlineStr">
        <is>
          <t>G|REV_DEBT x ASSET_CLASS|where 2023|outcome_loans|book|4</t>
        </is>
      </c>
      <c r="E3830" t="n">
        <v>1.866576916173039</v>
      </c>
      <c r="F3830" t="n">
        <v>1.212787092659107</v>
      </c>
    </row>
    <row r="3831">
      <c r="A3831" t="inlineStr">
        <is>
          <t>G|REV_DEBT x ASSET_CLASS|where 2023|outcome_loans|band|4</t>
        </is>
      </c>
      <c r="E3831" t="n">
        <v>1.977083333333333</v>
      </c>
    </row>
    <row r="3832">
      <c r="A3832" t="inlineStr">
        <is>
          <t>G|REV_DEBT x ASSET_CLASS|where 2023|outcome_loans|rate|5</t>
        </is>
      </c>
      <c r="B3832" t="n">
        <v>0.1022727272727273</v>
      </c>
      <c r="C3832" t="n">
        <v>0.0625</v>
      </c>
      <c r="D3832" t="n">
        <v>0.1038961038961039</v>
      </c>
      <c r="E3832" t="n">
        <v>0.1702127659574468</v>
      </c>
      <c r="F3832" t="n">
        <v>0.1145510835913313</v>
      </c>
    </row>
    <row r="3833">
      <c r="A3833" t="inlineStr">
        <is>
          <t>G|REV_DEBT x ASSET_CLASS|where 2023|outcome_loans|book|5</t>
        </is>
      </c>
      <c r="E3833" t="n">
        <v>2.199566906128622</v>
      </c>
      <c r="F3833" t="n">
        <v>1.480281288605911</v>
      </c>
    </row>
    <row r="3834">
      <c r="A3834" t="inlineStr">
        <is>
          <t>G|REV_DEBT x ASSET_CLASS|where 2023|outcome_loans|band|5</t>
        </is>
      </c>
      <c r="E3834" t="n">
        <v>1.85612968591692</v>
      </c>
    </row>
    <row r="3835">
      <c r="A3835" t="inlineStr">
        <is>
          <t>G|REV_DEBT x ASSET_CLASS|where 2023|outcome_loans|rate|6</t>
        </is>
      </c>
      <c r="B3835" t="n">
        <v>0.06060606060606061</v>
      </c>
      <c r="C3835" t="n">
        <v>0.04935064935064935</v>
      </c>
      <c r="D3835" t="n">
        <v>0.06648936170212766</v>
      </c>
      <c r="E3835" t="n">
        <v>0.09911894273127753</v>
      </c>
      <c r="F3835" t="n">
        <v>0.07014276846679081</v>
      </c>
    </row>
    <row r="3836">
      <c r="A3836" t="inlineStr">
        <is>
          <t>G|REV_DEBT x ASSET_CLASS|where 2023|outcome_loans|book|6</t>
        </is>
      </c>
      <c r="B3836" t="n">
        <v>0.7831791256670093</v>
      </c>
      <c r="C3836" t="n">
        <v>0.637731573757422</v>
      </c>
      <c r="D3836" t="n">
        <v>0.8592058227064929</v>
      </c>
      <c r="E3836" t="n">
        <v>1.280860133937785</v>
      </c>
      <c r="F3836" t="n">
        <v>0.9064168093147975</v>
      </c>
    </row>
    <row r="3837">
      <c r="A3837" t="inlineStr">
        <is>
          <t>G|REV_DEBT x ASSET_CLASS|where 2023|outcome_loans|band|6</t>
        </is>
      </c>
    </row>
    <row r="3838">
      <c r="A3838" t="inlineStr">
        <is>
          <t>G|REV_DEBT x ASSET_CLASS|where 2023|outcome_loans|meta</t>
        </is>
      </c>
      <c r="B3838" t="inlineStr">
        <is>
          <t>x</t>
        </is>
      </c>
      <c r="C3838" t="n">
        <v>2.199566906128622</v>
      </c>
      <c r="D3838" t="n">
        <v>10</v>
      </c>
      <c r="E3838" t="n">
        <v>0.07738467308413552</v>
      </c>
      <c r="F3838" t="n">
        <v>30</v>
      </c>
    </row>
    <row r="3839">
      <c r="A3839" t="inlineStr">
        <is>
          <t>G|REV_DEBT x ASSET_CLASS|where 2023|outcome_booked|rate|1</t>
        </is>
      </c>
      <c r="B3839" t="n">
        <v>0.04155307476712729</v>
      </c>
      <c r="C3839" t="n">
        <v>0.01091312220245167</v>
      </c>
      <c r="D3839" t="n">
        <v>0.01512454507846255</v>
      </c>
      <c r="E3839" t="n">
        <v>0.0507189263176043</v>
      </c>
      <c r="F3839" t="n">
        <v>0.02960486595235295</v>
      </c>
    </row>
    <row r="3840">
      <c r="A3840" t="inlineStr">
        <is>
          <t>G|REV_DEBT x ASSET_CLASS|where 2023|outcome_booked|book|1</t>
        </is>
      </c>
      <c r="F3840" t="n">
        <v>0.3956342854935027</v>
      </c>
    </row>
    <row r="3841">
      <c r="A3841" t="inlineStr">
        <is>
          <t>G|REV_DEBT x ASSET_CLASS|where 2023|outcome_booked|band|1</t>
        </is>
      </c>
    </row>
    <row r="3842">
      <c r="A3842" t="inlineStr">
        <is>
          <t>G|REV_DEBT x ASSET_CLASS|where 2023|outcome_booked|rate|2</t>
        </is>
      </c>
      <c r="B3842" t="n">
        <v>0.01293154637343664</v>
      </c>
      <c r="C3842" t="n">
        <v>0.0238632249387738</v>
      </c>
      <c r="D3842" t="n">
        <v>0.08072521461138417</v>
      </c>
      <c r="E3842" t="n">
        <v>0.03084401405300889</v>
      </c>
      <c r="F3842" t="n">
        <v>0.03687696981270255</v>
      </c>
    </row>
    <row r="3843">
      <c r="A3843" t="inlineStr">
        <is>
          <t>G|REV_DEBT x ASSET_CLASS|where 2023|outcome_booked|book|2</t>
        </is>
      </c>
      <c r="F3843" t="n">
        <v>0.4928174181398199</v>
      </c>
    </row>
    <row r="3844">
      <c r="A3844" t="inlineStr">
        <is>
          <t>G|REV_DEBT x ASSET_CLASS|where 2023|outcome_booked|band|2</t>
        </is>
      </c>
    </row>
    <row r="3845">
      <c r="A3845" t="inlineStr">
        <is>
          <t>G|REV_DEBT x ASSET_CLASS|where 2023|outcome_booked|rate|3</t>
        </is>
      </c>
      <c r="B3845" t="n">
        <v>0.05118888938807341</v>
      </c>
      <c r="C3845" t="n">
        <v>0.07452841946905273</v>
      </c>
      <c r="D3845" t="n">
        <v>0.06637720355885522</v>
      </c>
      <c r="E3845" t="n">
        <v>0.09859571200451882</v>
      </c>
      <c r="F3845" t="n">
        <v>0.07374262304480877</v>
      </c>
    </row>
    <row r="3846">
      <c r="A3846" t="inlineStr">
        <is>
          <t>G|REV_DEBT x ASSET_CLASS|where 2023|outcome_booked|book|3</t>
        </is>
      </c>
      <c r="E3846" t="n">
        <v>1.317615966726939</v>
      </c>
      <c r="F3846" t="n">
        <v>0.9854836034625191</v>
      </c>
    </row>
    <row r="3847">
      <c r="A3847" t="inlineStr">
        <is>
          <t>G|REV_DEBT x ASSET_CLASS|where 2023|outcome_booked|band|3</t>
        </is>
      </c>
      <c r="E3847" t="n">
        <v>1.553994410361818</v>
      </c>
    </row>
    <row r="3848">
      <c r="A3848" t="inlineStr">
        <is>
          <t>G|REV_DEBT x ASSET_CLASS|where 2023|outcome_booked|rate|4</t>
        </is>
      </c>
      <c r="B3848" t="n">
        <v>0.07395688822566884</v>
      </c>
      <c r="C3848" t="n">
        <v>0.1008133198827273</v>
      </c>
      <c r="D3848" t="n">
        <v>0.06367160181040335</v>
      </c>
      <c r="E3848" t="n">
        <v>0.1285011920242504</v>
      </c>
      <c r="F3848" t="n">
        <v>0.09315695046371854</v>
      </c>
    </row>
    <row r="3849">
      <c r="A3849" t="inlineStr">
        <is>
          <t>G|REV_DEBT x ASSET_CLASS|where 2023|outcome_booked|book|4</t>
        </is>
      </c>
      <c r="E3849" t="n">
        <v>1.717267606392829</v>
      </c>
      <c r="F3849" t="n">
        <v>1.244933302342402</v>
      </c>
    </row>
    <row r="3850">
      <c r="A3850" t="inlineStr">
        <is>
          <t>G|REV_DEBT x ASSET_CLASS|where 2023|outcome_booked|band|4</t>
        </is>
      </c>
      <c r="E3850" t="n">
        <v>1.607865073208472</v>
      </c>
    </row>
    <row r="3851">
      <c r="A3851" t="inlineStr">
        <is>
          <t>G|REV_DEBT x ASSET_CLASS|where 2023|outcome_booked|rate|5</t>
        </is>
      </c>
      <c r="B3851" t="n">
        <v>0.08779816175655022</v>
      </c>
      <c r="C3851" t="n">
        <v>0.07699332613603176</v>
      </c>
      <c r="D3851" t="n">
        <v>0.1138486302704221</v>
      </c>
      <c r="E3851" t="n">
        <v>0.1708250253572502</v>
      </c>
      <c r="F3851" t="n">
        <v>0.1164010807892261</v>
      </c>
    </row>
    <row r="3852">
      <c r="A3852" t="inlineStr">
        <is>
          <t>G|REV_DEBT x ASSET_CLASS|where 2023|outcome_booked|book|5</t>
        </is>
      </c>
      <c r="E3852" t="n">
        <v>2.282875962363669</v>
      </c>
      <c r="F3852" t="n">
        <v>1.555563821935049</v>
      </c>
    </row>
    <row r="3853">
      <c r="A3853" t="inlineStr">
        <is>
          <t>G|REV_DEBT x ASSET_CLASS|where 2023|outcome_booked|band|5</t>
        </is>
      </c>
      <c r="E3853" t="n">
        <v>1.809414908584339</v>
      </c>
    </row>
    <row r="3854">
      <c r="A3854" t="inlineStr">
        <is>
          <t>G|REV_DEBT x ASSET_CLASS|where 2023|outcome_booked|rate|6</t>
        </is>
      </c>
      <c r="B3854" t="n">
        <v>0.05584086062633106</v>
      </c>
      <c r="C3854" t="n">
        <v>0.05413165651835606</v>
      </c>
      <c r="D3854" t="n">
        <v>0.06836647238963861</v>
      </c>
      <c r="E3854" t="n">
        <v>0.09749307258346322</v>
      </c>
      <c r="F3854" t="n">
        <v>0.06996261105776509</v>
      </c>
    </row>
    <row r="3855">
      <c r="A3855" t="inlineStr">
        <is>
          <t>G|REV_DEBT x ASSET_CLASS|where 2023|outcome_booked|book|6</t>
        </is>
      </c>
      <c r="B3855" t="n">
        <v>0.7462475604786474</v>
      </c>
      <c r="C3855" t="n">
        <v>0.7234060537104837</v>
      </c>
      <c r="D3855" t="n">
        <v>0.9136376600764918</v>
      </c>
      <c r="E3855" t="n">
        <v>1.302880485059553</v>
      </c>
      <c r="F3855" t="n">
        <v>0.9349681799487692</v>
      </c>
    </row>
    <row r="3856">
      <c r="A3856" t="inlineStr">
        <is>
          <t>G|REV_DEBT x ASSET_CLASS|where 2023|outcome_booked|band|6</t>
        </is>
      </c>
    </row>
    <row r="3857">
      <c r="A3857" t="inlineStr">
        <is>
          <t>G|REV_DEBT x ASSET_CLASS|where 2023|outcome_booked|meta</t>
        </is>
      </c>
      <c r="B3857" t="inlineStr">
        <is>
          <t>x</t>
        </is>
      </c>
      <c r="C3857" t="n">
        <v>2.282875962363669</v>
      </c>
      <c r="D3857" t="n">
        <v>10</v>
      </c>
      <c r="E3857" t="n">
        <v>0.07482886857347235</v>
      </c>
      <c r="F3857" t="n">
        <v>30</v>
      </c>
    </row>
    <row r="3858">
      <c r="A3858" t="inlineStr">
        <is>
          <t>G|REV_DEBT x ASSET_CLASS|where 2023|gco_rate|rate|1</t>
        </is>
      </c>
      <c r="B3858" t="n">
        <v>0.02621588479054141</v>
      </c>
      <c r="C3858" t="n">
        <v>0.008240294931636244</v>
      </c>
      <c r="D3858" t="n">
        <v>0.01019380431104928</v>
      </c>
      <c r="E3858" t="n">
        <v>0.03071350908836535</v>
      </c>
      <c r="F3858" t="n">
        <v>0.01884562419791119</v>
      </c>
    </row>
    <row r="3859">
      <c r="A3859" t="inlineStr">
        <is>
          <t>G|REV_DEBT x ASSET_CLASS|where 2023|gco_rate|book|1</t>
        </is>
      </c>
      <c r="F3859" t="n">
        <v>0.4529624807562853</v>
      </c>
    </row>
    <row r="3860">
      <c r="A3860" t="inlineStr">
        <is>
          <t>G|REV_DEBT x ASSET_CLASS|where 2023|gco_rate|band|1</t>
        </is>
      </c>
    </row>
    <row r="3861">
      <c r="A3861" t="inlineStr">
        <is>
          <t>G|REV_DEBT x ASSET_CLASS|where 2023|gco_rate|rate|2</t>
        </is>
      </c>
      <c r="B3861" t="n">
        <v>0.009711117738183273</v>
      </c>
      <c r="C3861" t="n">
        <v>0.0141845827378587</v>
      </c>
      <c r="D3861" t="n">
        <v>0.04377720640068197</v>
      </c>
      <c r="E3861" t="n">
        <v>0.02180026165826129</v>
      </c>
      <c r="F3861" t="n">
        <v>0.02228510535684902</v>
      </c>
    </row>
    <row r="3862">
      <c r="A3862" t="inlineStr">
        <is>
          <t>G|REV_DEBT x ASSET_CLASS|where 2023|gco_rate|book|2</t>
        </is>
      </c>
      <c r="F3862" t="n">
        <v>0.5356318528028564</v>
      </c>
    </row>
    <row r="3863">
      <c r="A3863" t="inlineStr">
        <is>
          <t>G|REV_DEBT x ASSET_CLASS|where 2023|gco_rate|band|2</t>
        </is>
      </c>
    </row>
    <row r="3864">
      <c r="A3864" t="inlineStr">
        <is>
          <t>G|REV_DEBT x ASSET_CLASS|where 2023|gco_rate|rate|3</t>
        </is>
      </c>
      <c r="B3864" t="n">
        <v>0.03036438309831785</v>
      </c>
      <c r="C3864" t="n">
        <v>0.03727959444359363</v>
      </c>
      <c r="D3864" t="n">
        <v>0.03020588375818206</v>
      </c>
      <c r="E3864" t="n">
        <v>0.05032274490276433</v>
      </c>
      <c r="F3864" t="n">
        <v>0.03763749199095806</v>
      </c>
    </row>
    <row r="3865">
      <c r="A3865" t="inlineStr">
        <is>
          <t>G|REV_DEBT x ASSET_CLASS|where 2023|gco_rate|book|3</t>
        </is>
      </c>
      <c r="E3865" t="n">
        <v>1.209528277240523</v>
      </c>
      <c r="F3865" t="n">
        <v>0.9046329037782037</v>
      </c>
    </row>
    <row r="3866">
      <c r="A3866" t="inlineStr">
        <is>
          <t>G|REV_DEBT x ASSET_CLASS|where 2023|gco_rate|band|3</t>
        </is>
      </c>
      <c r="E3866" t="n">
        <v>1.552770116634393</v>
      </c>
    </row>
    <row r="3867">
      <c r="A3867" t="inlineStr">
        <is>
          <t>G|REV_DEBT x ASSET_CLASS|where 2023|gco_rate|rate|4</t>
        </is>
      </c>
      <c r="B3867" t="n">
        <v>0.04499938678941867</v>
      </c>
      <c r="C3867" t="n">
        <v>0.06409612914460956</v>
      </c>
      <c r="D3867" t="n">
        <v>0.03410227764367166</v>
      </c>
      <c r="E3867" t="n">
        <v>0.07524652836043164</v>
      </c>
      <c r="F3867" t="n">
        <v>0.05545747750725643</v>
      </c>
    </row>
    <row r="3868">
      <c r="A3868" t="inlineStr">
        <is>
          <t>G|REV_DEBT x ASSET_CLASS|where 2023|gco_rate|book|4</t>
        </is>
      </c>
      <c r="E3868" t="n">
        <v>1.80858186476079</v>
      </c>
      <c r="F3868" t="n">
        <v>1.332943728706902</v>
      </c>
    </row>
    <row r="3869">
      <c r="A3869" t="inlineStr">
        <is>
          <t>G|REV_DEBT x ASSET_CLASS|where 2023|gco_rate|band|4</t>
        </is>
      </c>
      <c r="E3869" t="n">
        <v>1.566122272483212</v>
      </c>
    </row>
    <row r="3870">
      <c r="A3870" t="inlineStr">
        <is>
          <t>G|REV_DEBT x ASSET_CLASS|where 2023|gco_rate|rate|5</t>
        </is>
      </c>
      <c r="B3870" t="n">
        <v>0.05643133387646262</v>
      </c>
      <c r="C3870" t="n">
        <v>0.03968805574697112</v>
      </c>
      <c r="D3870" t="n">
        <v>0.0562355498547451</v>
      </c>
      <c r="E3870" t="n">
        <v>0.08459948641048988</v>
      </c>
      <c r="F3870" t="n">
        <v>0.06159992305694554</v>
      </c>
    </row>
    <row r="3871">
      <c r="A3871" t="inlineStr">
        <is>
          <t>G|REV_DEBT x ASSET_CLASS|where 2023|gco_rate|book|5</t>
        </is>
      </c>
      <c r="E3871" t="n">
        <v>2.033384133779474</v>
      </c>
      <c r="F3871" t="n">
        <v>1.480579983408721</v>
      </c>
    </row>
    <row r="3872">
      <c r="A3872" t="inlineStr">
        <is>
          <t>G|REV_DEBT x ASSET_CLASS|where 2023|gco_rate|band|5</t>
        </is>
      </c>
      <c r="E3872" t="n">
        <v>1.617393542215384</v>
      </c>
    </row>
    <row r="3873">
      <c r="A3873" t="inlineStr">
        <is>
          <t>G|REV_DEBT x ASSET_CLASS|where 2023|gco_rate|rate|6</t>
        </is>
      </c>
      <c r="B3873" t="n">
        <v>0.03511352974021211</v>
      </c>
      <c r="C3873" t="n">
        <v>0.03128716766306724</v>
      </c>
      <c r="D3873" t="n">
        <v>0.0350908187182954</v>
      </c>
      <c r="E3873" t="n">
        <v>0.05317850396231012</v>
      </c>
      <c r="F3873" t="n">
        <v>0.0391602258879564</v>
      </c>
    </row>
    <row r="3874">
      <c r="A3874" t="inlineStr">
        <is>
          <t>G|REV_DEBT x ASSET_CLASS|where 2023|gco_rate|book|6</t>
        </is>
      </c>
      <c r="B3874" t="n">
        <v>0.8439684126248771</v>
      </c>
      <c r="C3874" t="n">
        <v>0.7520001954656165</v>
      </c>
      <c r="D3874" t="n">
        <v>0.8434225436889442</v>
      </c>
      <c r="E3874" t="n">
        <v>1.278167643836694</v>
      </c>
      <c r="F3874" t="n">
        <v>0.9412324515709749</v>
      </c>
    </row>
    <row r="3875">
      <c r="A3875" t="inlineStr">
        <is>
          <t>G|REV_DEBT x ASSET_CLASS|where 2023|gco_rate|band|6</t>
        </is>
      </c>
    </row>
    <row r="3876">
      <c r="A3876" t="inlineStr">
        <is>
          <t>G|REV_DEBT x ASSET_CLASS|where 2023|gco_rate|meta</t>
        </is>
      </c>
      <c r="B3876" t="inlineStr">
        <is>
          <t>x</t>
        </is>
      </c>
      <c r="C3876" t="n">
        <v>2.033384133779474</v>
      </c>
      <c r="D3876" t="n">
        <v>10</v>
      </c>
      <c r="E3876" t="n">
        <v>0.04160526533333565</v>
      </c>
      <c r="F3876" t="n">
        <v>30</v>
      </c>
    </row>
    <row r="3877">
      <c r="A3877" t="inlineStr">
        <is>
          <t>G|REV_DEBT x ASSET_CLASS|where 2023|ranr_rate|rate|1</t>
        </is>
      </c>
      <c r="B3877" t="n">
        <v>0.1045284523897894</v>
      </c>
      <c r="C3877" t="n">
        <v>0.1376066739909997</v>
      </c>
      <c r="D3877" t="n">
        <v>0.1331663117917538</v>
      </c>
      <c r="E3877" t="n">
        <v>0.1141602405334735</v>
      </c>
      <c r="F3877" t="n">
        <v>0.1225522567482614</v>
      </c>
    </row>
    <row r="3878">
      <c r="A3878" t="inlineStr">
        <is>
          <t>G|REV_DEBT x ASSET_CLASS|where 2023|ranr_rate|book|1</t>
        </is>
      </c>
      <c r="B3878" t="n">
        <v>-2.346159726</v>
      </c>
      <c r="C3878" t="n">
        <v>0.961662434</v>
      </c>
      <c r="D3878" t="n">
        <v>0.517626214</v>
      </c>
      <c r="E3878" t="n">
        <v>-1.382980911</v>
      </c>
      <c r="F3878" t="n">
        <v>-0.54377929</v>
      </c>
    </row>
    <row r="3879">
      <c r="A3879" t="inlineStr">
        <is>
          <t>G|REV_DEBT x ASSET_CLASS|where 2023|ranr_rate|band|1</t>
        </is>
      </c>
      <c r="B3879" t="n">
        <v>-2.359404652</v>
      </c>
      <c r="C3879" t="n">
        <v>2.006510954</v>
      </c>
      <c r="D3879" t="n">
        <v>1.42112471</v>
      </c>
      <c r="E3879" t="n">
        <v>-1.135696379</v>
      </c>
    </row>
    <row r="3880">
      <c r="A3880" t="inlineStr">
        <is>
          <t>G|REV_DEBT x ASSET_CLASS|where 2023|ranr_rate|rate|2</t>
        </is>
      </c>
      <c r="B3880" t="n">
        <v>0.1535589521191565</v>
      </c>
      <c r="C3880" t="n">
        <v>0.1430865366957873</v>
      </c>
      <c r="D3880" t="n">
        <v>0.1147431189430613</v>
      </c>
      <c r="E3880" t="n">
        <v>0.1464636563135591</v>
      </c>
      <c r="F3880" t="n">
        <v>0.1393933024224844</v>
      </c>
    </row>
    <row r="3881">
      <c r="A3881" t="inlineStr">
        <is>
          <t>G|REV_DEBT x ASSET_CLASS|where 2023|ranr_rate|book|2</t>
        </is>
      </c>
      <c r="B3881" t="n">
        <v>2.556890247</v>
      </c>
      <c r="C3881" t="n">
        <v>1.509648705</v>
      </c>
      <c r="D3881" t="n">
        <v>-1.324693071</v>
      </c>
      <c r="E3881" t="n">
        <v>1.847360667</v>
      </c>
      <c r="F3881" t="n">
        <v>1.140325277</v>
      </c>
    </row>
    <row r="3882">
      <c r="A3882" t="inlineStr">
        <is>
          <t>G|REV_DEBT x ASSET_CLASS|where 2023|ranr_rate|band|2</t>
        </is>
      </c>
      <c r="B3882" t="n">
        <v>1.770798391</v>
      </c>
      <c r="C3882" t="n">
        <v>0.530480069</v>
      </c>
      <c r="D3882" t="n">
        <v>-3.22349937</v>
      </c>
      <c r="E3882" t="n">
        <v>0.9565739640000001</v>
      </c>
    </row>
    <row r="3883">
      <c r="A3883" t="inlineStr">
        <is>
          <t>G|REV_DEBT x ASSET_CLASS|where 2023|ranr_rate|rate|3</t>
        </is>
      </c>
      <c r="B3883" t="n">
        <v>0.1448013758438882</v>
      </c>
      <c r="C3883" t="n">
        <v>0.1466666165633467</v>
      </c>
      <c r="D3883" t="n">
        <v>0.1533167164444681</v>
      </c>
      <c r="E3883" t="n">
        <v>0.1289701836021026</v>
      </c>
      <c r="F3883" t="n">
        <v>0.1426573769736572</v>
      </c>
    </row>
    <row r="3884">
      <c r="A3884" t="inlineStr">
        <is>
          <t>G|REV_DEBT x ASSET_CLASS|where 2023|ranr_rate|book|3</t>
        </is>
      </c>
      <c r="B3884" t="n">
        <v>1.68113262</v>
      </c>
      <c r="C3884" t="n">
        <v>1.867656692</v>
      </c>
      <c r="D3884" t="n">
        <v>2.53266668</v>
      </c>
      <c r="E3884" t="n">
        <v>0.098013395</v>
      </c>
      <c r="F3884" t="n">
        <v>1.466732733</v>
      </c>
    </row>
    <row r="3885">
      <c r="A3885" t="inlineStr">
        <is>
          <t>G|REV_DEBT x ASSET_CLASS|where 2023|ranr_rate|band|3</t>
        </is>
      </c>
      <c r="B3885" t="n">
        <v>0.285635387</v>
      </c>
      <c r="C3885" t="n">
        <v>0.510658744</v>
      </c>
      <c r="D3885" t="n">
        <v>1.409635132</v>
      </c>
      <c r="E3885" t="n">
        <v>-1.932933829</v>
      </c>
    </row>
    <row r="3886">
      <c r="A3886" t="inlineStr">
        <is>
          <t>G|REV_DEBT x ASSET_CLASS|where 2023|ranr_rate|rate|4</t>
        </is>
      </c>
      <c r="B3886" t="n">
        <v>0.1642082840662588</v>
      </c>
      <c r="C3886" t="n">
        <v>0.1444573632420331</v>
      </c>
      <c r="D3886" t="n">
        <v>0.1723496150504304</v>
      </c>
      <c r="E3886" t="n">
        <v>0.143293383098654</v>
      </c>
      <c r="F3886" t="n">
        <v>0.1554588152533356</v>
      </c>
    </row>
    <row r="3887">
      <c r="A3887" t="inlineStr">
        <is>
          <t>G|REV_DEBT x ASSET_CLASS|where 2023|ranr_rate|book|4</t>
        </is>
      </c>
      <c r="B3887" t="n">
        <v>3.621823442</v>
      </c>
      <c r="C3887" t="n">
        <v>1.646731359</v>
      </c>
      <c r="D3887" t="n">
        <v>4.43595654</v>
      </c>
      <c r="E3887" t="n">
        <v>1.530333345</v>
      </c>
      <c r="F3887" t="n">
        <v>2.746876561</v>
      </c>
    </row>
    <row r="3888">
      <c r="A3888" t="inlineStr">
        <is>
          <t>G|REV_DEBT x ASSET_CLASS|where 2023|ranr_rate|band|4</t>
        </is>
      </c>
      <c r="B3888" t="n">
        <v>1.13762787</v>
      </c>
      <c r="C3888" t="n">
        <v>-1.475399817</v>
      </c>
      <c r="D3888" t="n">
        <v>2.229195559</v>
      </c>
      <c r="E3888" t="n">
        <v>-1.672143788</v>
      </c>
    </row>
    <row r="3889">
      <c r="A3889" t="inlineStr">
        <is>
          <t>G|REV_DEBT x ASSET_CLASS|where 2023|ranr_rate|rate|5</t>
        </is>
      </c>
      <c r="B3889" t="n">
        <v>0.2127997582846562</v>
      </c>
      <c r="C3889" t="n">
        <v>0.2121899011114519</v>
      </c>
      <c r="D3889" t="n">
        <v>0.2041436443578721</v>
      </c>
      <c r="E3889" t="n">
        <v>0.1700399208975873</v>
      </c>
      <c r="F3889" t="n">
        <v>0.1982046211523345</v>
      </c>
    </row>
    <row r="3890">
      <c r="A3890" t="inlineStr">
        <is>
          <t>G|REV_DEBT x ASSET_CLASS|where 2023|ranr_rate|book|5</t>
        </is>
      </c>
      <c r="B3890" t="n">
        <v>8.480970864</v>
      </c>
      <c r="C3890" t="n">
        <v>8.419985146</v>
      </c>
      <c r="D3890" t="n">
        <v>7.615359471</v>
      </c>
      <c r="E3890" t="n">
        <v>4.204987125</v>
      </c>
      <c r="F3890" t="n">
        <v>7.02145715</v>
      </c>
    </row>
    <row r="3891">
      <c r="A3891" t="inlineStr">
        <is>
          <t>G|REV_DEBT x ASSET_CLASS|where 2023|ranr_rate|band|5</t>
        </is>
      </c>
      <c r="B3891" t="n">
        <v>2.048112214</v>
      </c>
      <c r="C3891" t="n">
        <v>1.690116742</v>
      </c>
      <c r="D3891" t="n">
        <v>0.794299365</v>
      </c>
      <c r="E3891" t="n">
        <v>-3.954573455</v>
      </c>
    </row>
    <row r="3892">
      <c r="A3892" t="inlineStr">
        <is>
          <t>G|REV_DEBT x ASSET_CLASS|where 2023|ranr_rate|rate|6</t>
        </is>
      </c>
      <c r="B3892" t="n">
        <v>0.1587278574354548</v>
      </c>
      <c r="C3892" t="n">
        <v>0.1529480229945828</v>
      </c>
      <c r="D3892" t="n">
        <v>0.1558239760490648</v>
      </c>
      <c r="E3892" t="n">
        <v>0.1411732506754115</v>
      </c>
      <c r="F3892" t="n">
        <v>0.151807487232064</v>
      </c>
    </row>
    <row r="3893">
      <c r="A3893" t="inlineStr">
        <is>
          <t>G|REV_DEBT x ASSET_CLASS|where 2023|ranr_rate|book|6</t>
        </is>
      </c>
      <c r="B3893" t="n">
        <v>3.073780779</v>
      </c>
      <c r="C3893" t="n">
        <v>2.495797335</v>
      </c>
      <c r="D3893" t="n">
        <v>2.78339264</v>
      </c>
      <c r="E3893" t="n">
        <v>1.318320103</v>
      </c>
      <c r="F3893" t="n">
        <v>2.381743758</v>
      </c>
    </row>
    <row r="3894">
      <c r="A3894" t="inlineStr">
        <is>
          <t>G|REV_DEBT x ASSET_CLASS|where 2023|ranr_rate|band|6</t>
        </is>
      </c>
    </row>
    <row r="3895">
      <c r="A3895" t="inlineStr">
        <is>
          <t>G|REV_DEBT x ASSET_CLASS|where 2023|ranr_rate|meta</t>
        </is>
      </c>
      <c r="B3895" t="inlineStr">
        <is>
          <t>pts</t>
        </is>
      </c>
      <c r="C3895" t="n">
        <v>8.480970864</v>
      </c>
      <c r="D3895" t="n">
        <v>10</v>
      </c>
      <c r="E3895" t="n">
        <v>0.1279900496481481</v>
      </c>
      <c r="F3895" t="n">
        <v>30</v>
      </c>
    </row>
    <row r="3896">
      <c r="A3896" t="inlineStr">
        <is>
          <t>G|REV_DEBT x ASSET_CLASS|where 2023|contribution_rate|rate|1</t>
        </is>
      </c>
      <c r="B3896" t="n">
        <v>0.1307443371803308</v>
      </c>
      <c r="C3896" t="n">
        <v>0.145846968922636</v>
      </c>
      <c r="D3896" t="n">
        <v>0.1433601161028031</v>
      </c>
      <c r="E3896" t="n">
        <v>0.1448737496218387</v>
      </c>
      <c r="F3896" t="n">
        <v>0.1413978809461726</v>
      </c>
    </row>
    <row r="3897">
      <c r="A3897" t="inlineStr">
        <is>
          <t>G|REV_DEBT x ASSET_CLASS|where 2023|contribution_rate|book|1</t>
        </is>
      </c>
      <c r="B3897" t="n">
        <v>-3.884811855</v>
      </c>
      <c r="C3897" t="n">
        <v>-2.374548681</v>
      </c>
      <c r="D3897" t="n">
        <v>-2.623233963</v>
      </c>
      <c r="E3897" t="n">
        <v>-2.471870611</v>
      </c>
      <c r="F3897" t="n">
        <v>-2.819457479</v>
      </c>
    </row>
    <row r="3898">
      <c r="A3898" t="inlineStr">
        <is>
          <t>G|REV_DEBT x ASSET_CLASS|where 2023|contribution_rate|band|1</t>
        </is>
      </c>
      <c r="B3898" t="n">
        <v>-1.394601285</v>
      </c>
      <c r="C3898" t="n">
        <v>0.592991653</v>
      </c>
      <c r="D3898" t="n">
        <v>0.262725307</v>
      </c>
      <c r="E3898" t="n">
        <v>0.470391306</v>
      </c>
    </row>
    <row r="3899">
      <c r="A3899" t="inlineStr">
        <is>
          <t>G|REV_DEBT x ASSET_CLASS|where 2023|contribution_rate|rate|2</t>
        </is>
      </c>
      <c r="B3899" t="n">
        <v>0.1633990686449139</v>
      </c>
      <c r="C3899" t="n">
        <v>0.157271119433646</v>
      </c>
      <c r="D3899" t="n">
        <v>0.1585203253437433</v>
      </c>
      <c r="E3899" t="n">
        <v>0.1682639179718204</v>
      </c>
      <c r="F3899" t="n">
        <v>0.1616522149888486</v>
      </c>
    </row>
    <row r="3900">
      <c r="A3900" t="inlineStr">
        <is>
          <t>G|REV_DEBT x ASSET_CLASS|where 2023|contribution_rate|book|2</t>
        </is>
      </c>
      <c r="B3900" t="n">
        <v>-0.619338709</v>
      </c>
      <c r="C3900" t="n">
        <v>-1.23213363</v>
      </c>
      <c r="D3900" t="n">
        <v>-1.107213039</v>
      </c>
      <c r="E3900" t="n">
        <v>-0.132853776</v>
      </c>
      <c r="F3900" t="n">
        <v>-0.7940240750000001</v>
      </c>
    </row>
    <row r="3901">
      <c r="A3901" t="inlineStr">
        <is>
          <t>G|REV_DEBT x ASSET_CLASS|where 2023|contribution_rate|band|2</t>
        </is>
      </c>
      <c r="B3901" t="n">
        <v>0.217575196</v>
      </c>
      <c r="C3901" t="n">
        <v>-0.630283711</v>
      </c>
      <c r="D3901" t="n">
        <v>-0.410016309</v>
      </c>
      <c r="E3901" t="n">
        <v>0.895673386</v>
      </c>
    </row>
    <row r="3902">
      <c r="A3902" t="inlineStr">
        <is>
          <t>G|REV_DEBT x ASSET_CLASS|where 2023|contribution_rate|rate|3</t>
        </is>
      </c>
      <c r="B3902" t="n">
        <v>0.175165758942206</v>
      </c>
      <c r="C3902" t="n">
        <v>0.1839462110069404</v>
      </c>
      <c r="D3902" t="n">
        <v>0.1835226002026502</v>
      </c>
      <c r="E3902" t="n">
        <v>0.179292928504867</v>
      </c>
      <c r="F3902" t="n">
        <v>0.1802948689646152</v>
      </c>
    </row>
    <row r="3903">
      <c r="A3903" t="inlineStr">
        <is>
          <t>G|REV_DEBT x ASSET_CLASS|where 2023|contribution_rate|book|3</t>
        </is>
      </c>
      <c r="B3903" t="n">
        <v>0.557330321</v>
      </c>
      <c r="C3903" t="n">
        <v>1.435375527</v>
      </c>
      <c r="D3903" t="n">
        <v>1.393014447</v>
      </c>
      <c r="E3903" t="n">
        <v>0.970047277</v>
      </c>
      <c r="F3903" t="n">
        <v>1.070241323</v>
      </c>
    </row>
    <row r="3904">
      <c r="A3904" t="inlineStr">
        <is>
          <t>G|REV_DEBT x ASSET_CLASS|where 2023|contribution_rate|band|3</t>
        </is>
      </c>
      <c r="B3904" t="n">
        <v>-0.683328403</v>
      </c>
      <c r="C3904" t="n">
        <v>0.465073164</v>
      </c>
      <c r="D3904" t="n">
        <v>0.426848527</v>
      </c>
      <c r="E3904" t="n">
        <v>-0.141496109</v>
      </c>
    </row>
    <row r="3905">
      <c r="A3905" t="inlineStr">
        <is>
          <t>G|REV_DEBT x ASSET_CLASS|where 2023|contribution_rate|rate|4</t>
        </is>
      </c>
      <c r="B3905" t="n">
        <v>0.2092076708556775</v>
      </c>
      <c r="C3905" t="n">
        <v>0.2085534923866427</v>
      </c>
      <c r="D3905" t="n">
        <v>0.2064518926941021</v>
      </c>
      <c r="E3905" t="n">
        <v>0.2185399114590856</v>
      </c>
      <c r="F3905" t="n">
        <v>0.210916292760592</v>
      </c>
    </row>
    <row r="3906">
      <c r="A3906" t="inlineStr">
        <is>
          <t>G|REV_DEBT x ASSET_CLASS|where 2023|contribution_rate|book|4</t>
        </is>
      </c>
      <c r="B3906" t="n">
        <v>3.961521512</v>
      </c>
      <c r="C3906" t="n">
        <v>3.896103665</v>
      </c>
      <c r="D3906" t="n">
        <v>3.685943696</v>
      </c>
      <c r="E3906" t="n">
        <v>4.894745572</v>
      </c>
      <c r="F3906" t="n">
        <v>4.132383703</v>
      </c>
    </row>
    <row r="3907">
      <c r="A3907" t="inlineStr">
        <is>
          <t>G|REV_DEBT x ASSET_CLASS|where 2023|contribution_rate|band|4</t>
        </is>
      </c>
      <c r="B3907" t="n">
        <v>-0.222159304</v>
      </c>
      <c r="C3907" t="n">
        <v>-0.316874103</v>
      </c>
      <c r="D3907" t="n">
        <v>-0.589197724</v>
      </c>
      <c r="E3907" t="n">
        <v>1.04786961</v>
      </c>
    </row>
    <row r="3908">
      <c r="A3908" t="inlineStr">
        <is>
          <t>G|REV_DEBT x ASSET_CLASS|where 2023|contribution_rate|rate|5</t>
        </is>
      </c>
      <c r="B3908" t="n">
        <v>0.2692310921611188</v>
      </c>
      <c r="C3908" t="n">
        <v>0.2518779568584231</v>
      </c>
      <c r="D3908" t="n">
        <v>0.2603791942126172</v>
      </c>
      <c r="E3908" t="n">
        <v>0.2546394073080772</v>
      </c>
      <c r="F3908" t="n">
        <v>0.25980454420928</v>
      </c>
    </row>
    <row r="3909">
      <c r="A3909" t="inlineStr">
        <is>
          <t>G|REV_DEBT x ASSET_CLASS|where 2023|contribution_rate|book|5</t>
        </is>
      </c>
      <c r="B3909" t="n">
        <v>9.963863643</v>
      </c>
      <c r="C3909" t="n">
        <v>8.228550112000001</v>
      </c>
      <c r="D3909" t="n">
        <v>9.078673847999999</v>
      </c>
      <c r="E3909" t="n">
        <v>8.504695157</v>
      </c>
      <c r="F3909" t="n">
        <v>9.021208847</v>
      </c>
    </row>
    <row r="3910">
      <c r="A3910" t="inlineStr">
        <is>
          <t>G|REV_DEBT x ASSET_CLASS|where 2023|contribution_rate|band|5</t>
        </is>
      </c>
      <c r="B3910" t="n">
        <v>1.322812374</v>
      </c>
      <c r="C3910" t="n">
        <v>-0.957925621</v>
      </c>
      <c r="D3910" t="n">
        <v>0.076855085</v>
      </c>
      <c r="E3910" t="n">
        <v>-0.725230984</v>
      </c>
    </row>
    <row r="3911">
      <c r="A3911" t="inlineStr">
        <is>
          <t>G|REV_DEBT x ASSET_CLASS|where 2023|contribution_rate|rate|6</t>
        </is>
      </c>
      <c r="B3911" t="n">
        <v>0.1938797210893883</v>
      </c>
      <c r="C3911" t="n">
        <v>0.1842351906576501</v>
      </c>
      <c r="D3911" t="n">
        <v>0.1909147947673603</v>
      </c>
      <c r="E3911" t="n">
        <v>0.1943517546377216</v>
      </c>
      <c r="F3911" t="n">
        <v>0.1909716714812922</v>
      </c>
    </row>
    <row r="3912">
      <c r="A3912" t="inlineStr">
        <is>
          <t>G|REV_DEBT x ASSET_CLASS|where 2023|contribution_rate|book|6</t>
        </is>
      </c>
      <c r="B3912" t="n">
        <v>2.428726535</v>
      </c>
      <c r="C3912" t="n">
        <v>1.464273492</v>
      </c>
      <c r="D3912" t="n">
        <v>2.132233903</v>
      </c>
      <c r="E3912" t="n">
        <v>2.47592989</v>
      </c>
      <c r="F3912" t="n">
        <v>2.137921575</v>
      </c>
    </row>
    <row r="3913">
      <c r="A3913" t="inlineStr">
        <is>
          <t>G|REV_DEBT x ASSET_CLASS|where 2023|contribution_rate|band|6</t>
        </is>
      </c>
    </row>
    <row r="3914">
      <c r="A3914" t="inlineStr">
        <is>
          <t>G|REV_DEBT x ASSET_CLASS|where 2023|contribution_rate|meta</t>
        </is>
      </c>
      <c r="B3914" t="inlineStr">
        <is>
          <t>pts</t>
        </is>
      </c>
      <c r="C3914" t="n">
        <v>9.963863643</v>
      </c>
      <c r="D3914" t="n">
        <v>10</v>
      </c>
      <c r="E3914" t="n">
        <v>0.1695924557349815</v>
      </c>
      <c r="F3914" t="n">
        <v>30</v>
      </c>
    </row>
    <row r="3915">
      <c r="A3915" t="inlineStr">
        <is>
          <t>G|REV_DEBT x ASSET_CLASS|where 2023|loan_size|rate|1</t>
        </is>
      </c>
      <c r="B3915" t="n">
        <v>30569.96153846154</v>
      </c>
      <c r="C3915" t="n">
        <v>32755.43142857143</v>
      </c>
      <c r="D3915" t="n">
        <v>33201.56532467533</v>
      </c>
      <c r="E3915" t="n">
        <v>33376.86455696202</v>
      </c>
      <c r="F3915" t="n">
        <v>32475.62073954984</v>
      </c>
    </row>
    <row r="3916">
      <c r="A3916" t="inlineStr">
        <is>
          <t>G|REV_DEBT x ASSET_CLASS|where 2023|loan_size|median|1</t>
        </is>
      </c>
      <c r="B3916" t="n">
        <v>31993.265</v>
      </c>
      <c r="C3916" t="n">
        <v>31772.69</v>
      </c>
      <c r="D3916" t="n">
        <v>32575.46</v>
      </c>
      <c r="E3916" t="n">
        <v>36753.26</v>
      </c>
      <c r="F3916" t="n">
        <v>32453.05</v>
      </c>
    </row>
    <row r="3917">
      <c r="A3917" t="inlineStr">
        <is>
          <t>G|REV_DEBT x ASSET_CLASS|where 2023|loan_size|book|1</t>
        </is>
      </c>
      <c r="B3917" t="n">
        <v>0.9475359196673264</v>
      </c>
      <c r="C3917" t="n">
        <v>1.015275985994369</v>
      </c>
      <c r="D3917" t="n">
        <v>1.029104197423674</v>
      </c>
      <c r="E3917" t="n">
        <v>1.034537711596493</v>
      </c>
      <c r="F3917" t="n">
        <v>1.006603070975446</v>
      </c>
    </row>
    <row r="3918">
      <c r="A3918" t="inlineStr">
        <is>
          <t>G|REV_DEBT x ASSET_CLASS|where 2023|loan_size|band|1</t>
        </is>
      </c>
      <c r="B3918" t="n">
        <v>0.923185405551563</v>
      </c>
      <c r="C3918" t="n">
        <v>1.011483768432312</v>
      </c>
      <c r="D3918" t="n">
        <v>1.029929321022184</v>
      </c>
      <c r="E3918" t="n">
        <v>1.037556123999748</v>
      </c>
    </row>
    <row r="3919">
      <c r="A3919" t="inlineStr">
        <is>
          <t>G|REV_DEBT x ASSET_CLASS|where 2023|loan_size|rate|2</t>
        </is>
      </c>
      <c r="B3919" t="n">
        <v>28767.99065789474</v>
      </c>
      <c r="C3919" t="n">
        <v>32236.25766990291</v>
      </c>
      <c r="D3919" t="n">
        <v>35228.7290410959</v>
      </c>
      <c r="E3919" t="n">
        <v>31331.4467032967</v>
      </c>
      <c r="F3919" t="n">
        <v>31864.60845481049</v>
      </c>
    </row>
    <row r="3920">
      <c r="A3920" t="inlineStr">
        <is>
          <t>G|REV_DEBT x ASSET_CLASS|where 2023|loan_size|median|2</t>
        </is>
      </c>
      <c r="B3920" t="n">
        <v>26198.185</v>
      </c>
      <c r="C3920" t="n">
        <v>31471.19</v>
      </c>
      <c r="D3920" t="n">
        <v>35922.94</v>
      </c>
      <c r="E3920" t="n">
        <v>31928.12</v>
      </c>
      <c r="F3920" t="n">
        <v>31275.97</v>
      </c>
    </row>
    <row r="3921">
      <c r="A3921" t="inlineStr">
        <is>
          <t>G|REV_DEBT x ASSET_CLASS|where 2023|loan_size|book|2</t>
        </is>
      </c>
      <c r="B3921" t="n">
        <v>0.8916826555608798</v>
      </c>
      <c r="C3921" t="n">
        <v>0.9991838563308041</v>
      </c>
      <c r="D3921" t="n">
        <v>1.091937460525368</v>
      </c>
      <c r="E3921" t="n">
        <v>0.971138649591187</v>
      </c>
      <c r="F3921" t="n">
        <v>0.9876643462269664</v>
      </c>
    </row>
    <row r="3922">
      <c r="A3922" t="inlineStr">
        <is>
          <t>G|REV_DEBT x ASSET_CLASS|where 2023|loan_size|band|2</t>
        </is>
      </c>
      <c r="B3922" t="n">
        <v>0.8785180820628666</v>
      </c>
      <c r="C3922" t="n">
        <v>1.016752778547549</v>
      </c>
      <c r="D3922" t="n">
        <v>1.138060805115699</v>
      </c>
      <c r="E3922" t="n">
        <v>0.9773625343787357</v>
      </c>
    </row>
    <row r="3923">
      <c r="A3923" t="inlineStr">
        <is>
          <t>G|REV_DEBT x ASSET_CLASS|where 2023|loan_size|rate|3</t>
        </is>
      </c>
      <c r="B3923" t="n">
        <v>32447.98222222222</v>
      </c>
      <c r="C3923" t="n">
        <v>33800.80089552239</v>
      </c>
      <c r="D3923" t="n">
        <v>32943.36525641026</v>
      </c>
      <c r="E3923" t="n">
        <v>30762.066</v>
      </c>
      <c r="F3923" t="n">
        <v>32327.39052147239</v>
      </c>
    </row>
    <row r="3924">
      <c r="A3924" t="inlineStr">
        <is>
          <t>G|REV_DEBT x ASSET_CLASS|where 2023|loan_size|median|3</t>
        </is>
      </c>
      <c r="B3924" t="n">
        <v>33315.99</v>
      </c>
      <c r="C3924" t="n">
        <v>36988.01</v>
      </c>
      <c r="D3924" t="n">
        <v>33199.665</v>
      </c>
      <c r="E3924" t="n">
        <v>30165.995</v>
      </c>
      <c r="F3924" t="n">
        <v>33262.795</v>
      </c>
    </row>
    <row r="3925">
      <c r="A3925" t="inlineStr">
        <is>
          <t>G|REV_DEBT x ASSET_CLASS|where 2023|loan_size|book|3</t>
        </is>
      </c>
      <c r="B3925" t="n">
        <v>1.005746397083289</v>
      </c>
      <c r="C3925" t="n">
        <v>1.047677895235023</v>
      </c>
      <c r="D3925" t="n">
        <v>1.021101117706551</v>
      </c>
      <c r="E3925" t="n">
        <v>0.9534903228943972</v>
      </c>
      <c r="F3925" t="n">
        <v>1.002008578573753</v>
      </c>
    </row>
    <row r="3926">
      <c r="A3926" t="inlineStr">
        <is>
          <t>G|REV_DEBT x ASSET_CLASS|where 2023|loan_size|band|3</t>
        </is>
      </c>
      <c r="B3926" t="n">
        <v>1.004969746408246</v>
      </c>
      <c r="C3926" t="n">
        <v>1.058052621496191</v>
      </c>
      <c r="D3926" t="n">
        <v>1.025198150834137</v>
      </c>
      <c r="E3926" t="n">
        <v>0.93161886216893</v>
      </c>
    </row>
    <row r="3927">
      <c r="A3927" t="inlineStr">
        <is>
          <t>G|REV_DEBT x ASSET_CLASS|where 2023|loan_size|rate|4</t>
        </is>
      </c>
      <c r="B3927" t="n">
        <v>32612.98931506849</v>
      </c>
      <c r="C3927" t="n">
        <v>34965.52906666667</v>
      </c>
      <c r="D3927" t="n">
        <v>35185.62225352113</v>
      </c>
      <c r="E3927" t="n">
        <v>31214.26988888889</v>
      </c>
      <c r="F3927" t="n">
        <v>33367.72288025889</v>
      </c>
    </row>
    <row r="3928">
      <c r="A3928" t="inlineStr">
        <is>
          <t>G|REV_DEBT x ASSET_CLASS|where 2023|loan_size|median|4</t>
        </is>
      </c>
      <c r="B3928" t="n">
        <v>30487.57</v>
      </c>
      <c r="C3928" t="n">
        <v>37795.79</v>
      </c>
      <c r="D3928" t="n">
        <v>36665.37</v>
      </c>
      <c r="E3928" t="n">
        <v>29920.495</v>
      </c>
      <c r="F3928" t="n">
        <v>33261.49</v>
      </c>
    </row>
    <row r="3929">
      <c r="A3929" t="inlineStr">
        <is>
          <t>G|REV_DEBT x ASSET_CLASS|where 2023|loan_size|book|4</t>
        </is>
      </c>
      <c r="B3929" t="n">
        <v>1.010860899673519</v>
      </c>
      <c r="C3929" t="n">
        <v>1.083779405451813</v>
      </c>
      <c r="D3929" t="n">
        <v>1.090601337496322</v>
      </c>
      <c r="E3929" t="n">
        <v>0.9675066777136985</v>
      </c>
      <c r="F3929" t="n">
        <v>1.034254359357685</v>
      </c>
    </row>
    <row r="3930">
      <c r="A3930" t="inlineStr">
        <is>
          <t>G|REV_DEBT x ASSET_CLASS|where 2023|loan_size|band|4</t>
        </is>
      </c>
      <c r="B3930" t="n">
        <v>0.9705906361696321</v>
      </c>
      <c r="C3930" t="n">
        <v>1.064218069364841</v>
      </c>
      <c r="D3930" t="n">
        <v>1.071902042046063</v>
      </c>
      <c r="E3930" t="n">
        <v>0.9112936102317664</v>
      </c>
    </row>
    <row r="3931">
      <c r="A3931" t="inlineStr">
        <is>
          <t>G|REV_DEBT x ASSET_CLASS|where 2023|loan_size|rate|5</t>
        </is>
      </c>
      <c r="B3931" t="n">
        <v>34485.34227272728</v>
      </c>
      <c r="C3931" t="n">
        <v>28465.96359375</v>
      </c>
      <c r="D3931" t="n">
        <v>34599.36909090909</v>
      </c>
      <c r="E3931" t="n">
        <v>32330.025</v>
      </c>
      <c r="F3931" t="n">
        <v>32692.58687306502</v>
      </c>
    </row>
    <row r="3932">
      <c r="A3932" t="inlineStr">
        <is>
          <t>G|REV_DEBT x ASSET_CLASS|where 2023|loan_size|median|5</t>
        </is>
      </c>
      <c r="B3932" t="n">
        <v>36644.71</v>
      </c>
      <c r="C3932" t="n">
        <v>27167.43</v>
      </c>
      <c r="D3932" t="n">
        <v>35853.91</v>
      </c>
      <c r="E3932" t="n">
        <v>33864</v>
      </c>
      <c r="F3932" t="n">
        <v>33360.67</v>
      </c>
    </row>
    <row r="3933">
      <c r="A3933" t="inlineStr">
        <is>
          <t>G|REV_DEBT x ASSET_CLASS|where 2023|loan_size|book|5</t>
        </is>
      </c>
      <c r="B3933" t="n">
        <v>1.068895702218002</v>
      </c>
      <c r="C3933" t="n">
        <v>0.8823211294880142</v>
      </c>
      <c r="D3933" t="n">
        <v>1.07243003790556</v>
      </c>
      <c r="E3933" t="n">
        <v>1.002090235955996</v>
      </c>
      <c r="F3933" t="n">
        <v>1.01332807795978</v>
      </c>
    </row>
    <row r="3934">
      <c r="A3934" t="inlineStr">
        <is>
          <t>G|REV_DEBT x ASSET_CLASS|where 2023|loan_size|band|5</t>
        </is>
      </c>
      <c r="B3934" t="n">
        <v>1.07695154086245</v>
      </c>
      <c r="C3934" t="n">
        <v>0.8437608766144007</v>
      </c>
      <c r="D3934" t="n">
        <v>1.07800474107871</v>
      </c>
      <c r="E3934" t="n">
        <v>0.9844286108415939</v>
      </c>
    </row>
    <row r="3935">
      <c r="A3935" t="inlineStr">
        <is>
          <t>G|REV_DEBT x ASSET_CLASS|where 2023|loan_size|rate|6</t>
        </is>
      </c>
      <c r="B3935" t="n">
        <v>31854.9727020202</v>
      </c>
      <c r="C3935" t="n">
        <v>32516.56158031088</v>
      </c>
      <c r="D3935" t="n">
        <v>34202.47563829787</v>
      </c>
      <c r="E3935" t="n">
        <v>31745.47839207048</v>
      </c>
      <c r="F3935" t="n">
        <v>32530.11165632755</v>
      </c>
    </row>
    <row r="3936">
      <c r="A3936" t="inlineStr">
        <is>
          <t>G|REV_DEBT x ASSET_CLASS|where 2023|loan_size|median|6</t>
        </is>
      </c>
      <c r="B3936" t="n">
        <v>31632.31</v>
      </c>
      <c r="C3936" t="n">
        <v>32373.84</v>
      </c>
      <c r="D3936" t="n">
        <v>35527.47500000001</v>
      </c>
      <c r="E3936" t="n">
        <v>31808.025</v>
      </c>
      <c r="F3936" t="n">
        <v>32687.82</v>
      </c>
    </row>
    <row r="3937">
      <c r="A3937" t="inlineStr">
        <is>
          <t>G|REV_DEBT x ASSET_CLASS|where 2023|loan_size|book|6</t>
        </is>
      </c>
      <c r="B3937" t="n">
        <v>0.9873656797772115</v>
      </c>
      <c r="C3937" t="n">
        <v>1.007872059068665</v>
      </c>
      <c r="D3937" t="n">
        <v>1.060128066175672</v>
      </c>
      <c r="E3937" t="n">
        <v>0.9839718321419761</v>
      </c>
      <c r="F3937" t="n">
        <v>1.008292052522823</v>
      </c>
    </row>
    <row r="3938">
      <c r="A3938" t="inlineStr">
        <is>
          <t>G|REV_DEBT x ASSET_CLASS|where 2023|loan_size|band|6</t>
        </is>
      </c>
    </row>
    <row r="3939">
      <c r="A3939" t="inlineStr">
        <is>
          <t>G|REV_DEBT x ASSET_CLASS|where 2023|loan_size|meta</t>
        </is>
      </c>
      <c r="B3939" t="inlineStr">
        <is>
          <t>size</t>
        </is>
      </c>
      <c r="C3939" t="n">
        <v>1</v>
      </c>
      <c r="E3939" t="n">
        <v>32262.58857732217</v>
      </c>
      <c r="F3939" t="n">
        <v>30</v>
      </c>
    </row>
    <row r="3940">
      <c r="A3940" t="inlineStr">
        <is>
          <t>G|REV_DEBT x ASSET_CLASS|where 2024|cols</t>
        </is>
      </c>
      <c r="B3940" t="inlineStr">
        <is>
          <t>1</t>
        </is>
      </c>
      <c r="C3940" t="inlineStr">
        <is>
          <t>2</t>
        </is>
      </c>
      <c r="D3940" t="inlineStr">
        <is>
          <t>3</t>
        </is>
      </c>
      <c r="E3940" t="inlineStr">
        <is>
          <t>4</t>
        </is>
      </c>
      <c r="F3940" t="inlineStr">
        <is>
          <t>All</t>
        </is>
      </c>
    </row>
    <row r="3941">
      <c r="A3941" t="inlineStr">
        <is>
          <t>G|REV_DEBT x ASSET_CLASS|where 2024|heads</t>
        </is>
      </c>
      <c r="B3941" t="inlineStr">
        <is>
          <t>1</t>
        </is>
      </c>
      <c r="C3941" t="inlineStr">
        <is>
          <t>2</t>
        </is>
      </c>
      <c r="D3941" t="inlineStr">
        <is>
          <t>3</t>
        </is>
      </c>
      <c r="E3941" t="inlineStr">
        <is>
          <t>4</t>
        </is>
      </c>
      <c r="F3941" t="inlineStr">
        <is>
          <t>All</t>
        </is>
      </c>
    </row>
    <row r="3942">
      <c r="A3942" t="inlineStr">
        <is>
          <t>G|REV_DEBT x ASSET_CLASS|where 2024|segs</t>
        </is>
      </c>
    </row>
    <row r="3943">
      <c r="A3943" t="inlineStr">
        <is>
          <t>G|REV_DEBT x ASSET_CLASS|where 2024|rows</t>
        </is>
      </c>
      <c r="B3943" t="inlineStr">
        <is>
          <t>0 - 6,558</t>
        </is>
      </c>
      <c r="C3943" t="inlineStr">
        <is>
          <t>6,559 - 9,836</t>
        </is>
      </c>
      <c r="D3943" t="inlineStr">
        <is>
          <t>9,837 - 13,051</t>
        </is>
      </c>
      <c r="E3943" t="inlineStr">
        <is>
          <t>13,052 - 17,186</t>
        </is>
      </c>
      <c r="F3943" t="inlineStr">
        <is>
          <t>17,187 - 48,521</t>
        </is>
      </c>
      <c r="G3943" t="inlineStr">
        <is>
          <t>All</t>
        </is>
      </c>
    </row>
    <row r="3944">
      <c r="A3944" t="inlineStr">
        <is>
          <t>G|REV_DEBT x ASSET_CLASS|where 2024|names</t>
        </is>
      </c>
      <c r="B3944" t="inlineStr">
        <is>
          <t>REV_DEBT</t>
        </is>
      </c>
      <c r="C3944" t="inlineStr">
        <is>
          <t>ASSET_CLASS</t>
        </is>
      </c>
    </row>
    <row r="3945">
      <c r="A3945" t="inlineStr">
        <is>
          <t>G|REV_DEBT x ASSET_CLASS|where 2024|total</t>
        </is>
      </c>
      <c r="B3945" t="n">
        <v>1733</v>
      </c>
    </row>
    <row r="3946">
      <c r="A3946" t="inlineStr">
        <is>
          <t>G|REV_DEBT x ASSET_CLASS|where 2024|loans|1</t>
        </is>
      </c>
      <c r="B3946" t="n">
        <v>82</v>
      </c>
      <c r="C3946" t="n">
        <v>102</v>
      </c>
      <c r="D3946" t="n">
        <v>86</v>
      </c>
      <c r="E3946" t="n">
        <v>94</v>
      </c>
      <c r="F3946" t="n">
        <v>364</v>
      </c>
    </row>
    <row r="3947">
      <c r="A3947" t="inlineStr">
        <is>
          <t>G|REV_DEBT x ASSET_CLASS|where 2024|loans|2</t>
        </is>
      </c>
      <c r="B3947" t="n">
        <v>71</v>
      </c>
      <c r="C3947" t="n">
        <v>87</v>
      </c>
      <c r="D3947" t="n">
        <v>89</v>
      </c>
      <c r="E3947" t="n">
        <v>93</v>
      </c>
      <c r="F3947" t="n">
        <v>340</v>
      </c>
    </row>
    <row r="3948">
      <c r="A3948" t="inlineStr">
        <is>
          <t>G|REV_DEBT x ASSET_CLASS|where 2024|loans|3</t>
        </is>
      </c>
      <c r="B3948" t="n">
        <v>87</v>
      </c>
      <c r="C3948" t="n">
        <v>81</v>
      </c>
      <c r="D3948" t="n">
        <v>86</v>
      </c>
      <c r="E3948" t="n">
        <v>79</v>
      </c>
      <c r="F3948" t="n">
        <v>333</v>
      </c>
    </row>
    <row r="3949">
      <c r="A3949" t="inlineStr">
        <is>
          <t>G|REV_DEBT x ASSET_CLASS|where 2024|loans|4</t>
        </is>
      </c>
      <c r="B3949" t="n">
        <v>87</v>
      </c>
      <c r="C3949" t="n">
        <v>100</v>
      </c>
      <c r="D3949" t="n">
        <v>66</v>
      </c>
      <c r="E3949" t="n">
        <v>89</v>
      </c>
      <c r="F3949" t="n">
        <v>342</v>
      </c>
    </row>
    <row r="3950">
      <c r="A3950" t="inlineStr">
        <is>
          <t>G|REV_DEBT x ASSET_CLASS|where 2024|loans|5</t>
        </is>
      </c>
      <c r="B3950" t="n">
        <v>80</v>
      </c>
      <c r="C3950" t="n">
        <v>94</v>
      </c>
      <c r="D3950" t="n">
        <v>80</v>
      </c>
      <c r="E3950" t="n">
        <v>100</v>
      </c>
      <c r="F3950" t="n">
        <v>354</v>
      </c>
    </row>
    <row r="3951">
      <c r="A3951" t="inlineStr">
        <is>
          <t>G|REV_DEBT x ASSET_CLASS|where 2024|loans|6</t>
        </is>
      </c>
      <c r="B3951" t="n">
        <v>407</v>
      </c>
      <c r="C3951" t="n">
        <v>464</v>
      </c>
      <c r="D3951" t="n">
        <v>407</v>
      </c>
      <c r="E3951" t="n">
        <v>455</v>
      </c>
      <c r="F3951" t="n">
        <v>1733</v>
      </c>
    </row>
    <row r="3952">
      <c r="A3952" t="inlineStr">
        <is>
          <t>G|REV_DEBT x ASSET_CLASS|where 2024|outcome_loans|rate|1</t>
        </is>
      </c>
      <c r="B3952" t="n">
        <v>0.03658536585365853</v>
      </c>
      <c r="C3952" t="n">
        <v>0.07843137254901961</v>
      </c>
      <c r="D3952" t="n">
        <v>0.03488372093023256</v>
      </c>
      <c r="E3952" t="n">
        <v>0.05319148936170213</v>
      </c>
      <c r="F3952" t="n">
        <v>0.0521978021978022</v>
      </c>
    </row>
    <row r="3953">
      <c r="A3953" t="inlineStr">
        <is>
          <t>G|REV_DEBT x ASSET_CLASS|where 2024|outcome_loans|book|1</t>
        </is>
      </c>
      <c r="F3953" t="n">
        <v>0.6745237799357348</v>
      </c>
    </row>
    <row r="3954">
      <c r="A3954" t="inlineStr">
        <is>
          <t>G|REV_DEBT x ASSET_CLASS|where 2024|outcome_loans|band|1</t>
        </is>
      </c>
    </row>
    <row r="3955">
      <c r="A3955" t="inlineStr">
        <is>
          <t>G|REV_DEBT x ASSET_CLASS|where 2024|outcome_loans|rate|2</t>
        </is>
      </c>
      <c r="B3955" t="n">
        <v>0.01408450704225352</v>
      </c>
      <c r="C3955" t="n">
        <v>0.02298850574712644</v>
      </c>
      <c r="D3955" t="n">
        <v>0.03370786516853932</v>
      </c>
      <c r="E3955" t="n">
        <v>0.06451612903225806</v>
      </c>
      <c r="F3955" t="n">
        <v>0.03529411764705882</v>
      </c>
    </row>
    <row r="3956">
      <c r="A3956" t="inlineStr">
        <is>
          <t>G|REV_DEBT x ASSET_CLASS|where 2024|outcome_loans|book|2</t>
        </is>
      </c>
      <c r="F3956" t="n">
        <v>0.4560866673001995</v>
      </c>
    </row>
    <row r="3957">
      <c r="A3957" t="inlineStr">
        <is>
          <t>G|REV_DEBT x ASSET_CLASS|where 2024|outcome_loans|band|2</t>
        </is>
      </c>
    </row>
    <row r="3958">
      <c r="A3958" t="inlineStr">
        <is>
          <t>G|REV_DEBT x ASSET_CLASS|where 2024|outcome_loans|rate|3</t>
        </is>
      </c>
      <c r="B3958" t="n">
        <v>0.03448275862068965</v>
      </c>
      <c r="C3958" t="n">
        <v>0.03703703703703703</v>
      </c>
      <c r="D3958" t="n">
        <v>0.08139534883720931</v>
      </c>
      <c r="E3958" t="n">
        <v>0.06329113924050633</v>
      </c>
      <c r="F3958" t="n">
        <v>0.05405405405405406</v>
      </c>
    </row>
    <row r="3959">
      <c r="A3959" t="inlineStr">
        <is>
          <t>G|REV_DEBT x ASSET_CLASS|where 2024|outcome_loans|book|3</t>
        </is>
      </c>
      <c r="F3959" t="n">
        <v>0.6985111120813867</v>
      </c>
    </row>
    <row r="3960">
      <c r="A3960" t="inlineStr">
        <is>
          <t>G|REV_DEBT x ASSET_CLASS|where 2024|outcome_loans|band|3</t>
        </is>
      </c>
    </row>
    <row r="3961">
      <c r="A3961" t="inlineStr">
        <is>
          <t>G|REV_DEBT x ASSET_CLASS|where 2024|outcome_loans|rate|4</t>
        </is>
      </c>
      <c r="B3961" t="n">
        <v>0.103448275862069</v>
      </c>
      <c r="C3961" t="n">
        <v>0.07000000000000001</v>
      </c>
      <c r="D3961" t="n">
        <v>0.09090909090909091</v>
      </c>
      <c r="E3961" t="n">
        <v>0.1685393258426966</v>
      </c>
      <c r="F3961" t="n">
        <v>0.108187134502924</v>
      </c>
    </row>
    <row r="3962">
      <c r="A3962" t="inlineStr">
        <is>
          <t>G|REV_DEBT x ASSET_CLASS|where 2024|outcome_loans|book|4</t>
        </is>
      </c>
      <c r="E3962" t="n">
        <v>2.17794195059084</v>
      </c>
      <c r="F3962" t="n">
        <v>1.398043439238916</v>
      </c>
    </row>
    <row r="3963">
      <c r="A3963" t="inlineStr">
        <is>
          <t>G|REV_DEBT x ASSET_CLASS|where 2024|outcome_loans|band|4</t>
        </is>
      </c>
      <c r="E3963" t="n">
        <v>1.938202247191011</v>
      </c>
    </row>
    <row r="3964">
      <c r="A3964" t="inlineStr">
        <is>
          <t>G|REV_DEBT x ASSET_CLASS|where 2024|outcome_loans|rate|5</t>
        </is>
      </c>
      <c r="B3964" t="n">
        <v>0.1375</v>
      </c>
      <c r="C3964" t="n">
        <v>0.1276595744680851</v>
      </c>
      <c r="D3964" t="n">
        <v>0.2</v>
      </c>
      <c r="E3964" t="n">
        <v>0.21</v>
      </c>
      <c r="F3964" t="n">
        <v>0.1694915254237288</v>
      </c>
    </row>
    <row r="3965">
      <c r="A3965" t="inlineStr">
        <is>
          <t>G|REV_DEBT x ASSET_CLASS|where 2024|outcome_loans|book|5</t>
        </is>
      </c>
      <c r="B3965" t="n">
        <v>1.776837641357027</v>
      </c>
      <c r="C3965" t="n">
        <v>1.649675179596466</v>
      </c>
      <c r="D3965" t="n">
        <v>2.584491114701131</v>
      </c>
      <c r="E3965" t="n">
        <v>2.713715670436187</v>
      </c>
      <c r="F3965" t="n">
        <v>2.19024670737384</v>
      </c>
    </row>
    <row r="3966">
      <c r="A3966" t="inlineStr">
        <is>
          <t>G|REV_DEBT x ASSET_CLASS|where 2024|outcome_loans|band|5</t>
        </is>
      </c>
      <c r="B3966" t="n">
        <v>0.7688775510204082</v>
      </c>
      <c r="C3966" t="n">
        <v>0.6914893617021276</v>
      </c>
      <c r="D3966" t="n">
        <v>1.245454545454546</v>
      </c>
      <c r="E3966" t="n">
        <v>1.367692307692308</v>
      </c>
    </row>
    <row r="3967">
      <c r="A3967" t="inlineStr">
        <is>
          <t>G|REV_DEBT x ASSET_CLASS|where 2024|outcome_loans|rate|6</t>
        </is>
      </c>
      <c r="B3967" t="n">
        <v>0.06633906633906633</v>
      </c>
      <c r="C3967" t="n">
        <v>0.06896551724137931</v>
      </c>
      <c r="D3967" t="n">
        <v>0.085995085995086</v>
      </c>
      <c r="E3967" t="n">
        <v>0.1142857142857143</v>
      </c>
      <c r="F3967" t="n">
        <v>0.08424697057126371</v>
      </c>
    </row>
    <row r="3968">
      <c r="A3968" t="inlineStr">
        <is>
          <t>G|REV_DEBT x ASSET_CLASS|where 2024|outcome_loans|book|6</t>
        </is>
      </c>
      <c r="B3968" t="n">
        <v>0.857263637554429</v>
      </c>
      <c r="C3968" t="n">
        <v>0.8912038326555624</v>
      </c>
      <c r="D3968" t="n">
        <v>1.111267678311297</v>
      </c>
      <c r="E3968" t="n">
        <v>1.476852065543503</v>
      </c>
      <c r="F3968" t="n">
        <v>1.088677734409593</v>
      </c>
    </row>
    <row r="3969">
      <c r="A3969" t="inlineStr">
        <is>
          <t>G|REV_DEBT x ASSET_CLASS|where 2024|outcome_loans|band|6</t>
        </is>
      </c>
    </row>
    <row r="3970">
      <c r="A3970" t="inlineStr">
        <is>
          <t>G|REV_DEBT x ASSET_CLASS|where 2024|outcome_loans|meta</t>
        </is>
      </c>
      <c r="B3970" t="inlineStr">
        <is>
          <t>x</t>
        </is>
      </c>
      <c r="C3970" t="n">
        <v>2.713715670436187</v>
      </c>
      <c r="D3970" t="n">
        <v>10</v>
      </c>
      <c r="E3970" t="n">
        <v>0.07738467308413552</v>
      </c>
      <c r="F3970" t="n">
        <v>30</v>
      </c>
    </row>
    <row r="3971">
      <c r="A3971" t="inlineStr">
        <is>
          <t>G|REV_DEBT x ASSET_CLASS|where 2024|outcome_booked|rate|1</t>
        </is>
      </c>
      <c r="B3971" t="n">
        <v>0.0530919472925495</v>
      </c>
      <c r="C3971" t="n">
        <v>0.07790713818831464</v>
      </c>
      <c r="D3971" t="n">
        <v>0.0404669500892927</v>
      </c>
      <c r="E3971" t="n">
        <v>0.04269599347185055</v>
      </c>
      <c r="F3971" t="n">
        <v>0.0547089909393874</v>
      </c>
    </row>
    <row r="3972">
      <c r="A3972" t="inlineStr">
        <is>
          <t>G|REV_DEBT x ASSET_CLASS|where 2024|outcome_booked|book|1</t>
        </is>
      </c>
      <c r="F3972" t="n">
        <v>0.7311214506159504</v>
      </c>
    </row>
    <row r="3973">
      <c r="A3973" t="inlineStr">
        <is>
          <t>G|REV_DEBT x ASSET_CLASS|where 2024|outcome_booked|band|1</t>
        </is>
      </c>
    </row>
    <row r="3974">
      <c r="A3974" t="inlineStr">
        <is>
          <t>G|REV_DEBT x ASSET_CLASS|where 2024|outcome_booked|rate|2</t>
        </is>
      </c>
      <c r="B3974" t="n">
        <v>0.01147816122407309</v>
      </c>
      <c r="C3974" t="n">
        <v>0.03689524041917875</v>
      </c>
      <c r="D3974" t="n">
        <v>0.01282195816567487</v>
      </c>
      <c r="E3974" t="n">
        <v>0.04596547295355607</v>
      </c>
      <c r="F3974" t="n">
        <v>0.02736324245115888</v>
      </c>
    </row>
    <row r="3975">
      <c r="A3975" t="inlineStr">
        <is>
          <t>G|REV_DEBT x ASSET_CLASS|where 2024|outcome_booked|book|2</t>
        </is>
      </c>
      <c r="F3975" t="n">
        <v>0.3656776184487099</v>
      </c>
    </row>
    <row r="3976">
      <c r="A3976" t="inlineStr">
        <is>
          <t>G|REV_DEBT x ASSET_CLASS|where 2024|outcome_booked|band|2</t>
        </is>
      </c>
    </row>
    <row r="3977">
      <c r="A3977" t="inlineStr">
        <is>
          <t>G|REV_DEBT x ASSET_CLASS|where 2024|outcome_booked|rate|3</t>
        </is>
      </c>
      <c r="B3977" t="n">
        <v>0.04083981323031031</v>
      </c>
      <c r="C3977" t="n">
        <v>0.04808267583998389</v>
      </c>
      <c r="D3977" t="n">
        <v>0.04757825321096878</v>
      </c>
      <c r="E3977" t="n">
        <v>0.05005801512699683</v>
      </c>
      <c r="F3977" t="n">
        <v>0.04654165382154035</v>
      </c>
    </row>
    <row r="3978">
      <c r="A3978" t="inlineStr">
        <is>
          <t>G|REV_DEBT x ASSET_CLASS|where 2024|outcome_booked|book|3</t>
        </is>
      </c>
      <c r="F3978" t="n">
        <v>0.6219745762404842</v>
      </c>
    </row>
    <row r="3979">
      <c r="A3979" t="inlineStr">
        <is>
          <t>G|REV_DEBT x ASSET_CLASS|where 2024|outcome_booked|band|3</t>
        </is>
      </c>
    </row>
    <row r="3980">
      <c r="A3980" t="inlineStr">
        <is>
          <t>G|REV_DEBT x ASSET_CLASS|where 2024|outcome_booked|rate|4</t>
        </is>
      </c>
      <c r="B3980" t="n">
        <v>0.1124702872109707</v>
      </c>
      <c r="C3980" t="n">
        <v>0.06512565682161146</v>
      </c>
      <c r="D3980" t="n">
        <v>0.08932383247097256</v>
      </c>
      <c r="E3980" t="n">
        <v>0.1648066075417277</v>
      </c>
      <c r="F3980" t="n">
        <v>0.1065529934771359</v>
      </c>
    </row>
    <row r="3981">
      <c r="A3981" t="inlineStr">
        <is>
          <t>G|REV_DEBT x ASSET_CLASS|where 2024|outcome_booked|book|4</t>
        </is>
      </c>
      <c r="E3981" t="n">
        <v>2.202446872224304</v>
      </c>
      <c r="F3981" t="n">
        <v>1.423955693951386</v>
      </c>
    </row>
    <row r="3982">
      <c r="A3982" t="inlineStr">
        <is>
          <t>G|REV_DEBT x ASSET_CLASS|where 2024|outcome_booked|band|4</t>
        </is>
      </c>
      <c r="E3982" t="n">
        <v>1.897271563075278</v>
      </c>
    </row>
    <row r="3983">
      <c r="A3983" t="inlineStr">
        <is>
          <t>G|REV_DEBT x ASSET_CLASS|where 2024|outcome_booked|rate|5</t>
        </is>
      </c>
      <c r="B3983" t="n">
        <v>0.1455947220954138</v>
      </c>
      <c r="C3983" t="n">
        <v>0.1167859843399929</v>
      </c>
      <c r="D3983" t="n">
        <v>0.1723426865490172</v>
      </c>
      <c r="E3983" t="n">
        <v>0.2256628660502726</v>
      </c>
      <c r="F3983" t="n">
        <v>0.1666196185009145</v>
      </c>
    </row>
    <row r="3984">
      <c r="A3984" t="inlineStr">
        <is>
          <t>G|REV_DEBT x ASSET_CLASS|where 2024|outcome_booked|book|5</t>
        </is>
      </c>
      <c r="B3984" t="n">
        <v>1.945702572697039</v>
      </c>
      <c r="C3984" t="n">
        <v>1.560707606120278</v>
      </c>
      <c r="D3984" t="n">
        <v>2.303157722875348</v>
      </c>
      <c r="E3984" t="n">
        <v>3.015719338702825</v>
      </c>
      <c r="F3984" t="n">
        <v>2.226675635718257</v>
      </c>
    </row>
    <row r="3985">
      <c r="A3985" t="inlineStr">
        <is>
          <t>G|REV_DEBT x ASSET_CLASS|where 2024|outcome_booked|band|5</t>
        </is>
      </c>
      <c r="B3985" t="n">
        <v>0.8447661544382821</v>
      </c>
      <c r="C3985" t="n">
        <v>0.6300705191800916</v>
      </c>
      <c r="D3985" t="n">
        <v>1.044939148846071</v>
      </c>
      <c r="E3985" t="n">
        <v>1.576841934423089</v>
      </c>
    </row>
    <row r="3986">
      <c r="A3986" t="inlineStr">
        <is>
          <t>G|REV_DEBT x ASSET_CLASS|where 2024|outcome_booked|rate|6</t>
        </is>
      </c>
      <c r="B3986" t="n">
        <v>0.07094495833413525</v>
      </c>
      <c r="C3986" t="n">
        <v>0.07018445918411881</v>
      </c>
      <c r="D3986" t="n">
        <v>0.06915872260633643</v>
      </c>
      <c r="E3986" t="n">
        <v>0.1055113529597904</v>
      </c>
      <c r="F3986" t="n">
        <v>0.0794796083847655</v>
      </c>
    </row>
    <row r="3987">
      <c r="A3987" t="inlineStr">
        <is>
          <t>G|REV_DEBT x ASSET_CLASS|where 2024|outcome_booked|book|6</t>
        </is>
      </c>
      <c r="B3987" t="n">
        <v>0.9480960982922841</v>
      </c>
      <c r="C3987" t="n">
        <v>0.9379329197688814</v>
      </c>
      <c r="D3987" t="n">
        <v>0.9242251543390829</v>
      </c>
      <c r="E3987" t="n">
        <v>1.410035391036172</v>
      </c>
      <c r="F3987" t="n">
        <v>1.06215167889017</v>
      </c>
    </row>
    <row r="3988">
      <c r="A3988" t="inlineStr">
        <is>
          <t>G|REV_DEBT x ASSET_CLASS|where 2024|outcome_booked|band|6</t>
        </is>
      </c>
    </row>
    <row r="3989">
      <c r="A3989" t="inlineStr">
        <is>
          <t>G|REV_DEBT x ASSET_CLASS|where 2024|outcome_booked|meta</t>
        </is>
      </c>
      <c r="B3989" t="inlineStr">
        <is>
          <t>x</t>
        </is>
      </c>
      <c r="C3989" t="n">
        <v>3.015719338702825</v>
      </c>
      <c r="D3989" t="n">
        <v>10</v>
      </c>
      <c r="E3989" t="n">
        <v>0.07482886857347235</v>
      </c>
      <c r="F3989" t="n">
        <v>30</v>
      </c>
    </row>
    <row r="3990">
      <c r="A3990" t="inlineStr">
        <is>
          <t>G|REV_DEBT x ASSET_CLASS|where 2024|gco_rate|rate|1</t>
        </is>
      </c>
      <c r="B3990" t="n">
        <v>0.02389723215986858</v>
      </c>
      <c r="C3990" t="n">
        <v>0.04304730406472727</v>
      </c>
      <c r="D3990" t="n">
        <v>0.02232333148563088</v>
      </c>
      <c r="E3990" t="n">
        <v>0.01986767810861654</v>
      </c>
      <c r="F3990" t="n">
        <v>0.02800489348358358</v>
      </c>
    </row>
    <row r="3991">
      <c r="A3991" t="inlineStr">
        <is>
          <t>G|REV_DEBT x ASSET_CLASS|where 2024|gco_rate|book|1</t>
        </is>
      </c>
      <c r="F3991" t="n">
        <v>0.6731093590970333</v>
      </c>
    </row>
    <row r="3992">
      <c r="A3992" t="inlineStr">
        <is>
          <t>G|REV_DEBT x ASSET_CLASS|where 2024|gco_rate|band|1</t>
        </is>
      </c>
    </row>
    <row r="3993">
      <c r="A3993" t="inlineStr">
        <is>
          <t>G|REV_DEBT x ASSET_CLASS|where 2024|gco_rate|rate|2</t>
        </is>
      </c>
      <c r="B3993" t="n">
        <v>0.005724673676277309</v>
      </c>
      <c r="C3993" t="n">
        <v>0.01486299469783622</v>
      </c>
      <c r="D3993" t="n">
        <v>0.005815269086461357</v>
      </c>
      <c r="E3993" t="n">
        <v>0.0291821950255618</v>
      </c>
      <c r="F3993" t="n">
        <v>0.01426276974269765</v>
      </c>
    </row>
    <row r="3994">
      <c r="A3994" t="inlineStr">
        <is>
          <t>G|REV_DEBT x ASSET_CLASS|where 2024|gco_rate|book|2</t>
        </is>
      </c>
      <c r="F3994" t="n">
        <v>0.3428116520451512</v>
      </c>
    </row>
    <row r="3995">
      <c r="A3995" t="inlineStr">
        <is>
          <t>G|REV_DEBT x ASSET_CLASS|where 2024|gco_rate|band|2</t>
        </is>
      </c>
    </row>
    <row r="3996">
      <c r="A3996" t="inlineStr">
        <is>
          <t>G|REV_DEBT x ASSET_CLASS|where 2024|gco_rate|rate|3</t>
        </is>
      </c>
      <c r="B3996" t="n">
        <v>0.02824479632984819</v>
      </c>
      <c r="C3996" t="n">
        <v>0.02097823663685919</v>
      </c>
      <c r="D3996" t="n">
        <v>0.02713426505451082</v>
      </c>
      <c r="E3996" t="n">
        <v>0.02390085028353023</v>
      </c>
      <c r="F3996" t="n">
        <v>0.0252052591148607</v>
      </c>
    </row>
    <row r="3997">
      <c r="A3997" t="inlineStr">
        <is>
          <t>G|REV_DEBT x ASSET_CLASS|where 2024|gco_rate|book|3</t>
        </is>
      </c>
      <c r="F3997" t="n">
        <v>0.6058189729814158</v>
      </c>
    </row>
    <row r="3998">
      <c r="A3998" t="inlineStr">
        <is>
          <t>G|REV_DEBT x ASSET_CLASS|where 2024|gco_rate|band|3</t>
        </is>
      </c>
    </row>
    <row r="3999">
      <c r="A3999" t="inlineStr">
        <is>
          <t>G|REV_DEBT x ASSET_CLASS|where 2024|gco_rate|rate|4</t>
        </is>
      </c>
      <c r="B3999" t="n">
        <v>0.05747882458069745</v>
      </c>
      <c r="C3999" t="n">
        <v>0.03039443339672101</v>
      </c>
      <c r="D3999" t="n">
        <v>0.04900524257106863</v>
      </c>
      <c r="E3999" t="n">
        <v>0.09211322665957458</v>
      </c>
      <c r="F3999" t="n">
        <v>0.0562205592826901</v>
      </c>
    </row>
    <row r="4000">
      <c r="A4000" t="inlineStr">
        <is>
          <t>G|REV_DEBT x ASSET_CLASS|where 2024|gco_rate|book|4</t>
        </is>
      </c>
      <c r="E4000" t="n">
        <v>2.21398003165167</v>
      </c>
      <c r="F4000" t="n">
        <v>1.351284719187793</v>
      </c>
    </row>
    <row r="4001">
      <c r="A4001" t="inlineStr">
        <is>
          <t>G|REV_DEBT x ASSET_CLASS|where 2024|gco_rate|band|4</t>
        </is>
      </c>
      <c r="E4001" t="n">
        <v>2.089211921928323</v>
      </c>
    </row>
    <row r="4002">
      <c r="A4002" t="inlineStr">
        <is>
          <t>G|REV_DEBT x ASSET_CLASS|where 2024|gco_rate|rate|5</t>
        </is>
      </c>
      <c r="B4002" t="n">
        <v>0.0781681045146148</v>
      </c>
      <c r="C4002" t="n">
        <v>0.07122697903734607</v>
      </c>
      <c r="D4002" t="n">
        <v>0.1175107373941312</v>
      </c>
      <c r="E4002" t="n">
        <v>0.1136358172984451</v>
      </c>
      <c r="F4002" t="n">
        <v>0.09533620990533469</v>
      </c>
    </row>
    <row r="4003">
      <c r="A4003" t="inlineStr">
        <is>
          <t>G|REV_DEBT x ASSET_CLASS|where 2024|gco_rate|book|5</t>
        </is>
      </c>
      <c r="B4003" t="n">
        <v>1.878803172827831</v>
      </c>
      <c r="C4003" t="n">
        <v>1.711970311129741</v>
      </c>
      <c r="D4003" t="n">
        <v>2.824419852935714</v>
      </c>
      <c r="E4003" t="n">
        <v>2.731284523437372</v>
      </c>
      <c r="F4003" t="n">
        <v>2.291445785563777</v>
      </c>
    </row>
    <row r="4004">
      <c r="A4004" t="inlineStr">
        <is>
          <t>G|REV_DEBT x ASSET_CLASS|where 2024|gco_rate|band|5</t>
        </is>
      </c>
      <c r="B4004" t="n">
        <v>0.7815660443455348</v>
      </c>
      <c r="C4004" t="n">
        <v>0.6822526129916044</v>
      </c>
      <c r="D4004" t="n">
        <v>1.32342535615985</v>
      </c>
      <c r="E4004" t="n">
        <v>1.29058368710867</v>
      </c>
    </row>
    <row r="4005">
      <c r="A4005" t="inlineStr">
        <is>
          <t>G|REV_DEBT x ASSET_CLASS|where 2024|gco_rate|rate|6</t>
        </is>
      </c>
      <c r="B4005" t="n">
        <v>0.03784696588318729</v>
      </c>
      <c r="C4005" t="n">
        <v>0.03690380142300269</v>
      </c>
      <c r="D4005" t="n">
        <v>0.04228863509295593</v>
      </c>
      <c r="E4005" t="n">
        <v>0.05542114675626798</v>
      </c>
      <c r="F4005" t="n">
        <v>0.043272837897988</v>
      </c>
    </row>
    <row r="4006">
      <c r="A4006" t="inlineStr">
        <is>
          <t>G|REV_DEBT x ASSET_CLASS|where 2024|gco_rate|book|6</t>
        </is>
      </c>
      <c r="B4006" t="n">
        <v>0.9096676966235553</v>
      </c>
      <c r="C4006" t="n">
        <v>0.8869983432946412</v>
      </c>
      <c r="D4006" t="n">
        <v>1.016425078752538</v>
      </c>
      <c r="E4006" t="n">
        <v>1.332070503871118</v>
      </c>
      <c r="F4006" t="n">
        <v>1.040080805909829</v>
      </c>
    </row>
    <row r="4007">
      <c r="A4007" t="inlineStr">
        <is>
          <t>G|REV_DEBT x ASSET_CLASS|where 2024|gco_rate|band|6</t>
        </is>
      </c>
    </row>
    <row r="4008">
      <c r="A4008" t="inlineStr">
        <is>
          <t>G|REV_DEBT x ASSET_CLASS|where 2024|gco_rate|meta</t>
        </is>
      </c>
      <c r="B4008" t="inlineStr">
        <is>
          <t>x</t>
        </is>
      </c>
      <c r="C4008" t="n">
        <v>2.824419852935714</v>
      </c>
      <c r="D4008" t="n">
        <v>10</v>
      </c>
      <c r="E4008" t="n">
        <v>0.04160526533333565</v>
      </c>
      <c r="F4008" t="n">
        <v>30</v>
      </c>
    </row>
    <row r="4009">
      <c r="A4009" t="inlineStr">
        <is>
          <t>G|REV_DEBT x ASSET_CLASS|where 2024|ranr_rate|rate|1</t>
        </is>
      </c>
      <c r="B4009" t="n">
        <v>0.07652996072215033</v>
      </c>
      <c r="C4009" t="n">
        <v>0.05340238660391716</v>
      </c>
      <c r="D4009" t="n">
        <v>0.07256391513380157</v>
      </c>
      <c r="E4009" t="n">
        <v>0.06917086140849162</v>
      </c>
      <c r="F4009" t="n">
        <v>0.06699245919935901</v>
      </c>
    </row>
    <row r="4010">
      <c r="A4010" t="inlineStr">
        <is>
          <t>G|REV_DEBT x ASSET_CLASS|where 2024|ranr_rate|book|1</t>
        </is>
      </c>
      <c r="B4010" t="n">
        <v>-5.146008893</v>
      </c>
      <c r="C4010" t="n">
        <v>-7.458766304</v>
      </c>
      <c r="D4010" t="n">
        <v>-5.542613451</v>
      </c>
      <c r="E4010" t="n">
        <v>-5.881918824</v>
      </c>
      <c r="F4010" t="n">
        <v>-6.099759045</v>
      </c>
    </row>
    <row r="4011">
      <c r="A4011" t="inlineStr">
        <is>
          <t>G|REV_DEBT x ASSET_CLASS|where 2024|ranr_rate|band|1</t>
        </is>
      </c>
      <c r="B4011" t="n">
        <v>1.22738168</v>
      </c>
      <c r="C4011" t="n">
        <v>-1.911853902</v>
      </c>
      <c r="D4011" t="n">
        <v>0.712735246</v>
      </c>
      <c r="E4011" t="n">
        <v>0.298245214</v>
      </c>
    </row>
    <row r="4012">
      <c r="A4012" t="inlineStr">
        <is>
          <t>G|REV_DEBT x ASSET_CLASS|where 2024|ranr_rate|rate|2</t>
        </is>
      </c>
      <c r="B4012" t="n">
        <v>0.09220774823523246</v>
      </c>
      <c r="C4012" t="n">
        <v>0.08194717368048826</v>
      </c>
      <c r="D4012" t="n">
        <v>0.09907752953663827</v>
      </c>
      <c r="E4012" t="n">
        <v>0.07898467567764118</v>
      </c>
      <c r="F4012" t="n">
        <v>0.08789541645475638</v>
      </c>
    </row>
    <row r="4013">
      <c r="A4013" t="inlineStr">
        <is>
          <t>G|REV_DEBT x ASSET_CLASS|where 2024|ranr_rate|book|2</t>
        </is>
      </c>
      <c r="B4013" t="n">
        <v>-3.578230141</v>
      </c>
      <c r="C4013" t="n">
        <v>-4.604287597</v>
      </c>
      <c r="D4013" t="n">
        <v>-2.891252011</v>
      </c>
      <c r="E4013" t="n">
        <v>-4.900537397</v>
      </c>
      <c r="F4013" t="n">
        <v>-4.009463319</v>
      </c>
    </row>
    <row r="4014">
      <c r="A4014" t="inlineStr">
        <is>
          <t>G|REV_DEBT x ASSET_CLASS|where 2024|ranr_rate|band|2</t>
        </is>
      </c>
      <c r="B4014" t="n">
        <v>0.556288315</v>
      </c>
      <c r="C4014" t="n">
        <v>-0.7952299779999999</v>
      </c>
      <c r="D4014" t="n">
        <v>1.50779429</v>
      </c>
      <c r="E4014" t="n">
        <v>-1.212029273</v>
      </c>
    </row>
    <row r="4015">
      <c r="A4015" t="inlineStr">
        <is>
          <t>G|REV_DEBT x ASSET_CLASS|where 2024|ranr_rate|rate|3</t>
        </is>
      </c>
      <c r="B4015" t="n">
        <v>0.09016718543156745</v>
      </c>
      <c r="C4015" t="n">
        <v>0.1117892062259545</v>
      </c>
      <c r="D4015" t="n">
        <v>0.09353953411198898</v>
      </c>
      <c r="E4015" t="n">
        <v>0.09218249371640659</v>
      </c>
      <c r="F4015" t="n">
        <v>0.09647993017156728</v>
      </c>
    </row>
    <row r="4016">
      <c r="A4016" t="inlineStr">
        <is>
          <t>G|REV_DEBT x ASSET_CLASS|where 2024|ranr_rate|book|3</t>
        </is>
      </c>
      <c r="B4016" t="n">
        <v>-3.782286422</v>
      </c>
      <c r="C4016" t="n">
        <v>-1.620084342</v>
      </c>
      <c r="D4016" t="n">
        <v>-3.445051554</v>
      </c>
      <c r="E4016" t="n">
        <v>-3.580755593</v>
      </c>
      <c r="F4016" t="n">
        <v>-3.151011948</v>
      </c>
    </row>
    <row r="4017">
      <c r="A4017" t="inlineStr">
        <is>
          <t>G|REV_DEBT x ASSET_CLASS|where 2024|ranr_rate|band|3</t>
        </is>
      </c>
      <c r="B4017" t="n">
        <v>-0.8573196910000001</v>
      </c>
      <c r="C4017" t="n">
        <v>1.984553771</v>
      </c>
      <c r="D4017" t="n">
        <v>-0.395108493</v>
      </c>
      <c r="E4017" t="n">
        <v>-0.574489962</v>
      </c>
    </row>
    <row r="4018">
      <c r="A4018" t="inlineStr">
        <is>
          <t>G|REV_DEBT x ASSET_CLASS|where 2024|ranr_rate|rate|4</t>
        </is>
      </c>
      <c r="B4018" t="n">
        <v>0.08779591011286388</v>
      </c>
      <c r="C4018" t="n">
        <v>0.1143285558670634</v>
      </c>
      <c r="D4018" t="n">
        <v>0.09469429327813977</v>
      </c>
      <c r="E4018" t="n">
        <v>0.05609950976190455</v>
      </c>
      <c r="F4018" t="n">
        <v>0.08931562650219285</v>
      </c>
    </row>
    <row r="4019">
      <c r="A4019" t="inlineStr">
        <is>
          <t>G|REV_DEBT x ASSET_CLASS|where 2024|ranr_rate|book|4</t>
        </is>
      </c>
      <c r="B4019" t="n">
        <v>-4.019413954</v>
      </c>
      <c r="C4019" t="n">
        <v>-1.366149378</v>
      </c>
      <c r="D4019" t="n">
        <v>-3.329575637</v>
      </c>
      <c r="E4019" t="n">
        <v>-7.189053989</v>
      </c>
      <c r="F4019" t="n">
        <v>-3.867442315</v>
      </c>
    </row>
    <row r="4020">
      <c r="A4020" t="inlineStr">
        <is>
          <t>G|REV_DEBT x ASSET_CLASS|where 2024|ranr_rate|band|4</t>
        </is>
      </c>
      <c r="B4020" t="n">
        <v>-0.200571894</v>
      </c>
      <c r="C4020" t="n">
        <v>3.613124899</v>
      </c>
      <c r="D4020" t="n">
        <v>0.670132442</v>
      </c>
      <c r="E4020" t="n">
        <v>-4.444214483</v>
      </c>
    </row>
    <row r="4021">
      <c r="A4021" t="inlineStr">
        <is>
          <t>G|REV_DEBT x ASSET_CLASS|where 2024|ranr_rate|rate|5</t>
        </is>
      </c>
      <c r="B4021" t="n">
        <v>0.1022474765147115</v>
      </c>
      <c r="C4021" t="n">
        <v>0.1141606015590158</v>
      </c>
      <c r="D4021" t="n">
        <v>0.056815822573861</v>
      </c>
      <c r="E4021" t="n">
        <v>0.06057534021112282</v>
      </c>
      <c r="F4021" t="n">
        <v>0.08328357370008573</v>
      </c>
    </row>
    <row r="4022">
      <c r="A4022" t="inlineStr">
        <is>
          <t>G|REV_DEBT x ASSET_CLASS|where 2024|ranr_rate|book|5</t>
        </is>
      </c>
      <c r="B4022" t="n">
        <v>-2.574257313</v>
      </c>
      <c r="C4022" t="n">
        <v>-1.382944809</v>
      </c>
      <c r="D4022" t="n">
        <v>-7.117422707</v>
      </c>
      <c r="E4022" t="n">
        <v>-6.741470944</v>
      </c>
      <c r="F4022" t="n">
        <v>-4.470647595</v>
      </c>
    </row>
    <row r="4023">
      <c r="A4023" t="inlineStr">
        <is>
          <t>G|REV_DEBT x ASSET_CLASS|where 2024|ranr_rate|band|5</t>
        </is>
      </c>
      <c r="B4023" t="n">
        <v>2.413178231</v>
      </c>
      <c r="C4023" t="n">
        <v>4.248478639</v>
      </c>
      <c r="D4023" t="n">
        <v>-3.42779494</v>
      </c>
      <c r="E4023" t="n">
        <v>-3.174986458</v>
      </c>
    </row>
    <row r="4024">
      <c r="A4024" t="inlineStr">
        <is>
          <t>G|REV_DEBT x ASSET_CLASS|where 2024|ranr_rate|rate|6</t>
        </is>
      </c>
      <c r="B4024" t="n">
        <v>0.08936598130836508</v>
      </c>
      <c r="C4024" t="n">
        <v>0.09369412855483614</v>
      </c>
      <c r="D4024" t="n">
        <v>0.08364079590396312</v>
      </c>
      <c r="E4024" t="n">
        <v>0.07115432413316226</v>
      </c>
      <c r="F4024" t="n">
        <v>0.08439030858189983</v>
      </c>
    </row>
    <row r="4025">
      <c r="A4025" t="inlineStr">
        <is>
          <t>G|REV_DEBT x ASSET_CLASS|where 2024|ranr_rate|book|6</t>
        </is>
      </c>
      <c r="B4025" t="n">
        <v>-3.862406834</v>
      </c>
      <c r="C4025" t="n">
        <v>-3.429592109</v>
      </c>
      <c r="D4025" t="n">
        <v>-4.434925374</v>
      </c>
      <c r="E4025" t="n">
        <v>-5.683572551</v>
      </c>
      <c r="F4025" t="n">
        <v>-4.359974107</v>
      </c>
    </row>
    <row r="4026">
      <c r="A4026" t="inlineStr">
        <is>
          <t>G|REV_DEBT x ASSET_CLASS|where 2024|ranr_rate|band|6</t>
        </is>
      </c>
    </row>
    <row r="4027">
      <c r="A4027" t="inlineStr">
        <is>
          <t>G|REV_DEBT x ASSET_CLASS|where 2024|ranr_rate|meta</t>
        </is>
      </c>
      <c r="B4027" t="inlineStr">
        <is>
          <t>pts</t>
        </is>
      </c>
      <c r="C4027" t="n">
        <v>7.458766304</v>
      </c>
      <c r="D4027" t="n">
        <v>10</v>
      </c>
      <c r="E4027" t="n">
        <v>0.1279900496481481</v>
      </c>
      <c r="F4027" t="n">
        <v>30</v>
      </c>
    </row>
    <row r="4028">
      <c r="A4028" t="inlineStr">
        <is>
          <t>G|REV_DEBT x ASSET_CLASS|where 2024|contribution_rate|rate|1</t>
        </is>
      </c>
      <c r="B4028" t="n">
        <v>0.1004271928820189</v>
      </c>
      <c r="C4028" t="n">
        <v>0.09644969066864441</v>
      </c>
      <c r="D4028" t="n">
        <v>0.09488724661943244</v>
      </c>
      <c r="E4028" t="n">
        <v>0.08903853951710813</v>
      </c>
      <c r="F4028" t="n">
        <v>0.09499735268294256</v>
      </c>
    </row>
    <row r="4029">
      <c r="A4029" t="inlineStr">
        <is>
          <t>G|REV_DEBT x ASSET_CLASS|where 2024|contribution_rate|book|1</t>
        </is>
      </c>
      <c r="B4029" t="n">
        <v>-6.916526285</v>
      </c>
      <c r="C4029" t="n">
        <v>-7.314276507</v>
      </c>
      <c r="D4029" t="n">
        <v>-7.470520912</v>
      </c>
      <c r="E4029" t="n">
        <v>-8.055391622</v>
      </c>
      <c r="F4029" t="n">
        <v>-7.459510305</v>
      </c>
    </row>
    <row r="4030">
      <c r="A4030" t="inlineStr">
        <is>
          <t>G|REV_DEBT x ASSET_CLASS|where 2024|contribution_rate|band|1</t>
        </is>
      </c>
      <c r="B4030" t="n">
        <v>0.698766482</v>
      </c>
      <c r="C4030" t="n">
        <v>0.204315174</v>
      </c>
      <c r="D4030" t="n">
        <v>-0.014085451</v>
      </c>
      <c r="E4030" t="n">
        <v>-0.815821569</v>
      </c>
    </row>
    <row r="4031">
      <c r="A4031" t="inlineStr">
        <is>
          <t>G|REV_DEBT x ASSET_CLASS|where 2024|contribution_rate|rate|2</t>
        </is>
      </c>
      <c r="B4031" t="n">
        <v>0.09793242191150978</v>
      </c>
      <c r="C4031" t="n">
        <v>0.09681016837832447</v>
      </c>
      <c r="D4031" t="n">
        <v>0.1048927986230996</v>
      </c>
      <c r="E4031" t="n">
        <v>0.108166870703203</v>
      </c>
      <c r="F4031" t="n">
        <v>0.102158186197454</v>
      </c>
    </row>
    <row r="4032">
      <c r="A4032" t="inlineStr">
        <is>
          <t>G|REV_DEBT x ASSET_CLASS|where 2024|contribution_rate|book|2</t>
        </is>
      </c>
      <c r="B4032" t="n">
        <v>-7.166003382</v>
      </c>
      <c r="C4032" t="n">
        <v>-7.278228736</v>
      </c>
      <c r="D4032" t="n">
        <v>-6.469965711</v>
      </c>
      <c r="E4032" t="n">
        <v>-6.142558503</v>
      </c>
      <c r="F4032" t="n">
        <v>-6.743426954</v>
      </c>
    </row>
    <row r="4033">
      <c r="A4033" t="inlineStr">
        <is>
          <t>G|REV_DEBT x ASSET_CLASS|where 2024|contribution_rate|band|2</t>
        </is>
      </c>
      <c r="B4033" t="n">
        <v>-0.5451211580000001</v>
      </c>
      <c r="C4033" t="n">
        <v>-0.714984955</v>
      </c>
      <c r="D4033" t="n">
        <v>0.36873469</v>
      </c>
      <c r="E4033" t="n">
        <v>0.817294734</v>
      </c>
    </row>
    <row r="4034">
      <c r="A4034" t="inlineStr">
        <is>
          <t>G|REV_DEBT x ASSET_CLASS|where 2024|contribution_rate|rate|3</t>
        </is>
      </c>
      <c r="B4034" t="n">
        <v>0.1184119817614157</v>
      </c>
      <c r="C4034" t="n">
        <v>0.1327674428628138</v>
      </c>
      <c r="D4034" t="n">
        <v>0.1206737991664998</v>
      </c>
      <c r="E4034" t="n">
        <v>0.1160833439999368</v>
      </c>
      <c r="F4034" t="n">
        <v>0.121685189286428</v>
      </c>
    </row>
    <row r="4035">
      <c r="A4035" t="inlineStr">
        <is>
          <t>G|REV_DEBT x ASSET_CLASS|where 2024|contribution_rate|book|3</t>
        </is>
      </c>
      <c r="B4035" t="n">
        <v>-5.118047397</v>
      </c>
      <c r="C4035" t="n">
        <v>-3.682501287</v>
      </c>
      <c r="D4035" t="n">
        <v>-4.891865657</v>
      </c>
      <c r="E4035" t="n">
        <v>-5.350911174</v>
      </c>
      <c r="F4035" t="n">
        <v>-4.790726645</v>
      </c>
    </row>
    <row r="4036">
      <c r="A4036" t="inlineStr">
        <is>
          <t>G|REV_DEBT x ASSET_CLASS|where 2024|contribution_rate|band|3</t>
        </is>
      </c>
      <c r="B4036" t="n">
        <v>-0.444526966</v>
      </c>
      <c r="C4036" t="n">
        <v>1.436601447</v>
      </c>
      <c r="D4036" t="n">
        <v>-0.135903061</v>
      </c>
      <c r="E4036" t="n">
        <v>-0.748865962</v>
      </c>
    </row>
    <row r="4037">
      <c r="A4037" t="inlineStr">
        <is>
          <t>G|REV_DEBT x ASSET_CLASS|where 2024|contribution_rate|rate|4</t>
        </is>
      </c>
      <c r="B4037" t="n">
        <v>0.1452747346935613</v>
      </c>
      <c r="C4037" t="n">
        <v>0.1447229892637844</v>
      </c>
      <c r="D4037" t="n">
        <v>0.1436995358492085</v>
      </c>
      <c r="E4037" t="n">
        <v>0.1482127364214791</v>
      </c>
      <c r="F4037" t="n">
        <v>0.1455361857848829</v>
      </c>
    </row>
    <row r="4038">
      <c r="A4038" t="inlineStr">
        <is>
          <t>G|REV_DEBT x ASSET_CLASS|where 2024|contribution_rate|book|4</t>
        </is>
      </c>
      <c r="B4038" t="n">
        <v>-2.431772104</v>
      </c>
      <c r="C4038" t="n">
        <v>-2.486946647</v>
      </c>
      <c r="D4038" t="n">
        <v>-2.589291989</v>
      </c>
      <c r="E4038" t="n">
        <v>-2.137971931</v>
      </c>
      <c r="F4038" t="n">
        <v>-2.405626995</v>
      </c>
    </row>
    <row r="4039">
      <c r="A4039" t="inlineStr">
        <is>
          <t>G|REV_DEBT x ASSET_CLASS|where 2024|contribution_rate|band|4</t>
        </is>
      </c>
      <c r="B4039" t="n">
        <v>-0.034506268</v>
      </c>
      <c r="C4039" t="n">
        <v>-0.117466473</v>
      </c>
      <c r="D4039" t="n">
        <v>-0.2288297</v>
      </c>
      <c r="E4039" t="n">
        <v>0.358114261</v>
      </c>
    </row>
    <row r="4040">
      <c r="A4040" t="inlineStr">
        <is>
          <t>G|REV_DEBT x ASSET_CLASS|where 2024|contribution_rate|rate|5</t>
        </is>
      </c>
      <c r="B4040" t="n">
        <v>0.1804155810293263</v>
      </c>
      <c r="C4040" t="n">
        <v>0.1853875805963618</v>
      </c>
      <c r="D4040" t="n">
        <v>0.1743265599679922</v>
      </c>
      <c r="E4040" t="n">
        <v>0.1742111575095679</v>
      </c>
      <c r="F4040" t="n">
        <v>0.1786197836054204</v>
      </c>
    </row>
    <row r="4041">
      <c r="A4041" t="inlineStr">
        <is>
          <t>G|REV_DEBT x ASSET_CLASS|where 2024|contribution_rate|book|5</t>
        </is>
      </c>
      <c r="B4041" t="n">
        <v>1.082312529</v>
      </c>
      <c r="C4041" t="n">
        <v>1.579512486</v>
      </c>
      <c r="D4041" t="n">
        <v>0.473410423</v>
      </c>
      <c r="E4041" t="n">
        <v>0.461870177</v>
      </c>
      <c r="F4041" t="n">
        <v>0.902732787</v>
      </c>
    </row>
    <row r="4042">
      <c r="A4042" t="inlineStr">
        <is>
          <t>G|REV_DEBT x ASSET_CLASS|where 2024|contribution_rate|band|5</t>
        </is>
      </c>
      <c r="B4042" t="n">
        <v>0.228517267</v>
      </c>
      <c r="C4042" t="n">
        <v>0.931204942</v>
      </c>
      <c r="D4042" t="n">
        <v>-0.556008336</v>
      </c>
      <c r="E4042" t="n">
        <v>-0.616398812</v>
      </c>
    </row>
    <row r="4043">
      <c r="A4043" t="inlineStr">
        <is>
          <t>G|REV_DEBT x ASSET_CLASS|where 2024|contribution_rate|rate|6</t>
        </is>
      </c>
      <c r="B4043" t="n">
        <v>0.1272129471915524</v>
      </c>
      <c r="C4043" t="n">
        <v>0.1305979299778388</v>
      </c>
      <c r="D4043" t="n">
        <v>0.1259294309969191</v>
      </c>
      <c r="E4043" t="n">
        <v>0.1265754708894302</v>
      </c>
      <c r="F4043" t="n">
        <v>0.1276631464798879</v>
      </c>
    </row>
    <row r="4044">
      <c r="A4044" t="inlineStr">
        <is>
          <t>G|REV_DEBT x ASSET_CLASS|where 2024|contribution_rate|book|6</t>
        </is>
      </c>
      <c r="B4044" t="n">
        <v>-4.237950854</v>
      </c>
      <c r="C4044" t="n">
        <v>-3.899452576</v>
      </c>
      <c r="D4044" t="n">
        <v>-4.366302474</v>
      </c>
      <c r="E4044" t="n">
        <v>-4.301698485</v>
      </c>
      <c r="F4044" t="n">
        <v>-4.192930926</v>
      </c>
    </row>
    <row r="4045">
      <c r="A4045" t="inlineStr">
        <is>
          <t>G|REV_DEBT x ASSET_CLASS|where 2024|contribution_rate|band|6</t>
        </is>
      </c>
    </row>
    <row r="4046">
      <c r="A4046" t="inlineStr">
        <is>
          <t>G|REV_DEBT x ASSET_CLASS|where 2024|contribution_rate|meta</t>
        </is>
      </c>
      <c r="B4046" t="inlineStr">
        <is>
          <t>pts</t>
        </is>
      </c>
      <c r="C4046" t="n">
        <v>8.055391622</v>
      </c>
      <c r="D4046" t="n">
        <v>10</v>
      </c>
      <c r="E4046" t="n">
        <v>0.1695924557349815</v>
      </c>
      <c r="F4046" t="n">
        <v>30</v>
      </c>
    </row>
    <row r="4047">
      <c r="A4047" t="inlineStr">
        <is>
          <t>G|REV_DEBT x ASSET_CLASS|where 2024|loan_size|rate|1</t>
        </is>
      </c>
      <c r="B4047" t="n">
        <v>33850.70560975609</v>
      </c>
      <c r="C4047" t="n">
        <v>35297.57607843138</v>
      </c>
      <c r="D4047" t="n">
        <v>31604.51313953488</v>
      </c>
      <c r="E4047" t="n">
        <v>35708.92382978723</v>
      </c>
      <c r="F4047" t="n">
        <v>34205.32304945055</v>
      </c>
    </row>
    <row r="4048">
      <c r="A4048" t="inlineStr">
        <is>
          <t>G|REV_DEBT x ASSET_CLASS|where 2024|loan_size|median|1</t>
        </is>
      </c>
      <c r="B4048" t="n">
        <v>34271.755</v>
      </c>
      <c r="C4048" t="n">
        <v>36929.405</v>
      </c>
      <c r="D4048" t="n">
        <v>26890.14</v>
      </c>
      <c r="E4048" t="n">
        <v>37410.12</v>
      </c>
      <c r="F4048" t="n">
        <v>34021.495</v>
      </c>
    </row>
    <row r="4049">
      <c r="A4049" t="inlineStr">
        <is>
          <t>G|REV_DEBT x ASSET_CLASS|where 2024|loan_size|book|1</t>
        </is>
      </c>
      <c r="B4049" t="n">
        <v>1.049224724439819</v>
      </c>
      <c r="C4049" t="n">
        <v>1.09407141940379</v>
      </c>
      <c r="D4049" t="n">
        <v>0.9796025220911798</v>
      </c>
      <c r="E4049" t="n">
        <v>1.106821411561735</v>
      </c>
      <c r="F4049" t="n">
        <v>1.060216323543671</v>
      </c>
    </row>
    <row r="4050">
      <c r="A4050" t="inlineStr">
        <is>
          <t>G|REV_DEBT x ASSET_CLASS|where 2024|loan_size|band|1</t>
        </is>
      </c>
      <c r="B4050" t="n">
        <v>0.9866582926630295</v>
      </c>
      <c r="C4050" t="n">
        <v>1.044922351986475</v>
      </c>
      <c r="D4050" t="n">
        <v>0.902731000001586</v>
      </c>
      <c r="E4050" t="n">
        <v>1.060183059266049</v>
      </c>
    </row>
    <row r="4051">
      <c r="A4051" t="inlineStr">
        <is>
          <t>G|REV_DEBT x ASSET_CLASS|where 2024|loan_size|rate|2</t>
        </is>
      </c>
      <c r="B4051" t="n">
        <v>35595.14042253522</v>
      </c>
      <c r="C4051" t="n">
        <v>32564.58413793103</v>
      </c>
      <c r="D4051" t="n">
        <v>32637.38370786517</v>
      </c>
      <c r="E4051" t="n">
        <v>32010.74731182796</v>
      </c>
      <c r="F4051" t="n">
        <v>33065.00129411765</v>
      </c>
    </row>
    <row r="4052">
      <c r="A4052" t="inlineStr">
        <is>
          <t>G|REV_DEBT x ASSET_CLASS|where 2024|loan_size|median|2</t>
        </is>
      </c>
      <c r="B4052" t="n">
        <v>36616.79</v>
      </c>
      <c r="C4052" t="n">
        <v>34188.24</v>
      </c>
      <c r="D4052" t="n">
        <v>32405.27</v>
      </c>
      <c r="E4052" t="n">
        <v>32254.46</v>
      </c>
      <c r="F4052" t="n">
        <v>34089.515</v>
      </c>
    </row>
    <row r="4053">
      <c r="A4053" t="inlineStr">
        <is>
          <t>G|REV_DEBT x ASSET_CLASS|where 2024|loan_size|book|2</t>
        </is>
      </c>
      <c r="B4053" t="n">
        <v>1.103294620554891</v>
      </c>
      <c r="C4053" t="n">
        <v>1.0093605496002</v>
      </c>
      <c r="D4053" t="n">
        <v>1.01161701980747</v>
      </c>
      <c r="E4053" t="n">
        <v>0.9921940155269737</v>
      </c>
      <c r="F4053" t="n">
        <v>1.024871306122024</v>
      </c>
    </row>
    <row r="4054">
      <c r="A4054" t="inlineStr">
        <is>
          <t>G|REV_DEBT x ASSET_CLASS|where 2024|loan_size|band|2</t>
        </is>
      </c>
      <c r="B4054" t="n">
        <v>1.098710563098714</v>
      </c>
      <c r="C4054" t="n">
        <v>0.9797666541809557</v>
      </c>
      <c r="D4054" t="n">
        <v>0.9825616564991488</v>
      </c>
      <c r="E4054" t="n">
        <v>0.9566313398250531</v>
      </c>
    </row>
    <row r="4055">
      <c r="A4055" t="inlineStr">
        <is>
          <t>G|REV_DEBT x ASSET_CLASS|where 2024|loan_size|rate|3</t>
        </is>
      </c>
      <c r="B4055" t="n">
        <v>33699.47977011494</v>
      </c>
      <c r="C4055" t="n">
        <v>31379.07469135802</v>
      </c>
      <c r="D4055" t="n">
        <v>33074.44709302326</v>
      </c>
      <c r="E4055" t="n">
        <v>35464.01556962026</v>
      </c>
      <c r="F4055" t="n">
        <v>33392.25066066066</v>
      </c>
    </row>
    <row r="4056">
      <c r="A4056" t="inlineStr">
        <is>
          <t>G|REV_DEBT x ASSET_CLASS|where 2024|loan_size|median|3</t>
        </is>
      </c>
      <c r="B4056" t="n">
        <v>33188.41</v>
      </c>
      <c r="C4056" t="n">
        <v>29785.28</v>
      </c>
      <c r="D4056" t="n">
        <v>34054.71</v>
      </c>
      <c r="E4056" t="n">
        <v>38901.22</v>
      </c>
      <c r="F4056" t="n">
        <v>33188.41</v>
      </c>
    </row>
    <row r="4057">
      <c r="A4057" t="inlineStr">
        <is>
          <t>G|REV_DEBT x ASSET_CLASS|where 2024|loan_size|book|3</t>
        </is>
      </c>
      <c r="B4057" t="n">
        <v>1.044537380791657</v>
      </c>
      <c r="C4057" t="n">
        <v>0.9726149101815972</v>
      </c>
      <c r="D4057" t="n">
        <v>1.025164084827085</v>
      </c>
      <c r="E4057" t="n">
        <v>1.099230320115988</v>
      </c>
      <c r="F4057" t="n">
        <v>1.035014613927555</v>
      </c>
    </row>
    <row r="4058">
      <c r="A4058" t="inlineStr">
        <is>
          <t>G|REV_DEBT x ASSET_CLASS|where 2024|loan_size|band|3</t>
        </is>
      </c>
      <c r="B4058" t="n">
        <v>1.012495143280488</v>
      </c>
      <c r="C4058" t="n">
        <v>0.921847250397518</v>
      </c>
      <c r="D4058" t="n">
        <v>0.9872113821586209</v>
      </c>
      <c r="E4058" t="n">
        <v>1.082940712493971</v>
      </c>
    </row>
    <row r="4059">
      <c r="A4059" t="inlineStr">
        <is>
          <t>G|REV_DEBT x ASSET_CLASS|where 2024|loan_size|rate|4</t>
        </is>
      </c>
      <c r="B4059" t="n">
        <v>31074.60620689655</v>
      </c>
      <c r="C4059" t="n">
        <v>34333.0664</v>
      </c>
      <c r="D4059" t="n">
        <v>33365.62621212121</v>
      </c>
      <c r="E4059" t="n">
        <v>31666.31449438203</v>
      </c>
      <c r="F4059" t="n">
        <v>32623.48157894737</v>
      </c>
    </row>
    <row r="4060">
      <c r="A4060" t="inlineStr">
        <is>
          <t>G|REV_DEBT x ASSET_CLASS|where 2024|loan_size|median|4</t>
        </is>
      </c>
      <c r="B4060" t="n">
        <v>31419.1</v>
      </c>
      <c r="C4060" t="n">
        <v>34675.275</v>
      </c>
      <c r="D4060" t="n">
        <v>33919.47</v>
      </c>
      <c r="E4060" t="n">
        <v>33039.52</v>
      </c>
      <c r="F4060" t="n">
        <v>33149.855</v>
      </c>
    </row>
    <row r="4061">
      <c r="A4061" t="inlineStr">
        <is>
          <t>G|REV_DEBT x ASSET_CLASS|where 2024|loan_size|book|4</t>
        </is>
      </c>
      <c r="B4061" t="n">
        <v>0.9631777106917989</v>
      </c>
      <c r="C4061" t="n">
        <v>1.064175812108679</v>
      </c>
      <c r="D4061" t="n">
        <v>1.034189371759661</v>
      </c>
      <c r="E4061" t="n">
        <v>0.9815180954401387</v>
      </c>
      <c r="F4061" t="n">
        <v>1.011186114243755</v>
      </c>
    </row>
    <row r="4062">
      <c r="A4062" t="inlineStr">
        <is>
          <t>G|REV_DEBT x ASSET_CLASS|where 2024|loan_size|band|4</t>
        </is>
      </c>
      <c r="B4062" t="n">
        <v>0.9373395231284855</v>
      </c>
      <c r="C4062" t="n">
        <v>1.075697016731156</v>
      </c>
      <c r="D4062" t="n">
        <v>1.028342897611582</v>
      </c>
      <c r="E4062" t="n">
        <v>0.9607442209538513</v>
      </c>
    </row>
    <row r="4063">
      <c r="A4063" t="inlineStr">
        <is>
          <t>G|REV_DEBT x ASSET_CLASS|where 2024|loan_size|rate|5</t>
        </is>
      </c>
      <c r="B4063" t="n">
        <v>29444.829375</v>
      </c>
      <c r="C4063" t="n">
        <v>31971.50808510638</v>
      </c>
      <c r="D4063" t="n">
        <v>31328.044625</v>
      </c>
      <c r="E4063" t="n">
        <v>31324.2698</v>
      </c>
      <c r="F4063" t="n">
        <v>31072.25610169491</v>
      </c>
    </row>
    <row r="4064">
      <c r="A4064" t="inlineStr">
        <is>
          <t>G|REV_DEBT x ASSET_CLASS|where 2024|loan_size|median|5</t>
        </is>
      </c>
      <c r="B4064" t="n">
        <v>28521.405</v>
      </c>
      <c r="C4064" t="n">
        <v>32158.995</v>
      </c>
      <c r="D4064" t="n">
        <v>28515.86</v>
      </c>
      <c r="E4064" t="n">
        <v>31039.92</v>
      </c>
      <c r="F4064" t="n">
        <v>30357.58</v>
      </c>
    </row>
    <row r="4065">
      <c r="A4065" t="inlineStr">
        <is>
          <t>G|REV_DEBT x ASSET_CLASS|where 2024|loan_size|book|5</t>
        </is>
      </c>
      <c r="B4065" t="n">
        <v>0.9126617135643353</v>
      </c>
      <c r="C4065" t="n">
        <v>0.9909777700720397</v>
      </c>
      <c r="D4065" t="n">
        <v>0.9710331999528682</v>
      </c>
      <c r="E4065" t="n">
        <v>0.9709161967870822</v>
      </c>
      <c r="F4065" t="n">
        <v>0.9631048676464865</v>
      </c>
    </row>
    <row r="4066">
      <c r="A4066" t="inlineStr">
        <is>
          <t>G|REV_DEBT x ASSET_CLASS|where 2024|loan_size|band|5</t>
        </is>
      </c>
      <c r="B4066" t="n">
        <v>0.9333515069670394</v>
      </c>
      <c r="C4066" t="n">
        <v>1.039820486895744</v>
      </c>
      <c r="D4066" t="n">
        <v>1.010661199198017</v>
      </c>
      <c r="E4066" t="n">
        <v>1.011339917269779</v>
      </c>
    </row>
    <row r="4067">
      <c r="A4067" t="inlineStr">
        <is>
          <t>G|REV_DEBT x ASSET_CLASS|where 2024|loan_size|rate|6</t>
        </is>
      </c>
      <c r="B4067" t="n">
        <v>32663.25469287469</v>
      </c>
      <c r="C4067" t="n">
        <v>33219.40739224138</v>
      </c>
      <c r="D4067" t="n">
        <v>32372.21776412777</v>
      </c>
      <c r="E4067" t="n">
        <v>33156.09789010989</v>
      </c>
      <c r="F4067" t="n">
        <v>32873.20649740335</v>
      </c>
    </row>
    <row r="4068">
      <c r="A4068" t="inlineStr">
        <is>
          <t>G|REV_DEBT x ASSET_CLASS|where 2024|loan_size|median|6</t>
        </is>
      </c>
      <c r="B4068" t="n">
        <v>32690.66</v>
      </c>
      <c r="C4068" t="n">
        <v>34021.495</v>
      </c>
      <c r="D4068" t="n">
        <v>31366.59</v>
      </c>
      <c r="E4068" t="n">
        <v>33220.72</v>
      </c>
      <c r="F4068" t="n">
        <v>32964.31</v>
      </c>
    </row>
    <row r="4069">
      <c r="A4069" t="inlineStr">
        <is>
          <t>G|REV_DEBT x ASSET_CLASS|where 2024|loan_size|book|6</t>
        </is>
      </c>
      <c r="B4069" t="n">
        <v>1.012418907881253</v>
      </c>
      <c r="C4069" t="n">
        <v>1.029657223958519</v>
      </c>
      <c r="D4069" t="n">
        <v>1.003398028231456</v>
      </c>
      <c r="E4069" t="n">
        <v>1.027694904599682</v>
      </c>
      <c r="F4069" t="n">
        <v>1.018926501158385</v>
      </c>
    </row>
    <row r="4070">
      <c r="A4070" t="inlineStr">
        <is>
          <t>G|REV_DEBT x ASSET_CLASS|where 2024|loan_size|band|6</t>
        </is>
      </c>
    </row>
    <row r="4071">
      <c r="A4071" t="inlineStr">
        <is>
          <t>G|REV_DEBT x ASSET_CLASS|where 2024|loan_size|meta</t>
        </is>
      </c>
      <c r="B4071" t="inlineStr">
        <is>
          <t>size</t>
        </is>
      </c>
      <c r="C4071" t="n">
        <v>1</v>
      </c>
      <c r="E4071" t="n">
        <v>32262.58857732217</v>
      </c>
      <c r="F4071" t="n">
        <v>30</v>
      </c>
    </row>
    <row r="4072">
      <c r="A4072" t="inlineStr">
        <is>
          <t>G|REV_DEBT x ASSET_CLASS|where 2025|cols</t>
        </is>
      </c>
      <c r="B4072" t="inlineStr">
        <is>
          <t>1</t>
        </is>
      </c>
      <c r="C4072" t="inlineStr">
        <is>
          <t>2</t>
        </is>
      </c>
      <c r="D4072" t="inlineStr">
        <is>
          <t>3</t>
        </is>
      </c>
      <c r="E4072" t="inlineStr">
        <is>
          <t>4</t>
        </is>
      </c>
      <c r="F4072" t="inlineStr">
        <is>
          <t>All</t>
        </is>
      </c>
    </row>
    <row r="4073">
      <c r="A4073" t="inlineStr">
        <is>
          <t>G|REV_DEBT x ASSET_CLASS|where 2025|heads</t>
        </is>
      </c>
      <c r="B4073" t="inlineStr">
        <is>
          <t>1</t>
        </is>
      </c>
      <c r="C4073" t="inlineStr">
        <is>
          <t>2</t>
        </is>
      </c>
      <c r="D4073" t="inlineStr">
        <is>
          <t>3</t>
        </is>
      </c>
      <c r="E4073" t="inlineStr">
        <is>
          <t>4</t>
        </is>
      </c>
      <c r="F4073" t="inlineStr">
        <is>
          <t>All</t>
        </is>
      </c>
    </row>
    <row r="4074">
      <c r="A4074" t="inlineStr">
        <is>
          <t>G|REV_DEBT x ASSET_CLASS|where 2025|segs</t>
        </is>
      </c>
    </row>
    <row r="4075">
      <c r="A4075" t="inlineStr">
        <is>
          <t>G|REV_DEBT x ASSET_CLASS|where 2025|rows</t>
        </is>
      </c>
      <c r="B4075" t="inlineStr">
        <is>
          <t>0 - 6,558</t>
        </is>
      </c>
      <c r="C4075" t="inlineStr">
        <is>
          <t>6,559 - 9,836</t>
        </is>
      </c>
      <c r="D4075" t="inlineStr">
        <is>
          <t>9,837 - 13,051</t>
        </is>
      </c>
      <c r="E4075" t="inlineStr">
        <is>
          <t>13,052 - 17,186</t>
        </is>
      </c>
      <c r="F4075" t="inlineStr">
        <is>
          <t>17,187 - 48,521</t>
        </is>
      </c>
      <c r="G4075" t="inlineStr">
        <is>
          <t>All</t>
        </is>
      </c>
    </row>
    <row r="4076">
      <c r="A4076" t="inlineStr">
        <is>
          <t>G|REV_DEBT x ASSET_CLASS|where 2025|names</t>
        </is>
      </c>
      <c r="B4076" t="inlineStr">
        <is>
          <t>REV_DEBT</t>
        </is>
      </c>
      <c r="C4076" t="inlineStr">
        <is>
          <t>ASSET_CLASS</t>
        </is>
      </c>
    </row>
    <row r="4077">
      <c r="A4077" t="inlineStr">
        <is>
          <t>G|REV_DEBT x ASSET_CLASS|where 2025|total</t>
        </is>
      </c>
      <c r="B4077" t="n">
        <v>1702</v>
      </c>
    </row>
    <row r="4078">
      <c r="A4078" t="inlineStr">
        <is>
          <t>G|REV_DEBT x ASSET_CLASS|where 2025|loans|1</t>
        </is>
      </c>
      <c r="B4078" t="n">
        <v>88</v>
      </c>
      <c r="C4078" t="n">
        <v>99</v>
      </c>
      <c r="D4078" t="n">
        <v>73</v>
      </c>
      <c r="E4078" t="n">
        <v>84</v>
      </c>
      <c r="F4078" t="n">
        <v>344</v>
      </c>
    </row>
    <row r="4079">
      <c r="A4079" t="inlineStr">
        <is>
          <t>G|REV_DEBT x ASSET_CLASS|where 2025|loans|2</t>
        </is>
      </c>
      <c r="B4079" t="n">
        <v>87</v>
      </c>
      <c r="C4079" t="n">
        <v>88</v>
      </c>
      <c r="D4079" t="n">
        <v>98</v>
      </c>
      <c r="E4079" t="n">
        <v>74</v>
      </c>
      <c r="F4079" t="n">
        <v>347</v>
      </c>
    </row>
    <row r="4080">
      <c r="A4080" t="inlineStr">
        <is>
          <t>G|REV_DEBT x ASSET_CLASS|where 2025|loans|3</t>
        </is>
      </c>
      <c r="B4080" t="n">
        <v>76</v>
      </c>
      <c r="C4080" t="n">
        <v>90</v>
      </c>
      <c r="D4080" t="n">
        <v>87</v>
      </c>
      <c r="E4080" t="n">
        <v>72</v>
      </c>
      <c r="F4080" t="n">
        <v>325</v>
      </c>
    </row>
    <row r="4081">
      <c r="A4081" t="inlineStr">
        <is>
          <t>G|REV_DEBT x ASSET_CLASS|where 2025|loans|4</t>
        </is>
      </c>
      <c r="B4081" t="n">
        <v>97</v>
      </c>
      <c r="C4081" t="n">
        <v>74</v>
      </c>
      <c r="D4081" t="n">
        <v>86</v>
      </c>
      <c r="E4081" t="n">
        <v>90</v>
      </c>
      <c r="F4081" t="n">
        <v>347</v>
      </c>
    </row>
    <row r="4082">
      <c r="A4082" t="inlineStr">
        <is>
          <t>G|REV_DEBT x ASSET_CLASS|where 2025|loans|5</t>
        </is>
      </c>
      <c r="B4082" t="n">
        <v>84</v>
      </c>
      <c r="C4082" t="n">
        <v>87</v>
      </c>
      <c r="D4082" t="n">
        <v>82</v>
      </c>
      <c r="E4082" t="n">
        <v>86</v>
      </c>
      <c r="F4082" t="n">
        <v>339</v>
      </c>
    </row>
    <row r="4083">
      <c r="A4083" t="inlineStr">
        <is>
          <t>G|REV_DEBT x ASSET_CLASS|where 2025|loans|6</t>
        </is>
      </c>
      <c r="B4083" t="n">
        <v>432</v>
      </c>
      <c r="C4083" t="n">
        <v>438</v>
      </c>
      <c r="D4083" t="n">
        <v>426</v>
      </c>
      <c r="E4083" t="n">
        <v>406</v>
      </c>
      <c r="F4083" t="n">
        <v>1702</v>
      </c>
    </row>
    <row r="4084">
      <c r="A4084" t="inlineStr">
        <is>
          <t>G|REV_DEBT x ASSET_CLASS|where 2025|outcome_loans|rate|1</t>
        </is>
      </c>
      <c r="B4084" t="n">
        <v>0.03409090909090909</v>
      </c>
      <c r="C4084" t="n">
        <v>0.0303030303030303</v>
      </c>
      <c r="D4084" t="n">
        <v>0.0410958904109589</v>
      </c>
      <c r="E4084" t="n">
        <v>0.05952380952380952</v>
      </c>
      <c r="F4084" t="n">
        <v>0.04069767441860465</v>
      </c>
    </row>
    <row r="4085">
      <c r="A4085" t="inlineStr">
        <is>
          <t>G|REV_DEBT x ASSET_CLASS|where 2025|outcome_loans|book|1</t>
        </is>
      </c>
      <c r="F4085" t="n">
        <v>0.5259138896194162</v>
      </c>
    </row>
    <row r="4086">
      <c r="A4086" t="inlineStr">
        <is>
          <t>G|REV_DEBT x ASSET_CLASS|where 2025|outcome_loans|band|1</t>
        </is>
      </c>
    </row>
    <row r="4087">
      <c r="A4087" t="inlineStr">
        <is>
          <t>G|REV_DEBT x ASSET_CLASS|where 2025|outcome_loans|rate|2</t>
        </is>
      </c>
      <c r="B4087" t="n">
        <v>0.01149425287356322</v>
      </c>
      <c r="C4087" t="n">
        <v>0.01136363636363636</v>
      </c>
      <c r="D4087" t="n">
        <v>0.08163265306122448</v>
      </c>
      <c r="E4087" t="n">
        <v>0.06756756756756757</v>
      </c>
      <c r="F4087" t="n">
        <v>0.04322766570605188</v>
      </c>
    </row>
    <row r="4088">
      <c r="A4088" t="inlineStr">
        <is>
          <t>G|REV_DEBT x ASSET_CLASS|where 2025|outcome_loans|book|2</t>
        </is>
      </c>
      <c r="F4088" t="n">
        <v>0.5586075896328093</v>
      </c>
    </row>
    <row r="4089">
      <c r="A4089" t="inlineStr">
        <is>
          <t>G|REV_DEBT x ASSET_CLASS|where 2025|outcome_loans|band|2</t>
        </is>
      </c>
    </row>
    <row r="4090">
      <c r="A4090" t="inlineStr">
        <is>
          <t>G|REV_DEBT x ASSET_CLASS|where 2025|outcome_loans|rate|3</t>
        </is>
      </c>
      <c r="B4090" t="n">
        <v>0.03947368421052631</v>
      </c>
      <c r="C4090" t="n">
        <v>0.03333333333333333</v>
      </c>
      <c r="D4090" t="n">
        <v>0.09195402298850575</v>
      </c>
      <c r="E4090" t="n">
        <v>0.08333333333333333</v>
      </c>
      <c r="F4090" t="n">
        <v>0.06153846153846154</v>
      </c>
    </row>
    <row r="4091">
      <c r="A4091" t="inlineStr">
        <is>
          <t>G|REV_DEBT x ASSET_CLASS|where 2025|outcome_loans|book|3</t>
        </is>
      </c>
      <c r="F4091" t="n">
        <v>0.7952280352926556</v>
      </c>
    </row>
    <row r="4092">
      <c r="A4092" t="inlineStr">
        <is>
          <t>G|REV_DEBT x ASSET_CLASS|where 2025|outcome_loans|band|3</t>
        </is>
      </c>
    </row>
    <row r="4093">
      <c r="A4093" t="inlineStr">
        <is>
          <t>G|REV_DEBT x ASSET_CLASS|where 2025|outcome_loans|rate|4</t>
        </is>
      </c>
      <c r="B4093" t="n">
        <v>0.1030927835051546</v>
      </c>
      <c r="C4093" t="n">
        <v>0.04054054054054054</v>
      </c>
      <c r="D4093" t="n">
        <v>0.08139534883720931</v>
      </c>
      <c r="E4093" t="n">
        <v>0.1222222222222222</v>
      </c>
      <c r="F4093" t="n">
        <v>0.0893371757925072</v>
      </c>
    </row>
    <row r="4094">
      <c r="A4094" t="inlineStr">
        <is>
          <t>G|REV_DEBT x ASSET_CLASS|where 2025|outcome_loans|book|4</t>
        </is>
      </c>
      <c r="B4094" t="n">
        <v>1.332211914794397</v>
      </c>
      <c r="E4094" t="n">
        <v>1.579411236761802</v>
      </c>
      <c r="F4094" t="n">
        <v>1.154455685241139</v>
      </c>
    </row>
    <row r="4095">
      <c r="A4095" t="inlineStr">
        <is>
          <t>G|REV_DEBT x ASSET_CLASS|where 2025|outcome_loans|band|4</t>
        </is>
      </c>
      <c r="B4095" t="n">
        <v>1.227295041728031</v>
      </c>
      <c r="E4095" t="n">
        <v>1.570555555555555</v>
      </c>
    </row>
    <row r="4096">
      <c r="A4096" t="inlineStr">
        <is>
          <t>G|REV_DEBT x ASSET_CLASS|where 2025|outcome_loans|rate|5</t>
        </is>
      </c>
      <c r="B4096" t="n">
        <v>0.1547619047619048</v>
      </c>
      <c r="C4096" t="n">
        <v>0.1264367816091954</v>
      </c>
      <c r="D4096" t="n">
        <v>0.1829268292682927</v>
      </c>
      <c r="E4096" t="n">
        <v>0.1279069767441861</v>
      </c>
      <c r="F4096" t="n">
        <v>0.1474926253687316</v>
      </c>
    </row>
    <row r="4097">
      <c r="A4097" t="inlineStr">
        <is>
          <t>G|REV_DEBT x ASSET_CLASS|where 2025|outcome_loans|book|5</t>
        </is>
      </c>
      <c r="B4097" t="n">
        <v>1.999903838756828</v>
      </c>
      <c r="C4097" t="n">
        <v>1.633873693201864</v>
      </c>
      <c r="D4097" t="n">
        <v>2.363863824421766</v>
      </c>
      <c r="E4097" t="n">
        <v>1.652872224518165</v>
      </c>
      <c r="F4097" t="n">
        <v>1.905966898747147</v>
      </c>
    </row>
    <row r="4098">
      <c r="A4098" t="inlineStr">
        <is>
          <t>G|REV_DEBT x ASSET_CLASS|where 2025|outcome_loans|band|5</t>
        </is>
      </c>
      <c r="B4098" t="n">
        <v>1.066602316602317</v>
      </c>
      <c r="C4098" t="n">
        <v>0.8169761273209549</v>
      </c>
      <c r="D4098" t="n">
        <v>1.343205574912892</v>
      </c>
      <c r="E4098" t="n">
        <v>0.8297555158020274</v>
      </c>
    </row>
    <row r="4099">
      <c r="A4099" t="inlineStr">
        <is>
          <t>G|REV_DEBT x ASSET_CLASS|where 2025|outcome_loans|rate|6</t>
        </is>
      </c>
      <c r="B4099" t="n">
        <v>0.06944444444444445</v>
      </c>
      <c r="C4099" t="n">
        <v>0.04794520547945205</v>
      </c>
      <c r="D4099" t="n">
        <v>0.09624413145539906</v>
      </c>
      <c r="E4099" t="n">
        <v>0.09359605911330049</v>
      </c>
      <c r="F4099" t="n">
        <v>0.07638072855464159</v>
      </c>
    </row>
    <row r="4100">
      <c r="A4100" t="inlineStr">
        <is>
          <t>G|REV_DEBT x ASSET_CLASS|where 2025|outcome_loans|book|6</t>
        </is>
      </c>
      <c r="B4100" t="n">
        <v>0.8973927481601149</v>
      </c>
      <c r="C4100" t="n">
        <v>0.6195697877708189</v>
      </c>
      <c r="D4100" t="n">
        <v>1.243710512943032</v>
      </c>
      <c r="E4100" t="n">
        <v>1.209490915746835</v>
      </c>
      <c r="F4100" t="n">
        <v>0.9870265714193507</v>
      </c>
    </row>
    <row r="4101">
      <c r="A4101" t="inlineStr">
        <is>
          <t>G|REV_DEBT x ASSET_CLASS|where 2025|outcome_loans|band|6</t>
        </is>
      </c>
    </row>
    <row r="4102">
      <c r="A4102" t="inlineStr">
        <is>
          <t>G|REV_DEBT x ASSET_CLASS|where 2025|outcome_loans|meta</t>
        </is>
      </c>
      <c r="B4102" t="inlineStr">
        <is>
          <t>x</t>
        </is>
      </c>
      <c r="C4102" t="n">
        <v>2.363863824421766</v>
      </c>
      <c r="D4102" t="n">
        <v>10</v>
      </c>
      <c r="E4102" t="n">
        <v>0.07738467308413552</v>
      </c>
      <c r="F4102" t="n">
        <v>30</v>
      </c>
    </row>
    <row r="4103">
      <c r="A4103" t="inlineStr">
        <is>
          <t>G|REV_DEBT x ASSET_CLASS|where 2025|outcome_booked|rate|1</t>
        </is>
      </c>
      <c r="B4103" t="n">
        <v>0.04494018714383888</v>
      </c>
      <c r="C4103" t="n">
        <v>0.02255219985655111</v>
      </c>
      <c r="D4103" t="n">
        <v>0.04016363169598665</v>
      </c>
      <c r="E4103" t="n">
        <v>0.05148028038144989</v>
      </c>
      <c r="F4103" t="n">
        <v>0.03903497349966133</v>
      </c>
    </row>
    <row r="4104">
      <c r="A4104" t="inlineStr">
        <is>
          <t>G|REV_DEBT x ASSET_CLASS|where 2025|outcome_booked|book|1</t>
        </is>
      </c>
      <c r="F4104" t="n">
        <v>0.5216566045139918</v>
      </c>
    </row>
    <row r="4105">
      <c r="A4105" t="inlineStr">
        <is>
          <t>G|REV_DEBT x ASSET_CLASS|where 2025|outcome_booked|band|1</t>
        </is>
      </c>
    </row>
    <row r="4106">
      <c r="A4106" t="inlineStr">
        <is>
          <t>G|REV_DEBT x ASSET_CLASS|where 2025|outcome_booked|rate|2</t>
        </is>
      </c>
      <c r="B4106" t="n">
        <v>0.01912659434315015</v>
      </c>
      <c r="C4106" t="n">
        <v>0.002702289470692707</v>
      </c>
      <c r="D4106" t="n">
        <v>0.08377253405876046</v>
      </c>
      <c r="E4106" t="n">
        <v>0.05231038230690557</v>
      </c>
      <c r="F4106" t="n">
        <v>0.03829622525726894</v>
      </c>
    </row>
    <row r="4107">
      <c r="A4107" t="inlineStr">
        <is>
          <t>G|REV_DEBT x ASSET_CLASS|where 2025|outcome_booked|book|2</t>
        </is>
      </c>
      <c r="F4107" t="n">
        <v>0.5117841013414089</v>
      </c>
    </row>
    <row r="4108">
      <c r="A4108" t="inlineStr">
        <is>
          <t>G|REV_DEBT x ASSET_CLASS|where 2025|outcome_booked|band|2</t>
        </is>
      </c>
    </row>
    <row r="4109">
      <c r="A4109" t="inlineStr">
        <is>
          <t>G|REV_DEBT x ASSET_CLASS|where 2025|outcome_booked|rate|3</t>
        </is>
      </c>
      <c r="B4109" t="n">
        <v>0.03439129133037935</v>
      </c>
      <c r="C4109" t="n">
        <v>0.03458569233584805</v>
      </c>
      <c r="D4109" t="n">
        <v>0.07048115868271607</v>
      </c>
      <c r="E4109" t="n">
        <v>0.103057064108894</v>
      </c>
      <c r="F4109" t="n">
        <v>0.05899664566474773</v>
      </c>
    </row>
    <row r="4110">
      <c r="A4110" t="inlineStr">
        <is>
          <t>G|REV_DEBT x ASSET_CLASS|where 2025|outcome_booked|book|3</t>
        </is>
      </c>
      <c r="F4110" t="n">
        <v>0.788420923494528</v>
      </c>
    </row>
    <row r="4111">
      <c r="A4111" t="inlineStr">
        <is>
          <t>G|REV_DEBT x ASSET_CLASS|where 2025|outcome_booked|band|3</t>
        </is>
      </c>
    </row>
    <row r="4112">
      <c r="A4112" t="inlineStr">
        <is>
          <t>G|REV_DEBT x ASSET_CLASS|where 2025|outcome_booked|rate|4</t>
        </is>
      </c>
      <c r="B4112" t="n">
        <v>0.1165631349966053</v>
      </c>
      <c r="C4112" t="n">
        <v>0.04433209629784654</v>
      </c>
      <c r="D4112" t="n">
        <v>0.05752607151535308</v>
      </c>
      <c r="E4112" t="n">
        <v>0.1204167596286636</v>
      </c>
      <c r="F4112" t="n">
        <v>0.08644851889720408</v>
      </c>
    </row>
    <row r="4113">
      <c r="A4113" t="inlineStr">
        <is>
          <t>G|REV_DEBT x ASSET_CLASS|where 2025|outcome_booked|book|4</t>
        </is>
      </c>
      <c r="B4113" t="n">
        <v>1.557729486209661</v>
      </c>
      <c r="E4113" t="n">
        <v>1.609228656323058</v>
      </c>
      <c r="F4113" t="n">
        <v>1.155282988307149</v>
      </c>
    </row>
    <row r="4114">
      <c r="A4114" t="inlineStr">
        <is>
          <t>G|REV_DEBT x ASSET_CLASS|where 2025|outcome_booked|band|4</t>
        </is>
      </c>
      <c r="B4114" t="n">
        <v>1.552935200201259</v>
      </c>
      <c r="E4114" t="n">
        <v>1.600706259618556</v>
      </c>
    </row>
    <row r="4115">
      <c r="A4115" t="inlineStr">
        <is>
          <t>G|REV_DEBT x ASSET_CLASS|where 2025|outcome_booked|rate|5</t>
        </is>
      </c>
      <c r="B4115" t="n">
        <v>0.1102494969465591</v>
      </c>
      <c r="C4115" t="n">
        <v>0.1468702397674215</v>
      </c>
      <c r="D4115" t="n">
        <v>0.199801649731842</v>
      </c>
      <c r="E4115" t="n">
        <v>0.1481980372306894</v>
      </c>
      <c r="F4115" t="n">
        <v>0.1513777882739946</v>
      </c>
    </row>
    <row r="4116">
      <c r="A4116" t="inlineStr">
        <is>
          <t>G|REV_DEBT x ASSET_CLASS|where 2025|outcome_booked|book|5</t>
        </is>
      </c>
      <c r="B4116" t="n">
        <v>1.47335512414314</v>
      </c>
      <c r="C4116" t="n">
        <v>1.962748369276943</v>
      </c>
      <c r="D4116" t="n">
        <v>2.670114536552994</v>
      </c>
      <c r="E4116" t="n">
        <v>1.98049282390496</v>
      </c>
      <c r="F4116" t="n">
        <v>2.022986464446687</v>
      </c>
    </row>
    <row r="4117">
      <c r="A4117" t="inlineStr">
        <is>
          <t>G|REV_DEBT x ASSET_CLASS|where 2025|outcome_booked|band|5</t>
        </is>
      </c>
      <c r="B4117" t="n">
        <v>0.6690285998328445</v>
      </c>
      <c r="C4117" t="n">
        <v>0.9603687546310138</v>
      </c>
      <c r="D4117" t="n">
        <v>1.476539721587588</v>
      </c>
      <c r="E4117" t="n">
        <v>0.9722329219126791</v>
      </c>
    </row>
    <row r="4118">
      <c r="A4118" t="inlineStr">
        <is>
          <t>G|REV_DEBT x ASSET_CLASS|where 2025|outcome_booked|rate|6</t>
        </is>
      </c>
      <c r="B4118" t="n">
        <v>0.06597557362234215</v>
      </c>
      <c r="C4118" t="n">
        <v>0.0482989103880899</v>
      </c>
      <c r="D4118" t="n">
        <v>0.09045736194019013</v>
      </c>
      <c r="E4118" t="n">
        <v>0.09545634441027964</v>
      </c>
      <c r="F4118" t="n">
        <v>0.07444206116597255</v>
      </c>
    </row>
    <row r="4119">
      <c r="A4119" t="inlineStr">
        <is>
          <t>G|REV_DEBT x ASSET_CLASS|where 2025|outcome_booked|book|6</t>
        </is>
      </c>
      <c r="B4119" t="n">
        <v>0.8816861043082937</v>
      </c>
      <c r="C4119" t="n">
        <v>0.6454582477171437</v>
      </c>
      <c r="D4119" t="n">
        <v>1.208856470298928</v>
      </c>
      <c r="E4119" t="n">
        <v>1.275662003582932</v>
      </c>
      <c r="F4119" t="n">
        <v>0.994830773004138</v>
      </c>
    </row>
    <row r="4120">
      <c r="A4120" t="inlineStr">
        <is>
          <t>G|REV_DEBT x ASSET_CLASS|where 2025|outcome_booked|band|6</t>
        </is>
      </c>
    </row>
    <row r="4121">
      <c r="A4121" t="inlineStr">
        <is>
          <t>G|REV_DEBT x ASSET_CLASS|where 2025|outcome_booked|meta</t>
        </is>
      </c>
      <c r="B4121" t="inlineStr">
        <is>
          <t>x</t>
        </is>
      </c>
      <c r="C4121" t="n">
        <v>2.670114536552994</v>
      </c>
      <c r="D4121" t="n">
        <v>10</v>
      </c>
      <c r="E4121" t="n">
        <v>0.07482886857347235</v>
      </c>
      <c r="F4121" t="n">
        <v>30</v>
      </c>
    </row>
    <row r="4122">
      <c r="A4122" t="inlineStr">
        <is>
          <t>G|REV_DEBT x ASSET_CLASS|where 2025|gco_rate|rate|1</t>
        </is>
      </c>
      <c r="B4122" t="n">
        <v>0.02308054427688679</v>
      </c>
      <c r="C4122" t="n">
        <v>0.01121114706403285</v>
      </c>
      <c r="D4122" t="n">
        <v>0.02621789876978809</v>
      </c>
      <c r="E4122" t="n">
        <v>0.0256931616236104</v>
      </c>
      <c r="F4122" t="n">
        <v>0.02098040409049996</v>
      </c>
    </row>
    <row r="4123">
      <c r="A4123" t="inlineStr">
        <is>
          <t>G|REV_DEBT x ASSET_CLASS|where 2025|gco_rate|book|1</t>
        </is>
      </c>
      <c r="F4123" t="n">
        <v>0.5042728107225818</v>
      </c>
    </row>
    <row r="4124">
      <c r="A4124" t="inlineStr">
        <is>
          <t>G|REV_DEBT x ASSET_CLASS|where 2025|gco_rate|band|1</t>
        </is>
      </c>
    </row>
    <row r="4125">
      <c r="A4125" t="inlineStr">
        <is>
          <t>G|REV_DEBT x ASSET_CLASS|where 2025|gco_rate|rate|2</t>
        </is>
      </c>
      <c r="B4125" t="n">
        <v>0.01087677638021169</v>
      </c>
      <c r="C4125" t="n">
        <v>0.001513573359029244</v>
      </c>
      <c r="D4125" t="n">
        <v>0.04194491400788367</v>
      </c>
      <c r="E4125" t="n">
        <v>0.02892376061709517</v>
      </c>
      <c r="F4125" t="n">
        <v>0.02013553194459775</v>
      </c>
    </row>
    <row r="4126">
      <c r="A4126" t="inlineStr">
        <is>
          <t>G|REV_DEBT x ASSET_CLASS|where 2025|gco_rate|book|2</t>
        </is>
      </c>
      <c r="F4126" t="n">
        <v>0.4839659543876152</v>
      </c>
    </row>
    <row r="4127">
      <c r="A4127" t="inlineStr">
        <is>
          <t>G|REV_DEBT x ASSET_CLASS|where 2025|gco_rate|band|2</t>
        </is>
      </c>
    </row>
    <row r="4128">
      <c r="A4128" t="inlineStr">
        <is>
          <t>G|REV_DEBT x ASSET_CLASS|where 2025|gco_rate|rate|3</t>
        </is>
      </c>
      <c r="B4128" t="n">
        <v>0.02305588970780597</v>
      </c>
      <c r="C4128" t="n">
        <v>0.01999833650218853</v>
      </c>
      <c r="D4128" t="n">
        <v>0.03688017840947243</v>
      </c>
      <c r="E4128" t="n">
        <v>0.05658540858128754</v>
      </c>
      <c r="F4128" t="n">
        <v>0.0331684955529843</v>
      </c>
    </row>
    <row r="4129">
      <c r="A4129" t="inlineStr">
        <is>
          <t>G|REV_DEBT x ASSET_CLASS|where 2025|gco_rate|book|3</t>
        </is>
      </c>
      <c r="F4129" t="n">
        <v>0.7972187002592793</v>
      </c>
    </row>
    <row r="4130">
      <c r="A4130" t="inlineStr">
        <is>
          <t>G|REV_DEBT x ASSET_CLASS|where 2025|gco_rate|band|3</t>
        </is>
      </c>
    </row>
    <row r="4131">
      <c r="A4131" t="inlineStr">
        <is>
          <t>G|REV_DEBT x ASSET_CLASS|where 2025|gco_rate|rate|4</t>
        </is>
      </c>
      <c r="B4131" t="n">
        <v>0.07674305986552611</v>
      </c>
      <c r="C4131" t="n">
        <v>0.02736923702452035</v>
      </c>
      <c r="D4131" t="n">
        <v>0.03319513347780402</v>
      </c>
      <c r="E4131" t="n">
        <v>0.07397808757003597</v>
      </c>
      <c r="F4131" t="n">
        <v>0.05399389284165241</v>
      </c>
    </row>
    <row r="4132">
      <c r="A4132" t="inlineStr">
        <is>
          <t>G|REV_DEBT x ASSET_CLASS|where 2025|gco_rate|book|4</t>
        </is>
      </c>
      <c r="B4132" t="n">
        <v>1.844551627075835</v>
      </c>
      <c r="E4132" t="n">
        <v>1.778094358426361</v>
      </c>
      <c r="F4132" t="n">
        <v>1.297765857495699</v>
      </c>
    </row>
    <row r="4133">
      <c r="A4133" t="inlineStr">
        <is>
          <t>G|REV_DEBT x ASSET_CLASS|where 2025|gco_rate|band|4</t>
        </is>
      </c>
      <c r="B4133" t="n">
        <v>1.690722256578625</v>
      </c>
      <c r="E4133" t="n">
        <v>1.560975784548356</v>
      </c>
    </row>
    <row r="4134">
      <c r="A4134" t="inlineStr">
        <is>
          <t>G|REV_DEBT x ASSET_CLASS|where 2025|gco_rate|rate|5</t>
        </is>
      </c>
      <c r="B4134" t="n">
        <v>0.06607340111779254</v>
      </c>
      <c r="C4134" t="n">
        <v>0.0769840282770418</v>
      </c>
      <c r="D4134" t="n">
        <v>0.1042917752651491</v>
      </c>
      <c r="E4134" t="n">
        <v>0.06884677648960025</v>
      </c>
      <c r="F4134" t="n">
        <v>0.07907806418710926</v>
      </c>
    </row>
    <row r="4135">
      <c r="A4135" t="inlineStr">
        <is>
          <t>G|REV_DEBT x ASSET_CLASS|where 2025|gco_rate|book|5</t>
        </is>
      </c>
      <c r="B4135" t="n">
        <v>1.588101904612831</v>
      </c>
      <c r="C4135" t="n">
        <v>1.850343403899876</v>
      </c>
      <c r="D4135" t="n">
        <v>2.506696554620619</v>
      </c>
      <c r="E4135" t="n">
        <v>1.654761144725538</v>
      </c>
      <c r="F4135" t="n">
        <v>1.90067443515975</v>
      </c>
    </row>
    <row r="4136">
      <c r="A4136" t="inlineStr">
        <is>
          <t>G|REV_DEBT x ASSET_CLASS|where 2025|gco_rate|band|5</t>
        </is>
      </c>
      <c r="B4136" t="n">
        <v>0.793016245842902</v>
      </c>
      <c r="C4136" t="n">
        <v>0.9647161368872825</v>
      </c>
      <c r="D4136" t="n">
        <v>1.474804440320678</v>
      </c>
      <c r="E4136" t="n">
        <v>0.8348545234445559</v>
      </c>
    </row>
    <row r="4137">
      <c r="A4137" t="inlineStr">
        <is>
          <t>G|REV_DEBT x ASSET_CLASS|where 2025|gco_rate|rate|6</t>
        </is>
      </c>
      <c r="B4137" t="n">
        <v>0.04065088561845832</v>
      </c>
      <c r="C4137" t="n">
        <v>0.02626824153799506</v>
      </c>
      <c r="D4137" t="n">
        <v>0.04844203080810979</v>
      </c>
      <c r="E4137" t="n">
        <v>0.05095256826077384</v>
      </c>
      <c r="F4137" t="n">
        <v>0.04126723109963323</v>
      </c>
    </row>
    <row r="4138">
      <c r="A4138" t="inlineStr">
        <is>
          <t>G|REV_DEBT x ASSET_CLASS|where 2025|gco_rate|book|6</t>
        </is>
      </c>
      <c r="B4138" t="n">
        <v>0.9770610833212823</v>
      </c>
      <c r="C4138" t="n">
        <v>0.6313682012970601</v>
      </c>
      <c r="D4138" t="n">
        <v>1.164324525273398</v>
      </c>
      <c r="E4138" t="n">
        <v>1.224666345774961</v>
      </c>
      <c r="F4138" t="n">
        <v>0.9918752054338763</v>
      </c>
    </row>
    <row r="4139">
      <c r="A4139" t="inlineStr">
        <is>
          <t>G|REV_DEBT x ASSET_CLASS|where 2025|gco_rate|band|6</t>
        </is>
      </c>
    </row>
    <row r="4140">
      <c r="A4140" t="inlineStr">
        <is>
          <t>G|REV_DEBT x ASSET_CLASS|where 2025|gco_rate|meta</t>
        </is>
      </c>
      <c r="B4140" t="inlineStr">
        <is>
          <t>x</t>
        </is>
      </c>
      <c r="C4140" t="n">
        <v>2.506696554620619</v>
      </c>
      <c r="D4140" t="n">
        <v>10</v>
      </c>
      <c r="E4140" t="n">
        <v>0.04160526533333565</v>
      </c>
      <c r="F4140" t="n">
        <v>30</v>
      </c>
    </row>
    <row r="4141">
      <c r="A4141" t="inlineStr">
        <is>
          <t>G|REV_DEBT x ASSET_CLASS|where 2025|ranr_rate|rate|1</t>
        </is>
      </c>
      <c r="B4141" t="n">
        <v>0.02731758261825532</v>
      </c>
      <c r="C4141" t="n">
        <v>0.04090651825865119</v>
      </c>
      <c r="D4141" t="n">
        <v>0.02724456612428979</v>
      </c>
      <c r="E4141" t="n">
        <v>0.02548506154013478</v>
      </c>
      <c r="F4141" t="n">
        <v>0.03078718612011024</v>
      </c>
    </row>
    <row r="4142">
      <c r="A4142" t="inlineStr">
        <is>
          <t>G|REV_DEBT x ASSET_CLASS|where 2025|ranr_rate|book|1</t>
        </is>
      </c>
      <c r="B4142" t="n">
        <v>-10.067246703</v>
      </c>
      <c r="C4142" t="n">
        <v>-8.708353139</v>
      </c>
      <c r="D4142" t="n">
        <v>-10.074548352</v>
      </c>
      <c r="E4142" t="n">
        <v>-10.250498811</v>
      </c>
      <c r="F4142" t="n">
        <v>-9.720286353000001</v>
      </c>
    </row>
    <row r="4143">
      <c r="A4143" t="inlineStr">
        <is>
          <t>G|REV_DEBT x ASSET_CLASS|where 2025|ranr_rate|band|1</t>
        </is>
      </c>
      <c r="B4143" t="n">
        <v>-0.45520932</v>
      </c>
      <c r="C4143" t="n">
        <v>1.426230008</v>
      </c>
      <c r="D4143" t="n">
        <v>-0.45404146</v>
      </c>
      <c r="E4143" t="n">
        <v>-0.708799663</v>
      </c>
    </row>
    <row r="4144">
      <c r="A4144" t="inlineStr">
        <is>
          <t>G|REV_DEBT x ASSET_CLASS|where 2025|ranr_rate|rate|2</t>
        </is>
      </c>
      <c r="B4144" t="n">
        <v>0.04857321044346737</v>
      </c>
      <c r="C4144" t="n">
        <v>0.05843620987914851</v>
      </c>
      <c r="D4144" t="n">
        <v>0.01141927632155602</v>
      </c>
      <c r="E4144" t="n">
        <v>0.03267626753396506</v>
      </c>
      <c r="F4144" t="n">
        <v>0.03835262568703717</v>
      </c>
    </row>
    <row r="4145">
      <c r="A4145" t="inlineStr">
        <is>
          <t>G|REV_DEBT x ASSET_CLASS|where 2025|ranr_rate|book|2</t>
        </is>
      </c>
      <c r="B4145" t="n">
        <v>-7.94168392</v>
      </c>
      <c r="C4145" t="n">
        <v>-6.955383977</v>
      </c>
      <c r="D4145" t="n">
        <v>-11.657077333</v>
      </c>
      <c r="E4145" t="n">
        <v>-9.531378211</v>
      </c>
      <c r="F4145" t="n">
        <v>-8.963742396000001</v>
      </c>
    </row>
    <row r="4146">
      <c r="A4146" t="inlineStr">
        <is>
          <t>G|REV_DEBT x ASSET_CLASS|where 2025|ranr_rate|band|2</t>
        </is>
      </c>
      <c r="B4146" t="n">
        <v>1.37113257</v>
      </c>
      <c r="C4146" t="n">
        <v>2.769250772</v>
      </c>
      <c r="D4146" t="n">
        <v>-3.621664937</v>
      </c>
      <c r="E4146" t="n">
        <v>-0.722477385</v>
      </c>
    </row>
    <row r="4147">
      <c r="A4147" t="inlineStr">
        <is>
          <t>G|REV_DEBT x ASSET_CLASS|where 2025|ranr_rate|rate|3</t>
        </is>
      </c>
      <c r="B4147" t="n">
        <v>0.04337379225607066</v>
      </c>
      <c r="C4147" t="n">
        <v>0.04389748919944791</v>
      </c>
      <c r="D4147" t="n">
        <v>0.02795658935905161</v>
      </c>
      <c r="E4147" t="n">
        <v>0.01449715675312592</v>
      </c>
      <c r="F4147" t="n">
        <v>0.03312236760525498</v>
      </c>
    </row>
    <row r="4148">
      <c r="A4148" t="inlineStr">
        <is>
          <t>G|REV_DEBT x ASSET_CLASS|where 2025|ranr_rate|book|3</t>
        </is>
      </c>
      <c r="B4148" t="n">
        <v>-8.461625739</v>
      </c>
      <c r="C4148" t="n">
        <v>-8.409256044999999</v>
      </c>
      <c r="D4148" t="n">
        <v>-10.003346029</v>
      </c>
      <c r="E4148" t="n">
        <v>-11.34928929</v>
      </c>
      <c r="F4148" t="n">
        <v>-9.486768204000001</v>
      </c>
    </row>
    <row r="4149">
      <c r="A4149" t="inlineStr">
        <is>
          <t>G|REV_DEBT x ASSET_CLASS|where 2025|ranr_rate|band|3</t>
        </is>
      </c>
      <c r="B4149" t="n">
        <v>1.352233344</v>
      </c>
      <c r="C4149" t="n">
        <v>1.473598489</v>
      </c>
      <c r="D4149" t="n">
        <v>-0.715192219</v>
      </c>
      <c r="E4149" t="n">
        <v>-2.362449432</v>
      </c>
    </row>
    <row r="4150">
      <c r="A4150" t="inlineStr">
        <is>
          <t>G|REV_DEBT x ASSET_CLASS|where 2025|ranr_rate|rate|4</t>
        </is>
      </c>
      <c r="B4150" t="n">
        <v>-0.00309142114449495</v>
      </c>
      <c r="C4150" t="n">
        <v>0.04507978693236356</v>
      </c>
      <c r="D4150" t="n">
        <v>0.04378139366268542</v>
      </c>
      <c r="E4150" t="n">
        <v>-0.0007603818472008925</v>
      </c>
      <c r="F4150" t="n">
        <v>0.02014373719393788</v>
      </c>
    </row>
    <row r="4151">
      <c r="A4151" t="inlineStr">
        <is>
          <t>G|REV_DEBT x ASSET_CLASS|where 2025|ranr_rate|book|4</t>
        </is>
      </c>
      <c r="B4151" t="n">
        <v>-13.108147079</v>
      </c>
      <c r="C4151" t="n">
        <v>-8.291026272</v>
      </c>
      <c r="D4151" t="n">
        <v>-8.420865599000001</v>
      </c>
      <c r="E4151" t="n">
        <v>-12.87504315</v>
      </c>
      <c r="F4151" t="n">
        <v>-10.784631245</v>
      </c>
    </row>
    <row r="4152">
      <c r="A4152" t="inlineStr">
        <is>
          <t>G|REV_DEBT x ASSET_CLASS|where 2025|ranr_rate|band|4</t>
        </is>
      </c>
      <c r="B4152" t="n">
        <v>-3.202214566</v>
      </c>
      <c r="C4152" t="n">
        <v>3.194317145</v>
      </c>
      <c r="D4152" t="n">
        <v>3.185320034</v>
      </c>
      <c r="E4152" t="n">
        <v>-2.780969756</v>
      </c>
    </row>
    <row r="4153">
      <c r="A4153" t="inlineStr">
        <is>
          <t>G|REV_DEBT x ASSET_CLASS|where 2025|ranr_rate|rate|5</t>
        </is>
      </c>
      <c r="B4153" t="n">
        <v>0.01972301867920633</v>
      </c>
      <c r="C4153" t="n">
        <v>0.01233735740016196</v>
      </c>
      <c r="D4153" t="n">
        <v>-0.009209530417644761</v>
      </c>
      <c r="E4153" t="n">
        <v>0.01840724243905802</v>
      </c>
      <c r="F4153" t="n">
        <v>0.01029702043055184</v>
      </c>
    </row>
    <row r="4154">
      <c r="A4154" t="inlineStr">
        <is>
          <t>G|REV_DEBT x ASSET_CLASS|where 2025|ranr_rate|book|5</t>
        </is>
      </c>
      <c r="B4154" t="n">
        <v>-10.826703097</v>
      </c>
      <c r="C4154" t="n">
        <v>-11.565269225</v>
      </c>
      <c r="D4154" t="n">
        <v>-13.719958007</v>
      </c>
      <c r="E4154" t="n">
        <v>-10.958280721</v>
      </c>
      <c r="F4154" t="n">
        <v>-11.769302922</v>
      </c>
    </row>
    <row r="4155">
      <c r="A4155" t="inlineStr">
        <is>
          <t>G|REV_DEBT x ASSET_CLASS|where 2025|ranr_rate|band|5</t>
        </is>
      </c>
      <c r="B4155" t="n">
        <v>1.249997337</v>
      </c>
      <c r="C4155" t="n">
        <v>0.2743437</v>
      </c>
      <c r="D4155" t="n">
        <v>-2.597610957</v>
      </c>
      <c r="E4155" t="n">
        <v>1.079547944</v>
      </c>
    </row>
    <row r="4156">
      <c r="A4156" t="inlineStr">
        <is>
          <t>G|REV_DEBT x ASSET_CLASS|where 2025|ranr_rate|rate|6</t>
        </is>
      </c>
      <c r="B4156" t="n">
        <v>0.02658125173530245</v>
      </c>
      <c r="C4156" t="n">
        <v>0.04048194526054159</v>
      </c>
      <c r="D4156" t="n">
        <v>0.02038285418863112</v>
      </c>
      <c r="E4156" t="n">
        <v>0.01786307083412911</v>
      </c>
      <c r="F4156" t="n">
        <v>0.02661212722928228</v>
      </c>
    </row>
    <row r="4157">
      <c r="A4157" t="inlineStr">
        <is>
          <t>G|REV_DEBT x ASSET_CLASS|where 2025|ranr_rate|book|6</t>
        </is>
      </c>
      <c r="B4157" t="n">
        <v>-10.140879791</v>
      </c>
      <c r="C4157" t="n">
        <v>-8.750810439</v>
      </c>
      <c r="D4157" t="n">
        <v>-10.760719546</v>
      </c>
      <c r="E4157" t="n">
        <v>-11.012697881</v>
      </c>
      <c r="F4157" t="n">
        <v>-10.137792242</v>
      </c>
    </row>
    <row r="4158">
      <c r="A4158" t="inlineStr">
        <is>
          <t>G|REV_DEBT x ASSET_CLASS|where 2025|ranr_rate|band|6</t>
        </is>
      </c>
    </row>
    <row r="4159">
      <c r="A4159" t="inlineStr">
        <is>
          <t>G|REV_DEBT x ASSET_CLASS|where 2025|ranr_rate|meta</t>
        </is>
      </c>
      <c r="B4159" t="inlineStr">
        <is>
          <t>pts</t>
        </is>
      </c>
      <c r="C4159" t="n">
        <v>13.719958007</v>
      </c>
      <c r="D4159" t="n">
        <v>10</v>
      </c>
      <c r="E4159" t="n">
        <v>0.1279900496481481</v>
      </c>
      <c r="F4159" t="n">
        <v>30</v>
      </c>
    </row>
    <row r="4160">
      <c r="A4160" t="inlineStr">
        <is>
          <t>G|REV_DEBT x ASSET_CLASS|where 2025|contribution_rate|rate|1</t>
        </is>
      </c>
      <c r="B4160" t="n">
        <v>0.0503981268951421</v>
      </c>
      <c r="C4160" t="n">
        <v>0.05211766532268405</v>
      </c>
      <c r="D4160" t="n">
        <v>0.05346246489407788</v>
      </c>
      <c r="E4160" t="n">
        <v>0.05117822316374519</v>
      </c>
      <c r="F4160" t="n">
        <v>0.05176759021061022</v>
      </c>
    </row>
    <row r="4161">
      <c r="A4161" t="inlineStr">
        <is>
          <t>G|REV_DEBT x ASSET_CLASS|where 2025|contribution_rate|book|1</t>
        </is>
      </c>
      <c r="B4161" t="n">
        <v>-11.919432884</v>
      </c>
      <c r="C4161" t="n">
        <v>-11.747479041</v>
      </c>
      <c r="D4161" t="n">
        <v>-11.612999084</v>
      </c>
      <c r="E4161" t="n">
        <v>-11.841423257</v>
      </c>
      <c r="F4161" t="n">
        <v>-11.782486552</v>
      </c>
    </row>
    <row r="4162">
      <c r="A4162" t="inlineStr">
        <is>
          <t>G|REV_DEBT x ASSET_CLASS|where 2025|contribution_rate|band|1</t>
        </is>
      </c>
      <c r="B4162" t="n">
        <v>-0.179672537</v>
      </c>
      <c r="C4162" t="n">
        <v>0.049339978</v>
      </c>
      <c r="D4162" t="n">
        <v>0.217224364</v>
      </c>
      <c r="E4162" t="n">
        <v>-0.078787882</v>
      </c>
    </row>
    <row r="4163">
      <c r="A4163" t="inlineStr">
        <is>
          <t>G|REV_DEBT x ASSET_CLASS|where 2025|contribution_rate|rate|2</t>
        </is>
      </c>
      <c r="B4163" t="n">
        <v>0.05944998682367907</v>
      </c>
      <c r="C4163" t="n">
        <v>0.05994978323817775</v>
      </c>
      <c r="D4163" t="n">
        <v>0.05336419032943968</v>
      </c>
      <c r="E4163" t="n">
        <v>0.06160002815106024</v>
      </c>
      <c r="F4163" t="n">
        <v>0.05848815763163493</v>
      </c>
    </row>
    <row r="4164">
      <c r="A4164" t="inlineStr">
        <is>
          <t>G|REV_DEBT x ASSET_CLASS|where 2025|contribution_rate|book|2</t>
        </is>
      </c>
      <c r="B4164" t="n">
        <v>-11.014246891</v>
      </c>
      <c r="C4164" t="n">
        <v>-10.96426725</v>
      </c>
      <c r="D4164" t="n">
        <v>-11.622826541</v>
      </c>
      <c r="E4164" t="n">
        <v>-10.799242758</v>
      </c>
      <c r="F4164" t="n">
        <v>-11.11042981</v>
      </c>
    </row>
    <row r="4165">
      <c r="A4165" t="inlineStr">
        <is>
          <t>G|REV_DEBT x ASSET_CLASS|where 2025|contribution_rate|band|2</t>
        </is>
      </c>
      <c r="B4165" t="n">
        <v>0.129033256</v>
      </c>
      <c r="C4165" t="n">
        <v>0.201538122</v>
      </c>
      <c r="D4165" t="n">
        <v>-0.689007983</v>
      </c>
      <c r="E4165" t="n">
        <v>0.396073682</v>
      </c>
    </row>
    <row r="4166">
      <c r="A4166" t="inlineStr">
        <is>
          <t>G|REV_DEBT x ASSET_CLASS|where 2025|contribution_rate|rate|3</t>
        </is>
      </c>
      <c r="B4166" t="n">
        <v>0.06642968196387664</v>
      </c>
      <c r="C4166" t="n">
        <v>0.06389582570163647</v>
      </c>
      <c r="D4166" t="n">
        <v>0.06483676776852405</v>
      </c>
      <c r="E4166" t="n">
        <v>0.07108256533441347</v>
      </c>
      <c r="F4166" t="n">
        <v>0.0662908631582393</v>
      </c>
    </row>
    <row r="4167">
      <c r="A4167" t="inlineStr">
        <is>
          <t>G|REV_DEBT x ASSET_CLASS|where 2025|contribution_rate|book|3</t>
        </is>
      </c>
      <c r="B4167" t="n">
        <v>-10.316277377</v>
      </c>
      <c r="C4167" t="n">
        <v>-10.569663003</v>
      </c>
      <c r="D4167" t="n">
        <v>-10.475568797</v>
      </c>
      <c r="E4167" t="n">
        <v>-9.85098904</v>
      </c>
      <c r="F4167" t="n">
        <v>-10.330159258</v>
      </c>
    </row>
    <row r="4168">
      <c r="A4168" t="inlineStr">
        <is>
          <t>G|REV_DEBT x ASSET_CLASS|where 2025|contribution_rate|band|3</t>
        </is>
      </c>
      <c r="B4168" t="n">
        <v>0.018311154</v>
      </c>
      <c r="C4168" t="n">
        <v>-0.327543735</v>
      </c>
      <c r="D4168" t="n">
        <v>-0.201316754</v>
      </c>
      <c r="E4168" t="n">
        <v>0.607786627</v>
      </c>
    </row>
    <row r="4169">
      <c r="A4169" t="inlineStr">
        <is>
          <t>G|REV_DEBT x ASSET_CLASS|where 2025|contribution_rate|rate|4</t>
        </is>
      </c>
      <c r="B4169" t="n">
        <v>0.07365163872103114</v>
      </c>
      <c r="C4169" t="n">
        <v>0.07244902395688392</v>
      </c>
      <c r="D4169" t="n">
        <v>0.07697652714048946</v>
      </c>
      <c r="E4169" t="n">
        <v>0.07321770572283512</v>
      </c>
      <c r="F4169" t="n">
        <v>0.07413763003559029</v>
      </c>
    </row>
    <row r="4170">
      <c r="A4170" t="inlineStr">
        <is>
          <t>G|REV_DEBT x ASSET_CLASS|where 2025|contribution_rate|book|4</t>
        </is>
      </c>
      <c r="B4170" t="n">
        <v>-9.594081701</v>
      </c>
      <c r="C4170" t="n">
        <v>-9.714343178</v>
      </c>
      <c r="D4170" t="n">
        <v>-9.261592859</v>
      </c>
      <c r="E4170" t="n">
        <v>-9.637475001</v>
      </c>
      <c r="F4170" t="n">
        <v>-9.545482570000001</v>
      </c>
    </row>
    <row r="4171">
      <c r="A4171" t="inlineStr">
        <is>
          <t>G|REV_DEBT x ASSET_CLASS|where 2025|contribution_rate|band|4</t>
        </is>
      </c>
      <c r="B4171" t="n">
        <v>-0.066978174</v>
      </c>
      <c r="C4171" t="n">
        <v>-0.21631106</v>
      </c>
      <c r="D4171" t="n">
        <v>0.382558898</v>
      </c>
      <c r="E4171" t="n">
        <v>-0.122381703</v>
      </c>
    </row>
    <row r="4172">
      <c r="A4172" t="inlineStr">
        <is>
          <t>G|REV_DEBT x ASSET_CLASS|where 2025|contribution_rate|rate|5</t>
        </is>
      </c>
      <c r="B4172" t="n">
        <v>0.08579641979699887</v>
      </c>
      <c r="C4172" t="n">
        <v>0.08932138567720375</v>
      </c>
      <c r="D4172" t="n">
        <v>0.0950822448475044</v>
      </c>
      <c r="E4172" t="n">
        <v>0.08725401892865822</v>
      </c>
      <c r="F4172" t="n">
        <v>0.08937508461766108</v>
      </c>
    </row>
    <row r="4173">
      <c r="A4173" t="inlineStr">
        <is>
          <t>G|REV_DEBT x ASSET_CLASS|where 2025|contribution_rate|book|5</t>
        </is>
      </c>
      <c r="B4173" t="n">
        <v>-8.379603594000001</v>
      </c>
      <c r="C4173" t="n">
        <v>-8.027107006</v>
      </c>
      <c r="D4173" t="n">
        <v>-7.451021089</v>
      </c>
      <c r="E4173" t="n">
        <v>-8.233843681</v>
      </c>
      <c r="F4173" t="n">
        <v>-8.021737112</v>
      </c>
    </row>
    <row r="4174">
      <c r="A4174" t="inlineStr">
        <is>
          <t>G|REV_DEBT x ASSET_CLASS|where 2025|contribution_rate|band|5</t>
        </is>
      </c>
      <c r="B4174" t="n">
        <v>-0.474572706</v>
      </c>
      <c r="C4174" t="n">
        <v>-0.007220359</v>
      </c>
      <c r="D4174" t="n">
        <v>0.760000169</v>
      </c>
      <c r="E4174" t="n">
        <v>-0.282334084</v>
      </c>
    </row>
    <row r="4175">
      <c r="A4175" t="inlineStr">
        <is>
          <t>G|REV_DEBT x ASSET_CLASS|where 2025|contribution_rate|rate|6</t>
        </is>
      </c>
      <c r="B4175" t="n">
        <v>0.06723213735376077</v>
      </c>
      <c r="C4175" t="n">
        <v>0.06675018679853666</v>
      </c>
      <c r="D4175" t="n">
        <v>0.0688248849967409</v>
      </c>
      <c r="E4175" t="n">
        <v>0.06881563909490296</v>
      </c>
      <c r="F4175" t="n">
        <v>0.06787935832891551</v>
      </c>
    </row>
    <row r="4176">
      <c r="A4176" t="inlineStr">
        <is>
          <t>G|REV_DEBT x ASSET_CLASS|where 2025|contribution_rate|book|6</t>
        </is>
      </c>
      <c r="B4176" t="n">
        <v>-10.236031838</v>
      </c>
      <c r="C4176" t="n">
        <v>-10.284226894</v>
      </c>
      <c r="D4176" t="n">
        <v>-10.076757074</v>
      </c>
      <c r="E4176" t="n">
        <v>-10.077681664</v>
      </c>
      <c r="F4176" t="n">
        <v>-10.171309741</v>
      </c>
    </row>
    <row r="4177">
      <c r="A4177" t="inlineStr">
        <is>
          <t>G|REV_DEBT x ASSET_CLASS|where 2025|contribution_rate|band|6</t>
        </is>
      </c>
    </row>
    <row r="4178">
      <c r="A4178" t="inlineStr">
        <is>
          <t>G|REV_DEBT x ASSET_CLASS|where 2025|contribution_rate|meta</t>
        </is>
      </c>
      <c r="B4178" t="inlineStr">
        <is>
          <t>pts</t>
        </is>
      </c>
      <c r="C4178" t="n">
        <v>11.919432884</v>
      </c>
      <c r="D4178" t="n">
        <v>10</v>
      </c>
      <c r="E4178" t="n">
        <v>0.1695924557349815</v>
      </c>
      <c r="F4178" t="n">
        <v>30</v>
      </c>
    </row>
    <row r="4179">
      <c r="A4179" t="inlineStr">
        <is>
          <t>G|REV_DEBT x ASSET_CLASS|where 2025|loan_size|rate|1</t>
        </is>
      </c>
      <c r="B4179" t="n">
        <v>29089.81443181818</v>
      </c>
      <c r="C4179" t="n">
        <v>31586.23080808081</v>
      </c>
      <c r="D4179" t="n">
        <v>32406.62301369863</v>
      </c>
      <c r="E4179" t="n">
        <v>32289.29392857143</v>
      </c>
      <c r="F4179" t="n">
        <v>31293.38572674419</v>
      </c>
    </row>
    <row r="4180">
      <c r="A4180" t="inlineStr">
        <is>
          <t>G|REV_DEBT x ASSET_CLASS|where 2025|loan_size|median|1</t>
        </is>
      </c>
      <c r="B4180" t="n">
        <v>28405.94</v>
      </c>
      <c r="C4180" t="n">
        <v>32452.72</v>
      </c>
      <c r="D4180" t="n">
        <v>31894.34</v>
      </c>
      <c r="E4180" t="n">
        <v>29332.59</v>
      </c>
      <c r="F4180" t="n">
        <v>29462.29</v>
      </c>
    </row>
    <row r="4181">
      <c r="A4181" t="inlineStr">
        <is>
          <t>G|REV_DEBT x ASSET_CLASS|where 2025|loan_size|book|1</t>
        </is>
      </c>
      <c r="B4181" t="n">
        <v>0.9016577935803274</v>
      </c>
      <c r="C4181" t="n">
        <v>0.9790358492896389</v>
      </c>
      <c r="D4181" t="n">
        <v>1.004464441408081</v>
      </c>
      <c r="E4181" t="n">
        <v>1.000827749800214</v>
      </c>
      <c r="F4181" t="n">
        <v>0.9699589247696248</v>
      </c>
    </row>
    <row r="4182">
      <c r="A4182" t="inlineStr">
        <is>
          <t>G|REV_DEBT x ASSET_CLASS|where 2025|loan_size|band|1</t>
        </is>
      </c>
      <c r="B4182" t="n">
        <v>0.907614066605457</v>
      </c>
      <c r="C4182" t="n">
        <v>1.013189341096661</v>
      </c>
      <c r="D4182" t="n">
        <v>1.045593836054665</v>
      </c>
      <c r="E4182" t="n">
        <v>1.042544196951027</v>
      </c>
    </row>
    <row r="4183">
      <c r="A4183" t="inlineStr">
        <is>
          <t>G|REV_DEBT x ASSET_CLASS|where 2025|loan_size|rate|2</t>
        </is>
      </c>
      <c r="B4183" t="n">
        <v>32120.05390804597</v>
      </c>
      <c r="C4183" t="n">
        <v>34271.69681818182</v>
      </c>
      <c r="D4183" t="n">
        <v>28709.48397959184</v>
      </c>
      <c r="E4183" t="n">
        <v>31789.88324324324</v>
      </c>
      <c r="F4183" t="n">
        <v>31632.08876080692</v>
      </c>
    </row>
    <row r="4184">
      <c r="A4184" t="inlineStr">
        <is>
          <t>G|REV_DEBT x ASSET_CLASS|where 2025|loan_size|median|2</t>
        </is>
      </c>
      <c r="B4184" t="n">
        <v>28668.97</v>
      </c>
      <c r="C4184" t="n">
        <v>35974.26</v>
      </c>
      <c r="D4184" t="n">
        <v>27187.8</v>
      </c>
      <c r="E4184" t="n">
        <v>29313.58</v>
      </c>
      <c r="F4184" t="n">
        <v>30564.78</v>
      </c>
    </row>
    <row r="4185">
      <c r="A4185" t="inlineStr">
        <is>
          <t>G|REV_DEBT x ASSET_CLASS|where 2025|loan_size|book|2</t>
        </is>
      </c>
      <c r="B4185" t="n">
        <v>0.9955820448525206</v>
      </c>
      <c r="C4185" t="n">
        <v>1.062273621846695</v>
      </c>
      <c r="D4185" t="n">
        <v>0.8898692028627903</v>
      </c>
      <c r="E4185" t="n">
        <v>0.9853481894998595</v>
      </c>
      <c r="F4185" t="n">
        <v>0.9804572464790244</v>
      </c>
    </row>
    <row r="4186">
      <c r="A4186" t="inlineStr">
        <is>
          <t>G|REV_DEBT x ASSET_CLASS|where 2025|loan_size|band|2</t>
        </is>
      </c>
      <c r="B4186" t="n">
        <v>1.020694962143894</v>
      </c>
      <c r="C4186" t="n">
        <v>1.115062190860317</v>
      </c>
      <c r="D4186" t="n">
        <v>0.8757603773319376</v>
      </c>
      <c r="E4186" t="n">
        <v>1.006349191264742</v>
      </c>
    </row>
    <row r="4187">
      <c r="A4187" t="inlineStr">
        <is>
          <t>G|REV_DEBT x ASSET_CLASS|where 2025|loan_size|rate|3</t>
        </is>
      </c>
      <c r="B4187" t="n">
        <v>32703.8652631579</v>
      </c>
      <c r="C4187" t="n">
        <v>30687.68022222222</v>
      </c>
      <c r="D4187" t="n">
        <v>32799.29965517241</v>
      </c>
      <c r="E4187" t="n">
        <v>30200.11722222222</v>
      </c>
      <c r="F4187" t="n">
        <v>31616.40766153846</v>
      </c>
    </row>
    <row r="4188">
      <c r="A4188" t="inlineStr">
        <is>
          <t>G|REV_DEBT x ASSET_CLASS|where 2025|loan_size|median|3</t>
        </is>
      </c>
      <c r="B4188" t="n">
        <v>32378.955</v>
      </c>
      <c r="C4188" t="n">
        <v>29918.6</v>
      </c>
      <c r="D4188" t="n">
        <v>34268.22</v>
      </c>
      <c r="E4188" t="n">
        <v>31023.5</v>
      </c>
      <c r="F4188" t="n">
        <v>31384.03</v>
      </c>
    </row>
    <row r="4189">
      <c r="A4189" t="inlineStr">
        <is>
          <t>G|REV_DEBT x ASSET_CLASS|where 2025|loan_size|book|3</t>
        </is>
      </c>
      <c r="B4189" t="n">
        <v>1.013677659025349</v>
      </c>
      <c r="C4189" t="n">
        <v>0.9511846871392406</v>
      </c>
      <c r="D4189" t="n">
        <v>1.016635710323241</v>
      </c>
      <c r="E4189" t="n">
        <v>0.9360723535820159</v>
      </c>
      <c r="F4189" t="n">
        <v>0.9799712005676471</v>
      </c>
    </row>
    <row r="4190">
      <c r="A4190" t="inlineStr">
        <is>
          <t>G|REV_DEBT x ASSET_CLASS|where 2025|loan_size|band|3</t>
        </is>
      </c>
      <c r="B4190" t="n">
        <v>1.045369837910151</v>
      </c>
      <c r="C4190" t="n">
        <v>0.959827140862475</v>
      </c>
      <c r="D4190" t="n">
        <v>1.051798787190042</v>
      </c>
      <c r="E4190" t="n">
        <v>0.9431800137938858</v>
      </c>
    </row>
    <row r="4191">
      <c r="A4191" t="inlineStr">
        <is>
          <t>G|REV_DEBT x ASSET_CLASS|where 2025|loan_size|rate|4</t>
        </is>
      </c>
      <c r="B4191" t="n">
        <v>30355.30474226804</v>
      </c>
      <c r="C4191" t="n">
        <v>31808.75486486486</v>
      </c>
      <c r="D4191" t="n">
        <v>32181.14965116279</v>
      </c>
      <c r="E4191" t="n">
        <v>29605.88533333334</v>
      </c>
      <c r="F4191" t="n">
        <v>30923.40337175793</v>
      </c>
    </row>
    <row r="4192">
      <c r="A4192" t="inlineStr">
        <is>
          <t>G|REV_DEBT x ASSET_CLASS|where 2025|loan_size|median|4</t>
        </is>
      </c>
      <c r="B4192" t="n">
        <v>29077.25</v>
      </c>
      <c r="C4192" t="n">
        <v>32400.545</v>
      </c>
      <c r="D4192" t="n">
        <v>32386.775</v>
      </c>
      <c r="E4192" t="n">
        <v>28354.79</v>
      </c>
      <c r="F4192" t="n">
        <v>30901.29</v>
      </c>
    </row>
    <row r="4193">
      <c r="A4193" t="inlineStr">
        <is>
          <t>G|REV_DEBT x ASSET_CLASS|where 2025|loan_size|book|4</t>
        </is>
      </c>
      <c r="B4193" t="n">
        <v>0.9408824921012451</v>
      </c>
      <c r="C4193" t="n">
        <v>0.9859331277349421</v>
      </c>
      <c r="D4193" t="n">
        <v>0.9974757473051428</v>
      </c>
      <c r="E4193" t="n">
        <v>0.917653748160299</v>
      </c>
      <c r="F4193" t="n">
        <v>0.9584910800832153</v>
      </c>
    </row>
    <row r="4194">
      <c r="A4194" t="inlineStr">
        <is>
          <t>G|REV_DEBT x ASSET_CLASS|where 2025|loan_size|band|4</t>
        </is>
      </c>
      <c r="B4194" t="n">
        <v>0.974681309006585</v>
      </c>
      <c r="C4194" t="n">
        <v>1.036675734106749</v>
      </c>
      <c r="D4194" t="n">
        <v>1.054809319772081</v>
      </c>
      <c r="E4194" t="n">
        <v>0.94331949899943</v>
      </c>
    </row>
    <row r="4195">
      <c r="A4195" t="inlineStr">
        <is>
          <t>G|REV_DEBT x ASSET_CLASS|where 2025|loan_size|rate|5</t>
        </is>
      </c>
      <c r="B4195" t="n">
        <v>30737.94178571428</v>
      </c>
      <c r="C4195" t="n">
        <v>30928.98597701149</v>
      </c>
      <c r="D4195" t="n">
        <v>31889.63207317073</v>
      </c>
      <c r="E4195" t="n">
        <v>30367.45174418605</v>
      </c>
      <c r="F4195" t="n">
        <v>30971.56215339233</v>
      </c>
    </row>
    <row r="4196">
      <c r="A4196" t="inlineStr">
        <is>
          <t>G|REV_DEBT x ASSET_CLASS|where 2025|loan_size|median|5</t>
        </is>
      </c>
      <c r="B4196" t="n">
        <v>28015.67</v>
      </c>
      <c r="C4196" t="n">
        <v>28706.23</v>
      </c>
      <c r="D4196" t="n">
        <v>31598.345</v>
      </c>
      <c r="E4196" t="n">
        <v>30477.73</v>
      </c>
      <c r="F4196" t="n">
        <v>30332.2</v>
      </c>
    </row>
    <row r="4197">
      <c r="A4197" t="inlineStr">
        <is>
          <t>G|REV_DEBT x ASSET_CLASS|where 2025|loan_size|book|5</t>
        </is>
      </c>
      <c r="B4197" t="n">
        <v>0.9527425771198167</v>
      </c>
      <c r="C4197" t="n">
        <v>0.9586641165784173</v>
      </c>
      <c r="D4197" t="n">
        <v>0.9884399696181356</v>
      </c>
      <c r="E4197" t="n">
        <v>0.9412589963575261</v>
      </c>
      <c r="F4197" t="n">
        <v>0.9599837929670244</v>
      </c>
    </row>
    <row r="4198">
      <c r="A4198" t="inlineStr">
        <is>
          <t>G|REV_DEBT x ASSET_CLASS|where 2025|loan_size|band|5</t>
        </is>
      </c>
      <c r="B4198" t="n">
        <v>0.9899970217337914</v>
      </c>
      <c r="C4198" t="n">
        <v>0.998151597113151</v>
      </c>
      <c r="D4198" t="n">
        <v>1.039473557700323</v>
      </c>
      <c r="E4198" t="n">
        <v>0.9740365500529748</v>
      </c>
    </row>
    <row r="4199">
      <c r="A4199" t="inlineStr">
        <is>
          <t>G|REV_DEBT x ASSET_CLASS|where 2025|loan_size|rate|6</t>
        </is>
      </c>
      <c r="B4199" t="n">
        <v>30940.49488425926</v>
      </c>
      <c r="C4199" t="n">
        <v>31848.18956621004</v>
      </c>
      <c r="D4199" t="n">
        <v>31491.26920187793</v>
      </c>
      <c r="E4199" t="n">
        <v>30825.83995073891</v>
      </c>
      <c r="F4199" t="n">
        <v>31284.59019976499</v>
      </c>
    </row>
    <row r="4200">
      <c r="A4200" t="inlineStr">
        <is>
          <t>G|REV_DEBT x ASSET_CLASS|where 2025|loan_size|median|6</t>
        </is>
      </c>
      <c r="B4200" t="n">
        <v>28859.355</v>
      </c>
      <c r="C4200" t="n">
        <v>31899.815</v>
      </c>
      <c r="D4200" t="n">
        <v>31221.05</v>
      </c>
      <c r="E4200" t="n">
        <v>29498.515</v>
      </c>
      <c r="F4200" t="n">
        <v>30730.845</v>
      </c>
    </row>
    <row r="4201">
      <c r="A4201" t="inlineStr">
        <is>
          <t>G|REV_DEBT x ASSET_CLASS|where 2025|loan_size|book|6</t>
        </is>
      </c>
      <c r="B4201" t="n">
        <v>0.9590208426737268</v>
      </c>
      <c r="C4201" t="n">
        <v>0.9871554320534772</v>
      </c>
      <c r="D4201" t="n">
        <v>0.9760924522967012</v>
      </c>
      <c r="E4201" t="n">
        <v>0.9554670381411006</v>
      </c>
      <c r="F4201" t="n">
        <v>0.969686301667541</v>
      </c>
    </row>
    <row r="4202">
      <c r="A4202" t="inlineStr">
        <is>
          <t>G|REV_DEBT x ASSET_CLASS|where 2025|loan_size|band|6</t>
        </is>
      </c>
    </row>
    <row r="4203">
      <c r="A4203" t="inlineStr">
        <is>
          <t>G|REV_DEBT x ASSET_CLASS|where 2025|loan_size|meta</t>
        </is>
      </c>
      <c r="B4203" t="inlineStr">
        <is>
          <t>size</t>
        </is>
      </c>
      <c r="C4203" t="n">
        <v>1</v>
      </c>
      <c r="E4203" t="n">
        <v>32262.58857732217</v>
      </c>
      <c r="F4203" t="n">
        <v>30</v>
      </c>
    </row>
    <row r="4204">
      <c r="A4204" t="inlineStr">
        <is>
          <t>G|REV_DEBT x ASSET_CLASS|where 2026|cols</t>
        </is>
      </c>
      <c r="B4204" t="inlineStr">
        <is>
          <t>1</t>
        </is>
      </c>
      <c r="C4204" t="inlineStr">
        <is>
          <t>2</t>
        </is>
      </c>
      <c r="D4204" t="inlineStr">
        <is>
          <t>3</t>
        </is>
      </c>
      <c r="E4204" t="inlineStr">
        <is>
          <t>4</t>
        </is>
      </c>
      <c r="F4204" t="inlineStr">
        <is>
          <t>All</t>
        </is>
      </c>
    </row>
    <row r="4205">
      <c r="A4205" t="inlineStr">
        <is>
          <t>G|REV_DEBT x ASSET_CLASS|where 2026|heads</t>
        </is>
      </c>
      <c r="B4205" t="inlineStr">
        <is>
          <t>1</t>
        </is>
      </c>
      <c r="C4205" t="inlineStr">
        <is>
          <t>2</t>
        </is>
      </c>
      <c r="D4205" t="inlineStr">
        <is>
          <t>3</t>
        </is>
      </c>
      <c r="E4205" t="inlineStr">
        <is>
          <t>4</t>
        </is>
      </c>
      <c r="F4205" t="inlineStr">
        <is>
          <t>All</t>
        </is>
      </c>
    </row>
    <row r="4206">
      <c r="A4206" t="inlineStr">
        <is>
          <t>G|REV_DEBT x ASSET_CLASS|where 2026|segs</t>
        </is>
      </c>
    </row>
    <row r="4207">
      <c r="A4207" t="inlineStr">
        <is>
          <t>G|REV_DEBT x ASSET_CLASS|where 2026|rows</t>
        </is>
      </c>
      <c r="B4207" t="inlineStr">
        <is>
          <t>0 - 6,558</t>
        </is>
      </c>
      <c r="C4207" t="inlineStr">
        <is>
          <t>6,559 - 9,836</t>
        </is>
      </c>
      <c r="D4207" t="inlineStr">
        <is>
          <t>9,837 - 13,051</t>
        </is>
      </c>
      <c r="E4207" t="inlineStr">
        <is>
          <t>13,052 - 17,186</t>
        </is>
      </c>
      <c r="F4207" t="inlineStr">
        <is>
          <t>17,187 - 48,521</t>
        </is>
      </c>
      <c r="G4207" t="inlineStr">
        <is>
          <t>All</t>
        </is>
      </c>
    </row>
    <row r="4208">
      <c r="A4208" t="inlineStr">
        <is>
          <t>G|REV_DEBT x ASSET_CLASS|where 2026|names</t>
        </is>
      </c>
      <c r="B4208" t="inlineStr">
        <is>
          <t>REV_DEBT</t>
        </is>
      </c>
      <c r="C4208" t="inlineStr">
        <is>
          <t>ASSET_CLASS</t>
        </is>
      </c>
    </row>
    <row r="4209">
      <c r="A4209" t="inlineStr">
        <is>
          <t>G|REV_DEBT x ASSET_CLASS|where 2026|total</t>
        </is>
      </c>
      <c r="B4209" t="n">
        <v>373</v>
      </c>
    </row>
    <row r="4210">
      <c r="A4210" t="inlineStr">
        <is>
          <t>G|REV_DEBT x ASSET_CLASS|where 2026|loans|1</t>
        </is>
      </c>
      <c r="B4210" t="n">
        <v>20</v>
      </c>
      <c r="C4210" t="n">
        <v>24</v>
      </c>
      <c r="D4210" t="n">
        <v>12</v>
      </c>
      <c r="E4210" t="n">
        <v>18</v>
      </c>
      <c r="F4210" t="n">
        <v>74</v>
      </c>
    </row>
    <row r="4211">
      <c r="A4211" t="inlineStr">
        <is>
          <t>G|REV_DEBT x ASSET_CLASS|where 2026|loans|2</t>
        </is>
      </c>
      <c r="B4211" t="n">
        <v>10</v>
      </c>
      <c r="C4211" t="n">
        <v>30</v>
      </c>
      <c r="D4211" t="n">
        <v>16</v>
      </c>
      <c r="E4211" t="n">
        <v>17</v>
      </c>
      <c r="F4211" t="n">
        <v>73</v>
      </c>
    </row>
    <row r="4212">
      <c r="A4212" t="inlineStr">
        <is>
          <t>G|REV_DEBT x ASSET_CLASS|where 2026|loans|3</t>
        </is>
      </c>
      <c r="B4212" t="n">
        <v>14</v>
      </c>
      <c r="C4212" t="n">
        <v>17</v>
      </c>
      <c r="D4212" t="n">
        <v>25</v>
      </c>
      <c r="E4212" t="n">
        <v>16</v>
      </c>
      <c r="F4212" t="n">
        <v>72</v>
      </c>
    </row>
    <row r="4213">
      <c r="A4213" t="inlineStr">
        <is>
          <t>G|REV_DEBT x ASSET_CLASS|where 2026|loans|4</t>
        </is>
      </c>
      <c r="B4213" t="n">
        <v>21</v>
      </c>
      <c r="C4213" t="n">
        <v>22</v>
      </c>
      <c r="D4213" t="n">
        <v>19</v>
      </c>
      <c r="E4213" t="n">
        <v>18</v>
      </c>
      <c r="F4213" t="n">
        <v>80</v>
      </c>
    </row>
    <row r="4214">
      <c r="A4214" t="inlineStr">
        <is>
          <t>G|REV_DEBT x ASSET_CLASS|where 2026|loans|5</t>
        </is>
      </c>
      <c r="B4214" t="n">
        <v>20</v>
      </c>
      <c r="C4214" t="n">
        <v>22</v>
      </c>
      <c r="D4214" t="n">
        <v>18</v>
      </c>
      <c r="E4214" t="n">
        <v>14</v>
      </c>
      <c r="F4214" t="n">
        <v>74</v>
      </c>
    </row>
    <row r="4215">
      <c r="A4215" t="inlineStr">
        <is>
          <t>G|REV_DEBT x ASSET_CLASS|where 2026|loans|6</t>
        </is>
      </c>
      <c r="B4215" t="n">
        <v>85</v>
      </c>
      <c r="C4215" t="n">
        <v>115</v>
      </c>
      <c r="D4215" t="n">
        <v>90</v>
      </c>
      <c r="E4215" t="n">
        <v>83</v>
      </c>
      <c r="F4215" t="n">
        <v>373</v>
      </c>
    </row>
    <row r="4216">
      <c r="A4216" t="inlineStr">
        <is>
          <t>G|REV_DEBT x ASSET_CLASS|where 2026|outcome_loans|rate|1</t>
        </is>
      </c>
      <c r="B4216" t="n">
        <v>0.05</v>
      </c>
      <c r="C4216" t="n">
        <v>0</v>
      </c>
      <c r="D4216" t="n">
        <v>0.08333333333333333</v>
      </c>
      <c r="E4216" t="n">
        <v>0.05555555555555555</v>
      </c>
      <c r="F4216" t="n">
        <v>0.04054054054054054</v>
      </c>
    </row>
    <row r="4217">
      <c r="A4217" t="inlineStr">
        <is>
          <t>G|REV_DEBT x ASSET_CLASS|where 2026|outcome_loans|book|1</t>
        </is>
      </c>
    </row>
    <row r="4218">
      <c r="A4218" t="inlineStr">
        <is>
          <t>G|REV_DEBT x ASSET_CLASS|where 2026|outcome_loans|band|1</t>
        </is>
      </c>
    </row>
    <row r="4219">
      <c r="A4219" t="inlineStr">
        <is>
          <t>G|REV_DEBT x ASSET_CLASS|where 2026|outcome_loans|rate|2</t>
        </is>
      </c>
      <c r="B4219" t="n">
        <v>0</v>
      </c>
      <c r="C4219" t="n">
        <v>0.1</v>
      </c>
      <c r="D4219" t="n">
        <v>0.0625</v>
      </c>
      <c r="E4219" t="n">
        <v>0</v>
      </c>
      <c r="F4219" t="n">
        <v>0.0547945205479452</v>
      </c>
    </row>
    <row r="4220">
      <c r="A4220" t="inlineStr">
        <is>
          <t>G|REV_DEBT x ASSET_CLASS|where 2026|outcome_loans|book|2</t>
        </is>
      </c>
    </row>
    <row r="4221">
      <c r="A4221" t="inlineStr">
        <is>
          <t>G|REV_DEBT x ASSET_CLASS|where 2026|outcome_loans|band|2</t>
        </is>
      </c>
    </row>
    <row r="4222">
      <c r="A4222" t="inlineStr">
        <is>
          <t>G|REV_DEBT x ASSET_CLASS|where 2026|outcome_loans|rate|3</t>
        </is>
      </c>
      <c r="B4222" t="n">
        <v>0</v>
      </c>
      <c r="C4222" t="n">
        <v>0.05882352941176471</v>
      </c>
      <c r="D4222" t="n">
        <v>0.08</v>
      </c>
      <c r="E4222" t="n">
        <v>0</v>
      </c>
      <c r="F4222" t="n">
        <v>0.04166666666666666</v>
      </c>
    </row>
    <row r="4223">
      <c r="A4223" t="inlineStr">
        <is>
          <t>G|REV_DEBT x ASSET_CLASS|where 2026|outcome_loans|book|3</t>
        </is>
      </c>
    </row>
    <row r="4224">
      <c r="A4224" t="inlineStr">
        <is>
          <t>G|REV_DEBT x ASSET_CLASS|where 2026|outcome_loans|band|3</t>
        </is>
      </c>
    </row>
    <row r="4225">
      <c r="A4225" t="inlineStr">
        <is>
          <t>G|REV_DEBT x ASSET_CLASS|where 2026|outcome_loans|rate|4</t>
        </is>
      </c>
      <c r="B4225" t="n">
        <v>0</v>
      </c>
      <c r="C4225" t="n">
        <v>0.04545454545454546</v>
      </c>
      <c r="D4225" t="n">
        <v>0.05263157894736842</v>
      </c>
      <c r="E4225" t="n">
        <v>0.05555555555555555</v>
      </c>
      <c r="F4225" t="n">
        <v>0.0375</v>
      </c>
    </row>
    <row r="4226">
      <c r="A4226" t="inlineStr">
        <is>
          <t>G|REV_DEBT x ASSET_CLASS|where 2026|outcome_loans|book|4</t>
        </is>
      </c>
    </row>
    <row r="4227">
      <c r="A4227" t="inlineStr">
        <is>
          <t>G|REV_DEBT x ASSET_CLASS|where 2026|outcome_loans|band|4</t>
        </is>
      </c>
    </row>
    <row r="4228">
      <c r="A4228" t="inlineStr">
        <is>
          <t>G|REV_DEBT x ASSET_CLASS|where 2026|outcome_loans|rate|5</t>
        </is>
      </c>
      <c r="B4228" t="n">
        <v>0.25</v>
      </c>
      <c r="C4228" t="n">
        <v>0.1363636363636364</v>
      </c>
      <c r="D4228" t="n">
        <v>0</v>
      </c>
      <c r="E4228" t="n">
        <v>0.2857142857142857</v>
      </c>
      <c r="F4228" t="n">
        <v>0.1621621621621622</v>
      </c>
    </row>
    <row r="4229">
      <c r="A4229" t="inlineStr">
        <is>
          <t>G|REV_DEBT x ASSET_CLASS|where 2026|outcome_loans|book|5</t>
        </is>
      </c>
      <c r="F4229" t="n">
        <v>2.09553333624416</v>
      </c>
    </row>
    <row r="4230">
      <c r="A4230" t="inlineStr">
        <is>
          <t>G|REV_DEBT x ASSET_CLASS|where 2026|outcome_loans|band|5</t>
        </is>
      </c>
    </row>
    <row r="4231">
      <c r="A4231" t="inlineStr">
        <is>
          <t>G|REV_DEBT x ASSET_CLASS|where 2026|outcome_loans|rate|6</t>
        </is>
      </c>
      <c r="B4231" t="n">
        <v>0.07058823529411765</v>
      </c>
      <c r="C4231" t="n">
        <v>0.06956521739130435</v>
      </c>
      <c r="D4231" t="n">
        <v>0.05555555555555555</v>
      </c>
      <c r="E4231" t="n">
        <v>0.07228915662650602</v>
      </c>
      <c r="F4231" t="n">
        <v>0.06702412868632708</v>
      </c>
    </row>
    <row r="4232">
      <c r="A4232" t="inlineStr">
        <is>
          <t>G|REV_DEBT x ASSET_CLASS|where 2026|outcome_loans|book|6</t>
        </is>
      </c>
      <c r="F4232" t="n">
        <v>0.8661163253019876</v>
      </c>
    </row>
    <row r="4233">
      <c r="A4233" t="inlineStr">
        <is>
          <t>G|REV_DEBT x ASSET_CLASS|where 2026|outcome_loans|band|6</t>
        </is>
      </c>
    </row>
    <row r="4234">
      <c r="A4234" t="inlineStr">
        <is>
          <t>G|REV_DEBT x ASSET_CLASS|where 2026|outcome_loans|meta</t>
        </is>
      </c>
      <c r="B4234" t="inlineStr">
        <is>
          <t>x</t>
        </is>
      </c>
      <c r="C4234" t="n">
        <v>2.09553333624416</v>
      </c>
      <c r="D4234" t="n">
        <v>10</v>
      </c>
      <c r="E4234" t="n">
        <v>0.07738467308413552</v>
      </c>
      <c r="F4234" t="n">
        <v>30</v>
      </c>
    </row>
    <row r="4235">
      <c r="A4235" t="inlineStr">
        <is>
          <t>G|REV_DEBT x ASSET_CLASS|where 2026|outcome_booked|rate|1</t>
        </is>
      </c>
      <c r="B4235" t="n">
        <v>0.07569263376178724</v>
      </c>
      <c r="C4235" t="n">
        <v>0</v>
      </c>
      <c r="D4235" t="n">
        <v>0.1048547193787409</v>
      </c>
      <c r="E4235" t="n">
        <v>0.01117097180345571</v>
      </c>
      <c r="F4235" t="n">
        <v>0.03935882533480222</v>
      </c>
    </row>
    <row r="4236">
      <c r="A4236" t="inlineStr">
        <is>
          <t>G|REV_DEBT x ASSET_CLASS|where 2026|outcome_booked|book|1</t>
        </is>
      </c>
    </row>
    <row r="4237">
      <c r="A4237" t="inlineStr">
        <is>
          <t>G|REV_DEBT x ASSET_CLASS|where 2026|outcome_booked|band|1</t>
        </is>
      </c>
    </row>
    <row r="4238">
      <c r="A4238" t="inlineStr">
        <is>
          <t>G|REV_DEBT x ASSET_CLASS|where 2026|outcome_booked|rate|2</t>
        </is>
      </c>
      <c r="B4238" t="n">
        <v>0</v>
      </c>
      <c r="C4238" t="n">
        <v>0.1546742957796649</v>
      </c>
      <c r="D4238" t="n">
        <v>0.08075644363757742</v>
      </c>
      <c r="E4238" t="n">
        <v>0</v>
      </c>
      <c r="F4238" t="n">
        <v>0.07345792527787172</v>
      </c>
    </row>
    <row r="4239">
      <c r="A4239" t="inlineStr">
        <is>
          <t>G|REV_DEBT x ASSET_CLASS|where 2026|outcome_booked|book|2</t>
        </is>
      </c>
    </row>
    <row r="4240">
      <c r="A4240" t="inlineStr">
        <is>
          <t>G|REV_DEBT x ASSET_CLASS|where 2026|outcome_booked|band|2</t>
        </is>
      </c>
    </row>
    <row r="4241">
      <c r="A4241" t="inlineStr">
        <is>
          <t>G|REV_DEBT x ASSET_CLASS|where 2026|outcome_booked|rate|3</t>
        </is>
      </c>
      <c r="B4241" t="n">
        <v>0</v>
      </c>
      <c r="C4241" t="n">
        <v>0.09383200875305421</v>
      </c>
      <c r="D4241" t="n">
        <v>0.0472107510349974</v>
      </c>
      <c r="E4241" t="n">
        <v>0</v>
      </c>
      <c r="F4241" t="n">
        <v>0.03893010228861895</v>
      </c>
    </row>
    <row r="4242">
      <c r="A4242" t="inlineStr">
        <is>
          <t>G|REV_DEBT x ASSET_CLASS|where 2026|outcome_booked|book|3</t>
        </is>
      </c>
    </row>
    <row r="4243">
      <c r="A4243" t="inlineStr">
        <is>
          <t>G|REV_DEBT x ASSET_CLASS|where 2026|outcome_booked|band|3</t>
        </is>
      </c>
    </row>
    <row r="4244">
      <c r="A4244" t="inlineStr">
        <is>
          <t>G|REV_DEBT x ASSET_CLASS|where 2026|outcome_booked|rate|4</t>
        </is>
      </c>
      <c r="B4244" t="n">
        <v>0</v>
      </c>
      <c r="C4244" t="n">
        <v>0.05334489225208936</v>
      </c>
      <c r="D4244" t="n">
        <v>0.0244814452138116</v>
      </c>
      <c r="E4244" t="n">
        <v>0.0134053177029005</v>
      </c>
      <c r="F4244" t="n">
        <v>0.02238030009811559</v>
      </c>
    </row>
    <row r="4245">
      <c r="A4245" t="inlineStr">
        <is>
          <t>G|REV_DEBT x ASSET_CLASS|where 2026|outcome_booked|book|4</t>
        </is>
      </c>
    </row>
    <row r="4246">
      <c r="A4246" t="inlineStr">
        <is>
          <t>G|REV_DEBT x ASSET_CLASS|where 2026|outcome_booked|band|4</t>
        </is>
      </c>
    </row>
    <row r="4247">
      <c r="A4247" t="inlineStr">
        <is>
          <t>G|REV_DEBT x ASSET_CLASS|where 2026|outcome_booked|rate|5</t>
        </is>
      </c>
      <c r="B4247" t="n">
        <v>0.2972587917024004</v>
      </c>
      <c r="C4247" t="n">
        <v>0.05046776531640532</v>
      </c>
      <c r="D4247" t="n">
        <v>0</v>
      </c>
      <c r="E4247" t="n">
        <v>0.3237068440753396</v>
      </c>
      <c r="F4247" t="n">
        <v>0.1519060111316836</v>
      </c>
    </row>
    <row r="4248">
      <c r="A4248" t="inlineStr">
        <is>
          <t>G|REV_DEBT x ASSET_CLASS|where 2026|outcome_booked|book|5</t>
        </is>
      </c>
      <c r="F4248" t="n">
        <v>2.030045542951533</v>
      </c>
    </row>
    <row r="4249">
      <c r="A4249" t="inlineStr">
        <is>
          <t>G|REV_DEBT x ASSET_CLASS|where 2026|outcome_booked|band|5</t>
        </is>
      </c>
    </row>
    <row r="4250">
      <c r="A4250" t="inlineStr">
        <is>
          <t>G|REV_DEBT x ASSET_CLASS|where 2026|outcome_booked|rate|6</t>
        </is>
      </c>
      <c r="B4250" t="n">
        <v>0.0788319540309583</v>
      </c>
      <c r="C4250" t="n">
        <v>0.06971411545569763</v>
      </c>
      <c r="D4250" t="n">
        <v>0.04743970762293217</v>
      </c>
      <c r="E4250" t="n">
        <v>0.05235217747627836</v>
      </c>
      <c r="F4250" t="n">
        <v>0.06287894503192365</v>
      </c>
    </row>
    <row r="4251">
      <c r="A4251" t="inlineStr">
        <is>
          <t>G|REV_DEBT x ASSET_CLASS|where 2026|outcome_booked|book|6</t>
        </is>
      </c>
      <c r="F4251" t="n">
        <v>0.84030329778653</v>
      </c>
    </row>
    <row r="4252">
      <c r="A4252" t="inlineStr">
        <is>
          <t>G|REV_DEBT x ASSET_CLASS|where 2026|outcome_booked|band|6</t>
        </is>
      </c>
    </row>
    <row r="4253">
      <c r="A4253" t="inlineStr">
        <is>
          <t>G|REV_DEBT x ASSET_CLASS|where 2026|outcome_booked|meta</t>
        </is>
      </c>
      <c r="B4253" t="inlineStr">
        <is>
          <t>x</t>
        </is>
      </c>
      <c r="C4253" t="n">
        <v>2.030045542951533</v>
      </c>
      <c r="D4253" t="n">
        <v>10</v>
      </c>
      <c r="E4253" t="n">
        <v>0.07482886857347235</v>
      </c>
      <c r="F4253" t="n">
        <v>30</v>
      </c>
    </row>
    <row r="4254">
      <c r="A4254" t="inlineStr">
        <is>
          <t>G|REV_DEBT x ASSET_CLASS|where 2026|gco_rate|rate|1</t>
        </is>
      </c>
      <c r="B4254" t="n">
        <v>0.03515056910396006</v>
      </c>
      <c r="C4254" t="n">
        <v>0</v>
      </c>
      <c r="D4254" t="n">
        <v>0.05008283923136037</v>
      </c>
      <c r="E4254" t="n">
        <v>0.004082939826468398</v>
      </c>
      <c r="F4254" t="n">
        <v>0.01822037625378429</v>
      </c>
    </row>
    <row r="4255">
      <c r="A4255" t="inlineStr">
        <is>
          <t>G|REV_DEBT x ASSET_CLASS|where 2026|gco_rate|book|1</t>
        </is>
      </c>
    </row>
    <row r="4256">
      <c r="A4256" t="inlineStr">
        <is>
          <t>G|REV_DEBT x ASSET_CLASS|where 2026|gco_rate|band|1</t>
        </is>
      </c>
    </row>
    <row r="4257">
      <c r="A4257" t="inlineStr">
        <is>
          <t>G|REV_DEBT x ASSET_CLASS|where 2026|gco_rate|rate|2</t>
        </is>
      </c>
      <c r="B4257" t="n">
        <v>0</v>
      </c>
      <c r="C4257" t="n">
        <v>0.100642979124551</v>
      </c>
      <c r="D4257" t="n">
        <v>0.05422714666235273</v>
      </c>
      <c r="E4257" t="n">
        <v>0</v>
      </c>
      <c r="F4257" t="n">
        <v>0.04818076026965838</v>
      </c>
    </row>
    <row r="4258">
      <c r="A4258" t="inlineStr">
        <is>
          <t>G|REV_DEBT x ASSET_CLASS|where 2026|gco_rate|book|2</t>
        </is>
      </c>
    </row>
    <row r="4259">
      <c r="A4259" t="inlineStr">
        <is>
          <t>G|REV_DEBT x ASSET_CLASS|where 2026|gco_rate|band|2</t>
        </is>
      </c>
    </row>
    <row r="4260">
      <c r="A4260" t="inlineStr">
        <is>
          <t>G|REV_DEBT x ASSET_CLASS|where 2026|gco_rate|rate|3</t>
        </is>
      </c>
      <c r="B4260" t="n">
        <v>0</v>
      </c>
      <c r="C4260" t="n">
        <v>0.05140570207419881</v>
      </c>
      <c r="D4260" t="n">
        <v>0.03242627933405483</v>
      </c>
      <c r="E4260" t="n">
        <v>0</v>
      </c>
      <c r="F4260" t="n">
        <v>0.02353586824639624</v>
      </c>
    </row>
    <row r="4261">
      <c r="A4261" t="inlineStr">
        <is>
          <t>G|REV_DEBT x ASSET_CLASS|where 2026|gco_rate|book|3</t>
        </is>
      </c>
    </row>
    <row r="4262">
      <c r="A4262" t="inlineStr">
        <is>
          <t>G|REV_DEBT x ASSET_CLASS|where 2026|gco_rate|band|3</t>
        </is>
      </c>
    </row>
    <row r="4263">
      <c r="A4263" t="inlineStr">
        <is>
          <t>G|REV_DEBT x ASSET_CLASS|where 2026|gco_rate|rate|4</t>
        </is>
      </c>
      <c r="B4263" t="n">
        <v>0</v>
      </c>
      <c r="C4263" t="n">
        <v>0.02493245371593978</v>
      </c>
      <c r="D4263" t="n">
        <v>0.007978681686621988</v>
      </c>
      <c r="E4263" t="n">
        <v>0.009384633258364602</v>
      </c>
      <c r="F4263" t="n">
        <v>0.01000410656745345</v>
      </c>
    </row>
    <row r="4264">
      <c r="A4264" t="inlineStr">
        <is>
          <t>G|REV_DEBT x ASSET_CLASS|where 2026|gco_rate|book|4</t>
        </is>
      </c>
    </row>
    <row r="4265">
      <c r="A4265" t="inlineStr">
        <is>
          <t>G|REV_DEBT x ASSET_CLASS|where 2026|gco_rate|band|4</t>
        </is>
      </c>
    </row>
    <row r="4266">
      <c r="A4266" t="inlineStr">
        <is>
          <t>G|REV_DEBT x ASSET_CLASS|where 2026|gco_rate|rate|5</t>
        </is>
      </c>
      <c r="B4266" t="n">
        <v>0.1289826199331066</v>
      </c>
      <c r="C4266" t="n">
        <v>0.0321915987357809</v>
      </c>
      <c r="D4266" t="n">
        <v>0</v>
      </c>
      <c r="E4266" t="n">
        <v>0.2178933340515811</v>
      </c>
      <c r="F4266" t="n">
        <v>0.08223909506708796</v>
      </c>
    </row>
    <row r="4267">
      <c r="A4267" t="inlineStr">
        <is>
          <t>G|REV_DEBT x ASSET_CLASS|where 2026|gco_rate|book|5</t>
        </is>
      </c>
      <c r="F4267" t="n">
        <v>1.976651137979765</v>
      </c>
    </row>
    <row r="4268">
      <c r="A4268" t="inlineStr">
        <is>
          <t>G|REV_DEBT x ASSET_CLASS|where 2026|gco_rate|band|5</t>
        </is>
      </c>
    </row>
    <row r="4269">
      <c r="A4269" t="inlineStr">
        <is>
          <t>G|REV_DEBT x ASSET_CLASS|where 2026|gco_rate|rate|6</t>
        </is>
      </c>
      <c r="B4269" t="n">
        <v>0.03476794725060704</v>
      </c>
      <c r="C4269" t="n">
        <v>0.04197344657870645</v>
      </c>
      <c r="D4269" t="n">
        <v>0.02735970025329078</v>
      </c>
      <c r="E4269" t="n">
        <v>0.03443368515375058</v>
      </c>
      <c r="F4269" t="n">
        <v>0.03505614948170636</v>
      </c>
    </row>
    <row r="4270">
      <c r="A4270" t="inlineStr">
        <is>
          <t>G|REV_DEBT x ASSET_CLASS|where 2026|gco_rate|book|6</t>
        </is>
      </c>
      <c r="F4270" t="n">
        <v>0.8425892540485278</v>
      </c>
    </row>
    <row r="4271">
      <c r="A4271" t="inlineStr">
        <is>
          <t>G|REV_DEBT x ASSET_CLASS|where 2026|gco_rate|band|6</t>
        </is>
      </c>
    </row>
    <row r="4272">
      <c r="A4272" t="inlineStr">
        <is>
          <t>G|REV_DEBT x ASSET_CLASS|where 2026|gco_rate|meta</t>
        </is>
      </c>
      <c r="B4272" t="inlineStr">
        <is>
          <t>x</t>
        </is>
      </c>
      <c r="C4272" t="n">
        <v>1.976651137979765</v>
      </c>
      <c r="D4272" t="n">
        <v>10</v>
      </c>
      <c r="E4272" t="n">
        <v>0.04160526533333565</v>
      </c>
      <c r="F4272" t="n">
        <v>30</v>
      </c>
    </row>
    <row r="4273">
      <c r="A4273" t="inlineStr">
        <is>
          <t>G|REV_DEBT x ASSET_CLASS|where 2026|ranr_rate|rate|1</t>
        </is>
      </c>
      <c r="B4273" t="n">
        <v>-0.01312922954049183</v>
      </c>
      <c r="C4273" t="n">
        <v>0.02119428162315343</v>
      </c>
      <c r="D4273" t="n">
        <v>-0.02475078128694255</v>
      </c>
      <c r="E4273" t="n">
        <v>0.02580246821886463</v>
      </c>
      <c r="F4273" t="n">
        <v>0.005924829971611423</v>
      </c>
    </row>
    <row r="4274">
      <c r="A4274" t="inlineStr">
        <is>
          <t>G|REV_DEBT x ASSET_CLASS|where 2026|ranr_rate|book|1</t>
        </is>
      </c>
      <c r="B4274" t="n">
        <v>-14.111927919</v>
      </c>
      <c r="C4274" t="n">
        <v>-10.679576802</v>
      </c>
      <c r="D4274" t="n">
        <v>-15.274083094</v>
      </c>
      <c r="E4274" t="n">
        <v>-10.218758143</v>
      </c>
      <c r="F4274" t="n">
        <v>-12.206521968</v>
      </c>
    </row>
    <row r="4275">
      <c r="A4275" t="inlineStr">
        <is>
          <t>G|REV_DEBT x ASSET_CLASS|where 2026|ranr_rate|band|1</t>
        </is>
      </c>
      <c r="B4275" t="n">
        <v>-2.629912635</v>
      </c>
      <c r="C4275" t="n">
        <v>2.286563221</v>
      </c>
      <c r="D4275" t="n">
        <v>-3.612139509</v>
      </c>
      <c r="E4275" t="n">
        <v>2.620789687</v>
      </c>
    </row>
    <row r="4276">
      <c r="A4276" t="inlineStr">
        <is>
          <t>G|REV_DEBT x ASSET_CLASS|where 2026|ranr_rate|rate|2</t>
        </is>
      </c>
      <c r="B4276" t="n">
        <v>0.02138168428963629</v>
      </c>
      <c r="C4276" t="n">
        <v>-0.07045717114708307</v>
      </c>
      <c r="D4276" t="n">
        <v>-0.02790324514973798</v>
      </c>
      <c r="E4276" t="n">
        <v>0.02504526088938379</v>
      </c>
      <c r="F4276" t="n">
        <v>-0.0216557263101426</v>
      </c>
    </row>
    <row r="4277">
      <c r="A4277" t="inlineStr">
        <is>
          <t>G|REV_DEBT x ASSET_CLASS|where 2026|ranr_rate|book|2</t>
        </is>
      </c>
      <c r="B4277" t="n">
        <v>-10.660836536</v>
      </c>
      <c r="C4277" t="n">
        <v>-19.84472208</v>
      </c>
      <c r="D4277" t="n">
        <v>-15.58932948</v>
      </c>
      <c r="E4277" t="n">
        <v>-10.294478876</v>
      </c>
      <c r="F4277" t="n">
        <v>-14.964577596</v>
      </c>
    </row>
    <row r="4278">
      <c r="A4278" t="inlineStr">
        <is>
          <t>G|REV_DEBT x ASSET_CLASS|where 2026|ranr_rate|band|2</t>
        </is>
      </c>
      <c r="B4278" t="n">
        <v>5.216495515</v>
      </c>
      <c r="C4278" t="n">
        <v>-7.575834622</v>
      </c>
      <c r="D4278" t="n">
        <v>-0.809369143</v>
      </c>
      <c r="E4278" t="n">
        <v>6.153754707</v>
      </c>
    </row>
    <row r="4279">
      <c r="A4279" t="inlineStr">
        <is>
          <t>G|REV_DEBT x ASSET_CLASS|where 2026|ranr_rate|rate|3</t>
        </is>
      </c>
      <c r="B4279" t="n">
        <v>0.03393261181764375</v>
      </c>
      <c r="C4279" t="n">
        <v>-0.02586651781660708</v>
      </c>
      <c r="D4279" t="n">
        <v>-0.0005348738648039602</v>
      </c>
      <c r="E4279" t="n">
        <v>0.03066432269364354</v>
      </c>
      <c r="F4279" t="n">
        <v>0.006918605384347079</v>
      </c>
    </row>
    <row r="4280">
      <c r="A4280" t="inlineStr">
        <is>
          <t>G|REV_DEBT x ASSET_CLASS|where 2026|ranr_rate|book|3</t>
        </is>
      </c>
      <c r="B4280" t="n">
        <v>-9.405743783</v>
      </c>
      <c r="C4280" t="n">
        <v>-15.385656746</v>
      </c>
      <c r="D4280" t="n">
        <v>-12.852492351</v>
      </c>
      <c r="E4280" t="n">
        <v>-9.732572695</v>
      </c>
      <c r="F4280" t="n">
        <v>-12.107144426</v>
      </c>
    </row>
    <row r="4281">
      <c r="A4281" t="inlineStr">
        <is>
          <t>G|REV_DEBT x ASSET_CLASS|where 2026|ranr_rate|band|3</t>
        </is>
      </c>
      <c r="B4281" t="n">
        <v>3.353974039</v>
      </c>
      <c r="C4281" t="n">
        <v>-4.345772193</v>
      </c>
      <c r="D4281" t="n">
        <v>-1.12335343</v>
      </c>
      <c r="E4281" t="n">
        <v>3.057452537</v>
      </c>
    </row>
    <row r="4282">
      <c r="A4282" t="inlineStr">
        <is>
          <t>G|REV_DEBT x ASSET_CLASS|where 2026|ranr_rate|rate|4</t>
        </is>
      </c>
      <c r="B4282" t="n">
        <v>0.0341768686408053</v>
      </c>
      <c r="C4282" t="n">
        <v>0.008897970854351588</v>
      </c>
      <c r="D4282" t="n">
        <v>0.02245132658846577</v>
      </c>
      <c r="E4282" t="n">
        <v>0.02519125056427291</v>
      </c>
      <c r="F4282" t="n">
        <v>0.023102202538953</v>
      </c>
    </row>
    <row r="4283">
      <c r="A4283" t="inlineStr">
        <is>
          <t>G|REV_DEBT x ASSET_CLASS|where 2026|ranr_rate|book|4</t>
        </is>
      </c>
      <c r="B4283" t="n">
        <v>-9.381318101</v>
      </c>
      <c r="C4283" t="n">
        <v>-11.909207879</v>
      </c>
      <c r="D4283" t="n">
        <v>-10.553872306</v>
      </c>
      <c r="E4283" t="n">
        <v>-10.279879908</v>
      </c>
      <c r="F4283" t="n">
        <v>-10.488784711</v>
      </c>
    </row>
    <row r="4284">
      <c r="A4284" t="inlineStr">
        <is>
          <t>G|REV_DEBT x ASSET_CLASS|where 2026|ranr_rate|band|4</t>
        </is>
      </c>
      <c r="B4284" t="n">
        <v>1.594277357</v>
      </c>
      <c r="C4284" t="n">
        <v>-1.892611894</v>
      </c>
      <c r="D4284" t="n">
        <v>-0.090426875</v>
      </c>
      <c r="E4284" t="n">
        <v>0.250168067</v>
      </c>
    </row>
    <row r="4285">
      <c r="A4285" t="inlineStr">
        <is>
          <t>G|REV_DEBT x ASSET_CLASS|where 2026|ranr_rate|rate|5</t>
        </is>
      </c>
      <c r="B4285" t="n">
        <v>-0.0863346974222229</v>
      </c>
      <c r="C4285" t="n">
        <v>0.002539074865253585</v>
      </c>
      <c r="D4285" t="n">
        <v>0.03642644717666625</v>
      </c>
      <c r="E4285" t="n">
        <v>-0.1800893791268791</v>
      </c>
      <c r="F4285" t="n">
        <v>-0.04443789618722695</v>
      </c>
    </row>
    <row r="4286">
      <c r="A4286" t="inlineStr">
        <is>
          <t>G|REV_DEBT x ASSET_CLASS|where 2026|ranr_rate|book|5</t>
        </is>
      </c>
      <c r="B4286" t="n">
        <v>-21.432474707</v>
      </c>
      <c r="C4286" t="n">
        <v>-12.545097478</v>
      </c>
      <c r="D4286" t="n">
        <v>-9.156360247</v>
      </c>
      <c r="E4286" t="n">
        <v>-30.807942878</v>
      </c>
      <c r="F4286" t="n">
        <v>-17.242794584</v>
      </c>
    </row>
    <row r="4287">
      <c r="A4287" t="inlineStr">
        <is>
          <t>G|REV_DEBT x ASSET_CLASS|where 2026|ranr_rate|band|5</t>
        </is>
      </c>
      <c r="B4287" t="n">
        <v>-5.764796343</v>
      </c>
      <c r="C4287" t="n">
        <v>6.986733627</v>
      </c>
      <c r="D4287" t="n">
        <v>10.527270988</v>
      </c>
      <c r="E4287" t="n">
        <v>-16.290270533</v>
      </c>
    </row>
    <row r="4288">
      <c r="A4288" t="inlineStr">
        <is>
          <t>G|REV_DEBT x ASSET_CLASS|where 2026|ranr_rate|rate|6</t>
        </is>
      </c>
      <c r="B4288" t="n">
        <v>-0.003624058532320416</v>
      </c>
      <c r="C4288" t="n">
        <v>-0.01319306232984915</v>
      </c>
      <c r="D4288" t="n">
        <v>0.003099928902743991</v>
      </c>
      <c r="E4288" t="n">
        <v>-0.00353496482643604</v>
      </c>
      <c r="F4288" t="n">
        <v>-0.004843048118039684</v>
      </c>
    </row>
    <row r="4289">
      <c r="A4289" t="inlineStr">
        <is>
          <t>G|REV_DEBT x ASSET_CLASS|where 2026|ranr_rate|book|6</t>
        </is>
      </c>
      <c r="B4289" t="n">
        <v>-13.161410818</v>
      </c>
      <c r="C4289" t="n">
        <v>-14.118311198</v>
      </c>
      <c r="D4289" t="n">
        <v>-12.489012075</v>
      </c>
      <c r="E4289" t="n">
        <v>-13.152501447</v>
      </c>
      <c r="F4289" t="n">
        <v>-13.283309777</v>
      </c>
    </row>
    <row r="4290">
      <c r="A4290" t="inlineStr">
        <is>
          <t>G|REV_DEBT x ASSET_CLASS|where 2026|ranr_rate|band|6</t>
        </is>
      </c>
    </row>
    <row r="4291">
      <c r="A4291" t="inlineStr">
        <is>
          <t>G|REV_DEBT x ASSET_CLASS|where 2026|ranr_rate|meta</t>
        </is>
      </c>
      <c r="B4291" t="inlineStr">
        <is>
          <t>pts</t>
        </is>
      </c>
      <c r="C4291" t="n">
        <v>19.84472208</v>
      </c>
      <c r="D4291" t="n">
        <v>10</v>
      </c>
      <c r="E4291" t="n">
        <v>0.1279900496481481</v>
      </c>
      <c r="F4291" t="n">
        <v>30</v>
      </c>
    </row>
    <row r="4292">
      <c r="A4292" t="inlineStr">
        <is>
          <t>G|REV_DEBT x ASSET_CLASS|where 2026|contribution_rate|rate|1</t>
        </is>
      </c>
      <c r="B4292" t="n">
        <v>0.02202133956346822</v>
      </c>
      <c r="C4292" t="n">
        <v>0.02119428162315343</v>
      </c>
      <c r="D4292" t="n">
        <v>0.02533205794441783</v>
      </c>
      <c r="E4292" t="n">
        <v>0.02988540804533303</v>
      </c>
      <c r="F4292" t="n">
        <v>0.02414520622539571</v>
      </c>
    </row>
    <row r="4293">
      <c r="A4293" t="inlineStr">
        <is>
          <t>G|REV_DEBT x ASSET_CLASS|where 2026|contribution_rate|book|1</t>
        </is>
      </c>
      <c r="B4293" t="n">
        <v>-14.757111617</v>
      </c>
      <c r="C4293" t="n">
        <v>-14.839817411</v>
      </c>
      <c r="D4293" t="n">
        <v>-14.426039779</v>
      </c>
      <c r="E4293" t="n">
        <v>-13.970704769</v>
      </c>
      <c r="F4293" t="n">
        <v>-14.544724951</v>
      </c>
    </row>
    <row r="4294">
      <c r="A4294" t="inlineStr">
        <is>
          <t>G|REV_DEBT x ASSET_CLASS|where 2026|contribution_rate|band|1</t>
        </is>
      </c>
      <c r="B4294" t="n">
        <v>-0.293144029</v>
      </c>
      <c r="C4294" t="n">
        <v>-0.441893777</v>
      </c>
      <c r="D4294" t="n">
        <v>0.139755128</v>
      </c>
      <c r="E4294" t="n">
        <v>0.756823398</v>
      </c>
    </row>
    <row r="4295">
      <c r="A4295" t="inlineStr">
        <is>
          <t>G|REV_DEBT x ASSET_CLASS|where 2026|contribution_rate|rate|2</t>
        </is>
      </c>
      <c r="B4295" t="n">
        <v>0.02138168428963629</v>
      </c>
      <c r="C4295" t="n">
        <v>0.03018580797746791</v>
      </c>
      <c r="D4295" t="n">
        <v>0.02632390151261475</v>
      </c>
      <c r="E4295" t="n">
        <v>0.02504526088938379</v>
      </c>
      <c r="F4295" t="n">
        <v>0.02652503395951578</v>
      </c>
    </row>
    <row r="4296">
      <c r="A4296" t="inlineStr">
        <is>
          <t>G|REV_DEBT x ASSET_CLASS|where 2026|contribution_rate|book|2</t>
        </is>
      </c>
      <c r="B4296" t="n">
        <v>-14.821077145</v>
      </c>
      <c r="C4296" t="n">
        <v>-13.940664776</v>
      </c>
      <c r="D4296" t="n">
        <v>-14.326855422</v>
      </c>
      <c r="E4296" t="n">
        <v>-14.454719485</v>
      </c>
      <c r="F4296" t="n">
        <v>-14.306742178</v>
      </c>
    </row>
    <row r="4297">
      <c r="A4297" t="inlineStr">
        <is>
          <t>G|REV_DEBT x ASSET_CLASS|where 2026|contribution_rate|band|2</t>
        </is>
      </c>
      <c r="B4297" t="n">
        <v>-0.623417164</v>
      </c>
      <c r="C4297" t="n">
        <v>0.568290932</v>
      </c>
      <c r="D4297" t="n">
        <v>-0.026056808</v>
      </c>
      <c r="E4297" t="n">
        <v>-0.194988608</v>
      </c>
    </row>
    <row r="4298">
      <c r="A4298" t="inlineStr">
        <is>
          <t>G|REV_DEBT x ASSET_CLASS|where 2026|contribution_rate|rate|3</t>
        </is>
      </c>
      <c r="B4298" t="n">
        <v>0.03393261181764375</v>
      </c>
      <c r="C4298" t="n">
        <v>0.02553918425759174</v>
      </c>
      <c r="D4298" t="n">
        <v>0.03189140546925087</v>
      </c>
      <c r="E4298" t="n">
        <v>0.03066432269364354</v>
      </c>
      <c r="F4298" t="n">
        <v>0.03045447363074332</v>
      </c>
    </row>
    <row r="4299">
      <c r="A4299" t="inlineStr">
        <is>
          <t>G|REV_DEBT x ASSET_CLASS|where 2026|contribution_rate|book|3</t>
        </is>
      </c>
      <c r="B4299" t="n">
        <v>-13.565984392</v>
      </c>
      <c r="C4299" t="n">
        <v>-14.405327148</v>
      </c>
      <c r="D4299" t="n">
        <v>-13.770105027</v>
      </c>
      <c r="E4299" t="n">
        <v>-13.892813304</v>
      </c>
      <c r="F4299" t="n">
        <v>-13.91379821</v>
      </c>
    </row>
    <row r="4300">
      <c r="A4300" t="inlineStr">
        <is>
          <t>G|REV_DEBT x ASSET_CLASS|where 2026|contribution_rate|band|3</t>
        </is>
      </c>
      <c r="B4300" t="n">
        <v>0.431834693</v>
      </c>
      <c r="C4300" t="n">
        <v>-0.6515372149999999</v>
      </c>
      <c r="D4300" t="n">
        <v>0.216567626</v>
      </c>
      <c r="E4300" t="n">
        <v>0.027019759</v>
      </c>
    </row>
    <row r="4301">
      <c r="A4301" t="inlineStr">
        <is>
          <t>G|REV_DEBT x ASSET_CLASS|where 2026|contribution_rate|rate|4</t>
        </is>
      </c>
      <c r="B4301" t="n">
        <v>0.0341768686408053</v>
      </c>
      <c r="C4301" t="n">
        <v>0.03383042457029137</v>
      </c>
      <c r="D4301" t="n">
        <v>0.03043000827508775</v>
      </c>
      <c r="E4301" t="n">
        <v>0.03457588382263752</v>
      </c>
      <c r="F4301" t="n">
        <v>0.03310630910640645</v>
      </c>
    </row>
    <row r="4302">
      <c r="A4302" t="inlineStr">
        <is>
          <t>G|REV_DEBT x ASSET_CLASS|where 2026|contribution_rate|book|4</t>
        </is>
      </c>
      <c r="B4302" t="n">
        <v>-13.541558709</v>
      </c>
      <c r="C4302" t="n">
        <v>-13.576203116</v>
      </c>
      <c r="D4302" t="n">
        <v>-13.916244746</v>
      </c>
      <c r="E4302" t="n">
        <v>-13.501657191</v>
      </c>
      <c r="F4302" t="n">
        <v>-13.648614663</v>
      </c>
    </row>
    <row r="4303">
      <c r="A4303" t="inlineStr">
        <is>
          <t>G|REV_DEBT x ASSET_CLASS|where 2026|contribution_rate|band|4</t>
        </is>
      </c>
      <c r="B4303" t="n">
        <v>0.154114698</v>
      </c>
      <c r="C4303" t="n">
        <v>0.096483187</v>
      </c>
      <c r="D4303" t="n">
        <v>-0.371821267</v>
      </c>
      <c r="E4303" t="n">
        <v>0.175984784</v>
      </c>
    </row>
    <row r="4304">
      <c r="A4304" t="inlineStr">
        <is>
          <t>G|REV_DEBT x ASSET_CLASS|where 2026|contribution_rate|rate|5</t>
        </is>
      </c>
      <c r="B4304" t="n">
        <v>0.04264792251088367</v>
      </c>
      <c r="C4304" t="n">
        <v>0.03473067360103448</v>
      </c>
      <c r="D4304" t="n">
        <v>0.03642644717666625</v>
      </c>
      <c r="E4304" t="n">
        <v>0.03780395492470203</v>
      </c>
      <c r="F4304" t="n">
        <v>0.03780119887986102</v>
      </c>
    </row>
    <row r="4305">
      <c r="A4305" t="inlineStr">
        <is>
          <t>G|REV_DEBT x ASSET_CLASS|where 2026|contribution_rate|book|5</t>
        </is>
      </c>
      <c r="B4305" t="n">
        <v>-12.694453322</v>
      </c>
      <c r="C4305" t="n">
        <v>-13.486178213</v>
      </c>
      <c r="D4305" t="n">
        <v>-13.316600856</v>
      </c>
      <c r="E4305" t="n">
        <v>-13.178850081</v>
      </c>
      <c r="F4305" t="n">
        <v>-13.179125686</v>
      </c>
    </row>
    <row r="4306">
      <c r="A4306" t="inlineStr">
        <is>
          <t>G|REV_DEBT x ASSET_CLASS|where 2026|contribution_rate|band|5</t>
        </is>
      </c>
      <c r="B4306" t="n">
        <v>0.666885629</v>
      </c>
      <c r="C4306" t="n">
        <v>-0.456669337</v>
      </c>
      <c r="D4306" t="n">
        <v>-0.17897114</v>
      </c>
      <c r="E4306" t="n">
        <v>0.000330971</v>
      </c>
    </row>
    <row r="4307">
      <c r="A4307" t="inlineStr">
        <is>
          <t>G|REV_DEBT x ASSET_CLASS|where 2026|contribution_rate|rate|6</t>
        </is>
      </c>
      <c r="B4307" t="n">
        <v>0.03114388871828663</v>
      </c>
      <c r="C4307" t="n">
        <v>0.02878038424885729</v>
      </c>
      <c r="D4307" t="n">
        <v>0.03045962915603477</v>
      </c>
      <c r="E4307" t="n">
        <v>0.03089872032731455</v>
      </c>
      <c r="F4307" t="n">
        <v>0.03021310136366667</v>
      </c>
    </row>
    <row r="4308">
      <c r="A4308" t="inlineStr">
        <is>
          <t>G|REV_DEBT x ASSET_CLASS|where 2026|contribution_rate|book|6</t>
        </is>
      </c>
      <c r="B4308" t="n">
        <v>-13.844856702</v>
      </c>
      <c r="C4308" t="n">
        <v>-14.081207149</v>
      </c>
      <c r="D4308" t="n">
        <v>-13.913282658</v>
      </c>
      <c r="E4308" t="n">
        <v>-13.869373541</v>
      </c>
      <c r="F4308" t="n">
        <v>-13.937935437</v>
      </c>
    </row>
    <row r="4309">
      <c r="A4309" t="inlineStr">
        <is>
          <t>G|REV_DEBT x ASSET_CLASS|where 2026|contribution_rate|band|6</t>
        </is>
      </c>
    </row>
    <row r="4310">
      <c r="A4310" t="inlineStr">
        <is>
          <t>G|REV_DEBT x ASSET_CLASS|where 2026|contribution_rate|meta</t>
        </is>
      </c>
      <c r="B4310" t="inlineStr">
        <is>
          <t>pts</t>
        </is>
      </c>
      <c r="C4310" t="n">
        <v>14.544724951</v>
      </c>
      <c r="D4310" t="n">
        <v>10</v>
      </c>
      <c r="E4310" t="n">
        <v>0.1695924557349815</v>
      </c>
      <c r="F4310" t="n">
        <v>30</v>
      </c>
    </row>
    <row r="4311">
      <c r="A4311" t="inlineStr">
        <is>
          <t>G|REV_DEBT x ASSET_CLASS|where 2026|loan_size|rate|1</t>
        </is>
      </c>
      <c r="B4311" t="n">
        <v>35319.5135</v>
      </c>
      <c r="C4311" t="n">
        <v>35493.14291666666</v>
      </c>
      <c r="D4311" t="n">
        <v>32215.01</v>
      </c>
      <c r="E4311" t="n">
        <v>34408.07777777778</v>
      </c>
      <c r="F4311" t="n">
        <v>34650.69216216217</v>
      </c>
    </row>
    <row r="4312">
      <c r="A4312" t="inlineStr">
        <is>
          <t>G|REV_DEBT x ASSET_CLASS|where 2026|loan_size|median|1</t>
        </is>
      </c>
      <c r="B4312" t="n">
        <v>35683.77</v>
      </c>
      <c r="C4312" t="n">
        <v>35756.36</v>
      </c>
      <c r="D4312" t="n">
        <v>32511.35</v>
      </c>
      <c r="E4312" t="n">
        <v>36727.705</v>
      </c>
      <c r="F4312" t="n">
        <v>35008.005</v>
      </c>
    </row>
    <row r="4313">
      <c r="A4313" t="inlineStr">
        <is>
          <t>G|REV_DEBT x ASSET_CLASS|where 2026|loan_size|book|1</t>
        </is>
      </c>
      <c r="B4313" t="n">
        <v>1.094751384110157</v>
      </c>
      <c r="C4313" t="n">
        <v>1.100133141257466</v>
      </c>
      <c r="D4313" t="n">
        <v>0.9985252709277144</v>
      </c>
      <c r="E4313" t="n">
        <v>1.066500838744344</v>
      </c>
      <c r="F4313" t="n">
        <v>1.074020830012339</v>
      </c>
    </row>
    <row r="4314">
      <c r="A4314" t="inlineStr">
        <is>
          <t>G|REV_DEBT x ASSET_CLASS|where 2026|loan_size|band|1</t>
        </is>
      </c>
      <c r="B4314" t="n">
        <v>1.026641091255578</v>
      </c>
      <c r="C4314" t="n">
        <v>1.03640762772697</v>
      </c>
      <c r="D4314" t="n">
        <v>0.9172286590320747</v>
      </c>
      <c r="E4314" t="n">
        <v>0.9907685053901963</v>
      </c>
    </row>
    <row r="4315">
      <c r="A4315" t="inlineStr">
        <is>
          <t>G|REV_DEBT x ASSET_CLASS|where 2026|loan_size|rate|2</t>
        </is>
      </c>
      <c r="B4315" t="n">
        <v>39688.92200000001</v>
      </c>
      <c r="C4315" t="n">
        <v>26903.72466666667</v>
      </c>
      <c r="D4315" t="n">
        <v>32337.009375</v>
      </c>
      <c r="E4315" t="n">
        <v>32169.05411764706</v>
      </c>
      <c r="F4315" t="n">
        <v>31072.15109589041</v>
      </c>
    </row>
    <row r="4316">
      <c r="A4316" t="inlineStr">
        <is>
          <t>G|REV_DEBT x ASSET_CLASS|where 2026|loan_size|median|2</t>
        </is>
      </c>
      <c r="B4316" t="n">
        <v>41871.99000000001</v>
      </c>
      <c r="C4316" t="n">
        <v>21209.43</v>
      </c>
      <c r="D4316" t="n">
        <v>32798.655</v>
      </c>
      <c r="E4316" t="n">
        <v>32472.89</v>
      </c>
      <c r="F4316" t="n">
        <v>25509.65</v>
      </c>
    </row>
    <row r="4317">
      <c r="A4317" t="inlineStr">
        <is>
          <t>G|REV_DEBT x ASSET_CLASS|where 2026|loan_size|book|2</t>
        </is>
      </c>
      <c r="B4317" t="n">
        <v>1.230184053733925</v>
      </c>
      <c r="C4317" t="n">
        <v>0.8338985138215994</v>
      </c>
      <c r="D4317" t="n">
        <v>1.002306721219826</v>
      </c>
      <c r="E4317" t="n">
        <v>0.9971008383455985</v>
      </c>
      <c r="F4317" t="n">
        <v>0.9631016129230084</v>
      </c>
    </row>
    <row r="4318">
      <c r="A4318" t="inlineStr">
        <is>
          <t>G|REV_DEBT x ASSET_CLASS|where 2026|loan_size|band|2</t>
        </is>
      </c>
      <c r="B4318" t="n">
        <v>1.336128959442989</v>
      </c>
      <c r="C4318" t="n">
        <v>0.7917434707892457</v>
      </c>
      <c r="D4318" t="n">
        <v>1.052736295111505</v>
      </c>
      <c r="E4318" t="n">
        <v>1.046516928714927</v>
      </c>
    </row>
    <row r="4319">
      <c r="A4319" t="inlineStr">
        <is>
          <t>G|REV_DEBT x ASSET_CLASS|where 2026|loan_size|rate|3</t>
        </is>
      </c>
      <c r="B4319" t="n">
        <v>33480.18142857143</v>
      </c>
      <c r="C4319" t="n">
        <v>36976.8075</v>
      </c>
      <c r="D4319" t="n">
        <v>32425.5888</v>
      </c>
      <c r="E4319" t="n">
        <v>33628.8</v>
      </c>
      <c r="F4319" t="n">
        <v>33930.30957746479</v>
      </c>
    </row>
    <row r="4320">
      <c r="A4320" t="inlineStr">
        <is>
          <t>G|REV_DEBT x ASSET_CLASS|where 2026|loan_size|median|3</t>
        </is>
      </c>
      <c r="B4320" t="n">
        <v>27776.6</v>
      </c>
      <c r="C4320" t="n">
        <v>36292.58</v>
      </c>
      <c r="D4320" t="n">
        <v>33412.56</v>
      </c>
      <c r="E4320" t="n">
        <v>30841.445</v>
      </c>
      <c r="F4320" t="n">
        <v>33955.6</v>
      </c>
    </row>
    <row r="4321">
      <c r="A4321" t="inlineStr">
        <is>
          <t>G|REV_DEBT x ASSET_CLASS|where 2026|loan_size|book|3</t>
        </is>
      </c>
      <c r="B4321" t="n">
        <v>1.037740085496584</v>
      </c>
      <c r="C4321" t="n">
        <v>1.146120293831336</v>
      </c>
      <c r="D4321" t="n">
        <v>1.0050522983389</v>
      </c>
      <c r="E4321" t="n">
        <v>1.042346615163985</v>
      </c>
      <c r="F4321" t="n">
        <v>1.051692101399293</v>
      </c>
    </row>
    <row r="4322">
      <c r="A4322" t="inlineStr">
        <is>
          <t>G|REV_DEBT x ASSET_CLASS|where 2026|loan_size|band|3</t>
        </is>
      </c>
      <c r="B4322" t="n">
        <v>0.9835290348573856</v>
      </c>
      <c r="C4322" t="n">
        <v>1.119015411029285</v>
      </c>
      <c r="D4322" t="n">
        <v>0.9331616893378932</v>
      </c>
      <c r="E4322" t="n">
        <v>0.9885583747113122</v>
      </c>
    </row>
    <row r="4323">
      <c r="A4323" t="inlineStr">
        <is>
          <t>G|REV_DEBT x ASSET_CLASS|where 2026|loan_size|rate|4</t>
        </is>
      </c>
      <c r="B4323" t="n">
        <v>35131.54476190476</v>
      </c>
      <c r="C4323" t="n">
        <v>27400.06727272727</v>
      </c>
      <c r="D4323" t="n">
        <v>35633.90421052632</v>
      </c>
      <c r="E4323" t="n">
        <v>22140.09444444445</v>
      </c>
      <c r="F4323" t="n">
        <v>30201.6225</v>
      </c>
    </row>
    <row r="4324">
      <c r="A4324" t="inlineStr">
        <is>
          <t>G|REV_DEBT x ASSET_CLASS|where 2026|loan_size|median|4</t>
        </is>
      </c>
      <c r="B4324" t="n">
        <v>38862.88</v>
      </c>
      <c r="C4324" t="n">
        <v>26230.6</v>
      </c>
      <c r="D4324" t="n">
        <v>41561.86</v>
      </c>
      <c r="E4324" t="n">
        <v>21284.37</v>
      </c>
      <c r="F4324" t="n">
        <v>30454.385</v>
      </c>
    </row>
    <row r="4325">
      <c r="A4325" t="inlineStr">
        <is>
          <t>G|REV_DEBT x ASSET_CLASS|where 2026|loan_size|book|4</t>
        </is>
      </c>
      <c r="B4325" t="n">
        <v>1.088925170331783</v>
      </c>
      <c r="C4325" t="n">
        <v>0.8492829770016399</v>
      </c>
      <c r="D4325" t="n">
        <v>1.104496129475919</v>
      </c>
      <c r="E4325" t="n">
        <v>0.6862466844959563</v>
      </c>
      <c r="F4325" t="n">
        <v>0.9361190106496646</v>
      </c>
    </row>
    <row r="4326">
      <c r="A4326" t="inlineStr">
        <is>
          <t>G|REV_DEBT x ASSET_CLASS|where 2026|loan_size|band|4</t>
        </is>
      </c>
      <c r="B4326" t="n">
        <v>1.234986565129806</v>
      </c>
      <c r="C4326" t="n">
        <v>0.876401633554249</v>
      </c>
      <c r="D4326" t="n">
        <v>1.2498913980107</v>
      </c>
      <c r="E4326" t="n">
        <v>0.6803530653725843</v>
      </c>
    </row>
    <row r="4327">
      <c r="A4327" t="inlineStr">
        <is>
          <t>G|REV_DEBT x ASSET_CLASS|where 2026|loan_size|rate|5</t>
        </is>
      </c>
      <c r="B4327" t="n">
        <v>29441.141</v>
      </c>
      <c r="C4327" t="n">
        <v>32093.11363636364</v>
      </c>
      <c r="D4327" t="n">
        <v>27759.16555555556</v>
      </c>
      <c r="E4327" t="n">
        <v>25750.49928571429</v>
      </c>
      <c r="F4327" t="n">
        <v>29122.20662162162</v>
      </c>
    </row>
    <row r="4328">
      <c r="A4328" t="inlineStr">
        <is>
          <t>G|REV_DEBT x ASSET_CLASS|where 2026|loan_size|median|5</t>
        </is>
      </c>
      <c r="B4328" t="n">
        <v>23983.325</v>
      </c>
      <c r="C4328" t="n">
        <v>35399.975</v>
      </c>
      <c r="D4328" t="n">
        <v>25577.105</v>
      </c>
      <c r="E4328" t="n">
        <v>20367.195</v>
      </c>
      <c r="F4328" t="n">
        <v>26838.49</v>
      </c>
    </row>
    <row r="4329">
      <c r="A4329" t="inlineStr">
        <is>
          <t>G|REV_DEBT x ASSET_CLASS|where 2026|loan_size|book|5</t>
        </is>
      </c>
      <c r="B4329" t="n">
        <v>0.9125473899727499</v>
      </c>
      <c r="C4329" t="n">
        <v>0.9947470135400834</v>
      </c>
      <c r="D4329" t="n">
        <v>0.8604134627643569</v>
      </c>
      <c r="E4329" t="n">
        <v>0.7981535400979783</v>
      </c>
      <c r="F4329" t="n">
        <v>0.9026618106549589</v>
      </c>
    </row>
    <row r="4330">
      <c r="A4330" t="inlineStr">
        <is>
          <t>G|REV_DEBT x ASSET_CLASS|where 2026|loan_size|band|5</t>
        </is>
      </c>
      <c r="B4330" t="n">
        <v>1.01506885170515</v>
      </c>
      <c r="C4330" t="n">
        <v>1.151723885143099</v>
      </c>
      <c r="D4330" t="n">
        <v>0.9390682853100274</v>
      </c>
      <c r="E4330" t="n">
        <v>0.8609633347304577</v>
      </c>
    </row>
    <row r="4331">
      <c r="A4331" t="inlineStr">
        <is>
          <t>G|REV_DEBT x ASSET_CLASS|where 2026|loan_size|rate|6</t>
        </is>
      </c>
      <c r="B4331" t="n">
        <v>34101.02694117647</v>
      </c>
      <c r="C4331" t="n">
        <v>31223.03570175438</v>
      </c>
      <c r="D4331" t="n">
        <v>32125.79055555556</v>
      </c>
      <c r="E4331" t="n">
        <v>29678.41939759036</v>
      </c>
      <c r="F4331" t="n">
        <v>31754.41752688172</v>
      </c>
    </row>
    <row r="4332">
      <c r="A4332" t="inlineStr">
        <is>
          <t>G|REV_DEBT x ASSET_CLASS|where 2026|loan_size|median|6</t>
        </is>
      </c>
      <c r="B4332" t="n">
        <v>36266.37</v>
      </c>
      <c r="C4332" t="n">
        <v>31992.515</v>
      </c>
      <c r="D4332" t="n">
        <v>32886.15</v>
      </c>
      <c r="E4332" t="n">
        <v>24952.51</v>
      </c>
      <c r="F4332" t="n">
        <v>32048.36</v>
      </c>
    </row>
    <row r="4333">
      <c r="A4333" t="inlineStr">
        <is>
          <t>G|REV_DEBT x ASSET_CLASS|where 2026|loan_size|book|6</t>
        </is>
      </c>
      <c r="B4333" t="n">
        <v>1.056983597563729</v>
      </c>
      <c r="C4333" t="n">
        <v>0.967778379807425</v>
      </c>
      <c r="D4333" t="n">
        <v>0.9957598559880354</v>
      </c>
      <c r="E4333" t="n">
        <v>0.9199019888457353</v>
      </c>
      <c r="F4333" t="n">
        <v>0.9842489064625878</v>
      </c>
    </row>
    <row r="4334">
      <c r="A4334" t="inlineStr">
        <is>
          <t>G|REV_DEBT x ASSET_CLASS|where 2026|loan_size|band|6</t>
        </is>
      </c>
    </row>
    <row r="4335">
      <c r="A4335" t="inlineStr">
        <is>
          <t>G|REV_DEBT x ASSET_CLASS|where 2026|loan_size|meta</t>
        </is>
      </c>
      <c r="B4335" t="inlineStr">
        <is>
          <t>size</t>
        </is>
      </c>
      <c r="C4335" t="n">
        <v>1</v>
      </c>
      <c r="E4335" t="n">
        <v>32262.58857732217</v>
      </c>
      <c r="F4335" t="n">
        <v>30</v>
      </c>
    </row>
    <row r="4336">
      <c r="A4336" t="inlineStr">
        <is>
          <t>G|fewest</t>
        </is>
      </c>
      <c r="B4336" t="n">
        <v>30</v>
      </c>
    </row>
    <row r="4337">
      <c r="A4337" t="inlineStr">
        <is>
          <t>S|FICO|1</t>
        </is>
      </c>
      <c r="B4337" t="inlineStr">
        <is>
          <t>496 - 653</t>
        </is>
      </c>
      <c r="C4337" t="n">
        <v>1556</v>
      </c>
      <c r="D4337" t="n">
        <v>0.1945</v>
      </c>
      <c r="E4337" t="n">
        <v>234</v>
      </c>
      <c r="F4337" t="n">
        <v>0.1504823151125402</v>
      </c>
      <c r="G4337" t="n">
        <v>50747952.44</v>
      </c>
      <c r="H4337" t="n">
        <v>0.1966453211180287</v>
      </c>
      <c r="I4337" t="n">
        <v>4235046.510000002</v>
      </c>
      <c r="J4337" t="n">
        <v>0.08345255929305037</v>
      </c>
      <c r="K4337" t="n">
        <v>2.005817259532897</v>
      </c>
      <c r="L4337" t="n">
        <v>0.3944952425416234</v>
      </c>
      <c r="M4337" t="n">
        <v>9650826.569999995</v>
      </c>
      <c r="N4337" t="n">
        <v>0.1901717430158447</v>
      </c>
      <c r="O4337" t="n">
        <v>0.2921819592673883</v>
      </c>
    </row>
    <row r="4338">
      <c r="A4338" t="inlineStr">
        <is>
          <t>S|FICO|2</t>
        </is>
      </c>
      <c r="B4338" t="inlineStr">
        <is>
          <t>654 - 685</t>
        </is>
      </c>
      <c r="C4338" t="n">
        <v>1539</v>
      </c>
      <c r="D4338" t="n">
        <v>0.192375</v>
      </c>
      <c r="E4338" t="n">
        <v>130</v>
      </c>
      <c r="F4338" t="n">
        <v>0.08447043534762833</v>
      </c>
      <c r="G4338" t="n">
        <v>49349595.68</v>
      </c>
      <c r="H4338" t="n">
        <v>0.1912267711886915</v>
      </c>
      <c r="I4338" t="n">
        <v>2231319.139999999</v>
      </c>
      <c r="J4338" t="n">
        <v>0.04521453740915421</v>
      </c>
      <c r="K4338" t="n">
        <v>1.086750367937846</v>
      </c>
      <c r="L4338" t="n">
        <v>0.2078477256964212</v>
      </c>
      <c r="M4338" t="n">
        <v>8047707.069999993</v>
      </c>
      <c r="N4338" t="n">
        <v>0.1630754408239557</v>
      </c>
      <c r="O4338" t="n">
        <v>0.2436469873608569</v>
      </c>
    </row>
    <row r="4339">
      <c r="A4339" t="inlineStr">
        <is>
          <t>S|FICO|3</t>
        </is>
      </c>
      <c r="B4339" t="inlineStr">
        <is>
          <t>686 - 711</t>
        </is>
      </c>
      <c r="C4339" t="n">
        <v>1562</v>
      </c>
      <c r="D4339" t="n">
        <v>0.19525</v>
      </c>
      <c r="E4339" t="n">
        <v>96</v>
      </c>
      <c r="F4339" t="n">
        <v>0.06145966709346991</v>
      </c>
      <c r="G4339" t="n">
        <v>51016427.42</v>
      </c>
      <c r="H4339" t="n">
        <v>0.197685645823083</v>
      </c>
      <c r="I4339" t="n">
        <v>1607782.970000001</v>
      </c>
      <c r="J4339" t="n">
        <v>0.03151500509362795</v>
      </c>
      <c r="K4339" t="n">
        <v>0.7574763636557555</v>
      </c>
      <c r="L4339" t="n">
        <v>0.1497652342676259</v>
      </c>
      <c r="M4339" t="n">
        <v>7240165.409999996</v>
      </c>
      <c r="N4339" t="n">
        <v>0.1419183148673721</v>
      </c>
      <c r="O4339" t="n">
        <v>0.2191983971082566</v>
      </c>
    </row>
    <row r="4340">
      <c r="A4340" t="inlineStr">
        <is>
          <t>S|FICO|4</t>
        </is>
      </c>
      <c r="B4340" t="inlineStr">
        <is>
          <t>712 - 745</t>
        </is>
      </c>
      <c r="C4340" t="n">
        <v>1611</v>
      </c>
      <c r="D4340" t="n">
        <v>0.201375</v>
      </c>
      <c r="E4340" t="n">
        <v>87</v>
      </c>
      <c r="F4340" t="n">
        <v>0.05400372439478585</v>
      </c>
      <c r="G4340" t="n">
        <v>51112483.92</v>
      </c>
      <c r="H4340" t="n">
        <v>0.198057859092383</v>
      </c>
      <c r="I4340" t="n">
        <v>1545665.759999999</v>
      </c>
      <c r="J4340" t="n">
        <v>0.03026397173122724</v>
      </c>
      <c r="K4340" t="n">
        <v>0.7274072521532184</v>
      </c>
      <c r="L4340" t="n">
        <v>0.1439790064736461</v>
      </c>
      <c r="M4340" t="n">
        <v>4905226.41999999</v>
      </c>
      <c r="N4340" t="n">
        <v>0.09596924359374752</v>
      </c>
      <c r="O4340" t="n">
        <v>0.1485073486348801</v>
      </c>
    </row>
    <row r="4341">
      <c r="A4341" t="inlineStr">
        <is>
          <t>S|FICO|5</t>
        </is>
      </c>
      <c r="B4341" t="inlineStr">
        <is>
          <t>746 - 921</t>
        </is>
      </c>
      <c r="C4341" t="n">
        <v>1571</v>
      </c>
      <c r="D4341" t="n">
        <v>0.196375</v>
      </c>
      <c r="E4341" t="n">
        <v>62</v>
      </c>
      <c r="F4341" t="n">
        <v>0.03946530872056015</v>
      </c>
      <c r="G4341" t="n">
        <v>50525744.31</v>
      </c>
      <c r="H4341" t="n">
        <v>0.1957842777265628</v>
      </c>
      <c r="I4341" t="n">
        <v>980621.1800000004</v>
      </c>
      <c r="J4341" t="n">
        <v>0.01940834703954907</v>
      </c>
      <c r="K4341" t="n">
        <v>0.4664877602402501</v>
      </c>
      <c r="L4341" t="n">
        <v>0.09134501577068938</v>
      </c>
      <c r="M4341" t="n">
        <v>2361745.959999996</v>
      </c>
      <c r="N4341" t="n">
        <v>0.04674341748455085</v>
      </c>
      <c r="O4341" t="n">
        <v>0.07150263833667027</v>
      </c>
    </row>
    <row r="4342">
      <c r="A4342" t="inlineStr">
        <is>
          <t>S|FICO|6</t>
        </is>
      </c>
      <c r="B4342" t="inlineStr">
        <is>
          <t>(blank)</t>
        </is>
      </c>
      <c r="C4342" t="n">
        <v>1</v>
      </c>
      <c r="D4342" t="n">
        <v>0.000125</v>
      </c>
      <c r="E4342" t="n">
        <v>0</v>
      </c>
      <c r="F4342" t="n">
        <v>0</v>
      </c>
      <c r="G4342" t="n">
        <v>27999.47</v>
      </c>
      <c r="H4342" t="n">
        <v>0.0001084962940286978</v>
      </c>
      <c r="I4342" t="n">
        <v>0</v>
      </c>
      <c r="J4342" t="n">
        <v>0</v>
      </c>
      <c r="K4342" t="n">
        <v>0</v>
      </c>
      <c r="L4342" t="n">
        <v>0</v>
      </c>
      <c r="M4342" t="n">
        <v>3928.24</v>
      </c>
      <c r="N4342" t="n">
        <v>0.140296941334961</v>
      </c>
      <c r="O4342" t="n">
        <v>0.0001189287623549664</v>
      </c>
    </row>
    <row r="4343">
      <c r="A4343" t="inlineStr">
        <is>
          <t>S|FICO|7</t>
        </is>
      </c>
      <c r="B4343" t="inlineStr">
        <is>
          <t>(marked missing)</t>
        </is>
      </c>
      <c r="C4343" t="n">
        <v>160</v>
      </c>
      <c r="D4343" t="n">
        <v>0.02</v>
      </c>
      <c r="E4343" t="n">
        <v>10</v>
      </c>
      <c r="F4343" t="n">
        <v>0.0625</v>
      </c>
      <c r="G4343" t="n">
        <v>5288242.79</v>
      </c>
      <c r="H4343" t="n">
        <v>0.02049162875722223</v>
      </c>
      <c r="I4343" t="n">
        <v>134919.53</v>
      </c>
      <c r="J4343" t="n">
        <v>0.0255131118894789</v>
      </c>
      <c r="K4343" t="n">
        <v>0.6132183435214599</v>
      </c>
      <c r="L4343" t="n">
        <v>0.01256777524999409</v>
      </c>
      <c r="M4343" t="n">
        <v>820593.5499999999</v>
      </c>
      <c r="N4343" t="n">
        <v>0.1551731988462656</v>
      </c>
      <c r="O4343" t="n">
        <v>0.02484374052959296</v>
      </c>
    </row>
    <row r="4344">
      <c r="A4344" t="inlineStr">
        <is>
          <t>S|FICO|8</t>
        </is>
      </c>
      <c r="B4344" t="inlineStr">
        <is>
          <t>All</t>
        </is>
      </c>
      <c r="C4344" t="n">
        <v>8000</v>
      </c>
      <c r="D4344" t="n">
        <v>1</v>
      </c>
      <c r="E4344" t="n">
        <v>619</v>
      </c>
      <c r="F4344" t="n">
        <v>0.07738467308413552</v>
      </c>
      <c r="G4344" t="n">
        <v>258068446.03</v>
      </c>
      <c r="H4344" t="n">
        <v>1</v>
      </c>
      <c r="I4344" t="n">
        <v>10735355.09</v>
      </c>
      <c r="J4344" t="n">
        <v>0.0416052653333356</v>
      </c>
      <c r="K4344" t="n">
        <v>0.999999999999999</v>
      </c>
      <c r="L4344" t="n">
        <v>1</v>
      </c>
      <c r="M4344" t="n">
        <v>33030193.21999997</v>
      </c>
      <c r="N4344" t="n">
        <v>0.1279900496481474</v>
      </c>
      <c r="O4344" t="n">
        <v>1</v>
      </c>
    </row>
    <row r="4345">
      <c r="A4345" t="inlineStr">
        <is>
          <t>S|FICO|where 2021|1</t>
        </is>
      </c>
      <c r="B4345" t="inlineStr">
        <is>
          <t>496 - 653</t>
        </is>
      </c>
      <c r="C4345" t="n">
        <v>150</v>
      </c>
      <c r="D4345" t="n">
        <v>0.1787842669845054</v>
      </c>
      <c r="E4345" t="n">
        <v>23</v>
      </c>
      <c r="F4345" t="n">
        <v>0.1533333333333333</v>
      </c>
      <c r="G4345" t="n">
        <v>5187713.96</v>
      </c>
      <c r="H4345" t="n">
        <v>0.1895567368551923</v>
      </c>
      <c r="I4345" t="n">
        <v>443508.3700000001</v>
      </c>
      <c r="J4345" t="n">
        <v>0.08549206325169094</v>
      </c>
      <c r="K4345" t="n">
        <v>2.054837592471538</v>
      </c>
      <c r="L4345" t="n">
        <v>0.4209497806992692</v>
      </c>
      <c r="M4345" t="n">
        <v>2069336.37</v>
      </c>
      <c r="N4345" t="n">
        <v>0.3988917634926811</v>
      </c>
      <c r="O4345" t="n">
        <v>0.2936341267154504</v>
      </c>
    </row>
    <row r="4346">
      <c r="A4346" t="inlineStr">
        <is>
          <t>S|FICO|where 2021|2</t>
        </is>
      </c>
      <c r="B4346" t="inlineStr">
        <is>
          <t>654 - 685</t>
        </is>
      </c>
      <c r="C4346" t="n">
        <v>181</v>
      </c>
      <c r="D4346" t="n">
        <v>0.2157330154946365</v>
      </c>
      <c r="E4346" t="n">
        <v>12</v>
      </c>
      <c r="F4346" t="n">
        <v>0.06629834254143646</v>
      </c>
      <c r="G4346" t="n">
        <v>5964006.45</v>
      </c>
      <c r="H4346" t="n">
        <v>0.2179221155912227</v>
      </c>
      <c r="I4346" t="n">
        <v>210018.58</v>
      </c>
      <c r="J4346" t="n">
        <v>0.03521434488052912</v>
      </c>
      <c r="K4346" t="n">
        <v>0.8463915468005466</v>
      </c>
      <c r="L4346" t="n">
        <v>0.1993362046217344</v>
      </c>
      <c r="M4346" t="n">
        <v>1954632.76</v>
      </c>
      <c r="N4346" t="n">
        <v>0.3277382035695151</v>
      </c>
      <c r="O4346" t="n">
        <v>0.2773579452102368</v>
      </c>
    </row>
    <row r="4347">
      <c r="A4347" t="inlineStr">
        <is>
          <t>S|FICO|where 2021|3</t>
        </is>
      </c>
      <c r="B4347" t="inlineStr">
        <is>
          <t>686 - 711</t>
        </is>
      </c>
      <c r="C4347" t="n">
        <v>149</v>
      </c>
      <c r="D4347" t="n">
        <v>0.1775923718712753</v>
      </c>
      <c r="E4347" t="n">
        <v>9</v>
      </c>
      <c r="F4347" t="n">
        <v>0.06040268456375839</v>
      </c>
      <c r="G4347" t="n">
        <v>4660015.6</v>
      </c>
      <c r="H4347" t="n">
        <v>0.170274875916692</v>
      </c>
      <c r="I4347" t="n">
        <v>147473.57</v>
      </c>
      <c r="J4347" t="n">
        <v>0.03164658289985123</v>
      </c>
      <c r="K4347" t="n">
        <v>0.7606388914072094</v>
      </c>
      <c r="L4347" t="n">
        <v>0.1399724811291348</v>
      </c>
      <c r="M4347" t="n">
        <v>1283768.43</v>
      </c>
      <c r="N4347" t="n">
        <v>0.2754858653262876</v>
      </c>
      <c r="O4347" t="n">
        <v>0.1821638218478298</v>
      </c>
    </row>
    <row r="4348">
      <c r="A4348" t="inlineStr">
        <is>
          <t>S|FICO|where 2021|4</t>
        </is>
      </c>
      <c r="B4348" t="inlineStr">
        <is>
          <t>712 - 745</t>
        </is>
      </c>
      <c r="C4348" t="n">
        <v>156</v>
      </c>
      <c r="D4348" t="n">
        <v>0.1859356376638856</v>
      </c>
      <c r="E4348" t="n">
        <v>7</v>
      </c>
      <c r="F4348" t="n">
        <v>0.04487179487179487</v>
      </c>
      <c r="G4348" t="n">
        <v>4948222.24</v>
      </c>
      <c r="H4348" t="n">
        <v>0.1808058170286417</v>
      </c>
      <c r="I4348" t="n">
        <v>132174.68</v>
      </c>
      <c r="J4348" t="n">
        <v>0.02671154883294004</v>
      </c>
      <c r="K4348" t="n">
        <v>0.6420232780377867</v>
      </c>
      <c r="L4348" t="n">
        <v>0.125451753165326</v>
      </c>
      <c r="M4348" t="n">
        <v>971269.3399999996</v>
      </c>
      <c r="N4348" t="n">
        <v>0.1962865232989211</v>
      </c>
      <c r="O4348" t="n">
        <v>0.1378209113757527</v>
      </c>
    </row>
    <row r="4349">
      <c r="A4349" t="inlineStr">
        <is>
          <t>S|FICO|where 2021|5</t>
        </is>
      </c>
      <c r="B4349" t="inlineStr">
        <is>
          <t>746 - 921</t>
        </is>
      </c>
      <c r="C4349" t="n">
        <v>177</v>
      </c>
      <c r="D4349" t="n">
        <v>0.2109654350417163</v>
      </c>
      <c r="E4349" t="n">
        <v>5</v>
      </c>
      <c r="F4349" t="n">
        <v>0.02824858757062147</v>
      </c>
      <c r="G4349" t="n">
        <v>5834832.4</v>
      </c>
      <c r="H4349" t="n">
        <v>0.2132021538521661</v>
      </c>
      <c r="I4349" t="n">
        <v>66947.12</v>
      </c>
      <c r="J4349" t="n">
        <v>0.01147370059849534</v>
      </c>
      <c r="K4349" t="n">
        <v>0.2757752055315507</v>
      </c>
      <c r="L4349" t="n">
        <v>0.06354192477235018</v>
      </c>
      <c r="M4349" t="n">
        <v>579335.1000000003</v>
      </c>
      <c r="N4349" t="n">
        <v>0.09928907298177071</v>
      </c>
      <c r="O4349" t="n">
        <v>0.08220633369726557</v>
      </c>
    </row>
    <row r="4350">
      <c r="A4350" t="inlineStr">
        <is>
          <t>S|FICO|where 2021|6</t>
        </is>
      </c>
      <c r="B4350" t="inlineStr">
        <is>
          <t>(blank)</t>
        </is>
      </c>
      <c r="C4350" t="n">
        <v>0</v>
      </c>
      <c r="D4350" t="n">
        <v>0</v>
      </c>
      <c r="E4350" t="n">
        <v>0</v>
      </c>
      <c r="G4350" t="n">
        <v>0</v>
      </c>
      <c r="H4350" t="n">
        <v>0</v>
      </c>
      <c r="I4350" t="n">
        <v>0</v>
      </c>
      <c r="L4350" t="n">
        <v>0</v>
      </c>
      <c r="M4350" t="n">
        <v>0</v>
      </c>
      <c r="O4350" t="n">
        <v>0</v>
      </c>
    </row>
    <row r="4351">
      <c r="A4351" t="inlineStr">
        <is>
          <t>S|FICO|where 2021|7</t>
        </is>
      </c>
      <c r="B4351" t="inlineStr">
        <is>
          <t>(marked missing)</t>
        </is>
      </c>
      <c r="C4351" t="n">
        <v>26</v>
      </c>
      <c r="D4351" t="n">
        <v>0.03098927294398093</v>
      </c>
      <c r="E4351" t="n">
        <v>4</v>
      </c>
      <c r="F4351" t="n">
        <v>0.1538461538461539</v>
      </c>
      <c r="G4351" t="n">
        <v>772814.67</v>
      </c>
      <c r="H4351" t="n">
        <v>0.0282383007560853</v>
      </c>
      <c r="I4351" t="n">
        <v>53467.42000000001</v>
      </c>
      <c r="J4351" t="n">
        <v>0.06918530674372424</v>
      </c>
      <c r="K4351" t="n">
        <v>1.662897861350507</v>
      </c>
      <c r="L4351" t="n">
        <v>0.05074785561218545</v>
      </c>
      <c r="M4351" t="n">
        <v>188987.25</v>
      </c>
      <c r="N4351" t="n">
        <v>0.2445440767836357</v>
      </c>
      <c r="O4351" t="n">
        <v>0.02681686115346463</v>
      </c>
    </row>
    <row r="4352">
      <c r="A4352" t="inlineStr">
        <is>
          <t>S|FICO|where 2021|8</t>
        </is>
      </c>
      <c r="B4352" t="inlineStr">
        <is>
          <t>All</t>
        </is>
      </c>
      <c r="C4352" t="n">
        <v>839</v>
      </c>
      <c r="D4352" t="n">
        <v>1</v>
      </c>
      <c r="E4352" t="n">
        <v>60</v>
      </c>
      <c r="F4352" t="n">
        <v>0.07151370679380215</v>
      </c>
      <c r="G4352" t="n">
        <v>27367605.32</v>
      </c>
      <c r="H4352" t="n">
        <v>1</v>
      </c>
      <c r="I4352" t="n">
        <v>1053589.74</v>
      </c>
      <c r="J4352" t="n">
        <v>0.03849769563981713</v>
      </c>
      <c r="K4352" t="n">
        <v>0.925308259216205</v>
      </c>
      <c r="L4352" t="n">
        <v>1</v>
      </c>
      <c r="M4352" t="n">
        <v>7047329.25</v>
      </c>
      <c r="N4352" t="n">
        <v>0.2575062438820643</v>
      </c>
      <c r="O4352" t="n">
        <v>1</v>
      </c>
    </row>
    <row r="4353">
      <c r="A4353" t="inlineStr">
        <is>
          <t>S|FICO|where 2022|1</t>
        </is>
      </c>
      <c r="B4353" t="inlineStr">
        <is>
          <t>496 - 653</t>
        </is>
      </c>
      <c r="C4353" t="n">
        <v>353</v>
      </c>
      <c r="D4353" t="n">
        <v>0.2027570361860999</v>
      </c>
      <c r="E4353" t="n">
        <v>61</v>
      </c>
      <c r="F4353" t="n">
        <v>0.1728045325779037</v>
      </c>
      <c r="G4353" t="n">
        <v>11276136.37</v>
      </c>
      <c r="H4353" t="n">
        <v>0.2005216196002492</v>
      </c>
      <c r="I4353" t="n">
        <v>1174581.94</v>
      </c>
      <c r="J4353" t="n">
        <v>0.1041652833434117</v>
      </c>
      <c r="K4353" t="n">
        <v>2.503656268235614</v>
      </c>
      <c r="L4353" t="n">
        <v>0.4600509284129892</v>
      </c>
      <c r="M4353" t="n">
        <v>3458182.53</v>
      </c>
      <c r="N4353" t="n">
        <v>0.3066815100959974</v>
      </c>
      <c r="O4353" t="n">
        <v>0.2917101868390072</v>
      </c>
    </row>
    <row r="4354">
      <c r="A4354" t="inlineStr">
        <is>
          <t>S|FICO|where 2022|2</t>
        </is>
      </c>
      <c r="B4354" t="inlineStr">
        <is>
          <t>654 - 685</t>
        </is>
      </c>
      <c r="C4354" t="n">
        <v>344</v>
      </c>
      <c r="D4354" t="n">
        <v>0.1975875933371626</v>
      </c>
      <c r="E4354" t="n">
        <v>28</v>
      </c>
      <c r="F4354" t="n">
        <v>0.08139534883720931</v>
      </c>
      <c r="G4354" t="n">
        <v>11532842.4</v>
      </c>
      <c r="H4354" t="n">
        <v>0.2050865793708404</v>
      </c>
      <c r="I4354" t="n">
        <v>548816.3100000001</v>
      </c>
      <c r="J4354" t="n">
        <v>0.04758725481239563</v>
      </c>
      <c r="K4354" t="n">
        <v>1.143779625754892</v>
      </c>
      <c r="L4354" t="n">
        <v>0.2149560148555416</v>
      </c>
      <c r="M4354" t="n">
        <v>3000252.569999999</v>
      </c>
      <c r="N4354" t="n">
        <v>0.2601485796771142</v>
      </c>
      <c r="O4354" t="n">
        <v>0.2530821407390869</v>
      </c>
    </row>
    <row r="4355">
      <c r="A4355" t="inlineStr">
        <is>
          <t>S|FICO|where 2022|3</t>
        </is>
      </c>
      <c r="B4355" t="inlineStr">
        <is>
          <t>686 - 711</t>
        </is>
      </c>
      <c r="C4355" t="n">
        <v>333</v>
      </c>
      <c r="D4355" t="n">
        <v>0.1912693854106835</v>
      </c>
      <c r="E4355" t="n">
        <v>18</v>
      </c>
      <c r="F4355" t="n">
        <v>0.05405405405405406</v>
      </c>
      <c r="G4355" t="n">
        <v>10867256.39</v>
      </c>
      <c r="H4355" t="n">
        <v>0.1932505762994739</v>
      </c>
      <c r="I4355" t="n">
        <v>211679.16</v>
      </c>
      <c r="J4355" t="n">
        <v>0.01947862021501455</v>
      </c>
      <c r="K4355" t="n">
        <v>0.46817680548254</v>
      </c>
      <c r="L4355" t="n">
        <v>0.08290881271653272</v>
      </c>
      <c r="M4355" t="n">
        <v>2618893.629999999</v>
      </c>
      <c r="N4355" t="n">
        <v>0.240989403029995</v>
      </c>
      <c r="O4355" t="n">
        <v>0.2209131367391373</v>
      </c>
    </row>
    <row r="4356">
      <c r="A4356" t="inlineStr">
        <is>
          <t>S|FICO|where 2022|4</t>
        </is>
      </c>
      <c r="B4356" t="inlineStr">
        <is>
          <t>712 - 745</t>
        </is>
      </c>
      <c r="C4356" t="n">
        <v>356</v>
      </c>
      <c r="D4356" t="n">
        <v>0.2044801838024124</v>
      </c>
      <c r="E4356" t="n">
        <v>23</v>
      </c>
      <c r="F4356" t="n">
        <v>0.06460674157303371</v>
      </c>
      <c r="G4356" t="n">
        <v>11095651.21</v>
      </c>
      <c r="H4356" t="n">
        <v>0.1973120826268142</v>
      </c>
      <c r="I4356" t="n">
        <v>367093.72</v>
      </c>
      <c r="J4356" t="n">
        <v>0.03308446823464994</v>
      </c>
      <c r="K4356" t="n">
        <v>0.7951990684251559</v>
      </c>
      <c r="L4356" t="n">
        <v>0.1437803536299714</v>
      </c>
      <c r="M4356" t="n">
        <v>1725510.960000001</v>
      </c>
      <c r="N4356" t="n">
        <v>0.1555123649204905</v>
      </c>
      <c r="O4356" t="n">
        <v>0.1455530817612323</v>
      </c>
    </row>
    <row r="4357">
      <c r="A4357" t="inlineStr">
        <is>
          <t>S|FICO|where 2022|5</t>
        </is>
      </c>
      <c r="B4357" t="inlineStr">
        <is>
          <t>746 - 921</t>
        </is>
      </c>
      <c r="C4357" t="n">
        <v>314</v>
      </c>
      <c r="D4357" t="n">
        <v>0.1803561171740379</v>
      </c>
      <c r="E4357" t="n">
        <v>11</v>
      </c>
      <c r="F4357" t="n">
        <v>0.03503184713375796</v>
      </c>
      <c r="G4357" t="n">
        <v>10135028.84</v>
      </c>
      <c r="H4357" t="n">
        <v>0.1802294980308078</v>
      </c>
      <c r="I4357" t="n">
        <v>206772.2</v>
      </c>
      <c r="J4357" t="n">
        <v>0.02040173770240598</v>
      </c>
      <c r="K4357" t="n">
        <v>0.4903643214134093</v>
      </c>
      <c r="L4357" t="n">
        <v>0.08098689358359815</v>
      </c>
      <c r="M4357" t="n">
        <v>757120.14</v>
      </c>
      <c r="N4357" t="n">
        <v>0.07470330395231513</v>
      </c>
      <c r="O4357" t="n">
        <v>0.0638658184127069</v>
      </c>
    </row>
    <row r="4358">
      <c r="A4358" t="inlineStr">
        <is>
          <t>S|FICO|where 2022|6</t>
        </is>
      </c>
      <c r="B4358" t="inlineStr">
        <is>
          <t>(blank)</t>
        </is>
      </c>
      <c r="C4358" t="n">
        <v>0</v>
      </c>
      <c r="D4358" t="n">
        <v>0</v>
      </c>
      <c r="E4358" t="n">
        <v>0</v>
      </c>
      <c r="G4358" t="n">
        <v>0</v>
      </c>
      <c r="H4358" t="n">
        <v>0</v>
      </c>
      <c r="I4358" t="n">
        <v>0</v>
      </c>
      <c r="L4358" t="n">
        <v>0</v>
      </c>
      <c r="M4358" t="n">
        <v>0</v>
      </c>
      <c r="O4358" t="n">
        <v>0</v>
      </c>
    </row>
    <row r="4359">
      <c r="A4359" t="inlineStr">
        <is>
          <t>S|FICO|where 2022|7</t>
        </is>
      </c>
      <c r="B4359" t="inlineStr">
        <is>
          <t>(marked missing)</t>
        </is>
      </c>
      <c r="C4359" t="n">
        <v>41</v>
      </c>
      <c r="D4359" t="n">
        <v>0.02354968408960368</v>
      </c>
      <c r="E4359" t="n">
        <v>4</v>
      </c>
      <c r="F4359" t="n">
        <v>0.0975609756097561</v>
      </c>
      <c r="G4359" t="n">
        <v>1327102.81</v>
      </c>
      <c r="H4359" t="n">
        <v>0.02359964407181445</v>
      </c>
      <c r="I4359" t="n">
        <v>44213</v>
      </c>
      <c r="J4359" t="n">
        <v>0.03331542942027227</v>
      </c>
      <c r="K4359" t="n">
        <v>0.8007503173781887</v>
      </c>
      <c r="L4359" t="n">
        <v>0.01731699680136704</v>
      </c>
      <c r="M4359" t="n">
        <v>294897.1</v>
      </c>
      <c r="N4359" t="n">
        <v>0.2222111940219613</v>
      </c>
      <c r="O4359" t="n">
        <v>0.02487563550882938</v>
      </c>
    </row>
    <row r="4360">
      <c r="A4360" t="inlineStr">
        <is>
          <t>S|FICO|where 2022|8</t>
        </is>
      </c>
      <c r="B4360" t="inlineStr">
        <is>
          <t>All</t>
        </is>
      </c>
      <c r="C4360" t="n">
        <v>1741</v>
      </c>
      <c r="D4360" t="n">
        <v>1</v>
      </c>
      <c r="E4360" t="n">
        <v>145</v>
      </c>
      <c r="F4360" t="n">
        <v>0.0832854681217691</v>
      </c>
      <c r="G4360" t="n">
        <v>56234018.02</v>
      </c>
      <c r="H4360" t="n">
        <v>1</v>
      </c>
      <c r="I4360" t="n">
        <v>2553156.33</v>
      </c>
      <c r="J4360" t="n">
        <v>0.04540234576679108</v>
      </c>
      <c r="K4360" t="n">
        <v>1.091264420573544</v>
      </c>
      <c r="L4360" t="n">
        <v>1</v>
      </c>
      <c r="M4360" t="n">
        <v>11854856.93</v>
      </c>
      <c r="N4360" t="n">
        <v>0.2108129091146171</v>
      </c>
      <c r="O4360" t="n">
        <v>1</v>
      </c>
    </row>
    <row r="4361">
      <c r="A4361" t="inlineStr">
        <is>
          <t>S|FICO|where 2023|1</t>
        </is>
      </c>
      <c r="B4361" t="inlineStr">
        <is>
          <t>496 - 653</t>
        </is>
      </c>
      <c r="C4361" t="n">
        <v>321</v>
      </c>
      <c r="D4361" t="n">
        <v>0.1991315136476427</v>
      </c>
      <c r="E4361" t="n">
        <v>38</v>
      </c>
      <c r="F4361" t="n">
        <v>0.11875</v>
      </c>
      <c r="G4361" t="n">
        <v>10427663.36</v>
      </c>
      <c r="H4361" t="n">
        <v>0.1988549521399442</v>
      </c>
      <c r="I4361" t="n">
        <v>682657.7300000001</v>
      </c>
      <c r="J4361" t="n">
        <v>0.06546603073308264</v>
      </c>
      <c r="K4361" t="n">
        <v>1.573503502707598</v>
      </c>
      <c r="L4361" t="n">
        <v>0.332687146694174</v>
      </c>
      <c r="M4361" t="n">
        <v>2568373.109999997</v>
      </c>
      <c r="N4361" t="n">
        <v>0.2463037999339475</v>
      </c>
      <c r="O4361" t="n">
        <v>0.3226371191618442</v>
      </c>
    </row>
    <row r="4362">
      <c r="A4362" t="inlineStr">
        <is>
          <t>S|FICO|where 2023|2</t>
        </is>
      </c>
      <c r="B4362" t="inlineStr">
        <is>
          <t>654 - 685</t>
        </is>
      </c>
      <c r="C4362" t="n">
        <v>283</v>
      </c>
      <c r="D4362" t="n">
        <v>0.1755583126550868</v>
      </c>
      <c r="E4362" t="n">
        <v>27</v>
      </c>
      <c r="F4362" t="n">
        <v>0.09540636042402827</v>
      </c>
      <c r="G4362" t="n">
        <v>8971402.5</v>
      </c>
      <c r="H4362" t="n">
        <v>0.1710841396749574</v>
      </c>
      <c r="I4362" t="n">
        <v>473583.77</v>
      </c>
      <c r="J4362" t="n">
        <v>0.05278815324582747</v>
      </c>
      <c r="K4362" t="n">
        <v>1.268785400667345</v>
      </c>
      <c r="L4362" t="n">
        <v>0.2307968198968024</v>
      </c>
      <c r="M4362" t="n">
        <v>1585660.800000001</v>
      </c>
      <c r="N4362" t="n">
        <v>0.1767461442065497</v>
      </c>
      <c r="O4362" t="n">
        <v>0.1991895299354954</v>
      </c>
    </row>
    <row r="4363">
      <c r="A4363" t="inlineStr">
        <is>
          <t>S|FICO|where 2023|3</t>
        </is>
      </c>
      <c r="B4363" t="inlineStr">
        <is>
          <t>686 - 711</t>
        </is>
      </c>
      <c r="C4363" t="n">
        <v>342</v>
      </c>
      <c r="D4363" t="n">
        <v>0.2121588089330025</v>
      </c>
      <c r="E4363" t="n">
        <v>21</v>
      </c>
      <c r="F4363" t="n">
        <v>0.06140350877192982</v>
      </c>
      <c r="G4363" t="n">
        <v>11649813.65</v>
      </c>
      <c r="H4363" t="n">
        <v>0.2221612892392048</v>
      </c>
      <c r="I4363" t="n">
        <v>417203.96</v>
      </c>
      <c r="J4363" t="n">
        <v>0.03581207155189129</v>
      </c>
      <c r="K4363" t="n">
        <v>0.8607581580112497</v>
      </c>
      <c r="L4363" t="n">
        <v>0.2033206231209164</v>
      </c>
      <c r="M4363" t="n">
        <v>1877055.57</v>
      </c>
      <c r="N4363" t="n">
        <v>0.1611232270655247</v>
      </c>
      <c r="O4363" t="n">
        <v>0.235794324139881</v>
      </c>
    </row>
    <row r="4364">
      <c r="A4364" t="inlineStr">
        <is>
          <t>S|FICO|where 2023|4</t>
        </is>
      </c>
      <c r="B4364" t="inlineStr">
        <is>
          <t>712 - 745</t>
        </is>
      </c>
      <c r="C4364" t="n">
        <v>313</v>
      </c>
      <c r="D4364" t="n">
        <v>0.1941687344913151</v>
      </c>
      <c r="E4364" t="n">
        <v>14</v>
      </c>
      <c r="F4364" t="n">
        <v>0.04472843450479233</v>
      </c>
      <c r="G4364" t="n">
        <v>10150580.64</v>
      </c>
      <c r="H4364" t="n">
        <v>0.1935710002974093</v>
      </c>
      <c r="I4364" t="n">
        <v>255919.73</v>
      </c>
      <c r="J4364" t="n">
        <v>0.02531128049231554</v>
      </c>
      <c r="K4364" t="n">
        <v>0.608367241249997</v>
      </c>
      <c r="L4364" t="n">
        <v>0.1247201943445999</v>
      </c>
      <c r="M4364" t="n">
        <v>1248019.330000001</v>
      </c>
      <c r="N4364" t="n">
        <v>0.12295053596067</v>
      </c>
      <c r="O4364" t="n">
        <v>0.1567752596854963</v>
      </c>
    </row>
    <row r="4365">
      <c r="A4365" t="inlineStr">
        <is>
          <t>S|FICO|where 2023|5</t>
        </is>
      </c>
      <c r="B4365" t="inlineStr">
        <is>
          <t>746 - 921</t>
        </is>
      </c>
      <c r="C4365" t="n">
        <v>332</v>
      </c>
      <c r="D4365" t="n">
        <v>0.2059553349875931</v>
      </c>
      <c r="E4365" t="n">
        <v>13</v>
      </c>
      <c r="F4365" t="n">
        <v>0.0391566265060241</v>
      </c>
      <c r="G4365" t="n">
        <v>10477830.85</v>
      </c>
      <c r="H4365" t="n">
        <v>0.1998116433447254</v>
      </c>
      <c r="I4365" t="n">
        <v>222585.83</v>
      </c>
      <c r="J4365" t="n">
        <v>0.02124350289544901</v>
      </c>
      <c r="K4365" t="n">
        <v>0.5105965008334642</v>
      </c>
      <c r="L4365" t="n">
        <v>0.1084752159435073</v>
      </c>
      <c r="M4365" t="n">
        <v>543051.8299999997</v>
      </c>
      <c r="N4365" t="n">
        <v>0.05182865020196424</v>
      </c>
      <c r="O4365" t="n">
        <v>0.06821776684415129</v>
      </c>
    </row>
    <row r="4366">
      <c r="A4366" t="inlineStr">
        <is>
          <t>S|FICO|where 2023|6</t>
        </is>
      </c>
      <c r="B4366" t="inlineStr">
        <is>
          <t>(blank)</t>
        </is>
      </c>
      <c r="C4366" t="n">
        <v>0</v>
      </c>
      <c r="D4366" t="n">
        <v>0</v>
      </c>
      <c r="E4366" t="n">
        <v>0</v>
      </c>
      <c r="G4366" t="n">
        <v>0</v>
      </c>
      <c r="H4366" t="n">
        <v>0</v>
      </c>
      <c r="I4366" t="n">
        <v>0</v>
      </c>
      <c r="L4366" t="n">
        <v>0</v>
      </c>
      <c r="M4366" t="n">
        <v>0</v>
      </c>
      <c r="O4366" t="n">
        <v>0</v>
      </c>
    </row>
    <row r="4367">
      <c r="A4367" t="inlineStr">
        <is>
          <t>S|FICO|where 2023|7</t>
        </is>
      </c>
      <c r="B4367" t="inlineStr">
        <is>
          <t>(marked missing)</t>
        </is>
      </c>
      <c r="C4367" t="n">
        <v>21</v>
      </c>
      <c r="D4367" t="n">
        <v>0.0130272952853598</v>
      </c>
      <c r="E4367" t="n">
        <v>0</v>
      </c>
      <c r="F4367" t="n">
        <v>0</v>
      </c>
      <c r="G4367" t="n">
        <v>761248.99</v>
      </c>
      <c r="H4367" t="n">
        <v>0.01451697530375883</v>
      </c>
      <c r="I4367" t="n">
        <v>0</v>
      </c>
      <c r="J4367" t="n">
        <v>0</v>
      </c>
      <c r="K4367" t="n">
        <v>0</v>
      </c>
      <c r="L4367" t="n">
        <v>0</v>
      </c>
      <c r="M4367" t="n">
        <v>138402.35</v>
      </c>
      <c r="N4367" t="n">
        <v>0.1818095679837946</v>
      </c>
      <c r="O4367" t="n">
        <v>0.01738600023313176</v>
      </c>
    </row>
    <row r="4368">
      <c r="A4368" t="inlineStr">
        <is>
          <t>S|FICO|where 2023|8</t>
        </is>
      </c>
      <c r="B4368" t="inlineStr">
        <is>
          <t>All</t>
        </is>
      </c>
      <c r="C4368" t="n">
        <v>1612</v>
      </c>
      <c r="D4368" t="n">
        <v>1</v>
      </c>
      <c r="E4368" t="n">
        <v>113</v>
      </c>
      <c r="F4368" t="n">
        <v>0.07014276846679081</v>
      </c>
      <c r="G4368" t="n">
        <v>52438539.99</v>
      </c>
      <c r="H4368" t="n">
        <v>1</v>
      </c>
      <c r="I4368" t="n">
        <v>2051951.02</v>
      </c>
      <c r="J4368" t="n">
        <v>0.03916022588795639</v>
      </c>
      <c r="K4368" t="n">
        <v>0.9412324515709746</v>
      </c>
      <c r="L4368" t="n">
        <v>1</v>
      </c>
      <c r="M4368" t="n">
        <v>7960562.989999998</v>
      </c>
      <c r="N4368" t="n">
        <v>0.1518074872320639</v>
      </c>
      <c r="O4368" t="n">
        <v>1</v>
      </c>
    </row>
    <row r="4369">
      <c r="A4369" t="inlineStr">
        <is>
          <t>S|FICO|where 2024|1</t>
        </is>
      </c>
      <c r="B4369" t="inlineStr">
        <is>
          <t>496 - 653</t>
        </is>
      </c>
      <c r="C4369" t="n">
        <v>330</v>
      </c>
      <c r="D4369" t="n">
        <v>0.1904212348528563</v>
      </c>
      <c r="E4369" t="n">
        <v>55</v>
      </c>
      <c r="F4369" t="n">
        <v>0.1666666666666667</v>
      </c>
      <c r="G4369" t="n">
        <v>10846168.21</v>
      </c>
      <c r="H4369" t="n">
        <v>0.1903863048940771</v>
      </c>
      <c r="I4369" t="n">
        <v>934582.0199999999</v>
      </c>
      <c r="J4369" t="n">
        <v>0.08616702248249573</v>
      </c>
      <c r="K4369" t="n">
        <v>2.07106052063693</v>
      </c>
      <c r="L4369" t="n">
        <v>0.3791066593053278</v>
      </c>
      <c r="M4369" t="n">
        <v>1325162.840000001</v>
      </c>
      <c r="N4369" t="n">
        <v>0.1221779723809024</v>
      </c>
      <c r="O4369" t="n">
        <v>0.2756360664148542</v>
      </c>
    </row>
    <row r="4370">
      <c r="A4370" t="inlineStr">
        <is>
          <t>S|FICO|where 2024|2</t>
        </is>
      </c>
      <c r="B4370" t="inlineStr">
        <is>
          <t>654 - 685</t>
        </is>
      </c>
      <c r="C4370" t="n">
        <v>311</v>
      </c>
      <c r="D4370" t="n">
        <v>0.1794575879976919</v>
      </c>
      <c r="E4370" t="n">
        <v>30</v>
      </c>
      <c r="F4370" t="n">
        <v>0.09646302250803858</v>
      </c>
      <c r="G4370" t="n">
        <v>10154019.54</v>
      </c>
      <c r="H4370" t="n">
        <v>0.1782367950241163</v>
      </c>
      <c r="I4370" t="n">
        <v>525606.3599999999</v>
      </c>
      <c r="J4370" t="n">
        <v>0.05176337882052173</v>
      </c>
      <c r="K4370" t="n">
        <v>1.244154517602536</v>
      </c>
      <c r="L4370" t="n">
        <v>0.2132085434826078</v>
      </c>
      <c r="M4370" t="n">
        <v>1055555.65</v>
      </c>
      <c r="N4370" t="n">
        <v>0.1039544631406136</v>
      </c>
      <c r="O4370" t="n">
        <v>0.2195573241760797</v>
      </c>
    </row>
    <row r="4371">
      <c r="A4371" t="inlineStr">
        <is>
          <t>S|FICO|where 2024|3</t>
        </is>
      </c>
      <c r="B4371" t="inlineStr">
        <is>
          <t>686 - 711</t>
        </is>
      </c>
      <c r="C4371" t="n">
        <v>333</v>
      </c>
      <c r="D4371" t="n">
        <v>0.1921523369878823</v>
      </c>
      <c r="E4371" t="n">
        <v>22</v>
      </c>
      <c r="F4371" t="n">
        <v>0.06606606606606606</v>
      </c>
      <c r="G4371" t="n">
        <v>11304462.68</v>
      </c>
      <c r="H4371" t="n">
        <v>0.198430896219541</v>
      </c>
      <c r="I4371" t="n">
        <v>374161.5699999999</v>
      </c>
      <c r="J4371" t="n">
        <v>0.03309857182880276</v>
      </c>
      <c r="K4371" t="n">
        <v>0.795538054225146</v>
      </c>
      <c r="L4371" t="n">
        <v>0.1517760237278442</v>
      </c>
      <c r="M4371" t="n">
        <v>1151482.19</v>
      </c>
      <c r="N4371" t="n">
        <v>0.1018608511165434</v>
      </c>
      <c r="O4371" t="n">
        <v>0.2395102034391197</v>
      </c>
    </row>
    <row r="4372">
      <c r="A4372" t="inlineStr">
        <is>
          <t>S|FICO|where 2024|4</t>
        </is>
      </c>
      <c r="B4372" t="inlineStr">
        <is>
          <t>712 - 745</t>
        </is>
      </c>
      <c r="C4372" t="n">
        <v>359</v>
      </c>
      <c r="D4372" t="n">
        <v>0.2071552221581073</v>
      </c>
      <c r="E4372" t="n">
        <v>21</v>
      </c>
      <c r="F4372" t="n">
        <v>0.0584958217270195</v>
      </c>
      <c r="G4372" t="n">
        <v>11251980</v>
      </c>
      <c r="H4372" t="n">
        <v>0.1975096507324089</v>
      </c>
      <c r="I4372" t="n">
        <v>360472.1400000001</v>
      </c>
      <c r="J4372" t="n">
        <v>0.03203632960598935</v>
      </c>
      <c r="K4372" t="n">
        <v>0.7700066169346284</v>
      </c>
      <c r="L4372" t="n">
        <v>0.1462230022016072</v>
      </c>
      <c r="M4372" t="n">
        <v>753572.8300000002</v>
      </c>
      <c r="N4372" t="n">
        <v>0.06697246440182085</v>
      </c>
      <c r="O4372" t="n">
        <v>0.1567443972533289</v>
      </c>
    </row>
    <row r="4373">
      <c r="A4373" t="inlineStr">
        <is>
          <t>S|FICO|where 2024|5</t>
        </is>
      </c>
      <c r="B4373" t="inlineStr">
        <is>
          <t>746 - 921</t>
        </is>
      </c>
      <c r="C4373" t="n">
        <v>362</v>
      </c>
      <c r="D4373" t="n">
        <v>0.2088863242931333</v>
      </c>
      <c r="E4373" t="n">
        <v>16</v>
      </c>
      <c r="F4373" t="n">
        <v>0.04419889502762431</v>
      </c>
      <c r="G4373" t="n">
        <v>12185999.15</v>
      </c>
      <c r="H4373" t="n">
        <v>0.2139047915070887</v>
      </c>
      <c r="I4373" t="n">
        <v>233160.65</v>
      </c>
      <c r="J4373" t="n">
        <v>0.01913348648149216</v>
      </c>
      <c r="K4373" t="n">
        <v>0.459881371460975</v>
      </c>
      <c r="L4373" t="n">
        <v>0.09457998678699039</v>
      </c>
      <c r="M4373" t="n">
        <v>392102.9000000002</v>
      </c>
      <c r="N4373" t="n">
        <v>0.03217650807073954</v>
      </c>
      <c r="O4373" t="n">
        <v>0.08155805288492464</v>
      </c>
    </row>
    <row r="4374">
      <c r="A4374" t="inlineStr">
        <is>
          <t>S|FICO|where 2024|6</t>
        </is>
      </c>
      <c r="B4374" t="inlineStr">
        <is>
          <t>(blank)</t>
        </is>
      </c>
      <c r="C4374" t="n">
        <v>1</v>
      </c>
      <c r="D4374" t="n">
        <v>0.0005770340450086555</v>
      </c>
      <c r="E4374" t="n">
        <v>0</v>
      </c>
      <c r="F4374" t="n">
        <v>0</v>
      </c>
      <c r="G4374" t="n">
        <v>27999.47</v>
      </c>
      <c r="H4374" t="n">
        <v>0.0004914837691137526</v>
      </c>
      <c r="I4374" t="n">
        <v>0</v>
      </c>
      <c r="J4374" t="n">
        <v>0</v>
      </c>
      <c r="K4374" t="n">
        <v>0</v>
      </c>
      <c r="L4374" t="n">
        <v>0</v>
      </c>
      <c r="M4374" t="n">
        <v>3928.24</v>
      </c>
      <c r="N4374" t="n">
        <v>0.140296941334961</v>
      </c>
      <c r="O4374" t="n">
        <v>0.0008170804287973289</v>
      </c>
    </row>
    <row r="4375">
      <c r="A4375" t="inlineStr">
        <is>
          <t>S|FICO|where 2024|7</t>
        </is>
      </c>
      <c r="B4375" t="inlineStr">
        <is>
          <t>(marked missing)</t>
        </is>
      </c>
      <c r="C4375" t="n">
        <v>37</v>
      </c>
      <c r="D4375" t="n">
        <v>0.02135025966532025</v>
      </c>
      <c r="E4375" t="n">
        <v>2</v>
      </c>
      <c r="F4375" t="n">
        <v>0.05405405405405406</v>
      </c>
      <c r="G4375" t="n">
        <v>1198637.81</v>
      </c>
      <c r="H4375" t="n">
        <v>0.02104007785365416</v>
      </c>
      <c r="I4375" t="n">
        <v>37239.11</v>
      </c>
      <c r="J4375" t="n">
        <v>0.03106785860526127</v>
      </c>
      <c r="K4375" t="n">
        <v>0.7467290102911224</v>
      </c>
      <c r="L4375" t="n">
        <v>0.01510578449562258</v>
      </c>
      <c r="M4375" t="n">
        <v>125849.36</v>
      </c>
      <c r="N4375" t="n">
        <v>0.1049936510846425</v>
      </c>
      <c r="O4375" t="n">
        <v>0.02617687540289529</v>
      </c>
    </row>
    <row r="4376">
      <c r="A4376" t="inlineStr">
        <is>
          <t>S|FICO|where 2024|8</t>
        </is>
      </c>
      <c r="B4376" t="inlineStr">
        <is>
          <t>All</t>
        </is>
      </c>
      <c r="C4376" t="n">
        <v>1733</v>
      </c>
      <c r="D4376" t="n">
        <v>1</v>
      </c>
      <c r="E4376" t="n">
        <v>146</v>
      </c>
      <c r="F4376" t="n">
        <v>0.08424697057126371</v>
      </c>
      <c r="G4376" t="n">
        <v>56969266.86</v>
      </c>
      <c r="H4376" t="n">
        <v>1</v>
      </c>
      <c r="I4376" t="n">
        <v>2465221.85</v>
      </c>
      <c r="J4376" t="n">
        <v>0.043272837897988</v>
      </c>
      <c r="K4376" t="n">
        <v>1.040080805909829</v>
      </c>
      <c r="L4376" t="n">
        <v>1</v>
      </c>
      <c r="M4376" t="n">
        <v>4807654.010000003</v>
      </c>
      <c r="N4376" t="n">
        <v>0.0843903085818999</v>
      </c>
      <c r="O4376" t="n">
        <v>1</v>
      </c>
    </row>
    <row r="4377">
      <c r="A4377" t="inlineStr">
        <is>
          <t>S|FICO|where 2025|1</t>
        </is>
      </c>
      <c r="B4377" t="inlineStr">
        <is>
          <t>496 - 653</t>
        </is>
      </c>
      <c r="C4377" t="n">
        <v>334</v>
      </c>
      <c r="D4377" t="n">
        <v>0.1962397179788484</v>
      </c>
      <c r="E4377" t="n">
        <v>46</v>
      </c>
      <c r="F4377" t="n">
        <v>0.1377245508982036</v>
      </c>
      <c r="G4377" t="n">
        <v>10939671.84</v>
      </c>
      <c r="H4377" t="n">
        <v>0.2054538426235688</v>
      </c>
      <c r="I4377" t="n">
        <v>831393.8499999999</v>
      </c>
      <c r="J4377" t="n">
        <v>0.07599806119961267</v>
      </c>
      <c r="K4377" t="n">
        <v>1.826645271715651</v>
      </c>
      <c r="L4377" t="n">
        <v>0.3783654315867186</v>
      </c>
      <c r="M4377" t="n">
        <v>307623.8500000002</v>
      </c>
      <c r="N4377" t="n">
        <v>0.02812002539922623</v>
      </c>
      <c r="O4377" t="n">
        <v>0.2170952822811677</v>
      </c>
    </row>
    <row r="4378">
      <c r="A4378" t="inlineStr">
        <is>
          <t>S|FICO|where 2025|2</t>
        </is>
      </c>
      <c r="B4378" t="inlineStr">
        <is>
          <t>654 - 685</t>
        </is>
      </c>
      <c r="C4378" t="n">
        <v>339</v>
      </c>
      <c r="D4378" t="n">
        <v>0.1991774383078731</v>
      </c>
      <c r="E4378" t="n">
        <v>29</v>
      </c>
      <c r="F4378" t="n">
        <v>0.08554572271386431</v>
      </c>
      <c r="G4378" t="n">
        <v>10373533.34</v>
      </c>
      <c r="H4378" t="n">
        <v>0.1948214094040598</v>
      </c>
      <c r="I4378" t="n">
        <v>416734.49</v>
      </c>
      <c r="J4378" t="n">
        <v>0.04017285878795857</v>
      </c>
      <c r="K4378" t="n">
        <v>0.9655715079834047</v>
      </c>
      <c r="L4378" t="n">
        <v>0.1896549092417765</v>
      </c>
      <c r="M4378" t="n">
        <v>423667.35</v>
      </c>
      <c r="N4378" t="n">
        <v>0.04084118073504935</v>
      </c>
      <c r="O4378" t="n">
        <v>0.2989891159010078</v>
      </c>
    </row>
    <row r="4379">
      <c r="A4379" t="inlineStr">
        <is>
          <t>S|FICO|where 2025|3</t>
        </is>
      </c>
      <c r="B4379" t="inlineStr">
        <is>
          <t>686 - 711</t>
        </is>
      </c>
      <c r="C4379" t="n">
        <v>333</v>
      </c>
      <c r="D4379" t="n">
        <v>0.1956521739130435</v>
      </c>
      <c r="E4379" t="n">
        <v>23</v>
      </c>
      <c r="F4379" t="n">
        <v>0.06906906906906907</v>
      </c>
      <c r="G4379" t="n">
        <v>10115346.46</v>
      </c>
      <c r="H4379" t="n">
        <v>0.1899724991819969</v>
      </c>
      <c r="I4379" t="n">
        <v>405064.6800000001</v>
      </c>
      <c r="J4379" t="n">
        <v>0.04004456808294039</v>
      </c>
      <c r="K4379" t="n">
        <v>0.9624879870879042</v>
      </c>
      <c r="L4379" t="n">
        <v>0.1843440055140366</v>
      </c>
      <c r="M4379" t="n">
        <v>281756.74</v>
      </c>
      <c r="N4379" t="n">
        <v>0.02785438354624583</v>
      </c>
      <c r="O4379" t="n">
        <v>0.1988404312764486</v>
      </c>
    </row>
    <row r="4380">
      <c r="A4380" t="inlineStr">
        <is>
          <t>S|FICO|where 2025|4</t>
        </is>
      </c>
      <c r="B4380" t="inlineStr">
        <is>
          <t>712 - 745</t>
        </is>
      </c>
      <c r="C4380" t="n">
        <v>344</v>
      </c>
      <c r="D4380" t="n">
        <v>0.2021151586368978</v>
      </c>
      <c r="E4380" t="n">
        <v>18</v>
      </c>
      <c r="F4380" t="n">
        <v>0.05232558139534884</v>
      </c>
      <c r="G4380" t="n">
        <v>10961976.97</v>
      </c>
      <c r="H4380" t="n">
        <v>0.2058727468407833</v>
      </c>
      <c r="I4380" t="n">
        <v>350753.83</v>
      </c>
      <c r="J4380" t="n">
        <v>0.03199731498797335</v>
      </c>
      <c r="K4380" t="n">
        <v>0.7690688842293223</v>
      </c>
      <c r="L4380" t="n">
        <v>0.1596272624203854</v>
      </c>
      <c r="M4380" t="n">
        <v>221530.28</v>
      </c>
      <c r="N4380" t="n">
        <v>0.02020897148445659</v>
      </c>
      <c r="O4380" t="n">
        <v>0.1563376138437449</v>
      </c>
    </row>
    <row r="4381">
      <c r="A4381" t="inlineStr">
        <is>
          <t>S|FICO|where 2025|5</t>
        </is>
      </c>
      <c r="B4381" t="inlineStr">
        <is>
          <t>746 - 921</t>
        </is>
      </c>
      <c r="C4381" t="n">
        <v>324</v>
      </c>
      <c r="D4381" t="n">
        <v>0.1903642773207991</v>
      </c>
      <c r="E4381" t="n">
        <v>14</v>
      </c>
      <c r="F4381" t="n">
        <v>0.04320987654320987</v>
      </c>
      <c r="G4381" t="n">
        <v>9926802.859999999</v>
      </c>
      <c r="H4381" t="n">
        <v>0.1864315330827723</v>
      </c>
      <c r="I4381" t="n">
        <v>193383.51</v>
      </c>
      <c r="J4381" t="n">
        <v>0.01948094595282412</v>
      </c>
      <c r="K4381" t="n">
        <v>0.4682327055661217</v>
      </c>
      <c r="L4381" t="n">
        <v>0.08800839123708279</v>
      </c>
      <c r="M4381" t="n">
        <v>116015.9600000001</v>
      </c>
      <c r="N4381" t="n">
        <v>0.01168714254087645</v>
      </c>
      <c r="O4381" t="n">
        <v>0.08187439818245777</v>
      </c>
    </row>
    <row r="4382">
      <c r="A4382" t="inlineStr">
        <is>
          <t>S|FICO|where 2025|6</t>
        </is>
      </c>
      <c r="B4382" t="inlineStr">
        <is>
          <t>(blank)</t>
        </is>
      </c>
      <c r="C4382" t="n">
        <v>0</v>
      </c>
      <c r="D4382" t="n">
        <v>0</v>
      </c>
      <c r="E4382" t="n">
        <v>0</v>
      </c>
      <c r="G4382" t="n">
        <v>0</v>
      </c>
      <c r="H4382" t="n">
        <v>0</v>
      </c>
      <c r="I4382" t="n">
        <v>0</v>
      </c>
      <c r="L4382" t="n">
        <v>0</v>
      </c>
      <c r="M4382" t="n">
        <v>0</v>
      </c>
      <c r="O4382" t="n">
        <v>0</v>
      </c>
    </row>
    <row r="4383">
      <c r="A4383" t="inlineStr">
        <is>
          <t>S|FICO|where 2025|7</t>
        </is>
      </c>
      <c r="B4383" t="inlineStr">
        <is>
          <t>(marked missing)</t>
        </is>
      </c>
      <c r="C4383" t="n">
        <v>28</v>
      </c>
      <c r="D4383" t="n">
        <v>0.01645123384253819</v>
      </c>
      <c r="E4383" t="n">
        <v>0</v>
      </c>
      <c r="F4383" t="n">
        <v>0</v>
      </c>
      <c r="G4383" t="n">
        <v>929041.05</v>
      </c>
      <c r="H4383" t="n">
        <v>0.01744796886681887</v>
      </c>
      <c r="I4383" t="n">
        <v>0</v>
      </c>
      <c r="J4383" t="n">
        <v>0</v>
      </c>
      <c r="K4383" t="n">
        <v>0</v>
      </c>
      <c r="L4383" t="n">
        <v>0</v>
      </c>
      <c r="M4383" t="n">
        <v>66405.06000000001</v>
      </c>
      <c r="N4383" t="n">
        <v>0.07147699232450494</v>
      </c>
      <c r="O4383" t="n">
        <v>0.04686315851517323</v>
      </c>
    </row>
    <row r="4384">
      <c r="A4384" t="inlineStr">
        <is>
          <t>S|FICO|where 2025|8</t>
        </is>
      </c>
      <c r="B4384" t="inlineStr">
        <is>
          <t>All</t>
        </is>
      </c>
      <c r="C4384" t="n">
        <v>1702</v>
      </c>
      <c r="D4384" t="n">
        <v>1</v>
      </c>
      <c r="E4384" t="n">
        <v>130</v>
      </c>
      <c r="F4384" t="n">
        <v>0.07638072855464159</v>
      </c>
      <c r="G4384" t="n">
        <v>53246372.52</v>
      </c>
      <c r="H4384" t="n">
        <v>1</v>
      </c>
      <c r="I4384" t="n">
        <v>2197330.36</v>
      </c>
      <c r="J4384" t="n">
        <v>0.04126723109963321</v>
      </c>
      <c r="K4384" t="n">
        <v>0.991875205433876</v>
      </c>
      <c r="L4384" t="n">
        <v>1</v>
      </c>
      <c r="M4384" t="n">
        <v>1416999.24</v>
      </c>
      <c r="N4384" t="n">
        <v>0.02661212722928228</v>
      </c>
      <c r="O4384" t="n">
        <v>1</v>
      </c>
    </row>
    <row r="4385">
      <c r="A4385" t="inlineStr">
        <is>
          <t>S|FICO|where 2026|1</t>
        </is>
      </c>
      <c r="B4385" t="inlineStr">
        <is>
          <t>496 - 653</t>
        </is>
      </c>
      <c r="C4385" t="n">
        <v>68</v>
      </c>
      <c r="D4385" t="n">
        <v>0.1823056300268097</v>
      </c>
      <c r="E4385" t="n">
        <v>11</v>
      </c>
      <c r="F4385" t="n">
        <v>0.1617647058823529</v>
      </c>
      <c r="G4385" t="n">
        <v>2070598.7</v>
      </c>
      <c r="H4385" t="n">
        <v>0.1752866520987954</v>
      </c>
      <c r="I4385" t="n">
        <v>168322.6</v>
      </c>
      <c r="J4385" t="n">
        <v>0.08129175392605047</v>
      </c>
      <c r="K4385" t="n">
        <v>1.953881396375006</v>
      </c>
      <c r="L4385" t="n">
        <v>0.40647246202474</v>
      </c>
      <c r="M4385" t="n">
        <v>-77852.13</v>
      </c>
      <c r="N4385" t="n">
        <v>-0.03759885003308464</v>
      </c>
      <c r="O4385" t="n">
        <v>1.360832348643225</v>
      </c>
    </row>
    <row r="4386">
      <c r="A4386" t="inlineStr">
        <is>
          <t>S|FICO|where 2026|2</t>
        </is>
      </c>
      <c r="B4386" t="inlineStr">
        <is>
          <t>654 - 685</t>
        </is>
      </c>
      <c r="C4386" t="n">
        <v>81</v>
      </c>
      <c r="D4386" t="n">
        <v>0.2171581769436997</v>
      </c>
      <c r="E4386" t="n">
        <v>4</v>
      </c>
      <c r="F4386" t="n">
        <v>0.04938271604938271</v>
      </c>
      <c r="G4386" t="n">
        <v>2353791.45</v>
      </c>
      <c r="H4386" t="n">
        <v>0.1992603506460568</v>
      </c>
      <c r="I4386" t="n">
        <v>56559.63</v>
      </c>
      <c r="J4386" t="n">
        <v>0.02402915942276874</v>
      </c>
      <c r="K4386" t="n">
        <v>0.5775509236691663</v>
      </c>
      <c r="L4386" t="n">
        <v>0.1365825626345384</v>
      </c>
      <c r="M4386" t="n">
        <v>27937.94</v>
      </c>
      <c r="N4386" t="n">
        <v>0.0118693353228044</v>
      </c>
      <c r="O4386" t="n">
        <v>-0.4883469791571983</v>
      </c>
    </row>
    <row r="4387">
      <c r="A4387" t="inlineStr">
        <is>
          <t>S|FICO|where 2026|3</t>
        </is>
      </c>
      <c r="B4387" t="inlineStr">
        <is>
          <t>686 - 711</t>
        </is>
      </c>
      <c r="C4387" t="n">
        <v>72</v>
      </c>
      <c r="D4387" t="n">
        <v>0.193029490616622</v>
      </c>
      <c r="E4387" t="n">
        <v>3</v>
      </c>
      <c r="F4387" t="n">
        <v>0.04166666666666666</v>
      </c>
      <c r="G4387" t="n">
        <v>2419532.64</v>
      </c>
      <c r="H4387" t="n">
        <v>0.2048256748685103</v>
      </c>
      <c r="I4387" t="n">
        <v>52200.03</v>
      </c>
      <c r="J4387" t="n">
        <v>0.02157442686948004</v>
      </c>
      <c r="K4387" t="n">
        <v>0.5185503973266055</v>
      </c>
      <c r="L4387" t="n">
        <v>0.1260548180212597</v>
      </c>
      <c r="M4387" t="n">
        <v>27208.85</v>
      </c>
      <c r="N4387" t="n">
        <v>0.01124549822150777</v>
      </c>
      <c r="O4387" t="n">
        <v>-0.4756027002649923</v>
      </c>
    </row>
    <row r="4388">
      <c r="A4388" t="inlineStr">
        <is>
          <t>S|FICO|where 2026|4</t>
        </is>
      </c>
      <c r="B4388" t="inlineStr">
        <is>
          <t>712 - 745</t>
        </is>
      </c>
      <c r="C4388" t="n">
        <v>83</v>
      </c>
      <c r="D4388" t="n">
        <v>0.2225201072386059</v>
      </c>
      <c r="E4388" t="n">
        <v>4</v>
      </c>
      <c r="F4388" t="n">
        <v>0.04819277108433735</v>
      </c>
      <c r="G4388" t="n">
        <v>2704072.86</v>
      </c>
      <c r="H4388" t="n">
        <v>0.2289134435661603</v>
      </c>
      <c r="I4388" t="n">
        <v>79251.66</v>
      </c>
      <c r="J4388" t="n">
        <v>0.02930825613922251</v>
      </c>
      <c r="K4388" t="n">
        <v>0.7044362271075262</v>
      </c>
      <c r="L4388" t="n">
        <v>0.191380226777317</v>
      </c>
      <c r="M4388" t="n">
        <v>-14676.32</v>
      </c>
      <c r="N4388" t="n">
        <v>-0.005427486891015207</v>
      </c>
      <c r="O4388" t="n">
        <v>0.2565377596610335</v>
      </c>
    </row>
    <row r="4389">
      <c r="A4389" t="inlineStr">
        <is>
          <t>S|FICO|where 2026|5</t>
        </is>
      </c>
      <c r="B4389" t="inlineStr">
        <is>
          <t>746 - 921</t>
        </is>
      </c>
      <c r="C4389" t="n">
        <v>62</v>
      </c>
      <c r="D4389" t="n">
        <v>0.1662198391420912</v>
      </c>
      <c r="E4389" t="n">
        <v>3</v>
      </c>
      <c r="F4389" t="n">
        <v>0.04838709677419355</v>
      </c>
      <c r="G4389" t="n">
        <v>1965250.21</v>
      </c>
      <c r="H4389" t="n">
        <v>0.1663683696156839</v>
      </c>
      <c r="I4389" t="n">
        <v>57771.87</v>
      </c>
      <c r="J4389" t="n">
        <v>0.02939669956834657</v>
      </c>
      <c r="K4389" t="n">
        <v>0.7065620020164338</v>
      </c>
      <c r="L4389" t="n">
        <v>0.1395099305421448</v>
      </c>
      <c r="M4389" t="n">
        <v>-25879.97</v>
      </c>
      <c r="N4389" t="n">
        <v>-0.01316879136728346</v>
      </c>
      <c r="O4389" t="n">
        <v>0.4523742684743013</v>
      </c>
    </row>
    <row r="4390">
      <c r="A4390" t="inlineStr">
        <is>
          <t>S|FICO|where 2026|6</t>
        </is>
      </c>
      <c r="B4390" t="inlineStr">
        <is>
          <t>(blank)</t>
        </is>
      </c>
      <c r="C4390" t="n">
        <v>0</v>
      </c>
      <c r="D4390" t="n">
        <v>0</v>
      </c>
      <c r="E4390" t="n">
        <v>0</v>
      </c>
      <c r="G4390" t="n">
        <v>0</v>
      </c>
      <c r="H4390" t="n">
        <v>0</v>
      </c>
      <c r="I4390" t="n">
        <v>0</v>
      </c>
      <c r="L4390" t="n">
        <v>0</v>
      </c>
      <c r="M4390" t="n">
        <v>0</v>
      </c>
      <c r="O4390" t="n">
        <v>-0</v>
      </c>
    </row>
    <row r="4391">
      <c r="A4391" t="inlineStr">
        <is>
          <t>S|FICO|where 2026|7</t>
        </is>
      </c>
      <c r="B4391" t="inlineStr">
        <is>
          <t>(marked missing)</t>
        </is>
      </c>
      <c r="C4391" t="n">
        <v>7</v>
      </c>
      <c r="D4391" t="n">
        <v>0.01876675603217158</v>
      </c>
      <c r="E4391" t="n">
        <v>0</v>
      </c>
      <c r="F4391" t="n">
        <v>0</v>
      </c>
      <c r="G4391" t="n">
        <v>299397.46</v>
      </c>
      <c r="H4391" t="n">
        <v>0.02534550920479329</v>
      </c>
      <c r="I4391" t="n">
        <v>0</v>
      </c>
      <c r="J4391" t="n">
        <v>0</v>
      </c>
      <c r="K4391" t="n">
        <v>0</v>
      </c>
      <c r="L4391" t="n">
        <v>0</v>
      </c>
      <c r="M4391" t="n">
        <v>6052.429999999999</v>
      </c>
      <c r="N4391" t="n">
        <v>0.02021536856057496</v>
      </c>
      <c r="O4391" t="n">
        <v>-0.1057946973563692</v>
      </c>
    </row>
    <row r="4392">
      <c r="A4392" t="inlineStr">
        <is>
          <t>S|FICO|where 2026|8</t>
        </is>
      </c>
      <c r="B4392" t="inlineStr">
        <is>
          <t>All</t>
        </is>
      </c>
      <c r="C4392" t="n">
        <v>373</v>
      </c>
      <c r="D4392" t="n">
        <v>1</v>
      </c>
      <c r="E4392" t="n">
        <v>25</v>
      </c>
      <c r="F4392" t="n">
        <v>0.06702412868632708</v>
      </c>
      <c r="G4392" t="n">
        <v>11812643.32</v>
      </c>
      <c r="H4392" t="n">
        <v>1</v>
      </c>
      <c r="I4392" t="n">
        <v>414105.79</v>
      </c>
      <c r="J4392" t="n">
        <v>0.03505614948170636</v>
      </c>
      <c r="K4392" t="n">
        <v>0.8425892540485278</v>
      </c>
      <c r="L4392" t="n">
        <v>1</v>
      </c>
      <c r="M4392" t="n">
        <v>-57209.20000000001</v>
      </c>
      <c r="N4392" t="n">
        <v>-0.004843048118039681</v>
      </c>
      <c r="O4392" t="n">
        <v>1</v>
      </c>
    </row>
    <row r="4393">
      <c r="A4393" t="inlineStr">
        <is>
          <t>S|REV_DEBT|1</t>
        </is>
      </c>
      <c r="B4393" t="inlineStr">
        <is>
          <t>0 - 6,558</t>
        </is>
      </c>
      <c r="C4393" t="n">
        <v>1601</v>
      </c>
      <c r="D4393" t="n">
        <v>0.200125</v>
      </c>
      <c r="E4393" t="n">
        <v>65</v>
      </c>
      <c r="F4393" t="n">
        <v>0.04059962523422861</v>
      </c>
      <c r="G4393" t="n">
        <v>52407205.85</v>
      </c>
      <c r="H4393" t="n">
        <v>0.20307483017086</v>
      </c>
      <c r="I4393" t="n">
        <v>1025124.7</v>
      </c>
      <c r="J4393" t="n">
        <v>0.01956075855167922</v>
      </c>
      <c r="K4393" t="n">
        <v>0.4701510348500633</v>
      </c>
      <c r="L4393" t="n">
        <v>0.09549052559564662</v>
      </c>
      <c r="M4393" t="n">
        <v>5577570.620000001</v>
      </c>
      <c r="N4393" t="n">
        <v>0.1064275518897942</v>
      </c>
      <c r="O4393" t="n">
        <v>0.1688627911695881</v>
      </c>
    </row>
    <row r="4394">
      <c r="A4394" t="inlineStr">
        <is>
          <t>S|REV_DEBT|2</t>
        </is>
      </c>
      <c r="B4394" t="inlineStr">
        <is>
          <t>6,559 - 9,836</t>
        </is>
      </c>
      <c r="C4394" t="n">
        <v>1600</v>
      </c>
      <c r="D4394" t="n">
        <v>0.2</v>
      </c>
      <c r="E4394" t="n">
        <v>63</v>
      </c>
      <c r="F4394" t="n">
        <v>0.039375</v>
      </c>
      <c r="G4394" t="n">
        <v>51470583.09</v>
      </c>
      <c r="H4394" t="n">
        <v>0.1994454722450518</v>
      </c>
      <c r="I4394" t="n">
        <v>1134456.91</v>
      </c>
      <c r="J4394" t="n">
        <v>0.0220578862037718</v>
      </c>
      <c r="K4394" t="n">
        <v>0.5301705451713157</v>
      </c>
      <c r="L4394" t="n">
        <v>0.1056748379992338</v>
      </c>
      <c r="M4394" t="n">
        <v>6041978.339999999</v>
      </c>
      <c r="N4394" t="n">
        <v>0.1173870194832486</v>
      </c>
      <c r="O4394" t="n">
        <v>0.182922888151364</v>
      </c>
    </row>
    <row r="4395">
      <c r="A4395" t="inlineStr">
        <is>
          <t>S|REV_DEBT|3</t>
        </is>
      </c>
      <c r="B4395" t="inlineStr">
        <is>
          <t>9,837 - 13,051</t>
        </is>
      </c>
      <c r="C4395" t="n">
        <v>1599</v>
      </c>
      <c r="D4395" t="n">
        <v>0.199875</v>
      </c>
      <c r="E4395" t="n">
        <v>99</v>
      </c>
      <c r="F4395" t="n">
        <v>0.06195244055068836</v>
      </c>
      <c r="G4395" t="n">
        <v>52110219.03</v>
      </c>
      <c r="H4395" t="n">
        <v>0.2019240237682614</v>
      </c>
      <c r="I4395" t="n">
        <v>1682414.119999999</v>
      </c>
      <c r="J4395" t="n">
        <v>0.03228568505980425</v>
      </c>
      <c r="K4395" t="n">
        <v>0.775999979837547</v>
      </c>
      <c r="L4395" t="n">
        <v>0.1567171375232078</v>
      </c>
      <c r="M4395" t="n">
        <v>6847531.619999993</v>
      </c>
      <c r="N4395" t="n">
        <v>0.1314047752525823</v>
      </c>
      <c r="O4395" t="n">
        <v>0.2073112795432807</v>
      </c>
    </row>
    <row r="4396">
      <c r="A4396" t="inlineStr">
        <is>
          <t>S|REV_DEBT|4</t>
        </is>
      </c>
      <c r="B4396" t="inlineStr">
        <is>
          <t>13,052 - 17,186</t>
        </is>
      </c>
      <c r="C4396" t="n">
        <v>1600</v>
      </c>
      <c r="D4396" t="n">
        <v>0.2</v>
      </c>
      <c r="E4396" t="n">
        <v>149</v>
      </c>
      <c r="F4396" t="n">
        <v>0.093125</v>
      </c>
      <c r="G4396" t="n">
        <v>51298005.35</v>
      </c>
      <c r="H4396" t="n">
        <v>0.1987767436861952</v>
      </c>
      <c r="I4396" t="n">
        <v>2648363.899999999</v>
      </c>
      <c r="J4396" t="n">
        <v>0.05162703465623148</v>
      </c>
      <c r="K4396" t="n">
        <v>1.240877428436108</v>
      </c>
      <c r="L4396" t="n">
        <v>0.2466955100970022</v>
      </c>
      <c r="M4396" t="n">
        <v>7138502.38</v>
      </c>
      <c r="N4396" t="n">
        <v>0.1391575039086777</v>
      </c>
      <c r="O4396" t="n">
        <v>0.216120515325281</v>
      </c>
    </row>
    <row r="4397">
      <c r="A4397" t="inlineStr">
        <is>
          <t>S|REV_DEBT|5</t>
        </is>
      </c>
      <c r="B4397" t="inlineStr">
        <is>
          <t>17,187 - 48,521</t>
        </is>
      </c>
      <c r="C4397" t="n">
        <v>1600</v>
      </c>
      <c r="D4397" t="n">
        <v>0.2</v>
      </c>
      <c r="E4397" t="n">
        <v>243</v>
      </c>
      <c r="F4397" t="n">
        <v>0.151875</v>
      </c>
      <c r="G4397" t="n">
        <v>50782432.71</v>
      </c>
      <c r="H4397" t="n">
        <v>0.1967789301296317</v>
      </c>
      <c r="I4397" t="n">
        <v>4244995.460000002</v>
      </c>
      <c r="J4397" t="n">
        <v>0.08359180987333992</v>
      </c>
      <c r="K4397" t="n">
        <v>2.009164205626713</v>
      </c>
      <c r="L4397" t="n">
        <v>0.3954219887849096</v>
      </c>
      <c r="M4397" t="n">
        <v>7424610.25999999</v>
      </c>
      <c r="N4397" t="n">
        <v>0.1462043045948435</v>
      </c>
      <c r="O4397" t="n">
        <v>0.2247825258104861</v>
      </c>
    </row>
    <row r="4398">
      <c r="A4398" t="inlineStr">
        <is>
          <t>S|REV_DEBT|6</t>
        </is>
      </c>
      <c r="B4398" t="inlineStr">
        <is>
          <t>All</t>
        </is>
      </c>
      <c r="C4398" t="n">
        <v>8000</v>
      </c>
      <c r="D4398" t="n">
        <v>1</v>
      </c>
      <c r="E4398" t="n">
        <v>619</v>
      </c>
      <c r="F4398" t="n">
        <v>0.07738467308413552</v>
      </c>
      <c r="G4398" t="n">
        <v>258068446.03</v>
      </c>
      <c r="H4398" t="n">
        <v>1</v>
      </c>
      <c r="I4398" t="n">
        <v>10735355.09</v>
      </c>
      <c r="J4398" t="n">
        <v>0.0416052653333356</v>
      </c>
      <c r="K4398" t="n">
        <v>0.999999999999999</v>
      </c>
      <c r="L4398" t="n">
        <v>1</v>
      </c>
      <c r="M4398" t="n">
        <v>33030193.21999998</v>
      </c>
      <c r="N4398" t="n">
        <v>0.1279900496481475</v>
      </c>
      <c r="O4398" t="n">
        <v>1</v>
      </c>
    </row>
    <row r="4399">
      <c r="A4399" t="inlineStr">
        <is>
          <t>S|REV_DEBT|where 2021|1</t>
        </is>
      </c>
      <c r="B4399" t="inlineStr">
        <is>
          <t>0 - 6,558</t>
        </is>
      </c>
      <c r="C4399" t="n">
        <v>174</v>
      </c>
      <c r="D4399" t="n">
        <v>0.2073897497020262</v>
      </c>
      <c r="E4399" t="n">
        <v>7</v>
      </c>
      <c r="F4399" t="n">
        <v>0.04022988505747126</v>
      </c>
      <c r="G4399" t="n">
        <v>5852801.28</v>
      </c>
      <c r="H4399" t="n">
        <v>0.2138587286525513</v>
      </c>
      <c r="I4399" t="n">
        <v>83867.27</v>
      </c>
      <c r="J4399" t="n">
        <v>0.01432942380712438</v>
      </c>
      <c r="K4399" t="n">
        <v>0.344413710435903</v>
      </c>
      <c r="L4399" t="n">
        <v>0.07960144904220499</v>
      </c>
      <c r="M4399" t="n">
        <v>1288383.01</v>
      </c>
      <c r="N4399" t="n">
        <v>0.2201310019533075</v>
      </c>
      <c r="O4399" t="n">
        <v>0.1828186202595828</v>
      </c>
    </row>
    <row r="4400">
      <c r="A4400" t="inlineStr">
        <is>
          <t>S|REV_DEBT|where 2021|2</t>
        </is>
      </c>
      <c r="B4400" t="inlineStr">
        <is>
          <t>6,559 - 9,836</t>
        </is>
      </c>
      <c r="C4400" t="n">
        <v>173</v>
      </c>
      <c r="D4400" t="n">
        <v>0.2061978545887962</v>
      </c>
      <c r="E4400" t="n">
        <v>10</v>
      </c>
      <c r="F4400" t="n">
        <v>0.05780346820809248</v>
      </c>
      <c r="G4400" t="n">
        <v>5563221.88</v>
      </c>
      <c r="H4400" t="n">
        <v>0.2032776275070895</v>
      </c>
      <c r="I4400" t="n">
        <v>180958.72</v>
      </c>
      <c r="J4400" t="n">
        <v>0.03252768340061245</v>
      </c>
      <c r="K4400" t="n">
        <v>0.7818165114440476</v>
      </c>
      <c r="L4400" t="n">
        <v>0.1717544440020838</v>
      </c>
      <c r="M4400" t="n">
        <v>1229193.33</v>
      </c>
      <c r="N4400" t="n">
        <v>0.220949902145553</v>
      </c>
      <c r="O4400" t="n">
        <v>0.1744197392224863</v>
      </c>
    </row>
    <row r="4401">
      <c r="A4401" t="inlineStr">
        <is>
          <t>S|REV_DEBT|where 2021|3</t>
        </is>
      </c>
      <c r="B4401" t="inlineStr">
        <is>
          <t>9,837 - 13,051</t>
        </is>
      </c>
      <c r="C4401" t="n">
        <v>179</v>
      </c>
      <c r="D4401" t="n">
        <v>0.2133492252681764</v>
      </c>
      <c r="E4401" t="n">
        <v>6</v>
      </c>
      <c r="F4401" t="n">
        <v>0.0335195530726257</v>
      </c>
      <c r="G4401" t="n">
        <v>6039931.37</v>
      </c>
      <c r="H4401" t="n">
        <v>0.2206963780490532</v>
      </c>
      <c r="I4401" t="n">
        <v>87943.58</v>
      </c>
      <c r="J4401" t="n">
        <v>0.01456036080754341</v>
      </c>
      <c r="K4401" t="n">
        <v>0.3499643780874322</v>
      </c>
      <c r="L4401" t="n">
        <v>0.08347042179814697</v>
      </c>
      <c r="M4401" t="n">
        <v>1594034.55</v>
      </c>
      <c r="N4401" t="n">
        <v>0.2639160037343271</v>
      </c>
      <c r="O4401" t="n">
        <v>0.22618987895308</v>
      </c>
    </row>
    <row r="4402">
      <c r="A4402" t="inlineStr">
        <is>
          <t>S|REV_DEBT|where 2021|4</t>
        </is>
      </c>
      <c r="B4402" t="inlineStr">
        <is>
          <t>13,052 - 17,186</t>
        </is>
      </c>
      <c r="C4402" t="n">
        <v>163</v>
      </c>
      <c r="D4402" t="n">
        <v>0.1942789034564958</v>
      </c>
      <c r="E4402" t="n">
        <v>11</v>
      </c>
      <c r="F4402" t="n">
        <v>0.06748466257668712</v>
      </c>
      <c r="G4402" t="n">
        <v>5222292.68</v>
      </c>
      <c r="H4402" t="n">
        <v>0.190820227745085</v>
      </c>
      <c r="I4402" t="n">
        <v>192576.93</v>
      </c>
      <c r="J4402" t="n">
        <v>0.03687593587726683</v>
      </c>
      <c r="K4402" t="n">
        <v>0.8863285832170982</v>
      </c>
      <c r="L4402" t="n">
        <v>0.1827817059038559</v>
      </c>
      <c r="M4402" t="n">
        <v>1575243.97</v>
      </c>
      <c r="N4402" t="n">
        <v>0.301638392660903</v>
      </c>
      <c r="O4402" t="n">
        <v>0.2235235383673893</v>
      </c>
    </row>
    <row r="4403">
      <c r="A4403" t="inlineStr">
        <is>
          <t>S|REV_DEBT|where 2021|5</t>
        </is>
      </c>
      <c r="B4403" t="inlineStr">
        <is>
          <t>17,187 - 48,521</t>
        </is>
      </c>
      <c r="C4403" t="n">
        <v>150</v>
      </c>
      <c r="D4403" t="n">
        <v>0.1787842669845054</v>
      </c>
      <c r="E4403" t="n">
        <v>26</v>
      </c>
      <c r="F4403" t="n">
        <v>0.1733333333333333</v>
      </c>
      <c r="G4403" t="n">
        <v>4689358.11</v>
      </c>
      <c r="H4403" t="n">
        <v>0.171347038046221</v>
      </c>
      <c r="I4403" t="n">
        <v>508243.24</v>
      </c>
      <c r="J4403" t="n">
        <v>0.1083822621514398</v>
      </c>
      <c r="K4403" t="n">
        <v>2.605013122331898</v>
      </c>
      <c r="L4403" t="n">
        <v>0.4823919792537084</v>
      </c>
      <c r="M4403" t="n">
        <v>1360474.389999999</v>
      </c>
      <c r="N4403" t="n">
        <v>0.290119534078407</v>
      </c>
      <c r="O4403" t="n">
        <v>0.1930482231974616</v>
      </c>
    </row>
    <row r="4404">
      <c r="A4404" t="inlineStr">
        <is>
          <t>S|REV_DEBT|where 2021|6</t>
        </is>
      </c>
      <c r="B4404" t="inlineStr">
        <is>
          <t>All</t>
        </is>
      </c>
      <c r="C4404" t="n">
        <v>839</v>
      </c>
      <c r="D4404" t="n">
        <v>1</v>
      </c>
      <c r="E4404" t="n">
        <v>60</v>
      </c>
      <c r="F4404" t="n">
        <v>0.07151370679380215</v>
      </c>
      <c r="G4404" t="n">
        <v>27367605.32</v>
      </c>
      <c r="H4404" t="n">
        <v>1</v>
      </c>
      <c r="I4404" t="n">
        <v>1053589.74</v>
      </c>
      <c r="J4404" t="n">
        <v>0.03849769563981713</v>
      </c>
      <c r="K4404" t="n">
        <v>0.925308259216205</v>
      </c>
      <c r="L4404" t="n">
        <v>1</v>
      </c>
      <c r="M4404" t="n">
        <v>7047329.249999998</v>
      </c>
      <c r="N4404" t="n">
        <v>0.2575062438820642</v>
      </c>
      <c r="O4404" t="n">
        <v>1</v>
      </c>
    </row>
    <row r="4405">
      <c r="A4405" t="inlineStr">
        <is>
          <t>S|REV_DEBT|where 2022|1</t>
        </is>
      </c>
      <c r="B4405" t="inlineStr">
        <is>
          <t>0 - 6,558</t>
        </is>
      </c>
      <c r="C4405" t="n">
        <v>334</v>
      </c>
      <c r="D4405" t="n">
        <v>0.1918437679494543</v>
      </c>
      <c r="E4405" t="n">
        <v>11</v>
      </c>
      <c r="F4405" t="n">
        <v>0.03293413173652695</v>
      </c>
      <c r="G4405" t="n">
        <v>10674673.02</v>
      </c>
      <c r="H4405" t="n">
        <v>0.1898258989105755</v>
      </c>
      <c r="I4405" t="n">
        <v>129664.32</v>
      </c>
      <c r="J4405" t="n">
        <v>0.01214691258055977</v>
      </c>
      <c r="K4405" t="n">
        <v>0.2919561378407367</v>
      </c>
      <c r="L4405" t="n">
        <v>0.05078589135981344</v>
      </c>
      <c r="M4405" t="n">
        <v>1870700.429999999</v>
      </c>
      <c r="N4405" t="n">
        <v>0.1752466259617569</v>
      </c>
      <c r="O4405" t="n">
        <v>0.1578003379581907</v>
      </c>
    </row>
    <row r="4406">
      <c r="A4406" t="inlineStr">
        <is>
          <t>S|REV_DEBT|where 2022|2</t>
        </is>
      </c>
      <c r="B4406" t="inlineStr">
        <is>
          <t>6,559 - 9,836</t>
        </is>
      </c>
      <c r="C4406" t="n">
        <v>324</v>
      </c>
      <c r="D4406" t="n">
        <v>0.1860999425617461</v>
      </c>
      <c r="E4406" t="n">
        <v>10</v>
      </c>
      <c r="F4406" t="n">
        <v>0.0308641975308642</v>
      </c>
      <c r="G4406" t="n">
        <v>10491098.24</v>
      </c>
      <c r="H4406" t="n">
        <v>0.1865614197489635</v>
      </c>
      <c r="I4406" t="n">
        <v>220171.49</v>
      </c>
      <c r="J4406" t="n">
        <v>0.02098650541280224</v>
      </c>
      <c r="K4406" t="n">
        <v>0.5044194585627866</v>
      </c>
      <c r="L4406" t="n">
        <v>0.08623502110425021</v>
      </c>
      <c r="M4406" t="n">
        <v>1929298.06</v>
      </c>
      <c r="N4406" t="n">
        <v>0.18389857914437</v>
      </c>
      <c r="O4406" t="n">
        <v>0.1627432596944888</v>
      </c>
    </row>
    <row r="4407">
      <c r="A4407" t="inlineStr">
        <is>
          <t>S|REV_DEBT|where 2022|3</t>
        </is>
      </c>
      <c r="B4407" t="inlineStr">
        <is>
          <t>9,837 - 13,051</t>
        </is>
      </c>
      <c r="C4407" t="n">
        <v>364</v>
      </c>
      <c r="D4407" t="n">
        <v>0.209075244112579</v>
      </c>
      <c r="E4407" t="n">
        <v>28</v>
      </c>
      <c r="F4407" t="n">
        <v>0.07692307692307693</v>
      </c>
      <c r="G4407" t="n">
        <v>11727554.41</v>
      </c>
      <c r="H4407" t="n">
        <v>0.2085491100036461</v>
      </c>
      <c r="I4407" t="n">
        <v>520029.8599999999</v>
      </c>
      <c r="J4407" t="n">
        <v>0.04434256638848545</v>
      </c>
      <c r="K4407" t="n">
        <v>1.065792178783597</v>
      </c>
      <c r="L4407" t="n">
        <v>0.2036811666757593</v>
      </c>
      <c r="M4407" t="n">
        <v>2320238.860000001</v>
      </c>
      <c r="N4407" t="n">
        <v>0.197845073140019</v>
      </c>
      <c r="O4407" t="n">
        <v>0.195720528193671</v>
      </c>
    </row>
    <row r="4408">
      <c r="A4408" t="inlineStr">
        <is>
          <t>S|REV_DEBT|where 2022|4</t>
        </is>
      </c>
      <c r="B4408" t="inlineStr">
        <is>
          <t>13,052 - 17,186</t>
        </is>
      </c>
      <c r="C4408" t="n">
        <v>359</v>
      </c>
      <c r="D4408" t="n">
        <v>0.2062033314187249</v>
      </c>
      <c r="E4408" t="n">
        <v>38</v>
      </c>
      <c r="F4408" t="n">
        <v>0.1058495821727019</v>
      </c>
      <c r="G4408" t="n">
        <v>11461304.83</v>
      </c>
      <c r="H4408" t="n">
        <v>0.2038144389028668</v>
      </c>
      <c r="I4408" t="n">
        <v>653171.47</v>
      </c>
      <c r="J4408" t="n">
        <v>0.05698927649933207</v>
      </c>
      <c r="K4408" t="n">
        <v>1.369761159861423</v>
      </c>
      <c r="L4408" t="n">
        <v>0.2558290153740801</v>
      </c>
      <c r="M4408" t="n">
        <v>2691896.899999997</v>
      </c>
      <c r="N4408" t="n">
        <v>0.2348682754649322</v>
      </c>
      <c r="O4408" t="n">
        <v>0.2270712262404332</v>
      </c>
    </row>
    <row r="4409">
      <c r="A4409" t="inlineStr">
        <is>
          <t>S|REV_DEBT|where 2022|5</t>
        </is>
      </c>
      <c r="B4409" t="inlineStr">
        <is>
          <t>17,187 - 48,521</t>
        </is>
      </c>
      <c r="C4409" t="n">
        <v>360</v>
      </c>
      <c r="D4409" t="n">
        <v>0.2067777139574957</v>
      </c>
      <c r="E4409" t="n">
        <v>58</v>
      </c>
      <c r="F4409" t="n">
        <v>0.1611111111111111</v>
      </c>
      <c r="G4409" t="n">
        <v>11879387.52</v>
      </c>
      <c r="H4409" t="n">
        <v>0.211249132433948</v>
      </c>
      <c r="I4409" t="n">
        <v>1030119.19</v>
      </c>
      <c r="J4409" t="n">
        <v>0.08671484016037898</v>
      </c>
      <c r="K4409" t="n">
        <v>2.084227548259376</v>
      </c>
      <c r="L4409" t="n">
        <v>0.4034689054860969</v>
      </c>
      <c r="M4409" t="n">
        <v>3042722.680000001</v>
      </c>
      <c r="N4409" t="n">
        <v>0.2561346428742484</v>
      </c>
      <c r="O4409" t="n">
        <v>0.2566646479132162</v>
      </c>
    </row>
    <row r="4410">
      <c r="A4410" t="inlineStr">
        <is>
          <t>S|REV_DEBT|where 2022|6</t>
        </is>
      </c>
      <c r="B4410" t="inlineStr">
        <is>
          <t>All</t>
        </is>
      </c>
      <c r="C4410" t="n">
        <v>1741</v>
      </c>
      <c r="D4410" t="n">
        <v>1</v>
      </c>
      <c r="E4410" t="n">
        <v>145</v>
      </c>
      <c r="F4410" t="n">
        <v>0.0832854681217691</v>
      </c>
      <c r="G4410" t="n">
        <v>56234018.02</v>
      </c>
      <c r="H4410" t="n">
        <v>1</v>
      </c>
      <c r="I4410" t="n">
        <v>2553156.33</v>
      </c>
      <c r="J4410" t="n">
        <v>0.04540234576679108</v>
      </c>
      <c r="K4410" t="n">
        <v>1.091264420573544</v>
      </c>
      <c r="L4410" t="n">
        <v>1</v>
      </c>
      <c r="M4410" t="n">
        <v>11854856.93</v>
      </c>
      <c r="N4410" t="n">
        <v>0.2108129091146171</v>
      </c>
      <c r="O4410" t="n">
        <v>1</v>
      </c>
    </row>
    <row r="4411">
      <c r="A4411" t="inlineStr">
        <is>
          <t>S|REV_DEBT|where 2023|1</t>
        </is>
      </c>
      <c r="B4411" t="inlineStr">
        <is>
          <t>0 - 6,558</t>
        </is>
      </c>
      <c r="C4411" t="n">
        <v>311</v>
      </c>
      <c r="D4411" t="n">
        <v>0.1929280397022332</v>
      </c>
      <c r="E4411" t="n">
        <v>11</v>
      </c>
      <c r="F4411" t="n">
        <v>0.03536977491961415</v>
      </c>
      <c r="G4411" t="n">
        <v>10099918.05</v>
      </c>
      <c r="H4411" t="n">
        <v>0.1926048675635525</v>
      </c>
      <c r="I4411" t="n">
        <v>190339.26</v>
      </c>
      <c r="J4411" t="n">
        <v>0.01884562419791119</v>
      </c>
      <c r="K4411" t="n">
        <v>0.4529624807562851</v>
      </c>
      <c r="L4411" t="n">
        <v>0.09276013810505088</v>
      </c>
      <c r="M4411" t="n">
        <v>1237767.75</v>
      </c>
      <c r="N4411" t="n">
        <v>0.1225522567482614</v>
      </c>
      <c r="O4411" t="n">
        <v>0.1554874638332583</v>
      </c>
    </row>
    <row r="4412">
      <c r="A4412" t="inlineStr">
        <is>
          <t>S|REV_DEBT|where 2023|2</t>
        </is>
      </c>
      <c r="B4412" t="inlineStr">
        <is>
          <t>6,559 - 9,836</t>
        </is>
      </c>
      <c r="C4412" t="n">
        <v>343</v>
      </c>
      <c r="D4412" t="n">
        <v>0.2127791563275434</v>
      </c>
      <c r="E4412" t="n">
        <v>12</v>
      </c>
      <c r="F4412" t="n">
        <v>0.03498542274052478</v>
      </c>
      <c r="G4412" t="n">
        <v>10929560.7</v>
      </c>
      <c r="H4412" t="n">
        <v>0.2084261061060102</v>
      </c>
      <c r="I4412" t="n">
        <v>242682.04</v>
      </c>
      <c r="J4412" t="n">
        <v>0.02228510535684902</v>
      </c>
      <c r="K4412" t="n">
        <v>0.5356318528028563</v>
      </c>
      <c r="L4412" t="n">
        <v>0.1182689243722786</v>
      </c>
      <c r="M4412" t="n">
        <v>1523507.56</v>
      </c>
      <c r="N4412" t="n">
        <v>0.1393933024224844</v>
      </c>
      <c r="O4412" t="n">
        <v>0.1913818861698373</v>
      </c>
    </row>
    <row r="4413">
      <c r="A4413" t="inlineStr">
        <is>
          <t>S|REV_DEBT|where 2023|3</t>
        </is>
      </c>
      <c r="B4413" t="inlineStr">
        <is>
          <t>9,837 - 13,051</t>
        </is>
      </c>
      <c r="C4413" t="n">
        <v>326</v>
      </c>
      <c r="D4413" t="n">
        <v>0.2022332506203474</v>
      </c>
      <c r="E4413" t="n">
        <v>24</v>
      </c>
      <c r="F4413" t="n">
        <v>0.07384615384615385</v>
      </c>
      <c r="G4413" t="n">
        <v>10538729.31</v>
      </c>
      <c r="H4413" t="n">
        <v>0.2009729735421644</v>
      </c>
      <c r="I4413" t="n">
        <v>396651.34</v>
      </c>
      <c r="J4413" t="n">
        <v>0.03763749199095805</v>
      </c>
      <c r="K4413" t="n">
        <v>0.9046329037782036</v>
      </c>
      <c r="L4413" t="n">
        <v>0.1933044873556485</v>
      </c>
      <c r="M4413" t="n">
        <v>1503427.480000001</v>
      </c>
      <c r="N4413" t="n">
        <v>0.1426573769736573</v>
      </c>
      <c r="O4413" t="n">
        <v>0.1888594414601825</v>
      </c>
    </row>
    <row r="4414">
      <c r="A4414" t="inlineStr">
        <is>
          <t>S|REV_DEBT|where 2023|4</t>
        </is>
      </c>
      <c r="B4414" t="inlineStr">
        <is>
          <t>13,052 - 17,186</t>
        </is>
      </c>
      <c r="C4414" t="n">
        <v>309</v>
      </c>
      <c r="D4414" t="n">
        <v>0.1916873449131514</v>
      </c>
      <c r="E4414" t="n">
        <v>29</v>
      </c>
      <c r="F4414" t="n">
        <v>0.09385113268608414</v>
      </c>
      <c r="G4414" t="n">
        <v>10310626.37</v>
      </c>
      <c r="H4414" t="n">
        <v>0.1966230633416992</v>
      </c>
      <c r="I4414" t="n">
        <v>571801.33</v>
      </c>
      <c r="J4414" t="n">
        <v>0.05545747750725641</v>
      </c>
      <c r="K4414" t="n">
        <v>1.332943728706902</v>
      </c>
      <c r="L4414" t="n">
        <v>0.2786622704083843</v>
      </c>
      <c r="M4414" t="n">
        <v>1602877.760000001</v>
      </c>
      <c r="N4414" t="n">
        <v>0.1554588152533357</v>
      </c>
      <c r="O4414" t="n">
        <v>0.2013523116409635</v>
      </c>
    </row>
    <row r="4415">
      <c r="A4415" t="inlineStr">
        <is>
          <t>S|REV_DEBT|where 2023|5</t>
        </is>
      </c>
      <c r="B4415" t="inlineStr">
        <is>
          <t>17,187 - 48,521</t>
        </is>
      </c>
      <c r="C4415" t="n">
        <v>323</v>
      </c>
      <c r="D4415" t="n">
        <v>0.2003722084367246</v>
      </c>
      <c r="E4415" t="n">
        <v>37</v>
      </c>
      <c r="F4415" t="n">
        <v>0.1145510835913313</v>
      </c>
      <c r="G4415" t="n">
        <v>10559705.56</v>
      </c>
      <c r="H4415" t="n">
        <v>0.2013729894465736</v>
      </c>
      <c r="I4415" t="n">
        <v>650477.05</v>
      </c>
      <c r="J4415" t="n">
        <v>0.06159992305694554</v>
      </c>
      <c r="K4415" t="n">
        <v>1.480579983408721</v>
      </c>
      <c r="L4415" t="n">
        <v>0.3170041797586377</v>
      </c>
      <c r="M4415" t="n">
        <v>2092982.440000001</v>
      </c>
      <c r="N4415" t="n">
        <v>0.1982046211523346</v>
      </c>
      <c r="O4415" t="n">
        <v>0.2629188968957584</v>
      </c>
    </row>
    <row r="4416">
      <c r="A4416" t="inlineStr">
        <is>
          <t>S|REV_DEBT|where 2023|6</t>
        </is>
      </c>
      <c r="B4416" t="inlineStr">
        <is>
          <t>All</t>
        </is>
      </c>
      <c r="C4416" t="n">
        <v>1612</v>
      </c>
      <c r="D4416" t="n">
        <v>1</v>
      </c>
      <c r="E4416" t="n">
        <v>113</v>
      </c>
      <c r="F4416" t="n">
        <v>0.07014276846679081</v>
      </c>
      <c r="G4416" t="n">
        <v>52438539.99</v>
      </c>
      <c r="H4416" t="n">
        <v>1</v>
      </c>
      <c r="I4416" t="n">
        <v>2051951.02</v>
      </c>
      <c r="J4416" t="n">
        <v>0.03916022588795639</v>
      </c>
      <c r="K4416" t="n">
        <v>0.9412324515709746</v>
      </c>
      <c r="L4416" t="n">
        <v>1</v>
      </c>
      <c r="M4416" t="n">
        <v>7960562.990000004</v>
      </c>
      <c r="N4416" t="n">
        <v>0.151807487232064</v>
      </c>
      <c r="O4416" t="n">
        <v>1</v>
      </c>
    </row>
    <row r="4417">
      <c r="A4417" t="inlineStr">
        <is>
          <t>S|REV_DEBT|where 2024|1</t>
        </is>
      </c>
      <c r="B4417" t="inlineStr">
        <is>
          <t>0 - 6,558</t>
        </is>
      </c>
      <c r="C4417" t="n">
        <v>364</v>
      </c>
      <c r="D4417" t="n">
        <v>0.2100403923831506</v>
      </c>
      <c r="E4417" t="n">
        <v>19</v>
      </c>
      <c r="F4417" t="n">
        <v>0.0521978021978022</v>
      </c>
      <c r="G4417" t="n">
        <v>12450737.59</v>
      </c>
      <c r="H4417" t="n">
        <v>0.2185518311232134</v>
      </c>
      <c r="I4417" t="n">
        <v>348681.5800000001</v>
      </c>
      <c r="J4417" t="n">
        <v>0.02800489348358358</v>
      </c>
      <c r="K4417" t="n">
        <v>0.6731093590970333</v>
      </c>
      <c r="L4417" t="n">
        <v>0.1414402440088709</v>
      </c>
      <c r="M4417" t="n">
        <v>834105.5299999998</v>
      </c>
      <c r="N4417" t="n">
        <v>0.06699245919935895</v>
      </c>
      <c r="O4417" t="n">
        <v>0.1734953322899373</v>
      </c>
    </row>
    <row r="4418">
      <c r="A4418" t="inlineStr">
        <is>
          <t>S|REV_DEBT|where 2024|2</t>
        </is>
      </c>
      <c r="B4418" t="inlineStr">
        <is>
          <t>6,559 - 9,836</t>
        </is>
      </c>
      <c r="C4418" t="n">
        <v>340</v>
      </c>
      <c r="D4418" t="n">
        <v>0.1961915753029429</v>
      </c>
      <c r="E4418" t="n">
        <v>12</v>
      </c>
      <c r="F4418" t="n">
        <v>0.03529411764705882</v>
      </c>
      <c r="G4418" t="n">
        <v>11242100.44</v>
      </c>
      <c r="H4418" t="n">
        <v>0.197336231614619</v>
      </c>
      <c r="I4418" t="n">
        <v>160343.49</v>
      </c>
      <c r="J4418" t="n">
        <v>0.01426276974269766</v>
      </c>
      <c r="K4418" t="n">
        <v>0.3428116520451513</v>
      </c>
      <c r="L4418" t="n">
        <v>0.06504221516615229</v>
      </c>
      <c r="M4418" t="n">
        <v>988129.1000000003</v>
      </c>
      <c r="N4418" t="n">
        <v>0.08789541645475643</v>
      </c>
      <c r="O4418" t="n">
        <v>0.2055324900553732</v>
      </c>
    </row>
    <row r="4419">
      <c r="A4419" t="inlineStr">
        <is>
          <t>S|REV_DEBT|where 2024|3</t>
        </is>
      </c>
      <c r="B4419" t="inlineStr">
        <is>
          <t>9,837 - 13,051</t>
        </is>
      </c>
      <c r="C4419" t="n">
        <v>333</v>
      </c>
      <c r="D4419" t="n">
        <v>0.1921523369878823</v>
      </c>
      <c r="E4419" t="n">
        <v>18</v>
      </c>
      <c r="F4419" t="n">
        <v>0.05405405405405406</v>
      </c>
      <c r="G4419" t="n">
        <v>11119619.47</v>
      </c>
      <c r="H4419" t="n">
        <v>0.1951862834627323</v>
      </c>
      <c r="I4419" t="n">
        <v>280272.89</v>
      </c>
      <c r="J4419" t="n">
        <v>0.02520525911486072</v>
      </c>
      <c r="K4419" t="n">
        <v>0.6058189729814162</v>
      </c>
      <c r="L4419" t="n">
        <v>0.1136907374076698</v>
      </c>
      <c r="M4419" t="n">
        <v>1072820.11</v>
      </c>
      <c r="N4419" t="n">
        <v>0.09647993017156739</v>
      </c>
      <c r="O4419" t="n">
        <v>0.2231483604619876</v>
      </c>
    </row>
    <row r="4420">
      <c r="A4420" t="inlineStr">
        <is>
          <t>S|REV_DEBT|where 2024|4</t>
        </is>
      </c>
      <c r="B4420" t="inlineStr">
        <is>
          <t>13,052 - 17,186</t>
        </is>
      </c>
      <c r="C4420" t="n">
        <v>342</v>
      </c>
      <c r="D4420" t="n">
        <v>0.1973456433929602</v>
      </c>
      <c r="E4420" t="n">
        <v>37</v>
      </c>
      <c r="F4420" t="n">
        <v>0.108187134502924</v>
      </c>
      <c r="G4420" t="n">
        <v>11157230.7</v>
      </c>
      <c r="H4420" t="n">
        <v>0.1958464855694652</v>
      </c>
      <c r="I4420" t="n">
        <v>627265.75</v>
      </c>
      <c r="J4420" t="n">
        <v>0.0562205592826901</v>
      </c>
      <c r="K4420" t="n">
        <v>1.351284719187794</v>
      </c>
      <c r="L4420" t="n">
        <v>0.2544459639606066</v>
      </c>
      <c r="M4420" t="n">
        <v>996515.0500000003</v>
      </c>
      <c r="N4420" t="n">
        <v>0.08931562650219291</v>
      </c>
      <c r="O4420" t="n">
        <v>0.2072767815502597</v>
      </c>
    </row>
    <row r="4421">
      <c r="A4421" t="inlineStr">
        <is>
          <t>S|REV_DEBT|where 2024|5</t>
        </is>
      </c>
      <c r="B4421" t="inlineStr">
        <is>
          <t>17,187 - 48,521</t>
        </is>
      </c>
      <c r="C4421" t="n">
        <v>354</v>
      </c>
      <c r="D4421" t="n">
        <v>0.2042700519330641</v>
      </c>
      <c r="E4421" t="n">
        <v>60</v>
      </c>
      <c r="F4421" t="n">
        <v>0.1694915254237288</v>
      </c>
      <c r="G4421" t="n">
        <v>10999578.66</v>
      </c>
      <c r="H4421" t="n">
        <v>0.1930791682299701</v>
      </c>
      <c r="I4421" t="n">
        <v>1048658.14</v>
      </c>
      <c r="J4421" t="n">
        <v>0.09533620990533469</v>
      </c>
      <c r="K4421" t="n">
        <v>2.291445785563777</v>
      </c>
      <c r="L4421" t="n">
        <v>0.4253808394567005</v>
      </c>
      <c r="M4421" t="n">
        <v>916084.2200000002</v>
      </c>
      <c r="N4421" t="n">
        <v>0.08328357370008574</v>
      </c>
      <c r="O4421" t="n">
        <v>0.1905470356424422</v>
      </c>
    </row>
    <row r="4422">
      <c r="A4422" t="inlineStr">
        <is>
          <t>S|REV_DEBT|where 2024|6</t>
        </is>
      </c>
      <c r="B4422" t="inlineStr">
        <is>
          <t>All</t>
        </is>
      </c>
      <c r="C4422" t="n">
        <v>1733</v>
      </c>
      <c r="D4422" t="n">
        <v>1</v>
      </c>
      <c r="E4422" t="n">
        <v>146</v>
      </c>
      <c r="F4422" t="n">
        <v>0.08424697057126371</v>
      </c>
      <c r="G4422" t="n">
        <v>56969266.86</v>
      </c>
      <c r="H4422" t="n">
        <v>1</v>
      </c>
      <c r="I4422" t="n">
        <v>2465221.85</v>
      </c>
      <c r="J4422" t="n">
        <v>0.043272837897988</v>
      </c>
      <c r="K4422" t="n">
        <v>1.040080805909829</v>
      </c>
      <c r="L4422" t="n">
        <v>1</v>
      </c>
      <c r="M4422" t="n">
        <v>4807654.010000001</v>
      </c>
      <c r="N4422" t="n">
        <v>0.08439030858189987</v>
      </c>
      <c r="O4422" t="n">
        <v>1</v>
      </c>
    </row>
    <row r="4423">
      <c r="A4423" t="inlineStr">
        <is>
          <t>S|REV_DEBT|where 2025|1</t>
        </is>
      </c>
      <c r="B4423" t="inlineStr">
        <is>
          <t>0 - 6,558</t>
        </is>
      </c>
      <c r="C4423" t="n">
        <v>344</v>
      </c>
      <c r="D4423" t="n">
        <v>0.2021151586368978</v>
      </c>
      <c r="E4423" t="n">
        <v>14</v>
      </c>
      <c r="F4423" t="n">
        <v>0.04069767441860465</v>
      </c>
      <c r="G4423" t="n">
        <v>10764924.69</v>
      </c>
      <c r="H4423" t="n">
        <v>0.2021719824379878</v>
      </c>
      <c r="I4423" t="n">
        <v>225852.47</v>
      </c>
      <c r="J4423" t="n">
        <v>0.02098040409049995</v>
      </c>
      <c r="K4423" t="n">
        <v>0.5042728107225815</v>
      </c>
      <c r="L4423" t="n">
        <v>0.1027849403582627</v>
      </c>
      <c r="M4423" t="n">
        <v>331421.74</v>
      </c>
      <c r="N4423" t="n">
        <v>0.03078718612011022</v>
      </c>
      <c r="O4423" t="n">
        <v>0.2338898502161511</v>
      </c>
    </row>
    <row r="4424">
      <c r="A4424" t="inlineStr">
        <is>
          <t>S|REV_DEBT|where 2025|2</t>
        </is>
      </c>
      <c r="B4424" t="inlineStr">
        <is>
          <t>6,559 - 9,836</t>
        </is>
      </c>
      <c r="C4424" t="n">
        <v>347</v>
      </c>
      <c r="D4424" t="n">
        <v>0.2038777908343126</v>
      </c>
      <c r="E4424" t="n">
        <v>15</v>
      </c>
      <c r="F4424" t="n">
        <v>0.04322766570605188</v>
      </c>
      <c r="G4424" t="n">
        <v>10976334.8</v>
      </c>
      <c r="H4424" t="n">
        <v>0.2061423958200561</v>
      </c>
      <c r="I4424" t="n">
        <v>221014.34</v>
      </c>
      <c r="J4424" t="n">
        <v>0.02013553194459774</v>
      </c>
      <c r="K4424" t="n">
        <v>0.4839659543876149</v>
      </c>
      <c r="L4424" t="n">
        <v>0.1005831185074965</v>
      </c>
      <c r="M4424" t="n">
        <v>420971.2600000001</v>
      </c>
      <c r="N4424" t="n">
        <v>0.03835262568703715</v>
      </c>
      <c r="O4424" t="n">
        <v>0.2970864402157336</v>
      </c>
    </row>
    <row r="4425">
      <c r="A4425" t="inlineStr">
        <is>
          <t>S|REV_DEBT|where 2025|3</t>
        </is>
      </c>
      <c r="B4425" t="inlineStr">
        <is>
          <t>9,837 - 13,051</t>
        </is>
      </c>
      <c r="C4425" t="n">
        <v>325</v>
      </c>
      <c r="D4425" t="n">
        <v>0.190951821386604</v>
      </c>
      <c r="E4425" t="n">
        <v>20</v>
      </c>
      <c r="F4425" t="n">
        <v>0.06153846153846154</v>
      </c>
      <c r="G4425" t="n">
        <v>10275332.49</v>
      </c>
      <c r="H4425" t="n">
        <v>0.192977136351222</v>
      </c>
      <c r="I4425" t="n">
        <v>340817.32</v>
      </c>
      <c r="J4425" t="n">
        <v>0.03316849555298428</v>
      </c>
      <c r="K4425" t="n">
        <v>0.7972187002592789</v>
      </c>
      <c r="L4425" t="n">
        <v>0.1551051795415961</v>
      </c>
      <c r="M4425" t="n">
        <v>340343.3400000005</v>
      </c>
      <c r="N4425" t="n">
        <v>0.03312236760525501</v>
      </c>
      <c r="O4425" t="n">
        <v>0.2401859721533798</v>
      </c>
    </row>
    <row r="4426">
      <c r="A4426" t="inlineStr">
        <is>
          <t>S|REV_DEBT|where 2025|4</t>
        </is>
      </c>
      <c r="B4426" t="inlineStr">
        <is>
          <t>13,052 - 17,186</t>
        </is>
      </c>
      <c r="C4426" t="n">
        <v>347</v>
      </c>
      <c r="D4426" t="n">
        <v>0.2038777908343126</v>
      </c>
      <c r="E4426" t="n">
        <v>31</v>
      </c>
      <c r="F4426" t="n">
        <v>0.0893371757925072</v>
      </c>
      <c r="G4426" t="n">
        <v>10730420.97</v>
      </c>
      <c r="H4426" t="n">
        <v>0.2015239811119437</v>
      </c>
      <c r="I4426" t="n">
        <v>579377.2000000002</v>
      </c>
      <c r="J4426" t="n">
        <v>0.05399389284165245</v>
      </c>
      <c r="K4426" t="n">
        <v>1.2977658574957</v>
      </c>
      <c r="L4426" t="n">
        <v>0.2636732330044355</v>
      </c>
      <c r="M4426" t="n">
        <v>216150.7800000001</v>
      </c>
      <c r="N4426" t="n">
        <v>0.0201437371939379</v>
      </c>
      <c r="O4426" t="n">
        <v>0.152541210960706</v>
      </c>
    </row>
    <row r="4427">
      <c r="A4427" t="inlineStr">
        <is>
          <t>S|REV_DEBT|where 2025|5</t>
        </is>
      </c>
      <c r="B4427" t="inlineStr">
        <is>
          <t>17,187 - 48,521</t>
        </is>
      </c>
      <c r="C4427" t="n">
        <v>339</v>
      </c>
      <c r="D4427" t="n">
        <v>0.1991774383078731</v>
      </c>
      <c r="E4427" t="n">
        <v>50</v>
      </c>
      <c r="F4427" t="n">
        <v>0.1474926253687316</v>
      </c>
      <c r="G4427" t="n">
        <v>10499359.57</v>
      </c>
      <c r="H4427" t="n">
        <v>0.1971845042787903</v>
      </c>
      <c r="I4427" t="n">
        <v>830269.0299999998</v>
      </c>
      <c r="J4427" t="n">
        <v>0.07907806418710921</v>
      </c>
      <c r="K4427" t="n">
        <v>1.900674435159749</v>
      </c>
      <c r="L4427" t="n">
        <v>0.3778535285882091</v>
      </c>
      <c r="M4427" t="n">
        <v>108112.12</v>
      </c>
      <c r="N4427" t="n">
        <v>0.01029702043055183</v>
      </c>
      <c r="O4427" t="n">
        <v>0.07629652645402965</v>
      </c>
    </row>
    <row r="4428">
      <c r="A4428" t="inlineStr">
        <is>
          <t>S|REV_DEBT|where 2025|6</t>
        </is>
      </c>
      <c r="B4428" t="inlineStr">
        <is>
          <t>All</t>
        </is>
      </c>
      <c r="C4428" t="n">
        <v>1702</v>
      </c>
      <c r="D4428" t="n">
        <v>1</v>
      </c>
      <c r="E4428" t="n">
        <v>130</v>
      </c>
      <c r="F4428" t="n">
        <v>0.07638072855464159</v>
      </c>
      <c r="G4428" t="n">
        <v>53246372.52</v>
      </c>
      <c r="H4428" t="n">
        <v>1</v>
      </c>
      <c r="I4428" t="n">
        <v>2197330.36</v>
      </c>
      <c r="J4428" t="n">
        <v>0.04126723109963321</v>
      </c>
      <c r="K4428" t="n">
        <v>0.9918752054338759</v>
      </c>
      <c r="L4428" t="n">
        <v>1</v>
      </c>
      <c r="M4428" t="n">
        <v>1416999.24</v>
      </c>
      <c r="N4428" t="n">
        <v>0.02661212722928228</v>
      </c>
      <c r="O4428" t="n">
        <v>1</v>
      </c>
    </row>
    <row r="4429">
      <c r="A4429" t="inlineStr">
        <is>
          <t>S|REV_DEBT|where 2026|1</t>
        </is>
      </c>
      <c r="B4429" t="inlineStr">
        <is>
          <t>0 - 6,558</t>
        </is>
      </c>
      <c r="C4429" t="n">
        <v>74</v>
      </c>
      <c r="D4429" t="n">
        <v>0.1983914209115281</v>
      </c>
      <c r="E4429" t="n">
        <v>3</v>
      </c>
      <c r="F4429" t="n">
        <v>0.04054054054054054</v>
      </c>
      <c r="G4429" t="n">
        <v>2564151.22</v>
      </c>
      <c r="H4429" t="n">
        <v>0.2170683690803254</v>
      </c>
      <c r="I4429" t="n">
        <v>46719.8</v>
      </c>
      <c r="J4429" t="n">
        <v>0.01822037625378427</v>
      </c>
      <c r="K4429" t="n">
        <v>0.4379343842132752</v>
      </c>
      <c r="L4429" t="n">
        <v>0.1128209291640187</v>
      </c>
      <c r="M4429" t="n">
        <v>15192.16</v>
      </c>
      <c r="N4429" t="n">
        <v>0.005924829971611423</v>
      </c>
      <c r="O4429" t="n">
        <v>-0.2655544912356755</v>
      </c>
    </row>
    <row r="4430">
      <c r="A4430" t="inlineStr">
        <is>
          <t>S|REV_DEBT|where 2026|2</t>
        </is>
      </c>
      <c r="B4430" t="inlineStr">
        <is>
          <t>6,559 - 9,836</t>
        </is>
      </c>
      <c r="C4430" t="n">
        <v>73</v>
      </c>
      <c r="D4430" t="n">
        <v>0.1957104557640751</v>
      </c>
      <c r="E4430" t="n">
        <v>4</v>
      </c>
      <c r="F4430" t="n">
        <v>0.0547945205479452</v>
      </c>
      <c r="G4430" t="n">
        <v>2268267.03</v>
      </c>
      <c r="H4430" t="n">
        <v>0.1920202759495493</v>
      </c>
      <c r="I4430" t="n">
        <v>109286.83</v>
      </c>
      <c r="J4430" t="n">
        <v>0.04818076026965837</v>
      </c>
      <c r="K4430" t="n">
        <v>1.158044778314494</v>
      </c>
      <c r="L4430" t="n">
        <v>0.2639104128440223</v>
      </c>
      <c r="M4430" t="n">
        <v>-49120.96999999999</v>
      </c>
      <c r="N4430" t="n">
        <v>-0.02165572631014259</v>
      </c>
      <c r="O4430" t="n">
        <v>0.858620117044112</v>
      </c>
    </row>
    <row r="4431">
      <c r="A4431" t="inlineStr">
        <is>
          <t>S|REV_DEBT|where 2026|3</t>
        </is>
      </c>
      <c r="B4431" t="inlineStr">
        <is>
          <t>9,837 - 13,051</t>
        </is>
      </c>
      <c r="C4431" t="n">
        <v>72</v>
      </c>
      <c r="D4431" t="n">
        <v>0.193029490616622</v>
      </c>
      <c r="E4431" t="n">
        <v>3</v>
      </c>
      <c r="F4431" t="n">
        <v>0.04166666666666666</v>
      </c>
      <c r="G4431" t="n">
        <v>2409051.98</v>
      </c>
      <c r="H4431" t="n">
        <v>0.2039384339931124</v>
      </c>
      <c r="I4431" t="n">
        <v>56699.13</v>
      </c>
      <c r="J4431" t="n">
        <v>0.02353586824639625</v>
      </c>
      <c r="K4431" t="n">
        <v>0.5656944633769335</v>
      </c>
      <c r="L4431" t="n">
        <v>0.1369194330753019</v>
      </c>
      <c r="M4431" t="n">
        <v>16667.27999999999</v>
      </c>
      <c r="N4431" t="n">
        <v>0.006918605384347079</v>
      </c>
      <c r="O4431" t="n">
        <v>-0.2913391552407654</v>
      </c>
    </row>
    <row r="4432">
      <c r="A4432" t="inlineStr">
        <is>
          <t>S|REV_DEBT|where 2026|4</t>
        </is>
      </c>
      <c r="B4432" t="inlineStr">
        <is>
          <t>13,052 - 17,186</t>
        </is>
      </c>
      <c r="C4432" t="n">
        <v>80</v>
      </c>
      <c r="D4432" t="n">
        <v>0.2144772117962467</v>
      </c>
      <c r="E4432" t="n">
        <v>3</v>
      </c>
      <c r="F4432" t="n">
        <v>0.0375</v>
      </c>
      <c r="G4432" t="n">
        <v>2416129.8</v>
      </c>
      <c r="H4432" t="n">
        <v>0.2045376072524976</v>
      </c>
      <c r="I4432" t="n">
        <v>24171.22</v>
      </c>
      <c r="J4432" t="n">
        <v>0.01000410656745345</v>
      </c>
      <c r="K4432" t="n">
        <v>0.2404528967019422</v>
      </c>
      <c r="L4432" t="n">
        <v>0.05836967408738718</v>
      </c>
      <c r="M4432" t="n">
        <v>55817.91999999999</v>
      </c>
      <c r="N4432" t="n">
        <v>0.02310220253895299</v>
      </c>
      <c r="O4432" t="n">
        <v>-0.9756808345510865</v>
      </c>
    </row>
    <row r="4433">
      <c r="A4433" t="inlineStr">
        <is>
          <t>S|REV_DEBT|where 2026|5</t>
        </is>
      </c>
      <c r="B4433" t="inlineStr">
        <is>
          <t>17,187 - 48,521</t>
        </is>
      </c>
      <c r="C4433" t="n">
        <v>74</v>
      </c>
      <c r="D4433" t="n">
        <v>0.1983914209115281</v>
      </c>
      <c r="E4433" t="n">
        <v>12</v>
      </c>
      <c r="F4433" t="n">
        <v>0.1621621621621622</v>
      </c>
      <c r="G4433" t="n">
        <v>2155043.29</v>
      </c>
      <c r="H4433" t="n">
        <v>0.1824353137245153</v>
      </c>
      <c r="I4433" t="n">
        <v>177228.81</v>
      </c>
      <c r="J4433" t="n">
        <v>0.08223909506708797</v>
      </c>
      <c r="K4433" t="n">
        <v>1.976651137979765</v>
      </c>
      <c r="L4433" t="n">
        <v>0.4279795508292699</v>
      </c>
      <c r="M4433" t="n">
        <v>-95765.58999999997</v>
      </c>
      <c r="N4433" t="n">
        <v>-0.04443789618722693</v>
      </c>
      <c r="O4433" t="n">
        <v>1.673954363983415</v>
      </c>
    </row>
    <row r="4434">
      <c r="A4434" t="inlineStr">
        <is>
          <t>S|REV_DEBT|where 2026|6</t>
        </is>
      </c>
      <c r="B4434" t="inlineStr">
        <is>
          <t>All</t>
        </is>
      </c>
      <c r="C4434" t="n">
        <v>373</v>
      </c>
      <c r="D4434" t="n">
        <v>1</v>
      </c>
      <c r="E4434" t="n">
        <v>25</v>
      </c>
      <c r="F4434" t="n">
        <v>0.06702412868632708</v>
      </c>
      <c r="G4434" t="n">
        <v>11812643.32</v>
      </c>
      <c r="H4434" t="n">
        <v>1</v>
      </c>
      <c r="I4434" t="n">
        <v>414105.79</v>
      </c>
      <c r="J4434" t="n">
        <v>0.03505614948170635</v>
      </c>
      <c r="K4434" t="n">
        <v>0.8425892540485277</v>
      </c>
      <c r="L4434" t="n">
        <v>1</v>
      </c>
      <c r="M4434" t="n">
        <v>-57209.19999999998</v>
      </c>
      <c r="N4434" t="n">
        <v>-0.004843048118039677</v>
      </c>
      <c r="O4434"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33" t="inlineStr">
        <is>
          <t>The lines in use: what the formulas on the result tabs read</t>
        </is>
      </c>
    </row>
    <row r="2">
      <c r="B2" s="134"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35" t="inlineStr">
        <is>
          <t>Setting</t>
        </is>
      </c>
      <c r="C4" s="135" t="inlineStr">
        <is>
          <t>In use now</t>
        </is>
      </c>
      <c r="D4" s="135" t="inlineStr">
        <is>
          <t>The last Run used</t>
        </is>
      </c>
      <c r="E4" s="135" t="inlineStr">
        <is>
          <t>In words now</t>
        </is>
      </c>
      <c r="F4" s="135" t="inlineStr">
        <is>
          <t>In words at the last Run</t>
        </is>
      </c>
      <c r="K4" s="135" t="inlineStr">
        <is>
          <t>Option (setting|label)</t>
        </is>
      </c>
      <c r="L4" s="135" t="inlineStr">
        <is>
          <t>Kind</t>
        </is>
      </c>
      <c r="M4" s="135" t="inlineStr">
        <is>
          <t>Value</t>
        </is>
      </c>
    </row>
    <row r="5">
      <c r="B5" t="inlineStr">
        <is>
          <t>Worse at (a multiple)</t>
        </is>
      </c>
      <c r="C5">
        <f>IF(AND(Control!$D$15&lt;&gt;"",Control!$D$15&lt;&gt;"n/a"),Control!$D$15,IFERROR(INDEX($M$5:$M$400,MATCH("worse_at|"&amp;Control!$C$15,$K$5:$K$400,0)),IF(ISNUMBER(Control!$C$15),Control!$C$15,VALUE(Control!$C$15))))</f>
        <v/>
      </c>
      <c r="D5" t="n">
        <v>1.25</v>
      </c>
      <c r="E5">
        <f>IFERROR("worse at "&amp;TEXT(C5,"0.00")&amp;"x","no usable answer on Control")</f>
        <v/>
      </c>
      <c r="F5" t="inlineStr">
        <is>
          <t>worse at 1.25x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0.8</v>
      </c>
      <c r="E6">
        <f>IFERROR("better at "&amp;TEXT(C6,"0.00")&amp;"x","no usable answer on Control")</f>
        <v/>
      </c>
      <c r="F6" t="inlineStr">
        <is>
          <t>better at 0.80x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f>NA()</f>
        <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1.25x and better at 0.80x (the loss line); profit line each pocket's own test; 95% sure; materiality 1.0% of the book's GCO, $107,354; judged against the rest of its band.</t>
        </is>
      </c>
      <c r="K17" t="inlineStr">
        <is>
          <t>better_at|The smallest significant gap in a typical pocket (suggested)</t>
        </is>
      </c>
      <c r="M17">
        <f>NA()</f>
        <v/>
      </c>
    </row>
    <row r="18">
      <c r="K18" t="inlineStr">
        <is>
          <t>better_at|0.8 times</t>
        </is>
      </c>
      <c r="M18" t="n">
        <v>0.8</v>
      </c>
    </row>
    <row r="19">
      <c r="B19" s="135" t="inlineStr">
        <is>
          <t>Each rate's materiality line</t>
        </is>
      </c>
      <c r="C19" s="135" t="inlineStr">
        <is>
          <t>In use now</t>
        </is>
      </c>
      <c r="D19" s="135" t="inlineStr">
        <is>
          <t>The last Run used</t>
        </is>
      </c>
      <c r="E19" s="135" t="inlineStr">
        <is>
          <t>The rate's book total, for a share</t>
        </is>
      </c>
      <c r="G19" s="135"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O398"/>
  <sheetViews>
    <sheetView tabSelected="0" workbookViewId="0">
      <pane ySplit="3" topLeftCell="A4" activePane="bottomLeft" state="frozen"/>
      <selection pane="bottomLeft" activeCell="A1" sqref="A1"/>
    </sheetView>
  </sheetViews>
  <sheetFormatPr baseColWidth="8" defaultRowHeight="15"/>
  <sheetData>
    <row r="1">
      <c r="A1" s="135" t="inlineStr">
        <is>
          <t>Every pocket's numbers from the last Run (columns A to U, AH, AK and AL), and the formulas that read them with the lines on Control (the rest).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36" t="inlineStr">
        <is>
          <t>Grids or three-way</t>
        </is>
      </c>
      <c r="B3" s="136" t="inlineStr">
        <is>
          <t>Grid</t>
        </is>
      </c>
      <c r="C3" s="136" t="inlineStr">
        <is>
          <t>Band</t>
        </is>
      </c>
      <c r="D3" s="136" t="inlineStr">
        <is>
          <t>Segment</t>
        </is>
      </c>
      <c r="E3" s="136" t="inlineStr">
        <is>
          <t>Rate (key)</t>
        </is>
      </c>
      <c r="F3" s="136" t="inlineStr">
        <is>
          <t>Rate</t>
        </is>
      </c>
      <c r="G3" s="136" t="inlineStr">
        <is>
          <t>Loans</t>
        </is>
      </c>
      <c r="H3" s="136" t="inlineStr">
        <is>
          <t>Booked dollars (the rate's bottom)</t>
        </is>
      </c>
      <c r="I3" s="136" t="inlineStr">
        <is>
          <t>Too few losses to test (fewest losses is a Run setting)</t>
        </is>
      </c>
      <c r="J3" s="136" t="inlineStr">
        <is>
          <t>Alone in its band</t>
        </is>
      </c>
      <c r="K3" s="136" t="inlineStr">
        <is>
          <t>Vs rest of book (a multiple; profit: the gap, 0.01 = 1 point)</t>
        </is>
      </c>
      <c r="L3" s="136" t="inlineStr">
        <is>
          <t>p-value vs book, after the allowance</t>
        </is>
      </c>
      <c r="M3" s="136" t="inlineStr">
        <is>
          <t>Vs rest of band</t>
        </is>
      </c>
      <c r="N3" s="136" t="inlineStr">
        <is>
          <t>p-value vs band, after the allowance</t>
        </is>
      </c>
      <c r="O3" s="136" t="inlineStr">
        <is>
          <t>Excess over the rest of the book ($)</t>
        </is>
      </c>
      <c r="P3" s="136" t="inlineStr">
        <is>
          <t>Excess over its band ($)</t>
        </is>
      </c>
      <c r="Q3" s="136" t="inlineStr">
        <is>
          <t>Materiality line in use (from _live)</t>
        </is>
      </c>
      <c r="R3" s="136" t="inlineStr">
        <is>
          <t>Test vs book</t>
        </is>
      </c>
      <c r="S3" s="136" t="inlineStr">
        <is>
          <t>Test vs band</t>
        </is>
      </c>
      <c r="T3" s="136" t="inlineStr">
        <is>
          <t>Rest of book's rate</t>
        </is>
      </c>
      <c r="U3" s="136" t="inlineStr">
        <is>
          <t>Rest of band's rate</t>
        </is>
      </c>
      <c r="V3" s="137" t="inlineStr">
        <is>
          <t>Judged against its band?</t>
        </is>
      </c>
      <c r="W3" s="137" t="inlineStr">
        <is>
          <t>Reading vs book</t>
        </is>
      </c>
      <c r="X3" s="137" t="inlineStr">
        <is>
          <t>Reading vs band</t>
        </is>
      </c>
      <c r="Y3" s="137" t="inlineStr">
        <is>
          <t>Flag</t>
        </is>
      </c>
      <c r="Z3" s="137" t="inlineStr">
        <is>
          <t>Dollars that decide</t>
        </is>
      </c>
      <c r="AA3" s="137" t="inlineStr">
        <is>
          <t>Material</t>
        </is>
      </c>
      <c r="AB3" s="137" t="inlineStr">
        <is>
          <t>Gap that decides</t>
        </is>
      </c>
      <c r="AC3" s="137" t="inlineStr">
        <is>
          <t>p-value that decides</t>
        </is>
      </c>
      <c r="AD3" s="137" t="inlineStr">
        <is>
          <t>Flag as the tabs print it</t>
        </is>
      </c>
      <c r="AE3" s="137" t="inlineStr">
        <is>
          <t>Test, as printed</t>
        </is>
      </c>
      <c r="AF3" s="137" t="inlineStr">
        <is>
          <t>Rest's rate that decides</t>
        </is>
      </c>
      <c r="AG3" s="137" t="inlineStr">
        <is>
          <t>The other dollars, for reference</t>
        </is>
      </c>
      <c r="AH3" s="137" t="inlineStr">
        <is>
          <t>This pocket's rate</t>
        </is>
      </c>
      <c r="AI3" s="137" t="inlineStr">
        <is>
          <t>Worse?</t>
        </is>
      </c>
      <c r="AJ3" s="137" t="inlineStr">
        <is>
          <t>Material?</t>
        </is>
      </c>
      <c r="AK3" s="137" t="inlineStr">
        <is>
          <t>Shuffle's standard error of the p-value vs book, after the allowance</t>
        </is>
      </c>
      <c r="AL3" s="137" t="inlineStr">
        <is>
          <t>Shuffle's standard error of the p-value vs band, after the allowance</t>
        </is>
      </c>
      <c r="AM3" s="137" t="inlineStr">
        <is>
          <t>Borderline: the p-value that decides, when the flag turns on it and it is within 2 standard errors of the bar</t>
        </is>
      </c>
      <c r="AN3" s="137" t="inlineStr">
        <is>
          <t>Borderline, for Worse?</t>
        </is>
      </c>
      <c r="AO3" s="137" t="inlineStr">
        <is>
          <t>Worse? as the tabs print it</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c r="AM4">
        <f>IF(AND(ISNUMBER($AC4),ISNUMBER(IF($V4,IF($AL4="","",$AL4),IF($AK4="","",$AK4)))),IF(AND(ABS($AC4-significance_bar)&lt;=2.0*IF($V4,IF($AL4="","",$AL4),IF($AK4="","",$AK4)),OR($Y4="worse",$Y4="better",$Y4="worse, not significant",$Y4="better, not significant")),IF(ROUND($AC4,3)=ROUND(significance_bar,3),TEXT($AC4,"0.0000"),TEXT($AC4,"0.000")),""),"")</f>
        <v/>
      </c>
      <c r="AN4">
        <f>IF(AND(ISNUMBER($AC4),ISNUMBER(IF($V4,IF($AL4="","",$AL4),IF($AK4="","",$AK4)))),IF(AND(ABS($AC4-significance_bar)&lt;=2.0*IF($V4,IF($AL4="","",$AL4),IF($AK4="","",$AK4)),OR($Y4="worse",$Y4="worse, not significant")),IF(ROUND($AC4,3)=ROUND(significance_bar,3),TEXT($AC4,"0.0000"),TEXT($AC4,"0.000")),""),"")</f>
        <v/>
      </c>
      <c r="AO4">
        <f>IF(OR($AI4="",$AN4=""),$AI4,$AI4&amp;" · borderline (p "&amp;$AN4&amp;")")</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c r="AM5">
        <f>IF(AND(ISNUMBER($AC5),ISNUMBER(IF($V5,IF($AL5="","",$AL5),IF($AK5="","",$AK5)))),IF(AND(ABS($AC5-significance_bar)&lt;=2.0*IF($V5,IF($AL5="","",$AL5),IF($AK5="","",$AK5)),OR($Y5="worse",$Y5="better",$Y5="worse, not significant",$Y5="better, not significant")),IF(ROUND($AC5,3)=ROUND(significance_bar,3),TEXT($AC5,"0.0000"),TEXT($AC5,"0.000")),""),"")</f>
        <v/>
      </c>
      <c r="AN5">
        <f>IF(AND(ISNUMBER($AC5),ISNUMBER(IF($V5,IF($AL5="","",$AL5),IF($AK5="","",$AK5)))),IF(AND(ABS($AC5-significance_bar)&lt;=2.0*IF($V5,IF($AL5="","",$AL5),IF($AK5="","",$AK5)),OR($Y5="worse",$Y5="worse, not significant")),IF(ROUND($AC5,3)=ROUND(significance_bar,3),TEXT($AC5,"0.0000"),TEXT($AC5,"0.000")),""),"")</f>
        <v/>
      </c>
      <c r="AO5">
        <f>IF(OR($AI5="",$AN5=""),$AI5,$AI5&amp;" · borderline (p "&amp;$AN5&amp;")")</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c r="AM6">
        <f>IF(AND(ISNUMBER($AC6),ISNUMBER(IF($V6,IF($AL6="","",$AL6),IF($AK6="","",$AK6)))),IF(AND(ABS($AC6-significance_bar)&lt;=2.0*IF($V6,IF($AL6="","",$AL6),IF($AK6="","",$AK6)),OR($Y6="worse",$Y6="better",$Y6="worse, not significant",$Y6="better, not significant")),IF(ROUND($AC6,3)=ROUND(significance_bar,3),TEXT($AC6,"0.0000"),TEXT($AC6,"0.000")),""),"")</f>
        <v/>
      </c>
      <c r="AN6">
        <f>IF(AND(ISNUMBER($AC6),ISNUMBER(IF($V6,IF($AL6="","",$AL6),IF($AK6="","",$AK6)))),IF(AND(ABS($AC6-significance_bar)&lt;=2.0*IF($V6,IF($AL6="","",$AL6),IF($AK6="","",$AK6)),OR($Y6="worse",$Y6="worse, not significant")),IF(ROUND($AC6,3)=ROUND(significance_bar,3),TEXT($AC6,"0.0000"),TEXT($AC6,"0.000")),""),"")</f>
        <v/>
      </c>
      <c r="AO6">
        <f>IF(OR($AI6="",$AN6=""),$AI6,$AI6&amp;" · borderline (p "&amp;$AN6&amp;")")</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0.0472636815920398</v>
      </c>
      <c r="M7" t="n">
        <v>0.05303168205113509</v>
      </c>
      <c r="N7" t="n">
        <v>0.1194029850746269</v>
      </c>
      <c r="O7" t="n">
        <v>-114843.7508840428</v>
      </c>
      <c r="P7" t="n">
        <v>-98041.22125431665</v>
      </c>
      <c r="Q7">
        <f>'_live'!$C$23</f>
        <v/>
      </c>
      <c r="R7" t="inlineStr">
        <is>
          <t>shuffled: 5 of 200</t>
        </is>
      </c>
      <c r="S7" t="inlineStr">
        <is>
          <t>shuffled: 10 of 200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c r="AK7" t="n">
        <v>0.01905259915642692</v>
      </c>
      <c r="AL7" t="n">
        <v>0.03350737958305022</v>
      </c>
      <c r="AM7">
        <f>IF(AND(ISNUMBER($AC7),ISNUMBER(IF($V7,IF($AL7="","",$AL7),IF($AK7="","",$AK7)))),IF(AND(ABS($AC7-significance_bar)&lt;=2.0*IF($V7,IF($AL7="","",$AL7),IF($AK7="","",$AK7)),OR($Y7="worse",$Y7="better",$Y7="worse, not significant",$Y7="better, not significant",AND(profit_kind="test",$Y7="in line",ISNUMBER($AB7),$AB7&lt;&gt;0))),IF(ROUND($AC7,3)=ROUND(significance_bar,3),TEXT($AC7,"0.0000"),TEXT($AC7,"0.000")),""),"")</f>
        <v/>
      </c>
      <c r="AN7">
        <f>IF(AND(ISNUMBER($AC7),ISNUMBER(IF($V7,IF($AL7="","",$AL7),IF($AK7="","",$AK7)))),IF(AND(ABS($AC7-significance_bar)&lt;=2.0*IF($V7,IF($AL7="","",$AL7),IF($AK7="","",$AK7)),OR($Y7="worse",$Y7="worse, not significant",AND(profit_kind="test",$Y7="in line",ISNUMBER($AB7),$AB7&lt;0))),IF(ROUND($AC7,3)=ROUND(significance_bar,3),TEXT($AC7,"0.0000"),TEXT($AC7,"0.000")),""),"")</f>
        <v/>
      </c>
      <c r="AO7">
        <f>IF(OR($AI7="",$AN7=""),$AI7,$AI7&amp;" · borderline (p "&amp;$AN7&amp;")")</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0.01772388059701492</v>
      </c>
      <c r="M8" t="n">
        <v>0.04225923672762022</v>
      </c>
      <c r="N8" t="n">
        <v>0.1432835820895522</v>
      </c>
      <c r="O8" t="n">
        <v>-71837.91381192219</v>
      </c>
      <c r="P8" t="n">
        <v>-78125.88659843343</v>
      </c>
      <c r="Q8">
        <f>'_live'!$C$24</f>
        <v/>
      </c>
      <c r="R8" t="inlineStr">
        <is>
          <t>shuffled: 2 of 200</t>
        </is>
      </c>
      <c r="S8" t="inlineStr">
        <is>
          <t>shuffled: 15 of 200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c r="AK8" t="n">
        <v>0.01018159424293121</v>
      </c>
      <c r="AL8" t="n">
        <v>0.03445143414030689</v>
      </c>
      <c r="AM8">
        <f>IF(AND(ISNUMBER($AC8),ISNUMBER(IF($V8,IF($AL8="","",$AL8),IF($AK8="","",$AK8)))),IF(AND(ABS($AC8-significance_bar)&lt;=2.0*IF($V8,IF($AL8="","",$AL8),IF($AK8="","",$AK8)),OR($Y8="worse",$Y8="better",$Y8="worse, not significant",$Y8="better, not significant",AND(profit_kind="test",$Y8="in line",ISNUMBER($AB8),$AB8&lt;&gt;0))),IF(ROUND($AC8,3)=ROUND(significance_bar,3),TEXT($AC8,"0.0000"),TEXT($AC8,"0.000")),""),"")</f>
        <v/>
      </c>
      <c r="AN8">
        <f>IF(AND(ISNUMBER($AC8),ISNUMBER(IF($V8,IF($AL8="","",$AL8),IF($AK8="","",$AK8)))),IF(AND(ABS($AC8-significance_bar)&lt;=2.0*IF($V8,IF($AL8="","",$AL8),IF($AK8="","",$AK8)),OR($Y8="worse",$Y8="worse, not significant",AND(profit_kind="test",$Y8="in line",ISNUMBER($AB8),$AB8&lt;0))),IF(ROUND($AC8,3)=ROUND(significance_bar,3),TEXT($AC8,"0.0000"),TEXT($AC8,"0.000")),""),"")</f>
        <v/>
      </c>
      <c r="AO8">
        <f>IF(OR($AI8="",$AN8=""),$AI8,$AI8&amp;" · borderline (p "&amp;$AN8&amp;")")</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c r="AM9">
        <f>IF(AND(ISNUMBER($AC9),ISNUMBER(IF($V9,IF($AL9="","",$AL9),IF($AK9="","",$AK9)))),IF(AND(ABS($AC9-significance_bar)&lt;=2.0*IF($V9,IF($AL9="","",$AL9),IF($AK9="","",$AK9)),OR($Y9="worse",$Y9="better",$Y9="worse, not significant",$Y9="better, not significant")),IF(ROUND($AC9,3)=ROUND(significance_bar,3),TEXT($AC9,"0.0000"),TEXT($AC9,"0.000")),""),"")</f>
        <v/>
      </c>
      <c r="AN9">
        <f>IF(AND(ISNUMBER($AC9),ISNUMBER(IF($V9,IF($AL9="","",$AL9),IF($AK9="","",$AK9)))),IF(AND(ABS($AC9-significance_bar)&lt;=2.0*IF($V9,IF($AL9="","",$AL9),IF($AK9="","",$AK9)),OR($Y9="worse",$Y9="worse, not significant")),IF(ROUND($AC9,3)=ROUND(significance_bar,3),TEXT($AC9,"0.0000"),TEXT($AC9,"0.000")),""),"")</f>
        <v/>
      </c>
      <c r="AO9">
        <f>IF(OR($AI9="",$AN9=""),$AI9,$AI9&amp;" · borderline (p "&amp;$AN9&amp;")")</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c r="AM10">
        <f>IF(AND(ISNUMBER($AC10),ISNUMBER(IF($V10,IF($AL10="","",$AL10),IF($AK10="","",$AK10)))),IF(AND(ABS($AC10-significance_bar)&lt;=2.0*IF($V10,IF($AL10="","",$AL10),IF($AK10="","",$AK10)),OR($Y10="worse",$Y10="better",$Y10="worse, not significant",$Y10="better, not significant")),IF(ROUND($AC10,3)=ROUND(significance_bar,3),TEXT($AC10,"0.0000"),TEXT($AC10,"0.000")),""),"")</f>
        <v/>
      </c>
      <c r="AN10">
        <f>IF(AND(ISNUMBER($AC10),ISNUMBER(IF($V10,IF($AL10="","",$AL10),IF($AK10="","",$AK10)))),IF(AND(ABS($AC10-significance_bar)&lt;=2.0*IF($V10,IF($AL10="","",$AL10),IF($AK10="","",$AK10)),OR($Y10="worse",$Y10="worse, not significant")),IF(ROUND($AC10,3)=ROUND(significance_bar,3),TEXT($AC10,"0.0000"),TEXT($AC10,"0.000")),""),"")</f>
        <v/>
      </c>
      <c r="AO10">
        <f>IF(OR($AI10="",$AN10=""),$AI10,$AI10&amp;" · borderline (p "&amp;$AN10&amp;")")</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c r="AM11">
        <f>IF(AND(ISNUMBER($AC11),ISNUMBER(IF($V11,IF($AL11="","",$AL11),IF($AK11="","",$AK11)))),IF(AND(ABS($AC11-significance_bar)&lt;=2.0*IF($V11,IF($AL11="","",$AL11),IF($AK11="","",$AK11)),OR($Y11="worse",$Y11="better",$Y11="worse, not significant",$Y11="better, not significant")),IF(ROUND($AC11,3)=ROUND(significance_bar,3),TEXT($AC11,"0.0000"),TEXT($AC11,"0.000")),""),"")</f>
        <v/>
      </c>
      <c r="AN11">
        <f>IF(AND(ISNUMBER($AC11),ISNUMBER(IF($V11,IF($AL11="","",$AL11),IF($AK11="","",$AK11)))),IF(AND(ABS($AC11-significance_bar)&lt;=2.0*IF($V11,IF($AL11="","",$AL11),IF($AK11="","",$AK11)),OR($Y11="worse",$Y11="worse, not significant")),IF(ROUND($AC11,3)=ROUND(significance_bar,3),TEXT($AC11,"0.0000"),TEXT($AC11,"0.000")),""),"")</f>
        <v/>
      </c>
      <c r="AO11">
        <f>IF(OR($AI11="",$AN11=""),$AI11,$AI11&amp;" · borderline (p "&amp;$AN11&amp;")")</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0.965174129353234</v>
      </c>
      <c r="O12" t="n">
        <v>-344.6238349870969</v>
      </c>
      <c r="Q12">
        <f>'_live'!$C$23</f>
        <v/>
      </c>
      <c r="R12" t="inlineStr">
        <is>
          <t>shuffled: 193 of 200</t>
        </is>
      </c>
      <c r="S12" t="inlineStr">
        <is>
          <t>200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c r="AK12" t="n">
        <v>0.01296399424954764</v>
      </c>
      <c r="AM12">
        <f>IF(AND(ISNUMBER($AC12),ISNUMBER(IF($V12,IF($AL12="","",$AL12),IF($AK12="","",$AK12)))),IF(AND(ABS($AC12-significance_bar)&lt;=2.0*IF($V12,IF($AL12="","",$AL12),IF($AK12="","",$AK12)),OR($Y12="worse",$Y12="better",$Y12="worse, not significant",$Y12="better, not significant",AND(profit_kind="test",$Y12="in line",ISNUMBER($AB12),$AB12&lt;&gt;0))),IF(ROUND($AC12,3)=ROUND(significance_bar,3),TEXT($AC12,"0.0000"),TEXT($AC12,"0.000")),""),"")</f>
        <v/>
      </c>
      <c r="AN12">
        <f>IF(AND(ISNUMBER($AC12),ISNUMBER(IF($V12,IF($AL12="","",$AL12),IF($AK12="","",$AK12)))),IF(AND(ABS($AC12-significance_bar)&lt;=2.0*IF($V12,IF($AL12="","",$AL12),IF($AK12="","",$AK12)),OR($Y12="worse",$Y12="worse, not significant",AND(profit_kind="test",$Y12="in line",ISNUMBER($AB12),$AB12&lt;0))),IF(ROUND($AC12,3)=ROUND(significance_bar,3),TEXT($AC12,"0.0000"),TEXT($AC12,"0.000")),""),"")</f>
        <v/>
      </c>
      <c r="AO12">
        <f>IF(OR($AI12="",$AN12=""),$AI12,$AI12&amp;" · borderline (p "&amp;$AN12&amp;")")</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0.845771144278607</v>
      </c>
      <c r="O13" t="n">
        <v>820.3478949731489</v>
      </c>
      <c r="Q13">
        <f>'_live'!$C$24</f>
        <v/>
      </c>
      <c r="R13" t="inlineStr">
        <is>
          <t>shuffled: 169 of 200</t>
        </is>
      </c>
      <c r="S13" t="inlineStr">
        <is>
          <t>200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c r="AK13" t="n">
        <v>0.0255384333685783</v>
      </c>
      <c r="AM13">
        <f>IF(AND(ISNUMBER($AC13),ISNUMBER(IF($V13,IF($AL13="","",$AL13),IF($AK13="","",$AK13)))),IF(AND(ABS($AC13-significance_bar)&lt;=2.0*IF($V13,IF($AL13="","",$AL13),IF($AK13="","",$AK13)),OR($Y13="worse",$Y13="better",$Y13="worse, not significant",$Y13="better, not significant",AND(profit_kind="test",$Y13="in line",ISNUMBER($AB13),$AB13&lt;&gt;0))),IF(ROUND($AC13,3)=ROUND(significance_bar,3),TEXT($AC13,"0.0000"),TEXT($AC13,"0.000")),""),"")</f>
        <v/>
      </c>
      <c r="AN13">
        <f>IF(AND(ISNUMBER($AC13),ISNUMBER(IF($V13,IF($AL13="","",$AL13),IF($AK13="","",$AK13)))),IF(AND(ABS($AC13-significance_bar)&lt;=2.0*IF($V13,IF($AL13="","",$AL13),IF($AK13="","",$AK13)),OR($Y13="worse",$Y13="worse, not significant",AND(profit_kind="test",$Y13="in line",ISNUMBER($AB13),$AB13&lt;0))),IF(ROUND($AC13,3)=ROUND(significance_bar,3),TEXT($AC13,"0.0000"),TEXT($AC13,"0.000")),""),"")</f>
        <v/>
      </c>
      <c r="AO13">
        <f>IF(OR($AI13="",$AN13=""),$AI13,$AI13&amp;" · borderline (p "&amp;$AN13&amp;")")</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c r="AM14">
        <f>IF(AND(ISNUMBER($AC14),ISNUMBER(IF($V14,IF($AL14="","",$AL14),IF($AK14="","",$AK14)))),IF(AND(ABS($AC14-significance_bar)&lt;=2.0*IF($V14,IF($AL14="","",$AL14),IF($AK14="","",$AK14)),OR($Y14="worse",$Y14="better",$Y14="worse, not significant",$Y14="better, not significant")),IF(ROUND($AC14,3)=ROUND(significance_bar,3),TEXT($AC14,"0.0000"),TEXT($AC14,"0.000")),""),"")</f>
        <v/>
      </c>
      <c r="AN14">
        <f>IF(AND(ISNUMBER($AC14),ISNUMBER(IF($V14,IF($AL14="","",$AL14),IF($AK14="","",$AK14)))),IF(AND(ABS($AC14-significance_bar)&lt;=2.0*IF($V14,IF($AL14="","",$AL14),IF($AK14="","",$AK14)),OR($Y14="worse",$Y14="worse, not significant")),IF(ROUND($AC14,3)=ROUND(significance_bar,3),TEXT($AC14,"0.0000"),TEXT($AC14,"0.000")),""),"")</f>
        <v/>
      </c>
      <c r="AO14">
        <f>IF(OR($AI14="",$AN14=""),$AI14,$AI14&amp;" · borderline (p "&amp;$AN14&amp;")")</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0.03198294243070363</v>
      </c>
      <c r="M15" t="n">
        <v>0.6771166315286687</v>
      </c>
      <c r="N15" t="n">
        <v>0.3198294243070362</v>
      </c>
      <c r="O15" t="n">
        <v>-593037.9233898538</v>
      </c>
      <c r="P15" t="n">
        <v>-324529.25997703</v>
      </c>
      <c r="Q15">
        <f>'_live'!$C$21</f>
        <v/>
      </c>
      <c r="R15" t="inlineStr">
        <is>
          <t>shuffled: 2 of 200</t>
        </is>
      </c>
      <c r="S15" t="inlineStr">
        <is>
          <t>shuffled: 29 of 200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c r="AK15" t="n">
        <v>0.01837280164137962</v>
      </c>
      <c r="AL15" t="n">
        <v>0.0539934211603437</v>
      </c>
      <c r="AM15">
        <f>IF(AND(ISNUMBER($AC15),ISNUMBER(IF($V15,IF($AL15="","",$AL15),IF($AK15="","",$AK15)))),IF(AND(ABS($AC15-significance_bar)&lt;=2.0*IF($V15,IF($AL15="","",$AL15),IF($AK15="","",$AK15)),OR($Y15="worse",$Y15="better",$Y15="worse, not significant",$Y15="better, not significant")),IF(ROUND($AC15,3)=ROUND(significance_bar,3),TEXT($AC15,"0.0000"),TEXT($AC15,"0.000")),""),"")</f>
        <v/>
      </c>
      <c r="AN15">
        <f>IF(AND(ISNUMBER($AC15),ISNUMBER(IF($V15,IF($AL15="","",$AL15),IF($AK15="","",$AK15)))),IF(AND(ABS($AC15-significance_bar)&lt;=2.0*IF($V15,IF($AL15="","",$AL15),IF($AK15="","",$AK15)),OR($Y15="worse",$Y15="worse, not significant")),IF(ROUND($AC15,3)=ROUND(significance_bar,3),TEXT($AC15,"0.0000"),TEXT($AC15,"0.000")),""),"")</f>
        <v/>
      </c>
      <c r="AO15">
        <f>IF(OR($AI15="",$AN15=""),$AI15,$AI15&amp;" · borderline (p "&amp;$AN15&amp;")")</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0.03198294243070363</v>
      </c>
      <c r="M16" t="n">
        <v>0.6818678243913163</v>
      </c>
      <c r="N16" t="n">
        <v>0.3264925373134329</v>
      </c>
      <c r="O16" t="n">
        <v>-327469.5610407831</v>
      </c>
      <c r="P16" t="n">
        <v>-176740.569721237</v>
      </c>
      <c r="Q16">
        <f>'_live'!$C$22</f>
        <v/>
      </c>
      <c r="R16" t="inlineStr">
        <is>
          <t>shuffled: 2 of 200</t>
        </is>
      </c>
      <c r="S16" t="inlineStr">
        <is>
          <t>shuffled: 34 of 200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c r="AK16" t="n">
        <v>0.01837280164137962</v>
      </c>
      <c r="AL16" t="n">
        <v>0.05027803350079055</v>
      </c>
      <c r="AM16">
        <f>IF(AND(ISNUMBER($AC16),ISNUMBER(IF($V16,IF($AL16="","",$AL16),IF($AK16="","",$AK16)))),IF(AND(ABS($AC16-significance_bar)&lt;=2.0*IF($V16,IF($AL16="","",$AL16),IF($AK16="","",$AK16)),OR($Y16="worse",$Y16="better",$Y16="worse, not significant",$Y16="better, not significant")),IF(ROUND($AC16,3)=ROUND(significance_bar,3),TEXT($AC16,"0.0000"),TEXT($AC16,"0.000")),""),"")</f>
        <v/>
      </c>
      <c r="AN16">
        <f>IF(AND(ISNUMBER($AC16),ISNUMBER(IF($V16,IF($AL16="","",$AL16),IF($AK16="","",$AK16)))),IF(AND(ABS($AC16-significance_bar)&lt;=2.0*IF($V16,IF($AL16="","",$AL16),IF($AK16="","",$AK16)),OR($Y16="worse",$Y16="worse, not significant")),IF(ROUND($AC16,3)=ROUND(significance_bar,3),TEXT($AC16,"0.0000"),TEXT($AC16,"0.000")),""),"")</f>
        <v/>
      </c>
      <c r="AO16">
        <f>IF(OR($AI16="",$AN16=""),$AI16,$AI16&amp;" · borderline (p "&amp;$AN16&amp;")")</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0.009452736318407959</v>
      </c>
      <c r="M17" t="n">
        <v>-0.01513520528551406</v>
      </c>
      <c r="N17" t="n">
        <v>0.1611940298507463</v>
      </c>
      <c r="O17" t="n">
        <v>745657.5452685207</v>
      </c>
      <c r="P17" t="n">
        <v>249928.613986888</v>
      </c>
      <c r="Q17">
        <f>'_live'!$C$23</f>
        <v/>
      </c>
      <c r="R17" t="inlineStr">
        <is>
          <t>shuffled: 0 of 200</t>
        </is>
      </c>
      <c r="S17" t="inlineStr">
        <is>
          <t>shuffled: 17 of 200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c r="AK17" t="n">
        <v>0.009452736318407959</v>
      </c>
      <c r="AL17" t="n">
        <v>0.03634320696305019</v>
      </c>
      <c r="AM17">
        <f>IF(AND(ISNUMBER($AC17),ISNUMBER(IF($V17,IF($AL17="","",$AL17),IF($AK17="","",$AK17)))),IF(AND(ABS($AC17-significance_bar)&lt;=2.0*IF($V17,IF($AL17="","",$AL17),IF($AK17="","",$AK17)),OR($Y17="worse",$Y17="better",$Y17="worse, not significant",$Y17="better, not significant",AND(profit_kind="test",$Y17="in line",ISNUMBER($AB17),$AB17&lt;&gt;0))),IF(ROUND($AC17,3)=ROUND(significance_bar,3),TEXT($AC17,"0.0000"),TEXT($AC17,"0.000")),""),"")</f>
        <v/>
      </c>
      <c r="AN17">
        <f>IF(AND(ISNUMBER($AC17),ISNUMBER(IF($V17,IF($AL17="","",$AL17),IF($AK17="","",$AK17)))),IF(AND(ABS($AC17-significance_bar)&lt;=2.0*IF($V17,IF($AL17="","",$AL17),IF($AK17="","",$AK17)),OR($Y17="worse",$Y17="worse, not significant",AND(profit_kind="test",$Y17="in line",ISNUMBER($AB17),$AB17&lt;0))),IF(ROUND($AC17,3)=ROUND(significance_bar,3),TEXT($AC17,"0.0000"),TEXT($AC17,"0.000")),""),"")</f>
        <v/>
      </c>
      <c r="AO17">
        <f>IF(OR($AI17="",$AN17=""),$AI17,$AI17&amp;" · borderline (p "&amp;$AN17&amp;")")</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0.007271335629544585</v>
      </c>
      <c r="M18" t="n">
        <v>-0.02601066941917214</v>
      </c>
      <c r="N18" t="n">
        <v>0.01279317697228145</v>
      </c>
      <c r="O18" t="n">
        <v>1073750.210785175</v>
      </c>
      <c r="P18" t="n">
        <v>428483.6309921339</v>
      </c>
      <c r="Q18">
        <f>'_live'!$C$24</f>
        <v/>
      </c>
      <c r="R18" t="inlineStr">
        <is>
          <t>shuffled: 0 of 200</t>
        </is>
      </c>
      <c r="S18" t="inlineStr">
        <is>
          <t>shuffled: 0 of 200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c r="AK18" t="n">
        <v>0.007271335629544585</v>
      </c>
      <c r="AL18" t="n">
        <v>0.01279317697228145</v>
      </c>
      <c r="AM18">
        <f>IF(AND(ISNUMBER($AC18),ISNUMBER(IF($V18,IF($AL18="","",$AL18),IF($AK18="","",$AK18)))),IF(AND(ABS($AC18-significance_bar)&lt;=2.0*IF($V18,IF($AL18="","",$AL18),IF($AK18="","",$AK18)),OR($Y18="worse",$Y18="better",$Y18="worse, not significant",$Y18="better, not significant",AND(profit_kind="test",$Y18="in line",ISNUMBER($AB18),$AB18&lt;&gt;0))),IF(ROUND($AC18,3)=ROUND(significance_bar,3),TEXT($AC18,"0.0000"),TEXT($AC18,"0.000")),""),"")</f>
        <v/>
      </c>
      <c r="AN18">
        <f>IF(AND(ISNUMBER($AC18),ISNUMBER(IF($V18,IF($AL18="","",$AL18),IF($AK18="","",$AK18)))),IF(AND(ABS($AC18-significance_bar)&lt;=2.0*IF($V18,IF($AL18="","",$AL18),IF($AK18="","",$AK18)),OR($Y18="worse",$Y18="worse, not significant",AND(profit_kind="test",$Y18="in line",ISNUMBER($AB18),$AB18&lt;0))),IF(ROUND($AC18,3)=ROUND(significance_bar,3),TEXT($AC18,"0.0000"),TEXT($AC18,"0.000")),""),"")</f>
        <v/>
      </c>
      <c r="AO18">
        <f>IF(OR($AI18="",$AN18=""),$AI18,$AI18&amp;" · borderline (p "&amp;$AN18&amp;")")</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c r="AM19">
        <f>IF(AND(ISNUMBER($AC19),ISNUMBER(IF($V19,IF($AL19="","",$AL19),IF($AK19="","",$AK19)))),IF(AND(ABS($AC19-significance_bar)&lt;=2.0*IF($V19,IF($AL19="","",$AL19),IF($AK19="","",$AK19)),OR($Y19="worse",$Y19="better",$Y19="worse, not significant",$Y19="better, not significant")),IF(ROUND($AC19,3)=ROUND(significance_bar,3),TEXT($AC19,"0.0000"),TEXT($AC19,"0.000")),""),"")</f>
        <v/>
      </c>
      <c r="AN19">
        <f>IF(AND(ISNUMBER($AC19),ISNUMBER(IF($V19,IF($AL19="","",$AL19),IF($AK19="","",$AK19)))),IF(AND(ABS($AC19-significance_bar)&lt;=2.0*IF($V19,IF($AL19="","",$AL19),IF($AK19="","",$AK19)),OR($Y19="worse",$Y19="worse, not significant")),IF(ROUND($AC19,3)=ROUND(significance_bar,3),TEXT($AC19,"0.0000"),TEXT($AC19,"0.000")),""),"")</f>
        <v/>
      </c>
      <c r="AO19">
        <f>IF(OR($AI19="",$AN19=""),$AI19,$AI19&amp;" · borderline (p "&amp;$AN19&amp;")")</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0.05804311774461029</v>
      </c>
      <c r="M20" t="n">
        <v>0.6039812851062788</v>
      </c>
      <c r="N20" t="n">
        <v>0.01865671641791045</v>
      </c>
      <c r="O20" t="n">
        <v>494357.5361808725</v>
      </c>
      <c r="P20" t="n">
        <v>-1103534.749210148</v>
      </c>
      <c r="Q20">
        <f>'_live'!$C$21</f>
        <v/>
      </c>
      <c r="R20" t="inlineStr">
        <is>
          <t>shuffled: 6 of 200</t>
        </is>
      </c>
      <c r="S20" t="inlineStr">
        <is>
          <t>shuffled: 0 of 200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c r="AK20" t="n">
        <v>0.02160665708257941</v>
      </c>
      <c r="AL20" t="n">
        <v>0.01865671641791045</v>
      </c>
      <c r="AM20">
        <f>IF(AND(ISNUMBER($AC20),ISNUMBER(IF($V20,IF($AL20="","",$AL20),IF($AK20="","",$AK20)))),IF(AND(ABS($AC20-significance_bar)&lt;=2.0*IF($V20,IF($AL20="","",$AL20),IF($AK20="","",$AK20)),OR($Y20="worse",$Y20="better",$Y20="worse, not significant",$Y20="better, not significant")),IF(ROUND($AC20,3)=ROUND(significance_bar,3),TEXT($AC20,"0.0000"),TEXT($AC20,"0.000")),""),"")</f>
        <v/>
      </c>
      <c r="AN20">
        <f>IF(AND(ISNUMBER($AC20),ISNUMBER(IF($V20,IF($AL20="","",$AL20),IF($AK20="","",$AK20)))),IF(AND(ABS($AC20-significance_bar)&lt;=2.0*IF($V20,IF($AL20="","",$AL20),IF($AK20="","",$AK20)),OR($Y20="worse",$Y20="worse, not significant")),IF(ROUND($AC20,3)=ROUND(significance_bar,3),TEXT($AC20,"0.0000"),TEXT($AC20,"0.000")),""),"")</f>
        <v/>
      </c>
      <c r="AO20">
        <f>IF(OR($AI20="",$AN20=""),$AI20,$AI20&amp;" · borderline (p "&amp;$AN20&amp;")")</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0.1119402985074627</v>
      </c>
      <c r="M21" t="n">
        <v>0.5518943693761096</v>
      </c>
      <c r="N21" t="n">
        <v>0.02487562189054726</v>
      </c>
      <c r="O21" t="n">
        <v>213122.1745249684</v>
      </c>
      <c r="P21" t="n">
        <v>-714056.6004070712</v>
      </c>
      <c r="Q21">
        <f>'_live'!$C$22</f>
        <v/>
      </c>
      <c r="R21" t="inlineStr">
        <is>
          <t>shuffled: 13 of 200</t>
        </is>
      </c>
      <c r="S21" t="inlineStr">
        <is>
          <t>shuffled: 0 of 200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c r="AK21" t="n">
        <v>0.02787290954773597</v>
      </c>
      <c r="AL21" t="n">
        <v>0.02487562189054726</v>
      </c>
      <c r="AM21">
        <f>IF(AND(ISNUMBER($AC21),ISNUMBER(IF($V21,IF($AL21="","",$AL21),IF($AK21="","",$AK21)))),IF(AND(ABS($AC21-significance_bar)&lt;=2.0*IF($V21,IF($AL21="","",$AL21),IF($AK21="","",$AK21)),OR($Y21="worse",$Y21="better",$Y21="worse, not significant",$Y21="better, not significant")),IF(ROUND($AC21,3)=ROUND(significance_bar,3),TEXT($AC21,"0.0000"),TEXT($AC21,"0.000")),""),"")</f>
        <v/>
      </c>
      <c r="AN21">
        <f>IF(AND(ISNUMBER($AC21),ISNUMBER(IF($V21,IF($AL21="","",$AL21),IF($AK21="","",$AK21)))),IF(AND(ABS($AC21-significance_bar)&lt;=2.0*IF($V21,IF($AL21="","",$AL21),IF($AK21="","",$AK21)),OR($Y21="worse",$Y21="worse, not significant")),IF(ROUND($AC21,3)=ROUND(significance_bar,3),TEXT($AC21,"0.0000"),TEXT($AC21,"0.000")),""),"")</f>
        <v/>
      </c>
      <c r="AO21">
        <f>IF(OR($AI21="",$AN21=""),$AI21,$AI21&amp;" · borderline (p "&amp;$AN21&amp;")")</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0.009452736318407959</v>
      </c>
      <c r="M22" t="n">
        <v>0.03967676561685449</v>
      </c>
      <c r="N22" t="n">
        <v>0.04477611940298507</v>
      </c>
      <c r="O22" t="n">
        <v>-1553988.478216672</v>
      </c>
      <c r="P22" t="n">
        <v>-648306.716554956</v>
      </c>
      <c r="Q22">
        <f>'_live'!$C$23</f>
        <v/>
      </c>
      <c r="R22" t="inlineStr">
        <is>
          <t>shuffled: 0 of 200</t>
        </is>
      </c>
      <c r="S22" t="inlineStr">
        <is>
          <t>shuffled: 2 of 200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c r="AK22" t="n">
        <v>0.009452736318407959</v>
      </c>
      <c r="AL22" t="n">
        <v>0.02572192229793147</v>
      </c>
      <c r="AM22">
        <f>IF(AND(ISNUMBER($AC22),ISNUMBER(IF($V22,IF($AL22="","",$AL22),IF($AK22="","",$AK22)))),IF(AND(ABS($AC22-significance_bar)&lt;=2.0*IF($V22,IF($AL22="","",$AL22),IF($AK22="","",$AK22)),OR($Y22="worse",$Y22="better",$Y22="worse, not significant",$Y22="better, not significant",AND(profit_kind="test",$Y22="in line",ISNUMBER($AB22),$AB22&lt;&gt;0))),IF(ROUND($AC22,3)=ROUND(significance_bar,3),TEXT($AC22,"0.0000"),TEXT($AC22,"0.000")),""),"")</f>
        <v/>
      </c>
      <c r="AN22">
        <f>IF(AND(ISNUMBER($AC22),ISNUMBER(IF($V22,IF($AL22="","",$AL22),IF($AK22="","",$AK22)))),IF(AND(ABS($AC22-significance_bar)&lt;=2.0*IF($V22,IF($AL22="","",$AL22),IF($AK22="","",$AK22)),OR($Y22="worse",$Y22="worse, not significant",AND(profit_kind="test",$Y22="in line",ISNUMBER($AB22),$AB22&lt;0))),IF(ROUND($AC22,3)=ROUND(significance_bar,3),TEXT($AC22,"0.0000"),TEXT($AC22,"0.000")),""),"")</f>
        <v/>
      </c>
      <c r="AO22">
        <f>IF(OR($AI22="",$AN22=""),$AI22,$AI22&amp;" · borderline (p "&amp;$AN22&amp;")")</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0.007271335629544585</v>
      </c>
      <c r="M23" t="n">
        <v>-0.004023932907556982</v>
      </c>
      <c r="N23" t="n">
        <v>0.66900790166813</v>
      </c>
      <c r="O23" t="n">
        <v>-1767176.686004032</v>
      </c>
      <c r="P23" t="n">
        <v>65749.88385211304</v>
      </c>
      <c r="Q23">
        <f>'_live'!$C$24</f>
        <v/>
      </c>
      <c r="R23" t="inlineStr">
        <is>
          <t>shuffled: 0 of 200</t>
        </is>
      </c>
      <c r="S23" t="inlineStr">
        <is>
          <t>shuffled: 126 of 200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c r="AK23" t="n">
        <v>0.007271335629544585</v>
      </c>
      <c r="AL23" t="n">
        <v>0.03611022951700903</v>
      </c>
      <c r="AM23">
        <f>IF(AND(ISNUMBER($AC23),ISNUMBER(IF($V23,IF($AL23="","",$AL23),IF($AK23="","",$AK23)))),IF(AND(ABS($AC23-significance_bar)&lt;=2.0*IF($V23,IF($AL23="","",$AL23),IF($AK23="","",$AK23)),OR($Y23="worse",$Y23="better",$Y23="worse, not significant",$Y23="better, not significant",AND(profit_kind="test",$Y23="in line",ISNUMBER($AB23),$AB23&lt;&gt;0))),IF(ROUND($AC23,3)=ROUND(significance_bar,3),TEXT($AC23,"0.0000"),TEXT($AC23,"0.000")),""),"")</f>
        <v/>
      </c>
      <c r="AN23">
        <f>IF(AND(ISNUMBER($AC23),ISNUMBER(IF($V23,IF($AL23="","",$AL23),IF($AK23="","",$AK23)))),IF(AND(ABS($AC23-significance_bar)&lt;=2.0*IF($V23,IF($AL23="","",$AL23),IF($AK23="","",$AK23)),OR($Y23="worse",$Y23="worse, not significant",AND(profit_kind="test",$Y23="in line",ISNUMBER($AB23),$AB23&lt;0))),IF(ROUND($AC23,3)=ROUND(significance_bar,3),TEXT($AC23,"0.0000"),TEXT($AC23,"0.000")),""),"")</f>
        <v/>
      </c>
      <c r="AO23">
        <f>IF(OR($AI23="",$AN23=""),$AI23,$AI23&amp;" · borderline (p "&amp;$AN23&amp;")")</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c r="AM24">
        <f>IF(AND(ISNUMBER($AC24),ISNUMBER(IF($V24,IF($AL24="","",$AL24),IF($AK24="","",$AK24)))),IF(AND(ABS($AC24-significance_bar)&lt;=2.0*IF($V24,IF($AL24="","",$AL24),IF($AK24="","",$AK24)),OR($Y24="worse",$Y24="better",$Y24="worse, not significant",$Y24="better, not significant")),IF(ROUND($AC24,3)=ROUND(significance_bar,3),TEXT($AC24,"0.0000"),TEXT($AC24,"0.000")),""),"")</f>
        <v/>
      </c>
      <c r="AN24">
        <f>IF(AND(ISNUMBER($AC24),ISNUMBER(IF($V24,IF($AL24="","",$AL24),IF($AK24="","",$AK24)))),IF(AND(ABS($AC24-significance_bar)&lt;=2.0*IF($V24,IF($AL24="","",$AL24),IF($AK24="","",$AK24)),OR($Y24="worse",$Y24="worse, not significant")),IF(ROUND($AC24,3)=ROUND(significance_bar,3),TEXT($AC24,"0.0000"),TEXT($AC24,"0.000")),""),"")</f>
        <v/>
      </c>
      <c r="AO24">
        <f>IF(OR($AI24="",$AN24=""),$AI24,$AI24&amp;" · borderline (p "&amp;$AN24&amp;")")</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0.01492537313432836</v>
      </c>
      <c r="M25" t="n">
        <v>1.175288487477193</v>
      </c>
      <c r="N25" t="n">
        <v>0.791044776119403</v>
      </c>
      <c r="O25" t="n">
        <v>-595290.2971687946</v>
      </c>
      <c r="P25" t="n">
        <v>100467.242903178</v>
      </c>
      <c r="Q25">
        <f>'_live'!$C$21</f>
        <v/>
      </c>
      <c r="R25" t="inlineStr">
        <is>
          <t>shuffled: 0 of 200</t>
        </is>
      </c>
      <c r="S25" t="inlineStr">
        <is>
          <t>shuffled: 105 of 200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c r="AK25" t="n">
        <v>0.01492537313432836</v>
      </c>
      <c r="AL25" t="n">
        <v>0.05295353276002027</v>
      </c>
      <c r="AM25">
        <f>IF(AND(ISNUMBER($AC25),ISNUMBER(IF($V25,IF($AL25="","",$AL25),IF($AK25="","",$AK25)))),IF(AND(ABS($AC25-significance_bar)&lt;=2.0*IF($V25,IF($AL25="","",$AL25),IF($AK25="","",$AK25)),OR($Y25="worse",$Y25="better",$Y25="worse, not significant",$Y25="better, not significant")),IF(ROUND($AC25,3)=ROUND(significance_bar,3),TEXT($AC25,"0.0000"),TEXT($AC25,"0.000")),""),"")</f>
        <v/>
      </c>
      <c r="AN25">
        <f>IF(AND(ISNUMBER($AC25),ISNUMBER(IF($V25,IF($AL25="","",$AL25),IF($AK25="","",$AK25)))),IF(AND(ABS($AC25-significance_bar)&lt;=2.0*IF($V25,IF($AL25="","",$AL25),IF($AK25="","",$AK25)),OR($Y25="worse",$Y25="worse, not significant")),IF(ROUND($AC25,3)=ROUND(significance_bar,3),TEXT($AC25,"0.0000"),TEXT($AC25,"0.000")),""),"")</f>
        <v/>
      </c>
      <c r="AO25">
        <f>IF(OR($AI25="",$AN25=""),$AI25,$AI25&amp;" · borderline (p "&amp;$AN25&amp;")")</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0.01492537313432836</v>
      </c>
      <c r="M26" t="n">
        <v>1.264427615577086</v>
      </c>
      <c r="N26" t="n">
        <v>0.5746268656716418</v>
      </c>
      <c r="O26" t="n">
        <v>-334017.3853956094</v>
      </c>
      <c r="P26" t="n">
        <v>77732.54473390407</v>
      </c>
      <c r="Q26">
        <f>'_live'!$C$22</f>
        <v/>
      </c>
      <c r="R26" t="inlineStr">
        <is>
          <t>shuffled: 0 of 200</t>
        </is>
      </c>
      <c r="S26" t="inlineStr">
        <is>
          <t>shuffled: 76 of 200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c r="AK26" t="n">
        <v>0.01492537313432836</v>
      </c>
      <c r="AL26" t="n">
        <v>0.05156279006007373</v>
      </c>
      <c r="AM26">
        <f>IF(AND(ISNUMBER($AC26),ISNUMBER(IF($V26,IF($AL26="","",$AL26),IF($AK26="","",$AK26)))),IF(AND(ABS($AC26-significance_bar)&lt;=2.0*IF($V26,IF($AL26="","",$AL26),IF($AK26="","",$AK26)),OR($Y26="worse",$Y26="better",$Y26="worse, not significant",$Y26="better, not significant")),IF(ROUND($AC26,3)=ROUND(significance_bar,3),TEXT($AC26,"0.0000"),TEXT($AC26,"0.000")),""),"")</f>
        <v/>
      </c>
      <c r="AN26">
        <f>IF(AND(ISNUMBER($AC26),ISNUMBER(IF($V26,IF($AL26="","",$AL26),IF($AK26="","",$AK26)))),IF(AND(ABS($AC26-significance_bar)&lt;=2.0*IF($V26,IF($AL26="","",$AL26),IF($AK26="","",$AK26)),OR($Y26="worse",$Y26="worse, not significant")),IF(ROUND($AC26,3)=ROUND(significance_bar,3),TEXT($AC26,"0.0000"),TEXT($AC26,"0.000")),""),"")</f>
        <v/>
      </c>
      <c r="AO26">
        <f>IF(OR($AI26="",$AN26=""),$AI26,$AI26&amp;" · borderline (p "&amp;$AN26&amp;")")</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0.009452736318407959</v>
      </c>
      <c r="M27" t="n">
        <v>-0.003213052463847316</v>
      </c>
      <c r="N27" t="n">
        <v>0.710820895522388</v>
      </c>
      <c r="O27" t="n">
        <v>1465604.285320266</v>
      </c>
      <c r="P27" t="n">
        <v>52855.77279138251</v>
      </c>
      <c r="Q27">
        <f>'_live'!$C$23</f>
        <v/>
      </c>
      <c r="R27" t="inlineStr">
        <is>
          <t>shuffled: 0 of 200</t>
        </is>
      </c>
      <c r="S27" t="inlineStr">
        <is>
          <t>shuffled: 126 of 200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c r="AK27" t="n">
        <v>0.009452736318407959</v>
      </c>
      <c r="AL27" t="n">
        <v>0.03836711886182209</v>
      </c>
      <c r="AM27">
        <f>IF(AND(ISNUMBER($AC27),ISNUMBER(IF($V27,IF($AL27="","",$AL27),IF($AK27="","",$AK27)))),IF(AND(ABS($AC27-significance_bar)&lt;=2.0*IF($V27,IF($AL27="","",$AL27),IF($AK27="","",$AK27)),OR($Y27="worse",$Y27="better",$Y27="worse, not significant",$Y27="better, not significant",AND(profit_kind="test",$Y27="in line",ISNUMBER($AB27),$AB27&lt;&gt;0))),IF(ROUND($AC27,3)=ROUND(significance_bar,3),TEXT($AC27,"0.0000"),TEXT($AC27,"0.000")),""),"")</f>
        <v/>
      </c>
      <c r="AN27">
        <f>IF(AND(ISNUMBER($AC27),ISNUMBER(IF($V27,IF($AL27="","",$AL27),IF($AK27="","",$AK27)))),IF(AND(ABS($AC27-significance_bar)&lt;=2.0*IF($V27,IF($AL27="","",$AL27),IF($AK27="","",$AK27)),OR($Y27="worse",$Y27="worse, not significant",AND(profit_kind="test",$Y27="in line",ISNUMBER($AB27),$AB27&lt;0))),IF(ROUND($AC27,3)=ROUND(significance_bar,3),TEXT($AC27,"0.0000"),TEXT($AC27,"0.000")),""),"")</f>
        <v/>
      </c>
      <c r="AO27">
        <f>IF(OR($AI27="",$AN27=""),$AI27,$AI27&amp;" · borderline (p "&amp;$AN27&amp;")")</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0.007271335629544585</v>
      </c>
      <c r="M28" t="n">
        <v>0.00151223545057165</v>
      </c>
      <c r="N28" t="n">
        <v>0.4925373134328358</v>
      </c>
      <c r="O28" t="n">
        <v>1799586.779093825</v>
      </c>
      <c r="P28" t="n">
        <v>-24876.77194252238</v>
      </c>
      <c r="Q28">
        <f>'_live'!$C$24</f>
        <v/>
      </c>
      <c r="R28" t="inlineStr">
        <is>
          <t>shuffled: 0 of 200</t>
        </is>
      </c>
      <c r="S28" t="inlineStr">
        <is>
          <t>shuffled: 76 of 200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c r="AK28" t="n">
        <v>0.007271335629544585</v>
      </c>
      <c r="AL28" t="n">
        <v>0.0441966771943489</v>
      </c>
      <c r="AM28">
        <f>IF(AND(ISNUMBER($AC28),ISNUMBER(IF($V28,IF($AL28="","",$AL28),IF($AK28="","",$AK28)))),IF(AND(ABS($AC28-significance_bar)&lt;=2.0*IF($V28,IF($AL28="","",$AL28),IF($AK28="","",$AK28)),OR($Y28="worse",$Y28="better",$Y28="worse, not significant",$Y28="better, not significant",AND(profit_kind="test",$Y28="in line",ISNUMBER($AB28),$AB28&lt;&gt;0))),IF(ROUND($AC28,3)=ROUND(significance_bar,3),TEXT($AC28,"0.0000"),TEXT($AC28,"0.000")),""),"")</f>
        <v/>
      </c>
      <c r="AN28">
        <f>IF(AND(ISNUMBER($AC28),ISNUMBER(IF($V28,IF($AL28="","",$AL28),IF($AK28="","",$AK28)))),IF(AND(ABS($AC28-significance_bar)&lt;=2.0*IF($V28,IF($AL28="","",$AL28),IF($AK28="","",$AK28)),OR($Y28="worse",$Y28="worse, not significant",AND(profit_kind="test",$Y28="in line",ISNUMBER($AB28),$AB28&lt;0))),IF(ROUND($AC28,3)=ROUND(significance_bar,3),TEXT($AC28,"0.0000"),TEXT($AC28,"0.000")),""),"")</f>
        <v/>
      </c>
      <c r="AO28">
        <f>IF(OR($AI28="",$AN28=""),$AI28,$AI28&amp;" · borderline (p "&amp;$AN28&amp;")")</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c r="AM29">
        <f>IF(AND(ISNUMBER($AC29),ISNUMBER(IF($V29,IF($AL29="","",$AL29),IF($AK29="","",$AK29)))),IF(AND(ABS($AC29-significance_bar)&lt;=2.0*IF($V29,IF($AL29="","",$AL29),IF($AK29="","",$AK29)),OR($Y29="worse",$Y29="better",$Y29="worse, not significant",$Y29="better, not significant")),IF(ROUND($AC29,3)=ROUND(significance_bar,3),TEXT($AC29,"0.0000"),TEXT($AC29,"0.000")),""),"")</f>
        <v/>
      </c>
      <c r="AN29">
        <f>IF(AND(ISNUMBER($AC29),ISNUMBER(IF($V29,IF($AL29="","",$AL29),IF($AK29="","",$AK29)))),IF(AND(ABS($AC29-significance_bar)&lt;=2.0*IF($V29,IF($AL29="","",$AL29),IF($AK29="","",$AK29)),OR($Y29="worse",$Y29="worse, not significant")),IF(ROUND($AC29,3)=ROUND(significance_bar,3),TEXT($AC29,"0.0000"),TEXT($AC29,"0.000")),""),"")</f>
        <v/>
      </c>
      <c r="AO29">
        <f>IF(OR($AI29="",$AN29=""),$AI29,$AI29&amp;" · borderline (p "&amp;$AN29&amp;")")</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0.01492537313432836</v>
      </c>
      <c r="M30" t="n">
        <v>2.438440600661326</v>
      </c>
      <c r="N30" t="n">
        <v>0.01865671641791045</v>
      </c>
      <c r="O30" t="n">
        <v>3108693.904828939</v>
      </c>
      <c r="P30" t="n">
        <v>2464935.212756606</v>
      </c>
      <c r="Q30">
        <f>'_live'!$C$21</f>
        <v/>
      </c>
      <c r="R30" t="inlineStr">
        <is>
          <t>shuffled: 0 of 200</t>
        </is>
      </c>
      <c r="S30" t="inlineStr">
        <is>
          <t>shuffled: 0 of 200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c r="AK30" t="n">
        <v>0.01492537313432836</v>
      </c>
      <c r="AL30" t="n">
        <v>0.01865671641791045</v>
      </c>
      <c r="AM30">
        <f>IF(AND(ISNUMBER($AC30),ISNUMBER(IF($V30,IF($AL30="","",$AL30),IF($AK30="","",$AK30)))),IF(AND(ABS($AC30-significance_bar)&lt;=2.0*IF($V30,IF($AL30="","",$AL30),IF($AK30="","",$AK30)),OR($Y30="worse",$Y30="better",$Y30="worse, not significant",$Y30="better, not significant")),IF(ROUND($AC30,3)=ROUND(significance_bar,3),TEXT($AC30,"0.0000"),TEXT($AC30,"0.000")),""),"")</f>
        <v/>
      </c>
      <c r="AN30">
        <f>IF(AND(ISNUMBER($AC30),ISNUMBER(IF($V30,IF($AL30="","",$AL30),IF($AK30="","",$AK30)))),IF(AND(ABS($AC30-significance_bar)&lt;=2.0*IF($V30,IF($AL30="","",$AL30),IF($AK30="","",$AK30)),OR($Y30="worse",$Y30="worse, not significant")),IF(ROUND($AC30,3)=ROUND(significance_bar,3),TEXT($AC30,"0.0000"),TEXT($AC30,"0.000")),""),"")</f>
        <v/>
      </c>
      <c r="AO30">
        <f>IF(OR($AI30="",$AN30=""),$AI30,$AI30&amp;" · borderline (p "&amp;$AN30&amp;")")</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0.01492537313432836</v>
      </c>
      <c r="M31" t="n">
        <v>2.623355637889496</v>
      </c>
      <c r="N31" t="n">
        <v>0.02487562189054726</v>
      </c>
      <c r="O31" t="n">
        <v>1826129.129008131</v>
      </c>
      <c r="P31" t="n">
        <v>1494128.584156671</v>
      </c>
      <c r="Q31">
        <f>'_live'!$C$22</f>
        <v/>
      </c>
      <c r="R31" t="inlineStr">
        <is>
          <t>shuffled: 0 of 200</t>
        </is>
      </c>
      <c r="S31" t="inlineStr">
        <is>
          <t>shuffled: 0 of 200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c r="AK31" t="n">
        <v>0.01492537313432836</v>
      </c>
      <c r="AL31" t="n">
        <v>0.02487562189054726</v>
      </c>
      <c r="AM31">
        <f>IF(AND(ISNUMBER($AC31),ISNUMBER(IF($V31,IF($AL31="","",$AL31),IF($AK31="","",$AK31)))),IF(AND(ABS($AC31-significance_bar)&lt;=2.0*IF($V31,IF($AL31="","",$AL31),IF($AK31="","",$AK31)),OR($Y31="worse",$Y31="better",$Y31="worse, not significant",$Y31="better, not significant")),IF(ROUND($AC31,3)=ROUND(significance_bar,3),TEXT($AC31,"0.0000"),TEXT($AC31,"0.000")),""),"")</f>
        <v/>
      </c>
      <c r="AN31">
        <f>IF(AND(ISNUMBER($AC31),ISNUMBER(IF($V31,IF($AL31="","",$AL31),IF($AK31="","",$AK31)))),IF(AND(ABS($AC31-significance_bar)&lt;=2.0*IF($V31,IF($AL31="","",$AL31),IF($AK31="","",$AK31)),OR($Y31="worse",$Y31="worse, not significant")),IF(ROUND($AC31,3)=ROUND(significance_bar,3),TEXT($AC31,"0.0000"),TEXT($AC31,"0.000")),""),"")</f>
        <v/>
      </c>
      <c r="AO31">
        <f>IF(OR($AI31="",$AN31=""),$AI31,$AI31&amp;" · borderline (p "&amp;$AN31&amp;")")</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0.3308457711442786</v>
      </c>
      <c r="M32" t="n">
        <v>-0.07862504872532058</v>
      </c>
      <c r="N32" t="n">
        <v>0.04477611940298507</v>
      </c>
      <c r="O32" t="n">
        <v>-181707.0771161206</v>
      </c>
      <c r="P32" t="n">
        <v>1339854.753083974</v>
      </c>
      <c r="Q32">
        <f>'_live'!$C$23</f>
        <v/>
      </c>
      <c r="R32" t="inlineStr">
        <is>
          <t>shuffled: 48 of 200</t>
        </is>
      </c>
      <c r="S32" t="inlineStr">
        <is>
          <t>shuffled: 0 of 200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c r="AK32" t="n">
        <v>0.04120352235187701</v>
      </c>
      <c r="AL32" t="n">
        <v>0.02572192229793147</v>
      </c>
      <c r="AM32">
        <f>IF(AND(ISNUMBER($AC32),ISNUMBER(IF($V32,IF($AL32="","",$AL32),IF($AK32="","",$AK32)))),IF(AND(ABS($AC32-significance_bar)&lt;=2.0*IF($V32,IF($AL32="","",$AL32),IF($AK32="","",$AK32)),OR($Y32="worse",$Y32="better",$Y32="worse, not significant",$Y32="better, not significant",AND(profit_kind="test",$Y32="in line",ISNUMBER($AB32),$AB32&lt;&gt;0))),IF(ROUND($AC32,3)=ROUND(significance_bar,3),TEXT($AC32,"0.0000"),TEXT($AC32,"0.000")),""),"")</f>
        <v/>
      </c>
      <c r="AN32">
        <f>IF(AND(ISNUMBER($AC32),ISNUMBER(IF($V32,IF($AL32="","",$AL32),IF($AK32="","",$AK32)))),IF(AND(ABS($AC32-significance_bar)&lt;=2.0*IF($V32,IF($AL32="","",$AL32),IF($AK32="","",$AK32)),OR($Y32="worse",$Y32="worse, not significant",AND(profit_kind="test",$Y32="in line",ISNUMBER($AB32),$AB32&lt;0))),IF(ROUND($AC32,3)=ROUND(significance_bar,3),TEXT($AC32,"0.0000"),TEXT($AC32,"0.000")),""),"")</f>
        <v/>
      </c>
      <c r="AO32">
        <f>IF(OR($AI32="",$AN32=""),$AI32,$AI32&amp;" · borderline (p "&amp;$AN32&amp;")")</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0.007271335629544585</v>
      </c>
      <c r="M33" t="n">
        <v>0.009053061503280946</v>
      </c>
      <c r="N33" t="n">
        <v>0.3926521239954076</v>
      </c>
      <c r="O33" t="n">
        <v>-2007890.352094121</v>
      </c>
      <c r="P33" t="n">
        <v>-154273.8310726946</v>
      </c>
      <c r="Q33">
        <f>'_live'!$C$24</f>
        <v/>
      </c>
      <c r="R33" t="inlineStr">
        <is>
          <t>shuffled: 0 of 200</t>
        </is>
      </c>
      <c r="S33" t="inlineStr">
        <is>
          <t>shuffled: 56 of 200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c r="AK33" t="n">
        <v>0.007271335629544585</v>
      </c>
      <c r="AL33" t="n">
        <v>0.04413028898658177</v>
      </c>
      <c r="AM33">
        <f>IF(AND(ISNUMBER($AC33),ISNUMBER(IF($V33,IF($AL33="","",$AL33),IF($AK33="","",$AK33)))),IF(AND(ABS($AC33-significance_bar)&lt;=2.0*IF($V33,IF($AL33="","",$AL33),IF($AK33="","",$AK33)),OR($Y33="worse",$Y33="better",$Y33="worse, not significant",$Y33="better, not significant",AND(profit_kind="test",$Y33="in line",ISNUMBER($AB33),$AB33&lt;&gt;0))),IF(ROUND($AC33,3)=ROUND(significance_bar,3),TEXT($AC33,"0.0000"),TEXT($AC33,"0.000")),""),"")</f>
        <v/>
      </c>
      <c r="AN33">
        <f>IF(AND(ISNUMBER($AC33),ISNUMBER(IF($V33,IF($AL33="","",$AL33),IF($AK33="","",$AK33)))),IF(AND(ABS($AC33-significance_bar)&lt;=2.0*IF($V33,IF($AL33="","",$AL33),IF($AK33="","",$AK33)),OR($Y33="worse",$Y33="worse, not significant",AND(profit_kind="test",$Y33="in line",ISNUMBER($AB33),$AB33&lt;0))),IF(ROUND($AC33,3)=ROUND(significance_bar,3),TEXT($AC33,"0.0000"),TEXT($AC33,"0.000")),""),"")</f>
        <v/>
      </c>
      <c r="AO33">
        <f>IF(OR($AI33="",$AN33=""),$AI33,$AI33&amp;" · borderline (p "&amp;$AN33&amp;")")</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c r="AM34">
        <f>IF(AND(ISNUMBER($AC34),ISNUMBER(IF($V34,IF($AL34="","",$AL34),IF($AK34="","",$AK34)))),IF(AND(ABS($AC34-significance_bar)&lt;=2.0*IF($V34,IF($AL34="","",$AL34),IF($AK34="","",$AK34)),OR($Y34="worse",$Y34="better",$Y34="worse, not significant",$Y34="better, not significant")),IF(ROUND($AC34,3)=ROUND(significance_bar,3),TEXT($AC34,"0.0000"),TEXT($AC34,"0.000")),""),"")</f>
        <v/>
      </c>
      <c r="AN34">
        <f>IF(AND(ISNUMBER($AC34),ISNUMBER(IF($V34,IF($AL34="","",$AL34),IF($AK34="","",$AK34)))),IF(AND(ABS($AC34-significance_bar)&lt;=2.0*IF($V34,IF($AL34="","",$AL34),IF($AK34="","",$AK34)),OR($Y34="worse",$Y34="worse, not significant")),IF(ROUND($AC34,3)=ROUND(significance_bar,3),TEXT($AC34,"0.0000"),TEXT($AC34,"0.000")),""),"")</f>
        <v/>
      </c>
      <c r="AO34">
        <f>IF(OR($AI34="",$AN34=""),$AI34,$AI34&amp;" · borderline (p "&amp;$AN34&amp;")")</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0.03198294243070363</v>
      </c>
      <c r="M35" t="n">
        <v>0.7466818259615715</v>
      </c>
      <c r="N35" t="n">
        <v>0.3980099502487562</v>
      </c>
      <c r="O35" t="n">
        <v>-504282.5031528106</v>
      </c>
      <c r="P35" t="n">
        <v>-259161.2656752625</v>
      </c>
      <c r="Q35">
        <f>'_live'!$C$21</f>
        <v/>
      </c>
      <c r="R35" t="inlineStr">
        <is>
          <t>shuffled: 2 of 200</t>
        </is>
      </c>
      <c r="S35" t="inlineStr">
        <is>
          <t>shuffled: 47 of 200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c r="AK35" t="n">
        <v>0.01837280164137962</v>
      </c>
      <c r="AL35" t="n">
        <v>0.05024629322568198</v>
      </c>
      <c r="AM35">
        <f>IF(AND(ISNUMBER($AC35),ISNUMBER(IF($V35,IF($AL35="","",$AL35),IF($AK35="","",$AK35)))),IF(AND(ABS($AC35-significance_bar)&lt;=2.0*IF($V35,IF($AL35="","",$AL35),IF($AK35="","",$AK35)),OR($Y35="worse",$Y35="better",$Y35="worse, not significant",$Y35="better, not significant")),IF(ROUND($AC35,3)=ROUND(significance_bar,3),TEXT($AC35,"0.0000"),TEXT($AC35,"0.000")),""),"")</f>
        <v/>
      </c>
      <c r="AN35">
        <f>IF(AND(ISNUMBER($AC35),ISNUMBER(IF($V35,IF($AL35="","",$AL35),IF($AK35="","",$AK35)))),IF(AND(ABS($AC35-significance_bar)&lt;=2.0*IF($V35,IF($AL35="","",$AL35),IF($AK35="","",$AK35)),OR($Y35="worse",$Y35="worse, not significant")),IF(ROUND($AC35,3)=ROUND(significance_bar,3),TEXT($AC35,"0.0000"),TEXT($AC35,"0.000")),""),"")</f>
        <v/>
      </c>
      <c r="AO35">
        <f>IF(OR($AI35="",$AN35=""),$AI35,$AI35&amp;" · borderline (p "&amp;$AN35&amp;")")</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0.05597014925373135</v>
      </c>
      <c r="M36" t="n">
        <v>0.7774930635253152</v>
      </c>
      <c r="N36" t="n">
        <v>0.5140961857379768</v>
      </c>
      <c r="O36" t="n">
        <v>-268227.2902916291</v>
      </c>
      <c r="P36" t="n">
        <v>-124809.3322578705</v>
      </c>
      <c r="Q36">
        <f>'_live'!$C$22</f>
        <v/>
      </c>
      <c r="R36" t="inlineStr">
        <is>
          <t>shuffled: 5 of 200</t>
        </is>
      </c>
      <c r="S36" t="inlineStr">
        <is>
          <t>shuffled: 61 of 200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c r="AK36" t="n">
        <v>0.02256228847471609</v>
      </c>
      <c r="AL36" t="n">
        <v>0.05443032647521164</v>
      </c>
      <c r="AM36">
        <f>IF(AND(ISNUMBER($AC36),ISNUMBER(IF($V36,IF($AL36="","",$AL36),IF($AK36="","",$AK36)))),IF(AND(ABS($AC36-significance_bar)&lt;=2.0*IF($V36,IF($AL36="","",$AL36),IF($AK36="","",$AK36)),OR($Y36="worse",$Y36="better",$Y36="worse, not significant",$Y36="better, not significant")),IF(ROUND($AC36,3)=ROUND(significance_bar,3),TEXT($AC36,"0.0000"),TEXT($AC36,"0.000")),""),"")</f>
        <v/>
      </c>
      <c r="AN36">
        <f>IF(AND(ISNUMBER($AC36),ISNUMBER(IF($V36,IF($AL36="","",$AL36),IF($AK36="","",$AK36)))),IF(AND(ABS($AC36-significance_bar)&lt;=2.0*IF($V36,IF($AL36="","",$AL36),IF($AK36="","",$AK36)),OR($Y36="worse",$Y36="worse, not significant")),IF(ROUND($AC36,3)=ROUND(significance_bar,3),TEXT($AC36,"0.0000"),TEXT($AC36,"0.000")),""),"")</f>
        <v/>
      </c>
      <c r="AO36">
        <f>IF(OR($AI36="",$AN36=""),$AI36,$AI36&amp;" · borderline (p "&amp;$AN36&amp;")")</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0.965174129353234</v>
      </c>
      <c r="M37" t="n">
        <v>-0.02224678397985932</v>
      </c>
      <c r="N37" t="n">
        <v>0.04477611940298507</v>
      </c>
      <c r="O37" t="n">
        <v>19695.65518587432</v>
      </c>
      <c r="P37" t="n">
        <v>367438.2848053349</v>
      </c>
      <c r="Q37">
        <f>'_live'!$C$23</f>
        <v/>
      </c>
      <c r="R37" t="inlineStr">
        <is>
          <t>shuffled: 178 of 200</t>
        </is>
      </c>
      <c r="S37" t="inlineStr">
        <is>
          <t>shuffled: 2 of 200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c r="AK37" t="n">
        <v>0.01296399424954764</v>
      </c>
      <c r="AL37" t="n">
        <v>0.02572192229793147</v>
      </c>
      <c r="AM37">
        <f>IF(AND(ISNUMBER($AC37),ISNUMBER(IF($V37,IF($AL37="","",$AL37),IF($AK37="","",$AK37)))),IF(AND(ABS($AC37-significance_bar)&lt;=2.0*IF($V37,IF($AL37="","",$AL37),IF($AK37="","",$AK37)),OR($Y37="worse",$Y37="better",$Y37="worse, not significant",$Y37="better, not significant",AND(profit_kind="test",$Y37="in line",ISNUMBER($AB37),$AB37&lt;&gt;0))),IF(ROUND($AC37,3)=ROUND(significance_bar,3),TEXT($AC37,"0.0000"),TEXT($AC37,"0.000")),""),"")</f>
        <v/>
      </c>
      <c r="AN37">
        <f>IF(AND(ISNUMBER($AC37),ISNUMBER(IF($V37,IF($AL37="","",$AL37),IF($AK37="","",$AK37)))),IF(AND(ABS($AC37-significance_bar)&lt;=2.0*IF($V37,IF($AL37="","",$AL37),IF($AK37="","",$AK37)),OR($Y37="worse",$Y37="worse, not significant",AND(profit_kind="test",$Y37="in line",ISNUMBER($AB37),$AB37&lt;0))),IF(ROUND($AC37,3)=ROUND(significance_bar,3),TEXT($AC37,"0.0000"),TEXT($AC37,"0.000")),""),"")</f>
        <v/>
      </c>
      <c r="AO37">
        <f>IF(OR($AI37="",$AN37=""),$AI37,$AI37&amp;" · borderline (p "&amp;$AN37&amp;")")</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0.01350390902629709</v>
      </c>
      <c r="M38" t="n">
        <v>-0.0298034441544581</v>
      </c>
      <c r="N38" t="n">
        <v>0.01279317697228145</v>
      </c>
      <c r="O38" t="n">
        <v>287872.6983662769</v>
      </c>
      <c r="P38" t="n">
        <v>492247.6170632062</v>
      </c>
      <c r="Q38">
        <f>'_live'!$C$24</f>
        <v/>
      </c>
      <c r="R38" t="inlineStr">
        <is>
          <t>shuffled: 1 of 200</t>
        </is>
      </c>
      <c r="S38" t="inlineStr">
        <is>
          <t>shuffled: 0 of 200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c r="AK38" t="n">
        <v>0.00952480396637</v>
      </c>
      <c r="AL38" t="n">
        <v>0.01279317697228145</v>
      </c>
      <c r="AM38">
        <f>IF(AND(ISNUMBER($AC38),ISNUMBER(IF($V38,IF($AL38="","",$AL38),IF($AK38="","",$AK38)))),IF(AND(ABS($AC38-significance_bar)&lt;=2.0*IF($V38,IF($AL38="","",$AL38),IF($AK38="","",$AK38)),OR($Y38="worse",$Y38="better",$Y38="worse, not significant",$Y38="better, not significant",AND(profit_kind="test",$Y38="in line",ISNUMBER($AB38),$AB38&lt;&gt;0))),IF(ROUND($AC38,3)=ROUND(significance_bar,3),TEXT($AC38,"0.0000"),TEXT($AC38,"0.000")),""),"")</f>
        <v/>
      </c>
      <c r="AN38">
        <f>IF(AND(ISNUMBER($AC38),ISNUMBER(IF($V38,IF($AL38="","",$AL38),IF($AK38="","",$AK38)))),IF(AND(ABS($AC38-significance_bar)&lt;=2.0*IF($V38,IF($AL38="","",$AL38),IF($AK38="","",$AK38)),OR($Y38="worse",$Y38="worse, not significant",AND(profit_kind="test",$Y38="in line",ISNUMBER($AB38),$AB38&lt;0))),IF(ROUND($AC38,3)=ROUND(significance_bar,3),TEXT($AC38,"0.0000"),TEXT($AC38,"0.000")),""),"")</f>
        <v/>
      </c>
      <c r="AO38">
        <f>IF(OR($AI38="",$AN38=""),$AI38,$AI38&amp;" · borderline (p "&amp;$AN38&amp;")")</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c r="AM39">
        <f>IF(AND(ISNUMBER($AC39),ISNUMBER(IF($V39,IF($AL39="","",$AL39),IF($AK39="","",$AK39)))),IF(AND(ABS($AC39-significance_bar)&lt;=2.0*IF($V39,IF($AL39="","",$AL39),IF($AK39="","",$AK39)),OR($Y39="worse",$Y39="better",$Y39="worse, not significant",$Y39="better, not significant")),IF(ROUND($AC39,3)=ROUND(significance_bar,3),TEXT($AC39,"0.0000"),TEXT($AC39,"0.000")),""),"")</f>
        <v/>
      </c>
      <c r="AN39">
        <f>IF(AND(ISNUMBER($AC39),ISNUMBER(IF($V39,IF($AL39="","",$AL39),IF($AK39="","",$AK39)))),IF(AND(ABS($AC39-significance_bar)&lt;=2.0*IF($V39,IF($AL39="","",$AL39),IF($AK39="","",$AK39)),OR($Y39="worse",$Y39="worse, not significant")),IF(ROUND($AC39,3)=ROUND(significance_bar,3),TEXT($AC39,"0.0000"),TEXT($AC39,"0.000")),""),"")</f>
        <v/>
      </c>
      <c r="AO39">
        <f>IF(OR($AI39="",$AN39=""),$AI39,$AI39&amp;" · borderline (p "&amp;$AN39&amp;")")</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0.5721393034825871</v>
      </c>
      <c r="M40" t="n">
        <v>2.172307734022388</v>
      </c>
      <c r="N40" t="n">
        <v>0.01865671641791045</v>
      </c>
      <c r="O40" t="n">
        <v>168004.1815526905</v>
      </c>
      <c r="P40" t="n">
        <v>825986.9559946364</v>
      </c>
      <c r="Q40">
        <f>'_live'!$C$21</f>
        <v/>
      </c>
      <c r="R40" t="inlineStr">
        <is>
          <t>shuffled: 91 of 200</t>
        </is>
      </c>
      <c r="S40" t="inlineStr">
        <is>
          <t>shuffled: 0 of 200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c r="AK40" t="n">
        <v>0.04403582330124498</v>
      </c>
      <c r="AL40" t="n">
        <v>0.01865671641791045</v>
      </c>
      <c r="AM40">
        <f>IF(AND(ISNUMBER($AC40),ISNUMBER(IF($V40,IF($AL40="","",$AL40),IF($AK40="","",$AK40)))),IF(AND(ABS($AC40-significance_bar)&lt;=2.0*IF($V40,IF($AL40="","",$AL40),IF($AK40="","",$AK40)),OR($Y40="worse",$Y40="better",$Y40="worse, not significant",$Y40="better, not significant")),IF(ROUND($AC40,3)=ROUND(significance_bar,3),TEXT($AC40,"0.0000"),TEXT($AC40,"0.000")),""),"")</f>
        <v/>
      </c>
      <c r="AN40">
        <f>IF(AND(ISNUMBER($AC40),ISNUMBER(IF($V40,IF($AL40="","",$AL40),IF($AK40="","",$AK40)))),IF(AND(ABS($AC40-significance_bar)&lt;=2.0*IF($V40,IF($AL40="","",$AL40),IF($AK40="","",$AK40)),OR($Y40="worse",$Y40="worse, not significant")),IF(ROUND($AC40,3)=ROUND(significance_bar,3),TEXT($AC40,"0.0000"),TEXT($AC40,"0.000")),""),"")</f>
        <v/>
      </c>
      <c r="AO40">
        <f>IF(OR($AI40="",$AN40=""),$AI40,$AI40&amp;" · borderline (p "&amp;$AN40&amp;")")</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0.7587064676616916</v>
      </c>
      <c r="M41" t="n">
        <v>2.06437015854151</v>
      </c>
      <c r="N41" t="n">
        <v>0.02487562189054726</v>
      </c>
      <c r="O41" t="n">
        <v>70704.8396819632</v>
      </c>
      <c r="P41" t="n">
        <v>427896.3942571366</v>
      </c>
      <c r="Q41">
        <f>'_live'!$C$22</f>
        <v/>
      </c>
      <c r="R41" t="inlineStr">
        <is>
          <t>shuffled: 121 of 200</t>
        </is>
      </c>
      <c r="S41" t="inlineStr">
        <is>
          <t>shuffled: 0 of 200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c r="AK41" t="n">
        <v>0.04317103082539454</v>
      </c>
      <c r="AL41" t="n">
        <v>0.02487562189054726</v>
      </c>
      <c r="AM41">
        <f>IF(AND(ISNUMBER($AC41),ISNUMBER(IF($V41,IF($AL41="","",$AL41),IF($AK41="","",$AK41)))),IF(AND(ABS($AC41-significance_bar)&lt;=2.0*IF($V41,IF($AL41="","",$AL41),IF($AK41="","",$AK41)),OR($Y41="worse",$Y41="better",$Y41="worse, not significant",$Y41="better, not significant")),IF(ROUND($AC41,3)=ROUND(significance_bar,3),TEXT($AC41,"0.0000"),TEXT($AC41,"0.000")),""),"")</f>
        <v/>
      </c>
      <c r="AN41">
        <f>IF(AND(ISNUMBER($AC41),ISNUMBER(IF($V41,IF($AL41="","",$AL41),IF($AK41="","",$AK41)))),IF(AND(ABS($AC41-significance_bar)&lt;=2.0*IF($V41,IF($AL41="","",$AL41),IF($AK41="","",$AK41)),OR($Y41="worse",$Y41="worse, not significant")),IF(ROUND($AC41,3)=ROUND(significance_bar,3),TEXT($AC41,"0.0000"),TEXT($AC41,"0.000")),""),"")</f>
        <v/>
      </c>
      <c r="AO41">
        <f>IF(OR($AI41="",$AN41=""),$AI41,$AI41&amp;" · borderline (p "&amp;$AN41&amp;")")</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0.06544202066590125</v>
      </c>
      <c r="M42" t="n">
        <v>0.02101666414595046</v>
      </c>
      <c r="N42" t="n">
        <v>0.0511727078891258</v>
      </c>
      <c r="O42" t="n">
        <v>366996.9796407784</v>
      </c>
      <c r="P42" t="n">
        <v>-386053.2224953561</v>
      </c>
      <c r="Q42">
        <f>'_live'!$C$23</f>
        <v/>
      </c>
      <c r="R42" t="inlineStr">
        <is>
          <t>shuffled: 8 of 200</t>
        </is>
      </c>
      <c r="S42" t="inlineStr">
        <is>
          <t>shuffled: 3 of 200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c r="AK42" t="n">
        <v>0.02137327444908399</v>
      </c>
      <c r="AL42" t="n">
        <v>0.02539373122551711</v>
      </c>
      <c r="AM42">
        <f>IF(AND(ISNUMBER($AC42),ISNUMBER(IF($V42,IF($AL42="","",$AL42),IF($AK42="","",$AK42)))),IF(AND(ABS($AC42-significance_bar)&lt;=2.0*IF($V42,IF($AL42="","",$AL42),IF($AK42="","",$AK42)),OR($Y42="worse",$Y42="better",$Y42="worse, not significant",$Y42="better, not significant",AND(profit_kind="test",$Y42="in line",ISNUMBER($AB42),$AB42&lt;&gt;0))),IF(ROUND($AC42,3)=ROUND(significance_bar,3),TEXT($AC42,"0.0000"),TEXT($AC42,"0.000")),""),"")</f>
        <v/>
      </c>
      <c r="AN42">
        <f>IF(AND(ISNUMBER($AC42),ISNUMBER(IF($V42,IF($AL42="","",$AL42),IF($AK42="","",$AK42)))),IF(AND(ABS($AC42-significance_bar)&lt;=2.0*IF($V42,IF($AL42="","",$AL42),IF($AK42="","",$AK42)),OR($Y42="worse",$Y42="worse, not significant",AND(profit_kind="test",$Y42="in line",ISNUMBER($AB42),$AB42&lt;0))),IF(ROUND($AC42,3)=ROUND(significance_bar,3),TEXT($AC42,"0.0000"),TEXT($AC42,"0.000")),""),"")</f>
        <v/>
      </c>
      <c r="AO42">
        <f>IF(OR($AI42="",$AN42=""),$AI42,$AI42&amp;" · borderline (p "&amp;$AN42&amp;")")</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0.01772388059701492</v>
      </c>
      <c r="M43" t="n">
        <v>0.04438184236778041</v>
      </c>
      <c r="N43" t="n">
        <v>0.01279317697228145</v>
      </c>
      <c r="O43" t="n">
        <v>296239.9186806455</v>
      </c>
      <c r="P43" t="n">
        <v>-815246.0898350475</v>
      </c>
      <c r="Q43">
        <f>'_live'!$C$24</f>
        <v/>
      </c>
      <c r="R43" t="inlineStr">
        <is>
          <t>shuffled: 2 of 200</t>
        </is>
      </c>
      <c r="S43" t="inlineStr">
        <is>
          <t>shuffled: 0 of 200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c r="AK43" t="n">
        <v>0.01018159424293121</v>
      </c>
      <c r="AL43" t="n">
        <v>0.01279317697228145</v>
      </c>
      <c r="AM43">
        <f>IF(AND(ISNUMBER($AC43),ISNUMBER(IF($V43,IF($AL43="","",$AL43),IF($AK43="","",$AK43)))),IF(AND(ABS($AC43-significance_bar)&lt;=2.0*IF($V43,IF($AL43="","",$AL43),IF($AK43="","",$AK43)),OR($Y43="worse",$Y43="better",$Y43="worse, not significant",$Y43="better, not significant",AND(profit_kind="test",$Y43="in line",ISNUMBER($AB43),$AB43&lt;&gt;0))),IF(ROUND($AC43,3)=ROUND(significance_bar,3),TEXT($AC43,"0.0000"),TEXT($AC43,"0.000")),""),"")</f>
        <v/>
      </c>
      <c r="AN43">
        <f>IF(AND(ISNUMBER($AC43),ISNUMBER(IF($V43,IF($AL43="","",$AL43),IF($AK43="","",$AK43)))),IF(AND(ABS($AC43-significance_bar)&lt;=2.0*IF($V43,IF($AL43="","",$AL43),IF($AK43="","",$AK43)),OR($Y43="worse",$Y43="worse, not significant",AND(profit_kind="test",$Y43="in line",ISNUMBER($AB43),$AB43&lt;0))),IF(ROUND($AC43,3)=ROUND(significance_bar,3),TEXT($AC43,"0.0000"),TEXT($AC43,"0.000")),""),"")</f>
        <v/>
      </c>
      <c r="AO43">
        <f>IF(OR($AI43="",$AN43=""),$AI43,$AI43&amp;" · borderline (p "&amp;$AN43&amp;")")</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c r="AM44">
        <f>IF(AND(ISNUMBER($AC44),ISNUMBER(IF($V44,IF($AL44="","",$AL44),IF($AK44="","",$AK44)))),IF(AND(ABS($AC44-significance_bar)&lt;=2.0*IF($V44,IF($AL44="","",$AL44),IF($AK44="","",$AK44)),OR($Y44="worse",$Y44="better",$Y44="worse, not significant",$Y44="better, not significant")),IF(ROUND($AC44,3)=ROUND(significance_bar,3),TEXT($AC44,"0.0000"),TEXT($AC44,"0.000")),""),"")</f>
        <v/>
      </c>
      <c r="AN44">
        <f>IF(AND(ISNUMBER($AC44),ISNUMBER(IF($V44,IF($AL44="","",$AL44),IF($AK44="","",$AK44)))),IF(AND(ABS($AC44-significance_bar)&lt;=2.0*IF($V44,IF($AL44="","",$AL44),IF($AK44="","",$AK44)),OR($Y44="worse",$Y44="worse, not significant")),IF(ROUND($AC44,3)=ROUND(significance_bar,3),TEXT($AC44,"0.0000"),TEXT($AC44,"0.000")),""),"")</f>
        <v/>
      </c>
      <c r="AO44">
        <f>IF(OR($AI44="",$AN44=""),$AI44,$AI44&amp;" · borderline (p "&amp;$AN44&amp;")")</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0.01492537313432836</v>
      </c>
      <c r="M45" t="n">
        <v>0.8769839649578951</v>
      </c>
      <c r="N45" t="n">
        <v>0.8315565031982943</v>
      </c>
      <c r="O45" t="n">
        <v>-754803.0898030138</v>
      </c>
      <c r="P45" t="n">
        <v>-81016.07013701263</v>
      </c>
      <c r="Q45">
        <f>'_live'!$C$21</f>
        <v/>
      </c>
      <c r="R45" t="inlineStr">
        <is>
          <t>shuffled: 0 of 200</t>
        </is>
      </c>
      <c r="S45" t="inlineStr">
        <is>
          <t>shuffled: 137 of 200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c r="AK45" t="n">
        <v>0.01492537313432836</v>
      </c>
      <c r="AL45" t="n">
        <v>0.03158062525287553</v>
      </c>
      <c r="AM45">
        <f>IF(AND(ISNUMBER($AC45),ISNUMBER(IF($V45,IF($AL45="","",$AL45),IF($AK45="","",$AK45)))),IF(AND(ABS($AC45-significance_bar)&lt;=2.0*IF($V45,IF($AL45="","",$AL45),IF($AK45="","",$AK45)),OR($Y45="worse",$Y45="better",$Y45="worse, not significant",$Y45="better, not significant")),IF(ROUND($AC45,3)=ROUND(significance_bar,3),TEXT($AC45,"0.0000"),TEXT($AC45,"0.000")),""),"")</f>
        <v/>
      </c>
      <c r="AN45">
        <f>IF(AND(ISNUMBER($AC45),ISNUMBER(IF($V45,IF($AL45="","",$AL45),IF($AK45="","",$AK45)))),IF(AND(ABS($AC45-significance_bar)&lt;=2.0*IF($V45,IF($AL45="","",$AL45),IF($AK45="","",$AK45)),OR($Y45="worse",$Y45="worse, not significant")),IF(ROUND($AC45,3)=ROUND(significance_bar,3),TEXT($AC45,"0.0000"),TEXT($AC45,"0.000")),""),"")</f>
        <v/>
      </c>
      <c r="AO45">
        <f>IF(OR($AI45="",$AN45=""),$AI45,$AI45&amp;" · borderline (p "&amp;$AN45&amp;")")</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0.01492537313432836</v>
      </c>
      <c r="M46" t="n">
        <v>0.8957851944368566</v>
      </c>
      <c r="N46" t="n">
        <v>0.7729211087420043</v>
      </c>
      <c r="O46" t="n">
        <v>-432848.2549674665</v>
      </c>
      <c r="P46" t="n">
        <v>-35929.11921097885</v>
      </c>
      <c r="Q46">
        <f>'_live'!$C$22</f>
        <v/>
      </c>
      <c r="R46" t="inlineStr">
        <is>
          <t>shuffled: 0 of 200</t>
        </is>
      </c>
      <c r="S46" t="inlineStr">
        <is>
          <t>shuffled: 144 of 200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c r="AK46" t="n">
        <v>0.01492537313432836</v>
      </c>
      <c r="AL46" t="n">
        <v>0.03396488768032833</v>
      </c>
      <c r="AM46">
        <f>IF(AND(ISNUMBER($AC46),ISNUMBER(IF($V46,IF($AL46="","",$AL46),IF($AK46="","",$AK46)))),IF(AND(ABS($AC46-significance_bar)&lt;=2.0*IF($V46,IF($AL46="","",$AL46),IF($AK46="","",$AK46)),OR($Y46="worse",$Y46="better",$Y46="worse, not significant",$Y46="better, not significant")),IF(ROUND($AC46,3)=ROUND(significance_bar,3),TEXT($AC46,"0.0000"),TEXT($AC46,"0.000")),""),"")</f>
        <v/>
      </c>
      <c r="AN46">
        <f>IF(AND(ISNUMBER($AC46),ISNUMBER(IF($V46,IF($AL46="","",$AL46),IF($AK46="","",$AK46)))),IF(AND(ABS($AC46-significance_bar)&lt;=2.0*IF($V46,IF($AL46="","",$AL46),IF($AK46="","",$AK46)),OR($Y46="worse",$Y46="worse, not significant")),IF(ROUND($AC46,3)=ROUND(significance_bar,3),TEXT($AC46,"0.0000"),TEXT($AC46,"0.000")),""),"")</f>
        <v/>
      </c>
      <c r="AO46">
        <f>IF(OR($AI46="",$AN46=""),$AI46,$AI46&amp;" · borderline (p "&amp;$AN46&amp;")")</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0.009452736318407959</v>
      </c>
      <c r="M47" t="n">
        <v>0.003387521244378633</v>
      </c>
      <c r="N47" t="n">
        <v>0.710820895522388</v>
      </c>
      <c r="O47" t="n">
        <v>1450143.451818772</v>
      </c>
      <c r="P47" t="n">
        <v>-58047.43356008246</v>
      </c>
      <c r="Q47">
        <f>'_live'!$C$23</f>
        <v/>
      </c>
      <c r="R47" t="inlineStr">
        <is>
          <t>shuffled: 0 of 200</t>
        </is>
      </c>
      <c r="S47" t="inlineStr">
        <is>
          <t>shuffled: 126 of 200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c r="AK47" t="n">
        <v>0.009452736318407959</v>
      </c>
      <c r="AL47" t="n">
        <v>0.03836711886182209</v>
      </c>
      <c r="AM47">
        <f>IF(AND(ISNUMBER($AC47),ISNUMBER(IF($V47,IF($AL47="","",$AL47),IF($AK47="","",$AK47)))),IF(AND(ABS($AC47-significance_bar)&lt;=2.0*IF($V47,IF($AL47="","",$AL47),IF($AK47="","",$AK47)),OR($Y47="worse",$Y47="better",$Y47="worse, not significant",$Y47="better, not significant",AND(profit_kind="test",$Y47="in line",ISNUMBER($AB47),$AB47&lt;&gt;0))),IF(ROUND($AC47,3)=ROUND(significance_bar,3),TEXT($AC47,"0.0000"),TEXT($AC47,"0.000")),""),"")</f>
        <v/>
      </c>
      <c r="AN47">
        <f>IF(AND(ISNUMBER($AC47),ISNUMBER(IF($V47,IF($AL47="","",$AL47),IF($AK47="","",$AK47)))),IF(AND(ABS($AC47-significance_bar)&lt;=2.0*IF($V47,IF($AL47="","",$AL47),IF($AK47="","",$AK47)),OR($Y47="worse",$Y47="worse, not significant",AND(profit_kind="test",$Y47="in line",ISNUMBER($AB47),$AB47&lt;0))),IF(ROUND($AC47,3)=ROUND(significance_bar,3),TEXT($AC47,"0.0000"),TEXT($AC47,"0.000")),""),"")</f>
        <v/>
      </c>
      <c r="AO47">
        <f>IF(OR($AI47="",$AN47=""),$AI47,$AI47&amp;" · borderline (p "&amp;$AN47&amp;")")</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0.007271335629544585</v>
      </c>
      <c r="M48" t="n">
        <v>0.001290776441819352</v>
      </c>
      <c r="N48" t="n">
        <v>0.537313432835821</v>
      </c>
      <c r="O48" t="n">
        <v>1882955.089024423</v>
      </c>
      <c r="P48" t="n">
        <v>-22118.31434910232</v>
      </c>
      <c r="Q48">
        <f>'_live'!$C$24</f>
        <v/>
      </c>
      <c r="R48" t="inlineStr">
        <is>
          <t>shuffled: 0 of 200</t>
        </is>
      </c>
      <c r="S48" t="inlineStr">
        <is>
          <t>shuffled: 89 of 200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c r="AK48" t="n">
        <v>0.007271335629544585</v>
      </c>
      <c r="AL48" t="n">
        <v>0.04219421727542596</v>
      </c>
      <c r="AM48">
        <f>IF(AND(ISNUMBER($AC48),ISNUMBER(IF($V48,IF($AL48="","",$AL48),IF($AK48="","",$AK48)))),IF(AND(ABS($AC48-significance_bar)&lt;=2.0*IF($V48,IF($AL48="","",$AL48),IF($AK48="","",$AK48)),OR($Y48="worse",$Y48="better",$Y48="worse, not significant",$Y48="better, not significant",AND(profit_kind="test",$Y48="in line",ISNUMBER($AB48),$AB48&lt;&gt;0))),IF(ROUND($AC48,3)=ROUND(significance_bar,3),TEXT($AC48,"0.0000"),TEXT($AC48,"0.000")),""),"")</f>
        <v/>
      </c>
      <c r="AN48">
        <f>IF(AND(ISNUMBER($AC48),ISNUMBER(IF($V48,IF($AL48="","",$AL48),IF($AK48="","",$AK48)))),IF(AND(ABS($AC48-significance_bar)&lt;=2.0*IF($V48,IF($AL48="","",$AL48),IF($AK48="","",$AK48)),OR($Y48="worse",$Y48="worse, not significant",AND(profit_kind="test",$Y48="in line",ISNUMBER($AB48),$AB48&lt;0))),IF(ROUND($AC48,3)=ROUND(significance_bar,3),TEXT($AC48,"0.0000"),TEXT($AC48,"0.000")),""),"")</f>
        <v/>
      </c>
      <c r="AO48">
        <f>IF(OR($AI48="",$AN48=""),$AI48,$AI48&amp;" · borderline (p "&amp;$AN48&amp;")")</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c r="AM49">
        <f>IF(AND(ISNUMBER($AC49),ISNUMBER(IF($V49,IF($AL49="","",$AL49),IF($AK49="","",$AK49)))),IF(AND(ABS($AC49-significance_bar)&lt;=2.0*IF($V49,IF($AL49="","",$AL49),IF($AK49="","",$AK49)),OR($Y49="worse",$Y49="better",$Y49="worse, not significant",$Y49="better, not significant")),IF(ROUND($AC49,3)=ROUND(significance_bar,3),TEXT($AC49,"0.0000"),TEXT($AC49,"0.000")),""),"")</f>
        <v/>
      </c>
      <c r="AN49">
        <f>IF(AND(ISNUMBER($AC49),ISNUMBER(IF($V49,IF($AL49="","",$AL49),IF($AK49="","",$AK49)))),IF(AND(ABS($AC49-significance_bar)&lt;=2.0*IF($V49,IF($AL49="","",$AL49),IF($AK49="","",$AK49)),OR($Y49="worse",$Y49="worse, not significant")),IF(ROUND($AC49,3)=ROUND(significance_bar,3),TEXT($AC49,"0.0000"),TEXT($AC49,"0.000")),""),"")</f>
        <v/>
      </c>
      <c r="AO49">
        <f>IF(OR($AI49="",$AN49=""),$AI49,$AI49&amp;" · borderline (p "&amp;$AN49&amp;")")</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0.01492537313432836</v>
      </c>
      <c r="M50" t="n">
        <v>0.9661081622512918</v>
      </c>
      <c r="N50" t="n">
        <v>0.900497512437811</v>
      </c>
      <c r="O50" t="n">
        <v>-704136.4534518097</v>
      </c>
      <c r="P50" t="n">
        <v>-21387.78429191583</v>
      </c>
      <c r="Q50">
        <f>'_live'!$C$21</f>
        <v/>
      </c>
      <c r="R50" t="inlineStr">
        <is>
          <t>shuffled: 0 of 200</t>
        </is>
      </c>
      <c r="S50" t="inlineStr">
        <is>
          <t>shuffled: 180 of 200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c r="AK50" t="n">
        <v>0.01492537313432836</v>
      </c>
      <c r="AL50" t="n">
        <v>0.02116621630465935</v>
      </c>
      <c r="AM50">
        <f>IF(AND(ISNUMBER($AC50),ISNUMBER(IF($V50,IF($AL50="","",$AL50),IF($AK50="","",$AK50)))),IF(AND(ABS($AC50-significance_bar)&lt;=2.0*IF($V50,IF($AL50="","",$AL50),IF($AK50="","",$AK50)),OR($Y50="worse",$Y50="better",$Y50="worse, not significant",$Y50="better, not significant")),IF(ROUND($AC50,3)=ROUND(significance_bar,3),TEXT($AC50,"0.0000"),TEXT($AC50,"0.000")),""),"")</f>
        <v/>
      </c>
      <c r="AN50">
        <f>IF(AND(ISNUMBER($AC50),ISNUMBER(IF($V50,IF($AL50="","",$AL50),IF($AK50="","",$AK50)))),IF(AND(ABS($AC50-significance_bar)&lt;=2.0*IF($V50,IF($AL50="","",$AL50),IF($AK50="","",$AK50)),OR($Y50="worse",$Y50="worse, not significant")),IF(ROUND($AC50,3)=ROUND(significance_bar,3),TEXT($AC50,"0.0000"),TEXT($AC50,"0.000")),""),"")</f>
        <v/>
      </c>
      <c r="AO50">
        <f>IF(OR($AI50="",$AN50=""),$AI50,$AI50&amp;" · borderline (p "&amp;$AN50&amp;")")</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0.01492537313432836</v>
      </c>
      <c r="M51" t="n">
        <v>0.8742978867022101</v>
      </c>
      <c r="N51" t="n">
        <v>0.7290470723306544</v>
      </c>
      <c r="O51" t="n">
        <v>-433125.4424118275</v>
      </c>
      <c r="P51" t="n">
        <v>-43145.7379332484</v>
      </c>
      <c r="Q51">
        <f>'_live'!$C$22</f>
        <v/>
      </c>
      <c r="R51" t="inlineStr">
        <is>
          <t>shuffled: 0 of 200</t>
        </is>
      </c>
      <c r="S51" t="inlineStr">
        <is>
          <t>shuffled: 126 of 200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c r="AK51" t="n">
        <v>0.01492537313432836</v>
      </c>
      <c r="AL51" t="n">
        <v>0.03935089114033035</v>
      </c>
      <c r="AM51">
        <f>IF(AND(ISNUMBER($AC51),ISNUMBER(IF($V51,IF($AL51="","",$AL51),IF($AK51="","",$AK51)))),IF(AND(ABS($AC51-significance_bar)&lt;=2.0*IF($V51,IF($AL51="","",$AL51),IF($AK51="","",$AK51)),OR($Y51="worse",$Y51="better",$Y51="worse, not significant",$Y51="better, not significant")),IF(ROUND($AC51,3)=ROUND(significance_bar,3),TEXT($AC51,"0.0000"),TEXT($AC51,"0.000")),""),"")</f>
        <v/>
      </c>
      <c r="AN51">
        <f>IF(AND(ISNUMBER($AC51),ISNUMBER(IF($V51,IF($AL51="","",$AL51),IF($AK51="","",$AK51)))),IF(AND(ABS($AC51-significance_bar)&lt;=2.0*IF($V51,IF($AL51="","",$AL51),IF($AK51="","",$AK51)),OR($Y51="worse",$Y51="worse, not significant")),IF(ROUND($AC51,3)=ROUND(significance_bar,3),TEXT($AC51,"0.0000"),TEXT($AC51,"0.000")),""),"")</f>
        <v/>
      </c>
      <c r="AO51">
        <f>IF(OR($AI51="",$AN51=""),$AI51,$AI51&amp;" · borderline (p "&amp;$AN51&amp;")")</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0.009452736318407959</v>
      </c>
      <c r="M52" t="n">
        <v>-0.0002410208037530795</v>
      </c>
      <c r="N52" t="n">
        <v>0.9502487562189054</v>
      </c>
      <c r="O52" t="n">
        <v>1475889.643724635</v>
      </c>
      <c r="P52" t="n">
        <v>4082.831726538832</v>
      </c>
      <c r="Q52">
        <f>'_live'!$C$23</f>
        <v/>
      </c>
      <c r="R52" t="inlineStr">
        <is>
          <t>shuffled: 0 of 200</t>
        </is>
      </c>
      <c r="S52" t="inlineStr">
        <is>
          <t>shuffled: 190 of 200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c r="AK52" t="n">
        <v>0.009452736318407959</v>
      </c>
      <c r="AL52" t="n">
        <v>0.01537466382125616</v>
      </c>
      <c r="AM52">
        <f>IF(AND(ISNUMBER($AC52),ISNUMBER(IF($V52,IF($AL52="","",$AL52),IF($AK52="","",$AK52)))),IF(AND(ABS($AC52-significance_bar)&lt;=2.0*IF($V52,IF($AL52="","",$AL52),IF($AK52="","",$AK52)),OR($Y52="worse",$Y52="better",$Y52="worse, not significant",$Y52="better, not significant",AND(profit_kind="test",$Y52="in line",ISNUMBER($AB52),$AB52&lt;&gt;0))),IF(ROUND($AC52,3)=ROUND(significance_bar,3),TEXT($AC52,"0.0000"),TEXT($AC52,"0.000")),""),"")</f>
        <v/>
      </c>
      <c r="AN52">
        <f>IF(AND(ISNUMBER($AC52),ISNUMBER(IF($V52,IF($AL52="","",$AL52),IF($AK52="","",$AK52)))),IF(AND(ABS($AC52-significance_bar)&lt;=2.0*IF($V52,IF($AL52="","",$AL52),IF($AK52="","",$AK52)),OR($Y52="worse",$Y52="worse, not significant",AND(profit_kind="test",$Y52="in line",ISNUMBER($AB52),$AB52&lt;0))),IF(ROUND($AC52,3)=ROUND(significance_bar,3),TEXT($AC52,"0.0000"),TEXT($AC52,"0.000")),""),"")</f>
        <v/>
      </c>
      <c r="AO52">
        <f>IF(OR($AI52="",$AN52=""),$AI52,$AI52&amp;" · borderline (p "&amp;$AN52&amp;")")</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0.007271335629544585</v>
      </c>
      <c r="M53" t="n">
        <v>-0.002788032567083085</v>
      </c>
      <c r="N53" t="n">
        <v>0.1791044776119403</v>
      </c>
      <c r="O53" t="n">
        <v>1908979.194636313</v>
      </c>
      <c r="P53" t="n">
        <v>47228.569659787</v>
      </c>
      <c r="Q53">
        <f>'_live'!$C$24</f>
        <v/>
      </c>
      <c r="R53" t="inlineStr">
        <is>
          <t>shuffled: 0 of 200</t>
        </is>
      </c>
      <c r="S53" t="inlineStr">
        <is>
          <t>shuffled: 23 of 200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c r="AK53" t="n">
        <v>0.007271335629544585</v>
      </c>
      <c r="AL53" t="n">
        <v>0.03439318991582959</v>
      </c>
      <c r="AM53">
        <f>IF(AND(ISNUMBER($AC53),ISNUMBER(IF($V53,IF($AL53="","",$AL53),IF($AK53="","",$AK53)))),IF(AND(ABS($AC53-significance_bar)&lt;=2.0*IF($V53,IF($AL53="","",$AL53),IF($AK53="","",$AK53)),OR($Y53="worse",$Y53="better",$Y53="worse, not significant",$Y53="better, not significant",AND(profit_kind="test",$Y53="in line",ISNUMBER($AB53),$AB53&lt;&gt;0))),IF(ROUND($AC53,3)=ROUND(significance_bar,3),TEXT($AC53,"0.0000"),TEXT($AC53,"0.000")),""),"")</f>
        <v/>
      </c>
      <c r="AN53">
        <f>IF(AND(ISNUMBER($AC53),ISNUMBER(IF($V53,IF($AL53="","",$AL53),IF($AK53="","",$AK53)))),IF(AND(ABS($AC53-significance_bar)&lt;=2.0*IF($V53,IF($AL53="","",$AL53),IF($AK53="","",$AK53)),OR($Y53="worse",$Y53="worse, not significant",AND(profit_kind="test",$Y53="in line",ISNUMBER($AB53),$AB53&lt;0))),IF(ROUND($AC53,3)=ROUND(significance_bar,3),TEXT($AC53,"0.0000"),TEXT($AC53,"0.000")),""),"")</f>
        <v/>
      </c>
      <c r="AO53">
        <f>IF(OR($AI53="",$AN53=""),$AI53,$AI53&amp;" · borderline (p "&amp;$AN53&amp;")")</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c r="AM54">
        <f>IF(AND(ISNUMBER($AC54),ISNUMBER(IF($V54,IF($AL54="","",$AL54),IF($AK54="","",$AK54)))),IF(AND(ABS($AC54-significance_bar)&lt;=2.0*IF($V54,IF($AL54="","",$AL54),IF($AK54="","",$AK54)),OR($Y54="worse",$Y54="better",$Y54="worse, not significant",$Y54="better, not significant")),IF(ROUND($AC54,3)=ROUND(significance_bar,3),TEXT($AC54,"0.0000"),TEXT($AC54,"0.000")),""),"")</f>
        <v/>
      </c>
      <c r="AN54">
        <f>IF(AND(ISNUMBER($AC54),ISNUMBER(IF($V54,IF($AL54="","",$AL54),IF($AK54="","",$AK54)))),IF(AND(ABS($AC54-significance_bar)&lt;=2.0*IF($V54,IF($AL54="","",$AL54),IF($AK54="","",$AK54)),OR($Y54="worse",$Y54="worse, not significant")),IF(ROUND($AC54,3)=ROUND(significance_bar,3),TEXT($AC54,"0.0000"),TEXT($AC54,"0.000")),""),"")</f>
        <v/>
      </c>
      <c r="AO54">
        <f>IF(OR($AI54="",$AN54=""),$AI54,$AI54&amp;" · borderline (p "&amp;$AN54&amp;")")</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0.508819538670285</v>
      </c>
      <c r="M55" t="n">
        <v>1.124215883183804</v>
      </c>
      <c r="N55" t="n">
        <v>0.8276797829036635</v>
      </c>
      <c r="O55" t="n">
        <v>197365.1150086168</v>
      </c>
      <c r="P55" t="n">
        <v>154182.7246834799</v>
      </c>
      <c r="Q55">
        <f>'_live'!$C$21</f>
        <v/>
      </c>
      <c r="R55" t="inlineStr">
        <is>
          <t>shuffled: 74 of 200</t>
        </is>
      </c>
      <c r="S55" t="inlineStr">
        <is>
          <t>shuffled: 121 of 200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c r="AK55" t="n">
        <v>0.04663408102058182</v>
      </c>
      <c r="AL55" t="n">
        <v>0.0470956699913395</v>
      </c>
      <c r="AM55">
        <f>IF(AND(ISNUMBER($AC55),ISNUMBER(IF($V55,IF($AL55="","",$AL55),IF($AK55="","",$AK55)))),IF(AND(ABS($AC55-significance_bar)&lt;=2.0*IF($V55,IF($AL55="","",$AL55),IF($AK55="","",$AK55)),OR($Y55="worse",$Y55="better",$Y55="worse, not significant",$Y55="better, not significant")),IF(ROUND($AC55,3)=ROUND(significance_bar,3),TEXT($AC55,"0.0000"),TEXT($AC55,"0.000")),""),"")</f>
        <v/>
      </c>
      <c r="AN55">
        <f>IF(AND(ISNUMBER($AC55),ISNUMBER(IF($V55,IF($AL55="","",$AL55),IF($AK55="","",$AK55)))),IF(AND(ABS($AC55-significance_bar)&lt;=2.0*IF($V55,IF($AL55="","",$AL55),IF($AK55="","",$AK55)),OR($Y55="worse",$Y55="worse, not significant")),IF(ROUND($AC55,3)=ROUND(significance_bar,3),TEXT($AC55,"0.0000"),TEXT($AC55,"0.000")),""),"")</f>
        <v/>
      </c>
      <c r="AO55">
        <f>IF(OR($AI55="",$AN55=""),$AI55,$AI55&amp;" · borderline (p "&amp;$AN55&amp;")")</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0.3120759837177748</v>
      </c>
      <c r="M56" t="n">
        <v>1.168054905981109</v>
      </c>
      <c r="N56" t="n">
        <v>0.6987788331071912</v>
      </c>
      <c r="O56" t="n">
        <v>145837.6238119949</v>
      </c>
      <c r="P56" t="n">
        <v>116497.0706906916</v>
      </c>
      <c r="Q56">
        <f>'_live'!$C$22</f>
        <v/>
      </c>
      <c r="R56" t="inlineStr">
        <is>
          <t>shuffled: 45 of 200</t>
        </is>
      </c>
      <c r="S56" t="inlineStr">
        <is>
          <t>shuffled: 102 of 200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c r="AK56" t="n">
        <v>0.04050720553196249</v>
      </c>
      <c r="AL56" t="n">
        <v>0.04819690702553971</v>
      </c>
      <c r="AM56">
        <f>IF(AND(ISNUMBER($AC56),ISNUMBER(IF($V56,IF($AL56="","",$AL56),IF($AK56="","",$AK56)))),IF(AND(ABS($AC56-significance_bar)&lt;=2.0*IF($V56,IF($AL56="","",$AL56),IF($AK56="","",$AK56)),OR($Y56="worse",$Y56="better",$Y56="worse, not significant",$Y56="better, not significant")),IF(ROUND($AC56,3)=ROUND(significance_bar,3),TEXT($AC56,"0.0000"),TEXT($AC56,"0.000")),""),"")</f>
        <v/>
      </c>
      <c r="AN56">
        <f>IF(AND(ISNUMBER($AC56),ISNUMBER(IF($V56,IF($AL56="","",$AL56),IF($AK56="","",$AK56)))),IF(AND(ABS($AC56-significance_bar)&lt;=2.0*IF($V56,IF($AL56="","",$AL56),IF($AK56="","",$AK56)),OR($Y56="worse",$Y56="worse, not significant")),IF(ROUND($AC56,3)=ROUND(significance_bar,3),TEXT($AC56,"0.0000"),TEXT($AC56,"0.000")),""),"")</f>
        <v/>
      </c>
      <c r="AO56">
        <f>IF(OR($AI56="",$AN56=""),$AI56,$AI56&amp;" · borderline (p "&amp;$AN56&amp;")")</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0.02578018995929443</v>
      </c>
      <c r="M57" t="n">
        <v>-0.01895576930046797</v>
      </c>
      <c r="N57" t="n">
        <v>0.1709633649932157</v>
      </c>
      <c r="O57" t="n">
        <v>-385592.7210016551</v>
      </c>
      <c r="P57" t="n">
        <v>306630.2446299917</v>
      </c>
      <c r="Q57">
        <f>'_live'!$C$23</f>
        <v/>
      </c>
      <c r="R57" t="inlineStr">
        <is>
          <t>shuffled: 2 of 200</t>
        </is>
      </c>
      <c r="S57" t="inlineStr">
        <is>
          <t>shuffled: 20 of 200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c r="AK57" t="n">
        <v>0.01480959162608175</v>
      </c>
      <c r="AL57" t="n">
        <v>0.03539277902732834</v>
      </c>
      <c r="AM57">
        <f>IF(AND(ISNUMBER($AC57),ISNUMBER(IF($V57,IF($AL57="","",$AL57),IF($AK57="","",$AK57)))),IF(AND(ABS($AC57-significance_bar)&lt;=2.0*IF($V57,IF($AL57="","",$AL57),IF($AK57="","",$AK57)),OR($Y57="worse",$Y57="better",$Y57="worse, not significant",$Y57="better, not significant",AND(profit_kind="test",$Y57="in line",ISNUMBER($AB57),$AB57&lt;&gt;0))),IF(ROUND($AC57,3)=ROUND(significance_bar,3),TEXT($AC57,"0.0000"),TEXT($AC57,"0.000")),""),"")</f>
        <v/>
      </c>
      <c r="AN57">
        <f>IF(AND(ISNUMBER($AC57),ISNUMBER(IF($V57,IF($AL57="","",$AL57),IF($AK57="","",$AK57)))),IF(AND(ABS($AC57-significance_bar)&lt;=2.0*IF($V57,IF($AL57="","",$AL57),IF($AK57="","",$AK57)),OR($Y57="worse",$Y57="worse, not significant",AND(profit_kind="test",$Y57="in line",ISNUMBER($AB57),$AB57&lt;0))),IF(ROUND($AC57,3)=ROUND(significance_bar,3),TEXT($AC57,"0.0000"),TEXT($AC57,"0.000")),""),"")</f>
        <v/>
      </c>
      <c r="AO57">
        <f>IF(OR($AI57="",$AN57=""),$AI57,$AI57&amp;" · borderline (p "&amp;$AN57&amp;")")</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0.007271335629544585</v>
      </c>
      <c r="M58" t="n">
        <v>-0.0117539631027207</v>
      </c>
      <c r="N58" t="n">
        <v>0.08955223880597014</v>
      </c>
      <c r="O58" t="n">
        <v>-531483.6555827754</v>
      </c>
      <c r="P58" t="n">
        <v>190133.1739393012</v>
      </c>
      <c r="Q58">
        <f>'_live'!$C$24</f>
        <v/>
      </c>
      <c r="R58" t="inlineStr">
        <is>
          <t>shuffled: 0 of 200</t>
        </is>
      </c>
      <c r="S58" t="inlineStr">
        <is>
          <t>shuffled: 8 of 200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c r="AK58" t="n">
        <v>0.007271335629544585</v>
      </c>
      <c r="AL58" t="n">
        <v>0.02924763871979914</v>
      </c>
      <c r="AM58">
        <f>IF(AND(ISNUMBER($AC58),ISNUMBER(IF($V58,IF($AL58="","",$AL58),IF($AK58="","",$AK58)))),IF(AND(ABS($AC58-significance_bar)&lt;=2.0*IF($V58,IF($AL58="","",$AL58),IF($AK58="","",$AK58)),OR($Y58="worse",$Y58="better",$Y58="worse, not significant",$Y58="better, not significant",AND(profit_kind="test",$Y58="in line",ISNUMBER($AB58),$AB58&lt;&gt;0))),IF(ROUND($AC58,3)=ROUND(significance_bar,3),TEXT($AC58,"0.0000"),TEXT($AC58,"0.000")),""),"")</f>
        <v/>
      </c>
      <c r="AN58">
        <f>IF(AND(ISNUMBER($AC58),ISNUMBER(IF($V58,IF($AL58="","",$AL58),IF($AK58="","",$AK58)))),IF(AND(ABS($AC58-significance_bar)&lt;=2.0*IF($V58,IF($AL58="","",$AL58),IF($AK58="","",$AK58)),OR($Y58="worse",$Y58="worse, not significant",AND(profit_kind="test",$Y58="in line",ISNUMBER($AB58),$AB58&lt;0))),IF(ROUND($AC58,3)=ROUND(significance_bar,3),TEXT($AC58,"0.0000"),TEXT($AC58,"0.000")),""),"")</f>
        <v/>
      </c>
      <c r="AO58">
        <f>IF(OR($AI58="",$AN58=""),$AI58,$AI58&amp;" · borderline (p "&amp;$AN58&amp;")")</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c r="AM59">
        <f>IF(AND(ISNUMBER($AC59),ISNUMBER(IF($V59,IF($AL59="","",$AL59),IF($AK59="","",$AK59)))),IF(AND(ABS($AC59-significance_bar)&lt;=2.0*IF($V59,IF($AL59="","",$AL59),IF($AK59="","",$AK59)),OR($Y59="worse",$Y59="better",$Y59="worse, not significant",$Y59="better, not significant")),IF(ROUND($AC59,3)=ROUND(significance_bar,3),TEXT($AC59,"0.0000"),TEXT($AC59,"0.000")),""),"")</f>
        <v/>
      </c>
      <c r="AN59">
        <f>IF(AND(ISNUMBER($AC59),ISNUMBER(IF($V59,IF($AL59="","",$AL59),IF($AK59="","",$AK59)))),IF(AND(ABS($AC59-significance_bar)&lt;=2.0*IF($V59,IF($AL59="","",$AL59),IF($AK59="","",$AK59)),OR($Y59="worse",$Y59="worse, not significant")),IF(ROUND($AC59,3)=ROUND(significance_bar,3),TEXT($AC59,"0.0000"),TEXT($AC59,"0.000")),""),"")</f>
        <v/>
      </c>
      <c r="AO59">
        <f>IF(OR($AI59="",$AN59=""),$AI59,$AI59&amp;" · borderline (p "&amp;$AN59&amp;")")</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0.01492537313432836</v>
      </c>
      <c r="M60" t="n">
        <v>0.5592595872783042</v>
      </c>
      <c r="N60" t="n">
        <v>0.08706467661691543</v>
      </c>
      <c r="O60" t="n">
        <v>-682023.5821659642</v>
      </c>
      <c r="P60" t="n">
        <v>-453450.2599394799</v>
      </c>
      <c r="Q60">
        <f>'_live'!$C$21</f>
        <v/>
      </c>
      <c r="R60" t="inlineStr">
        <is>
          <t>shuffled: 0 of 200</t>
        </is>
      </c>
      <c r="S60" t="inlineStr">
        <is>
          <t>shuffled: 6 of 200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c r="AK60" t="n">
        <v>0.01492537313432836</v>
      </c>
      <c r="AL60" t="n">
        <v>0.03240998562386911</v>
      </c>
      <c r="AM60">
        <f>IF(AND(ISNUMBER($AC60),ISNUMBER(IF($V60,IF($AL60="","",$AL60),IF($AK60="","",$AK60)))),IF(AND(ABS($AC60-significance_bar)&lt;=2.0*IF($V60,IF($AL60="","",$AL60),IF($AK60="","",$AK60)),OR($Y60="worse",$Y60="better",$Y60="worse, not significant",$Y60="better, not significant")),IF(ROUND($AC60,3)=ROUND(significance_bar,3),TEXT($AC60,"0.0000"),TEXT($AC60,"0.000")),""),"")</f>
        <v/>
      </c>
      <c r="AN60">
        <f>IF(AND(ISNUMBER($AC60),ISNUMBER(IF($V60,IF($AL60="","",$AL60),IF($AK60="","",$AK60)))),IF(AND(ABS($AC60-significance_bar)&lt;=2.0*IF($V60,IF($AL60="","",$AL60),IF($AK60="","",$AK60)),OR($Y60="worse",$Y60="worse, not significant")),IF(ROUND($AC60,3)=ROUND(significance_bar,3),TEXT($AC60,"0.0000"),TEXT($AC60,"0.000")),""),"")</f>
        <v/>
      </c>
      <c r="AO60">
        <f>IF(OR($AI60="",$AN60=""),$AI60,$AI60&amp;" · borderline (p "&amp;$AN60&amp;")")</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0.01492537313432836</v>
      </c>
      <c r="M61" t="n">
        <v>0.5983981658374574</v>
      </c>
      <c r="N61" t="n">
        <v>0.1990049751243781</v>
      </c>
      <c r="O61" t="n">
        <v>-361050.9658826862</v>
      </c>
      <c r="P61" t="n">
        <v>-226126.2097741389</v>
      </c>
      <c r="Q61">
        <f>'_live'!$C$22</f>
        <v/>
      </c>
      <c r="R61" t="inlineStr">
        <is>
          <t>shuffled: 0 of 200</t>
        </is>
      </c>
      <c r="S61" t="inlineStr">
        <is>
          <t>shuffled: 15 of 200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c r="AK61" t="n">
        <v>0.01492537313432836</v>
      </c>
      <c r="AL61" t="n">
        <v>0.04784921408375956</v>
      </c>
      <c r="AM61">
        <f>IF(AND(ISNUMBER($AC61),ISNUMBER(IF($V61,IF($AL61="","",$AL61),IF($AK61="","",$AK61)))),IF(AND(ABS($AC61-significance_bar)&lt;=2.0*IF($V61,IF($AL61="","",$AL61),IF($AK61="","",$AK61)),OR($Y61="worse",$Y61="better",$Y61="worse, not significant",$Y61="better, not significant")),IF(ROUND($AC61,3)=ROUND(significance_bar,3),TEXT($AC61,"0.0000"),TEXT($AC61,"0.000")),""),"")</f>
        <v/>
      </c>
      <c r="AN61">
        <f>IF(AND(ISNUMBER($AC61),ISNUMBER(IF($V61,IF($AL61="","",$AL61),IF($AK61="","",$AK61)))),IF(AND(ABS($AC61-significance_bar)&lt;=2.0*IF($V61,IF($AL61="","",$AL61),IF($AK61="","",$AK61)),OR($Y61="worse",$Y61="worse, not significant")),IF(ROUND($AC61,3)=ROUND(significance_bar,3),TEXT($AC61,"0.0000"),TEXT($AC61,"0.000")),""),"")</f>
        <v/>
      </c>
      <c r="AO61">
        <f>IF(OR($AI61="",$AN61=""),$AI61,$AI61&amp;" · borderline (p "&amp;$AN61&amp;")")</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0.009452736318407959</v>
      </c>
      <c r="M62" t="n">
        <v>-0.007053539441555928</v>
      </c>
      <c r="N62" t="n">
        <v>0.6460554371002133</v>
      </c>
      <c r="O62" t="n">
        <v>637966.3323050055</v>
      </c>
      <c r="P62" t="n">
        <v>114482.5382094444</v>
      </c>
      <c r="Q62">
        <f>'_live'!$C$23</f>
        <v/>
      </c>
      <c r="R62" t="inlineStr">
        <is>
          <t>shuffled: 0 of 200</t>
        </is>
      </c>
      <c r="S62" t="inlineStr">
        <is>
          <t>shuffled: 94 of 200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c r="AK62" t="n">
        <v>0.009452736318407959</v>
      </c>
      <c r="AL62" t="n">
        <v>0.04545630193033656</v>
      </c>
      <c r="AM62">
        <f>IF(AND(ISNUMBER($AC62),ISNUMBER(IF($V62,IF($AL62="","",$AL62),IF($AK62="","",$AK62)))),IF(AND(ABS($AC62-significance_bar)&lt;=2.0*IF($V62,IF($AL62="","",$AL62),IF($AK62="","",$AK62)),OR($Y62="worse",$Y62="better",$Y62="worse, not significant",$Y62="better, not significant",AND(profit_kind="test",$Y62="in line",ISNUMBER($AB62),$AB62&lt;&gt;0))),IF(ROUND($AC62,3)=ROUND(significance_bar,3),TEXT($AC62,"0.0000"),TEXT($AC62,"0.000")),""),"")</f>
        <v/>
      </c>
      <c r="AN62">
        <f>IF(AND(ISNUMBER($AC62),ISNUMBER(IF($V62,IF($AL62="","",$AL62),IF($AK62="","",$AK62)))),IF(AND(ABS($AC62-significance_bar)&lt;=2.0*IF($V62,IF($AL62="","",$AL62),IF($AK62="","",$AK62)),OR($Y62="worse",$Y62="worse, not significant",AND(profit_kind="test",$Y62="in line",ISNUMBER($AB62),$AB62&lt;0))),IF(ROUND($AC62,3)=ROUND(significance_bar,3),TEXT($AC62,"0.0000"),TEXT($AC62,"0.000")),""),"")</f>
        <v/>
      </c>
      <c r="AO62">
        <f>IF(OR($AI62="",$AN62=""),$AI62,$AI62&amp;" · borderline (p "&amp;$AN62&amp;")")</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0.007271335629544585</v>
      </c>
      <c r="M63" t="n">
        <v>-0.02093061480965411</v>
      </c>
      <c r="N63" t="n">
        <v>0.01279317697228145</v>
      </c>
      <c r="O63" t="n">
        <v>998974.3612210331</v>
      </c>
      <c r="P63" t="n">
        <v>339714.54041587</v>
      </c>
      <c r="Q63">
        <f>'_live'!$C$24</f>
        <v/>
      </c>
      <c r="R63" t="inlineStr">
        <is>
          <t>shuffled: 0 of 200</t>
        </is>
      </c>
      <c r="S63" t="inlineStr">
        <is>
          <t>shuffled: 0 of 200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c r="AK63" t="n">
        <v>0.007271335629544585</v>
      </c>
      <c r="AL63" t="n">
        <v>0.01279317697228145</v>
      </c>
      <c r="AM63">
        <f>IF(AND(ISNUMBER($AC63),ISNUMBER(IF($V63,IF($AL63="","",$AL63),IF($AK63="","",$AK63)))),IF(AND(ABS($AC63-significance_bar)&lt;=2.0*IF($V63,IF($AL63="","",$AL63),IF($AK63="","",$AK63)),OR($Y63="worse",$Y63="better",$Y63="worse, not significant",$Y63="better, not significant",AND(profit_kind="test",$Y63="in line",ISNUMBER($AB63),$AB63&lt;&gt;0))),IF(ROUND($AC63,3)=ROUND(significance_bar,3),TEXT($AC63,"0.0000"),TEXT($AC63,"0.000")),""),"")</f>
        <v/>
      </c>
      <c r="AN63">
        <f>IF(AND(ISNUMBER($AC63),ISNUMBER(IF($V63,IF($AL63="","",$AL63),IF($AK63="","",$AK63)))),IF(AND(ABS($AC63-significance_bar)&lt;=2.0*IF($V63,IF($AL63="","",$AL63),IF($AK63="","",$AK63)),OR($Y63="worse",$Y63="worse, not significant",AND(profit_kind="test",$Y63="in line",ISNUMBER($AB63),$AB63&lt;0))),IF(ROUND($AC63,3)=ROUND(significance_bar,3),TEXT($AC63,"0.0000"),TEXT($AC63,"0.000")),""),"")</f>
        <v/>
      </c>
      <c r="AO63">
        <f>IF(OR($AI63="",$AN63=""),$AI63,$AI63&amp;" · borderline (p "&amp;$AN63&amp;")")</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c r="AM64">
        <f>IF(AND(ISNUMBER($AC64),ISNUMBER(IF($V64,IF($AL64="","",$AL64),IF($AK64="","",$AK64)))),IF(AND(ABS($AC64-significance_bar)&lt;=2.0*IF($V64,IF($AL64="","",$AL64),IF($AK64="","",$AK64)),OR($Y64="worse",$Y64="better",$Y64="worse, not significant",$Y64="better, not significant")),IF(ROUND($AC64,3)=ROUND(significance_bar,3),TEXT($AC64,"0.0000"),TEXT($AC64,"0.000")),""),"")</f>
        <v/>
      </c>
      <c r="AN64">
        <f>IF(AND(ISNUMBER($AC64),ISNUMBER(IF($V64,IF($AL64="","",$AL64),IF($AK64="","",$AK64)))),IF(AND(ABS($AC64-significance_bar)&lt;=2.0*IF($V64,IF($AL64="","",$AL64),IF($AK64="","",$AK64)),OR($Y64="worse",$Y64="worse, not significant")),IF(ROUND($AC64,3)=ROUND(significance_bar,3),TEXT($AC64,"0.0000"),TEXT($AC64,"0.000")),""),"")</f>
        <v/>
      </c>
      <c r="AO64">
        <f>IF(OR($AI64="",$AN64=""),$AI64,$AI64&amp;" · borderline (p "&amp;$AN64&amp;")")</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0.878300803673938</v>
      </c>
      <c r="M65" t="n">
        <v>1.710989447132353</v>
      </c>
      <c r="N65" t="n">
        <v>0.04477611940298508</v>
      </c>
      <c r="O65" t="n">
        <v>61536.38887348515</v>
      </c>
      <c r="P65" t="n">
        <v>572956.6694010361</v>
      </c>
      <c r="Q65">
        <f>'_live'!$C$21</f>
        <v/>
      </c>
      <c r="R65" t="inlineStr">
        <is>
          <t>shuffled: 152 of 200</t>
        </is>
      </c>
      <c r="S65" t="inlineStr">
        <is>
          <t>shuffled: 2 of 200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c r="AK65" t="n">
        <v>0.03478589531008753</v>
      </c>
      <c r="AL65" t="n">
        <v>0.02572192229793147</v>
      </c>
      <c r="AM65">
        <f>IF(AND(ISNUMBER($AC65),ISNUMBER(IF($V65,IF($AL65="","",$AL65),IF($AK65="","",$AK65)))),IF(AND(ABS($AC65-significance_bar)&lt;=2.0*IF($V65,IF($AL65="","",$AL65),IF($AK65="","",$AK65)),OR($Y65="worse",$Y65="better",$Y65="worse, not significant",$Y65="better, not significant")),IF(ROUND($AC65,3)=ROUND(significance_bar,3),TEXT($AC65,"0.0000"),TEXT($AC65,"0.000")),""),"")</f>
        <v/>
      </c>
      <c r="AN65">
        <f>IF(AND(ISNUMBER($AC65),ISNUMBER(IF($V65,IF($AL65="","",$AL65),IF($AK65="","",$AK65)))),IF(AND(ABS($AC65-significance_bar)&lt;=2.0*IF($V65,IF($AL65="","",$AL65),IF($AK65="","",$AK65)),OR($Y65="worse",$Y65="worse, not significant")),IF(ROUND($AC65,3)=ROUND(significance_bar,3),TEXT($AC65,"0.0000"),TEXT($AC65,"0.000")),""),"")</f>
        <v/>
      </c>
      <c r="AO65">
        <f>IF(OR($AI65="",$AN65=""),$AI65,$AI65&amp;" · borderline (p "&amp;$AN65&amp;")")</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0.847547974413646</v>
      </c>
      <c r="M66" t="n">
        <v>1.713043008488713</v>
      </c>
      <c r="N66" t="n">
        <v>0.0746268656716418</v>
      </c>
      <c r="O66" t="n">
        <v>32109.36329269351</v>
      </c>
      <c r="P66" t="n">
        <v>318287.8933242416</v>
      </c>
      <c r="Q66">
        <f>'_live'!$C$22</f>
        <v/>
      </c>
      <c r="R66" t="inlineStr">
        <is>
          <t>shuffled: 155 of 200</t>
        </is>
      </c>
      <c r="S66" t="inlineStr">
        <is>
          <t>shuffled: 4 of 200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c r="AK66" t="n">
        <v>0.0308017488554236</v>
      </c>
      <c r="AL66" t="n">
        <v>0.03303872182265471</v>
      </c>
      <c r="AM66">
        <f>IF(AND(ISNUMBER($AC66),ISNUMBER(IF($V66,IF($AL66="","",$AL66),IF($AK66="","",$AK66)))),IF(AND(ABS($AC66-significance_bar)&lt;=2.0*IF($V66,IF($AL66="","",$AL66),IF($AK66="","",$AK66)),OR($Y66="worse",$Y66="better",$Y66="worse, not significant",$Y66="better, not significant")),IF(ROUND($AC66,3)=ROUND(significance_bar,3),TEXT($AC66,"0.0000"),TEXT($AC66,"0.000")),""),"")</f>
        <v/>
      </c>
      <c r="AN66">
        <f>IF(AND(ISNUMBER($AC66),ISNUMBER(IF($V66,IF($AL66="","",$AL66),IF($AK66="","",$AK66)))),IF(AND(ABS($AC66-significance_bar)&lt;=2.0*IF($V66,IF($AL66="","",$AL66),IF($AK66="","",$AK66)),OR($Y66="worse",$Y66="worse, not significant")),IF(ROUND($AC66,3)=ROUND(significance_bar,3),TEXT($AC66,"0.0000"),TEXT($AC66,"0.000")),""),"")</f>
        <v/>
      </c>
      <c r="AO66">
        <f>IF(OR($AI66="",$AN66=""),$AI66,$AI66&amp;" · borderline (p "&amp;$AN66&amp;")")</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0.009452736318407959</v>
      </c>
      <c r="M67" t="n">
        <v>0.03918779200494793</v>
      </c>
      <c r="N67" t="n">
        <v>0.04477611940298507</v>
      </c>
      <c r="O67" t="n">
        <v>-749778.43036034</v>
      </c>
      <c r="P67" t="n">
        <v>-692062.8586854567</v>
      </c>
      <c r="Q67">
        <f>'_live'!$C$23</f>
        <v/>
      </c>
      <c r="R67" t="inlineStr">
        <is>
          <t>shuffled: 0 of 200</t>
        </is>
      </c>
      <c r="S67" t="inlineStr">
        <is>
          <t>shuffled: 0 of 200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c r="AK67" t="n">
        <v>0.009452736318407959</v>
      </c>
      <c r="AL67" t="n">
        <v>0.02572192229793147</v>
      </c>
      <c r="AM67">
        <f>IF(AND(ISNUMBER($AC67),ISNUMBER(IF($V67,IF($AL67="","",$AL67),IF($AK67="","",$AK67)))),IF(AND(ABS($AC67-significance_bar)&lt;=2.0*IF($V67,IF($AL67="","",$AL67),IF($AK67="","",$AK67)),OR($Y67="worse",$Y67="better",$Y67="worse, not significant",$Y67="better, not significant",AND(profit_kind="test",$Y67="in line",ISNUMBER($AB67),$AB67&lt;&gt;0))),IF(ROUND($AC67,3)=ROUND(significance_bar,3),TEXT($AC67,"0.0000"),TEXT($AC67,"0.000")),""),"")</f>
        <v/>
      </c>
      <c r="AN67">
        <f>IF(AND(ISNUMBER($AC67),ISNUMBER(IF($V67,IF($AL67="","",$AL67),IF($AK67="","",$AK67)))),IF(AND(ABS($AC67-significance_bar)&lt;=2.0*IF($V67,IF($AL67="","",$AL67),IF($AK67="","",$AK67)),OR($Y67="worse",$Y67="worse, not significant",AND(profit_kind="test",$Y67="in line",ISNUMBER($AB67),$AB67&lt;0))),IF(ROUND($AC67,3)=ROUND(significance_bar,3),TEXT($AC67,"0.0000"),TEXT($AC67,"0.000")),""),"")</f>
        <v/>
      </c>
      <c r="AO67">
        <f>IF(OR($AI67="",$AN67=""),$AI67,$AI67&amp;" · borderline (p "&amp;$AN67&amp;")")</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0.007271335629544585</v>
      </c>
      <c r="M68" t="n">
        <v>0.05721072099867444</v>
      </c>
      <c r="N68" t="n">
        <v>0.01279317697228145</v>
      </c>
      <c r="O68" t="n">
        <v>-781950.4693370908</v>
      </c>
      <c r="P68" t="n">
        <v>-1010350.752009697</v>
      </c>
      <c r="Q68">
        <f>'_live'!$C$24</f>
        <v/>
      </c>
      <c r="R68" t="inlineStr">
        <is>
          <t>shuffled: 0 of 200</t>
        </is>
      </c>
      <c r="S68" t="inlineStr">
        <is>
          <t>shuffled: 0 of 200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c r="AK68" t="n">
        <v>0.007271335629544585</v>
      </c>
      <c r="AL68" t="n">
        <v>0.01279317697228145</v>
      </c>
      <c r="AM68">
        <f>IF(AND(ISNUMBER($AC68),ISNUMBER(IF($V68,IF($AL68="","",$AL68),IF($AK68="","",$AK68)))),IF(AND(ABS($AC68-significance_bar)&lt;=2.0*IF($V68,IF($AL68="","",$AL68),IF($AK68="","",$AK68)),OR($Y68="worse",$Y68="better",$Y68="worse, not significant",$Y68="better, not significant",AND(profit_kind="test",$Y68="in line",ISNUMBER($AB68),$AB68&lt;&gt;0))),IF(ROUND($AC68,3)=ROUND(significance_bar,3),TEXT($AC68,"0.0000"),TEXT($AC68,"0.000")),""),"")</f>
        <v/>
      </c>
      <c r="AN68">
        <f>IF(AND(ISNUMBER($AC68),ISNUMBER(IF($V68,IF($AL68="","",$AL68),IF($AK68="","",$AK68)))),IF(AND(ABS($AC68-significance_bar)&lt;=2.0*IF($V68,IF($AL68="","",$AL68),IF($AK68="","",$AK68)),OR($Y68="worse",$Y68="worse, not significant",AND(profit_kind="test",$Y68="in line",ISNUMBER($AB68),$AB68&lt;0))),IF(ROUND($AC68,3)=ROUND(significance_bar,3),TEXT($AC68,"0.0000"),TEXT($AC68,"0.000")),""),"")</f>
        <v/>
      </c>
      <c r="AO68">
        <f>IF(OR($AI68="",$AN68=""),$AI68,$AI68&amp;" · borderline (p "&amp;$AN68&amp;")")</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c r="AM69">
        <f>IF(AND(ISNUMBER($AC69),ISNUMBER(IF($V69,IF($AL69="","",$AL69),IF($AK69="","",$AK69)))),IF(AND(ABS($AC69-significance_bar)&lt;=2.0*IF($V69,IF($AL69="","",$AL69),IF($AK69="","",$AK69)),OR($Y69="worse",$Y69="better",$Y69="worse, not significant",$Y69="better, not significant")),IF(ROUND($AC69,3)=ROUND(significance_bar,3),TEXT($AC69,"0.0000"),TEXT($AC69,"0.000")),""),"")</f>
        <v/>
      </c>
      <c r="AN69">
        <f>IF(AND(ISNUMBER($AC69),ISNUMBER(IF($V69,IF($AL69="","",$AL69),IF($AK69="","",$AK69)))),IF(AND(ABS($AC69-significance_bar)&lt;=2.0*IF($V69,IF($AL69="","",$AL69),IF($AK69="","",$AK69)),OR($Y69="worse",$Y69="worse, not significant")),IF(ROUND($AC69,3)=ROUND(significance_bar,3),TEXT($AC69,"0.0000"),TEXT($AC69,"0.000")),""),"")</f>
        <v/>
      </c>
      <c r="AO69">
        <f>IF(OR($AI69="",$AN69=""),$AI69,$AI69&amp;" · borderline (p "&amp;$AN69&amp;")")</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0.8955223880597014</v>
      </c>
      <c r="M70" t="n">
        <v>0.9476799112696344</v>
      </c>
      <c r="N70" t="n">
        <v>0.8315565031982943</v>
      </c>
      <c r="O70" t="n">
        <v>36216.31025212537</v>
      </c>
      <c r="P70" t="n">
        <v>-67362.72342539555</v>
      </c>
      <c r="Q70">
        <f>'_live'!$C$21</f>
        <v/>
      </c>
      <c r="R70" t="inlineStr">
        <is>
          <t>shuffled: 167 of 200</t>
        </is>
      </c>
      <c r="S70" t="inlineStr">
        <is>
          <t>shuffled: 155 of 200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c r="AK70" t="n">
        <v>0.02806491808334368</v>
      </c>
      <c r="AL70" t="n">
        <v>0.03158062525287553</v>
      </c>
      <c r="AM70">
        <f>IF(AND(ISNUMBER($AC70),ISNUMBER(IF($V70,IF($AL70="","",$AL70),IF($AK70="","",$AK70)))),IF(AND(ABS($AC70-significance_bar)&lt;=2.0*IF($V70,IF($AL70="","",$AL70),IF($AK70="","",$AK70)),OR($Y70="worse",$Y70="better",$Y70="worse, not significant",$Y70="better, not significant")),IF(ROUND($AC70,3)=ROUND(significance_bar,3),TEXT($AC70,"0.0000"),TEXT($AC70,"0.000")),""),"")</f>
        <v/>
      </c>
      <c r="AN70">
        <f>IF(AND(ISNUMBER($AC70),ISNUMBER(IF($V70,IF($AL70="","",$AL70),IF($AK70="","",$AK70)))),IF(AND(ABS($AC70-significance_bar)&lt;=2.0*IF($V70,IF($AL70="","",$AL70),IF($AK70="","",$AK70)),OR($Y70="worse",$Y70="worse, not significant")),IF(ROUND($AC70,3)=ROUND(significance_bar,3),TEXT($AC70,"0.0000"),TEXT($AC70,"0.000")),""),"")</f>
        <v/>
      </c>
      <c r="AO70">
        <f>IF(OR($AI70="",$AN70=""),$AI70,$AI70&amp;" · borderline (p "&amp;$AN70&amp;")")</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0.847547974413646</v>
      </c>
      <c r="M71" t="n">
        <v>0.9452479312942789</v>
      </c>
      <c r="N71" t="n">
        <v>0.7810945273631841</v>
      </c>
      <c r="O71" t="n">
        <v>32068.89560412639</v>
      </c>
      <c r="P71" t="n">
        <v>-39944.56239244947</v>
      </c>
      <c r="Q71">
        <f>'_live'!$C$22</f>
        <v/>
      </c>
      <c r="R71" t="inlineStr">
        <is>
          <t>shuffled: 158 of 200</t>
        </is>
      </c>
      <c r="S71" t="inlineStr">
        <is>
          <t>shuffled: 156 of 200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c r="AK71" t="n">
        <v>0.0308017488554236</v>
      </c>
      <c r="AL71" t="n">
        <v>0.02923917463664699</v>
      </c>
      <c r="AM71">
        <f>IF(AND(ISNUMBER($AC71),ISNUMBER(IF($V71,IF($AL71="","",$AL71),IF($AK71="","",$AK71)))),IF(AND(ABS($AC71-significance_bar)&lt;=2.0*IF($V71,IF($AL71="","",$AL71),IF($AK71="","",$AK71)),OR($Y71="worse",$Y71="better",$Y71="worse, not significant",$Y71="better, not significant")),IF(ROUND($AC71,3)=ROUND(significance_bar,3),TEXT($AC71,"0.0000"),TEXT($AC71,"0.000")),""),"")</f>
        <v/>
      </c>
      <c r="AN71">
        <f>IF(AND(ISNUMBER($AC71),ISNUMBER(IF($V71,IF($AL71="","",$AL71),IF($AK71="","",$AK71)))),IF(AND(ABS($AC71-significance_bar)&lt;=2.0*IF($V71,IF($AL71="","",$AL71),IF($AK71="","",$AK71)),OR($Y71="worse",$Y71="worse, not significant")),IF(ROUND($AC71,3)=ROUND(significance_bar,3),TEXT($AC71,"0.0000"),TEXT($AC71,"0.000")),""),"")</f>
        <v/>
      </c>
      <c r="AO71">
        <f>IF(OR($AI71="",$AN71=""),$AI71,$AI71&amp;" · borderline (p "&amp;$AN71&amp;")")</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0.009452736318407959</v>
      </c>
      <c r="M72" t="n">
        <v>0.0274498421666097</v>
      </c>
      <c r="N72" t="n">
        <v>0.04477611940298507</v>
      </c>
      <c r="O72" t="n">
        <v>-907243.8897524406</v>
      </c>
      <c r="P72" t="n">
        <v>-435123.9867128353</v>
      </c>
      <c r="Q72">
        <f>'_live'!$C$23</f>
        <v/>
      </c>
      <c r="R72" t="inlineStr">
        <is>
          <t>shuffled: 0 of 200</t>
        </is>
      </c>
      <c r="S72" t="inlineStr">
        <is>
          <t>shuffled: 1 of 200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c r="AK72" t="n">
        <v>0.009452736318407959</v>
      </c>
      <c r="AL72" t="n">
        <v>0.02572192229793147</v>
      </c>
      <c r="AM72">
        <f>IF(AND(ISNUMBER($AC72),ISNUMBER(IF($V72,IF($AL72="","",$AL72),IF($AK72="","",$AK72)))),IF(AND(ABS($AC72-significance_bar)&lt;=2.0*IF($V72,IF($AL72="","",$AL72),IF($AK72="","",$AK72)),OR($Y72="worse",$Y72="better",$Y72="worse, not significant",$Y72="better, not significant",AND(profit_kind="test",$Y72="in line",ISNUMBER($AB72),$AB72&lt;&gt;0))),IF(ROUND($AC72,3)=ROUND(significance_bar,3),TEXT($AC72,"0.0000"),TEXT($AC72,"0.000")),""),"")</f>
        <v/>
      </c>
      <c r="AN72">
        <f>IF(AND(ISNUMBER($AC72),ISNUMBER(IF($V72,IF($AL72="","",$AL72),IF($AK72="","",$AK72)))),IF(AND(ABS($AC72-significance_bar)&lt;=2.0*IF($V72,IF($AL72="","",$AL72),IF($AK72="","",$AK72)),OR($Y72="worse",$Y72="worse, not significant",AND(profit_kind="test",$Y72="in line",ISNUMBER($AB72),$AB72&lt;0))),IF(ROUND($AC72,3)=ROUND(significance_bar,3),TEXT($AC72,"0.0000"),TEXT($AC72,"0.000")),""),"")</f>
        <v/>
      </c>
      <c r="AO72">
        <f>IF(OR($AI72="",$AN72=""),$AI72,$AI72&amp;" · borderline (p "&amp;$AN72&amp;")")</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0.007271335629544585</v>
      </c>
      <c r="M73" t="n">
        <v>0.02492993527439166</v>
      </c>
      <c r="N73" t="n">
        <v>0.01279317697228145</v>
      </c>
      <c r="O73" t="n">
        <v>-939370.2072855812</v>
      </c>
      <c r="P73" t="n">
        <v>-395179.4243203849</v>
      </c>
      <c r="Q73">
        <f>'_live'!$C$24</f>
        <v/>
      </c>
      <c r="R73" t="inlineStr">
        <is>
          <t>shuffled: 0 of 200</t>
        </is>
      </c>
      <c r="S73" t="inlineStr">
        <is>
          <t>shuffled: 0 of 200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c r="AK73" t="n">
        <v>0.007271335629544585</v>
      </c>
      <c r="AL73" t="n">
        <v>0.01279317697228145</v>
      </c>
      <c r="AM73">
        <f>IF(AND(ISNUMBER($AC73),ISNUMBER(IF($V73,IF($AL73="","",$AL73),IF($AK73="","",$AK73)))),IF(AND(ABS($AC73-significance_bar)&lt;=2.0*IF($V73,IF($AL73="","",$AL73),IF($AK73="","",$AK73)),OR($Y73="worse",$Y73="better",$Y73="worse, not significant",$Y73="better, not significant",AND(profit_kind="test",$Y73="in line",ISNUMBER($AB73),$AB73&lt;&gt;0))),IF(ROUND($AC73,3)=ROUND(significance_bar,3),TEXT($AC73,"0.0000"),TEXT($AC73,"0.000")),""),"")</f>
        <v/>
      </c>
      <c r="AN73">
        <f>IF(AND(ISNUMBER($AC73),ISNUMBER(IF($V73,IF($AL73="","",$AL73),IF($AK73="","",$AK73)))),IF(AND(ABS($AC73-significance_bar)&lt;=2.0*IF($V73,IF($AL73="","",$AL73),IF($AK73="","",$AK73)),OR($Y73="worse",$Y73="worse, not significant",AND(profit_kind="test",$Y73="in line",ISNUMBER($AB73),$AB73&lt;0))),IF(ROUND($AC73,3)=ROUND(significance_bar,3),TEXT($AC73,"0.0000"),TEXT($AC73,"0.000")),""),"")</f>
        <v/>
      </c>
      <c r="AO73">
        <f>IF(OR($AI73="",$AN73=""),$AI73,$AI73&amp;" · borderline (p "&amp;$AN73&amp;")")</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c r="AM74">
        <f>IF(AND(ISNUMBER($AC74),ISNUMBER(IF($V74,IF($AL74="","",$AL74),IF($AK74="","",$AK74)))),IF(AND(ABS($AC74-significance_bar)&lt;=2.0*IF($V74,IF($AL74="","",$AL74),IF($AK74="","",$AK74)),OR($Y74="worse",$Y74="better",$Y74="worse, not significant",$Y74="better, not significant")),IF(ROUND($AC74,3)=ROUND(significance_bar,3),TEXT($AC74,"0.0000"),TEXT($AC74,"0.000")),""),"")</f>
        <v/>
      </c>
      <c r="AN74">
        <f>IF(AND(ISNUMBER($AC74),ISNUMBER(IF($V74,IF($AL74="","",$AL74),IF($AK74="","",$AK74)))),IF(AND(ABS($AC74-significance_bar)&lt;=2.0*IF($V74,IF($AL74="","",$AL74),IF($AK74="","",$AK74)),OR($Y74="worse",$Y74="worse, not significant")),IF(ROUND($AC74,3)=ROUND(significance_bar,3),TEXT($AC74,"0.0000"),TEXT($AC74,"0.000")),""),"")</f>
        <v/>
      </c>
      <c r="AO74">
        <f>IF(OR($AI74="",$AN74=""),$AI74,$AI74&amp;" · borderline (p "&amp;$AN74&amp;")")</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0.9104477611940298</v>
      </c>
      <c r="M75" t="n">
        <v>0.9369131281724594</v>
      </c>
      <c r="N75" t="n">
        <v>0.8315565031982943</v>
      </c>
      <c r="O75" t="n">
        <v>31292.5710633453</v>
      </c>
      <c r="P75" t="n">
        <v>-89243.55877811671</v>
      </c>
      <c r="Q75">
        <f>'_live'!$C$21</f>
        <v/>
      </c>
      <c r="R75" t="inlineStr">
        <is>
          <t>shuffled: 182 of 200</t>
        </is>
      </c>
      <c r="S75" t="inlineStr">
        <is>
          <t>shuffled: 149 of 200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c r="AK75" t="n">
        <v>0.02019067053502789</v>
      </c>
      <c r="AL75" t="n">
        <v>0.03158062525287553</v>
      </c>
      <c r="AM75">
        <f>IF(AND(ISNUMBER($AC75),ISNUMBER(IF($V75,IF($AL75="","",$AL75),IF($AK75="","",$AK75)))),IF(AND(ABS($AC75-significance_bar)&lt;=2.0*IF($V75,IF($AL75="","",$AL75),IF($AK75="","",$AK75)),OR($Y75="worse",$Y75="better",$Y75="worse, not significant",$Y75="better, not significant")),IF(ROUND($AC75,3)=ROUND(significance_bar,3),TEXT($AC75,"0.0000"),TEXT($AC75,"0.000")),""),"")</f>
        <v/>
      </c>
      <c r="AN75">
        <f>IF(AND(ISNUMBER($AC75),ISNUMBER(IF($V75,IF($AL75="","",$AL75),IF($AK75="","",$AK75)))),IF(AND(ABS($AC75-significance_bar)&lt;=2.0*IF($V75,IF($AL75="","",$AL75),IF($AK75="","",$AK75)),OR($Y75="worse",$Y75="worse, not significant")),IF(ROUND($AC75,3)=ROUND(significance_bar,3),TEXT($AC75,"0.0000"),TEXT($AC75,"0.000")),""),"")</f>
        <v/>
      </c>
      <c r="AO75">
        <f>IF(OR($AI75="",$AN75=""),$AI75,$AI75&amp;" · borderline (p "&amp;$AN75&amp;")")</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0.9353233830845771</v>
      </c>
      <c r="M76" t="n">
        <v>0.9027162731903188</v>
      </c>
      <c r="N76" t="n">
        <v>0.7290470723306544</v>
      </c>
      <c r="O76" t="n">
        <v>12137.20458580717</v>
      </c>
      <c r="P76" t="n">
        <v>-78886.52637617034</v>
      </c>
      <c r="Q76">
        <f>'_live'!$C$22</f>
        <v/>
      </c>
      <c r="R76" t="inlineStr">
        <is>
          <t>shuffled: 187 of 200</t>
        </is>
      </c>
      <c r="S76" t="inlineStr">
        <is>
          <t>shuffled: 122 of 200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c r="AK76" t="n">
        <v>0.01739160029149108</v>
      </c>
      <c r="AL76" t="n">
        <v>0.03935089114033035</v>
      </c>
      <c r="AM76">
        <f>IF(AND(ISNUMBER($AC76),ISNUMBER(IF($V76,IF($AL76="","",$AL76),IF($AK76="","",$AK76)))),IF(AND(ABS($AC76-significance_bar)&lt;=2.0*IF($V76,IF($AL76="","",$AL76),IF($AK76="","",$AK76)),OR($Y76="worse",$Y76="better",$Y76="worse, not significant",$Y76="better, not significant")),IF(ROUND($AC76,3)=ROUND(significance_bar,3),TEXT($AC76,"0.0000"),TEXT($AC76,"0.000")),""),"")</f>
        <v/>
      </c>
      <c r="AN76">
        <f>IF(AND(ISNUMBER($AC76),ISNUMBER(IF($V76,IF($AL76="","",$AL76),IF($AK76="","",$AK76)))),IF(AND(ABS($AC76-significance_bar)&lt;=2.0*IF($V76,IF($AL76="","",$AL76),IF($AK76="","",$AK76)),OR($Y76="worse",$Y76="worse, not significant")),IF(ROUND($AC76,3)=ROUND(significance_bar,3),TEXT($AC76,"0.0000"),TEXT($AC76,"0.000")),""),"")</f>
        <v/>
      </c>
      <c r="AO76">
        <f>IF(OR($AI76="",$AN76=""),$AI76,$AI76&amp;" · borderline (p "&amp;$AN76&amp;")")</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0.009452736318407959</v>
      </c>
      <c r="M77" t="n">
        <v>-0.007937877766459628</v>
      </c>
      <c r="N77" t="n">
        <v>0.6460554371002133</v>
      </c>
      <c r="O77" t="n">
        <v>-555816.4709988744</v>
      </c>
      <c r="P77" t="n">
        <v>137499.1440925011</v>
      </c>
      <c r="Q77">
        <f>'_live'!$C$23</f>
        <v/>
      </c>
      <c r="R77" t="inlineStr">
        <is>
          <t>shuffled: 0 of 200</t>
        </is>
      </c>
      <c r="S77" t="inlineStr">
        <is>
          <t>shuffled: 100 of 200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c r="AK77" t="n">
        <v>0.009452736318407959</v>
      </c>
      <c r="AL77" t="n">
        <v>0.04545630193033656</v>
      </c>
      <c r="AM77">
        <f>IF(AND(ISNUMBER($AC77),ISNUMBER(IF($V77,IF($AL77="","",$AL77),IF($AK77="","",$AK77)))),IF(AND(ABS($AC77-significance_bar)&lt;=2.0*IF($V77,IF($AL77="","",$AL77),IF($AK77="","",$AK77)),OR($Y77="worse",$Y77="better",$Y77="worse, not significant",$Y77="better, not significant",AND(profit_kind="test",$Y77="in line",ISNUMBER($AB77),$AB77&lt;&gt;0))),IF(ROUND($AC77,3)=ROUND(significance_bar,3),TEXT($AC77,"0.0000"),TEXT($AC77,"0.000")),""),"")</f>
        <v/>
      </c>
      <c r="AN77">
        <f>IF(AND(ISNUMBER($AC77),ISNUMBER(IF($V77,IF($AL77="","",$AL77),IF($AK77="","",$AK77)))),IF(AND(ABS($AC77-significance_bar)&lt;=2.0*IF($V77,IF($AL77="","",$AL77),IF($AK77="","",$AK77)),OR($Y77="worse",$Y77="worse, not significant",AND(profit_kind="test",$Y77="in line",ISNUMBER($AB77),$AB77&lt;0))),IF(ROUND($AC77,3)=ROUND(significance_bar,3),TEXT($AC77,"0.0000"),TEXT($AC77,"0.000")),""),"")</f>
        <v/>
      </c>
      <c r="AO77">
        <f>IF(OR($AI77="",$AN77=""),$AI77,$AI77&amp;" · borderline (p "&amp;$AN77&amp;")")</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0.007271335629544585</v>
      </c>
      <c r="M78" t="n">
        <v>-0.01249202686991407</v>
      </c>
      <c r="N78" t="n">
        <v>0.07835820895522388</v>
      </c>
      <c r="O78" t="n">
        <v>-568012.9179990087</v>
      </c>
      <c r="P78" t="n">
        <v>216385.6704686694</v>
      </c>
      <c r="Q78">
        <f>'_live'!$C$24</f>
        <v/>
      </c>
      <c r="R78" t="inlineStr">
        <is>
          <t>shuffled: 0 of 200</t>
        </is>
      </c>
      <c r="S78" t="inlineStr">
        <is>
          <t>shuffled: 6 of 200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c r="AK78" t="n">
        <v>0.007271335629544585</v>
      </c>
      <c r="AL78" t="n">
        <v>0.0291689870614822</v>
      </c>
      <c r="AM78">
        <f>IF(AND(ISNUMBER($AC78),ISNUMBER(IF($V78,IF($AL78="","",$AL78),IF($AK78="","",$AK78)))),IF(AND(ABS($AC78-significance_bar)&lt;=2.0*IF($V78,IF($AL78="","",$AL78),IF($AK78="","",$AK78)),OR($Y78="worse",$Y78="better",$Y78="worse, not significant",$Y78="better, not significant",AND(profit_kind="test",$Y78="in line",ISNUMBER($AB78),$AB78&lt;&gt;0))),IF(ROUND($AC78,3)=ROUND(significance_bar,3),TEXT($AC78,"0.0000"),TEXT($AC78,"0.000")),""),"")</f>
        <v/>
      </c>
      <c r="AN78">
        <f>IF(AND(ISNUMBER($AC78),ISNUMBER(IF($V78,IF($AL78="","",$AL78),IF($AK78="","",$AK78)))),IF(AND(ABS($AC78-significance_bar)&lt;=2.0*IF($V78,IF($AL78="","",$AL78),IF($AK78="","",$AK78)),OR($Y78="worse",$Y78="worse, not significant",AND(profit_kind="test",$Y78="in line",ISNUMBER($AB78),$AB78&lt;0))),IF(ROUND($AC78,3)=ROUND(significance_bar,3),TEXT($AC78,"0.0000"),TEXT($AC78,"0.000")),""),"")</f>
        <v/>
      </c>
      <c r="AO78">
        <f>IF(OR($AI78="",$AN78=""),$AI78,$AI78&amp;" · borderline (p "&amp;$AN78&amp;")")</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c r="AM79">
        <f>IF(AND(ISNUMBER($AC79),ISNUMBER(IF($V79,IF($AL79="","",$AL79),IF($AK79="","",$AK79)))),IF(AND(ABS($AC79-significance_bar)&lt;=2.0*IF($V79,IF($AL79="","",$AL79),IF($AK79="","",$AK79)),OR($Y79="worse",$Y79="better",$Y79="worse, not significant",$Y79="better, not significant")),IF(ROUND($AC79,3)=ROUND(significance_bar,3),TEXT($AC79,"0.0000"),TEXT($AC79,"0.000")),""),"")</f>
        <v/>
      </c>
      <c r="AN79">
        <f>IF(AND(ISNUMBER($AC79),ISNUMBER(IF($V79,IF($AL79="","",$AL79),IF($AK79="","",$AK79)))),IF(AND(ABS($AC79-significance_bar)&lt;=2.0*IF($V79,IF($AL79="","",$AL79),IF($AK79="","",$AK79)),OR($Y79="worse",$Y79="worse, not significant")),IF(ROUND($AC79,3)=ROUND(significance_bar,3),TEXT($AC79,"0.0000"),TEXT($AC79,"0.000")),""),"")</f>
        <v/>
      </c>
      <c r="AO79">
        <f>IF(OR($AI79="",$AN79=""),$AI79,$AI79&amp;" · borderline (p "&amp;$AN79&amp;")")</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0.09701492537313432</v>
      </c>
      <c r="M80" t="n">
        <v>0.5577235040008647</v>
      </c>
      <c r="N80" t="n">
        <v>0.01865671641791045</v>
      </c>
      <c r="O80" t="n">
        <v>432269.467771301</v>
      </c>
      <c r="P80" t="n">
        <v>-1350279.176403547</v>
      </c>
      <c r="Q80">
        <f>'_live'!$C$21</f>
        <v/>
      </c>
      <c r="R80" t="inlineStr">
        <is>
          <t>shuffled: 12 of 200</t>
        </is>
      </c>
      <c r="S80" t="inlineStr">
        <is>
          <t>shuffled: 0 of 200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c r="AK80" t="n">
        <v>0.02608740043723662</v>
      </c>
      <c r="AL80" t="n">
        <v>0.01865671641791045</v>
      </c>
      <c r="AM80">
        <f>IF(AND(ISNUMBER($AC80),ISNUMBER(IF($V80,IF($AL80="","",$AL80),IF($AK80="","",$AK80)))),IF(AND(ABS($AC80-significance_bar)&lt;=2.0*IF($V80,IF($AL80="","",$AL80),IF($AK80="","",$AK80)),OR($Y80="worse",$Y80="better",$Y80="worse, not significant",$Y80="better, not significant")),IF(ROUND($AC80,3)=ROUND(significance_bar,3),TEXT($AC80,"0.0000"),TEXT($AC80,"0.000")),""),"")</f>
        <v/>
      </c>
      <c r="AN80">
        <f>IF(AND(ISNUMBER($AC80),ISNUMBER(IF($V80,IF($AL80="","",$AL80),IF($AK80="","",$AK80)))),IF(AND(ABS($AC80-significance_bar)&lt;=2.0*IF($V80,IF($AL80="","",$AL80),IF($AK80="","",$AK80)),OR($Y80="worse",$Y80="worse, not significant")),IF(ROUND($AC80,3)=ROUND(significance_bar,3),TEXT($AC80,"0.0000"),TEXT($AC80,"0.000")),""),"")</f>
        <v/>
      </c>
      <c r="AO80">
        <f>IF(OR($AI80="",$AN80=""),$AI80,$AI80&amp;" · borderline (p "&amp;$AN80&amp;")")</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0.1119402985074627</v>
      </c>
      <c r="M81" t="n">
        <v>0.5491282604182235</v>
      </c>
      <c r="N81" t="n">
        <v>0.03731343283582089</v>
      </c>
      <c r="O81" t="n">
        <v>234281.5621507792</v>
      </c>
      <c r="P81" t="n">
        <v>-772689.8544911416</v>
      </c>
      <c r="Q81">
        <f>'_live'!$C$22</f>
        <v/>
      </c>
      <c r="R81" t="inlineStr">
        <is>
          <t>shuffled: 14 of 200</t>
        </is>
      </c>
      <c r="S81" t="inlineStr">
        <is>
          <t>shuffled: 1 of 200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c r="AK81" t="n">
        <v>0.02787290954773597</v>
      </c>
      <c r="AL81" t="n">
        <v>0.02631853727549605</v>
      </c>
      <c r="AM81">
        <f>IF(AND(ISNUMBER($AC81),ISNUMBER(IF($V81,IF($AL81="","",$AL81),IF($AK81="","",$AK81)))),IF(AND(ABS($AC81-significance_bar)&lt;=2.0*IF($V81,IF($AL81="","",$AL81),IF($AK81="","",$AK81)),OR($Y81="worse",$Y81="better",$Y81="worse, not significant",$Y81="better, not significant")),IF(ROUND($AC81,3)=ROUND(significance_bar,3),TEXT($AC81,"0.0000"),TEXT($AC81,"0.000")),""),"")</f>
        <v/>
      </c>
      <c r="AN81">
        <f>IF(AND(ISNUMBER($AC81),ISNUMBER(IF($V81,IF($AL81="","",$AL81),IF($AK81="","",$AK81)))),IF(AND(ABS($AC81-significance_bar)&lt;=2.0*IF($V81,IF($AL81="","",$AL81),IF($AK81="","",$AK81)),OR($Y81="worse",$Y81="worse, not significant")),IF(ROUND($AC81,3)=ROUND(significance_bar,3),TEXT($AC81,"0.0000"),TEXT($AC81,"0.000")),""),"")</f>
        <v/>
      </c>
      <c r="AO81">
        <f>IF(OR($AI81="",$AN81=""),$AI81,$AI81&amp;" · borderline (p "&amp;$AN81&amp;")")</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0.009452736318407959</v>
      </c>
      <c r="M82" t="n">
        <v>0.03942393715077805</v>
      </c>
      <c r="N82" t="n">
        <v>0.04477611940298507</v>
      </c>
      <c r="O82" t="n">
        <v>-1640702.139939996</v>
      </c>
      <c r="P82" t="n">
        <v>-684682.5446028374</v>
      </c>
      <c r="Q82">
        <f>'_live'!$C$23</f>
        <v/>
      </c>
      <c r="R82" t="inlineStr">
        <is>
          <t>shuffled: 0 of 200</t>
        </is>
      </c>
      <c r="S82" t="inlineStr">
        <is>
          <t>shuffled: 1 of 200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c r="AK82" t="n">
        <v>0.009452736318407959</v>
      </c>
      <c r="AL82" t="n">
        <v>0.02572192229793147</v>
      </c>
      <c r="AM82">
        <f>IF(AND(ISNUMBER($AC82),ISNUMBER(IF($V82,IF($AL82="","",$AL82),IF($AK82="","",$AK82)))),IF(AND(ABS($AC82-significance_bar)&lt;=2.0*IF($V82,IF($AL82="","",$AL82),IF($AK82="","",$AK82)),OR($Y82="worse",$Y82="better",$Y82="worse, not significant",$Y82="better, not significant",AND(profit_kind="test",$Y82="in line",ISNUMBER($AB82),$AB82&lt;&gt;0))),IF(ROUND($AC82,3)=ROUND(significance_bar,3),TEXT($AC82,"0.0000"),TEXT($AC82,"0.000")),""),"")</f>
        <v/>
      </c>
      <c r="AN82">
        <f>IF(AND(ISNUMBER($AC82),ISNUMBER(IF($V82,IF($AL82="","",$AL82),IF($AK82="","",$AK82)))),IF(AND(ABS($AC82-significance_bar)&lt;=2.0*IF($V82,IF($AL82="","",$AL82),IF($AK82="","",$AK82)),OR($Y82="worse",$Y82="worse, not significant",AND(profit_kind="test",$Y82="in line",ISNUMBER($AB82),$AB82&lt;0))),IF(ROUND($AC82,3)=ROUND(significance_bar,3),TEXT($AC82,"0.0000"),TEXT($AC82,"0.000")),""),"")</f>
        <v/>
      </c>
      <c r="AO82">
        <f>IF(OR($AI82="",$AN82=""),$AI82,$AI82&amp;" · borderline (p "&amp;$AN82&amp;")")</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0.007271335629544585</v>
      </c>
      <c r="M83" t="n">
        <v>-0.005067450136118423</v>
      </c>
      <c r="N83" t="n">
        <v>0.582089552238806</v>
      </c>
      <c r="O83" t="n">
        <v>-1875055.149562673</v>
      </c>
      <c r="P83" t="n">
        <v>88007.30988830421</v>
      </c>
      <c r="Q83">
        <f>'_live'!$C$24</f>
        <v/>
      </c>
      <c r="R83" t="inlineStr">
        <is>
          <t>shuffled: 0 of 200</t>
        </is>
      </c>
      <c r="S83" t="inlineStr">
        <is>
          <t>shuffled: 103 of 200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c r="AK83" t="n">
        <v>0.007271335629544585</v>
      </c>
      <c r="AL83" t="n">
        <v>0.0397506288908165</v>
      </c>
      <c r="AM83">
        <f>IF(AND(ISNUMBER($AC83),ISNUMBER(IF($V83,IF($AL83="","",$AL83),IF($AK83="","",$AK83)))),IF(AND(ABS($AC83-significance_bar)&lt;=2.0*IF($V83,IF($AL83="","",$AL83),IF($AK83="","",$AK83)),OR($Y83="worse",$Y83="better",$Y83="worse, not significant",$Y83="better, not significant",AND(profit_kind="test",$Y83="in line",ISNUMBER($AB83),$AB83&lt;&gt;0))),IF(ROUND($AC83,3)=ROUND(significance_bar,3),TEXT($AC83,"0.0000"),TEXT($AC83,"0.000")),""),"")</f>
        <v/>
      </c>
      <c r="AN83">
        <f>IF(AND(ISNUMBER($AC83),ISNUMBER(IF($V83,IF($AL83="","",$AL83),IF($AK83="","",$AK83)))),IF(AND(ABS($AC83-significance_bar)&lt;=2.0*IF($V83,IF($AL83="","",$AL83),IF($AK83="","",$AK83)),OR($Y83="worse",$Y83="worse, not significant",AND(profit_kind="test",$Y83="in line",ISNUMBER($AB83),$AB83&lt;0))),IF(ROUND($AC83,3)=ROUND(significance_bar,3),TEXT($AC83,"0.0000"),TEXT($AC83,"0.000")),""),"")</f>
        <v/>
      </c>
      <c r="AO83">
        <f>IF(OR($AI83="",$AN83=""),$AI83,$AI83&amp;" · borderline (p "&amp;$AN83&amp;")")</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c r="AM84">
        <f>IF(AND(ISNUMBER($AC84),ISNUMBER(IF($V84,IF($AL84="","",$AL84),IF($AK84="","",$AK84)))),IF(AND(ABS($AC84-significance_bar)&lt;=2.0*IF($V84,IF($AL84="","",$AL84),IF($AK84="","",$AK84)),OR($Y84="worse",$Y84="better",$Y84="worse, not significant",$Y84="better, not significant")),IF(ROUND($AC84,3)=ROUND(significance_bar,3),TEXT($AC84,"0.0000"),TEXT($AC84,"0.000")),""),"")</f>
        <v/>
      </c>
      <c r="AN84">
        <f>IF(AND(ISNUMBER($AC84),ISNUMBER(IF($V84,IF($AL84="","",$AL84),IF($AK84="","",$AK84)))),IF(AND(ABS($AC84-significance_bar)&lt;=2.0*IF($V84,IF($AL84="","",$AL84),IF($AK84="","",$AK84)),OR($Y84="worse",$Y84="worse, not significant")),IF(ROUND($AC84,3)=ROUND(significance_bar,3),TEXT($AC84,"0.0000"),TEXT($AC84,"0.000")),""),"")</f>
        <v/>
      </c>
      <c r="AO84">
        <f>IF(OR($AI84="",$AN84=""),$AI84,$AI84&amp;" · borderline (p "&amp;$AN84&amp;")")</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0.03731343283582089</v>
      </c>
      <c r="M85" t="n">
        <v>0.718131796099021</v>
      </c>
      <c r="N85" t="n">
        <v>0.335820895522388</v>
      </c>
      <c r="O85" t="n">
        <v>-536957.7586660291</v>
      </c>
      <c r="P85" t="n">
        <v>-297590.467821245</v>
      </c>
      <c r="Q85">
        <f>'_live'!$C$21</f>
        <v/>
      </c>
      <c r="R85" t="inlineStr">
        <is>
          <t>shuffled: 3 of 200</t>
        </is>
      </c>
      <c r="S85" t="inlineStr">
        <is>
          <t>shuffled: 35 of 200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c r="AK85" t="n">
        <v>0.01851626235193956</v>
      </c>
      <c r="AL85" t="n">
        <v>0.05083741266208475</v>
      </c>
      <c r="AM85">
        <f>IF(AND(ISNUMBER($AC85),ISNUMBER(IF($V85,IF($AL85="","",$AL85),IF($AK85="","",$AK85)))),IF(AND(ABS($AC85-significance_bar)&lt;=2.0*IF($V85,IF($AL85="","",$AL85),IF($AK85="","",$AK85)),OR($Y85="worse",$Y85="better",$Y85="worse, not significant",$Y85="better, not significant")),IF(ROUND($AC85,3)=ROUND(significance_bar,3),TEXT($AC85,"0.0000"),TEXT($AC85,"0.000")),""),"")</f>
        <v/>
      </c>
      <c r="AN85">
        <f>IF(AND(ISNUMBER($AC85),ISNUMBER(IF($V85,IF($AL85="","",$AL85),IF($AK85="","",$AK85)))),IF(AND(ABS($AC85-significance_bar)&lt;=2.0*IF($V85,IF($AL85="","",$AL85),IF($AK85="","",$AK85)),OR($Y85="worse",$Y85="worse, not significant")),IF(ROUND($AC85,3)=ROUND(significance_bar,3),TEXT($AC85,"0.0000"),TEXT($AC85,"0.000")),""),"")</f>
        <v/>
      </c>
      <c r="AO85">
        <f>IF(OR($AI85="",$AN85=""),$AI85,$AI85&amp;" · borderline (p "&amp;$AN85&amp;")")</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0.03198294243070363</v>
      </c>
      <c r="M86" t="n">
        <v>0.6878985196916947</v>
      </c>
      <c r="N86" t="n">
        <v>0.2878464818763326</v>
      </c>
      <c r="O86" t="n">
        <v>-314123.4470512646</v>
      </c>
      <c r="P86" t="n">
        <v>-184657.6813779352</v>
      </c>
      <c r="Q86">
        <f>'_live'!$C$22</f>
        <v/>
      </c>
      <c r="R86" t="inlineStr">
        <is>
          <t>shuffled: 2 of 200</t>
        </is>
      </c>
      <c r="S86" t="inlineStr">
        <is>
          <t>shuffled: 26 of 200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c r="AK86" t="n">
        <v>0.01837280164137962</v>
      </c>
      <c r="AL86" t="n">
        <v>0.05167002480193022</v>
      </c>
      <c r="AM86">
        <f>IF(AND(ISNUMBER($AC86),ISNUMBER(IF($V86,IF($AL86="","",$AL86),IF($AK86="","",$AK86)))),IF(AND(ABS($AC86-significance_bar)&lt;=2.0*IF($V86,IF($AL86="","",$AL86),IF($AK86="","",$AK86)),OR($Y86="worse",$Y86="better",$Y86="worse, not significant",$Y86="better, not significant")),IF(ROUND($AC86,3)=ROUND(significance_bar,3),TEXT($AC86,"0.0000"),TEXT($AC86,"0.000")),""),"")</f>
        <v/>
      </c>
      <c r="AN86">
        <f>IF(AND(ISNUMBER($AC86),ISNUMBER(IF($V86,IF($AL86="","",$AL86),IF($AK86="","",$AK86)))),IF(AND(ABS($AC86-significance_bar)&lt;=2.0*IF($V86,IF($AL86="","",$AL86),IF($AK86="","",$AK86)),OR($Y86="worse",$Y86="worse, not significant")),IF(ROUND($AC86,3)=ROUND(significance_bar,3),TEXT($AC86,"0.0000"),TEXT($AC86,"0.000")),""),"")</f>
        <v/>
      </c>
      <c r="AO86">
        <f>IF(OR($AI86="",$AN86=""),$AI86,$AI86&amp;" · borderline (p "&amp;$AN86&amp;")")</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0.965174129353234</v>
      </c>
      <c r="M87" t="n">
        <v>-0.01808432210233071</v>
      </c>
      <c r="N87" t="n">
        <v>0.1194029850746269</v>
      </c>
      <c r="O87" t="n">
        <v>-32667.60341067426</v>
      </c>
      <c r="P87" t="n">
        <v>304536.2817999851</v>
      </c>
      <c r="Q87">
        <f>'_live'!$C$23</f>
        <v/>
      </c>
      <c r="R87" t="inlineStr">
        <is>
          <t>shuffled: 166 of 200</t>
        </is>
      </c>
      <c r="S87" t="inlineStr">
        <is>
          <t>shuffled: 11 of 200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c r="AK87" t="n">
        <v>0.01296399424954764</v>
      </c>
      <c r="AL87" t="n">
        <v>0.03350737958305022</v>
      </c>
      <c r="AM87">
        <f>IF(AND(ISNUMBER($AC87),ISNUMBER(IF($V87,IF($AL87="","",$AL87),IF($AK87="","",$AK87)))),IF(AND(ABS($AC87-significance_bar)&lt;=2.0*IF($V87,IF($AL87="","",$AL87),IF($AK87="","",$AK87)),OR($Y87="worse",$Y87="better",$Y87="worse, not significant",$Y87="better, not significant",AND(profit_kind="test",$Y87="in line",ISNUMBER($AB87),$AB87&lt;&gt;0))),IF(ROUND($AC87,3)=ROUND(significance_bar,3),TEXT($AC87,"0.0000"),TEXT($AC87,"0.000")),""),"")</f>
        <v/>
      </c>
      <c r="AN87">
        <f>IF(AND(ISNUMBER($AC87),ISNUMBER(IF($V87,IF($AL87="","",$AL87),IF($AK87="","",$AK87)))),IF(AND(ABS($AC87-significance_bar)&lt;=2.0*IF($V87,IF($AL87="","",$AL87),IF($AK87="","",$AK87)),OR($Y87="worse",$Y87="worse, not significant",AND(profit_kind="test",$Y87="in line",ISNUMBER($AB87),$AB87&lt;0))),IF(ROUND($AC87,3)=ROUND(significance_bar,3),TEXT($AC87,"0.0000"),TEXT($AC87,"0.000")),""),"")</f>
        <v/>
      </c>
      <c r="AO87">
        <f>IF(OR($AI87="",$AN87=""),$AI87,$AI87&amp;" · borderline (p "&amp;$AN87&amp;")")</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0.007271335629544585</v>
      </c>
      <c r="M88" t="n">
        <v>-0.02904987592393221</v>
      </c>
      <c r="N88" t="n">
        <v>0.01279317697228145</v>
      </c>
      <c r="O88" t="n">
        <v>281403.982009328</v>
      </c>
      <c r="P88" t="n">
        <v>489193.9631779199</v>
      </c>
      <c r="Q88">
        <f>'_live'!$C$24</f>
        <v/>
      </c>
      <c r="R88" t="inlineStr">
        <is>
          <t>shuffled: 0 of 200</t>
        </is>
      </c>
      <c r="S88" t="inlineStr">
        <is>
          <t>shuffled: 0 of 200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c r="AK88" t="n">
        <v>0.007271335629544585</v>
      </c>
      <c r="AL88" t="n">
        <v>0.01279317697228145</v>
      </c>
      <c r="AM88">
        <f>IF(AND(ISNUMBER($AC88),ISNUMBER(IF($V88,IF($AL88="","",$AL88),IF($AK88="","",$AK88)))),IF(AND(ABS($AC88-significance_bar)&lt;=2.0*IF($V88,IF($AL88="","",$AL88),IF($AK88="","",$AK88)),OR($Y88="worse",$Y88="better",$Y88="worse, not significant",$Y88="better, not significant",AND(profit_kind="test",$Y88="in line",ISNUMBER($AB88),$AB88&lt;&gt;0))),IF(ROUND($AC88,3)=ROUND(significance_bar,3),TEXT($AC88,"0.0000"),TEXT($AC88,"0.000")),""),"")</f>
        <v/>
      </c>
      <c r="AN88">
        <f>IF(AND(ISNUMBER($AC88),ISNUMBER(IF($V88,IF($AL88="","",$AL88),IF($AK88="","",$AK88)))),IF(AND(ABS($AC88-significance_bar)&lt;=2.0*IF($V88,IF($AL88="","",$AL88),IF($AK88="","",$AK88)),OR($Y88="worse",$Y88="worse, not significant",AND(profit_kind="test",$Y88="in line",ISNUMBER($AB88),$AB88&lt;0))),IF(ROUND($AC88,3)=ROUND(significance_bar,3),TEXT($AC88,"0.0000"),TEXT($AC88,"0.000")),""),"")</f>
        <v/>
      </c>
      <c r="AO88">
        <f>IF(OR($AI88="",$AN88=""),$AI88,$AI88&amp;" · borderline (p "&amp;$AN88&amp;")")</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c r="AM89">
        <f>IF(AND(ISNUMBER($AC89),ISNUMBER(IF($V89,IF($AL89="","",$AL89),IF($AK89="","",$AK89)))),IF(AND(ABS($AC89-significance_bar)&lt;=2.0*IF($V89,IF($AL89="","",$AL89),IF($AK89="","",$AK89)),OR($Y89="worse",$Y89="better",$Y89="worse, not significant",$Y89="better, not significant")),IF(ROUND($AC89,3)=ROUND(significance_bar,3),TEXT($AC89,"0.0000"),TEXT($AC89,"0.000")),""),"")</f>
        <v/>
      </c>
      <c r="AN89">
        <f>IF(AND(ISNUMBER($AC89),ISNUMBER(IF($V89,IF($AL89="","",$AL89),IF($AK89="","",$AK89)))),IF(AND(ABS($AC89-significance_bar)&lt;=2.0*IF($V89,IF($AL89="","",$AL89),IF($AK89="","",$AK89)),OR($Y89="worse",$Y89="worse, not significant")),IF(ROUND($AC89,3)=ROUND(significance_bar,3),TEXT($AC89,"0.0000"),TEXT($AC89,"0.000")),""),"")</f>
        <v/>
      </c>
      <c r="AO89">
        <f>IF(OR($AI89="",$AN89=""),$AI89,$AI89&amp;" · borderline (p "&amp;$AN89&amp;")")</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c r="AM90">
        <f>IF(AND(ISNUMBER($AC90),ISNUMBER(IF($V90,IF($AL90="","",$AL90),IF($AK90="","",$AK90)))),IF(AND(ABS($AC90-significance_bar)&lt;=2.0*IF($V90,IF($AL90="","",$AL90),IF($AK90="","",$AK90)),OR($Y90="worse",$Y90="better",$Y90="worse, not significant",$Y90="better, not significant")),IF(ROUND($AC90,3)=ROUND(significance_bar,3),TEXT($AC90,"0.0000"),TEXT($AC90,"0.000")),""),"")</f>
        <v/>
      </c>
      <c r="AN90">
        <f>IF(AND(ISNUMBER($AC90),ISNUMBER(IF($V90,IF($AL90="","",$AL90),IF($AK90="","",$AK90)))),IF(AND(ABS($AC90-significance_bar)&lt;=2.0*IF($V90,IF($AL90="","",$AL90),IF($AK90="","",$AK90)),OR($Y90="worse",$Y90="worse, not significant")),IF(ROUND($AC90,3)=ROUND(significance_bar,3),TEXT($AC90,"0.0000"),TEXT($AC90,"0.000")),""),"")</f>
        <v/>
      </c>
      <c r="AO90">
        <f>IF(OR($AI90="",$AN90=""),$AI90,$AI90&amp;" · borderline (p "&amp;$AN90&amp;")")</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c r="AM91">
        <f>IF(AND(ISNUMBER($AC91),ISNUMBER(IF($V91,IF($AL91="","",$AL91),IF($AK91="","",$AK91)))),IF(AND(ABS($AC91-significance_bar)&lt;=2.0*IF($V91,IF($AL91="","",$AL91),IF($AK91="","",$AK91)),OR($Y91="worse",$Y91="better",$Y91="worse, not significant",$Y91="better, not significant")),IF(ROUND($AC91,3)=ROUND(significance_bar,3),TEXT($AC91,"0.0000"),TEXT($AC91,"0.000")),""),"")</f>
        <v/>
      </c>
      <c r="AN91">
        <f>IF(AND(ISNUMBER($AC91),ISNUMBER(IF($V91,IF($AL91="","",$AL91),IF($AK91="","",$AK91)))),IF(AND(ABS($AC91-significance_bar)&lt;=2.0*IF($V91,IF($AL91="","",$AL91),IF($AK91="","",$AK91)),OR($Y91="worse",$Y91="worse, not significant")),IF(ROUND($AC91,3)=ROUND(significance_bar,3),TEXT($AC91,"0.0000"),TEXT($AC91,"0.000")),""),"")</f>
        <v/>
      </c>
      <c r="AO91">
        <f>IF(OR($AI91="",$AN91=""),$AI91,$AI91&amp;" · borderline (p "&amp;$AN91&amp;")")</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0.6742951907131012</v>
      </c>
      <c r="M92" t="n">
        <v>-0.0123705943219497</v>
      </c>
      <c r="N92" t="n">
        <v>0.7322212467076382</v>
      </c>
      <c r="O92" t="n">
        <v>-33802.04669021186</v>
      </c>
      <c r="P92" t="n">
        <v>21908.36633607684</v>
      </c>
      <c r="Q92">
        <f>'_live'!$C$23</f>
        <v/>
      </c>
      <c r="R92" t="inlineStr">
        <is>
          <t>shuffled: 106 of 200</t>
        </is>
      </c>
      <c r="S92" t="inlineStr">
        <is>
          <t>shuffled: 138 of 200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c r="AK92" t="n">
        <v>0.04468966532382575</v>
      </c>
      <c r="AL92" t="n">
        <v>0.03457926623131092</v>
      </c>
      <c r="AM92">
        <f>IF(AND(ISNUMBER($AC92),ISNUMBER(IF($V92,IF($AL92="","",$AL92),IF($AK92="","",$AK92)))),IF(AND(ABS($AC92-significance_bar)&lt;=2.0*IF($V92,IF($AL92="","",$AL92),IF($AK92="","",$AK92)),OR($Y92="worse",$Y92="better",$Y92="worse, not significant",$Y92="better, not significant",AND(profit_kind="test",$Y92="in line",ISNUMBER($AB92),$AB92&lt;&gt;0))),IF(ROUND($AC92,3)=ROUND(significance_bar,3),TEXT($AC92,"0.0000"),TEXT($AC92,"0.000")),""),"")</f>
        <v/>
      </c>
      <c r="AN92">
        <f>IF(AND(ISNUMBER($AC92),ISNUMBER(IF($V92,IF($AL92="","",$AL92),IF($AK92="","",$AK92)))),IF(AND(ABS($AC92-significance_bar)&lt;=2.0*IF($V92,IF($AL92="","",$AL92),IF($AK92="","",$AK92)),OR($Y92="worse",$Y92="worse, not significant",AND(profit_kind="test",$Y92="in line",ISNUMBER($AB92),$AB92&lt;0))),IF(ROUND($AC92,3)=ROUND(significance_bar,3),TEXT($AC92,"0.0000"),TEXT($AC92,"0.000")),""),"")</f>
        <v/>
      </c>
      <c r="AO92">
        <f>IF(OR($AI92="",$AN92=""),$AI92,$AI92&amp;" · borderline (p "&amp;$AN92&amp;")")</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0.5004389815627743</v>
      </c>
      <c r="M93" t="n">
        <v>-0.03903593148040246</v>
      </c>
      <c r="N93" t="n">
        <v>0.1791044776119403</v>
      </c>
      <c r="O93" t="n">
        <v>26515.31973832275</v>
      </c>
      <c r="P93" t="n">
        <v>69132.7728389902</v>
      </c>
      <c r="Q93">
        <f>'_live'!$C$24</f>
        <v/>
      </c>
      <c r="R93" t="inlineStr">
        <is>
          <t>shuffled: 89 of 200</t>
        </is>
      </c>
      <c r="S93" t="inlineStr">
        <is>
          <t>shuffled: 22 of 200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c r="AK93" t="n">
        <v>0.03929853569770064</v>
      </c>
      <c r="AL93" t="n">
        <v>0.03439318991582959</v>
      </c>
      <c r="AM93">
        <f>IF(AND(ISNUMBER($AC93),ISNUMBER(IF($V93,IF($AL93="","",$AL93),IF($AK93="","",$AK93)))),IF(AND(ABS($AC93-significance_bar)&lt;=2.0*IF($V93,IF($AL93="","",$AL93),IF($AK93="","",$AK93)),OR($Y93="worse",$Y93="better",$Y93="worse, not significant",$Y93="better, not significant",AND(profit_kind="test",$Y93="in line",ISNUMBER($AB93),$AB93&lt;&gt;0))),IF(ROUND($AC93,3)=ROUND(significance_bar,3),TEXT($AC93,"0.0000"),TEXT($AC93,"0.000")),""),"")</f>
        <v/>
      </c>
      <c r="AN93">
        <f>IF(AND(ISNUMBER($AC93),ISNUMBER(IF($V93,IF($AL93="","",$AL93),IF($AK93="","",$AK93)))),IF(AND(ABS($AC93-significance_bar)&lt;=2.0*IF($V93,IF($AL93="","",$AL93),IF($AK93="","",$AK93)),OR($Y93="worse",$Y93="worse, not significant",AND(profit_kind="test",$Y93="in line",ISNUMBER($AB93),$AB93&lt;0))),IF(ROUND($AC93,3)=ROUND(significance_bar,3),TEXT($AC93,"0.0000"),TEXT($AC93,"0.000")),""),"")</f>
        <v/>
      </c>
      <c r="AO93">
        <f>IF(OR($AI93="",$AN93=""),$AI93,$AI93&amp;" · borderline (p "&amp;$AN93&amp;")")</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c r="AM94">
        <f>IF(AND(ISNUMBER($AC94),ISNUMBER(IF($V94,IF($AL94="","",$AL94),IF($AK94="","",$AK94)))),IF(AND(ABS($AC94-significance_bar)&lt;=2.0*IF($V94,IF($AL94="","",$AL94),IF($AK94="","",$AK94)),OR($Y94="worse",$Y94="better",$Y94="worse, not significant",$Y94="better, not significant")),IF(ROUND($AC94,3)=ROUND(significance_bar,3),TEXT($AC94,"0.0000"),TEXT($AC94,"0.000")),""),"")</f>
        <v/>
      </c>
      <c r="AN94">
        <f>IF(AND(ISNUMBER($AC94),ISNUMBER(IF($V94,IF($AL94="","",$AL94),IF($AK94="","",$AK94)))),IF(AND(ABS($AC94-significance_bar)&lt;=2.0*IF($V94,IF($AL94="","",$AL94),IF($AK94="","",$AK94)),OR($Y94="worse",$Y94="worse, not significant")),IF(ROUND($AC94,3)=ROUND(significance_bar,3),TEXT($AC94,"0.0000"),TEXT($AC94,"0.000")),""),"")</f>
        <v/>
      </c>
      <c r="AO94">
        <f>IF(OR($AI94="",$AN94=""),$AI94,$AI94&amp;" · borderline (p "&amp;$AN94&amp;")")</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c r="AM95">
        <f>IF(AND(ISNUMBER($AC95),ISNUMBER(IF($V95,IF($AL95="","",$AL95),IF($AK95="","",$AK95)))),IF(AND(ABS($AC95-significance_bar)&lt;=2.0*IF($V95,IF($AL95="","",$AL95),IF($AK95="","",$AK95)),OR($Y95="worse",$Y95="better",$Y95="worse, not significant",$Y95="better, not significant")),IF(ROUND($AC95,3)=ROUND(significance_bar,3),TEXT($AC95,"0.0000"),TEXT($AC95,"0.000")),""),"")</f>
        <v/>
      </c>
      <c r="AN95">
        <f>IF(AND(ISNUMBER($AC95),ISNUMBER(IF($V95,IF($AL95="","",$AL95),IF($AK95="","",$AK95)))),IF(AND(ABS($AC95-significance_bar)&lt;=2.0*IF($V95,IF($AL95="","",$AL95),IF($AK95="","",$AK95)),OR($Y95="worse",$Y95="worse, not significant")),IF(ROUND($AC95,3)=ROUND(significance_bar,3),TEXT($AC95,"0.0000"),TEXT($AC95,"0.000")),""),"")</f>
        <v/>
      </c>
      <c r="AO95">
        <f>IF(OR($AI95="",$AN95=""),$AI95,$AI95&amp;" · borderline (p "&amp;$AN95&amp;")")</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c r="AM96">
        <f>IF(AND(ISNUMBER($AC96),ISNUMBER(IF($V96,IF($AL96="","",$AL96),IF($AK96="","",$AK96)))),IF(AND(ABS($AC96-significance_bar)&lt;=2.0*IF($V96,IF($AL96="","",$AL96),IF($AK96="","",$AK96)),OR($Y96="worse",$Y96="better",$Y96="worse, not significant",$Y96="better, not significant")),IF(ROUND($AC96,3)=ROUND(significance_bar,3),TEXT($AC96,"0.0000"),TEXT($AC96,"0.000")),""),"")</f>
        <v/>
      </c>
      <c r="AN96">
        <f>IF(AND(ISNUMBER($AC96),ISNUMBER(IF($V96,IF($AL96="","",$AL96),IF($AK96="","",$AK96)))),IF(AND(ABS($AC96-significance_bar)&lt;=2.0*IF($V96,IF($AL96="","",$AL96),IF($AK96="","",$AK96)),OR($Y96="worse",$Y96="worse, not significant")),IF(ROUND($AC96,3)=ROUND(significance_bar,3),TEXT($AC96,"0.0000"),TEXT($AC96,"0.000")),""),"")</f>
        <v/>
      </c>
      <c r="AO96">
        <f>IF(OR($AI96="",$AN96=""),$AI96,$AI96&amp;" · borderline (p "&amp;$AN96&amp;")")</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0.965174129353234</v>
      </c>
      <c r="M97" t="n">
        <v>-0.0430755099286384</v>
      </c>
      <c r="N97" t="n">
        <v>0.1716417910447761</v>
      </c>
      <c r="O97" t="n">
        <v>3865.017818856781</v>
      </c>
      <c r="P97" t="n">
        <v>71871.91950178755</v>
      </c>
      <c r="Q97">
        <f>'_live'!$C$23</f>
        <v/>
      </c>
      <c r="R97" t="inlineStr">
        <is>
          <t>shuffled: 187 of 200</t>
        </is>
      </c>
      <c r="S97" t="inlineStr">
        <is>
          <t>shuffled: 22 of 200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c r="AK97" t="n">
        <v>0.01296399424954764</v>
      </c>
      <c r="AL97" t="n">
        <v>0.0337640179876526</v>
      </c>
      <c r="AM97">
        <f>IF(AND(ISNUMBER($AC97),ISNUMBER(IF($V97,IF($AL97="","",$AL97),IF($AK97="","",$AK97)))),IF(AND(ABS($AC97-significance_bar)&lt;=2.0*IF($V97,IF($AL97="","",$AL97),IF($AK97="","",$AK97)),OR($Y97="worse",$Y97="better",$Y97="worse, not significant",$Y97="better, not significant",AND(profit_kind="test",$Y97="in line",ISNUMBER($AB97),$AB97&lt;&gt;0))),IF(ROUND($AC97,3)=ROUND(significance_bar,3),TEXT($AC97,"0.0000"),TEXT($AC97,"0.000")),""),"")</f>
        <v/>
      </c>
      <c r="AN97">
        <f>IF(AND(ISNUMBER($AC97),ISNUMBER(IF($V97,IF($AL97="","",$AL97),IF($AK97="","",$AK97)))),IF(AND(ABS($AC97-significance_bar)&lt;=2.0*IF($V97,IF($AL97="","",$AL97),IF($AK97="","",$AK97)),OR($Y97="worse",$Y97="worse, not significant",AND(profit_kind="test",$Y97="in line",ISNUMBER($AB97),$AB97&lt;0))),IF(ROUND($AC97,3)=ROUND(significance_bar,3),TEXT($AC97,"0.0000"),TEXT($AC97,"0.000")),""),"")</f>
        <v/>
      </c>
      <c r="AO97">
        <f>IF(OR($AI97="",$AN97=""),$AI97,$AI97&amp;" · borderline (p "&amp;$AN97&amp;")")</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0.6774461028192371</v>
      </c>
      <c r="M98" t="n">
        <v>-0.004231854948907793</v>
      </c>
      <c r="N98" t="n">
        <v>0.8407960199004975</v>
      </c>
      <c r="O98" t="n">
        <v>-13766.1369509392</v>
      </c>
      <c r="P98" t="n">
        <v>7060.892343120649</v>
      </c>
      <c r="Q98">
        <f>'_live'!$C$24</f>
        <v/>
      </c>
      <c r="R98" t="inlineStr">
        <is>
          <t>shuffled: 128 of 200</t>
        </is>
      </c>
      <c r="S98" t="inlineStr">
        <is>
          <t>shuffled: 168 of 200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c r="AK98" t="n">
        <v>0.03578748211283755</v>
      </c>
      <c r="AL98" t="n">
        <v>0.02587064676616916</v>
      </c>
      <c r="AM98">
        <f>IF(AND(ISNUMBER($AC98),ISNUMBER(IF($V98,IF($AL98="","",$AL98),IF($AK98="","",$AK98)))),IF(AND(ABS($AC98-significance_bar)&lt;=2.0*IF($V98,IF($AL98="","",$AL98),IF($AK98="","",$AK98)),OR($Y98="worse",$Y98="better",$Y98="worse, not significant",$Y98="better, not significant",AND(profit_kind="test",$Y98="in line",ISNUMBER($AB98),$AB98&lt;&gt;0))),IF(ROUND($AC98,3)=ROUND(significance_bar,3),TEXT($AC98,"0.0000"),TEXT($AC98,"0.000")),""),"")</f>
        <v/>
      </c>
      <c r="AN98">
        <f>IF(AND(ISNUMBER($AC98),ISNUMBER(IF($V98,IF($AL98="","",$AL98),IF($AK98="","",$AK98)))),IF(AND(ABS($AC98-significance_bar)&lt;=2.0*IF($V98,IF($AL98="","",$AL98),IF($AK98="","",$AK98)),OR($Y98="worse",$Y98="worse, not significant",AND(profit_kind="test",$Y98="in line",ISNUMBER($AB98),$AB98&lt;0))),IF(ROUND($AC98,3)=ROUND(significance_bar,3),TEXT($AC98,"0.0000"),TEXT($AC98,"0.000")),""),"")</f>
        <v/>
      </c>
      <c r="AO98">
        <f>IF(OR($AI98="",$AN98=""),$AI98,$AI98&amp;" · borderline (p "&amp;$AN98&amp;")")</f>
        <v/>
      </c>
    </row>
    <row r="99">
      <c r="A99" t="inlineStr">
        <is>
          <t>grids</t>
        </is>
      </c>
      <c r="B99" t="inlineStr">
        <is>
          <t>FICO x ASSET_CLASS</t>
        </is>
      </c>
      <c r="C99" t="inlineStr">
        <is>
          <t>(marked missing)</t>
        </is>
      </c>
      <c r="D99" t="inlineStr">
        <is>
          <t>1</t>
        </is>
      </c>
      <c r="E99" t="inlineStr">
        <is>
          <t>outcome_loans</t>
        </is>
      </c>
      <c r="F99" t="inlineStr">
        <is>
          <t>Outcome, share of loans</t>
        </is>
      </c>
      <c r="G99" t="n">
        <v>42</v>
      </c>
      <c r="H99" t="n">
        <v>42</v>
      </c>
      <c r="I99" t="b">
        <v>1</v>
      </c>
      <c r="J99" t="b">
        <v>0</v>
      </c>
      <c r="K99" t="n">
        <v>0.306557250732008</v>
      </c>
      <c r="M99" t="n">
        <v>0.3121693121693122</v>
      </c>
      <c r="O99" t="n">
        <v>-2.262033429684554</v>
      </c>
      <c r="P99" t="n">
        <v>-2.203389830508475</v>
      </c>
      <c r="Q99">
        <f>'_live'!$C$20</f>
        <v/>
      </c>
      <c r="T99" t="n">
        <v>0.07766746261153701</v>
      </c>
      <c r="U99" t="n">
        <v>0.07627118644067797</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0.02380952380952381</v>
      </c>
      <c r="AI99">
        <f>IF($Y99="worse","Yes",IF($Y99="worse, not significant","Not sure",IF(OR($Y99="too few losses to test",$Y99="too few loans to test"),"Too few losses",IF($Y99="","","No"))))</f>
        <v/>
      </c>
      <c r="AJ99">
        <f>IF($AA99="yes","Yes",IF($AA99="","","No"))</f>
        <v/>
      </c>
      <c r="AM99">
        <f>IF(AND(ISNUMBER($AC99),ISNUMBER(IF($V99,IF($AL99="","",$AL99),IF($AK99="","",$AK99)))),IF(AND(ABS($AC99-significance_bar)&lt;=2.0*IF($V99,IF($AL99="","",$AL99),IF($AK99="","",$AK99)),OR($Y99="worse",$Y99="better",$Y99="worse, not significant",$Y99="better, not significant")),IF(ROUND($AC99,3)=ROUND(significance_bar,3),TEXT($AC99,"0.0000"),TEXT($AC99,"0.000")),""),"")</f>
        <v/>
      </c>
      <c r="AN99">
        <f>IF(AND(ISNUMBER($AC99),ISNUMBER(IF($V99,IF($AL99="","",$AL99),IF($AK99="","",$AK99)))),IF(AND(ABS($AC99-significance_bar)&lt;=2.0*IF($V99,IF($AL99="","",$AL99),IF($AK99="","",$AK99)),OR($Y99="worse",$Y99="worse, not significant")),IF(ROUND($AC99,3)=ROUND(significance_bar,3),TEXT($AC99,"0.0000"),TEXT($AC99,"0.000")),""),"")</f>
        <v/>
      </c>
      <c r="AO99">
        <f>IF(OR($AI99="",$AN99=""),$AI99,$AI99&amp;" · borderline (p "&amp;$AN99&amp;")")</f>
        <v/>
      </c>
    </row>
    <row r="100">
      <c r="A100" t="inlineStr">
        <is>
          <t>grids</t>
        </is>
      </c>
      <c r="B100" t="inlineStr">
        <is>
          <t>FICO x ASSET_CLASS</t>
        </is>
      </c>
      <c r="C100" t="inlineStr">
        <is>
          <t>(marked missing)</t>
        </is>
      </c>
      <c r="D100" t="inlineStr">
        <is>
          <t>1</t>
        </is>
      </c>
      <c r="E100" t="inlineStr">
        <is>
          <t>outcome_booked</t>
        </is>
      </c>
      <c r="F100" t="inlineStr">
        <is>
          <t>Outcome, share of booked dollars</t>
        </is>
      </c>
      <c r="G100" t="n">
        <v>42</v>
      </c>
      <c r="H100" t="n">
        <v>1515477.86</v>
      </c>
      <c r="I100" t="b">
        <v>1</v>
      </c>
      <c r="J100" t="b">
        <v>0</v>
      </c>
      <c r="K100" t="n">
        <v>0.1274607192524686</v>
      </c>
      <c r="M100" t="n">
        <v>0.1506400622049624</v>
      </c>
      <c r="O100" t="n">
        <v>-99456.93698537898</v>
      </c>
      <c r="P100" t="n">
        <v>-81917.69874506115</v>
      </c>
      <c r="Q100">
        <f>'_live'!$C$21</f>
        <v/>
      </c>
      <c r="T100" t="n">
        <v>0.0752143135798625</v>
      </c>
      <c r="U100" t="n">
        <v>0.06364090910906553</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0.009586870506969991</v>
      </c>
      <c r="AI100">
        <f>IF($Y100="worse","Yes",IF($Y100="worse, not significant","Not sure",IF(OR($Y100="too few losses to test",$Y100="too few loans to test"),"Too few losses",IF($Y100="","","No"))))</f>
        <v/>
      </c>
      <c r="AJ100">
        <f>IF($AA100="yes","Yes",IF($AA100="","","No"))</f>
        <v/>
      </c>
      <c r="AM100">
        <f>IF(AND(ISNUMBER($AC100),ISNUMBER(IF($V100,IF($AL100="","",$AL100),IF($AK100="","",$AK100)))),IF(AND(ABS($AC100-significance_bar)&lt;=2.0*IF($V100,IF($AL100="","",$AL100),IF($AK100="","",$AK100)),OR($Y100="worse",$Y100="better",$Y100="worse, not significant",$Y100="better, not significant")),IF(ROUND($AC100,3)=ROUND(significance_bar,3),TEXT($AC100,"0.0000"),TEXT($AC100,"0.000")),""),"")</f>
        <v/>
      </c>
      <c r="AN100">
        <f>IF(AND(ISNUMBER($AC100),ISNUMBER(IF($V100,IF($AL100="","",$AL100),IF($AK100="","",$AK100)))),IF(AND(ABS($AC100-significance_bar)&lt;=2.0*IF($V100,IF($AL100="","",$AL100),IF($AK100="","",$AK100)),OR($Y100="worse",$Y100="worse, not significant")),IF(ROUND($AC100,3)=ROUND(significance_bar,3),TEXT($AC100,"0.0000"),TEXT($AC100,"0.000")),""),"")</f>
        <v/>
      </c>
      <c r="AO100">
        <f>IF(OR($AI100="",$AN100=""),$AI100,$AI100&amp;" · borderline (p "&amp;$AN100&amp;")")</f>
        <v/>
      </c>
    </row>
    <row r="101">
      <c r="A101" t="inlineStr">
        <is>
          <t>grids</t>
        </is>
      </c>
      <c r="B101" t="inlineStr">
        <is>
          <t>FICO x ASSET_CLASS</t>
        </is>
      </c>
      <c r="C101" t="inlineStr">
        <is>
          <t>(marked missing)</t>
        </is>
      </c>
      <c r="D101" t="inlineStr">
        <is>
          <t>1</t>
        </is>
      </c>
      <c r="E101" t="inlineStr">
        <is>
          <t>gco_rate</t>
        </is>
      </c>
      <c r="F101" t="inlineStr">
        <is>
          <t>GCO per booked dollar</t>
        </is>
      </c>
      <c r="G101" t="n">
        <v>42</v>
      </c>
      <c r="H101" t="n">
        <v>1515477.86</v>
      </c>
      <c r="I101" t="b">
        <v>1</v>
      </c>
      <c r="J101" t="b">
        <v>0</v>
      </c>
      <c r="K101" t="n">
        <v>0.09868394714822806</v>
      </c>
      <c r="M101" t="n">
        <v>0.1210324777551084</v>
      </c>
      <c r="O101" t="n">
        <v>-57132.09184120053</v>
      </c>
      <c r="P101" t="n">
        <v>-45427.66721155433</v>
      </c>
      <c r="Q101">
        <f>'_live'!$C$22</f>
        <v/>
      </c>
      <c r="T101" t="n">
        <v>0.0418266828663538</v>
      </c>
      <c r="U101" t="n">
        <v>0.03410342610452542</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0.004127622161368955</v>
      </c>
      <c r="AI101">
        <f>IF($Y101="worse","Yes",IF($Y101="worse, not significant","Not sure",IF(OR($Y101="too few losses to test",$Y101="too few loans to test"),"Too few losses",IF($Y101="","","No"))))</f>
        <v/>
      </c>
      <c r="AJ101">
        <f>IF($AA101="yes","Yes",IF($AA101="","","No"))</f>
        <v/>
      </c>
      <c r="AM101">
        <f>IF(AND(ISNUMBER($AC101),ISNUMBER(IF($V101,IF($AL101="","",$AL101),IF($AK101="","",$AK101)))),IF(AND(ABS($AC101-significance_bar)&lt;=2.0*IF($V101,IF($AL101="","",$AL101),IF($AK101="","",$AK101)),OR($Y101="worse",$Y101="better",$Y101="worse, not significant",$Y101="better, not significant")),IF(ROUND($AC101,3)=ROUND(significance_bar,3),TEXT($AC101,"0.0000"),TEXT($AC101,"0.000")),""),"")</f>
        <v/>
      </c>
      <c r="AN101">
        <f>IF(AND(ISNUMBER($AC101),ISNUMBER(IF($V101,IF($AL101="","",$AL101),IF($AK101="","",$AK101)))),IF(AND(ABS($AC101-significance_bar)&lt;=2.0*IF($V101,IF($AL101="","",$AL101),IF($AK101="","",$AK101)),OR($Y101="worse",$Y101="worse, not significant")),IF(ROUND($AC101,3)=ROUND(significance_bar,3),TEXT($AC101,"0.0000"),TEXT($AC101,"0.000")),""),"")</f>
        <v/>
      </c>
      <c r="AO101">
        <f>IF(OR($AI101="",$AN101=""),$AI101,$AI101&amp;" · borderline (p "&amp;$AN101&amp;")")</f>
        <v/>
      </c>
    </row>
    <row r="102">
      <c r="A102" t="inlineStr">
        <is>
          <t>grids</t>
        </is>
      </c>
      <c r="B102" t="inlineStr">
        <is>
          <t>FICO x ASSET_CLASS</t>
        </is>
      </c>
      <c r="C102" t="inlineStr">
        <is>
          <t>(marked missing)</t>
        </is>
      </c>
      <c r="D102" t="inlineStr">
        <is>
          <t>1</t>
        </is>
      </c>
      <c r="E102" t="inlineStr">
        <is>
          <t>ranr_rate</t>
        </is>
      </c>
      <c r="F102" t="inlineStr">
        <is>
          <t>Profit after losses: RANR per booked dollar</t>
        </is>
      </c>
      <c r="G102" t="n">
        <v>42</v>
      </c>
      <c r="H102" t="n">
        <v>1515477.86</v>
      </c>
      <c r="I102" t="b">
        <v>0</v>
      </c>
      <c r="J102" t="b">
        <v>0</v>
      </c>
      <c r="K102" t="n">
        <v>0.05197257184150014</v>
      </c>
      <c r="L102" t="n">
        <v>0.1024290313140181</v>
      </c>
      <c r="M102" t="n">
        <v>0.03431925922526244</v>
      </c>
      <c r="N102" t="n">
        <v>0.6268656716417911</v>
      </c>
      <c r="O102" t="n">
        <v>-78763.28195305291</v>
      </c>
      <c r="P102" t="n">
        <v>-52010.07752748599</v>
      </c>
      <c r="Q102">
        <f>'_live'!$C$23</f>
        <v/>
      </c>
      <c r="R102" t="inlineStr">
        <is>
          <t>shuffled: 13 of 200</t>
        </is>
      </c>
      <c r="S102" t="inlineStr">
        <is>
          <t>shuffled: 62 of 200</t>
        </is>
      </c>
      <c r="T102" t="n">
        <v>0.1276848465783242</v>
      </c>
      <c r="U102" t="n">
        <v>0.1453381591945619</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0.1796574184198243</v>
      </c>
      <c r="AI102">
        <f>IF($Y102="worse","Yes",IF($Y102="worse, not significant","Not sure",IF(OR($Y102="too few losses to test",$Y102="too few loans to test"),"Too few losses",IF($Y102="","","No"))))</f>
        <v/>
      </c>
      <c r="AJ102">
        <f>IF($AA102="yes","Yes",IF($AA102="","","No"))</f>
        <v/>
      </c>
      <c r="AK102" t="n">
        <v>0.02647066507920039</v>
      </c>
      <c r="AL102" t="n">
        <v>0.06560376410697287</v>
      </c>
      <c r="AM102">
        <f>IF(AND(ISNUMBER($AC102),ISNUMBER(IF($V102,IF($AL102="","",$AL102),IF($AK102="","",$AK102)))),IF(AND(ABS($AC102-significance_bar)&lt;=2.0*IF($V102,IF($AL102="","",$AL102),IF($AK102="","",$AK102)),OR($Y102="worse",$Y102="better",$Y102="worse, not significant",$Y102="better, not significant",AND(profit_kind="test",$Y102="in line",ISNUMBER($AB102),$AB102&lt;&gt;0))),IF(ROUND($AC102,3)=ROUND(significance_bar,3),TEXT($AC102,"0.0000"),TEXT($AC102,"0.000")),""),"")</f>
        <v/>
      </c>
      <c r="AN102">
        <f>IF(AND(ISNUMBER($AC102),ISNUMBER(IF($V102,IF($AL102="","",$AL102),IF($AK102="","",$AK102)))),IF(AND(ABS($AC102-significance_bar)&lt;=2.0*IF($V102,IF($AL102="","",$AL102),IF($AK102="","",$AK102)),OR($Y102="worse",$Y102="worse, not significant",AND(profit_kind="test",$Y102="in line",ISNUMBER($AB102),$AB102&lt;0))),IF(ROUND($AC102,3)=ROUND(significance_bar,3),TEXT($AC102,"0.0000"),TEXT($AC102,"0.000")),""),"")</f>
        <v/>
      </c>
      <c r="AO102">
        <f>IF(OR($AI102="",$AN102=""),$AI102,$AI102&amp;" · borderline (p "&amp;$AN102&amp;")")</f>
        <v/>
      </c>
    </row>
    <row r="103">
      <c r="A103" t="inlineStr">
        <is>
          <t>grids</t>
        </is>
      </c>
      <c r="B103" t="inlineStr">
        <is>
          <t>FICO x ASSET_CLASS</t>
        </is>
      </c>
      <c r="C103" t="inlineStr">
        <is>
          <t>(marked missing)</t>
        </is>
      </c>
      <c r="D103" t="inlineStr">
        <is>
          <t>1</t>
        </is>
      </c>
      <c r="E103" t="inlineStr">
        <is>
          <t>contribution_rate</t>
        </is>
      </c>
      <c r="F103" t="inlineStr">
        <is>
          <t>Contribution before losses per booked dollar</t>
        </is>
      </c>
      <c r="G103" t="n">
        <v>42</v>
      </c>
      <c r="H103" t="n">
        <v>1515477.86</v>
      </c>
      <c r="I103" t="b">
        <v>0</v>
      </c>
      <c r="J103" t="b">
        <v>0</v>
      </c>
      <c r="K103" t="n">
        <v>0.01427643449250299</v>
      </c>
      <c r="L103" t="n">
        <v>0.6716417910447762</v>
      </c>
      <c r="M103" t="n">
        <v>0.004343455282105974</v>
      </c>
      <c r="N103" t="n">
        <v>0.9203980099502488</v>
      </c>
      <c r="O103" t="n">
        <v>-21635.62039312863</v>
      </c>
      <c r="P103" t="n">
        <v>-6582.410315931658</v>
      </c>
      <c r="Q103">
        <f>'_live'!$C$24</f>
        <v/>
      </c>
      <c r="R103" t="inlineStr">
        <is>
          <t>shuffled: 107 of 200</t>
        </is>
      </c>
      <c r="S103" t="inlineStr">
        <is>
          <t>shuffled: 176 of 200</t>
        </is>
      </c>
      <c r="T103" t="n">
        <v>0.1695086060886903</v>
      </c>
      <c r="U103" t="n">
        <v>0.1794415852990873</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0.1837850405811932</v>
      </c>
      <c r="AI103">
        <f>IF($Y103="worse","Yes",IF($Y103="worse, not significant","Not sure",IF(OR($Y103="too few losses to test",$Y103="too few loans to test"),"Too few losses",IF($Y103="","","No"))))</f>
        <v/>
      </c>
      <c r="AJ103">
        <f>IF($AA103="yes","Yes",IF($AA103="","","No"))</f>
        <v/>
      </c>
      <c r="AK103" t="n">
        <v>0.04407093959334969</v>
      </c>
      <c r="AL103" t="n">
        <v>0.01913968563350382</v>
      </c>
      <c r="AM103">
        <f>IF(AND(ISNUMBER($AC103),ISNUMBER(IF($V103,IF($AL103="","",$AL103),IF($AK103="","",$AK103)))),IF(AND(ABS($AC103-significance_bar)&lt;=2.0*IF($V103,IF($AL103="","",$AL103),IF($AK103="","",$AK103)),OR($Y103="worse",$Y103="better",$Y103="worse, not significant",$Y103="better, not significant",AND(profit_kind="test",$Y103="in line",ISNUMBER($AB103),$AB103&lt;&gt;0))),IF(ROUND($AC103,3)=ROUND(significance_bar,3),TEXT($AC103,"0.0000"),TEXT($AC103,"0.000")),""),"")</f>
        <v/>
      </c>
      <c r="AN103">
        <f>IF(AND(ISNUMBER($AC103),ISNUMBER(IF($V103,IF($AL103="","",$AL103),IF($AK103="","",$AK103)))),IF(AND(ABS($AC103-significance_bar)&lt;=2.0*IF($V103,IF($AL103="","",$AL103),IF($AK103="","",$AK103)),OR($Y103="worse",$Y103="worse, not significant",AND(profit_kind="test",$Y103="in line",ISNUMBER($AB103),$AB103&lt;0))),IF(ROUND($AC103,3)=ROUND(significance_bar,3),TEXT($AC103,"0.0000"),TEXT($AC103,"0.000")),""),"")</f>
        <v/>
      </c>
      <c r="AO103">
        <f>IF(OR($AI103="",$AN103=""),$AI103,$AI103&amp;" · borderline (p "&amp;$AN103&amp;")")</f>
        <v/>
      </c>
    </row>
    <row r="104">
      <c r="A104" t="inlineStr">
        <is>
          <t>grids</t>
        </is>
      </c>
      <c r="B104" t="inlineStr">
        <is>
          <t>FICO x ASSET_CLASS</t>
        </is>
      </c>
      <c r="C104" t="inlineStr">
        <is>
          <t>(blank)</t>
        </is>
      </c>
      <c r="D104" t="inlineStr">
        <is>
          <t>2</t>
        </is>
      </c>
      <c r="E104" t="inlineStr">
        <is>
          <t>outcome_loans</t>
        </is>
      </c>
      <c r="F104" t="inlineStr">
        <is>
          <t>Outcome, share of loans</t>
        </is>
      </c>
      <c r="G104" t="n">
        <v>1</v>
      </c>
      <c r="H104" t="n">
        <v>1</v>
      </c>
      <c r="I104" t="b">
        <v>1</v>
      </c>
      <c r="J104" t="b">
        <v>1</v>
      </c>
      <c r="K104" t="n">
        <v>0</v>
      </c>
      <c r="O104" t="n">
        <v>-0.07739434858714679</v>
      </c>
      <c r="Q104">
        <f>'_live'!$C$20</f>
        <v/>
      </c>
      <c r="T104" t="n">
        <v>0.07739434858714679</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c r="AM104">
        <f>IF(AND(ISNUMBER($AC104),ISNUMBER(IF($V104,IF($AL104="","",$AL104),IF($AK104="","",$AK104)))),IF(AND(ABS($AC104-significance_bar)&lt;=2.0*IF($V104,IF($AL104="","",$AL104),IF($AK104="","",$AK104)),OR($Y104="worse",$Y104="better",$Y104="worse, not significant",$Y104="better, not significant")),IF(ROUND($AC104,3)=ROUND(significance_bar,3),TEXT($AC104,"0.0000"),TEXT($AC104,"0.000")),""),"")</f>
        <v/>
      </c>
      <c r="AN104">
        <f>IF(AND(ISNUMBER($AC104),ISNUMBER(IF($V104,IF($AL104="","",$AL104),IF($AK104="","",$AK104)))),IF(AND(ABS($AC104-significance_bar)&lt;=2.0*IF($V104,IF($AL104="","",$AL104),IF($AK104="","",$AK104)),OR($Y104="worse",$Y104="worse, not significant")),IF(ROUND($AC104,3)=ROUND(significance_bar,3),TEXT($AC104,"0.0000"),TEXT($AC104,"0.000")),""),"")</f>
        <v/>
      </c>
      <c r="AO104">
        <f>IF(OR($AI104="",$AN104=""),$AI104,$AI104&amp;" · borderline (p "&amp;$AN104&amp;")")</f>
        <v/>
      </c>
    </row>
    <row r="105">
      <c r="A105" t="inlineStr">
        <is>
          <t>grids</t>
        </is>
      </c>
      <c r="B105" t="inlineStr">
        <is>
          <t>FICO x ASSET_CLASS</t>
        </is>
      </c>
      <c r="C105" t="inlineStr">
        <is>
          <t>(blank)</t>
        </is>
      </c>
      <c r="D105" t="inlineStr">
        <is>
          <t>2</t>
        </is>
      </c>
      <c r="E105" t="inlineStr">
        <is>
          <t>outcome_booked</t>
        </is>
      </c>
      <c r="F105" t="inlineStr">
        <is>
          <t>Outcome, share of booked dollars</t>
        </is>
      </c>
      <c r="G105" t="n">
        <v>1</v>
      </c>
      <c r="H105" t="n">
        <v>27999.47</v>
      </c>
      <c r="I105" t="b">
        <v>1</v>
      </c>
      <c r="J105" t="b">
        <v>1</v>
      </c>
      <c r="K105" t="n">
        <v>0</v>
      </c>
      <c r="O105" t="n">
        <v>-2095.396036050188</v>
      </c>
      <c r="Q105">
        <f>'_live'!$C$21</f>
        <v/>
      </c>
      <c r="T105" t="n">
        <v>0.07483698927337509</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c r="AM105">
        <f>IF(AND(ISNUMBER($AC105),ISNUMBER(IF($V105,IF($AL105="","",$AL105),IF($AK105="","",$AK105)))),IF(AND(ABS($AC105-significance_bar)&lt;=2.0*IF($V105,IF($AL105="","",$AL105),IF($AK105="","",$AK105)),OR($Y105="worse",$Y105="better",$Y105="worse, not significant",$Y105="better, not significant")),IF(ROUND($AC105,3)=ROUND(significance_bar,3),TEXT($AC105,"0.0000"),TEXT($AC105,"0.000")),""),"")</f>
        <v/>
      </c>
      <c r="AN105">
        <f>IF(AND(ISNUMBER($AC105),ISNUMBER(IF($V105,IF($AL105="","",$AL105),IF($AK105="","",$AK105)))),IF(AND(ABS($AC105-significance_bar)&lt;=2.0*IF($V105,IF($AL105="","",$AL105),IF($AK105="","",$AK105)),OR($Y105="worse",$Y105="worse, not significant")),IF(ROUND($AC105,3)=ROUND(significance_bar,3),TEXT($AC105,"0.0000"),TEXT($AC105,"0.000")),""),"")</f>
        <v/>
      </c>
      <c r="AO105">
        <f>IF(OR($AI105="",$AN105=""),$AI105,$AI105&amp;" · borderline (p "&amp;$AN105&amp;")")</f>
        <v/>
      </c>
    </row>
    <row r="106">
      <c r="A106" t="inlineStr">
        <is>
          <t>grids</t>
        </is>
      </c>
      <c r="B106" t="inlineStr">
        <is>
          <t>FICO x ASSET_CLASS</t>
        </is>
      </c>
      <c r="C106" t="inlineStr">
        <is>
          <t>(blank)</t>
        </is>
      </c>
      <c r="D106" t="inlineStr">
        <is>
          <t>2</t>
        </is>
      </c>
      <c r="E106" t="inlineStr">
        <is>
          <t>gco_rate</t>
        </is>
      </c>
      <c r="F106" t="inlineStr">
        <is>
          <t>GCO per booked dollar</t>
        </is>
      </c>
      <c r="G106" t="n">
        <v>1</v>
      </c>
      <c r="H106" t="n">
        <v>27999.47</v>
      </c>
      <c r="I106" t="b">
        <v>1</v>
      </c>
      <c r="J106" t="b">
        <v>1</v>
      </c>
      <c r="K106" t="n">
        <v>0</v>
      </c>
      <c r="O106" t="n">
        <v>-1165.051801786329</v>
      </c>
      <c r="Q106">
        <f>'_live'!$C$22</f>
        <v/>
      </c>
      <c r="T106" t="n">
        <v>0.04160978053464329</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c r="AM106">
        <f>IF(AND(ISNUMBER($AC106),ISNUMBER(IF($V106,IF($AL106="","",$AL106),IF($AK106="","",$AK106)))),IF(AND(ABS($AC106-significance_bar)&lt;=2.0*IF($V106,IF($AL106="","",$AL106),IF($AK106="","",$AK106)),OR($Y106="worse",$Y106="better",$Y106="worse, not significant",$Y106="better, not significant")),IF(ROUND($AC106,3)=ROUND(significance_bar,3),TEXT($AC106,"0.0000"),TEXT($AC106,"0.000")),""),"")</f>
        <v/>
      </c>
      <c r="AN106">
        <f>IF(AND(ISNUMBER($AC106),ISNUMBER(IF($V106,IF($AL106="","",$AL106),IF($AK106="","",$AK106)))),IF(AND(ABS($AC106-significance_bar)&lt;=2.0*IF($V106,IF($AL106="","",$AL106),IF($AK106="","",$AK106)),OR($Y106="worse",$Y106="worse, not significant")),IF(ROUND($AC106,3)=ROUND(significance_bar,3),TEXT($AC106,"0.0000"),TEXT($AC106,"0.000")),""),"")</f>
        <v/>
      </c>
      <c r="AO106">
        <f>IF(OR($AI106="",$AN106=""),$AI106,$AI106&amp;" · borderline (p "&amp;$AN106&amp;")")</f>
        <v/>
      </c>
    </row>
    <row r="107">
      <c r="A107" t="inlineStr">
        <is>
          <t>grids</t>
        </is>
      </c>
      <c r="B107" t="inlineStr">
        <is>
          <t>FICO x ASSET_CLASS</t>
        </is>
      </c>
      <c r="C107" t="inlineStr">
        <is>
          <t>(blank)</t>
        </is>
      </c>
      <c r="D107" t="inlineStr">
        <is>
          <t>2</t>
        </is>
      </c>
      <c r="E107" t="inlineStr">
        <is>
          <t>ranr_rate</t>
        </is>
      </c>
      <c r="F107" t="inlineStr">
        <is>
          <t>Profit after losses: RANR per booked dollar</t>
        </is>
      </c>
      <c r="G107" t="n">
        <v>1</v>
      </c>
      <c r="H107" t="n">
        <v>27999.47</v>
      </c>
      <c r="I107" t="b">
        <v>0</v>
      </c>
      <c r="J107" t="b">
        <v>1</v>
      </c>
      <c r="K107" t="n">
        <v>0.01230822708383753</v>
      </c>
      <c r="L107" t="n">
        <v>0.9353233830845771</v>
      </c>
      <c r="O107" t="n">
        <v>-344.6238349870969</v>
      </c>
      <c r="Q107">
        <f>'_live'!$C$23</f>
        <v/>
      </c>
      <c r="R107" t="inlineStr">
        <is>
          <t>shuffled: 187 of 200</t>
        </is>
      </c>
      <c r="S107" t="inlineStr">
        <is>
          <t>200 shuffles</t>
        </is>
      </c>
      <c r="T107" t="n">
        <v>0.1279887142511234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0.140296941334961</v>
      </c>
      <c r="AI107">
        <f>IF($Y107="worse","Yes",IF($Y107="worse, not significant","Not sure",IF(OR($Y107="too few losses to test",$Y107="too few loans to test"),"Too few losses",IF($Y107="","","No"))))</f>
        <v/>
      </c>
      <c r="AJ107">
        <f>IF($AA107="yes","Yes",IF($AA107="","","No"))</f>
        <v/>
      </c>
      <c r="AK107" t="n">
        <v>0.01739160029149108</v>
      </c>
      <c r="AM107">
        <f>IF(AND(ISNUMBER($AC107),ISNUMBER(IF($V107,IF($AL107="","",$AL107),IF($AK107="","",$AK107)))),IF(AND(ABS($AC107-significance_bar)&lt;=2.0*IF($V107,IF($AL107="","",$AL107),IF($AK107="","",$AK107)),OR($Y107="worse",$Y107="better",$Y107="worse, not significant",$Y107="better, not significant",AND(profit_kind="test",$Y107="in line",ISNUMBER($AB107),$AB107&lt;&gt;0))),IF(ROUND($AC107,3)=ROUND(significance_bar,3),TEXT($AC107,"0.0000"),TEXT($AC107,"0.000")),""),"")</f>
        <v/>
      </c>
      <c r="AN107">
        <f>IF(AND(ISNUMBER($AC107),ISNUMBER(IF($V107,IF($AL107="","",$AL107),IF($AK107="","",$AK107)))),IF(AND(ABS($AC107-significance_bar)&lt;=2.0*IF($V107,IF($AL107="","",$AL107),IF($AK107="","",$AK107)),OR($Y107="worse",$Y107="worse, not significant",AND(profit_kind="test",$Y107="in line",ISNUMBER($AB107),$AB107&lt;0))),IF(ROUND($AC107,3)=ROUND(significance_bar,3),TEXT($AC107,"0.0000"),TEXT($AC107,"0.000")),""),"")</f>
        <v/>
      </c>
      <c r="AO107">
        <f>IF(OR($AI107="",$AN107=""),$AI107,$AI107&amp;" · borderline (p "&amp;$AN107&amp;")")</f>
        <v/>
      </c>
    </row>
    <row r="108">
      <c r="A108" t="inlineStr">
        <is>
          <t>grids</t>
        </is>
      </c>
      <c r="B108" t="inlineStr">
        <is>
          <t>FICO x ASSET_CLASS</t>
        </is>
      </c>
      <c r="C108" t="inlineStr">
        <is>
          <t>(blank)</t>
        </is>
      </c>
      <c r="D108" t="inlineStr">
        <is>
          <t>2</t>
        </is>
      </c>
      <c r="E108" t="inlineStr">
        <is>
          <t>contribution_rate</t>
        </is>
      </c>
      <c r="F108" t="inlineStr">
        <is>
          <t>Contribution before losses per booked dollar</t>
        </is>
      </c>
      <c r="G108" t="n">
        <v>1</v>
      </c>
      <c r="H108" t="n">
        <v>27999.47</v>
      </c>
      <c r="I108" t="b">
        <v>0</v>
      </c>
      <c r="J108" t="b">
        <v>1</v>
      </c>
      <c r="K108" t="n">
        <v>-0.02929869368860016</v>
      </c>
      <c r="L108" t="n">
        <v>0.8805970149253731</v>
      </c>
      <c r="O108" t="n">
        <v>820.3478949731489</v>
      </c>
      <c r="Q108">
        <f>'_live'!$C$24</f>
        <v/>
      </c>
      <c r="R108" t="inlineStr">
        <is>
          <t>shuffled: 170 of 200</t>
        </is>
      </c>
      <c r="S108" t="inlineStr">
        <is>
          <t>200 shuffles</t>
        </is>
      </c>
      <c r="T108" t="n">
        <v>0.1695956350235611</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0.140296941334961</v>
      </c>
      <c r="AI108">
        <f>IF($Y108="worse","Yes",IF($Y108="worse, not significant","Not sure",IF(OR($Y108="too few losses to test",$Y108="too few loans to test"),"Too few losses",IF($Y108="","","No"))))</f>
        <v/>
      </c>
      <c r="AJ108">
        <f>IF($AA108="yes","Yes",IF($AA108="","","No"))</f>
        <v/>
      </c>
      <c r="AK108" t="n">
        <v>0.02292879327721973</v>
      </c>
      <c r="AM108">
        <f>IF(AND(ISNUMBER($AC108),ISNUMBER(IF($V108,IF($AL108="","",$AL108),IF($AK108="","",$AK108)))),IF(AND(ABS($AC108-significance_bar)&lt;=2.0*IF($V108,IF($AL108="","",$AL108),IF($AK108="","",$AK108)),OR($Y108="worse",$Y108="better",$Y108="worse, not significant",$Y108="better, not significant",AND(profit_kind="test",$Y108="in line",ISNUMBER($AB108),$AB108&lt;&gt;0))),IF(ROUND($AC108,3)=ROUND(significance_bar,3),TEXT($AC108,"0.0000"),TEXT($AC108,"0.000")),""),"")</f>
        <v/>
      </c>
      <c r="AN108">
        <f>IF(AND(ISNUMBER($AC108),ISNUMBER(IF($V108,IF($AL108="","",$AL108),IF($AK108="","",$AK108)))),IF(AND(ABS($AC108-significance_bar)&lt;=2.0*IF($V108,IF($AL108="","",$AL108),IF($AK108="","",$AK108)),OR($Y108="worse",$Y108="worse, not significant",AND(profit_kind="test",$Y108="in line",ISNUMBER($AB108),$AB108&lt;0))),IF(ROUND($AC108,3)=ROUND(significance_bar,3),TEXT($AC108,"0.0000"),TEXT($AC108,"0.000")),""),"")</f>
        <v/>
      </c>
      <c r="AO108">
        <f>IF(OR($AI108="",$AN108=""),$AI108,$AI108&amp;" · borderline (p "&amp;$AN108&amp;")")</f>
        <v/>
      </c>
    </row>
    <row r="109">
      <c r="A109" t="inlineStr">
        <is>
          <t>grids</t>
        </is>
      </c>
      <c r="B109" t="inlineStr">
        <is>
          <t>FICO x ASSET_CLASS</t>
        </is>
      </c>
      <c r="C109" t="inlineStr">
        <is>
          <t>712 - 745</t>
        </is>
      </c>
      <c r="D109" t="inlineStr">
        <is>
          <t>1</t>
        </is>
      </c>
      <c r="E109" t="inlineStr">
        <is>
          <t>outcome_loans</t>
        </is>
      </c>
      <c r="F109" t="inlineStr">
        <is>
          <t>Outcome, share of loans</t>
        </is>
      </c>
      <c r="G109" t="n">
        <v>361</v>
      </c>
      <c r="H109" t="n">
        <v>361</v>
      </c>
      <c r="I109" t="b">
        <v>0</v>
      </c>
      <c r="J109" t="b">
        <v>0</v>
      </c>
      <c r="K109" t="n">
        <v>0.4538822303282961</v>
      </c>
      <c r="L109" t="n">
        <v>0.00868829374124103</v>
      </c>
      <c r="M109" t="n">
        <v>0.6082952758853036</v>
      </c>
      <c r="N109" t="n">
        <v>0.2149217653910706</v>
      </c>
      <c r="O109" t="n">
        <v>-15.64179104477612</v>
      </c>
      <c r="P109" t="n">
        <v>-8.371200000000002</v>
      </c>
      <c r="Q109">
        <f>'_live'!$C$20</f>
        <v/>
      </c>
      <c r="R109" t="inlineStr">
        <is>
          <t>z test</t>
        </is>
      </c>
      <c r="S109" t="inlineStr">
        <is>
          <t>z test</t>
        </is>
      </c>
      <c r="T109" t="n">
        <v>0.07934014139827179</v>
      </c>
      <c r="U109" t="n">
        <v>0.0592</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0.03601108033240998</v>
      </c>
      <c r="AI109">
        <f>IF($Y109="worse","Yes",IF($Y109="worse, not significant","Not sure",IF(OR($Y109="too few losses to test",$Y109="too few loans to test"),"Too few losses",IF($Y109="","","No"))))</f>
        <v/>
      </c>
      <c r="AJ109">
        <f>IF($AA109="yes","Yes",IF($AA109="","","No"))</f>
        <v/>
      </c>
      <c r="AM109">
        <f>IF(AND(ISNUMBER($AC109),ISNUMBER(IF($V109,IF($AL109="","",$AL109),IF($AK109="","",$AK109)))),IF(AND(ABS($AC109-significance_bar)&lt;=2.0*IF($V109,IF($AL109="","",$AL109),IF($AK109="","",$AK109)),OR($Y109="worse",$Y109="better",$Y109="worse, not significant",$Y109="better, not significant")),IF(ROUND($AC109,3)=ROUND(significance_bar,3),TEXT($AC109,"0.0000"),TEXT($AC109,"0.000")),""),"")</f>
        <v/>
      </c>
      <c r="AN109">
        <f>IF(AND(ISNUMBER($AC109),ISNUMBER(IF($V109,IF($AL109="","",$AL109),IF($AK109="","",$AK109)))),IF(AND(ABS($AC109-significance_bar)&lt;=2.0*IF($V109,IF($AL109="","",$AL109),IF($AK109="","",$AK109)),OR($Y109="worse",$Y109="worse, not significant")),IF(ROUND($AC109,3)=ROUND(significance_bar,3),TEXT($AC109,"0.0000"),TEXT($AC109,"0.000")),""),"")</f>
        <v/>
      </c>
      <c r="AO109">
        <f>IF(OR($AI109="",$AN109=""),$AI109,$AI109&amp;" · borderline (p "&amp;$AN109&amp;")")</f>
        <v/>
      </c>
    </row>
    <row r="110">
      <c r="A110" t="inlineStr">
        <is>
          <t>grids</t>
        </is>
      </c>
      <c r="B110" t="inlineStr">
        <is>
          <t>FICO x ASSET_CLASS</t>
        </is>
      </c>
      <c r="C110" t="inlineStr">
        <is>
          <t>712 - 745</t>
        </is>
      </c>
      <c r="D110" t="inlineStr">
        <is>
          <t>1</t>
        </is>
      </c>
      <c r="E110" t="inlineStr">
        <is>
          <t>outcome_booked</t>
        </is>
      </c>
      <c r="F110" t="inlineStr">
        <is>
          <t>Outcome, share of booked dollars</t>
        </is>
      </c>
      <c r="G110" t="n">
        <v>361</v>
      </c>
      <c r="H110" t="n">
        <v>11568157.98</v>
      </c>
      <c r="I110" t="b">
        <v>0</v>
      </c>
      <c r="J110" t="b">
        <v>0</v>
      </c>
      <c r="K110" t="n">
        <v>0.5304760299390099</v>
      </c>
      <c r="L110" t="n">
        <v>0.03316749585406301</v>
      </c>
      <c r="M110" t="n">
        <v>0.6919066973184953</v>
      </c>
      <c r="N110" t="n">
        <v>0.47037539574853</v>
      </c>
      <c r="O110" t="n">
        <v>-415174.4202010413</v>
      </c>
      <c r="P110" t="n">
        <v>-208868.6728170119</v>
      </c>
      <c r="Q110">
        <f>'_live'!$C$21</f>
        <v/>
      </c>
      <c r="R110" t="inlineStr">
        <is>
          <t>shuffled: 2 of 200</t>
        </is>
      </c>
      <c r="S110" t="inlineStr">
        <is>
          <t>shuffled: 40 of 200</t>
        </is>
      </c>
      <c r="T110" t="n">
        <v>0.07643787556582465</v>
      </c>
      <c r="U110" t="n">
        <v>0.05860394316788298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0.04054846076713071</v>
      </c>
      <c r="AI110">
        <f>IF($Y110="worse","Yes",IF($Y110="worse, not significant","Not sure",IF(OR($Y110="too few losses to test",$Y110="too few loans to test"),"Too few losses",IF($Y110="","","No"))))</f>
        <v/>
      </c>
      <c r="AJ110">
        <f>IF($AA110="yes","Yes",IF($AA110="","","No"))</f>
        <v/>
      </c>
      <c r="AK110" t="n">
        <v>0.01905327577624553</v>
      </c>
      <c r="AL110" t="n">
        <v>0.05630164204286001</v>
      </c>
      <c r="AM110">
        <f>IF(AND(ISNUMBER($AC110),ISNUMBER(IF($V110,IF($AL110="","",$AL110),IF($AK110="","",$AK110)))),IF(AND(ABS($AC110-significance_bar)&lt;=2.0*IF($V110,IF($AL110="","",$AL110),IF($AK110="","",$AK110)),OR($Y110="worse",$Y110="better",$Y110="worse, not significant",$Y110="better, not significant")),IF(ROUND($AC110,3)=ROUND(significance_bar,3),TEXT($AC110,"0.0000"),TEXT($AC110,"0.000")),""),"")</f>
        <v/>
      </c>
      <c r="AN110">
        <f>IF(AND(ISNUMBER($AC110),ISNUMBER(IF($V110,IF($AL110="","",$AL110),IF($AK110="","",$AK110)))),IF(AND(ABS($AC110-significance_bar)&lt;=2.0*IF($V110,IF($AL110="","",$AL110),IF($AK110="","",$AK110)),OR($Y110="worse",$Y110="worse, not significant")),IF(ROUND($AC110,3)=ROUND(significance_bar,3),TEXT($AC110,"0.0000"),TEXT($AC110,"0.000")),""),"")</f>
        <v/>
      </c>
      <c r="AO110">
        <f>IF(OR($AI110="",$AN110=""),$AI110,$AI110&amp;" · borderline (p "&amp;$AN110&amp;")")</f>
        <v/>
      </c>
    </row>
    <row r="111">
      <c r="A111" t="inlineStr">
        <is>
          <t>grids</t>
        </is>
      </c>
      <c r="B111" t="inlineStr">
        <is>
          <t>FICO x ASSET_CLASS</t>
        </is>
      </c>
      <c r="C111" t="inlineStr">
        <is>
          <t>712 - 745</t>
        </is>
      </c>
      <c r="D111" t="inlineStr">
        <is>
          <t>1</t>
        </is>
      </c>
      <c r="E111" t="inlineStr">
        <is>
          <t>gco_rate</t>
        </is>
      </c>
      <c r="F111" t="inlineStr">
        <is>
          <t>GCO per booked dollar</t>
        </is>
      </c>
      <c r="G111" t="n">
        <v>360</v>
      </c>
      <c r="H111" t="n">
        <v>11528473.55</v>
      </c>
      <c r="I111" t="b">
        <v>0</v>
      </c>
      <c r="J111" t="b">
        <v>0</v>
      </c>
      <c r="K111" t="n">
        <v>0.5806074892749743</v>
      </c>
      <c r="L111" t="n">
        <v>0.07236544549977385</v>
      </c>
      <c r="M111" t="n">
        <v>0.7714685081564954</v>
      </c>
      <c r="N111" t="n">
        <v>0.6467661691542289</v>
      </c>
      <c r="O111" t="n">
        <v>-205000.9223167807</v>
      </c>
      <c r="P111" t="n">
        <v>-84070.88705541979</v>
      </c>
      <c r="Q111">
        <f>'_live'!$C$22</f>
        <v/>
      </c>
      <c r="R111" t="inlineStr">
        <is>
          <t>shuffled: 7 of 200</t>
        </is>
      </c>
      <c r="S111" t="inlineStr">
        <is>
          <t>shuffled: 77 of 200</t>
        </is>
      </c>
      <c r="T111" t="n">
        <v>0.04239975398276217</v>
      </c>
      <c r="U111" t="n">
        <v>0.03191007078776877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0.02461761470580813</v>
      </c>
      <c r="AI111">
        <f>IF($Y111="worse","Yes",IF($Y111="worse, not significant","Not sure",IF(OR($Y111="too few losses to test",$Y111="too few loans to test"),"Too few losses",IF($Y111="","","No"))))</f>
        <v/>
      </c>
      <c r="AJ111">
        <f>IF($AA111="yes","Yes",IF($AA111="","","No"))</f>
        <v/>
      </c>
      <c r="AK111" t="n">
        <v>0.02513332245942977</v>
      </c>
      <c r="AL111" t="n">
        <v>0.05742983273937908</v>
      </c>
      <c r="AM111">
        <f>IF(AND(ISNUMBER($AC111),ISNUMBER(IF($V111,IF($AL111="","",$AL111),IF($AK111="","",$AK111)))),IF(AND(ABS($AC111-significance_bar)&lt;=2.0*IF($V111,IF($AL111="","",$AL111),IF($AK111="","",$AK111)),OR($Y111="worse",$Y111="better",$Y111="worse, not significant",$Y111="better, not significant")),IF(ROUND($AC111,3)=ROUND(significance_bar,3),TEXT($AC111,"0.0000"),TEXT($AC111,"0.000")),""),"")</f>
        <v/>
      </c>
      <c r="AN111">
        <f>IF(AND(ISNUMBER($AC111),ISNUMBER(IF($V111,IF($AL111="","",$AL111),IF($AK111="","",$AK111)))),IF(AND(ABS($AC111-significance_bar)&lt;=2.0*IF($V111,IF($AL111="","",$AL111),IF($AK111="","",$AK111)),OR($Y111="worse",$Y111="worse, not significant")),IF(ROUND($AC111,3)=ROUND(significance_bar,3),TEXT($AC111,"0.0000"),TEXT($AC111,"0.000")),""),"")</f>
        <v/>
      </c>
      <c r="AO111">
        <f>IF(OR($AI111="",$AN111=""),$AI111,$AI111&amp;" · borderline (p "&amp;$AN111&amp;")")</f>
        <v/>
      </c>
    </row>
    <row r="112">
      <c r="A112" t="inlineStr">
        <is>
          <t>grids</t>
        </is>
      </c>
      <c r="B112" t="inlineStr">
        <is>
          <t>FICO x ASSET_CLASS</t>
        </is>
      </c>
      <c r="C112" t="inlineStr">
        <is>
          <t>712 - 745</t>
        </is>
      </c>
      <c r="D112" t="inlineStr">
        <is>
          <t>1</t>
        </is>
      </c>
      <c r="E112" t="inlineStr">
        <is>
          <t>ranr_rate</t>
        </is>
      </c>
      <c r="F112" t="inlineStr">
        <is>
          <t>Profit after losses: RANR per booked dollar</t>
        </is>
      </c>
      <c r="G112" t="n">
        <v>361</v>
      </c>
      <c r="H112" t="n">
        <v>11568157.98</v>
      </c>
      <c r="I112" t="b">
        <v>0</v>
      </c>
      <c r="J112" t="b">
        <v>0</v>
      </c>
      <c r="K112" t="n">
        <v>-0.02788565445322108</v>
      </c>
      <c r="L112" t="n">
        <v>0.0177683013503909</v>
      </c>
      <c r="M112" t="n">
        <v>0.006960505397382868</v>
      </c>
      <c r="N112" t="n">
        <v>0.7641791044776119</v>
      </c>
      <c r="O112" t="n">
        <v>322585.656090552</v>
      </c>
      <c r="P112" t="n">
        <v>-80520.22605756763</v>
      </c>
      <c r="Q112">
        <f>'_live'!$C$23</f>
        <v/>
      </c>
      <c r="R112" t="inlineStr">
        <is>
          <t>shuffled: 1 of 200</t>
        </is>
      </c>
      <c r="S112" t="inlineStr">
        <is>
          <t>shuffled: 92 of 200</t>
        </is>
      </c>
      <c r="T112" t="n">
        <v>0.1292400500300354</v>
      </c>
      <c r="U112" t="n">
        <v>0.09439389017943141</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0.1013543955768143</v>
      </c>
      <c r="AI112">
        <f>IF($Y112="worse","Yes",IF($Y112="worse, not significant","Not sure",IF(OR($Y112="too few losses to test",$Y112="too few loans to test"),"Too few losses",IF($Y112="","","No"))))</f>
        <v/>
      </c>
      <c r="AJ112">
        <f>IF($AA112="yes","Yes",IF($AA112="","","No"))</f>
        <v/>
      </c>
      <c r="AK112" t="n">
        <v>0.01253263679785526</v>
      </c>
      <c r="AL112" t="n">
        <v>0.05651180688333961</v>
      </c>
      <c r="AM112">
        <f>IF(AND(ISNUMBER($AC112),ISNUMBER(IF($V112,IF($AL112="","",$AL112),IF($AK112="","",$AK112)))),IF(AND(ABS($AC112-significance_bar)&lt;=2.0*IF($V112,IF($AL112="","",$AL112),IF($AK112="","",$AK112)),OR($Y112="worse",$Y112="better",$Y112="worse, not significant",$Y112="better, not significant",AND(profit_kind="test",$Y112="in line",ISNUMBER($AB112),$AB112&lt;&gt;0))),IF(ROUND($AC112,3)=ROUND(significance_bar,3),TEXT($AC112,"0.0000"),TEXT($AC112,"0.000")),""),"")</f>
        <v/>
      </c>
      <c r="AN112">
        <f>IF(AND(ISNUMBER($AC112),ISNUMBER(IF($V112,IF($AL112="","",$AL112),IF($AK112="","",$AK112)))),IF(AND(ABS($AC112-significance_bar)&lt;=2.0*IF($V112,IF($AL112="","",$AL112),IF($AK112="","",$AK112)),OR($Y112="worse",$Y112="worse, not significant",AND(profit_kind="test",$Y112="in line",ISNUMBER($AB112),$AB112&lt;0))),IF(ROUND($AC112,3)=ROUND(significance_bar,3),TEXT($AC112,"0.0000"),TEXT($AC112,"0.000")),""),"")</f>
        <v/>
      </c>
      <c r="AO112">
        <f>IF(OR($AI112="",$AN112=""),$AI112,$AI112&amp;" · borderline (p "&amp;$AN112&amp;")")</f>
        <v/>
      </c>
    </row>
    <row r="113">
      <c r="A113" t="inlineStr">
        <is>
          <t>grids</t>
        </is>
      </c>
      <c r="B113" t="inlineStr">
        <is>
          <t>FICO x ASSET_CLASS</t>
        </is>
      </c>
      <c r="C113" t="inlineStr">
        <is>
          <t>712 - 745</t>
        </is>
      </c>
      <c r="D113" t="inlineStr">
        <is>
          <t>1</t>
        </is>
      </c>
      <c r="E113" t="inlineStr">
        <is>
          <t>contribution_rate</t>
        </is>
      </c>
      <c r="F113" t="inlineStr">
        <is>
          <t>Contribution before losses per booked dollar</t>
        </is>
      </c>
      <c r="G113" t="n">
        <v>360</v>
      </c>
      <c r="H113" t="n">
        <v>11528473.55</v>
      </c>
      <c r="I113" t="b">
        <v>0</v>
      </c>
      <c r="J113" t="b">
        <v>0</v>
      </c>
      <c r="K113" t="n">
        <v>-0.04582347683737523</v>
      </c>
      <c r="L113" t="n">
        <v>0.00777363184079602</v>
      </c>
      <c r="M113" t="n">
        <v>-0.0004876337917780471</v>
      </c>
      <c r="N113" t="n">
        <v>0.9203980099502488</v>
      </c>
      <c r="O113" t="n">
        <v>528274.7406887177</v>
      </c>
      <c r="P113" t="n">
        <v>5621.673270599218</v>
      </c>
      <c r="Q113">
        <f>'_live'!$C$24</f>
        <v/>
      </c>
      <c r="R113" t="inlineStr">
        <is>
          <t>shuffled: 0 of 200</t>
        </is>
      </c>
      <c r="S113" t="inlineStr">
        <is>
          <t>shuffled: 180 of 200</t>
        </is>
      </c>
      <c r="T113" t="n">
        <v>0.1716398040127974</v>
      </c>
      <c r="U113" t="n">
        <v>0.1263039609672002</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0.1258163271754221</v>
      </c>
      <c r="AI113">
        <f>IF($Y113="worse","Yes",IF($Y113="worse, not significant","Not sure",IF(OR($Y113="too few losses to test",$Y113="too few loans to test"),"Too few losses",IF($Y113="","","No"))))</f>
        <v/>
      </c>
      <c r="AJ113">
        <f>IF($AA113="yes","Yes",IF($AA113="","","No"))</f>
        <v/>
      </c>
      <c r="AK113" t="n">
        <v>0.00777363184079602</v>
      </c>
      <c r="AL113" t="n">
        <v>0.01913968563350382</v>
      </c>
      <c r="AM113">
        <f>IF(AND(ISNUMBER($AC113),ISNUMBER(IF($V113,IF($AL113="","",$AL113),IF($AK113="","",$AK113)))),IF(AND(ABS($AC113-significance_bar)&lt;=2.0*IF($V113,IF($AL113="","",$AL113),IF($AK113="","",$AK113)),OR($Y113="worse",$Y113="better",$Y113="worse, not significant",$Y113="better, not significant",AND(profit_kind="test",$Y113="in line",ISNUMBER($AB113),$AB113&lt;&gt;0))),IF(ROUND($AC113,3)=ROUND(significance_bar,3),TEXT($AC113,"0.0000"),TEXT($AC113,"0.000")),""),"")</f>
        <v/>
      </c>
      <c r="AN113">
        <f>IF(AND(ISNUMBER($AC113),ISNUMBER(IF($V113,IF($AL113="","",$AL113),IF($AK113="","",$AK113)))),IF(AND(ABS($AC113-significance_bar)&lt;=2.0*IF($V113,IF($AL113="","",$AL113),IF($AK113="","",$AK113)),OR($Y113="worse",$Y113="worse, not significant",AND(profit_kind="test",$Y113="in line",ISNUMBER($AB113),$AB113&lt;0))),IF(ROUND($AC113,3)=ROUND(significance_bar,3),TEXT($AC113,"0.0000"),TEXT($AC113,"0.000")),""),"")</f>
        <v/>
      </c>
      <c r="AO113">
        <f>IF(OR($AI113="",$AN113=""),$AI113,$AI113&amp;" · borderline (p "&amp;$AN113&amp;")")</f>
        <v/>
      </c>
    </row>
    <row r="114">
      <c r="A114" t="inlineStr">
        <is>
          <t>grids</t>
        </is>
      </c>
      <c r="B114" t="inlineStr">
        <is>
          <t>FICO x ASSET_CLASS</t>
        </is>
      </c>
      <c r="C114" t="inlineStr">
        <is>
          <t>712 - 745</t>
        </is>
      </c>
      <c r="D114" t="inlineStr">
        <is>
          <t>2</t>
        </is>
      </c>
      <c r="E114" t="inlineStr">
        <is>
          <t>outcome_loans</t>
        </is>
      </c>
      <c r="F114" t="inlineStr">
        <is>
          <t>Outcome, share of loans</t>
        </is>
      </c>
      <c r="G114" t="n">
        <v>431</v>
      </c>
      <c r="H114" t="n">
        <v>431</v>
      </c>
      <c r="I114" t="b">
        <v>0</v>
      </c>
      <c r="J114" t="b">
        <v>0</v>
      </c>
      <c r="K114" t="n">
        <v>0.5862826288206563</v>
      </c>
      <c r="L114" t="n">
        <v>0.02222453428577919</v>
      </c>
      <c r="M114" t="n">
        <v>0.8172594106035945</v>
      </c>
      <c r="N114" t="n">
        <v>0.7367430686845797</v>
      </c>
      <c r="O114" t="n">
        <v>-14.1132399577167</v>
      </c>
      <c r="P114" t="n">
        <v>-4.472033898305085</v>
      </c>
      <c r="Q114">
        <f>'_live'!$C$20</f>
        <v/>
      </c>
      <c r="R114" t="inlineStr">
        <is>
          <t>z test</t>
        </is>
      </c>
      <c r="S114" t="inlineStr">
        <is>
          <t>z test</t>
        </is>
      </c>
      <c r="T114" t="n">
        <v>0.07914904862579281</v>
      </c>
      <c r="U114" t="n">
        <v>0.05677966101694915</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0.04640371229698376</v>
      </c>
      <c r="AI114">
        <f>IF($Y114="worse","Yes",IF($Y114="worse, not significant","Not sure",IF(OR($Y114="too few losses to test",$Y114="too few loans to test"),"Too few losses",IF($Y114="","","No"))))</f>
        <v/>
      </c>
      <c r="AJ114">
        <f>IF($AA114="yes","Yes",IF($AA114="","","No"))</f>
        <v/>
      </c>
      <c r="AM114">
        <f>IF(AND(ISNUMBER($AC114),ISNUMBER(IF($V114,IF($AL114="","",$AL114),IF($AK114="","",$AK114)))),IF(AND(ABS($AC114-significance_bar)&lt;=2.0*IF($V114,IF($AL114="","",$AL114),IF($AK114="","",$AK114)),OR($Y114="worse",$Y114="better",$Y114="worse, not significant",$Y114="better, not significant")),IF(ROUND($AC114,3)=ROUND(significance_bar,3),TEXT($AC114,"0.0000"),TEXT($AC114,"0.000")),""),"")</f>
        <v/>
      </c>
      <c r="AN114">
        <f>IF(AND(ISNUMBER($AC114),ISNUMBER(IF($V114,IF($AL114="","",$AL114),IF($AK114="","",$AK114)))),IF(AND(ABS($AC114-significance_bar)&lt;=2.0*IF($V114,IF($AL114="","",$AL114),IF($AK114="","",$AK114)),OR($Y114="worse",$Y114="worse, not significant")),IF(ROUND($AC114,3)=ROUND(significance_bar,3),TEXT($AC114,"0.0000"),TEXT($AC114,"0.000")),""),"")</f>
        <v/>
      </c>
      <c r="AO114">
        <f>IF(OR($AI114="",$AN114=""),$AI114,$AI114&amp;" · borderline (p "&amp;$AN114&amp;")")</f>
        <v/>
      </c>
    </row>
    <row r="115">
      <c r="A115" t="inlineStr">
        <is>
          <t>grids</t>
        </is>
      </c>
      <c r="B115" t="inlineStr">
        <is>
          <t>FICO x ASSET_CLASS</t>
        </is>
      </c>
      <c r="C115" t="inlineStr">
        <is>
          <t>712 - 745</t>
        </is>
      </c>
      <c r="D115" t="inlineStr">
        <is>
          <t>2</t>
        </is>
      </c>
      <c r="E115" t="inlineStr">
        <is>
          <t>outcome_booked</t>
        </is>
      </c>
      <c r="F115" t="inlineStr">
        <is>
          <t>Outcome, share of booked dollars</t>
        </is>
      </c>
      <c r="G115" t="n">
        <v>430</v>
      </c>
      <c r="H115" t="n">
        <v>14091585.41</v>
      </c>
      <c r="I115" t="b">
        <v>0</v>
      </c>
      <c r="J115" t="b">
        <v>0</v>
      </c>
      <c r="K115" t="n">
        <v>0.5941565200469664</v>
      </c>
      <c r="L115" t="n">
        <v>0.04975124378109453</v>
      </c>
      <c r="M115" t="n">
        <v>0.7844395065388725</v>
      </c>
      <c r="N115" t="n">
        <v>0.572139303482587</v>
      </c>
      <c r="O115" t="n">
        <v>-437644.5588164036</v>
      </c>
      <c r="P115" t="n">
        <v>-176065.2057764858</v>
      </c>
      <c r="Q115">
        <f>'_live'!$C$21</f>
        <v/>
      </c>
      <c r="R115" t="inlineStr">
        <is>
          <t>shuffled: 4 of 200</t>
        </is>
      </c>
      <c r="S115" t="inlineStr">
        <is>
          <t>shuffled: 68 of 200</t>
        </is>
      </c>
      <c r="T115" t="n">
        <v>0.07652495850829913</v>
      </c>
      <c r="U115" t="n">
        <v>0.05796215344207217</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0.0454678030440295</v>
      </c>
      <c r="AI115">
        <f>IF($Y115="worse","Yes",IF($Y115="worse, not significant","Not sure",IF(OR($Y115="too few losses to test",$Y115="too few loans to test"),"Too few losses",IF($Y115="","","No"))))</f>
        <v/>
      </c>
      <c r="AJ115">
        <f>IF($AA115="yes","Yes",IF($AA115="","","No"))</f>
        <v/>
      </c>
      <c r="AK115" t="n">
        <v>0.02202581454843647</v>
      </c>
      <c r="AL115" t="n">
        <v>0.05595632775722384</v>
      </c>
      <c r="AM115">
        <f>IF(AND(ISNUMBER($AC115),ISNUMBER(IF($V115,IF($AL115="","",$AL115),IF($AK115="","",$AK115)))),IF(AND(ABS($AC115-significance_bar)&lt;=2.0*IF($V115,IF($AL115="","",$AL115),IF($AK115="","",$AK115)),OR($Y115="worse",$Y115="better",$Y115="worse, not significant",$Y115="better, not significant")),IF(ROUND($AC115,3)=ROUND(significance_bar,3),TEXT($AC115,"0.0000"),TEXT($AC115,"0.000")),""),"")</f>
        <v/>
      </c>
      <c r="AN115">
        <f>IF(AND(ISNUMBER($AC115),ISNUMBER(IF($V115,IF($AL115="","",$AL115),IF($AK115="","",$AK115)))),IF(AND(ABS($AC115-significance_bar)&lt;=2.0*IF($V115,IF($AL115="","",$AL115),IF($AK115="","",$AK115)),OR($Y115="worse",$Y115="worse, not significant")),IF(ROUND($AC115,3)=ROUND(significance_bar,3),TEXT($AC115,"0.0000"),TEXT($AC115,"0.000")),""),"")</f>
        <v/>
      </c>
      <c r="AO115">
        <f>IF(OR($AI115="",$AN115=""),$AI115,$AI115&amp;" · borderline (p "&amp;$AN115&amp;")")</f>
        <v/>
      </c>
    </row>
    <row r="116">
      <c r="A116" t="inlineStr">
        <is>
          <t>grids</t>
        </is>
      </c>
      <c r="B116" t="inlineStr">
        <is>
          <t>FICO x ASSET_CLASS</t>
        </is>
      </c>
      <c r="C116" t="inlineStr">
        <is>
          <t>712 - 745</t>
        </is>
      </c>
      <c r="D116" t="inlineStr">
        <is>
          <t>2</t>
        </is>
      </c>
      <c r="E116" t="inlineStr">
        <is>
          <t>gco_rate</t>
        </is>
      </c>
      <c r="F116" t="inlineStr">
        <is>
          <t>GCO per booked dollar</t>
        </is>
      </c>
      <c r="G116" t="n">
        <v>430</v>
      </c>
      <c r="H116" t="n">
        <v>14091585.41</v>
      </c>
      <c r="I116" t="b">
        <v>0</v>
      </c>
      <c r="J116" t="b">
        <v>0</v>
      </c>
      <c r="K116" t="n">
        <v>0.6198116316944039</v>
      </c>
      <c r="L116" t="n">
        <v>0.07462686567164178</v>
      </c>
      <c r="M116" t="n">
        <v>0.8291261313311146</v>
      </c>
      <c r="N116" t="n">
        <v>0.711825487944891</v>
      </c>
      <c r="O116" t="n">
        <v>-227624.5886846193</v>
      </c>
      <c r="P116" t="n">
        <v>-76477.75307026459</v>
      </c>
      <c r="Q116">
        <f>'_live'!$C$22</f>
        <v/>
      </c>
      <c r="R116" t="inlineStr">
        <is>
          <t>shuffled: 8 of 200</t>
        </is>
      </c>
      <c r="S116" t="inlineStr">
        <is>
          <t>shuffled: 92 of 200</t>
        </is>
      </c>
      <c r="T116" t="n">
        <v>0.04248743283773768</v>
      </c>
      <c r="U116" t="n">
        <v>0.03176139802925585</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0.02633420507366459</v>
      </c>
      <c r="AI116">
        <f>IF($Y116="worse","Yes",IF($Y116="worse, not significant","Not sure",IF(OR($Y116="too few losses to test",$Y116="too few loans to test"),"Too few losses",IF($Y116="","","No"))))</f>
        <v/>
      </c>
      <c r="AJ116">
        <f>IF($AA116="yes","Yes",IF($AA116="","","No"))</f>
        <v/>
      </c>
      <c r="AK116" t="n">
        <v>0.02437303226649928</v>
      </c>
      <c r="AL116" t="n">
        <v>0.05424115642258424</v>
      </c>
      <c r="AM116">
        <f>IF(AND(ISNUMBER($AC116),ISNUMBER(IF($V116,IF($AL116="","",$AL116),IF($AK116="","",$AK116)))),IF(AND(ABS($AC116-significance_bar)&lt;=2.0*IF($V116,IF($AL116="","",$AL116),IF($AK116="","",$AK116)),OR($Y116="worse",$Y116="better",$Y116="worse, not significant",$Y116="better, not significant")),IF(ROUND($AC116,3)=ROUND(significance_bar,3),TEXT($AC116,"0.0000"),TEXT($AC116,"0.000")),""),"")</f>
        <v/>
      </c>
      <c r="AN116">
        <f>IF(AND(ISNUMBER($AC116),ISNUMBER(IF($V116,IF($AL116="","",$AL116),IF($AK116="","",$AK116)))),IF(AND(ABS($AC116-significance_bar)&lt;=2.0*IF($V116,IF($AL116="","",$AL116),IF($AK116="","",$AK116)),OR($Y116="worse",$Y116="worse, not significant")),IF(ROUND($AC116,3)=ROUND(significance_bar,3),TEXT($AC116,"0.0000"),TEXT($AC116,"0.000")),""),"")</f>
        <v/>
      </c>
      <c r="AO116">
        <f>IF(OR($AI116="",$AN116=""),$AI116,$AI116&amp;" · borderline (p "&amp;$AN116&amp;")")</f>
        <v/>
      </c>
    </row>
    <row r="117">
      <c r="A117" t="inlineStr">
        <is>
          <t>grids</t>
        </is>
      </c>
      <c r="B117" t="inlineStr">
        <is>
          <t>FICO x ASSET_CLASS</t>
        </is>
      </c>
      <c r="C117" t="inlineStr">
        <is>
          <t>712 - 745</t>
        </is>
      </c>
      <c r="D117" t="inlineStr">
        <is>
          <t>2</t>
        </is>
      </c>
      <c r="E117" t="inlineStr">
        <is>
          <t>ranr_rate</t>
        </is>
      </c>
      <c r="F117" t="inlineStr">
        <is>
          <t>Profit after losses: RANR per booked dollar</t>
        </is>
      </c>
      <c r="G117" t="n">
        <v>430</v>
      </c>
      <c r="H117" t="n">
        <v>14091585.41</v>
      </c>
      <c r="I117" t="b">
        <v>0</v>
      </c>
      <c r="J117" t="b">
        <v>0</v>
      </c>
      <c r="K117" t="n">
        <v>-0.03570698016568327</v>
      </c>
      <c r="L117" t="n">
        <v>0.01036484245439469</v>
      </c>
      <c r="M117" t="n">
        <v>-0.00239737957461171</v>
      </c>
      <c r="N117" t="n">
        <v>0.9552238805970149</v>
      </c>
      <c r="O117" t="n">
        <v>503167.960737902</v>
      </c>
      <c r="P117" t="n">
        <v>33782.8790358305</v>
      </c>
      <c r="Q117">
        <f>'_live'!$C$23</f>
        <v/>
      </c>
      <c r="R117" t="inlineStr">
        <is>
          <t>shuffled: 0 of 200</t>
        </is>
      </c>
      <c r="S117" t="inlineStr">
        <is>
          <t>shuffled: 160 of 200</t>
        </is>
      </c>
      <c r="T117" t="n">
        <v>0.1299397958045589</v>
      </c>
      <c r="U117" t="n">
        <v>0.09663019521348733</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0.09423281563887562</v>
      </c>
      <c r="AI117">
        <f>IF($Y117="worse","Yes",IF($Y117="worse, not significant","Not sure",IF(OR($Y117="too few losses to test",$Y117="too few loans to test"),"Too few losses",IF($Y117="","","No"))))</f>
        <v/>
      </c>
      <c r="AJ117">
        <f>IF($AA117="yes","Yes",IF($AA117="","","No"))</f>
        <v/>
      </c>
      <c r="AK117" t="n">
        <v>0.01036484245439469</v>
      </c>
      <c r="AL117" t="n">
        <v>0.01462381935989957</v>
      </c>
      <c r="AM117">
        <f>IF(AND(ISNUMBER($AC117),ISNUMBER(IF($V117,IF($AL117="","",$AL117),IF($AK117="","",$AK117)))),IF(AND(ABS($AC117-significance_bar)&lt;=2.0*IF($V117,IF($AL117="","",$AL117),IF($AK117="","",$AK117)),OR($Y117="worse",$Y117="better",$Y117="worse, not significant",$Y117="better, not significant",AND(profit_kind="test",$Y117="in line",ISNUMBER($AB117),$AB117&lt;&gt;0))),IF(ROUND($AC117,3)=ROUND(significance_bar,3),TEXT($AC117,"0.0000"),TEXT($AC117,"0.000")),""),"")</f>
        <v/>
      </c>
      <c r="AN117">
        <f>IF(AND(ISNUMBER($AC117),ISNUMBER(IF($V117,IF($AL117="","",$AL117),IF($AK117="","",$AK117)))),IF(AND(ABS($AC117-significance_bar)&lt;=2.0*IF($V117,IF($AL117="","",$AL117),IF($AK117="","",$AK117)),OR($Y117="worse",$Y117="worse, not significant",AND(profit_kind="test",$Y117="in line",ISNUMBER($AB117),$AB117&lt;0))),IF(ROUND($AC117,3)=ROUND(significance_bar,3),TEXT($AC117,"0.0000"),TEXT($AC117,"0.000")),""),"")</f>
        <v/>
      </c>
      <c r="AO117">
        <f>IF(OR($AI117="",$AN117=""),$AI117,$AI117&amp;" · borderline (p "&amp;$AN117&amp;")")</f>
        <v/>
      </c>
    </row>
    <row r="118">
      <c r="A118" t="inlineStr">
        <is>
          <t>grids</t>
        </is>
      </c>
      <c r="B118" t="inlineStr">
        <is>
          <t>FICO x ASSET_CLASS</t>
        </is>
      </c>
      <c r="C118" t="inlineStr">
        <is>
          <t>712 - 745</t>
        </is>
      </c>
      <c r="D118" t="inlineStr">
        <is>
          <t>2</t>
        </is>
      </c>
      <c r="E118" t="inlineStr">
        <is>
          <t>contribution_rate</t>
        </is>
      </c>
      <c r="F118" t="inlineStr">
        <is>
          <t>Contribution before losses per booked dollar</t>
        </is>
      </c>
      <c r="G118" t="n">
        <v>430</v>
      </c>
      <c r="H118" t="n">
        <v>14091585.41</v>
      </c>
      <c r="I118" t="b">
        <v>0</v>
      </c>
      <c r="J118" t="b">
        <v>0</v>
      </c>
      <c r="K118" t="n">
        <v>-0.05185750070292219</v>
      </c>
      <c r="L118" t="n">
        <v>0.00777363184079602</v>
      </c>
      <c r="M118" t="n">
        <v>-0.007770970564137752</v>
      </c>
      <c r="N118" t="n">
        <v>0.6686567164179105</v>
      </c>
      <c r="O118" t="n">
        <v>730754.4003043633</v>
      </c>
      <c r="P118" t="n">
        <v>109505.2954231431</v>
      </c>
      <c r="Q118">
        <f>'_live'!$C$24</f>
        <v/>
      </c>
      <c r="R118" t="inlineStr">
        <is>
          <t>shuffled: 0 of 200</t>
        </is>
      </c>
      <c r="S118" t="inlineStr">
        <is>
          <t>shuffled: 19 of 200</t>
        </is>
      </c>
      <c r="T118" t="n">
        <v>0.1724245214154624</v>
      </c>
      <c r="U118" t="n">
        <v>0.128337991276678</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0.1205670207125402</v>
      </c>
      <c r="AI118">
        <f>IF($Y118="worse","Yes",IF($Y118="worse, not significant","Not sure",IF(OR($Y118="too few losses to test",$Y118="too few loans to test"),"Too few losses",IF($Y118="","","No"))))</f>
        <v/>
      </c>
      <c r="AJ118">
        <f>IF($AA118="yes","Yes",IF($AA118="","","No"))</f>
        <v/>
      </c>
      <c r="AK118" t="n">
        <v>0.00777363184079602</v>
      </c>
      <c r="AL118" t="n">
        <v>0.1175255383819872</v>
      </c>
      <c r="AM118">
        <f>IF(AND(ISNUMBER($AC118),ISNUMBER(IF($V118,IF($AL118="","",$AL118),IF($AK118="","",$AK118)))),IF(AND(ABS($AC118-significance_bar)&lt;=2.0*IF($V118,IF($AL118="","",$AL118),IF($AK118="","",$AK118)),OR($Y118="worse",$Y118="better",$Y118="worse, not significant",$Y118="better, not significant",AND(profit_kind="test",$Y118="in line",ISNUMBER($AB118),$AB118&lt;&gt;0))),IF(ROUND($AC118,3)=ROUND(significance_bar,3),TEXT($AC118,"0.0000"),TEXT($AC118,"0.000")),""),"")</f>
        <v/>
      </c>
      <c r="AN118">
        <f>IF(AND(ISNUMBER($AC118),ISNUMBER(IF($V118,IF($AL118="","",$AL118),IF($AK118="","",$AK118)))),IF(AND(ABS($AC118-significance_bar)&lt;=2.0*IF($V118,IF($AL118="","",$AL118),IF($AK118="","",$AK118)),OR($Y118="worse",$Y118="worse, not significant",AND(profit_kind="test",$Y118="in line",ISNUMBER($AB118),$AB118&lt;0))),IF(ROUND($AC118,3)=ROUND(significance_bar,3),TEXT($AC118,"0.0000"),TEXT($AC118,"0.000")),""),"")</f>
        <v/>
      </c>
      <c r="AO118">
        <f>IF(OR($AI118="",$AN118=""),$AI118,$AI118&amp;" · borderline (p "&amp;$AN118&amp;")")</f>
        <v/>
      </c>
    </row>
    <row r="119">
      <c r="A119" t="inlineStr">
        <is>
          <t>grids</t>
        </is>
      </c>
      <c r="B119" t="inlineStr">
        <is>
          <t>FICO x ASSET_CLASS</t>
        </is>
      </c>
      <c r="C119" t="inlineStr">
        <is>
          <t>496 - 653</t>
        </is>
      </c>
      <c r="D119" t="inlineStr">
        <is>
          <t>2</t>
        </is>
      </c>
      <c r="E119" t="inlineStr">
        <is>
          <t>outcome_loans</t>
        </is>
      </c>
      <c r="F119" t="inlineStr">
        <is>
          <t>Outcome, share of loans</t>
        </is>
      </c>
      <c r="G119" t="n">
        <v>393</v>
      </c>
      <c r="H119" t="n">
        <v>393</v>
      </c>
      <c r="I119" t="b">
        <v>0</v>
      </c>
      <c r="J119" t="b">
        <v>0</v>
      </c>
      <c r="K119" t="n">
        <v>1.480977984290297</v>
      </c>
      <c r="L119" t="n">
        <v>0.01549695454728839</v>
      </c>
      <c r="M119" t="n">
        <v>0.6847194321682067</v>
      </c>
      <c r="N119" t="n">
        <v>0.06739242584600484</v>
      </c>
      <c r="O119" t="n">
        <v>14.28990270838811</v>
      </c>
      <c r="P119" t="n">
        <v>-20.25989672977626</v>
      </c>
      <c r="Q119">
        <f>'_live'!$C$20</f>
        <v/>
      </c>
      <c r="R119" t="inlineStr">
        <is>
          <t>z test</t>
        </is>
      </c>
      <c r="S119" t="inlineStr">
        <is>
          <t>z test</t>
        </is>
      </c>
      <c r="T119" t="n">
        <v>0.07559821193794374</v>
      </c>
      <c r="U119" t="n">
        <v>0.1635111876075732</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0.1119592875318066</v>
      </c>
      <c r="AI119">
        <f>IF($Y119="worse","Yes",IF($Y119="worse, not significant","Not sure",IF(OR($Y119="too few losses to test",$Y119="too few loans to test"),"Too few losses",IF($Y119="","","No"))))</f>
        <v/>
      </c>
      <c r="AJ119">
        <f>IF($AA119="yes","Yes",IF($AA119="","","No"))</f>
        <v/>
      </c>
      <c r="AM119">
        <f>IF(AND(ISNUMBER($AC119),ISNUMBER(IF($V119,IF($AL119="","",$AL119),IF($AK119="","",$AK119)))),IF(AND(ABS($AC119-significance_bar)&lt;=2.0*IF($V119,IF($AL119="","",$AL119),IF($AK119="","",$AK119)),OR($Y119="worse",$Y119="better",$Y119="worse, not significant",$Y119="better, not significant")),IF(ROUND($AC119,3)=ROUND(significance_bar,3),TEXT($AC119,"0.0000"),TEXT($AC119,"0.000")),""),"")</f>
        <v/>
      </c>
      <c r="AN119">
        <f>IF(AND(ISNUMBER($AC119),ISNUMBER(IF($V119,IF($AL119="","",$AL119),IF($AK119="","",$AK119)))),IF(AND(ABS($AC119-significance_bar)&lt;=2.0*IF($V119,IF($AL119="","",$AL119),IF($AK119="","",$AK119)),OR($Y119="worse",$Y119="worse, not significant")),IF(ROUND($AC119,3)=ROUND(significance_bar,3),TEXT($AC119,"0.0000"),TEXT($AC119,"0.000")),""),"")</f>
        <v/>
      </c>
      <c r="AO119">
        <f>IF(OR($AI119="",$AN119=""),$AI119,$AI119&amp;" · borderline (p "&amp;$AN119&amp;")")</f>
        <v/>
      </c>
    </row>
    <row r="120">
      <c r="A120" t="inlineStr">
        <is>
          <t>grids</t>
        </is>
      </c>
      <c r="B120" t="inlineStr">
        <is>
          <t>FICO x ASSET_CLASS</t>
        </is>
      </c>
      <c r="C120" t="inlineStr">
        <is>
          <t>496 - 653</t>
        </is>
      </c>
      <c r="D120" t="inlineStr">
        <is>
          <t>2</t>
        </is>
      </c>
      <c r="E120" t="inlineStr">
        <is>
          <t>outcome_booked</t>
        </is>
      </c>
      <c r="F120" t="inlineStr">
        <is>
          <t>Outcome, share of booked dollars</t>
        </is>
      </c>
      <c r="G120" t="n">
        <v>393</v>
      </c>
      <c r="H120" t="n">
        <v>13231660.04</v>
      </c>
      <c r="I120" t="b">
        <v>0</v>
      </c>
      <c r="J120" t="b">
        <v>0</v>
      </c>
      <c r="K120" t="n">
        <v>1.489090085980658</v>
      </c>
      <c r="L120" t="n">
        <v>0.05357826253348642</v>
      </c>
      <c r="M120" t="n">
        <v>0.6650342939790537</v>
      </c>
      <c r="N120" t="n">
        <v>0.1243781094527363</v>
      </c>
      <c r="O120" t="n">
        <v>472405.0576353187</v>
      </c>
      <c r="P120" t="n">
        <v>-724440.8907977853</v>
      </c>
      <c r="Q120">
        <f>'_live'!$C$21</f>
        <v/>
      </c>
      <c r="R120" t="inlineStr">
        <is>
          <t>shuffled: 6 of 200</t>
        </is>
      </c>
      <c r="S120" t="inlineStr">
        <is>
          <t>shuffled: 4 of 200</t>
        </is>
      </c>
      <c r="T120" t="n">
        <v>0.0729980644488113</v>
      </c>
      <c r="U120" t="n">
        <v>0.1634512611614668</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0.108700694066502</v>
      </c>
      <c r="AI120">
        <f>IF($Y120="worse","Yes",IF($Y120="worse, not significant","Not sure",IF(OR($Y120="too few losses to test",$Y120="too few loans to test"),"Too few losses",IF($Y120="","","No"))))</f>
        <v/>
      </c>
      <c r="AJ120">
        <f>IF($AA120="yes","Yes",IF($AA120="","","No"))</f>
        <v/>
      </c>
      <c r="AK120" t="n">
        <v>0.01994460653776561</v>
      </c>
      <c r="AL120" t="n">
        <v>0.05506453637109118</v>
      </c>
      <c r="AM120">
        <f>IF(AND(ISNUMBER($AC120),ISNUMBER(IF($V120,IF($AL120="","",$AL120),IF($AK120="","",$AK120)))),IF(AND(ABS($AC120-significance_bar)&lt;=2.0*IF($V120,IF($AL120="","",$AL120),IF($AK120="","",$AK120)),OR($Y120="worse",$Y120="better",$Y120="worse, not significant",$Y120="better, not significant")),IF(ROUND($AC120,3)=ROUND(significance_bar,3),TEXT($AC120,"0.0000"),TEXT($AC120,"0.000")),""),"")</f>
        <v/>
      </c>
      <c r="AN120">
        <f>IF(AND(ISNUMBER($AC120),ISNUMBER(IF($V120,IF($AL120="","",$AL120),IF($AK120="","",$AK120)))),IF(AND(ABS($AC120-significance_bar)&lt;=2.0*IF($V120,IF($AL120="","",$AL120),IF($AK120="","",$AK120)),OR($Y120="worse",$Y120="worse, not significant")),IF(ROUND($AC120,3)=ROUND(significance_bar,3),TEXT($AC120,"0.0000"),TEXT($AC120,"0.000")),""),"")</f>
        <v/>
      </c>
      <c r="AO120">
        <f>IF(OR($AI120="",$AN120=""),$AI120,$AI120&amp;" · borderline (p "&amp;$AN120&amp;")")</f>
        <v/>
      </c>
    </row>
    <row r="121">
      <c r="A121" t="inlineStr">
        <is>
          <t>grids</t>
        </is>
      </c>
      <c r="B121" t="inlineStr">
        <is>
          <t>FICO x ASSET_CLASS</t>
        </is>
      </c>
      <c r="C121" t="inlineStr">
        <is>
          <t>496 - 653</t>
        </is>
      </c>
      <c r="D121" t="inlineStr">
        <is>
          <t>2</t>
        </is>
      </c>
      <c r="E121" t="inlineStr">
        <is>
          <t>gco_rate</t>
        </is>
      </c>
      <c r="F121" t="inlineStr">
        <is>
          <t>GCO per booked dollar</t>
        </is>
      </c>
      <c r="G121" t="n">
        <v>394</v>
      </c>
      <c r="H121" t="n">
        <v>13268648.05</v>
      </c>
      <c r="I121" t="b">
        <v>0</v>
      </c>
      <c r="J121" t="b">
        <v>0</v>
      </c>
      <c r="K121" t="n">
        <v>1.461783569219035</v>
      </c>
      <c r="L121" t="n">
        <v>0.07654037504783774</v>
      </c>
      <c r="M121" t="n">
        <v>0.6459743404111616</v>
      </c>
      <c r="N121" t="n">
        <v>0.09950248756218905</v>
      </c>
      <c r="O121" t="n">
        <v>249012.4587491207</v>
      </c>
      <c r="P121" t="n">
        <v>-432001.3955853276</v>
      </c>
      <c r="Q121">
        <f>'_live'!$C$22</f>
        <v/>
      </c>
      <c r="R121" t="inlineStr">
        <is>
          <t>shuffled: 9 of 200</t>
        </is>
      </c>
      <c r="S121" t="inlineStr">
        <is>
          <t>shuffled: 3 of 200</t>
        </is>
      </c>
      <c r="T121" t="n">
        <v>0.04064020834819558</v>
      </c>
      <c r="U121" t="n">
        <v>0.0919652455161268</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0.05940718881303055</v>
      </c>
      <c r="AI121">
        <f>IF($Y121="worse","Yes",IF($Y121="worse, not significant","Not sure",IF(OR($Y121="too few losses to test",$Y121="too few loans to test"),"Too few losses",IF($Y121="","","No"))))</f>
        <v/>
      </c>
      <c r="AJ121">
        <f>IF($AA121="yes","Yes",IF($AA121="","","No"))</f>
        <v/>
      </c>
      <c r="AK121" t="n">
        <v>0.02365332895577871</v>
      </c>
      <c r="AL121" t="n">
        <v>0.04937669960517216</v>
      </c>
      <c r="AM121">
        <f>IF(AND(ISNUMBER($AC121),ISNUMBER(IF($V121,IF($AL121="","",$AL121),IF($AK121="","",$AK121)))),IF(AND(ABS($AC121-significance_bar)&lt;=2.0*IF($V121,IF($AL121="","",$AL121),IF($AK121="","",$AK121)),OR($Y121="worse",$Y121="better",$Y121="worse, not significant",$Y121="better, not significant")),IF(ROUND($AC121,3)=ROUND(significance_bar,3),TEXT($AC121,"0.0000"),TEXT($AC121,"0.000")),""),"")</f>
        <v/>
      </c>
      <c r="AN121">
        <f>IF(AND(ISNUMBER($AC121),ISNUMBER(IF($V121,IF($AL121="","",$AL121),IF($AK121="","",$AK121)))),IF(AND(ABS($AC121-significance_bar)&lt;=2.0*IF($V121,IF($AL121="","",$AL121),IF($AK121="","",$AK121)),OR($Y121="worse",$Y121="worse, not significant")),IF(ROUND($AC121,3)=ROUND(significance_bar,3),TEXT($AC121,"0.0000"),TEXT($AC121,"0.000")),""),"")</f>
        <v/>
      </c>
      <c r="AO121">
        <f>IF(OR($AI121="",$AN121=""),$AI121,$AI121&amp;" · borderline (p "&amp;$AN121&amp;")")</f>
        <v/>
      </c>
    </row>
    <row r="122">
      <c r="A122" t="inlineStr">
        <is>
          <t>grids</t>
        </is>
      </c>
      <c r="B122" t="inlineStr">
        <is>
          <t>FICO x ASSET_CLASS</t>
        </is>
      </c>
      <c r="C122" t="inlineStr">
        <is>
          <t>496 - 653</t>
        </is>
      </c>
      <c r="D122" t="inlineStr">
        <is>
          <t>2</t>
        </is>
      </c>
      <c r="E122" t="inlineStr">
        <is>
          <t>ranr_rate</t>
        </is>
      </c>
      <c r="F122" t="inlineStr">
        <is>
          <t>Profit after losses: RANR per booked dollar</t>
        </is>
      </c>
      <c r="G122" t="n">
        <v>394</v>
      </c>
      <c r="H122" t="n">
        <v>13268648.05</v>
      </c>
      <c r="I122" t="b">
        <v>0</v>
      </c>
      <c r="J122" t="b">
        <v>0</v>
      </c>
      <c r="K122" t="n">
        <v>0.08177400942602732</v>
      </c>
      <c r="L122" t="n">
        <v>0.01036484245439469</v>
      </c>
      <c r="M122" t="n">
        <v>0.02083559860994813</v>
      </c>
      <c r="N122" t="n">
        <v>0.4378109452736318</v>
      </c>
      <c r="O122" t="n">
        <v>-1085030.550711339</v>
      </c>
      <c r="P122" t="n">
        <v>-276460.2248664713</v>
      </c>
      <c r="Q122">
        <f>'_live'!$C$23</f>
        <v/>
      </c>
      <c r="R122" t="inlineStr">
        <is>
          <t>shuffled: 0 of 200</t>
        </is>
      </c>
      <c r="S122" t="inlineStr">
        <is>
          <t>shuffled: 29 of 200</t>
        </is>
      </c>
      <c r="T122" t="n">
        <v>0.1237856202907318</v>
      </c>
      <c r="U122" t="n">
        <v>0.184724031106811</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0.2055596297167591</v>
      </c>
      <c r="AI122">
        <f>IF($Y122="worse","Yes",IF($Y122="worse, not significant","Not sure",IF(OR($Y122="too few losses to test",$Y122="too few loans to test"),"Too few losses",IF($Y122="","","No"))))</f>
        <v/>
      </c>
      <c r="AJ122">
        <f>IF($AA122="yes","Yes",IF($AA122="","","No"))</f>
        <v/>
      </c>
      <c r="AK122" t="n">
        <v>0.01036484245439469</v>
      </c>
      <c r="AL122" t="n">
        <v>0.06985046278521091</v>
      </c>
      <c r="AM122">
        <f>IF(AND(ISNUMBER($AC122),ISNUMBER(IF($V122,IF($AL122="","",$AL122),IF($AK122="","",$AK122)))),IF(AND(ABS($AC122-significance_bar)&lt;=2.0*IF($V122,IF($AL122="","",$AL122),IF($AK122="","",$AK122)),OR($Y122="worse",$Y122="better",$Y122="worse, not significant",$Y122="better, not significant",AND(profit_kind="test",$Y122="in line",ISNUMBER($AB122),$AB122&lt;&gt;0))),IF(ROUND($AC122,3)=ROUND(significance_bar,3),TEXT($AC122,"0.0000"),TEXT($AC122,"0.000")),""),"")</f>
        <v/>
      </c>
      <c r="AN122">
        <f>IF(AND(ISNUMBER($AC122),ISNUMBER(IF($V122,IF($AL122="","",$AL122),IF($AK122="","",$AK122)))),IF(AND(ABS($AC122-significance_bar)&lt;=2.0*IF($V122,IF($AL122="","",$AL122),IF($AK122="","",$AK122)),OR($Y122="worse",$Y122="worse, not significant",AND(profit_kind="test",$Y122="in line",ISNUMBER($AB122),$AB122&lt;0))),IF(ROUND($AC122,3)=ROUND(significance_bar,3),TEXT($AC122,"0.0000"),TEXT($AC122,"0.000")),""),"")</f>
        <v/>
      </c>
      <c r="AO122">
        <f>IF(OR($AI122="",$AN122=""),$AI122,$AI122&amp;" · borderline (p "&amp;$AN122&amp;")")</f>
        <v/>
      </c>
    </row>
    <row r="123">
      <c r="A123" t="inlineStr">
        <is>
          <t>grids</t>
        </is>
      </c>
      <c r="B123" t="inlineStr">
        <is>
          <t>FICO x ASSET_CLASS</t>
        </is>
      </c>
      <c r="C123" t="inlineStr">
        <is>
          <t>496 - 653</t>
        </is>
      </c>
      <c r="D123" t="inlineStr">
        <is>
          <t>2</t>
        </is>
      </c>
      <c r="E123" t="inlineStr">
        <is>
          <t>contribution_rate</t>
        </is>
      </c>
      <c r="F123" t="inlineStr">
        <is>
          <t>Contribution before losses per booked dollar</t>
        </is>
      </c>
      <c r="G123" t="n">
        <v>394</v>
      </c>
      <c r="H123" t="n">
        <v>13268648.05</v>
      </c>
      <c r="I123" t="b">
        <v>0</v>
      </c>
      <c r="J123" t="b">
        <v>0</v>
      </c>
      <c r="K123" t="n">
        <v>0.1005446858289114</v>
      </c>
      <c r="L123" t="n">
        <v>0.00777363184079602</v>
      </c>
      <c r="M123" t="n">
        <v>-0.01172245809314815</v>
      </c>
      <c r="N123" t="n">
        <v>0.7846481876332623</v>
      </c>
      <c r="O123" t="n">
        <v>-1334092.049561649</v>
      </c>
      <c r="P123" t="n">
        <v>155541.1707188566</v>
      </c>
      <c r="Q123">
        <f>'_live'!$C$24</f>
        <v/>
      </c>
      <c r="R123" t="inlineStr">
        <is>
          <t>shuffled: 0 of 200</t>
        </is>
      </c>
      <c r="S123" t="inlineStr">
        <is>
          <t>shuffled: 45 of 200</t>
        </is>
      </c>
      <c r="T123" t="n">
        <v>0.1644221327008781</v>
      </c>
      <c r="U123" t="n">
        <v>0.2766892766229377</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0.2649668185297895</v>
      </c>
      <c r="AI123">
        <f>IF($Y123="worse","Yes",IF($Y123="worse, not significant","Not sure",IF(OR($Y123="too few losses to test",$Y123="too few loans to test"),"Too few losses",IF($Y123="","","No"))))</f>
        <v/>
      </c>
      <c r="AJ123">
        <f>IF($AA123="yes","Yes",IF($AA123="","","No"))</f>
        <v/>
      </c>
      <c r="AK123" t="n">
        <v>0.00777363184079602</v>
      </c>
      <c r="AL123" t="n">
        <v>0.1018466881946486</v>
      </c>
      <c r="AM123">
        <f>IF(AND(ISNUMBER($AC123),ISNUMBER(IF($V123,IF($AL123="","",$AL123),IF($AK123="","",$AK123)))),IF(AND(ABS($AC123-significance_bar)&lt;=2.0*IF($V123,IF($AL123="","",$AL123),IF($AK123="","",$AK123)),OR($Y123="worse",$Y123="better",$Y123="worse, not significant",$Y123="better, not significant",AND(profit_kind="test",$Y123="in line",ISNUMBER($AB123),$AB123&lt;&gt;0))),IF(ROUND($AC123,3)=ROUND(significance_bar,3),TEXT($AC123,"0.0000"),TEXT($AC123,"0.000")),""),"")</f>
        <v/>
      </c>
      <c r="AN123">
        <f>IF(AND(ISNUMBER($AC123),ISNUMBER(IF($V123,IF($AL123="","",$AL123),IF($AK123="","",$AK123)))),IF(AND(ABS($AC123-significance_bar)&lt;=2.0*IF($V123,IF($AL123="","",$AL123),IF($AK123="","",$AK123)),OR($Y123="worse",$Y123="worse, not significant",AND(profit_kind="test",$Y123="in line",ISNUMBER($AB123),$AB123&lt;0))),IF(ROUND($AC123,3)=ROUND(significance_bar,3),TEXT($AC123,"0.0000"),TEXT($AC123,"0.000")),""),"")</f>
        <v/>
      </c>
      <c r="AO123">
        <f>IF(OR($AI123="",$AN123=""),$AI123,$AI123&amp;" · borderline (p "&amp;$AN123&amp;")")</f>
        <v/>
      </c>
    </row>
    <row r="124">
      <c r="A124" t="inlineStr">
        <is>
          <t>grids</t>
        </is>
      </c>
      <c r="B124" t="inlineStr">
        <is>
          <t>FICO x ASSET_CLASS</t>
        </is>
      </c>
      <c r="C124" t="inlineStr">
        <is>
          <t>712 - 745</t>
        </is>
      </c>
      <c r="D124" t="inlineStr">
        <is>
          <t>4</t>
        </is>
      </c>
      <c r="E124" t="inlineStr">
        <is>
          <t>outcome_loans</t>
        </is>
      </c>
      <c r="F124" t="inlineStr">
        <is>
          <t>Outcome, share of loans</t>
        </is>
      </c>
      <c r="G124" t="n">
        <v>427</v>
      </c>
      <c r="H124" t="n">
        <v>427</v>
      </c>
      <c r="I124" t="b">
        <v>0</v>
      </c>
      <c r="J124" t="b">
        <v>0</v>
      </c>
      <c r="K124" t="n">
        <v>1.062766674152257</v>
      </c>
      <c r="L124" t="n">
        <v>0.7982586377423296</v>
      </c>
      <c r="M124" t="n">
        <v>1.866330390920555</v>
      </c>
      <c r="N124" t="n">
        <v>0.02862885069673273</v>
      </c>
      <c r="O124" t="n">
        <v>2.067089276281038</v>
      </c>
      <c r="P124" t="n">
        <v>16.24662162162162</v>
      </c>
      <c r="Q124">
        <f>'_live'!$C$20</f>
        <v/>
      </c>
      <c r="R124" t="inlineStr">
        <is>
          <t>z test</t>
        </is>
      </c>
      <c r="S124" t="inlineStr">
        <is>
          <t>z test</t>
        </is>
      </c>
      <c r="T124" t="n">
        <v>0.07712625462229265</v>
      </c>
      <c r="U124" t="n">
        <v>0.04391891891891892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0.08196721311475409</v>
      </c>
      <c r="AI124">
        <f>IF($Y124="worse","Yes",IF($Y124="worse, not significant","Not sure",IF(OR($Y124="too few losses to test",$Y124="too few loans to test"),"Too few losses",IF($Y124="","","No"))))</f>
        <v/>
      </c>
      <c r="AJ124">
        <f>IF($AA124="yes","Yes",IF($AA124="","","No"))</f>
        <v/>
      </c>
      <c r="AM124">
        <f>IF(AND(ISNUMBER($AC124),ISNUMBER(IF($V124,IF($AL124="","",$AL124),IF($AK124="","",$AK124)))),IF(AND(ABS($AC124-significance_bar)&lt;=2.0*IF($V124,IF($AL124="","",$AL124),IF($AK124="","",$AK124)),OR($Y124="worse",$Y124="better",$Y124="worse, not significant",$Y124="better, not significant")),IF(ROUND($AC124,3)=ROUND(significance_bar,3),TEXT($AC124,"0.0000"),TEXT($AC124,"0.000")),""),"")</f>
        <v/>
      </c>
      <c r="AN124">
        <f>IF(AND(ISNUMBER($AC124),ISNUMBER(IF($V124,IF($AL124="","",$AL124),IF($AK124="","",$AK124)))),IF(AND(ABS($AC124-significance_bar)&lt;=2.0*IF($V124,IF($AL124="","",$AL124),IF($AK124="","",$AK124)),OR($Y124="worse",$Y124="worse, not significant")),IF(ROUND($AC124,3)=ROUND(significance_bar,3),TEXT($AC124,"0.0000"),TEXT($AC124,"0.000")),""),"")</f>
        <v/>
      </c>
      <c r="AO124">
        <f>IF(OR($AI124="",$AN124=""),$AI124,$AI124&amp;" · borderline (p "&amp;$AN124&amp;")")</f>
        <v/>
      </c>
    </row>
    <row r="125">
      <c r="A125" t="inlineStr">
        <is>
          <t>grids</t>
        </is>
      </c>
      <c r="B125" t="inlineStr">
        <is>
          <t>FICO x ASSET_CLASS</t>
        </is>
      </c>
      <c r="C125" t="inlineStr">
        <is>
          <t>712 - 745</t>
        </is>
      </c>
      <c r="D125" t="inlineStr">
        <is>
          <t>4</t>
        </is>
      </c>
      <c r="E125" t="inlineStr">
        <is>
          <t>outcome_booked</t>
        </is>
      </c>
      <c r="F125" t="inlineStr">
        <is>
          <t>Outcome, share of booked dollars</t>
        </is>
      </c>
      <c r="G125" t="n">
        <v>427</v>
      </c>
      <c r="H125" t="n">
        <v>13152386.19</v>
      </c>
      <c r="I125" t="b">
        <v>0</v>
      </c>
      <c r="J125" t="b">
        <v>0</v>
      </c>
      <c r="K125" t="n">
        <v>1.185998876285476</v>
      </c>
      <c r="L125" t="n">
        <v>0.3917910447761194</v>
      </c>
      <c r="M125" t="n">
        <v>2.04704720669849</v>
      </c>
      <c r="N125" t="n">
        <v>0.06633499170812603</v>
      </c>
      <c r="O125" t="n">
        <v>181336.827867875</v>
      </c>
      <c r="P125" t="n">
        <v>591423.2261558567</v>
      </c>
      <c r="Q125">
        <f>'_live'!$C$21</f>
        <v/>
      </c>
      <c r="R125" t="inlineStr">
        <is>
          <t>shuffled: 62 of 200</t>
        </is>
      </c>
      <c r="S125" t="inlineStr">
        <is>
          <t>shuffled: 1 of 200</t>
        </is>
      </c>
      <c r="T125" t="n">
        <v>0.07412609834049626</v>
      </c>
      <c r="U125" t="n">
        <v>0.0429464787365815</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0.08791346933525528</v>
      </c>
      <c r="AI125">
        <f>IF($Y125="worse","Yes",IF($Y125="worse, not significant","Not sure",IF(OR($Y125="too few losses to test",$Y125="too few loans to test"),"Too few losses",IF($Y125="","","No"))))</f>
        <v/>
      </c>
      <c r="AJ125">
        <f>IF($AA125="yes","Yes",IF($AA125="","","No"))</f>
        <v/>
      </c>
      <c r="AK125" t="n">
        <v>0.04100235256685805</v>
      </c>
      <c r="AL125" t="n">
        <v>0.04678851071199298</v>
      </c>
      <c r="AM125">
        <f>IF(AND(ISNUMBER($AC125),ISNUMBER(IF($V125,IF($AL125="","",$AL125),IF($AK125="","",$AK125)))),IF(AND(ABS($AC125-significance_bar)&lt;=2.0*IF($V125,IF($AL125="","",$AL125),IF($AK125="","",$AK125)),OR($Y125="worse",$Y125="better",$Y125="worse, not significant",$Y125="better, not significant")),IF(ROUND($AC125,3)=ROUND(significance_bar,3),TEXT($AC125,"0.0000"),TEXT($AC125,"0.000")),""),"")</f>
        <v/>
      </c>
      <c r="AN125">
        <f>IF(AND(ISNUMBER($AC125),ISNUMBER(IF($V125,IF($AL125="","",$AL125),IF($AK125="","",$AK125)))),IF(AND(ABS($AC125-significance_bar)&lt;=2.0*IF($V125,IF($AL125="","",$AL125),IF($AK125="","",$AK125)),OR($Y125="worse",$Y125="worse, not significant")),IF(ROUND($AC125,3)=ROUND(significance_bar,3),TEXT($AC125,"0.0000"),TEXT($AC125,"0.000")),""),"")</f>
        <v/>
      </c>
      <c r="AO125">
        <f>IF(OR($AI125="",$AN125=""),$AI125,$AI125&amp;" · borderline (p "&amp;$AN125&amp;")")</f>
        <v/>
      </c>
    </row>
    <row r="126">
      <c r="A126" t="inlineStr">
        <is>
          <t>grids</t>
        </is>
      </c>
      <c r="B126" t="inlineStr">
        <is>
          <t>FICO x ASSET_CLASS</t>
        </is>
      </c>
      <c r="C126" t="inlineStr">
        <is>
          <t>712 - 745</t>
        </is>
      </c>
      <c r="D126" t="inlineStr">
        <is>
          <t>4</t>
        </is>
      </c>
      <c r="E126" t="inlineStr">
        <is>
          <t>gco_rate</t>
        </is>
      </c>
      <c r="F126" t="inlineStr">
        <is>
          <t>GCO per booked dollar</t>
        </is>
      </c>
      <c r="G126" t="n">
        <v>427</v>
      </c>
      <c r="H126" t="n">
        <v>13152386.19</v>
      </c>
      <c r="I126" t="b">
        <v>0</v>
      </c>
      <c r="J126" t="b">
        <v>0</v>
      </c>
      <c r="K126" t="n">
        <v>1.11205090745506</v>
      </c>
      <c r="L126" t="n">
        <v>0.5498821681068342</v>
      </c>
      <c r="M126" t="n">
        <v>1.854678345569113</v>
      </c>
      <c r="N126" t="n">
        <v>0.09950248756218905</v>
      </c>
      <c r="O126" t="n">
        <v>60966.99661039584</v>
      </c>
      <c r="P126" t="n">
        <v>278829.160497877</v>
      </c>
      <c r="Q126">
        <f>'_live'!$C$22</f>
        <v/>
      </c>
      <c r="R126" t="inlineStr">
        <is>
          <t>shuffled: 104 of 200</t>
        </is>
      </c>
      <c r="S126" t="inlineStr">
        <is>
          <t>shuffled: 2 of 200</t>
        </is>
      </c>
      <c r="T126" t="n">
        <v>0.04136898548518094</v>
      </c>
      <c r="U126" t="n">
        <v>0.02480452632619382</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0.04600441784929067</v>
      </c>
      <c r="AI126">
        <f>IF($Y126="worse","Yes",IF($Y126="worse, not significant","Not sure",IF(OR($Y126="too few losses to test",$Y126="too few loans to test"),"Too few losses",IF($Y126="","","No"))))</f>
        <v/>
      </c>
      <c r="AJ126">
        <f>IF($AA126="yes","Yes",IF($AA126="","","No"))</f>
        <v/>
      </c>
      <c r="AK126" t="n">
        <v>0.0371788203179866</v>
      </c>
      <c r="AL126" t="n">
        <v>0.04937669960517216</v>
      </c>
      <c r="AM126">
        <f>IF(AND(ISNUMBER($AC126),ISNUMBER(IF($V126,IF($AL126="","",$AL126),IF($AK126="","",$AK126)))),IF(AND(ABS($AC126-significance_bar)&lt;=2.0*IF($V126,IF($AL126="","",$AL126),IF($AK126="","",$AK126)),OR($Y126="worse",$Y126="better",$Y126="worse, not significant",$Y126="better, not significant")),IF(ROUND($AC126,3)=ROUND(significance_bar,3),TEXT($AC126,"0.0000"),TEXT($AC126,"0.000")),""),"")</f>
        <v/>
      </c>
      <c r="AN126">
        <f>IF(AND(ISNUMBER($AC126),ISNUMBER(IF($V126,IF($AL126="","",$AL126),IF($AK126="","",$AK126)))),IF(AND(ABS($AC126-significance_bar)&lt;=2.0*IF($V126,IF($AL126="","",$AL126),IF($AK126="","",$AK126)),OR($Y126="worse",$Y126="worse, not significant")),IF(ROUND($AC126,3)=ROUND(significance_bar,3),TEXT($AC126,"0.0000"),TEXT($AC126,"0.000")),""),"")</f>
        <v/>
      </c>
      <c r="AO126">
        <f>IF(OR($AI126="",$AN126=""),$AI126,$AI126&amp;" · borderline (p "&amp;$AN126&amp;")")</f>
        <v/>
      </c>
    </row>
    <row r="127">
      <c r="A127" t="inlineStr">
        <is>
          <t>grids</t>
        </is>
      </c>
      <c r="B127" t="inlineStr">
        <is>
          <t>FICO x ASSET_CLASS</t>
        </is>
      </c>
      <c r="C127" t="inlineStr">
        <is>
          <t>712 - 745</t>
        </is>
      </c>
      <c r="D127" t="inlineStr">
        <is>
          <t>4</t>
        </is>
      </c>
      <c r="E127" t="inlineStr">
        <is>
          <t>ranr_rate</t>
        </is>
      </c>
      <c r="F127" t="inlineStr">
        <is>
          <t>Profit after losses: RANR per booked dollar</t>
        </is>
      </c>
      <c r="G127" t="n">
        <v>427</v>
      </c>
      <c r="H127" t="n">
        <v>13152386.19</v>
      </c>
      <c r="I127" t="b">
        <v>0</v>
      </c>
      <c r="J127" t="b">
        <v>0</v>
      </c>
      <c r="K127" t="n">
        <v>-0.04158946294235906</v>
      </c>
      <c r="L127" t="n">
        <v>0.01036484245439469</v>
      </c>
      <c r="M127" t="n">
        <v>-0.01003000679325738</v>
      </c>
      <c r="N127" t="n">
        <v>0.6268656716417911</v>
      </c>
      <c r="O127" t="n">
        <v>547000.6780526</v>
      </c>
      <c r="P127" t="n">
        <v>131918.5228332446</v>
      </c>
      <c r="Q127">
        <f>'_live'!$C$23</f>
        <v/>
      </c>
      <c r="R127" t="inlineStr">
        <is>
          <t>shuffled: 0 of 200</t>
        </is>
      </c>
      <c r="S127" t="inlineStr">
        <is>
          <t>shuffled: 60 of 200</t>
        </is>
      </c>
      <c r="T127" t="n">
        <v>0.1301096449976276</v>
      </c>
      <c r="U127" t="n">
        <v>0.09855018884852594</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0.08852018205526856</v>
      </c>
      <c r="AI127">
        <f>IF($Y127="worse","Yes",IF($Y127="worse, not significant","Not sure",IF(OR($Y127="too few losses to test",$Y127="too few loans to test"),"Too few losses",IF($Y127="","","No"))))</f>
        <v/>
      </c>
      <c r="AJ127">
        <f>IF($AA127="yes","Yes",IF($AA127="","","No"))</f>
        <v/>
      </c>
      <c r="AK127" t="n">
        <v>0.01036484245439469</v>
      </c>
      <c r="AL127" t="n">
        <v>0.06560376410697287</v>
      </c>
      <c r="AM127">
        <f>IF(AND(ISNUMBER($AC127),ISNUMBER(IF($V127,IF($AL127="","",$AL127),IF($AK127="","",$AK127)))),IF(AND(ABS($AC127-significance_bar)&lt;=2.0*IF($V127,IF($AL127="","",$AL127),IF($AK127="","",$AK127)),OR($Y127="worse",$Y127="better",$Y127="worse, not significant",$Y127="better, not significant",AND(profit_kind="test",$Y127="in line",ISNUMBER($AB127),$AB127&lt;&gt;0))),IF(ROUND($AC127,3)=ROUND(significance_bar,3),TEXT($AC127,"0.0000"),TEXT($AC127,"0.000")),""),"")</f>
        <v/>
      </c>
      <c r="AN127">
        <f>IF(AND(ISNUMBER($AC127),ISNUMBER(IF($V127,IF($AL127="","",$AL127),IF($AK127="","",$AK127)))),IF(AND(ABS($AC127-significance_bar)&lt;=2.0*IF($V127,IF($AL127="","",$AL127),IF($AK127="","",$AK127)),OR($Y127="worse",$Y127="worse, not significant",AND(profit_kind="test",$Y127="in line",ISNUMBER($AB127),$AB127&lt;0))),IF(ROUND($AC127,3)=ROUND(significance_bar,3),TEXT($AC127,"0.0000"),TEXT($AC127,"0.000")),""),"")</f>
        <v/>
      </c>
      <c r="AO127">
        <f>IF(OR($AI127="",$AN127=""),$AI127,$AI127&amp;" · borderline (p "&amp;$AN127&amp;")")</f>
        <v/>
      </c>
    </row>
    <row r="128">
      <c r="A128" t="inlineStr">
        <is>
          <t>grids</t>
        </is>
      </c>
      <c r="B128" t="inlineStr">
        <is>
          <t>FICO x ASSET_CLASS</t>
        </is>
      </c>
      <c r="C128" t="inlineStr">
        <is>
          <t>712 - 745</t>
        </is>
      </c>
      <c r="D128" t="inlineStr">
        <is>
          <t>4</t>
        </is>
      </c>
      <c r="E128" t="inlineStr">
        <is>
          <t>contribution_rate</t>
        </is>
      </c>
      <c r="F128" t="inlineStr">
        <is>
          <t>Contribution before losses per booked dollar</t>
        </is>
      </c>
      <c r="G128" t="n">
        <v>427</v>
      </c>
      <c r="H128" t="n">
        <v>13152386.19</v>
      </c>
      <c r="I128" t="b">
        <v>0</v>
      </c>
      <c r="J128" t="b">
        <v>0</v>
      </c>
      <c r="K128" t="n">
        <v>-0.03695136126031404</v>
      </c>
      <c r="L128" t="n">
        <v>0.00777363184079602</v>
      </c>
      <c r="M128" t="n">
        <v>0.01122014979193345</v>
      </c>
      <c r="N128" t="n">
        <v>0.2388059701492537</v>
      </c>
      <c r="O128" t="n">
        <v>485998.5735418552</v>
      </c>
      <c r="P128" t="n">
        <v>-147571.7431731569</v>
      </c>
      <c r="Q128">
        <f>'_live'!$C$24</f>
        <v/>
      </c>
      <c r="R128" t="inlineStr">
        <is>
          <t>shuffled: 0 of 200</t>
        </is>
      </c>
      <c r="S128" t="inlineStr">
        <is>
          <t>shuffled: 1 of 200</t>
        </is>
      </c>
      <c r="T128" t="n">
        <v>0.1714759611648733</v>
      </c>
      <c r="U128" t="n">
        <v>0.1233044501126258</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0.1345245999045592</v>
      </c>
      <c r="AI128">
        <f>IF($Y128="worse","Yes",IF($Y128="worse, not significant","Not sure",IF(OR($Y128="too few losses to test",$Y128="too few loans to test"),"Too few losses",IF($Y128="","","No"))))</f>
        <v/>
      </c>
      <c r="AJ128">
        <f>IF($AA128="yes","Yes",IF($AA128="","","No"))</f>
        <v/>
      </c>
      <c r="AK128" t="n">
        <v>0.00777363184079602</v>
      </c>
      <c r="AL128" t="n">
        <v>0.1684386385631747</v>
      </c>
      <c r="AM128">
        <f>IF(AND(ISNUMBER($AC128),ISNUMBER(IF($V128,IF($AL128="","",$AL128),IF($AK128="","",$AK128)))),IF(AND(ABS($AC128-significance_bar)&lt;=2.0*IF($V128,IF($AL128="","",$AL128),IF($AK128="","",$AK128)),OR($Y128="worse",$Y128="better",$Y128="worse, not significant",$Y128="better, not significant",AND(profit_kind="test",$Y128="in line",ISNUMBER($AB128),$AB128&lt;&gt;0))),IF(ROUND($AC128,3)=ROUND(significance_bar,3),TEXT($AC128,"0.0000"),TEXT($AC128,"0.000")),""),"")</f>
        <v/>
      </c>
      <c r="AN128">
        <f>IF(AND(ISNUMBER($AC128),ISNUMBER(IF($V128,IF($AL128="","",$AL128),IF($AK128="","",$AK128)))),IF(AND(ABS($AC128-significance_bar)&lt;=2.0*IF($V128,IF($AL128="","",$AL128),IF($AK128="","",$AK128)),OR($Y128="worse",$Y128="worse, not significant",AND(profit_kind="test",$Y128="in line",ISNUMBER($AB128),$AB128&lt;0))),IF(ROUND($AC128,3)=ROUND(significance_bar,3),TEXT($AC128,"0.0000"),TEXT($AC128,"0.000")),""),"")</f>
        <v/>
      </c>
      <c r="AO128">
        <f>IF(OR($AI128="",$AN128=""),$AI128,$AI128&amp;" · borderline (p "&amp;$AN128&amp;")")</f>
        <v/>
      </c>
    </row>
    <row r="129">
      <c r="A129" t="inlineStr">
        <is>
          <t>grids</t>
        </is>
      </c>
      <c r="B129" t="inlineStr">
        <is>
          <t>FICO x ASSET_CLASS</t>
        </is>
      </c>
      <c r="C129" t="inlineStr">
        <is>
          <t>746 - 921</t>
        </is>
      </c>
      <c r="D129" t="inlineStr">
        <is>
          <t>2</t>
        </is>
      </c>
      <c r="E129" t="inlineStr">
        <is>
          <t>outcome_loans</t>
        </is>
      </c>
      <c r="F129" t="inlineStr">
        <is>
          <t>Outcome, share of loans</t>
        </is>
      </c>
      <c r="G129" t="n">
        <v>399</v>
      </c>
      <c r="H129" t="n">
        <v>399</v>
      </c>
      <c r="I129" t="b">
        <v>0</v>
      </c>
      <c r="J129" t="b">
        <v>0</v>
      </c>
      <c r="K129" t="n">
        <v>0.5054094606333412</v>
      </c>
      <c r="L129" t="n">
        <v>0.01212387853784685</v>
      </c>
      <c r="M129" t="n">
        <v>1.021684646398605</v>
      </c>
      <c r="N129" t="n">
        <v>0.955146465774709</v>
      </c>
      <c r="O129" t="n">
        <v>-15.6575</v>
      </c>
      <c r="P129" t="n">
        <v>0.3395904436860064</v>
      </c>
      <c r="Q129">
        <f>'_live'!$C$20</f>
        <v/>
      </c>
      <c r="R129" t="inlineStr">
        <is>
          <t>z test</t>
        </is>
      </c>
      <c r="S129" t="inlineStr">
        <is>
          <t>z test</t>
        </is>
      </c>
      <c r="T129" t="n">
        <v>0.07934210526315789</v>
      </c>
      <c r="U129" t="n">
        <v>0.03924914675767918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0.04010025062656641</v>
      </c>
      <c r="AI129">
        <f>IF($Y129="worse","Yes",IF($Y129="worse, not significant","Not sure",IF(OR($Y129="too few losses to test",$Y129="too few loans to test"),"Too few losses",IF($Y129="","","No"))))</f>
        <v/>
      </c>
      <c r="AJ129">
        <f>IF($AA129="yes","Yes",IF($AA129="","","No"))</f>
        <v/>
      </c>
      <c r="AM129">
        <f>IF(AND(ISNUMBER($AC129),ISNUMBER(IF($V129,IF($AL129="","",$AL129),IF($AK129="","",$AK129)))),IF(AND(ABS($AC129-significance_bar)&lt;=2.0*IF($V129,IF($AL129="","",$AL129),IF($AK129="","",$AK129)),OR($Y129="worse",$Y129="better",$Y129="worse, not significant",$Y129="better, not significant")),IF(ROUND($AC129,3)=ROUND(significance_bar,3),TEXT($AC129,"0.0000"),TEXT($AC129,"0.000")),""),"")</f>
        <v/>
      </c>
      <c r="AN129">
        <f>IF(AND(ISNUMBER($AC129),ISNUMBER(IF($V129,IF($AL129="","",$AL129),IF($AK129="","",$AK129)))),IF(AND(ABS($AC129-significance_bar)&lt;=2.0*IF($V129,IF($AL129="","",$AL129),IF($AK129="","",$AK129)),OR($Y129="worse",$Y129="worse, not significant")),IF(ROUND($AC129,3)=ROUND(significance_bar,3),TEXT($AC129,"0.0000"),TEXT($AC129,"0.000")),""),"")</f>
        <v/>
      </c>
      <c r="AO129">
        <f>IF(OR($AI129="",$AN129=""),$AI129,$AI129&amp;" · borderline (p "&amp;$AN129&amp;")")</f>
        <v/>
      </c>
    </row>
    <row r="130">
      <c r="A130" t="inlineStr">
        <is>
          <t>grids</t>
        </is>
      </c>
      <c r="B130" t="inlineStr">
        <is>
          <t>FICO x ASSET_CLASS</t>
        </is>
      </c>
      <c r="C130" t="inlineStr">
        <is>
          <t>746 - 921</t>
        </is>
      </c>
      <c r="D130" t="inlineStr">
        <is>
          <t>2</t>
        </is>
      </c>
      <c r="E130" t="inlineStr">
        <is>
          <t>outcome_booked</t>
        </is>
      </c>
      <c r="F130" t="inlineStr">
        <is>
          <t>Outcome, share of booked dollars</t>
        </is>
      </c>
      <c r="G130" t="n">
        <v>399</v>
      </c>
      <c r="H130" t="n">
        <v>13059938.59</v>
      </c>
      <c r="I130" t="b">
        <v>0</v>
      </c>
      <c r="J130" t="b">
        <v>0</v>
      </c>
      <c r="K130" t="n">
        <v>0.6124015576011145</v>
      </c>
      <c r="L130" t="n">
        <v>0.05357826253348642</v>
      </c>
      <c r="M130" t="n">
        <v>1.400534289227499</v>
      </c>
      <c r="N130" t="n">
        <v>0.47037539574853</v>
      </c>
      <c r="O130" t="n">
        <v>-386364.2396908005</v>
      </c>
      <c r="P130" t="n">
        <v>174581.0663523657</v>
      </c>
      <c r="Q130">
        <f>'_live'!$C$21</f>
        <v/>
      </c>
      <c r="R130" t="inlineStr">
        <is>
          <t>shuffled: 6 of 200</t>
        </is>
      </c>
      <c r="S130" t="inlineStr">
        <is>
          <t>shuffled: 49 of 200</t>
        </is>
      </c>
      <c r="T130" t="n">
        <v>0.07632622181348253</v>
      </c>
      <c r="U130" t="n">
        <v>0.03337461816102109</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0.04674229712438486</v>
      </c>
      <c r="AI130">
        <f>IF($Y130="worse","Yes",IF($Y130="worse, not significant","Not sure",IF(OR($Y130="too few losses to test",$Y130="too few loans to test"),"Too few losses",IF($Y130="","","No"))))</f>
        <v/>
      </c>
      <c r="AJ130">
        <f>IF($AA130="yes","Yes",IF($AA130="","","No"))</f>
        <v/>
      </c>
      <c r="AK130" t="n">
        <v>0.01994460653776561</v>
      </c>
      <c r="AL130" t="n">
        <v>0.05630164204286001</v>
      </c>
      <c r="AM130">
        <f>IF(AND(ISNUMBER($AC130),ISNUMBER(IF($V130,IF($AL130="","",$AL130),IF($AK130="","",$AK130)))),IF(AND(ABS($AC130-significance_bar)&lt;=2.0*IF($V130,IF($AL130="","",$AL130),IF($AK130="","",$AK130)),OR($Y130="worse",$Y130="better",$Y130="worse, not significant",$Y130="better, not significant")),IF(ROUND($AC130,3)=ROUND(significance_bar,3),TEXT($AC130,"0.0000"),TEXT($AC130,"0.000")),""),"")</f>
        <v/>
      </c>
      <c r="AN130">
        <f>IF(AND(ISNUMBER($AC130),ISNUMBER(IF($V130,IF($AL130="","",$AL130),IF($AK130="","",$AK130)))),IF(AND(ABS($AC130-significance_bar)&lt;=2.0*IF($V130,IF($AL130="","",$AL130),IF($AK130="","",$AK130)),OR($Y130="worse",$Y130="worse, not significant")),IF(ROUND($AC130,3)=ROUND(significance_bar,3),TEXT($AC130,"0.0000"),TEXT($AC130,"0.000")),""),"")</f>
        <v/>
      </c>
      <c r="AO130">
        <f>IF(OR($AI130="",$AN130=""),$AI130,$AI130&amp;" · borderline (p "&amp;$AN130&amp;")")</f>
        <v/>
      </c>
    </row>
    <row r="131">
      <c r="A131" t="inlineStr">
        <is>
          <t>grids</t>
        </is>
      </c>
      <c r="B131" t="inlineStr">
        <is>
          <t>FICO x ASSET_CLASS</t>
        </is>
      </c>
      <c r="C131" t="inlineStr">
        <is>
          <t>746 - 921</t>
        </is>
      </c>
      <c r="D131" t="inlineStr">
        <is>
          <t>2</t>
        </is>
      </c>
      <c r="E131" t="inlineStr">
        <is>
          <t>gco_rate</t>
        </is>
      </c>
      <c r="F131" t="inlineStr">
        <is>
          <t>GCO per booked dollar</t>
        </is>
      </c>
      <c r="G131" t="n">
        <v>399</v>
      </c>
      <c r="H131" t="n">
        <v>13059938.59</v>
      </c>
      <c r="I131" t="b">
        <v>0</v>
      </c>
      <c r="J131" t="b">
        <v>0</v>
      </c>
      <c r="K131" t="n">
        <v>0.5712806400920181</v>
      </c>
      <c r="L131" t="n">
        <v>0.0552791597567717</v>
      </c>
      <c r="M131" t="n">
        <v>1.372255529935013</v>
      </c>
      <c r="N131" t="n">
        <v>0.5671641791044776</v>
      </c>
      <c r="O131" t="n">
        <v>-238116.8730705172</v>
      </c>
      <c r="P131" t="n">
        <v>86074.15151197961</v>
      </c>
      <c r="Q131">
        <f>'_live'!$C$22</f>
        <v/>
      </c>
      <c r="R131" t="inlineStr">
        <is>
          <t>shuffled: 4 of 200</t>
        </is>
      </c>
      <c r="S131" t="inlineStr">
        <is>
          <t>shuffled: 55 of 200</t>
        </is>
      </c>
      <c r="T131" t="n">
        <v>0.04252809607357557</v>
      </c>
      <c r="U131" t="n">
        <v>0.01770477685592397</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0.02429547794680709</v>
      </c>
      <c r="AI131">
        <f>IF($Y131="worse","Yes",IF($Y131="worse, not significant","Not sure",IF(OR($Y131="too few losses to test",$Y131="too few loans to test"),"Too few losses",IF($Y131="","","No"))))</f>
        <v/>
      </c>
      <c r="AJ131">
        <f>IF($AA131="yes","Yes",IF($AA131="","","No"))</f>
        <v/>
      </c>
      <c r="AK131" t="n">
        <v>0.02447312727604052</v>
      </c>
      <c r="AL131" t="n">
        <v>0.06374375075839589</v>
      </c>
      <c r="AM131">
        <f>IF(AND(ISNUMBER($AC131),ISNUMBER(IF($V131,IF($AL131="","",$AL131),IF($AK131="","",$AK131)))),IF(AND(ABS($AC131-significance_bar)&lt;=2.0*IF($V131,IF($AL131="","",$AL131),IF($AK131="","",$AK131)),OR($Y131="worse",$Y131="better",$Y131="worse, not significant",$Y131="better, not significant")),IF(ROUND($AC131,3)=ROUND(significance_bar,3),TEXT($AC131,"0.0000"),TEXT($AC131,"0.000")),""),"")</f>
        <v/>
      </c>
      <c r="AN131">
        <f>IF(AND(ISNUMBER($AC131),ISNUMBER(IF($V131,IF($AL131="","",$AL131),IF($AK131="","",$AK131)))),IF(AND(ABS($AC131-significance_bar)&lt;=2.0*IF($V131,IF($AL131="","",$AL131),IF($AK131="","",$AK131)),OR($Y131="worse",$Y131="worse, not significant")),IF(ROUND($AC131,3)=ROUND(significance_bar,3),TEXT($AC131,"0.0000"),TEXT($AC131,"0.000")),""),"")</f>
        <v/>
      </c>
      <c r="AO131">
        <f>IF(OR($AI131="",$AN131=""),$AI131,$AI131&amp;" · borderline (p "&amp;$AN131&amp;")")</f>
        <v/>
      </c>
    </row>
    <row r="132">
      <c r="A132" t="inlineStr">
        <is>
          <t>grids</t>
        </is>
      </c>
      <c r="B132" t="inlineStr">
        <is>
          <t>FICO x ASSET_CLASS</t>
        </is>
      </c>
      <c r="C132" t="inlineStr">
        <is>
          <t>746 - 921</t>
        </is>
      </c>
      <c r="D132" t="inlineStr">
        <is>
          <t>2</t>
        </is>
      </c>
      <c r="E132" t="inlineStr">
        <is>
          <t>ranr_rate</t>
        </is>
      </c>
      <c r="F132" t="inlineStr">
        <is>
          <t>Profit after losses: RANR per booked dollar</t>
        </is>
      </c>
      <c r="G132" t="n">
        <v>399</v>
      </c>
      <c r="H132" t="n">
        <v>13059938.59</v>
      </c>
      <c r="I132" t="b">
        <v>0</v>
      </c>
      <c r="J132" t="b">
        <v>0</v>
      </c>
      <c r="K132" t="n">
        <v>-0.09333313299291891</v>
      </c>
      <c r="L132" t="n">
        <v>0.01036484245439469</v>
      </c>
      <c r="M132" t="n">
        <v>-0.009929937325664516</v>
      </c>
      <c r="N132" t="n">
        <v>0.4378109452736318</v>
      </c>
      <c r="O132" t="n">
        <v>1218924.985299824</v>
      </c>
      <c r="P132" t="n">
        <v>129684.3716757274</v>
      </c>
      <c r="Q132">
        <f>'_live'!$C$23</f>
        <v/>
      </c>
      <c r="R132" t="inlineStr">
        <is>
          <t>shuffled: 0 of 200</t>
        </is>
      </c>
      <c r="S132" t="inlineStr">
        <is>
          <t>shuffled: 26 of 200</t>
        </is>
      </c>
      <c r="T132" t="n">
        <v>0.1327133120386153</v>
      </c>
      <c r="U132" t="n">
        <v>0.04931011637136094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0.03938017904569642</v>
      </c>
      <c r="AI132">
        <f>IF($Y132="worse","Yes",IF($Y132="worse, not significant","Not sure",IF(OR($Y132="too few losses to test",$Y132="too few loans to test"),"Too few losses",IF($Y132="","","No"))))</f>
        <v/>
      </c>
      <c r="AJ132">
        <f>IF($AA132="yes","Yes",IF($AA132="","","No"))</f>
        <v/>
      </c>
      <c r="AK132" t="n">
        <v>0.01036484245439469</v>
      </c>
      <c r="AL132" t="n">
        <v>0.06985046278521091</v>
      </c>
      <c r="AM132">
        <f>IF(AND(ISNUMBER($AC132),ISNUMBER(IF($V132,IF($AL132="","",$AL132),IF($AK132="","",$AK132)))),IF(AND(ABS($AC132-significance_bar)&lt;=2.0*IF($V132,IF($AL132="","",$AL132),IF($AK132="","",$AK132)),OR($Y132="worse",$Y132="better",$Y132="worse, not significant",$Y132="better, not significant",AND(profit_kind="test",$Y132="in line",ISNUMBER($AB132),$AB132&lt;&gt;0))),IF(ROUND($AC132,3)=ROUND(significance_bar,3),TEXT($AC132,"0.0000"),TEXT($AC132,"0.000")),""),"")</f>
        <v/>
      </c>
      <c r="AN132">
        <f>IF(AND(ISNUMBER($AC132),ISNUMBER(IF($V132,IF($AL132="","",$AL132),IF($AK132="","",$AK132)))),IF(AND(ABS($AC132-significance_bar)&lt;=2.0*IF($V132,IF($AL132="","",$AL132),IF($AK132="","",$AK132)),OR($Y132="worse",$Y132="worse, not significant",AND(profit_kind="test",$Y132="in line",ISNUMBER($AB132),$AB132&lt;0))),IF(ROUND($AC132,3)=ROUND(significance_bar,3),TEXT($AC132,"0.0000"),TEXT($AC132,"0.000")),""),"")</f>
        <v/>
      </c>
      <c r="AO132">
        <f>IF(OR($AI132="",$AN132=""),$AI132,$AI132&amp;" · borderline (p "&amp;$AN132&amp;")")</f>
        <v/>
      </c>
    </row>
    <row r="133">
      <c r="A133" t="inlineStr">
        <is>
          <t>grids</t>
        </is>
      </c>
      <c r="B133" t="inlineStr">
        <is>
          <t>FICO x ASSET_CLASS</t>
        </is>
      </c>
      <c r="C133" t="inlineStr">
        <is>
          <t>746 - 921</t>
        </is>
      </c>
      <c r="D133" t="inlineStr">
        <is>
          <t>2</t>
        </is>
      </c>
      <c r="E133" t="inlineStr">
        <is>
          <t>contribution_rate</t>
        </is>
      </c>
      <c r="F133" t="inlineStr">
        <is>
          <t>Contribution before losses per booked dollar</t>
        </is>
      </c>
      <c r="G133" t="n">
        <v>399</v>
      </c>
      <c r="H133" t="n">
        <v>13059938.59</v>
      </c>
      <c r="I133" t="b">
        <v>0</v>
      </c>
      <c r="J133" t="b">
        <v>0</v>
      </c>
      <c r="K133" t="n">
        <v>-0.111563504597654</v>
      </c>
      <c r="L133" t="n">
        <v>0.00777363184079602</v>
      </c>
      <c r="M133" t="n">
        <v>-0.003339236234781412</v>
      </c>
      <c r="N133" t="n">
        <v>0.6686567164179105</v>
      </c>
      <c r="O133" t="n">
        <v>1457012.518930545</v>
      </c>
      <c r="P133" t="n">
        <v>43610.22016374813</v>
      </c>
      <c r="Q133">
        <f>'_live'!$C$24</f>
        <v/>
      </c>
      <c r="R133" t="inlineStr">
        <is>
          <t>shuffled: 0 of 200</t>
        </is>
      </c>
      <c r="S133" t="inlineStr">
        <is>
          <t>shuffled: 19 of 200</t>
        </is>
      </c>
      <c r="T133" t="n">
        <v>0.1752391615901575</v>
      </c>
      <c r="U133" t="n">
        <v>0.06701489322728491</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0.06367565699250349</v>
      </c>
      <c r="AI133">
        <f>IF($Y133="worse","Yes",IF($Y133="worse, not significant","Not sure",IF(OR($Y133="too few losses to test",$Y133="too few loans to test"),"Too few losses",IF($Y133="","","No"))))</f>
        <v/>
      </c>
      <c r="AJ133">
        <f>IF($AA133="yes","Yes",IF($AA133="","","No"))</f>
        <v/>
      </c>
      <c r="AK133" t="n">
        <v>0.00777363184079602</v>
      </c>
      <c r="AL133" t="n">
        <v>0.1175255383819872</v>
      </c>
      <c r="AM133">
        <f>IF(AND(ISNUMBER($AC133),ISNUMBER(IF($V133,IF($AL133="","",$AL133),IF($AK133="","",$AK133)))),IF(AND(ABS($AC133-significance_bar)&lt;=2.0*IF($V133,IF($AL133="","",$AL133),IF($AK133="","",$AK133)),OR($Y133="worse",$Y133="better",$Y133="worse, not significant",$Y133="better, not significant",AND(profit_kind="test",$Y133="in line",ISNUMBER($AB133),$AB133&lt;&gt;0))),IF(ROUND($AC133,3)=ROUND(significance_bar,3),TEXT($AC133,"0.0000"),TEXT($AC133,"0.000")),""),"")</f>
        <v/>
      </c>
      <c r="AN133">
        <f>IF(AND(ISNUMBER($AC133),ISNUMBER(IF($V133,IF($AL133="","",$AL133),IF($AK133="","",$AK133)))),IF(AND(ABS($AC133-significance_bar)&lt;=2.0*IF($V133,IF($AL133="","",$AL133),IF($AK133="","",$AK133)),OR($Y133="worse",$Y133="worse, not significant",AND(profit_kind="test",$Y133="in line",ISNUMBER($AB133),$AB133&lt;0))),IF(ROUND($AC133,3)=ROUND(significance_bar,3),TEXT($AC133,"0.0000"),TEXT($AC133,"0.000")),""),"")</f>
        <v/>
      </c>
      <c r="AO133">
        <f>IF(OR($AI133="",$AN133=""),$AI133,$AI133&amp;" · borderline (p "&amp;$AN133&amp;")")</f>
        <v/>
      </c>
    </row>
    <row r="134">
      <c r="A134" t="inlineStr">
        <is>
          <t>grids</t>
        </is>
      </c>
      <c r="B134" t="inlineStr">
        <is>
          <t>FICO x ASSET_CLASS</t>
        </is>
      </c>
      <c r="C134" t="inlineStr">
        <is>
          <t>496 - 653</t>
        </is>
      </c>
      <c r="D134" t="inlineStr">
        <is>
          <t>1</t>
        </is>
      </c>
      <c r="E134" t="inlineStr">
        <is>
          <t>outcome_loans</t>
        </is>
      </c>
      <c r="F134" t="inlineStr">
        <is>
          <t>Outcome, share of loans</t>
        </is>
      </c>
      <c r="G134" t="n">
        <v>420</v>
      </c>
      <c r="H134" t="n">
        <v>420</v>
      </c>
      <c r="I134" t="b">
        <v>0</v>
      </c>
      <c r="J134" t="b">
        <v>0</v>
      </c>
      <c r="K134" t="n">
        <v>1.830210981189629</v>
      </c>
      <c r="L134" t="n">
        <v>2.870054162929406e-05</v>
      </c>
      <c r="M134" t="n">
        <v>0.8702582728006456</v>
      </c>
      <c r="N134" t="n">
        <v>0.7150750826069978</v>
      </c>
      <c r="O134" t="n">
        <v>25.85604961076659</v>
      </c>
      <c r="P134" t="n">
        <v>-8.497797356828201</v>
      </c>
      <c r="Q134">
        <f>'_live'!$C$20</f>
        <v/>
      </c>
      <c r="R134" t="inlineStr">
        <is>
          <t>z test</t>
        </is>
      </c>
      <c r="S134" t="inlineStr">
        <is>
          <t>z test</t>
        </is>
      </c>
      <c r="T134" t="n">
        <v>0.07415226283150811</v>
      </c>
      <c r="U134" t="n">
        <v>0.1559471365638767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0.1357142857142857</v>
      </c>
      <c r="AI134">
        <f>IF($Y134="worse","Yes",IF($Y134="worse, not significant","Not sure",IF(OR($Y134="too few losses to test",$Y134="too few loans to test"),"Too few losses",IF($Y134="","","No"))))</f>
        <v/>
      </c>
      <c r="AJ134">
        <f>IF($AA134="yes","Yes",IF($AA134="","","No"))</f>
        <v/>
      </c>
      <c r="AM134">
        <f>IF(AND(ISNUMBER($AC134),ISNUMBER(IF($V134,IF($AL134="","",$AL134),IF($AK134="","",$AK134)))),IF(AND(ABS($AC134-significance_bar)&lt;=2.0*IF($V134,IF($AL134="","",$AL134),IF($AK134="","",$AK134)),OR($Y134="worse",$Y134="better",$Y134="worse, not significant",$Y134="better, not significant")),IF(ROUND($AC134,3)=ROUND(significance_bar,3),TEXT($AC134,"0.0000"),TEXT($AC134,"0.000")),""),"")</f>
        <v/>
      </c>
      <c r="AN134">
        <f>IF(AND(ISNUMBER($AC134),ISNUMBER(IF($V134,IF($AL134="","",$AL134),IF($AK134="","",$AK134)))),IF(AND(ABS($AC134-significance_bar)&lt;=2.0*IF($V134,IF($AL134="","",$AL134),IF($AK134="","",$AK134)),OR($Y134="worse",$Y134="worse, not significant")),IF(ROUND($AC134,3)=ROUND(significance_bar,3),TEXT($AC134,"0.0000"),TEXT($AC134,"0.000")),""),"")</f>
        <v/>
      </c>
      <c r="AO134">
        <f>IF(OR($AI134="",$AN134=""),$AI134,$AI134&amp;" · borderline (p "&amp;$AN134&amp;")")</f>
        <v/>
      </c>
    </row>
    <row r="135">
      <c r="A135" t="inlineStr">
        <is>
          <t>grids</t>
        </is>
      </c>
      <c r="B135" t="inlineStr">
        <is>
          <t>FICO x ASSET_CLASS</t>
        </is>
      </c>
      <c r="C135" t="inlineStr">
        <is>
          <t>496 - 653</t>
        </is>
      </c>
      <c r="D135" t="inlineStr">
        <is>
          <t>1</t>
        </is>
      </c>
      <c r="E135" t="inlineStr">
        <is>
          <t>outcome_booked</t>
        </is>
      </c>
      <c r="F135" t="inlineStr">
        <is>
          <t>Outcome, share of booked dollars</t>
        </is>
      </c>
      <c r="G135" t="n">
        <v>420</v>
      </c>
      <c r="H135" t="n">
        <v>13469152.5</v>
      </c>
      <c r="I135" t="b">
        <v>0</v>
      </c>
      <c r="J135" t="b">
        <v>0</v>
      </c>
      <c r="K135" t="n">
        <v>1.7746686777699</v>
      </c>
      <c r="L135" t="n">
        <v>0.03316749585406301</v>
      </c>
      <c r="M135" t="n">
        <v>0.8132096170035026</v>
      </c>
      <c r="N135" t="n">
        <v>0.47037539574853</v>
      </c>
      <c r="O135" t="n">
        <v>750428.7689112213</v>
      </c>
      <c r="P135" t="n">
        <v>-394877.8464256458</v>
      </c>
      <c r="Q135">
        <f>'_live'!$C$21</f>
        <v/>
      </c>
      <c r="R135" t="inlineStr">
        <is>
          <t>shuffled: 0 of 200</t>
        </is>
      </c>
      <c r="S135" t="inlineStr">
        <is>
          <t>shuffled: 49 of 200</t>
        </is>
      </c>
      <c r="T135" t="n">
        <v>0.07192058454225528</v>
      </c>
      <c r="U135" t="n">
        <v>0.1569524093238714</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0.1276352086740425</v>
      </c>
      <c r="AI135">
        <f>IF($Y135="worse","Yes",IF($Y135="worse, not significant","Not sure",IF(OR($Y135="too few losses to test",$Y135="too few loans to test"),"Too few losses",IF($Y135="","","No"))))</f>
        <v/>
      </c>
      <c r="AJ135">
        <f>IF($AA135="yes","Yes",IF($AA135="","","No"))</f>
        <v/>
      </c>
      <c r="AK135" t="n">
        <v>0.01905327577624553</v>
      </c>
      <c r="AL135" t="n">
        <v>0.05630164204286001</v>
      </c>
      <c r="AM135">
        <f>IF(AND(ISNUMBER($AC135),ISNUMBER(IF($V135,IF($AL135="","",$AL135),IF($AK135="","",$AK135)))),IF(AND(ABS($AC135-significance_bar)&lt;=2.0*IF($V135,IF($AL135="","",$AL135),IF($AK135="","",$AK135)),OR($Y135="worse",$Y135="better",$Y135="worse, not significant",$Y135="better, not significant")),IF(ROUND($AC135,3)=ROUND(significance_bar,3),TEXT($AC135,"0.0000"),TEXT($AC135,"0.000")),""),"")</f>
        <v/>
      </c>
      <c r="AN135">
        <f>IF(AND(ISNUMBER($AC135),ISNUMBER(IF($V135,IF($AL135="","",$AL135),IF($AK135="","",$AK135)))),IF(AND(ABS($AC135-significance_bar)&lt;=2.0*IF($V135,IF($AL135="","",$AL135),IF($AK135="","",$AK135)),OR($Y135="worse",$Y135="worse, not significant")),IF(ROUND($AC135,3)=ROUND(significance_bar,3),TEXT($AC135,"0.0000"),TEXT($AC135,"0.000")),""),"")</f>
        <v/>
      </c>
      <c r="AO135">
        <f>IF(OR($AI135="",$AN135=""),$AI135,$AI135&amp;" · borderline (p "&amp;$AN135&amp;")")</f>
        <v/>
      </c>
    </row>
    <row r="136">
      <c r="A136" t="inlineStr">
        <is>
          <t>grids</t>
        </is>
      </c>
      <c r="B136" t="inlineStr">
        <is>
          <t>FICO x ASSET_CLASS</t>
        </is>
      </c>
      <c r="C136" t="inlineStr">
        <is>
          <t>496 - 653</t>
        </is>
      </c>
      <c r="D136" t="inlineStr">
        <is>
          <t>1</t>
        </is>
      </c>
      <c r="E136" t="inlineStr">
        <is>
          <t>gco_rate</t>
        </is>
      </c>
      <c r="F136" t="inlineStr">
        <is>
          <t>GCO per booked dollar</t>
        </is>
      </c>
      <c r="G136" t="n">
        <v>420</v>
      </c>
      <c r="H136" t="n">
        <v>13469152.5</v>
      </c>
      <c r="I136" t="b">
        <v>0</v>
      </c>
      <c r="J136" t="b">
        <v>0</v>
      </c>
      <c r="K136" t="n">
        <v>1.845922624296106</v>
      </c>
      <c r="L136" t="n">
        <v>0.03316749585406301</v>
      </c>
      <c r="M136" t="n">
        <v>0.8451400690093763</v>
      </c>
      <c r="N136" t="n">
        <v>0.6422433288104931</v>
      </c>
      <c r="O136" t="n">
        <v>453997.2952207187</v>
      </c>
      <c r="P136" t="n">
        <v>-181529.1970404262</v>
      </c>
      <c r="Q136">
        <f>'_live'!$C$22</f>
        <v/>
      </c>
      <c r="R136" t="inlineStr">
        <is>
          <t>shuffled: 0 of 200</t>
        </is>
      </c>
      <c r="S136" t="inlineStr">
        <is>
          <t>shuffled: 70 of 200</t>
        </is>
      </c>
      <c r="T136" t="n">
        <v>0.03984578204005645</v>
      </c>
      <c r="U136" t="n">
        <v>0.08702963360467013</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0.07355223055051165</v>
      </c>
      <c r="AI136">
        <f>IF($Y136="worse","Yes",IF($Y136="worse, not significant","Not sure",IF(OR($Y136="too few losses to test",$Y136="too few loans to test"),"Too few losses",IF($Y136="","","No"))))</f>
        <v/>
      </c>
      <c r="AJ136">
        <f>IF($AA136="yes","Yes",IF($AA136="","","No"))</f>
        <v/>
      </c>
      <c r="AK136" t="n">
        <v>0.03316749585406301</v>
      </c>
      <c r="AL136" t="n">
        <v>0.06145073839630499</v>
      </c>
      <c r="AM136">
        <f>IF(AND(ISNUMBER($AC136),ISNUMBER(IF($V136,IF($AL136="","",$AL136),IF($AK136="","",$AK136)))),IF(AND(ABS($AC136-significance_bar)&lt;=2.0*IF($V136,IF($AL136="","",$AL136),IF($AK136="","",$AK136)),OR($Y136="worse",$Y136="better",$Y136="worse, not significant",$Y136="better, not significant")),IF(ROUND($AC136,3)=ROUND(significance_bar,3),TEXT($AC136,"0.0000"),TEXT($AC136,"0.000")),""),"")</f>
        <v/>
      </c>
      <c r="AN136">
        <f>IF(AND(ISNUMBER($AC136),ISNUMBER(IF($V136,IF($AL136="","",$AL136),IF($AK136="","",$AK136)))),IF(AND(ABS($AC136-significance_bar)&lt;=2.0*IF($V136,IF($AL136="","",$AL136),IF($AK136="","",$AK136)),OR($Y136="worse",$Y136="worse, not significant")),IF(ROUND($AC136,3)=ROUND(significance_bar,3),TEXT($AC136,"0.0000"),TEXT($AC136,"0.000")),""),"")</f>
        <v/>
      </c>
      <c r="AO136">
        <f>IF(OR($AI136="",$AN136=""),$AI136,$AI136&amp;" · borderline (p "&amp;$AN136&amp;")")</f>
        <v/>
      </c>
    </row>
    <row r="137">
      <c r="A137" t="inlineStr">
        <is>
          <t>grids</t>
        </is>
      </c>
      <c r="B137" t="inlineStr">
        <is>
          <t>FICO x ASSET_CLASS</t>
        </is>
      </c>
      <c r="C137" t="inlineStr">
        <is>
          <t>496 - 653</t>
        </is>
      </c>
      <c r="D137" t="inlineStr">
        <is>
          <t>1</t>
        </is>
      </c>
      <c r="E137" t="inlineStr">
        <is>
          <t>ranr_rate</t>
        </is>
      </c>
      <c r="F137" t="inlineStr">
        <is>
          <t>Profit after losses: RANR per booked dollar</t>
        </is>
      </c>
      <c r="G137" t="n">
        <v>420</v>
      </c>
      <c r="H137" t="n">
        <v>13469152.5</v>
      </c>
      <c r="I137" t="b">
        <v>0</v>
      </c>
      <c r="J137" t="b">
        <v>0</v>
      </c>
      <c r="K137" t="n">
        <v>0.08414597215197447</v>
      </c>
      <c r="L137" t="n">
        <v>0.01036484245439469</v>
      </c>
      <c r="M137" t="n">
        <v>0.02392162031155928</v>
      </c>
      <c r="N137" t="n">
        <v>0.4378109452736318</v>
      </c>
      <c r="O137" t="n">
        <v>-1133374.931175697</v>
      </c>
      <c r="P137" t="n">
        <v>-322203.9520234894</v>
      </c>
      <c r="Q137">
        <f>'_live'!$C$23</f>
        <v/>
      </c>
      <c r="R137" t="inlineStr">
        <is>
          <t>shuffled: 0 of 200</t>
        </is>
      </c>
      <c r="S137" t="inlineStr">
        <is>
          <t>shuffled: 32 of 200</t>
        </is>
      </c>
      <c r="T137" t="n">
        <v>0.1235982886691869</v>
      </c>
      <c r="U137" t="n">
        <v>0.1838226405096021</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0.2077442608211614</v>
      </c>
      <c r="AI137">
        <f>IF($Y137="worse","Yes",IF($Y137="worse, not significant","Not sure",IF(OR($Y137="too few losses to test",$Y137="too few loans to test"),"Too few losses",IF($Y137="","","No"))))</f>
        <v/>
      </c>
      <c r="AJ137">
        <f>IF($AA137="yes","Yes",IF($AA137="","","No"))</f>
        <v/>
      </c>
      <c r="AK137" t="n">
        <v>0.01036484245439469</v>
      </c>
      <c r="AL137" t="n">
        <v>0.06985046278521091</v>
      </c>
      <c r="AM137">
        <f>IF(AND(ISNUMBER($AC137),ISNUMBER(IF($V137,IF($AL137="","",$AL137),IF($AK137="","",$AK137)))),IF(AND(ABS($AC137-significance_bar)&lt;=2.0*IF($V137,IF($AL137="","",$AL137),IF($AK137="","",$AK137)),OR($Y137="worse",$Y137="better",$Y137="worse, not significant",$Y137="better, not significant",AND(profit_kind="test",$Y137="in line",ISNUMBER($AB137),$AB137&lt;&gt;0))),IF(ROUND($AC137,3)=ROUND(significance_bar,3),TEXT($AC137,"0.0000"),TEXT($AC137,"0.000")),""),"")</f>
        <v/>
      </c>
      <c r="AN137">
        <f>IF(AND(ISNUMBER($AC137),ISNUMBER(IF($V137,IF($AL137="","",$AL137),IF($AK137="","",$AK137)))),IF(AND(ABS($AC137-significance_bar)&lt;=2.0*IF($V137,IF($AL137="","",$AL137),IF($AK137="","",$AK137)),OR($Y137="worse",$Y137="worse, not significant",AND(profit_kind="test",$Y137="in line",ISNUMBER($AB137),$AB137&lt;0))),IF(ROUND($AC137,3)=ROUND(significance_bar,3),TEXT($AC137,"0.0000"),TEXT($AC137,"0.000")),""),"")</f>
        <v/>
      </c>
      <c r="AO137">
        <f>IF(OR($AI137="",$AN137=""),$AI137,$AI137&amp;" · borderline (p "&amp;$AN137&amp;")")</f>
        <v/>
      </c>
    </row>
    <row r="138">
      <c r="A138" t="inlineStr">
        <is>
          <t>grids</t>
        </is>
      </c>
      <c r="B138" t="inlineStr">
        <is>
          <t>FICO x ASSET_CLASS</t>
        </is>
      </c>
      <c r="C138" t="inlineStr">
        <is>
          <t>496 - 653</t>
        </is>
      </c>
      <c r="D138" t="inlineStr">
        <is>
          <t>1</t>
        </is>
      </c>
      <c r="E138" t="inlineStr">
        <is>
          <t>contribution_rate</t>
        </is>
      </c>
      <c r="F138" t="inlineStr">
        <is>
          <t>Contribution before losses per booked dollar</t>
        </is>
      </c>
      <c r="G138" t="n">
        <v>420</v>
      </c>
      <c r="H138" t="n">
        <v>13469152.5</v>
      </c>
      <c r="I138" t="b">
        <v>0</v>
      </c>
      <c r="J138" t="b">
        <v>0</v>
      </c>
      <c r="K138" t="n">
        <v>0.1178561500287326</v>
      </c>
      <c r="L138" t="n">
        <v>0.00777363184079602</v>
      </c>
      <c r="M138" t="n">
        <v>0.01044421725740091</v>
      </c>
      <c r="N138" t="n">
        <v>0.835820895522388</v>
      </c>
      <c r="O138" t="n">
        <v>-1587422.457799878</v>
      </c>
      <c r="P138" t="n">
        <v>-140674.7549830652</v>
      </c>
      <c r="Q138">
        <f>'_live'!$C$24</f>
        <v/>
      </c>
      <c r="R138" t="inlineStr">
        <is>
          <t>shuffled: 0 of 200</t>
        </is>
      </c>
      <c r="S138" t="inlineStr">
        <is>
          <t>shuffled: 55 of 200</t>
        </is>
      </c>
      <c r="T138" t="n">
        <v>0.1634403413429405</v>
      </c>
      <c r="U138" t="n">
        <v>0.2708522741142722</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0.2812964913716731</v>
      </c>
      <c r="AI138">
        <f>IF($Y138="worse","Yes",IF($Y138="worse, not significant","Not sure",IF(OR($Y138="too few losses to test",$Y138="too few loans to test"),"Too few losses",IF($Y138="","","No"))))</f>
        <v/>
      </c>
      <c r="AJ138">
        <f>IF($AA138="yes","Yes",IF($AA138="","","No"))</f>
        <v/>
      </c>
      <c r="AK138" t="n">
        <v>0.00777363184079602</v>
      </c>
      <c r="AL138" t="n">
        <v>0.09510168550491935</v>
      </c>
      <c r="AM138">
        <f>IF(AND(ISNUMBER($AC138),ISNUMBER(IF($V138,IF($AL138="","",$AL138),IF($AK138="","",$AK138)))),IF(AND(ABS($AC138-significance_bar)&lt;=2.0*IF($V138,IF($AL138="","",$AL138),IF($AK138="","",$AK138)),OR($Y138="worse",$Y138="better",$Y138="worse, not significant",$Y138="better, not significant",AND(profit_kind="test",$Y138="in line",ISNUMBER($AB138),$AB138&lt;&gt;0))),IF(ROUND($AC138,3)=ROUND(significance_bar,3),TEXT($AC138,"0.0000"),TEXT($AC138,"0.000")),""),"")</f>
        <v/>
      </c>
      <c r="AN138">
        <f>IF(AND(ISNUMBER($AC138),ISNUMBER(IF($V138,IF($AL138="","",$AL138),IF($AK138="","",$AK138)))),IF(AND(ABS($AC138-significance_bar)&lt;=2.0*IF($V138,IF($AL138="","",$AL138),IF($AK138="","",$AK138)),OR($Y138="worse",$Y138="worse, not significant",AND(profit_kind="test",$Y138="in line",ISNUMBER($AB138),$AB138&lt;0))),IF(ROUND($AC138,3)=ROUND(significance_bar,3),TEXT($AC138,"0.0000"),TEXT($AC138,"0.000")),""),"")</f>
        <v/>
      </c>
      <c r="AO138">
        <f>IF(OR($AI138="",$AN138=""),$AI138,$AI138&amp;" · borderline (p "&amp;$AN138&amp;")")</f>
        <v/>
      </c>
    </row>
    <row r="139">
      <c r="A139" t="inlineStr">
        <is>
          <t>grids</t>
        </is>
      </c>
      <c r="B139" t="inlineStr">
        <is>
          <t>FICO x ASSET_CLASS</t>
        </is>
      </c>
      <c r="C139" t="inlineStr">
        <is>
          <t>686 - 711</t>
        </is>
      </c>
      <c r="D139" t="inlineStr">
        <is>
          <t>1</t>
        </is>
      </c>
      <c r="E139" t="inlineStr">
        <is>
          <t>outcome_loans</t>
        </is>
      </c>
      <c r="F139" t="inlineStr">
        <is>
          <t>Outcome, share of loans</t>
        </is>
      </c>
      <c r="G139" t="n">
        <v>372</v>
      </c>
      <c r="H139" t="n">
        <v>372</v>
      </c>
      <c r="I139" t="b">
        <v>0</v>
      </c>
      <c r="J139" t="b">
        <v>0</v>
      </c>
      <c r="K139" t="n">
        <v>0.6845638788662107</v>
      </c>
      <c r="L139" t="n">
        <v>0.115411339383416</v>
      </c>
      <c r="M139" t="n">
        <v>0.8418222976796832</v>
      </c>
      <c r="N139" t="n">
        <v>0.7367430686845797</v>
      </c>
      <c r="O139" t="n">
        <v>-9.215681132817622</v>
      </c>
      <c r="P139" t="n">
        <v>-3.757983193277308</v>
      </c>
      <c r="Q139">
        <f>'_live'!$C$20</f>
        <v/>
      </c>
      <c r="R139" t="inlineStr">
        <is>
          <t>z test</t>
        </is>
      </c>
      <c r="S139" t="inlineStr">
        <is>
          <t>z test</t>
        </is>
      </c>
      <c r="T139" t="n">
        <v>0.07853677723875704</v>
      </c>
      <c r="U139" t="n">
        <v>0.06386554621848739</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0.05376344086021505</v>
      </c>
      <c r="AI139">
        <f>IF($Y139="worse","Yes",IF($Y139="worse, not significant","Not sure",IF(OR($Y139="too few losses to test",$Y139="too few loans to test"),"Too few losses",IF($Y139="","","No"))))</f>
        <v/>
      </c>
      <c r="AJ139">
        <f>IF($AA139="yes","Yes",IF($AA139="","","No"))</f>
        <v/>
      </c>
      <c r="AM139">
        <f>IF(AND(ISNUMBER($AC139),ISNUMBER(IF($V139,IF($AL139="","",$AL139),IF($AK139="","",$AK139)))),IF(AND(ABS($AC139-significance_bar)&lt;=2.0*IF($V139,IF($AL139="","",$AL139),IF($AK139="","",$AK139)),OR($Y139="worse",$Y139="better",$Y139="worse, not significant",$Y139="better, not significant")),IF(ROUND($AC139,3)=ROUND(significance_bar,3),TEXT($AC139,"0.0000"),TEXT($AC139,"0.000")),""),"")</f>
        <v/>
      </c>
      <c r="AN139">
        <f>IF(AND(ISNUMBER($AC139),ISNUMBER(IF($V139,IF($AL139="","",$AL139),IF($AK139="","",$AK139)))),IF(AND(ABS($AC139-significance_bar)&lt;=2.0*IF($V139,IF($AL139="","",$AL139),IF($AK139="","",$AK139)),OR($Y139="worse",$Y139="worse, not significant")),IF(ROUND($AC139,3)=ROUND(significance_bar,3),TEXT($AC139,"0.0000"),TEXT($AC139,"0.000")),""),"")</f>
        <v/>
      </c>
      <c r="AO139">
        <f>IF(OR($AI139="",$AN139=""),$AI139,$AI139&amp;" · borderline (p "&amp;$AN139&amp;")")</f>
        <v/>
      </c>
    </row>
    <row r="140">
      <c r="A140" t="inlineStr">
        <is>
          <t>grids</t>
        </is>
      </c>
      <c r="B140" t="inlineStr">
        <is>
          <t>FICO x ASSET_CLASS</t>
        </is>
      </c>
      <c r="C140" t="inlineStr">
        <is>
          <t>686 - 711</t>
        </is>
      </c>
      <c r="D140" t="inlineStr">
        <is>
          <t>1</t>
        </is>
      </c>
      <c r="E140" t="inlineStr">
        <is>
          <t>outcome_booked</t>
        </is>
      </c>
      <c r="F140" t="inlineStr">
        <is>
          <t>Outcome, share of booked dollars</t>
        </is>
      </c>
      <c r="G140" t="n">
        <v>372</v>
      </c>
      <c r="H140" t="n">
        <v>11800012.44000001</v>
      </c>
      <c r="I140" t="b">
        <v>0</v>
      </c>
      <c r="J140" t="b">
        <v>0</v>
      </c>
      <c r="K140" t="n">
        <v>0.8006861808732353</v>
      </c>
      <c r="L140" t="n">
        <v>0.3781094527363184</v>
      </c>
      <c r="M140" t="n">
        <v>1.084039607321751</v>
      </c>
      <c r="N140" t="n">
        <v>0.7711442786069652</v>
      </c>
      <c r="O140" t="n">
        <v>-177609.3045080219</v>
      </c>
      <c r="P140" t="n">
        <v>55313.29117648012</v>
      </c>
      <c r="Q140">
        <f>'_live'!$C$21</f>
        <v/>
      </c>
      <c r="R140" t="inlineStr">
        <is>
          <t>shuffled: 56 of 200</t>
        </is>
      </c>
      <c r="S140" t="inlineStr">
        <is>
          <t>shuffled: 148 of 200</t>
        </is>
      </c>
      <c r="T140" t="n">
        <v>0.07551719280289344</v>
      </c>
      <c r="U140" t="n">
        <v>0.05577801058856505</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0.06046557269561652</v>
      </c>
      <c r="AI140">
        <f>IF($Y140="worse","Yes",IF($Y140="worse, not significant","Not sure",IF(OR($Y140="too few losses to test",$Y140="too few loans to test"),"Too few losses",IF($Y140="","","No"))))</f>
        <v/>
      </c>
      <c r="AJ140">
        <f>IF($AA140="yes","Yes",IF($AA140="","","No"))</f>
        <v/>
      </c>
      <c r="AK140" t="n">
        <v>0.0424958338389306</v>
      </c>
      <c r="AL140" t="n">
        <v>0.02970528405677249</v>
      </c>
      <c r="AM140">
        <f>IF(AND(ISNUMBER($AC140),ISNUMBER(IF($V140,IF($AL140="","",$AL140),IF($AK140="","",$AK140)))),IF(AND(ABS($AC140-significance_bar)&lt;=2.0*IF($V140,IF($AL140="","",$AL140),IF($AK140="","",$AK140)),OR($Y140="worse",$Y140="better",$Y140="worse, not significant",$Y140="better, not significant")),IF(ROUND($AC140,3)=ROUND(significance_bar,3),TEXT($AC140,"0.0000"),TEXT($AC140,"0.000")),""),"")</f>
        <v/>
      </c>
      <c r="AN140">
        <f>IF(AND(ISNUMBER($AC140),ISNUMBER(IF($V140,IF($AL140="","",$AL140),IF($AK140="","",$AK140)))),IF(AND(ABS($AC140-significance_bar)&lt;=2.0*IF($V140,IF($AL140="","",$AL140),IF($AK140="","",$AK140)),OR($Y140="worse",$Y140="worse, not significant")),IF(ROUND($AC140,3)=ROUND(significance_bar,3),TEXT($AC140,"0.0000"),TEXT($AC140,"0.000")),""),"")</f>
        <v/>
      </c>
      <c r="AO140">
        <f>IF(OR($AI140="",$AN140=""),$AI140,$AI140&amp;" · borderline (p "&amp;$AN140&amp;")")</f>
        <v/>
      </c>
    </row>
    <row r="141">
      <c r="A141" t="inlineStr">
        <is>
          <t>grids</t>
        </is>
      </c>
      <c r="B141" t="inlineStr">
        <is>
          <t>FICO x ASSET_CLASS</t>
        </is>
      </c>
      <c r="C141" t="inlineStr">
        <is>
          <t>686 - 711</t>
        </is>
      </c>
      <c r="D141" t="inlineStr">
        <is>
          <t>1</t>
        </is>
      </c>
      <c r="E141" t="inlineStr">
        <is>
          <t>gco_rate</t>
        </is>
      </c>
      <c r="F141" t="inlineStr">
        <is>
          <t>GCO per booked dollar</t>
        </is>
      </c>
      <c r="G141" t="n">
        <v>372</v>
      </c>
      <c r="H141" t="n">
        <v>11800012.44000001</v>
      </c>
      <c r="I141" t="b">
        <v>0</v>
      </c>
      <c r="J141" t="b">
        <v>0</v>
      </c>
      <c r="K141" t="n">
        <v>0.8345231535447545</v>
      </c>
      <c r="L141" t="n">
        <v>0.4532891100055279</v>
      </c>
      <c r="M141" t="n">
        <v>1.148158152115248</v>
      </c>
      <c r="N141" t="n">
        <v>0.7491952004682469</v>
      </c>
      <c r="O141" t="n">
        <v>-81859.10886329331</v>
      </c>
      <c r="P141" t="n">
        <v>53271.14189074957</v>
      </c>
      <c r="Q141">
        <f>'_live'!$C$22</f>
        <v/>
      </c>
      <c r="R141" t="inlineStr">
        <is>
          <t>shuffled: 81 of 200</t>
        </is>
      </c>
      <c r="S141" t="inlineStr">
        <is>
          <t>shuffled: 117 of 200</t>
        </is>
      </c>
      <c r="T141" t="n">
        <v>0.04192251333451077</v>
      </c>
      <c r="U141" t="n">
        <v>0.03047080924172739</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0.03498530803243795</v>
      </c>
      <c r="AI141">
        <f>IF($Y141="worse","Yes",IF($Y141="worse, not significant","Not sure",IF(OR($Y141="too few losses to test",$Y141="too few loans to test"),"Too few losses",IF($Y141="","","No"))))</f>
        <v/>
      </c>
      <c r="AJ141">
        <f>IF($AA141="yes","Yes",IF($AA141="","","No"))</f>
        <v/>
      </c>
      <c r="AK141" t="n">
        <v>0.03861240405771216</v>
      </c>
      <c r="AL141" t="n">
        <v>0.04000704124234138</v>
      </c>
      <c r="AM141">
        <f>IF(AND(ISNUMBER($AC141),ISNUMBER(IF($V141,IF($AL141="","",$AL141),IF($AK141="","",$AK141)))),IF(AND(ABS($AC141-significance_bar)&lt;=2.0*IF($V141,IF($AL141="","",$AL141),IF($AK141="","",$AK141)),OR($Y141="worse",$Y141="better",$Y141="worse, not significant",$Y141="better, not significant")),IF(ROUND($AC141,3)=ROUND(significance_bar,3),TEXT($AC141,"0.0000"),TEXT($AC141,"0.000")),""),"")</f>
        <v/>
      </c>
      <c r="AN141">
        <f>IF(AND(ISNUMBER($AC141),ISNUMBER(IF($V141,IF($AL141="","",$AL141),IF($AK141="","",$AK141)))),IF(AND(ABS($AC141-significance_bar)&lt;=2.0*IF($V141,IF($AL141="","",$AL141),IF($AK141="","",$AK141)),OR($Y141="worse",$Y141="worse, not significant")),IF(ROUND($AC141,3)=ROUND(significance_bar,3),TEXT($AC141,"0.0000"),TEXT($AC141,"0.000")),""),"")</f>
        <v/>
      </c>
      <c r="AO141">
        <f>IF(OR($AI141="",$AN141=""),$AI141,$AI141&amp;" · borderline (p "&amp;$AN141&amp;")")</f>
        <v/>
      </c>
    </row>
    <row r="142">
      <c r="A142" t="inlineStr">
        <is>
          <t>grids</t>
        </is>
      </c>
      <c r="B142" t="inlineStr">
        <is>
          <t>FICO x ASSET_CLASS</t>
        </is>
      </c>
      <c r="C142" t="inlineStr">
        <is>
          <t>686 - 711</t>
        </is>
      </c>
      <c r="D142" t="inlineStr">
        <is>
          <t>1</t>
        </is>
      </c>
      <c r="E142" t="inlineStr">
        <is>
          <t>ranr_rate</t>
        </is>
      </c>
      <c r="F142" t="inlineStr">
        <is>
          <t>Profit after losses: RANR per booked dollar</t>
        </is>
      </c>
      <c r="G142" t="n">
        <v>372</v>
      </c>
      <c r="H142" t="n">
        <v>11800012.44000001</v>
      </c>
      <c r="I142" t="b">
        <v>0</v>
      </c>
      <c r="J142" t="b">
        <v>0</v>
      </c>
      <c r="K142" t="n">
        <v>0.01203494951113621</v>
      </c>
      <c r="L142" t="n">
        <v>0.2425373134328358</v>
      </c>
      <c r="M142" t="n">
        <v>-0.003178874124782405</v>
      </c>
      <c r="N142" t="n">
        <v>0.9426551453260017</v>
      </c>
      <c r="O142" t="n">
        <v>-142012.5539461793</v>
      </c>
      <c r="P142" t="n">
        <v>37510.75421762653</v>
      </c>
      <c r="Q142">
        <f>'_live'!$C$23</f>
        <v/>
      </c>
      <c r="R142" t="inlineStr">
        <is>
          <t>shuffled: 37 of 200</t>
        </is>
      </c>
      <c r="S142" t="inlineStr">
        <is>
          <t>shuffled: 149 of 200</t>
        </is>
      </c>
      <c r="T142" t="n">
        <v>0.1274397593816284</v>
      </c>
      <c r="U142" t="n">
        <v>0.142653583017547</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0.1394747088927646</v>
      </c>
      <c r="AI142">
        <f>IF($Y142="worse","Yes",IF($Y142="worse, not significant","Not sure",IF(OR($Y142="too few losses to test",$Y142="too few loans to test"),"Too few losses",IF($Y142="","","No"))))</f>
        <v/>
      </c>
      <c r="AJ142">
        <f>IF($AA142="yes","Yes",IF($AA142="","","No"))</f>
        <v/>
      </c>
      <c r="AK142" t="n">
        <v>0.03495334700596119</v>
      </c>
      <c r="AL142" t="n">
        <v>0.0388666673271107</v>
      </c>
      <c r="AM142">
        <f>IF(AND(ISNUMBER($AC142),ISNUMBER(IF($V142,IF($AL142="","",$AL142),IF($AK142="","",$AK142)))),IF(AND(ABS($AC142-significance_bar)&lt;=2.0*IF($V142,IF($AL142="","",$AL142),IF($AK142="","",$AK142)),OR($Y142="worse",$Y142="better",$Y142="worse, not significant",$Y142="better, not significant",AND(profit_kind="test",$Y142="in line",ISNUMBER($AB142),$AB142&lt;&gt;0))),IF(ROUND($AC142,3)=ROUND(significance_bar,3),TEXT($AC142,"0.0000"),TEXT($AC142,"0.000")),""),"")</f>
        <v/>
      </c>
      <c r="AN142">
        <f>IF(AND(ISNUMBER($AC142),ISNUMBER(IF($V142,IF($AL142="","",$AL142),IF($AK142="","",$AK142)))),IF(AND(ABS($AC142-significance_bar)&lt;=2.0*IF($V142,IF($AL142="","",$AL142),IF($AK142="","",$AK142)),OR($Y142="worse",$Y142="worse, not significant",AND(profit_kind="test",$Y142="in line",ISNUMBER($AB142),$AB142&lt;0))),IF(ROUND($AC142,3)=ROUND(significance_bar,3),TEXT($AC142,"0.0000"),TEXT($AC142,"0.000")),""),"")</f>
        <v/>
      </c>
      <c r="AO142">
        <f>IF(OR($AI142="",$AN142=""),$AI142,$AI142&amp;" · borderline (p "&amp;$AN142&amp;")")</f>
        <v/>
      </c>
    </row>
    <row r="143">
      <c r="A143" t="inlineStr">
        <is>
          <t>grids</t>
        </is>
      </c>
      <c r="B143" t="inlineStr">
        <is>
          <t>FICO x ASSET_CLASS</t>
        </is>
      </c>
      <c r="C143" t="inlineStr">
        <is>
          <t>686 - 711</t>
        </is>
      </c>
      <c r="D143" t="inlineStr">
        <is>
          <t>1</t>
        </is>
      </c>
      <c r="E143" t="inlineStr">
        <is>
          <t>contribution_rate</t>
        </is>
      </c>
      <c r="F143" t="inlineStr">
        <is>
          <t>Contribution before losses per booked dollar</t>
        </is>
      </c>
      <c r="G143" t="n">
        <v>372</v>
      </c>
      <c r="H143" t="n">
        <v>11800012.44000001</v>
      </c>
      <c r="I143" t="b">
        <v>0</v>
      </c>
      <c r="J143" t="b">
        <v>0</v>
      </c>
      <c r="K143" t="n">
        <v>0.00510082916885074</v>
      </c>
      <c r="L143" t="n">
        <v>0.6022518984027233</v>
      </c>
      <c r="M143" t="n">
        <v>0.001335624665928209</v>
      </c>
      <c r="N143" t="n">
        <v>0.9203980099502488</v>
      </c>
      <c r="O143" t="n">
        <v>-60189.84764675354</v>
      </c>
      <c r="P143" t="n">
        <v>-15760.38767312374</v>
      </c>
      <c r="Q143">
        <f>'_live'!$C$24</f>
        <v/>
      </c>
      <c r="R143" t="inlineStr">
        <is>
          <t>shuffled: 91 of 200</t>
        </is>
      </c>
      <c r="S143" t="inlineStr">
        <is>
          <t>shuffled: 165 of 200</t>
        </is>
      </c>
      <c r="T143" t="n">
        <v>0.1693591877563518</v>
      </c>
      <c r="U143" t="n">
        <v>0.1731243922592743</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0.1744600169252025</v>
      </c>
      <c r="AI143">
        <f>IF($Y143="worse","Yes",IF($Y143="worse, not significant","Not sure",IF(OR($Y143="too few losses to test",$Y143="too few loans to test"),"Too few losses",IF($Y143="","","No"))))</f>
        <v/>
      </c>
      <c r="AJ143">
        <f>IF($AA143="yes","Yes",IF($AA143="","","No"))</f>
        <v/>
      </c>
      <c r="AK143" t="n">
        <v>0.04635349821183682</v>
      </c>
      <c r="AL143" t="n">
        <v>0.01913968563350382</v>
      </c>
      <c r="AM143">
        <f>IF(AND(ISNUMBER($AC143),ISNUMBER(IF($V143,IF($AL143="","",$AL143),IF($AK143="","",$AK143)))),IF(AND(ABS($AC143-significance_bar)&lt;=2.0*IF($V143,IF($AL143="","",$AL143),IF($AK143="","",$AK143)),OR($Y143="worse",$Y143="better",$Y143="worse, not significant",$Y143="better, not significant",AND(profit_kind="test",$Y143="in line",ISNUMBER($AB143),$AB143&lt;&gt;0))),IF(ROUND($AC143,3)=ROUND(significance_bar,3),TEXT($AC143,"0.0000"),TEXT($AC143,"0.000")),""),"")</f>
        <v/>
      </c>
      <c r="AN143">
        <f>IF(AND(ISNUMBER($AC143),ISNUMBER(IF($V143,IF($AL143="","",$AL143),IF($AK143="","",$AK143)))),IF(AND(ABS($AC143-significance_bar)&lt;=2.0*IF($V143,IF($AL143="","",$AL143),IF($AK143="","",$AK143)),OR($Y143="worse",$Y143="worse, not significant",AND(profit_kind="test",$Y143="in line",ISNUMBER($AB143),$AB143&lt;0))),IF(ROUND($AC143,3)=ROUND(significance_bar,3),TEXT($AC143,"0.0000"),TEXT($AC143,"0.000")),""),"")</f>
        <v/>
      </c>
      <c r="AO143">
        <f>IF(OR($AI143="",$AN143=""),$AI143,$AI143&amp;" · borderline (p "&amp;$AN143&amp;")")</f>
        <v/>
      </c>
    </row>
    <row r="144">
      <c r="A144" t="inlineStr">
        <is>
          <t>grids</t>
        </is>
      </c>
      <c r="B144" t="inlineStr">
        <is>
          <t>FICO x ASSET_CLASS</t>
        </is>
      </c>
      <c r="C144" t="inlineStr">
        <is>
          <t>746 - 921</t>
        </is>
      </c>
      <c r="D144" t="inlineStr">
        <is>
          <t>1</t>
        </is>
      </c>
      <c r="E144" t="inlineStr">
        <is>
          <t>outcome_loans</t>
        </is>
      </c>
      <c r="F144" t="inlineStr">
        <is>
          <t>Outcome, share of loans</t>
        </is>
      </c>
      <c r="G144" t="n">
        <v>414</v>
      </c>
      <c r="H144" t="n">
        <v>414</v>
      </c>
      <c r="I144" t="b">
        <v>0</v>
      </c>
      <c r="J144" t="b">
        <v>0</v>
      </c>
      <c r="K144" t="n">
        <v>0.4549980804299837</v>
      </c>
      <c r="L144" t="n">
        <v>0.006451781568588539</v>
      </c>
      <c r="M144" t="n">
        <v>0.8919210607462227</v>
      </c>
      <c r="N144" t="n">
        <v>0.925021290843974</v>
      </c>
      <c r="O144" t="n">
        <v>-17.96717205009888</v>
      </c>
      <c r="P144" t="n">
        <v>-1.817631806395852</v>
      </c>
      <c r="Q144">
        <f>'_live'!$C$20</f>
        <v/>
      </c>
      <c r="R144" t="inlineStr">
        <is>
          <t>z test</t>
        </is>
      </c>
      <c r="S144" t="inlineStr">
        <is>
          <t>z test</t>
        </is>
      </c>
      <c r="T144" t="n">
        <v>0.07963085036255768</v>
      </c>
      <c r="U144" t="n">
        <v>0.04062229904926534</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0.03623188405797102</v>
      </c>
      <c r="AI144">
        <f>IF($Y144="worse","Yes",IF($Y144="worse, not significant","Not sure",IF(OR($Y144="too few losses to test",$Y144="too few loans to test"),"Too few losses",IF($Y144="","","No"))))</f>
        <v/>
      </c>
      <c r="AJ144">
        <f>IF($AA144="yes","Yes",IF($AA144="","","No"))</f>
        <v/>
      </c>
      <c r="AM144">
        <f>IF(AND(ISNUMBER($AC144),ISNUMBER(IF($V144,IF($AL144="","",$AL144),IF($AK144="","",$AK144)))),IF(AND(ABS($AC144-significance_bar)&lt;=2.0*IF($V144,IF($AL144="","",$AL144),IF($AK144="","",$AK144)),OR($Y144="worse",$Y144="better",$Y144="worse, not significant",$Y144="better, not significant")),IF(ROUND($AC144,3)=ROUND(significance_bar,3),TEXT($AC144,"0.0000"),TEXT($AC144,"0.000")),""),"")</f>
        <v/>
      </c>
      <c r="AN144">
        <f>IF(AND(ISNUMBER($AC144),ISNUMBER(IF($V144,IF($AL144="","",$AL144),IF($AK144="","",$AK144)))),IF(AND(ABS($AC144-significance_bar)&lt;=2.0*IF($V144,IF($AL144="","",$AL144),IF($AK144="","",$AK144)),OR($Y144="worse",$Y144="worse, not significant")),IF(ROUND($AC144,3)=ROUND(significance_bar,3),TEXT($AC144,"0.0000"),TEXT($AC144,"0.000")),""),"")</f>
        <v/>
      </c>
      <c r="AO144">
        <f>IF(OR($AI144="",$AN144=""),$AI144,$AI144&amp;" · borderline (p "&amp;$AN144&amp;")")</f>
        <v/>
      </c>
    </row>
    <row r="145">
      <c r="A145" t="inlineStr">
        <is>
          <t>grids</t>
        </is>
      </c>
      <c r="B145" t="inlineStr">
        <is>
          <t>FICO x ASSET_CLASS</t>
        </is>
      </c>
      <c r="C145" t="inlineStr">
        <is>
          <t>746 - 921</t>
        </is>
      </c>
      <c r="D145" t="inlineStr">
        <is>
          <t>1</t>
        </is>
      </c>
      <c r="E145" t="inlineStr">
        <is>
          <t>outcome_booked</t>
        </is>
      </c>
      <c r="F145" t="inlineStr">
        <is>
          <t>Outcome, share of booked dollars</t>
        </is>
      </c>
      <c r="G145" t="n">
        <v>414</v>
      </c>
      <c r="H145" t="n">
        <v>13339013.86</v>
      </c>
      <c r="I145" t="b">
        <v>0</v>
      </c>
      <c r="J145" t="b">
        <v>0</v>
      </c>
      <c r="K145" t="n">
        <v>0.4372518412511364</v>
      </c>
      <c r="L145" t="n">
        <v>0.03316749585406301</v>
      </c>
      <c r="M145" t="n">
        <v>0.8879293490733464</v>
      </c>
      <c r="N145" t="n">
        <v>0.7711442786069652</v>
      </c>
      <c r="O145" t="n">
        <v>-578533.6881082176</v>
      </c>
      <c r="P145" t="n">
        <v>-56736.12889610685</v>
      </c>
      <c r="Q145">
        <f>'_live'!$C$21</f>
        <v/>
      </c>
      <c r="R145" t="inlineStr">
        <is>
          <t>shuffled: 1 of 200</t>
        </is>
      </c>
      <c r="S145" t="inlineStr">
        <is>
          <t>shuffled: 145 of 200</t>
        </is>
      </c>
      <c r="T145" t="n">
        <v>0.07707097382896168</v>
      </c>
      <c r="U145" t="n">
        <v>0.03795282276557337</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0.03369942521373164</v>
      </c>
      <c r="AI145">
        <f>IF($Y145="worse","Yes",IF($Y145="worse, not significant","Not sure",IF(OR($Y145="too few losses to test",$Y145="too few loans to test"),"Too few losses",IF($Y145="","","No"))))</f>
        <v/>
      </c>
      <c r="AJ145">
        <f>IF($AA145="yes","Yes",IF($AA145="","","No"))</f>
        <v/>
      </c>
      <c r="AK145" t="n">
        <v>0.01905327577624553</v>
      </c>
      <c r="AL145" t="n">
        <v>0.02970528405677249</v>
      </c>
      <c r="AM145">
        <f>IF(AND(ISNUMBER($AC145),ISNUMBER(IF($V145,IF($AL145="","",$AL145),IF($AK145="","",$AK145)))),IF(AND(ABS($AC145-significance_bar)&lt;=2.0*IF($V145,IF($AL145="","",$AL145),IF($AK145="","",$AK145)),OR($Y145="worse",$Y145="better",$Y145="worse, not significant",$Y145="better, not significant")),IF(ROUND($AC145,3)=ROUND(significance_bar,3),TEXT($AC145,"0.0000"),TEXT($AC145,"0.000")),""),"")</f>
        <v/>
      </c>
      <c r="AN145">
        <f>IF(AND(ISNUMBER($AC145),ISNUMBER(IF($V145,IF($AL145="","",$AL145),IF($AK145="","",$AK145)))),IF(AND(ABS($AC145-significance_bar)&lt;=2.0*IF($V145,IF($AL145="","",$AL145),IF($AK145="","",$AK145)),OR($Y145="worse",$Y145="worse, not significant")),IF(ROUND($AC145,3)=ROUND(significance_bar,3),TEXT($AC145,"0.0000"),TEXT($AC145,"0.000")),""),"")</f>
        <v/>
      </c>
      <c r="AO145">
        <f>IF(OR($AI145="",$AN145=""),$AI145,$AI145&amp;" · borderline (p "&amp;$AN145&amp;")")</f>
        <v/>
      </c>
    </row>
    <row r="146">
      <c r="A146" t="inlineStr">
        <is>
          <t>grids</t>
        </is>
      </c>
      <c r="B146" t="inlineStr">
        <is>
          <t>FICO x ASSET_CLASS</t>
        </is>
      </c>
      <c r="C146" t="inlineStr">
        <is>
          <t>746 - 921</t>
        </is>
      </c>
      <c r="D146" t="inlineStr">
        <is>
          <t>1</t>
        </is>
      </c>
      <c r="E146" t="inlineStr">
        <is>
          <t>gco_rate</t>
        </is>
      </c>
      <c r="F146" t="inlineStr">
        <is>
          <t>GCO per booked dollar</t>
        </is>
      </c>
      <c r="G146" t="n">
        <v>414</v>
      </c>
      <c r="H146" t="n">
        <v>13339013.86</v>
      </c>
      <c r="I146" t="b">
        <v>0</v>
      </c>
      <c r="J146" t="b">
        <v>0</v>
      </c>
      <c r="K146" t="n">
        <v>0.4307147445840852</v>
      </c>
      <c r="L146" t="n">
        <v>0.03980099502487562</v>
      </c>
      <c r="M146" t="n">
        <v>0.9349815094307363</v>
      </c>
      <c r="N146" t="n">
        <v>0.8457711442786071</v>
      </c>
      <c r="O146" t="n">
        <v>-325517.9554308769</v>
      </c>
      <c r="P146" t="n">
        <v>-17126.49978067243</v>
      </c>
      <c r="Q146">
        <f>'_live'!$C$22</f>
        <v/>
      </c>
      <c r="R146" t="inlineStr">
        <is>
          <t>shuffled: 1 of 200</t>
        </is>
      </c>
      <c r="S146" t="inlineStr">
        <is>
          <t>shuffled: 169 of 200</t>
        </is>
      </c>
      <c r="T146" t="n">
        <v>0.04286682219782</v>
      </c>
      <c r="U146" t="n">
        <v>0.01974731284825821</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0.01846337237406543</v>
      </c>
      <c r="AI146">
        <f>IF($Y146="worse","Yes",IF($Y146="worse, not significant","Not sure",IF(OR($Y146="too few losses to test",$Y146="too few loans to test"),"Too few losses",IF($Y146="","","No"))))</f>
        <v/>
      </c>
      <c r="AJ146">
        <f>IF($AA146="yes","Yes",IF($AA146="","","No"))</f>
        <v/>
      </c>
      <c r="AK146" t="n">
        <v>0.02807310642719579</v>
      </c>
      <c r="AL146" t="n">
        <v>0.0255384333685783</v>
      </c>
      <c r="AM146">
        <f>IF(AND(ISNUMBER($AC146),ISNUMBER(IF($V146,IF($AL146="","",$AL146),IF($AK146="","",$AK146)))),IF(AND(ABS($AC146-significance_bar)&lt;=2.0*IF($V146,IF($AL146="","",$AL146),IF($AK146="","",$AK146)),OR($Y146="worse",$Y146="better",$Y146="worse, not significant",$Y146="better, not significant")),IF(ROUND($AC146,3)=ROUND(significance_bar,3),TEXT($AC146,"0.0000"),TEXT($AC146,"0.000")),""),"")</f>
        <v/>
      </c>
      <c r="AN146">
        <f>IF(AND(ISNUMBER($AC146),ISNUMBER(IF($V146,IF($AL146="","",$AL146),IF($AK146="","",$AK146)))),IF(AND(ABS($AC146-significance_bar)&lt;=2.0*IF($V146,IF($AL146="","",$AL146),IF($AK146="","",$AK146)),OR($Y146="worse",$Y146="worse, not significant")),IF(ROUND($AC146,3)=ROUND(significance_bar,3),TEXT($AC146,"0.0000"),TEXT($AC146,"0.000")),""),"")</f>
        <v/>
      </c>
      <c r="AO146">
        <f>IF(OR($AI146="",$AN146=""),$AI146,$AI146&amp;" · borderline (p "&amp;$AN146&amp;")")</f>
        <v/>
      </c>
    </row>
    <row r="147">
      <c r="A147" t="inlineStr">
        <is>
          <t>grids</t>
        </is>
      </c>
      <c r="B147" t="inlineStr">
        <is>
          <t>FICO x ASSET_CLASS</t>
        </is>
      </c>
      <c r="C147" t="inlineStr">
        <is>
          <t>746 - 921</t>
        </is>
      </c>
      <c r="D147" t="inlineStr">
        <is>
          <t>1</t>
        </is>
      </c>
      <c r="E147" t="inlineStr">
        <is>
          <t>ranr_rate</t>
        </is>
      </c>
      <c r="F147" t="inlineStr">
        <is>
          <t>Profit after losses: RANR per booked dollar</t>
        </is>
      </c>
      <c r="G147" t="n">
        <v>414</v>
      </c>
      <c r="H147" t="n">
        <v>13339013.86</v>
      </c>
      <c r="I147" t="b">
        <v>0</v>
      </c>
      <c r="J147" t="b">
        <v>0</v>
      </c>
      <c r="K147" t="n">
        <v>-0.08335923990146298</v>
      </c>
      <c r="L147" t="n">
        <v>0.01036484245439469</v>
      </c>
      <c r="M147" t="n">
        <v>0.002983788659078383</v>
      </c>
      <c r="N147" t="n">
        <v>0.9426551453260017</v>
      </c>
      <c r="O147" t="n">
        <v>1111930.05640468</v>
      </c>
      <c r="P147" t="n">
        <v>-39800.79827875737</v>
      </c>
      <c r="Q147">
        <f>'_live'!$C$23</f>
        <v/>
      </c>
      <c r="R147" t="inlineStr">
        <is>
          <t>shuffled: 0 of 200</t>
        </is>
      </c>
      <c r="S147" t="inlineStr">
        <is>
          <t>shuffled: 140 of 200</t>
        </is>
      </c>
      <c r="T147" t="n">
        <v>0.1322987130028126</v>
      </c>
      <c r="U147" t="n">
        <v>0.04595568444227126</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0.04893947310134965</v>
      </c>
      <c r="AI147">
        <f>IF($Y147="worse","Yes",IF($Y147="worse, not significant","Not sure",IF(OR($Y147="too few losses to test",$Y147="too few loans to test"),"Too few losses",IF($Y147="","","No"))))</f>
        <v/>
      </c>
      <c r="AJ147">
        <f>IF($AA147="yes","Yes",IF($AA147="","","No"))</f>
        <v/>
      </c>
      <c r="AK147" t="n">
        <v>0.01036484245439469</v>
      </c>
      <c r="AL147" t="n">
        <v>0.0388666673271107</v>
      </c>
      <c r="AM147">
        <f>IF(AND(ISNUMBER($AC147),ISNUMBER(IF($V147,IF($AL147="","",$AL147),IF($AK147="","",$AK147)))),IF(AND(ABS($AC147-significance_bar)&lt;=2.0*IF($V147,IF($AL147="","",$AL147),IF($AK147="","",$AK147)),OR($Y147="worse",$Y147="better",$Y147="worse, not significant",$Y147="better, not significant",AND(profit_kind="test",$Y147="in line",ISNUMBER($AB147),$AB147&lt;&gt;0))),IF(ROUND($AC147,3)=ROUND(significance_bar,3),TEXT($AC147,"0.0000"),TEXT($AC147,"0.000")),""),"")</f>
        <v/>
      </c>
      <c r="AN147">
        <f>IF(AND(ISNUMBER($AC147),ISNUMBER(IF($V147,IF($AL147="","",$AL147),IF($AK147="","",$AK147)))),IF(AND(ABS($AC147-significance_bar)&lt;=2.0*IF($V147,IF($AL147="","",$AL147),IF($AK147="","",$AK147)),OR($Y147="worse",$Y147="worse, not significant",AND(profit_kind="test",$Y147="in line",ISNUMBER($AB147),$AB147&lt;0))),IF(ROUND($AC147,3)=ROUND(significance_bar,3),TEXT($AC147,"0.0000"),TEXT($AC147,"0.000")),""),"")</f>
        <v/>
      </c>
      <c r="AO147">
        <f>IF(OR($AI147="",$AN147=""),$AI147,$AI147&amp;" · borderline (p "&amp;$AN147&amp;")")</f>
        <v/>
      </c>
    </row>
    <row r="148">
      <c r="A148" t="inlineStr">
        <is>
          <t>grids</t>
        </is>
      </c>
      <c r="B148" t="inlineStr">
        <is>
          <t>FICO x ASSET_CLASS</t>
        </is>
      </c>
      <c r="C148" t="inlineStr">
        <is>
          <t>746 - 921</t>
        </is>
      </c>
      <c r="D148" t="inlineStr">
        <is>
          <t>1</t>
        </is>
      </c>
      <c r="E148" t="inlineStr">
        <is>
          <t>contribution_rate</t>
        </is>
      </c>
      <c r="F148" t="inlineStr">
        <is>
          <t>Contribution before losses per booked dollar</t>
        </is>
      </c>
      <c r="G148" t="n">
        <v>414</v>
      </c>
      <c r="H148" t="n">
        <v>13339013.86</v>
      </c>
      <c r="I148" t="b">
        <v>0</v>
      </c>
      <c r="J148" t="b">
        <v>0</v>
      </c>
      <c r="K148" t="n">
        <v>-0.1077603734001976</v>
      </c>
      <c r="L148" t="n">
        <v>0.00777363184079602</v>
      </c>
      <c r="M148" t="n">
        <v>0.001699848184885638</v>
      </c>
      <c r="N148" t="n">
        <v>0.9203980099502488</v>
      </c>
      <c r="O148" t="n">
        <v>1437417.114344012</v>
      </c>
      <c r="P148" t="n">
        <v>-22674.29849808535</v>
      </c>
      <c r="Q148">
        <f>'_live'!$C$24</f>
        <v/>
      </c>
      <c r="R148" t="inlineStr">
        <is>
          <t>shuffled: 0 of 200</t>
        </is>
      </c>
      <c r="S148" t="inlineStr">
        <is>
          <t>shuffled: 72 of 200</t>
        </is>
      </c>
      <c r="T148" t="n">
        <v>0.1751632188756128</v>
      </c>
      <c r="U148" t="n">
        <v>0.06570299729052947</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0.06740284547541511</v>
      </c>
      <c r="AI148">
        <f>IF($Y148="worse","Yes",IF($Y148="worse, not significant","Not sure",IF(OR($Y148="too few losses to test",$Y148="too few loans to test"),"Too few losses",IF($Y148="","","No"))))</f>
        <v/>
      </c>
      <c r="AJ148">
        <f>IF($AA148="yes","Yes",IF($AA148="","","No"))</f>
        <v/>
      </c>
      <c r="AK148" t="n">
        <v>0.00777363184079602</v>
      </c>
      <c r="AL148" t="n">
        <v>0.01913968563350382</v>
      </c>
      <c r="AM148">
        <f>IF(AND(ISNUMBER($AC148),ISNUMBER(IF($V148,IF($AL148="","",$AL148),IF($AK148="","",$AK148)))),IF(AND(ABS($AC148-significance_bar)&lt;=2.0*IF($V148,IF($AL148="","",$AL148),IF($AK148="","",$AK148)),OR($Y148="worse",$Y148="better",$Y148="worse, not significant",$Y148="better, not significant",AND(profit_kind="test",$Y148="in line",ISNUMBER($AB148),$AB148&lt;&gt;0))),IF(ROUND($AC148,3)=ROUND(significance_bar,3),TEXT($AC148,"0.0000"),TEXT($AC148,"0.000")),""),"")</f>
        <v/>
      </c>
      <c r="AN148">
        <f>IF(AND(ISNUMBER($AC148),ISNUMBER(IF($V148,IF($AL148="","",$AL148),IF($AK148="","",$AK148)))),IF(AND(ABS($AC148-significance_bar)&lt;=2.0*IF($V148,IF($AL148="","",$AL148),IF($AK148="","",$AK148)),OR($Y148="worse",$Y148="worse, not significant",AND(profit_kind="test",$Y148="in line",ISNUMBER($AB148),$AB148&lt;0))),IF(ROUND($AC148,3)=ROUND(significance_bar,3),TEXT($AC148,"0.0000"),TEXT($AC148,"0.000")),""),"")</f>
        <v/>
      </c>
      <c r="AO148">
        <f>IF(OR($AI148="",$AN148=""),$AI148,$AI148&amp;" · borderline (p "&amp;$AN148&amp;")")</f>
        <v/>
      </c>
    </row>
    <row r="149">
      <c r="A149" t="inlineStr">
        <is>
          <t>grids</t>
        </is>
      </c>
      <c r="B149" t="inlineStr">
        <is>
          <t>FICO x ASSET_CLASS</t>
        </is>
      </c>
      <c r="C149" t="inlineStr">
        <is>
          <t>496 - 653</t>
        </is>
      </c>
      <c r="D149" t="inlineStr">
        <is>
          <t>4</t>
        </is>
      </c>
      <c r="E149" t="inlineStr">
        <is>
          <t>outcome_loans</t>
        </is>
      </c>
      <c r="F149" t="inlineStr">
        <is>
          <t>Outcome, share of loans</t>
        </is>
      </c>
      <c r="G149" t="n">
        <v>392</v>
      </c>
      <c r="H149" t="n">
        <v>392</v>
      </c>
      <c r="I149" t="b">
        <v>0</v>
      </c>
      <c r="J149" t="b">
        <v>0</v>
      </c>
      <c r="K149" t="n">
        <v>2.880239294233463</v>
      </c>
      <c r="L149" t="n">
        <v>1.232208155285898e-20</v>
      </c>
      <c r="M149" t="n">
        <v>1.541213888152664</v>
      </c>
      <c r="N149" t="n">
        <v>0.01198245901031119</v>
      </c>
      <c r="O149" t="n">
        <v>52.22453003812278</v>
      </c>
      <c r="P149" t="n">
        <v>28.09286328460877</v>
      </c>
      <c r="Q149">
        <f>'_live'!$C$20</f>
        <v/>
      </c>
      <c r="R149" t="inlineStr">
        <is>
          <t>z test</t>
        </is>
      </c>
      <c r="S149" t="inlineStr">
        <is>
          <t>z test</t>
        </is>
      </c>
      <c r="T149" t="n">
        <v>0.07085579071907454</v>
      </c>
      <c r="U149" t="n">
        <v>0.1324161650902838</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0.2040816326530612</v>
      </c>
      <c r="AI149">
        <f>IF($Y149="worse","Yes",IF($Y149="worse, not significant","Not sure",IF(OR($Y149="too few losses to test",$Y149="too few loans to test"),"Too few losses",IF($Y149="","","No"))))</f>
        <v/>
      </c>
      <c r="AJ149">
        <f>IF($AA149="yes","Yes",IF($AA149="","","No"))</f>
        <v/>
      </c>
      <c r="AM149">
        <f>IF(AND(ISNUMBER($AC149),ISNUMBER(IF($V149,IF($AL149="","",$AL149),IF($AK149="","",$AK149)))),IF(AND(ABS($AC149-significance_bar)&lt;=2.0*IF($V149,IF($AL149="","",$AL149),IF($AK149="","",$AK149)),OR($Y149="worse",$Y149="better",$Y149="worse, not significant",$Y149="better, not significant")),IF(ROUND($AC149,3)=ROUND(significance_bar,3),TEXT($AC149,"0.0000"),TEXT($AC149,"0.000")),""),"")</f>
        <v/>
      </c>
      <c r="AN149">
        <f>IF(AND(ISNUMBER($AC149),ISNUMBER(IF($V149,IF($AL149="","",$AL149),IF($AK149="","",$AK149)))),IF(AND(ABS($AC149-significance_bar)&lt;=2.0*IF($V149,IF($AL149="","",$AL149),IF($AK149="","",$AK149)),OR($Y149="worse",$Y149="worse, not significant")),IF(ROUND($AC149,3)=ROUND(significance_bar,3),TEXT($AC149,"0.0000"),TEXT($AC149,"0.000")),""),"")</f>
        <v/>
      </c>
      <c r="AO149">
        <f>IF(OR($AI149="",$AN149=""),$AI149,$AI149&amp;" · borderline (p "&amp;$AN149&amp;")")</f>
        <v/>
      </c>
    </row>
    <row r="150">
      <c r="A150" t="inlineStr">
        <is>
          <t>grids</t>
        </is>
      </c>
      <c r="B150" t="inlineStr">
        <is>
          <t>FICO x ASSET_CLASS</t>
        </is>
      </c>
      <c r="C150" t="inlineStr">
        <is>
          <t>496 - 653</t>
        </is>
      </c>
      <c r="D150" t="inlineStr">
        <is>
          <t>4</t>
        </is>
      </c>
      <c r="E150" t="inlineStr">
        <is>
          <t>outcome_booked</t>
        </is>
      </c>
      <c r="F150" t="inlineStr">
        <is>
          <t>Outcome, share of booked dollars</t>
        </is>
      </c>
      <c r="G150" t="n">
        <v>392</v>
      </c>
      <c r="H150" t="n">
        <v>12285908.59000001</v>
      </c>
      <c r="I150" t="b">
        <v>0</v>
      </c>
      <c r="J150" t="b">
        <v>0</v>
      </c>
      <c r="K150" t="n">
        <v>3.329255194931123</v>
      </c>
      <c r="L150" t="n">
        <v>0.03316749585406301</v>
      </c>
      <c r="M150" t="n">
        <v>1.791775105196673</v>
      </c>
      <c r="N150" t="n">
        <v>0.04975124378109452</v>
      </c>
      <c r="O150" t="n">
        <v>1927598.380760559</v>
      </c>
      <c r="P150" t="n">
        <v>1217488.620081618</v>
      </c>
      <c r="Q150">
        <f>'_live'!$C$21</f>
        <v/>
      </c>
      <c r="R150" t="inlineStr">
        <is>
          <t>shuffled: 0 of 200</t>
        </is>
      </c>
      <c r="S150" t="inlineStr">
        <is>
          <t>shuffled: 0 of 200</t>
        </is>
      </c>
      <c r="T150" t="n">
        <v>0.06735846788840877</v>
      </c>
      <c r="U150" t="n">
        <v>0.1251571854579769</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0.2242535291400861</v>
      </c>
      <c r="AI150">
        <f>IF($Y150="worse","Yes",IF($Y150="worse, not significant","Not sure",IF(OR($Y150="too few losses to test",$Y150="too few loans to test"),"Too few losses",IF($Y150="","","No"))))</f>
        <v/>
      </c>
      <c r="AJ150">
        <f>IF($AA150="yes","Yes",IF($AA150="","","No"))</f>
        <v/>
      </c>
      <c r="AK150" t="n">
        <v>0.01905327577624553</v>
      </c>
      <c r="AL150" t="n">
        <v>0.04975124378109452</v>
      </c>
      <c r="AM150">
        <f>IF(AND(ISNUMBER($AC150),ISNUMBER(IF($V150,IF($AL150="","",$AL150),IF($AK150="","",$AK150)))),IF(AND(ABS($AC150-significance_bar)&lt;=2.0*IF($V150,IF($AL150="","",$AL150),IF($AK150="","",$AK150)),OR($Y150="worse",$Y150="better",$Y150="worse, not significant",$Y150="better, not significant")),IF(ROUND($AC150,3)=ROUND(significance_bar,3),TEXT($AC150,"0.0000"),TEXT($AC150,"0.000")),""),"")</f>
        <v/>
      </c>
      <c r="AN150">
        <f>IF(AND(ISNUMBER($AC150),ISNUMBER(IF($V150,IF($AL150="","",$AL150),IF($AK150="","",$AK150)))),IF(AND(ABS($AC150-significance_bar)&lt;=2.0*IF($V150,IF($AL150="","",$AL150),IF($AK150="","",$AK150)),OR($Y150="worse",$Y150="worse, not significant")),IF(ROUND($AC150,3)=ROUND(significance_bar,3),TEXT($AC150,"0.0000"),TEXT($AC150,"0.000")),""),"")</f>
        <v/>
      </c>
      <c r="AO150">
        <f>IF(OR($AI150="",$AN150=""),$AI150,$AI150&amp;" · borderline (p "&amp;$AN150&amp;")")</f>
        <v/>
      </c>
    </row>
    <row r="151">
      <c r="A151" t="inlineStr">
        <is>
          <t>grids</t>
        </is>
      </c>
      <c r="B151" t="inlineStr">
        <is>
          <t>FICO x ASSET_CLASS</t>
        </is>
      </c>
      <c r="C151" t="inlineStr">
        <is>
          <t>496 - 653</t>
        </is>
      </c>
      <c r="D151" t="inlineStr">
        <is>
          <t>4</t>
        </is>
      </c>
      <c r="E151" t="inlineStr">
        <is>
          <t>gco_rate</t>
        </is>
      </c>
      <c r="F151" t="inlineStr">
        <is>
          <t>GCO per booked dollar</t>
        </is>
      </c>
      <c r="G151" t="n">
        <v>392</v>
      </c>
      <c r="H151" t="n">
        <v>12285908.59000001</v>
      </c>
      <c r="I151" t="b">
        <v>0</v>
      </c>
      <c r="J151" t="b">
        <v>0</v>
      </c>
      <c r="K151" t="n">
        <v>3.282003381033544</v>
      </c>
      <c r="L151" t="n">
        <v>0.03316749585406301</v>
      </c>
      <c r="M151" t="n">
        <v>1.7404429065153</v>
      </c>
      <c r="N151" t="n">
        <v>0.09950248756218905</v>
      </c>
      <c r="O151" t="n">
        <v>1052143.260884658</v>
      </c>
      <c r="P151" t="n">
        <v>643768.0426797289</v>
      </c>
      <c r="Q151">
        <f>'_live'!$C$22</f>
        <v/>
      </c>
      <c r="R151" t="inlineStr">
        <is>
          <t>shuffled: 0 of 200</t>
        </is>
      </c>
      <c r="S151" t="inlineStr">
        <is>
          <t>shuffled: 0 of 200</t>
        </is>
      </c>
      <c r="T151" t="n">
        <v>0.03752764524803792</v>
      </c>
      <c r="U151" t="n">
        <v>0.07076696289503084</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0.1231658585862879</v>
      </c>
      <c r="AI151">
        <f>IF($Y151="worse","Yes",IF($Y151="worse, not significant","Not sure",IF(OR($Y151="too few losses to test",$Y151="too few loans to test"),"Too few losses",IF($Y151="","","No"))))</f>
        <v/>
      </c>
      <c r="AJ151">
        <f>IF($AA151="yes","Yes",IF($AA151="","","No"))</f>
        <v/>
      </c>
      <c r="AK151" t="n">
        <v>0.03316749585406301</v>
      </c>
      <c r="AL151" t="n">
        <v>0.04937669960517216</v>
      </c>
      <c r="AM151">
        <f>IF(AND(ISNUMBER($AC151),ISNUMBER(IF($V151,IF($AL151="","",$AL151),IF($AK151="","",$AK151)))),IF(AND(ABS($AC151-significance_bar)&lt;=2.0*IF($V151,IF($AL151="","",$AL151),IF($AK151="","",$AK151)),OR($Y151="worse",$Y151="better",$Y151="worse, not significant",$Y151="better, not significant")),IF(ROUND($AC151,3)=ROUND(significance_bar,3),TEXT($AC151,"0.0000"),TEXT($AC151,"0.000")),""),"")</f>
        <v/>
      </c>
      <c r="AN151">
        <f>IF(AND(ISNUMBER($AC151),ISNUMBER(IF($V151,IF($AL151="","",$AL151),IF($AK151="","",$AK151)))),IF(AND(ABS($AC151-significance_bar)&lt;=2.0*IF($V151,IF($AL151="","",$AL151),IF($AK151="","",$AK151)),OR($Y151="worse",$Y151="worse, not significant")),IF(ROUND($AC151,3)=ROUND(significance_bar,3),TEXT($AC151,"0.0000"),TEXT($AC151,"0.000")),""),"")</f>
        <v/>
      </c>
      <c r="AO151">
        <f>IF(OR($AI151="",$AN151=""),$AI151,$AI151&amp;" · borderline (p "&amp;$AN151&amp;")")</f>
        <v/>
      </c>
    </row>
    <row r="152">
      <c r="A152" t="inlineStr">
        <is>
          <t>grids</t>
        </is>
      </c>
      <c r="B152" t="inlineStr">
        <is>
          <t>FICO x ASSET_CLASS</t>
        </is>
      </c>
      <c r="C152" t="inlineStr">
        <is>
          <t>496 - 653</t>
        </is>
      </c>
      <c r="D152" t="inlineStr">
        <is>
          <t>4</t>
        </is>
      </c>
      <c r="E152" t="inlineStr">
        <is>
          <t>ranr_rate</t>
        </is>
      </c>
      <c r="F152" t="inlineStr">
        <is>
          <t>Profit after losses: RANR per booked dollar</t>
        </is>
      </c>
      <c r="G152" t="n">
        <v>392</v>
      </c>
      <c r="H152" t="n">
        <v>12285908.59000001</v>
      </c>
      <c r="I152" t="b">
        <v>0</v>
      </c>
      <c r="J152" t="b">
        <v>0</v>
      </c>
      <c r="K152" t="n">
        <v>0.02603516596237668</v>
      </c>
      <c r="L152" t="n">
        <v>0.02332089552238806</v>
      </c>
      <c r="M152" t="n">
        <v>-0.04932817268520837</v>
      </c>
      <c r="N152" t="n">
        <v>0.05970149253731343</v>
      </c>
      <c r="O152" t="n">
        <v>-319865.6691392392</v>
      </c>
      <c r="P152" t="n">
        <v>606041.4205222053</v>
      </c>
      <c r="Q152">
        <f>'_live'!$C$23</f>
        <v/>
      </c>
      <c r="R152" t="inlineStr">
        <is>
          <t>shuffled: 2 of 200</t>
        </is>
      </c>
      <c r="S152" t="inlineStr">
        <is>
          <t>shuffled: 0 of 200</t>
        </is>
      </c>
      <c r="T152" t="n">
        <v>0.1267505890551934</v>
      </c>
      <c r="U152" t="n">
        <v>0.2021139277027784</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0.1527857550175701</v>
      </c>
      <c r="AI152">
        <f>IF($Y152="worse","Yes",IF($Y152="worse, not significant","Not sure",IF(OR($Y152="too few losses to test",$Y152="too few loans to test"),"Too few losses",IF($Y152="","","No"))))</f>
        <v/>
      </c>
      <c r="AJ152">
        <f>IF($AA152="yes","Yes",IF($AA152="","","No"))</f>
        <v/>
      </c>
      <c r="AK152" t="n">
        <v>0.01339683453017264</v>
      </c>
      <c r="AL152" t="n">
        <v>0.05970149253731343</v>
      </c>
      <c r="AM152">
        <f>IF(AND(ISNUMBER($AC152),ISNUMBER(IF($V152,IF($AL152="","",$AL152),IF($AK152="","",$AK152)))),IF(AND(ABS($AC152-significance_bar)&lt;=2.0*IF($V152,IF($AL152="","",$AL152),IF($AK152="","",$AK152)),OR($Y152="worse",$Y152="better",$Y152="worse, not significant",$Y152="better, not significant",AND(profit_kind="test",$Y152="in line",ISNUMBER($AB152),$AB152&lt;&gt;0))),IF(ROUND($AC152,3)=ROUND(significance_bar,3),TEXT($AC152,"0.0000"),TEXT($AC152,"0.000")),""),"")</f>
        <v/>
      </c>
      <c r="AN152">
        <f>IF(AND(ISNUMBER($AC152),ISNUMBER(IF($V152,IF($AL152="","",$AL152),IF($AK152="","",$AK152)))),IF(AND(ABS($AC152-significance_bar)&lt;=2.0*IF($V152,IF($AL152="","",$AL152),IF($AK152="","",$AK152)),OR($Y152="worse",$Y152="worse, not significant",AND(profit_kind="test",$Y152="in line",ISNUMBER($AB152),$AB152&lt;0))),IF(ROUND($AC152,3)=ROUND(significance_bar,3),TEXT($AC152,"0.0000"),TEXT($AC152,"0.000")),""),"")</f>
        <v/>
      </c>
      <c r="AO152">
        <f>IF(OR($AI152="",$AN152=""),$AI152,$AI152&amp;" · borderline (p "&amp;$AN152&amp;")")</f>
        <v/>
      </c>
    </row>
    <row r="153">
      <c r="A153" t="inlineStr">
        <is>
          <t>grids</t>
        </is>
      </c>
      <c r="B153" t="inlineStr">
        <is>
          <t>FICO x ASSET_CLASS</t>
        </is>
      </c>
      <c r="C153" t="inlineStr">
        <is>
          <t>496 - 653</t>
        </is>
      </c>
      <c r="D153" t="inlineStr">
        <is>
          <t>4</t>
        </is>
      </c>
      <c r="E153" t="inlineStr">
        <is>
          <t>contribution_rate</t>
        </is>
      </c>
      <c r="F153" t="inlineStr">
        <is>
          <t>Contribution before losses per booked dollar</t>
        </is>
      </c>
      <c r="G153" t="n">
        <v>392</v>
      </c>
      <c r="H153" t="n">
        <v>12285908.59000001</v>
      </c>
      <c r="I153" t="b">
        <v>0</v>
      </c>
      <c r="J153" t="b">
        <v>0</v>
      </c>
      <c r="K153" t="n">
        <v>0.1116765816526444</v>
      </c>
      <c r="L153" t="n">
        <v>0.00777363184079602</v>
      </c>
      <c r="M153" t="n">
        <v>0.003070723006048548</v>
      </c>
      <c r="N153" t="n">
        <v>0.9203980099502488</v>
      </c>
      <c r="O153" t="n">
        <v>-1372048.27382806</v>
      </c>
      <c r="P153" t="n">
        <v>-37726.62215752201</v>
      </c>
      <c r="Q153">
        <f>'_live'!$C$24</f>
        <v/>
      </c>
      <c r="R153" t="inlineStr">
        <is>
          <t>shuffled: 0 of 200</t>
        </is>
      </c>
      <c r="S153" t="inlineStr">
        <is>
          <t>shuffled: 159 of 200</t>
        </is>
      </c>
      <c r="T153" t="n">
        <v>0.1642750319512134</v>
      </c>
      <c r="U153" t="n">
        <v>0.2728808905978092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0.2759516136038578</v>
      </c>
      <c r="AI153">
        <f>IF($Y153="worse","Yes",IF($Y153="worse, not significant","Not sure",IF(OR($Y153="too few losses to test",$Y153="too few loans to test"),"Too few losses",IF($Y153="","","No"))))</f>
        <v/>
      </c>
      <c r="AJ153">
        <f>IF($AA153="yes","Yes",IF($AA153="","","No"))</f>
        <v/>
      </c>
      <c r="AK153" t="n">
        <v>0.00777363184079602</v>
      </c>
      <c r="AL153" t="n">
        <v>0.01913968563350382</v>
      </c>
      <c r="AM153">
        <f>IF(AND(ISNUMBER($AC153),ISNUMBER(IF($V153,IF($AL153="","",$AL153),IF($AK153="","",$AK153)))),IF(AND(ABS($AC153-significance_bar)&lt;=2.0*IF($V153,IF($AL153="","",$AL153),IF($AK153="","",$AK153)),OR($Y153="worse",$Y153="better",$Y153="worse, not significant",$Y153="better, not significant",AND(profit_kind="test",$Y153="in line",ISNUMBER($AB153),$AB153&lt;&gt;0))),IF(ROUND($AC153,3)=ROUND(significance_bar,3),TEXT($AC153,"0.0000"),TEXT($AC153,"0.000")),""),"")</f>
        <v/>
      </c>
      <c r="AN153">
        <f>IF(AND(ISNUMBER($AC153),ISNUMBER(IF($V153,IF($AL153="","",$AL153),IF($AK153="","",$AK153)))),IF(AND(ABS($AC153-significance_bar)&lt;=2.0*IF($V153,IF($AL153="","",$AL153),IF($AK153="","",$AK153)),OR($Y153="worse",$Y153="worse, not significant",AND(profit_kind="test",$Y153="in line",ISNUMBER($AB153),$AB153&lt;0))),IF(ROUND($AC153,3)=ROUND(significance_bar,3),TEXT($AC153,"0.0000"),TEXT($AC153,"0.000")),""),"")</f>
        <v/>
      </c>
      <c r="AO153">
        <f>IF(OR($AI153="",$AN153=""),$AI153,$AI153&amp;" · borderline (p "&amp;$AN153&amp;")")</f>
        <v/>
      </c>
    </row>
    <row r="154">
      <c r="A154" t="inlineStr">
        <is>
          <t>grids</t>
        </is>
      </c>
      <c r="B154" t="inlineStr">
        <is>
          <t>FICO x ASSET_CLASS</t>
        </is>
      </c>
      <c r="C154" t="inlineStr">
        <is>
          <t>686 - 711</t>
        </is>
      </c>
      <c r="D154" t="inlineStr">
        <is>
          <t>4</t>
        </is>
      </c>
      <c r="E154" t="inlineStr">
        <is>
          <t>outcome_loans</t>
        </is>
      </c>
      <c r="F154" t="inlineStr">
        <is>
          <t>Outcome, share of loans</t>
        </is>
      </c>
      <c r="G154" t="n">
        <v>407</v>
      </c>
      <c r="H154" t="n">
        <v>407</v>
      </c>
      <c r="I154" t="b">
        <v>0</v>
      </c>
      <c r="J154" t="b">
        <v>0</v>
      </c>
      <c r="K154" t="n">
        <v>1.050456599944655</v>
      </c>
      <c r="L154" t="n">
        <v>0.8152823360643332</v>
      </c>
      <c r="M154" t="n">
        <v>1.486486486486487</v>
      </c>
      <c r="N154" t="n">
        <v>0.1579294815553713</v>
      </c>
      <c r="O154" t="n">
        <v>1.585089567966278</v>
      </c>
      <c r="P154" t="n">
        <v>10.8</v>
      </c>
      <c r="Q154">
        <f>'_live'!$C$20</f>
        <v/>
      </c>
      <c r="R154" t="inlineStr">
        <is>
          <t>z test</t>
        </is>
      </c>
      <c r="S154" t="inlineStr">
        <is>
          <t>z test</t>
        </is>
      </c>
      <c r="T154" t="n">
        <v>0.07718651211801897</v>
      </c>
      <c r="U154" t="n">
        <v>0.05454545454545454</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0.08108108108108109</v>
      </c>
      <c r="AI154">
        <f>IF($Y154="worse","Yes",IF($Y154="worse, not significant","Not sure",IF(OR($Y154="too few losses to test",$Y154="too few loans to test"),"Too few losses",IF($Y154="","","No"))))</f>
        <v/>
      </c>
      <c r="AJ154">
        <f>IF($AA154="yes","Yes",IF($AA154="","","No"))</f>
        <v/>
      </c>
      <c r="AM154">
        <f>IF(AND(ISNUMBER($AC154),ISNUMBER(IF($V154,IF($AL154="","",$AL154),IF($AK154="","",$AK154)))),IF(AND(ABS($AC154-significance_bar)&lt;=2.0*IF($V154,IF($AL154="","",$AL154),IF($AK154="","",$AK154)),OR($Y154="worse",$Y154="better",$Y154="worse, not significant",$Y154="better, not significant")),IF(ROUND($AC154,3)=ROUND(significance_bar,3),TEXT($AC154,"0.0000"),TEXT($AC154,"0.000")),""),"")</f>
        <v/>
      </c>
      <c r="AN154">
        <f>IF(AND(ISNUMBER($AC154),ISNUMBER(IF($V154,IF($AL154="","",$AL154),IF($AK154="","",$AK154)))),IF(AND(ABS($AC154-significance_bar)&lt;=2.0*IF($V154,IF($AL154="","",$AL154),IF($AK154="","",$AK154)),OR($Y154="worse",$Y154="worse, not significant")),IF(ROUND($AC154,3)=ROUND(significance_bar,3),TEXT($AC154,"0.0000"),TEXT($AC154,"0.000")),""),"")</f>
        <v/>
      </c>
      <c r="AO154">
        <f>IF(OR($AI154="",$AN154=""),$AI154,$AI154&amp;" · borderline (p "&amp;$AN154&amp;")")</f>
        <v/>
      </c>
    </row>
    <row r="155">
      <c r="A155" t="inlineStr">
        <is>
          <t>grids</t>
        </is>
      </c>
      <c r="B155" t="inlineStr">
        <is>
          <t>FICO x ASSET_CLASS</t>
        </is>
      </c>
      <c r="C155" t="inlineStr">
        <is>
          <t>686 - 711</t>
        </is>
      </c>
      <c r="D155" t="inlineStr">
        <is>
          <t>4</t>
        </is>
      </c>
      <c r="E155" t="inlineStr">
        <is>
          <t>outcome_booked</t>
        </is>
      </c>
      <c r="F155" t="inlineStr">
        <is>
          <t>Outcome, share of booked dollars</t>
        </is>
      </c>
      <c r="G155" t="n">
        <v>407</v>
      </c>
      <c r="H155" t="n">
        <v>13476497.31999999</v>
      </c>
      <c r="I155" t="b">
        <v>0</v>
      </c>
      <c r="J155" t="b">
        <v>0</v>
      </c>
      <c r="K155" t="n">
        <v>0.857081583010819</v>
      </c>
      <c r="L155" t="n">
        <v>0.5323383084577115</v>
      </c>
      <c r="M155" t="n">
        <v>1.194871410271308</v>
      </c>
      <c r="N155" t="n">
        <v>0.7194795254496746</v>
      </c>
      <c r="O155" t="n">
        <v>-145207.2480064231</v>
      </c>
      <c r="P155" t="n">
        <v>142019.9053349041</v>
      </c>
      <c r="Q155">
        <f>'_live'!$C$21</f>
        <v/>
      </c>
      <c r="R155" t="inlineStr">
        <is>
          <t>shuffled: 103 of 200</t>
        </is>
      </c>
      <c r="S155" t="inlineStr">
        <is>
          <t>shuffled: 93 of 200</t>
        </is>
      </c>
      <c r="T155" t="n">
        <v>0.07539161874789166</v>
      </c>
      <c r="U155" t="n">
        <v>0.05407842834528879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0.06461676794219112</v>
      </c>
      <c r="AI155">
        <f>IF($Y155="worse","Yes",IF($Y155="worse, not significant","Not sure",IF(OR($Y155="too few losses to test",$Y155="too few loans to test"),"Too few losses",IF($Y155="","","No"))))</f>
        <v/>
      </c>
      <c r="AJ155">
        <f>IF($AA155="yes","Yes",IF($AA155="","","No"))</f>
        <v/>
      </c>
      <c r="AK155" t="n">
        <v>0.03528131472933611</v>
      </c>
      <c r="AL155" t="n">
        <v>0.05427894573744017</v>
      </c>
      <c r="AM155">
        <f>IF(AND(ISNUMBER($AC155),ISNUMBER(IF($V155,IF($AL155="","",$AL155),IF($AK155="","",$AK155)))),IF(AND(ABS($AC155-significance_bar)&lt;=2.0*IF($V155,IF($AL155="","",$AL155),IF($AK155="","",$AK155)),OR($Y155="worse",$Y155="better",$Y155="worse, not significant",$Y155="better, not significant")),IF(ROUND($AC155,3)=ROUND(significance_bar,3),TEXT($AC155,"0.0000"),TEXT($AC155,"0.000")),""),"")</f>
        <v/>
      </c>
      <c r="AN155">
        <f>IF(AND(ISNUMBER($AC155),ISNUMBER(IF($V155,IF($AL155="","",$AL155),IF($AK155="","",$AK155)))),IF(AND(ABS($AC155-significance_bar)&lt;=2.0*IF($V155,IF($AL155="","",$AL155),IF($AK155="","",$AK155)),OR($Y155="worse",$Y155="worse, not significant")),IF(ROUND($AC155,3)=ROUND(significance_bar,3),TEXT($AC155,"0.0000"),TEXT($AC155,"0.000")),""),"")</f>
        <v/>
      </c>
      <c r="AO155">
        <f>IF(OR($AI155="",$AN155=""),$AI155,$AI155&amp;" · borderline (p "&amp;$AN155&amp;")")</f>
        <v/>
      </c>
    </row>
    <row r="156">
      <c r="A156" t="inlineStr">
        <is>
          <t>grids</t>
        </is>
      </c>
      <c r="B156" t="inlineStr">
        <is>
          <t>FICO x ASSET_CLASS</t>
        </is>
      </c>
      <c r="C156" t="inlineStr">
        <is>
          <t>686 - 711</t>
        </is>
      </c>
      <c r="D156" t="inlineStr">
        <is>
          <t>4</t>
        </is>
      </c>
      <c r="E156" t="inlineStr">
        <is>
          <t>gco_rate</t>
        </is>
      </c>
      <c r="F156" t="inlineStr">
        <is>
          <t>GCO per booked dollar</t>
        </is>
      </c>
      <c r="G156" t="n">
        <v>407</v>
      </c>
      <c r="H156" t="n">
        <v>13476497.31999999</v>
      </c>
      <c r="I156" t="b">
        <v>0</v>
      </c>
      <c r="J156" t="b">
        <v>0</v>
      </c>
      <c r="K156" t="n">
        <v>0.9106011065886029</v>
      </c>
      <c r="L156" t="n">
        <v>0.7114427860696517</v>
      </c>
      <c r="M156" t="n">
        <v>1.305148031995351</v>
      </c>
      <c r="N156" t="n">
        <v>0.5671641791044776</v>
      </c>
      <c r="O156" t="n">
        <v>-50360.49827215681</v>
      </c>
      <c r="P156" t="n">
        <v>119932.4897640952</v>
      </c>
      <c r="Q156">
        <f>'_live'!$C$22</f>
        <v/>
      </c>
      <c r="R156" t="inlineStr">
        <is>
          <t>shuffled: 142 of 200</t>
        </is>
      </c>
      <c r="S156" t="inlineStr">
        <is>
          <t>shuffled: 56 of 200</t>
        </is>
      </c>
      <c r="T156" t="n">
        <v>0.04180043930525985</v>
      </c>
      <c r="U156" t="n">
        <v>0.02916414487410034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0.03806352628725936</v>
      </c>
      <c r="AI156">
        <f>IF($Y156="worse","Yes",IF($Y156="worse, not significant","Not sure",IF(OR($Y156="too few losses to test",$Y156="too few loans to test"),"Too few losses",IF($Y156="","","No"))))</f>
        <v/>
      </c>
      <c r="AJ156">
        <f>IF($AA156="yes","Yes",IF($AA156="","","No"))</f>
        <v/>
      </c>
      <c r="AK156" t="n">
        <v>0.03203841040213321</v>
      </c>
      <c r="AL156" t="n">
        <v>0.06374375075839589</v>
      </c>
      <c r="AM156">
        <f>IF(AND(ISNUMBER($AC156),ISNUMBER(IF($V156,IF($AL156="","",$AL156),IF($AK156="","",$AK156)))),IF(AND(ABS($AC156-significance_bar)&lt;=2.0*IF($V156,IF($AL156="","",$AL156),IF($AK156="","",$AK156)),OR($Y156="worse",$Y156="better",$Y156="worse, not significant",$Y156="better, not significant")),IF(ROUND($AC156,3)=ROUND(significance_bar,3),TEXT($AC156,"0.0000"),TEXT($AC156,"0.000")),""),"")</f>
        <v/>
      </c>
      <c r="AN156">
        <f>IF(AND(ISNUMBER($AC156),ISNUMBER(IF($V156,IF($AL156="","",$AL156),IF($AK156="","",$AK156)))),IF(AND(ABS($AC156-significance_bar)&lt;=2.0*IF($V156,IF($AL156="","",$AL156),IF($AK156="","",$AK156)),OR($Y156="worse",$Y156="worse, not significant")),IF(ROUND($AC156,3)=ROUND(significance_bar,3),TEXT($AC156,"0.0000"),TEXT($AC156,"0.000")),""),"")</f>
        <v/>
      </c>
      <c r="AO156">
        <f>IF(OR($AI156="",$AN156=""),$AI156,$AI156&amp;" · borderline (p "&amp;$AN156&amp;")")</f>
        <v/>
      </c>
    </row>
    <row r="157">
      <c r="A157" t="inlineStr">
        <is>
          <t>grids</t>
        </is>
      </c>
      <c r="B157" t="inlineStr">
        <is>
          <t>FICO x ASSET_CLASS</t>
        </is>
      </c>
      <c r="C157" t="inlineStr">
        <is>
          <t>686 - 711</t>
        </is>
      </c>
      <c r="D157" t="inlineStr">
        <is>
          <t>4</t>
        </is>
      </c>
      <c r="E157" t="inlineStr">
        <is>
          <t>ranr_rate</t>
        </is>
      </c>
      <c r="F157" t="inlineStr">
        <is>
          <t>Profit after losses: RANR per booked dollar</t>
        </is>
      </c>
      <c r="G157" t="n">
        <v>407</v>
      </c>
      <c r="H157" t="n">
        <v>13476497.31999999</v>
      </c>
      <c r="I157" t="b">
        <v>0</v>
      </c>
      <c r="J157" t="b">
        <v>0</v>
      </c>
      <c r="K157" t="n">
        <v>0.01532678620371744</v>
      </c>
      <c r="L157" t="n">
        <v>0.2072968490878938</v>
      </c>
      <c r="M157" t="n">
        <v>0.000812875747486369</v>
      </c>
      <c r="N157" t="n">
        <v>0.9552238805970149</v>
      </c>
      <c r="O157" t="n">
        <v>-206551.393198611</v>
      </c>
      <c r="P157" t="n">
        <v>-10954.71783249313</v>
      </c>
      <c r="Q157">
        <f>'_live'!$C$23</f>
        <v/>
      </c>
      <c r="R157" t="inlineStr">
        <is>
          <t>shuffled: 29 of 200</t>
        </is>
      </c>
      <c r="S157" t="inlineStr">
        <is>
          <t>shuffled: 187 of 200</t>
        </is>
      </c>
      <c r="T157" t="n">
        <v>0.1271896751878989</v>
      </c>
      <c r="U157" t="n">
        <v>0.14170358564413</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0.1425164613916163</v>
      </c>
      <c r="AI157">
        <f>IF($Y157="worse","Yes",IF($Y157="worse, not significant","Not sure",IF(OR($Y157="too few losses to test",$Y157="too few loans to test"),"Too few losses",IF($Y157="","","No"))))</f>
        <v/>
      </c>
      <c r="AJ157">
        <f>IF($AA157="yes","Yes",IF($AA157="","","No"))</f>
        <v/>
      </c>
      <c r="AK157" t="n">
        <v>0.03499573593725981</v>
      </c>
      <c r="AL157" t="n">
        <v>0.01462381935989957</v>
      </c>
      <c r="AM157">
        <f>IF(AND(ISNUMBER($AC157),ISNUMBER(IF($V157,IF($AL157="","",$AL157),IF($AK157="","",$AK157)))),IF(AND(ABS($AC157-significance_bar)&lt;=2.0*IF($V157,IF($AL157="","",$AL157),IF($AK157="","",$AK157)),OR($Y157="worse",$Y157="better",$Y157="worse, not significant",$Y157="better, not significant",AND(profit_kind="test",$Y157="in line",ISNUMBER($AB157),$AB157&lt;&gt;0))),IF(ROUND($AC157,3)=ROUND(significance_bar,3),TEXT($AC157,"0.0000"),TEXT($AC157,"0.000")),""),"")</f>
        <v/>
      </c>
      <c r="AN157">
        <f>IF(AND(ISNUMBER($AC157),ISNUMBER(IF($V157,IF($AL157="","",$AL157),IF($AK157="","",$AK157)))),IF(AND(ABS($AC157-significance_bar)&lt;=2.0*IF($V157,IF($AL157="","",$AL157),IF($AK157="","",$AK157)),OR($Y157="worse",$Y157="worse, not significant",AND(profit_kind="test",$Y157="in line",ISNUMBER($AB157),$AB157&lt;0))),IF(ROUND($AC157,3)=ROUND(significance_bar,3),TEXT($AC157,"0.0000"),TEXT($AC157,"0.000")),""),"")</f>
        <v/>
      </c>
      <c r="AO157">
        <f>IF(OR($AI157="",$AN157=""),$AI157,$AI157&amp;" · borderline (p "&amp;$AN157&amp;")")</f>
        <v/>
      </c>
    </row>
    <row r="158">
      <c r="A158" t="inlineStr">
        <is>
          <t>grids</t>
        </is>
      </c>
      <c r="B158" t="inlineStr">
        <is>
          <t>FICO x ASSET_CLASS</t>
        </is>
      </c>
      <c r="C158" t="inlineStr">
        <is>
          <t>686 - 711</t>
        </is>
      </c>
      <c r="D158" t="inlineStr">
        <is>
          <t>4</t>
        </is>
      </c>
      <c r="E158" t="inlineStr">
        <is>
          <t>contribution_rate</t>
        </is>
      </c>
      <c r="F158" t="inlineStr">
        <is>
          <t>Contribution before losses per booked dollar</t>
        </is>
      </c>
      <c r="G158" t="n">
        <v>407</v>
      </c>
      <c r="H158" t="n">
        <v>13476497.31999999</v>
      </c>
      <c r="I158" t="b">
        <v>0</v>
      </c>
      <c r="J158" t="b">
        <v>0</v>
      </c>
      <c r="K158" t="n">
        <v>0.01159301987601888</v>
      </c>
      <c r="L158" t="n">
        <v>0.1243781094527363</v>
      </c>
      <c r="M158" t="n">
        <v>0.009712257160645471</v>
      </c>
      <c r="N158" t="n">
        <v>0.6686567164179105</v>
      </c>
      <c r="O158" t="n">
        <v>-156233.3012898751</v>
      </c>
      <c r="P158" t="n">
        <v>-130887.2075965893</v>
      </c>
      <c r="Q158">
        <f>'_live'!$C$24</f>
        <v/>
      </c>
      <c r="R158" t="inlineStr">
        <is>
          <t>shuffled: 16 of 200</t>
        </is>
      </c>
      <c r="S158" t="inlineStr">
        <is>
          <t>shuffled: 27 of 200</t>
        </is>
      </c>
      <c r="T158" t="n">
        <v>0.1689869678028568</v>
      </c>
      <c r="U158" t="n">
        <v>0.1708677305182302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0.1805799876788757</v>
      </c>
      <c r="AI158">
        <f>IF($Y158="worse","Yes",IF($Y158="worse, not significant","Not sure",IF(OR($Y158="too few losses to test",$Y158="too few loans to test"),"Too few losses",IF($Y158="","","No"))))</f>
        <v/>
      </c>
      <c r="AJ158">
        <f>IF($AA158="yes","Yes",IF($AA158="","","No"))</f>
        <v/>
      </c>
      <c r="AK158" t="n">
        <v>0.02893432826058705</v>
      </c>
      <c r="AL158" t="n">
        <v>0.1175255383819872</v>
      </c>
      <c r="AM158">
        <f>IF(AND(ISNUMBER($AC158),ISNUMBER(IF($V158,IF($AL158="","",$AL158),IF($AK158="","",$AK158)))),IF(AND(ABS($AC158-significance_bar)&lt;=2.0*IF($V158,IF($AL158="","",$AL158),IF($AK158="","",$AK158)),OR($Y158="worse",$Y158="better",$Y158="worse, not significant",$Y158="better, not significant",AND(profit_kind="test",$Y158="in line",ISNUMBER($AB158),$AB158&lt;&gt;0))),IF(ROUND($AC158,3)=ROUND(significance_bar,3),TEXT($AC158,"0.0000"),TEXT($AC158,"0.000")),""),"")</f>
        <v/>
      </c>
      <c r="AN158">
        <f>IF(AND(ISNUMBER($AC158),ISNUMBER(IF($V158,IF($AL158="","",$AL158),IF($AK158="","",$AK158)))),IF(AND(ABS($AC158-significance_bar)&lt;=2.0*IF($V158,IF($AL158="","",$AL158),IF($AK158="","",$AK158)),OR($Y158="worse",$Y158="worse, not significant",AND(profit_kind="test",$Y158="in line",ISNUMBER($AB158),$AB158&lt;0))),IF(ROUND($AC158,3)=ROUND(significance_bar,3),TEXT($AC158,"0.0000"),TEXT($AC158,"0.000")),""),"")</f>
        <v/>
      </c>
      <c r="AO158">
        <f>IF(OR($AI158="",$AN158=""),$AI158,$AI158&amp;" · borderline (p "&amp;$AN158&amp;")")</f>
        <v/>
      </c>
    </row>
    <row r="159">
      <c r="A159" t="inlineStr">
        <is>
          <t>grids</t>
        </is>
      </c>
      <c r="B159" t="inlineStr">
        <is>
          <t>FICO x ASSET_CLASS</t>
        </is>
      </c>
      <c r="C159" t="inlineStr">
        <is>
          <t>654 - 685</t>
        </is>
      </c>
      <c r="D159" t="inlineStr">
        <is>
          <t>2</t>
        </is>
      </c>
      <c r="E159" t="inlineStr">
        <is>
          <t>outcome_loans</t>
        </is>
      </c>
      <c r="F159" t="inlineStr">
        <is>
          <t>Outcome, share of loans</t>
        </is>
      </c>
      <c r="G159" t="n">
        <v>355</v>
      </c>
      <c r="H159" t="n">
        <v>355</v>
      </c>
      <c r="I159" t="b">
        <v>0</v>
      </c>
      <c r="J159" t="b">
        <v>0</v>
      </c>
      <c r="K159" t="n">
        <v>0.7561543172075933</v>
      </c>
      <c r="L159" t="n">
        <v>0.2513618927468013</v>
      </c>
      <c r="M159" t="n">
        <v>0.6425636387130119</v>
      </c>
      <c r="N159" t="n">
        <v>0.1579294815553713</v>
      </c>
      <c r="O159" t="n">
        <v>-6.772108843537417</v>
      </c>
      <c r="P159" t="n">
        <v>-11.68158783783784</v>
      </c>
      <c r="Q159">
        <f>'_live'!$C$20</f>
        <v/>
      </c>
      <c r="R159" t="inlineStr">
        <is>
          <t>z test</t>
        </is>
      </c>
      <c r="S159" t="inlineStr">
        <is>
          <t>z test</t>
        </is>
      </c>
      <c r="T159" t="n">
        <v>0.07823129251700681</v>
      </c>
      <c r="U159" t="n">
        <v>0.09206081081081081</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0.05915492957746479</v>
      </c>
      <c r="AI159">
        <f>IF($Y159="worse","Yes",IF($Y159="worse, not significant","Not sure",IF(OR($Y159="too few losses to test",$Y159="too few loans to test"),"Too few losses",IF($Y159="","","No"))))</f>
        <v/>
      </c>
      <c r="AJ159">
        <f>IF($AA159="yes","Yes",IF($AA159="","","No"))</f>
        <v/>
      </c>
      <c r="AM159">
        <f>IF(AND(ISNUMBER($AC159),ISNUMBER(IF($V159,IF($AL159="","",$AL159),IF($AK159="","",$AK159)))),IF(AND(ABS($AC159-significance_bar)&lt;=2.0*IF($V159,IF($AL159="","",$AL159),IF($AK159="","",$AK159)),OR($Y159="worse",$Y159="better",$Y159="worse, not significant",$Y159="better, not significant")),IF(ROUND($AC159,3)=ROUND(significance_bar,3),TEXT($AC159,"0.0000"),TEXT($AC159,"0.000")),""),"")</f>
        <v/>
      </c>
      <c r="AN159">
        <f>IF(AND(ISNUMBER($AC159),ISNUMBER(IF($V159,IF($AL159="","",$AL159),IF($AK159="","",$AK159)))),IF(AND(ABS($AC159-significance_bar)&lt;=2.0*IF($V159,IF($AL159="","",$AL159),IF($AK159="","",$AK159)),OR($Y159="worse",$Y159="worse, not significant")),IF(ROUND($AC159,3)=ROUND(significance_bar,3),TEXT($AC159,"0.0000"),TEXT($AC159,"0.000")),""),"")</f>
        <v/>
      </c>
      <c r="AO159">
        <f>IF(OR($AI159="",$AN159=""),$AI159,$AI159&amp;" · borderline (p "&amp;$AN159&amp;")")</f>
        <v/>
      </c>
    </row>
    <row r="160">
      <c r="A160" t="inlineStr">
        <is>
          <t>grids</t>
        </is>
      </c>
      <c r="B160" t="inlineStr">
        <is>
          <t>FICO x ASSET_CLASS</t>
        </is>
      </c>
      <c r="C160" t="inlineStr">
        <is>
          <t>654 - 685</t>
        </is>
      </c>
      <c r="D160" t="inlineStr">
        <is>
          <t>2</t>
        </is>
      </c>
      <c r="E160" t="inlineStr">
        <is>
          <t>outcome_booked</t>
        </is>
      </c>
      <c r="F160" t="inlineStr">
        <is>
          <t>Outcome, share of booked dollars</t>
        </is>
      </c>
      <c r="G160" t="n">
        <v>355</v>
      </c>
      <c r="H160" t="n">
        <v>11168462.05</v>
      </c>
      <c r="I160" t="b">
        <v>0</v>
      </c>
      <c r="J160" t="b">
        <v>0</v>
      </c>
      <c r="K160" t="n">
        <v>0.7343068026330004</v>
      </c>
      <c r="L160" t="n">
        <v>0.2700781805259417</v>
      </c>
      <c r="M160" t="n">
        <v>0.6392392239448949</v>
      </c>
      <c r="N160" t="n">
        <v>0.4145936981757878</v>
      </c>
      <c r="O160" t="n">
        <v>-224629.2729913873</v>
      </c>
      <c r="P160" t="n">
        <v>-350363.910370684</v>
      </c>
      <c r="Q160">
        <f>'_live'!$C$21</f>
        <v/>
      </c>
      <c r="R160" t="inlineStr">
        <is>
          <t>shuffled: 37 of 200</t>
        </is>
      </c>
      <c r="S160" t="inlineStr">
        <is>
          <t>shuffled: 24 of 200</t>
        </is>
      </c>
      <c r="T160" t="n">
        <v>0.07569941852391279</v>
      </c>
      <c r="U160" t="n">
        <v>0.08695742672740547</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0.05558659797747173</v>
      </c>
      <c r="AI160">
        <f>IF($Y160="worse","Yes",IF($Y160="worse, not significant","Not sure",IF(OR($Y160="too few losses to test",$Y160="too few loans to test"),"Too few losses",IF($Y160="","","No"))))</f>
        <v/>
      </c>
      <c r="AJ160">
        <f>IF($AA160="yes","Yes",IF($AA160="","","No"))</f>
        <v/>
      </c>
      <c r="AK160" t="n">
        <v>0.03955273369716141</v>
      </c>
      <c r="AL160" t="n">
        <v>0.07778467263388772</v>
      </c>
      <c r="AM160">
        <f>IF(AND(ISNUMBER($AC160),ISNUMBER(IF($V160,IF($AL160="","",$AL160),IF($AK160="","",$AK160)))),IF(AND(ABS($AC160-significance_bar)&lt;=2.0*IF($V160,IF($AL160="","",$AL160),IF($AK160="","",$AK160)),OR($Y160="worse",$Y160="better",$Y160="worse, not significant",$Y160="better, not significant")),IF(ROUND($AC160,3)=ROUND(significance_bar,3),TEXT($AC160,"0.0000"),TEXT($AC160,"0.000")),""),"")</f>
        <v/>
      </c>
      <c r="AN160">
        <f>IF(AND(ISNUMBER($AC160),ISNUMBER(IF($V160,IF($AL160="","",$AL160),IF($AK160="","",$AK160)))),IF(AND(ABS($AC160-significance_bar)&lt;=2.0*IF($V160,IF($AL160="","",$AL160),IF($AK160="","",$AK160)),OR($Y160="worse",$Y160="worse, not significant")),IF(ROUND($AC160,3)=ROUND(significance_bar,3),TEXT($AC160,"0.0000"),TEXT($AC160,"0.000")),""),"")</f>
        <v/>
      </c>
      <c r="AO160">
        <f>IF(OR($AI160="",$AN160=""),$AI160,$AI160&amp;" · borderline (p "&amp;$AN160&amp;")")</f>
        <v/>
      </c>
    </row>
    <row r="161">
      <c r="A161" t="inlineStr">
        <is>
          <t>grids</t>
        </is>
      </c>
      <c r="B161" t="inlineStr">
        <is>
          <t>FICO x ASSET_CLASS</t>
        </is>
      </c>
      <c r="C161" t="inlineStr">
        <is>
          <t>654 - 685</t>
        </is>
      </c>
      <c r="D161" t="inlineStr">
        <is>
          <t>2</t>
        </is>
      </c>
      <c r="E161" t="inlineStr">
        <is>
          <t>gco_rate</t>
        </is>
      </c>
      <c r="F161" t="inlineStr">
        <is>
          <t>GCO per booked dollar</t>
        </is>
      </c>
      <c r="G161" t="n">
        <v>355</v>
      </c>
      <c r="H161" t="n">
        <v>11168462.05</v>
      </c>
      <c r="I161" t="b">
        <v>0</v>
      </c>
      <c r="J161" t="b">
        <v>0</v>
      </c>
      <c r="K161" t="n">
        <v>0.7663221379764581</v>
      </c>
      <c r="L161" t="n">
        <v>0.3582089552238806</v>
      </c>
      <c r="M161" t="n">
        <v>0.6570695463311553</v>
      </c>
      <c r="N161" t="n">
        <v>0.412224591329069</v>
      </c>
      <c r="O161" t="n">
        <v>-109691.8245652111</v>
      </c>
      <c r="P161" t="n">
        <v>-187742.5778173128</v>
      </c>
      <c r="Q161">
        <f>'_live'!$C$22</f>
        <v/>
      </c>
      <c r="R161" t="inlineStr">
        <is>
          <t>shuffled: 53 of 200</t>
        </is>
      </c>
      <c r="S161" t="inlineStr">
        <is>
          <t>shuffled: 28 of 200</t>
        </is>
      </c>
      <c r="T161" t="n">
        <v>0.04203038005266006</v>
      </c>
      <c r="U161" t="n">
        <v>0.0490188761323062</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0.03220881070191754</v>
      </c>
      <c r="AI161">
        <f>IF($Y161="worse","Yes",IF($Y161="worse, not significant","Not sure",IF(OR($Y161="too few losses to test",$Y161="too few loans to test"),"Too few losses",IF($Y161="","","No"))))</f>
        <v/>
      </c>
      <c r="AJ161">
        <f>IF($AA161="yes","Yes",IF($AA161="","","No"))</f>
        <v/>
      </c>
      <c r="AK161" t="n">
        <v>0.0417910447761194</v>
      </c>
      <c r="AL161" t="n">
        <v>0.07098786632087434</v>
      </c>
      <c r="AM161">
        <f>IF(AND(ISNUMBER($AC161),ISNUMBER(IF($V161,IF($AL161="","",$AL161),IF($AK161="","",$AK161)))),IF(AND(ABS($AC161-significance_bar)&lt;=2.0*IF($V161,IF($AL161="","",$AL161),IF($AK161="","",$AK161)),OR($Y161="worse",$Y161="better",$Y161="worse, not significant",$Y161="better, not significant")),IF(ROUND($AC161,3)=ROUND(significance_bar,3),TEXT($AC161,"0.0000"),TEXT($AC161,"0.000")),""),"")</f>
        <v/>
      </c>
      <c r="AN161">
        <f>IF(AND(ISNUMBER($AC161),ISNUMBER(IF($V161,IF($AL161="","",$AL161),IF($AK161="","",$AK161)))),IF(AND(ABS($AC161-significance_bar)&lt;=2.0*IF($V161,IF($AL161="","",$AL161),IF($AK161="","",$AK161)),OR($Y161="worse",$Y161="worse, not significant")),IF(ROUND($AC161,3)=ROUND(significance_bar,3),TEXT($AC161,"0.0000"),TEXT($AC161,"0.000")),""),"")</f>
        <v/>
      </c>
      <c r="AO161">
        <f>IF(OR($AI161="",$AN161=""),$AI161,$AI161&amp;" · borderline (p "&amp;$AN161&amp;")")</f>
        <v/>
      </c>
    </row>
    <row r="162">
      <c r="A162" t="inlineStr">
        <is>
          <t>grids</t>
        </is>
      </c>
      <c r="B162" t="inlineStr">
        <is>
          <t>FICO x ASSET_CLASS</t>
        </is>
      </c>
      <c r="C162" t="inlineStr">
        <is>
          <t>654 - 685</t>
        </is>
      </c>
      <c r="D162" t="inlineStr">
        <is>
          <t>2</t>
        </is>
      </c>
      <c r="E162" t="inlineStr">
        <is>
          <t>ranr_rate</t>
        </is>
      </c>
      <c r="F162" t="inlineStr">
        <is>
          <t>Profit after losses: RANR per booked dollar</t>
        </is>
      </c>
      <c r="G162" t="n">
        <v>355</v>
      </c>
      <c r="H162" t="n">
        <v>11168462.05</v>
      </c>
      <c r="I162" t="b">
        <v>0</v>
      </c>
      <c r="J162" t="b">
        <v>0</v>
      </c>
      <c r="K162" t="n">
        <v>0.05229598153407949</v>
      </c>
      <c r="L162" t="n">
        <v>0.01036484245439469</v>
      </c>
      <c r="M162" t="n">
        <v>0.01931966419890491</v>
      </c>
      <c r="N162" t="n">
        <v>0.4378109452736318</v>
      </c>
      <c r="O162" t="n">
        <v>-584065.6851308676</v>
      </c>
      <c r="P162" t="n">
        <v>-215770.9364242132</v>
      </c>
      <c r="Q162">
        <f>'_live'!$C$23</f>
        <v/>
      </c>
      <c r="R162" t="inlineStr">
        <is>
          <t>shuffled: 0 of 200</t>
        </is>
      </c>
      <c r="S162" t="inlineStr">
        <is>
          <t>shuffled: 32 of 200</t>
        </is>
      </c>
      <c r="T162" t="n">
        <v>0.12572682958341</v>
      </c>
      <c r="U162" t="n">
        <v>0.1587031469185846</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0.1780228111174895</v>
      </c>
      <c r="AI162">
        <f>IF($Y162="worse","Yes",IF($Y162="worse, not significant","Not sure",IF(OR($Y162="too few losses to test",$Y162="too few loans to test"),"Too few losses",IF($Y162="","","No"))))</f>
        <v/>
      </c>
      <c r="AJ162">
        <f>IF($AA162="yes","Yes",IF($AA162="","","No"))</f>
        <v/>
      </c>
      <c r="AK162" t="n">
        <v>0.01036484245439469</v>
      </c>
      <c r="AL162" t="n">
        <v>0.06985046278521091</v>
      </c>
      <c r="AM162">
        <f>IF(AND(ISNUMBER($AC162),ISNUMBER(IF($V162,IF($AL162="","",$AL162),IF($AK162="","",$AK162)))),IF(AND(ABS($AC162-significance_bar)&lt;=2.0*IF($V162,IF($AL162="","",$AL162),IF($AK162="","",$AK162)),OR($Y162="worse",$Y162="better",$Y162="worse, not significant",$Y162="better, not significant",AND(profit_kind="test",$Y162="in line",ISNUMBER($AB162),$AB162&lt;&gt;0))),IF(ROUND($AC162,3)=ROUND(significance_bar,3),TEXT($AC162,"0.0000"),TEXT($AC162,"0.000")),""),"")</f>
        <v/>
      </c>
      <c r="AN162">
        <f>IF(AND(ISNUMBER($AC162),ISNUMBER(IF($V162,IF($AL162="","",$AL162),IF($AK162="","",$AK162)))),IF(AND(ABS($AC162-significance_bar)&lt;=2.0*IF($V162,IF($AL162="","",$AL162),IF($AK162="","",$AK162)),OR($Y162="worse",$Y162="worse, not significant",AND(profit_kind="test",$Y162="in line",ISNUMBER($AB162),$AB162&lt;0))),IF(ROUND($AC162,3)=ROUND(significance_bar,3),TEXT($AC162,"0.0000"),TEXT($AC162,"0.000")),""),"")</f>
        <v/>
      </c>
      <c r="AO162">
        <f>IF(OR($AI162="",$AN162=""),$AI162,$AI162&amp;" · borderline (p "&amp;$AN162&amp;")")</f>
        <v/>
      </c>
    </row>
    <row r="163">
      <c r="A163" t="inlineStr">
        <is>
          <t>grids</t>
        </is>
      </c>
      <c r="B163" t="inlineStr">
        <is>
          <t>FICO x ASSET_CLASS</t>
        </is>
      </c>
      <c r="C163" t="inlineStr">
        <is>
          <t>654 - 685</t>
        </is>
      </c>
      <c r="D163" t="inlineStr">
        <is>
          <t>2</t>
        </is>
      </c>
      <c r="E163" t="inlineStr">
        <is>
          <t>contribution_rate</t>
        </is>
      </c>
      <c r="F163" t="inlineStr">
        <is>
          <t>Contribution before losses per booked dollar</t>
        </is>
      </c>
      <c r="G163" t="n">
        <v>355</v>
      </c>
      <c r="H163" t="n">
        <v>11168462.05</v>
      </c>
      <c r="I163" t="b">
        <v>0</v>
      </c>
      <c r="J163" t="b">
        <v>0</v>
      </c>
      <c r="K163" t="n">
        <v>0.04247776461559855</v>
      </c>
      <c r="L163" t="n">
        <v>0.00777363184079602</v>
      </c>
      <c r="M163" t="n">
        <v>0.002509598768516197</v>
      </c>
      <c r="N163" t="n">
        <v>0.9203980099502488</v>
      </c>
      <c r="O163" t="n">
        <v>-474411.3020781453</v>
      </c>
      <c r="P163" t="n">
        <v>-28028.35860690009</v>
      </c>
      <c r="Q163">
        <f>'_live'!$C$24</f>
        <v/>
      </c>
      <c r="R163" t="inlineStr">
        <is>
          <t>shuffled: 0 of 200</t>
        </is>
      </c>
      <c r="S163" t="inlineStr">
        <is>
          <t>shuffled: 147 of 200</t>
        </is>
      </c>
      <c r="T163" t="n">
        <v>0.1677538572038085</v>
      </c>
      <c r="U163" t="n">
        <v>0.2077220230508909</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0.210231621819407</v>
      </c>
      <c r="AI163">
        <f>IF($Y163="worse","Yes",IF($Y163="worse, not significant","Not sure",IF(OR($Y163="too few losses to test",$Y163="too few loans to test"),"Too few losses",IF($Y163="","","No"))))</f>
        <v/>
      </c>
      <c r="AJ163">
        <f>IF($AA163="yes","Yes",IF($AA163="","","No"))</f>
        <v/>
      </c>
      <c r="AK163" t="n">
        <v>0.00777363184079602</v>
      </c>
      <c r="AL163" t="n">
        <v>0.01913968563350382</v>
      </c>
      <c r="AM163">
        <f>IF(AND(ISNUMBER($AC163),ISNUMBER(IF($V163,IF($AL163="","",$AL163),IF($AK163="","",$AK163)))),IF(AND(ABS($AC163-significance_bar)&lt;=2.0*IF($V163,IF($AL163="","",$AL163),IF($AK163="","",$AK163)),OR($Y163="worse",$Y163="better",$Y163="worse, not significant",$Y163="better, not significant",AND(profit_kind="test",$Y163="in line",ISNUMBER($AB163),$AB163&lt;&gt;0))),IF(ROUND($AC163,3)=ROUND(significance_bar,3),TEXT($AC163,"0.0000"),TEXT($AC163,"0.000")),""),"")</f>
        <v/>
      </c>
      <c r="AN163">
        <f>IF(AND(ISNUMBER($AC163),ISNUMBER(IF($V163,IF($AL163="","",$AL163),IF($AK163="","",$AK163)))),IF(AND(ABS($AC163-significance_bar)&lt;=2.0*IF($V163,IF($AL163="","",$AL163),IF($AK163="","",$AK163)),OR($Y163="worse",$Y163="worse, not significant",AND(profit_kind="test",$Y163="in line",ISNUMBER($AB163),$AB163&lt;0))),IF(ROUND($AC163,3)=ROUND(significance_bar,3),TEXT($AC163,"0.0000"),TEXT($AC163,"0.000")),""),"")</f>
        <v/>
      </c>
      <c r="AO163">
        <f>IF(OR($AI163="",$AN163=""),$AI163,$AI163&amp;" · borderline (p "&amp;$AN163&amp;")")</f>
        <v/>
      </c>
    </row>
    <row r="164">
      <c r="A164" t="inlineStr">
        <is>
          <t>grids</t>
        </is>
      </c>
      <c r="B164" t="inlineStr">
        <is>
          <t>FICO x ASSET_CLASS</t>
        </is>
      </c>
      <c r="C164" t="inlineStr">
        <is>
          <t>746 - 921</t>
        </is>
      </c>
      <c r="D164" t="inlineStr">
        <is>
          <t>4</t>
        </is>
      </c>
      <c r="E164" t="inlineStr">
        <is>
          <t>outcome_loans</t>
        </is>
      </c>
      <c r="F164" t="inlineStr">
        <is>
          <t>Outcome, share of loans</t>
        </is>
      </c>
      <c r="G164" t="n">
        <v>373</v>
      </c>
      <c r="H164" t="n">
        <v>373</v>
      </c>
      <c r="I164" t="b">
        <v>0</v>
      </c>
      <c r="J164" t="b">
        <v>0</v>
      </c>
      <c r="K164" t="n">
        <v>0.5077410649290698</v>
      </c>
      <c r="L164" t="n">
        <v>0.01317998964577979</v>
      </c>
      <c r="M164" t="n">
        <v>1.025041355313445</v>
      </c>
      <c r="N164" t="n">
        <v>0.955146465774709</v>
      </c>
      <c r="O164" t="n">
        <v>-14.54261736165749</v>
      </c>
      <c r="P164" t="n">
        <v>0.3664440734557584</v>
      </c>
      <c r="Q164">
        <f>'_live'!$C$20</f>
        <v/>
      </c>
      <c r="R164" t="inlineStr">
        <is>
          <t>z test</t>
        </is>
      </c>
      <c r="S164" t="inlineStr">
        <is>
          <t>z test</t>
        </is>
      </c>
      <c r="T164" t="n">
        <v>0.07920272751114608</v>
      </c>
      <c r="U164" t="n">
        <v>0.03923205342237062</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0.04021447721179625</v>
      </c>
      <c r="AI164">
        <f>IF($Y164="worse","Yes",IF($Y164="worse, not significant","Not sure",IF(OR($Y164="too few losses to test",$Y164="too few loans to test"),"Too few losses",IF($Y164="","","No"))))</f>
        <v/>
      </c>
      <c r="AJ164">
        <f>IF($AA164="yes","Yes",IF($AA164="","","No"))</f>
        <v/>
      </c>
      <c r="AM164">
        <f>IF(AND(ISNUMBER($AC164),ISNUMBER(IF($V164,IF($AL164="","",$AL164),IF($AK164="","",$AK164)))),IF(AND(ABS($AC164-significance_bar)&lt;=2.0*IF($V164,IF($AL164="","",$AL164),IF($AK164="","",$AK164)),OR($Y164="worse",$Y164="better",$Y164="worse, not significant",$Y164="better, not significant")),IF(ROUND($AC164,3)=ROUND(significance_bar,3),TEXT($AC164,"0.0000"),TEXT($AC164,"0.000")),""),"")</f>
        <v/>
      </c>
      <c r="AN164">
        <f>IF(AND(ISNUMBER($AC164),ISNUMBER(IF($V164,IF($AL164="","",$AL164),IF($AK164="","",$AK164)))),IF(AND(ABS($AC164-significance_bar)&lt;=2.0*IF($V164,IF($AL164="","",$AL164),IF($AK164="","",$AK164)),OR($Y164="worse",$Y164="worse, not significant")),IF(ROUND($AC164,3)=ROUND(significance_bar,3),TEXT($AC164,"0.0000"),TEXT($AC164,"0.000")),""),"")</f>
        <v/>
      </c>
      <c r="AO164">
        <f>IF(OR($AI164="",$AN164=""),$AI164,$AI164&amp;" · borderline (p "&amp;$AN164&amp;")")</f>
        <v/>
      </c>
    </row>
    <row r="165">
      <c r="A165" t="inlineStr">
        <is>
          <t>grids</t>
        </is>
      </c>
      <c r="B165" t="inlineStr">
        <is>
          <t>FICO x ASSET_CLASS</t>
        </is>
      </c>
      <c r="C165" t="inlineStr">
        <is>
          <t>746 - 921</t>
        </is>
      </c>
      <c r="D165" t="inlineStr">
        <is>
          <t>4</t>
        </is>
      </c>
      <c r="E165" t="inlineStr">
        <is>
          <t>outcome_booked</t>
        </is>
      </c>
      <c r="F165" t="inlineStr">
        <is>
          <t>Outcome, share of booked dollars</t>
        </is>
      </c>
      <c r="G165" t="n">
        <v>373</v>
      </c>
      <c r="H165" t="n">
        <v>11582092.55</v>
      </c>
      <c r="I165" t="b">
        <v>0</v>
      </c>
      <c r="J165" t="b">
        <v>0</v>
      </c>
      <c r="K165" t="n">
        <v>0.4297027543128009</v>
      </c>
      <c r="L165" t="n">
        <v>0.03316749585406301</v>
      </c>
      <c r="M165" t="n">
        <v>0.8690946877055101</v>
      </c>
      <c r="N165" t="n">
        <v>0.7711442786069652</v>
      </c>
      <c r="O165" t="n">
        <v>-507247.0962829373</v>
      </c>
      <c r="P165" t="n">
        <v>-57567.39913480985</v>
      </c>
      <c r="Q165">
        <f>'_live'!$C$21</f>
        <v/>
      </c>
      <c r="R165" t="inlineStr">
        <is>
          <t>shuffled: 1 of 200</t>
        </is>
      </c>
      <c r="S165" t="inlineStr">
        <is>
          <t>shuffled: 140 of 200</t>
        </is>
      </c>
      <c r="T165" t="n">
        <v>0.07679470289528445</v>
      </c>
      <c r="U165" t="n">
        <v>0.03796927517513318</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0.03299889535073695</v>
      </c>
      <c r="AI165">
        <f>IF($Y165="worse","Yes",IF($Y165="worse, not significant","Not sure",IF(OR($Y165="too few losses to test",$Y165="too few loans to test"),"Too few losses",IF($Y165="","","No"))))</f>
        <v/>
      </c>
      <c r="AJ165">
        <f>IF($AA165="yes","Yes",IF($AA165="","","No"))</f>
        <v/>
      </c>
      <c r="AK165" t="n">
        <v>0.01905327577624553</v>
      </c>
      <c r="AL165" t="n">
        <v>0.02970528405677249</v>
      </c>
      <c r="AM165">
        <f>IF(AND(ISNUMBER($AC165),ISNUMBER(IF($V165,IF($AL165="","",$AL165),IF($AK165="","",$AK165)))),IF(AND(ABS($AC165-significance_bar)&lt;=2.0*IF($V165,IF($AL165="","",$AL165),IF($AK165="","",$AK165)),OR($Y165="worse",$Y165="better",$Y165="worse, not significant",$Y165="better, not significant")),IF(ROUND($AC165,3)=ROUND(significance_bar,3),TEXT($AC165,"0.0000"),TEXT($AC165,"0.000")),""),"")</f>
        <v/>
      </c>
      <c r="AN165">
        <f>IF(AND(ISNUMBER($AC165),ISNUMBER(IF($V165,IF($AL165="","",$AL165),IF($AK165="","",$AK165)))),IF(AND(ABS($AC165-significance_bar)&lt;=2.0*IF($V165,IF($AL165="","",$AL165),IF($AK165="","",$AK165)),OR($Y165="worse",$Y165="worse, not significant")),IF(ROUND($AC165,3)=ROUND(significance_bar,3),TEXT($AC165,"0.0000"),TEXT($AC165,"0.000")),""),"")</f>
        <v/>
      </c>
      <c r="AO165">
        <f>IF(OR($AI165="",$AN165=""),$AI165,$AI165&amp;" · borderline (p "&amp;$AN165&amp;")")</f>
        <v/>
      </c>
    </row>
    <row r="166">
      <c r="A166" t="inlineStr">
        <is>
          <t>grids</t>
        </is>
      </c>
      <c r="B166" t="inlineStr">
        <is>
          <t>FICO x ASSET_CLASS</t>
        </is>
      </c>
      <c r="C166" t="inlineStr">
        <is>
          <t>746 - 921</t>
        </is>
      </c>
      <c r="D166" t="inlineStr">
        <is>
          <t>4</t>
        </is>
      </c>
      <c r="E166" t="inlineStr">
        <is>
          <t>gco_rate</t>
        </is>
      </c>
      <c r="F166" t="inlineStr">
        <is>
          <t>GCO per booked dollar</t>
        </is>
      </c>
      <c r="G166" t="n">
        <v>373</v>
      </c>
      <c r="H166" t="n">
        <v>11582092.55</v>
      </c>
      <c r="I166" t="b">
        <v>0</v>
      </c>
      <c r="J166" t="b">
        <v>0</v>
      </c>
      <c r="K166" t="n">
        <v>0.4161647257408173</v>
      </c>
      <c r="L166" t="n">
        <v>0.04975124378109452</v>
      </c>
      <c r="M166" t="n">
        <v>0.8938373725528002</v>
      </c>
      <c r="N166" t="n">
        <v>0.822204765645457</v>
      </c>
      <c r="O166" t="n">
        <v>-288907.484102961</v>
      </c>
      <c r="P166" t="n">
        <v>-24459.46071346218</v>
      </c>
      <c r="Q166">
        <f>'_live'!$C$22</f>
        <v/>
      </c>
      <c r="R166" t="inlineStr">
        <is>
          <t>shuffled: 3 of 200</t>
        </is>
      </c>
      <c r="S166" t="inlineStr">
        <is>
          <t>shuffled: 156 of 200</t>
        </is>
      </c>
      <c r="T166" t="n">
        <v>0.04272493696339536</v>
      </c>
      <c r="U166" t="n">
        <v>0.01989244600825282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0.01778061167366514</v>
      </c>
      <c r="AI166">
        <f>IF($Y166="worse","Yes",IF($Y166="worse, not significant","Not sure",IF(OR($Y166="too few losses to test",$Y166="too few loans to test"),"Too few losses",IF($Y166="","","No"))))</f>
        <v/>
      </c>
      <c r="AJ166">
        <f>IF($AA166="yes","Yes",IF($AA166="","","No"))</f>
        <v/>
      </c>
      <c r="AK166" t="n">
        <v>0.02468834980258608</v>
      </c>
      <c r="AL166" t="n">
        <v>0.03077807856489157</v>
      </c>
      <c r="AM166">
        <f>IF(AND(ISNUMBER($AC166),ISNUMBER(IF($V166,IF($AL166="","",$AL166),IF($AK166="","",$AK166)))),IF(AND(ABS($AC166-significance_bar)&lt;=2.0*IF($V166,IF($AL166="","",$AL166),IF($AK166="","",$AK166)),OR($Y166="worse",$Y166="better",$Y166="worse, not significant",$Y166="better, not significant")),IF(ROUND($AC166,3)=ROUND(significance_bar,3),TEXT($AC166,"0.0000"),TEXT($AC166,"0.000")),""),"")</f>
        <v/>
      </c>
      <c r="AN166">
        <f>IF(AND(ISNUMBER($AC166),ISNUMBER(IF($V166,IF($AL166="","",$AL166),IF($AK166="","",$AK166)))),IF(AND(ABS($AC166-significance_bar)&lt;=2.0*IF($V166,IF($AL166="","",$AL166),IF($AK166="","",$AK166)),OR($Y166="worse",$Y166="worse, not significant")),IF(ROUND($AC166,3)=ROUND(significance_bar,3),TEXT($AC166,"0.0000"),TEXT($AC166,"0.000")),""),"")</f>
        <v/>
      </c>
      <c r="AO166">
        <f>IF(OR($AI166="",$AN166=""),$AI166,$AI166&amp;" · borderline (p "&amp;$AN166&amp;")")</f>
        <v/>
      </c>
    </row>
    <row r="167">
      <c r="A167" t="inlineStr">
        <is>
          <t>grids</t>
        </is>
      </c>
      <c r="B167" t="inlineStr">
        <is>
          <t>FICO x ASSET_CLASS</t>
        </is>
      </c>
      <c r="C167" t="inlineStr">
        <is>
          <t>746 - 921</t>
        </is>
      </c>
      <c r="D167" t="inlineStr">
        <is>
          <t>4</t>
        </is>
      </c>
      <c r="E167" t="inlineStr">
        <is>
          <t>ranr_rate</t>
        </is>
      </c>
      <c r="F167" t="inlineStr">
        <is>
          <t>Profit after losses: RANR per booked dollar</t>
        </is>
      </c>
      <c r="G167" t="n">
        <v>373</v>
      </c>
      <c r="H167" t="n">
        <v>11582092.55</v>
      </c>
      <c r="I167" t="b">
        <v>0</v>
      </c>
      <c r="J167" t="b">
        <v>0</v>
      </c>
      <c r="K167" t="n">
        <v>-0.08406631320646024</v>
      </c>
      <c r="L167" t="n">
        <v>0.01036484245439469</v>
      </c>
      <c r="M167" t="n">
        <v>0.001236699234470624</v>
      </c>
      <c r="N167" t="n">
        <v>0.9552238805970149</v>
      </c>
      <c r="O167" t="n">
        <v>973663.8198945097</v>
      </c>
      <c r="P167" t="n">
        <v>-14323.56499015295</v>
      </c>
      <c r="Q167">
        <f>'_live'!$C$23</f>
        <v/>
      </c>
      <c r="R167" t="inlineStr">
        <is>
          <t>shuffled: 0 of 200</t>
        </is>
      </c>
      <c r="S167" t="inlineStr">
        <is>
          <t>shuffled: 186 of 200</t>
        </is>
      </c>
      <c r="T167" t="n">
        <v>0.1317629394952909</v>
      </c>
      <c r="U167" t="n">
        <v>0.04645992705436005</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0.04769662628883067</v>
      </c>
      <c r="AI167">
        <f>IF($Y167="worse","Yes",IF($Y167="worse, not significant","Not sure",IF(OR($Y167="too few losses to test",$Y167="too few loans to test"),"Too few losses",IF($Y167="","","No"))))</f>
        <v/>
      </c>
      <c r="AJ167">
        <f>IF($AA167="yes","Yes",IF($AA167="","","No"))</f>
        <v/>
      </c>
      <c r="AK167" t="n">
        <v>0.01036484245439469</v>
      </c>
      <c r="AL167" t="n">
        <v>0.01462381935989957</v>
      </c>
      <c r="AM167">
        <f>IF(AND(ISNUMBER($AC167),ISNUMBER(IF($V167,IF($AL167="","",$AL167),IF($AK167="","",$AK167)))),IF(AND(ABS($AC167-significance_bar)&lt;=2.0*IF($V167,IF($AL167="","",$AL167),IF($AK167="","",$AK167)),OR($Y167="worse",$Y167="better",$Y167="worse, not significant",$Y167="better, not significant",AND(profit_kind="test",$Y167="in line",ISNUMBER($AB167),$AB167&lt;&gt;0))),IF(ROUND($AC167,3)=ROUND(significance_bar,3),TEXT($AC167,"0.0000"),TEXT($AC167,"0.000")),""),"")</f>
        <v/>
      </c>
      <c r="AN167">
        <f>IF(AND(ISNUMBER($AC167),ISNUMBER(IF($V167,IF($AL167="","",$AL167),IF($AK167="","",$AK167)))),IF(AND(ABS($AC167-significance_bar)&lt;=2.0*IF($V167,IF($AL167="","",$AL167),IF($AK167="","",$AK167)),OR($Y167="worse",$Y167="worse, not significant",AND(profit_kind="test",$Y167="in line",ISNUMBER($AB167),$AB167&lt;0))),IF(ROUND($AC167,3)=ROUND(significance_bar,3),TEXT($AC167,"0.0000"),TEXT($AC167,"0.000")),""),"")</f>
        <v/>
      </c>
      <c r="AO167">
        <f>IF(OR($AI167="",$AN167=""),$AI167,$AI167&amp;" · borderline (p "&amp;$AN167&amp;")")</f>
        <v/>
      </c>
    </row>
    <row r="168">
      <c r="A168" t="inlineStr">
        <is>
          <t>grids</t>
        </is>
      </c>
      <c r="B168" t="inlineStr">
        <is>
          <t>FICO x ASSET_CLASS</t>
        </is>
      </c>
      <c r="C168" t="inlineStr">
        <is>
          <t>746 - 921</t>
        </is>
      </c>
      <c r="D168" t="inlineStr">
        <is>
          <t>4</t>
        </is>
      </c>
      <c r="E168" t="inlineStr">
        <is>
          <t>contribution_rate</t>
        </is>
      </c>
      <c r="F168" t="inlineStr">
        <is>
          <t>Contribution before losses per booked dollar</t>
        </is>
      </c>
      <c r="G168" t="n">
        <v>373</v>
      </c>
      <c r="H168" t="n">
        <v>11582092.55</v>
      </c>
      <c r="I168" t="b">
        <v>0</v>
      </c>
      <c r="J168" t="b">
        <v>0</v>
      </c>
      <c r="K168" t="n">
        <v>-0.1090082524105789</v>
      </c>
      <c r="L168" t="n">
        <v>0.00777363184079602</v>
      </c>
      <c r="M168" t="n">
        <v>-0.0008751351001170526</v>
      </c>
      <c r="N168" t="n">
        <v>0.9203980099502488</v>
      </c>
      <c r="O168" t="n">
        <v>1262543.668133085</v>
      </c>
      <c r="P168" t="n">
        <v>10135.89572330925</v>
      </c>
      <c r="Q168">
        <f>'_live'!$C$24</f>
        <v/>
      </c>
      <c r="R168" t="inlineStr">
        <is>
          <t>shuffled: 0 of 200</t>
        </is>
      </c>
      <c r="S168" t="inlineStr">
        <is>
          <t>shuffled: 123 of 200</t>
        </is>
      </c>
      <c r="T168" t="n">
        <v>0.1744854903730747</v>
      </c>
      <c r="U168" t="n">
        <v>0.06635237306261287</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0.06547723796249581</v>
      </c>
      <c r="AI168">
        <f>IF($Y168="worse","Yes",IF($Y168="worse, not significant","Not sure",IF(OR($Y168="too few losses to test",$Y168="too few loans to test"),"Too few losses",IF($Y168="","","No"))))</f>
        <v/>
      </c>
      <c r="AJ168">
        <f>IF($AA168="yes","Yes",IF($AA168="","","No"))</f>
        <v/>
      </c>
      <c r="AK168" t="n">
        <v>0.00777363184079602</v>
      </c>
      <c r="AL168" t="n">
        <v>0.01913968563350382</v>
      </c>
      <c r="AM168">
        <f>IF(AND(ISNUMBER($AC168),ISNUMBER(IF($V168,IF($AL168="","",$AL168),IF($AK168="","",$AK168)))),IF(AND(ABS($AC168-significance_bar)&lt;=2.0*IF($V168,IF($AL168="","",$AL168),IF($AK168="","",$AK168)),OR($Y168="worse",$Y168="better",$Y168="worse, not significant",$Y168="better, not significant",AND(profit_kind="test",$Y168="in line",ISNUMBER($AB168),$AB168&lt;&gt;0))),IF(ROUND($AC168,3)=ROUND(significance_bar,3),TEXT($AC168,"0.0000"),TEXT($AC168,"0.000")),""),"")</f>
        <v/>
      </c>
      <c r="AN168">
        <f>IF(AND(ISNUMBER($AC168),ISNUMBER(IF($V168,IF($AL168="","",$AL168),IF($AK168="","",$AK168)))),IF(AND(ABS($AC168-significance_bar)&lt;=2.0*IF($V168,IF($AL168="","",$AL168),IF($AK168="","",$AK168)),OR($Y168="worse",$Y168="worse, not significant",AND(profit_kind="test",$Y168="in line",ISNUMBER($AB168),$AB168&lt;0))),IF(ROUND($AC168,3)=ROUND(significance_bar,3),TEXT($AC168,"0.0000"),TEXT($AC168,"0.000")),""),"")</f>
        <v/>
      </c>
      <c r="AO168">
        <f>IF(OR($AI168="",$AN168=""),$AI168,$AI168&amp;" · borderline (p "&amp;$AN168&amp;")")</f>
        <v/>
      </c>
    </row>
    <row r="169">
      <c r="A169" t="inlineStr">
        <is>
          <t>grids</t>
        </is>
      </c>
      <c r="B169" t="inlineStr">
        <is>
          <t>FICO x ASSET_CLASS</t>
        </is>
      </c>
      <c r="C169" t="inlineStr">
        <is>
          <t>654 - 685</t>
        </is>
      </c>
      <c r="D169" t="inlineStr">
        <is>
          <t>1</t>
        </is>
      </c>
      <c r="E169" t="inlineStr">
        <is>
          <t>outcome_loans</t>
        </is>
      </c>
      <c r="F169" t="inlineStr">
        <is>
          <t>Outcome, share of loans</t>
        </is>
      </c>
      <c r="G169" t="n">
        <v>397</v>
      </c>
      <c r="H169" t="n">
        <v>397</v>
      </c>
      <c r="I169" t="b">
        <v>0</v>
      </c>
      <c r="J169" t="b">
        <v>0</v>
      </c>
      <c r="K169" t="n">
        <v>0.9753114402158806</v>
      </c>
      <c r="L169" t="n">
        <v>0.8894066608809501</v>
      </c>
      <c r="M169" t="n">
        <v>0.8629722921914358</v>
      </c>
      <c r="N169" t="n">
        <v>0.7367430686845797</v>
      </c>
      <c r="O169" t="n">
        <v>-0.7594054196264182</v>
      </c>
      <c r="P169" t="n">
        <v>-4.763572679509629</v>
      </c>
      <c r="Q169">
        <f>'_live'!$C$20</f>
        <v/>
      </c>
      <c r="R169" t="inlineStr">
        <is>
          <t>z test</t>
        </is>
      </c>
      <c r="S169" t="inlineStr">
        <is>
          <t>z test</t>
        </is>
      </c>
      <c r="T169" t="n">
        <v>0.07747961062878191</v>
      </c>
      <c r="U169" t="n">
        <v>0.08756567425569177</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0.07556675062972293</v>
      </c>
      <c r="AI169">
        <f>IF($Y169="worse","Yes",IF($Y169="worse, not significant","Not sure",IF(OR($Y169="too few losses to test",$Y169="too few loans to test"),"Too few losses",IF($Y169="","","No"))))</f>
        <v/>
      </c>
      <c r="AJ169">
        <f>IF($AA169="yes","Yes",IF($AA169="","","No"))</f>
        <v/>
      </c>
      <c r="AM169">
        <f>IF(AND(ISNUMBER($AC169),ISNUMBER(IF($V169,IF($AL169="","",$AL169),IF($AK169="","",$AK169)))),IF(AND(ABS($AC169-significance_bar)&lt;=2.0*IF($V169,IF($AL169="","",$AL169),IF($AK169="","",$AK169)),OR($Y169="worse",$Y169="better",$Y169="worse, not significant",$Y169="better, not significant")),IF(ROUND($AC169,3)=ROUND(significance_bar,3),TEXT($AC169,"0.0000"),TEXT($AC169,"0.000")),""),"")</f>
        <v/>
      </c>
      <c r="AN169">
        <f>IF(AND(ISNUMBER($AC169),ISNUMBER(IF($V169,IF($AL169="","",$AL169),IF($AK169="","",$AK169)))),IF(AND(ABS($AC169-significance_bar)&lt;=2.0*IF($V169,IF($AL169="","",$AL169),IF($AK169="","",$AK169)),OR($Y169="worse",$Y169="worse, not significant")),IF(ROUND($AC169,3)=ROUND(significance_bar,3),TEXT($AC169,"0.0000"),TEXT($AC169,"0.000")),""),"")</f>
        <v/>
      </c>
      <c r="AO169">
        <f>IF(OR($AI169="",$AN169=""),$AI169,$AI169&amp;" · borderline (p "&amp;$AN169&amp;")")</f>
        <v/>
      </c>
    </row>
    <row r="170">
      <c r="A170" t="inlineStr">
        <is>
          <t>grids</t>
        </is>
      </c>
      <c r="B170" t="inlineStr">
        <is>
          <t>FICO x ASSET_CLASS</t>
        </is>
      </c>
      <c r="C170" t="inlineStr">
        <is>
          <t>654 - 685</t>
        </is>
      </c>
      <c r="D170" t="inlineStr">
        <is>
          <t>1</t>
        </is>
      </c>
      <c r="E170" t="inlineStr">
        <is>
          <t>outcome_booked</t>
        </is>
      </c>
      <c r="F170" t="inlineStr">
        <is>
          <t>Outcome, share of booked dollars</t>
        </is>
      </c>
      <c r="G170" t="n">
        <v>397</v>
      </c>
      <c r="H170" t="n">
        <v>12630808.76999999</v>
      </c>
      <c r="I170" t="b">
        <v>0</v>
      </c>
      <c r="J170" t="b">
        <v>0</v>
      </c>
      <c r="K170" t="n">
        <v>0.8418537483389176</v>
      </c>
      <c r="L170" t="n">
        <v>0.5030403537866224</v>
      </c>
      <c r="M170" t="n">
        <v>0.7426239781355174</v>
      </c>
      <c r="N170" t="n">
        <v>0.454868514570007</v>
      </c>
      <c r="O170" t="n">
        <v>-150637.9349458193</v>
      </c>
      <c r="P170" t="n">
        <v>-277914.5065561817</v>
      </c>
      <c r="Q170">
        <f>'_live'!$C$21</f>
        <v/>
      </c>
      <c r="R170" t="inlineStr">
        <is>
          <t>shuffled: 90 of 200</t>
        </is>
      </c>
      <c r="S170" t="inlineStr">
        <is>
          <t>shuffled: 31 of 200</t>
        </is>
      </c>
      <c r="T170" t="n">
        <v>0.07541266535585592</v>
      </c>
      <c r="U170" t="n">
        <v>0.08548934167389684</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0.06348643500205574</v>
      </c>
      <c r="AI170">
        <f>IF($Y170="worse","Yes",IF($Y170="worse, not significant","Not sure",IF(OR($Y170="too few losses to test",$Y170="too few loans to test"),"Too few losses",IF($Y170="","","No"))))</f>
        <v/>
      </c>
      <c r="AJ170">
        <f>IF($AA170="yes","Yes",IF($AA170="","","No"))</f>
        <v/>
      </c>
      <c r="AK170" t="n">
        <v>0.03910780797307681</v>
      </c>
      <c r="AL170" t="n">
        <v>0.07391613361762617</v>
      </c>
      <c r="AM170">
        <f>IF(AND(ISNUMBER($AC170),ISNUMBER(IF($V170,IF($AL170="","",$AL170),IF($AK170="","",$AK170)))),IF(AND(ABS($AC170-significance_bar)&lt;=2.0*IF($V170,IF($AL170="","",$AL170),IF($AK170="","",$AK170)),OR($Y170="worse",$Y170="better",$Y170="worse, not significant",$Y170="better, not significant")),IF(ROUND($AC170,3)=ROUND(significance_bar,3),TEXT($AC170,"0.0000"),TEXT($AC170,"0.000")),""),"")</f>
        <v/>
      </c>
      <c r="AN170">
        <f>IF(AND(ISNUMBER($AC170),ISNUMBER(IF($V170,IF($AL170="","",$AL170),IF($AK170="","",$AK170)))),IF(AND(ABS($AC170-significance_bar)&lt;=2.0*IF($V170,IF($AL170="","",$AL170),IF($AK170="","",$AK170)),OR($Y170="worse",$Y170="worse, not significant")),IF(ROUND($AC170,3)=ROUND(significance_bar,3),TEXT($AC170,"0.0000"),TEXT($AC170,"0.000")),""),"")</f>
        <v/>
      </c>
      <c r="AO170">
        <f>IF(OR($AI170="",$AN170=""),$AI170,$AI170&amp;" · borderline (p "&amp;$AN170&amp;")")</f>
        <v/>
      </c>
    </row>
    <row r="171">
      <c r="A171" t="inlineStr">
        <is>
          <t>grids</t>
        </is>
      </c>
      <c r="B171" t="inlineStr">
        <is>
          <t>FICO x ASSET_CLASS</t>
        </is>
      </c>
      <c r="C171" t="inlineStr">
        <is>
          <t>654 - 685</t>
        </is>
      </c>
      <c r="D171" t="inlineStr">
        <is>
          <t>1</t>
        </is>
      </c>
      <c r="E171" t="inlineStr">
        <is>
          <t>gco_rate</t>
        </is>
      </c>
      <c r="F171" t="inlineStr">
        <is>
          <t>GCO per booked dollar</t>
        </is>
      </c>
      <c r="G171" t="n">
        <v>397</v>
      </c>
      <c r="H171" t="n">
        <v>12630808.76999999</v>
      </c>
      <c r="I171" t="b">
        <v>0</v>
      </c>
      <c r="J171" t="b">
        <v>0</v>
      </c>
      <c r="K171" t="n">
        <v>0.7756374928833367</v>
      </c>
      <c r="L171" t="n">
        <v>0.3582089552238806</v>
      </c>
      <c r="M171" t="n">
        <v>0.6585879176080297</v>
      </c>
      <c r="N171" t="n">
        <v>0.2487562189054726</v>
      </c>
      <c r="O171" t="n">
        <v>-119213.6262726079</v>
      </c>
      <c r="P171" t="n">
        <v>-213648.3464004278</v>
      </c>
      <c r="Q171">
        <f>'_live'!$C$22</f>
        <v/>
      </c>
      <c r="R171" t="inlineStr">
        <is>
          <t>shuffled: 51 of 200</t>
        </is>
      </c>
      <c r="S171" t="inlineStr">
        <is>
          <t>shuffled: 14 of 200</t>
        </is>
      </c>
      <c r="T171" t="n">
        <v>0.04206728214701712</v>
      </c>
      <c r="U171" t="n">
        <v>0.04954382001940706</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0.03262896125692831</v>
      </c>
      <c r="AI171">
        <f>IF($Y171="worse","Yes",IF($Y171="worse, not significant","Not sure",IF(OR($Y171="too few losses to test",$Y171="too few loans to test"),"Too few losses",IF($Y171="","","No"))))</f>
        <v/>
      </c>
      <c r="AJ171">
        <f>IF($AA171="yes","Yes",IF($AA171="","","No"))</f>
        <v/>
      </c>
      <c r="AK171" t="n">
        <v>0.0417910447761194</v>
      </c>
      <c r="AL171" t="n">
        <v>0.06193979899496882</v>
      </c>
      <c r="AM171">
        <f>IF(AND(ISNUMBER($AC171),ISNUMBER(IF($V171,IF($AL171="","",$AL171),IF($AK171="","",$AK171)))),IF(AND(ABS($AC171-significance_bar)&lt;=2.0*IF($V171,IF($AL171="","",$AL171),IF($AK171="","",$AK171)),OR($Y171="worse",$Y171="better",$Y171="worse, not significant",$Y171="better, not significant")),IF(ROUND($AC171,3)=ROUND(significance_bar,3),TEXT($AC171,"0.0000"),TEXT($AC171,"0.000")),""),"")</f>
        <v/>
      </c>
      <c r="AN171">
        <f>IF(AND(ISNUMBER($AC171),ISNUMBER(IF($V171,IF($AL171="","",$AL171),IF($AK171="","",$AK171)))),IF(AND(ABS($AC171-significance_bar)&lt;=2.0*IF($V171,IF($AL171="","",$AL171),IF($AK171="","",$AK171)),OR($Y171="worse",$Y171="worse, not significant")),IF(ROUND($AC171,3)=ROUND(significance_bar,3),TEXT($AC171,"0.0000"),TEXT($AC171,"0.000")),""),"")</f>
        <v/>
      </c>
      <c r="AO171">
        <f>IF(OR($AI171="",$AN171=""),$AI171,$AI171&amp;" · borderline (p "&amp;$AN171&amp;")")</f>
        <v/>
      </c>
    </row>
    <row r="172">
      <c r="A172" t="inlineStr">
        <is>
          <t>grids</t>
        </is>
      </c>
      <c r="B172" t="inlineStr">
        <is>
          <t>FICO x ASSET_CLASS</t>
        </is>
      </c>
      <c r="C172" t="inlineStr">
        <is>
          <t>654 - 685</t>
        </is>
      </c>
      <c r="D172" t="inlineStr">
        <is>
          <t>1</t>
        </is>
      </c>
      <c r="E172" t="inlineStr">
        <is>
          <t>ranr_rate</t>
        </is>
      </c>
      <c r="F172" t="inlineStr">
        <is>
          <t>Profit after losses: RANR per booked dollar</t>
        </is>
      </c>
      <c r="G172" t="n">
        <v>397</v>
      </c>
      <c r="H172" t="n">
        <v>12630808.76999999</v>
      </c>
      <c r="I172" t="b">
        <v>0</v>
      </c>
      <c r="J172" t="b">
        <v>0</v>
      </c>
      <c r="K172" t="n">
        <v>0.05245323908971677</v>
      </c>
      <c r="L172" t="n">
        <v>0.01036484245439469</v>
      </c>
      <c r="M172" t="n">
        <v>0.01989181742863705</v>
      </c>
      <c r="N172" t="n">
        <v>0.4378109452736318</v>
      </c>
      <c r="O172" t="n">
        <v>-662526.832309301</v>
      </c>
      <c r="P172" t="n">
        <v>-251249.7420288676</v>
      </c>
      <c r="Q172">
        <f>'_live'!$C$23</f>
        <v/>
      </c>
      <c r="R172" t="inlineStr">
        <is>
          <t>shuffled: 0 of 200</t>
        </is>
      </c>
      <c r="S172" t="inlineStr">
        <is>
          <t>shuffled: 21 of 200</t>
        </is>
      </c>
      <c r="T172" t="n">
        <v>0.1254227972680091</v>
      </c>
      <c r="U172" t="n">
        <v>0.1579842189290888</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0.1778760363577258</v>
      </c>
      <c r="AI172">
        <f>IF($Y172="worse","Yes",IF($Y172="worse, not significant","Not sure",IF(OR($Y172="too few losses to test",$Y172="too few loans to test"),"Too few losses",IF($Y172="","","No"))))</f>
        <v/>
      </c>
      <c r="AJ172">
        <f>IF($AA172="yes","Yes",IF($AA172="","","No"))</f>
        <v/>
      </c>
      <c r="AK172" t="n">
        <v>0.01036484245439469</v>
      </c>
      <c r="AL172" t="n">
        <v>0.06985046278521091</v>
      </c>
      <c r="AM172">
        <f>IF(AND(ISNUMBER($AC172),ISNUMBER(IF($V172,IF($AL172="","",$AL172),IF($AK172="","",$AK172)))),IF(AND(ABS($AC172-significance_bar)&lt;=2.0*IF($V172,IF($AL172="","",$AL172),IF($AK172="","",$AK172)),OR($Y172="worse",$Y172="better",$Y172="worse, not significant",$Y172="better, not significant",AND(profit_kind="test",$Y172="in line",ISNUMBER($AB172),$AB172&lt;&gt;0))),IF(ROUND($AC172,3)=ROUND(significance_bar,3),TEXT($AC172,"0.0000"),TEXT($AC172,"0.000")),""),"")</f>
        <v/>
      </c>
      <c r="AN172">
        <f>IF(AND(ISNUMBER($AC172),ISNUMBER(IF($V172,IF($AL172="","",$AL172),IF($AK172="","",$AK172)))),IF(AND(ABS($AC172-significance_bar)&lt;=2.0*IF($V172,IF($AL172="","",$AL172),IF($AK172="","",$AK172)),OR($Y172="worse",$Y172="worse, not significant",AND(profit_kind="test",$Y172="in line",ISNUMBER($AB172),$AB172&lt;0))),IF(ROUND($AC172,3)=ROUND(significance_bar,3),TEXT($AC172,"0.0000"),TEXT($AC172,"0.000")),""),"")</f>
        <v/>
      </c>
      <c r="AO172">
        <f>IF(OR($AI172="",$AN172=""),$AI172,$AI172&amp;" · borderline (p "&amp;$AN172&amp;")")</f>
        <v/>
      </c>
    </row>
    <row r="173">
      <c r="A173" t="inlineStr">
        <is>
          <t>grids</t>
        </is>
      </c>
      <c r="B173" t="inlineStr">
        <is>
          <t>FICO x ASSET_CLASS</t>
        </is>
      </c>
      <c r="C173" t="inlineStr">
        <is>
          <t>654 - 685</t>
        </is>
      </c>
      <c r="D173" t="inlineStr">
        <is>
          <t>1</t>
        </is>
      </c>
      <c r="E173" t="inlineStr">
        <is>
          <t>contribution_rate</t>
        </is>
      </c>
      <c r="F173" t="inlineStr">
        <is>
          <t>Contribution before losses per booked dollar</t>
        </is>
      </c>
      <c r="G173" t="n">
        <v>397</v>
      </c>
      <c r="H173" t="n">
        <v>12630808.76999999</v>
      </c>
      <c r="I173" t="b">
        <v>0</v>
      </c>
      <c r="J173" t="b">
        <v>0</v>
      </c>
      <c r="K173" t="n">
        <v>0.04301833977577302</v>
      </c>
      <c r="L173" t="n">
        <v>0.00777363184079602</v>
      </c>
      <c r="M173" t="n">
        <v>0.002976958666158214</v>
      </c>
      <c r="N173" t="n">
        <v>0.9203980099502488</v>
      </c>
      <c r="O173" t="n">
        <v>-543356.4233106733</v>
      </c>
      <c r="P173" t="n">
        <v>-37601.3956284388</v>
      </c>
      <c r="Q173">
        <f>'_live'!$C$24</f>
        <v/>
      </c>
      <c r="R173" t="inlineStr">
        <is>
          <t>shuffled: 0 of 200</t>
        </is>
      </c>
      <c r="S173" t="inlineStr">
        <is>
          <t>shuffled: 123 of 200</t>
        </is>
      </c>
      <c r="T173" t="n">
        <v>0.1674866578388811</v>
      </c>
      <c r="U173" t="n">
        <v>0.2075280389484959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0.2105049976146541</v>
      </c>
      <c r="AI173">
        <f>IF($Y173="worse","Yes",IF($Y173="worse, not significant","Not sure",IF(OR($Y173="too few losses to test",$Y173="too few loans to test"),"Too few losses",IF($Y173="","","No"))))</f>
        <v/>
      </c>
      <c r="AJ173">
        <f>IF($AA173="yes","Yes",IF($AA173="","","No"))</f>
        <v/>
      </c>
      <c r="AK173" t="n">
        <v>0.00777363184079602</v>
      </c>
      <c r="AL173" t="n">
        <v>0.01913968563350382</v>
      </c>
      <c r="AM173">
        <f>IF(AND(ISNUMBER($AC173),ISNUMBER(IF($V173,IF($AL173="","",$AL173),IF($AK173="","",$AK173)))),IF(AND(ABS($AC173-significance_bar)&lt;=2.0*IF($V173,IF($AL173="","",$AL173),IF($AK173="","",$AK173)),OR($Y173="worse",$Y173="better",$Y173="worse, not significant",$Y173="better, not significant",AND(profit_kind="test",$Y173="in line",ISNUMBER($AB173),$AB173&lt;&gt;0))),IF(ROUND($AC173,3)=ROUND(significance_bar,3),TEXT($AC173,"0.0000"),TEXT($AC173,"0.000")),""),"")</f>
        <v/>
      </c>
      <c r="AN173">
        <f>IF(AND(ISNUMBER($AC173),ISNUMBER(IF($V173,IF($AL173="","",$AL173),IF($AK173="","",$AK173)))),IF(AND(ABS($AC173-significance_bar)&lt;=2.0*IF($V173,IF($AL173="","",$AL173),IF($AK173="","",$AK173)),OR($Y173="worse",$Y173="worse, not significant",AND(profit_kind="test",$Y173="in line",ISNUMBER($AB173),$AB173&lt;0))),IF(ROUND($AC173,3)=ROUND(significance_bar,3),TEXT($AC173,"0.0000"),TEXT($AC173,"0.000")),""),"")</f>
        <v/>
      </c>
      <c r="AO173">
        <f>IF(OR($AI173="",$AN173=""),$AI173,$AI173&amp;" · borderline (p "&amp;$AN173&amp;")")</f>
        <v/>
      </c>
    </row>
    <row r="174">
      <c r="A174" t="inlineStr">
        <is>
          <t>grids</t>
        </is>
      </c>
      <c r="B174" t="inlineStr">
        <is>
          <t>FICO x ASSET_CLASS</t>
        </is>
      </c>
      <c r="C174" t="inlineStr">
        <is>
          <t>496 - 653</t>
        </is>
      </c>
      <c r="D174" t="inlineStr">
        <is>
          <t>3</t>
        </is>
      </c>
      <c r="E174" t="inlineStr">
        <is>
          <t>outcome_loans</t>
        </is>
      </c>
      <c r="F174" t="inlineStr">
        <is>
          <t>Outcome, share of loans</t>
        </is>
      </c>
      <c r="G174" t="n">
        <v>350</v>
      </c>
      <c r="H174" t="n">
        <v>350</v>
      </c>
      <c r="I174" t="b">
        <v>0</v>
      </c>
      <c r="J174" t="b">
        <v>0</v>
      </c>
      <c r="K174" t="n">
        <v>2.046426047450783</v>
      </c>
      <c r="L174" t="n">
        <v>1.148378307874054e-06</v>
      </c>
      <c r="M174" t="n">
        <v>1.008129439621152</v>
      </c>
      <c r="N174" t="n">
        <v>0.955146465774709</v>
      </c>
      <c r="O174" t="n">
        <v>27.10118969799974</v>
      </c>
      <c r="P174" t="n">
        <v>0.4273858921161846</v>
      </c>
      <c r="Q174">
        <f>'_live'!$C$20</f>
        <v/>
      </c>
      <c r="R174" t="inlineStr">
        <is>
          <t>z test</t>
        </is>
      </c>
      <c r="S174" t="inlineStr">
        <is>
          <t>z test</t>
        </is>
      </c>
      <c r="T174" t="n">
        <v>0.07399660086285789</v>
      </c>
      <c r="U174" t="n">
        <v>0.150207468879668</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0.1514285714285714</v>
      </c>
      <c r="AI174">
        <f>IF($Y174="worse","Yes",IF($Y174="worse, not significant","Not sure",IF(OR($Y174="too few losses to test",$Y174="too few loans to test"),"Too few losses",IF($Y174="","","No"))))</f>
        <v/>
      </c>
      <c r="AJ174">
        <f>IF($AA174="yes","Yes",IF($AA174="","","No"))</f>
        <v/>
      </c>
      <c r="AM174">
        <f>IF(AND(ISNUMBER($AC174),ISNUMBER(IF($V174,IF($AL174="","",$AL174),IF($AK174="","",$AK174)))),IF(AND(ABS($AC174-significance_bar)&lt;=2.0*IF($V174,IF($AL174="","",$AL174),IF($AK174="","",$AK174)),OR($Y174="worse",$Y174="better",$Y174="worse, not significant",$Y174="better, not significant")),IF(ROUND($AC174,3)=ROUND(significance_bar,3),TEXT($AC174,"0.0000"),TEXT($AC174,"0.000")),""),"")</f>
        <v/>
      </c>
      <c r="AN174">
        <f>IF(AND(ISNUMBER($AC174),ISNUMBER(IF($V174,IF($AL174="","",$AL174),IF($AK174="","",$AK174)))),IF(AND(ABS($AC174-significance_bar)&lt;=2.0*IF($V174,IF($AL174="","",$AL174),IF($AK174="","",$AK174)),OR($Y174="worse",$Y174="worse, not significant")),IF(ROUND($AC174,3)=ROUND(significance_bar,3),TEXT($AC174,"0.0000"),TEXT($AC174,"0.000")),""),"")</f>
        <v/>
      </c>
      <c r="AO174">
        <f>IF(OR($AI174="",$AN174=""),$AI174,$AI174&amp;" · borderline (p "&amp;$AN174&amp;")")</f>
        <v/>
      </c>
    </row>
    <row r="175">
      <c r="A175" t="inlineStr">
        <is>
          <t>grids</t>
        </is>
      </c>
      <c r="B175" t="inlineStr">
        <is>
          <t>FICO x ASSET_CLASS</t>
        </is>
      </c>
      <c r="C175" t="inlineStr">
        <is>
          <t>496 - 653</t>
        </is>
      </c>
      <c r="D175" t="inlineStr">
        <is>
          <t>3</t>
        </is>
      </c>
      <c r="E175" t="inlineStr">
        <is>
          <t>outcome_booked</t>
        </is>
      </c>
      <c r="F175" t="inlineStr">
        <is>
          <t>Outcome, share of booked dollars</t>
        </is>
      </c>
      <c r="G175" t="n">
        <v>350</v>
      </c>
      <c r="H175" t="n">
        <v>11724243.3</v>
      </c>
      <c r="I175" t="b">
        <v>0</v>
      </c>
      <c r="J175" t="b">
        <v>0</v>
      </c>
      <c r="K175" t="n">
        <v>1.965310654585129</v>
      </c>
      <c r="L175" t="n">
        <v>0.03316749585406301</v>
      </c>
      <c r="M175" t="n">
        <v>0.9289596398675806</v>
      </c>
      <c r="N175" t="n">
        <v>0.7711442786069652</v>
      </c>
      <c r="O175" t="n">
        <v>811294.2494123229</v>
      </c>
      <c r="P175" t="n">
        <v>-126313.8042334891</v>
      </c>
      <c r="Q175">
        <f>'_live'!$C$21</f>
        <v/>
      </c>
      <c r="R175" t="inlineStr">
        <is>
          <t>shuffled: 0 of 200</t>
        </is>
      </c>
      <c r="S175" t="inlineStr">
        <is>
          <t>shuffled: 120 of 200</t>
        </is>
      </c>
      <c r="T175" t="n">
        <v>0.07168470058853835</v>
      </c>
      <c r="U175" t="n">
        <v>0.1516564334888452</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0.1408827058373993</v>
      </c>
      <c r="AI175">
        <f>IF($Y175="worse","Yes",IF($Y175="worse, not significant","Not sure",IF(OR($Y175="too few losses to test",$Y175="too few loans to test"),"Too few losses",IF($Y175="","","No"))))</f>
        <v/>
      </c>
      <c r="AJ175">
        <f>IF($AA175="yes","Yes",IF($AA175="","","No"))</f>
        <v/>
      </c>
      <c r="AK175" t="n">
        <v>0.01905327577624553</v>
      </c>
      <c r="AL175" t="n">
        <v>0.02970528405677249</v>
      </c>
      <c r="AM175">
        <f>IF(AND(ISNUMBER($AC175),ISNUMBER(IF($V175,IF($AL175="","",$AL175),IF($AK175="","",$AK175)))),IF(AND(ABS($AC175-significance_bar)&lt;=2.0*IF($V175,IF($AL175="","",$AL175),IF($AK175="","",$AK175)),OR($Y175="worse",$Y175="better",$Y175="worse, not significant",$Y175="better, not significant")),IF(ROUND($AC175,3)=ROUND(significance_bar,3),TEXT($AC175,"0.0000"),TEXT($AC175,"0.000")),""),"")</f>
        <v/>
      </c>
      <c r="AN175">
        <f>IF(AND(ISNUMBER($AC175),ISNUMBER(IF($V175,IF($AL175="","",$AL175),IF($AK175="","",$AK175)))),IF(AND(ABS($AC175-significance_bar)&lt;=2.0*IF($V175,IF($AL175="","",$AL175),IF($AK175="","",$AK175)),OR($Y175="worse",$Y175="worse, not significant")),IF(ROUND($AC175,3)=ROUND(significance_bar,3),TEXT($AC175,"0.0000"),TEXT($AC175,"0.000")),""),"")</f>
        <v/>
      </c>
      <c r="AO175">
        <f>IF(OR($AI175="",$AN175=""),$AI175,$AI175&amp;" · borderline (p "&amp;$AN175&amp;")")</f>
        <v/>
      </c>
    </row>
    <row r="176">
      <c r="A176" t="inlineStr">
        <is>
          <t>grids</t>
        </is>
      </c>
      <c r="B176" t="inlineStr">
        <is>
          <t>FICO x ASSET_CLASS</t>
        </is>
      </c>
      <c r="C176" t="inlineStr">
        <is>
          <t>496 - 653</t>
        </is>
      </c>
      <c r="D176" t="inlineStr">
        <is>
          <t>3</t>
        </is>
      </c>
      <c r="E176" t="inlineStr">
        <is>
          <t>gco_rate</t>
        </is>
      </c>
      <c r="F176" t="inlineStr">
        <is>
          <t>GCO per booked dollar</t>
        </is>
      </c>
      <c r="G176" t="n">
        <v>350</v>
      </c>
      <c r="H176" t="n">
        <v>11724243.3</v>
      </c>
      <c r="I176" t="b">
        <v>0</v>
      </c>
      <c r="J176" t="b">
        <v>0</v>
      </c>
      <c r="K176" t="n">
        <v>2.022846774425795</v>
      </c>
      <c r="L176" t="n">
        <v>0.03316749585406301</v>
      </c>
      <c r="M176" t="n">
        <v>0.9533049072608608</v>
      </c>
      <c r="N176" t="n">
        <v>0.822204765645457</v>
      </c>
      <c r="O176" t="n">
        <v>476776.1149284337</v>
      </c>
      <c r="P176" t="n">
        <v>-46185.57038041181</v>
      </c>
      <c r="Q176">
        <f>'_live'!$C$22</f>
        <v/>
      </c>
      <c r="R176" t="inlineStr">
        <is>
          <t>shuffled: 0 of 200</t>
        </is>
      </c>
      <c r="S176" t="inlineStr">
        <is>
          <t>shuffled: 150 of 200</t>
        </is>
      </c>
      <c r="T176" t="n">
        <v>0.03975750188257918</v>
      </c>
      <c r="U176" t="n">
        <v>0.08436265651194834</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0.08042333444240277</v>
      </c>
      <c r="AI176">
        <f>IF($Y176="worse","Yes",IF($Y176="worse, not significant","Not sure",IF(OR($Y176="too few losses to test",$Y176="too few loans to test"),"Too few losses",IF($Y176="","","No"))))</f>
        <v/>
      </c>
      <c r="AJ176">
        <f>IF($AA176="yes","Yes",IF($AA176="","","No"))</f>
        <v/>
      </c>
      <c r="AK176" t="n">
        <v>0.03316749585406301</v>
      </c>
      <c r="AL176" t="n">
        <v>0.03077807856489157</v>
      </c>
      <c r="AM176">
        <f>IF(AND(ISNUMBER($AC176),ISNUMBER(IF($V176,IF($AL176="","",$AL176),IF($AK176="","",$AK176)))),IF(AND(ABS($AC176-significance_bar)&lt;=2.0*IF($V176,IF($AL176="","",$AL176),IF($AK176="","",$AK176)),OR($Y176="worse",$Y176="better",$Y176="worse, not significant",$Y176="better, not significant")),IF(ROUND($AC176,3)=ROUND(significance_bar,3),TEXT($AC176,"0.0000"),TEXT($AC176,"0.000")),""),"")</f>
        <v/>
      </c>
      <c r="AN176">
        <f>IF(AND(ISNUMBER($AC176),ISNUMBER(IF($V176,IF($AL176="","",$AL176),IF($AK176="","",$AK176)))),IF(AND(ABS($AC176-significance_bar)&lt;=2.0*IF($V176,IF($AL176="","",$AL176),IF($AK176="","",$AK176)),OR($Y176="worse",$Y176="worse, not significant")),IF(ROUND($AC176,3)=ROUND(significance_bar,3),TEXT($AC176,"0.0000"),TEXT($AC176,"0.000")),""),"")</f>
        <v/>
      </c>
      <c r="AO176">
        <f>IF(OR($AI176="",$AN176=""),$AI176,$AI176&amp;" · borderline (p "&amp;$AN176&amp;")")</f>
        <v/>
      </c>
    </row>
    <row r="177">
      <c r="A177" t="inlineStr">
        <is>
          <t>grids</t>
        </is>
      </c>
      <c r="B177" t="inlineStr">
        <is>
          <t>FICO x ASSET_CLASS</t>
        </is>
      </c>
      <c r="C177" t="inlineStr">
        <is>
          <t>496 - 653</t>
        </is>
      </c>
      <c r="D177" t="inlineStr">
        <is>
          <t>3</t>
        </is>
      </c>
      <c r="E177" t="inlineStr">
        <is>
          <t>ranr_rate</t>
        </is>
      </c>
      <c r="F177" t="inlineStr">
        <is>
          <t>Profit after losses: RANR per booked dollar</t>
        </is>
      </c>
      <c r="G177" t="n">
        <v>350</v>
      </c>
      <c r="H177" t="n">
        <v>11724243.3</v>
      </c>
      <c r="I177" t="b">
        <v>0</v>
      </c>
      <c r="J177" t="b">
        <v>0</v>
      </c>
      <c r="K177" t="n">
        <v>0.06679032633230365</v>
      </c>
      <c r="L177" t="n">
        <v>0.01036484245439469</v>
      </c>
      <c r="M177" t="n">
        <v>0.002047278850597828</v>
      </c>
      <c r="N177" t="n">
        <v>0.9552238805970149</v>
      </c>
      <c r="O177" t="n">
        <v>-783066.0360063249</v>
      </c>
      <c r="P177" t="n">
        <v>-24002.79534735344</v>
      </c>
      <c r="Q177">
        <f>'_live'!$C$23</f>
        <v/>
      </c>
      <c r="R177" t="inlineStr">
        <is>
          <t>shuffled: 0 of 200</t>
        </is>
      </c>
      <c r="S177" t="inlineStr">
        <is>
          <t>shuffled: 177 of 200</t>
        </is>
      </c>
      <c r="T177" t="n">
        <v>0.1249557149665834</v>
      </c>
      <c r="U177" t="n">
        <v>0.1896987624482893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0.1917460412988871</v>
      </c>
      <c r="AI177">
        <f>IF($Y177="worse","Yes",IF($Y177="worse, not significant","Not sure",IF(OR($Y177="too few losses to test",$Y177="too few loans to test"),"Too few losses",IF($Y177="","","No"))))</f>
        <v/>
      </c>
      <c r="AJ177">
        <f>IF($AA177="yes","Yes",IF($AA177="","","No"))</f>
        <v/>
      </c>
      <c r="AK177" t="n">
        <v>0.01036484245439469</v>
      </c>
      <c r="AL177" t="n">
        <v>0.01462381935989957</v>
      </c>
      <c r="AM177">
        <f>IF(AND(ISNUMBER($AC177),ISNUMBER(IF($V177,IF($AL177="","",$AL177),IF($AK177="","",$AK177)))),IF(AND(ABS($AC177-significance_bar)&lt;=2.0*IF($V177,IF($AL177="","",$AL177),IF($AK177="","",$AK177)),OR($Y177="worse",$Y177="better",$Y177="worse, not significant",$Y177="better, not significant",AND(profit_kind="test",$Y177="in line",ISNUMBER($AB177),$AB177&lt;&gt;0))),IF(ROUND($AC177,3)=ROUND(significance_bar,3),TEXT($AC177,"0.0000"),TEXT($AC177,"0.000")),""),"")</f>
        <v/>
      </c>
      <c r="AN177">
        <f>IF(AND(ISNUMBER($AC177),ISNUMBER(IF($V177,IF($AL177="","",$AL177),IF($AK177="","",$AK177)))),IF(AND(ABS($AC177-significance_bar)&lt;=2.0*IF($V177,IF($AL177="","",$AL177),IF($AK177="","",$AK177)),OR($Y177="worse",$Y177="worse, not significant",AND(profit_kind="test",$Y177="in line",ISNUMBER($AB177),$AB177&lt;0))),IF(ROUND($AC177,3)=ROUND(significance_bar,3),TEXT($AC177,"0.0000"),TEXT($AC177,"0.000")),""),"")</f>
        <v/>
      </c>
      <c r="AO177">
        <f>IF(OR($AI177="",$AN177=""),$AI177,$AI177&amp;" · borderline (p "&amp;$AN177&amp;")")</f>
        <v/>
      </c>
    </row>
    <row r="178">
      <c r="A178" t="inlineStr">
        <is>
          <t>grids</t>
        </is>
      </c>
      <c r="B178" t="inlineStr">
        <is>
          <t>FICO x ASSET_CLASS</t>
        </is>
      </c>
      <c r="C178" t="inlineStr">
        <is>
          <t>496 - 653</t>
        </is>
      </c>
      <c r="D178" t="inlineStr">
        <is>
          <t>3</t>
        </is>
      </c>
      <c r="E178" t="inlineStr">
        <is>
          <t>contribution_rate</t>
        </is>
      </c>
      <c r="F178" t="inlineStr">
        <is>
          <t>Contribution before losses per booked dollar</t>
        </is>
      </c>
      <c r="G178" t="n">
        <v>350</v>
      </c>
      <c r="H178" t="n">
        <v>11724243.3</v>
      </c>
      <c r="I178" t="b">
        <v>0</v>
      </c>
      <c r="J178" t="b">
        <v>0</v>
      </c>
      <c r="K178" t="n">
        <v>0.1074596431305903</v>
      </c>
      <c r="L178" t="n">
        <v>0.00777363184079602</v>
      </c>
      <c r="M178" t="n">
        <v>-0.001892043218947925</v>
      </c>
      <c r="N178" t="n">
        <v>0.9203980099502488</v>
      </c>
      <c r="O178" t="n">
        <v>-1259883.000994215</v>
      </c>
      <c r="P178" t="n">
        <v>22182.77503306093</v>
      </c>
      <c r="Q178">
        <f>'_live'!$C$24</f>
        <v/>
      </c>
      <c r="R178" t="inlineStr">
        <is>
          <t>shuffled: 0 of 200</t>
        </is>
      </c>
      <c r="S178" t="inlineStr">
        <is>
          <t>shuffled: 174 of 200</t>
        </is>
      </c>
      <c r="T178" t="n">
        <v>0.1647097326106993</v>
      </c>
      <c r="U178" t="n">
        <v>0.2740614189602376</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0.2721693757412896</v>
      </c>
      <c r="AI178">
        <f>IF($Y178="worse","Yes",IF($Y178="worse, not significant","Not sure",IF(OR($Y178="too few losses to test",$Y178="too few loans to test"),"Too few losses",IF($Y178="","","No"))))</f>
        <v/>
      </c>
      <c r="AJ178">
        <f>IF($AA178="yes","Yes",IF($AA178="","","No"))</f>
        <v/>
      </c>
      <c r="AK178" t="n">
        <v>0.00777363184079602</v>
      </c>
      <c r="AL178" t="n">
        <v>0.01913968563350382</v>
      </c>
      <c r="AM178">
        <f>IF(AND(ISNUMBER($AC178),ISNUMBER(IF($V178,IF($AL178="","",$AL178),IF($AK178="","",$AK178)))),IF(AND(ABS($AC178-significance_bar)&lt;=2.0*IF($V178,IF($AL178="","",$AL178),IF($AK178="","",$AK178)),OR($Y178="worse",$Y178="better",$Y178="worse, not significant",$Y178="better, not significant",AND(profit_kind="test",$Y178="in line",ISNUMBER($AB178),$AB178&lt;&gt;0))),IF(ROUND($AC178,3)=ROUND(significance_bar,3),TEXT($AC178,"0.0000"),TEXT($AC178,"0.000")),""),"")</f>
        <v/>
      </c>
      <c r="AN178">
        <f>IF(AND(ISNUMBER($AC178),ISNUMBER(IF($V178,IF($AL178="","",$AL178),IF($AK178="","",$AK178)))),IF(AND(ABS($AC178-significance_bar)&lt;=2.0*IF($V178,IF($AL178="","",$AL178),IF($AK178="","",$AK178)),OR($Y178="worse",$Y178="worse, not significant",AND(profit_kind="test",$Y178="in line",ISNUMBER($AB178),$AB178&lt;0))),IF(ROUND($AC178,3)=ROUND(significance_bar,3),TEXT($AC178,"0.0000"),TEXT($AC178,"0.000")),""),"")</f>
        <v/>
      </c>
      <c r="AO178">
        <f>IF(OR($AI178="",$AN178=""),$AI178,$AI178&amp;" · borderline (p "&amp;$AN178&amp;")")</f>
        <v/>
      </c>
    </row>
    <row r="179">
      <c r="A179" t="inlineStr">
        <is>
          <t>grids</t>
        </is>
      </c>
      <c r="B179" t="inlineStr">
        <is>
          <t>FICO x ASSET_CLASS</t>
        </is>
      </c>
      <c r="C179" t="inlineStr">
        <is>
          <t>654 - 685</t>
        </is>
      </c>
      <c r="D179" t="inlineStr">
        <is>
          <t>3</t>
        </is>
      </c>
      <c r="E179" t="inlineStr">
        <is>
          <t>outcome_loans</t>
        </is>
      </c>
      <c r="F179" t="inlineStr">
        <is>
          <t>Outcome, share of loans</t>
        </is>
      </c>
      <c r="G179" t="n">
        <v>377</v>
      </c>
      <c r="H179" t="n">
        <v>377</v>
      </c>
      <c r="I179" t="b">
        <v>0</v>
      </c>
      <c r="J179" t="b">
        <v>0</v>
      </c>
      <c r="K179" t="n">
        <v>1.065888955051517</v>
      </c>
      <c r="L179" t="n">
        <v>0.7982586377423296</v>
      </c>
      <c r="M179" t="n">
        <v>0.9651421375559307</v>
      </c>
      <c r="N179" t="n">
        <v>0.955146465774709</v>
      </c>
      <c r="O179" t="n">
        <v>1.916294935712411</v>
      </c>
      <c r="P179" t="n">
        <v>-1.119621342512907</v>
      </c>
      <c r="Q179">
        <f>'_live'!$C$20</f>
        <v/>
      </c>
      <c r="R179" t="inlineStr">
        <is>
          <t>z test</t>
        </is>
      </c>
      <c r="S179" t="inlineStr">
        <is>
          <t>z test</t>
        </is>
      </c>
      <c r="T179" t="n">
        <v>0.07714510627131986</v>
      </c>
      <c r="U179" t="n">
        <v>0.08519793459552495</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0.08222811671087533</v>
      </c>
      <c r="AI179">
        <f>IF($Y179="worse","Yes",IF($Y179="worse, not significant","Not sure",IF(OR($Y179="too few losses to test",$Y179="too few loans to test"),"Too few losses",IF($Y179="","","No"))))</f>
        <v/>
      </c>
      <c r="AJ179">
        <f>IF($AA179="yes","Yes",IF($AA179="","","No"))</f>
        <v/>
      </c>
      <c r="AM179">
        <f>IF(AND(ISNUMBER($AC179),ISNUMBER(IF($V179,IF($AL179="","",$AL179),IF($AK179="","",$AK179)))),IF(AND(ABS($AC179-significance_bar)&lt;=2.0*IF($V179,IF($AL179="","",$AL179),IF($AK179="","",$AK179)),OR($Y179="worse",$Y179="better",$Y179="worse, not significant",$Y179="better, not significant")),IF(ROUND($AC179,3)=ROUND(significance_bar,3),TEXT($AC179,"0.0000"),TEXT($AC179,"0.000")),""),"")</f>
        <v/>
      </c>
      <c r="AN179">
        <f>IF(AND(ISNUMBER($AC179),ISNUMBER(IF($V179,IF($AL179="","",$AL179),IF($AK179="","",$AK179)))),IF(AND(ABS($AC179-significance_bar)&lt;=2.0*IF($V179,IF($AL179="","",$AL179),IF($AK179="","",$AK179)),OR($Y179="worse",$Y179="worse, not significant")),IF(ROUND($AC179,3)=ROUND(significance_bar,3),TEXT($AC179,"0.0000"),TEXT($AC179,"0.000")),""),"")</f>
        <v/>
      </c>
      <c r="AO179">
        <f>IF(OR($AI179="",$AN179=""),$AI179,$AI179&amp;" · borderline (p "&amp;$AN179&amp;")")</f>
        <v/>
      </c>
    </row>
    <row r="180">
      <c r="A180" t="inlineStr">
        <is>
          <t>grids</t>
        </is>
      </c>
      <c r="B180" t="inlineStr">
        <is>
          <t>FICO x ASSET_CLASS</t>
        </is>
      </c>
      <c r="C180" t="inlineStr">
        <is>
          <t>654 - 685</t>
        </is>
      </c>
      <c r="D180" t="inlineStr">
        <is>
          <t>3</t>
        </is>
      </c>
      <c r="E180" t="inlineStr">
        <is>
          <t>outcome_booked</t>
        </is>
      </c>
      <c r="F180" t="inlineStr">
        <is>
          <t>Outcome, share of booked dollars</t>
        </is>
      </c>
      <c r="G180" t="n">
        <v>377</v>
      </c>
      <c r="H180" t="n">
        <v>11987321.02</v>
      </c>
      <c r="I180" t="b">
        <v>0</v>
      </c>
      <c r="J180" t="b">
        <v>0</v>
      </c>
      <c r="K180" t="n">
        <v>1.121173877110201</v>
      </c>
      <c r="L180" t="n">
        <v>0.5323383084577115</v>
      </c>
      <c r="M180" t="n">
        <v>1.059885234816398</v>
      </c>
      <c r="N180" t="n">
        <v>0.7711442786069652</v>
      </c>
      <c r="O180" t="n">
        <v>108084.2409831452</v>
      </c>
      <c r="P180" t="n">
        <v>56505.04930858547</v>
      </c>
      <c r="Q180">
        <f>'_live'!$C$21</f>
        <v/>
      </c>
      <c r="R180" t="inlineStr">
        <is>
          <t>shuffled: 106 of 200</t>
        </is>
      </c>
      <c r="S180" t="inlineStr">
        <is>
          <t>shuffled: 154 of 200</t>
        </is>
      </c>
      <c r="T180" t="n">
        <v>0.07440998848105056</v>
      </c>
      <c r="U180" t="n">
        <v>0.07871280072646415</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0.08342653528102482</v>
      </c>
      <c r="AI180">
        <f>IF($Y180="worse","Yes",IF($Y180="worse, not significant","Not sure",IF(OR($Y180="too few losses to test",$Y180="too few loans to test"),"Too few losses",IF($Y180="","","No"))))</f>
        <v/>
      </c>
      <c r="AJ180">
        <f>IF($AA180="yes","Yes",IF($AA180="","","No"))</f>
        <v/>
      </c>
      <c r="AK180" t="n">
        <v>0.03528131472933611</v>
      </c>
      <c r="AL180" t="n">
        <v>0.02970528405677249</v>
      </c>
      <c r="AM180">
        <f>IF(AND(ISNUMBER($AC180),ISNUMBER(IF($V180,IF($AL180="","",$AL180),IF($AK180="","",$AK180)))),IF(AND(ABS($AC180-significance_bar)&lt;=2.0*IF($V180,IF($AL180="","",$AL180),IF($AK180="","",$AK180)),OR($Y180="worse",$Y180="better",$Y180="worse, not significant",$Y180="better, not significant")),IF(ROUND($AC180,3)=ROUND(significance_bar,3),TEXT($AC180,"0.0000"),TEXT($AC180,"0.000")),""),"")</f>
        <v/>
      </c>
      <c r="AN180">
        <f>IF(AND(ISNUMBER($AC180),ISNUMBER(IF($V180,IF($AL180="","",$AL180),IF($AK180="","",$AK180)))),IF(AND(ABS($AC180-significance_bar)&lt;=2.0*IF($V180,IF($AL180="","",$AL180),IF($AK180="","",$AK180)),OR($Y180="worse",$Y180="worse, not significant")),IF(ROUND($AC180,3)=ROUND(significance_bar,3),TEXT($AC180,"0.0000"),TEXT($AC180,"0.000")),""),"")</f>
        <v/>
      </c>
      <c r="AO180">
        <f>IF(OR($AI180="",$AN180=""),$AI180,$AI180&amp;" · borderline (p "&amp;$AN180&amp;")")</f>
        <v/>
      </c>
    </row>
    <row r="181">
      <c r="A181" t="inlineStr">
        <is>
          <t>grids</t>
        </is>
      </c>
      <c r="B181" t="inlineStr">
        <is>
          <t>FICO x ASSET_CLASS</t>
        </is>
      </c>
      <c r="C181" t="inlineStr">
        <is>
          <t>654 - 685</t>
        </is>
      </c>
      <c r="D181" t="inlineStr">
        <is>
          <t>3</t>
        </is>
      </c>
      <c r="E181" t="inlineStr">
        <is>
          <t>gco_rate</t>
        </is>
      </c>
      <c r="F181" t="inlineStr">
        <is>
          <t>GCO per booked dollar</t>
        </is>
      </c>
      <c r="G181" t="n">
        <v>377</v>
      </c>
      <c r="H181" t="n">
        <v>11987321.02</v>
      </c>
      <c r="I181" t="b">
        <v>0</v>
      </c>
      <c r="J181" t="b">
        <v>0</v>
      </c>
      <c r="K181" t="n">
        <v>1.189205904949511</v>
      </c>
      <c r="L181" t="n">
        <v>0.4448346502780217</v>
      </c>
      <c r="M181" t="n">
        <v>1.115059073035587</v>
      </c>
      <c r="N181" t="n">
        <v>0.7491952004682469</v>
      </c>
      <c r="O181" t="n">
        <v>93541.50458787632</v>
      </c>
      <c r="P181" t="n">
        <v>60666.60850861727</v>
      </c>
      <c r="Q181">
        <f>'_live'!$C$22</f>
        <v/>
      </c>
      <c r="R181" t="inlineStr">
        <is>
          <t>shuffled: 72 of 200</t>
        </is>
      </c>
      <c r="S181" t="inlineStr">
        <is>
          <t>shuffled: 122 of 200</t>
        </is>
      </c>
      <c r="T181" t="n">
        <v>0.04124274177585376</v>
      </c>
      <c r="U181" t="n">
        <v>0.04398521409509921</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0.04904611205615317</v>
      </c>
      <c r="AI181">
        <f>IF($Y181="worse","Yes",IF($Y181="worse, not significant","Not sure",IF(OR($Y181="too few losses to test",$Y181="too few loans to test"),"Too few losses",IF($Y181="","","No"))))</f>
        <v/>
      </c>
      <c r="AJ181">
        <f>IF($AA181="yes","Yes",IF($AA181="","","No"))</f>
        <v/>
      </c>
      <c r="AK181" t="n">
        <v>0.04033962175033719</v>
      </c>
      <c r="AL181" t="n">
        <v>0.04000704124234138</v>
      </c>
      <c r="AM181">
        <f>IF(AND(ISNUMBER($AC181),ISNUMBER(IF($V181,IF($AL181="","",$AL181),IF($AK181="","",$AK181)))),IF(AND(ABS($AC181-significance_bar)&lt;=2.0*IF($V181,IF($AL181="","",$AL181),IF($AK181="","",$AK181)),OR($Y181="worse",$Y181="better",$Y181="worse, not significant",$Y181="better, not significant")),IF(ROUND($AC181,3)=ROUND(significance_bar,3),TEXT($AC181,"0.0000"),TEXT($AC181,"0.000")),""),"")</f>
        <v/>
      </c>
      <c r="AN181">
        <f>IF(AND(ISNUMBER($AC181),ISNUMBER(IF($V181,IF($AL181="","",$AL181),IF($AK181="","",$AK181)))),IF(AND(ABS($AC181-significance_bar)&lt;=2.0*IF($V181,IF($AL181="","",$AL181),IF($AK181="","",$AK181)),OR($Y181="worse",$Y181="worse, not significant")),IF(ROUND($AC181,3)=ROUND(significance_bar,3),TEXT($AC181,"0.0000"),TEXT($AC181,"0.000")),""),"")</f>
        <v/>
      </c>
      <c r="AO181">
        <f>IF(OR($AI181="",$AN181=""),$AI181,$AI181&amp;" · borderline (p "&amp;$AN181&amp;")")</f>
        <v/>
      </c>
    </row>
    <row r="182">
      <c r="A182" t="inlineStr">
        <is>
          <t>grids</t>
        </is>
      </c>
      <c r="B182" t="inlineStr">
        <is>
          <t>FICO x ASSET_CLASS</t>
        </is>
      </c>
      <c r="C182" t="inlineStr">
        <is>
          <t>654 - 685</t>
        </is>
      </c>
      <c r="D182" t="inlineStr">
        <is>
          <t>3</t>
        </is>
      </c>
      <c r="E182" t="inlineStr">
        <is>
          <t>ranr_rate</t>
        </is>
      </c>
      <c r="F182" t="inlineStr">
        <is>
          <t>Profit after losses: RANR per booked dollar</t>
        </is>
      </c>
      <c r="G182" t="n">
        <v>377</v>
      </c>
      <c r="H182" t="n">
        <v>11987321.02</v>
      </c>
      <c r="I182" t="b">
        <v>0</v>
      </c>
      <c r="J182" t="b">
        <v>0</v>
      </c>
      <c r="K182" t="n">
        <v>0.03328657805796809</v>
      </c>
      <c r="L182" t="n">
        <v>0.01036484245439469</v>
      </c>
      <c r="M182" t="n">
        <v>-0.004418184235396694</v>
      </c>
      <c r="N182" t="n">
        <v>0.9426551453260017</v>
      </c>
      <c r="O182" t="n">
        <v>-399016.8968381514</v>
      </c>
      <c r="P182" t="n">
        <v>52962.19275520346</v>
      </c>
      <c r="Q182">
        <f>'_live'!$C$23</f>
        <v/>
      </c>
      <c r="R182" t="inlineStr">
        <is>
          <t>shuffled: 0 of 200</t>
        </is>
      </c>
      <c r="S182" t="inlineStr">
        <is>
          <t>shuffled: 140 of 200</t>
        </is>
      </c>
      <c r="T182" t="n">
        <v>0.1264438827184965</v>
      </c>
      <c r="U182" t="n">
        <v>0.1641486450118613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0.1597304607764646</v>
      </c>
      <c r="AI182">
        <f>IF($Y182="worse","Yes",IF($Y182="worse, not significant","Not sure",IF(OR($Y182="too few losses to test",$Y182="too few loans to test"),"Too few losses",IF($Y182="","","No"))))</f>
        <v/>
      </c>
      <c r="AJ182">
        <f>IF($AA182="yes","Yes",IF($AA182="","","No"))</f>
        <v/>
      </c>
      <c r="AK182" t="n">
        <v>0.01036484245439469</v>
      </c>
      <c r="AL182" t="n">
        <v>0.0388666673271107</v>
      </c>
      <c r="AM182">
        <f>IF(AND(ISNUMBER($AC182),ISNUMBER(IF($V182,IF($AL182="","",$AL182),IF($AK182="","",$AK182)))),IF(AND(ABS($AC182-significance_bar)&lt;=2.0*IF($V182,IF($AL182="","",$AL182),IF($AK182="","",$AK182)),OR($Y182="worse",$Y182="better",$Y182="worse, not significant",$Y182="better, not significant",AND(profit_kind="test",$Y182="in line",ISNUMBER($AB182),$AB182&lt;&gt;0))),IF(ROUND($AC182,3)=ROUND(significance_bar,3),TEXT($AC182,"0.0000"),TEXT($AC182,"0.000")),""),"")</f>
        <v/>
      </c>
      <c r="AN182">
        <f>IF(AND(ISNUMBER($AC182),ISNUMBER(IF($V182,IF($AL182="","",$AL182),IF($AK182="","",$AK182)))),IF(AND(ABS($AC182-significance_bar)&lt;=2.0*IF($V182,IF($AL182="","",$AL182),IF($AK182="","",$AK182)),OR($Y182="worse",$Y182="worse, not significant",AND(profit_kind="test",$Y182="in line",ISNUMBER($AB182),$AB182&lt;0))),IF(ROUND($AC182,3)=ROUND(significance_bar,3),TEXT($AC182,"0.0000"),TEXT($AC182,"0.000")),""),"")</f>
        <v/>
      </c>
      <c r="AO182">
        <f>IF(OR($AI182="",$AN182=""),$AI182,$AI182&amp;" · borderline (p "&amp;$AN182&amp;")")</f>
        <v/>
      </c>
    </row>
    <row r="183">
      <c r="A183" t="inlineStr">
        <is>
          <t>grids</t>
        </is>
      </c>
      <c r="B183" t="inlineStr">
        <is>
          <t>FICO x ASSET_CLASS</t>
        </is>
      </c>
      <c r="C183" t="inlineStr">
        <is>
          <t>654 - 685</t>
        </is>
      </c>
      <c r="D183" t="inlineStr">
        <is>
          <t>3</t>
        </is>
      </c>
      <c r="E183" t="inlineStr">
        <is>
          <t>contribution_rate</t>
        </is>
      </c>
      <c r="F183" t="inlineStr">
        <is>
          <t>Contribution before losses per booked dollar</t>
        </is>
      </c>
      <c r="G183" t="n">
        <v>377</v>
      </c>
      <c r="H183" t="n">
        <v>11987321.02</v>
      </c>
      <c r="I183" t="b">
        <v>0</v>
      </c>
      <c r="J183" t="b">
        <v>0</v>
      </c>
      <c r="K183" t="n">
        <v>0.04109319627319061</v>
      </c>
      <c r="L183" t="n">
        <v>0.00777363184079602</v>
      </c>
      <c r="M183" t="n">
        <v>0.000642713725657329</v>
      </c>
      <c r="N183" t="n">
        <v>0.9203980099502488</v>
      </c>
      <c r="O183" t="n">
        <v>-492597.335464603</v>
      </c>
      <c r="P183" t="n">
        <v>-7704.415753414389</v>
      </c>
      <c r="Q183">
        <f>'_live'!$C$24</f>
        <v/>
      </c>
      <c r="R183" t="inlineStr">
        <is>
          <t>shuffled: 0 of 200</t>
        </is>
      </c>
      <c r="S183" t="inlineStr">
        <is>
          <t>shuffled: 184 of 200</t>
        </is>
      </c>
      <c r="T183" t="n">
        <v>0.1676833765594273</v>
      </c>
      <c r="U183" t="n">
        <v>0.2081338591069606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0.2087765728326179</v>
      </c>
      <c r="AI183">
        <f>IF($Y183="worse","Yes",IF($Y183="worse, not significant","Not sure",IF(OR($Y183="too few losses to test",$Y183="too few loans to test"),"Too few losses",IF($Y183="","","No"))))</f>
        <v/>
      </c>
      <c r="AJ183">
        <f>IF($AA183="yes","Yes",IF($AA183="","","No"))</f>
        <v/>
      </c>
      <c r="AK183" t="n">
        <v>0.00777363184079602</v>
      </c>
      <c r="AL183" t="n">
        <v>0.01913968563350382</v>
      </c>
      <c r="AM183">
        <f>IF(AND(ISNUMBER($AC183),ISNUMBER(IF($V183,IF($AL183="","",$AL183),IF($AK183="","",$AK183)))),IF(AND(ABS($AC183-significance_bar)&lt;=2.0*IF($V183,IF($AL183="","",$AL183),IF($AK183="","",$AK183)),OR($Y183="worse",$Y183="better",$Y183="worse, not significant",$Y183="better, not significant",AND(profit_kind="test",$Y183="in line",ISNUMBER($AB183),$AB183&lt;&gt;0))),IF(ROUND($AC183,3)=ROUND(significance_bar,3),TEXT($AC183,"0.0000"),TEXT($AC183,"0.000")),""),"")</f>
        <v/>
      </c>
      <c r="AN183">
        <f>IF(AND(ISNUMBER($AC183),ISNUMBER(IF($V183,IF($AL183="","",$AL183),IF($AK183="","",$AK183)))),IF(AND(ABS($AC183-significance_bar)&lt;=2.0*IF($V183,IF($AL183="","",$AL183),IF($AK183="","",$AK183)),OR($Y183="worse",$Y183="worse, not significant",AND(profit_kind="test",$Y183="in line",ISNUMBER($AB183),$AB183&lt;0))),IF(ROUND($AC183,3)=ROUND(significance_bar,3),TEXT($AC183,"0.0000"),TEXT($AC183,"0.000")),""),"")</f>
        <v/>
      </c>
      <c r="AO183">
        <f>IF(OR($AI183="",$AN183=""),$AI183,$AI183&amp;" · borderline (p "&amp;$AN183&amp;")")</f>
        <v/>
      </c>
    </row>
    <row r="184">
      <c r="A184" t="inlineStr">
        <is>
          <t>grids</t>
        </is>
      </c>
      <c r="B184" t="inlineStr">
        <is>
          <t>FICO x ASSET_CLASS</t>
        </is>
      </c>
      <c r="C184" t="inlineStr">
        <is>
          <t>746 - 921</t>
        </is>
      </c>
      <c r="D184" t="inlineStr">
        <is>
          <t>3</t>
        </is>
      </c>
      <c r="E184" t="inlineStr">
        <is>
          <t>outcome_loans</t>
        </is>
      </c>
      <c r="F184" t="inlineStr">
        <is>
          <t>Outcome, share of loans</t>
        </is>
      </c>
      <c r="G184" t="n">
        <v>385</v>
      </c>
      <c r="H184" t="n">
        <v>385</v>
      </c>
      <c r="I184" t="b">
        <v>0</v>
      </c>
      <c r="J184" t="b">
        <v>0</v>
      </c>
      <c r="K184" t="n">
        <v>0.5247528590812173</v>
      </c>
      <c r="L184" t="n">
        <v>0.01401325896591061</v>
      </c>
      <c r="M184" t="n">
        <v>1.071485036702428</v>
      </c>
      <c r="N184" t="n">
        <v>0.955146465774709</v>
      </c>
      <c r="O184" t="n">
        <v>-14.49054373522459</v>
      </c>
      <c r="P184" t="n">
        <v>1.067453625632378</v>
      </c>
      <c r="Q184">
        <f>'_live'!$C$20</f>
        <v/>
      </c>
      <c r="R184" t="inlineStr">
        <is>
          <t>z test</t>
        </is>
      </c>
      <c r="S184" t="inlineStr">
        <is>
          <t>z test</t>
        </is>
      </c>
      <c r="T184" t="n">
        <v>0.07919621749408984</v>
      </c>
      <c r="U184" t="n">
        <v>0.0387858347386172</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0.04155844155844156</v>
      </c>
      <c r="AI184">
        <f>IF($Y184="worse","Yes",IF($Y184="worse, not significant","Not sure",IF(OR($Y184="too few losses to test",$Y184="too few loans to test"),"Too few losses",IF($Y184="","","No"))))</f>
        <v/>
      </c>
      <c r="AJ184">
        <f>IF($AA184="yes","Yes",IF($AA184="","","No"))</f>
        <v/>
      </c>
      <c r="AM184">
        <f>IF(AND(ISNUMBER($AC184),ISNUMBER(IF($V184,IF($AL184="","",$AL184),IF($AK184="","",$AK184)))),IF(AND(ABS($AC184-significance_bar)&lt;=2.0*IF($V184,IF($AL184="","",$AL184),IF($AK184="","",$AK184)),OR($Y184="worse",$Y184="better",$Y184="worse, not significant",$Y184="better, not significant")),IF(ROUND($AC184,3)=ROUND(significance_bar,3),TEXT($AC184,"0.0000"),TEXT($AC184,"0.000")),""),"")</f>
        <v/>
      </c>
      <c r="AN184">
        <f>IF(AND(ISNUMBER($AC184),ISNUMBER(IF($V184,IF($AL184="","",$AL184),IF($AK184="","",$AK184)))),IF(AND(ABS($AC184-significance_bar)&lt;=2.0*IF($V184,IF($AL184="","",$AL184),IF($AK184="","",$AK184)),OR($Y184="worse",$Y184="worse, not significant")),IF(ROUND($AC184,3)=ROUND(significance_bar,3),TEXT($AC184,"0.0000"),TEXT($AC184,"0.000")),""),"")</f>
        <v/>
      </c>
      <c r="AO184">
        <f>IF(OR($AI184="",$AN184=""),$AI184,$AI184&amp;" · borderline (p "&amp;$AN184&amp;")")</f>
        <v/>
      </c>
    </row>
    <row r="185">
      <c r="A185" t="inlineStr">
        <is>
          <t>grids</t>
        </is>
      </c>
      <c r="B185" t="inlineStr">
        <is>
          <t>FICO x ASSET_CLASS</t>
        </is>
      </c>
      <c r="C185" t="inlineStr">
        <is>
          <t>746 - 921</t>
        </is>
      </c>
      <c r="D185" t="inlineStr">
        <is>
          <t>3</t>
        </is>
      </c>
      <c r="E185" t="inlineStr">
        <is>
          <t>outcome_booked</t>
        </is>
      </c>
      <c r="F185" t="inlineStr">
        <is>
          <t>Outcome, share of booked dollars</t>
        </is>
      </c>
      <c r="G185" t="n">
        <v>385</v>
      </c>
      <c r="H185" t="n">
        <v>12544699.31</v>
      </c>
      <c r="I185" t="b">
        <v>0</v>
      </c>
      <c r="J185" t="b">
        <v>0</v>
      </c>
      <c r="K185" t="n">
        <v>0.4337539885200412</v>
      </c>
      <c r="L185" t="n">
        <v>0.03316749585406301</v>
      </c>
      <c r="M185" t="n">
        <v>0.8789983459261625</v>
      </c>
      <c r="N185" t="n">
        <v>0.7711442786069652</v>
      </c>
      <c r="O185" t="n">
        <v>-546585.3624565139</v>
      </c>
      <c r="P185" t="n">
        <v>-57636.76164458384</v>
      </c>
      <c r="Q185">
        <f>'_live'!$C$21</f>
        <v/>
      </c>
      <c r="R185" t="inlineStr">
        <is>
          <t>shuffled: 2 of 200</t>
        </is>
      </c>
      <c r="S185" t="inlineStr">
        <is>
          <t>shuffled: 134 of 200</t>
        </is>
      </c>
      <c r="T185" t="n">
        <v>0.07694715820625869</v>
      </c>
      <c r="U185" t="n">
        <v>0.03797064799033306</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0.03337613677724733</v>
      </c>
      <c r="AI185">
        <f>IF($Y185="worse","Yes",IF($Y185="worse, not significant","Not sure",IF(OR($Y185="too few losses to test",$Y185="too few loans to test"),"Too few losses",IF($Y185="","","No"))))</f>
        <v/>
      </c>
      <c r="AJ185">
        <f>IF($AA185="yes","Yes",IF($AA185="","","No"))</f>
        <v/>
      </c>
      <c r="AK185" t="n">
        <v>0.01905327577624553</v>
      </c>
      <c r="AL185" t="n">
        <v>0.02970528405677249</v>
      </c>
      <c r="AM185">
        <f>IF(AND(ISNUMBER($AC185),ISNUMBER(IF($V185,IF($AL185="","",$AL185),IF($AK185="","",$AK185)))),IF(AND(ABS($AC185-significance_bar)&lt;=2.0*IF($V185,IF($AL185="","",$AL185),IF($AK185="","",$AK185)),OR($Y185="worse",$Y185="better",$Y185="worse, not significant",$Y185="better, not significant")),IF(ROUND($AC185,3)=ROUND(significance_bar,3),TEXT($AC185,"0.0000"),TEXT($AC185,"0.000")),""),"")</f>
        <v/>
      </c>
      <c r="AN185">
        <f>IF(AND(ISNUMBER($AC185),ISNUMBER(IF($V185,IF($AL185="","",$AL185),IF($AK185="","",$AK185)))),IF(AND(ABS($AC185-significance_bar)&lt;=2.0*IF($V185,IF($AL185="","",$AL185),IF($AK185="","",$AK185)),OR($Y185="worse",$Y185="worse, not significant")),IF(ROUND($AC185,3)=ROUND(significance_bar,3),TEXT($AC185,"0.0000"),TEXT($AC185,"0.000")),""),"")</f>
        <v/>
      </c>
      <c r="AO185">
        <f>IF(OR($AI185="",$AN185=""),$AI185,$AI185&amp;" · borderline (p "&amp;$AN185&amp;")")</f>
        <v/>
      </c>
    </row>
    <row r="186">
      <c r="A186" t="inlineStr">
        <is>
          <t>grids</t>
        </is>
      </c>
      <c r="B186" t="inlineStr">
        <is>
          <t>FICO x ASSET_CLASS</t>
        </is>
      </c>
      <c r="C186" t="inlineStr">
        <is>
          <t>746 - 921</t>
        </is>
      </c>
      <c r="D186" t="inlineStr">
        <is>
          <t>3</t>
        </is>
      </c>
      <c r="E186" t="inlineStr">
        <is>
          <t>gco_rate</t>
        </is>
      </c>
      <c r="F186" t="inlineStr">
        <is>
          <t>GCO per booked dollar</t>
        </is>
      </c>
      <c r="G186" t="n">
        <v>385</v>
      </c>
      <c r="H186" t="n">
        <v>12544699.31</v>
      </c>
      <c r="I186" t="b">
        <v>0</v>
      </c>
      <c r="J186" t="b">
        <v>0</v>
      </c>
      <c r="K186" t="n">
        <v>0.3925256243203233</v>
      </c>
      <c r="L186" t="n">
        <v>0.04264392324093817</v>
      </c>
      <c r="M186" t="n">
        <v>0.8305856601183079</v>
      </c>
      <c r="N186" t="n">
        <v>0.7491952004682469</v>
      </c>
      <c r="O186" t="n">
        <v>-326705.2584888536</v>
      </c>
      <c r="P186" t="n">
        <v>-43058.79911685799</v>
      </c>
      <c r="Q186">
        <f>'_live'!$C$22</f>
        <v/>
      </c>
      <c r="R186" t="inlineStr">
        <is>
          <t>shuffled: 2 of 200</t>
        </is>
      </c>
      <c r="S186" t="inlineStr">
        <is>
          <t>shuffled: 119 of 200</t>
        </is>
      </c>
      <c r="T186" t="n">
        <v>0.04287142363469322</v>
      </c>
      <c r="U186" t="n">
        <v>0.02026056207774167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0.01682813232770902</v>
      </c>
      <c r="AI186">
        <f>IF($Y186="worse","Yes",IF($Y186="worse, not significant","Not sure",IF(OR($Y186="too few losses to test",$Y186="too few loans to test"),"Too few losses",IF($Y186="","","No"))))</f>
        <v/>
      </c>
      <c r="AJ186">
        <f>IF($AA186="yes","Yes",IF($AA186="","","No"))</f>
        <v/>
      </c>
      <c r="AK186" t="n">
        <v>0.02449706885517283</v>
      </c>
      <c r="AL186" t="n">
        <v>0.04000704124234138</v>
      </c>
      <c r="AM186">
        <f>IF(AND(ISNUMBER($AC186),ISNUMBER(IF($V186,IF($AL186="","",$AL186),IF($AK186="","",$AK186)))),IF(AND(ABS($AC186-significance_bar)&lt;=2.0*IF($V186,IF($AL186="","",$AL186),IF($AK186="","",$AK186)),OR($Y186="worse",$Y186="better",$Y186="worse, not significant",$Y186="better, not significant")),IF(ROUND($AC186,3)=ROUND(significance_bar,3),TEXT($AC186,"0.0000"),TEXT($AC186,"0.000")),""),"")</f>
        <v/>
      </c>
      <c r="AN186">
        <f>IF(AND(ISNUMBER($AC186),ISNUMBER(IF($V186,IF($AL186="","",$AL186),IF($AK186="","",$AK186)))),IF(AND(ABS($AC186-significance_bar)&lt;=2.0*IF($V186,IF($AL186="","",$AL186),IF($AK186="","",$AK186)),OR($Y186="worse",$Y186="worse, not significant")),IF(ROUND($AC186,3)=ROUND(significance_bar,3),TEXT($AC186,"0.0000"),TEXT($AC186,"0.000")),""),"")</f>
        <v/>
      </c>
      <c r="AO186">
        <f>IF(OR($AI186="",$AN186=""),$AI186,$AI186&amp;" · borderline (p "&amp;$AN186&amp;")")</f>
        <v/>
      </c>
    </row>
    <row r="187">
      <c r="A187" t="inlineStr">
        <is>
          <t>grids</t>
        </is>
      </c>
      <c r="B187" t="inlineStr">
        <is>
          <t>FICO x ASSET_CLASS</t>
        </is>
      </c>
      <c r="C187" t="inlineStr">
        <is>
          <t>746 - 921</t>
        </is>
      </c>
      <c r="D187" t="inlineStr">
        <is>
          <t>3</t>
        </is>
      </c>
      <c r="E187" t="inlineStr">
        <is>
          <t>ranr_rate</t>
        </is>
      </c>
      <c r="F187" t="inlineStr">
        <is>
          <t>Profit after losses: RANR per booked dollar</t>
        </is>
      </c>
      <c r="G187" t="n">
        <v>385</v>
      </c>
      <c r="H187" t="n">
        <v>12544699.31</v>
      </c>
      <c r="I187" t="b">
        <v>0</v>
      </c>
      <c r="J187" t="b">
        <v>0</v>
      </c>
      <c r="K187" t="n">
        <v>-0.08071993460472791</v>
      </c>
      <c r="L187" t="n">
        <v>0.01036484245439469</v>
      </c>
      <c r="M187" t="n">
        <v>0.005920436801926936</v>
      </c>
      <c r="N187" t="n">
        <v>0.7641791044776119</v>
      </c>
      <c r="O187" t="n">
        <v>1012607.307939175</v>
      </c>
      <c r="P187" t="n">
        <v>-74270.0994640314</v>
      </c>
      <c r="Q187">
        <f>'_live'!$C$23</f>
        <v/>
      </c>
      <c r="R187" t="inlineStr">
        <is>
          <t>shuffled: 0 of 200</t>
        </is>
      </c>
      <c r="S187" t="inlineStr">
        <is>
          <t>shuffled: 84 of 200</t>
        </is>
      </c>
      <c r="T187" t="n">
        <v>0.1319138432134469</v>
      </c>
      <c r="U187" t="n">
        <v>0.04527347180679205</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0.05119390860871899</v>
      </c>
      <c r="AI187">
        <f>IF($Y187="worse","Yes",IF($Y187="worse, not significant","Not sure",IF(OR($Y187="too few losses to test",$Y187="too few loans to test"),"Too few losses",IF($Y187="","","No"))))</f>
        <v/>
      </c>
      <c r="AJ187">
        <f>IF($AA187="yes","Yes",IF($AA187="","","No"))</f>
        <v/>
      </c>
      <c r="AK187" t="n">
        <v>0.01036484245439469</v>
      </c>
      <c r="AL187" t="n">
        <v>0.05651180688333961</v>
      </c>
      <c r="AM187">
        <f>IF(AND(ISNUMBER($AC187),ISNUMBER(IF($V187,IF($AL187="","",$AL187),IF($AK187="","",$AK187)))),IF(AND(ABS($AC187-significance_bar)&lt;=2.0*IF($V187,IF($AL187="","",$AL187),IF($AK187="","",$AK187)),OR($Y187="worse",$Y187="better",$Y187="worse, not significant",$Y187="better, not significant",AND(profit_kind="test",$Y187="in line",ISNUMBER($AB187),$AB187&lt;&gt;0))),IF(ROUND($AC187,3)=ROUND(significance_bar,3),TEXT($AC187,"0.0000"),TEXT($AC187,"0.000")),""),"")</f>
        <v/>
      </c>
      <c r="AN187">
        <f>IF(AND(ISNUMBER($AC187),ISNUMBER(IF($V187,IF($AL187="","",$AL187),IF($AK187="","",$AK187)))),IF(AND(ABS($AC187-significance_bar)&lt;=2.0*IF($V187,IF($AL187="","",$AL187),IF($AK187="","",$AK187)),OR($Y187="worse",$Y187="worse, not significant",AND(profit_kind="test",$Y187="in line",ISNUMBER($AB187),$AB187&lt;0))),IF(ROUND($AC187,3)=ROUND(significance_bar,3),TEXT($AC187,"0.0000"),TEXT($AC187,"0.000")),""),"")</f>
        <v/>
      </c>
      <c r="AO187">
        <f>IF(OR($AI187="",$AN187=""),$AI187,$AI187&amp;" · borderline (p "&amp;$AN187&amp;")")</f>
        <v/>
      </c>
    </row>
    <row r="188">
      <c r="A188" t="inlineStr">
        <is>
          <t>grids</t>
        </is>
      </c>
      <c r="B188" t="inlineStr">
        <is>
          <t>FICO x ASSET_CLASS</t>
        </is>
      </c>
      <c r="C188" t="inlineStr">
        <is>
          <t>746 - 921</t>
        </is>
      </c>
      <c r="D188" t="inlineStr">
        <is>
          <t>3</t>
        </is>
      </c>
      <c r="E188" t="inlineStr">
        <is>
          <t>contribution_rate</t>
        </is>
      </c>
      <c r="F188" t="inlineStr">
        <is>
          <t>Contribution before losses per booked dollar</t>
        </is>
      </c>
      <c r="G188" t="n">
        <v>385</v>
      </c>
      <c r="H188" t="n">
        <v>12544699.31</v>
      </c>
      <c r="I188" t="b">
        <v>0</v>
      </c>
      <c r="J188" t="b">
        <v>0</v>
      </c>
      <c r="K188" t="n">
        <v>-0.1067608548644124</v>
      </c>
      <c r="L188" t="n">
        <v>0.00777363184079602</v>
      </c>
      <c r="M188" t="n">
        <v>0.002488007051894281</v>
      </c>
      <c r="N188" t="n">
        <v>0.7846481876332623</v>
      </c>
      <c r="O188" t="n">
        <v>1339282.822352604</v>
      </c>
      <c r="P188" t="n">
        <v>-31211.30034717335</v>
      </c>
      <c r="Q188">
        <f>'_live'!$C$24</f>
        <v/>
      </c>
      <c r="R188" t="inlineStr">
        <is>
          <t>shuffled: 0 of 200</t>
        </is>
      </c>
      <c r="S188" t="inlineStr">
        <is>
          <t>shuffled: 43 of 200</t>
        </is>
      </c>
      <c r="T188" t="n">
        <v>0.1747828958008404</v>
      </c>
      <c r="U188" t="n">
        <v>0.06553403388453372</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0.068022040936428</v>
      </c>
      <c r="AI188">
        <f>IF($Y188="worse","Yes",IF($Y188="worse, not significant","Not sure",IF(OR($Y188="too few losses to test",$Y188="too few loans to test"),"Too few losses",IF($Y188="","","No"))))</f>
        <v/>
      </c>
      <c r="AJ188">
        <f>IF($AA188="yes","Yes",IF($AA188="","","No"))</f>
        <v/>
      </c>
      <c r="AK188" t="n">
        <v>0.00777363184079602</v>
      </c>
      <c r="AL188" t="n">
        <v>0.1018466881946486</v>
      </c>
      <c r="AM188">
        <f>IF(AND(ISNUMBER($AC188),ISNUMBER(IF($V188,IF($AL188="","",$AL188),IF($AK188="","",$AK188)))),IF(AND(ABS($AC188-significance_bar)&lt;=2.0*IF($V188,IF($AL188="","",$AL188),IF($AK188="","",$AK188)),OR($Y188="worse",$Y188="better",$Y188="worse, not significant",$Y188="better, not significant",AND(profit_kind="test",$Y188="in line",ISNUMBER($AB188),$AB188&lt;&gt;0))),IF(ROUND($AC188,3)=ROUND(significance_bar,3),TEXT($AC188,"0.0000"),TEXT($AC188,"0.000")),""),"")</f>
        <v/>
      </c>
      <c r="AN188">
        <f>IF(AND(ISNUMBER($AC188),ISNUMBER(IF($V188,IF($AL188="","",$AL188),IF($AK188="","",$AK188)))),IF(AND(ABS($AC188-significance_bar)&lt;=2.0*IF($V188,IF($AL188="","",$AL188),IF($AK188="","",$AK188)),OR($Y188="worse",$Y188="worse, not significant",AND(profit_kind="test",$Y188="in line",ISNUMBER($AB188),$AB188&lt;0))),IF(ROUND($AC188,3)=ROUND(significance_bar,3),TEXT($AC188,"0.0000"),TEXT($AC188,"0.000")),""),"")</f>
        <v/>
      </c>
      <c r="AO188">
        <f>IF(OR($AI188="",$AN188=""),$AI188,$AI188&amp;" · borderline (p "&amp;$AN188&amp;")")</f>
        <v/>
      </c>
    </row>
    <row r="189">
      <c r="A189" t="inlineStr">
        <is>
          <t>grids</t>
        </is>
      </c>
      <c r="B189" t="inlineStr">
        <is>
          <t>FICO x ASSET_CLASS</t>
        </is>
      </c>
      <c r="C189" t="inlineStr">
        <is>
          <t>654 - 685</t>
        </is>
      </c>
      <c r="D189" t="inlineStr">
        <is>
          <t>4</t>
        </is>
      </c>
      <c r="E189" t="inlineStr">
        <is>
          <t>outcome_loans</t>
        </is>
      </c>
      <c r="F189" t="inlineStr">
        <is>
          <t>Outcome, share of loans</t>
        </is>
      </c>
      <c r="G189" t="n">
        <v>410</v>
      </c>
      <c r="H189" t="n">
        <v>410</v>
      </c>
      <c r="I189" t="b">
        <v>0</v>
      </c>
      <c r="J189" t="b">
        <v>0</v>
      </c>
      <c r="K189" t="n">
        <v>1.555986502071676</v>
      </c>
      <c r="L189" t="n">
        <v>0.008066693628399802</v>
      </c>
      <c r="M189" t="n">
        <v>1.611897679952409</v>
      </c>
      <c r="N189" t="n">
        <v>0.03718827300026361</v>
      </c>
      <c r="O189" t="n">
        <v>17.15140334694953</v>
      </c>
      <c r="P189" t="n">
        <v>18.22143489813995</v>
      </c>
      <c r="Q189">
        <f>'_live'!$C$20</f>
        <v/>
      </c>
      <c r="R189" t="inlineStr">
        <is>
          <t>z test</t>
        </is>
      </c>
      <c r="S189" t="inlineStr">
        <is>
          <t>z test</t>
        </is>
      </c>
      <c r="T189" t="n">
        <v>0.07524047964158651</v>
      </c>
      <c r="U189" t="n">
        <v>0.07263064658990256</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0.1170731707317073</v>
      </c>
      <c r="AI189">
        <f>IF($Y189="worse","Yes",IF($Y189="worse, not significant","Not sure",IF(OR($Y189="too few losses to test",$Y189="too few loans to test"),"Too few losses",IF($Y189="","","No"))))</f>
        <v/>
      </c>
      <c r="AJ189">
        <f>IF($AA189="yes","Yes",IF($AA189="","","No"))</f>
        <v/>
      </c>
      <c r="AM189">
        <f>IF(AND(ISNUMBER($AC189),ISNUMBER(IF($V189,IF($AL189="","",$AL189),IF($AK189="","",$AK189)))),IF(AND(ABS($AC189-significance_bar)&lt;=2.0*IF($V189,IF($AL189="","",$AL189),IF($AK189="","",$AK189)),OR($Y189="worse",$Y189="better",$Y189="worse, not significant",$Y189="better, not significant")),IF(ROUND($AC189,3)=ROUND(significance_bar,3),TEXT($AC189,"0.0000"),TEXT($AC189,"0.000")),""),"")</f>
        <v/>
      </c>
      <c r="AN189">
        <f>IF(AND(ISNUMBER($AC189),ISNUMBER(IF($V189,IF($AL189="","",$AL189),IF($AK189="","",$AK189)))),IF(AND(ABS($AC189-significance_bar)&lt;=2.0*IF($V189,IF($AL189="","",$AL189),IF($AK189="","",$AK189)),OR($Y189="worse",$Y189="worse, not significant")),IF(ROUND($AC189,3)=ROUND(significance_bar,3),TEXT($AC189,"0.0000"),TEXT($AC189,"0.000")),""),"")</f>
        <v/>
      </c>
      <c r="AO189">
        <f>IF(OR($AI189="",$AN189=""),$AI189,$AI189&amp;" · borderline (p "&amp;$AN189&amp;")")</f>
        <v/>
      </c>
    </row>
    <row r="190">
      <c r="A190" t="inlineStr">
        <is>
          <t>grids</t>
        </is>
      </c>
      <c r="B190" t="inlineStr">
        <is>
          <t>FICO x ASSET_CLASS</t>
        </is>
      </c>
      <c r="C190" t="inlineStr">
        <is>
          <t>654 - 685</t>
        </is>
      </c>
      <c r="D190" t="inlineStr">
        <is>
          <t>4</t>
        </is>
      </c>
      <c r="E190" t="inlineStr">
        <is>
          <t>outcome_booked</t>
        </is>
      </c>
      <c r="F190" t="inlineStr">
        <is>
          <t>Outcome, share of booked dollars</t>
        </is>
      </c>
      <c r="G190" t="n">
        <v>410</v>
      </c>
      <c r="H190" t="n">
        <v>13563003.84</v>
      </c>
      <c r="I190" t="b">
        <v>0</v>
      </c>
      <c r="J190" t="b">
        <v>0</v>
      </c>
      <c r="K190" t="n">
        <v>1.538211429423218</v>
      </c>
      <c r="L190" t="n">
        <v>0.03316749585406301</v>
      </c>
      <c r="M190" t="n">
        <v>1.653404103717667</v>
      </c>
      <c r="N190" t="n">
        <v>0.04975124378109452</v>
      </c>
      <c r="O190" t="n">
        <v>531205.1529244456</v>
      </c>
      <c r="P190" t="n">
        <v>599968.2157629698</v>
      </c>
      <c r="Q190">
        <f>'_live'!$C$21</f>
        <v/>
      </c>
      <c r="R190" t="inlineStr">
        <is>
          <t>shuffled: 2 of 200</t>
        </is>
      </c>
      <c r="S190" t="inlineStr">
        <is>
          <t>shuffled: 0 of 200</t>
        </is>
      </c>
      <c r="T190" t="n">
        <v>0.07277018488815491</v>
      </c>
      <c r="U190" t="n">
        <v>0.06770028564977762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0.1119359301162006</v>
      </c>
      <c r="AI190">
        <f>IF($Y190="worse","Yes",IF($Y190="worse, not significant","Not sure",IF(OR($Y190="too few losses to test",$Y190="too few loans to test"),"Too few losses",IF($Y190="","","No"))))</f>
        <v/>
      </c>
      <c r="AJ190">
        <f>IF($AA190="yes","Yes",IF($AA190="","","No"))</f>
        <v/>
      </c>
      <c r="AK190" t="n">
        <v>0.01905327577624553</v>
      </c>
      <c r="AL190" t="n">
        <v>0.04975124378109452</v>
      </c>
      <c r="AM190">
        <f>IF(AND(ISNUMBER($AC190),ISNUMBER(IF($V190,IF($AL190="","",$AL190),IF($AK190="","",$AK190)))),IF(AND(ABS($AC190-significance_bar)&lt;=2.0*IF($V190,IF($AL190="","",$AL190),IF($AK190="","",$AK190)),OR($Y190="worse",$Y190="better",$Y190="worse, not significant",$Y190="better, not significant")),IF(ROUND($AC190,3)=ROUND(significance_bar,3),TEXT($AC190,"0.0000"),TEXT($AC190,"0.000")),""),"")</f>
        <v/>
      </c>
      <c r="AN190">
        <f>IF(AND(ISNUMBER($AC190),ISNUMBER(IF($V190,IF($AL190="","",$AL190),IF($AK190="","",$AK190)))),IF(AND(ABS($AC190-significance_bar)&lt;=2.0*IF($V190,IF($AL190="","",$AL190),IF($AK190="","",$AK190)),OR($Y190="worse",$Y190="worse, not significant")),IF(ROUND($AC190,3)=ROUND(significance_bar,3),TEXT($AC190,"0.0000"),TEXT($AC190,"0.000")),""),"")</f>
        <v/>
      </c>
      <c r="AO190">
        <f>IF(OR($AI190="",$AN190=""),$AI190,$AI190&amp;" · borderline (p "&amp;$AN190&amp;")")</f>
        <v/>
      </c>
    </row>
    <row r="191">
      <c r="A191" t="inlineStr">
        <is>
          <t>grids</t>
        </is>
      </c>
      <c r="B191" t="inlineStr">
        <is>
          <t>FICO x ASSET_CLASS</t>
        </is>
      </c>
      <c r="C191" t="inlineStr">
        <is>
          <t>654 - 685</t>
        </is>
      </c>
      <c r="D191" t="inlineStr">
        <is>
          <t>4</t>
        </is>
      </c>
      <c r="E191" t="inlineStr">
        <is>
          <t>gco_rate</t>
        </is>
      </c>
      <c r="F191" t="inlineStr">
        <is>
          <t>GCO per booked dollar</t>
        </is>
      </c>
      <c r="G191" t="n">
        <v>410</v>
      </c>
      <c r="H191" t="n">
        <v>13563003.84</v>
      </c>
      <c r="I191" t="b">
        <v>0</v>
      </c>
      <c r="J191" t="b">
        <v>0</v>
      </c>
      <c r="K191" t="n">
        <v>1.59258134719182</v>
      </c>
      <c r="L191" t="n">
        <v>0.04264392324093817</v>
      </c>
      <c r="M191" t="n">
        <v>1.691137770960734</v>
      </c>
      <c r="N191" t="n">
        <v>0.09950248756218905</v>
      </c>
      <c r="O191" t="n">
        <v>324288.0800424686</v>
      </c>
      <c r="P191" t="n">
        <v>356180.6087607871</v>
      </c>
      <c r="Q191">
        <f>'_live'!$C$22</f>
        <v/>
      </c>
      <c r="R191" t="inlineStr">
        <is>
          <t>shuffled: 2 of 200</t>
        </is>
      </c>
      <c r="S191" t="inlineStr">
        <is>
          <t>shuffled: 1 of 200</t>
        </is>
      </c>
      <c r="T191" t="n">
        <v>0.04034847489636419</v>
      </c>
      <c r="U191" t="n">
        <v>0.03799703939619416</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0.06425822850758699</v>
      </c>
      <c r="AI191">
        <f>IF($Y191="worse","Yes",IF($Y191="worse, not significant","Not sure",IF(OR($Y191="too few losses to test",$Y191="too few loans to test"),"Too few losses",IF($Y191="","","No"))))</f>
        <v/>
      </c>
      <c r="AJ191">
        <f>IF($AA191="yes","Yes",IF($AA191="","","No"))</f>
        <v/>
      </c>
      <c r="AK191" t="n">
        <v>0.02449706885517283</v>
      </c>
      <c r="AL191" t="n">
        <v>0.04937669960517216</v>
      </c>
      <c r="AM191">
        <f>IF(AND(ISNUMBER($AC191),ISNUMBER(IF($V191,IF($AL191="","",$AL191),IF($AK191="","",$AK191)))),IF(AND(ABS($AC191-significance_bar)&lt;=2.0*IF($V191,IF($AL191="","",$AL191),IF($AK191="","",$AK191)),OR($Y191="worse",$Y191="better",$Y191="worse, not significant",$Y191="better, not significant")),IF(ROUND($AC191,3)=ROUND(significance_bar,3),TEXT($AC191,"0.0000"),TEXT($AC191,"0.000")),""),"")</f>
        <v/>
      </c>
      <c r="AN191">
        <f>IF(AND(ISNUMBER($AC191),ISNUMBER(IF($V191,IF($AL191="","",$AL191),IF($AK191="","",$AK191)))),IF(AND(ABS($AC191-significance_bar)&lt;=2.0*IF($V191,IF($AL191="","",$AL191),IF($AK191="","",$AK191)),OR($Y191="worse",$Y191="worse, not significant")),IF(ROUND($AC191,3)=ROUND(significance_bar,3),TEXT($AC191,"0.0000"),TEXT($AC191,"0.000")),""),"")</f>
        <v/>
      </c>
      <c r="AO191">
        <f>IF(OR($AI191="",$AN191=""),$AI191,$AI191&amp;" · borderline (p "&amp;$AN191&amp;")")</f>
        <v/>
      </c>
    </row>
    <row r="192">
      <c r="A192" t="inlineStr">
        <is>
          <t>grids</t>
        </is>
      </c>
      <c r="B192" t="inlineStr">
        <is>
          <t>FICO x ASSET_CLASS</t>
        </is>
      </c>
      <c r="C192" t="inlineStr">
        <is>
          <t>654 - 685</t>
        </is>
      </c>
      <c r="D192" t="inlineStr">
        <is>
          <t>4</t>
        </is>
      </c>
      <c r="E192" t="inlineStr">
        <is>
          <t>ranr_rate</t>
        </is>
      </c>
      <c r="F192" t="inlineStr">
        <is>
          <t>Profit after losses: RANR per booked dollar</t>
        </is>
      </c>
      <c r="G192" t="n">
        <v>410</v>
      </c>
      <c r="H192" t="n">
        <v>13563003.84</v>
      </c>
      <c r="I192" t="b">
        <v>0</v>
      </c>
      <c r="J192" t="b">
        <v>0</v>
      </c>
      <c r="K192" t="n">
        <v>0.01261288980521949</v>
      </c>
      <c r="L192" t="n">
        <v>0.2425373134328358</v>
      </c>
      <c r="M192" t="n">
        <v>-0.03190361830554431</v>
      </c>
      <c r="N192" t="n">
        <v>0.05970149253731343</v>
      </c>
      <c r="O192" t="n">
        <v>-171068.672861689</v>
      </c>
      <c r="P192" t="n">
        <v>432708.8975879916</v>
      </c>
      <c r="Q192">
        <f>'_live'!$C$23</f>
        <v/>
      </c>
      <c r="R192" t="inlineStr">
        <is>
          <t>shuffled: 38 of 200</t>
        </is>
      </c>
      <c r="S192" t="inlineStr">
        <is>
          <t>shuffled: 0 of 200</t>
        </is>
      </c>
      <c r="T192" t="n">
        <v>0.1273271686354039</v>
      </c>
      <c r="U192" t="n">
        <v>0.1718436767461677</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0.1399400584406234</v>
      </c>
      <c r="AI192">
        <f>IF($Y192="worse","Yes",IF($Y192="worse, not significant","Not sure",IF(OR($Y192="too few losses to test",$Y192="too few loans to test"),"Too few losses",IF($Y192="","","No"))))</f>
        <v/>
      </c>
      <c r="AJ192">
        <f>IF($AA192="yes","Yes",IF($AA192="","","No"))</f>
        <v/>
      </c>
      <c r="AK192" t="n">
        <v>0.03495334700596119</v>
      </c>
      <c r="AL192" t="n">
        <v>0.05970149253731343</v>
      </c>
      <c r="AM192">
        <f>IF(AND(ISNUMBER($AC192),ISNUMBER(IF($V192,IF($AL192="","",$AL192),IF($AK192="","",$AK192)))),IF(AND(ABS($AC192-significance_bar)&lt;=2.0*IF($V192,IF($AL192="","",$AL192),IF($AK192="","",$AK192)),OR($Y192="worse",$Y192="better",$Y192="worse, not significant",$Y192="better, not significant",AND(profit_kind="test",$Y192="in line",ISNUMBER($AB192),$AB192&lt;&gt;0))),IF(ROUND($AC192,3)=ROUND(significance_bar,3),TEXT($AC192,"0.0000"),TEXT($AC192,"0.000")),""),"")</f>
        <v/>
      </c>
      <c r="AN192">
        <f>IF(AND(ISNUMBER($AC192),ISNUMBER(IF($V192,IF($AL192="","",$AL192),IF($AK192="","",$AK192)))),IF(AND(ABS($AC192-significance_bar)&lt;=2.0*IF($V192,IF($AL192="","",$AL192),IF($AK192="","",$AK192)),OR($Y192="worse",$Y192="worse, not significant",AND(profit_kind="test",$Y192="in line",ISNUMBER($AB192),$AB192&lt;0))),IF(ROUND($AC192,3)=ROUND(significance_bar,3),TEXT($AC192,"0.0000"),TEXT($AC192,"0.000")),""),"")</f>
        <v/>
      </c>
      <c r="AO192">
        <f>IF(OR($AI192="",$AN192=""),$AI192,$AI192&amp;" · borderline (p "&amp;$AN192&amp;")")</f>
        <v/>
      </c>
    </row>
    <row r="193">
      <c r="A193" t="inlineStr">
        <is>
          <t>grids</t>
        </is>
      </c>
      <c r="B193" t="inlineStr">
        <is>
          <t>FICO x ASSET_CLASS</t>
        </is>
      </c>
      <c r="C193" t="inlineStr">
        <is>
          <t>654 - 685</t>
        </is>
      </c>
      <c r="D193" t="inlineStr">
        <is>
          <t>4</t>
        </is>
      </c>
      <c r="E193" t="inlineStr">
        <is>
          <t>contribution_rate</t>
        </is>
      </c>
      <c r="F193" t="inlineStr">
        <is>
          <t>Contribution before losses per booked dollar</t>
        </is>
      </c>
      <c r="G193" t="n">
        <v>410</v>
      </c>
      <c r="H193" t="n">
        <v>13563003.84</v>
      </c>
      <c r="I193" t="b">
        <v>0</v>
      </c>
      <c r="J193" t="b">
        <v>0</v>
      </c>
      <c r="K193" t="n">
        <v>0.03652576890074838</v>
      </c>
      <c r="L193" t="n">
        <v>0.00777363184079602</v>
      </c>
      <c r="M193" t="n">
        <v>-0.005642429194151394</v>
      </c>
      <c r="N193" t="n">
        <v>0.9203980099502488</v>
      </c>
      <c r="O193" t="n">
        <v>-495399.1438598027</v>
      </c>
      <c r="P193" t="n">
        <v>76528.28882720368</v>
      </c>
      <c r="Q193">
        <f>'_live'!$C$24</f>
        <v/>
      </c>
      <c r="R193" t="inlineStr">
        <is>
          <t>shuffled: 0 of 200</t>
        </is>
      </c>
      <c r="S193" t="inlineStr">
        <is>
          <t>shuffled: 83 of 200</t>
        </is>
      </c>
      <c r="T193" t="n">
        <v>0.1676725180474621</v>
      </c>
      <c r="U193" t="n">
        <v>0.2098407161423619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0.2041982869482105</v>
      </c>
      <c r="AI193">
        <f>IF($Y193="worse","Yes",IF($Y193="worse, not significant","Not sure",IF(OR($Y193="too few losses to test",$Y193="too few loans to test"),"Too few losses",IF($Y193="","","No"))))</f>
        <v/>
      </c>
      <c r="AJ193">
        <f>IF($AA193="yes","Yes",IF($AA193="","","No"))</f>
        <v/>
      </c>
      <c r="AK193" t="n">
        <v>0.00777363184079602</v>
      </c>
      <c r="AL193" t="n">
        <v>0.01913968563350382</v>
      </c>
      <c r="AM193">
        <f>IF(AND(ISNUMBER($AC193),ISNUMBER(IF($V193,IF($AL193="","",$AL193),IF($AK193="","",$AK193)))),IF(AND(ABS($AC193-significance_bar)&lt;=2.0*IF($V193,IF($AL193="","",$AL193),IF($AK193="","",$AK193)),OR($Y193="worse",$Y193="better",$Y193="worse, not significant",$Y193="better, not significant",AND(profit_kind="test",$Y193="in line",ISNUMBER($AB193),$AB193&lt;&gt;0))),IF(ROUND($AC193,3)=ROUND(significance_bar,3),TEXT($AC193,"0.0000"),TEXT($AC193,"0.000")),""),"")</f>
        <v/>
      </c>
      <c r="AN193">
        <f>IF(AND(ISNUMBER($AC193),ISNUMBER(IF($V193,IF($AL193="","",$AL193),IF($AK193="","",$AK193)))),IF(AND(ABS($AC193-significance_bar)&lt;=2.0*IF($V193,IF($AL193="","",$AL193),IF($AK193="","",$AK193)),OR($Y193="worse",$Y193="worse, not significant",AND(profit_kind="test",$Y193="in line",ISNUMBER($AB193),$AB193&lt;0))),IF(ROUND($AC193,3)=ROUND(significance_bar,3),TEXT($AC193,"0.0000"),TEXT($AC193,"0.000")),""),"")</f>
        <v/>
      </c>
      <c r="AO193">
        <f>IF(OR($AI193="",$AN193=""),$AI193,$AI193&amp;" · borderline (p "&amp;$AN193&amp;")")</f>
        <v/>
      </c>
    </row>
    <row r="194">
      <c r="A194" t="inlineStr">
        <is>
          <t>grids</t>
        </is>
      </c>
      <c r="B194" t="inlineStr">
        <is>
          <t>FICO x ASSET_CLASS</t>
        </is>
      </c>
      <c r="C194" t="inlineStr">
        <is>
          <t>686 - 711</t>
        </is>
      </c>
      <c r="D194" t="inlineStr">
        <is>
          <t>2</t>
        </is>
      </c>
      <c r="E194" t="inlineStr">
        <is>
          <t>outcome_loans</t>
        </is>
      </c>
      <c r="F194" t="inlineStr">
        <is>
          <t>Outcome, share of loans</t>
        </is>
      </c>
      <c r="G194" t="n">
        <v>395</v>
      </c>
      <c r="H194" t="n">
        <v>395</v>
      </c>
      <c r="I194" t="b">
        <v>0</v>
      </c>
      <c r="J194" t="b">
        <v>0</v>
      </c>
      <c r="K194" t="n">
        <v>0.5107962298213574</v>
      </c>
      <c r="L194" t="n">
        <v>0.0122557845693401</v>
      </c>
      <c r="M194" t="n">
        <v>0.590886075949367</v>
      </c>
      <c r="N194" t="n">
        <v>0.1579294815553713</v>
      </c>
      <c r="O194" t="n">
        <v>-15.32364544976328</v>
      </c>
      <c r="P194" t="n">
        <v>-11.07797772065124</v>
      </c>
      <c r="Q194">
        <f>'_live'!$C$20</f>
        <v/>
      </c>
      <c r="R194" t="inlineStr">
        <is>
          <t>z test</t>
        </is>
      </c>
      <c r="S194" t="inlineStr">
        <is>
          <t>z test</t>
        </is>
      </c>
      <c r="T194" t="n">
        <v>0.07930036822724881</v>
      </c>
      <c r="U194" t="n">
        <v>0.06855184233076264</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0.04050632911392405</v>
      </c>
      <c r="AI194">
        <f>IF($Y194="worse","Yes",IF($Y194="worse, not significant","Not sure",IF(OR($Y194="too few losses to test",$Y194="too few loans to test"),"Too few losses",IF($Y194="","","No"))))</f>
        <v/>
      </c>
      <c r="AJ194">
        <f>IF($AA194="yes","Yes",IF($AA194="","","No"))</f>
        <v/>
      </c>
      <c r="AM194">
        <f>IF(AND(ISNUMBER($AC194),ISNUMBER(IF($V194,IF($AL194="","",$AL194),IF($AK194="","",$AK194)))),IF(AND(ABS($AC194-significance_bar)&lt;=2.0*IF($V194,IF($AL194="","",$AL194),IF($AK194="","",$AK194)),OR($Y194="worse",$Y194="better",$Y194="worse, not significant",$Y194="better, not significant")),IF(ROUND($AC194,3)=ROUND(significance_bar,3),TEXT($AC194,"0.0000"),TEXT($AC194,"0.000")),""),"")</f>
        <v/>
      </c>
      <c r="AN194">
        <f>IF(AND(ISNUMBER($AC194),ISNUMBER(IF($V194,IF($AL194="","",$AL194),IF($AK194="","",$AK194)))),IF(AND(ABS($AC194-significance_bar)&lt;=2.0*IF($V194,IF($AL194="","",$AL194),IF($AK194="","",$AK194)),OR($Y194="worse",$Y194="worse, not significant")),IF(ROUND($AC194,3)=ROUND(significance_bar,3),TEXT($AC194,"0.0000"),TEXT($AC194,"0.000")),""),"")</f>
        <v/>
      </c>
      <c r="AO194">
        <f>IF(OR($AI194="",$AN194=""),$AI194,$AI194&amp;" · borderline (p "&amp;$AN194&amp;")")</f>
        <v/>
      </c>
    </row>
    <row r="195">
      <c r="A195" t="inlineStr">
        <is>
          <t>grids</t>
        </is>
      </c>
      <c r="B195" t="inlineStr">
        <is>
          <t>FICO x ASSET_CLASS</t>
        </is>
      </c>
      <c r="C195" t="inlineStr">
        <is>
          <t>686 - 711</t>
        </is>
      </c>
      <c r="D195" t="inlineStr">
        <is>
          <t>2</t>
        </is>
      </c>
      <c r="E195" t="inlineStr">
        <is>
          <t>outcome_booked</t>
        </is>
      </c>
      <c r="F195" t="inlineStr">
        <is>
          <t>Outcome, share of booked dollars</t>
        </is>
      </c>
      <c r="G195" t="n">
        <v>395</v>
      </c>
      <c r="H195" t="n">
        <v>12948870.12</v>
      </c>
      <c r="I195" t="b">
        <v>0</v>
      </c>
      <c r="J195" t="b">
        <v>0</v>
      </c>
      <c r="K195" t="n">
        <v>0.4974302679432662</v>
      </c>
      <c r="L195" t="n">
        <v>0.03316749585406301</v>
      </c>
      <c r="M195" t="n">
        <v>0.6040497133408764</v>
      </c>
      <c r="N195" t="n">
        <v>0.3980099502487562</v>
      </c>
      <c r="O195" t="n">
        <v>-499563.8953142854</v>
      </c>
      <c r="P195" t="n">
        <v>-324111.8437400922</v>
      </c>
      <c r="Q195">
        <f>'_live'!$C$21</f>
        <v/>
      </c>
      <c r="R195" t="inlineStr">
        <is>
          <t>shuffled: 2 of 200</t>
        </is>
      </c>
      <c r="S195" t="inlineStr">
        <is>
          <t>shuffled: 19 of 200</t>
        </is>
      </c>
      <c r="T195" t="n">
        <v>0.07676492667719226</v>
      </c>
      <c r="U195" t="n">
        <v>0.06321532351118311</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0.03818519804568093</v>
      </c>
      <c r="AI195">
        <f>IF($Y195="worse","Yes",IF($Y195="worse, not significant","Not sure",IF(OR($Y195="too few losses to test",$Y195="too few loans to test"),"Too few losses",IF($Y195="","","No"))))</f>
        <v/>
      </c>
      <c r="AJ195">
        <f>IF($AA195="yes","Yes",IF($AA195="","","No"))</f>
        <v/>
      </c>
      <c r="AK195" t="n">
        <v>0.01905327577624553</v>
      </c>
      <c r="AL195" t="n">
        <v>0.08466486521863741</v>
      </c>
      <c r="AM195">
        <f>IF(AND(ISNUMBER($AC195),ISNUMBER(IF($V195,IF($AL195="","",$AL195),IF($AK195="","",$AK195)))),IF(AND(ABS($AC195-significance_bar)&lt;=2.0*IF($V195,IF($AL195="","",$AL195),IF($AK195="","",$AK195)),OR($Y195="worse",$Y195="better",$Y195="worse, not significant",$Y195="better, not significant")),IF(ROUND($AC195,3)=ROUND(significance_bar,3),TEXT($AC195,"0.0000"),TEXT($AC195,"0.000")),""),"")</f>
        <v/>
      </c>
      <c r="AN195">
        <f>IF(AND(ISNUMBER($AC195),ISNUMBER(IF($V195,IF($AL195="","",$AL195),IF($AK195="","",$AK195)))),IF(AND(ABS($AC195-significance_bar)&lt;=2.0*IF($V195,IF($AL195="","",$AL195),IF($AK195="","",$AK195)),OR($Y195="worse",$Y195="worse, not significant")),IF(ROUND($AC195,3)=ROUND(significance_bar,3),TEXT($AC195,"0.0000"),TEXT($AC195,"0.000")),""),"")</f>
        <v/>
      </c>
      <c r="AO195">
        <f>IF(OR($AI195="",$AN195=""),$AI195,$AI195&amp;" · borderline (p "&amp;$AN195&amp;")")</f>
        <v/>
      </c>
    </row>
    <row r="196">
      <c r="A196" t="inlineStr">
        <is>
          <t>grids</t>
        </is>
      </c>
      <c r="B196" t="inlineStr">
        <is>
          <t>FICO x ASSET_CLASS</t>
        </is>
      </c>
      <c r="C196" t="inlineStr">
        <is>
          <t>686 - 711</t>
        </is>
      </c>
      <c r="D196" t="inlineStr">
        <is>
          <t>2</t>
        </is>
      </c>
      <c r="E196" t="inlineStr">
        <is>
          <t>gco_rate</t>
        </is>
      </c>
      <c r="F196" t="inlineStr">
        <is>
          <t>GCO per booked dollar</t>
        </is>
      </c>
      <c r="G196" t="n">
        <v>395</v>
      </c>
      <c r="H196" t="n">
        <v>12948870.12</v>
      </c>
      <c r="I196" t="b">
        <v>0</v>
      </c>
      <c r="J196" t="b">
        <v>0</v>
      </c>
      <c r="K196" t="n">
        <v>0.4369289719695875</v>
      </c>
      <c r="L196" t="n">
        <v>0.03980099502487562</v>
      </c>
      <c r="M196" t="n">
        <v>0.5215023580325703</v>
      </c>
      <c r="N196" t="n">
        <v>0.1791044776119403</v>
      </c>
      <c r="O196" t="n">
        <v>-312170.5702601096</v>
      </c>
      <c r="P196" t="n">
        <v>-222260.9386766321</v>
      </c>
      <c r="Q196">
        <f>'_live'!$C$22</f>
        <v/>
      </c>
      <c r="R196" t="inlineStr">
        <is>
          <t>shuffled: 1 of 200</t>
        </is>
      </c>
      <c r="S196" t="inlineStr">
        <is>
          <t>shuffled: 8 of 200</t>
        </is>
      </c>
      <c r="T196" t="n">
        <v>0.04281509391339155</v>
      </c>
      <c r="U196" t="n">
        <v>0.03587165940904751</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0.01870715496835951</v>
      </c>
      <c r="AI196">
        <f>IF($Y196="worse","Yes",IF($Y196="worse, not significant","Not sure",IF(OR($Y196="too few losses to test",$Y196="too few loans to test"),"Too few losses",IF($Y196="","","No"))))</f>
        <v/>
      </c>
      <c r="AJ196">
        <f>IF($AA196="yes","Yes",IF($AA196="","","No"))</f>
        <v/>
      </c>
      <c r="AK196" t="n">
        <v>0.02807310642719579</v>
      </c>
      <c r="AL196" t="n">
        <v>0.05849527743959828</v>
      </c>
      <c r="AM196">
        <f>IF(AND(ISNUMBER($AC196),ISNUMBER(IF($V196,IF($AL196="","",$AL196),IF($AK196="","",$AK196)))),IF(AND(ABS($AC196-significance_bar)&lt;=2.0*IF($V196,IF($AL196="","",$AL196),IF($AK196="","",$AK196)),OR($Y196="worse",$Y196="better",$Y196="worse, not significant",$Y196="better, not significant")),IF(ROUND($AC196,3)=ROUND(significance_bar,3),TEXT($AC196,"0.0000"),TEXT($AC196,"0.000")),""),"")</f>
        <v/>
      </c>
      <c r="AN196">
        <f>IF(AND(ISNUMBER($AC196),ISNUMBER(IF($V196,IF($AL196="","",$AL196),IF($AK196="","",$AK196)))),IF(AND(ABS($AC196-significance_bar)&lt;=2.0*IF($V196,IF($AL196="","",$AL196),IF($AK196="","",$AK196)),OR($Y196="worse",$Y196="worse, not significant")),IF(ROUND($AC196,3)=ROUND(significance_bar,3),TEXT($AC196,"0.0000"),TEXT($AC196,"0.000")),""),"")</f>
        <v/>
      </c>
      <c r="AO196">
        <f>IF(OR($AI196="",$AN196=""),$AI196,$AI196&amp;" · borderline (p "&amp;$AN196&amp;")")</f>
        <v/>
      </c>
    </row>
    <row r="197">
      <c r="A197" t="inlineStr">
        <is>
          <t>grids</t>
        </is>
      </c>
      <c r="B197" t="inlineStr">
        <is>
          <t>FICO x ASSET_CLASS</t>
        </is>
      </c>
      <c r="C197" t="inlineStr">
        <is>
          <t>686 - 711</t>
        </is>
      </c>
      <c r="D197" t="inlineStr">
        <is>
          <t>2</t>
        </is>
      </c>
      <c r="E197" t="inlineStr">
        <is>
          <t>ranr_rate</t>
        </is>
      </c>
      <c r="F197" t="inlineStr">
        <is>
          <t>Profit after losses: RANR per booked dollar</t>
        </is>
      </c>
      <c r="G197" t="n">
        <v>395</v>
      </c>
      <c r="H197" t="n">
        <v>12948870.12</v>
      </c>
      <c r="I197" t="b">
        <v>0</v>
      </c>
      <c r="J197" t="b">
        <v>0</v>
      </c>
      <c r="K197" t="n">
        <v>0.02631820897811973</v>
      </c>
      <c r="L197" t="n">
        <v>0.02332089552238806</v>
      </c>
      <c r="M197" t="n">
        <v>0.01483470975900519</v>
      </c>
      <c r="N197" t="n">
        <v>0.4378109452736318</v>
      </c>
      <c r="O197" t="n">
        <v>-340791.0698486902</v>
      </c>
      <c r="P197" t="n">
        <v>-192092.7299372545</v>
      </c>
      <c r="Q197">
        <f>'_live'!$C$23</f>
        <v/>
      </c>
      <c r="R197" t="inlineStr">
        <is>
          <t>shuffled: 2 of 200</t>
        </is>
      </c>
      <c r="S197" t="inlineStr">
        <is>
          <t>shuffled: 27 of 200</t>
        </is>
      </c>
      <c r="T197" t="n">
        <v>0.1266695043622317</v>
      </c>
      <c r="U197" t="n">
        <v>0.1381530035813462</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0.1529877133403514</v>
      </c>
      <c r="AI197">
        <f>IF($Y197="worse","Yes",IF($Y197="worse, not significant","Not sure",IF(OR($Y197="too few losses to test",$Y197="too few loans to test"),"Too few losses",IF($Y197="","","No"))))</f>
        <v/>
      </c>
      <c r="AJ197">
        <f>IF($AA197="yes","Yes",IF($AA197="","","No"))</f>
        <v/>
      </c>
      <c r="AK197" t="n">
        <v>0.01339683453017264</v>
      </c>
      <c r="AL197" t="n">
        <v>0.06985046278521091</v>
      </c>
      <c r="AM197">
        <f>IF(AND(ISNUMBER($AC197),ISNUMBER(IF($V197,IF($AL197="","",$AL197),IF($AK197="","",$AK197)))),IF(AND(ABS($AC197-significance_bar)&lt;=2.0*IF($V197,IF($AL197="","",$AL197),IF($AK197="","",$AK197)),OR($Y197="worse",$Y197="better",$Y197="worse, not significant",$Y197="better, not significant",AND(profit_kind="test",$Y197="in line",ISNUMBER($AB197),$AB197&lt;&gt;0))),IF(ROUND($AC197,3)=ROUND(significance_bar,3),TEXT($AC197,"0.0000"),TEXT($AC197,"0.000")),""),"")</f>
        <v/>
      </c>
      <c r="AN197">
        <f>IF(AND(ISNUMBER($AC197),ISNUMBER(IF($V197,IF($AL197="","",$AL197),IF($AK197="","",$AK197)))),IF(AND(ABS($AC197-significance_bar)&lt;=2.0*IF($V197,IF($AL197="","",$AL197),IF($AK197="","",$AK197)),OR($Y197="worse",$Y197="worse, not significant",AND(profit_kind="test",$Y197="in line",ISNUMBER($AB197),$AB197&lt;0))),IF(ROUND($AC197,3)=ROUND(significance_bar,3),TEXT($AC197,"0.0000"),TEXT($AC197,"0.000")),""),"")</f>
        <v/>
      </c>
      <c r="AO197">
        <f>IF(OR($AI197="",$AN197=""),$AI197,$AI197&amp;" · borderline (p "&amp;$AN197&amp;")")</f>
        <v/>
      </c>
    </row>
    <row r="198">
      <c r="A198" t="inlineStr">
        <is>
          <t>grids</t>
        </is>
      </c>
      <c r="B198" t="inlineStr">
        <is>
          <t>FICO x ASSET_CLASS</t>
        </is>
      </c>
      <c r="C198" t="inlineStr">
        <is>
          <t>686 - 711</t>
        </is>
      </c>
      <c r="D198" t="inlineStr">
        <is>
          <t>2</t>
        </is>
      </c>
      <c r="E198" t="inlineStr">
        <is>
          <t>contribution_rate</t>
        </is>
      </c>
      <c r="F198" t="inlineStr">
        <is>
          <t>Contribution before losses per booked dollar</t>
        </is>
      </c>
      <c r="G198" t="n">
        <v>395</v>
      </c>
      <c r="H198" t="n">
        <v>12948870.12</v>
      </c>
      <c r="I198" t="b">
        <v>0</v>
      </c>
      <c r="J198" t="b">
        <v>0</v>
      </c>
      <c r="K198" t="n">
        <v>0.002213494177329994</v>
      </c>
      <c r="L198" t="n">
        <v>0.7570841444949167</v>
      </c>
      <c r="M198" t="n">
        <v>-0.002329794681682845</v>
      </c>
      <c r="N198" t="n">
        <v>0.9203980099502488</v>
      </c>
      <c r="O198" t="n">
        <v>-28662.24861362251</v>
      </c>
      <c r="P198" t="n">
        <v>30168.20873937802</v>
      </c>
      <c r="Q198">
        <f>'_live'!$C$24</f>
        <v/>
      </c>
      <c r="R198" t="inlineStr">
        <is>
          <t>shuffled: 139 of 200</t>
        </is>
      </c>
      <c r="S198" t="inlineStr">
        <is>
          <t>shuffled: 135 of 200</t>
        </is>
      </c>
      <c r="T198" t="n">
        <v>0.1694813741313808</v>
      </c>
      <c r="U198" t="n">
        <v>0.1740246629903937</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0.1716948683087108</v>
      </c>
      <c r="AI198">
        <f>IF($Y198="worse","Yes",IF($Y198="worse, not significant","Not sure",IF(OR($Y198="too few losses to test",$Y198="too few loans to test"),"Too few losses",IF($Y198="","","No"))))</f>
        <v/>
      </c>
      <c r="AJ198">
        <f>IF($AA198="yes","Yes",IF($AA198="","","No"))</f>
        <v/>
      </c>
      <c r="AK198" t="n">
        <v>0.0353370306136806</v>
      </c>
      <c r="AL198" t="n">
        <v>0.01913968563350382</v>
      </c>
      <c r="AM198">
        <f>IF(AND(ISNUMBER($AC198),ISNUMBER(IF($V198,IF($AL198="","",$AL198),IF($AK198="","",$AK198)))),IF(AND(ABS($AC198-significance_bar)&lt;=2.0*IF($V198,IF($AL198="","",$AL198),IF($AK198="","",$AK198)),OR($Y198="worse",$Y198="better",$Y198="worse, not significant",$Y198="better, not significant",AND(profit_kind="test",$Y198="in line",ISNUMBER($AB198),$AB198&lt;&gt;0))),IF(ROUND($AC198,3)=ROUND(significance_bar,3),TEXT($AC198,"0.0000"),TEXT($AC198,"0.000")),""),"")</f>
        <v/>
      </c>
      <c r="AN198">
        <f>IF(AND(ISNUMBER($AC198),ISNUMBER(IF($V198,IF($AL198="","",$AL198),IF($AK198="","",$AK198)))),IF(AND(ABS($AC198-significance_bar)&lt;=2.0*IF($V198,IF($AL198="","",$AL198),IF($AK198="","",$AK198)),OR($Y198="worse",$Y198="worse, not significant",AND(profit_kind="test",$Y198="in line",ISNUMBER($AB198),$AB198&lt;0))),IF(ROUND($AC198,3)=ROUND(significance_bar,3),TEXT($AC198,"0.0000"),TEXT($AC198,"0.000")),""),"")</f>
        <v/>
      </c>
      <c r="AO198">
        <f>IF(OR($AI198="",$AN198=""),$AI198,$AI198&amp;" · borderline (p "&amp;$AN198&amp;")")</f>
        <v/>
      </c>
    </row>
    <row r="199">
      <c r="A199" t="inlineStr">
        <is>
          <t>grids</t>
        </is>
      </c>
      <c r="B199" t="inlineStr">
        <is>
          <t>FICO x ASSET_CLASS</t>
        </is>
      </c>
      <c r="C199" t="inlineStr">
        <is>
          <t>(marked missing)</t>
        </is>
      </c>
      <c r="D199" t="inlineStr">
        <is>
          <t>3</t>
        </is>
      </c>
      <c r="E199" t="inlineStr">
        <is>
          <t>outcome_loans</t>
        </is>
      </c>
      <c r="F199" t="inlineStr">
        <is>
          <t>Outcome, share of loans</t>
        </is>
      </c>
      <c r="G199" t="n">
        <v>43</v>
      </c>
      <c r="H199" t="n">
        <v>43</v>
      </c>
      <c r="I199" t="b">
        <v>1</v>
      </c>
      <c r="J199" t="b">
        <v>0</v>
      </c>
      <c r="K199" t="n">
        <v>0.5997512344050356</v>
      </c>
      <c r="M199" t="n">
        <v>0.6802325581395348</v>
      </c>
      <c r="O199" t="n">
        <v>-1.334715937657114</v>
      </c>
      <c r="P199" t="n">
        <v>-0.9401709401709404</v>
      </c>
      <c r="Q199">
        <f>'_live'!$C$20</f>
        <v/>
      </c>
      <c r="T199" t="n">
        <v>0.07755153343388638</v>
      </c>
      <c r="U199" t="n">
        <v>0.06837606837606838</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0.04651162790697674</v>
      </c>
      <c r="AI199">
        <f>IF($Y199="worse","Yes",IF($Y199="worse, not significant","Not sure",IF(OR($Y199="too few losses to test",$Y199="too few loans to test"),"Too few losses",IF($Y199="","","No"))))</f>
        <v/>
      </c>
      <c r="AJ199">
        <f>IF($AA199="yes","Yes",IF($AA199="","","No"))</f>
        <v/>
      </c>
      <c r="AM199">
        <f>IF(AND(ISNUMBER($AC199),ISNUMBER(IF($V199,IF($AL199="","",$AL199),IF($AK199="","",$AK199)))),IF(AND(ABS($AC199-significance_bar)&lt;=2.0*IF($V199,IF($AL199="","",$AL199),IF($AK199="","",$AK199)),OR($Y199="worse",$Y199="better",$Y199="worse, not significant",$Y199="better, not significant")),IF(ROUND($AC199,3)=ROUND(significance_bar,3),TEXT($AC199,"0.0000"),TEXT($AC199,"0.000")),""),"")</f>
        <v/>
      </c>
      <c r="AN199">
        <f>IF(AND(ISNUMBER($AC199),ISNUMBER(IF($V199,IF($AL199="","",$AL199),IF($AK199="","",$AK199)))),IF(AND(ABS($AC199-significance_bar)&lt;=2.0*IF($V199,IF($AL199="","",$AL199),IF($AK199="","",$AK199)),OR($Y199="worse",$Y199="worse, not significant")),IF(ROUND($AC199,3)=ROUND(significance_bar,3),TEXT($AC199,"0.0000"),TEXT($AC199,"0.000")),""),"")</f>
        <v/>
      </c>
      <c r="AO199">
        <f>IF(OR($AI199="",$AN199=""),$AI199,$AI199&amp;" · borderline (p "&amp;$AN199&amp;")")</f>
        <v/>
      </c>
    </row>
    <row r="200">
      <c r="A200" t="inlineStr">
        <is>
          <t>grids</t>
        </is>
      </c>
      <c r="B200" t="inlineStr">
        <is>
          <t>FICO x ASSET_CLASS</t>
        </is>
      </c>
      <c r="C200" t="inlineStr">
        <is>
          <t>(marked missing)</t>
        </is>
      </c>
      <c r="D200" t="inlineStr">
        <is>
          <t>3</t>
        </is>
      </c>
      <c r="E200" t="inlineStr">
        <is>
          <t>outcome_booked</t>
        </is>
      </c>
      <c r="F200" t="inlineStr">
        <is>
          <t>Outcome, share of booked dollars</t>
        </is>
      </c>
      <c r="G200" t="n">
        <v>43</v>
      </c>
      <c r="H200" t="n">
        <v>1473137.14</v>
      </c>
      <c r="I200" t="b">
        <v>1</v>
      </c>
      <c r="J200" t="b">
        <v>0</v>
      </c>
      <c r="K200" t="n">
        <v>0.4922694196128897</v>
      </c>
      <c r="M200" t="n">
        <v>0.7039736101455055</v>
      </c>
      <c r="O200" t="n">
        <v>-56131.46772160019</v>
      </c>
      <c r="P200" t="n">
        <v>-22884.95085786183</v>
      </c>
      <c r="Q200">
        <f>'_live'!$C$21</f>
        <v/>
      </c>
      <c r="T200" t="n">
        <v>0.07504640587745971</v>
      </c>
      <c r="U200" t="n">
        <v>0.05247789140518297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0.03694305066533045</v>
      </c>
      <c r="AI200">
        <f>IF($Y200="worse","Yes",IF($Y200="worse, not significant","Not sure",IF(OR($Y200="too few losses to test",$Y200="too few loans to test"),"Too few losses",IF($Y200="","","No"))))</f>
        <v/>
      </c>
      <c r="AJ200">
        <f>IF($AA200="yes","Yes",IF($AA200="","","No"))</f>
        <v/>
      </c>
      <c r="AM200">
        <f>IF(AND(ISNUMBER($AC200),ISNUMBER(IF($V200,IF($AL200="","",$AL200),IF($AK200="","",$AK200)))),IF(AND(ABS($AC200-significance_bar)&lt;=2.0*IF($V200,IF($AL200="","",$AL200),IF($AK200="","",$AK200)),OR($Y200="worse",$Y200="better",$Y200="worse, not significant",$Y200="better, not significant")),IF(ROUND($AC200,3)=ROUND(significance_bar,3),TEXT($AC200,"0.0000"),TEXT($AC200,"0.000")),""),"")</f>
        <v/>
      </c>
      <c r="AN200">
        <f>IF(AND(ISNUMBER($AC200),ISNUMBER(IF($V200,IF($AL200="","",$AL200),IF($AK200="","",$AK200)))),IF(AND(ABS($AC200-significance_bar)&lt;=2.0*IF($V200,IF($AL200="","",$AL200),IF($AK200="","",$AK200)),OR($Y200="worse",$Y200="worse, not significant")),IF(ROUND($AC200,3)=ROUND(significance_bar,3),TEXT($AC200,"0.0000"),TEXT($AC200,"0.000")),""),"")</f>
        <v/>
      </c>
      <c r="AO200">
        <f>IF(OR($AI200="",$AN200=""),$AI200,$AI200&amp;" · borderline (p "&amp;$AN200&amp;")")</f>
        <v/>
      </c>
    </row>
    <row r="201">
      <c r="A201" t="inlineStr">
        <is>
          <t>grids</t>
        </is>
      </c>
      <c r="B201" t="inlineStr">
        <is>
          <t>FICO x ASSET_CLASS</t>
        </is>
      </c>
      <c r="C201" t="inlineStr">
        <is>
          <t>(marked missing)</t>
        </is>
      </c>
      <c r="D201" t="inlineStr">
        <is>
          <t>3</t>
        </is>
      </c>
      <c r="E201" t="inlineStr">
        <is>
          <t>gco_rate</t>
        </is>
      </c>
      <c r="F201" t="inlineStr">
        <is>
          <t>GCO per booked dollar</t>
        </is>
      </c>
      <c r="G201" t="n">
        <v>43</v>
      </c>
      <c r="H201" t="n">
        <v>1473137.14</v>
      </c>
      <c r="I201" t="b">
        <v>1</v>
      </c>
      <c r="J201" t="b">
        <v>0</v>
      </c>
      <c r="K201" t="n">
        <v>0.5896421802534043</v>
      </c>
      <c r="M201" t="n">
        <v>0.9505291192288022</v>
      </c>
      <c r="O201" t="n">
        <v>-25210.00045162663</v>
      </c>
      <c r="P201" t="n">
        <v>-1885.310558373167</v>
      </c>
      <c r="Q201">
        <f>'_live'!$C$22</f>
        <v/>
      </c>
      <c r="T201" t="n">
        <v>0.0417029676216205</v>
      </c>
      <c r="U201" t="n">
        <v>0.02586962172331978</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0.02458982875144944</v>
      </c>
      <c r="AI201">
        <f>IF($Y201="worse","Yes",IF($Y201="worse, not significant","Not sure",IF(OR($Y201="too few losses to test",$Y201="too few loans to test"),"Too few losses",IF($Y201="","","No"))))</f>
        <v/>
      </c>
      <c r="AJ201">
        <f>IF($AA201="yes","Yes",IF($AA201="","","No"))</f>
        <v/>
      </c>
      <c r="AM201">
        <f>IF(AND(ISNUMBER($AC201),ISNUMBER(IF($V201,IF($AL201="","",$AL201),IF($AK201="","",$AK201)))),IF(AND(ABS($AC201-significance_bar)&lt;=2.0*IF($V201,IF($AL201="","",$AL201),IF($AK201="","",$AK201)),OR($Y201="worse",$Y201="better",$Y201="worse, not significant",$Y201="better, not significant")),IF(ROUND($AC201,3)=ROUND(significance_bar,3),TEXT($AC201,"0.0000"),TEXT($AC201,"0.000")),""),"")</f>
        <v/>
      </c>
      <c r="AN201">
        <f>IF(AND(ISNUMBER($AC201),ISNUMBER(IF($V201,IF($AL201="","",$AL201),IF($AK201="","",$AK201)))),IF(AND(ABS($AC201-significance_bar)&lt;=2.0*IF($V201,IF($AL201="","",$AL201),IF($AK201="","",$AK201)),OR($Y201="worse",$Y201="worse, not significant")),IF(ROUND($AC201,3)=ROUND(significance_bar,3),TEXT($AC201,"0.0000"),TEXT($AC201,"0.000")),""),"")</f>
        <v/>
      </c>
      <c r="AO201">
        <f>IF(OR($AI201="",$AN201=""),$AI201,$AI201&amp;" · borderline (p "&amp;$AN201&amp;")")</f>
        <v/>
      </c>
    </row>
    <row r="202">
      <c r="A202" t="inlineStr">
        <is>
          <t>grids</t>
        </is>
      </c>
      <c r="B202" t="inlineStr">
        <is>
          <t>FICO x ASSET_CLASS</t>
        </is>
      </c>
      <c r="C202" t="inlineStr">
        <is>
          <t>(marked missing)</t>
        </is>
      </c>
      <c r="D202" t="inlineStr">
        <is>
          <t>3</t>
        </is>
      </c>
      <c r="E202" t="inlineStr">
        <is>
          <t>ranr_rate</t>
        </is>
      </c>
      <c r="F202" t="inlineStr">
        <is>
          <t>Profit after losses: RANR per booked dollar</t>
        </is>
      </c>
      <c r="G202" t="n">
        <v>43</v>
      </c>
      <c r="H202" t="n">
        <v>1473137.14</v>
      </c>
      <c r="I202" t="b">
        <v>0</v>
      </c>
      <c r="J202" t="b">
        <v>0</v>
      </c>
      <c r="K202" t="n">
        <v>0.02618259106537835</v>
      </c>
      <c r="L202" t="n">
        <v>0.4579375848032564</v>
      </c>
      <c r="M202" t="n">
        <v>-0.00159407582017404</v>
      </c>
      <c r="N202" t="n">
        <v>0.9552238805970149</v>
      </c>
      <c r="O202" t="n">
        <v>-38570.54731984102</v>
      </c>
      <c r="P202" t="n">
        <v>2348.29229467432</v>
      </c>
      <c r="Q202">
        <f>'_live'!$C$23</f>
        <v/>
      </c>
      <c r="R202" t="inlineStr">
        <is>
          <t>shuffled: 80 of 200</t>
        </is>
      </c>
      <c r="S202" t="inlineStr">
        <is>
          <t>shuffled: 191 of 200</t>
        </is>
      </c>
      <c r="T202" t="n">
        <v>0.1278405910532939</v>
      </c>
      <c r="U202" t="n">
        <v>0.1556172579388463</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0.1540231821186723</v>
      </c>
      <c r="AI202">
        <f>IF($Y202="worse","Yes",IF($Y202="worse, not significant","Not sure",IF(OR($Y202="too few losses to test",$Y202="too few loans to test"),"Too few losses",IF($Y202="","","No"))))</f>
        <v/>
      </c>
      <c r="AJ202">
        <f>IF($AA202="yes","Yes",IF($AA202="","","No"))</f>
        <v/>
      </c>
      <c r="AK202" t="n">
        <v>0.03941299198989908</v>
      </c>
      <c r="AL202" t="n">
        <v>0.01462381935989957</v>
      </c>
      <c r="AM202">
        <f>IF(AND(ISNUMBER($AC202),ISNUMBER(IF($V202,IF($AL202="","",$AL202),IF($AK202="","",$AK202)))),IF(AND(ABS($AC202-significance_bar)&lt;=2.0*IF($V202,IF($AL202="","",$AL202),IF($AK202="","",$AK202)),OR($Y202="worse",$Y202="better",$Y202="worse, not significant",$Y202="better, not significant",AND(profit_kind="test",$Y202="in line",ISNUMBER($AB202),$AB202&lt;&gt;0))),IF(ROUND($AC202,3)=ROUND(significance_bar,3),TEXT($AC202,"0.0000"),TEXT($AC202,"0.000")),""),"")</f>
        <v/>
      </c>
      <c r="AN202">
        <f>IF(AND(ISNUMBER($AC202),ISNUMBER(IF($V202,IF($AL202="","",$AL202),IF($AK202="","",$AK202)))),IF(AND(ABS($AC202-significance_bar)&lt;=2.0*IF($V202,IF($AL202="","",$AL202),IF($AK202="","",$AK202)),OR($Y202="worse",$Y202="worse, not significant",AND(profit_kind="test",$Y202="in line",ISNUMBER($AB202),$AB202&lt;0))),IF(ROUND($AC202,3)=ROUND(significance_bar,3),TEXT($AC202,"0.0000"),TEXT($AC202,"0.000")),""),"")</f>
        <v/>
      </c>
      <c r="AO202">
        <f>IF(OR($AI202="",$AN202=""),$AI202,$AI202&amp;" · borderline (p "&amp;$AN202&amp;")")</f>
        <v/>
      </c>
    </row>
    <row r="203">
      <c r="A203" t="inlineStr">
        <is>
          <t>grids</t>
        </is>
      </c>
      <c r="B203" t="inlineStr">
        <is>
          <t>FICO x ASSET_CLASS</t>
        </is>
      </c>
      <c r="C203" t="inlineStr">
        <is>
          <t>(marked missing)</t>
        </is>
      </c>
      <c r="D203" t="inlineStr">
        <is>
          <t>3</t>
        </is>
      </c>
      <c r="E203" t="inlineStr">
        <is>
          <t>contribution_rate</t>
        </is>
      </c>
      <c r="F203" t="inlineStr">
        <is>
          <t>Contribution before losses per booked dollar</t>
        </is>
      </c>
      <c r="G203" t="n">
        <v>43</v>
      </c>
      <c r="H203" t="n">
        <v>1473137.14</v>
      </c>
      <c r="I203" t="b">
        <v>0</v>
      </c>
      <c r="J203" t="b">
        <v>0</v>
      </c>
      <c r="K203" t="n">
        <v>0.009072350977936378</v>
      </c>
      <c r="L203" t="n">
        <v>0.7570841444949167</v>
      </c>
      <c r="M203" t="n">
        <v>-0.002873868792044376</v>
      </c>
      <c r="N203" t="n">
        <v>0.9203980099502488</v>
      </c>
      <c r="O203" t="n">
        <v>-13364.81717271337</v>
      </c>
      <c r="P203" t="n">
        <v>4233.602853047545</v>
      </c>
      <c r="Q203">
        <f>'_live'!$C$24</f>
        <v/>
      </c>
      <c r="R203" t="inlineStr">
        <is>
          <t>shuffled: 132 of 200</t>
        </is>
      </c>
      <c r="S203" t="inlineStr">
        <is>
          <t>shuffled: 180 of 200</t>
        </is>
      </c>
      <c r="T203" t="n">
        <v>0.1695406598921853</v>
      </c>
      <c r="U203" t="n">
        <v>0.1814868796621661</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0.1786130108701217</v>
      </c>
      <c r="AI203">
        <f>IF($Y203="worse","Yes",IF($Y203="worse, not significant","Not sure",IF(OR($Y203="too few losses to test",$Y203="too few loans to test"),"Too few losses",IF($Y203="","","No"))))</f>
        <v/>
      </c>
      <c r="AJ203">
        <f>IF($AA203="yes","Yes",IF($AA203="","","No"))</f>
        <v/>
      </c>
      <c r="AK203" t="n">
        <v>0.0353370306136806</v>
      </c>
      <c r="AL203" t="n">
        <v>0.01913968563350382</v>
      </c>
      <c r="AM203">
        <f>IF(AND(ISNUMBER($AC203),ISNUMBER(IF($V203,IF($AL203="","",$AL203),IF($AK203="","",$AK203)))),IF(AND(ABS($AC203-significance_bar)&lt;=2.0*IF($V203,IF($AL203="","",$AL203),IF($AK203="","",$AK203)),OR($Y203="worse",$Y203="better",$Y203="worse, not significant",$Y203="better, not significant",AND(profit_kind="test",$Y203="in line",ISNUMBER($AB203),$AB203&lt;&gt;0))),IF(ROUND($AC203,3)=ROUND(significance_bar,3),TEXT($AC203,"0.0000"),TEXT($AC203,"0.000")),""),"")</f>
        <v/>
      </c>
      <c r="AN203">
        <f>IF(AND(ISNUMBER($AC203),ISNUMBER(IF($V203,IF($AL203="","",$AL203),IF($AK203="","",$AK203)))),IF(AND(ABS($AC203-significance_bar)&lt;=2.0*IF($V203,IF($AL203="","",$AL203),IF($AK203="","",$AK203)),OR($Y203="worse",$Y203="worse, not significant",AND(profit_kind="test",$Y203="in line",ISNUMBER($AB203),$AB203&lt;0))),IF(ROUND($AC203,3)=ROUND(significance_bar,3),TEXT($AC203,"0.0000"),TEXT($AC203,"0.000")),""),"")</f>
        <v/>
      </c>
      <c r="AO203">
        <f>IF(OR($AI203="",$AN203=""),$AI203,$AI203&amp;" · borderline (p "&amp;$AN203&amp;")")</f>
        <v/>
      </c>
    </row>
    <row r="204">
      <c r="A204" t="inlineStr">
        <is>
          <t>grids</t>
        </is>
      </c>
      <c r="B204" t="inlineStr">
        <is>
          <t>FICO x ASSET_CLASS</t>
        </is>
      </c>
      <c r="C204" t="inlineStr">
        <is>
          <t>712 - 745</t>
        </is>
      </c>
      <c r="D204" t="inlineStr">
        <is>
          <t>3</t>
        </is>
      </c>
      <c r="E204" t="inlineStr">
        <is>
          <t>outcome_loans</t>
        </is>
      </c>
      <c r="F204" t="inlineStr">
        <is>
          <t>Outcome, share of loans</t>
        </is>
      </c>
      <c r="G204" t="n">
        <v>392</v>
      </c>
      <c r="H204" t="n">
        <v>392</v>
      </c>
      <c r="I204" t="b">
        <v>0</v>
      </c>
      <c r="J204" t="b">
        <v>0</v>
      </c>
      <c r="K204" t="n">
        <v>0.6145110544217687</v>
      </c>
      <c r="L204" t="n">
        <v>0.04310071409189944</v>
      </c>
      <c r="M204" t="n">
        <v>0.8688850540216086</v>
      </c>
      <c r="N204" t="n">
        <v>0.8247352345084311</v>
      </c>
      <c r="O204" t="n">
        <v>-11.91889049559616</v>
      </c>
      <c r="P204" t="n">
        <v>-2.867104183757178</v>
      </c>
      <c r="Q204">
        <f>'_live'!$C$20</f>
        <v/>
      </c>
      <c r="R204" t="inlineStr">
        <is>
          <t>z test</t>
        </is>
      </c>
      <c r="S204" t="inlineStr">
        <is>
          <t>z test</t>
        </is>
      </c>
      <c r="T204" t="n">
        <v>0.07887472065203102</v>
      </c>
      <c r="U204" t="n">
        <v>0.05578342904019688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0.04846938775510204</v>
      </c>
      <c r="AI204">
        <f>IF($Y204="worse","Yes",IF($Y204="worse, not significant","Not sure",IF(OR($Y204="too few losses to test",$Y204="too few loans to test"),"Too few losses",IF($Y204="","","No"))))</f>
        <v/>
      </c>
      <c r="AJ204">
        <f>IF($AA204="yes","Yes",IF($AA204="","","No"))</f>
        <v/>
      </c>
      <c r="AM204">
        <f>IF(AND(ISNUMBER($AC204),ISNUMBER(IF($V204,IF($AL204="","",$AL204),IF($AK204="","",$AK204)))),IF(AND(ABS($AC204-significance_bar)&lt;=2.0*IF($V204,IF($AL204="","",$AL204),IF($AK204="","",$AK204)),OR($Y204="worse",$Y204="better",$Y204="worse, not significant",$Y204="better, not significant")),IF(ROUND($AC204,3)=ROUND(significance_bar,3),TEXT($AC204,"0.0000"),TEXT($AC204,"0.000")),""),"")</f>
        <v/>
      </c>
      <c r="AN204">
        <f>IF(AND(ISNUMBER($AC204),ISNUMBER(IF($V204,IF($AL204="","",$AL204),IF($AK204="","",$AK204)))),IF(AND(ABS($AC204-significance_bar)&lt;=2.0*IF($V204,IF($AL204="","",$AL204),IF($AK204="","",$AK204)),OR($Y204="worse",$Y204="worse, not significant")),IF(ROUND($AC204,3)=ROUND(significance_bar,3),TEXT($AC204,"0.0000"),TEXT($AC204,"0.000")),""),"")</f>
        <v/>
      </c>
      <c r="AO204">
        <f>IF(OR($AI204="",$AN204=""),$AI204,$AI204&amp;" · borderline (p "&amp;$AN204&amp;")")</f>
        <v/>
      </c>
    </row>
    <row r="205">
      <c r="A205" t="inlineStr">
        <is>
          <t>grids</t>
        </is>
      </c>
      <c r="B205" t="inlineStr">
        <is>
          <t>FICO x ASSET_CLASS</t>
        </is>
      </c>
      <c r="C205" t="inlineStr">
        <is>
          <t>712 - 745</t>
        </is>
      </c>
      <c r="D205" t="inlineStr">
        <is>
          <t>3</t>
        </is>
      </c>
      <c r="E205" t="inlineStr">
        <is>
          <t>outcome_booked</t>
        </is>
      </c>
      <c r="F205" t="inlineStr">
        <is>
          <t>Outcome, share of booked dollars</t>
        </is>
      </c>
      <c r="G205" t="n">
        <v>392</v>
      </c>
      <c r="H205" t="n">
        <v>12300354.33999999</v>
      </c>
      <c r="I205" t="b">
        <v>0</v>
      </c>
      <c r="J205" t="b">
        <v>0</v>
      </c>
      <c r="K205" t="n">
        <v>0.5534293958190679</v>
      </c>
      <c r="L205" t="n">
        <v>0.05357826253348642</v>
      </c>
      <c r="M205" t="n">
        <v>0.7247250369920415</v>
      </c>
      <c r="N205" t="n">
        <v>0.47037539574853</v>
      </c>
      <c r="O205" t="n">
        <v>-419973.6328243187</v>
      </c>
      <c r="P205" t="n">
        <v>-197691.3031305909</v>
      </c>
      <c r="Q205">
        <f>'_live'!$C$21</f>
        <v/>
      </c>
      <c r="R205" t="inlineStr">
        <is>
          <t>shuffled: 5 of 200</t>
        </is>
      </c>
      <c r="S205" t="inlineStr">
        <is>
          <t>shuffled: 51 of 200</t>
        </is>
      </c>
      <c r="T205" t="n">
        <v>0.07645647489731743</v>
      </c>
      <c r="U205" t="n">
        <v>0.05838526137374604</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0.04231326070887811</v>
      </c>
      <c r="AI205">
        <f>IF($Y205="worse","Yes",IF($Y205="worse, not significant","Not sure",IF(OR($Y205="too few losses to test",$Y205="too few loans to test"),"Too few losses",IF($Y205="","","No"))))</f>
        <v/>
      </c>
      <c r="AJ205">
        <f>IF($AA205="yes","Yes",IF($AA205="","","No"))</f>
        <v/>
      </c>
      <c r="AK205" t="n">
        <v>0.01994460653776561</v>
      </c>
      <c r="AL205" t="n">
        <v>0.05630164204286001</v>
      </c>
      <c r="AM205">
        <f>IF(AND(ISNUMBER($AC205),ISNUMBER(IF($V205,IF($AL205="","",$AL205),IF($AK205="","",$AK205)))),IF(AND(ABS($AC205-significance_bar)&lt;=2.0*IF($V205,IF($AL205="","",$AL205),IF($AK205="","",$AK205)),OR($Y205="worse",$Y205="better",$Y205="worse, not significant",$Y205="better, not significant")),IF(ROUND($AC205,3)=ROUND(significance_bar,3),TEXT($AC205,"0.0000"),TEXT($AC205,"0.000")),""),"")</f>
        <v/>
      </c>
      <c r="AN205">
        <f>IF(AND(ISNUMBER($AC205),ISNUMBER(IF($V205,IF($AL205="","",$AL205),IF($AK205="","",$AK205)))),IF(AND(ABS($AC205-significance_bar)&lt;=2.0*IF($V205,IF($AL205="","",$AL205),IF($AK205="","",$AK205)),OR($Y205="worse",$Y205="worse, not significant")),IF(ROUND($AC205,3)=ROUND(significance_bar,3),TEXT($AC205,"0.0000"),TEXT($AC205,"0.000")),""),"")</f>
        <v/>
      </c>
      <c r="AO205">
        <f>IF(OR($AI205="",$AN205=""),$AI205,$AI205&amp;" · borderline (p "&amp;$AN205&amp;")")</f>
        <v/>
      </c>
    </row>
    <row r="206">
      <c r="A206" t="inlineStr">
        <is>
          <t>grids</t>
        </is>
      </c>
      <c r="B206" t="inlineStr">
        <is>
          <t>FICO x ASSET_CLASS</t>
        </is>
      </c>
      <c r="C206" t="inlineStr">
        <is>
          <t>712 - 745</t>
        </is>
      </c>
      <c r="D206" t="inlineStr">
        <is>
          <t>3</t>
        </is>
      </c>
      <c r="E206" t="inlineStr">
        <is>
          <t>gco_rate</t>
        </is>
      </c>
      <c r="F206" t="inlineStr">
        <is>
          <t>GCO per booked dollar</t>
        </is>
      </c>
      <c r="G206" t="n">
        <v>392</v>
      </c>
      <c r="H206" t="n">
        <v>12300354.33999999</v>
      </c>
      <c r="I206" t="b">
        <v>0</v>
      </c>
      <c r="J206" t="b">
        <v>0</v>
      </c>
      <c r="K206" t="n">
        <v>0.5462000793379984</v>
      </c>
      <c r="L206" t="n">
        <v>0.05970149253731342</v>
      </c>
      <c r="M206" t="n">
        <v>0.7147660377971981</v>
      </c>
      <c r="N206" t="n">
        <v>0.5671641791044776</v>
      </c>
      <c r="O206" t="n">
        <v>-237371.4462582704</v>
      </c>
      <c r="P206" t="n">
        <v>-114012.6775764684</v>
      </c>
      <c r="Q206">
        <f>'_live'!$C$22</f>
        <v/>
      </c>
      <c r="R206" t="inlineStr">
        <is>
          <t>shuffled: 5 of 200</t>
        </is>
      </c>
      <c r="S206" t="inlineStr">
        <is>
          <t>shuffled: 52 of 200</t>
        </is>
      </c>
      <c r="T206" t="n">
        <v>0.04252520714442044</v>
      </c>
      <c r="U206" t="n">
        <v>0.03249632787216672</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0.02322727151614726</v>
      </c>
      <c r="AI206">
        <f>IF($Y206="worse","Yes",IF($Y206="worse, not significant","Not sure",IF(OR($Y206="too few losses to test",$Y206="too few loans to test"),"Too few losses",IF($Y206="","","No"))))</f>
        <v/>
      </c>
      <c r="AJ206">
        <f>IF($AA206="yes","Yes",IF($AA206="","","No"))</f>
        <v/>
      </c>
      <c r="AK206" t="n">
        <v>0.02406644103969716</v>
      </c>
      <c r="AL206" t="n">
        <v>0.06374375075839589</v>
      </c>
      <c r="AM206">
        <f>IF(AND(ISNUMBER($AC206),ISNUMBER(IF($V206,IF($AL206="","",$AL206),IF($AK206="","",$AK206)))),IF(AND(ABS($AC206-significance_bar)&lt;=2.0*IF($V206,IF($AL206="","",$AL206),IF($AK206="","",$AK206)),OR($Y206="worse",$Y206="better",$Y206="worse, not significant",$Y206="better, not significant")),IF(ROUND($AC206,3)=ROUND(significance_bar,3),TEXT($AC206,"0.0000"),TEXT($AC206,"0.000")),""),"")</f>
        <v/>
      </c>
      <c r="AN206">
        <f>IF(AND(ISNUMBER($AC206),ISNUMBER(IF($V206,IF($AL206="","",$AL206),IF($AK206="","",$AK206)))),IF(AND(ABS($AC206-significance_bar)&lt;=2.0*IF($V206,IF($AL206="","",$AL206),IF($AK206="","",$AK206)),OR($Y206="worse",$Y206="worse, not significant")),IF(ROUND($AC206,3)=ROUND(significance_bar,3),TEXT($AC206,"0.0000"),TEXT($AC206,"0.000")),""),"")</f>
        <v/>
      </c>
      <c r="AO206">
        <f>IF(OR($AI206="",$AN206=""),$AI206,$AI206&amp;" · borderline (p "&amp;$AN206&amp;")")</f>
        <v/>
      </c>
    </row>
    <row r="207">
      <c r="A207" t="inlineStr">
        <is>
          <t>grids</t>
        </is>
      </c>
      <c r="B207" t="inlineStr">
        <is>
          <t>FICO x ASSET_CLASS</t>
        </is>
      </c>
      <c r="C207" t="inlineStr">
        <is>
          <t>712 - 745</t>
        </is>
      </c>
      <c r="D207" t="inlineStr">
        <is>
          <t>3</t>
        </is>
      </c>
      <c r="E207" t="inlineStr">
        <is>
          <t>ranr_rate</t>
        </is>
      </c>
      <c r="F207" t="inlineStr">
        <is>
          <t>Profit after losses: RANR per booked dollar</t>
        </is>
      </c>
      <c r="G207" t="n">
        <v>392</v>
      </c>
      <c r="H207" t="n">
        <v>12300354.33999999</v>
      </c>
      <c r="I207" t="b">
        <v>0</v>
      </c>
      <c r="J207" t="b">
        <v>0</v>
      </c>
      <c r="K207" t="n">
        <v>-0.0284889271358406</v>
      </c>
      <c r="L207" t="n">
        <v>0.0177683013503909</v>
      </c>
      <c r="M207" t="n">
        <v>0.006439412478931664</v>
      </c>
      <c r="N207" t="n">
        <v>0.7641791044776119</v>
      </c>
      <c r="O207" t="n">
        <v>350423.8985372803</v>
      </c>
      <c r="P207" t="n">
        <v>-79207.05523227714</v>
      </c>
      <c r="Q207">
        <f>'_live'!$C$23</f>
        <v/>
      </c>
      <c r="R207" t="inlineStr">
        <is>
          <t>shuffled: 1 of 200</t>
        </is>
      </c>
      <c r="S207" t="inlineStr">
        <is>
          <t>shuffled: 95 of 200</t>
        </is>
      </c>
      <c r="T207" t="n">
        <v>0.129347921576809</v>
      </c>
      <c r="U207" t="n">
        <v>0.09441958196203673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0.1008589944409684</v>
      </c>
      <c r="AI207">
        <f>IF($Y207="worse","Yes",IF($Y207="worse, not significant","Not sure",IF(OR($Y207="too few losses to test",$Y207="too few loans to test"),"Too few losses",IF($Y207="","","No"))))</f>
        <v/>
      </c>
      <c r="AJ207">
        <f>IF($AA207="yes","Yes",IF($AA207="","","No"))</f>
        <v/>
      </c>
      <c r="AK207" t="n">
        <v>0.01253263679785526</v>
      </c>
      <c r="AL207" t="n">
        <v>0.05651180688333961</v>
      </c>
      <c r="AM207">
        <f>IF(AND(ISNUMBER($AC207),ISNUMBER(IF($V207,IF($AL207="","",$AL207),IF($AK207="","",$AK207)))),IF(AND(ABS($AC207-significance_bar)&lt;=2.0*IF($V207,IF($AL207="","",$AL207),IF($AK207="","",$AK207)),OR($Y207="worse",$Y207="better",$Y207="worse, not significant",$Y207="better, not significant",AND(profit_kind="test",$Y207="in line",ISNUMBER($AB207),$AB207&lt;&gt;0))),IF(ROUND($AC207,3)=ROUND(significance_bar,3),TEXT($AC207,"0.0000"),TEXT($AC207,"0.000")),""),"")</f>
        <v/>
      </c>
      <c r="AN207">
        <f>IF(AND(ISNUMBER($AC207),ISNUMBER(IF($V207,IF($AL207="","",$AL207),IF($AK207="","",$AK207)))),IF(AND(ABS($AC207-significance_bar)&lt;=2.0*IF($V207,IF($AL207="","",$AL207),IF($AK207="","",$AK207)),OR($Y207="worse",$Y207="worse, not significant",AND(profit_kind="test",$Y207="in line",ISNUMBER($AB207),$AB207&lt;0))),IF(ROUND($AC207,3)=ROUND(significance_bar,3),TEXT($AC207,"0.0000"),TEXT($AC207,"0.000")),""),"")</f>
        <v/>
      </c>
      <c r="AO207">
        <f>IF(OR($AI207="",$AN207=""),$AI207,$AI207&amp;" · borderline (p "&amp;$AN207&amp;")")</f>
        <v/>
      </c>
    </row>
    <row r="208">
      <c r="A208" t="inlineStr">
        <is>
          <t>grids</t>
        </is>
      </c>
      <c r="B208" t="inlineStr">
        <is>
          <t>FICO x ASSET_CLASS</t>
        </is>
      </c>
      <c r="C208" t="inlineStr">
        <is>
          <t>712 - 745</t>
        </is>
      </c>
      <c r="D208" t="inlineStr">
        <is>
          <t>3</t>
        </is>
      </c>
      <c r="E208" t="inlineStr">
        <is>
          <t>contribution_rate</t>
        </is>
      </c>
      <c r="F208" t="inlineStr">
        <is>
          <t>Contribution before losses per booked dollar</t>
        </is>
      </c>
      <c r="G208" t="n">
        <v>392</v>
      </c>
      <c r="H208" t="n">
        <v>12300354.33999999</v>
      </c>
      <c r="I208" t="b">
        <v>0</v>
      </c>
      <c r="J208" t="b">
        <v>0</v>
      </c>
      <c r="K208" t="n">
        <v>-0.04778407968555887</v>
      </c>
      <c r="L208" t="n">
        <v>0.00777363184079602</v>
      </c>
      <c r="M208" t="n">
        <v>-0.002776255634458547</v>
      </c>
      <c r="N208" t="n">
        <v>0.9203980099502488</v>
      </c>
      <c r="O208" t="n">
        <v>587761.1119431693</v>
      </c>
      <c r="P208" t="n">
        <v>34148.92804226163</v>
      </c>
      <c r="Q208">
        <f>'_live'!$C$24</f>
        <v/>
      </c>
      <c r="R208" t="inlineStr">
        <is>
          <t>shuffled: 0 of 200</t>
        </is>
      </c>
      <c r="S208" t="inlineStr">
        <is>
          <t>shuffled: 103 of 200</t>
        </is>
      </c>
      <c r="T208" t="n">
        <v>0.1718703456426745</v>
      </c>
      <c r="U208" t="n">
        <v>0.1268625215915742</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0.1240862659571156</v>
      </c>
      <c r="AI208">
        <f>IF($Y208="worse","Yes",IF($Y208="worse, not significant","Not sure",IF(OR($Y208="too few losses to test",$Y208="too few loans to test"),"Too few losses",IF($Y208="","","No"))))</f>
        <v/>
      </c>
      <c r="AJ208">
        <f>IF($AA208="yes","Yes",IF($AA208="","","No"))</f>
        <v/>
      </c>
      <c r="AK208" t="n">
        <v>0.00777363184079602</v>
      </c>
      <c r="AL208" t="n">
        <v>0.01913968563350382</v>
      </c>
      <c r="AM208">
        <f>IF(AND(ISNUMBER($AC208),ISNUMBER(IF($V208,IF($AL208="","",$AL208),IF($AK208="","",$AK208)))),IF(AND(ABS($AC208-significance_bar)&lt;=2.0*IF($V208,IF($AL208="","",$AL208),IF($AK208="","",$AK208)),OR($Y208="worse",$Y208="better",$Y208="worse, not significant",$Y208="better, not significant",AND(profit_kind="test",$Y208="in line",ISNUMBER($AB208),$AB208&lt;&gt;0))),IF(ROUND($AC208,3)=ROUND(significance_bar,3),TEXT($AC208,"0.0000"),TEXT($AC208,"0.000")),""),"")</f>
        <v/>
      </c>
      <c r="AN208">
        <f>IF(AND(ISNUMBER($AC208),ISNUMBER(IF($V208,IF($AL208="","",$AL208),IF($AK208="","",$AK208)))),IF(AND(ABS($AC208-significance_bar)&lt;=2.0*IF($V208,IF($AL208="","",$AL208),IF($AK208="","",$AK208)),OR($Y208="worse",$Y208="worse, not significant",AND(profit_kind="test",$Y208="in line",ISNUMBER($AB208),$AB208&lt;0))),IF(ROUND($AC208,3)=ROUND(significance_bar,3),TEXT($AC208,"0.0000"),TEXT($AC208,"0.000")),""),"")</f>
        <v/>
      </c>
      <c r="AO208">
        <f>IF(OR($AI208="",$AN208=""),$AI208,$AI208&amp;" · borderline (p "&amp;$AN208&amp;")")</f>
        <v/>
      </c>
    </row>
    <row r="209">
      <c r="A209" t="inlineStr">
        <is>
          <t>grids</t>
        </is>
      </c>
      <c r="B209" t="inlineStr">
        <is>
          <t>FICO x ASSET_CLASS</t>
        </is>
      </c>
      <c r="C209" t="inlineStr">
        <is>
          <t>686 - 711</t>
        </is>
      </c>
      <c r="D209" t="inlineStr">
        <is>
          <t>3</t>
        </is>
      </c>
      <c r="E209" t="inlineStr">
        <is>
          <t>outcome_loans</t>
        </is>
      </c>
      <c r="F209" t="inlineStr">
        <is>
          <t>Outcome, share of loans</t>
        </is>
      </c>
      <c r="G209" t="n">
        <v>388</v>
      </c>
      <c r="H209" t="n">
        <v>388</v>
      </c>
      <c r="I209" t="b">
        <v>0</v>
      </c>
      <c r="J209" t="b">
        <v>0</v>
      </c>
      <c r="K209" t="n">
        <v>0.8946477082752857</v>
      </c>
      <c r="L209" t="n">
        <v>0.6946107787813754</v>
      </c>
      <c r="M209" t="n">
        <v>1.183998207082026</v>
      </c>
      <c r="N209" t="n">
        <v>0.7367430686845797</v>
      </c>
      <c r="O209" t="n">
        <v>-3.179477072657992</v>
      </c>
      <c r="P209" t="n">
        <v>4.195911413969338</v>
      </c>
      <c r="Q209">
        <f>'_live'!$C$20</f>
        <v/>
      </c>
      <c r="R209" t="inlineStr">
        <is>
          <t>z test</t>
        </is>
      </c>
      <c r="S209" t="inlineStr">
        <is>
          <t>z test</t>
        </is>
      </c>
      <c r="T209" t="n">
        <v>0.07778215740375771</v>
      </c>
      <c r="U209" t="n">
        <v>0.05877342419080068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0.06958762886597938</v>
      </c>
      <c r="AI209">
        <f>IF($Y209="worse","Yes",IF($Y209="worse, not significant","Not sure",IF(OR($Y209="too few losses to test",$Y209="too few loans to test"),"Too few losses",IF($Y209="","","No"))))</f>
        <v/>
      </c>
      <c r="AJ209">
        <f>IF($AA209="yes","Yes",IF($AA209="","","No"))</f>
        <v/>
      </c>
      <c r="AM209">
        <f>IF(AND(ISNUMBER($AC209),ISNUMBER(IF($V209,IF($AL209="","",$AL209),IF($AK209="","",$AK209)))),IF(AND(ABS($AC209-significance_bar)&lt;=2.0*IF($V209,IF($AL209="","",$AL209),IF($AK209="","",$AK209)),OR($Y209="worse",$Y209="better",$Y209="worse, not significant",$Y209="better, not significant")),IF(ROUND($AC209,3)=ROUND(significance_bar,3),TEXT($AC209,"0.0000"),TEXT($AC209,"0.000")),""),"")</f>
        <v/>
      </c>
      <c r="AN209">
        <f>IF(AND(ISNUMBER($AC209),ISNUMBER(IF($V209,IF($AL209="","",$AL209),IF($AK209="","",$AK209)))),IF(AND(ABS($AC209-significance_bar)&lt;=2.0*IF($V209,IF($AL209="","",$AL209),IF($AK209="","",$AK209)),OR($Y209="worse",$Y209="worse, not significant")),IF(ROUND($AC209,3)=ROUND(significance_bar,3),TEXT($AC209,"0.0000"),TEXT($AC209,"0.000")),""),"")</f>
        <v/>
      </c>
      <c r="AO209">
        <f>IF(OR($AI209="",$AN209=""),$AI209,$AI209&amp;" · borderline (p "&amp;$AN209&amp;")")</f>
        <v/>
      </c>
    </row>
    <row r="210">
      <c r="A210" t="inlineStr">
        <is>
          <t>grids</t>
        </is>
      </c>
      <c r="B210" t="inlineStr">
        <is>
          <t>FICO x ASSET_CLASS</t>
        </is>
      </c>
      <c r="C210" t="inlineStr">
        <is>
          <t>686 - 711</t>
        </is>
      </c>
      <c r="D210" t="inlineStr">
        <is>
          <t>3</t>
        </is>
      </c>
      <c r="E210" t="inlineStr">
        <is>
          <t>outcome_booked</t>
        </is>
      </c>
      <c r="F210" t="inlineStr">
        <is>
          <t>Outcome, share of booked dollars</t>
        </is>
      </c>
      <c r="G210" t="n">
        <v>388</v>
      </c>
      <c r="H210" t="n">
        <v>12791047.54</v>
      </c>
      <c r="I210" t="b">
        <v>0</v>
      </c>
      <c r="J210" t="b">
        <v>0</v>
      </c>
      <c r="K210" t="n">
        <v>0.8526940233555058</v>
      </c>
      <c r="L210" t="n">
        <v>0.5030403537866224</v>
      </c>
      <c r="M210" t="n">
        <v>1.181934324020646</v>
      </c>
      <c r="N210" t="n">
        <v>0.7391613361762615</v>
      </c>
      <c r="O210" t="n">
        <v>-142029.5139727998</v>
      </c>
      <c r="P210" t="n">
        <v>126553.0885135385</v>
      </c>
      <c r="Q210">
        <f>'_live'!$C$21</f>
        <v/>
      </c>
      <c r="R210" t="inlineStr">
        <is>
          <t>shuffled: 90 of 200</t>
        </is>
      </c>
      <c r="S210" t="inlineStr">
        <is>
          <t>shuffled: 103 of 200</t>
        </is>
      </c>
      <c r="T210" t="n">
        <v>0.0753793034509197</v>
      </c>
      <c r="U210" t="n">
        <v>0.05438160160934417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0.06427548153730028</v>
      </c>
      <c r="AI210">
        <f>IF($Y210="worse","Yes",IF($Y210="worse, not significant","Not sure",IF(OR($Y210="too few losses to test",$Y210="too few loans to test"),"Too few losses",IF($Y210="","","No"))))</f>
        <v/>
      </c>
      <c r="AJ210">
        <f>IF($AA210="yes","Yes",IF($AA210="","","No"))</f>
        <v/>
      </c>
      <c r="AK210" t="n">
        <v>0.03910780797307681</v>
      </c>
      <c r="AL210" t="n">
        <v>0.0504769890677035</v>
      </c>
      <c r="AM210">
        <f>IF(AND(ISNUMBER($AC210),ISNUMBER(IF($V210,IF($AL210="","",$AL210),IF($AK210="","",$AK210)))),IF(AND(ABS($AC210-significance_bar)&lt;=2.0*IF($V210,IF($AL210="","",$AL210),IF($AK210="","",$AK210)),OR($Y210="worse",$Y210="better",$Y210="worse, not significant",$Y210="better, not significant")),IF(ROUND($AC210,3)=ROUND(significance_bar,3),TEXT($AC210,"0.0000"),TEXT($AC210,"0.000")),""),"")</f>
        <v/>
      </c>
      <c r="AN210">
        <f>IF(AND(ISNUMBER($AC210),ISNUMBER(IF($V210,IF($AL210="","",$AL210),IF($AK210="","",$AK210)))),IF(AND(ABS($AC210-significance_bar)&lt;=2.0*IF($V210,IF($AL210="","",$AL210),IF($AK210="","",$AK210)),OR($Y210="worse",$Y210="worse, not significant")),IF(ROUND($AC210,3)=ROUND(significance_bar,3),TEXT($AC210,"0.0000"),TEXT($AC210,"0.000")),""),"")</f>
        <v/>
      </c>
      <c r="AO210">
        <f>IF(OR($AI210="",$AN210=""),$AI210,$AI210&amp;" · borderline (p "&amp;$AN210&amp;")")</f>
        <v/>
      </c>
    </row>
    <row r="211">
      <c r="A211" t="inlineStr">
        <is>
          <t>grids</t>
        </is>
      </c>
      <c r="B211" t="inlineStr">
        <is>
          <t>FICO x ASSET_CLASS</t>
        </is>
      </c>
      <c r="C211" t="inlineStr">
        <is>
          <t>686 - 711</t>
        </is>
      </c>
      <c r="D211" t="inlineStr">
        <is>
          <t>3</t>
        </is>
      </c>
      <c r="E211" t="inlineStr">
        <is>
          <t>gco_rate</t>
        </is>
      </c>
      <c r="F211" t="inlineStr">
        <is>
          <t>GCO per booked dollar</t>
        </is>
      </c>
      <c r="G211" t="n">
        <v>388</v>
      </c>
      <c r="H211" t="n">
        <v>12791047.54</v>
      </c>
      <c r="I211" t="b">
        <v>0</v>
      </c>
      <c r="J211" t="b">
        <v>0</v>
      </c>
      <c r="K211" t="n">
        <v>0.8189203776734926</v>
      </c>
      <c r="L211" t="n">
        <v>0.4448346502780217</v>
      </c>
      <c r="M211" t="n">
        <v>1.125136212823914</v>
      </c>
      <c r="N211" t="n">
        <v>0.7491952004682469</v>
      </c>
      <c r="O211" t="n">
        <v>-97238.90083368402</v>
      </c>
      <c r="P211" t="n">
        <v>48909.1419152501</v>
      </c>
      <c r="Q211">
        <f>'_live'!$C$22</f>
        <v/>
      </c>
      <c r="R211" t="inlineStr">
        <is>
          <t>shuffled: 75 of 200</t>
        </is>
      </c>
      <c r="S211" t="inlineStr">
        <is>
          <t>shuffled: 127 of 200</t>
        </is>
      </c>
      <c r="T211" t="n">
        <v>0.04198211828659063</v>
      </c>
      <c r="U211" t="n">
        <v>0.03055631111232269</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0.03438001216278803</v>
      </c>
      <c r="AI211">
        <f>IF($Y211="worse","Yes",IF($Y211="worse, not significant","Not sure",IF(OR($Y211="too few losses to test",$Y211="too few loans to test"),"Too few losses",IF($Y211="","","No"))))</f>
        <v/>
      </c>
      <c r="AJ211">
        <f>IF($AA211="yes","Yes",IF($AA211="","","No"))</f>
        <v/>
      </c>
      <c r="AK211" t="n">
        <v>0.04033962175033719</v>
      </c>
      <c r="AL211" t="n">
        <v>0.04000704124234138</v>
      </c>
      <c r="AM211">
        <f>IF(AND(ISNUMBER($AC211),ISNUMBER(IF($V211,IF($AL211="","",$AL211),IF($AK211="","",$AK211)))),IF(AND(ABS($AC211-significance_bar)&lt;=2.0*IF($V211,IF($AL211="","",$AL211),IF($AK211="","",$AK211)),OR($Y211="worse",$Y211="better",$Y211="worse, not significant",$Y211="better, not significant")),IF(ROUND($AC211,3)=ROUND(significance_bar,3),TEXT($AC211,"0.0000"),TEXT($AC211,"0.000")),""),"")</f>
        <v/>
      </c>
      <c r="AN211">
        <f>IF(AND(ISNUMBER($AC211),ISNUMBER(IF($V211,IF($AL211="","",$AL211),IF($AK211="","",$AK211)))),IF(AND(ABS($AC211-significance_bar)&lt;=2.0*IF($V211,IF($AL211="","",$AL211),IF($AK211="","",$AK211)),OR($Y211="worse",$Y211="worse, not significant")),IF(ROUND($AC211,3)=ROUND(significance_bar,3),TEXT($AC211,"0.0000"),TEXT($AC211,"0.000")),""),"")</f>
        <v/>
      </c>
      <c r="AO211">
        <f>IF(OR($AI211="",$AN211=""),$AI211,$AI211&amp;" · borderline (p "&amp;$AN211&amp;")")</f>
        <v/>
      </c>
    </row>
    <row r="212">
      <c r="A212" t="inlineStr">
        <is>
          <t>grids</t>
        </is>
      </c>
      <c r="B212" t="inlineStr">
        <is>
          <t>FICO x ASSET_CLASS</t>
        </is>
      </c>
      <c r="C212" t="inlineStr">
        <is>
          <t>686 - 711</t>
        </is>
      </c>
      <c r="D212" t="inlineStr">
        <is>
          <t>3</t>
        </is>
      </c>
      <c r="E212" t="inlineStr">
        <is>
          <t>ranr_rate</t>
        </is>
      </c>
      <c r="F212" t="inlineStr">
        <is>
          <t>Profit after losses: RANR per booked dollar</t>
        </is>
      </c>
      <c r="G212" t="n">
        <v>388</v>
      </c>
      <c r="H212" t="n">
        <v>12791047.54</v>
      </c>
      <c r="I212" t="b">
        <v>0</v>
      </c>
      <c r="J212" t="b">
        <v>0</v>
      </c>
      <c r="K212" t="n">
        <v>0.004573024858384206</v>
      </c>
      <c r="L212" t="n">
        <v>0.6892620232172471</v>
      </c>
      <c r="M212" t="n">
        <v>-0.01278821355740056</v>
      </c>
      <c r="N212" t="n">
        <v>0.4656716417910448</v>
      </c>
      <c r="O212" t="n">
        <v>-58493.77836519387</v>
      </c>
      <c r="P212" t="n">
        <v>163574.6475643832</v>
      </c>
      <c r="Q212">
        <f>'_live'!$C$23</f>
        <v/>
      </c>
      <c r="R212" t="inlineStr">
        <is>
          <t>shuffled: 132 of 200</t>
        </is>
      </c>
      <c r="S212" t="inlineStr">
        <is>
          <t>shuffled: 38 of 200</t>
        </is>
      </c>
      <c r="T212" t="n">
        <v>0.1277633897086435</v>
      </c>
      <c r="U212" t="n">
        <v>0.1451246281244283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0.1323364145670277</v>
      </c>
      <c r="AI212">
        <f>IF($Y212="worse","Yes",IF($Y212="worse, not significant","Not sure",IF(OR($Y212="too few losses to test",$Y212="too few loans to test"),"Too few losses",IF($Y212="","","No"))))</f>
        <v/>
      </c>
      <c r="AJ212">
        <f>IF($AA212="yes","Yes",IF($AA212="","","No"))</f>
        <v/>
      </c>
      <c r="AK212" t="n">
        <v>0.03484961531603323</v>
      </c>
      <c r="AL212" t="n">
        <v>0.06711042625144548</v>
      </c>
      <c r="AM212">
        <f>IF(AND(ISNUMBER($AC212),ISNUMBER(IF($V212,IF($AL212="","",$AL212),IF($AK212="","",$AK212)))),IF(AND(ABS($AC212-significance_bar)&lt;=2.0*IF($V212,IF($AL212="","",$AL212),IF($AK212="","",$AK212)),OR($Y212="worse",$Y212="better",$Y212="worse, not significant",$Y212="better, not significant",AND(profit_kind="test",$Y212="in line",ISNUMBER($AB212),$AB212&lt;&gt;0))),IF(ROUND($AC212,3)=ROUND(significance_bar,3),TEXT($AC212,"0.0000"),TEXT($AC212,"0.000")),""),"")</f>
        <v/>
      </c>
      <c r="AN212">
        <f>IF(AND(ISNUMBER($AC212),ISNUMBER(IF($V212,IF($AL212="","",$AL212),IF($AK212="","",$AK212)))),IF(AND(ABS($AC212-significance_bar)&lt;=2.0*IF($V212,IF($AL212="","",$AL212),IF($AK212="","",$AK212)),OR($Y212="worse",$Y212="worse, not significant",AND(profit_kind="test",$Y212="in line",ISNUMBER($AB212),$AB212&lt;0))),IF(ROUND($AC212,3)=ROUND(significance_bar,3),TEXT($AC212,"0.0000"),TEXT($AC212,"0.000")),""),"")</f>
        <v/>
      </c>
      <c r="AO212">
        <f>IF(OR($AI212="",$AN212=""),$AI212,$AI212&amp;" · borderline (p "&amp;$AN212&amp;")")</f>
        <v/>
      </c>
    </row>
    <row r="213">
      <c r="A213" t="inlineStr">
        <is>
          <t>grids</t>
        </is>
      </c>
      <c r="B213" t="inlineStr">
        <is>
          <t>FICO x ASSET_CLASS</t>
        </is>
      </c>
      <c r="C213" t="inlineStr">
        <is>
          <t>686 - 711</t>
        </is>
      </c>
      <c r="D213" t="inlineStr">
        <is>
          <t>3</t>
        </is>
      </c>
      <c r="E213" t="inlineStr">
        <is>
          <t>contribution_rate</t>
        </is>
      </c>
      <c r="F213" t="inlineStr">
        <is>
          <t>Contribution before losses per booked dollar</t>
        </is>
      </c>
      <c r="G213" t="n">
        <v>388</v>
      </c>
      <c r="H213" t="n">
        <v>12791047.54</v>
      </c>
      <c r="I213" t="b">
        <v>0</v>
      </c>
      <c r="J213" t="b">
        <v>0</v>
      </c>
      <c r="K213" t="n">
        <v>-0.003026036208880395</v>
      </c>
      <c r="L213" t="n">
        <v>0.7570841444949167</v>
      </c>
      <c r="M213" t="n">
        <v>-0.008964512506935335</v>
      </c>
      <c r="N213" t="n">
        <v>0.6686567164179105</v>
      </c>
      <c r="O213" t="n">
        <v>38706.17300555063</v>
      </c>
      <c r="P213" t="n">
        <v>114665.5056491345</v>
      </c>
      <c r="Q213">
        <f>'_live'!$C$24</f>
        <v/>
      </c>
      <c r="R213" t="inlineStr">
        <is>
          <t>shuffled: 133 of 200</t>
        </is>
      </c>
      <c r="S213" t="inlineStr">
        <is>
          <t>shuffled: 24 of 200</t>
        </is>
      </c>
      <c r="T213" t="n">
        <v>0.169742462938696</v>
      </c>
      <c r="U213" t="n">
        <v>0.175680939236751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0.1667164267298157</v>
      </c>
      <c r="AI213">
        <f>IF($Y213="worse","Yes",IF($Y213="worse, not significant","Not sure",IF(OR($Y213="too few losses to test",$Y213="too few loans to test"),"Too few losses",IF($Y213="","","No"))))</f>
        <v/>
      </c>
      <c r="AJ213">
        <f>IF($AA213="yes","Yes",IF($AA213="","","No"))</f>
        <v/>
      </c>
      <c r="AK213" t="n">
        <v>0.0353370306136806</v>
      </c>
      <c r="AL213" t="n">
        <v>0.1175255383819872</v>
      </c>
      <c r="AM213">
        <f>IF(AND(ISNUMBER($AC213),ISNUMBER(IF($V213,IF($AL213="","",$AL213),IF($AK213="","",$AK213)))),IF(AND(ABS($AC213-significance_bar)&lt;=2.0*IF($V213,IF($AL213="","",$AL213),IF($AK213="","",$AK213)),OR($Y213="worse",$Y213="better",$Y213="worse, not significant",$Y213="better, not significant",AND(profit_kind="test",$Y213="in line",ISNUMBER($AB213),$AB213&lt;&gt;0))),IF(ROUND($AC213,3)=ROUND(significance_bar,3),TEXT($AC213,"0.0000"),TEXT($AC213,"0.000")),""),"")</f>
        <v/>
      </c>
      <c r="AN213">
        <f>IF(AND(ISNUMBER($AC213),ISNUMBER(IF($V213,IF($AL213="","",$AL213),IF($AK213="","",$AK213)))),IF(AND(ABS($AC213-significance_bar)&lt;=2.0*IF($V213,IF($AL213="","",$AL213),IF($AK213="","",$AK213)),OR($Y213="worse",$Y213="worse, not significant",AND(profit_kind="test",$Y213="in line",ISNUMBER($AB213),$AB213&lt;0))),IF(ROUND($AC213,3)=ROUND(significance_bar,3),TEXT($AC213,"0.0000"),TEXT($AC213,"0.000")),""),"")</f>
        <v/>
      </c>
      <c r="AO213">
        <f>IF(OR($AI213="",$AN213=""),$AI213,$AI213&amp;" · borderline (p "&amp;$AN213&amp;")")</f>
        <v/>
      </c>
    </row>
    <row r="214">
      <c r="A214" t="inlineStr">
        <is>
          <t>grids</t>
        </is>
      </c>
      <c r="B214" t="inlineStr">
        <is>
          <t>FICO x ASSET_CLASS</t>
        </is>
      </c>
      <c r="C214" t="inlineStr">
        <is>
          <t>(marked missing)</t>
        </is>
      </c>
      <c r="D214" t="inlineStr">
        <is>
          <t>4</t>
        </is>
      </c>
      <c r="E214" t="inlineStr">
        <is>
          <t>outcome_loans</t>
        </is>
      </c>
      <c r="F214" t="inlineStr">
        <is>
          <t>Outcome, share of loans</t>
        </is>
      </c>
      <c r="G214" t="n">
        <v>39</v>
      </c>
      <c r="H214" t="n">
        <v>39</v>
      </c>
      <c r="I214" t="b">
        <v>1</v>
      </c>
      <c r="J214" t="b">
        <v>0</v>
      </c>
      <c r="K214" t="n">
        <v>0.6615966421476956</v>
      </c>
      <c r="M214" t="n">
        <v>0.7756410256410255</v>
      </c>
      <c r="O214" t="n">
        <v>-1.022989949748744</v>
      </c>
      <c r="P214" t="n">
        <v>-0.5785123966942152</v>
      </c>
      <c r="Q214">
        <f>'_live'!$C$20</f>
        <v/>
      </c>
      <c r="T214" t="n">
        <v>0.07751256281407035</v>
      </c>
      <c r="U214" t="n">
        <v>0.06611570247933884</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0.05128205128205128</v>
      </c>
      <c r="AI214">
        <f>IF($Y214="worse","Yes",IF($Y214="worse, not significant","Not sure",IF(OR($Y214="too few losses to test",$Y214="too few loans to test"),"Too few losses",IF($Y214="","","No"))))</f>
        <v/>
      </c>
      <c r="AJ214">
        <f>IF($AA214="yes","Yes",IF($AA214="","","No"))</f>
        <v/>
      </c>
      <c r="AM214">
        <f>IF(AND(ISNUMBER($AC214),ISNUMBER(IF($V214,IF($AL214="","",$AL214),IF($AK214="","",$AK214)))),IF(AND(ABS($AC214-significance_bar)&lt;=2.0*IF($V214,IF($AL214="","",$AL214),IF($AK214="","",$AK214)),OR($Y214="worse",$Y214="better",$Y214="worse, not significant",$Y214="better, not significant")),IF(ROUND($AC214,3)=ROUND(significance_bar,3),TEXT($AC214,"0.0000"),TEXT($AC214,"0.000")),""),"")</f>
        <v/>
      </c>
      <c r="AN214">
        <f>IF(AND(ISNUMBER($AC214),ISNUMBER(IF($V214,IF($AL214="","",$AL214),IF($AK214="","",$AK214)))),IF(AND(ABS($AC214-significance_bar)&lt;=2.0*IF($V214,IF($AL214="","",$AL214),IF($AK214="","",$AK214)),OR($Y214="worse",$Y214="worse, not significant")),IF(ROUND($AC214,3)=ROUND(significance_bar,3),TEXT($AC214,"0.0000"),TEXT($AC214,"0.000")),""),"")</f>
        <v/>
      </c>
      <c r="AO214">
        <f>IF(OR($AI214="",$AN214=""),$AI214,$AI214&amp;" · borderline (p "&amp;$AN214&amp;")")</f>
        <v/>
      </c>
    </row>
    <row r="215">
      <c r="A215" t="inlineStr">
        <is>
          <t>grids</t>
        </is>
      </c>
      <c r="B215" t="inlineStr">
        <is>
          <t>FICO x ASSET_CLASS</t>
        </is>
      </c>
      <c r="C215" t="inlineStr">
        <is>
          <t>(marked missing)</t>
        </is>
      </c>
      <c r="D215" t="inlineStr">
        <is>
          <t>4</t>
        </is>
      </c>
      <c r="E215" t="inlineStr">
        <is>
          <t>outcome_booked</t>
        </is>
      </c>
      <c r="F215" t="inlineStr">
        <is>
          <t>Outcome, share of booked dollars</t>
        </is>
      </c>
      <c r="G215" t="n">
        <v>39</v>
      </c>
      <c r="H215" t="n">
        <v>1213027.95</v>
      </c>
      <c r="I215" t="b">
        <v>1</v>
      </c>
      <c r="J215" t="b">
        <v>0</v>
      </c>
      <c r="K215" t="n">
        <v>0.6574063185108084</v>
      </c>
      <c r="M215" t="n">
        <v>1.030447925431155</v>
      </c>
      <c r="O215" t="n">
        <v>-31147.22481393857</v>
      </c>
      <c r="P215" t="n">
        <v>1766.060351312648</v>
      </c>
      <c r="Q215">
        <f>'_live'!$C$21</f>
        <v/>
      </c>
      <c r="T215" t="n">
        <v>0.07494957953272105</v>
      </c>
      <c r="U215" t="n">
        <v>0.04781641647143197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0.04927232715453918</v>
      </c>
      <c r="AI215">
        <f>IF($Y215="worse","Yes",IF($Y215="worse, not significant","Not sure",IF(OR($Y215="too few losses to test",$Y215="too few loans to test"),"Too few losses",IF($Y215="","","No"))))</f>
        <v/>
      </c>
      <c r="AJ215">
        <f>IF($AA215="yes","Yes",IF($AA215="","","No"))</f>
        <v/>
      </c>
      <c r="AM215">
        <f>IF(AND(ISNUMBER($AC215),ISNUMBER(IF($V215,IF($AL215="","",$AL215),IF($AK215="","",$AK215)))),IF(AND(ABS($AC215-significance_bar)&lt;=2.0*IF($V215,IF($AL215="","",$AL215),IF($AK215="","",$AK215)),OR($Y215="worse",$Y215="better",$Y215="worse, not significant",$Y215="better, not significant")),IF(ROUND($AC215,3)=ROUND(significance_bar,3),TEXT($AC215,"0.0000"),TEXT($AC215,"0.000")),""),"")</f>
        <v/>
      </c>
      <c r="AN215">
        <f>IF(AND(ISNUMBER($AC215),ISNUMBER(IF($V215,IF($AL215="","",$AL215),IF($AK215="","",$AK215)))),IF(AND(ABS($AC215-significance_bar)&lt;=2.0*IF($V215,IF($AL215="","",$AL215),IF($AK215="","",$AK215)),OR($Y215="worse",$Y215="worse, not significant")),IF(ROUND($AC215,3)=ROUND(significance_bar,3),TEXT($AC215,"0.0000"),TEXT($AC215,"0.000")),""),"")</f>
        <v/>
      </c>
      <c r="AO215">
        <f>IF(OR($AI215="",$AN215=""),$AI215,$AI215&amp;" · borderline (p "&amp;$AN215&amp;")")</f>
        <v/>
      </c>
    </row>
    <row r="216">
      <c r="A216" t="inlineStr">
        <is>
          <t>grids</t>
        </is>
      </c>
      <c r="B216" t="inlineStr">
        <is>
          <t>FICO x ASSET_CLASS</t>
        </is>
      </c>
      <c r="C216" t="inlineStr">
        <is>
          <t>(marked missing)</t>
        </is>
      </c>
      <c r="D216" t="inlineStr">
        <is>
          <t>4</t>
        </is>
      </c>
      <c r="E216" t="inlineStr">
        <is>
          <t>gco_rate</t>
        </is>
      </c>
      <c r="F216" t="inlineStr">
        <is>
          <t>GCO per booked dollar</t>
        </is>
      </c>
      <c r="G216" t="n">
        <v>39</v>
      </c>
      <c r="H216" t="n">
        <v>1213027.95</v>
      </c>
      <c r="I216" t="b">
        <v>1</v>
      </c>
      <c r="J216" t="b">
        <v>0</v>
      </c>
      <c r="K216" t="n">
        <v>0.5142517649285721</v>
      </c>
      <c r="M216" t="n">
        <v>0.8024406338294061</v>
      </c>
      <c r="O216" t="n">
        <v>-24571.02139639813</v>
      </c>
      <c r="P216" t="n">
        <v>-6404.312002711478</v>
      </c>
      <c r="Q216">
        <f>'_live'!$C$22</f>
        <v/>
      </c>
      <c r="T216" t="n">
        <v>0.04170049123468105</v>
      </c>
      <c r="U216" t="n">
        <v>0.02672415916114009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0.02144455121582318</v>
      </c>
      <c r="AI216">
        <f>IF($Y216="worse","Yes",IF($Y216="worse, not significant","Not sure",IF(OR($Y216="too few losses to test",$Y216="too few loans to test"),"Too few losses",IF($Y216="","","No"))))</f>
        <v/>
      </c>
      <c r="AJ216">
        <f>IF($AA216="yes","Yes",IF($AA216="","","No"))</f>
        <v/>
      </c>
      <c r="AM216">
        <f>IF(AND(ISNUMBER($AC216),ISNUMBER(IF($V216,IF($AL216="","",$AL216),IF($AK216="","",$AK216)))),IF(AND(ABS($AC216-significance_bar)&lt;=2.0*IF($V216,IF($AL216="","",$AL216),IF($AK216="","",$AK216)),OR($Y216="worse",$Y216="better",$Y216="worse, not significant",$Y216="better, not significant")),IF(ROUND($AC216,3)=ROUND(significance_bar,3),TEXT($AC216,"0.0000"),TEXT($AC216,"0.000")),""),"")</f>
        <v/>
      </c>
      <c r="AN216">
        <f>IF(AND(ISNUMBER($AC216),ISNUMBER(IF($V216,IF($AL216="","",$AL216),IF($AK216="","",$AK216)))),IF(AND(ABS($AC216-significance_bar)&lt;=2.0*IF($V216,IF($AL216="","",$AL216),IF($AK216="","",$AK216)),OR($Y216="worse",$Y216="worse, not significant")),IF(ROUND($AC216,3)=ROUND(significance_bar,3),TEXT($AC216,"0.0000"),TEXT($AC216,"0.000")),""),"")</f>
        <v/>
      </c>
      <c r="AO216">
        <f>IF(OR($AI216="",$AN216=""),$AI216,$AI216&amp;" · borderline (p "&amp;$AN216&amp;")")</f>
        <v/>
      </c>
    </row>
    <row r="217">
      <c r="A217" t="inlineStr">
        <is>
          <t>grids</t>
        </is>
      </c>
      <c r="B217" t="inlineStr">
        <is>
          <t>FICO x ASSET_CLASS</t>
        </is>
      </c>
      <c r="C217" t="inlineStr">
        <is>
          <t>(marked missing)</t>
        </is>
      </c>
      <c r="D217" t="inlineStr">
        <is>
          <t>4</t>
        </is>
      </c>
      <c r="E217" t="inlineStr">
        <is>
          <t>ranr_rate</t>
        </is>
      </c>
      <c r="F217" t="inlineStr">
        <is>
          <t>Profit after losses: RANR per booked dollar</t>
        </is>
      </c>
      <c r="G217" t="n">
        <v>39</v>
      </c>
      <c r="H217" t="n">
        <v>1213027.95</v>
      </c>
      <c r="I217" t="b">
        <v>0</v>
      </c>
      <c r="J217" t="b">
        <v>0</v>
      </c>
      <c r="K217" t="n">
        <v>0.03680248283217558</v>
      </c>
      <c r="L217" t="n">
        <v>0.2842928216062544</v>
      </c>
      <c r="M217" t="n">
        <v>0.01225814524698032</v>
      </c>
      <c r="N217" t="n">
        <v>0.9426551453260017</v>
      </c>
      <c r="O217" t="n">
        <v>-44642.44030482415</v>
      </c>
      <c r="P217" t="n">
        <v>-14869.47279974679</v>
      </c>
      <c r="Q217">
        <f>'_live'!$C$23</f>
        <v/>
      </c>
      <c r="R217" t="inlineStr">
        <is>
          <t>shuffled: 47 of 200</t>
        </is>
      </c>
      <c r="S217" t="inlineStr">
        <is>
          <t>shuffled: 143 of 200</t>
        </is>
      </c>
      <c r="T217" t="n">
        <v>0.1278170628262736</v>
      </c>
      <c r="U217" t="n">
        <v>0.1523614004114688</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0.1646195456584492</v>
      </c>
      <c r="AI217">
        <f>IF($Y217="worse","Yes",IF($Y217="worse, not significant","Not sure",IF(OR($Y217="too few losses to test",$Y217="too few loans to test"),"Too few losses",IF($Y217="","","No"))))</f>
        <v/>
      </c>
      <c r="AJ217">
        <f>IF($AA217="yes","Yes",IF($AA217="","","No"))</f>
        <v/>
      </c>
      <c r="AK217" t="n">
        <v>0.03589020944691571</v>
      </c>
      <c r="AL217" t="n">
        <v>0.0388666673271107</v>
      </c>
      <c r="AM217">
        <f>IF(AND(ISNUMBER($AC217),ISNUMBER(IF($V217,IF($AL217="","",$AL217),IF($AK217="","",$AK217)))),IF(AND(ABS($AC217-significance_bar)&lt;=2.0*IF($V217,IF($AL217="","",$AL217),IF($AK217="","",$AK217)),OR($Y217="worse",$Y217="better",$Y217="worse, not significant",$Y217="better, not significant",AND(profit_kind="test",$Y217="in line",ISNUMBER($AB217),$AB217&lt;&gt;0))),IF(ROUND($AC217,3)=ROUND(significance_bar,3),TEXT($AC217,"0.0000"),TEXT($AC217,"0.000")),""),"")</f>
        <v/>
      </c>
      <c r="AN217">
        <f>IF(AND(ISNUMBER($AC217),ISNUMBER(IF($V217,IF($AL217="","",$AL217),IF($AK217="","",$AK217)))),IF(AND(ABS($AC217-significance_bar)&lt;=2.0*IF($V217,IF($AL217="","",$AL217),IF($AK217="","",$AK217)),OR($Y217="worse",$Y217="worse, not significant",AND(profit_kind="test",$Y217="in line",ISNUMBER($AB217),$AB217&lt;0))),IF(ROUND($AC217,3)=ROUND(significance_bar,3),TEXT($AC217,"0.0000"),TEXT($AC217,"0.000")),""),"")</f>
        <v/>
      </c>
      <c r="AO217">
        <f>IF(OR($AI217="",$AN217=""),$AI217,$AI217&amp;" · borderline (p "&amp;$AN217&amp;")")</f>
        <v/>
      </c>
    </row>
    <row r="218">
      <c r="A218" t="inlineStr">
        <is>
          <t>grids</t>
        </is>
      </c>
      <c r="B218" t="inlineStr">
        <is>
          <t>FICO x ASSET_CLASS</t>
        </is>
      </c>
      <c r="C218" t="inlineStr">
        <is>
          <t>(marked missing)</t>
        </is>
      </c>
      <c r="D218" t="inlineStr">
        <is>
          <t>4</t>
        </is>
      </c>
      <c r="E218" t="inlineStr">
        <is>
          <t>contribution_rate</t>
        </is>
      </c>
      <c r="F218" t="inlineStr">
        <is>
          <t>Contribution before losses per booked dollar</t>
        </is>
      </c>
      <c r="G218" t="n">
        <v>39</v>
      </c>
      <c r="H218" t="n">
        <v>1213027.95</v>
      </c>
      <c r="I218" t="b">
        <v>0</v>
      </c>
      <c r="J218" t="b">
        <v>0</v>
      </c>
      <c r="K218" t="n">
        <v>0.01654944229578684</v>
      </c>
      <c r="L218" t="n">
        <v>0.6022518984027233</v>
      </c>
      <c r="M218" t="n">
        <v>0.006978537301663396</v>
      </c>
      <c r="N218" t="n">
        <v>0.9203980099502488</v>
      </c>
      <c r="O218" t="n">
        <v>-20074.93606170159</v>
      </c>
      <c r="P218" t="n">
        <v>-8465.160797035263</v>
      </c>
      <c r="Q218">
        <f>'_live'!$C$24</f>
        <v/>
      </c>
      <c r="R218" t="inlineStr">
        <is>
          <t>shuffled: 87 of 200</t>
        </is>
      </c>
      <c r="S218" t="inlineStr">
        <is>
          <t>shuffled: 159 of 200</t>
        </is>
      </c>
      <c r="T218" t="n">
        <v>0.1695146545784855</v>
      </c>
      <c r="U218" t="n">
        <v>0.1790855595726089</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0.1860640968742723</v>
      </c>
      <c r="AI218">
        <f>IF($Y218="worse","Yes",IF($Y218="worse, not significant","Not sure",IF(OR($Y218="too few losses to test",$Y218="too few loans to test"),"Too few losses",IF($Y218="","","No"))))</f>
        <v/>
      </c>
      <c r="AJ218">
        <f>IF($AA218="yes","Yes",IF($AA218="","","No"))</f>
        <v/>
      </c>
      <c r="AK218" t="n">
        <v>0.04635349821183682</v>
      </c>
      <c r="AL218" t="n">
        <v>0.01913968563350382</v>
      </c>
      <c r="AM218">
        <f>IF(AND(ISNUMBER($AC218),ISNUMBER(IF($V218,IF($AL218="","",$AL218),IF($AK218="","",$AK218)))),IF(AND(ABS($AC218-significance_bar)&lt;=2.0*IF($V218,IF($AL218="","",$AL218),IF($AK218="","",$AK218)),OR($Y218="worse",$Y218="better",$Y218="worse, not significant",$Y218="better, not significant",AND(profit_kind="test",$Y218="in line",ISNUMBER($AB218),$AB218&lt;&gt;0))),IF(ROUND($AC218,3)=ROUND(significance_bar,3),TEXT($AC218,"0.0000"),TEXT($AC218,"0.000")),""),"")</f>
        <v/>
      </c>
      <c r="AN218">
        <f>IF(AND(ISNUMBER($AC218),ISNUMBER(IF($V218,IF($AL218="","",$AL218),IF($AK218="","",$AK218)))),IF(AND(ABS($AC218-significance_bar)&lt;=2.0*IF($V218,IF($AL218="","",$AL218),IF($AK218="","",$AK218)),OR($Y218="worse",$Y218="worse, not significant",AND(profit_kind="test",$Y218="in line",ISNUMBER($AB218),$AB218&lt;0))),IF(ROUND($AC218,3)=ROUND(significance_bar,3),TEXT($AC218,"0.0000"),TEXT($AC218,"0.000")),""),"")</f>
        <v/>
      </c>
      <c r="AO218">
        <f>IF(OR($AI218="",$AN218=""),$AI218,$AI218&amp;" · borderline (p "&amp;$AN218&amp;")")</f>
        <v/>
      </c>
    </row>
    <row r="219">
      <c r="A219" t="inlineStr">
        <is>
          <t>grids</t>
        </is>
      </c>
      <c r="B219" t="inlineStr">
        <is>
          <t>FICO x ASSET_CLASS</t>
        </is>
      </c>
      <c r="C219" t="inlineStr">
        <is>
          <t>(marked missing)</t>
        </is>
      </c>
      <c r="D219" t="inlineStr">
        <is>
          <t>2</t>
        </is>
      </c>
      <c r="E219" t="inlineStr">
        <is>
          <t>outcome_loans</t>
        </is>
      </c>
      <c r="F219" t="inlineStr">
        <is>
          <t>Outcome, share of loans</t>
        </is>
      </c>
      <c r="G219" t="n">
        <v>36</v>
      </c>
      <c r="H219" t="n">
        <v>36</v>
      </c>
      <c r="I219" t="b">
        <v>1</v>
      </c>
      <c r="J219" t="b">
        <v>0</v>
      </c>
      <c r="K219" t="n">
        <v>1.801257690915671</v>
      </c>
      <c r="M219" t="n">
        <v>3.444444444444445</v>
      </c>
      <c r="O219" t="n">
        <v>2.224161748084893</v>
      </c>
      <c r="P219" t="n">
        <v>3.548387096774194</v>
      </c>
      <c r="Q219">
        <f>'_live'!$C$20</f>
        <v/>
      </c>
      <c r="T219" t="n">
        <v>0.07710661810875298</v>
      </c>
      <c r="U219" t="n">
        <v>0.04032258064516129</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0.1388888888888889</v>
      </c>
      <c r="AI219">
        <f>IF($Y219="worse","Yes",IF($Y219="worse, not significant","Not sure",IF(OR($Y219="too few losses to test",$Y219="too few loans to test"),"Too few losses",IF($Y219="","","No"))))</f>
        <v/>
      </c>
      <c r="AJ219">
        <f>IF($AA219="yes","Yes",IF($AA219="","","No"))</f>
        <v/>
      </c>
      <c r="AM219">
        <f>IF(AND(ISNUMBER($AC219),ISNUMBER(IF($V219,IF($AL219="","",$AL219),IF($AK219="","",$AK219)))),IF(AND(ABS($AC219-significance_bar)&lt;=2.0*IF($V219,IF($AL219="","",$AL219),IF($AK219="","",$AK219)),OR($Y219="worse",$Y219="better",$Y219="worse, not significant",$Y219="better, not significant")),IF(ROUND($AC219,3)=ROUND(significance_bar,3),TEXT($AC219,"0.0000"),TEXT($AC219,"0.000")),""),"")</f>
        <v/>
      </c>
      <c r="AN219">
        <f>IF(AND(ISNUMBER($AC219),ISNUMBER(IF($V219,IF($AL219="","",$AL219),IF($AK219="","",$AK219)))),IF(AND(ABS($AC219-significance_bar)&lt;=2.0*IF($V219,IF($AL219="","",$AL219),IF($AK219="","",$AK219)),OR($Y219="worse",$Y219="worse, not significant")),IF(ROUND($AC219,3)=ROUND(significance_bar,3),TEXT($AC219,"0.0000"),TEXT($AC219,"0.000")),""),"")</f>
        <v/>
      </c>
      <c r="AO219">
        <f>IF(OR($AI219="",$AN219=""),$AI219,$AI219&amp;" · borderline (p "&amp;$AN219&amp;")")</f>
        <v/>
      </c>
    </row>
    <row r="220">
      <c r="A220" t="inlineStr">
        <is>
          <t>grids</t>
        </is>
      </c>
      <c r="B220" t="inlineStr">
        <is>
          <t>FICO x ASSET_CLASS</t>
        </is>
      </c>
      <c r="C220" t="inlineStr">
        <is>
          <t>(marked missing)</t>
        </is>
      </c>
      <c r="D220" t="inlineStr">
        <is>
          <t>2</t>
        </is>
      </c>
      <c r="E220" t="inlineStr">
        <is>
          <t>outcome_booked</t>
        </is>
      </c>
      <c r="F220" t="inlineStr">
        <is>
          <t>Outcome, share of booked dollars</t>
        </is>
      </c>
      <c r="G220" t="n">
        <v>36</v>
      </c>
      <c r="H220" t="n">
        <v>1086599.84</v>
      </c>
      <c r="I220" t="b">
        <v>1</v>
      </c>
      <c r="J220" t="b">
        <v>0</v>
      </c>
      <c r="K220" t="n">
        <v>1.552153014996473</v>
      </c>
      <c r="M220" t="n">
        <v>3.782418691557639</v>
      </c>
      <c r="O220" t="n">
        <v>44790.88288681601</v>
      </c>
      <c r="P220" t="n">
        <v>92622.73248074728</v>
      </c>
      <c r="Q220">
        <f>'_live'!$C$21</f>
        <v/>
      </c>
      <c r="T220" t="n">
        <v>0.07465528166577311</v>
      </c>
      <c r="U220" t="n">
        <v>0.03063553508277041</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0.1158764205229406</v>
      </c>
      <c r="AI220">
        <f>IF($Y220="worse","Yes",IF($Y220="worse, not significant","Not sure",IF(OR($Y220="too few losses to test",$Y220="too few loans to test"),"Too few losses",IF($Y220="","","No"))))</f>
        <v/>
      </c>
      <c r="AJ220">
        <f>IF($AA220="yes","Yes",IF($AA220="","","No"))</f>
        <v/>
      </c>
      <c r="AM220">
        <f>IF(AND(ISNUMBER($AC220),ISNUMBER(IF($V220,IF($AL220="","",$AL220),IF($AK220="","",$AK220)))),IF(AND(ABS($AC220-significance_bar)&lt;=2.0*IF($V220,IF($AL220="","",$AL220),IF($AK220="","",$AK220)),OR($Y220="worse",$Y220="better",$Y220="worse, not significant",$Y220="better, not significant")),IF(ROUND($AC220,3)=ROUND(significance_bar,3),TEXT($AC220,"0.0000"),TEXT($AC220,"0.000")),""),"")</f>
        <v/>
      </c>
      <c r="AN220">
        <f>IF(AND(ISNUMBER($AC220),ISNUMBER(IF($V220,IF($AL220="","",$AL220),IF($AK220="","",$AK220)))),IF(AND(ABS($AC220-significance_bar)&lt;=2.0*IF($V220,IF($AL220="","",$AL220),IF($AK220="","",$AK220)),OR($Y220="worse",$Y220="worse, not significant")),IF(ROUND($AC220,3)=ROUND(significance_bar,3),TEXT($AC220,"0.0000"),TEXT($AC220,"0.000")),""),"")</f>
        <v/>
      </c>
      <c r="AO220">
        <f>IF(OR($AI220="",$AN220=""),$AI220,$AI220&amp;" · borderline (p "&amp;$AN220&amp;")")</f>
        <v/>
      </c>
    </row>
    <row r="221">
      <c r="A221" t="inlineStr">
        <is>
          <t>grids</t>
        </is>
      </c>
      <c r="B221" t="inlineStr">
        <is>
          <t>FICO x ASSET_CLASS</t>
        </is>
      </c>
      <c r="C221" t="inlineStr">
        <is>
          <t>(marked missing)</t>
        </is>
      </c>
      <c r="D221" t="inlineStr">
        <is>
          <t>2</t>
        </is>
      </c>
      <c r="E221" t="inlineStr">
        <is>
          <t>gco_rate</t>
        </is>
      </c>
      <c r="F221" t="inlineStr">
        <is>
          <t>GCO per booked dollar</t>
        </is>
      </c>
      <c r="G221" t="n">
        <v>36</v>
      </c>
      <c r="H221" t="n">
        <v>1086599.84</v>
      </c>
      <c r="I221" t="b">
        <v>1</v>
      </c>
      <c r="J221" t="b">
        <v>0</v>
      </c>
      <c r="K221" t="n">
        <v>1.472281219667844</v>
      </c>
      <c r="M221" t="n">
        <v>3.750189864972537</v>
      </c>
      <c r="O221" t="n">
        <v>21308.63938926913</v>
      </c>
      <c r="P221" t="n">
        <v>48714.16215510578</v>
      </c>
      <c r="Q221">
        <f>'_live'!$C$22</f>
        <v/>
      </c>
      <c r="T221" t="n">
        <v>0.04152268291400713</v>
      </c>
      <c r="U221" t="n">
        <v>0.01630132565167157</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0.06113306624451557</v>
      </c>
      <c r="AI221">
        <f>IF($Y221="worse","Yes",IF($Y221="worse, not significant","Not sure",IF(OR($Y221="too few losses to test",$Y221="too few loans to test"),"Too few losses",IF($Y221="","","No"))))</f>
        <v/>
      </c>
      <c r="AJ221">
        <f>IF($AA221="yes","Yes",IF($AA221="","","No"))</f>
        <v/>
      </c>
      <c r="AM221">
        <f>IF(AND(ISNUMBER($AC221),ISNUMBER(IF($V221,IF($AL221="","",$AL221),IF($AK221="","",$AK221)))),IF(AND(ABS($AC221-significance_bar)&lt;=2.0*IF($V221,IF($AL221="","",$AL221),IF($AK221="","",$AK221)),OR($Y221="worse",$Y221="better",$Y221="worse, not significant",$Y221="better, not significant")),IF(ROUND($AC221,3)=ROUND(significance_bar,3),TEXT($AC221,"0.0000"),TEXT($AC221,"0.000")),""),"")</f>
        <v/>
      </c>
      <c r="AN221">
        <f>IF(AND(ISNUMBER($AC221),ISNUMBER(IF($V221,IF($AL221="","",$AL221),IF($AK221="","",$AK221)))),IF(AND(ABS($AC221-significance_bar)&lt;=2.0*IF($V221,IF($AL221="","",$AL221),IF($AK221="","",$AK221)),OR($Y221="worse",$Y221="worse, not significant")),IF(ROUND($AC221,3)=ROUND(significance_bar,3),TEXT($AC221,"0.0000"),TEXT($AC221,"0.000")),""),"")</f>
        <v/>
      </c>
      <c r="AO221">
        <f>IF(OR($AI221="",$AN221=""),$AI221,$AI221&amp;" · borderline (p "&amp;$AN221&amp;")")</f>
        <v/>
      </c>
    </row>
    <row r="222">
      <c r="A222" t="inlineStr">
        <is>
          <t>grids</t>
        </is>
      </c>
      <c r="B222" t="inlineStr">
        <is>
          <t>FICO x ASSET_CLASS</t>
        </is>
      </c>
      <c r="C222" t="inlineStr">
        <is>
          <t>(marked missing)</t>
        </is>
      </c>
      <c r="D222" t="inlineStr">
        <is>
          <t>2</t>
        </is>
      </c>
      <c r="E222" t="inlineStr">
        <is>
          <t>ranr_rate</t>
        </is>
      </c>
      <c r="F222" t="inlineStr">
        <is>
          <t>Profit after losses: RANR per booked dollar</t>
        </is>
      </c>
      <c r="G222" t="n">
        <v>36</v>
      </c>
      <c r="H222" t="n">
        <v>1086599.84</v>
      </c>
      <c r="I222" t="b">
        <v>0</v>
      </c>
      <c r="J222" t="b">
        <v>0</v>
      </c>
      <c r="K222" t="n">
        <v>-0.01601870776672377</v>
      </c>
      <c r="L222" t="n">
        <v>0.6892620232172471</v>
      </c>
      <c r="M222" t="n">
        <v>-0.05428953282419784</v>
      </c>
      <c r="N222" t="n">
        <v>0.4378109452736318</v>
      </c>
      <c r="O222" t="n">
        <v>17405.92529632882</v>
      </c>
      <c r="P222" t="n">
        <v>58990.99768044811</v>
      </c>
      <c r="Q222">
        <f>'_live'!$C$23</f>
        <v/>
      </c>
      <c r="R222" t="inlineStr">
        <is>
          <t>shuffled: 130 of 200</t>
        </is>
      </c>
      <c r="S222" t="inlineStr">
        <is>
          <t>shuffled: 17 of 200</t>
        </is>
      </c>
      <c r="T222" t="n">
        <v>0.1280574965815648</v>
      </c>
      <c r="U222" t="n">
        <v>0.1663283216390388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0.112038788814841</v>
      </c>
      <c r="AI222">
        <f>IF($Y222="worse","Yes",IF($Y222="worse, not significant","Not sure",IF(OR($Y222="too few losses to test",$Y222="too few loans to test"),"Too few losses",IF($Y222="","","No"))))</f>
        <v/>
      </c>
      <c r="AJ222">
        <f>IF($AA222="yes","Yes",IF($AA222="","","No"))</f>
        <v/>
      </c>
      <c r="AK222" t="n">
        <v>0.03484961531603323</v>
      </c>
      <c r="AL222" t="n">
        <v>0.06985046278521091</v>
      </c>
      <c r="AM222">
        <f>IF(AND(ISNUMBER($AC222),ISNUMBER(IF($V222,IF($AL222="","",$AL222),IF($AK222="","",$AK222)))),IF(AND(ABS($AC222-significance_bar)&lt;=2.0*IF($V222,IF($AL222="","",$AL222),IF($AK222="","",$AK222)),OR($Y222="worse",$Y222="better",$Y222="worse, not significant",$Y222="better, not significant",AND(profit_kind="test",$Y222="in line",ISNUMBER($AB222),$AB222&lt;&gt;0))),IF(ROUND($AC222,3)=ROUND(significance_bar,3),TEXT($AC222,"0.0000"),TEXT($AC222,"0.000")),""),"")</f>
        <v/>
      </c>
      <c r="AN222">
        <f>IF(AND(ISNUMBER($AC222),ISNUMBER(IF($V222,IF($AL222="","",$AL222),IF($AK222="","",$AK222)))),IF(AND(ABS($AC222-significance_bar)&lt;=2.0*IF($V222,IF($AL222="","",$AL222),IF($AK222="","",$AK222)),OR($Y222="worse",$Y222="worse, not significant",AND(profit_kind="test",$Y222="in line",ISNUMBER($AB222),$AB222&lt;0))),IF(ROUND($AC222,3)=ROUND(significance_bar,3),TEXT($AC222,"0.0000"),TEXT($AC222,"0.000")),""),"")</f>
        <v/>
      </c>
      <c r="AO222">
        <f>IF(OR($AI222="",$AN222=""),$AI222,$AI222&amp;" · borderline (p "&amp;$AN222&amp;")")</f>
        <v/>
      </c>
    </row>
    <row r="223">
      <c r="A223" t="inlineStr">
        <is>
          <t>grids</t>
        </is>
      </c>
      <c r="B223" t="inlineStr">
        <is>
          <t>FICO x ASSET_CLASS</t>
        </is>
      </c>
      <c r="C223" t="inlineStr">
        <is>
          <t>(marked missing)</t>
        </is>
      </c>
      <c r="D223" t="inlineStr">
        <is>
          <t>2</t>
        </is>
      </c>
      <c r="E223" t="inlineStr">
        <is>
          <t>contribution_rate</t>
        </is>
      </c>
      <c r="F223" t="inlineStr">
        <is>
          <t>Contribution before losses per booked dollar</t>
        </is>
      </c>
      <c r="G223" t="n">
        <v>36</v>
      </c>
      <c r="H223" t="n">
        <v>1086599.84</v>
      </c>
      <c r="I223" t="b">
        <v>0</v>
      </c>
      <c r="J223" t="b">
        <v>0</v>
      </c>
      <c r="K223" t="n">
        <v>0.003594536484841537</v>
      </c>
      <c r="L223" t="n">
        <v>0.8805970149253731</v>
      </c>
      <c r="M223" t="n">
        <v>-0.009457792231353818</v>
      </c>
      <c r="N223" t="n">
        <v>0.9203980099502488</v>
      </c>
      <c r="O223" t="n">
        <v>-3905.822769302991</v>
      </c>
      <c r="P223" t="n">
        <v>10276.83552534229</v>
      </c>
      <c r="Q223">
        <f>'_live'!$C$24</f>
        <v/>
      </c>
      <c r="R223" t="inlineStr">
        <is>
          <t>shuffled: 176 of 200</t>
        </is>
      </c>
      <c r="S223" t="inlineStr">
        <is>
          <t>shuffled: 135 of 200</t>
        </is>
      </c>
      <c r="T223" t="n">
        <v>0.169577318574515</v>
      </c>
      <c r="U223" t="n">
        <v>0.1826296472907104</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0.1731718550593566</v>
      </c>
      <c r="AI223">
        <f>IF($Y223="worse","Yes",IF($Y223="worse, not significant","Not sure",IF(OR($Y223="too few losses to test",$Y223="too few loans to test"),"Too few losses",IF($Y223="","","No"))))</f>
        <v/>
      </c>
      <c r="AJ223">
        <f>IF($AA223="yes","Yes",IF($AA223="","","No"))</f>
        <v/>
      </c>
      <c r="AK223" t="n">
        <v>0.02292879327721973</v>
      </c>
      <c r="AL223" t="n">
        <v>0.01913968563350382</v>
      </c>
      <c r="AM223">
        <f>IF(AND(ISNUMBER($AC223),ISNUMBER(IF($V223,IF($AL223="","",$AL223),IF($AK223="","",$AK223)))),IF(AND(ABS($AC223-significance_bar)&lt;=2.0*IF($V223,IF($AL223="","",$AL223),IF($AK223="","",$AK223)),OR($Y223="worse",$Y223="better",$Y223="worse, not significant",$Y223="better, not significant",AND(profit_kind="test",$Y223="in line",ISNUMBER($AB223),$AB223&lt;&gt;0))),IF(ROUND($AC223,3)=ROUND(significance_bar,3),TEXT($AC223,"0.0000"),TEXT($AC223,"0.000")),""),"")</f>
        <v/>
      </c>
      <c r="AN223">
        <f>IF(AND(ISNUMBER($AC223),ISNUMBER(IF($V223,IF($AL223="","",$AL223),IF($AK223="","",$AK223)))),IF(AND(ABS($AC223-significance_bar)&lt;=2.0*IF($V223,IF($AL223="","",$AL223),IF($AK223="","",$AK223)),OR($Y223="worse",$Y223="worse, not significant",AND(profit_kind="test",$Y223="in line",ISNUMBER($AB223),$AB223&lt;0))),IF(ROUND($AC223,3)=ROUND(significance_bar,3),TEXT($AC223,"0.0000"),TEXT($AC223,"0.000")),""),"")</f>
        <v/>
      </c>
      <c r="AO223">
        <f>IF(OR($AI223="",$AN223=""),$AI223,$AI223&amp;" · borderline (p "&amp;$AN223&amp;")")</f>
        <v/>
      </c>
    </row>
    <row r="224">
      <c r="A224" t="inlineStr">
        <is>
          <t>grids</t>
        </is>
      </c>
      <c r="B224" t="inlineStr">
        <is>
          <t>REV_DEBT x CHANNEL</t>
        </is>
      </c>
      <c r="C224" t="inlineStr">
        <is>
          <t>13,052 - 17,186</t>
        </is>
      </c>
      <c r="D224" t="inlineStr">
        <is>
          <t>Online</t>
        </is>
      </c>
      <c r="E224" t="inlineStr">
        <is>
          <t>outcome_loans</t>
        </is>
      </c>
      <c r="F224" t="inlineStr">
        <is>
          <t>Outcome, share of loans</t>
        </is>
      </c>
      <c r="G224" t="n">
        <v>522</v>
      </c>
      <c r="H224" t="n">
        <v>522</v>
      </c>
      <c r="I224" t="b">
        <v>0</v>
      </c>
      <c r="J224" t="b">
        <v>0</v>
      </c>
      <c r="K224" t="n">
        <v>1.480887304416716</v>
      </c>
      <c r="L224" t="n">
        <v>0.004760629304302856</v>
      </c>
      <c r="M224" t="n">
        <v>1.316239316239316</v>
      </c>
      <c r="N224" t="n">
        <v>0.2548141116095883</v>
      </c>
      <c r="O224" t="n">
        <v>18.83429182827337</v>
      </c>
      <c r="P224" t="n">
        <v>13.93506493506494</v>
      </c>
      <c r="Q224">
        <f>'_live'!$C$20</f>
        <v/>
      </c>
      <c r="R224" t="inlineStr">
        <is>
          <t>z test</t>
        </is>
      </c>
      <c r="S224" t="inlineStr">
        <is>
          <t>z test</t>
        </is>
      </c>
      <c r="T224" t="n">
        <v>0.0750300922830012</v>
      </c>
      <c r="U224" t="n">
        <v>0.08441558441558442</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0.1111111111111111</v>
      </c>
      <c r="AI224">
        <f>IF($Y224="worse","Yes",IF($Y224="worse, not significant","Not sure",IF(OR($Y224="too few losses to test",$Y224="too few loans to test"),"Too few losses",IF($Y224="","","No"))))</f>
        <v/>
      </c>
      <c r="AJ224">
        <f>IF($AA224="yes","Yes",IF($AA224="","","No"))</f>
        <v/>
      </c>
      <c r="AM224">
        <f>IF(AND(ISNUMBER($AC224),ISNUMBER(IF($V224,IF($AL224="","",$AL224),IF($AK224="","",$AK224)))),IF(AND(ABS($AC224-significance_bar)&lt;=2.0*IF($V224,IF($AL224="","",$AL224),IF($AK224="","",$AK224)),OR($Y224="worse",$Y224="better",$Y224="worse, not significant",$Y224="better, not significant")),IF(ROUND($AC224,3)=ROUND(significance_bar,3),TEXT($AC224,"0.0000"),TEXT($AC224,"0.000")),""),"")</f>
        <v/>
      </c>
      <c r="AN224">
        <f>IF(AND(ISNUMBER($AC224),ISNUMBER(IF($V224,IF($AL224="","",$AL224),IF($AK224="","",$AK224)))),IF(AND(ABS($AC224-significance_bar)&lt;=2.0*IF($V224,IF($AL224="","",$AL224),IF($AK224="","",$AK224)),OR($Y224="worse",$Y224="worse, not significant")),IF(ROUND($AC224,3)=ROUND(significance_bar,3),TEXT($AC224,"0.0000"),TEXT($AC224,"0.000")),""),"")</f>
        <v/>
      </c>
      <c r="AO224">
        <f>IF(OR($AI224="",$AN224=""),$AI224,$AI224&amp;" · borderline (p "&amp;$AN224&amp;")")</f>
        <v/>
      </c>
    </row>
    <row r="225">
      <c r="A225" t="inlineStr">
        <is>
          <t>grids</t>
        </is>
      </c>
      <c r="B225" t="inlineStr">
        <is>
          <t>REV_DEBT x CHANNEL</t>
        </is>
      </c>
      <c r="C225" t="inlineStr">
        <is>
          <t>13,052 - 17,186</t>
        </is>
      </c>
      <c r="D225" t="inlineStr">
        <is>
          <t>Online</t>
        </is>
      </c>
      <c r="E225" t="inlineStr">
        <is>
          <t>outcome_booked</t>
        </is>
      </c>
      <c r="F225" t="inlineStr">
        <is>
          <t>Outcome, share of booked dollars</t>
        </is>
      </c>
      <c r="G225" t="n">
        <v>522</v>
      </c>
      <c r="H225" t="n">
        <v>16457309.62</v>
      </c>
      <c r="I225" t="b">
        <v>0</v>
      </c>
      <c r="J225" t="b">
        <v>0</v>
      </c>
      <c r="K225" t="n">
        <v>1.412524830471693</v>
      </c>
      <c r="L225" t="n">
        <v>0.02985074626865671</v>
      </c>
      <c r="M225" t="n">
        <v>1.201930374189385</v>
      </c>
      <c r="N225" t="n">
        <v>0.6623134328358209</v>
      </c>
      <c r="O225" t="n">
        <v>494993.1134393064</v>
      </c>
      <c r="P225" t="n">
        <v>284752.4654102211</v>
      </c>
      <c r="Q225">
        <f>'_live'!$C$21</f>
        <v/>
      </c>
      <c r="R225" t="inlineStr">
        <is>
          <t>shuffled: 3 of 200</t>
        </is>
      </c>
      <c r="S225" t="inlineStr">
        <is>
          <t>shuffled: 70 of 200</t>
        </is>
      </c>
      <c r="T225" t="n">
        <v>0.07291052451869069</v>
      </c>
      <c r="U225" t="n">
        <v>0.0856854344452553</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0.1029879262853658</v>
      </c>
      <c r="AI225">
        <f>IF($Y225="worse","Yes",IF($Y225="worse, not significant","Not sure",IF(OR($Y225="too few losses to test",$Y225="too few loans to test"),"Too few losses",IF($Y225="","","No"))))</f>
        <v/>
      </c>
      <c r="AJ225">
        <f>IF($AA225="yes","Yes",IF($AA225="","","No"))</f>
        <v/>
      </c>
      <c r="AK225" t="n">
        <v>0.01481300988155165</v>
      </c>
      <c r="AL225" t="n">
        <v>0.06337107397118952</v>
      </c>
      <c r="AM225">
        <f>IF(AND(ISNUMBER($AC225),ISNUMBER(IF($V225,IF($AL225="","",$AL225),IF($AK225="","",$AK225)))),IF(AND(ABS($AC225-significance_bar)&lt;=2.0*IF($V225,IF($AL225="","",$AL225),IF($AK225="","",$AK225)),OR($Y225="worse",$Y225="better",$Y225="worse, not significant",$Y225="better, not significant")),IF(ROUND($AC225,3)=ROUND(significance_bar,3),TEXT($AC225,"0.0000"),TEXT($AC225,"0.000")),""),"")</f>
        <v/>
      </c>
      <c r="AN225">
        <f>IF(AND(ISNUMBER($AC225),ISNUMBER(IF($V225,IF($AL225="","",$AL225),IF($AK225="","",$AK225)))),IF(AND(ABS($AC225-significance_bar)&lt;=2.0*IF($V225,IF($AL225="","",$AL225),IF($AK225="","",$AK225)),OR($Y225="worse",$Y225="worse, not significant")),IF(ROUND($AC225,3)=ROUND(significance_bar,3),TEXT($AC225,"0.0000"),TEXT($AC225,"0.000")),""),"")</f>
        <v/>
      </c>
      <c r="AO225">
        <f>IF(OR($AI225="",$AN225=""),$AI225,$AI225&amp;" · borderline (p "&amp;$AN225&amp;")")</f>
        <v/>
      </c>
    </row>
    <row r="226">
      <c r="A226" t="inlineStr">
        <is>
          <t>grids</t>
        </is>
      </c>
      <c r="B226" t="inlineStr">
        <is>
          <t>REV_DEBT x CHANNEL</t>
        </is>
      </c>
      <c r="C226" t="inlineStr">
        <is>
          <t>13,052 - 17,186</t>
        </is>
      </c>
      <c r="D226" t="inlineStr">
        <is>
          <t>Online</t>
        </is>
      </c>
      <c r="E226" t="inlineStr">
        <is>
          <t>gco_rate</t>
        </is>
      </c>
      <c r="F226" t="inlineStr">
        <is>
          <t>GCO per booked dollar</t>
        </is>
      </c>
      <c r="G226" t="n">
        <v>522</v>
      </c>
      <c r="H226" t="n">
        <v>16457309.62</v>
      </c>
      <c r="I226" t="b">
        <v>0</v>
      </c>
      <c r="J226" t="b">
        <v>0</v>
      </c>
      <c r="K226" t="n">
        <v>1.519893522043856</v>
      </c>
      <c r="L226" t="n">
        <v>0.009328358208955223</v>
      </c>
      <c r="M226" t="n">
        <v>1.299427144320736</v>
      </c>
      <c r="N226" t="n">
        <v>0.4353233830845771</v>
      </c>
      <c r="O226" t="n">
        <v>344551.5911449834</v>
      </c>
      <c r="P226" t="n">
        <v>232109.1448030078</v>
      </c>
      <c r="Q226">
        <f>'_live'!$C$22</f>
        <v/>
      </c>
      <c r="R226" t="inlineStr">
        <is>
          <t>shuffled: 0 of 200</t>
        </is>
      </c>
      <c r="S226" t="inlineStr">
        <is>
          <t>shuffled: 34 of 200</t>
        </is>
      </c>
      <c r="T226" t="n">
        <v>0.04026994291032952</v>
      </c>
      <c r="U226" t="n">
        <v>0.04710231399274072</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0.06120602536248573</v>
      </c>
      <c r="AI226">
        <f>IF($Y226="worse","Yes",IF($Y226="worse, not significant","Not sure",IF(OR($Y226="too few losses to test",$Y226="too few loans to test"),"Too few losses",IF($Y226="","","No"))))</f>
        <v/>
      </c>
      <c r="AJ226">
        <f>IF($AA226="yes","Yes",IF($AA226="","","No"))</f>
        <v/>
      </c>
      <c r="AK226" t="n">
        <v>0.009328358208955223</v>
      </c>
      <c r="AL226" t="n">
        <v>0.06703737800105407</v>
      </c>
      <c r="AM226">
        <f>IF(AND(ISNUMBER($AC226),ISNUMBER(IF($V226,IF($AL226="","",$AL226),IF($AK226="","",$AK226)))),IF(AND(ABS($AC226-significance_bar)&lt;=2.0*IF($V226,IF($AL226="","",$AL226),IF($AK226="","",$AK226)),OR($Y226="worse",$Y226="better",$Y226="worse, not significant",$Y226="better, not significant")),IF(ROUND($AC226,3)=ROUND(significance_bar,3),TEXT($AC226,"0.0000"),TEXT($AC226,"0.000")),""),"")</f>
        <v/>
      </c>
      <c r="AN226">
        <f>IF(AND(ISNUMBER($AC226),ISNUMBER(IF($V226,IF($AL226="","",$AL226),IF($AK226="","",$AK226)))),IF(AND(ABS($AC226-significance_bar)&lt;=2.0*IF($V226,IF($AL226="","",$AL226),IF($AK226="","",$AK226)),OR($Y226="worse",$Y226="worse, not significant")),IF(ROUND($AC226,3)=ROUND(significance_bar,3),TEXT($AC226,"0.0000"),TEXT($AC226,"0.000")),""),"")</f>
        <v/>
      </c>
      <c r="AO226">
        <f>IF(OR($AI226="",$AN226=""),$AI226,$AI226&amp;" · borderline (p "&amp;$AN226&amp;")")</f>
        <v/>
      </c>
    </row>
    <row r="227">
      <c r="A227" t="inlineStr">
        <is>
          <t>grids</t>
        </is>
      </c>
      <c r="B227" t="inlineStr">
        <is>
          <t>REV_DEBT x CHANNEL</t>
        </is>
      </c>
      <c r="C227" t="inlineStr">
        <is>
          <t>13,052 - 17,186</t>
        </is>
      </c>
      <c r="D227" t="inlineStr">
        <is>
          <t>Online</t>
        </is>
      </c>
      <c r="E227" t="inlineStr">
        <is>
          <t>ranr_rate</t>
        </is>
      </c>
      <c r="F227" t="inlineStr">
        <is>
          <t>Profit after losses: RANR per booked dollar</t>
        </is>
      </c>
      <c r="G227" t="n">
        <v>522</v>
      </c>
      <c r="H227" t="n">
        <v>16457309.62</v>
      </c>
      <c r="I227" t="b">
        <v>0</v>
      </c>
      <c r="J227" t="b">
        <v>0</v>
      </c>
      <c r="K227" t="n">
        <v>0.01764734153924002</v>
      </c>
      <c r="L227" t="n">
        <v>0.08291873963515756</v>
      </c>
      <c r="M227" t="n">
        <v>0.007883740591137445</v>
      </c>
      <c r="N227" t="n">
        <v>0.570362473347548</v>
      </c>
      <c r="O227" t="n">
        <v>-290427.7636811603</v>
      </c>
      <c r="P227" t="n">
        <v>-129745.1598721105</v>
      </c>
      <c r="Q227">
        <f>'_live'!$C$23</f>
        <v/>
      </c>
      <c r="R227" t="inlineStr">
        <is>
          <t>shuffled: 8 of 200</t>
        </is>
      </c>
      <c r="S227" t="inlineStr">
        <is>
          <t>shuffled: 106 of 200</t>
        </is>
      </c>
      <c r="T227" t="n">
        <v>0.1268646592017415</v>
      </c>
      <c r="U227" t="n">
        <v>0.1366282601498441</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0.1445120007409815</v>
      </c>
      <c r="AI227">
        <f>IF($Y227="worse","Yes",IF($Y227="worse, not significant","Not sure",IF(OR($Y227="too few losses to test",$Y227="too few loans to test"),"Too few losses",IF($Y227="","","No"))))</f>
        <v/>
      </c>
      <c r="AJ227">
        <f>IF($AA227="yes","Yes",IF($AA227="","","No"))</f>
        <v/>
      </c>
      <c r="AK227" t="n">
        <v>0.0256244397020936</v>
      </c>
      <c r="AL227" t="n">
        <v>0.0378014086385744</v>
      </c>
      <c r="AM227">
        <f>IF(AND(ISNUMBER($AC227),ISNUMBER(IF($V227,IF($AL227="","",$AL227),IF($AK227="","",$AK227)))),IF(AND(ABS($AC227-significance_bar)&lt;=2.0*IF($V227,IF($AL227="","",$AL227),IF($AK227="","",$AK227)),OR($Y227="worse",$Y227="better",$Y227="worse, not significant",$Y227="better, not significant",AND(profit_kind="test",$Y227="in line",ISNUMBER($AB227),$AB227&lt;&gt;0))),IF(ROUND($AC227,3)=ROUND(significance_bar,3),TEXT($AC227,"0.0000"),TEXT($AC227,"0.000")),""),"")</f>
        <v/>
      </c>
      <c r="AN227">
        <f>IF(AND(ISNUMBER($AC227),ISNUMBER(IF($V227,IF($AL227="","",$AL227),IF($AK227="","",$AK227)))),IF(AND(ABS($AC227-significance_bar)&lt;=2.0*IF($V227,IF($AL227="","",$AL227),IF($AK227="","",$AK227)),OR($Y227="worse",$Y227="worse, not significant",AND(profit_kind="test",$Y227="in line",ISNUMBER($AB227),$AB227&lt;0))),IF(ROUND($AC227,3)=ROUND(significance_bar,3),TEXT($AC227,"0.0000"),TEXT($AC227,"0.000")),""),"")</f>
        <v/>
      </c>
      <c r="AO227">
        <f>IF(OR($AI227="",$AN227=""),$AI227,$AI227&amp;" · borderline (p "&amp;$AN227&amp;")")</f>
        <v/>
      </c>
    </row>
    <row r="228">
      <c r="A228" t="inlineStr">
        <is>
          <t>grids</t>
        </is>
      </c>
      <c r="B228" t="inlineStr">
        <is>
          <t>REV_DEBT x CHANNEL</t>
        </is>
      </c>
      <c r="C228" t="inlineStr">
        <is>
          <t>13,052 - 17,186</t>
        </is>
      </c>
      <c r="D228" t="inlineStr">
        <is>
          <t>Online</t>
        </is>
      </c>
      <c r="E228" t="inlineStr">
        <is>
          <t>contribution_rate</t>
        </is>
      </c>
      <c r="F228" t="inlineStr">
        <is>
          <t>Contribution before losses per booked dollar</t>
        </is>
      </c>
      <c r="G228" t="n">
        <v>522</v>
      </c>
      <c r="H228" t="n">
        <v>16457309.62</v>
      </c>
      <c r="I228" t="b">
        <v>0</v>
      </c>
      <c r="J228" t="b">
        <v>0</v>
      </c>
      <c r="K228" t="n">
        <v>0.03858666290189691</v>
      </c>
      <c r="L228" t="n">
        <v>0.007462686567164178</v>
      </c>
      <c r="M228" t="n">
        <v>0.02198745196088245</v>
      </c>
      <c r="N228" t="n">
        <v>0.02132196162046908</v>
      </c>
      <c r="O228" t="n">
        <v>-635032.658579085</v>
      </c>
      <c r="P228" t="n">
        <v>-361854.3046751185</v>
      </c>
      <c r="Q228">
        <f>'_live'!$C$24</f>
        <v/>
      </c>
      <c r="R228" t="inlineStr">
        <is>
          <t>shuffled: 0 of 200</t>
        </is>
      </c>
      <c r="S228" t="inlineStr">
        <is>
          <t>shuffled: 1 of 200</t>
        </is>
      </c>
      <c r="T228" t="n">
        <v>0.1671313632015703</v>
      </c>
      <c r="U228" t="n">
        <v>0.1837305741425848</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0.2057180261034673</v>
      </c>
      <c r="AI228">
        <f>IF($Y228="worse","Yes",IF($Y228="worse, not significant","Not sure",IF(OR($Y228="too few losses to test",$Y228="too few loans to test"),"Too few losses",IF($Y228="","","No"))))</f>
        <v/>
      </c>
      <c r="AJ228">
        <f>IF($AA228="yes","Yes",IF($AA228="","","No"))</f>
        <v/>
      </c>
      <c r="AK228" t="n">
        <v>0.007462686567164178</v>
      </c>
      <c r="AL228" t="n">
        <v>0.01503916415742632</v>
      </c>
      <c r="AM228">
        <f>IF(AND(ISNUMBER($AC228),ISNUMBER(IF($V228,IF($AL228="","",$AL228),IF($AK228="","",$AK228)))),IF(AND(ABS($AC228-significance_bar)&lt;=2.0*IF($V228,IF($AL228="","",$AL228),IF($AK228="","",$AK228)),OR($Y228="worse",$Y228="better",$Y228="worse, not significant",$Y228="better, not significant",AND(profit_kind="test",$Y228="in line",ISNUMBER($AB228),$AB228&lt;&gt;0))),IF(ROUND($AC228,3)=ROUND(significance_bar,3),TEXT($AC228,"0.0000"),TEXT($AC228,"0.000")),""),"")</f>
        <v/>
      </c>
      <c r="AN228">
        <f>IF(AND(ISNUMBER($AC228),ISNUMBER(IF($V228,IF($AL228="","",$AL228),IF($AK228="","",$AK228)))),IF(AND(ABS($AC228-significance_bar)&lt;=2.0*IF($V228,IF($AL228="","",$AL228),IF($AK228="","",$AK228)),OR($Y228="worse",$Y228="worse, not significant",AND(profit_kind="test",$Y228="in line",ISNUMBER($AB228),$AB228&lt;0))),IF(ROUND($AC228,3)=ROUND(significance_bar,3),TEXT($AC228,"0.0000"),TEXT($AC228,"0.000")),""),"")</f>
        <v/>
      </c>
      <c r="AO228">
        <f>IF(OR($AI228="",$AN228=""),$AI228,$AI228&amp;" · borderline (p "&amp;$AN228&amp;")")</f>
        <v/>
      </c>
    </row>
    <row r="229">
      <c r="A229" t="inlineStr">
        <is>
          <t>grids</t>
        </is>
      </c>
      <c r="B229" t="inlineStr">
        <is>
          <t>REV_DEBT x CHANNEL</t>
        </is>
      </c>
      <c r="C229" t="inlineStr">
        <is>
          <t>9,837 - 13,051</t>
        </is>
      </c>
      <c r="D229" t="inlineStr">
        <is>
          <t>Broker</t>
        </is>
      </c>
      <c r="E229" t="inlineStr">
        <is>
          <t>outcome_loans</t>
        </is>
      </c>
      <c r="F229" t="inlineStr">
        <is>
          <t>Outcome, share of loans</t>
        </is>
      </c>
      <c r="G229" t="n">
        <v>532</v>
      </c>
      <c r="H229" t="n">
        <v>532</v>
      </c>
      <c r="I229" t="b">
        <v>0</v>
      </c>
      <c r="J229" t="b">
        <v>0</v>
      </c>
      <c r="K229" t="n">
        <v>0.8157509157509157</v>
      </c>
      <c r="L229" t="n">
        <v>0.2449612616948763</v>
      </c>
      <c r="M229" t="n">
        <v>1.04812030075188</v>
      </c>
      <c r="N229" t="n">
        <v>0.8865297551749322</v>
      </c>
      <c r="O229" t="n">
        <v>-7.679389312977094</v>
      </c>
      <c r="P229" t="n">
        <v>1.560975609756099</v>
      </c>
      <c r="Q229">
        <f>'_live'!$C$20</f>
        <v/>
      </c>
      <c r="R229" t="inlineStr">
        <is>
          <t>z test</t>
        </is>
      </c>
      <c r="S229" t="inlineStr">
        <is>
          <t>z test</t>
        </is>
      </c>
      <c r="T229" t="n">
        <v>0.07834471675371635</v>
      </c>
      <c r="U229" t="n">
        <v>0.06097560975609756</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0.06390977443609022</v>
      </c>
      <c r="AI229">
        <f>IF($Y229="worse","Yes",IF($Y229="worse, not significant","Not sure",IF(OR($Y229="too few losses to test",$Y229="too few loans to test"),"Too few losses",IF($Y229="","","No"))))</f>
        <v/>
      </c>
      <c r="AJ229">
        <f>IF($AA229="yes","Yes",IF($AA229="","","No"))</f>
        <v/>
      </c>
      <c r="AM229">
        <f>IF(AND(ISNUMBER($AC229),ISNUMBER(IF($V229,IF($AL229="","",$AL229),IF($AK229="","",$AK229)))),IF(AND(ABS($AC229-significance_bar)&lt;=2.0*IF($V229,IF($AL229="","",$AL229),IF($AK229="","",$AK229)),OR($Y229="worse",$Y229="better",$Y229="worse, not significant",$Y229="better, not significant")),IF(ROUND($AC229,3)=ROUND(significance_bar,3),TEXT($AC229,"0.0000"),TEXT($AC229,"0.000")),""),"")</f>
        <v/>
      </c>
      <c r="AN229">
        <f>IF(AND(ISNUMBER($AC229),ISNUMBER(IF($V229,IF($AL229="","",$AL229),IF($AK229="","",$AK229)))),IF(AND(ABS($AC229-significance_bar)&lt;=2.0*IF($V229,IF($AL229="","",$AL229),IF($AK229="","",$AK229)),OR($Y229="worse",$Y229="worse, not significant")),IF(ROUND($AC229,3)=ROUND(significance_bar,3),TEXT($AC229,"0.0000"),TEXT($AC229,"0.000")),""),"")</f>
        <v/>
      </c>
      <c r="AO229">
        <f>IF(OR($AI229="",$AN229=""),$AI229,$AI229&amp;" · borderline (p "&amp;$AN229&amp;")")</f>
        <v/>
      </c>
    </row>
    <row r="230">
      <c r="A230" t="inlineStr">
        <is>
          <t>grids</t>
        </is>
      </c>
      <c r="B230" t="inlineStr">
        <is>
          <t>REV_DEBT x CHANNEL</t>
        </is>
      </c>
      <c r="C230" t="inlineStr">
        <is>
          <t>9,837 - 13,051</t>
        </is>
      </c>
      <c r="D230" t="inlineStr">
        <is>
          <t>Broker</t>
        </is>
      </c>
      <c r="E230" t="inlineStr">
        <is>
          <t>outcome_booked</t>
        </is>
      </c>
      <c r="F230" t="inlineStr">
        <is>
          <t>Outcome, share of booked dollars</t>
        </is>
      </c>
      <c r="G230" t="n">
        <v>532</v>
      </c>
      <c r="H230" t="n">
        <v>17335113.88000001</v>
      </c>
      <c r="I230" t="b">
        <v>0</v>
      </c>
      <c r="J230" t="b">
        <v>0</v>
      </c>
      <c r="K230" t="n">
        <v>0.8298116032964853</v>
      </c>
      <c r="L230" t="n">
        <v>0.3582089552238806</v>
      </c>
      <c r="M230" t="n">
        <v>1.106684919912648</v>
      </c>
      <c r="N230" t="n">
        <v>0.8495981630309988</v>
      </c>
      <c r="O230" t="n">
        <v>-223316.0774313924</v>
      </c>
      <c r="P230" t="n">
        <v>104965.9862155309</v>
      </c>
      <c r="Q230">
        <f>'_live'!$C$21</f>
        <v/>
      </c>
      <c r="R230" t="inlineStr">
        <is>
          <t>shuffled: 71 of 200</t>
        </is>
      </c>
      <c r="S230" t="inlineStr">
        <is>
          <t>shuffled: 136 of 200</t>
        </is>
      </c>
      <c r="T230" t="n">
        <v>0.07569432923917957</v>
      </c>
      <c r="U230" t="n">
        <v>0.05675692473642224</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0.06281203270641562</v>
      </c>
      <c r="AI230">
        <f>IF($Y230="worse","Yes",IF($Y230="worse, not significant","Not sure",IF(OR($Y230="too few losses to test",$Y230="too few loans to test"),"Too few losses",IF($Y230="","","No"))))</f>
        <v/>
      </c>
      <c r="AJ230">
        <f>IF($AA230="yes","Yes",IF($AA230="","","No"))</f>
        <v/>
      </c>
      <c r="AK230" t="n">
        <v>0.0339039304226882</v>
      </c>
      <c r="AL230" t="n">
        <v>0.03595055869541028</v>
      </c>
      <c r="AM230">
        <f>IF(AND(ISNUMBER($AC230),ISNUMBER(IF($V230,IF($AL230="","",$AL230),IF($AK230="","",$AK230)))),IF(AND(ABS($AC230-significance_bar)&lt;=2.0*IF($V230,IF($AL230="","",$AL230),IF($AK230="","",$AK230)),OR($Y230="worse",$Y230="better",$Y230="worse, not significant",$Y230="better, not significant")),IF(ROUND($AC230,3)=ROUND(significance_bar,3),TEXT($AC230,"0.0000"),TEXT($AC230,"0.000")),""),"")</f>
        <v/>
      </c>
      <c r="AN230">
        <f>IF(AND(ISNUMBER($AC230),ISNUMBER(IF($V230,IF($AL230="","",$AL230),IF($AK230="","",$AK230)))),IF(AND(ABS($AC230-significance_bar)&lt;=2.0*IF($V230,IF($AL230="","",$AL230),IF($AK230="","",$AK230)),OR($Y230="worse",$Y230="worse, not significant")),IF(ROUND($AC230,3)=ROUND(significance_bar,3),TEXT($AC230,"0.0000"),TEXT($AC230,"0.000")),""),"")</f>
        <v/>
      </c>
      <c r="AO230">
        <f>IF(OR($AI230="",$AN230=""),$AI230,$AI230&amp;" · borderline (p "&amp;$AN230&amp;")")</f>
        <v/>
      </c>
    </row>
    <row r="231">
      <c r="A231" t="inlineStr">
        <is>
          <t>grids</t>
        </is>
      </c>
      <c r="B231" t="inlineStr">
        <is>
          <t>REV_DEBT x CHANNEL</t>
        </is>
      </c>
      <c r="C231" t="inlineStr">
        <is>
          <t>9,837 - 13,051</t>
        </is>
      </c>
      <c r="D231" t="inlineStr">
        <is>
          <t>Broker</t>
        </is>
      </c>
      <c r="E231" t="inlineStr">
        <is>
          <t>gco_rate</t>
        </is>
      </c>
      <c r="F231" t="inlineStr">
        <is>
          <t>GCO per booked dollar</t>
        </is>
      </c>
      <c r="G231" t="n">
        <v>532</v>
      </c>
      <c r="H231" t="n">
        <v>17335113.88000001</v>
      </c>
      <c r="I231" t="b">
        <v>0</v>
      </c>
      <c r="J231" t="b">
        <v>0</v>
      </c>
      <c r="K231" t="n">
        <v>0.8360779659956676</v>
      </c>
      <c r="L231" t="n">
        <v>0.3333333333333333</v>
      </c>
      <c r="M231" t="n">
        <v>1.140242696530194</v>
      </c>
      <c r="N231" t="n">
        <v>0.8507462686567164</v>
      </c>
      <c r="O231" t="n">
        <v>-119542.3084543649</v>
      </c>
      <c r="P231" t="n">
        <v>74991.84463713202</v>
      </c>
      <c r="Q231">
        <f>'_live'!$C$22</f>
        <v/>
      </c>
      <c r="R231" t="inlineStr">
        <is>
          <t>shuffled: 66 of 200</t>
        </is>
      </c>
      <c r="S231" t="inlineStr">
        <is>
          <t>shuffled: 113 of 200</t>
        </is>
      </c>
      <c r="T231" t="n">
        <v>0.04206855596695765</v>
      </c>
      <c r="U231" t="n">
        <v>0.03084658451420958</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0.03517259270522886</v>
      </c>
      <c r="AI231">
        <f>IF($Y231="worse","Yes",IF($Y231="worse, not significant","Not sure",IF(OR($Y231="too few losses to test",$Y231="too few loans to test"),"Too few losses",IF($Y231="","","No"))))</f>
        <v/>
      </c>
      <c r="AJ231">
        <f>IF($AA231="yes","Yes",IF($AA231="","","No"))</f>
        <v/>
      </c>
      <c r="AK231" t="n">
        <v>0.03333333333333333</v>
      </c>
      <c r="AL231" t="n">
        <v>0.05255236385509927</v>
      </c>
      <c r="AM231">
        <f>IF(AND(ISNUMBER($AC231),ISNUMBER(IF($V231,IF($AL231="","",$AL231),IF($AK231="","",$AK231)))),IF(AND(ABS($AC231-significance_bar)&lt;=2.0*IF($V231,IF($AL231="","",$AL231),IF($AK231="","",$AK231)),OR($Y231="worse",$Y231="better",$Y231="worse, not significant",$Y231="better, not significant")),IF(ROUND($AC231,3)=ROUND(significance_bar,3),TEXT($AC231,"0.0000"),TEXT($AC231,"0.000")),""),"")</f>
        <v/>
      </c>
      <c r="AN231">
        <f>IF(AND(ISNUMBER($AC231),ISNUMBER(IF($V231,IF($AL231="","",$AL231),IF($AK231="","",$AK231)))),IF(AND(ABS($AC231-significance_bar)&lt;=2.0*IF($V231,IF($AL231="","",$AL231),IF($AK231="","",$AK231)),OR($Y231="worse",$Y231="worse, not significant")),IF(ROUND($AC231,3)=ROUND(significance_bar,3),TEXT($AC231,"0.0000"),TEXT($AC231,"0.000")),""),"")</f>
        <v/>
      </c>
      <c r="AO231">
        <f>IF(OR($AI231="",$AN231=""),$AI231,$AI231&amp;" · borderline (p "&amp;$AN231&amp;")")</f>
        <v/>
      </c>
    </row>
    <row r="232">
      <c r="A232" t="inlineStr">
        <is>
          <t>grids</t>
        </is>
      </c>
      <c r="B232" t="inlineStr">
        <is>
          <t>REV_DEBT x CHANNEL</t>
        </is>
      </c>
      <c r="C232" t="inlineStr">
        <is>
          <t>9,837 - 13,051</t>
        </is>
      </c>
      <c r="D232" t="inlineStr">
        <is>
          <t>Broker</t>
        </is>
      </c>
      <c r="E232" t="inlineStr">
        <is>
          <t>ranr_rate</t>
        </is>
      </c>
      <c r="F232" t="inlineStr">
        <is>
          <t>Profit after losses: RANR per booked dollar</t>
        </is>
      </c>
      <c r="G232" t="n">
        <v>532</v>
      </c>
      <c r="H232" t="n">
        <v>17335113.88000001</v>
      </c>
      <c r="I232" t="b">
        <v>0</v>
      </c>
      <c r="J232" t="b">
        <v>0</v>
      </c>
      <c r="K232" t="n">
        <v>0.001599362520943226</v>
      </c>
      <c r="L232" t="n">
        <v>0.8656716417910447</v>
      </c>
      <c r="M232" t="n">
        <v>-0.002881295040419257</v>
      </c>
      <c r="N232" t="n">
        <v>0.7761194029850746</v>
      </c>
      <c r="O232" t="n">
        <v>-27725.13143595494</v>
      </c>
      <c r="P232" t="n">
        <v>49947.57764754677</v>
      </c>
      <c r="Q232">
        <f>'_live'!$C$23</f>
        <v/>
      </c>
      <c r="R232" t="inlineStr">
        <is>
          <t>shuffled: 173 of 200</t>
        </is>
      </c>
      <c r="S232" t="inlineStr">
        <is>
          <t>shuffled: 155 of 200</t>
        </is>
      </c>
      <c r="T232" t="n">
        <v>0.1278826163998666</v>
      </c>
      <c r="U232" t="n">
        <v>0.1323632739612291</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0.1294819789208098</v>
      </c>
      <c r="AI232">
        <f>IF($Y232="worse","Yes",IF($Y232="worse, not significant","Not sure",IF(OR($Y232="too few losses to test",$Y232="too few loans to test"),"Too few losses",IF($Y232="","","No"))))</f>
        <v/>
      </c>
      <c r="AJ232">
        <f>IF($AA232="yes","Yes",IF($AA232="","","No"))</f>
        <v/>
      </c>
      <c r="AK232" t="n">
        <v>0.02411267824090077</v>
      </c>
      <c r="AL232" t="n">
        <v>0.02947525023601716</v>
      </c>
      <c r="AM232">
        <f>IF(AND(ISNUMBER($AC232),ISNUMBER(IF($V232,IF($AL232="","",$AL232),IF($AK232="","",$AK232)))),IF(AND(ABS($AC232-significance_bar)&lt;=2.0*IF($V232,IF($AL232="","",$AL232),IF($AK232="","",$AK232)),OR($Y232="worse",$Y232="better",$Y232="worse, not significant",$Y232="better, not significant",AND(profit_kind="test",$Y232="in line",ISNUMBER($AB232),$AB232&lt;&gt;0))),IF(ROUND($AC232,3)=ROUND(significance_bar,3),TEXT($AC232,"0.0000"),TEXT($AC232,"0.000")),""),"")</f>
        <v/>
      </c>
      <c r="AN232">
        <f>IF(AND(ISNUMBER($AC232),ISNUMBER(IF($V232,IF($AL232="","",$AL232),IF($AK232="","",$AK232)))),IF(AND(ABS($AC232-significance_bar)&lt;=2.0*IF($V232,IF($AL232="","",$AL232),IF($AK232="","",$AK232)),OR($Y232="worse",$Y232="worse, not significant",AND(profit_kind="test",$Y232="in line",ISNUMBER($AB232),$AB232&lt;0))),IF(ROUND($AC232,3)=ROUND(significance_bar,3),TEXT($AC232,"0.0000"),TEXT($AC232,"0.000")),""),"")</f>
        <v/>
      </c>
      <c r="AO232">
        <f>IF(OR($AI232="",$AN232=""),$AI232,$AI232&amp;" · borderline (p "&amp;$AN232&amp;")")</f>
        <v/>
      </c>
    </row>
    <row r="233">
      <c r="A233" t="inlineStr">
        <is>
          <t>grids</t>
        </is>
      </c>
      <c r="B233" t="inlineStr">
        <is>
          <t>REV_DEBT x CHANNEL</t>
        </is>
      </c>
      <c r="C233" t="inlineStr">
        <is>
          <t>9,837 - 13,051</t>
        </is>
      </c>
      <c r="D233" t="inlineStr">
        <is>
          <t>Broker</t>
        </is>
      </c>
      <c r="E233" t="inlineStr">
        <is>
          <t>contribution_rate</t>
        </is>
      </c>
      <c r="F233" t="inlineStr">
        <is>
          <t>Contribution before losses per booked dollar</t>
        </is>
      </c>
      <c r="G233" t="n">
        <v>532</v>
      </c>
      <c r="H233" t="n">
        <v>17335113.88000001</v>
      </c>
      <c r="I233" t="b">
        <v>0</v>
      </c>
      <c r="J233" t="b">
        <v>0</v>
      </c>
      <c r="K233" t="n">
        <v>-0.005293517854019186</v>
      </c>
      <c r="L233" t="n">
        <v>0.373134328358209</v>
      </c>
      <c r="M233" t="n">
        <v>0.001444713150600102</v>
      </c>
      <c r="N233" t="n">
        <v>0.8009950248756219</v>
      </c>
      <c r="O233" t="n">
        <v>91763.73482523579</v>
      </c>
      <c r="P233" t="n">
        <v>-25044.26698958641</v>
      </c>
      <c r="Q233">
        <f>'_live'!$C$24</f>
        <v/>
      </c>
      <c r="R233" t="inlineStr">
        <is>
          <t>shuffled: 74 of 200</t>
        </is>
      </c>
      <c r="S233" t="inlineStr">
        <is>
          <t>shuffled: 160 of 200</t>
        </is>
      </c>
      <c r="T233" t="n">
        <v>0.1699480894800579</v>
      </c>
      <c r="U233" t="n">
        <v>0.1632098584754386</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0.1646545716260387</v>
      </c>
      <c r="AI233">
        <f>IF($Y233="worse","Yes",IF($Y233="worse, not significant","Not sure",IF(OR($Y233="too few losses to test",$Y233="too few loans to test"),"Too few losses",IF($Y233="","","No"))))</f>
        <v/>
      </c>
      <c r="AJ233">
        <f>IF($AA233="yes","Yes",IF($AA233="","","No"))</f>
        <v/>
      </c>
      <c r="AK233" t="n">
        <v>0.03419832608176</v>
      </c>
      <c r="AL233" t="n">
        <v>0.02823136509275842</v>
      </c>
      <c r="AM233">
        <f>IF(AND(ISNUMBER($AC233),ISNUMBER(IF($V233,IF($AL233="","",$AL233),IF($AK233="","",$AK233)))),IF(AND(ABS($AC233-significance_bar)&lt;=2.0*IF($V233,IF($AL233="","",$AL233),IF($AK233="","",$AK233)),OR($Y233="worse",$Y233="better",$Y233="worse, not significant",$Y233="better, not significant",AND(profit_kind="test",$Y233="in line",ISNUMBER($AB233),$AB233&lt;&gt;0))),IF(ROUND($AC233,3)=ROUND(significance_bar,3),TEXT($AC233,"0.0000"),TEXT($AC233,"0.000")),""),"")</f>
        <v/>
      </c>
      <c r="AN233">
        <f>IF(AND(ISNUMBER($AC233),ISNUMBER(IF($V233,IF($AL233="","",$AL233),IF($AK233="","",$AK233)))),IF(AND(ABS($AC233-significance_bar)&lt;=2.0*IF($V233,IF($AL233="","",$AL233),IF($AK233="","",$AK233)),OR($Y233="worse",$Y233="worse, not significant",AND(profit_kind="test",$Y233="in line",ISNUMBER($AB233),$AB233&lt;0))),IF(ROUND($AC233,3)=ROUND(significance_bar,3),TEXT($AC233,"0.0000"),TEXT($AC233,"0.000")),""),"")</f>
        <v/>
      </c>
      <c r="AO233">
        <f>IF(OR($AI233="",$AN233=""),$AI233,$AI233&amp;" · borderline (p "&amp;$AN233&amp;")")</f>
        <v/>
      </c>
    </row>
    <row r="234">
      <c r="A234" t="inlineStr">
        <is>
          <t>grids</t>
        </is>
      </c>
      <c r="B234" t="inlineStr">
        <is>
          <t>REV_DEBT x CHANNEL</t>
        </is>
      </c>
      <c r="C234" t="inlineStr">
        <is>
          <t>6,559 - 9,836</t>
        </is>
      </c>
      <c r="D234" t="inlineStr">
        <is>
          <t>Branch</t>
        </is>
      </c>
      <c r="E234" t="inlineStr">
        <is>
          <t>outcome_loans</t>
        </is>
      </c>
      <c r="F234" t="inlineStr">
        <is>
          <t>Outcome, share of loans</t>
        </is>
      </c>
      <c r="G234" t="n">
        <v>514</v>
      </c>
      <c r="H234" t="n">
        <v>514</v>
      </c>
      <c r="I234" t="b">
        <v>0</v>
      </c>
      <c r="J234" t="b">
        <v>0</v>
      </c>
      <c r="K234" t="n">
        <v>0.411226521193945</v>
      </c>
      <c r="L234" t="n">
        <v>0.0005081988247307639</v>
      </c>
      <c r="M234" t="n">
        <v>0.780832346472678</v>
      </c>
      <c r="N234" t="n">
        <v>0.7984829088809977</v>
      </c>
      <c r="O234" t="n">
        <v>-24.33974615898463</v>
      </c>
      <c r="P234" t="n">
        <v>-4.771639042357275</v>
      </c>
      <c r="Q234">
        <f>'_live'!$C$20</f>
        <v/>
      </c>
      <c r="R234" t="inlineStr">
        <is>
          <t>z test</t>
        </is>
      </c>
      <c r="S234" t="inlineStr">
        <is>
          <t>z test</t>
        </is>
      </c>
      <c r="T234" t="n">
        <v>0.08042752171008684</v>
      </c>
      <c r="U234" t="n">
        <v>0.0423572744014733</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0.03307392996108949</v>
      </c>
      <c r="AI234">
        <f>IF($Y234="worse","Yes",IF($Y234="worse, not significant","Not sure",IF(OR($Y234="too few losses to test",$Y234="too few loans to test"),"Too few losses",IF($Y234="","","No"))))</f>
        <v/>
      </c>
      <c r="AJ234">
        <f>IF($AA234="yes","Yes",IF($AA234="","","No"))</f>
        <v/>
      </c>
      <c r="AM234">
        <f>IF(AND(ISNUMBER($AC234),ISNUMBER(IF($V234,IF($AL234="","",$AL234),IF($AK234="","",$AK234)))),IF(AND(ABS($AC234-significance_bar)&lt;=2.0*IF($V234,IF($AL234="","",$AL234),IF($AK234="","",$AK234)),OR($Y234="worse",$Y234="better",$Y234="worse, not significant",$Y234="better, not significant")),IF(ROUND($AC234,3)=ROUND(significance_bar,3),TEXT($AC234,"0.0000"),TEXT($AC234,"0.000")),""),"")</f>
        <v/>
      </c>
      <c r="AN234">
        <f>IF(AND(ISNUMBER($AC234),ISNUMBER(IF($V234,IF($AL234="","",$AL234),IF($AK234="","",$AK234)))),IF(AND(ABS($AC234-significance_bar)&lt;=2.0*IF($V234,IF($AL234="","",$AL234),IF($AK234="","",$AK234)),OR($Y234="worse",$Y234="worse, not significant")),IF(ROUND($AC234,3)=ROUND(significance_bar,3),TEXT($AC234,"0.0000"),TEXT($AC234,"0.000")),""),"")</f>
        <v/>
      </c>
      <c r="AO234">
        <f>IF(OR($AI234="",$AN234=""),$AI234,$AI234&amp;" · borderline (p "&amp;$AN234&amp;")")</f>
        <v/>
      </c>
    </row>
    <row r="235">
      <c r="A235" t="inlineStr">
        <is>
          <t>grids</t>
        </is>
      </c>
      <c r="B235" t="inlineStr">
        <is>
          <t>REV_DEBT x CHANNEL</t>
        </is>
      </c>
      <c r="C235" t="inlineStr">
        <is>
          <t>6,559 - 9,836</t>
        </is>
      </c>
      <c r="D235" t="inlineStr">
        <is>
          <t>Branch</t>
        </is>
      </c>
      <c r="E235" t="inlineStr">
        <is>
          <t>outcome_booked</t>
        </is>
      </c>
      <c r="F235" t="inlineStr">
        <is>
          <t>Outcome, share of booked dollars</t>
        </is>
      </c>
      <c r="G235" t="n">
        <v>514</v>
      </c>
      <c r="H235" t="n">
        <v>16273928.59999999</v>
      </c>
      <c r="I235" t="b">
        <v>0</v>
      </c>
      <c r="J235" t="b">
        <v>0</v>
      </c>
      <c r="K235" t="n">
        <v>0.4127461976635841</v>
      </c>
      <c r="L235" t="n">
        <v>0.01066098081023454</v>
      </c>
      <c r="M235" t="n">
        <v>0.7693599201642247</v>
      </c>
      <c r="N235" t="n">
        <v>0.6623134328358209</v>
      </c>
      <c r="O235" t="n">
        <v>-742639.7618669635</v>
      </c>
      <c r="P235" t="n">
        <v>-156473.4519516088</v>
      </c>
      <c r="Q235">
        <f>'_live'!$C$21</f>
        <v/>
      </c>
      <c r="R235" t="inlineStr">
        <is>
          <t>shuffled: 0 of 200</t>
        </is>
      </c>
      <c r="S235" t="inlineStr">
        <is>
          <t>shuffled: 65 of 200</t>
        </is>
      </c>
      <c r="T235" t="n">
        <v>0.07770696633552662</v>
      </c>
      <c r="U235" t="n">
        <v>0.04168823205673946</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0.03207325488696074</v>
      </c>
      <c r="AI235">
        <f>IF($Y235="worse","Yes",IF($Y235="worse, not significant","Not sure",IF(OR($Y235="too few losses to test",$Y235="too few loans to test"),"Too few losses",IF($Y235="","","No"))))</f>
        <v/>
      </c>
      <c r="AJ235">
        <f>IF($AA235="yes","Yes",IF($AA235="","","No"))</f>
        <v/>
      </c>
      <c r="AK235" t="n">
        <v>0.01066098081023454</v>
      </c>
      <c r="AL235" t="n">
        <v>0.06337107397118952</v>
      </c>
      <c r="AM235">
        <f>IF(AND(ISNUMBER($AC235),ISNUMBER(IF($V235,IF($AL235="","",$AL235),IF($AK235="","",$AK235)))),IF(AND(ABS($AC235-significance_bar)&lt;=2.0*IF($V235,IF($AL235="","",$AL235),IF($AK235="","",$AK235)),OR($Y235="worse",$Y235="better",$Y235="worse, not significant",$Y235="better, not significant")),IF(ROUND($AC235,3)=ROUND(significance_bar,3),TEXT($AC235,"0.0000"),TEXT($AC235,"0.000")),""),"")</f>
        <v/>
      </c>
      <c r="AN235">
        <f>IF(AND(ISNUMBER($AC235),ISNUMBER(IF($V235,IF($AL235="","",$AL235),IF($AK235="","",$AK235)))),IF(AND(ABS($AC235-significance_bar)&lt;=2.0*IF($V235,IF($AL235="","",$AL235),IF($AK235="","",$AK235)),OR($Y235="worse",$Y235="worse, not significant")),IF(ROUND($AC235,3)=ROUND(significance_bar,3),TEXT($AC235,"0.0000"),TEXT($AC235,"0.000")),""),"")</f>
        <v/>
      </c>
      <c r="AO235">
        <f>IF(OR($AI235="",$AN235=""),$AI235,$AI235&amp;" · borderline (p "&amp;$AN235&amp;")")</f>
        <v/>
      </c>
    </row>
    <row r="236">
      <c r="A236" t="inlineStr">
        <is>
          <t>grids</t>
        </is>
      </c>
      <c r="B236" t="inlineStr">
        <is>
          <t>REV_DEBT x CHANNEL</t>
        </is>
      </c>
      <c r="C236" t="inlineStr">
        <is>
          <t>6,559 - 9,836</t>
        </is>
      </c>
      <c r="D236" t="inlineStr">
        <is>
          <t>Branch</t>
        </is>
      </c>
      <c r="E236" t="inlineStr">
        <is>
          <t>gco_rate</t>
        </is>
      </c>
      <c r="F236" t="inlineStr">
        <is>
          <t>GCO per booked dollar</t>
        </is>
      </c>
      <c r="G236" t="n">
        <v>513</v>
      </c>
      <c r="H236" t="n">
        <v>16234244.16999999</v>
      </c>
      <c r="I236" t="b">
        <v>0</v>
      </c>
      <c r="J236" t="b">
        <v>0</v>
      </c>
      <c r="K236" t="n">
        <v>0.4431539093273489</v>
      </c>
      <c r="L236" t="n">
        <v>0.009328358208955223</v>
      </c>
      <c r="M236" t="n">
        <v>0.8158738876755874</v>
      </c>
      <c r="N236" t="n">
        <v>0.8507462686567164</v>
      </c>
      <c r="O236" t="n">
        <v>-389765.9304946992</v>
      </c>
      <c r="P236" t="n">
        <v>-70002.83592669363</v>
      </c>
      <c r="Q236">
        <f>'_live'!$C$22</f>
        <v/>
      </c>
      <c r="R236" t="inlineStr">
        <is>
          <t>shuffled: 0 of 200</t>
        </is>
      </c>
      <c r="S236" t="inlineStr">
        <is>
          <t>shuffled: 87 of 200</t>
        </is>
      </c>
      <c r="T236" t="n">
        <v>0.04311581759920638</v>
      </c>
      <c r="U236" t="n">
        <v>0.0234189908655719</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0.01910694312293322</v>
      </c>
      <c r="AI236">
        <f>IF($Y236="worse","Yes",IF($Y236="worse, not significant","Not sure",IF(OR($Y236="too few losses to test",$Y236="too few loans to test"),"Too few losses",IF($Y236="","","No"))))</f>
        <v/>
      </c>
      <c r="AJ236">
        <f>IF($AA236="yes","Yes",IF($AA236="","","No"))</f>
        <v/>
      </c>
      <c r="AK236" t="n">
        <v>0.009328358208955223</v>
      </c>
      <c r="AL236" t="n">
        <v>0.05255236385509927</v>
      </c>
      <c r="AM236">
        <f>IF(AND(ISNUMBER($AC236),ISNUMBER(IF($V236,IF($AL236="","",$AL236),IF($AK236="","",$AK236)))),IF(AND(ABS($AC236-significance_bar)&lt;=2.0*IF($V236,IF($AL236="","",$AL236),IF($AK236="","",$AK236)),OR($Y236="worse",$Y236="better",$Y236="worse, not significant",$Y236="better, not significant")),IF(ROUND($AC236,3)=ROUND(significance_bar,3),TEXT($AC236,"0.0000"),TEXT($AC236,"0.000")),""),"")</f>
        <v/>
      </c>
      <c r="AN236">
        <f>IF(AND(ISNUMBER($AC236),ISNUMBER(IF($V236,IF($AL236="","",$AL236),IF($AK236="","",$AK236)))),IF(AND(ABS($AC236-significance_bar)&lt;=2.0*IF($V236,IF($AL236="","",$AL236),IF($AK236="","",$AK236)),OR($Y236="worse",$Y236="worse, not significant")),IF(ROUND($AC236,3)=ROUND(significance_bar,3),TEXT($AC236,"0.0000"),TEXT($AC236,"0.000")),""),"")</f>
        <v/>
      </c>
      <c r="AO236">
        <f>IF(OR($AI236="",$AN236=""),$AI236,$AI236&amp;" · borderline (p "&amp;$AN236&amp;")")</f>
        <v/>
      </c>
    </row>
    <row r="237">
      <c r="A237" t="inlineStr">
        <is>
          <t>grids</t>
        </is>
      </c>
      <c r="B237" t="inlineStr">
        <is>
          <t>REV_DEBT x CHANNEL</t>
        </is>
      </c>
      <c r="C237" t="inlineStr">
        <is>
          <t>6,559 - 9,836</t>
        </is>
      </c>
      <c r="D237" t="inlineStr">
        <is>
          <t>Branch</t>
        </is>
      </c>
      <c r="E237" t="inlineStr">
        <is>
          <t>ranr_rate</t>
        </is>
      </c>
      <c r="F237" t="inlineStr">
        <is>
          <t>Profit after losses: RANR per booked dollar</t>
        </is>
      </c>
      <c r="G237" t="n">
        <v>514</v>
      </c>
      <c r="H237" t="n">
        <v>16273928.59999999</v>
      </c>
      <c r="I237" t="b">
        <v>0</v>
      </c>
      <c r="J237" t="b">
        <v>0</v>
      </c>
      <c r="K237" t="n">
        <v>-0.01841691543931219</v>
      </c>
      <c r="L237" t="n">
        <v>0.08291873963515756</v>
      </c>
      <c r="M237" t="n">
        <v>-0.00972843366666537</v>
      </c>
      <c r="N237" t="n">
        <v>0.3171641791044776</v>
      </c>
      <c r="O237" t="n">
        <v>299715.5668916039</v>
      </c>
      <c r="P237" t="n">
        <v>158319.8348811483</v>
      </c>
      <c r="Q237">
        <f>'_live'!$C$23</f>
        <v/>
      </c>
      <c r="R237" t="inlineStr">
        <is>
          <t>shuffled: 9 of 200</t>
        </is>
      </c>
      <c r="S237" t="inlineStr">
        <is>
          <t>shuffled: 50 of 200</t>
        </is>
      </c>
      <c r="T237" t="n">
        <v>0.129151429783931</v>
      </c>
      <c r="U237" t="n">
        <v>0.1204629480112842</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0.1107345143446188</v>
      </c>
      <c r="AI237">
        <f>IF($Y237="worse","Yes",IF($Y237="worse, not significant","Not sure",IF(OR($Y237="too few losses to test",$Y237="too few loans to test"),"Too few losses",IF($Y237="","","No"))))</f>
        <v/>
      </c>
      <c r="AJ237">
        <f>IF($AA237="yes","Yes",IF($AA237="","","No"))</f>
        <v/>
      </c>
      <c r="AK237" t="n">
        <v>0.0256244397020936</v>
      </c>
      <c r="AL237" t="n">
        <v>0.03846180620911997</v>
      </c>
      <c r="AM237">
        <f>IF(AND(ISNUMBER($AC237),ISNUMBER(IF($V237,IF($AL237="","",$AL237),IF($AK237="","",$AK237)))),IF(AND(ABS($AC237-significance_bar)&lt;=2.0*IF($V237,IF($AL237="","",$AL237),IF($AK237="","",$AK237)),OR($Y237="worse",$Y237="better",$Y237="worse, not significant",$Y237="better, not significant",AND(profit_kind="test",$Y237="in line",ISNUMBER($AB237),$AB237&lt;&gt;0))),IF(ROUND($AC237,3)=ROUND(significance_bar,3),TEXT($AC237,"0.0000"),TEXT($AC237,"0.000")),""),"")</f>
        <v/>
      </c>
      <c r="AN237">
        <f>IF(AND(ISNUMBER($AC237),ISNUMBER(IF($V237,IF($AL237="","",$AL237),IF($AK237="","",$AK237)))),IF(AND(ABS($AC237-significance_bar)&lt;=2.0*IF($V237,IF($AL237="","",$AL237),IF($AK237="","",$AK237)),OR($Y237="worse",$Y237="worse, not significant",AND(profit_kind="test",$Y237="in line",ISNUMBER($AB237),$AB237&lt;0))),IF(ROUND($AC237,3)=ROUND(significance_bar,3),TEXT($AC237,"0.0000"),TEXT($AC237,"0.000")),""),"")</f>
        <v/>
      </c>
      <c r="AO237">
        <f>IF(OR($AI237="",$AN237=""),$AI237,$AI237&amp;" · borderline (p "&amp;$AN237&amp;")")</f>
        <v/>
      </c>
    </row>
    <row r="238">
      <c r="A238" t="inlineStr">
        <is>
          <t>grids</t>
        </is>
      </c>
      <c r="B238" t="inlineStr">
        <is>
          <t>REV_DEBT x CHANNEL</t>
        </is>
      </c>
      <c r="C238" t="inlineStr">
        <is>
          <t>6,559 - 9,836</t>
        </is>
      </c>
      <c r="D238" t="inlineStr">
        <is>
          <t>Branch</t>
        </is>
      </c>
      <c r="E238" t="inlineStr">
        <is>
          <t>contribution_rate</t>
        </is>
      </c>
      <c r="F238" t="inlineStr">
        <is>
          <t>Contribution before losses per booked dollar</t>
        </is>
      </c>
      <c r="G238" t="n">
        <v>513</v>
      </c>
      <c r="H238" t="n">
        <v>16234244.16999999</v>
      </c>
      <c r="I238" t="b">
        <v>0</v>
      </c>
      <c r="J238" t="b">
        <v>0</v>
      </c>
      <c r="K238" t="n">
        <v>-0.04251341604107714</v>
      </c>
      <c r="L238" t="n">
        <v>0.007462686567164178</v>
      </c>
      <c r="M238" t="n">
        <v>-0.01412810753479593</v>
      </c>
      <c r="N238" t="n">
        <v>0.03731343283582089</v>
      </c>
      <c r="O238" t="n">
        <v>690173.1765116407</v>
      </c>
      <c r="P238" t="n">
        <v>229359.1473798938</v>
      </c>
      <c r="Q238">
        <f>'_live'!$C$24</f>
        <v/>
      </c>
      <c r="R238" t="inlineStr">
        <is>
          <t>shuffled: 0 of 200</t>
        </is>
      </c>
      <c r="S238" t="inlineStr">
        <is>
          <t>shuffled: 3 of 200</t>
        </is>
      </c>
      <c r="T238" t="n">
        <v>0.1722672473831372</v>
      </c>
      <c r="U238" t="n">
        <v>0.143881938876856</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0.1297538313420601</v>
      </c>
      <c r="AI238">
        <f>IF($Y238="worse","Yes",IF($Y238="worse, not significant","Not sure",IF(OR($Y238="too few losses to test",$Y238="too few loans to test"),"Too few losses",IF($Y238="","","No"))))</f>
        <v/>
      </c>
      <c r="AJ238">
        <f>IF($AA238="yes","Yes",IF($AA238="","","No"))</f>
        <v/>
      </c>
      <c r="AK238" t="n">
        <v>0.007462686567164178</v>
      </c>
      <c r="AL238" t="n">
        <v>0.01851626235193956</v>
      </c>
      <c r="AM238">
        <f>IF(AND(ISNUMBER($AC238),ISNUMBER(IF($V238,IF($AL238="","",$AL238),IF($AK238="","",$AK238)))),IF(AND(ABS($AC238-significance_bar)&lt;=2.0*IF($V238,IF($AL238="","",$AL238),IF($AK238="","",$AK238)),OR($Y238="worse",$Y238="better",$Y238="worse, not significant",$Y238="better, not significant",AND(profit_kind="test",$Y238="in line",ISNUMBER($AB238),$AB238&lt;&gt;0))),IF(ROUND($AC238,3)=ROUND(significance_bar,3),TEXT($AC238,"0.0000"),TEXT($AC238,"0.000")),""),"")</f>
        <v/>
      </c>
      <c r="AN238">
        <f>IF(AND(ISNUMBER($AC238),ISNUMBER(IF($V238,IF($AL238="","",$AL238),IF($AK238="","",$AK238)))),IF(AND(ABS($AC238-significance_bar)&lt;=2.0*IF($V238,IF($AL238="","",$AL238),IF($AK238="","",$AK238)),OR($Y238="worse",$Y238="worse, not significant",AND(profit_kind="test",$Y238="in line",ISNUMBER($AB238),$AB238&lt;0))),IF(ROUND($AC238,3)=ROUND(significance_bar,3),TEXT($AC238,"0.0000"),TEXT($AC238,"0.000")),""),"")</f>
        <v/>
      </c>
      <c r="AO238">
        <f>IF(OR($AI238="",$AN238=""),$AI238,$AI238&amp;" · borderline (p "&amp;$AN238&amp;")")</f>
        <v/>
      </c>
    </row>
    <row r="239">
      <c r="A239" t="inlineStr">
        <is>
          <t>grids</t>
        </is>
      </c>
      <c r="B239" t="inlineStr">
        <is>
          <t>REV_DEBT x CHANNEL</t>
        </is>
      </c>
      <c r="C239" t="inlineStr">
        <is>
          <t>9,837 - 13,051</t>
        </is>
      </c>
      <c r="D239" t="inlineStr">
        <is>
          <t>Branch</t>
        </is>
      </c>
      <c r="E239" t="inlineStr">
        <is>
          <t>outcome_loans</t>
        </is>
      </c>
      <c r="F239" t="inlineStr">
        <is>
          <t>Outcome, share of loans</t>
        </is>
      </c>
      <c r="G239" t="n">
        <v>540</v>
      </c>
      <c r="H239" t="n">
        <v>540</v>
      </c>
      <c r="I239" t="b">
        <v>0</v>
      </c>
      <c r="J239" t="b">
        <v>0</v>
      </c>
      <c r="K239" t="n">
        <v>0.8028046850269071</v>
      </c>
      <c r="L239" t="n">
        <v>0.2238475172531431</v>
      </c>
      <c r="M239" t="n">
        <v>1.024843304843305</v>
      </c>
      <c r="N239" t="n">
        <v>0.9047093160448494</v>
      </c>
      <c r="O239" t="n">
        <v>-8.35152165169594</v>
      </c>
      <c r="P239" t="n">
        <v>0.8241965973534988</v>
      </c>
      <c r="Q239">
        <f>'_live'!$C$20</f>
        <v/>
      </c>
      <c r="R239" t="inlineStr">
        <is>
          <t>z test</t>
        </is>
      </c>
      <c r="S239" t="inlineStr">
        <is>
          <t>z test</t>
        </is>
      </c>
      <c r="T239" t="n">
        <v>0.07842874379943693</v>
      </c>
      <c r="U239" t="n">
        <v>0.06143667296786389</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0.06296296296296296</v>
      </c>
      <c r="AI239">
        <f>IF($Y239="worse","Yes",IF($Y239="worse, not significant","Not sure",IF(OR($Y239="too few losses to test",$Y239="too few loans to test"),"Too few losses",IF($Y239="","","No"))))</f>
        <v/>
      </c>
      <c r="AJ239">
        <f>IF($AA239="yes","Yes",IF($AA239="","","No"))</f>
        <v/>
      </c>
      <c r="AM239">
        <f>IF(AND(ISNUMBER($AC239),ISNUMBER(IF($V239,IF($AL239="","",$AL239),IF($AK239="","",$AK239)))),IF(AND(ABS($AC239-significance_bar)&lt;=2.0*IF($V239,IF($AL239="","",$AL239),IF($AK239="","",$AK239)),OR($Y239="worse",$Y239="better",$Y239="worse, not significant",$Y239="better, not significant")),IF(ROUND($AC239,3)=ROUND(significance_bar,3),TEXT($AC239,"0.0000"),TEXT($AC239,"0.000")),""),"")</f>
        <v/>
      </c>
      <c r="AN239">
        <f>IF(AND(ISNUMBER($AC239),ISNUMBER(IF($V239,IF($AL239="","",$AL239),IF($AK239="","",$AK239)))),IF(AND(ABS($AC239-significance_bar)&lt;=2.0*IF($V239,IF($AL239="","",$AL239),IF($AK239="","",$AK239)),OR($Y239="worse",$Y239="worse, not significant")),IF(ROUND($AC239,3)=ROUND(significance_bar,3),TEXT($AC239,"0.0000"),TEXT($AC239,"0.000")),""),"")</f>
        <v/>
      </c>
      <c r="AO239">
        <f>IF(OR($AI239="",$AN239=""),$AI239,$AI239&amp;" · borderline (p "&amp;$AN239&amp;")")</f>
        <v/>
      </c>
    </row>
    <row r="240">
      <c r="A240" t="inlineStr">
        <is>
          <t>grids</t>
        </is>
      </c>
      <c r="B240" t="inlineStr">
        <is>
          <t>REV_DEBT x CHANNEL</t>
        </is>
      </c>
      <c r="C240" t="inlineStr">
        <is>
          <t>9,837 - 13,051</t>
        </is>
      </c>
      <c r="D240" t="inlineStr">
        <is>
          <t>Branch</t>
        </is>
      </c>
      <c r="E240" t="inlineStr">
        <is>
          <t>outcome_booked</t>
        </is>
      </c>
      <c r="F240" t="inlineStr">
        <is>
          <t>Outcome, share of booked dollars</t>
        </is>
      </c>
      <c r="G240" t="n">
        <v>539</v>
      </c>
      <c r="H240" t="n">
        <v>17319129.51</v>
      </c>
      <c r="I240" t="b">
        <v>0</v>
      </c>
      <c r="J240" t="b">
        <v>0</v>
      </c>
      <c r="K240" t="n">
        <v>0.7702659689022421</v>
      </c>
      <c r="L240" t="n">
        <v>0.2066590126291619</v>
      </c>
      <c r="M240" t="n">
        <v>0.9941010319904369</v>
      </c>
      <c r="N240" t="n">
        <v>0.9601990049751243</v>
      </c>
      <c r="O240" t="n">
        <v>-302391.4264833789</v>
      </c>
      <c r="P240" t="n">
        <v>-6016.312241088832</v>
      </c>
      <c r="Q240">
        <f>'_live'!$C$21</f>
        <v/>
      </c>
      <c r="R240" t="inlineStr">
        <is>
          <t>shuffled: 35 of 200</t>
        </is>
      </c>
      <c r="S240" t="inlineStr">
        <is>
          <t>shuffled: 192 of 200</t>
        </is>
      </c>
      <c r="T240" t="n">
        <v>0.07600078547385253</v>
      </c>
      <c r="U240" t="n">
        <v>0.05888819825801329</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H240" t="n">
        <v>0.05854081866034846</v>
      </c>
      <c r="AI240">
        <f>IF($Y240="worse","Yes",IF($Y240="worse, not significant","Not sure",IF(OR($Y240="too few losses to test",$Y240="too few loans to test"),"Too few losses",IF($Y240="","","No"))))</f>
        <v/>
      </c>
      <c r="AJ240">
        <f>IF($AA240="yes","Yes",IF($AA240="","","No"))</f>
        <v/>
      </c>
      <c r="AK240" t="n">
        <v>0.031284561638206</v>
      </c>
      <c r="AL240" t="n">
        <v>0.01382332735268638</v>
      </c>
      <c r="AM240">
        <f>IF(AND(ISNUMBER($AC240),ISNUMBER(IF($V240,IF($AL240="","",$AL240),IF($AK240="","",$AK240)))),IF(AND(ABS($AC240-significance_bar)&lt;=2.0*IF($V240,IF($AL240="","",$AL240),IF($AK240="","",$AK240)),OR($Y240="worse",$Y240="better",$Y240="worse, not significant",$Y240="better, not significant")),IF(ROUND($AC240,3)=ROUND(significance_bar,3),TEXT($AC240,"0.0000"),TEXT($AC240,"0.000")),""),"")</f>
        <v/>
      </c>
      <c r="AN240">
        <f>IF(AND(ISNUMBER($AC240),ISNUMBER(IF($V240,IF($AL240="","",$AL240),IF($AK240="","",$AK240)))),IF(AND(ABS($AC240-significance_bar)&lt;=2.0*IF($V240,IF($AL240="","",$AL240),IF($AK240="","",$AK240)),OR($Y240="worse",$Y240="worse, not significant")),IF(ROUND($AC240,3)=ROUND(significance_bar,3),TEXT($AC240,"0.0000"),TEXT($AC240,"0.000")),""),"")</f>
        <v/>
      </c>
      <c r="AO240">
        <f>IF(OR($AI240="",$AN240=""),$AI240,$AI240&amp;" · borderline (p "&amp;$AN240&amp;")")</f>
        <v/>
      </c>
    </row>
    <row r="241">
      <c r="A241" t="inlineStr">
        <is>
          <t>grids</t>
        </is>
      </c>
      <c r="B241" t="inlineStr">
        <is>
          <t>REV_DEBT x CHANNEL</t>
        </is>
      </c>
      <c r="C241" t="inlineStr">
        <is>
          <t>9,837 - 13,051</t>
        </is>
      </c>
      <c r="D241" t="inlineStr">
        <is>
          <t>Branch</t>
        </is>
      </c>
      <c r="E241" t="inlineStr">
        <is>
          <t>gco_rate</t>
        </is>
      </c>
      <c r="F241" t="inlineStr">
        <is>
          <t>GCO per booked dollar</t>
        </is>
      </c>
      <c r="G241" t="n">
        <v>540</v>
      </c>
      <c r="H241" t="n">
        <v>17356117.52</v>
      </c>
      <c r="I241" t="b">
        <v>0</v>
      </c>
      <c r="J241" t="b">
        <v>0</v>
      </c>
      <c r="K241" t="n">
        <v>0.7900087607256112</v>
      </c>
      <c r="L241" t="n">
        <v>0.2665245202558635</v>
      </c>
      <c r="M241" t="n">
        <v>1.049748943539211</v>
      </c>
      <c r="N241" t="n">
        <v>0.9800995024875622</v>
      </c>
      <c r="O241" t="n">
        <v>-153808.4375844831</v>
      </c>
      <c r="P241" t="n">
        <v>27422.64286215056</v>
      </c>
      <c r="Q241">
        <f>'_live'!$C$22</f>
        <v/>
      </c>
      <c r="R241" t="inlineStr">
        <is>
          <t>shuffled: 49 of 200</t>
        </is>
      </c>
      <c r="S241" t="inlineStr">
        <is>
          <t>shuffled: 166 of 200</t>
        </is>
      </c>
      <c r="T241" t="n">
        <v>0.04220135561656895</v>
      </c>
      <c r="U241" t="n">
        <v>0.0317594419663649</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H241" t="n">
        <v>0.03333944065158645</v>
      </c>
      <c r="AI241">
        <f>IF($Y241="worse","Yes",IF($Y241="worse, not significant","Not sure",IF(OR($Y241="too few losses to test",$Y241="too few loans to test"),"Too few losses",IF($Y241="","","No"))))</f>
        <v/>
      </c>
      <c r="AJ241">
        <f>IF($AA241="yes","Yes",IF($AA241="","","No"))</f>
        <v/>
      </c>
      <c r="AK241" t="n">
        <v>0.03275108136312502</v>
      </c>
      <c r="AL241" t="n">
        <v>0.009875339921034437</v>
      </c>
      <c r="AM241">
        <f>IF(AND(ISNUMBER($AC241),ISNUMBER(IF($V241,IF($AL241="","",$AL241),IF($AK241="","",$AK241)))),IF(AND(ABS($AC241-significance_bar)&lt;=2.0*IF($V241,IF($AL241="","",$AL241),IF($AK241="","",$AK241)),OR($Y241="worse",$Y241="better",$Y241="worse, not significant",$Y241="better, not significant")),IF(ROUND($AC241,3)=ROUND(significance_bar,3),TEXT($AC241,"0.0000"),TEXT($AC241,"0.000")),""),"")</f>
        <v/>
      </c>
      <c r="AN241">
        <f>IF(AND(ISNUMBER($AC241),ISNUMBER(IF($V241,IF($AL241="","",$AL241),IF($AK241="","",$AK241)))),IF(AND(ABS($AC241-significance_bar)&lt;=2.0*IF($V241,IF($AL241="","",$AL241),IF($AK241="","",$AK241)),OR($Y241="worse",$Y241="worse, not significant")),IF(ROUND($AC241,3)=ROUND(significance_bar,3),TEXT($AC241,"0.0000"),TEXT($AC241,"0.000")),""),"")</f>
        <v/>
      </c>
      <c r="AO241">
        <f>IF(OR($AI241="",$AN241=""),$AI241,$AI241&amp;" · borderline (p "&amp;$AN241&amp;")")</f>
        <v/>
      </c>
    </row>
    <row r="242">
      <c r="A242" t="inlineStr">
        <is>
          <t>grids</t>
        </is>
      </c>
      <c r="B242" t="inlineStr">
        <is>
          <t>REV_DEBT x CHANNEL</t>
        </is>
      </c>
      <c r="C242" t="inlineStr">
        <is>
          <t>9,837 - 13,051</t>
        </is>
      </c>
      <c r="D242" t="inlineStr">
        <is>
          <t>Branch</t>
        </is>
      </c>
      <c r="E242" t="inlineStr">
        <is>
          <t>ranr_rate</t>
        </is>
      </c>
      <c r="F242" t="inlineStr">
        <is>
          <t>Profit after losses: RANR per booked dollar</t>
        </is>
      </c>
      <c r="G242" t="n">
        <v>540</v>
      </c>
      <c r="H242" t="n">
        <v>17356117.52</v>
      </c>
      <c r="I242" t="b">
        <v>0</v>
      </c>
      <c r="J242" t="b">
        <v>0</v>
      </c>
      <c r="K242" t="n">
        <v>-0.01448232193722371</v>
      </c>
      <c r="L242" t="n">
        <v>0.1424694708276798</v>
      </c>
      <c r="M242" t="n">
        <v>-0.02537438852266302</v>
      </c>
      <c r="N242" t="n">
        <v>0.0373134328358209</v>
      </c>
      <c r="O242" t="n">
        <v>251356.8815049287</v>
      </c>
      <c r="P242" t="n">
        <v>440400.8691974785</v>
      </c>
      <c r="Q242">
        <f>'_live'!$C$23</f>
        <v/>
      </c>
      <c r="R242" t="inlineStr">
        <is>
          <t>shuffled: 20 of 200</t>
        </is>
      </c>
      <c r="S242" t="inlineStr">
        <is>
          <t>shuffled: 2 of 200</t>
        </is>
      </c>
      <c r="T242" t="n">
        <v>0.1289640427316563</v>
      </c>
      <c r="U242" t="n">
        <v>0.1398561093170956</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H242" t="n">
        <v>0.1144817207944326</v>
      </c>
      <c r="AI242">
        <f>IF($Y242="worse","Yes",IF($Y242="worse, not significant","Not sure",IF(OR($Y242="too few losses to test",$Y242="too few loans to test"),"Too few losses",IF($Y242="","","No"))))</f>
        <v/>
      </c>
      <c r="AJ242">
        <f>IF($AA242="yes","Yes",IF($AA242="","","No"))</f>
        <v/>
      </c>
      <c r="AK242" t="n">
        <v>0.02949398252277362</v>
      </c>
      <c r="AL242" t="n">
        <v>0.02143493524827622</v>
      </c>
      <c r="AM242">
        <f>IF(AND(ISNUMBER($AC242),ISNUMBER(IF($V242,IF($AL242="","",$AL242),IF($AK242="","",$AK242)))),IF(AND(ABS($AC242-significance_bar)&lt;=2.0*IF($V242,IF($AL242="","",$AL242),IF($AK242="","",$AK242)),OR($Y242="worse",$Y242="better",$Y242="worse, not significant",$Y242="better, not significant",AND(profit_kind="test",$Y242="in line",ISNUMBER($AB242),$AB242&lt;&gt;0))),IF(ROUND($AC242,3)=ROUND(significance_bar,3),TEXT($AC242,"0.0000"),TEXT($AC242,"0.000")),""),"")</f>
        <v/>
      </c>
      <c r="AN242">
        <f>IF(AND(ISNUMBER($AC242),ISNUMBER(IF($V242,IF($AL242="","",$AL242),IF($AK242="","",$AK242)))),IF(AND(ABS($AC242-significance_bar)&lt;=2.0*IF($V242,IF($AL242="","",$AL242),IF($AK242="","",$AK242)),OR($Y242="worse",$Y242="worse, not significant",AND(profit_kind="test",$Y242="in line",ISNUMBER($AB242),$AB242&lt;0))),IF(ROUND($AC242,3)=ROUND(significance_bar,3),TEXT($AC242,"0.0000"),TEXT($AC242,"0.000")),""),"")</f>
        <v/>
      </c>
      <c r="AO242">
        <f>IF(OR($AI242="",$AN242=""),$AI242,$AI242&amp;" · borderline (p "&amp;$AN242&amp;")")</f>
        <v/>
      </c>
    </row>
    <row r="243">
      <c r="A243" t="inlineStr">
        <is>
          <t>grids</t>
        </is>
      </c>
      <c r="B243" t="inlineStr">
        <is>
          <t>REV_DEBT x CHANNEL</t>
        </is>
      </c>
      <c r="C243" t="inlineStr">
        <is>
          <t>9,837 - 13,051</t>
        </is>
      </c>
      <c r="D243" t="inlineStr">
        <is>
          <t>Branch</t>
        </is>
      </c>
      <c r="E243" t="inlineStr">
        <is>
          <t>contribution_rate</t>
        </is>
      </c>
      <c r="F243" t="inlineStr">
        <is>
          <t>Contribution before losses per booked dollar</t>
        </is>
      </c>
      <c r="G243" t="n">
        <v>540</v>
      </c>
      <c r="H243" t="n">
        <v>17356117.52</v>
      </c>
      <c r="I243" t="b">
        <v>0</v>
      </c>
      <c r="J243" t="b">
        <v>0</v>
      </c>
      <c r="K243" t="n">
        <v>-0.02334133206241273</v>
      </c>
      <c r="L243" t="n">
        <v>0.007462686567164178</v>
      </c>
      <c r="M243" t="n">
        <v>-0.02379438983744145</v>
      </c>
      <c r="N243" t="n">
        <v>0.01243781094527363</v>
      </c>
      <c r="O243" t="n">
        <v>405114.9023485798</v>
      </c>
      <c r="P243" t="n">
        <v>412978.2263353276</v>
      </c>
      <c r="Q243">
        <f>'_live'!$C$24</f>
        <v/>
      </c>
      <c r="R243" t="inlineStr">
        <is>
          <t>shuffled: 0 of 200</t>
        </is>
      </c>
      <c r="S243" t="inlineStr">
        <is>
          <t>shuffled: 0 of 200</t>
        </is>
      </c>
      <c r="T243" t="n">
        <v>0.1711624935084317</v>
      </c>
      <c r="U243" t="n">
        <v>0.1716155512834604</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H243" t="n">
        <v>0.147821161446019</v>
      </c>
      <c r="AI243">
        <f>IF($Y243="worse","Yes",IF($Y243="worse, not significant","Not sure",IF(OR($Y243="too few losses to test",$Y243="too few loans to test"),"Too few losses",IF($Y243="","","No"))))</f>
        <v/>
      </c>
      <c r="AJ243">
        <f>IF($AA243="yes","Yes",IF($AA243="","","No"))</f>
        <v/>
      </c>
      <c r="AK243" t="n">
        <v>0.007462686567164178</v>
      </c>
      <c r="AL243" t="n">
        <v>0.01243781094527363</v>
      </c>
      <c r="AM243">
        <f>IF(AND(ISNUMBER($AC243),ISNUMBER(IF($V243,IF($AL243="","",$AL243),IF($AK243="","",$AK243)))),IF(AND(ABS($AC243-significance_bar)&lt;=2.0*IF($V243,IF($AL243="","",$AL243),IF($AK243="","",$AK243)),OR($Y243="worse",$Y243="better",$Y243="worse, not significant",$Y243="better, not significant",AND(profit_kind="test",$Y243="in line",ISNUMBER($AB243),$AB243&lt;&gt;0))),IF(ROUND($AC243,3)=ROUND(significance_bar,3),TEXT($AC243,"0.0000"),TEXT($AC243,"0.000")),""),"")</f>
        <v/>
      </c>
      <c r="AN243">
        <f>IF(AND(ISNUMBER($AC243),ISNUMBER(IF($V243,IF($AL243="","",$AL243),IF($AK243="","",$AK243)))),IF(AND(ABS($AC243-significance_bar)&lt;=2.0*IF($V243,IF($AL243="","",$AL243),IF($AK243="","",$AK243)),OR($Y243="worse",$Y243="worse, not significant",AND(profit_kind="test",$Y243="in line",ISNUMBER($AB243),$AB243&lt;0))),IF(ROUND($AC243,3)=ROUND(significance_bar,3),TEXT($AC243,"0.0000"),TEXT($AC243,"0.000")),""),"")</f>
        <v/>
      </c>
      <c r="AO243">
        <f>IF(OR($AI243="",$AN243=""),$AI243,$AI243&amp;" · borderline (p "&amp;$AN243&amp;")")</f>
        <v/>
      </c>
    </row>
    <row r="244">
      <c r="A244" t="inlineStr">
        <is>
          <t>grids</t>
        </is>
      </c>
      <c r="B244" t="inlineStr">
        <is>
          <t>REV_DEBT x CHANNEL</t>
        </is>
      </c>
      <c r="C244" t="inlineStr">
        <is>
          <t>13,052 - 17,186</t>
        </is>
      </c>
      <c r="D244" t="inlineStr">
        <is>
          <t>Broker</t>
        </is>
      </c>
      <c r="E244" t="inlineStr">
        <is>
          <t>outcome_loans</t>
        </is>
      </c>
      <c r="F244" t="inlineStr">
        <is>
          <t>Outcome, share of loans</t>
        </is>
      </c>
      <c r="G244" t="n">
        <v>553</v>
      </c>
      <c r="H244" t="n">
        <v>553</v>
      </c>
      <c r="I244" t="b">
        <v>0</v>
      </c>
      <c r="J244" t="b">
        <v>0</v>
      </c>
      <c r="K244" t="n">
        <v>1.313050671386249</v>
      </c>
      <c r="L244" t="n">
        <v>0.06009292469659162</v>
      </c>
      <c r="M244" t="n">
        <v>1.107787310992267</v>
      </c>
      <c r="N244" t="n">
        <v>0.877390933443714</v>
      </c>
      <c r="O244" t="n">
        <v>13.11281224818695</v>
      </c>
      <c r="P244" t="n">
        <v>5.351480420248329</v>
      </c>
      <c r="Q244">
        <f>'_live'!$C$20</f>
        <v/>
      </c>
      <c r="R244" t="inlineStr">
        <is>
          <t>z test</t>
        </is>
      </c>
      <c r="S244" t="inlineStr">
        <is>
          <t>z test</t>
        </is>
      </c>
      <c r="T244" t="n">
        <v>0.07574536663980661</v>
      </c>
      <c r="U244" t="n">
        <v>0.08978032473734479</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0.09945750452079566</v>
      </c>
      <c r="AI244">
        <f>IF($Y244="worse","Yes",IF($Y244="worse, not significant","Not sure",IF(OR($Y244="too few losses to test",$Y244="too few loans to test"),"Too few losses",IF($Y244="","","No"))))</f>
        <v/>
      </c>
      <c r="AJ244">
        <f>IF($AA244="yes","Yes",IF($AA244="","","No"))</f>
        <v/>
      </c>
      <c r="AM244">
        <f>IF(AND(ISNUMBER($AC244),ISNUMBER(IF($V244,IF($AL244="","",$AL244),IF($AK244="","",$AK244)))),IF(AND(ABS($AC244-significance_bar)&lt;=2.0*IF($V244,IF($AL244="","",$AL244),IF($AK244="","",$AK244)),OR($Y244="worse",$Y244="better",$Y244="worse, not significant",$Y244="better, not significant")),IF(ROUND($AC244,3)=ROUND(significance_bar,3),TEXT($AC244,"0.0000"),TEXT($AC244,"0.000")),""),"")</f>
        <v/>
      </c>
      <c r="AN244">
        <f>IF(AND(ISNUMBER($AC244),ISNUMBER(IF($V244,IF($AL244="","",$AL244),IF($AK244="","",$AK244)))),IF(AND(ABS($AC244-significance_bar)&lt;=2.0*IF($V244,IF($AL244="","",$AL244),IF($AK244="","",$AK244)),OR($Y244="worse",$Y244="worse, not significant")),IF(ROUND($AC244,3)=ROUND(significance_bar,3),TEXT($AC244,"0.0000"),TEXT($AC244,"0.000")),""),"")</f>
        <v/>
      </c>
      <c r="AO244">
        <f>IF(OR($AI244="",$AN244=""),$AI244,$AI244&amp;" · borderline (p "&amp;$AN244&amp;")")</f>
        <v/>
      </c>
    </row>
    <row r="245">
      <c r="A245" t="inlineStr">
        <is>
          <t>grids</t>
        </is>
      </c>
      <c r="B245" t="inlineStr">
        <is>
          <t>REV_DEBT x CHANNEL</t>
        </is>
      </c>
      <c r="C245" t="inlineStr">
        <is>
          <t>13,052 - 17,186</t>
        </is>
      </c>
      <c r="D245" t="inlineStr">
        <is>
          <t>Broker</t>
        </is>
      </c>
      <c r="E245" t="inlineStr">
        <is>
          <t>outcome_booked</t>
        </is>
      </c>
      <c r="F245" t="inlineStr">
        <is>
          <t>Outcome, share of booked dollars</t>
        </is>
      </c>
      <c r="G245" t="n">
        <v>553</v>
      </c>
      <c r="H245" t="n">
        <v>18025633.71999998</v>
      </c>
      <c r="I245" t="b">
        <v>0</v>
      </c>
      <c r="J245" t="b">
        <v>0</v>
      </c>
      <c r="K245" t="n">
        <v>1.509537226859902</v>
      </c>
      <c r="L245" t="n">
        <v>0.01865671641791045</v>
      </c>
      <c r="M245" t="n">
        <v>1.337147725603051</v>
      </c>
      <c r="N245" t="n">
        <v>0.2238805970149254</v>
      </c>
      <c r="O245" t="n">
        <v>663659.8271237384</v>
      </c>
      <c r="P245" t="n">
        <v>495740.3652906257</v>
      </c>
      <c r="Q245">
        <f>'_live'!$C$21</f>
        <v/>
      </c>
      <c r="R245" t="inlineStr">
        <is>
          <t>shuffled: 1 of 200</t>
        </is>
      </c>
      <c r="S245" t="inlineStr">
        <is>
          <t>shuffled: 13 of 200</t>
        </is>
      </c>
      <c r="T245" t="n">
        <v>0.07225685726827599</v>
      </c>
      <c r="U245" t="n">
        <v>0.08157244996484793</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0.1090744159423651</v>
      </c>
      <c r="AI245">
        <f>IF($Y245="worse","Yes",IF($Y245="worse, not significant","Not sure",IF(OR($Y245="too few losses to test",$Y245="too few loans to test"),"Too few losses",IF($Y245="","","No"))))</f>
        <v/>
      </c>
      <c r="AJ245">
        <f>IF($AA245="yes","Yes",IF($AA245="","","No"))</f>
        <v/>
      </c>
      <c r="AK245" t="n">
        <v>0.01315926863774803</v>
      </c>
      <c r="AL245" t="n">
        <v>0.05574581909547194</v>
      </c>
      <c r="AM245">
        <f>IF(AND(ISNUMBER($AC245),ISNUMBER(IF($V245,IF($AL245="","",$AL245),IF($AK245="","",$AK245)))),IF(AND(ABS($AC245-significance_bar)&lt;=2.0*IF($V245,IF($AL245="","",$AL245),IF($AK245="","",$AK245)),OR($Y245="worse",$Y245="better",$Y245="worse, not significant",$Y245="better, not significant")),IF(ROUND($AC245,3)=ROUND(significance_bar,3),TEXT($AC245,"0.0000"),TEXT($AC245,"0.000")),""),"")</f>
        <v/>
      </c>
      <c r="AN245">
        <f>IF(AND(ISNUMBER($AC245),ISNUMBER(IF($V245,IF($AL245="","",$AL245),IF($AK245="","",$AK245)))),IF(AND(ABS($AC245-significance_bar)&lt;=2.0*IF($V245,IF($AL245="","",$AL245),IF($AK245="","",$AK245)),OR($Y245="worse",$Y245="worse, not significant")),IF(ROUND($AC245,3)=ROUND(significance_bar,3),TEXT($AC245,"0.0000"),TEXT($AC245,"0.000")),""),"")</f>
        <v/>
      </c>
      <c r="AO245">
        <f>IF(OR($AI245="",$AN245=""),$AI245,$AI245&amp;" · borderline (p "&amp;$AN245&amp;")")</f>
        <v/>
      </c>
    </row>
    <row r="246">
      <c r="A246" t="inlineStr">
        <is>
          <t>grids</t>
        </is>
      </c>
      <c r="B246" t="inlineStr">
        <is>
          <t>REV_DEBT x CHANNEL</t>
        </is>
      </c>
      <c r="C246" t="inlineStr">
        <is>
          <t>13,052 - 17,186</t>
        </is>
      </c>
      <c r="D246" t="inlineStr">
        <is>
          <t>Broker</t>
        </is>
      </c>
      <c r="E246" t="inlineStr">
        <is>
          <t>gco_rate</t>
        </is>
      </c>
      <c r="F246" t="inlineStr">
        <is>
          <t>GCO per booked dollar</t>
        </is>
      </c>
      <c r="G246" t="n">
        <v>553</v>
      </c>
      <c r="H246" t="n">
        <v>18025633.71999998</v>
      </c>
      <c r="I246" t="b">
        <v>0</v>
      </c>
      <c r="J246" t="b">
        <v>0</v>
      </c>
      <c r="K246" t="n">
        <v>1.508432599318798</v>
      </c>
      <c r="L246" t="n">
        <v>0.02238805970149254</v>
      </c>
      <c r="M246" t="n">
        <v>1.296039398411383</v>
      </c>
      <c r="N246" t="n">
        <v>0.3283582089552239</v>
      </c>
      <c r="O246" t="n">
        <v>368225.8924112684</v>
      </c>
      <c r="P246" t="n">
        <v>249538.8408977025</v>
      </c>
      <c r="Q246">
        <f>'_live'!$C$22</f>
        <v/>
      </c>
      <c r="R246" t="inlineStr">
        <is>
          <t>shuffled: 2 of 200</t>
        </is>
      </c>
      <c r="S246" t="inlineStr">
        <is>
          <t>shuffled: 21 of 200</t>
        </is>
      </c>
      <c r="T246" t="n">
        <v>0.04017819228098306</v>
      </c>
      <c r="U246" t="n">
        <v>0.04676254062385875</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0.06060609501833374</v>
      </c>
      <c r="AI246">
        <f>IF($Y246="worse","Yes",IF($Y246="worse, not significant","Not sure",IF(OR($Y246="too few losses to test",$Y246="too few loans to test"),"Too few losses",IF($Y246="","","No"))))</f>
        <v/>
      </c>
      <c r="AJ246">
        <f>IF($AA246="yes","Yes",IF($AA246="","","No"))</f>
        <v/>
      </c>
      <c r="AK246" t="n">
        <v>0.01286096114896574</v>
      </c>
      <c r="AL246" t="n">
        <v>0.066228978305474</v>
      </c>
      <c r="AM246">
        <f>IF(AND(ISNUMBER($AC246),ISNUMBER(IF($V246,IF($AL246="","",$AL246),IF($AK246="","",$AK246)))),IF(AND(ABS($AC246-significance_bar)&lt;=2.0*IF($V246,IF($AL246="","",$AL246),IF($AK246="","",$AK246)),OR($Y246="worse",$Y246="better",$Y246="worse, not significant",$Y246="better, not significant")),IF(ROUND($AC246,3)=ROUND(significance_bar,3),TEXT($AC246,"0.0000"),TEXT($AC246,"0.000")),""),"")</f>
        <v/>
      </c>
      <c r="AN246">
        <f>IF(AND(ISNUMBER($AC246),ISNUMBER(IF($V246,IF($AL246="","",$AL246),IF($AK246="","",$AK246)))),IF(AND(ABS($AC246-significance_bar)&lt;=2.0*IF($V246,IF($AL246="","",$AL246),IF($AK246="","",$AK246)),OR($Y246="worse",$Y246="worse, not significant")),IF(ROUND($AC246,3)=ROUND(significance_bar,3),TEXT($AC246,"0.0000"),TEXT($AC246,"0.000")),""),"")</f>
        <v/>
      </c>
      <c r="AO246">
        <f>IF(OR($AI246="",$AN246=""),$AI246,$AI246&amp;" · borderline (p "&amp;$AN246&amp;")")</f>
        <v/>
      </c>
    </row>
    <row r="247">
      <c r="A247" t="inlineStr">
        <is>
          <t>grids</t>
        </is>
      </c>
      <c r="B247" t="inlineStr">
        <is>
          <t>REV_DEBT x CHANNEL</t>
        </is>
      </c>
      <c r="C247" t="inlineStr">
        <is>
          <t>13,052 - 17,186</t>
        </is>
      </c>
      <c r="D247" t="inlineStr">
        <is>
          <t>Broker</t>
        </is>
      </c>
      <c r="E247" t="inlineStr">
        <is>
          <t>ranr_rate</t>
        </is>
      </c>
      <c r="F247" t="inlineStr">
        <is>
          <t>Profit after losses: RANR per booked dollar</t>
        </is>
      </c>
      <c r="G247" t="n">
        <v>553</v>
      </c>
      <c r="H247" t="n">
        <v>18025633.71999998</v>
      </c>
      <c r="I247" t="b">
        <v>0</v>
      </c>
      <c r="J247" t="b">
        <v>0</v>
      </c>
      <c r="K247" t="n">
        <v>-0.002234918938805258</v>
      </c>
      <c r="L247" t="n">
        <v>0.8656716417910447</v>
      </c>
      <c r="M247" t="n">
        <v>-0.0204225636061566</v>
      </c>
      <c r="N247" t="n">
        <v>0.1409618573797679</v>
      </c>
      <c r="O247" t="n">
        <v>40285.83018479496</v>
      </c>
      <c r="P247" t="n">
        <v>368129.651187981</v>
      </c>
      <c r="Q247">
        <f>'_live'!$C$23</f>
        <v/>
      </c>
      <c r="R247" t="inlineStr">
        <is>
          <t>shuffled: 150 of 200</t>
        </is>
      </c>
      <c r="S247" t="inlineStr">
        <is>
          <t>shuffled: 15 of 200</t>
        </is>
      </c>
      <c r="T247" t="n">
        <v>0.1281461548628868</v>
      </c>
      <c r="U247" t="n">
        <v>0.1463337995302381</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0.1259112359240815</v>
      </c>
      <c r="AI247">
        <f>IF($Y247="worse","Yes",IF($Y247="worse, not significant","Not sure",IF(OR($Y247="too few losses to test",$Y247="too few loans to test"),"Too few losses",IF($Y247="","","No"))))</f>
        <v/>
      </c>
      <c r="AJ247">
        <f>IF($AA247="yes","Yes",IF($AA247="","","No"))</f>
        <v/>
      </c>
      <c r="AK247" t="n">
        <v>0.02411267824090077</v>
      </c>
      <c r="AL247" t="n">
        <v>0.03279223869533199</v>
      </c>
      <c r="AM247">
        <f>IF(AND(ISNUMBER($AC247),ISNUMBER(IF($V247,IF($AL247="","",$AL247),IF($AK247="","",$AK247)))),IF(AND(ABS($AC247-significance_bar)&lt;=2.0*IF($V247,IF($AL247="","",$AL247),IF($AK247="","",$AK247)),OR($Y247="worse",$Y247="better",$Y247="worse, not significant",$Y247="better, not significant",AND(profit_kind="test",$Y247="in line",ISNUMBER($AB247),$AB247&lt;&gt;0))),IF(ROUND($AC247,3)=ROUND(significance_bar,3),TEXT($AC247,"0.0000"),TEXT($AC247,"0.000")),""),"")</f>
        <v/>
      </c>
      <c r="AN247">
        <f>IF(AND(ISNUMBER($AC247),ISNUMBER(IF($V247,IF($AL247="","",$AL247),IF($AK247="","",$AK247)))),IF(AND(ABS($AC247-significance_bar)&lt;=2.0*IF($V247,IF($AL247="","",$AL247),IF($AK247="","",$AK247)),OR($Y247="worse",$Y247="worse, not significant",AND(profit_kind="test",$Y247="in line",ISNUMBER($AB247),$AB247&lt;0))),IF(ROUND($AC247,3)=ROUND(significance_bar,3),TEXT($AC247,"0.0000"),TEXT($AC247,"0.000")),""),"")</f>
        <v/>
      </c>
      <c r="AO247">
        <f>IF(OR($AI247="",$AN247=""),$AI247,$AI247&amp;" · borderline (p "&amp;$AN247&amp;")")</f>
        <v/>
      </c>
    </row>
    <row r="248">
      <c r="A248" t="inlineStr">
        <is>
          <t>grids</t>
        </is>
      </c>
      <c r="B248" t="inlineStr">
        <is>
          <t>REV_DEBT x CHANNEL</t>
        </is>
      </c>
      <c r="C248" t="inlineStr">
        <is>
          <t>13,052 - 17,186</t>
        </is>
      </c>
      <c r="D248" t="inlineStr">
        <is>
          <t>Broker</t>
        </is>
      </c>
      <c r="E248" t="inlineStr">
        <is>
          <t>contribution_rate</t>
        </is>
      </c>
      <c r="F248" t="inlineStr">
        <is>
          <t>Contribution before losses per booked dollar</t>
        </is>
      </c>
      <c r="G248" t="n">
        <v>553</v>
      </c>
      <c r="H248" t="n">
        <v>18025633.71999998</v>
      </c>
      <c r="I248" t="b">
        <v>0</v>
      </c>
      <c r="J248" t="b">
        <v>0</v>
      </c>
      <c r="K248" t="n">
        <v>0.01819603197918407</v>
      </c>
      <c r="L248" t="n">
        <v>0.007462686567164178</v>
      </c>
      <c r="M248" t="n">
        <v>-0.006579009211681669</v>
      </c>
      <c r="N248" t="n">
        <v>0.3960964408725603</v>
      </c>
      <c r="O248" t="n">
        <v>-327995.0076141786</v>
      </c>
      <c r="P248" t="n">
        <v>118590.8102902793</v>
      </c>
      <c r="Q248">
        <f>'_live'!$C$24</f>
        <v/>
      </c>
      <c r="R248" t="inlineStr">
        <is>
          <t>shuffled: 0 of 200</t>
        </is>
      </c>
      <c r="S248" t="inlineStr">
        <is>
          <t>shuffled: 68 of 200</t>
        </is>
      </c>
      <c r="T248" t="n">
        <v>0.1683212989632312</v>
      </c>
      <c r="U248" t="n">
        <v>0.1930963401540969</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0.1865173309424153</v>
      </c>
      <c r="AI248">
        <f>IF($Y248="worse","Yes",IF($Y248="worse, not significant","Not sure",IF(OR($Y248="too few losses to test",$Y248="too few loans to test"),"Too few losses",IF($Y248="","","No"))))</f>
        <v/>
      </c>
      <c r="AJ248">
        <f>IF($AA248="yes","Yes",IF($AA248="","","No"))</f>
        <v/>
      </c>
      <c r="AK248" t="n">
        <v>0.007462686567164178</v>
      </c>
      <c r="AL248" t="n">
        <v>0.0387389961396165</v>
      </c>
      <c r="AM248">
        <f>IF(AND(ISNUMBER($AC248),ISNUMBER(IF($V248,IF($AL248="","",$AL248),IF($AK248="","",$AK248)))),IF(AND(ABS($AC248-significance_bar)&lt;=2.0*IF($V248,IF($AL248="","",$AL248),IF($AK248="","",$AK248)),OR($Y248="worse",$Y248="better",$Y248="worse, not significant",$Y248="better, not significant",AND(profit_kind="test",$Y248="in line",ISNUMBER($AB248),$AB248&lt;&gt;0))),IF(ROUND($AC248,3)=ROUND(significance_bar,3),TEXT($AC248,"0.0000"),TEXT($AC248,"0.000")),""),"")</f>
        <v/>
      </c>
      <c r="AN248">
        <f>IF(AND(ISNUMBER($AC248),ISNUMBER(IF($V248,IF($AL248="","",$AL248),IF($AK248="","",$AK248)))),IF(AND(ABS($AC248-significance_bar)&lt;=2.0*IF($V248,IF($AL248="","",$AL248),IF($AK248="","",$AK248)),OR($Y248="worse",$Y248="worse, not significant",AND(profit_kind="test",$Y248="in line",ISNUMBER($AB248),$AB248&lt;0))),IF(ROUND($AC248,3)=ROUND(significance_bar,3),TEXT($AC248,"0.0000"),TEXT($AC248,"0.000")),""),"")</f>
        <v/>
      </c>
      <c r="AO248">
        <f>IF(OR($AI248="",$AN248=""),$AI248,$AI248&amp;" · borderline (p "&amp;$AN248&amp;")")</f>
        <v/>
      </c>
    </row>
    <row r="249">
      <c r="A249" t="inlineStr">
        <is>
          <t>grids</t>
        </is>
      </c>
      <c r="B249" t="inlineStr">
        <is>
          <t>REV_DEBT x CHANNEL</t>
        </is>
      </c>
      <c r="C249" t="inlineStr">
        <is>
          <t>6,559 - 9,836</t>
        </is>
      </c>
      <c r="D249" t="inlineStr">
        <is>
          <t>Broker</t>
        </is>
      </c>
      <c r="E249" t="inlineStr">
        <is>
          <t>outcome_loans</t>
        </is>
      </c>
      <c r="F249" t="inlineStr">
        <is>
          <t>Outcome, share of loans</t>
        </is>
      </c>
      <c r="G249" t="n">
        <v>521</v>
      </c>
      <c r="H249" t="n">
        <v>521</v>
      </c>
      <c r="I249" t="b">
        <v>0</v>
      </c>
      <c r="J249" t="b">
        <v>0</v>
      </c>
      <c r="K249" t="n">
        <v>0.4298785453546712</v>
      </c>
      <c r="L249" t="n">
        <v>0.0005774898337029536</v>
      </c>
      <c r="M249" t="n">
        <v>0.8284069097888677</v>
      </c>
      <c r="N249" t="n">
        <v>0.877390933443714</v>
      </c>
      <c r="O249" t="n">
        <v>-23.87229205669965</v>
      </c>
      <c r="P249" t="n">
        <v>-3.728452270620945</v>
      </c>
      <c r="Q249">
        <f>'_live'!$C$20</f>
        <v/>
      </c>
      <c r="R249" t="inlineStr">
        <is>
          <t>z test</t>
        </is>
      </c>
      <c r="S249" t="inlineStr">
        <is>
          <t>z test</t>
        </is>
      </c>
      <c r="T249" t="n">
        <v>0.08036908264241775</v>
      </c>
      <c r="U249" t="n">
        <v>0.04170528266913809</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0.0345489443378119</v>
      </c>
      <c r="AI249">
        <f>IF($Y249="worse","Yes",IF($Y249="worse, not significant","Not sure",IF(OR($Y249="too few losses to test",$Y249="too few loans to test"),"Too few losses",IF($Y249="","","No"))))</f>
        <v/>
      </c>
      <c r="AJ249">
        <f>IF($AA249="yes","Yes",IF($AA249="","","No"))</f>
        <v/>
      </c>
      <c r="AM249">
        <f>IF(AND(ISNUMBER($AC249),ISNUMBER(IF($V249,IF($AL249="","",$AL249),IF($AK249="","",$AK249)))),IF(AND(ABS($AC249-significance_bar)&lt;=2.0*IF($V249,IF($AL249="","",$AL249),IF($AK249="","",$AK249)),OR($Y249="worse",$Y249="better",$Y249="worse, not significant",$Y249="better, not significant")),IF(ROUND($AC249,3)=ROUND(significance_bar,3),TEXT($AC249,"0.0000"),TEXT($AC249,"0.000")),""),"")</f>
        <v/>
      </c>
      <c r="AN249">
        <f>IF(AND(ISNUMBER($AC249),ISNUMBER(IF($V249,IF($AL249="","",$AL249),IF($AK249="","",$AK249)))),IF(AND(ABS($AC249-significance_bar)&lt;=2.0*IF($V249,IF($AL249="","",$AL249),IF($AK249="","",$AK249)),OR($Y249="worse",$Y249="worse, not significant")),IF(ROUND($AC249,3)=ROUND(significance_bar,3),TEXT($AC249,"0.0000"),TEXT($AC249,"0.000")),""),"")</f>
        <v/>
      </c>
      <c r="AO249">
        <f>IF(OR($AI249="",$AN249=""),$AI249,$AI249&amp;" · borderline (p "&amp;$AN249&amp;")")</f>
        <v/>
      </c>
    </row>
    <row r="250">
      <c r="A250" t="inlineStr">
        <is>
          <t>grids</t>
        </is>
      </c>
      <c r="B250" t="inlineStr">
        <is>
          <t>REV_DEBT x CHANNEL</t>
        </is>
      </c>
      <c r="C250" t="inlineStr">
        <is>
          <t>6,559 - 9,836</t>
        </is>
      </c>
      <c r="D250" t="inlineStr">
        <is>
          <t>Broker</t>
        </is>
      </c>
      <c r="E250" t="inlineStr">
        <is>
          <t>outcome_booked</t>
        </is>
      </c>
      <c r="F250" t="inlineStr">
        <is>
          <t>Outcome, share of booked dollars</t>
        </is>
      </c>
      <c r="G250" t="n">
        <v>521</v>
      </c>
      <c r="H250" t="n">
        <v>16589898.97</v>
      </c>
      <c r="I250" t="b">
        <v>0</v>
      </c>
      <c r="J250" t="b">
        <v>0</v>
      </c>
      <c r="K250" t="n">
        <v>0.464081125869671</v>
      </c>
      <c r="L250" t="n">
        <v>0.02487562189054726</v>
      </c>
      <c r="M250" t="n">
        <v>0.9008618250857579</v>
      </c>
      <c r="N250" t="n">
        <v>0.8495981630309988</v>
      </c>
      <c r="O250" t="n">
        <v>-689033.1095998848</v>
      </c>
      <c r="P250" t="n">
        <v>-65662.54035838204</v>
      </c>
      <c r="Q250">
        <f>'_live'!$C$21</f>
        <v/>
      </c>
      <c r="R250" t="inlineStr">
        <is>
          <t>shuffled: 2 of 200</t>
        </is>
      </c>
      <c r="S250" t="inlineStr">
        <is>
          <t>shuffled: 142 of 200</t>
        </is>
      </c>
      <c r="T250" t="n">
        <v>0.07749921394487461</v>
      </c>
      <c r="U250" t="n">
        <v>0.03992390559798461</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0.03596592246155192</v>
      </c>
      <c r="AI250">
        <f>IF($Y250="worse","Yes",IF($Y250="worse, not significant","Not sure",IF(OR($Y250="too few losses to test",$Y250="too few loans to test"),"Too few losses",IF($Y250="","","No"))))</f>
        <v/>
      </c>
      <c r="AJ250">
        <f>IF($AA250="yes","Yes",IF($AA250="","","No"))</f>
        <v/>
      </c>
      <c r="AK250" t="n">
        <v>0.01428995683218415</v>
      </c>
      <c r="AL250" t="n">
        <v>0.03595055869541028</v>
      </c>
      <c r="AM250">
        <f>IF(AND(ISNUMBER($AC250),ISNUMBER(IF($V250,IF($AL250="","",$AL250),IF($AK250="","",$AK250)))),IF(AND(ABS($AC250-significance_bar)&lt;=2.0*IF($V250,IF($AL250="","",$AL250),IF($AK250="","",$AK250)),OR($Y250="worse",$Y250="better",$Y250="worse, not significant",$Y250="better, not significant")),IF(ROUND($AC250,3)=ROUND(significance_bar,3),TEXT($AC250,"0.0000"),TEXT($AC250,"0.000")),""),"")</f>
        <v/>
      </c>
      <c r="AN250">
        <f>IF(AND(ISNUMBER($AC250),ISNUMBER(IF($V250,IF($AL250="","",$AL250),IF($AK250="","",$AK250)))),IF(AND(ABS($AC250-significance_bar)&lt;=2.0*IF($V250,IF($AL250="","",$AL250),IF($AK250="","",$AK250)),OR($Y250="worse",$Y250="worse, not significant")),IF(ROUND($AC250,3)=ROUND(significance_bar,3),TEXT($AC250,"0.0000"),TEXT($AC250,"0.000")),""),"")</f>
        <v/>
      </c>
      <c r="AO250">
        <f>IF(OR($AI250="",$AN250=""),$AI250,$AI250&amp;" · borderline (p "&amp;$AN250&amp;")")</f>
        <v/>
      </c>
    </row>
    <row r="251">
      <c r="A251" t="inlineStr">
        <is>
          <t>grids</t>
        </is>
      </c>
      <c r="B251" t="inlineStr">
        <is>
          <t>REV_DEBT x CHANNEL</t>
        </is>
      </c>
      <c r="C251" t="inlineStr">
        <is>
          <t>6,559 - 9,836</t>
        </is>
      </c>
      <c r="D251" t="inlineStr">
        <is>
          <t>Broker</t>
        </is>
      </c>
      <c r="E251" t="inlineStr">
        <is>
          <t>gco_rate</t>
        </is>
      </c>
      <c r="F251" t="inlineStr">
        <is>
          <t>GCO per booked dollar</t>
        </is>
      </c>
      <c r="G251" t="n">
        <v>521</v>
      </c>
      <c r="H251" t="n">
        <v>16589898.97</v>
      </c>
      <c r="I251" t="b">
        <v>0</v>
      </c>
      <c r="J251" t="b">
        <v>0</v>
      </c>
      <c r="K251" t="n">
        <v>0.5157445459531332</v>
      </c>
      <c r="L251" t="n">
        <v>0.02713704206241519</v>
      </c>
      <c r="M251" t="n">
        <v>1.005991648832148</v>
      </c>
      <c r="N251" t="n">
        <v>0.9800995024875622</v>
      </c>
      <c r="O251" t="n">
        <v>-344987.4778222521</v>
      </c>
      <c r="P251" t="n">
        <v>2188.343185340462</v>
      </c>
      <c r="Q251">
        <f>'_live'!$C$22</f>
        <v/>
      </c>
      <c r="R251" t="inlineStr">
        <is>
          <t>shuffled: 3 of 200</t>
        </is>
      </c>
      <c r="S251" t="inlineStr">
        <is>
          <t>shuffled: 196 of 200</t>
        </is>
      </c>
      <c r="T251" t="n">
        <v>0.04294227705126598</v>
      </c>
      <c r="U251" t="n">
        <v>0.0220153370117033</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0.02214724517999882</v>
      </c>
      <c r="AI251">
        <f>IF($Y251="worse","Yes",IF($Y251="worse, not significant","Not sure",IF(OR($Y251="too few losses to test",$Y251="too few loans to test"),"Too few losses",IF($Y251="","","No"))))</f>
        <v/>
      </c>
      <c r="AJ251">
        <f>IF($AA251="yes","Yes",IF($AA251="","","No"))</f>
        <v/>
      </c>
      <c r="AK251" t="n">
        <v>0.01346637261959241</v>
      </c>
      <c r="AL251" t="n">
        <v>0.009875339921034437</v>
      </c>
      <c r="AM251">
        <f>IF(AND(ISNUMBER($AC251),ISNUMBER(IF($V251,IF($AL251="","",$AL251),IF($AK251="","",$AK251)))),IF(AND(ABS($AC251-significance_bar)&lt;=2.0*IF($V251,IF($AL251="","",$AL251),IF($AK251="","",$AK251)),OR($Y251="worse",$Y251="better",$Y251="worse, not significant",$Y251="better, not significant")),IF(ROUND($AC251,3)=ROUND(significance_bar,3),TEXT($AC251,"0.0000"),TEXT($AC251,"0.000")),""),"")</f>
        <v/>
      </c>
      <c r="AN251">
        <f>IF(AND(ISNUMBER($AC251),ISNUMBER(IF($V251,IF($AL251="","",$AL251),IF($AK251="","",$AK251)))),IF(AND(ABS($AC251-significance_bar)&lt;=2.0*IF($V251,IF($AL251="","",$AL251),IF($AK251="","",$AK251)),OR($Y251="worse",$Y251="worse, not significant")),IF(ROUND($AC251,3)=ROUND(significance_bar,3),TEXT($AC251,"0.0000"),TEXT($AC251,"0.000")),""),"")</f>
        <v/>
      </c>
      <c r="AO251">
        <f>IF(OR($AI251="",$AN251=""),$AI251,$AI251&amp;" · borderline (p "&amp;$AN251&amp;")")</f>
        <v/>
      </c>
    </row>
    <row r="252">
      <c r="A252" t="inlineStr">
        <is>
          <t>grids</t>
        </is>
      </c>
      <c r="B252" t="inlineStr">
        <is>
          <t>REV_DEBT x CHANNEL</t>
        </is>
      </c>
      <c r="C252" t="inlineStr">
        <is>
          <t>6,559 - 9,836</t>
        </is>
      </c>
      <c r="D252" t="inlineStr">
        <is>
          <t>Broker</t>
        </is>
      </c>
      <c r="E252" t="inlineStr">
        <is>
          <t>ranr_rate</t>
        </is>
      </c>
      <c r="F252" t="inlineStr">
        <is>
          <t>Profit after losses: RANR per booked dollar</t>
        </is>
      </c>
      <c r="G252" t="n">
        <v>521</v>
      </c>
      <c r="H252" t="n">
        <v>16589898.97</v>
      </c>
      <c r="I252" t="b">
        <v>0</v>
      </c>
      <c r="J252" t="b">
        <v>0</v>
      </c>
      <c r="K252" t="n">
        <v>-0.01936294103571697</v>
      </c>
      <c r="L252" t="n">
        <v>0.09701492537313432</v>
      </c>
      <c r="M252" t="n">
        <v>-0.01108951884156163</v>
      </c>
      <c r="N252" t="n">
        <v>0.2917232021709634</v>
      </c>
      <c r="O252" t="n">
        <v>321229.2355446117</v>
      </c>
      <c r="P252" t="n">
        <v>183973.997207419</v>
      </c>
      <c r="Q252">
        <f>'_live'!$C$23</f>
        <v/>
      </c>
      <c r="R252" t="inlineStr">
        <is>
          <t>shuffled: 12 of 200</t>
        </is>
      </c>
      <c r="S252" t="inlineStr">
        <is>
          <t>shuffled: 42 of 200</t>
        </is>
      </c>
      <c r="T252" t="n">
        <v>0.1292347939804609</v>
      </c>
      <c r="U252" t="n">
        <v>0.1209613717863056</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0.1098718529447439</v>
      </c>
      <c r="AI252">
        <f>IF($Y252="worse","Yes",IF($Y252="worse, not significant","Not sure",IF(OR($Y252="too few losses to test",$Y252="too few loans to test"),"Too few losses",IF($Y252="","","No"))))</f>
        <v/>
      </c>
      <c r="AJ252">
        <f>IF($AA252="yes","Yes",IF($AA252="","","No"))</f>
        <v/>
      </c>
      <c r="AK252" t="n">
        <v>0.02608740043723662</v>
      </c>
      <c r="AL252" t="n">
        <v>0.03954124049090313</v>
      </c>
      <c r="AM252">
        <f>IF(AND(ISNUMBER($AC252),ISNUMBER(IF($V252,IF($AL252="","",$AL252),IF($AK252="","",$AK252)))),IF(AND(ABS($AC252-significance_bar)&lt;=2.0*IF($V252,IF($AL252="","",$AL252),IF($AK252="","",$AK252)),OR($Y252="worse",$Y252="better",$Y252="worse, not significant",$Y252="better, not significant",AND(profit_kind="test",$Y252="in line",ISNUMBER($AB252),$AB252&lt;&gt;0))),IF(ROUND($AC252,3)=ROUND(significance_bar,3),TEXT($AC252,"0.0000"),TEXT($AC252,"0.000")),""),"")</f>
        <v/>
      </c>
      <c r="AN252">
        <f>IF(AND(ISNUMBER($AC252),ISNUMBER(IF($V252,IF($AL252="","",$AL252),IF($AK252="","",$AK252)))),IF(AND(ABS($AC252-significance_bar)&lt;=2.0*IF($V252,IF($AL252="","",$AL252),IF($AK252="","",$AK252)),OR($Y252="worse",$Y252="worse, not significant",AND(profit_kind="test",$Y252="in line",ISNUMBER($AB252),$AB252&lt;0))),IF(ROUND($AC252,3)=ROUND(significance_bar,3),TEXT($AC252,"0.0000"),TEXT($AC252,"0.000")),""),"")</f>
        <v/>
      </c>
      <c r="AO252">
        <f>IF(OR($AI252="",$AN252=""),$AI252,$AI252&amp;" · borderline (p "&amp;$AN252&amp;")")</f>
        <v/>
      </c>
    </row>
    <row r="253">
      <c r="A253" t="inlineStr">
        <is>
          <t>grids</t>
        </is>
      </c>
      <c r="B253" t="inlineStr">
        <is>
          <t>REV_DEBT x CHANNEL</t>
        </is>
      </c>
      <c r="C253" t="inlineStr">
        <is>
          <t>6,559 - 9,836</t>
        </is>
      </c>
      <c r="D253" t="inlineStr">
        <is>
          <t>Broker</t>
        </is>
      </c>
      <c r="E253" t="inlineStr">
        <is>
          <t>contribution_rate</t>
        </is>
      </c>
      <c r="F253" t="inlineStr">
        <is>
          <t>Contribution before losses per booked dollar</t>
        </is>
      </c>
      <c r="G253" t="n">
        <v>521</v>
      </c>
      <c r="H253" t="n">
        <v>16589898.97</v>
      </c>
      <c r="I253" t="b">
        <v>0</v>
      </c>
      <c r="J253" t="b">
        <v>0</v>
      </c>
      <c r="K253" t="n">
        <v>-0.0401551217882484</v>
      </c>
      <c r="L253" t="n">
        <v>0.007462686567164178</v>
      </c>
      <c r="M253" t="n">
        <v>-0.01092842962456789</v>
      </c>
      <c r="N253" t="n">
        <v>0.08141112618724559</v>
      </c>
      <c r="O253" t="n">
        <v>666169.4135950864</v>
      </c>
      <c r="P253" t="n">
        <v>181301.5433723363</v>
      </c>
      <c r="Q253">
        <f>'_live'!$C$24</f>
        <v/>
      </c>
      <c r="R253" t="inlineStr">
        <is>
          <t>shuffled: 0 of 200</t>
        </is>
      </c>
      <c r="S253" t="inlineStr">
        <is>
          <t>shuffled: 11 of 200</t>
        </is>
      </c>
      <c r="T253" t="n">
        <v>0.1721742199129912</v>
      </c>
      <c r="U253" t="n">
        <v>0.1429475277493107</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0.1320190981247428</v>
      </c>
      <c r="AI253">
        <f>IF($Y253="worse","Yes",IF($Y253="worse, not significant","Not sure",IF(OR($Y253="too few losses to test",$Y253="too few loans to test"),"Too few losses",IF($Y253="","","No"))))</f>
        <v/>
      </c>
      <c r="AJ253">
        <f>IF($AA253="yes","Yes",IF($AA253="","","No"))</f>
        <v/>
      </c>
      <c r="AK253" t="n">
        <v>0.007462686567164178</v>
      </c>
      <c r="AL253" t="n">
        <v>0.02284594062480697</v>
      </c>
      <c r="AM253">
        <f>IF(AND(ISNUMBER($AC253),ISNUMBER(IF($V253,IF($AL253="","",$AL253),IF($AK253="","",$AK253)))),IF(AND(ABS($AC253-significance_bar)&lt;=2.0*IF($V253,IF($AL253="","",$AL253),IF($AK253="","",$AK253)),OR($Y253="worse",$Y253="better",$Y253="worse, not significant",$Y253="better, not significant",AND(profit_kind="test",$Y253="in line",ISNUMBER($AB253),$AB253&lt;&gt;0))),IF(ROUND($AC253,3)=ROUND(significance_bar,3),TEXT($AC253,"0.0000"),TEXT($AC253,"0.000")),""),"")</f>
        <v/>
      </c>
      <c r="AN253">
        <f>IF(AND(ISNUMBER($AC253),ISNUMBER(IF($V253,IF($AL253="","",$AL253),IF($AK253="","",$AK253)))),IF(AND(ABS($AC253-significance_bar)&lt;=2.0*IF($V253,IF($AL253="","",$AL253),IF($AK253="","",$AK253)),OR($Y253="worse",$Y253="worse, not significant",AND(profit_kind="test",$Y253="in line",ISNUMBER($AB253),$AB253&lt;0))),IF(ROUND($AC253,3)=ROUND(significance_bar,3),TEXT($AC253,"0.0000"),TEXT($AC253,"0.000")),""),"")</f>
        <v/>
      </c>
      <c r="AO253">
        <f>IF(OR($AI253="",$AN253=""),$AI253,$AI253&amp;" · borderline (p "&amp;$AN253&amp;")")</f>
        <v/>
      </c>
    </row>
    <row r="254">
      <c r="A254" t="inlineStr">
        <is>
          <t>grids</t>
        </is>
      </c>
      <c r="B254" t="inlineStr">
        <is>
          <t>REV_DEBT x CHANNEL</t>
        </is>
      </c>
      <c r="C254" t="inlineStr">
        <is>
          <t>6,559 - 9,836</t>
        </is>
      </c>
      <c r="D254" t="inlineStr">
        <is>
          <t>Online</t>
        </is>
      </c>
      <c r="E254" t="inlineStr">
        <is>
          <t>outcome_loans</t>
        </is>
      </c>
      <c r="F254" t="inlineStr">
        <is>
          <t>Outcome, share of loans</t>
        </is>
      </c>
      <c r="G254" t="n">
        <v>565</v>
      </c>
      <c r="H254" t="n">
        <v>565</v>
      </c>
      <c r="I254" t="b">
        <v>0</v>
      </c>
      <c r="J254" t="b">
        <v>0</v>
      </c>
      <c r="K254" t="n">
        <v>0.6233682224518216</v>
      </c>
      <c r="L254" t="n">
        <v>0.01535178796766645</v>
      </c>
      <c r="M254" t="n">
        <v>1.465486725663717</v>
      </c>
      <c r="N254" t="n">
        <v>0.3044608787324037</v>
      </c>
      <c r="O254" t="n">
        <v>-16.91727199354318</v>
      </c>
      <c r="P254" t="n">
        <v>8.893719806763286</v>
      </c>
      <c r="Q254">
        <f>'_live'!$C$20</f>
        <v/>
      </c>
      <c r="R254" t="inlineStr">
        <is>
          <t>z test</t>
        </is>
      </c>
      <c r="S254" t="inlineStr">
        <is>
          <t>z test</t>
        </is>
      </c>
      <c r="T254" t="n">
        <v>0.07949959644874899</v>
      </c>
      <c r="U254" t="n">
        <v>0.03381642512077294</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0.0495575221238938</v>
      </c>
      <c r="AI254">
        <f>IF($Y254="worse","Yes",IF($Y254="worse, not significant","Not sure",IF(OR($Y254="too few losses to test",$Y254="too few loans to test"),"Too few losses",IF($Y254="","","No"))))</f>
        <v/>
      </c>
      <c r="AJ254">
        <f>IF($AA254="yes","Yes",IF($AA254="","","No"))</f>
        <v/>
      </c>
      <c r="AM254">
        <f>IF(AND(ISNUMBER($AC254),ISNUMBER(IF($V254,IF($AL254="","",$AL254),IF($AK254="","",$AK254)))),IF(AND(ABS($AC254-significance_bar)&lt;=2.0*IF($V254,IF($AL254="","",$AL254),IF($AK254="","",$AK254)),OR($Y254="worse",$Y254="better",$Y254="worse, not significant",$Y254="better, not significant")),IF(ROUND($AC254,3)=ROUND(significance_bar,3),TEXT($AC254,"0.0000"),TEXT($AC254,"0.000")),""),"")</f>
        <v/>
      </c>
      <c r="AN254">
        <f>IF(AND(ISNUMBER($AC254),ISNUMBER(IF($V254,IF($AL254="","",$AL254),IF($AK254="","",$AK254)))),IF(AND(ABS($AC254-significance_bar)&lt;=2.0*IF($V254,IF($AL254="","",$AL254),IF($AK254="","",$AK254)),OR($Y254="worse",$Y254="worse, not significant")),IF(ROUND($AC254,3)=ROUND(significance_bar,3),TEXT($AC254,"0.0000"),TEXT($AC254,"0.000")),""),"")</f>
        <v/>
      </c>
      <c r="AO254">
        <f>IF(OR($AI254="",$AN254=""),$AI254,$AI254&amp;" · borderline (p "&amp;$AN254&amp;")")</f>
        <v/>
      </c>
    </row>
    <row r="255">
      <c r="A255" t="inlineStr">
        <is>
          <t>grids</t>
        </is>
      </c>
      <c r="B255" t="inlineStr">
        <is>
          <t>REV_DEBT x CHANNEL</t>
        </is>
      </c>
      <c r="C255" t="inlineStr">
        <is>
          <t>6,559 - 9,836</t>
        </is>
      </c>
      <c r="D255" t="inlineStr">
        <is>
          <t>Online</t>
        </is>
      </c>
      <c r="E255" t="inlineStr">
        <is>
          <t>outcome_booked</t>
        </is>
      </c>
      <c r="F255" t="inlineStr">
        <is>
          <t>Outcome, share of booked dollars</t>
        </is>
      </c>
      <c r="G255" t="n">
        <v>565</v>
      </c>
      <c r="H255" t="n">
        <v>18606755.51999998</v>
      </c>
      <c r="I255" t="b">
        <v>0</v>
      </c>
      <c r="J255" t="b">
        <v>0</v>
      </c>
      <c r="K255" t="n">
        <v>0.6076038440692161</v>
      </c>
      <c r="L255" t="n">
        <v>0.033921302578019</v>
      </c>
      <c r="M255" t="n">
        <v>1.374636114669133</v>
      </c>
      <c r="N255" t="n">
        <v>0.5845771144278606</v>
      </c>
      <c r="O255" t="n">
        <v>-562251.3624645311</v>
      </c>
      <c r="P255" t="n">
        <v>237272.9207316695</v>
      </c>
      <c r="Q255">
        <f>'_live'!$C$21</f>
        <v/>
      </c>
      <c r="R255" t="inlineStr">
        <is>
          <t>shuffled: 4 of 200</t>
        </is>
      </c>
      <c r="S255" t="inlineStr">
        <is>
          <t>shuffled: 46 of 200</t>
        </is>
      </c>
      <c r="T255" t="n">
        <v>0.0770078717337031</v>
      </c>
      <c r="U255" t="n">
        <v>0.03403830176559073</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0.04679027888898713</v>
      </c>
      <c r="AI255">
        <f>IF($Y255="worse","Yes",IF($Y255="worse, not significant","Not sure",IF(OR($Y255="too few losses to test",$Y255="too few loans to test"),"Too few losses",IF($Y255="","","No"))))</f>
        <v/>
      </c>
      <c r="AJ255">
        <f>IF($AA255="yes","Yes",IF($AA255="","","No"))</f>
        <v/>
      </c>
      <c r="AK255" t="n">
        <v>0.01501760082847941</v>
      </c>
      <c r="AL255" t="n">
        <v>0.07482353852087081</v>
      </c>
      <c r="AM255">
        <f>IF(AND(ISNUMBER($AC255),ISNUMBER(IF($V255,IF($AL255="","",$AL255),IF($AK255="","",$AK255)))),IF(AND(ABS($AC255-significance_bar)&lt;=2.0*IF($V255,IF($AL255="","",$AL255),IF($AK255="","",$AK255)),OR($Y255="worse",$Y255="better",$Y255="worse, not significant",$Y255="better, not significant")),IF(ROUND($AC255,3)=ROUND(significance_bar,3),TEXT($AC255,"0.0000"),TEXT($AC255,"0.000")),""),"")</f>
        <v/>
      </c>
      <c r="AN255">
        <f>IF(AND(ISNUMBER($AC255),ISNUMBER(IF($V255,IF($AL255="","",$AL255),IF($AK255="","",$AK255)))),IF(AND(ABS($AC255-significance_bar)&lt;=2.0*IF($V255,IF($AL255="","",$AL255),IF($AK255="","",$AK255)),OR($Y255="worse",$Y255="worse, not significant")),IF(ROUND($AC255,3)=ROUND(significance_bar,3),TEXT($AC255,"0.0000"),TEXT($AC255,"0.000")),""),"")</f>
        <v/>
      </c>
      <c r="AO255">
        <f>IF(OR($AI255="",$AN255=""),$AI255,$AI255&amp;" · borderline (p "&amp;$AN255&amp;")")</f>
        <v/>
      </c>
    </row>
    <row r="256">
      <c r="A256" t="inlineStr">
        <is>
          <t>grids</t>
        </is>
      </c>
      <c r="B256" t="inlineStr">
        <is>
          <t>REV_DEBT x CHANNEL</t>
        </is>
      </c>
      <c r="C256" t="inlineStr">
        <is>
          <t>6,559 - 9,836</t>
        </is>
      </c>
      <c r="D256" t="inlineStr">
        <is>
          <t>Online</t>
        </is>
      </c>
      <c r="E256" t="inlineStr">
        <is>
          <t>gco_rate</t>
        </is>
      </c>
      <c r="F256" t="inlineStr">
        <is>
          <t>GCO per booked dollar</t>
        </is>
      </c>
      <c r="G256" t="n">
        <v>565</v>
      </c>
      <c r="H256" t="n">
        <v>18606755.51999998</v>
      </c>
      <c r="I256" t="b">
        <v>0</v>
      </c>
      <c r="J256" t="b">
        <v>0</v>
      </c>
      <c r="K256" t="n">
        <v>0.5719218133648313</v>
      </c>
      <c r="L256" t="n">
        <v>0.02238805970149254</v>
      </c>
      <c r="M256" t="n">
        <v>1.18937242465529</v>
      </c>
      <c r="N256" t="n">
        <v>0.8507462686567164</v>
      </c>
      <c r="O256" t="n">
        <v>-341947.6769736414</v>
      </c>
      <c r="P256" t="n">
        <v>72739.79872091021</v>
      </c>
      <c r="Q256">
        <f>'_live'!$C$22</f>
        <v/>
      </c>
      <c r="R256" t="inlineStr">
        <is>
          <t>shuffled: 2 of 200</t>
        </is>
      </c>
      <c r="S256" t="inlineStr">
        <is>
          <t>shuffled: 112 of 200</t>
        </is>
      </c>
      <c r="T256" t="n">
        <v>0.04293049619075352</v>
      </c>
      <c r="U256" t="n">
        <v>0.02064356522910288</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0.02455288723006774</v>
      </c>
      <c r="AI256">
        <f>IF($Y256="worse","Yes",IF($Y256="worse, not significant","Not sure",IF(OR($Y256="too few losses to test",$Y256="too few loans to test"),"Too few losses",IF($Y256="","","No"))))</f>
        <v/>
      </c>
      <c r="AJ256">
        <f>IF($AA256="yes","Yes",IF($AA256="","","No"))</f>
        <v/>
      </c>
      <c r="AK256" t="n">
        <v>0.01286096114896574</v>
      </c>
      <c r="AL256" t="n">
        <v>0.05255236385509927</v>
      </c>
      <c r="AM256">
        <f>IF(AND(ISNUMBER($AC256),ISNUMBER(IF($V256,IF($AL256="","",$AL256),IF($AK256="","",$AK256)))),IF(AND(ABS($AC256-significance_bar)&lt;=2.0*IF($V256,IF($AL256="","",$AL256),IF($AK256="","",$AK256)),OR($Y256="worse",$Y256="better",$Y256="worse, not significant",$Y256="better, not significant")),IF(ROUND($AC256,3)=ROUND(significance_bar,3),TEXT($AC256,"0.0000"),TEXT($AC256,"0.000")),""),"")</f>
        <v/>
      </c>
      <c r="AN256">
        <f>IF(AND(ISNUMBER($AC256),ISNUMBER(IF($V256,IF($AL256="","",$AL256),IF($AK256="","",$AK256)))),IF(AND(ABS($AC256-significance_bar)&lt;=2.0*IF($V256,IF($AL256="","",$AL256),IF($AK256="","",$AK256)),OR($Y256="worse",$Y256="worse, not significant")),IF(ROUND($AC256,3)=ROUND(significance_bar,3),TEXT($AC256,"0.0000"),TEXT($AC256,"0.000")),""),"")</f>
        <v/>
      </c>
      <c r="AO256">
        <f>IF(OR($AI256="",$AN256=""),$AI256,$AI256&amp;" · borderline (p "&amp;$AN256&amp;")")</f>
        <v/>
      </c>
    </row>
    <row r="257">
      <c r="A257" t="inlineStr">
        <is>
          <t>grids</t>
        </is>
      </c>
      <c r="B257" t="inlineStr">
        <is>
          <t>REV_DEBT x CHANNEL</t>
        </is>
      </c>
      <c r="C257" t="inlineStr">
        <is>
          <t>6,559 - 9,836</t>
        </is>
      </c>
      <c r="D257" t="inlineStr">
        <is>
          <t>Online</t>
        </is>
      </c>
      <c r="E257" t="inlineStr">
        <is>
          <t>ranr_rate</t>
        </is>
      </c>
      <c r="F257" t="inlineStr">
        <is>
          <t>Profit after losses: RANR per booked dollar</t>
        </is>
      </c>
      <c r="G257" t="n">
        <v>565</v>
      </c>
      <c r="H257" t="n">
        <v>18606755.51999998</v>
      </c>
      <c r="I257" t="b">
        <v>0</v>
      </c>
      <c r="J257" t="b">
        <v>0</v>
      </c>
      <c r="K257" t="n">
        <v>0.002064861271426743</v>
      </c>
      <c r="L257" t="n">
        <v>0.8656716417910447</v>
      </c>
      <c r="M257" t="n">
        <v>0.01960699765615827</v>
      </c>
      <c r="N257" t="n">
        <v>0.0746268656716418</v>
      </c>
      <c r="O257" t="n">
        <v>-38420.36886015348</v>
      </c>
      <c r="P257" t="n">
        <v>-364822.6118693494</v>
      </c>
      <c r="Q257">
        <f>'_live'!$C$23</f>
        <v/>
      </c>
      <c r="R257" t="inlineStr">
        <is>
          <t>shuffled: 165 of 200</t>
        </is>
      </c>
      <c r="S257" t="inlineStr">
        <is>
          <t>shuffled: 6 of 200</t>
        </is>
      </c>
      <c r="T257" t="n">
        <v>0.1278411729859633</v>
      </c>
      <c r="U257" t="n">
        <v>0.1102990366012318</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0.1299060342573901</v>
      </c>
      <c r="AI257">
        <f>IF($Y257="worse","Yes",IF($Y257="worse, not significant","Not sure",IF(OR($Y257="too few losses to test",$Y257="too few loans to test"),"Too few losses",IF($Y257="","","No"))))</f>
        <v/>
      </c>
      <c r="AJ257">
        <f>IF($AA257="yes","Yes",IF($AA257="","","No"))</f>
        <v/>
      </c>
      <c r="AK257" t="n">
        <v>0.02411267824090077</v>
      </c>
      <c r="AL257" t="n">
        <v>0.0277799876776021</v>
      </c>
      <c r="AM257">
        <f>IF(AND(ISNUMBER($AC257),ISNUMBER(IF($V257,IF($AL257="","",$AL257),IF($AK257="","",$AK257)))),IF(AND(ABS($AC257-significance_bar)&lt;=2.0*IF($V257,IF($AL257="","",$AL257),IF($AK257="","",$AK257)),OR($Y257="worse",$Y257="better",$Y257="worse, not significant",$Y257="better, not significant",AND(profit_kind="test",$Y257="in line",ISNUMBER($AB257),$AB257&lt;&gt;0))),IF(ROUND($AC257,3)=ROUND(significance_bar,3),TEXT($AC257,"0.0000"),TEXT($AC257,"0.000")),""),"")</f>
        <v/>
      </c>
      <c r="AN257">
        <f>IF(AND(ISNUMBER($AC257),ISNUMBER(IF($V257,IF($AL257="","",$AL257),IF($AK257="","",$AK257)))),IF(AND(ABS($AC257-significance_bar)&lt;=2.0*IF($V257,IF($AL257="","",$AL257),IF($AK257="","",$AK257)),OR($Y257="worse",$Y257="worse, not significant",AND(profit_kind="test",$Y257="in line",ISNUMBER($AB257),$AB257&lt;0))),IF(ROUND($AC257,3)=ROUND(significance_bar,3),TEXT($AC257,"0.0000"),TEXT($AC257,"0.000")),""),"")</f>
        <v/>
      </c>
      <c r="AO257">
        <f>IF(OR($AI257="",$AN257=""),$AI257,$AI257&amp;" · borderline (p "&amp;$AN257&amp;")")</f>
        <v/>
      </c>
    </row>
    <row r="258">
      <c r="A258" t="inlineStr">
        <is>
          <t>grids</t>
        </is>
      </c>
      <c r="B258" t="inlineStr">
        <is>
          <t>REV_DEBT x CHANNEL</t>
        </is>
      </c>
      <c r="C258" t="inlineStr">
        <is>
          <t>6,559 - 9,836</t>
        </is>
      </c>
      <c r="D258" t="inlineStr">
        <is>
          <t>Online</t>
        </is>
      </c>
      <c r="E258" t="inlineStr">
        <is>
          <t>contribution_rate</t>
        </is>
      </c>
      <c r="F258" t="inlineStr">
        <is>
          <t>Contribution before losses per booked dollar</t>
        </is>
      </c>
      <c r="G258" t="n">
        <v>565</v>
      </c>
      <c r="H258" t="n">
        <v>18606755.51999998</v>
      </c>
      <c r="I258" t="b">
        <v>0</v>
      </c>
      <c r="J258" t="b">
        <v>0</v>
      </c>
      <c r="K258" t="n">
        <v>-0.01630964155907622</v>
      </c>
      <c r="L258" t="n">
        <v>0.01865671641791045</v>
      </c>
      <c r="M258" t="n">
        <v>0.02356018449151603</v>
      </c>
      <c r="N258" t="n">
        <v>0.01243781094527363</v>
      </c>
      <c r="O258" t="n">
        <v>303469.5131085627</v>
      </c>
      <c r="P258" t="n">
        <v>-438378.5928397337</v>
      </c>
      <c r="Q258">
        <f>'_live'!$C$24</f>
        <v/>
      </c>
      <c r="R258" t="inlineStr">
        <is>
          <t>shuffled: 2 of 200</t>
        </is>
      </c>
      <c r="S258" t="inlineStr">
        <is>
          <t>shuffled: 0 of 200</t>
        </is>
      </c>
      <c r="T258" t="n">
        <v>0.1707685630465339</v>
      </c>
      <c r="U258" t="n">
        <v>0.1308987369959416</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0.1544589214874577</v>
      </c>
      <c r="AI258">
        <f>IF($Y258="worse","Yes",IF($Y258="worse, not significant","Not sure",IF(OR($Y258="too few losses to test",$Y258="too few loans to test"),"Too few losses",IF($Y258="","","No"))))</f>
        <v/>
      </c>
      <c r="AJ258">
        <f>IF($AA258="yes","Yes",IF($AA258="","","No"))</f>
        <v/>
      </c>
      <c r="AK258" t="n">
        <v>0.01071746762413811</v>
      </c>
      <c r="AL258" t="n">
        <v>0.01243781094527363</v>
      </c>
      <c r="AM258">
        <f>IF(AND(ISNUMBER($AC258),ISNUMBER(IF($V258,IF($AL258="","",$AL258),IF($AK258="","",$AK258)))),IF(AND(ABS($AC258-significance_bar)&lt;=2.0*IF($V258,IF($AL258="","",$AL258),IF($AK258="","",$AK258)),OR($Y258="worse",$Y258="better",$Y258="worse, not significant",$Y258="better, not significant",AND(profit_kind="test",$Y258="in line",ISNUMBER($AB258),$AB258&lt;&gt;0))),IF(ROUND($AC258,3)=ROUND(significance_bar,3),TEXT($AC258,"0.0000"),TEXT($AC258,"0.000")),""),"")</f>
        <v/>
      </c>
      <c r="AN258">
        <f>IF(AND(ISNUMBER($AC258),ISNUMBER(IF($V258,IF($AL258="","",$AL258),IF($AK258="","",$AK258)))),IF(AND(ABS($AC258-significance_bar)&lt;=2.0*IF($V258,IF($AL258="","",$AL258),IF($AK258="","",$AK258)),OR($Y258="worse",$Y258="worse, not significant",AND(profit_kind="test",$Y258="in line",ISNUMBER($AB258),$AB258&lt;0))),IF(ROUND($AC258,3)=ROUND(significance_bar,3),TEXT($AC258,"0.0000"),TEXT($AC258,"0.000")),""),"")</f>
        <v/>
      </c>
      <c r="AO258">
        <f>IF(OR($AI258="",$AN258=""),$AI258,$AI258&amp;" · borderline (p "&amp;$AN258&amp;")")</f>
        <v/>
      </c>
    </row>
    <row r="259">
      <c r="A259" t="inlineStr">
        <is>
          <t>grids</t>
        </is>
      </c>
      <c r="B259" t="inlineStr">
        <is>
          <t>REV_DEBT x CHANNEL</t>
        </is>
      </c>
      <c r="C259" t="inlineStr">
        <is>
          <t>0 - 6,558</t>
        </is>
      </c>
      <c r="D259" t="inlineStr">
        <is>
          <t>Broker</t>
        </is>
      </c>
      <c r="E259" t="inlineStr">
        <is>
          <t>outcome_loans</t>
        </is>
      </c>
      <c r="F259" t="inlineStr">
        <is>
          <t>Outcome, share of loans</t>
        </is>
      </c>
      <c r="G259" t="n">
        <v>542</v>
      </c>
      <c r="H259" t="n">
        <v>542</v>
      </c>
      <c r="I259" t="b">
        <v>0</v>
      </c>
      <c r="J259" t="b">
        <v>0</v>
      </c>
      <c r="K259" t="n">
        <v>0.4593757122880077</v>
      </c>
      <c r="L259" t="n">
        <v>0.0007767010220272651</v>
      </c>
      <c r="M259" t="n">
        <v>0.8683886838868389</v>
      </c>
      <c r="N259" t="n">
        <v>0.8865297551749322</v>
      </c>
      <c r="O259" t="n">
        <v>-23.53734745876358</v>
      </c>
      <c r="P259" t="n">
        <v>-3.03116147308782</v>
      </c>
      <c r="Q259">
        <f>'_live'!$C$20</f>
        <v/>
      </c>
      <c r="R259" t="inlineStr">
        <is>
          <t>z test</t>
        </is>
      </c>
      <c r="S259" t="inlineStr">
        <is>
          <t>z test</t>
        </is>
      </c>
      <c r="T259" t="n">
        <v>0.08032720933351213</v>
      </c>
      <c r="U259" t="n">
        <v>0.0424929178470255</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0.03690036900369004</v>
      </c>
      <c r="AI259">
        <f>IF($Y259="worse","Yes",IF($Y259="worse, not significant","Not sure",IF(OR($Y259="too few losses to test",$Y259="too few loans to test"),"Too few losses",IF($Y259="","","No"))))</f>
        <v/>
      </c>
      <c r="AJ259">
        <f>IF($AA259="yes","Yes",IF($AA259="","","No"))</f>
        <v/>
      </c>
      <c r="AM259">
        <f>IF(AND(ISNUMBER($AC259),ISNUMBER(IF($V259,IF($AL259="","",$AL259),IF($AK259="","",$AK259)))),IF(AND(ABS($AC259-significance_bar)&lt;=2.0*IF($V259,IF($AL259="","",$AL259),IF($AK259="","",$AK259)),OR($Y259="worse",$Y259="better",$Y259="worse, not significant",$Y259="better, not significant")),IF(ROUND($AC259,3)=ROUND(significance_bar,3),TEXT($AC259,"0.0000"),TEXT($AC259,"0.000")),""),"")</f>
        <v/>
      </c>
      <c r="AN259">
        <f>IF(AND(ISNUMBER($AC259),ISNUMBER(IF($V259,IF($AL259="","",$AL259),IF($AK259="","",$AK259)))),IF(AND(ABS($AC259-significance_bar)&lt;=2.0*IF($V259,IF($AL259="","",$AL259),IF($AK259="","",$AK259)),OR($Y259="worse",$Y259="worse, not significant")),IF(ROUND($AC259,3)=ROUND(significance_bar,3),TEXT($AC259,"0.0000"),TEXT($AC259,"0.000")),""),"")</f>
        <v/>
      </c>
      <c r="AO259">
        <f>IF(OR($AI259="",$AN259=""),$AI259,$AI259&amp;" · borderline (p "&amp;$AN259&amp;")")</f>
        <v/>
      </c>
    </row>
    <row r="260">
      <c r="A260" t="inlineStr">
        <is>
          <t>grids</t>
        </is>
      </c>
      <c r="B260" t="inlineStr">
        <is>
          <t>REV_DEBT x CHANNEL</t>
        </is>
      </c>
      <c r="C260" t="inlineStr">
        <is>
          <t>0 - 6,558</t>
        </is>
      </c>
      <c r="D260" t="inlineStr">
        <is>
          <t>Broker</t>
        </is>
      </c>
      <c r="E260" t="inlineStr">
        <is>
          <t>outcome_booked</t>
        </is>
      </c>
      <c r="F260" t="inlineStr">
        <is>
          <t>Outcome, share of booked dollars</t>
        </is>
      </c>
      <c r="G260" t="n">
        <v>542</v>
      </c>
      <c r="H260" t="n">
        <v>17941991.75999999</v>
      </c>
      <c r="I260" t="b">
        <v>0</v>
      </c>
      <c r="J260" t="b">
        <v>0</v>
      </c>
      <c r="K260" t="n">
        <v>0.4636283593520933</v>
      </c>
      <c r="L260" t="n">
        <v>0.01066098081023454</v>
      </c>
      <c r="M260" t="n">
        <v>0.9485219919903553</v>
      </c>
      <c r="N260" t="n">
        <v>0.9381663113006397</v>
      </c>
      <c r="O260" t="n">
        <v>-748019.5054516728</v>
      </c>
      <c r="P260" t="n">
        <v>-35090.65192883054</v>
      </c>
      <c r="Q260">
        <f>'_live'!$C$21</f>
        <v/>
      </c>
      <c r="R260" t="inlineStr">
        <is>
          <t>shuffled: 0 of 200</t>
        </is>
      </c>
      <c r="S260" t="inlineStr">
        <is>
          <t>shuffled: 175 of 200</t>
        </is>
      </c>
      <c r="T260" t="n">
        <v>0.07772781551270055</v>
      </c>
      <c r="U260" t="n">
        <v>0.0379926031093457</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0.03603681958217555</v>
      </c>
      <c r="AI260">
        <f>IF($Y260="worse","Yes",IF($Y260="worse, not significant","Not sure",IF(OR($Y260="too few losses to test",$Y260="too few loans to test"),"Too few losses",IF($Y260="","","No"))))</f>
        <v/>
      </c>
      <c r="AJ260">
        <f>IF($AA260="yes","Yes",IF($AA260="","","No"))</f>
        <v/>
      </c>
      <c r="AK260" t="n">
        <v>0.01066098081023454</v>
      </c>
      <c r="AL260" t="n">
        <v>0.02500221620374963</v>
      </c>
      <c r="AM260">
        <f>IF(AND(ISNUMBER($AC260),ISNUMBER(IF($V260,IF($AL260="","",$AL260),IF($AK260="","",$AK260)))),IF(AND(ABS($AC260-significance_bar)&lt;=2.0*IF($V260,IF($AL260="","",$AL260),IF($AK260="","",$AK260)),OR($Y260="worse",$Y260="better",$Y260="worse, not significant",$Y260="better, not significant")),IF(ROUND($AC260,3)=ROUND(significance_bar,3),TEXT($AC260,"0.0000"),TEXT($AC260,"0.000")),""),"")</f>
        <v/>
      </c>
      <c r="AN260">
        <f>IF(AND(ISNUMBER($AC260),ISNUMBER(IF($V260,IF($AL260="","",$AL260),IF($AK260="","",$AK260)))),IF(AND(ABS($AC260-significance_bar)&lt;=2.0*IF($V260,IF($AL260="","",$AL260),IF($AK260="","",$AK260)),OR($Y260="worse",$Y260="worse, not significant")),IF(ROUND($AC260,3)=ROUND(significance_bar,3),TEXT($AC260,"0.0000"),TEXT($AC260,"0.000")),""),"")</f>
        <v/>
      </c>
      <c r="AO260">
        <f>IF(OR($AI260="",$AN260=""),$AI260,$AI260&amp;" · borderline (p "&amp;$AN260&amp;")")</f>
        <v/>
      </c>
    </row>
    <row r="261">
      <c r="A261" t="inlineStr">
        <is>
          <t>grids</t>
        </is>
      </c>
      <c r="B261" t="inlineStr">
        <is>
          <t>REV_DEBT x CHANNEL</t>
        </is>
      </c>
      <c r="C261" t="inlineStr">
        <is>
          <t>0 - 6,558</t>
        </is>
      </c>
      <c r="D261" t="inlineStr">
        <is>
          <t>Broker</t>
        </is>
      </c>
      <c r="E261" t="inlineStr">
        <is>
          <t>gco_rate</t>
        </is>
      </c>
      <c r="F261" t="inlineStr">
        <is>
          <t>GCO per booked dollar</t>
        </is>
      </c>
      <c r="G261" t="n">
        <v>542</v>
      </c>
      <c r="H261" t="n">
        <v>17941991.75999999</v>
      </c>
      <c r="I261" t="b">
        <v>0</v>
      </c>
      <c r="J261" t="b">
        <v>0</v>
      </c>
      <c r="K261" t="n">
        <v>0.4564109956444061</v>
      </c>
      <c r="L261" t="n">
        <v>0.009328358208955223</v>
      </c>
      <c r="M261" t="n">
        <v>1.013612212669388</v>
      </c>
      <c r="N261" t="n">
        <v>0.9800995024875622</v>
      </c>
      <c r="O261" t="n">
        <v>-421719.3504171103</v>
      </c>
      <c r="P261" t="n">
        <v>4755.167892694997</v>
      </c>
      <c r="Q261">
        <f>'_live'!$C$22</f>
        <v/>
      </c>
      <c r="R261" t="inlineStr">
        <is>
          <t>shuffled: 0 of 200</t>
        </is>
      </c>
      <c r="S261" t="inlineStr">
        <is>
          <t>shuffled: 194 of 200</t>
        </is>
      </c>
      <c r="T261" t="n">
        <v>0.04323965425882631</v>
      </c>
      <c r="U261" t="n">
        <v>0.01947002355034551</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0.0197350536515908</v>
      </c>
      <c r="AI261">
        <f>IF($Y261="worse","Yes",IF($Y261="worse, not significant","Not sure",IF(OR($Y261="too few losses to test",$Y261="too few loans to test"),"Too few losses",IF($Y261="","","No"))))</f>
        <v/>
      </c>
      <c r="AJ261">
        <f>IF($AA261="yes","Yes",IF($AA261="","","No"))</f>
        <v/>
      </c>
      <c r="AK261" t="n">
        <v>0.009328358208955223</v>
      </c>
      <c r="AL261" t="n">
        <v>0.009875339921034437</v>
      </c>
      <c r="AM261">
        <f>IF(AND(ISNUMBER($AC261),ISNUMBER(IF($V261,IF($AL261="","",$AL261),IF($AK261="","",$AK261)))),IF(AND(ABS($AC261-significance_bar)&lt;=2.0*IF($V261,IF($AL261="","",$AL261),IF($AK261="","",$AK261)),OR($Y261="worse",$Y261="better",$Y261="worse, not significant",$Y261="better, not significant")),IF(ROUND($AC261,3)=ROUND(significance_bar,3),TEXT($AC261,"0.0000"),TEXT($AC261,"0.000")),""),"")</f>
        <v/>
      </c>
      <c r="AN261">
        <f>IF(AND(ISNUMBER($AC261),ISNUMBER(IF($V261,IF($AL261="","",$AL261),IF($AK261="","",$AK261)))),IF(AND(ABS($AC261-significance_bar)&lt;=2.0*IF($V261,IF($AL261="","",$AL261),IF($AK261="","",$AK261)),OR($Y261="worse",$Y261="worse, not significant")),IF(ROUND($AC261,3)=ROUND(significance_bar,3),TEXT($AC261,"0.0000"),TEXT($AC261,"0.000")),""),"")</f>
        <v/>
      </c>
      <c r="AO261">
        <f>IF(OR($AI261="",$AN261=""),$AI261,$AI261&amp;" · borderline (p "&amp;$AN261&amp;")")</f>
        <v/>
      </c>
    </row>
    <row r="262">
      <c r="A262" t="inlineStr">
        <is>
          <t>grids</t>
        </is>
      </c>
      <c r="B262" t="inlineStr">
        <is>
          <t>REV_DEBT x CHANNEL</t>
        </is>
      </c>
      <c r="C262" t="inlineStr">
        <is>
          <t>0 - 6,558</t>
        </is>
      </c>
      <c r="D262" t="inlineStr">
        <is>
          <t>Broker</t>
        </is>
      </c>
      <c r="E262" t="inlineStr">
        <is>
          <t>ranr_rate</t>
        </is>
      </c>
      <c r="F262" t="inlineStr">
        <is>
          <t>Profit after losses: RANR per booked dollar</t>
        </is>
      </c>
      <c r="G262" t="n">
        <v>542</v>
      </c>
      <c r="H262" t="n">
        <v>17941991.75999999</v>
      </c>
      <c r="I262" t="b">
        <v>0</v>
      </c>
      <c r="J262" t="b">
        <v>0</v>
      </c>
      <c r="K262" t="n">
        <v>-0.03795562402123757</v>
      </c>
      <c r="L262" t="n">
        <v>0.01492537313432836</v>
      </c>
      <c r="M262" t="n">
        <v>-0.02091453963483238</v>
      </c>
      <c r="N262" t="n">
        <v>0.0373134328358209</v>
      </c>
      <c r="O262" t="n">
        <v>680999.4934347023</v>
      </c>
      <c r="P262" t="n">
        <v>375248.4977923557</v>
      </c>
      <c r="Q262">
        <f>'_live'!$C$23</f>
        <v/>
      </c>
      <c r="R262" t="inlineStr">
        <is>
          <t>shuffled: 0 of 200</t>
        </is>
      </c>
      <c r="S262" t="inlineStr">
        <is>
          <t>shuffled: 2 of 200</t>
        </is>
      </c>
      <c r="T262" t="n">
        <v>0.1306288825000944</v>
      </c>
      <c r="U262" t="n">
        <v>0.1135877981136892</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0.09267325847885684</v>
      </c>
      <c r="AI262">
        <f>IF($Y262="worse","Yes",IF($Y262="worse, not significant","Not sure",IF(OR($Y262="too few losses to test",$Y262="too few loans to test"),"Too few losses",IF($Y262="","","No"))))</f>
        <v/>
      </c>
      <c r="AJ262">
        <f>IF($AA262="yes","Yes",IF($AA262="","","No"))</f>
        <v/>
      </c>
      <c r="AK262" t="n">
        <v>0.01492537313432836</v>
      </c>
      <c r="AL262" t="n">
        <v>0.02143493524827622</v>
      </c>
      <c r="AM262">
        <f>IF(AND(ISNUMBER($AC262),ISNUMBER(IF($V262,IF($AL262="","",$AL262),IF($AK262="","",$AK262)))),IF(AND(ABS($AC262-significance_bar)&lt;=2.0*IF($V262,IF($AL262="","",$AL262),IF($AK262="","",$AK262)),OR($Y262="worse",$Y262="better",$Y262="worse, not significant",$Y262="better, not significant",AND(profit_kind="test",$Y262="in line",ISNUMBER($AB262),$AB262&lt;&gt;0))),IF(ROUND($AC262,3)=ROUND(significance_bar,3),TEXT($AC262,"0.0000"),TEXT($AC262,"0.000")),""),"")</f>
        <v/>
      </c>
      <c r="AN262">
        <f>IF(AND(ISNUMBER($AC262),ISNUMBER(IF($V262,IF($AL262="","",$AL262),IF($AK262="","",$AK262)))),IF(AND(ABS($AC262-significance_bar)&lt;=2.0*IF($V262,IF($AL262="","",$AL262),IF($AK262="","",$AK262)),OR($Y262="worse",$Y262="worse, not significant",AND(profit_kind="test",$Y262="in line",ISNUMBER($AB262),$AB262&lt;0))),IF(ROUND($AC262,3)=ROUND(significance_bar,3),TEXT($AC262,"0.0000"),TEXT($AC262,"0.000")),""),"")</f>
        <v/>
      </c>
      <c r="AO262">
        <f>IF(OR($AI262="",$AN262=""),$AI262,$AI262&amp;" · borderline (p "&amp;$AN262&amp;")")</f>
        <v/>
      </c>
    </row>
    <row r="263">
      <c r="A263" t="inlineStr">
        <is>
          <t>grids</t>
        </is>
      </c>
      <c r="B263" t="inlineStr">
        <is>
          <t>REV_DEBT x CHANNEL</t>
        </is>
      </c>
      <c r="C263" t="inlineStr">
        <is>
          <t>0 - 6,558</t>
        </is>
      </c>
      <c r="D263" t="inlineStr">
        <is>
          <t>Broker</t>
        </is>
      </c>
      <c r="E263" t="inlineStr">
        <is>
          <t>contribution_rate</t>
        </is>
      </c>
      <c r="F263" t="inlineStr">
        <is>
          <t>Contribution before losses per booked dollar</t>
        </is>
      </c>
      <c r="G263" t="n">
        <v>542</v>
      </c>
      <c r="H263" t="n">
        <v>17941991.75999999</v>
      </c>
      <c r="I263" t="b">
        <v>0</v>
      </c>
      <c r="J263" t="b">
        <v>0</v>
      </c>
      <c r="K263" t="n">
        <v>-0.06145758788486197</v>
      </c>
      <c r="L263" t="n">
        <v>0.007462686567164178</v>
      </c>
      <c r="M263" t="n">
        <v>-0.0206495095335871</v>
      </c>
      <c r="N263" t="n">
        <v>0.01243781094527363</v>
      </c>
      <c r="O263" t="n">
        <v>1102671.535419669</v>
      </c>
      <c r="P263" t="n">
        <v>370493.3298996612</v>
      </c>
      <c r="Q263">
        <f>'_live'!$C$24</f>
        <v/>
      </c>
      <c r="R263" t="inlineStr">
        <is>
          <t>shuffled: 0 of 200</t>
        </is>
      </c>
      <c r="S263" t="inlineStr">
        <is>
          <t>shuffled: 0 of 200</t>
        </is>
      </c>
      <c r="T263" t="n">
        <v>0.1738659000153096</v>
      </c>
      <c r="U263" t="n">
        <v>0.1330578216640347</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0.1124083121304476</v>
      </c>
      <c r="AI263">
        <f>IF($Y263="worse","Yes",IF($Y263="worse, not significant","Not sure",IF(OR($Y263="too few losses to test",$Y263="too few loans to test"),"Too few losses",IF($Y263="","","No"))))</f>
        <v/>
      </c>
      <c r="AJ263">
        <f>IF($AA263="yes","Yes",IF($AA263="","","No"))</f>
        <v/>
      </c>
      <c r="AK263" t="n">
        <v>0.007462686567164178</v>
      </c>
      <c r="AL263" t="n">
        <v>0.01243781094527363</v>
      </c>
      <c r="AM263">
        <f>IF(AND(ISNUMBER($AC263),ISNUMBER(IF($V263,IF($AL263="","",$AL263),IF($AK263="","",$AK263)))),IF(AND(ABS($AC263-significance_bar)&lt;=2.0*IF($V263,IF($AL263="","",$AL263),IF($AK263="","",$AK263)),OR($Y263="worse",$Y263="better",$Y263="worse, not significant",$Y263="better, not significant",AND(profit_kind="test",$Y263="in line",ISNUMBER($AB263),$AB263&lt;&gt;0))),IF(ROUND($AC263,3)=ROUND(significance_bar,3),TEXT($AC263,"0.0000"),TEXT($AC263,"0.000")),""),"")</f>
        <v/>
      </c>
      <c r="AN263">
        <f>IF(AND(ISNUMBER($AC263),ISNUMBER(IF($V263,IF($AL263="","",$AL263),IF($AK263="","",$AK263)))),IF(AND(ABS($AC263-significance_bar)&lt;=2.0*IF($V263,IF($AL263="","",$AL263),IF($AK263="","",$AK263)),OR($Y263="worse",$Y263="worse, not significant",AND(profit_kind="test",$Y263="in line",ISNUMBER($AB263),$AB263&lt;0))),IF(ROUND($AC263,3)=ROUND(significance_bar,3),TEXT($AC263,"0.0000"),TEXT($AC263,"0.000")),""),"")</f>
        <v/>
      </c>
      <c r="AO263">
        <f>IF(OR($AI263="",$AN263=""),$AI263,$AI263&amp;" · borderline (p "&amp;$AN263&amp;")")</f>
        <v/>
      </c>
    </row>
    <row r="264">
      <c r="A264" t="inlineStr">
        <is>
          <t>grids</t>
        </is>
      </c>
      <c r="B264" t="inlineStr">
        <is>
          <t>REV_DEBT x CHANNEL</t>
        </is>
      </c>
      <c r="C264" t="inlineStr">
        <is>
          <t>13,052 - 17,186</t>
        </is>
      </c>
      <c r="D264" t="inlineStr">
        <is>
          <t>Branch</t>
        </is>
      </c>
      <c r="E264" t="inlineStr">
        <is>
          <t>outcome_loans</t>
        </is>
      </c>
      <c r="F264" t="inlineStr">
        <is>
          <t>Outcome, share of loans</t>
        </is>
      </c>
      <c r="G264" t="n">
        <v>525</v>
      </c>
      <c r="H264" t="n">
        <v>525</v>
      </c>
      <c r="I264" t="b">
        <v>0</v>
      </c>
      <c r="J264" t="b">
        <v>0</v>
      </c>
      <c r="K264" t="n">
        <v>0.8790786571918647</v>
      </c>
      <c r="L264" t="n">
        <v>0.4343074692156821</v>
      </c>
      <c r="M264" t="n">
        <v>0.6523388116308471</v>
      </c>
      <c r="N264" t="n">
        <v>0.06819908373255017</v>
      </c>
      <c r="O264" t="n">
        <v>-4.951966818303454</v>
      </c>
      <c r="P264" t="n">
        <v>-19.18604651162791</v>
      </c>
      <c r="Q264">
        <f>'_live'!$C$20</f>
        <v/>
      </c>
      <c r="R264" t="inlineStr">
        <is>
          <t>z test</t>
        </is>
      </c>
      <c r="S264" t="inlineStr">
        <is>
          <t>z test</t>
        </is>
      </c>
      <c r="T264" t="n">
        <v>0.07800374632057801</v>
      </c>
      <c r="U264" t="n">
        <v>0.1051162790697674</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0.06857142857142857</v>
      </c>
      <c r="AI264">
        <f>IF($Y264="worse","Yes",IF($Y264="worse, not significant","Not sure",IF(OR($Y264="too few losses to test",$Y264="too few loans to test"),"Too few losses",IF($Y264="","","No"))))</f>
        <v/>
      </c>
      <c r="AJ264">
        <f>IF($AA264="yes","Yes",IF($AA264="","","No"))</f>
        <v/>
      </c>
      <c r="AM264">
        <f>IF(AND(ISNUMBER($AC264),ISNUMBER(IF($V264,IF($AL264="","",$AL264),IF($AK264="","",$AK264)))),IF(AND(ABS($AC264-significance_bar)&lt;=2.0*IF($V264,IF($AL264="","",$AL264),IF($AK264="","",$AK264)),OR($Y264="worse",$Y264="better",$Y264="worse, not significant",$Y264="better, not significant")),IF(ROUND($AC264,3)=ROUND(significance_bar,3),TEXT($AC264,"0.0000"),TEXT($AC264,"0.000")),""),"")</f>
        <v/>
      </c>
      <c r="AN264">
        <f>IF(AND(ISNUMBER($AC264),ISNUMBER(IF($V264,IF($AL264="","",$AL264),IF($AK264="","",$AK264)))),IF(AND(ABS($AC264-significance_bar)&lt;=2.0*IF($V264,IF($AL264="","",$AL264),IF($AK264="","",$AK264)),OR($Y264="worse",$Y264="worse, not significant")),IF(ROUND($AC264,3)=ROUND(significance_bar,3),TEXT($AC264,"0.0000"),TEXT($AC264,"0.000")),""),"")</f>
        <v/>
      </c>
      <c r="AO264">
        <f>IF(OR($AI264="",$AN264=""),$AI264,$AI264&amp;" · borderline (p "&amp;$AN264&amp;")")</f>
        <v/>
      </c>
    </row>
    <row r="265">
      <c r="A265" t="inlineStr">
        <is>
          <t>grids</t>
        </is>
      </c>
      <c r="B265" t="inlineStr">
        <is>
          <t>REV_DEBT x CHANNEL</t>
        </is>
      </c>
      <c r="C265" t="inlineStr">
        <is>
          <t>13,052 - 17,186</t>
        </is>
      </c>
      <c r="D265" t="inlineStr">
        <is>
          <t>Branch</t>
        </is>
      </c>
      <c r="E265" t="inlineStr">
        <is>
          <t>outcome_booked</t>
        </is>
      </c>
      <c r="F265" t="inlineStr">
        <is>
          <t>Outcome, share of booked dollars</t>
        </is>
      </c>
      <c r="G265" t="n">
        <v>525</v>
      </c>
      <c r="H265" t="n">
        <v>16815062.00999999</v>
      </c>
      <c r="I265" t="b">
        <v>0</v>
      </c>
      <c r="J265" t="b">
        <v>0</v>
      </c>
      <c r="K265" t="n">
        <v>0.7994289338494628</v>
      </c>
      <c r="L265" t="n">
        <v>0.2718550106609808</v>
      </c>
      <c r="M265" t="n">
        <v>0.5709036648277326</v>
      </c>
      <c r="N265" t="n">
        <v>0.03731343283582089</v>
      </c>
      <c r="O265" t="n">
        <v>-255711.2466631226</v>
      </c>
      <c r="P265" t="n">
        <v>-766043.4148910007</v>
      </c>
      <c r="Q265">
        <f>'_live'!$C$21</f>
        <v/>
      </c>
      <c r="R265" t="inlineStr">
        <is>
          <t>shuffled: 50 of 200</t>
        </is>
      </c>
      <c r="S265" t="inlineStr">
        <is>
          <t>shuffled: 0 of 200</t>
        </is>
      </c>
      <c r="T265" t="n">
        <v>0.07581987660259142</v>
      </c>
      <c r="U265" t="n">
        <v>0.1061695814044162</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0.06061260311700749</v>
      </c>
      <c r="AI265">
        <f>IF($Y265="worse","Yes",IF($Y265="worse, not significant","Not sure",IF(OR($Y265="too few losses to test",$Y265="too few loans to test"),"Too few losses",IF($Y265="","","No"))))</f>
        <v/>
      </c>
      <c r="AJ265">
        <f>IF($AA265="yes","Yes",IF($AA265="","","No"))</f>
        <v/>
      </c>
      <c r="AK265" t="n">
        <v>0.03296726246495997</v>
      </c>
      <c r="AL265" t="n">
        <v>0.03731343283582089</v>
      </c>
      <c r="AM265">
        <f>IF(AND(ISNUMBER($AC265),ISNUMBER(IF($V265,IF($AL265="","",$AL265),IF($AK265="","",$AK265)))),IF(AND(ABS($AC265-significance_bar)&lt;=2.0*IF($V265,IF($AL265="","",$AL265),IF($AK265="","",$AK265)),OR($Y265="worse",$Y265="better",$Y265="worse, not significant",$Y265="better, not significant")),IF(ROUND($AC265,3)=ROUND(significance_bar,3),TEXT($AC265,"0.0000"),TEXT($AC265,"0.000")),""),"")</f>
        <v/>
      </c>
      <c r="AN265">
        <f>IF(AND(ISNUMBER($AC265),ISNUMBER(IF($V265,IF($AL265="","",$AL265),IF($AK265="","",$AK265)))),IF(AND(ABS($AC265-significance_bar)&lt;=2.0*IF($V265,IF($AL265="","",$AL265),IF($AK265="","",$AK265)),OR($Y265="worse",$Y265="worse, not significant")),IF(ROUND($AC265,3)=ROUND(significance_bar,3),TEXT($AC265,"0.0000"),TEXT($AC265,"0.000")),""),"")</f>
        <v/>
      </c>
      <c r="AO265">
        <f>IF(OR($AI265="",$AN265=""),$AI265,$AI265&amp;" · borderline (p "&amp;$AN265&amp;")")</f>
        <v/>
      </c>
    </row>
    <row r="266">
      <c r="A266" t="inlineStr">
        <is>
          <t>grids</t>
        </is>
      </c>
      <c r="B266" t="inlineStr">
        <is>
          <t>REV_DEBT x CHANNEL</t>
        </is>
      </c>
      <c r="C266" t="inlineStr">
        <is>
          <t>13,052 - 17,186</t>
        </is>
      </c>
      <c r="D266" t="inlineStr">
        <is>
          <t>Branch</t>
        </is>
      </c>
      <c r="E266" t="inlineStr">
        <is>
          <t>gco_rate</t>
        </is>
      </c>
      <c r="F266" t="inlineStr">
        <is>
          <t>GCO per booked dollar</t>
        </is>
      </c>
      <c r="G266" t="n">
        <v>525</v>
      </c>
      <c r="H266" t="n">
        <v>16815062.00999999</v>
      </c>
      <c r="I266" t="b">
        <v>0</v>
      </c>
      <c r="J266" t="b">
        <v>0</v>
      </c>
      <c r="K266" t="n">
        <v>0.7725653298249484</v>
      </c>
      <c r="L266" t="n">
        <v>0.2066590126291619</v>
      </c>
      <c r="M266" t="n">
        <v>0.5358031863758912</v>
      </c>
      <c r="N266" t="n">
        <v>0.03731343283582089</v>
      </c>
      <c r="O266" t="n">
        <v>-161505.9162230954</v>
      </c>
      <c r="P266" t="n">
        <v>-475295.6549880145</v>
      </c>
      <c r="Q266">
        <f>'_live'!$C$22</f>
        <v/>
      </c>
      <c r="R266" t="inlineStr">
        <is>
          <t>shuffled: 35 of 200</t>
        </is>
      </c>
      <c r="S266" t="inlineStr">
        <is>
          <t>shuffled: 0 of 200</t>
        </is>
      </c>
      <c r="T266" t="n">
        <v>0.04223118747946238</v>
      </c>
      <c r="U266" t="n">
        <v>0.06089241742784479</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0.03262635128397009</v>
      </c>
      <c r="AI266">
        <f>IF($Y266="worse","Yes",IF($Y266="worse, not significant","Not sure",IF(OR($Y266="too few losses to test",$Y266="too few loans to test"),"Too few losses",IF($Y266="","","No"))))</f>
        <v/>
      </c>
      <c r="AJ266">
        <f>IF($AA266="yes","Yes",IF($AA266="","","No"))</f>
        <v/>
      </c>
      <c r="AK266" t="n">
        <v>0.031284561638206</v>
      </c>
      <c r="AL266" t="n">
        <v>0.03731343283582089</v>
      </c>
      <c r="AM266">
        <f>IF(AND(ISNUMBER($AC266),ISNUMBER(IF($V266,IF($AL266="","",$AL266),IF($AK266="","",$AK266)))),IF(AND(ABS($AC266-significance_bar)&lt;=2.0*IF($V266,IF($AL266="","",$AL266),IF($AK266="","",$AK266)),OR($Y266="worse",$Y266="better",$Y266="worse, not significant",$Y266="better, not significant")),IF(ROUND($AC266,3)=ROUND(significance_bar,3),TEXT($AC266,"0.0000"),TEXT($AC266,"0.000")),""),"")</f>
        <v/>
      </c>
      <c r="AN266">
        <f>IF(AND(ISNUMBER($AC266),ISNUMBER(IF($V266,IF($AL266="","",$AL266),IF($AK266="","",$AK266)))),IF(AND(ABS($AC266-significance_bar)&lt;=2.0*IF($V266,IF($AL266="","",$AL266),IF($AK266="","",$AK266)),OR($Y266="worse",$Y266="worse, not significant")),IF(ROUND($AC266,3)=ROUND(significance_bar,3),TEXT($AC266,"0.0000"),TEXT($AC266,"0.000")),""),"")</f>
        <v/>
      </c>
      <c r="AO266">
        <f>IF(OR($AI266="",$AN266=""),$AI266,$AI266&amp;" · borderline (p "&amp;$AN266&amp;")")</f>
        <v/>
      </c>
    </row>
    <row r="267">
      <c r="A267" t="inlineStr">
        <is>
          <t>grids</t>
        </is>
      </c>
      <c r="B267" t="inlineStr">
        <is>
          <t>REV_DEBT x CHANNEL</t>
        </is>
      </c>
      <c r="C267" t="inlineStr">
        <is>
          <t>13,052 - 17,186</t>
        </is>
      </c>
      <c r="D267" t="inlineStr">
        <is>
          <t>Branch</t>
        </is>
      </c>
      <c r="E267" t="inlineStr">
        <is>
          <t>ranr_rate</t>
        </is>
      </c>
      <c r="F267" t="inlineStr">
        <is>
          <t>Profit after losses: RANR per booked dollar</t>
        </is>
      </c>
      <c r="G267" t="n">
        <v>525</v>
      </c>
      <c r="H267" t="n">
        <v>16815062.00999999</v>
      </c>
      <c r="I267" t="b">
        <v>0</v>
      </c>
      <c r="J267" t="b">
        <v>0</v>
      </c>
      <c r="K267" t="n">
        <v>0.02152960084147654</v>
      </c>
      <c r="L267" t="n">
        <v>0.06396588486140725</v>
      </c>
      <c r="M267" t="n">
        <v>0.0133282120598133</v>
      </c>
      <c r="N267" t="n">
        <v>0.338691159586682</v>
      </c>
      <c r="O267" t="n">
        <v>-362021.5731999762</v>
      </c>
      <c r="P267" t="n">
        <v>-224114.7122681905</v>
      </c>
      <c r="Q267">
        <f>'_live'!$C$23</f>
        <v/>
      </c>
      <c r="R267" t="inlineStr">
        <is>
          <t>shuffled: 5 of 200</t>
        </is>
      </c>
      <c r="S267" t="inlineStr">
        <is>
          <t>shuffled: 58 of 200</t>
        </is>
      </c>
      <c r="T267" t="n">
        <v>0.1265872374145366</v>
      </c>
      <c r="U267" t="n">
        <v>0.1347886261961999</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0.1481168382560132</v>
      </c>
      <c r="AI267">
        <f>IF($Y267="worse","Yes",IF($Y267="worse, not significant","Not sure",IF(OR($Y267="too few losses to test",$Y267="too few loans to test"),"Too few losses",IF($Y267="","","No"))))</f>
        <v/>
      </c>
      <c r="AJ267">
        <f>IF($AA267="yes","Yes",IF($AA267="","","No"))</f>
        <v/>
      </c>
      <c r="AK267" t="n">
        <v>0.02578547254253267</v>
      </c>
      <c r="AL267" t="n">
        <v>0.03715412428308704</v>
      </c>
      <c r="AM267">
        <f>IF(AND(ISNUMBER($AC267),ISNUMBER(IF($V267,IF($AL267="","",$AL267),IF($AK267="","",$AK267)))),IF(AND(ABS($AC267-significance_bar)&lt;=2.0*IF($V267,IF($AL267="","",$AL267),IF($AK267="","",$AK267)),OR($Y267="worse",$Y267="better",$Y267="worse, not significant",$Y267="better, not significant",AND(profit_kind="test",$Y267="in line",ISNUMBER($AB267),$AB267&lt;&gt;0))),IF(ROUND($AC267,3)=ROUND(significance_bar,3),TEXT($AC267,"0.0000"),TEXT($AC267,"0.000")),""),"")</f>
        <v/>
      </c>
      <c r="AN267">
        <f>IF(AND(ISNUMBER($AC267),ISNUMBER(IF($V267,IF($AL267="","",$AL267),IF($AK267="","",$AK267)))),IF(AND(ABS($AC267-significance_bar)&lt;=2.0*IF($V267,IF($AL267="","",$AL267),IF($AK267="","",$AK267)),OR($Y267="worse",$Y267="worse, not significant",AND(profit_kind="test",$Y267="in line",ISNUMBER($AB267),$AB267&lt;0))),IF(ROUND($AC267,3)=ROUND(significance_bar,3),TEXT($AC267,"0.0000"),TEXT($AC267,"0.000")),""),"")</f>
        <v/>
      </c>
      <c r="AO267">
        <f>IF(OR($AI267="",$AN267=""),$AI267,$AI267&amp;" · borderline (p "&amp;$AN267&amp;")")</f>
        <v/>
      </c>
    </row>
    <row r="268">
      <c r="A268" t="inlineStr">
        <is>
          <t>grids</t>
        </is>
      </c>
      <c r="B268" t="inlineStr">
        <is>
          <t>REV_DEBT x CHANNEL</t>
        </is>
      </c>
      <c r="C268" t="inlineStr">
        <is>
          <t>13,052 - 17,186</t>
        </is>
      </c>
      <c r="D268" t="inlineStr">
        <is>
          <t>Branch</t>
        </is>
      </c>
      <c r="E268" t="inlineStr">
        <is>
          <t>contribution_rate</t>
        </is>
      </c>
      <c r="F268" t="inlineStr">
        <is>
          <t>Contribution before losses per booked dollar</t>
        </is>
      </c>
      <c r="G268" t="n">
        <v>525</v>
      </c>
      <c r="H268" t="n">
        <v>16815062.00999999</v>
      </c>
      <c r="I268" t="b">
        <v>0</v>
      </c>
      <c r="J268" t="b">
        <v>0</v>
      </c>
      <c r="K268" t="n">
        <v>0.01192805400160266</v>
      </c>
      <c r="L268" t="n">
        <v>0.06888633754305397</v>
      </c>
      <c r="M268" t="n">
        <v>-0.0149378540840614</v>
      </c>
      <c r="N268" t="n">
        <v>0.06633499170812603</v>
      </c>
      <c r="O268" t="n">
        <v>-200570.9676955775</v>
      </c>
      <c r="P268" t="n">
        <v>251180.9427198237</v>
      </c>
      <c r="Q268">
        <f>'_live'!$C$24</f>
        <v/>
      </c>
      <c r="R268" t="inlineStr">
        <is>
          <t>shuffled: 11 of 200</t>
        </is>
      </c>
      <c r="S268" t="inlineStr">
        <is>
          <t>shuffled: 7 of 200</t>
        </is>
      </c>
      <c r="T268" t="n">
        <v>0.1688151355383807</v>
      </c>
      <c r="U268" t="n">
        <v>0.1956810436240447</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0.1807431895399833</v>
      </c>
      <c r="AI268">
        <f>IF($Y268="worse","Yes",IF($Y268="worse, not significant","Not sure",IF(OR($Y268="too few losses to test",$Y268="too few loans to test"),"Too few losses",IF($Y268="","","No"))))</f>
        <v/>
      </c>
      <c r="AJ268">
        <f>IF($AA268="yes","Yes",IF($AA268="","","No"))</f>
        <v/>
      </c>
      <c r="AK268" t="n">
        <v>0.01933118052868282</v>
      </c>
      <c r="AL268" t="n">
        <v>0.02303887892114395</v>
      </c>
      <c r="AM268">
        <f>IF(AND(ISNUMBER($AC268),ISNUMBER(IF($V268,IF($AL268="","",$AL268),IF($AK268="","",$AK268)))),IF(AND(ABS($AC268-significance_bar)&lt;=2.0*IF($V268,IF($AL268="","",$AL268),IF($AK268="","",$AK268)),OR($Y268="worse",$Y268="better",$Y268="worse, not significant",$Y268="better, not significant",AND(profit_kind="test",$Y268="in line",ISNUMBER($AB268),$AB268&lt;&gt;0))),IF(ROUND($AC268,3)=ROUND(significance_bar,3),TEXT($AC268,"0.0000"),TEXT($AC268,"0.000")),""),"")</f>
        <v/>
      </c>
      <c r="AN268">
        <f>IF(AND(ISNUMBER($AC268),ISNUMBER(IF($V268,IF($AL268="","",$AL268),IF($AK268="","",$AK268)))),IF(AND(ABS($AC268-significance_bar)&lt;=2.0*IF($V268,IF($AL268="","",$AL268),IF($AK268="","",$AK268)),OR($Y268="worse",$Y268="worse, not significant",AND(profit_kind="test",$Y268="in line",ISNUMBER($AB268),$AB268&lt;0))),IF(ROUND($AC268,3)=ROUND(significance_bar,3),TEXT($AC268,"0.0000"),TEXT($AC268,"0.000")),""),"")</f>
        <v/>
      </c>
      <c r="AO268">
        <f>IF(OR($AI268="",$AN268=""),$AI268,$AI268&amp;" · borderline (p "&amp;$AN268&amp;")")</f>
        <v/>
      </c>
    </row>
    <row r="269">
      <c r="A269" t="inlineStr">
        <is>
          <t>grids</t>
        </is>
      </c>
      <c r="B269" t="inlineStr">
        <is>
          <t>REV_DEBT x CHANNEL</t>
        </is>
      </c>
      <c r="C269" t="inlineStr">
        <is>
          <t>0 - 6,558</t>
        </is>
      </c>
      <c r="D269" t="inlineStr">
        <is>
          <t>Online</t>
        </is>
      </c>
      <c r="E269" t="inlineStr">
        <is>
          <t>outcome_loans</t>
        </is>
      </c>
      <c r="F269" t="inlineStr">
        <is>
          <t>Outcome, share of loans</t>
        </is>
      </c>
      <c r="G269" t="n">
        <v>537</v>
      </c>
      <c r="H269" t="n">
        <v>537</v>
      </c>
      <c r="I269" t="b">
        <v>0</v>
      </c>
      <c r="J269" t="b">
        <v>0</v>
      </c>
      <c r="K269" t="n">
        <v>0.5362441103320711</v>
      </c>
      <c r="L269" t="n">
        <v>0.00359559305473715</v>
      </c>
      <c r="M269" t="n">
        <v>1.08504034761018</v>
      </c>
      <c r="N269" t="n">
        <v>0.8865297551749322</v>
      </c>
      <c r="O269" t="n">
        <v>-19.8909139640847</v>
      </c>
      <c r="P269" t="n">
        <v>1.80263157894737</v>
      </c>
      <c r="Q269">
        <f>'_live'!$C$20</f>
        <v/>
      </c>
      <c r="R269" t="inlineStr">
        <is>
          <t>z test</t>
        </is>
      </c>
      <c r="S269" t="inlineStr">
        <is>
          <t>z test</t>
        </is>
      </c>
      <c r="T269" t="n">
        <v>0.07987134816403109</v>
      </c>
      <c r="U269" t="n">
        <v>0.03947368421052631</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0.04283054003724395</v>
      </c>
      <c r="AI269">
        <f>IF($Y269="worse","Yes",IF($Y269="worse, not significant","Not sure",IF(OR($Y269="too few losses to test",$Y269="too few loans to test"),"Too few losses",IF($Y269="","","No"))))</f>
        <v/>
      </c>
      <c r="AJ269">
        <f>IF($AA269="yes","Yes",IF($AA269="","","No"))</f>
        <v/>
      </c>
      <c r="AM269">
        <f>IF(AND(ISNUMBER($AC269),ISNUMBER(IF($V269,IF($AL269="","",$AL269),IF($AK269="","",$AK269)))),IF(AND(ABS($AC269-significance_bar)&lt;=2.0*IF($V269,IF($AL269="","",$AL269),IF($AK269="","",$AK269)),OR($Y269="worse",$Y269="better",$Y269="worse, not significant",$Y269="better, not significant")),IF(ROUND($AC269,3)=ROUND(significance_bar,3),TEXT($AC269,"0.0000"),TEXT($AC269,"0.000")),""),"")</f>
        <v/>
      </c>
      <c r="AN269">
        <f>IF(AND(ISNUMBER($AC269),ISNUMBER(IF($V269,IF($AL269="","",$AL269),IF($AK269="","",$AK269)))),IF(AND(ABS($AC269-significance_bar)&lt;=2.0*IF($V269,IF($AL269="","",$AL269),IF($AK269="","",$AK269)),OR($Y269="worse",$Y269="worse, not significant")),IF(ROUND($AC269,3)=ROUND(significance_bar,3),TEXT($AC269,"0.0000"),TEXT($AC269,"0.000")),""),"")</f>
        <v/>
      </c>
      <c r="AO269">
        <f>IF(OR($AI269="",$AN269=""),$AI269,$AI269&amp;" · borderline (p "&amp;$AN269&amp;")")</f>
        <v/>
      </c>
    </row>
    <row r="270">
      <c r="A270" t="inlineStr">
        <is>
          <t>grids</t>
        </is>
      </c>
      <c r="B270" t="inlineStr">
        <is>
          <t>REV_DEBT x CHANNEL</t>
        </is>
      </c>
      <c r="C270" t="inlineStr">
        <is>
          <t>0 - 6,558</t>
        </is>
      </c>
      <c r="D270" t="inlineStr">
        <is>
          <t>Online</t>
        </is>
      </c>
      <c r="E270" t="inlineStr">
        <is>
          <t>outcome_booked</t>
        </is>
      </c>
      <c r="F270" t="inlineStr">
        <is>
          <t>Outcome, share of booked dollars</t>
        </is>
      </c>
      <c r="G270" t="n">
        <v>537</v>
      </c>
      <c r="H270" t="n">
        <v>17555026.92</v>
      </c>
      <c r="I270" t="b">
        <v>0</v>
      </c>
      <c r="J270" t="b">
        <v>0</v>
      </c>
      <c r="K270" t="n">
        <v>0.5306038497359519</v>
      </c>
      <c r="L270" t="n">
        <v>0.01066098081023454</v>
      </c>
      <c r="M270" t="n">
        <v>1.156513044472076</v>
      </c>
      <c r="N270" t="n">
        <v>0.8495981630309988</v>
      </c>
      <c r="O270" t="n">
        <v>-636950.5704605863</v>
      </c>
      <c r="P270" t="n">
        <v>97439.85025708785</v>
      </c>
      <c r="Q270">
        <f>'_live'!$C$21</f>
        <v/>
      </c>
      <c r="R270" t="inlineStr">
        <is>
          <t>shuffled: 0 of 200</t>
        </is>
      </c>
      <c r="S270" t="inlineStr">
        <is>
          <t>shuffled: 119 of 200</t>
        </is>
      </c>
      <c r="T270" t="n">
        <v>0.0772973682492414</v>
      </c>
      <c r="U270" t="n">
        <v>0.03546374281167505</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0.04101428116750502</v>
      </c>
      <c r="AI270">
        <f>IF($Y270="worse","Yes",IF($Y270="worse, not significant","Not sure",IF(OR($Y270="too few losses to test",$Y270="too few loans to test"),"Too few losses",IF($Y270="","","No"))))</f>
        <v/>
      </c>
      <c r="AJ270">
        <f>IF($AA270="yes","Yes",IF($AA270="","","No"))</f>
        <v/>
      </c>
      <c r="AK270" t="n">
        <v>0.01066098081023454</v>
      </c>
      <c r="AL270" t="n">
        <v>0.03595055869541028</v>
      </c>
      <c r="AM270">
        <f>IF(AND(ISNUMBER($AC270),ISNUMBER(IF($V270,IF($AL270="","",$AL270),IF($AK270="","",$AK270)))),IF(AND(ABS($AC270-significance_bar)&lt;=2.0*IF($V270,IF($AL270="","",$AL270),IF($AK270="","",$AK270)),OR($Y270="worse",$Y270="better",$Y270="worse, not significant",$Y270="better, not significant")),IF(ROUND($AC270,3)=ROUND(significance_bar,3),TEXT($AC270,"0.0000"),TEXT($AC270,"0.000")),""),"")</f>
        <v/>
      </c>
      <c r="AN270">
        <f>IF(AND(ISNUMBER($AC270),ISNUMBER(IF($V270,IF($AL270="","",$AL270),IF($AK270="","",$AK270)))),IF(AND(ABS($AC270-significance_bar)&lt;=2.0*IF($V270,IF($AL270="","",$AL270),IF($AK270="","",$AK270)),OR($Y270="worse",$Y270="worse, not significant")),IF(ROUND($AC270,3)=ROUND(significance_bar,3),TEXT($AC270,"0.0000"),TEXT($AC270,"0.000")),""),"")</f>
        <v/>
      </c>
      <c r="AO270">
        <f>IF(OR($AI270="",$AN270=""),$AI270,$AI270&amp;" · borderline (p "&amp;$AN270&amp;")")</f>
        <v/>
      </c>
    </row>
    <row r="271">
      <c r="A271" t="inlineStr">
        <is>
          <t>grids</t>
        </is>
      </c>
      <c r="B271" t="inlineStr">
        <is>
          <t>REV_DEBT x CHANNEL</t>
        </is>
      </c>
      <c r="C271" t="inlineStr">
        <is>
          <t>0 - 6,558</t>
        </is>
      </c>
      <c r="D271" t="inlineStr">
        <is>
          <t>Online</t>
        </is>
      </c>
      <c r="E271" t="inlineStr">
        <is>
          <t>gco_rate</t>
        </is>
      </c>
      <c r="F271" t="inlineStr">
        <is>
          <t>GCO per booked dollar</t>
        </is>
      </c>
      <c r="G271" t="n">
        <v>537</v>
      </c>
      <c r="H271" t="n">
        <v>17555026.92</v>
      </c>
      <c r="I271" t="b">
        <v>0</v>
      </c>
      <c r="J271" t="b">
        <v>0</v>
      </c>
      <c r="K271" t="n">
        <v>0.4658268199847718</v>
      </c>
      <c r="L271" t="n">
        <v>0.009328358208955223</v>
      </c>
      <c r="M271" t="n">
        <v>1.04296702270954</v>
      </c>
      <c r="N271" t="n">
        <v>0.9800995024875622</v>
      </c>
      <c r="O271" t="n">
        <v>-404864.0301926449</v>
      </c>
      <c r="P271" t="n">
        <v>14545.0858509856</v>
      </c>
      <c r="Q271">
        <f>'_live'!$C$22</f>
        <v/>
      </c>
      <c r="R271" t="inlineStr">
        <is>
          <t>shuffled: 0 of 200</t>
        </is>
      </c>
      <c r="S271" t="inlineStr">
        <is>
          <t>shuffled: 173 of 200</t>
        </is>
      </c>
      <c r="T271" t="n">
        <v>0.04317433084247557</v>
      </c>
      <c r="U271" t="n">
        <v>0.01928321874364943</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0.02011176124132084</v>
      </c>
      <c r="AI271">
        <f>IF($Y271="worse","Yes",IF($Y271="worse, not significant","Not sure",IF(OR($Y271="too few losses to test",$Y271="too few loans to test"),"Too few losses",IF($Y271="","","No"))))</f>
        <v/>
      </c>
      <c r="AJ271">
        <f>IF($AA271="yes","Yes",IF($AA271="","","No"))</f>
        <v/>
      </c>
      <c r="AK271" t="n">
        <v>0.009328358208955223</v>
      </c>
      <c r="AL271" t="n">
        <v>0.009875339921034437</v>
      </c>
      <c r="AM271">
        <f>IF(AND(ISNUMBER($AC271),ISNUMBER(IF($V271,IF($AL271="","",$AL271),IF($AK271="","",$AK271)))),IF(AND(ABS($AC271-significance_bar)&lt;=2.0*IF($V271,IF($AL271="","",$AL271),IF($AK271="","",$AK271)),OR($Y271="worse",$Y271="better",$Y271="worse, not significant",$Y271="better, not significant")),IF(ROUND($AC271,3)=ROUND(significance_bar,3),TEXT($AC271,"0.0000"),TEXT($AC271,"0.000")),""),"")</f>
        <v/>
      </c>
      <c r="AN271">
        <f>IF(AND(ISNUMBER($AC271),ISNUMBER(IF($V271,IF($AL271="","",$AL271),IF($AK271="","",$AK271)))),IF(AND(ABS($AC271-significance_bar)&lt;=2.0*IF($V271,IF($AL271="","",$AL271),IF($AK271="","",$AK271)),OR($Y271="worse",$Y271="worse, not significant")),IF(ROUND($AC271,3)=ROUND(significance_bar,3),TEXT($AC271,"0.0000"),TEXT($AC271,"0.000")),""),"")</f>
        <v/>
      </c>
      <c r="AO271">
        <f>IF(OR($AI271="",$AN271=""),$AI271,$AI271&amp;" · borderline (p "&amp;$AN271&amp;")")</f>
        <v/>
      </c>
    </row>
    <row r="272">
      <c r="A272" t="inlineStr">
        <is>
          <t>grids</t>
        </is>
      </c>
      <c r="B272" t="inlineStr">
        <is>
          <t>REV_DEBT x CHANNEL</t>
        </is>
      </c>
      <c r="C272" t="inlineStr">
        <is>
          <t>0 - 6,558</t>
        </is>
      </c>
      <c r="D272" t="inlineStr">
        <is>
          <t>Online</t>
        </is>
      </c>
      <c r="E272" t="inlineStr">
        <is>
          <t>ranr_rate</t>
        </is>
      </c>
      <c r="F272" t="inlineStr">
        <is>
          <t>Profit after losses: RANR per booked dollar</t>
        </is>
      </c>
      <c r="G272" t="n">
        <v>537</v>
      </c>
      <c r="H272" t="n">
        <v>17555026.92</v>
      </c>
      <c r="I272" t="b">
        <v>0</v>
      </c>
      <c r="J272" t="b">
        <v>0</v>
      </c>
      <c r="K272" t="n">
        <v>0.002415037059829844</v>
      </c>
      <c r="L272" t="n">
        <v>0.8656716417910447</v>
      </c>
      <c r="M272" t="n">
        <v>0.03580797736503881</v>
      </c>
      <c r="N272" t="n">
        <v>0.02487562189054726</v>
      </c>
      <c r="O272" t="n">
        <v>-42396.0405981103</v>
      </c>
      <c r="P272" t="n">
        <v>-628610.0065940069</v>
      </c>
      <c r="Q272">
        <f>'_live'!$C$23</f>
        <v/>
      </c>
      <c r="R272" t="inlineStr">
        <is>
          <t>shuffled: 151 of 200</t>
        </is>
      </c>
      <c r="S272" t="inlineStr">
        <is>
          <t>shuffled: 0 of 200</t>
        </is>
      </c>
      <c r="T272" t="n">
        <v>0.1278257674925792</v>
      </c>
      <c r="U272" t="n">
        <v>0.09443282718737027</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0.1302408045524091</v>
      </c>
      <c r="AI272">
        <f>IF($Y272="worse","Yes",IF($Y272="worse, not significant","Not sure",IF(OR($Y272="too few losses to test",$Y272="too few loans to test"),"Too few losses",IF($Y272="","","No"))))</f>
        <v/>
      </c>
      <c r="AJ272">
        <f>IF($AA272="yes","Yes",IF($AA272="","","No"))</f>
        <v/>
      </c>
      <c r="AK272" t="n">
        <v>0.02411267824090077</v>
      </c>
      <c r="AL272" t="n">
        <v>0.02487562189054726</v>
      </c>
      <c r="AM272">
        <f>IF(AND(ISNUMBER($AC272),ISNUMBER(IF($V272,IF($AL272="","",$AL272),IF($AK272="","",$AK272)))),IF(AND(ABS($AC272-significance_bar)&lt;=2.0*IF($V272,IF($AL272="","",$AL272),IF($AK272="","",$AK272)),OR($Y272="worse",$Y272="better",$Y272="worse, not significant",$Y272="better, not significant",AND(profit_kind="test",$Y272="in line",ISNUMBER($AB272),$AB272&lt;&gt;0))),IF(ROUND($AC272,3)=ROUND(significance_bar,3),TEXT($AC272,"0.0000"),TEXT($AC272,"0.000")),""),"")</f>
        <v/>
      </c>
      <c r="AN272">
        <f>IF(AND(ISNUMBER($AC272),ISNUMBER(IF($V272,IF($AL272="","",$AL272),IF($AK272="","",$AK272)))),IF(AND(ABS($AC272-significance_bar)&lt;=2.0*IF($V272,IF($AL272="","",$AL272),IF($AK272="","",$AK272)),OR($Y272="worse",$Y272="worse, not significant",AND(profit_kind="test",$Y272="in line",ISNUMBER($AB272),$AB272&lt;0))),IF(ROUND($AC272,3)=ROUND(significance_bar,3),TEXT($AC272,"0.0000"),TEXT($AC272,"0.000")),""),"")</f>
        <v/>
      </c>
      <c r="AO272">
        <f>IF(OR($AI272="",$AN272=""),$AI272,$AI272&amp;" · borderline (p "&amp;$AN272&amp;")")</f>
        <v/>
      </c>
    </row>
    <row r="273">
      <c r="A273" t="inlineStr">
        <is>
          <t>grids</t>
        </is>
      </c>
      <c r="B273" t="inlineStr">
        <is>
          <t>REV_DEBT x CHANNEL</t>
        </is>
      </c>
      <c r="C273" t="inlineStr">
        <is>
          <t>0 - 6,558</t>
        </is>
      </c>
      <c r="D273" t="inlineStr">
        <is>
          <t>Online</t>
        </is>
      </c>
      <c r="E273" t="inlineStr">
        <is>
          <t>contribution_rate</t>
        </is>
      </c>
      <c r="F273" t="inlineStr">
        <is>
          <t>Contribution before losses per booked dollar</t>
        </is>
      </c>
      <c r="G273" t="n">
        <v>537</v>
      </c>
      <c r="H273" t="n">
        <v>17555026.92</v>
      </c>
      <c r="I273" t="b">
        <v>0</v>
      </c>
      <c r="J273" t="b">
        <v>0</v>
      </c>
      <c r="K273" t="n">
        <v>-0.0206444374537105</v>
      </c>
      <c r="L273" t="n">
        <v>0.0135685210312076</v>
      </c>
      <c r="M273" t="n">
        <v>0.03663651986271023</v>
      </c>
      <c r="N273" t="n">
        <v>0.01243781094527363</v>
      </c>
      <c r="O273" t="n">
        <v>362413.6552481442</v>
      </c>
      <c r="P273" t="n">
        <v>-643155.0924449926</v>
      </c>
      <c r="Q273">
        <f>'_live'!$C$24</f>
        <v/>
      </c>
      <c r="R273" t="inlineStr">
        <is>
          <t>shuffled: 1 of 200</t>
        </is>
      </c>
      <c r="S273" t="inlineStr">
        <is>
          <t>shuffled: 0 of 200</t>
        </is>
      </c>
      <c r="T273" t="n">
        <v>0.1709970032474404</v>
      </c>
      <c r="U273" t="n">
        <v>0.1137160459310197</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0.1503525657937299</v>
      </c>
      <c r="AI273">
        <f>IF($Y273="worse","Yes",IF($Y273="worse, not significant","Not sure",IF(OR($Y273="too few losses to test",$Y273="too few loans to test"),"Too few losses",IF($Y273="","","No"))))</f>
        <v/>
      </c>
      <c r="AJ273">
        <f>IF($AA273="yes","Yes",IF($AA273="","","No"))</f>
        <v/>
      </c>
      <c r="AK273" t="n">
        <v>0.009570377191089474</v>
      </c>
      <c r="AL273" t="n">
        <v>0.01243781094527363</v>
      </c>
      <c r="AM273">
        <f>IF(AND(ISNUMBER($AC273),ISNUMBER(IF($V273,IF($AL273="","",$AL273),IF($AK273="","",$AK273)))),IF(AND(ABS($AC273-significance_bar)&lt;=2.0*IF($V273,IF($AL273="","",$AL273),IF($AK273="","",$AK273)),OR($Y273="worse",$Y273="better",$Y273="worse, not significant",$Y273="better, not significant",AND(profit_kind="test",$Y273="in line",ISNUMBER($AB273),$AB273&lt;&gt;0))),IF(ROUND($AC273,3)=ROUND(significance_bar,3),TEXT($AC273,"0.0000"),TEXT($AC273,"0.000")),""),"")</f>
        <v/>
      </c>
      <c r="AN273">
        <f>IF(AND(ISNUMBER($AC273),ISNUMBER(IF($V273,IF($AL273="","",$AL273),IF($AK273="","",$AK273)))),IF(AND(ABS($AC273-significance_bar)&lt;=2.0*IF($V273,IF($AL273="","",$AL273),IF($AK273="","",$AK273)),OR($Y273="worse",$Y273="worse, not significant",AND(profit_kind="test",$Y273="in line",ISNUMBER($AB273),$AB273&lt;0))),IF(ROUND($AC273,3)=ROUND(significance_bar,3),TEXT($AC273,"0.0000"),TEXT($AC273,"0.000")),""),"")</f>
        <v/>
      </c>
      <c r="AO273">
        <f>IF(OR($AI273="",$AN273=""),$AI273,$AI273&amp;" · borderline (p "&amp;$AN273&amp;")")</f>
        <v/>
      </c>
    </row>
    <row r="274">
      <c r="A274" t="inlineStr">
        <is>
          <t>grids</t>
        </is>
      </c>
      <c r="B274" t="inlineStr">
        <is>
          <t>REV_DEBT x CHANNEL</t>
        </is>
      </c>
      <c r="C274" t="inlineStr">
        <is>
          <t>17,187 - 48,521</t>
        </is>
      </c>
      <c r="D274" t="inlineStr">
        <is>
          <t>Broker</t>
        </is>
      </c>
      <c r="E274" t="inlineStr">
        <is>
          <t>outcome_loans</t>
        </is>
      </c>
      <c r="F274" t="inlineStr">
        <is>
          <t>Outcome, share of loans</t>
        </is>
      </c>
      <c r="G274" t="n">
        <v>507</v>
      </c>
      <c r="H274" t="n">
        <v>507</v>
      </c>
      <c r="I274" t="b">
        <v>0</v>
      </c>
      <c r="J274" t="b">
        <v>0</v>
      </c>
      <c r="K274" t="n">
        <v>3.300028845179347</v>
      </c>
      <c r="L274" t="n">
        <v>1.321867457745801e-35</v>
      </c>
      <c r="M274" t="n">
        <v>1.873903808223335</v>
      </c>
      <c r="N274" t="n">
        <v>1.058395510178671e-06</v>
      </c>
      <c r="O274" t="n">
        <v>78.75787506673785</v>
      </c>
      <c r="P274" t="n">
        <v>52.69807868252516</v>
      </c>
      <c r="Q274">
        <f>'_live'!$C$20</f>
        <v/>
      </c>
      <c r="R274" t="inlineStr">
        <is>
          <t>z test</t>
        </is>
      </c>
      <c r="S274" t="inlineStr">
        <is>
          <t>z test</t>
        </is>
      </c>
      <c r="T274" t="n">
        <v>0.06753870795515217</v>
      </c>
      <c r="U274" t="n">
        <v>0.1189387008234218</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0.222879684418146</v>
      </c>
      <c r="AI274">
        <f>IF($Y274="worse","Yes",IF($Y274="worse, not significant","Not sure",IF(OR($Y274="too few losses to test",$Y274="too few loans to test"),"Too few losses",IF($Y274="","","No"))))</f>
        <v/>
      </c>
      <c r="AJ274">
        <f>IF($AA274="yes","Yes",IF($AA274="","","No"))</f>
        <v/>
      </c>
      <c r="AM274">
        <f>IF(AND(ISNUMBER($AC274),ISNUMBER(IF($V274,IF($AL274="","",$AL274),IF($AK274="","",$AK274)))),IF(AND(ABS($AC274-significance_bar)&lt;=2.0*IF($V274,IF($AL274="","",$AL274),IF($AK274="","",$AK274)),OR($Y274="worse",$Y274="better",$Y274="worse, not significant",$Y274="better, not significant")),IF(ROUND($AC274,3)=ROUND(significance_bar,3),TEXT($AC274,"0.0000"),TEXT($AC274,"0.000")),""),"")</f>
        <v/>
      </c>
      <c r="AN274">
        <f>IF(AND(ISNUMBER($AC274),ISNUMBER(IF($V274,IF($AL274="","",$AL274),IF($AK274="","",$AK274)))),IF(AND(ABS($AC274-significance_bar)&lt;=2.0*IF($V274,IF($AL274="","",$AL274),IF($AK274="","",$AK274)),OR($Y274="worse",$Y274="worse, not significant")),IF(ROUND($AC274,3)=ROUND(significance_bar,3),TEXT($AC274,"0.0000"),TEXT($AC274,"0.000")),""),"")</f>
        <v/>
      </c>
      <c r="AO274">
        <f>IF(OR($AI274="",$AN274=""),$AI274,$AI274&amp;" · borderline (p "&amp;$AN274&amp;")")</f>
        <v/>
      </c>
    </row>
    <row r="275">
      <c r="A275" t="inlineStr">
        <is>
          <t>grids</t>
        </is>
      </c>
      <c r="B275" t="inlineStr">
        <is>
          <t>REV_DEBT x CHANNEL</t>
        </is>
      </c>
      <c r="C275" t="inlineStr">
        <is>
          <t>17,187 - 48,521</t>
        </is>
      </c>
      <c r="D275" t="inlineStr">
        <is>
          <t>Broker</t>
        </is>
      </c>
      <c r="E275" t="inlineStr">
        <is>
          <t>outcome_booked</t>
        </is>
      </c>
      <c r="F275" t="inlineStr">
        <is>
          <t>Outcome, share of booked dollars</t>
        </is>
      </c>
      <c r="G275" t="n">
        <v>507</v>
      </c>
      <c r="H275" t="n">
        <v>16049484.14000001</v>
      </c>
      <c r="I275" t="b">
        <v>0</v>
      </c>
      <c r="J275" t="b">
        <v>0</v>
      </c>
      <c r="K275" t="n">
        <v>3.102092802994052</v>
      </c>
      <c r="L275" t="n">
        <v>0.01066098081023454</v>
      </c>
      <c r="M275" t="n">
        <v>1.647633496412686</v>
      </c>
      <c r="N275" t="n">
        <v>0.03731343283582089</v>
      </c>
      <c r="O275" t="n">
        <v>2232624.603204258</v>
      </c>
      <c r="P275" t="n">
        <v>1295052.269963363</v>
      </c>
      <c r="Q275">
        <f>'_live'!$C$21</f>
        <v/>
      </c>
      <c r="R275" t="inlineStr">
        <is>
          <t>shuffled: 0 of 200</t>
        </is>
      </c>
      <c r="S275" t="inlineStr">
        <is>
          <t>shuffled: 0 of 200</t>
        </is>
      </c>
      <c r="T275" t="n">
        <v>0.06617633984563324</v>
      </c>
      <c r="U275" t="n">
        <v>0.1245939391318427</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0.2052851475636274</v>
      </c>
      <c r="AI275">
        <f>IF($Y275="worse","Yes",IF($Y275="worse, not significant","Not sure",IF(OR($Y275="too few losses to test",$Y275="too few loans to test"),"Too few losses",IF($Y275="","","No"))))</f>
        <v/>
      </c>
      <c r="AJ275">
        <f>IF($AA275="yes","Yes",IF($AA275="","","No"))</f>
        <v/>
      </c>
      <c r="AK275" t="n">
        <v>0.01066098081023454</v>
      </c>
      <c r="AL275" t="n">
        <v>0.03731343283582089</v>
      </c>
      <c r="AM275">
        <f>IF(AND(ISNUMBER($AC275),ISNUMBER(IF($V275,IF($AL275="","",$AL275),IF($AK275="","",$AK275)))),IF(AND(ABS($AC275-significance_bar)&lt;=2.0*IF($V275,IF($AL275="","",$AL275),IF($AK275="","",$AK275)),OR($Y275="worse",$Y275="better",$Y275="worse, not significant",$Y275="better, not significant")),IF(ROUND($AC275,3)=ROUND(significance_bar,3),TEXT($AC275,"0.0000"),TEXT($AC275,"0.000")),""),"")</f>
        <v/>
      </c>
      <c r="AN275">
        <f>IF(AND(ISNUMBER($AC275),ISNUMBER(IF($V275,IF($AL275="","",$AL275),IF($AK275="","",$AK275)))),IF(AND(ABS($AC275-significance_bar)&lt;=2.0*IF($V275,IF($AL275="","",$AL275),IF($AK275="","",$AK275)),OR($Y275="worse",$Y275="worse, not significant")),IF(ROUND($AC275,3)=ROUND(significance_bar,3),TEXT($AC275,"0.0000"),TEXT($AC275,"0.000")),""),"")</f>
        <v/>
      </c>
      <c r="AO275">
        <f>IF(OR($AI275="",$AN275=""),$AI275,$AI275&amp;" · borderline (p "&amp;$AN275&amp;")")</f>
        <v/>
      </c>
    </row>
    <row r="276">
      <c r="A276" t="inlineStr">
        <is>
          <t>grids</t>
        </is>
      </c>
      <c r="B276" t="inlineStr">
        <is>
          <t>REV_DEBT x CHANNEL</t>
        </is>
      </c>
      <c r="C276" t="inlineStr">
        <is>
          <t>17,187 - 48,521</t>
        </is>
      </c>
      <c r="D276" t="inlineStr">
        <is>
          <t>Broker</t>
        </is>
      </c>
      <c r="E276" t="inlineStr">
        <is>
          <t>gco_rate</t>
        </is>
      </c>
      <c r="F276" t="inlineStr">
        <is>
          <t>GCO per booked dollar</t>
        </is>
      </c>
      <c r="G276" t="n">
        <v>507</v>
      </c>
      <c r="H276" t="n">
        <v>16049484.14000001</v>
      </c>
      <c r="I276" t="b">
        <v>0</v>
      </c>
      <c r="J276" t="b">
        <v>0</v>
      </c>
      <c r="K276" t="n">
        <v>3.224951312550843</v>
      </c>
      <c r="L276" t="n">
        <v>0.009328358208955223</v>
      </c>
      <c r="M276" t="n">
        <v>1.739542244948538</v>
      </c>
      <c r="N276" t="n">
        <v>0.03731343283582089</v>
      </c>
      <c r="O276" t="n">
        <v>1305081.846069651</v>
      </c>
      <c r="P276" t="n">
        <v>804208.0319051503</v>
      </c>
      <c r="Q276">
        <f>'_live'!$C$22</f>
        <v/>
      </c>
      <c r="R276" t="inlineStr">
        <is>
          <t>shuffled: 0 of 200</t>
        </is>
      </c>
      <c r="S276" t="inlineStr">
        <is>
          <t>shuffled: 0 of 200</t>
        </is>
      </c>
      <c r="T276" t="n">
        <v>0.03654737241482136</v>
      </c>
      <c r="U276" t="n">
        <v>0.06775546669345156</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0.1178634966394626</v>
      </c>
      <c r="AI276">
        <f>IF($Y276="worse","Yes",IF($Y276="worse, not significant","Not sure",IF(OR($Y276="too few losses to test",$Y276="too few loans to test"),"Too few losses",IF($Y276="","","No"))))</f>
        <v/>
      </c>
      <c r="AJ276">
        <f>IF($AA276="yes","Yes",IF($AA276="","","No"))</f>
        <v/>
      </c>
      <c r="AK276" t="n">
        <v>0.009328358208955223</v>
      </c>
      <c r="AL276" t="n">
        <v>0.03731343283582089</v>
      </c>
      <c r="AM276">
        <f>IF(AND(ISNUMBER($AC276),ISNUMBER(IF($V276,IF($AL276="","",$AL276),IF($AK276="","",$AK276)))),IF(AND(ABS($AC276-significance_bar)&lt;=2.0*IF($V276,IF($AL276="","",$AL276),IF($AK276="","",$AK276)),OR($Y276="worse",$Y276="better",$Y276="worse, not significant",$Y276="better, not significant")),IF(ROUND($AC276,3)=ROUND(significance_bar,3),TEXT($AC276,"0.0000"),TEXT($AC276,"0.000")),""),"")</f>
        <v/>
      </c>
      <c r="AN276">
        <f>IF(AND(ISNUMBER($AC276),ISNUMBER(IF($V276,IF($AL276="","",$AL276),IF($AK276="","",$AK276)))),IF(AND(ABS($AC276-significance_bar)&lt;=2.0*IF($V276,IF($AL276="","",$AL276),IF($AK276="","",$AK276)),OR($Y276="worse",$Y276="worse, not significant")),IF(ROUND($AC276,3)=ROUND(significance_bar,3),TEXT($AC276,"0.0000"),TEXT($AC276,"0.000")),""),"")</f>
        <v/>
      </c>
      <c r="AO276">
        <f>IF(OR($AI276="",$AN276=""),$AI276,$AI276&amp;" · borderline (p "&amp;$AN276&amp;")")</f>
        <v/>
      </c>
    </row>
    <row r="277">
      <c r="A277" t="inlineStr">
        <is>
          <t>grids</t>
        </is>
      </c>
      <c r="B277" t="inlineStr">
        <is>
          <t>REV_DEBT x CHANNEL</t>
        </is>
      </c>
      <c r="C277" t="inlineStr">
        <is>
          <t>17,187 - 48,521</t>
        </is>
      </c>
      <c r="D277" t="inlineStr">
        <is>
          <t>Broker</t>
        </is>
      </c>
      <c r="E277" t="inlineStr">
        <is>
          <t>ranr_rate</t>
        </is>
      </c>
      <c r="F277" t="inlineStr">
        <is>
          <t>Profit after losses: RANR per booked dollar</t>
        </is>
      </c>
      <c r="G277" t="n">
        <v>507</v>
      </c>
      <c r="H277" t="n">
        <v>16049484.14000001</v>
      </c>
      <c r="I277" t="b">
        <v>0</v>
      </c>
      <c r="J277" t="b">
        <v>0</v>
      </c>
      <c r="K277" t="n">
        <v>-0.02256066902778951</v>
      </c>
      <c r="L277" t="n">
        <v>0.04975124378109452</v>
      </c>
      <c r="M277" t="n">
        <v>-0.05756490028071505</v>
      </c>
      <c r="N277" t="n">
        <v>0.02487562189054726</v>
      </c>
      <c r="O277" t="n">
        <v>362087.0997492974</v>
      </c>
      <c r="P277" t="n">
        <v>923886.9540760184</v>
      </c>
      <c r="Q277">
        <f>'_live'!$C$23</f>
        <v/>
      </c>
      <c r="R277" t="inlineStr">
        <is>
          <t>shuffled: 3 of 200</t>
        </is>
      </c>
      <c r="S277" t="inlineStr">
        <is>
          <t>shuffled: 0 of 200</t>
        </is>
      </c>
      <c r="T277" t="n">
        <v>0.1293931157932715</v>
      </c>
      <c r="U277" t="n">
        <v>0.164397347046197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0.106832446765482</v>
      </c>
      <c r="AI277">
        <f>IF($Y277="worse","Yes",IF($Y277="worse, not significant","Not sure",IF(OR($Y277="too few losses to test",$Y277="too few loans to test"),"Too few losses",IF($Y277="","","No"))))</f>
        <v/>
      </c>
      <c r="AJ277">
        <f>IF($AA277="yes","Yes",IF($AA277="","","No"))</f>
        <v/>
      </c>
      <c r="AK277" t="n">
        <v>0.02468834980258608</v>
      </c>
      <c r="AL277" t="n">
        <v>0.02487562189054726</v>
      </c>
      <c r="AM277">
        <f>IF(AND(ISNUMBER($AC277),ISNUMBER(IF($V277,IF($AL277="","",$AL277),IF($AK277="","",$AK277)))),IF(AND(ABS($AC277-significance_bar)&lt;=2.0*IF($V277,IF($AL277="","",$AL277),IF($AK277="","",$AK277)),OR($Y277="worse",$Y277="better",$Y277="worse, not significant",$Y277="better, not significant",AND(profit_kind="test",$Y277="in line",ISNUMBER($AB277),$AB277&lt;&gt;0))),IF(ROUND($AC277,3)=ROUND(significance_bar,3),TEXT($AC277,"0.0000"),TEXT($AC277,"0.000")),""),"")</f>
        <v/>
      </c>
      <c r="AN277">
        <f>IF(AND(ISNUMBER($AC277),ISNUMBER(IF($V277,IF($AL277="","",$AL277),IF($AK277="","",$AK277)))),IF(AND(ABS($AC277-significance_bar)&lt;=2.0*IF($V277,IF($AL277="","",$AL277),IF($AK277="","",$AK277)),OR($Y277="worse",$Y277="worse, not significant",AND(profit_kind="test",$Y277="in line",ISNUMBER($AB277),$AB277&lt;0))),IF(ROUND($AC277,3)=ROUND(significance_bar,3),TEXT($AC277,"0.0000"),TEXT($AC277,"0.000")),""),"")</f>
        <v/>
      </c>
      <c r="AO277">
        <f>IF(OR($AI277="",$AN277=""),$AI277,$AI277&amp;" · borderline (p "&amp;$AN277&amp;")")</f>
        <v/>
      </c>
    </row>
    <row r="278">
      <c r="A278" t="inlineStr">
        <is>
          <t>grids</t>
        </is>
      </c>
      <c r="B278" t="inlineStr">
        <is>
          <t>REV_DEBT x CHANNEL</t>
        </is>
      </c>
      <c r="C278" t="inlineStr">
        <is>
          <t>17,187 - 48,521</t>
        </is>
      </c>
      <c r="D278" t="inlineStr">
        <is>
          <t>Broker</t>
        </is>
      </c>
      <c r="E278" t="inlineStr">
        <is>
          <t>contribution_rate</t>
        </is>
      </c>
      <c r="F278" t="inlineStr">
        <is>
          <t>Contribution before losses per booked dollar</t>
        </is>
      </c>
      <c r="G278" t="n">
        <v>507</v>
      </c>
      <c r="H278" t="n">
        <v>16049484.14000001</v>
      </c>
      <c r="I278" t="b">
        <v>0</v>
      </c>
      <c r="J278" t="b">
        <v>0</v>
      </c>
      <c r="K278" t="n">
        <v>0.05875827398348929</v>
      </c>
      <c r="L278" t="n">
        <v>0.007462686567164178</v>
      </c>
      <c r="M278" t="n">
        <v>-0.007456870334704019</v>
      </c>
      <c r="N278" t="n">
        <v>0.3960964408725603</v>
      </c>
      <c r="O278" t="n">
        <v>-943039.9863917865</v>
      </c>
      <c r="P278" t="n">
        <v>119678.9221708691</v>
      </c>
      <c r="Q278">
        <f>'_live'!$C$24</f>
        <v/>
      </c>
      <c r="R278" t="inlineStr">
        <is>
          <t>shuffled: 0 of 200</t>
        </is>
      </c>
      <c r="S278" t="inlineStr">
        <is>
          <t>shuffled: 66 of 200</t>
        </is>
      </c>
      <c r="T278" t="n">
        <v>0.1659376694214553</v>
      </c>
      <c r="U278" t="n">
        <v>0.2321528137396486</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0.2246959434049446</v>
      </c>
      <c r="AI278">
        <f>IF($Y278="worse","Yes",IF($Y278="worse, not significant","Not sure",IF(OR($Y278="too few losses to test",$Y278="too few loans to test"),"Too few losses",IF($Y278="","","No"))))</f>
        <v/>
      </c>
      <c r="AJ278">
        <f>IF($AA278="yes","Yes",IF($AA278="","","No"))</f>
        <v/>
      </c>
      <c r="AK278" t="n">
        <v>0.007462686567164178</v>
      </c>
      <c r="AL278" t="n">
        <v>0.0387389961396165</v>
      </c>
      <c r="AM278">
        <f>IF(AND(ISNUMBER($AC278),ISNUMBER(IF($V278,IF($AL278="","",$AL278),IF($AK278="","",$AK278)))),IF(AND(ABS($AC278-significance_bar)&lt;=2.0*IF($V278,IF($AL278="","",$AL278),IF($AK278="","",$AK278)),OR($Y278="worse",$Y278="better",$Y278="worse, not significant",$Y278="better, not significant",AND(profit_kind="test",$Y278="in line",ISNUMBER($AB278),$AB278&lt;&gt;0))),IF(ROUND($AC278,3)=ROUND(significance_bar,3),TEXT($AC278,"0.0000"),TEXT($AC278,"0.000")),""),"")</f>
        <v/>
      </c>
      <c r="AN278">
        <f>IF(AND(ISNUMBER($AC278),ISNUMBER(IF($V278,IF($AL278="","",$AL278),IF($AK278="","",$AK278)))),IF(AND(ABS($AC278-significance_bar)&lt;=2.0*IF($V278,IF($AL278="","",$AL278),IF($AK278="","",$AK278)),OR($Y278="worse",$Y278="worse, not significant",AND(profit_kind="test",$Y278="in line",ISNUMBER($AB278),$AB278&lt;0))),IF(ROUND($AC278,3)=ROUND(significance_bar,3),TEXT($AC278,"0.0000"),TEXT($AC278,"0.000")),""),"")</f>
        <v/>
      </c>
      <c r="AO278">
        <f>IF(OR($AI278="",$AN278=""),$AI278,$AI278&amp;" · borderline (p "&amp;$AN278&amp;")")</f>
        <v/>
      </c>
    </row>
    <row r="279">
      <c r="A279" t="inlineStr">
        <is>
          <t>grids</t>
        </is>
      </c>
      <c r="B279" t="inlineStr">
        <is>
          <t>REV_DEBT x CHANNEL</t>
        </is>
      </c>
      <c r="C279" t="inlineStr">
        <is>
          <t>17,187 - 48,521</t>
        </is>
      </c>
      <c r="D279" t="inlineStr">
        <is>
          <t>Branch</t>
        </is>
      </c>
      <c r="E279" t="inlineStr">
        <is>
          <t>outcome_loans</t>
        </is>
      </c>
      <c r="F279" t="inlineStr">
        <is>
          <t>Outcome, share of loans</t>
        </is>
      </c>
      <c r="G279" t="n">
        <v>525</v>
      </c>
      <c r="H279" t="n">
        <v>525</v>
      </c>
      <c r="I279" t="b">
        <v>0</v>
      </c>
      <c r="J279" t="b">
        <v>0</v>
      </c>
      <c r="K279" t="n">
        <v>1.556286055640894</v>
      </c>
      <c r="L279" t="n">
        <v>0.001440661734948799</v>
      </c>
      <c r="M279" t="n">
        <v>0.6862899005756149</v>
      </c>
      <c r="N279" t="n">
        <v>0.04085165838123489</v>
      </c>
      <c r="O279" t="n">
        <v>21.80412095263581</v>
      </c>
      <c r="P279" t="n">
        <v>-27.88372093023256</v>
      </c>
      <c r="Q279">
        <f>'_live'!$C$20</f>
        <v/>
      </c>
      <c r="R279" t="inlineStr">
        <is>
          <t>z test</t>
        </is>
      </c>
      <c r="S279" t="inlineStr">
        <is>
          <t>z test</t>
        </is>
      </c>
      <c r="T279" t="n">
        <v>0.07465881723307466</v>
      </c>
      <c r="U279" t="n">
        <v>0.1693023255813954</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0.1161904761904762</v>
      </c>
      <c r="AI279">
        <f>IF($Y279="worse","Yes",IF($Y279="worse, not significant","Not sure",IF(OR($Y279="too few losses to test",$Y279="too few loans to test"),"Too few losses",IF($Y279="","","No"))))</f>
        <v/>
      </c>
      <c r="AJ279">
        <f>IF($AA279="yes","Yes",IF($AA279="","","No"))</f>
        <v/>
      </c>
      <c r="AM279">
        <f>IF(AND(ISNUMBER($AC279),ISNUMBER(IF($V279,IF($AL279="","",$AL279),IF($AK279="","",$AK279)))),IF(AND(ABS($AC279-significance_bar)&lt;=2.0*IF($V279,IF($AL279="","",$AL279),IF($AK279="","",$AK279)),OR($Y279="worse",$Y279="better",$Y279="worse, not significant",$Y279="better, not significant")),IF(ROUND($AC279,3)=ROUND(significance_bar,3),TEXT($AC279,"0.0000"),TEXT($AC279,"0.000")),""),"")</f>
        <v/>
      </c>
      <c r="AN279">
        <f>IF(AND(ISNUMBER($AC279),ISNUMBER(IF($V279,IF($AL279="","",$AL279),IF($AK279="","",$AK279)))),IF(AND(ABS($AC279-significance_bar)&lt;=2.0*IF($V279,IF($AL279="","",$AL279),IF($AK279="","",$AK279)),OR($Y279="worse",$Y279="worse, not significant")),IF(ROUND($AC279,3)=ROUND(significance_bar,3),TEXT($AC279,"0.0000"),TEXT($AC279,"0.000")),""),"")</f>
        <v/>
      </c>
      <c r="AO279">
        <f>IF(OR($AI279="",$AN279=""),$AI279,$AI279&amp;" · borderline (p "&amp;$AN279&amp;")")</f>
        <v/>
      </c>
    </row>
    <row r="280">
      <c r="A280" t="inlineStr">
        <is>
          <t>grids</t>
        </is>
      </c>
      <c r="B280" t="inlineStr">
        <is>
          <t>REV_DEBT x CHANNEL</t>
        </is>
      </c>
      <c r="C280" t="inlineStr">
        <is>
          <t>17,187 - 48,521</t>
        </is>
      </c>
      <c r="D280" t="inlineStr">
        <is>
          <t>Branch</t>
        </is>
      </c>
      <c r="E280" t="inlineStr">
        <is>
          <t>outcome_booked</t>
        </is>
      </c>
      <c r="F280" t="inlineStr">
        <is>
          <t>Outcome, share of booked dollars</t>
        </is>
      </c>
      <c r="G280" t="n">
        <v>525</v>
      </c>
      <c r="H280" t="n">
        <v>16734694.91999999</v>
      </c>
      <c r="I280" t="b">
        <v>0</v>
      </c>
      <c r="J280" t="b">
        <v>0</v>
      </c>
      <c r="K280" t="n">
        <v>1.735895380216349</v>
      </c>
      <c r="L280" t="n">
        <v>0.01066098081023454</v>
      </c>
      <c r="M280" t="n">
        <v>0.7609140186247237</v>
      </c>
      <c r="N280" t="n">
        <v>0.2238805970149254</v>
      </c>
      <c r="O280" t="n">
        <v>879538.8990886812</v>
      </c>
      <c r="P280" t="n">
        <v>-651900.1026549709</v>
      </c>
      <c r="Q280">
        <f>'_live'!$C$21</f>
        <v/>
      </c>
      <c r="R280" t="inlineStr">
        <is>
          <t>shuffled: 0 of 200</t>
        </is>
      </c>
      <c r="S280" t="inlineStr">
        <is>
          <t>shuffled: 14 of 200</t>
        </is>
      </c>
      <c r="T280" t="n">
        <v>0.07142021869086575</v>
      </c>
      <c r="U280" t="n">
        <v>0.162933031387164</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0.1239780276795152</v>
      </c>
      <c r="AI280">
        <f>IF($Y280="worse","Yes",IF($Y280="worse, not significant","Not sure",IF(OR($Y280="too few losses to test",$Y280="too few loans to test"),"Too few losses",IF($Y280="","","No"))))</f>
        <v/>
      </c>
      <c r="AJ280">
        <f>IF($AA280="yes","Yes",IF($AA280="","","No"))</f>
        <v/>
      </c>
      <c r="AK280" t="n">
        <v>0.01066098081023454</v>
      </c>
      <c r="AL280" t="n">
        <v>0.05574581909547194</v>
      </c>
      <c r="AM280">
        <f>IF(AND(ISNUMBER($AC280),ISNUMBER(IF($V280,IF($AL280="","",$AL280),IF($AK280="","",$AK280)))),IF(AND(ABS($AC280-significance_bar)&lt;=2.0*IF($V280,IF($AL280="","",$AL280),IF($AK280="","",$AK280)),OR($Y280="worse",$Y280="better",$Y280="worse, not significant",$Y280="better, not significant")),IF(ROUND($AC280,3)=ROUND(significance_bar,3),TEXT($AC280,"0.0000"),TEXT($AC280,"0.000")),""),"")</f>
        <v/>
      </c>
      <c r="AN280">
        <f>IF(AND(ISNUMBER($AC280),ISNUMBER(IF($V280,IF($AL280="","",$AL280),IF($AK280="","",$AK280)))),IF(AND(ABS($AC280-significance_bar)&lt;=2.0*IF($V280,IF($AL280="","",$AL280),IF($AK280="","",$AK280)),OR($Y280="worse",$Y280="worse, not significant")),IF(ROUND($AC280,3)=ROUND(significance_bar,3),TEXT($AC280,"0.0000"),TEXT($AC280,"0.000")),""),"")</f>
        <v/>
      </c>
      <c r="AO280">
        <f>IF(OR($AI280="",$AN280=""),$AI280,$AI280&amp;" · borderline (p "&amp;$AN280&amp;")")</f>
        <v/>
      </c>
    </row>
    <row r="281">
      <c r="A281" t="inlineStr">
        <is>
          <t>grids</t>
        </is>
      </c>
      <c r="B281" t="inlineStr">
        <is>
          <t>REV_DEBT x CHANNEL</t>
        </is>
      </c>
      <c r="C281" t="inlineStr">
        <is>
          <t>17,187 - 48,521</t>
        </is>
      </c>
      <c r="D281" t="inlineStr">
        <is>
          <t>Branch</t>
        </is>
      </c>
      <c r="E281" t="inlineStr">
        <is>
          <t>gco_rate</t>
        </is>
      </c>
      <c r="F281" t="inlineStr">
        <is>
          <t>GCO per booked dollar</t>
        </is>
      </c>
      <c r="G281" t="n">
        <v>525</v>
      </c>
      <c r="H281" t="n">
        <v>16734694.91999999</v>
      </c>
      <c r="I281" t="b">
        <v>0</v>
      </c>
      <c r="J281" t="b">
        <v>0</v>
      </c>
      <c r="K281" t="n">
        <v>1.654464412306034</v>
      </c>
      <c r="L281" t="n">
        <v>0.009328358208955223</v>
      </c>
      <c r="M281" t="n">
        <v>0.7160018770911919</v>
      </c>
      <c r="N281" t="n">
        <v>0.2487562189054726</v>
      </c>
      <c r="O281" t="n">
        <v>437117.9158915002</v>
      </c>
      <c r="P281" t="n">
        <v>-438299.837498022</v>
      </c>
      <c r="Q281">
        <f>'_live'!$C$22</f>
        <v/>
      </c>
      <c r="R281" t="inlineStr">
        <is>
          <t>shuffled: 0 of 200</t>
        </is>
      </c>
      <c r="S281" t="inlineStr">
        <is>
          <t>shuffled: 9 of 200</t>
        </is>
      </c>
      <c r="T281" t="n">
        <v>0.03991119869835669</v>
      </c>
      <c r="U281" t="n">
        <v>0.09222274411788459</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0.06603165789890604</v>
      </c>
      <c r="AI281">
        <f>IF($Y281="worse","Yes",IF($Y281="worse, not significant","Not sure",IF(OR($Y281="too few losses to test",$Y281="too few loans to test"),"Too few losses",IF($Y281="","","No"))))</f>
        <v/>
      </c>
      <c r="AJ281">
        <f>IF($AA281="yes","Yes",IF($AA281="","","No"))</f>
        <v/>
      </c>
      <c r="AK281" t="n">
        <v>0.009328358208955223</v>
      </c>
      <c r="AL281" t="n">
        <v>0.07687331910628081</v>
      </c>
      <c r="AM281">
        <f>IF(AND(ISNUMBER($AC281),ISNUMBER(IF($V281,IF($AL281="","",$AL281),IF($AK281="","",$AK281)))),IF(AND(ABS($AC281-significance_bar)&lt;=2.0*IF($V281,IF($AL281="","",$AL281),IF($AK281="","",$AK281)),OR($Y281="worse",$Y281="better",$Y281="worse, not significant",$Y281="better, not significant")),IF(ROUND($AC281,3)=ROUND(significance_bar,3),TEXT($AC281,"0.0000"),TEXT($AC281,"0.000")),""),"")</f>
        <v/>
      </c>
      <c r="AN281">
        <f>IF(AND(ISNUMBER($AC281),ISNUMBER(IF($V281,IF($AL281="","",$AL281),IF($AK281="","",$AK281)))),IF(AND(ABS($AC281-significance_bar)&lt;=2.0*IF($V281,IF($AL281="","",$AL281),IF($AK281="","",$AK281)),OR($Y281="worse",$Y281="worse, not significant")),IF(ROUND($AC281,3)=ROUND(significance_bar,3),TEXT($AC281,"0.0000"),TEXT($AC281,"0.000")),""),"")</f>
        <v/>
      </c>
      <c r="AO281">
        <f>IF(OR($AI281="",$AN281=""),$AI281,$AI281&amp;" · borderline (p "&amp;$AN281&amp;")")</f>
        <v/>
      </c>
    </row>
    <row r="282">
      <c r="A282" t="inlineStr">
        <is>
          <t>grids</t>
        </is>
      </c>
      <c r="B282" t="inlineStr">
        <is>
          <t>REV_DEBT x CHANNEL</t>
        </is>
      </c>
      <c r="C282" t="inlineStr">
        <is>
          <t>17,187 - 48,521</t>
        </is>
      </c>
      <c r="D282" t="inlineStr">
        <is>
          <t>Branch</t>
        </is>
      </c>
      <c r="E282" t="inlineStr">
        <is>
          <t>ranr_rate</t>
        </is>
      </c>
      <c r="F282" t="inlineStr">
        <is>
          <t>Profit after losses: RANR per booked dollar</t>
        </is>
      </c>
      <c r="G282" t="n">
        <v>525</v>
      </c>
      <c r="H282" t="n">
        <v>16734694.91999999</v>
      </c>
      <c r="I282" t="b">
        <v>0</v>
      </c>
      <c r="J282" t="b">
        <v>0</v>
      </c>
      <c r="K282" t="n">
        <v>0.03346579801101232</v>
      </c>
      <c r="L282" t="n">
        <v>0.01492537313432836</v>
      </c>
      <c r="M282" t="n">
        <v>0.01951102910869823</v>
      </c>
      <c r="N282" t="n">
        <v>0.2388059701492537</v>
      </c>
      <c r="O282" t="n">
        <v>-560039.9199686334</v>
      </c>
      <c r="P282" t="n">
        <v>-326511.1197093041</v>
      </c>
      <c r="Q282">
        <f>'_live'!$C$23</f>
        <v/>
      </c>
      <c r="R282" t="inlineStr">
        <is>
          <t>shuffled: 0 of 200</t>
        </is>
      </c>
      <c r="S282" t="inlineStr">
        <is>
          <t>shuffled: 31 of 200</t>
        </is>
      </c>
      <c r="T282" t="n">
        <v>0.1258199280056768</v>
      </c>
      <c r="U282" t="n">
        <v>0.1397746969079909</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0.1592857260166891</v>
      </c>
      <c r="AI282">
        <f>IF($Y282="worse","Yes",IF($Y282="worse, not significant","Not sure",IF(OR($Y282="too few losses to test",$Y282="too few loans to test"),"Too few losses",IF($Y282="","","No"))))</f>
        <v/>
      </c>
      <c r="AJ282">
        <f>IF($AA282="yes","Yes",IF($AA282="","","No"))</f>
        <v/>
      </c>
      <c r="AK282" t="n">
        <v>0.01492537313432836</v>
      </c>
      <c r="AL282" t="n">
        <v>0.03880597014925373</v>
      </c>
      <c r="AM282">
        <f>IF(AND(ISNUMBER($AC282),ISNUMBER(IF($V282,IF($AL282="","",$AL282),IF($AK282="","",$AK282)))),IF(AND(ABS($AC282-significance_bar)&lt;=2.0*IF($V282,IF($AL282="","",$AL282),IF($AK282="","",$AK282)),OR($Y282="worse",$Y282="better",$Y282="worse, not significant",$Y282="better, not significant",AND(profit_kind="test",$Y282="in line",ISNUMBER($AB282),$AB282&lt;&gt;0))),IF(ROUND($AC282,3)=ROUND(significance_bar,3),TEXT($AC282,"0.0000"),TEXT($AC282,"0.000")),""),"")</f>
        <v/>
      </c>
      <c r="AN282">
        <f>IF(AND(ISNUMBER($AC282),ISNUMBER(IF($V282,IF($AL282="","",$AL282),IF($AK282="","",$AK282)))),IF(AND(ABS($AC282-significance_bar)&lt;=2.0*IF($V282,IF($AL282="","",$AL282),IF($AK282="","",$AK282)),OR($Y282="worse",$Y282="worse, not significant",AND(profit_kind="test",$Y282="in line",ISNUMBER($AB282),$AB282&lt;0))),IF(ROUND($AC282,3)=ROUND(significance_bar,3),TEXT($AC282,"0.0000"),TEXT($AC282,"0.000")),""),"")</f>
        <v/>
      </c>
      <c r="AO282">
        <f>IF(OR($AI282="",$AN282=""),$AI282,$AI282&amp;" · borderline (p "&amp;$AN282&amp;")")</f>
        <v/>
      </c>
    </row>
    <row r="283">
      <c r="A283" t="inlineStr">
        <is>
          <t>grids</t>
        </is>
      </c>
      <c r="B283" t="inlineStr">
        <is>
          <t>REV_DEBT x CHANNEL</t>
        </is>
      </c>
      <c r="C283" t="inlineStr">
        <is>
          <t>17,187 - 48,521</t>
        </is>
      </c>
      <c r="D283" t="inlineStr">
        <is>
          <t>Branch</t>
        </is>
      </c>
      <c r="E283" t="inlineStr">
        <is>
          <t>contribution_rate</t>
        </is>
      </c>
      <c r="F283" t="inlineStr">
        <is>
          <t>Contribution before losses per booked dollar</t>
        </is>
      </c>
      <c r="G283" t="n">
        <v>525</v>
      </c>
      <c r="H283" t="n">
        <v>16734694.91999999</v>
      </c>
      <c r="I283" t="b">
        <v>0</v>
      </c>
      <c r="J283" t="b">
        <v>0</v>
      </c>
      <c r="K283" t="n">
        <v>0.05958967166715037</v>
      </c>
      <c r="L283" t="n">
        <v>0.007462686567164178</v>
      </c>
      <c r="M283" t="n">
        <v>-0.006680057110280385</v>
      </c>
      <c r="N283" t="n">
        <v>0.4104477611940299</v>
      </c>
      <c r="O283" t="n">
        <v>-997214.9757327288</v>
      </c>
      <c r="P283" t="n">
        <v>111788.7177887186</v>
      </c>
      <c r="Q283">
        <f>'_live'!$C$24</f>
        <v/>
      </c>
      <c r="R283" t="inlineStr">
        <is>
          <t>shuffled: 0 of 200</t>
        </is>
      </c>
      <c r="S283" t="inlineStr">
        <is>
          <t>shuffled: 76 of 200</t>
        </is>
      </c>
      <c r="T283" t="n">
        <v>0.1657277122484448</v>
      </c>
      <c r="U283" t="n">
        <v>0.2319974410258756</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0.2253173839155952</v>
      </c>
      <c r="AI283">
        <f>IF($Y283="worse","Yes",IF($Y283="worse, not significant","Not sure",IF(OR($Y283="too few losses to test",$Y283="too few loans to test"),"Too few losses",IF($Y283="","","No"))))</f>
        <v/>
      </c>
      <c r="AJ283">
        <f>IF($AA283="yes","Yes",IF($AA283="","","No"))</f>
        <v/>
      </c>
      <c r="AK283" t="n">
        <v>0.007462686567164178</v>
      </c>
      <c r="AL283" t="n">
        <v>0.03683056432862409</v>
      </c>
      <c r="AM283">
        <f>IF(AND(ISNUMBER($AC283),ISNUMBER(IF($V283,IF($AL283="","",$AL283),IF($AK283="","",$AK283)))),IF(AND(ABS($AC283-significance_bar)&lt;=2.0*IF($V283,IF($AL283="","",$AL283),IF($AK283="","",$AK283)),OR($Y283="worse",$Y283="better",$Y283="worse, not significant",$Y283="better, not significant",AND(profit_kind="test",$Y283="in line",ISNUMBER($AB283),$AB283&lt;&gt;0))),IF(ROUND($AC283,3)=ROUND(significance_bar,3),TEXT($AC283,"0.0000"),TEXT($AC283,"0.000")),""),"")</f>
        <v/>
      </c>
      <c r="AN283">
        <f>IF(AND(ISNUMBER($AC283),ISNUMBER(IF($V283,IF($AL283="","",$AL283),IF($AK283="","",$AK283)))),IF(AND(ABS($AC283-significance_bar)&lt;=2.0*IF($V283,IF($AL283="","",$AL283),IF($AK283="","",$AK283)),OR($Y283="worse",$Y283="worse, not significant",AND(profit_kind="test",$Y283="in line",ISNUMBER($AB283),$AB283&lt;0))),IF(ROUND($AC283,3)=ROUND(significance_bar,3),TEXT($AC283,"0.0000"),TEXT($AC283,"0.000")),""),"")</f>
        <v/>
      </c>
      <c r="AO283">
        <f>IF(OR($AI283="",$AN283=""),$AI283,$AI283&amp;" · borderline (p "&amp;$AN283&amp;")")</f>
        <v/>
      </c>
    </row>
    <row r="284">
      <c r="A284" t="inlineStr">
        <is>
          <t>grids</t>
        </is>
      </c>
      <c r="B284" t="inlineStr">
        <is>
          <t>REV_DEBT x CHANNEL</t>
        </is>
      </c>
      <c r="C284" t="inlineStr">
        <is>
          <t>0 - 6,558</t>
        </is>
      </c>
      <c r="D284" t="inlineStr">
        <is>
          <t>Branch</t>
        </is>
      </c>
      <c r="E284" t="inlineStr">
        <is>
          <t>outcome_loans</t>
        </is>
      </c>
      <c r="F284" t="inlineStr">
        <is>
          <t>Outcome, share of loans</t>
        </is>
      </c>
      <c r="G284" t="n">
        <v>522</v>
      </c>
      <c r="H284" t="n">
        <v>522</v>
      </c>
      <c r="I284" t="b">
        <v>0</v>
      </c>
      <c r="J284" t="b">
        <v>0</v>
      </c>
      <c r="K284" t="n">
        <v>0.5278435600736763</v>
      </c>
      <c r="L284" t="n">
        <v>0.00359559305473715</v>
      </c>
      <c r="M284" t="n">
        <v>1.05756036710327</v>
      </c>
      <c r="N284" t="n">
        <v>0.8865297551749322</v>
      </c>
      <c r="O284" t="n">
        <v>-19.67901564798716</v>
      </c>
      <c r="P284" t="n">
        <v>1.197405004633922</v>
      </c>
      <c r="Q284">
        <f>'_live'!$C$20</f>
        <v/>
      </c>
      <c r="R284" t="inlineStr">
        <is>
          <t>z test</t>
        </is>
      </c>
      <c r="S284" t="inlineStr">
        <is>
          <t>z test</t>
        </is>
      </c>
      <c r="T284" t="n">
        <v>0.07984485756319379</v>
      </c>
      <c r="U284" t="n">
        <v>0.03985171455050973</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0.0421455938697318</v>
      </c>
      <c r="AI284">
        <f>IF($Y284="worse","Yes",IF($Y284="worse, not significant","Not sure",IF(OR($Y284="too few losses to test",$Y284="too few loans to test"),"Too few losses",IF($Y284="","","No"))))</f>
        <v/>
      </c>
      <c r="AJ284">
        <f>IF($AA284="yes","Yes",IF($AA284="","","No"))</f>
        <v/>
      </c>
      <c r="AM284">
        <f>IF(AND(ISNUMBER($AC284),ISNUMBER(IF($V284,IF($AL284="","",$AL284),IF($AK284="","",$AK284)))),IF(AND(ABS($AC284-significance_bar)&lt;=2.0*IF($V284,IF($AL284="","",$AL284),IF($AK284="","",$AK284)),OR($Y284="worse",$Y284="better",$Y284="worse, not significant",$Y284="better, not significant")),IF(ROUND($AC284,3)=ROUND(significance_bar,3),TEXT($AC284,"0.0000"),TEXT($AC284,"0.000")),""),"")</f>
        <v/>
      </c>
      <c r="AN284">
        <f>IF(AND(ISNUMBER($AC284),ISNUMBER(IF($V284,IF($AL284="","",$AL284),IF($AK284="","",$AK284)))),IF(AND(ABS($AC284-significance_bar)&lt;=2.0*IF($V284,IF($AL284="","",$AL284),IF($AK284="","",$AK284)),OR($Y284="worse",$Y284="worse, not significant")),IF(ROUND($AC284,3)=ROUND(significance_bar,3),TEXT($AC284,"0.0000"),TEXT($AC284,"0.000")),""),"")</f>
        <v/>
      </c>
      <c r="AO284">
        <f>IF(OR($AI284="",$AN284=""),$AI284,$AI284&amp;" · borderline (p "&amp;$AN284&amp;")")</f>
        <v/>
      </c>
    </row>
    <row r="285">
      <c r="A285" t="inlineStr">
        <is>
          <t>grids</t>
        </is>
      </c>
      <c r="B285" t="inlineStr">
        <is>
          <t>REV_DEBT x CHANNEL</t>
        </is>
      </c>
      <c r="C285" t="inlineStr">
        <is>
          <t>0 - 6,558</t>
        </is>
      </c>
      <c r="D285" t="inlineStr">
        <is>
          <t>Branch</t>
        </is>
      </c>
      <c r="E285" t="inlineStr">
        <is>
          <t>outcome_booked</t>
        </is>
      </c>
      <c r="F285" t="inlineStr">
        <is>
          <t>Outcome, share of booked dollars</t>
        </is>
      </c>
      <c r="G285" t="n">
        <v>522</v>
      </c>
      <c r="H285" t="n">
        <v>16910187.17000001</v>
      </c>
      <c r="I285" t="b">
        <v>0</v>
      </c>
      <c r="J285" t="b">
        <v>0</v>
      </c>
      <c r="K285" t="n">
        <v>0.4489848075580158</v>
      </c>
      <c r="L285" t="n">
        <v>0.01066098081023454</v>
      </c>
      <c r="M285" t="n">
        <v>0.9053799834082064</v>
      </c>
      <c r="N285" t="n">
        <v>0.8495981630309988</v>
      </c>
      <c r="O285" t="n">
        <v>-723359.4101563075</v>
      </c>
      <c r="P285" t="n">
        <v>-61599.09609590948</v>
      </c>
      <c r="Q285">
        <f>'_live'!$C$21</f>
        <v/>
      </c>
      <c r="R285" t="inlineStr">
        <is>
          <t>shuffled: 0 of 200</t>
        </is>
      </c>
      <c r="S285" t="inlineStr">
        <is>
          <t>shuffled: 147 of 200</t>
        </is>
      </c>
      <c r="T285" t="n">
        <v>0.0776322454008832</v>
      </c>
      <c r="U285" t="n">
        <v>0.03849841989039966</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0.0348556987616122</v>
      </c>
      <c r="AI285">
        <f>IF($Y285="worse","Yes",IF($Y285="worse, not significant","Not sure",IF(OR($Y285="too few losses to test",$Y285="too few loans to test"),"Too few losses",IF($Y285="","","No"))))</f>
        <v/>
      </c>
      <c r="AJ285">
        <f>IF($AA285="yes","Yes",IF($AA285="","","No"))</f>
        <v/>
      </c>
      <c r="AK285" t="n">
        <v>0.01066098081023454</v>
      </c>
      <c r="AL285" t="n">
        <v>0.03595055869541028</v>
      </c>
      <c r="AM285">
        <f>IF(AND(ISNUMBER($AC285),ISNUMBER(IF($V285,IF($AL285="","",$AL285),IF($AK285="","",$AK285)))),IF(AND(ABS($AC285-significance_bar)&lt;=2.0*IF($V285,IF($AL285="","",$AL285),IF($AK285="","",$AK285)),OR($Y285="worse",$Y285="better",$Y285="worse, not significant",$Y285="better, not significant")),IF(ROUND($AC285,3)=ROUND(significance_bar,3),TEXT($AC285,"0.0000"),TEXT($AC285,"0.000")),""),"")</f>
        <v/>
      </c>
      <c r="AN285">
        <f>IF(AND(ISNUMBER($AC285),ISNUMBER(IF($V285,IF($AL285="","",$AL285),IF($AK285="","",$AK285)))),IF(AND(ABS($AC285-significance_bar)&lt;=2.0*IF($V285,IF($AL285="","",$AL285),IF($AK285="","",$AK285)),OR($Y285="worse",$Y285="worse, not significant")),IF(ROUND($AC285,3)=ROUND(significance_bar,3),TEXT($AC285,"0.0000"),TEXT($AC285,"0.000")),""),"")</f>
        <v/>
      </c>
      <c r="AO285">
        <f>IF(OR($AI285="",$AN285=""),$AI285,$AI285&amp;" · borderline (p "&amp;$AN285&amp;")")</f>
        <v/>
      </c>
    </row>
    <row r="286">
      <c r="A286" t="inlineStr">
        <is>
          <t>grids</t>
        </is>
      </c>
      <c r="B286" t="inlineStr">
        <is>
          <t>REV_DEBT x CHANNEL</t>
        </is>
      </c>
      <c r="C286" t="inlineStr">
        <is>
          <t>0 - 6,558</t>
        </is>
      </c>
      <c r="D286" t="inlineStr">
        <is>
          <t>Branch</t>
        </is>
      </c>
      <c r="E286" t="inlineStr">
        <is>
          <t>gco_rate</t>
        </is>
      </c>
      <c r="F286" t="inlineStr">
        <is>
          <t>GCO per booked dollar</t>
        </is>
      </c>
      <c r="G286" t="n">
        <v>522</v>
      </c>
      <c r="H286" t="n">
        <v>16910187.17000001</v>
      </c>
      <c r="I286" t="b">
        <v>0</v>
      </c>
      <c r="J286" t="b">
        <v>0</v>
      </c>
      <c r="K286" t="n">
        <v>0.435229329474399</v>
      </c>
      <c r="L286" t="n">
        <v>0.009328358208955223</v>
      </c>
      <c r="M286" t="n">
        <v>0.9439024179238202</v>
      </c>
      <c r="N286" t="n">
        <v>0.9800995024875622</v>
      </c>
      <c r="O286" t="n">
        <v>-412618.1713059973</v>
      </c>
      <c r="P286" t="n">
        <v>-18897.80716892559</v>
      </c>
      <c r="Q286">
        <f>'_live'!$C$22</f>
        <v/>
      </c>
      <c r="R286" t="inlineStr">
        <is>
          <t>shuffled: 0 of 200</t>
        </is>
      </c>
      <c r="S286" t="inlineStr">
        <is>
          <t>shuffled: 157 of 200</t>
        </is>
      </c>
      <c r="T286" t="n">
        <v>0.04320438230288358</v>
      </c>
      <c r="U286" t="n">
        <v>0.0199213541389161</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0.01880381434003961</v>
      </c>
      <c r="AI286">
        <f>IF($Y286="worse","Yes",IF($Y286="worse, not significant","Not sure",IF(OR($Y286="too few losses to test",$Y286="too few loans to test"),"Too few losses",IF($Y286="","","No"))))</f>
        <v/>
      </c>
      <c r="AJ286">
        <f>IF($AA286="yes","Yes",IF($AA286="","","No"))</f>
        <v/>
      </c>
      <c r="AK286" t="n">
        <v>0.009328358208955223</v>
      </c>
      <c r="AL286" t="n">
        <v>0.009875339921034437</v>
      </c>
      <c r="AM286">
        <f>IF(AND(ISNUMBER($AC286),ISNUMBER(IF($V286,IF($AL286="","",$AL286),IF($AK286="","",$AK286)))),IF(AND(ABS($AC286-significance_bar)&lt;=2.0*IF($V286,IF($AL286="","",$AL286),IF($AK286="","",$AK286)),OR($Y286="worse",$Y286="better",$Y286="worse, not significant",$Y286="better, not significant")),IF(ROUND($AC286,3)=ROUND(significance_bar,3),TEXT($AC286,"0.0000"),TEXT($AC286,"0.000")),""),"")</f>
        <v/>
      </c>
      <c r="AN286">
        <f>IF(AND(ISNUMBER($AC286),ISNUMBER(IF($V286,IF($AL286="","",$AL286),IF($AK286="","",$AK286)))),IF(AND(ABS($AC286-significance_bar)&lt;=2.0*IF($V286,IF($AL286="","",$AL286),IF($AK286="","",$AK286)),OR($Y286="worse",$Y286="worse, not significant")),IF(ROUND($AC286,3)=ROUND(significance_bar,3),TEXT($AC286,"0.0000"),TEXT($AC286,"0.000")),""),"")</f>
        <v/>
      </c>
      <c r="AO286">
        <f>IF(OR($AI286="",$AN286=""),$AI286,$AI286&amp;" · borderline (p "&amp;$AN286&amp;")")</f>
        <v/>
      </c>
    </row>
    <row r="287">
      <c r="A287" t="inlineStr">
        <is>
          <t>grids</t>
        </is>
      </c>
      <c r="B287" t="inlineStr">
        <is>
          <t>REV_DEBT x CHANNEL</t>
        </is>
      </c>
      <c r="C287" t="inlineStr">
        <is>
          <t>0 - 6,558</t>
        </is>
      </c>
      <c r="D287" t="inlineStr">
        <is>
          <t>Branch</t>
        </is>
      </c>
      <c r="E287" t="inlineStr">
        <is>
          <t>ranr_rate</t>
        </is>
      </c>
      <c r="F287" t="inlineStr">
        <is>
          <t>Profit after losses: RANR per booked dollar</t>
        </is>
      </c>
      <c r="G287" t="n">
        <v>522</v>
      </c>
      <c r="H287" t="n">
        <v>16910187.17000001</v>
      </c>
      <c r="I287" t="b">
        <v>0</v>
      </c>
      <c r="J287" t="b">
        <v>0</v>
      </c>
      <c r="K287" t="n">
        <v>-0.03391243611964341</v>
      </c>
      <c r="L287" t="n">
        <v>0.01492537313432836</v>
      </c>
      <c r="M287" t="n">
        <v>-0.01495250428849909</v>
      </c>
      <c r="N287" t="n">
        <v>0.1409618573797679</v>
      </c>
      <c r="O287" t="n">
        <v>573465.642173839</v>
      </c>
      <c r="P287" t="n">
        <v>252849.6461787475</v>
      </c>
      <c r="Q287">
        <f>'_live'!$C$23</f>
        <v/>
      </c>
      <c r="R287" t="inlineStr">
        <is>
          <t>shuffled: 0 of 200</t>
        </is>
      </c>
      <c r="S287" t="inlineStr">
        <is>
          <t>shuffled: 16 of 200</t>
        </is>
      </c>
      <c r="T287" t="n">
        <v>0.1302121951719258</v>
      </c>
      <c r="U287" t="n">
        <v>0.1112522633407815</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0.0962997590522824</v>
      </c>
      <c r="AI287">
        <f>IF($Y287="worse","Yes",IF($Y287="worse, not significant","Not sure",IF(OR($Y287="too few losses to test",$Y287="too few loans to test"),"Too few losses",IF($Y287="","","No"))))</f>
        <v/>
      </c>
      <c r="AJ287">
        <f>IF($AA287="yes","Yes",IF($AA287="","","No"))</f>
        <v/>
      </c>
      <c r="AK287" t="n">
        <v>0.01492537313432836</v>
      </c>
      <c r="AL287" t="n">
        <v>0.03279223869533199</v>
      </c>
      <c r="AM287">
        <f>IF(AND(ISNUMBER($AC287),ISNUMBER(IF($V287,IF($AL287="","",$AL287),IF($AK287="","",$AK287)))),IF(AND(ABS($AC287-significance_bar)&lt;=2.0*IF($V287,IF($AL287="","",$AL287),IF($AK287="","",$AK287)),OR($Y287="worse",$Y287="better",$Y287="worse, not significant",$Y287="better, not significant",AND(profit_kind="test",$Y287="in line",ISNUMBER($AB287),$AB287&lt;&gt;0))),IF(ROUND($AC287,3)=ROUND(significance_bar,3),TEXT($AC287,"0.0000"),TEXT($AC287,"0.000")),""),"")</f>
        <v/>
      </c>
      <c r="AN287">
        <f>IF(AND(ISNUMBER($AC287),ISNUMBER(IF($V287,IF($AL287="","",$AL287),IF($AK287="","",$AK287)))),IF(AND(ABS($AC287-significance_bar)&lt;=2.0*IF($V287,IF($AL287="","",$AL287),IF($AK287="","",$AK287)),OR($Y287="worse",$Y287="worse, not significant",AND(profit_kind="test",$Y287="in line",ISNUMBER($AB287),$AB287&lt;0))),IF(ROUND($AC287,3)=ROUND(significance_bar,3),TEXT($AC287,"0.0000"),TEXT($AC287,"0.000")),""),"")</f>
        <v/>
      </c>
      <c r="AO287">
        <f>IF(OR($AI287="",$AN287=""),$AI287,$AI287&amp;" · borderline (p "&amp;$AN287&amp;")")</f>
        <v/>
      </c>
    </row>
    <row r="288">
      <c r="A288" t="inlineStr">
        <is>
          <t>grids</t>
        </is>
      </c>
      <c r="B288" t="inlineStr">
        <is>
          <t>REV_DEBT x CHANNEL</t>
        </is>
      </c>
      <c r="C288" t="inlineStr">
        <is>
          <t>0 - 6,558</t>
        </is>
      </c>
      <c r="D288" t="inlineStr">
        <is>
          <t>Branch</t>
        </is>
      </c>
      <c r="E288" t="inlineStr">
        <is>
          <t>contribution_rate</t>
        </is>
      </c>
      <c r="F288" t="inlineStr">
        <is>
          <t>Contribution before losses per booked dollar</t>
        </is>
      </c>
      <c r="G288" t="n">
        <v>522</v>
      </c>
      <c r="H288" t="n">
        <v>16910187.17000001</v>
      </c>
      <c r="I288" t="b">
        <v>0</v>
      </c>
      <c r="J288" t="b">
        <v>0</v>
      </c>
      <c r="K288" t="n">
        <v>-0.05831031004177675</v>
      </c>
      <c r="L288" t="n">
        <v>0.007462686567164178</v>
      </c>
      <c r="M288" t="n">
        <v>-0.01607004408737553</v>
      </c>
      <c r="N288" t="n">
        <v>0.01243781094527363</v>
      </c>
      <c r="O288" t="n">
        <v>986038.2567471759</v>
      </c>
      <c r="P288" t="n">
        <v>271747.4533476722</v>
      </c>
      <c r="Q288">
        <f>'_live'!$C$24</f>
        <v/>
      </c>
      <c r="R288" t="inlineStr">
        <is>
          <t>shuffled: 0 of 200</t>
        </is>
      </c>
      <c r="S288" t="inlineStr">
        <is>
          <t>shuffled: 0 of 200</t>
        </is>
      </c>
      <c r="T288" t="n">
        <v>0.1734138834340988</v>
      </c>
      <c r="U288" t="n">
        <v>0.1311736174796976</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0.1151035733923221</v>
      </c>
      <c r="AI288">
        <f>IF($Y288="worse","Yes",IF($Y288="worse, not significant","Not sure",IF(OR($Y288="too few losses to test",$Y288="too few loans to test"),"Too few losses",IF($Y288="","","No"))))</f>
        <v/>
      </c>
      <c r="AJ288">
        <f>IF($AA288="yes","Yes",IF($AA288="","","No"))</f>
        <v/>
      </c>
      <c r="AK288" t="n">
        <v>0.007462686567164178</v>
      </c>
      <c r="AL288" t="n">
        <v>0.01243781094527363</v>
      </c>
      <c r="AM288">
        <f>IF(AND(ISNUMBER($AC288),ISNUMBER(IF($V288,IF($AL288="","",$AL288),IF($AK288="","",$AK288)))),IF(AND(ABS($AC288-significance_bar)&lt;=2.0*IF($V288,IF($AL288="","",$AL288),IF($AK288="","",$AK288)),OR($Y288="worse",$Y288="better",$Y288="worse, not significant",$Y288="better, not significant",AND(profit_kind="test",$Y288="in line",ISNUMBER($AB288),$AB288&lt;&gt;0))),IF(ROUND($AC288,3)=ROUND(significance_bar,3),TEXT($AC288,"0.0000"),TEXT($AC288,"0.000")),""),"")</f>
        <v/>
      </c>
      <c r="AN288">
        <f>IF(AND(ISNUMBER($AC288),ISNUMBER(IF($V288,IF($AL288="","",$AL288),IF($AK288="","",$AK288)))),IF(AND(ABS($AC288-significance_bar)&lt;=2.0*IF($V288,IF($AL288="","",$AL288),IF($AK288="","",$AK288)),OR($Y288="worse",$Y288="worse, not significant",AND(profit_kind="test",$Y288="in line",ISNUMBER($AB288),$AB288&lt;0))),IF(ROUND($AC288,3)=ROUND(significance_bar,3),TEXT($AC288,"0.0000"),TEXT($AC288,"0.000")),""),"")</f>
        <v/>
      </c>
      <c r="AO288">
        <f>IF(OR($AI288="",$AN288=""),$AI288,$AI288&amp;" · borderline (p "&amp;$AN288&amp;")")</f>
        <v/>
      </c>
    </row>
    <row r="289">
      <c r="A289" t="inlineStr">
        <is>
          <t>grids</t>
        </is>
      </c>
      <c r="B289" t="inlineStr">
        <is>
          <t>REV_DEBT x CHANNEL</t>
        </is>
      </c>
      <c r="C289" t="inlineStr">
        <is>
          <t>9,837 - 13,051</t>
        </is>
      </c>
      <c r="D289" t="inlineStr">
        <is>
          <t>Online</t>
        </is>
      </c>
      <c r="E289" t="inlineStr">
        <is>
          <t>outcome_loans</t>
        </is>
      </c>
      <c r="F289" t="inlineStr">
        <is>
          <t>Outcome, share of loans</t>
        </is>
      </c>
      <c r="G289" t="n">
        <v>526</v>
      </c>
      <c r="H289" t="n">
        <v>526</v>
      </c>
      <c r="I289" t="b">
        <v>0</v>
      </c>
      <c r="J289" t="b">
        <v>0</v>
      </c>
      <c r="K289" t="n">
        <v>0.7490203305656863</v>
      </c>
      <c r="L289" t="n">
        <v>0.1266869528411379</v>
      </c>
      <c r="M289" t="n">
        <v>0.9290986356519794</v>
      </c>
      <c r="N289" t="n">
        <v>0.8865297551749322</v>
      </c>
      <c r="O289" t="n">
        <v>-10.38739462063428</v>
      </c>
      <c r="P289" t="n">
        <v>-2.365671641791046</v>
      </c>
      <c r="Q289">
        <f>'_live'!$C$20</f>
        <v/>
      </c>
      <c r="R289" t="inlineStr">
        <is>
          <t>z test</t>
        </is>
      </c>
      <c r="S289" t="inlineStr">
        <is>
          <t>z test</t>
        </is>
      </c>
      <c r="T289" t="n">
        <v>0.07868325973504617</v>
      </c>
      <c r="U289" t="n">
        <v>0.06343283582089553</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0.05893536121673004</v>
      </c>
      <c r="AI289">
        <f>IF($Y289="worse","Yes",IF($Y289="worse, not significant","Not sure",IF(OR($Y289="too few losses to test",$Y289="too few loans to test"),"Too few losses",IF($Y289="","","No"))))</f>
        <v/>
      </c>
      <c r="AJ289">
        <f>IF($AA289="yes","Yes",IF($AA289="","","No"))</f>
        <v/>
      </c>
      <c r="AM289">
        <f>IF(AND(ISNUMBER($AC289),ISNUMBER(IF($V289,IF($AL289="","",$AL289),IF($AK289="","",$AK289)))),IF(AND(ABS($AC289-significance_bar)&lt;=2.0*IF($V289,IF($AL289="","",$AL289),IF($AK289="","",$AK289)),OR($Y289="worse",$Y289="better",$Y289="worse, not significant",$Y289="better, not significant")),IF(ROUND($AC289,3)=ROUND(significance_bar,3),TEXT($AC289,"0.0000"),TEXT($AC289,"0.000")),""),"")</f>
        <v/>
      </c>
      <c r="AN289">
        <f>IF(AND(ISNUMBER($AC289),ISNUMBER(IF($V289,IF($AL289="","",$AL289),IF($AK289="","",$AK289)))),IF(AND(ABS($AC289-significance_bar)&lt;=2.0*IF($V289,IF($AL289="","",$AL289),IF($AK289="","",$AK289)),OR($Y289="worse",$Y289="worse, not significant")),IF(ROUND($AC289,3)=ROUND(significance_bar,3),TEXT($AC289,"0.0000"),TEXT($AC289,"0.000")),""),"")</f>
        <v/>
      </c>
      <c r="AO289">
        <f>IF(OR($AI289="",$AN289=""),$AI289,$AI289&amp;" · borderline (p "&amp;$AN289&amp;")")</f>
        <v/>
      </c>
    </row>
    <row r="290">
      <c r="A290" t="inlineStr">
        <is>
          <t>grids</t>
        </is>
      </c>
      <c r="B290" t="inlineStr">
        <is>
          <t>REV_DEBT x CHANNEL</t>
        </is>
      </c>
      <c r="C290" t="inlineStr">
        <is>
          <t>9,837 - 13,051</t>
        </is>
      </c>
      <c r="D290" t="inlineStr">
        <is>
          <t>Online</t>
        </is>
      </c>
      <c r="E290" t="inlineStr">
        <is>
          <t>outcome_booked</t>
        </is>
      </c>
      <c r="F290" t="inlineStr">
        <is>
          <t>Outcome, share of booked dollars</t>
        </is>
      </c>
      <c r="G290" t="n">
        <v>526</v>
      </c>
      <c r="H290" t="n">
        <v>17418987.63</v>
      </c>
      <c r="I290" t="b">
        <v>0</v>
      </c>
      <c r="J290" t="b">
        <v>0</v>
      </c>
      <c r="K290" t="n">
        <v>0.7209445998913283</v>
      </c>
      <c r="L290" t="n">
        <v>0.1430348258706468</v>
      </c>
      <c r="M290" t="n">
        <v>0.9061569487201071</v>
      </c>
      <c r="N290" t="n">
        <v>0.8495981630309988</v>
      </c>
      <c r="O290" t="n">
        <v>-370716.4979983747</v>
      </c>
      <c r="P290" t="n">
        <v>-99186.3870708521</v>
      </c>
      <c r="Q290">
        <f>'_live'!$C$21</f>
        <v/>
      </c>
      <c r="R290" t="inlineStr">
        <is>
          <t>shuffled: 22 of 200</t>
        </is>
      </c>
      <c r="S290" t="inlineStr">
        <is>
          <t>shuffled: 139 of 200</t>
        </is>
      </c>
      <c r="T290" t="n">
        <v>0.07626557904607542</v>
      </c>
      <c r="U290" t="n">
        <v>0.06067741073829859</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0.05498325737085331</v>
      </c>
      <c r="AI290">
        <f>IF($Y290="worse","Yes",IF($Y290="worse, not significant","Not sure",IF(OR($Y290="too few losses to test",$Y290="too few loans to test"),"Too few losses",IF($Y290="","","No"))))</f>
        <v/>
      </c>
      <c r="AJ290">
        <f>IF($AA290="yes","Yes",IF($AA290="","","No"))</f>
        <v/>
      </c>
      <c r="AK290" t="n">
        <v>0.02813668165637716</v>
      </c>
      <c r="AL290" t="n">
        <v>0.03595055869541028</v>
      </c>
      <c r="AM290">
        <f>IF(AND(ISNUMBER($AC290),ISNUMBER(IF($V290,IF($AL290="","",$AL290),IF($AK290="","",$AK290)))),IF(AND(ABS($AC290-significance_bar)&lt;=2.0*IF($V290,IF($AL290="","",$AL290),IF($AK290="","",$AK290)),OR($Y290="worse",$Y290="better",$Y290="worse, not significant",$Y290="better, not significant")),IF(ROUND($AC290,3)=ROUND(significance_bar,3),TEXT($AC290,"0.0000"),TEXT($AC290,"0.000")),""),"")</f>
        <v/>
      </c>
      <c r="AN290">
        <f>IF(AND(ISNUMBER($AC290),ISNUMBER(IF($V290,IF($AL290="","",$AL290),IF($AK290="","",$AK290)))),IF(AND(ABS($AC290-significance_bar)&lt;=2.0*IF($V290,IF($AL290="","",$AL290),IF($AK290="","",$AK290)),OR($Y290="worse",$Y290="worse, not significant")),IF(ROUND($AC290,3)=ROUND(significance_bar,3),TEXT($AC290,"0.0000"),TEXT($AC290,"0.000")),""),"")</f>
        <v/>
      </c>
      <c r="AO290">
        <f>IF(OR($AI290="",$AN290=""),$AI290,$AI290&amp;" · borderline (p "&amp;$AN290&amp;")")</f>
        <v/>
      </c>
    </row>
    <row r="291">
      <c r="A291" t="inlineStr">
        <is>
          <t>grids</t>
        </is>
      </c>
      <c r="B291" t="inlineStr">
        <is>
          <t>REV_DEBT x CHANNEL</t>
        </is>
      </c>
      <c r="C291" t="inlineStr">
        <is>
          <t>9,837 - 13,051</t>
        </is>
      </c>
      <c r="D291" t="inlineStr">
        <is>
          <t>Online</t>
        </is>
      </c>
      <c r="E291" t="inlineStr">
        <is>
          <t>gco_rate</t>
        </is>
      </c>
      <c r="F291" t="inlineStr">
        <is>
          <t>GCO per booked dollar</t>
        </is>
      </c>
      <c r="G291" t="n">
        <v>526</v>
      </c>
      <c r="H291" t="n">
        <v>17418987.63</v>
      </c>
      <c r="I291" t="b">
        <v>0</v>
      </c>
      <c r="J291" t="b">
        <v>0</v>
      </c>
      <c r="K291" t="n">
        <v>0.6663554074248285</v>
      </c>
      <c r="L291" t="n">
        <v>0.06840796019900498</v>
      </c>
      <c r="M291" t="n">
        <v>0.8279767478132315</v>
      </c>
      <c r="N291" t="n">
        <v>0.8507462686567164</v>
      </c>
      <c r="O291" t="n">
        <v>-247371.1462617957</v>
      </c>
      <c r="P291" t="n">
        <v>-102645.4943410396</v>
      </c>
      <c r="Q291">
        <f>'_live'!$C$22</f>
        <v/>
      </c>
      <c r="R291" t="inlineStr">
        <is>
          <t>shuffled: 10 of 200</t>
        </is>
      </c>
      <c r="S291" t="inlineStr">
        <is>
          <t>shuffled: 93 of 200</t>
        </is>
      </c>
      <c r="T291" t="n">
        <v>0.04256396135128295</v>
      </c>
      <c r="U291" t="n">
        <v>0.03425546174183945</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0.0283627258078488</v>
      </c>
      <c r="AI291">
        <f>IF($Y291="worse","Yes",IF($Y291="worse, not significant","Not sure",IF(OR($Y291="too few losses to test",$Y291="too few loans to test"),"Too few losses",IF($Y291="","","No"))))</f>
        <v/>
      </c>
      <c r="AJ291">
        <f>IF($AA291="yes","Yes",IF($AA291="","","No"))</f>
        <v/>
      </c>
      <c r="AK291" t="n">
        <v>0.02010351974532912</v>
      </c>
      <c r="AL291" t="n">
        <v>0.05255236385509927</v>
      </c>
      <c r="AM291">
        <f>IF(AND(ISNUMBER($AC291),ISNUMBER(IF($V291,IF($AL291="","",$AL291),IF($AK291="","",$AK291)))),IF(AND(ABS($AC291-significance_bar)&lt;=2.0*IF($V291,IF($AL291="","",$AL291),IF($AK291="","",$AK291)),OR($Y291="worse",$Y291="better",$Y291="worse, not significant",$Y291="better, not significant")),IF(ROUND($AC291,3)=ROUND(significance_bar,3),TEXT($AC291,"0.0000"),TEXT($AC291,"0.000")),""),"")</f>
        <v/>
      </c>
      <c r="AN291">
        <f>IF(AND(ISNUMBER($AC291),ISNUMBER(IF($V291,IF($AL291="","",$AL291),IF($AK291="","",$AK291)))),IF(AND(ABS($AC291-significance_bar)&lt;=2.0*IF($V291,IF($AL291="","",$AL291),IF($AK291="","",$AK291)),OR($Y291="worse",$Y291="worse, not significant")),IF(ROUND($AC291,3)=ROUND(significance_bar,3),TEXT($AC291,"0.0000"),TEXT($AC291,"0.000")),""),"")</f>
        <v/>
      </c>
      <c r="AO291">
        <f>IF(OR($AI291="",$AN291=""),$AI291,$AI291&amp;" · borderline (p "&amp;$AN291&amp;")")</f>
        <v/>
      </c>
    </row>
    <row r="292">
      <c r="A292" t="inlineStr">
        <is>
          <t>grids</t>
        </is>
      </c>
      <c r="B292" t="inlineStr">
        <is>
          <t>REV_DEBT x CHANNEL</t>
        </is>
      </c>
      <c r="C292" t="inlineStr">
        <is>
          <t>9,837 - 13,051</t>
        </is>
      </c>
      <c r="D292" t="inlineStr">
        <is>
          <t>Online</t>
        </is>
      </c>
      <c r="E292" t="inlineStr">
        <is>
          <t>ranr_rate</t>
        </is>
      </c>
      <c r="F292" t="inlineStr">
        <is>
          <t>Profit after losses: RANR per booked dollar</t>
        </is>
      </c>
      <c r="G292" t="n">
        <v>526</v>
      </c>
      <c r="H292" t="n">
        <v>17418987.63</v>
      </c>
      <c r="I292" t="b">
        <v>0</v>
      </c>
      <c r="J292" t="b">
        <v>0</v>
      </c>
      <c r="K292" t="n">
        <v>0.02379643916132432</v>
      </c>
      <c r="L292" t="n">
        <v>0.01492537313432836</v>
      </c>
      <c r="M292" t="n">
        <v>0.02820297854628181</v>
      </c>
      <c r="N292" t="n">
        <v>0.03731343283582089</v>
      </c>
      <c r="O292" t="n">
        <v>-414509.8793891557</v>
      </c>
      <c r="P292" t="n">
        <v>-491267.334426838</v>
      </c>
      <c r="Q292">
        <f>'_live'!$C$23</f>
        <v/>
      </c>
      <c r="R292" t="inlineStr">
        <is>
          <t>shuffled: 0 of 200</t>
        </is>
      </c>
      <c r="S292" t="inlineStr">
        <is>
          <t>shuffled: 1 of 200</t>
        </is>
      </c>
      <c r="T292" t="n">
        <v>0.1263838483253371</v>
      </c>
      <c r="U292" t="n">
        <v>0.1219773089403796</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0.1501802874866614</v>
      </c>
      <c r="AI292">
        <f>IF($Y292="worse","Yes",IF($Y292="worse, not significant","Not sure",IF(OR($Y292="too few losses to test",$Y292="too few loans to test"),"Too few losses",IF($Y292="","","No"))))</f>
        <v/>
      </c>
      <c r="AJ292">
        <f>IF($AA292="yes","Yes",IF($AA292="","","No"))</f>
        <v/>
      </c>
      <c r="AK292" t="n">
        <v>0.01492537313432836</v>
      </c>
      <c r="AL292" t="n">
        <v>0.02631853727549605</v>
      </c>
      <c r="AM292">
        <f>IF(AND(ISNUMBER($AC292),ISNUMBER(IF($V292,IF($AL292="","",$AL292),IF($AK292="","",$AK292)))),IF(AND(ABS($AC292-significance_bar)&lt;=2.0*IF($V292,IF($AL292="","",$AL292),IF($AK292="","",$AK292)),OR($Y292="worse",$Y292="better",$Y292="worse, not significant",$Y292="better, not significant",AND(profit_kind="test",$Y292="in line",ISNUMBER($AB292),$AB292&lt;&gt;0))),IF(ROUND($AC292,3)=ROUND(significance_bar,3),TEXT($AC292,"0.0000"),TEXT($AC292,"0.000")),""),"")</f>
        <v/>
      </c>
      <c r="AN292">
        <f>IF(AND(ISNUMBER($AC292),ISNUMBER(IF($V292,IF($AL292="","",$AL292),IF($AK292="","",$AK292)))),IF(AND(ABS($AC292-significance_bar)&lt;=2.0*IF($V292,IF($AL292="","",$AL292),IF($AK292="","",$AK292)),OR($Y292="worse",$Y292="worse, not significant",AND(profit_kind="test",$Y292="in line",ISNUMBER($AB292),$AB292&lt;0))),IF(ROUND($AC292,3)=ROUND(significance_bar,3),TEXT($AC292,"0.0000"),TEXT($AC292,"0.000")),""),"")</f>
        <v/>
      </c>
      <c r="AO292">
        <f>IF(OR($AI292="",$AN292=""),$AI292,$AI292&amp;" · borderline (p "&amp;$AN292&amp;")")</f>
        <v/>
      </c>
    </row>
    <row r="293">
      <c r="A293" t="inlineStr">
        <is>
          <t>grids</t>
        </is>
      </c>
      <c r="B293" t="inlineStr">
        <is>
          <t>REV_DEBT x CHANNEL</t>
        </is>
      </c>
      <c r="C293" t="inlineStr">
        <is>
          <t>9,837 - 13,051</t>
        </is>
      </c>
      <c r="D293" t="inlineStr">
        <is>
          <t>Online</t>
        </is>
      </c>
      <c r="E293" t="inlineStr">
        <is>
          <t>contribution_rate</t>
        </is>
      </c>
      <c r="F293" t="inlineStr">
        <is>
          <t>Contribution before losses per booked dollar</t>
        </is>
      </c>
      <c r="G293" t="n">
        <v>526</v>
      </c>
      <c r="H293" t="n">
        <v>17418987.63</v>
      </c>
      <c r="I293" t="b">
        <v>0</v>
      </c>
      <c r="J293" t="b">
        <v>0</v>
      </c>
      <c r="K293" t="n">
        <v>0.009598534775244305</v>
      </c>
      <c r="L293" t="n">
        <v>0.1439232409381663</v>
      </c>
      <c r="M293" t="n">
        <v>0.02231024261229125</v>
      </c>
      <c r="N293" t="n">
        <v>0.01243781094527363</v>
      </c>
      <c r="O293" t="n">
        <v>-167196.7585161054</v>
      </c>
      <c r="P293" t="n">
        <v>-388621.8400858003</v>
      </c>
      <c r="Q293">
        <f>'_live'!$C$24</f>
        <v/>
      </c>
      <c r="R293" t="inlineStr">
        <is>
          <t>shuffled: 26 of 200</t>
        </is>
      </c>
      <c r="S293" t="inlineStr">
        <is>
          <t>shuffled: 0 of 200</t>
        </is>
      </c>
      <c r="T293" t="n">
        <v>0.1689444785192659</v>
      </c>
      <c r="U293" t="n">
        <v>0.156232770682219</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0.1785430132945102</v>
      </c>
      <c r="AI293">
        <f>IF($Y293="worse","Yes",IF($Y293="worse, not significant","Not sure",IF(OR($Y293="too few losses to test",$Y293="too few loans to test"),"Too few losses",IF($Y293="","","No"))))</f>
        <v/>
      </c>
      <c r="AJ293">
        <f>IF($AA293="yes","Yes",IF($AA293="","","No"))</f>
        <v/>
      </c>
      <c r="AK293" t="n">
        <v>0.02583501240096511</v>
      </c>
      <c r="AL293" t="n">
        <v>0.01243781094527363</v>
      </c>
      <c r="AM293">
        <f>IF(AND(ISNUMBER($AC293),ISNUMBER(IF($V293,IF($AL293="","",$AL293),IF($AK293="","",$AK293)))),IF(AND(ABS($AC293-significance_bar)&lt;=2.0*IF($V293,IF($AL293="","",$AL293),IF($AK293="","",$AK293)),OR($Y293="worse",$Y293="better",$Y293="worse, not significant",$Y293="better, not significant",AND(profit_kind="test",$Y293="in line",ISNUMBER($AB293),$AB293&lt;&gt;0))),IF(ROUND($AC293,3)=ROUND(significance_bar,3),TEXT($AC293,"0.0000"),TEXT($AC293,"0.000")),""),"")</f>
        <v/>
      </c>
      <c r="AN293">
        <f>IF(AND(ISNUMBER($AC293),ISNUMBER(IF($V293,IF($AL293="","",$AL293),IF($AK293="","",$AK293)))),IF(AND(ABS($AC293-significance_bar)&lt;=2.0*IF($V293,IF($AL293="","",$AL293),IF($AK293="","",$AK293)),OR($Y293="worse",$Y293="worse, not significant",AND(profit_kind="test",$Y293="in line",ISNUMBER($AB293),$AB293&lt;0))),IF(ROUND($AC293,3)=ROUND(significance_bar,3),TEXT($AC293,"0.0000"),TEXT($AC293,"0.000")),""),"")</f>
        <v/>
      </c>
      <c r="AO293">
        <f>IF(OR($AI293="",$AN293=""),$AI293,$AI293&amp;" · borderline (p "&amp;$AN293&amp;")")</f>
        <v/>
      </c>
    </row>
    <row r="294">
      <c r="A294" t="inlineStr">
        <is>
          <t>grids</t>
        </is>
      </c>
      <c r="B294" t="inlineStr">
        <is>
          <t>REV_DEBT x CHANNEL</t>
        </is>
      </c>
      <c r="C294" t="inlineStr">
        <is>
          <t>17,187 - 48,521</t>
        </is>
      </c>
      <c r="D294" t="inlineStr">
        <is>
          <t>Online</t>
        </is>
      </c>
      <c r="E294" t="inlineStr">
        <is>
          <t>outcome_loans</t>
        </is>
      </c>
      <c r="F294" t="inlineStr">
        <is>
          <t>Outcome, share of loans</t>
        </is>
      </c>
      <c r="G294" t="n">
        <v>568</v>
      </c>
      <c r="H294" t="n">
        <v>568</v>
      </c>
      <c r="I294" t="b">
        <v>0</v>
      </c>
      <c r="J294" t="b">
        <v>0</v>
      </c>
      <c r="K294" t="n">
        <v>1.641290012804097</v>
      </c>
      <c r="L294" t="n">
        <v>0.0003370601739041102</v>
      </c>
      <c r="M294" t="n">
        <v>0.720495386109762</v>
      </c>
      <c r="N294" t="n">
        <v>0.059808547808623</v>
      </c>
      <c r="O294" t="n">
        <v>26.95989772574351</v>
      </c>
      <c r="P294" t="n">
        <v>-26.76744186046511</v>
      </c>
      <c r="Q294">
        <f>'_live'!$C$20</f>
        <v/>
      </c>
      <c r="R294" t="inlineStr">
        <is>
          <t>z test</t>
        </is>
      </c>
      <c r="S294" t="inlineStr">
        <is>
          <t>z test</t>
        </is>
      </c>
      <c r="T294" t="n">
        <v>0.07401426456735298</v>
      </c>
      <c r="U294" t="n">
        <v>0.1686046511627907</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0.1214788732394366</v>
      </c>
      <c r="AI294">
        <f>IF($Y294="worse","Yes",IF($Y294="worse, not significant","Not sure",IF(OR($Y294="too few losses to test",$Y294="too few loans to test"),"Too few losses",IF($Y294="","","No"))))</f>
        <v/>
      </c>
      <c r="AJ294">
        <f>IF($AA294="yes","Yes",IF($AA294="","","No"))</f>
        <v/>
      </c>
      <c r="AM294">
        <f>IF(AND(ISNUMBER($AC294),ISNUMBER(IF($V294,IF($AL294="","",$AL294),IF($AK294="","",$AK294)))),IF(AND(ABS($AC294-significance_bar)&lt;=2.0*IF($V294,IF($AL294="","",$AL294),IF($AK294="","",$AK294)),OR($Y294="worse",$Y294="better",$Y294="worse, not significant",$Y294="better, not significant")),IF(ROUND($AC294,3)=ROUND(significance_bar,3),TEXT($AC294,"0.0000"),TEXT($AC294,"0.000")),""),"")</f>
        <v/>
      </c>
      <c r="AN294">
        <f>IF(AND(ISNUMBER($AC294),ISNUMBER(IF($V294,IF($AL294="","",$AL294),IF($AK294="","",$AK294)))),IF(AND(ABS($AC294-significance_bar)&lt;=2.0*IF($V294,IF($AL294="","",$AL294),IF($AK294="","",$AK294)),OR($Y294="worse",$Y294="worse, not significant")),IF(ROUND($AC294,3)=ROUND(significance_bar,3),TEXT($AC294,"0.0000"),TEXT($AC294,"0.000")),""),"")</f>
        <v/>
      </c>
      <c r="AO294">
        <f>IF(OR($AI294="",$AN294=""),$AI294,$AI294&amp;" · borderline (p "&amp;$AN294&amp;")")</f>
        <v/>
      </c>
    </row>
    <row r="295">
      <c r="A295" t="inlineStr">
        <is>
          <t>grids</t>
        </is>
      </c>
      <c r="B295" t="inlineStr">
        <is>
          <t>REV_DEBT x CHANNEL</t>
        </is>
      </c>
      <c r="C295" t="inlineStr">
        <is>
          <t>17,187 - 48,521</t>
        </is>
      </c>
      <c r="D295" t="inlineStr">
        <is>
          <t>Online</t>
        </is>
      </c>
      <c r="E295" t="inlineStr">
        <is>
          <t>outcome_booked</t>
        </is>
      </c>
      <c r="F295" t="inlineStr">
        <is>
          <t>Outcome, share of booked dollars</t>
        </is>
      </c>
      <c r="G295" t="n">
        <v>568</v>
      </c>
      <c r="H295" t="n">
        <v>17998253.64999999</v>
      </c>
      <c r="I295" t="b">
        <v>0</v>
      </c>
      <c r="J295" t="b">
        <v>0</v>
      </c>
      <c r="K295" t="n">
        <v>1.761559654821034</v>
      </c>
      <c r="L295" t="n">
        <v>0.01066098081023454</v>
      </c>
      <c r="M295" t="n">
        <v>0.7642273631427039</v>
      </c>
      <c r="N295" t="n">
        <v>0.2238805970149254</v>
      </c>
      <c r="O295" t="n">
        <v>973924.8209573051</v>
      </c>
      <c r="P295" t="n">
        <v>-695007.7989120376</v>
      </c>
      <c r="Q295">
        <f>'_live'!$C$21</f>
        <v/>
      </c>
      <c r="R295" t="inlineStr">
        <is>
          <t>shuffled: 0 of 200</t>
        </is>
      </c>
      <c r="S295" t="inlineStr">
        <is>
          <t>shuffled: 12 of 200</t>
        </is>
      </c>
      <c r="T295" t="n">
        <v>0.07105442638556743</v>
      </c>
      <c r="U295" t="n">
        <v>0.1637819016353311</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0.1251666108172668</v>
      </c>
      <c r="AI295">
        <f>IF($Y295="worse","Yes",IF($Y295="worse, not significant","Not sure",IF(OR($Y295="too few losses to test",$Y295="too few loans to test"),"Too few losses",IF($Y295="","","No"))))</f>
        <v/>
      </c>
      <c r="AJ295">
        <f>IF($AA295="yes","Yes",IF($AA295="","","No"))</f>
        <v/>
      </c>
      <c r="AK295" t="n">
        <v>0.01066098081023454</v>
      </c>
      <c r="AL295" t="n">
        <v>0.05574581909547194</v>
      </c>
      <c r="AM295">
        <f>IF(AND(ISNUMBER($AC295),ISNUMBER(IF($V295,IF($AL295="","",$AL295),IF($AK295="","",$AK295)))),IF(AND(ABS($AC295-significance_bar)&lt;=2.0*IF($V295,IF($AL295="","",$AL295),IF($AK295="","",$AK295)),OR($Y295="worse",$Y295="better",$Y295="worse, not significant",$Y295="better, not significant")),IF(ROUND($AC295,3)=ROUND(significance_bar,3),TEXT($AC295,"0.0000"),TEXT($AC295,"0.000")),""),"")</f>
        <v/>
      </c>
      <c r="AN295">
        <f>IF(AND(ISNUMBER($AC295),ISNUMBER(IF($V295,IF($AL295="","",$AL295),IF($AK295="","",$AK295)))),IF(AND(ABS($AC295-significance_bar)&lt;=2.0*IF($V295,IF($AL295="","",$AL295),IF($AK295="","",$AK295)),OR($Y295="worse",$Y295="worse, not significant")),IF(ROUND($AC295,3)=ROUND(significance_bar,3),TEXT($AC295,"0.0000"),TEXT($AC295,"0.000")),""),"")</f>
        <v/>
      </c>
      <c r="AO295">
        <f>IF(OR($AI295="",$AN295=""),$AI295,$AI295&amp;" · borderline (p "&amp;$AN295&amp;")")</f>
        <v/>
      </c>
    </row>
    <row r="296">
      <c r="A296" t="inlineStr">
        <is>
          <t>grids</t>
        </is>
      </c>
      <c r="B296" t="inlineStr">
        <is>
          <t>REV_DEBT x CHANNEL</t>
        </is>
      </c>
      <c r="C296" t="inlineStr">
        <is>
          <t>17,187 - 48,521</t>
        </is>
      </c>
      <c r="D296" t="inlineStr">
        <is>
          <t>Online</t>
        </is>
      </c>
      <c r="E296" t="inlineStr">
        <is>
          <t>gco_rate</t>
        </is>
      </c>
      <c r="F296" t="inlineStr">
        <is>
          <t>GCO per booked dollar</t>
        </is>
      </c>
      <c r="G296" t="n">
        <v>568</v>
      </c>
      <c r="H296" t="n">
        <v>17998253.64999999</v>
      </c>
      <c r="I296" t="b">
        <v>0</v>
      </c>
      <c r="J296" t="b">
        <v>0</v>
      </c>
      <c r="K296" t="n">
        <v>1.754827560049294</v>
      </c>
      <c r="L296" t="n">
        <v>0.009328358208955223</v>
      </c>
      <c r="M296" t="n">
        <v>0.7587939395703512</v>
      </c>
      <c r="N296" t="n">
        <v>0.2798507462686567</v>
      </c>
      <c r="O296" t="n">
        <v>536959.8784923861</v>
      </c>
      <c r="P296" t="n">
        <v>-396819.4002174358</v>
      </c>
      <c r="Q296">
        <f>'_live'!$C$22</f>
        <v/>
      </c>
      <c r="R296" t="inlineStr">
        <is>
          <t>shuffled: 0 of 200</t>
        </is>
      </c>
      <c r="S296" t="inlineStr">
        <is>
          <t>shuffled: 14 of 200</t>
        </is>
      </c>
      <c r="T296" t="n">
        <v>0.0395242574830372</v>
      </c>
      <c r="U296" t="n">
        <v>0.09140591760786948</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0.06935825632171821</v>
      </c>
      <c r="AI296">
        <f>IF($Y296="worse","Yes",IF($Y296="worse, not significant","Not sure",IF(OR($Y296="too few losses to test",$Y296="too few loans to test"),"Too few losses",IF($Y296="","","No"))))</f>
        <v/>
      </c>
      <c r="AJ296">
        <f>IF($AA296="yes","Yes",IF($AA296="","","No"))</f>
        <v/>
      </c>
      <c r="AK296" t="n">
        <v>0.009328358208955223</v>
      </c>
      <c r="AL296" t="n">
        <v>0.06968227386933992</v>
      </c>
      <c r="AM296">
        <f>IF(AND(ISNUMBER($AC296),ISNUMBER(IF($V296,IF($AL296="","",$AL296),IF($AK296="","",$AK296)))),IF(AND(ABS($AC296-significance_bar)&lt;=2.0*IF($V296,IF($AL296="","",$AL296),IF($AK296="","",$AK296)),OR($Y296="worse",$Y296="better",$Y296="worse, not significant",$Y296="better, not significant")),IF(ROUND($AC296,3)=ROUND(significance_bar,3),TEXT($AC296,"0.0000"),TEXT($AC296,"0.000")),""),"")</f>
        <v/>
      </c>
      <c r="AN296">
        <f>IF(AND(ISNUMBER($AC296),ISNUMBER(IF($V296,IF($AL296="","",$AL296),IF($AK296="","",$AK296)))),IF(AND(ABS($AC296-significance_bar)&lt;=2.0*IF($V296,IF($AL296="","",$AL296),IF($AK296="","",$AK296)),OR($Y296="worse",$Y296="worse, not significant")),IF(ROUND($AC296,3)=ROUND(significance_bar,3),TEXT($AC296,"0.0000"),TEXT($AC296,"0.000")),""),"")</f>
        <v/>
      </c>
      <c r="AO296">
        <f>IF(OR($AI296="",$AN296=""),$AI296,$AI296&amp;" · borderline (p "&amp;$AN296&amp;")")</f>
        <v/>
      </c>
    </row>
    <row r="297">
      <c r="A297" t="inlineStr">
        <is>
          <t>grids</t>
        </is>
      </c>
      <c r="B297" t="inlineStr">
        <is>
          <t>REV_DEBT x CHANNEL</t>
        </is>
      </c>
      <c r="C297" t="inlineStr">
        <is>
          <t>17,187 - 48,521</t>
        </is>
      </c>
      <c r="D297" t="inlineStr">
        <is>
          <t>Online</t>
        </is>
      </c>
      <c r="E297" t="inlineStr">
        <is>
          <t>ranr_rate</t>
        </is>
      </c>
      <c r="F297" t="inlineStr">
        <is>
          <t>Profit after losses: RANR per booked dollar</t>
        </is>
      </c>
      <c r="G297" t="n">
        <v>568</v>
      </c>
      <c r="H297" t="n">
        <v>17998253.64999999</v>
      </c>
      <c r="I297" t="b">
        <v>0</v>
      </c>
      <c r="J297" t="b">
        <v>0</v>
      </c>
      <c r="K297" t="n">
        <v>0.04424586200121104</v>
      </c>
      <c r="L297" t="n">
        <v>0.01492537313432836</v>
      </c>
      <c r="M297" t="n">
        <v>0.03554286887403674</v>
      </c>
      <c r="N297" t="n">
        <v>0.02487562189054726</v>
      </c>
      <c r="O297" t="n">
        <v>-796348.247260693</v>
      </c>
      <c r="P297" t="n">
        <v>-639709.569443603</v>
      </c>
      <c r="Q297">
        <f>'_live'!$C$23</f>
        <v/>
      </c>
      <c r="R297" t="inlineStr">
        <is>
          <t>shuffled: 0 of 200</t>
        </is>
      </c>
      <c r="S297" t="inlineStr">
        <is>
          <t>shuffled: 0 of 200</t>
        </is>
      </c>
      <c r="T297" t="n">
        <v>0.124904247181743</v>
      </c>
      <c r="U297" t="n">
        <v>0.1336072403089174</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0.1691501091829541</v>
      </c>
      <c r="AI297">
        <f>IF($Y297="worse","Yes",IF($Y297="worse, not significant","Not sure",IF(OR($Y297="too few losses to test",$Y297="too few loans to test"),"Too few losses",IF($Y297="","","No"))))</f>
        <v/>
      </c>
      <c r="AJ297">
        <f>IF($AA297="yes","Yes",IF($AA297="","","No"))</f>
        <v/>
      </c>
      <c r="AK297" t="n">
        <v>0.01492537313432836</v>
      </c>
      <c r="AL297" t="n">
        <v>0.02487562189054726</v>
      </c>
      <c r="AM297">
        <f>IF(AND(ISNUMBER($AC297),ISNUMBER(IF($V297,IF($AL297="","",$AL297),IF($AK297="","",$AK297)))),IF(AND(ABS($AC297-significance_bar)&lt;=2.0*IF($V297,IF($AL297="","",$AL297),IF($AK297="","",$AK297)),OR($Y297="worse",$Y297="better",$Y297="worse, not significant",$Y297="better, not significant",AND(profit_kind="test",$Y297="in line",ISNUMBER($AB297),$AB297&lt;&gt;0))),IF(ROUND($AC297,3)=ROUND(significance_bar,3),TEXT($AC297,"0.0000"),TEXT($AC297,"0.000")),""),"")</f>
        <v/>
      </c>
      <c r="AN297">
        <f>IF(AND(ISNUMBER($AC297),ISNUMBER(IF($V297,IF($AL297="","",$AL297),IF($AK297="","",$AK297)))),IF(AND(ABS($AC297-significance_bar)&lt;=2.0*IF($V297,IF($AL297="","",$AL297),IF($AK297="","",$AK297)),OR($Y297="worse",$Y297="worse, not significant",AND(profit_kind="test",$Y297="in line",ISNUMBER($AB297),$AB297&lt;0))),IF(ROUND($AC297,3)=ROUND(significance_bar,3),TEXT($AC297,"0.0000"),TEXT($AC297,"0.000")),""),"")</f>
        <v/>
      </c>
      <c r="AO297">
        <f>IF(OR($AI297="",$AN297=""),$AI297,$AI297&amp;" · borderline (p "&amp;$AN297&amp;")")</f>
        <v/>
      </c>
    </row>
    <row r="298">
      <c r="A298" t="inlineStr">
        <is>
          <t>grids</t>
        </is>
      </c>
      <c r="B298" t="inlineStr">
        <is>
          <t>REV_DEBT x CHANNEL</t>
        </is>
      </c>
      <c r="C298" t="inlineStr">
        <is>
          <t>17,187 - 48,521</t>
        </is>
      </c>
      <c r="D298" t="inlineStr">
        <is>
          <t>Online</t>
        </is>
      </c>
      <c r="E298" t="inlineStr">
        <is>
          <t>contribution_rate</t>
        </is>
      </c>
      <c r="F298" t="inlineStr">
        <is>
          <t>Contribution before losses per booked dollar</t>
        </is>
      </c>
      <c r="G298" t="n">
        <v>568</v>
      </c>
      <c r="H298" t="n">
        <v>17998253.64999999</v>
      </c>
      <c r="I298" t="b">
        <v>0</v>
      </c>
      <c r="J298" t="b">
        <v>0</v>
      </c>
      <c r="K298" t="n">
        <v>0.07408344465993816</v>
      </c>
      <c r="L298" t="n">
        <v>0.007462686567164178</v>
      </c>
      <c r="M298" t="n">
        <v>0.01349520758788544</v>
      </c>
      <c r="N298" t="n">
        <v>0.08141112618724559</v>
      </c>
      <c r="O298" t="n">
        <v>-1333372.628255304</v>
      </c>
      <c r="P298" t="n">
        <v>-242890.1692261668</v>
      </c>
      <c r="Q298">
        <f>'_live'!$C$24</f>
        <v/>
      </c>
      <c r="R298" t="inlineStr">
        <is>
          <t>shuffled: 0 of 200</t>
        </is>
      </c>
      <c r="S298" t="inlineStr">
        <is>
          <t>shuffled: 11 of 200</t>
        </is>
      </c>
      <c r="T298" t="n">
        <v>0.1644249208447342</v>
      </c>
      <c r="U298" t="n">
        <v>0.2250131579167869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0.2385083655046723</v>
      </c>
      <c r="AI298">
        <f>IF($Y298="worse","Yes",IF($Y298="worse, not significant","Not sure",IF(OR($Y298="too few losses to test",$Y298="too few loans to test"),"Too few losses",IF($Y298="","","No"))))</f>
        <v/>
      </c>
      <c r="AJ298">
        <f>IF($AA298="yes","Yes",IF($AA298="","","No"))</f>
        <v/>
      </c>
      <c r="AK298" t="n">
        <v>0.007462686567164178</v>
      </c>
      <c r="AL298" t="n">
        <v>0.02284594062480697</v>
      </c>
      <c r="AM298">
        <f>IF(AND(ISNUMBER($AC298),ISNUMBER(IF($V298,IF($AL298="","",$AL298),IF($AK298="","",$AK298)))),IF(AND(ABS($AC298-significance_bar)&lt;=2.0*IF($V298,IF($AL298="","",$AL298),IF($AK298="","",$AK298)),OR($Y298="worse",$Y298="better",$Y298="worse, not significant",$Y298="better, not significant",AND(profit_kind="test",$Y298="in line",ISNUMBER($AB298),$AB298&lt;&gt;0))),IF(ROUND($AC298,3)=ROUND(significance_bar,3),TEXT($AC298,"0.0000"),TEXT($AC298,"0.000")),""),"")</f>
        <v/>
      </c>
      <c r="AN298">
        <f>IF(AND(ISNUMBER($AC298),ISNUMBER(IF($V298,IF($AL298="","",$AL298),IF($AK298="","",$AK298)))),IF(AND(ABS($AC298-significance_bar)&lt;=2.0*IF($V298,IF($AL298="","",$AL298),IF($AK298="","",$AK298)),OR($Y298="worse",$Y298="worse, not significant",AND(profit_kind="test",$Y298="in line",ISNUMBER($AB298),$AB298&lt;0))),IF(ROUND($AC298,3)=ROUND(significance_bar,3),TEXT($AC298,"0.0000"),TEXT($AC298,"0.000")),""),"")</f>
        <v/>
      </c>
      <c r="AO298">
        <f>IF(OR($AI298="",$AN298=""),$AI298,$AI298&amp;" · borderline (p "&amp;$AN298&amp;")")</f>
        <v/>
      </c>
    </row>
    <row r="299">
      <c r="A299" t="inlineStr">
        <is>
          <t>grids</t>
        </is>
      </c>
      <c r="B299" t="inlineStr">
        <is>
          <t>REV_DEBT x ASSET_CLASS</t>
        </is>
      </c>
      <c r="C299" t="inlineStr">
        <is>
          <t>13,052 - 17,186</t>
        </is>
      </c>
      <c r="D299" t="inlineStr">
        <is>
          <t>1</t>
        </is>
      </c>
      <c r="E299" t="inlineStr">
        <is>
          <t>outcome_loans</t>
        </is>
      </c>
      <c r="F299" t="inlineStr">
        <is>
          <t>Outcome, share of loans</t>
        </is>
      </c>
      <c r="G299" t="n">
        <v>424</v>
      </c>
      <c r="H299" t="n">
        <v>424</v>
      </c>
      <c r="I299" t="b">
        <v>0</v>
      </c>
      <c r="J299" t="b">
        <v>0</v>
      </c>
      <c r="K299" t="n">
        <v>1.0060813638998</v>
      </c>
      <c r="L299" t="n">
        <v>0.9718560834695712</v>
      </c>
      <c r="M299" t="n">
        <v>0.7890370852309694</v>
      </c>
      <c r="N299" t="n">
        <v>0.3561623615653576</v>
      </c>
      <c r="O299" t="n">
        <v>0.1994719471947235</v>
      </c>
      <c r="P299" t="n">
        <v>-8.823129251700678</v>
      </c>
      <c r="Q299">
        <f>'_live'!$C$20</f>
        <v/>
      </c>
      <c r="R299" t="inlineStr">
        <is>
          <t>z test</t>
        </is>
      </c>
      <c r="S299" t="inlineStr">
        <is>
          <t>z test</t>
        </is>
      </c>
      <c r="T299" t="n">
        <v>0.07735973597359735</v>
      </c>
      <c r="U299" t="n">
        <v>0.09863945578231292</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0.07783018867924528</v>
      </c>
      <c r="AI299">
        <f>IF($Y299="worse","Yes",IF($Y299="worse, not significant","Not sure",IF(OR($Y299="too few losses to test",$Y299="too few loans to test"),"Too few losses",IF($Y299="","","No"))))</f>
        <v/>
      </c>
      <c r="AJ299">
        <f>IF($AA299="yes","Yes",IF($AA299="","","No"))</f>
        <v/>
      </c>
      <c r="AM299">
        <f>IF(AND(ISNUMBER($AC299),ISNUMBER(IF($V299,IF($AL299="","",$AL299),IF($AK299="","",$AK299)))),IF(AND(ABS($AC299-significance_bar)&lt;=2.0*IF($V299,IF($AL299="","",$AL299),IF($AK299="","",$AK299)),OR($Y299="worse",$Y299="better",$Y299="worse, not significant",$Y299="better, not significant")),IF(ROUND($AC299,3)=ROUND(significance_bar,3),TEXT($AC299,"0.0000"),TEXT($AC299,"0.000")),""),"")</f>
        <v/>
      </c>
      <c r="AN299">
        <f>IF(AND(ISNUMBER($AC299),ISNUMBER(IF($V299,IF($AL299="","",$AL299),IF($AK299="","",$AK299)))),IF(AND(ABS($AC299-significance_bar)&lt;=2.0*IF($V299,IF($AL299="","",$AL299),IF($AK299="","",$AK299)),OR($Y299="worse",$Y299="worse, not significant")),IF(ROUND($AC299,3)=ROUND(significance_bar,3),TEXT($AC299,"0.0000"),TEXT($AC299,"0.000")),""),"")</f>
        <v/>
      </c>
      <c r="AO299">
        <f>IF(OR($AI299="",$AN299=""),$AI299,$AI299&amp;" · borderline (p "&amp;$AN299&amp;")")</f>
        <v/>
      </c>
    </row>
    <row r="300">
      <c r="A300" t="inlineStr">
        <is>
          <t>grids</t>
        </is>
      </c>
      <c r="B300" t="inlineStr">
        <is>
          <t>REV_DEBT x ASSET_CLASS</t>
        </is>
      </c>
      <c r="C300" t="inlineStr">
        <is>
          <t>13,052 - 17,186</t>
        </is>
      </c>
      <c r="D300" t="inlineStr">
        <is>
          <t>1</t>
        </is>
      </c>
      <c r="E300" t="inlineStr">
        <is>
          <t>outcome_booked</t>
        </is>
      </c>
      <c r="F300" t="inlineStr">
        <is>
          <t>Outcome, share of booked dollars</t>
        </is>
      </c>
      <c r="G300" t="n">
        <v>424</v>
      </c>
      <c r="H300" t="n">
        <v>13539704.81</v>
      </c>
      <c r="I300" t="b">
        <v>0</v>
      </c>
      <c r="J300" t="b">
        <v>0</v>
      </c>
      <c r="K300" t="n">
        <v>1.071995739948075</v>
      </c>
      <c r="L300" t="n">
        <v>0.8212064676616915</v>
      </c>
      <c r="M300" t="n">
        <v>0.8385875281700875</v>
      </c>
      <c r="N300" t="n">
        <v>0.5986733001658374</v>
      </c>
      <c r="O300" t="n">
        <v>72668.73019276466</v>
      </c>
      <c r="P300" t="n">
        <v>-208267.987508998</v>
      </c>
      <c r="Q300">
        <f>'_live'!$C$21</f>
        <v/>
      </c>
      <c r="R300" t="inlineStr">
        <is>
          <t>shuffled: 138 of 200</t>
        </is>
      </c>
      <c r="S300" t="inlineStr">
        <is>
          <t>shuffled: 88 of 200</t>
        </is>
      </c>
      <c r="T300" t="n">
        <v>0.07454724116745609</v>
      </c>
      <c r="U300" t="n">
        <v>0.09529634328187379</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0.07991432495639467</v>
      </c>
      <c r="AI300">
        <f>IF($Y300="worse","Yes",IF($Y300="worse, not significant","Not sure",IF(OR($Y300="too few losses to test",$Y300="too few loans to test"),"Too few losses",IF($Y300="","","No"))))</f>
        <v/>
      </c>
      <c r="AJ300">
        <f>IF($AA300="yes","Yes",IF($AA300="","","No"))</f>
        <v/>
      </c>
      <c r="AK300" t="n">
        <v>0.03878160761358829</v>
      </c>
      <c r="AL300" t="n">
        <v>0.04471631655290601</v>
      </c>
      <c r="AM300">
        <f>IF(AND(ISNUMBER($AC300),ISNUMBER(IF($V300,IF($AL300="","",$AL300),IF($AK300="","",$AK300)))),IF(AND(ABS($AC300-significance_bar)&lt;=2.0*IF($V300,IF($AL300="","",$AL300),IF($AK300="","",$AK300)),OR($Y300="worse",$Y300="better",$Y300="worse, not significant",$Y300="better, not significant")),IF(ROUND($AC300,3)=ROUND(significance_bar,3),TEXT($AC300,"0.0000"),TEXT($AC300,"0.000")),""),"")</f>
        <v/>
      </c>
      <c r="AN300">
        <f>IF(AND(ISNUMBER($AC300),ISNUMBER(IF($V300,IF($AL300="","",$AL300),IF($AK300="","",$AK300)))),IF(AND(ABS($AC300-significance_bar)&lt;=2.0*IF($V300,IF($AL300="","",$AL300),IF($AK300="","",$AK300)),OR($Y300="worse",$Y300="worse, not significant")),IF(ROUND($AC300,3)=ROUND(significance_bar,3),TEXT($AC300,"0.0000"),TEXT($AC300,"0.000")),""),"")</f>
        <v/>
      </c>
      <c r="AO300">
        <f>IF(OR($AI300="",$AN300=""),$AI300,$AI300&amp;" · borderline (p "&amp;$AN300&amp;")")</f>
        <v/>
      </c>
    </row>
    <row r="301">
      <c r="A301" t="inlineStr">
        <is>
          <t>grids</t>
        </is>
      </c>
      <c r="B301" t="inlineStr">
        <is>
          <t>REV_DEBT x ASSET_CLASS</t>
        </is>
      </c>
      <c r="C301" t="inlineStr">
        <is>
          <t>13,052 - 17,186</t>
        </is>
      </c>
      <c r="D301" t="inlineStr">
        <is>
          <t>1</t>
        </is>
      </c>
      <c r="E301" t="inlineStr">
        <is>
          <t>gco_rate</t>
        </is>
      </c>
      <c r="F301" t="inlineStr">
        <is>
          <t>GCO per booked dollar</t>
        </is>
      </c>
      <c r="G301" t="n">
        <v>424</v>
      </c>
      <c r="H301" t="n">
        <v>13539704.81</v>
      </c>
      <c r="I301" t="b">
        <v>0</v>
      </c>
      <c r="J301" t="b">
        <v>0</v>
      </c>
      <c r="K301" t="n">
        <v>1.103239989429886</v>
      </c>
      <c r="L301" t="n">
        <v>0.7325870646766168</v>
      </c>
      <c r="M301" t="n">
        <v>0.8490605402658511</v>
      </c>
      <c r="N301" t="n">
        <v>0.6279317697228145</v>
      </c>
      <c r="O301" t="n">
        <v>57844.09845046874</v>
      </c>
      <c r="P301" t="n">
        <v>-109886.7260114015</v>
      </c>
      <c r="Q301">
        <f>'_live'!$C$22</f>
        <v/>
      </c>
      <c r="R301" t="inlineStr">
        <is>
          <t>shuffled: 123 of 200</t>
        </is>
      </c>
      <c r="S301" t="inlineStr">
        <is>
          <t>shuffled: 92 of 200</t>
        </is>
      </c>
      <c r="T301" t="n">
        <v>0.04138108839239393</v>
      </c>
      <c r="U301" t="n">
        <v>0.05376915938918475</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0.04565327152062187</v>
      </c>
      <c r="AI301">
        <f>IF($Y301="worse","Yes",IF($Y301="worse, not significant","Not sure",IF(OR($Y301="too few losses to test",$Y301="too few loans to test"),"Too few losses",IF($Y301="","","No"))))</f>
        <v/>
      </c>
      <c r="AJ301">
        <f>IF($AA301="yes","Yes",IF($AA301="","","No"))</f>
        <v/>
      </c>
      <c r="AK301" t="n">
        <v>0.0408205421308917</v>
      </c>
      <c r="AL301" t="n">
        <v>0.04784844870135109</v>
      </c>
      <c r="AM301">
        <f>IF(AND(ISNUMBER($AC301),ISNUMBER(IF($V301,IF($AL301="","",$AL301),IF($AK301="","",$AK301)))),IF(AND(ABS($AC301-significance_bar)&lt;=2.0*IF($V301,IF($AL301="","",$AL301),IF($AK301="","",$AK301)),OR($Y301="worse",$Y301="better",$Y301="worse, not significant",$Y301="better, not significant")),IF(ROUND($AC301,3)=ROUND(significance_bar,3),TEXT($AC301,"0.0000"),TEXT($AC301,"0.000")),""),"")</f>
        <v/>
      </c>
      <c r="AN301">
        <f>IF(AND(ISNUMBER($AC301),ISNUMBER(IF($V301,IF($AL301="","",$AL301),IF($AK301="","",$AK301)))),IF(AND(ABS($AC301-significance_bar)&lt;=2.0*IF($V301,IF($AL301="","",$AL301),IF($AK301="","",$AK301)),OR($Y301="worse",$Y301="worse, not significant")),IF(ROUND($AC301,3)=ROUND(significance_bar,3),TEXT($AC301,"0.0000"),TEXT($AC301,"0.000")),""),"")</f>
        <v/>
      </c>
      <c r="AO301">
        <f>IF(OR($AI301="",$AN301=""),$AI301,$AI301&amp;" · borderline (p "&amp;$AN301&amp;")")</f>
        <v/>
      </c>
    </row>
    <row r="302">
      <c r="A302" t="inlineStr">
        <is>
          <t>grids</t>
        </is>
      </c>
      <c r="B302" t="inlineStr">
        <is>
          <t>REV_DEBT x ASSET_CLASS</t>
        </is>
      </c>
      <c r="C302" t="inlineStr">
        <is>
          <t>13,052 - 17,186</t>
        </is>
      </c>
      <c r="D302" t="inlineStr">
        <is>
          <t>1</t>
        </is>
      </c>
      <c r="E302" t="inlineStr">
        <is>
          <t>ranr_rate</t>
        </is>
      </c>
      <c r="F302" t="inlineStr">
        <is>
          <t>Profit after losses: RANR per booked dollar</t>
        </is>
      </c>
      <c r="G302" t="n">
        <v>424</v>
      </c>
      <c r="H302" t="n">
        <v>13539704.81</v>
      </c>
      <c r="I302" t="b">
        <v>0</v>
      </c>
      <c r="J302" t="b">
        <v>0</v>
      </c>
      <c r="K302" t="n">
        <v>0.01922429629951777</v>
      </c>
      <c r="L302" t="n">
        <v>0.1119402985074627</v>
      </c>
      <c r="M302" t="n">
        <v>0.009575644676978329</v>
      </c>
      <c r="N302" t="n">
        <v>0.812603648424544</v>
      </c>
      <c r="O302" t="n">
        <v>-260291.2970754462</v>
      </c>
      <c r="P302" t="n">
        <v>-129651.4022917345</v>
      </c>
      <c r="Q302">
        <f>'_live'!$C$23</f>
        <v/>
      </c>
      <c r="R302" t="inlineStr">
        <is>
          <t>shuffled: 8 of 200</t>
        </is>
      </c>
      <c r="S302" t="inlineStr">
        <is>
          <t>shuffled: 95 of 200</t>
        </is>
      </c>
      <c r="T302" t="n">
        <v>0.1269814362315153</v>
      </c>
      <c r="U302" t="n">
        <v>0.1366300878540547</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0.146205732531033</v>
      </c>
      <c r="AI302">
        <f>IF($Y302="worse","Yes",IF($Y302="worse, not significant","Not sure",IF(OR($Y302="too few losses to test",$Y302="too few loans to test"),"Too few losses",IF($Y302="","","No"))))</f>
        <v/>
      </c>
      <c r="AJ302">
        <f>IF($AA302="yes","Yes",IF($AA302="","","No"))</f>
        <v/>
      </c>
      <c r="AK302" t="n">
        <v>0.03655954839974893</v>
      </c>
      <c r="AL302" t="n">
        <v>0.03482587064676616</v>
      </c>
      <c r="AM302">
        <f>IF(AND(ISNUMBER($AC302),ISNUMBER(IF($V302,IF($AL302="","",$AL302),IF($AK302="","",$AK302)))),IF(AND(ABS($AC302-significance_bar)&lt;=2.0*IF($V302,IF($AL302="","",$AL302),IF($AK302="","",$AK302)),OR($Y302="worse",$Y302="better",$Y302="worse, not significant",$Y302="better, not significant",AND(profit_kind="test",$Y302="in line",ISNUMBER($AB302),$AB302&lt;&gt;0))),IF(ROUND($AC302,3)=ROUND(significance_bar,3),TEXT($AC302,"0.0000"),TEXT($AC302,"0.000")),""),"")</f>
        <v/>
      </c>
      <c r="AN302">
        <f>IF(AND(ISNUMBER($AC302),ISNUMBER(IF($V302,IF($AL302="","",$AL302),IF($AK302="","",$AK302)))),IF(AND(ABS($AC302-significance_bar)&lt;=2.0*IF($V302,IF($AL302="","",$AL302),IF($AK302="","",$AK302)),OR($Y302="worse",$Y302="worse, not significant",AND(profit_kind="test",$Y302="in line",ISNUMBER($AB302),$AB302&lt;0))),IF(ROUND($AC302,3)=ROUND(significance_bar,3),TEXT($AC302,"0.0000"),TEXT($AC302,"0.000")),""),"")</f>
        <v/>
      </c>
      <c r="AO302">
        <f>IF(OR($AI302="",$AN302=""),$AI302,$AI302&amp;" · borderline (p "&amp;$AN302&amp;")")</f>
        <v/>
      </c>
    </row>
    <row r="303">
      <c r="A303" t="inlineStr">
        <is>
          <t>grids</t>
        </is>
      </c>
      <c r="B303" t="inlineStr">
        <is>
          <t>REV_DEBT x ASSET_CLASS</t>
        </is>
      </c>
      <c r="C303" t="inlineStr">
        <is>
          <t>13,052 - 17,186</t>
        </is>
      </c>
      <c r="D303" t="inlineStr">
        <is>
          <t>1</t>
        </is>
      </c>
      <c r="E303" t="inlineStr">
        <is>
          <t>contribution_rate</t>
        </is>
      </c>
      <c r="F303" t="inlineStr">
        <is>
          <t>Contribution before losses per booked dollar</t>
        </is>
      </c>
      <c r="G303" t="n">
        <v>424</v>
      </c>
      <c r="H303" t="n">
        <v>13539704.81</v>
      </c>
      <c r="I303" t="b">
        <v>0</v>
      </c>
      <c r="J303" t="b">
        <v>0</v>
      </c>
      <c r="K303" t="n">
        <v>0.02349966073202506</v>
      </c>
      <c r="L303" t="n">
        <v>0.006218905472636815</v>
      </c>
      <c r="M303" t="n">
        <v>0.001459756808415452</v>
      </c>
      <c r="N303" t="n">
        <v>0.9426551453260017</v>
      </c>
      <c r="O303" t="n">
        <v>-318178.4694467676</v>
      </c>
      <c r="P303" t="n">
        <v>-19764.67628033273</v>
      </c>
      <c r="Q303">
        <f>'_live'!$C$24</f>
        <v/>
      </c>
      <c r="R303" t="inlineStr">
        <is>
          <t>shuffled: 0 of 200</t>
        </is>
      </c>
      <c r="S303" t="inlineStr">
        <is>
          <t>shuffled: 179 of 200</t>
        </is>
      </c>
      <c r="T303" t="n">
        <v>0.1683593433196298</v>
      </c>
      <c r="U303" t="n">
        <v>0.1903992472432395</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0.1918590040516549</v>
      </c>
      <c r="AI303">
        <f>IF($Y303="worse","Yes",IF($Y303="worse, not significant","Not sure",IF(OR($Y303="too few losses to test",$Y303="too few loans to test"),"Too few losses",IF($Y303="","","No"))))</f>
        <v/>
      </c>
      <c r="AJ303">
        <f>IF($AA303="yes","Yes",IF($AA303="","","No"))</f>
        <v/>
      </c>
      <c r="AK303" t="n">
        <v>0.006218905472636815</v>
      </c>
      <c r="AL303" t="n">
        <v>0.02276728475442174</v>
      </c>
      <c r="AM303">
        <f>IF(AND(ISNUMBER($AC303),ISNUMBER(IF($V303,IF($AL303="","",$AL303),IF($AK303="","",$AK303)))),IF(AND(ABS($AC303-significance_bar)&lt;=2.0*IF($V303,IF($AL303="","",$AL303),IF($AK303="","",$AK303)),OR($Y303="worse",$Y303="better",$Y303="worse, not significant",$Y303="better, not significant",AND(profit_kind="test",$Y303="in line",ISNUMBER($AB303),$AB303&lt;&gt;0))),IF(ROUND($AC303,3)=ROUND(significance_bar,3),TEXT($AC303,"0.0000"),TEXT($AC303,"0.000")),""),"")</f>
        <v/>
      </c>
      <c r="AN303">
        <f>IF(AND(ISNUMBER($AC303),ISNUMBER(IF($V303,IF($AL303="","",$AL303),IF($AK303="","",$AK303)))),IF(AND(ABS($AC303-significance_bar)&lt;=2.0*IF($V303,IF($AL303="","",$AL303),IF($AK303="","",$AK303)),OR($Y303="worse",$Y303="worse, not significant",AND(profit_kind="test",$Y303="in line",ISNUMBER($AB303),$AB303&lt;0))),IF(ROUND($AC303,3)=ROUND(significance_bar,3),TEXT($AC303,"0.0000"),TEXT($AC303,"0.000")),""),"")</f>
        <v/>
      </c>
      <c r="AO303">
        <f>IF(OR($AI303="",$AN303=""),$AI303,$AI303&amp;" · borderline (p "&amp;$AN303&amp;")")</f>
        <v/>
      </c>
    </row>
    <row r="304">
      <c r="A304" t="inlineStr">
        <is>
          <t>grids</t>
        </is>
      </c>
      <c r="B304" t="inlineStr">
        <is>
          <t>REV_DEBT x ASSET_CLASS</t>
        </is>
      </c>
      <c r="C304" t="inlineStr">
        <is>
          <t>9,837 - 13,051</t>
        </is>
      </c>
      <c r="D304" t="inlineStr">
        <is>
          <t>2</t>
        </is>
      </c>
      <c r="E304" t="inlineStr">
        <is>
          <t>outcome_loans</t>
        </is>
      </c>
      <c r="F304" t="inlineStr">
        <is>
          <t>Outcome, share of loans</t>
        </is>
      </c>
      <c r="G304" t="n">
        <v>381</v>
      </c>
      <c r="H304" t="n">
        <v>381</v>
      </c>
      <c r="I304" t="b">
        <v>0</v>
      </c>
      <c r="J304" t="b">
        <v>0</v>
      </c>
      <c r="K304" t="n">
        <v>0.633167104111986</v>
      </c>
      <c r="L304" t="n">
        <v>0.06810008742875155</v>
      </c>
      <c r="M304" t="n">
        <v>0.7586286089238845</v>
      </c>
      <c r="N304" t="n">
        <v>0.4151893661758701</v>
      </c>
      <c r="O304" t="n">
        <v>-11.00787608296141</v>
      </c>
      <c r="P304" t="n">
        <v>-6.045193097781432</v>
      </c>
      <c r="Q304">
        <f>'_live'!$C$20</f>
        <v/>
      </c>
      <c r="R304" t="inlineStr">
        <is>
          <t>z test</t>
        </is>
      </c>
      <c r="S304" t="inlineStr">
        <is>
          <t>z test</t>
        </is>
      </c>
      <c r="T304" t="n">
        <v>0.07876082961407194</v>
      </c>
      <c r="U304" t="n">
        <v>0.06573541495480691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0.04986876640419947</v>
      </c>
      <c r="AI304">
        <f>IF($Y304="worse","Yes",IF($Y304="worse, not significant","Not sure",IF(OR($Y304="too few losses to test",$Y304="too few loans to test"),"Too few losses",IF($Y304="","","No"))))</f>
        <v/>
      </c>
      <c r="AJ304">
        <f>IF($AA304="yes","Yes",IF($AA304="","","No"))</f>
        <v/>
      </c>
      <c r="AM304">
        <f>IF(AND(ISNUMBER($AC304),ISNUMBER(IF($V304,IF($AL304="","",$AL304),IF($AK304="","",$AK304)))),IF(AND(ABS($AC304-significance_bar)&lt;=2.0*IF($V304,IF($AL304="","",$AL304),IF($AK304="","",$AK304)),OR($Y304="worse",$Y304="better",$Y304="worse, not significant",$Y304="better, not significant")),IF(ROUND($AC304,3)=ROUND(significance_bar,3),TEXT($AC304,"0.0000"),TEXT($AC304,"0.000")),""),"")</f>
        <v/>
      </c>
      <c r="AN304">
        <f>IF(AND(ISNUMBER($AC304),ISNUMBER(IF($V304,IF($AL304="","",$AL304),IF($AK304="","",$AK304)))),IF(AND(ABS($AC304-significance_bar)&lt;=2.0*IF($V304,IF($AL304="","",$AL304),IF($AK304="","",$AK304)),OR($Y304="worse",$Y304="worse, not significant")),IF(ROUND($AC304,3)=ROUND(significance_bar,3),TEXT($AC304,"0.0000"),TEXT($AC304,"0.000")),""),"")</f>
        <v/>
      </c>
      <c r="AO304">
        <f>IF(OR($AI304="",$AN304=""),$AI304,$AI304&amp;" · borderline (p "&amp;$AN304&amp;")")</f>
        <v/>
      </c>
    </row>
    <row r="305">
      <c r="A305" t="inlineStr">
        <is>
          <t>grids</t>
        </is>
      </c>
      <c r="B305" t="inlineStr">
        <is>
          <t>REV_DEBT x ASSET_CLASS</t>
        </is>
      </c>
      <c r="C305" t="inlineStr">
        <is>
          <t>9,837 - 13,051</t>
        </is>
      </c>
      <c r="D305" t="inlineStr">
        <is>
          <t>2</t>
        </is>
      </c>
      <c r="E305" t="inlineStr">
        <is>
          <t>outcome_booked</t>
        </is>
      </c>
      <c r="F305" t="inlineStr">
        <is>
          <t>Outcome, share of booked dollars</t>
        </is>
      </c>
      <c r="G305" t="n">
        <v>380</v>
      </c>
      <c r="H305" t="n">
        <v>12254904.54</v>
      </c>
      <c r="I305" t="b">
        <v>0</v>
      </c>
      <c r="J305" t="b">
        <v>0</v>
      </c>
      <c r="K305" t="n">
        <v>0.7307260708343044</v>
      </c>
      <c r="L305" t="n">
        <v>0.245771144278607</v>
      </c>
      <c r="M305" t="n">
        <v>0.9259929926856637</v>
      </c>
      <c r="N305" t="n">
        <v>0.9007901668129938</v>
      </c>
      <c r="O305" t="n">
        <v>-250128.6091098438</v>
      </c>
      <c r="P305" t="n">
        <v>-54248.63380474411</v>
      </c>
      <c r="Q305">
        <f>'_live'!$C$21</f>
        <v/>
      </c>
      <c r="R305" t="inlineStr">
        <is>
          <t>shuffled: 38 of 200</t>
        </is>
      </c>
      <c r="S305" t="inlineStr">
        <is>
          <t>shuffled: 161 of 200</t>
        </is>
      </c>
      <c r="T305" t="n">
        <v>0.0757982411105622</v>
      </c>
      <c r="U305" t="n">
        <v>0.05981443848968111</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0.05538775090287236</v>
      </c>
      <c r="AI305">
        <f>IF($Y305="worse","Yes",IF($Y305="worse, not significant","Not sure",IF(OR($Y305="too few losses to test",$Y305="too few loans to test"),"Too few losses",IF($Y305="","","No"))))</f>
        <v/>
      </c>
      <c r="AJ305">
        <f>IF($AA305="yes","Yes",IF($AA305="","","No"))</f>
        <v/>
      </c>
      <c r="AK305" t="n">
        <v>0.03541939163270733</v>
      </c>
      <c r="AL305" t="n">
        <v>0.03125240438180059</v>
      </c>
      <c r="AM305">
        <f>IF(AND(ISNUMBER($AC305),ISNUMBER(IF($V305,IF($AL305="","",$AL305),IF($AK305="","",$AK305)))),IF(AND(ABS($AC305-significance_bar)&lt;=2.0*IF($V305,IF($AL305="","",$AL305),IF($AK305="","",$AK305)),OR($Y305="worse",$Y305="better",$Y305="worse, not significant",$Y305="better, not significant")),IF(ROUND($AC305,3)=ROUND(significance_bar,3),TEXT($AC305,"0.0000"),TEXT($AC305,"0.000")),""),"")</f>
        <v/>
      </c>
      <c r="AN305">
        <f>IF(AND(ISNUMBER($AC305),ISNUMBER(IF($V305,IF($AL305="","",$AL305),IF($AK305="","",$AK305)))),IF(AND(ABS($AC305-significance_bar)&lt;=2.0*IF($V305,IF($AL305="","",$AL305),IF($AK305="","",$AK305)),OR($Y305="worse",$Y305="worse, not significant")),IF(ROUND($AC305,3)=ROUND(significance_bar,3),TEXT($AC305,"0.0000"),TEXT($AC305,"0.000")),""),"")</f>
        <v/>
      </c>
      <c r="AO305">
        <f>IF(OR($AI305="",$AN305=""),$AI305,$AI305&amp;" · borderline (p "&amp;$AN305&amp;")")</f>
        <v/>
      </c>
    </row>
    <row r="306">
      <c r="A306" t="inlineStr">
        <is>
          <t>grids</t>
        </is>
      </c>
      <c r="B306" t="inlineStr">
        <is>
          <t>REV_DEBT x ASSET_CLASS</t>
        </is>
      </c>
      <c r="C306" t="inlineStr">
        <is>
          <t>9,837 - 13,051</t>
        </is>
      </c>
      <c r="D306" t="inlineStr">
        <is>
          <t>2</t>
        </is>
      </c>
      <c r="E306" t="inlineStr">
        <is>
          <t>gco_rate</t>
        </is>
      </c>
      <c r="F306" t="inlineStr">
        <is>
          <t>GCO per booked dollar</t>
        </is>
      </c>
      <c r="G306" t="n">
        <v>381</v>
      </c>
      <c r="H306" t="n">
        <v>12291892.55</v>
      </c>
      <c r="I306" t="b">
        <v>0</v>
      </c>
      <c r="J306" t="b">
        <v>0</v>
      </c>
      <c r="K306" t="n">
        <v>0.6615899740046061</v>
      </c>
      <c r="L306" t="n">
        <v>0.1496683250414594</v>
      </c>
      <c r="M306" t="n">
        <v>0.8322446385801052</v>
      </c>
      <c r="N306" t="n">
        <v>0.6427860696517413</v>
      </c>
      <c r="O306" t="n">
        <v>-175901.1230680136</v>
      </c>
      <c r="P306" t="n">
        <v>-69316.99211948132</v>
      </c>
      <c r="Q306">
        <f>'_live'!$C$22</f>
        <v/>
      </c>
      <c r="R306" t="inlineStr">
        <is>
          <t>shuffled: 18 of 200</t>
        </is>
      </c>
      <c r="S306" t="inlineStr">
        <is>
          <t>shuffled: 101 of 200</t>
        </is>
      </c>
      <c r="T306" t="n">
        <v>0.04228697663550707</v>
      </c>
      <c r="U306" t="n">
        <v>0.03361588465231753</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0.0279766397730185</v>
      </c>
      <c r="AI306">
        <f>IF($Y306="worse","Yes",IF($Y306="worse, not significant","Not sure",IF(OR($Y306="too few losses to test",$Y306="too few loans to test"),"Too few losses",IF($Y306="","","No"))))</f>
        <v/>
      </c>
      <c r="AJ306">
        <f>IF($AA306="yes","Yes",IF($AA306="","","No"))</f>
        <v/>
      </c>
      <c r="AK306" t="n">
        <v>0.03275471267326235</v>
      </c>
      <c r="AL306" t="n">
        <v>0.04477844106750512</v>
      </c>
      <c r="AM306">
        <f>IF(AND(ISNUMBER($AC306),ISNUMBER(IF($V306,IF($AL306="","",$AL306),IF($AK306="","",$AK306)))),IF(AND(ABS($AC306-significance_bar)&lt;=2.0*IF($V306,IF($AL306="","",$AL306),IF($AK306="","",$AK306)),OR($Y306="worse",$Y306="better",$Y306="worse, not significant",$Y306="better, not significant")),IF(ROUND($AC306,3)=ROUND(significance_bar,3),TEXT($AC306,"0.0000"),TEXT($AC306,"0.000")),""),"")</f>
        <v/>
      </c>
      <c r="AN306">
        <f>IF(AND(ISNUMBER($AC306),ISNUMBER(IF($V306,IF($AL306="","",$AL306),IF($AK306="","",$AK306)))),IF(AND(ABS($AC306-significance_bar)&lt;=2.0*IF($V306,IF($AL306="","",$AL306),IF($AK306="","",$AK306)),OR($Y306="worse",$Y306="worse, not significant")),IF(ROUND($AC306,3)=ROUND(significance_bar,3),TEXT($AC306,"0.0000"),TEXT($AC306,"0.000")),""),"")</f>
        <v/>
      </c>
      <c r="AO306">
        <f>IF(OR($AI306="",$AN306=""),$AI306,$AI306&amp;" · borderline (p "&amp;$AN306&amp;")")</f>
        <v/>
      </c>
    </row>
    <row r="307">
      <c r="A307" t="inlineStr">
        <is>
          <t>grids</t>
        </is>
      </c>
      <c r="B307" t="inlineStr">
        <is>
          <t>REV_DEBT x ASSET_CLASS</t>
        </is>
      </c>
      <c r="C307" t="inlineStr">
        <is>
          <t>9,837 - 13,051</t>
        </is>
      </c>
      <c r="D307" t="inlineStr">
        <is>
          <t>2</t>
        </is>
      </c>
      <c r="E307" t="inlineStr">
        <is>
          <t>ranr_rate</t>
        </is>
      </c>
      <c r="F307" t="inlineStr">
        <is>
          <t>Profit after losses: RANR per booked dollar</t>
        </is>
      </c>
      <c r="G307" t="n">
        <v>381</v>
      </c>
      <c r="H307" t="n">
        <v>12291892.55</v>
      </c>
      <c r="I307" t="b">
        <v>0</v>
      </c>
      <c r="J307" t="b">
        <v>0</v>
      </c>
      <c r="K307" t="n">
        <v>0.00906972107210835</v>
      </c>
      <c r="L307" t="n">
        <v>0.5046197583511016</v>
      </c>
      <c r="M307" t="n">
        <v>0.00683533867900632</v>
      </c>
      <c r="N307" t="n">
        <v>0.812603648424544</v>
      </c>
      <c r="O307" t="n">
        <v>-111484.0368768268</v>
      </c>
      <c r="P307" t="n">
        <v>-84019.24858520483</v>
      </c>
      <c r="Q307">
        <f>'_live'!$C$23</f>
        <v/>
      </c>
      <c r="R307" t="inlineStr">
        <is>
          <t>shuffled: 70 of 200</t>
        </is>
      </c>
      <c r="S307" t="inlineStr">
        <is>
          <t>shuffled: 99 of 200</t>
        </is>
      </c>
      <c r="T307" t="n">
        <v>0.1275580555838142</v>
      </c>
      <c r="U307" t="n">
        <v>0.1297924379769163</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0.1366277766559226</v>
      </c>
      <c r="AI307">
        <f>IF($Y307="worse","Yes",IF($Y307="worse, not significant","Not sure",IF(OR($Y307="too few losses to test",$Y307="too few loans to test"),"Too few losses",IF($Y307="","","No"))))</f>
        <v/>
      </c>
      <c r="AJ307">
        <f>IF($AA307="yes","Yes",IF($AA307="","","No"))</f>
        <v/>
      </c>
      <c r="AK307" t="n">
        <v>0.0482827230256682</v>
      </c>
      <c r="AL307" t="n">
        <v>0.03482587064676616</v>
      </c>
      <c r="AM307">
        <f>IF(AND(ISNUMBER($AC307),ISNUMBER(IF($V307,IF($AL307="","",$AL307),IF($AK307="","",$AK307)))),IF(AND(ABS($AC307-significance_bar)&lt;=2.0*IF($V307,IF($AL307="","",$AL307),IF($AK307="","",$AK307)),OR($Y307="worse",$Y307="better",$Y307="worse, not significant",$Y307="better, not significant",AND(profit_kind="test",$Y307="in line",ISNUMBER($AB307),$AB307&lt;&gt;0))),IF(ROUND($AC307,3)=ROUND(significance_bar,3),TEXT($AC307,"0.0000"),TEXT($AC307,"0.000")),""),"")</f>
        <v/>
      </c>
      <c r="AN307">
        <f>IF(AND(ISNUMBER($AC307),ISNUMBER(IF($V307,IF($AL307="","",$AL307),IF($AK307="","",$AK307)))),IF(AND(ABS($AC307-significance_bar)&lt;=2.0*IF($V307,IF($AL307="","",$AL307),IF($AK307="","",$AK307)),OR($Y307="worse",$Y307="worse, not significant",AND(profit_kind="test",$Y307="in line",ISNUMBER($AB307),$AB307&lt;0))),IF(ROUND($AC307,3)=ROUND(significance_bar,3),TEXT($AC307,"0.0000"),TEXT($AC307,"0.000")),""),"")</f>
        <v/>
      </c>
      <c r="AO307">
        <f>IF(OR($AI307="",$AN307=""),$AI307,$AI307&amp;" · borderline (p "&amp;$AN307&amp;")")</f>
        <v/>
      </c>
    </row>
    <row r="308">
      <c r="A308" t="inlineStr">
        <is>
          <t>grids</t>
        </is>
      </c>
      <c r="B308" t="inlineStr">
        <is>
          <t>REV_DEBT x ASSET_CLASS</t>
        </is>
      </c>
      <c r="C308" t="inlineStr">
        <is>
          <t>9,837 - 13,051</t>
        </is>
      </c>
      <c r="D308" t="inlineStr">
        <is>
          <t>2</t>
        </is>
      </c>
      <c r="E308" t="inlineStr">
        <is>
          <t>contribution_rate</t>
        </is>
      </c>
      <c r="F308" t="inlineStr">
        <is>
          <t>Contribution before losses per booked dollar</t>
        </is>
      </c>
      <c r="G308" t="n">
        <v>381</v>
      </c>
      <c r="H308" t="n">
        <v>12291892.55</v>
      </c>
      <c r="I308" t="b">
        <v>0</v>
      </c>
      <c r="J308" t="b">
        <v>0</v>
      </c>
      <c r="K308" t="n">
        <v>-0.00523754375940963</v>
      </c>
      <c r="L308" t="n">
        <v>0.4477611940298507</v>
      </c>
      <c r="M308" t="n">
        <v>0.001196093799707476</v>
      </c>
      <c r="N308" t="n">
        <v>0.9342177998894416</v>
      </c>
      <c r="O308" t="n">
        <v>64379.32511658641</v>
      </c>
      <c r="P308" t="n">
        <v>-14702.25646572537</v>
      </c>
      <c r="Q308">
        <f>'_live'!$C$24</f>
        <v/>
      </c>
      <c r="R308" t="inlineStr">
        <is>
          <t>shuffled: 80 of 200</t>
        </is>
      </c>
      <c r="S308" t="inlineStr">
        <is>
          <t>shuffled: 168 of 200</t>
        </is>
      </c>
      <c r="T308" t="n">
        <v>0.1698419601883508</v>
      </c>
      <c r="U308" t="n">
        <v>0.1634083226292337</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0.1646044164289412</v>
      </c>
      <c r="AI308">
        <f>IF($Y308="worse","Yes",IF($Y308="worse, not significant","Not sure",IF(OR($Y308="too few losses to test",$Y308="too few loans to test"),"Too few losses",IF($Y308="","","No"))))</f>
        <v/>
      </c>
      <c r="AJ308">
        <f>IF($AA308="yes","Yes",IF($AA308="","","No"))</f>
        <v/>
      </c>
      <c r="AK308" t="n">
        <v>0.03853714772345688</v>
      </c>
      <c r="AL308" t="n">
        <v>0.02874516307352129</v>
      </c>
      <c r="AM308">
        <f>IF(AND(ISNUMBER($AC308),ISNUMBER(IF($V308,IF($AL308="","",$AL308),IF($AK308="","",$AK308)))),IF(AND(ABS($AC308-significance_bar)&lt;=2.0*IF($V308,IF($AL308="","",$AL308),IF($AK308="","",$AK308)),OR($Y308="worse",$Y308="better",$Y308="worse, not significant",$Y308="better, not significant",AND(profit_kind="test",$Y308="in line",ISNUMBER($AB308),$AB308&lt;&gt;0))),IF(ROUND($AC308,3)=ROUND(significance_bar,3),TEXT($AC308,"0.0000"),TEXT($AC308,"0.000")),""),"")</f>
        <v/>
      </c>
      <c r="AN308">
        <f>IF(AND(ISNUMBER($AC308),ISNUMBER(IF($V308,IF($AL308="","",$AL308),IF($AK308="","",$AK308)))),IF(AND(ABS($AC308-significance_bar)&lt;=2.0*IF($V308,IF($AL308="","",$AL308),IF($AK308="","",$AK308)),OR($Y308="worse",$Y308="worse, not significant",AND(profit_kind="test",$Y308="in line",ISNUMBER($AB308),$AB308&lt;0))),IF(ROUND($AC308,3)=ROUND(significance_bar,3),TEXT($AC308,"0.0000"),TEXT($AC308,"0.000")),""),"")</f>
        <v/>
      </c>
      <c r="AO308">
        <f>IF(OR($AI308="",$AN308=""),$AI308,$AI308&amp;" · borderline (p "&amp;$AN308&amp;")")</f>
        <v/>
      </c>
    </row>
    <row r="309">
      <c r="A309" t="inlineStr">
        <is>
          <t>grids</t>
        </is>
      </c>
      <c r="B309" t="inlineStr">
        <is>
          <t>REV_DEBT x ASSET_CLASS</t>
        </is>
      </c>
      <c r="C309" t="inlineStr">
        <is>
          <t>6,559 - 9,836</t>
        </is>
      </c>
      <c r="D309" t="inlineStr">
        <is>
          <t>1</t>
        </is>
      </c>
      <c r="E309" t="inlineStr">
        <is>
          <t>outcome_loans</t>
        </is>
      </c>
      <c r="F309" t="inlineStr">
        <is>
          <t>Outcome, share of loans</t>
        </is>
      </c>
      <c r="G309" t="n">
        <v>372</v>
      </c>
      <c r="H309" t="n">
        <v>372</v>
      </c>
      <c r="I309" t="b">
        <v>1</v>
      </c>
      <c r="J309" t="b">
        <v>0</v>
      </c>
      <c r="K309" t="n">
        <v>0.234507871248858</v>
      </c>
      <c r="M309" t="n">
        <v>0.4126344086021506</v>
      </c>
      <c r="O309" t="n">
        <v>-22.84974432935623</v>
      </c>
      <c r="P309" t="n">
        <v>-9.964169381107492</v>
      </c>
      <c r="Q309">
        <f>'_live'!$C$20</f>
        <v/>
      </c>
      <c r="T309" t="n">
        <v>0.08024124819719418</v>
      </c>
      <c r="U309" t="n">
        <v>0.04560260586319218</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0.01881720430107527</v>
      </c>
      <c r="AI309">
        <f>IF($Y309="worse","Yes",IF($Y309="worse, not significant","Not sure",IF(OR($Y309="too few losses to test",$Y309="too few loans to test"),"Too few losses",IF($Y309="","","No"))))</f>
        <v/>
      </c>
      <c r="AJ309">
        <f>IF($AA309="yes","Yes",IF($AA309="","","No"))</f>
        <v/>
      </c>
      <c r="AM309">
        <f>IF(AND(ISNUMBER($AC309),ISNUMBER(IF($V309,IF($AL309="","",$AL309),IF($AK309="","",$AK309)))),IF(AND(ABS($AC309-significance_bar)&lt;=2.0*IF($V309,IF($AL309="","",$AL309),IF($AK309="","",$AK309)),OR($Y309="worse",$Y309="better",$Y309="worse, not significant",$Y309="better, not significant")),IF(ROUND($AC309,3)=ROUND(significance_bar,3),TEXT($AC309,"0.0000"),TEXT($AC309,"0.000")),""),"")</f>
        <v/>
      </c>
      <c r="AN309">
        <f>IF(AND(ISNUMBER($AC309),ISNUMBER(IF($V309,IF($AL309="","",$AL309),IF($AK309="","",$AK309)))),IF(AND(ABS($AC309-significance_bar)&lt;=2.0*IF($V309,IF($AL309="","",$AL309),IF($AK309="","",$AK309)),OR($Y309="worse",$Y309="worse, not significant")),IF(ROUND($AC309,3)=ROUND(significance_bar,3),TEXT($AC309,"0.0000"),TEXT($AC309,"0.000")),""),"")</f>
        <v/>
      </c>
      <c r="AO309">
        <f>IF(OR($AI309="",$AN309=""),$AI309,$AI309&amp;" · borderline (p "&amp;$AN309&amp;")")</f>
        <v/>
      </c>
    </row>
    <row r="310">
      <c r="A310" t="inlineStr">
        <is>
          <t>grids</t>
        </is>
      </c>
      <c r="B310" t="inlineStr">
        <is>
          <t>REV_DEBT x ASSET_CLASS</t>
        </is>
      </c>
      <c r="C310" t="inlineStr">
        <is>
          <t>6,559 - 9,836</t>
        </is>
      </c>
      <c r="D310" t="inlineStr">
        <is>
          <t>1</t>
        </is>
      </c>
      <c r="E310" t="inlineStr">
        <is>
          <t>outcome_booked</t>
        </is>
      </c>
      <c r="F310" t="inlineStr">
        <is>
          <t>Outcome, share of booked dollars</t>
        </is>
      </c>
      <c r="G310" t="n">
        <v>372</v>
      </c>
      <c r="H310" t="n">
        <v>12084819.51</v>
      </c>
      <c r="I310" t="b">
        <v>1</v>
      </c>
      <c r="J310" t="b">
        <v>0</v>
      </c>
      <c r="K310" t="n">
        <v>0.2059596399596509</v>
      </c>
      <c r="M310" t="n">
        <v>0.3510676509040778</v>
      </c>
      <c r="O310" t="n">
        <v>-745779.9631410016</v>
      </c>
      <c r="P310" t="n">
        <v>-357568.1834999709</v>
      </c>
      <c r="Q310">
        <f>'_live'!$C$21</f>
        <v/>
      </c>
      <c r="T310" t="n">
        <v>0.07771913617442197</v>
      </c>
      <c r="U310" t="n">
        <v>0.04559521580310063</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0.01600700530445903</v>
      </c>
      <c r="AI310">
        <f>IF($Y310="worse","Yes",IF($Y310="worse, not significant","Not sure",IF(OR($Y310="too few losses to test",$Y310="too few loans to test"),"Too few losses",IF($Y310="","","No"))))</f>
        <v/>
      </c>
      <c r="AJ310">
        <f>IF($AA310="yes","Yes",IF($AA310="","","No"))</f>
        <v/>
      </c>
      <c r="AM310">
        <f>IF(AND(ISNUMBER($AC310),ISNUMBER(IF($V310,IF($AL310="","",$AL310),IF($AK310="","",$AK310)))),IF(AND(ABS($AC310-significance_bar)&lt;=2.0*IF($V310,IF($AL310="","",$AL310),IF($AK310="","",$AK310)),OR($Y310="worse",$Y310="better",$Y310="worse, not significant",$Y310="better, not significant")),IF(ROUND($AC310,3)=ROUND(significance_bar,3),TEXT($AC310,"0.0000"),TEXT($AC310,"0.000")),""),"")</f>
        <v/>
      </c>
      <c r="AN310">
        <f>IF(AND(ISNUMBER($AC310),ISNUMBER(IF($V310,IF($AL310="","",$AL310),IF($AK310="","",$AK310)))),IF(AND(ABS($AC310-significance_bar)&lt;=2.0*IF($V310,IF($AL310="","",$AL310),IF($AK310="","",$AK310)),OR($Y310="worse",$Y310="worse, not significant")),IF(ROUND($AC310,3)=ROUND(significance_bar,3),TEXT($AC310,"0.0000"),TEXT($AC310,"0.000")),""),"")</f>
        <v/>
      </c>
      <c r="AO310">
        <f>IF(OR($AI310="",$AN310=""),$AI310,$AI310&amp;" · borderline (p "&amp;$AN310&amp;")")</f>
        <v/>
      </c>
    </row>
    <row r="311">
      <c r="A311" t="inlineStr">
        <is>
          <t>grids</t>
        </is>
      </c>
      <c r="B311" t="inlineStr">
        <is>
          <t>REV_DEBT x ASSET_CLASS</t>
        </is>
      </c>
      <c r="C311" t="inlineStr">
        <is>
          <t>6,559 - 9,836</t>
        </is>
      </c>
      <c r="D311" t="inlineStr">
        <is>
          <t>1</t>
        </is>
      </c>
      <c r="E311" t="inlineStr">
        <is>
          <t>gco_rate</t>
        </is>
      </c>
      <c r="F311" t="inlineStr">
        <is>
          <t>GCO per booked dollar</t>
        </is>
      </c>
      <c r="G311" t="n">
        <v>371</v>
      </c>
      <c r="H311" t="n">
        <v>12045135.08000001</v>
      </c>
      <c r="I311" t="b">
        <v>1</v>
      </c>
      <c r="J311" t="b">
        <v>0</v>
      </c>
      <c r="K311" t="n">
        <v>0.194549967291602</v>
      </c>
      <c r="M311" t="n">
        <v>0.3206262985859519</v>
      </c>
      <c r="O311" t="n">
        <v>-419413.8211020927</v>
      </c>
      <c r="P311" t="n">
        <v>-214656.9164170182</v>
      </c>
      <c r="Q311">
        <f>'_live'!$C$22</f>
        <v/>
      </c>
      <c r="T311" t="n">
        <v>0.04323071909477436</v>
      </c>
      <c r="U311" t="n">
        <v>0.0262315818227435</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0.008410534985880786</v>
      </c>
      <c r="AI311">
        <f>IF($Y311="worse","Yes",IF($Y311="worse, not significant","Not sure",IF(OR($Y311="too few losses to test",$Y311="too few loans to test"),"Too few losses",IF($Y311="","","No"))))</f>
        <v/>
      </c>
      <c r="AJ311">
        <f>IF($AA311="yes","Yes",IF($AA311="","","No"))</f>
        <v/>
      </c>
      <c r="AM311">
        <f>IF(AND(ISNUMBER($AC311),ISNUMBER(IF($V311,IF($AL311="","",$AL311),IF($AK311="","",$AK311)))),IF(AND(ABS($AC311-significance_bar)&lt;=2.0*IF($V311,IF($AL311="","",$AL311),IF($AK311="","",$AK311)),OR($Y311="worse",$Y311="better",$Y311="worse, not significant",$Y311="better, not significant")),IF(ROUND($AC311,3)=ROUND(significance_bar,3),TEXT($AC311,"0.0000"),TEXT($AC311,"0.000")),""),"")</f>
        <v/>
      </c>
      <c r="AN311">
        <f>IF(AND(ISNUMBER($AC311),ISNUMBER(IF($V311,IF($AL311="","",$AL311),IF($AK311="","",$AK311)))),IF(AND(ABS($AC311-significance_bar)&lt;=2.0*IF($V311,IF($AL311="","",$AL311),IF($AK311="","",$AK311)),OR($Y311="worse",$Y311="worse, not significant")),IF(ROUND($AC311,3)=ROUND(significance_bar,3),TEXT($AC311,"0.0000"),TEXT($AC311,"0.000")),""),"")</f>
        <v/>
      </c>
      <c r="AO311">
        <f>IF(OR($AI311="",$AN311=""),$AI311,$AI311&amp;" · borderline (p "&amp;$AN311&amp;")")</f>
        <v/>
      </c>
    </row>
    <row r="312">
      <c r="A312" t="inlineStr">
        <is>
          <t>grids</t>
        </is>
      </c>
      <c r="B312" t="inlineStr">
        <is>
          <t>REV_DEBT x ASSET_CLASS</t>
        </is>
      </c>
      <c r="C312" t="inlineStr">
        <is>
          <t>6,559 - 9,836</t>
        </is>
      </c>
      <c r="D312" t="inlineStr">
        <is>
          <t>1</t>
        </is>
      </c>
      <c r="E312" t="inlineStr">
        <is>
          <t>ranr_rate</t>
        </is>
      </c>
      <c r="F312" t="inlineStr">
        <is>
          <t>Profit after losses: RANR per booked dollar</t>
        </is>
      </c>
      <c r="G312" t="n">
        <v>372</v>
      </c>
      <c r="H312" t="n">
        <v>12084819.51</v>
      </c>
      <c r="I312" t="b">
        <v>0</v>
      </c>
      <c r="J312" t="b">
        <v>0</v>
      </c>
      <c r="K312" t="n">
        <v>0.006084189262956563</v>
      </c>
      <c r="L312" t="n">
        <v>0.6613988879133743</v>
      </c>
      <c r="M312" t="n">
        <v>0.02143506546360138</v>
      </c>
      <c r="N312" t="n">
        <v>0.2736318407960199</v>
      </c>
      <c r="O312" t="n">
        <v>-73526.32910750993</v>
      </c>
      <c r="P312" t="n">
        <v>-259038.8973126572</v>
      </c>
      <c r="Q312">
        <f>'_live'!$C$23</f>
        <v/>
      </c>
      <c r="R312" t="inlineStr">
        <is>
          <t>shuffled: 112 of 200</t>
        </is>
      </c>
      <c r="S312" t="inlineStr">
        <is>
          <t>shuffled: 8 of 200</t>
        </is>
      </c>
      <c r="T312" t="n">
        <v>0.1277051394615732</v>
      </c>
      <c r="U312" t="n">
        <v>0.1123542632609283</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0.1337893287245297</v>
      </c>
      <c r="AI312">
        <f>IF($Y312="worse","Yes",IF($Y312="worse, not significant","Not sure",IF(OR($Y312="too few losses to test",$Y312="too few loans to test"),"Too few losses",IF($Y312="","","No"))))</f>
        <v/>
      </c>
      <c r="AJ312">
        <f>IF($AA312="yes","Yes",IF($AA312="","","No"))</f>
        <v/>
      </c>
      <c r="AK312" t="n">
        <v>0.04127153073176282</v>
      </c>
      <c r="AL312" t="n">
        <v>0.0804140789813165</v>
      </c>
      <c r="AM312">
        <f>IF(AND(ISNUMBER($AC312),ISNUMBER(IF($V312,IF($AL312="","",$AL312),IF($AK312="","",$AK312)))),IF(AND(ABS($AC312-significance_bar)&lt;=2.0*IF($V312,IF($AL312="","",$AL312),IF($AK312="","",$AK312)),OR($Y312="worse",$Y312="better",$Y312="worse, not significant",$Y312="better, not significant",AND(profit_kind="test",$Y312="in line",ISNUMBER($AB312),$AB312&lt;&gt;0))),IF(ROUND($AC312,3)=ROUND(significance_bar,3),TEXT($AC312,"0.0000"),TEXT($AC312,"0.000")),""),"")</f>
        <v/>
      </c>
      <c r="AN312">
        <f>IF(AND(ISNUMBER($AC312),ISNUMBER(IF($V312,IF($AL312="","",$AL312),IF($AK312="","",$AK312)))),IF(AND(ABS($AC312-significance_bar)&lt;=2.0*IF($V312,IF($AL312="","",$AL312),IF($AK312="","",$AK312)),OR($Y312="worse",$Y312="worse, not significant",AND(profit_kind="test",$Y312="in line",ISNUMBER($AB312),$AB312&lt;0))),IF(ROUND($AC312,3)=ROUND(significance_bar,3),TEXT($AC312,"0.0000"),TEXT($AC312,"0.000")),""),"")</f>
        <v/>
      </c>
      <c r="AO312">
        <f>IF(OR($AI312="",$AN312=""),$AI312,$AI312&amp;" · borderline (p "&amp;$AN312&amp;")")</f>
        <v/>
      </c>
    </row>
    <row r="313">
      <c r="A313" t="inlineStr">
        <is>
          <t>grids</t>
        </is>
      </c>
      <c r="B313" t="inlineStr">
        <is>
          <t>REV_DEBT x ASSET_CLASS</t>
        </is>
      </c>
      <c r="C313" t="inlineStr">
        <is>
          <t>6,559 - 9,836</t>
        </is>
      </c>
      <c r="D313" t="inlineStr">
        <is>
          <t>1</t>
        </is>
      </c>
      <c r="E313" t="inlineStr">
        <is>
          <t>contribution_rate</t>
        </is>
      </c>
      <c r="F313" t="inlineStr">
        <is>
          <t>Contribution before losses per booked dollar</t>
        </is>
      </c>
      <c r="G313" t="n">
        <v>371</v>
      </c>
      <c r="H313" t="n">
        <v>12045135.08000001</v>
      </c>
      <c r="I313" t="b">
        <v>0</v>
      </c>
      <c r="J313" t="b">
        <v>0</v>
      </c>
      <c r="K313" t="n">
        <v>-0.02877813856172856</v>
      </c>
      <c r="L313" t="n">
        <v>0.006218905472636815</v>
      </c>
      <c r="M313" t="n">
        <v>0.003571874910946987</v>
      </c>
      <c r="N313" t="n">
        <v>0.8135791630084869</v>
      </c>
      <c r="O313" t="n">
        <v>346636.5663269777</v>
      </c>
      <c r="P313" t="n">
        <v>-43023.71579121938</v>
      </c>
      <c r="Q313">
        <f>'_live'!$C$24</f>
        <v/>
      </c>
      <c r="R313" t="inlineStr">
        <is>
          <t>shuffled: 0 of 200</t>
        </is>
      </c>
      <c r="S313" t="inlineStr">
        <is>
          <t>shuffled: 114 of 200</t>
        </is>
      </c>
      <c r="T313" t="n">
        <v>0.1709358585563474</v>
      </c>
      <c r="U313" t="n">
        <v>0.1385858450836718</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0.1421577199946188</v>
      </c>
      <c r="AI313">
        <f>IF($Y313="worse","Yes",IF($Y313="worse, not significant","Not sure",IF(OR($Y313="too few losses to test",$Y313="too few loans to test"),"Too few losses",IF($Y313="","","No"))))</f>
        <v/>
      </c>
      <c r="AJ313">
        <f>IF($AA313="yes","Yes",IF($AA313="","","No"))</f>
        <v/>
      </c>
      <c r="AK313" t="n">
        <v>0.006218905472636815</v>
      </c>
      <c r="AL313" t="n">
        <v>0.0384214069236788</v>
      </c>
      <c r="AM313">
        <f>IF(AND(ISNUMBER($AC313),ISNUMBER(IF($V313,IF($AL313="","",$AL313),IF($AK313="","",$AK313)))),IF(AND(ABS($AC313-significance_bar)&lt;=2.0*IF($V313,IF($AL313="","",$AL313),IF($AK313="","",$AK313)),OR($Y313="worse",$Y313="better",$Y313="worse, not significant",$Y313="better, not significant",AND(profit_kind="test",$Y313="in line",ISNUMBER($AB313),$AB313&lt;&gt;0))),IF(ROUND($AC313,3)=ROUND(significance_bar,3),TEXT($AC313,"0.0000"),TEXT($AC313,"0.000")),""),"")</f>
        <v/>
      </c>
      <c r="AN313">
        <f>IF(AND(ISNUMBER($AC313),ISNUMBER(IF($V313,IF($AL313="","",$AL313),IF($AK313="","",$AK313)))),IF(AND(ABS($AC313-significance_bar)&lt;=2.0*IF($V313,IF($AL313="","",$AL313),IF($AK313="","",$AK313)),OR($Y313="worse",$Y313="worse, not significant",AND(profit_kind="test",$Y313="in line",ISNUMBER($AB313),$AB313&lt;0))),IF(ROUND($AC313,3)=ROUND(significance_bar,3),TEXT($AC313,"0.0000"),TEXT($AC313,"0.000")),""),"")</f>
        <v/>
      </c>
      <c r="AO313">
        <f>IF(OR($AI313="",$AN313=""),$AI313,$AI313&amp;" · borderline (p "&amp;$AN313&amp;")")</f>
        <v/>
      </c>
    </row>
    <row r="314">
      <c r="A314" t="inlineStr">
        <is>
          <t>grids</t>
        </is>
      </c>
      <c r="B314" t="inlineStr">
        <is>
          <t>REV_DEBT x ASSET_CLASS</t>
        </is>
      </c>
      <c r="C314" t="inlineStr">
        <is>
          <t>9,837 - 13,051</t>
        </is>
      </c>
      <c r="D314" t="inlineStr">
        <is>
          <t>4</t>
        </is>
      </c>
      <c r="E314" t="inlineStr">
        <is>
          <t>outcome_loans</t>
        </is>
      </c>
      <c r="F314" t="inlineStr">
        <is>
          <t>Outcome, share of loans</t>
        </is>
      </c>
      <c r="G314" t="n">
        <v>414</v>
      </c>
      <c r="H314" t="n">
        <v>414</v>
      </c>
      <c r="I314" t="b">
        <v>0</v>
      </c>
      <c r="J314" t="b">
        <v>0</v>
      </c>
      <c r="K314" t="n">
        <v>1.031743087500618</v>
      </c>
      <c r="L314" t="n">
        <v>0.9032392892759707</v>
      </c>
      <c r="M314" t="n">
        <v>1.429951690821256</v>
      </c>
      <c r="N314" t="n">
        <v>0.2215998286282924</v>
      </c>
      <c r="O314" t="n">
        <v>1.015293342122607</v>
      </c>
      <c r="P314" t="n">
        <v>9.922297297297298</v>
      </c>
      <c r="Q314">
        <f>'_live'!$C$20</f>
        <v/>
      </c>
      <c r="R314" t="inlineStr">
        <is>
          <t>z test</t>
        </is>
      </c>
      <c r="S314" t="inlineStr">
        <is>
          <t>z test</t>
        </is>
      </c>
      <c r="T314" t="n">
        <v>0.07725774555042848</v>
      </c>
      <c r="U314" t="n">
        <v>0.05574324324324324</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0.07971014492753623</v>
      </c>
      <c r="AI314">
        <f>IF($Y314="worse","Yes",IF($Y314="worse, not significant","Not sure",IF(OR($Y314="too few losses to test",$Y314="too few loans to test"),"Too few losses",IF($Y314="","","No"))))</f>
        <v/>
      </c>
      <c r="AJ314">
        <f>IF($AA314="yes","Yes",IF($AA314="","","No"))</f>
        <v/>
      </c>
      <c r="AM314">
        <f>IF(AND(ISNUMBER($AC314),ISNUMBER(IF($V314,IF($AL314="","",$AL314),IF($AK314="","",$AK314)))),IF(AND(ABS($AC314-significance_bar)&lt;=2.0*IF($V314,IF($AL314="","",$AL314),IF($AK314="","",$AK314)),OR($Y314="worse",$Y314="better",$Y314="worse, not significant",$Y314="better, not significant")),IF(ROUND($AC314,3)=ROUND(significance_bar,3),TEXT($AC314,"0.0000"),TEXT($AC314,"0.000")),""),"")</f>
        <v/>
      </c>
      <c r="AN314">
        <f>IF(AND(ISNUMBER($AC314),ISNUMBER(IF($V314,IF($AL314="","",$AL314),IF($AK314="","",$AK314)))),IF(AND(ABS($AC314-significance_bar)&lt;=2.0*IF($V314,IF($AL314="","",$AL314),IF($AK314="","",$AK314)),OR($Y314="worse",$Y314="worse, not significant")),IF(ROUND($AC314,3)=ROUND(significance_bar,3),TEXT($AC314,"0.0000"),TEXT($AC314,"0.000")),""),"")</f>
        <v/>
      </c>
      <c r="AO314">
        <f>IF(OR($AI314="",$AN314=""),$AI314,$AI314&amp;" · borderline (p "&amp;$AN314&amp;")")</f>
        <v/>
      </c>
    </row>
    <row r="315">
      <c r="A315" t="inlineStr">
        <is>
          <t>grids</t>
        </is>
      </c>
      <c r="B315" t="inlineStr">
        <is>
          <t>REV_DEBT x ASSET_CLASS</t>
        </is>
      </c>
      <c r="C315" t="inlineStr">
        <is>
          <t>9,837 - 13,051</t>
        </is>
      </c>
      <c r="D315" t="inlineStr">
        <is>
          <t>4</t>
        </is>
      </c>
      <c r="E315" t="inlineStr">
        <is>
          <t>outcome_booked</t>
        </is>
      </c>
      <c r="F315" t="inlineStr">
        <is>
          <t>Outcome, share of booked dollars</t>
        </is>
      </c>
      <c r="G315" t="n">
        <v>414</v>
      </c>
      <c r="H315" t="n">
        <v>13250121.13</v>
      </c>
      <c r="I315" t="b">
        <v>0</v>
      </c>
      <c r="J315" t="b">
        <v>0</v>
      </c>
      <c r="K315" t="n">
        <v>1.020111899302797</v>
      </c>
      <c r="L315" t="n">
        <v>0.9303482587064678</v>
      </c>
      <c r="M315" t="n">
        <v>1.444060325894038</v>
      </c>
      <c r="N315" t="n">
        <v>0.4568822553897181</v>
      </c>
      <c r="O315" t="n">
        <v>19920.20583514089</v>
      </c>
      <c r="P315" t="n">
        <v>310702.8137301158</v>
      </c>
      <c r="Q315">
        <f>'_live'!$C$21</f>
        <v/>
      </c>
      <c r="R315" t="inlineStr">
        <is>
          <t>shuffled: 186 of 200</t>
        </is>
      </c>
      <c r="S315" t="inlineStr">
        <is>
          <t>shuffled: 28 of 200</t>
        </is>
      </c>
      <c r="T315" t="n">
        <v>0.07475166788643985</v>
      </c>
      <c r="U315" t="n">
        <v>0.0528060113115271</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0.07625506590368808</v>
      </c>
      <c r="AI315">
        <f>IF($Y315="worse","Yes",IF($Y315="worse, not significant","Not sure",IF(OR($Y315="too few losses to test",$Y315="too few loans to test"),"Too few losses",IF($Y315="","","No"))))</f>
        <v/>
      </c>
      <c r="AJ315">
        <f>IF($AA315="yes","Yes",IF($AA315="","","No"))</f>
        <v/>
      </c>
      <c r="AK315" t="n">
        <v>0.01800005225385626</v>
      </c>
      <c r="AL315" t="n">
        <v>0.07867821850563572</v>
      </c>
      <c r="AM315">
        <f>IF(AND(ISNUMBER($AC315),ISNUMBER(IF($V315,IF($AL315="","",$AL315),IF($AK315="","",$AK315)))),IF(AND(ABS($AC315-significance_bar)&lt;=2.0*IF($V315,IF($AL315="","",$AL315),IF($AK315="","",$AK315)),OR($Y315="worse",$Y315="better",$Y315="worse, not significant",$Y315="better, not significant")),IF(ROUND($AC315,3)=ROUND(significance_bar,3),TEXT($AC315,"0.0000"),TEXT($AC315,"0.000")),""),"")</f>
        <v/>
      </c>
      <c r="AN315">
        <f>IF(AND(ISNUMBER($AC315),ISNUMBER(IF($V315,IF($AL315="","",$AL315),IF($AK315="","",$AK315)))),IF(AND(ABS($AC315-significance_bar)&lt;=2.0*IF($V315,IF($AL315="","",$AL315),IF($AK315="","",$AK315)),OR($Y315="worse",$Y315="worse, not significant")),IF(ROUND($AC315,3)=ROUND(significance_bar,3),TEXT($AC315,"0.0000"),TEXT($AC315,"0.000")),""),"")</f>
        <v/>
      </c>
      <c r="AO315">
        <f>IF(OR($AI315="",$AN315=""),$AI315,$AI315&amp;" · borderline (p "&amp;$AN315&amp;")")</f>
        <v/>
      </c>
    </row>
    <row r="316">
      <c r="A316" t="inlineStr">
        <is>
          <t>grids</t>
        </is>
      </c>
      <c r="B316" t="inlineStr">
        <is>
          <t>REV_DEBT x ASSET_CLASS</t>
        </is>
      </c>
      <c r="C316" t="inlineStr">
        <is>
          <t>9,837 - 13,051</t>
        </is>
      </c>
      <c r="D316" t="inlineStr">
        <is>
          <t>4</t>
        </is>
      </c>
      <c r="E316" t="inlineStr">
        <is>
          <t>gco_rate</t>
        </is>
      </c>
      <c r="F316" t="inlineStr">
        <is>
          <t>GCO per booked dollar</t>
        </is>
      </c>
      <c r="G316" t="n">
        <v>414</v>
      </c>
      <c r="H316" t="n">
        <v>13250121.13</v>
      </c>
      <c r="I316" t="b">
        <v>0</v>
      </c>
      <c r="J316" t="b">
        <v>0</v>
      </c>
      <c r="K316" t="n">
        <v>0.9784320266064055</v>
      </c>
      <c r="L316" t="n">
        <v>0.9715312327252627</v>
      </c>
      <c r="M316" t="n">
        <v>1.386226129274965</v>
      </c>
      <c r="N316" t="n">
        <v>0.5356550580431177</v>
      </c>
      <c r="O316" t="n">
        <v>-11903.06350255932</v>
      </c>
      <c r="P316" t="n">
        <v>150448.4238432593</v>
      </c>
      <c r="Q316">
        <f>'_live'!$C$22</f>
        <v/>
      </c>
      <c r="R316" t="inlineStr">
        <is>
          <t>shuffled: 184 of 200</t>
        </is>
      </c>
      <c r="S316" t="inlineStr">
        <is>
          <t>shuffled: 41 of 200</t>
        </is>
      </c>
      <c r="T316" t="n">
        <v>0.04165139609576984</v>
      </c>
      <c r="U316" t="n">
        <v>0.02939856566856463</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0.04075305989297021</v>
      </c>
      <c r="AI316">
        <f>IF($Y316="worse","Yes",IF($Y316="worse, not significant","Not sure",IF(OR($Y316="too few losses to test",$Y316="too few loans to test"),"Too few losses",IF($Y316="","","No"))))</f>
        <v/>
      </c>
      <c r="AJ316">
        <f>IF($AA316="yes","Yes",IF($AA316="","","No"))</f>
        <v/>
      </c>
      <c r="AK316" t="n">
        <v>0.02020300150203181</v>
      </c>
      <c r="AL316" t="n">
        <v>0.06495771715318038</v>
      </c>
      <c r="AM316">
        <f>IF(AND(ISNUMBER($AC316),ISNUMBER(IF($V316,IF($AL316="","",$AL316),IF($AK316="","",$AK316)))),IF(AND(ABS($AC316-significance_bar)&lt;=2.0*IF($V316,IF($AL316="","",$AL316),IF($AK316="","",$AK316)),OR($Y316="worse",$Y316="better",$Y316="worse, not significant",$Y316="better, not significant")),IF(ROUND($AC316,3)=ROUND(significance_bar,3),TEXT($AC316,"0.0000"),TEXT($AC316,"0.000")),""),"")</f>
        <v/>
      </c>
      <c r="AN316">
        <f>IF(AND(ISNUMBER($AC316),ISNUMBER(IF($V316,IF($AL316="","",$AL316),IF($AK316="","",$AK316)))),IF(AND(ABS($AC316-significance_bar)&lt;=2.0*IF($V316,IF($AL316="","",$AL316),IF($AK316="","",$AK316)),OR($Y316="worse",$Y316="worse, not significant")),IF(ROUND($AC316,3)=ROUND(significance_bar,3),TEXT($AC316,"0.0000"),TEXT($AC316,"0.000")),""),"")</f>
        <v/>
      </c>
      <c r="AO316">
        <f>IF(OR($AI316="",$AN316=""),$AI316,$AI316&amp;" · borderline (p "&amp;$AN316&amp;")")</f>
        <v/>
      </c>
    </row>
    <row r="317">
      <c r="A317" t="inlineStr">
        <is>
          <t>grids</t>
        </is>
      </c>
      <c r="B317" t="inlineStr">
        <is>
          <t>REV_DEBT x ASSET_CLASS</t>
        </is>
      </c>
      <c r="C317" t="inlineStr">
        <is>
          <t>9,837 - 13,051</t>
        </is>
      </c>
      <c r="D317" t="inlineStr">
        <is>
          <t>4</t>
        </is>
      </c>
      <c r="E317" t="inlineStr">
        <is>
          <t>ranr_rate</t>
        </is>
      </c>
      <c r="F317" t="inlineStr">
        <is>
          <t>Profit after losses: RANR per booked dollar</t>
        </is>
      </c>
      <c r="G317" t="n">
        <v>414</v>
      </c>
      <c r="H317" t="n">
        <v>13250121.13</v>
      </c>
      <c r="I317" t="b">
        <v>0</v>
      </c>
      <c r="J317" t="b">
        <v>0</v>
      </c>
      <c r="K317" t="n">
        <v>0.0003234668873878799</v>
      </c>
      <c r="L317" t="n">
        <v>0.9800995024875622</v>
      </c>
      <c r="M317" t="n">
        <v>-0.004167555384110261</v>
      </c>
      <c r="N317" t="n">
        <v>0.812603648424544</v>
      </c>
      <c r="O317" t="n">
        <v>-4285.975439433474</v>
      </c>
      <c r="P317" t="n">
        <v>55220.6136554447</v>
      </c>
      <c r="Q317">
        <f>'_live'!$C$23</f>
        <v/>
      </c>
      <c r="R317" t="inlineStr">
        <is>
          <t>shuffled: 196 of 200</t>
        </is>
      </c>
      <c r="S317" t="inlineStr">
        <is>
          <t>shuffled: 126 of 200</t>
        </is>
      </c>
      <c r="T317" t="n">
        <v>0.1279734417462315</v>
      </c>
      <c r="U317" t="n">
        <v>0.1324644640177297</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0.1282969086336194</v>
      </c>
      <c r="AI317">
        <f>IF($Y317="worse","Yes",IF($Y317="worse, not significant","Not sure",IF(OR($Y317="too few losses to test",$Y317="too few loans to test"),"Too few losses",IF($Y317="","","No"))))</f>
        <v/>
      </c>
      <c r="AJ317">
        <f>IF($AA317="yes","Yes",IF($AA317="","","No"))</f>
        <v/>
      </c>
      <c r="AK317" t="n">
        <v>0.009875339921034437</v>
      </c>
      <c r="AL317" t="n">
        <v>0.03482587064676616</v>
      </c>
      <c r="AM317">
        <f>IF(AND(ISNUMBER($AC317),ISNUMBER(IF($V317,IF($AL317="","",$AL317),IF($AK317="","",$AK317)))),IF(AND(ABS($AC317-significance_bar)&lt;=2.0*IF($V317,IF($AL317="","",$AL317),IF($AK317="","",$AK317)),OR($Y317="worse",$Y317="better",$Y317="worse, not significant",$Y317="better, not significant",AND(profit_kind="test",$Y317="in line",ISNUMBER($AB317),$AB317&lt;&gt;0))),IF(ROUND($AC317,3)=ROUND(significance_bar,3),TEXT($AC317,"0.0000"),TEXT($AC317,"0.000")),""),"")</f>
        <v/>
      </c>
      <c r="AN317">
        <f>IF(AND(ISNUMBER($AC317),ISNUMBER(IF($V317,IF($AL317="","",$AL317),IF($AK317="","",$AK317)))),IF(AND(ABS($AC317-significance_bar)&lt;=2.0*IF($V317,IF($AL317="","",$AL317),IF($AK317="","",$AK317)),OR($Y317="worse",$Y317="worse, not significant",AND(profit_kind="test",$Y317="in line",ISNUMBER($AB317),$AB317&lt;0))),IF(ROUND($AC317,3)=ROUND(significance_bar,3),TEXT($AC317,"0.0000"),TEXT($AC317,"0.000")),""),"")</f>
        <v/>
      </c>
      <c r="AO317">
        <f>IF(OR($AI317="",$AN317=""),$AI317,$AI317&amp;" · borderline (p "&amp;$AN317&amp;")")</f>
        <v/>
      </c>
    </row>
    <row r="318">
      <c r="A318" t="inlineStr">
        <is>
          <t>grids</t>
        </is>
      </c>
      <c r="B318" t="inlineStr">
        <is>
          <t>REV_DEBT x ASSET_CLASS</t>
        </is>
      </c>
      <c r="C318" t="inlineStr">
        <is>
          <t>9,837 - 13,051</t>
        </is>
      </c>
      <c r="D318" t="inlineStr">
        <is>
          <t>4</t>
        </is>
      </c>
      <c r="E318" t="inlineStr">
        <is>
          <t>contribution_rate</t>
        </is>
      </c>
      <c r="F318" t="inlineStr">
        <is>
          <t>Contribution before losses per booked dollar</t>
        </is>
      </c>
      <c r="G318" t="n">
        <v>414</v>
      </c>
      <c r="H318" t="n">
        <v>13250121.13</v>
      </c>
      <c r="I318" t="b">
        <v>0</v>
      </c>
      <c r="J318" t="b">
        <v>0</v>
      </c>
      <c r="K318" t="n">
        <v>-0.00057185260240189</v>
      </c>
      <c r="L318" t="n">
        <v>0.9203980099502488</v>
      </c>
      <c r="M318" t="n">
        <v>0.007186938840295504</v>
      </c>
      <c r="N318" t="n">
        <v>0.8070757324488668</v>
      </c>
      <c r="O318" t="n">
        <v>7577.116250330582</v>
      </c>
      <c r="P318" t="n">
        <v>-95227.81018781709</v>
      </c>
      <c r="Q318">
        <f>'_live'!$C$24</f>
        <v/>
      </c>
      <c r="R318" t="inlineStr">
        <is>
          <t>shuffled: 184 of 200</t>
        </is>
      </c>
      <c r="S318" t="inlineStr">
        <is>
          <t>shuffled: 59 of 200</t>
        </is>
      </c>
      <c r="T318" t="n">
        <v>0.1696218211289916</v>
      </c>
      <c r="U318" t="n">
        <v>0.1618630296862942</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0.1690499685265897</v>
      </c>
      <c r="AI318">
        <f>IF($Y318="worse","Yes",IF($Y318="worse, not significant","Not sure",IF(OR($Y318="too few losses to test",$Y318="too few loans to test"),"Too few losses",IF($Y318="","","No"))))</f>
        <v/>
      </c>
      <c r="AJ318">
        <f>IF($AA318="yes","Yes",IF($AA318="","","No"))</f>
        <v/>
      </c>
      <c r="AK318" t="n">
        <v>0.01913968563350382</v>
      </c>
      <c r="AL318" t="n">
        <v>0.07556885567997816</v>
      </c>
      <c r="AM318">
        <f>IF(AND(ISNUMBER($AC318),ISNUMBER(IF($V318,IF($AL318="","",$AL318),IF($AK318="","",$AK318)))),IF(AND(ABS($AC318-significance_bar)&lt;=2.0*IF($V318,IF($AL318="","",$AL318),IF($AK318="","",$AK318)),OR($Y318="worse",$Y318="better",$Y318="worse, not significant",$Y318="better, not significant",AND(profit_kind="test",$Y318="in line",ISNUMBER($AB318),$AB318&lt;&gt;0))),IF(ROUND($AC318,3)=ROUND(significance_bar,3),TEXT($AC318,"0.0000"),TEXT($AC318,"0.000")),""),"")</f>
        <v/>
      </c>
      <c r="AN318">
        <f>IF(AND(ISNUMBER($AC318),ISNUMBER(IF($V318,IF($AL318="","",$AL318),IF($AK318="","",$AK318)))),IF(AND(ABS($AC318-significance_bar)&lt;=2.0*IF($V318,IF($AL318="","",$AL318),IF($AK318="","",$AK318)),OR($Y318="worse",$Y318="worse, not significant",AND(profit_kind="test",$Y318="in line",ISNUMBER($AB318),$AB318&lt;0))),IF(ROUND($AC318,3)=ROUND(significance_bar,3),TEXT($AC318,"0.0000"),TEXT($AC318,"0.000")),""),"")</f>
        <v/>
      </c>
      <c r="AO318">
        <f>IF(OR($AI318="",$AN318=""),$AI318,$AI318&amp;" · borderline (p "&amp;$AN318&amp;")")</f>
        <v/>
      </c>
    </row>
    <row r="319">
      <c r="A319" t="inlineStr">
        <is>
          <t>grids</t>
        </is>
      </c>
      <c r="B319" t="inlineStr">
        <is>
          <t>REV_DEBT x ASSET_CLASS</t>
        </is>
      </c>
      <c r="C319" t="inlineStr">
        <is>
          <t>6,559 - 9,836</t>
        </is>
      </c>
      <c r="D319" t="inlineStr">
        <is>
          <t>2</t>
        </is>
      </c>
      <c r="E319" t="inlineStr">
        <is>
          <t>outcome_loans</t>
        </is>
      </c>
      <c r="F319" t="inlineStr">
        <is>
          <t>Outcome, share of loans</t>
        </is>
      </c>
      <c r="G319" t="n">
        <v>417</v>
      </c>
      <c r="H319" t="n">
        <v>417</v>
      </c>
      <c r="I319" t="b">
        <v>0</v>
      </c>
      <c r="J319" t="b">
        <v>0</v>
      </c>
      <c r="K319" t="n">
        <v>0.2985591822108815</v>
      </c>
      <c r="L319" t="n">
        <v>0.0001050385966474635</v>
      </c>
      <c r="M319" t="n">
        <v>0.5352698972897154</v>
      </c>
      <c r="N319" t="n">
        <v>0.1904407868395688</v>
      </c>
      <c r="O319" t="n">
        <v>-23.49419678185176</v>
      </c>
      <c r="P319" t="n">
        <v>-8.682163989856296</v>
      </c>
      <c r="Q319">
        <f>'_live'!$C$20</f>
        <v/>
      </c>
      <c r="R319" t="inlineStr">
        <is>
          <t>z test</t>
        </is>
      </c>
      <c r="S319" t="inlineStr">
        <is>
          <t>z test</t>
        </is>
      </c>
      <c r="T319" t="n">
        <v>0.08032181482458454</v>
      </c>
      <c r="U319" t="n">
        <v>0.04480135249366018</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0.02398081534772182</v>
      </c>
      <c r="AI319">
        <f>IF($Y319="worse","Yes",IF($Y319="worse, not significant","Not sure",IF(OR($Y319="too few losses to test",$Y319="too few loans to test"),"Too few losses",IF($Y319="","","No"))))</f>
        <v/>
      </c>
      <c r="AJ319">
        <f>IF($AA319="yes","Yes",IF($AA319="","","No"))</f>
        <v/>
      </c>
      <c r="AM319">
        <f>IF(AND(ISNUMBER($AC319),ISNUMBER(IF($V319,IF($AL319="","",$AL319),IF($AK319="","",$AK319)))),IF(AND(ABS($AC319-significance_bar)&lt;=2.0*IF($V319,IF($AL319="","",$AL319),IF($AK319="","",$AK319)),OR($Y319="worse",$Y319="better",$Y319="worse, not significant",$Y319="better, not significant")),IF(ROUND($AC319,3)=ROUND(significance_bar,3),TEXT($AC319,"0.0000"),TEXT($AC319,"0.000")),""),"")</f>
        <v/>
      </c>
      <c r="AN319">
        <f>IF(AND(ISNUMBER($AC319),ISNUMBER(IF($V319,IF($AL319="","",$AL319),IF($AK319="","",$AK319)))),IF(AND(ABS($AC319-significance_bar)&lt;=2.0*IF($V319,IF($AL319="","",$AL319),IF($AK319="","",$AK319)),OR($Y319="worse",$Y319="worse, not significant")),IF(ROUND($AC319,3)=ROUND(significance_bar,3),TEXT($AC319,"0.0000"),TEXT($AC319,"0.000")),""),"")</f>
        <v/>
      </c>
      <c r="AO319">
        <f>IF(OR($AI319="",$AN319=""),$AI319,$AI319&amp;" · borderline (p "&amp;$AN319&amp;")")</f>
        <v/>
      </c>
    </row>
    <row r="320">
      <c r="A320" t="inlineStr">
        <is>
          <t>grids</t>
        </is>
      </c>
      <c r="B320" t="inlineStr">
        <is>
          <t>REV_DEBT x ASSET_CLASS</t>
        </is>
      </c>
      <c r="C320" t="inlineStr">
        <is>
          <t>6,559 - 9,836</t>
        </is>
      </c>
      <c r="D320" t="inlineStr">
        <is>
          <t>2</t>
        </is>
      </c>
      <c r="E320" t="inlineStr">
        <is>
          <t>outcome_booked</t>
        </is>
      </c>
      <c r="F320" t="inlineStr">
        <is>
          <t>Outcome, share of booked dollars</t>
        </is>
      </c>
      <c r="G320" t="n">
        <v>417</v>
      </c>
      <c r="H320" t="n">
        <v>13538374.36999999</v>
      </c>
      <c r="I320" t="b">
        <v>0</v>
      </c>
      <c r="J320" t="b">
        <v>0</v>
      </c>
      <c r="K320" t="n">
        <v>0.3577652877499312</v>
      </c>
      <c r="L320" t="n">
        <v>0.01575456053067993</v>
      </c>
      <c r="M320" t="n">
        <v>0.6510488151925167</v>
      </c>
      <c r="N320" t="n">
        <v>0.4844527363184079</v>
      </c>
      <c r="O320" t="n">
        <v>-673311.4805630342</v>
      </c>
      <c r="P320" t="n">
        <v>-201034.9515724803</v>
      </c>
      <c r="Q320">
        <f>'_live'!$C$21</f>
        <v/>
      </c>
      <c r="R320" t="inlineStr">
        <is>
          <t>shuffled: 0 of 200</t>
        </is>
      </c>
      <c r="S320" t="inlineStr">
        <is>
          <t>shuffled: 40 of 200</t>
        </is>
      </c>
      <c r="T320" t="n">
        <v>0.07743828482732634</v>
      </c>
      <c r="U320" t="n">
        <v>0.04255399842163477</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H320" t="n">
        <v>0.02770473025410954</v>
      </c>
      <c r="AI320">
        <f>IF($Y320="worse","Yes",IF($Y320="worse, not significant","Not sure",IF(OR($Y320="too few losses to test",$Y320="too few loans to test"),"Too few losses",IF($Y320="","","No"))))</f>
        <v/>
      </c>
      <c r="AJ320">
        <f>IF($AA320="yes","Yes",IF($AA320="","","No"))</f>
        <v/>
      </c>
      <c r="AK320" t="n">
        <v>0.01575456053067993</v>
      </c>
      <c r="AL320" t="n">
        <v>0.06767129358264942</v>
      </c>
      <c r="AM320">
        <f>IF(AND(ISNUMBER($AC320),ISNUMBER(IF($V320,IF($AL320="","",$AL320),IF($AK320="","",$AK320)))),IF(AND(ABS($AC320-significance_bar)&lt;=2.0*IF($V320,IF($AL320="","",$AL320),IF($AK320="","",$AK320)),OR($Y320="worse",$Y320="better",$Y320="worse, not significant",$Y320="better, not significant")),IF(ROUND($AC320,3)=ROUND(significance_bar,3),TEXT($AC320,"0.0000"),TEXT($AC320,"0.000")),""),"")</f>
        <v/>
      </c>
      <c r="AN320">
        <f>IF(AND(ISNUMBER($AC320),ISNUMBER(IF($V320,IF($AL320="","",$AL320),IF($AK320="","",$AK320)))),IF(AND(ABS($AC320-significance_bar)&lt;=2.0*IF($V320,IF($AL320="","",$AL320),IF($AK320="","",$AK320)),OR($Y320="worse",$Y320="worse, not significant")),IF(ROUND($AC320,3)=ROUND(significance_bar,3),TEXT($AC320,"0.0000"),TEXT($AC320,"0.000")),""),"")</f>
        <v/>
      </c>
      <c r="AO320">
        <f>IF(OR($AI320="",$AN320=""),$AI320,$AI320&amp;" · borderline (p "&amp;$AN320&amp;")")</f>
        <v/>
      </c>
    </row>
    <row r="321">
      <c r="A321" t="inlineStr">
        <is>
          <t>grids</t>
        </is>
      </c>
      <c r="B321" t="inlineStr">
        <is>
          <t>REV_DEBT x ASSET_CLASS</t>
        </is>
      </c>
      <c r="C321" t="inlineStr">
        <is>
          <t>6,559 - 9,836</t>
        </is>
      </c>
      <c r="D321" t="inlineStr">
        <is>
          <t>2</t>
        </is>
      </c>
      <c r="E321" t="inlineStr">
        <is>
          <t>gco_rate</t>
        </is>
      </c>
      <c r="F321" t="inlineStr">
        <is>
          <t>GCO per booked dollar</t>
        </is>
      </c>
      <c r="G321" t="n">
        <v>417</v>
      </c>
      <c r="H321" t="n">
        <v>13538374.36999999</v>
      </c>
      <c r="I321" t="b">
        <v>0</v>
      </c>
      <c r="J321" t="b">
        <v>0</v>
      </c>
      <c r="K321" t="n">
        <v>0.3519551553652867</v>
      </c>
      <c r="L321" t="n">
        <v>0.01350390902629709</v>
      </c>
      <c r="M321" t="n">
        <v>0.6181413832184242</v>
      </c>
      <c r="N321" t="n">
        <v>0.5041459369817579</v>
      </c>
      <c r="O321" t="n">
        <v>-377871.0433984107</v>
      </c>
      <c r="P321" t="n">
        <v>-126777.0550705404</v>
      </c>
      <c r="Q321">
        <f>'_live'!$C$22</f>
        <v/>
      </c>
      <c r="R321" t="inlineStr">
        <is>
          <t>shuffled: 0 of 200</t>
        </is>
      </c>
      <c r="S321" t="inlineStr">
        <is>
          <t>shuffled: 31 of 200</t>
        </is>
      </c>
      <c r="T321" t="n">
        <v>0.04306971852473682</v>
      </c>
      <c r="U321" t="n">
        <v>0.02452288406252283</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H321" t="n">
        <v>0.01515860947491291</v>
      </c>
      <c r="AI321">
        <f>IF($Y321="worse","Yes",IF($Y321="worse, not significant","Not sure",IF(OR($Y321="too few losses to test",$Y321="too few loans to test"),"Too few losses",IF($Y321="","","No"))))</f>
        <v/>
      </c>
      <c r="AJ321">
        <f>IF($AA321="yes","Yes",IF($AA321="","","No"))</f>
        <v/>
      </c>
      <c r="AK321" t="n">
        <v>0.01350390902629709</v>
      </c>
      <c r="AL321" t="n">
        <v>0.08192371475953567</v>
      </c>
      <c r="AM321">
        <f>IF(AND(ISNUMBER($AC321),ISNUMBER(IF($V321,IF($AL321="","",$AL321),IF($AK321="","",$AK321)))),IF(AND(ABS($AC321-significance_bar)&lt;=2.0*IF($V321,IF($AL321="","",$AL321),IF($AK321="","",$AK321)),OR($Y321="worse",$Y321="better",$Y321="worse, not significant",$Y321="better, not significant")),IF(ROUND($AC321,3)=ROUND(significance_bar,3),TEXT($AC321,"0.0000"),TEXT($AC321,"0.000")),""),"")</f>
        <v/>
      </c>
      <c r="AN321">
        <f>IF(AND(ISNUMBER($AC321),ISNUMBER(IF($V321,IF($AL321="","",$AL321),IF($AK321="","",$AK321)))),IF(AND(ABS($AC321-significance_bar)&lt;=2.0*IF($V321,IF($AL321="","",$AL321),IF($AK321="","",$AK321)),OR($Y321="worse",$Y321="worse, not significant")),IF(ROUND($AC321,3)=ROUND(significance_bar,3),TEXT($AC321,"0.0000"),TEXT($AC321,"0.000")),""),"")</f>
        <v/>
      </c>
      <c r="AO321">
        <f>IF(OR($AI321="",$AN321=""),$AI321,$AI321&amp;" · borderline (p "&amp;$AN321&amp;")")</f>
        <v/>
      </c>
    </row>
    <row r="322">
      <c r="A322" t="inlineStr">
        <is>
          <t>grids</t>
        </is>
      </c>
      <c r="B322" t="inlineStr">
        <is>
          <t>REV_DEBT x ASSET_CLASS</t>
        </is>
      </c>
      <c r="C322" t="inlineStr">
        <is>
          <t>6,559 - 9,836</t>
        </is>
      </c>
      <c r="D322" t="inlineStr">
        <is>
          <t>2</t>
        </is>
      </c>
      <c r="E322" t="inlineStr">
        <is>
          <t>ranr_rate</t>
        </is>
      </c>
      <c r="F322" t="inlineStr">
        <is>
          <t>Profit after losses: RANR per booked dollar</t>
        </is>
      </c>
      <c r="G322" t="n">
        <v>417</v>
      </c>
      <c r="H322" t="n">
        <v>13538374.36999999</v>
      </c>
      <c r="I322" t="b">
        <v>0</v>
      </c>
      <c r="J322" t="b">
        <v>0</v>
      </c>
      <c r="K322" t="n">
        <v>-0.01327364455331534</v>
      </c>
      <c r="L322" t="n">
        <v>0.3527815468113976</v>
      </c>
      <c r="M322" t="n">
        <v>-0.002678911141288515</v>
      </c>
      <c r="N322" t="n">
        <v>0.816967792615868</v>
      </c>
      <c r="O322" t="n">
        <v>179703.5692170942</v>
      </c>
      <c r="P322" t="n">
        <v>36268.10193472775</v>
      </c>
      <c r="Q322">
        <f>'_live'!$C$23</f>
        <v/>
      </c>
      <c r="R322" t="inlineStr">
        <is>
          <t>shuffled: 38 of 200</t>
        </is>
      </c>
      <c r="S322" t="inlineStr">
        <is>
          <t>shuffled: 155 of 200</t>
        </is>
      </c>
      <c r="T322" t="n">
        <v>0.1286863903747327</v>
      </c>
      <c r="U322" t="n">
        <v>0.1180916569627059</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H322" t="n">
        <v>0.1154127458214174</v>
      </c>
      <c r="AI322">
        <f>IF($Y322="worse","Yes",IF($Y322="worse, not significant","Not sure",IF(OR($Y322="too few losses to test",$Y322="too few loans to test"),"Too few losses",IF($Y322="","","No"))))</f>
        <v/>
      </c>
      <c r="AJ322">
        <f>IF($AA322="yes","Yes",IF($AA322="","","No"))</f>
        <v/>
      </c>
      <c r="AK322" t="n">
        <v>0.05084123200867081</v>
      </c>
      <c r="AL322" t="n">
        <v>0.03102657919580754</v>
      </c>
      <c r="AM322">
        <f>IF(AND(ISNUMBER($AC322),ISNUMBER(IF($V322,IF($AL322="","",$AL322),IF($AK322="","",$AK322)))),IF(AND(ABS($AC322-significance_bar)&lt;=2.0*IF($V322,IF($AL322="","",$AL322),IF($AK322="","",$AK322)),OR($Y322="worse",$Y322="better",$Y322="worse, not significant",$Y322="better, not significant",AND(profit_kind="test",$Y322="in line",ISNUMBER($AB322),$AB322&lt;&gt;0))),IF(ROUND($AC322,3)=ROUND(significance_bar,3),TEXT($AC322,"0.0000"),TEXT($AC322,"0.000")),""),"")</f>
        <v/>
      </c>
      <c r="AN322">
        <f>IF(AND(ISNUMBER($AC322),ISNUMBER(IF($V322,IF($AL322="","",$AL322),IF($AK322="","",$AK322)))),IF(AND(ABS($AC322-significance_bar)&lt;=2.0*IF($V322,IF($AL322="","",$AL322),IF($AK322="","",$AK322)),OR($Y322="worse",$Y322="worse, not significant",AND(profit_kind="test",$Y322="in line",ISNUMBER($AB322),$AB322&lt;0))),IF(ROUND($AC322,3)=ROUND(significance_bar,3),TEXT($AC322,"0.0000"),TEXT($AC322,"0.000")),""),"")</f>
        <v/>
      </c>
      <c r="AO322">
        <f>IF(OR($AI322="",$AN322=""),$AI322,$AI322&amp;" · borderline (p "&amp;$AN322&amp;")")</f>
        <v/>
      </c>
    </row>
    <row r="323">
      <c r="A323" t="inlineStr">
        <is>
          <t>grids</t>
        </is>
      </c>
      <c r="B323" t="inlineStr">
        <is>
          <t>REV_DEBT x ASSET_CLASS</t>
        </is>
      </c>
      <c r="C323" t="inlineStr">
        <is>
          <t>6,559 - 9,836</t>
        </is>
      </c>
      <c r="D323" t="inlineStr">
        <is>
          <t>2</t>
        </is>
      </c>
      <c r="E323" t="inlineStr">
        <is>
          <t>contribution_rate</t>
        </is>
      </c>
      <c r="F323" t="inlineStr">
        <is>
          <t>Contribution before losses per booked dollar</t>
        </is>
      </c>
      <c r="G323" t="n">
        <v>417</v>
      </c>
      <c r="H323" t="n">
        <v>13538374.36999999</v>
      </c>
      <c r="I323" t="b">
        <v>0</v>
      </c>
      <c r="J323" t="b">
        <v>0</v>
      </c>
      <c r="K323" t="n">
        <v>-0.04118184905561362</v>
      </c>
      <c r="L323" t="n">
        <v>0.006218905472636815</v>
      </c>
      <c r="M323" t="n">
        <v>-0.01201334923933051</v>
      </c>
      <c r="N323" t="n">
        <v>0.417910447761194</v>
      </c>
      <c r="O323" t="n">
        <v>557535.2897637277</v>
      </c>
      <c r="P323" t="n">
        <v>162641.2194396111</v>
      </c>
      <c r="Q323">
        <f>'_live'!$C$24</f>
        <v/>
      </c>
      <c r="R323" t="inlineStr">
        <is>
          <t>shuffled: 0 of 200</t>
        </is>
      </c>
      <c r="S323" t="inlineStr">
        <is>
          <t>shuffled: 8 of 200</t>
        </is>
      </c>
      <c r="T323" t="n">
        <v>0.1717532043519439</v>
      </c>
      <c r="U323" t="n">
        <v>0.1425847045356608</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H323" t="n">
        <v>0.1305713552963303</v>
      </c>
      <c r="AI323">
        <f>IF($Y323="worse","Yes",IF($Y323="worse, not significant","Not sure",IF(OR($Y323="too few losses to test",$Y323="too few loans to test"),"Too few losses",IF($Y323="","","No"))))</f>
        <v/>
      </c>
      <c r="AJ323">
        <f>IF($AA323="yes","Yes",IF($AA323="","","No"))</f>
        <v/>
      </c>
      <c r="AK323" t="n">
        <v>0.006218905472636815</v>
      </c>
      <c r="AL323" t="n">
        <v>0.08651568206680262</v>
      </c>
      <c r="AM323">
        <f>IF(AND(ISNUMBER($AC323),ISNUMBER(IF($V323,IF($AL323="","",$AL323),IF($AK323="","",$AK323)))),IF(AND(ABS($AC323-significance_bar)&lt;=2.0*IF($V323,IF($AL323="","",$AL323),IF($AK323="","",$AK323)),OR($Y323="worse",$Y323="better",$Y323="worse, not significant",$Y323="better, not significant",AND(profit_kind="test",$Y323="in line",ISNUMBER($AB323),$AB323&lt;&gt;0))),IF(ROUND($AC323,3)=ROUND(significance_bar,3),TEXT($AC323,"0.0000"),TEXT($AC323,"0.000")),""),"")</f>
        <v/>
      </c>
      <c r="AN323">
        <f>IF(AND(ISNUMBER($AC323),ISNUMBER(IF($V323,IF($AL323="","",$AL323),IF($AK323="","",$AK323)))),IF(AND(ABS($AC323-significance_bar)&lt;=2.0*IF($V323,IF($AL323="","",$AL323),IF($AK323="","",$AK323)),OR($Y323="worse",$Y323="worse, not significant",AND(profit_kind="test",$Y323="in line",ISNUMBER($AB323),$AB323&lt;0))),IF(ROUND($AC323,3)=ROUND(significance_bar,3),TEXT($AC323,"0.0000"),TEXT($AC323,"0.000")),""),"")</f>
        <v/>
      </c>
      <c r="AO323">
        <f>IF(OR($AI323="",$AN323=""),$AI323,$AI323&amp;" · borderline (p "&amp;$AN323&amp;")")</f>
        <v/>
      </c>
    </row>
    <row r="324">
      <c r="A324" t="inlineStr">
        <is>
          <t>grids</t>
        </is>
      </c>
      <c r="B324" t="inlineStr">
        <is>
          <t>REV_DEBT x ASSET_CLASS</t>
        </is>
      </c>
      <c r="C324" t="inlineStr">
        <is>
          <t>6,559 - 9,836</t>
        </is>
      </c>
      <c r="D324" t="inlineStr">
        <is>
          <t>4</t>
        </is>
      </c>
      <c r="E324" t="inlineStr">
        <is>
          <t>outcome_loans</t>
        </is>
      </c>
      <c r="F324" t="inlineStr">
        <is>
          <t>Outcome, share of loans</t>
        </is>
      </c>
      <c r="G324" t="n">
        <v>400</v>
      </c>
      <c r="H324" t="n">
        <v>400</v>
      </c>
      <c r="I324" t="b">
        <v>0</v>
      </c>
      <c r="J324" t="b">
        <v>0</v>
      </c>
      <c r="K324" t="n">
        <v>0.733125</v>
      </c>
      <c r="L324" t="n">
        <v>0.172019474540216</v>
      </c>
      <c r="M324" t="n">
        <v>1.725</v>
      </c>
      <c r="N324" t="n">
        <v>0.1490486797529718</v>
      </c>
      <c r="O324" t="n">
        <v>-8.372549019607842</v>
      </c>
      <c r="P324" t="n">
        <v>9.666666666666666</v>
      </c>
      <c r="Q324">
        <f>'_live'!$C$20</f>
        <v/>
      </c>
      <c r="R324" t="inlineStr">
        <is>
          <t>z test</t>
        </is>
      </c>
      <c r="S324" t="inlineStr">
        <is>
          <t>z test</t>
        </is>
      </c>
      <c r="T324" t="n">
        <v>0.07843137254901961</v>
      </c>
      <c r="U324" t="n">
        <v>0.03333333333333333</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0.0575</v>
      </c>
      <c r="AI324">
        <f>IF($Y324="worse","Yes",IF($Y324="worse, not significant","Not sure",IF(OR($Y324="too few losses to test",$Y324="too few loans to test"),"Too few losses",IF($Y324="","","No"))))</f>
        <v/>
      </c>
      <c r="AJ324">
        <f>IF($AA324="yes","Yes",IF($AA324="","","No"))</f>
        <v/>
      </c>
      <c r="AM324">
        <f>IF(AND(ISNUMBER($AC324),ISNUMBER(IF($V324,IF($AL324="","",$AL324),IF($AK324="","",$AK324)))),IF(AND(ABS($AC324-significance_bar)&lt;=2.0*IF($V324,IF($AL324="","",$AL324),IF($AK324="","",$AK324)),OR($Y324="worse",$Y324="better",$Y324="worse, not significant",$Y324="better, not significant")),IF(ROUND($AC324,3)=ROUND(significance_bar,3),TEXT($AC324,"0.0000"),TEXT($AC324,"0.000")),""),"")</f>
        <v/>
      </c>
      <c r="AN324">
        <f>IF(AND(ISNUMBER($AC324),ISNUMBER(IF($V324,IF($AL324="","",$AL324),IF($AK324="","",$AK324)))),IF(AND(ABS($AC324-significance_bar)&lt;=2.0*IF($V324,IF($AL324="","",$AL324),IF($AK324="","",$AK324)),OR($Y324="worse",$Y324="worse, not significant")),IF(ROUND($AC324,3)=ROUND(significance_bar,3),TEXT($AC324,"0.0000"),TEXT($AC324,"0.000")),""),"")</f>
        <v/>
      </c>
      <c r="AO324">
        <f>IF(OR($AI324="",$AN324=""),$AI324,$AI324&amp;" · borderline (p "&amp;$AN324&amp;")")</f>
        <v/>
      </c>
    </row>
    <row r="325">
      <c r="A325" t="inlineStr">
        <is>
          <t>grids</t>
        </is>
      </c>
      <c r="B325" t="inlineStr">
        <is>
          <t>REV_DEBT x ASSET_CLASS</t>
        </is>
      </c>
      <c r="C325" t="inlineStr">
        <is>
          <t>6,559 - 9,836</t>
        </is>
      </c>
      <c r="D325" t="inlineStr">
        <is>
          <t>4</t>
        </is>
      </c>
      <c r="E325" t="inlineStr">
        <is>
          <t>outcome_booked</t>
        </is>
      </c>
      <c r="F325" t="inlineStr">
        <is>
          <t>Outcome, share of booked dollars</t>
        </is>
      </c>
      <c r="G325" t="n">
        <v>400</v>
      </c>
      <c r="H325" t="n">
        <v>12794057.04999999</v>
      </c>
      <c r="I325" t="b">
        <v>0</v>
      </c>
      <c r="J325" t="b">
        <v>0</v>
      </c>
      <c r="K325" t="n">
        <v>0.722444967908228</v>
      </c>
      <c r="L325" t="n">
        <v>0.2295664534470505</v>
      </c>
      <c r="M325" t="n">
        <v>1.646041921921599</v>
      </c>
      <c r="N325" t="n">
        <v>0.2457711442786069</v>
      </c>
      <c r="O325" t="n">
        <v>-269429.3351876667</v>
      </c>
      <c r="P325" t="n">
        <v>275245.5796336469</v>
      </c>
      <c r="Q325">
        <f>'_live'!$C$21</f>
        <v/>
      </c>
      <c r="R325" t="inlineStr">
        <is>
          <t>shuffled: 33 of 200</t>
        </is>
      </c>
      <c r="S325" t="inlineStr">
        <is>
          <t>shuffled: 10 of 200</t>
        </is>
      </c>
      <c r="T325" t="n">
        <v>0.07587304100599328</v>
      </c>
      <c r="U325" t="n">
        <v>0.03330054717603072</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0.05481409667467448</v>
      </c>
      <c r="AI325">
        <f>IF($Y325="worse","Yes",IF($Y325="worse, not significant","Not sure",IF(OR($Y325="too few losses to test",$Y325="too few loans to test"),"Too few losses",IF($Y325="","","No"))))</f>
        <v/>
      </c>
      <c r="AJ325">
        <f>IF($AA325="yes","Yes",IF($AA325="","","No"))</f>
        <v/>
      </c>
      <c r="AK325" t="n">
        <v>0.03597594446203087</v>
      </c>
      <c r="AL325" t="n">
        <v>0.06608808110766609</v>
      </c>
      <c r="AM325">
        <f>IF(AND(ISNUMBER($AC325),ISNUMBER(IF($V325,IF($AL325="","",$AL325),IF($AK325="","",$AK325)))),IF(AND(ABS($AC325-significance_bar)&lt;=2.0*IF($V325,IF($AL325="","",$AL325),IF($AK325="","",$AK325)),OR($Y325="worse",$Y325="better",$Y325="worse, not significant",$Y325="better, not significant")),IF(ROUND($AC325,3)=ROUND(significance_bar,3),TEXT($AC325,"0.0000"),TEXT($AC325,"0.000")),""),"")</f>
        <v/>
      </c>
      <c r="AN325">
        <f>IF(AND(ISNUMBER($AC325),ISNUMBER(IF($V325,IF($AL325="","",$AL325),IF($AK325="","",$AK325)))),IF(AND(ABS($AC325-significance_bar)&lt;=2.0*IF($V325,IF($AL325="","",$AL325),IF($AK325="","",$AK325)),OR($Y325="worse",$Y325="worse, not significant")),IF(ROUND($AC325,3)=ROUND(significance_bar,3),TEXT($AC325,"0.0000"),TEXT($AC325,"0.000")),""),"")</f>
        <v/>
      </c>
      <c r="AO325">
        <f>IF(OR($AI325="",$AN325=""),$AI325,$AI325&amp;" · borderline (p "&amp;$AN325&amp;")")</f>
        <v/>
      </c>
    </row>
    <row r="326">
      <c r="A326" t="inlineStr">
        <is>
          <t>grids</t>
        </is>
      </c>
      <c r="B326" t="inlineStr">
        <is>
          <t>REV_DEBT x ASSET_CLASS</t>
        </is>
      </c>
      <c r="C326" t="inlineStr">
        <is>
          <t>6,559 - 9,836</t>
        </is>
      </c>
      <c r="D326" t="inlineStr">
        <is>
          <t>4</t>
        </is>
      </c>
      <c r="E326" t="inlineStr">
        <is>
          <t>gco_rate</t>
        </is>
      </c>
      <c r="F326" t="inlineStr">
        <is>
          <t>GCO per booked dollar</t>
        </is>
      </c>
      <c r="G326" t="n">
        <v>400</v>
      </c>
      <c r="H326" t="n">
        <v>12794057.04999999</v>
      </c>
      <c r="I326" t="b">
        <v>0</v>
      </c>
      <c r="J326" t="b">
        <v>0</v>
      </c>
      <c r="K326" t="n">
        <v>0.8143907198748369</v>
      </c>
      <c r="L326" t="n">
        <v>0.5230514096185738</v>
      </c>
      <c r="M326" t="n">
        <v>1.895871984797198</v>
      </c>
      <c r="N326" t="n">
        <v>0.1260364842454395</v>
      </c>
      <c r="O326" t="n">
        <v>-99717.56829122413</v>
      </c>
      <c r="P326" t="n">
        <v>206748.2088674322</v>
      </c>
      <c r="Q326">
        <f>'_live'!$C$22</f>
        <v/>
      </c>
      <c r="R326" t="inlineStr">
        <is>
          <t>shuffled: 82 of 200</t>
        </is>
      </c>
      <c r="S326" t="inlineStr">
        <is>
          <t>shuffled: 3 of 200</t>
        </is>
      </c>
      <c r="T326" t="n">
        <v>0.04199172445391155</v>
      </c>
      <c r="U326" t="n">
        <v>0.01803796405086125</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0.03419767070680682</v>
      </c>
      <c r="AI326">
        <f>IF($Y326="worse","Yes",IF($Y326="worse, not significant","Not sure",IF(OR($Y326="too few losses to test",$Y326="too few loans to test"),"Too few losses",IF($Y326="","","No"))))</f>
        <v/>
      </c>
      <c r="AJ326">
        <f>IF($AA326="yes","Yes",IF($AA326="","","No"))</f>
        <v/>
      </c>
      <c r="AK326" t="n">
        <v>0.04409926350931969</v>
      </c>
      <c r="AL326" t="n">
        <v>0.06254381949988473</v>
      </c>
      <c r="AM326">
        <f>IF(AND(ISNUMBER($AC326),ISNUMBER(IF($V326,IF($AL326="","",$AL326),IF($AK326="","",$AK326)))),IF(AND(ABS($AC326-significance_bar)&lt;=2.0*IF($V326,IF($AL326="","",$AL326),IF($AK326="","",$AK326)),OR($Y326="worse",$Y326="better",$Y326="worse, not significant",$Y326="better, not significant")),IF(ROUND($AC326,3)=ROUND(significance_bar,3),TEXT($AC326,"0.0000"),TEXT($AC326,"0.000")),""),"")</f>
        <v/>
      </c>
      <c r="AN326">
        <f>IF(AND(ISNUMBER($AC326),ISNUMBER(IF($V326,IF($AL326="","",$AL326),IF($AK326="","",$AK326)))),IF(AND(ABS($AC326-significance_bar)&lt;=2.0*IF($V326,IF($AL326="","",$AL326),IF($AK326="","",$AK326)),OR($Y326="worse",$Y326="worse, not significant")),IF(ROUND($AC326,3)=ROUND(significance_bar,3),TEXT($AC326,"0.0000"),TEXT($AC326,"0.000")),""),"")</f>
        <v/>
      </c>
      <c r="AO326">
        <f>IF(OR($AI326="",$AN326=""),$AI326,$AI326&amp;" · borderline (p "&amp;$AN326&amp;")")</f>
        <v/>
      </c>
    </row>
    <row r="327">
      <c r="A327" t="inlineStr">
        <is>
          <t>grids</t>
        </is>
      </c>
      <c r="B327" t="inlineStr">
        <is>
          <t>REV_DEBT x ASSET_CLASS</t>
        </is>
      </c>
      <c r="C327" t="inlineStr">
        <is>
          <t>6,559 - 9,836</t>
        </is>
      </c>
      <c r="D327" t="inlineStr">
        <is>
          <t>4</t>
        </is>
      </c>
      <c r="E327" t="inlineStr">
        <is>
          <t>ranr_rate</t>
        </is>
      </c>
      <c r="F327" t="inlineStr">
        <is>
          <t>Profit after losses: RANR per booked dollar</t>
        </is>
      </c>
      <c r="G327" t="n">
        <v>400</v>
      </c>
      <c r="H327" t="n">
        <v>12794057.04999999</v>
      </c>
      <c r="I327" t="b">
        <v>0</v>
      </c>
      <c r="J327" t="b">
        <v>0</v>
      </c>
      <c r="K327" t="n">
        <v>-0.01431996242487001</v>
      </c>
      <c r="L327" t="n">
        <v>0.2885572139303483</v>
      </c>
      <c r="M327" t="n">
        <v>-0.004001708493257997</v>
      </c>
      <c r="N327" t="n">
        <v>0.812603648424544</v>
      </c>
      <c r="O327" t="n">
        <v>183210.4162176431</v>
      </c>
      <c r="P327" t="n">
        <v>51198.08676021243</v>
      </c>
      <c r="Q327">
        <f>'_live'!$C$23</f>
        <v/>
      </c>
      <c r="R327" t="inlineStr">
        <is>
          <t>shuffled: 28 of 200</t>
        </is>
      </c>
      <c r="S327" t="inlineStr">
        <is>
          <t>shuffled: 137 of 200</t>
        </is>
      </c>
      <c r="T327" t="n">
        <v>0.1286999791999242</v>
      </c>
      <c r="U327" t="n">
        <v>0.1183817252683122</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0.1143800167750542</v>
      </c>
      <c r="AI327">
        <f>IF($Y327="worse","Yes",IF($Y327="worse, not significant","Not sure",IF(OR($Y327="too few losses to test",$Y327="too few loans to test"),"Too few losses",IF($Y327="","","No"))))</f>
        <v/>
      </c>
      <c r="AJ327">
        <f>IF($AA327="yes","Yes",IF($AA327="","","No"))</f>
        <v/>
      </c>
      <c r="AK327" t="n">
        <v>0.04969150642461204</v>
      </c>
      <c r="AL327" t="n">
        <v>0.03482587064676616</v>
      </c>
      <c r="AM327">
        <f>IF(AND(ISNUMBER($AC327),ISNUMBER(IF($V327,IF($AL327="","",$AL327),IF($AK327="","",$AK327)))),IF(AND(ABS($AC327-significance_bar)&lt;=2.0*IF($V327,IF($AL327="","",$AL327),IF($AK327="","",$AK327)),OR($Y327="worse",$Y327="better",$Y327="worse, not significant",$Y327="better, not significant",AND(profit_kind="test",$Y327="in line",ISNUMBER($AB327),$AB327&lt;&gt;0))),IF(ROUND($AC327,3)=ROUND(significance_bar,3),TEXT($AC327,"0.0000"),TEXT($AC327,"0.000")),""),"")</f>
        <v/>
      </c>
      <c r="AN327">
        <f>IF(AND(ISNUMBER($AC327),ISNUMBER(IF($V327,IF($AL327="","",$AL327),IF($AK327="","",$AK327)))),IF(AND(ABS($AC327-significance_bar)&lt;=2.0*IF($V327,IF($AL327="","",$AL327),IF($AK327="","",$AK327)),OR($Y327="worse",$Y327="worse, not significant",AND(profit_kind="test",$Y327="in line",ISNUMBER($AB327),$AB327&lt;0))),IF(ROUND($AC327,3)=ROUND(significance_bar,3),TEXT($AC327,"0.0000"),TEXT($AC327,"0.000")),""),"")</f>
        <v/>
      </c>
      <c r="AO327">
        <f>IF(OR($AI327="",$AN327=""),$AI327,$AI327&amp;" · borderline (p "&amp;$AN327&amp;")")</f>
        <v/>
      </c>
    </row>
    <row r="328">
      <c r="A328" t="inlineStr">
        <is>
          <t>grids</t>
        </is>
      </c>
      <c r="B328" t="inlineStr">
        <is>
          <t>REV_DEBT x ASSET_CLASS</t>
        </is>
      </c>
      <c r="C328" t="inlineStr">
        <is>
          <t>6,559 - 9,836</t>
        </is>
      </c>
      <c r="D328" t="inlineStr">
        <is>
          <t>4</t>
        </is>
      </c>
      <c r="E328" t="inlineStr">
        <is>
          <t>contribution_rate</t>
        </is>
      </c>
      <c r="F328" t="inlineStr">
        <is>
          <t>Contribution before losses per booked dollar</t>
        </is>
      </c>
      <c r="G328" t="n">
        <v>400</v>
      </c>
      <c r="H328" t="n">
        <v>12794057.04999999</v>
      </c>
      <c r="I328" t="b">
        <v>0</v>
      </c>
      <c r="J328" t="b">
        <v>0</v>
      </c>
      <c r="K328" t="n">
        <v>-0.02211112263908036</v>
      </c>
      <c r="L328" t="n">
        <v>0.006218905472636815</v>
      </c>
      <c r="M328" t="n">
        <v>0.01218696193569996</v>
      </c>
      <c r="N328" t="n">
        <v>0.417910447761194</v>
      </c>
      <c r="O328" t="n">
        <v>282890.9644839405</v>
      </c>
      <c r="P328" t="n">
        <v>-155920.6862715238</v>
      </c>
      <c r="Q328">
        <f>'_live'!$C$24</f>
        <v/>
      </c>
      <c r="R328" t="inlineStr">
        <is>
          <t>shuffled: 0 of 200</t>
        </is>
      </c>
      <c r="S328" t="inlineStr">
        <is>
          <t>shuffled: 12 of 200</t>
        </is>
      </c>
      <c r="T328" t="n">
        <v>0.1706888101209413</v>
      </c>
      <c r="U328" t="n">
        <v>0.136390725546161</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0.148577687481861</v>
      </c>
      <c r="AI328">
        <f>IF($Y328="worse","Yes",IF($Y328="worse, not significant","Not sure",IF(OR($Y328="too few losses to test",$Y328="too few loans to test"),"Too few losses",IF($Y328="","","No"))))</f>
        <v/>
      </c>
      <c r="AJ328">
        <f>IF($AA328="yes","Yes",IF($AA328="","","No"))</f>
        <v/>
      </c>
      <c r="AK328" t="n">
        <v>0.006218905472636815</v>
      </c>
      <c r="AL328" t="n">
        <v>0.08651568206680262</v>
      </c>
      <c r="AM328">
        <f>IF(AND(ISNUMBER($AC328),ISNUMBER(IF($V328,IF($AL328="","",$AL328),IF($AK328="","",$AK328)))),IF(AND(ABS($AC328-significance_bar)&lt;=2.0*IF($V328,IF($AL328="","",$AL328),IF($AK328="","",$AK328)),OR($Y328="worse",$Y328="better",$Y328="worse, not significant",$Y328="better, not significant",AND(profit_kind="test",$Y328="in line",ISNUMBER($AB328),$AB328&lt;&gt;0))),IF(ROUND($AC328,3)=ROUND(significance_bar,3),TEXT($AC328,"0.0000"),TEXT($AC328,"0.000")),""),"")</f>
        <v/>
      </c>
      <c r="AN328">
        <f>IF(AND(ISNUMBER($AC328),ISNUMBER(IF($V328,IF($AL328="","",$AL328),IF($AK328="","",$AK328)))),IF(AND(ABS($AC328-significance_bar)&lt;=2.0*IF($V328,IF($AL328="","",$AL328),IF($AK328="","",$AK328)),OR($Y328="worse",$Y328="worse, not significant",AND(profit_kind="test",$Y328="in line",ISNUMBER($AB328),$AB328&lt;0))),IF(ROUND($AC328,3)=ROUND(significance_bar,3),TEXT($AC328,"0.0000"),TEXT($AC328,"0.000")),""),"")</f>
        <v/>
      </c>
      <c r="AO328">
        <f>IF(OR($AI328="",$AN328=""),$AI328,$AI328&amp;" · borderline (p "&amp;$AN328&amp;")")</f>
        <v/>
      </c>
    </row>
    <row r="329">
      <c r="A329" t="inlineStr">
        <is>
          <t>grids</t>
        </is>
      </c>
      <c r="B329" t="inlineStr">
        <is>
          <t>REV_DEBT x ASSET_CLASS</t>
        </is>
      </c>
      <c r="C329" t="inlineStr">
        <is>
          <t>0 - 6,558</t>
        </is>
      </c>
      <c r="D329" t="inlineStr">
        <is>
          <t>1</t>
        </is>
      </c>
      <c r="E329" t="inlineStr">
        <is>
          <t>outcome_loans</t>
        </is>
      </c>
      <c r="F329" t="inlineStr">
        <is>
          <t>Outcome, share of loans</t>
        </is>
      </c>
      <c r="G329" t="n">
        <v>396</v>
      </c>
      <c r="H329" t="n">
        <v>396</v>
      </c>
      <c r="I329" t="b">
        <v>0</v>
      </c>
      <c r="J329" t="b">
        <v>0</v>
      </c>
      <c r="K329" t="n">
        <v>0.5094393353099822</v>
      </c>
      <c r="L329" t="n">
        <v>0.01123119305146805</v>
      </c>
      <c r="M329" t="n">
        <v>0.9936095650381365</v>
      </c>
      <c r="N329" t="n">
        <v>0.9818646220673131</v>
      </c>
      <c r="O329" t="n">
        <v>-15.40707615414967</v>
      </c>
      <c r="P329" t="n">
        <v>-0.1029045643153523</v>
      </c>
      <c r="Q329">
        <f>'_live'!$C$20</f>
        <v/>
      </c>
      <c r="R329" t="inlineStr">
        <is>
          <t>z test</t>
        </is>
      </c>
      <c r="S329" t="inlineStr">
        <is>
          <t>z test</t>
        </is>
      </c>
      <c r="T329" t="n">
        <v>0.07931079836906484</v>
      </c>
      <c r="U329" t="n">
        <v>0.04066390041493776</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0.04040404040404041</v>
      </c>
      <c r="AI329">
        <f>IF($Y329="worse","Yes",IF($Y329="worse, not significant","Not sure",IF(OR($Y329="too few losses to test",$Y329="too few loans to test"),"Too few losses",IF($Y329="","","No"))))</f>
        <v/>
      </c>
      <c r="AJ329">
        <f>IF($AA329="yes","Yes",IF($AA329="","","No"))</f>
        <v/>
      </c>
      <c r="AM329">
        <f>IF(AND(ISNUMBER($AC329),ISNUMBER(IF($V329,IF($AL329="","",$AL329),IF($AK329="","",$AK329)))),IF(AND(ABS($AC329-significance_bar)&lt;=2.0*IF($V329,IF($AL329="","",$AL329),IF($AK329="","",$AK329)),OR($Y329="worse",$Y329="better",$Y329="worse, not significant",$Y329="better, not significant")),IF(ROUND($AC329,3)=ROUND(significance_bar,3),TEXT($AC329,"0.0000"),TEXT($AC329,"0.000")),""),"")</f>
        <v/>
      </c>
      <c r="AN329">
        <f>IF(AND(ISNUMBER($AC329),ISNUMBER(IF($V329,IF($AL329="","",$AL329),IF($AK329="","",$AK329)))),IF(AND(ABS($AC329-significance_bar)&lt;=2.0*IF($V329,IF($AL329="","",$AL329),IF($AK329="","",$AK329)),OR($Y329="worse",$Y329="worse, not significant")),IF(ROUND($AC329,3)=ROUND(significance_bar,3),TEXT($AC329,"0.0000"),TEXT($AC329,"0.000")),""),"")</f>
        <v/>
      </c>
      <c r="AO329">
        <f>IF(OR($AI329="",$AN329=""),$AI329,$AI329&amp;" · borderline (p "&amp;$AN329&amp;")")</f>
        <v/>
      </c>
    </row>
    <row r="330">
      <c r="A330" t="inlineStr">
        <is>
          <t>grids</t>
        </is>
      </c>
      <c r="B330" t="inlineStr">
        <is>
          <t>REV_DEBT x ASSET_CLASS</t>
        </is>
      </c>
      <c r="C330" t="inlineStr">
        <is>
          <t>0 - 6,558</t>
        </is>
      </c>
      <c r="D330" t="inlineStr">
        <is>
          <t>1</t>
        </is>
      </c>
      <c r="E330" t="inlineStr">
        <is>
          <t>outcome_booked</t>
        </is>
      </c>
      <c r="F330" t="inlineStr">
        <is>
          <t>Outcome, share of booked dollars</t>
        </is>
      </c>
      <c r="G330" t="n">
        <v>396</v>
      </c>
      <c r="H330" t="n">
        <v>12457487.44</v>
      </c>
      <c r="I330" t="b">
        <v>0</v>
      </c>
      <c r="J330" t="b">
        <v>0</v>
      </c>
      <c r="K330" t="n">
        <v>0.535362205638189</v>
      </c>
      <c r="L330" t="n">
        <v>0.0236318407960199</v>
      </c>
      <c r="M330" t="n">
        <v>1.132579378449637</v>
      </c>
      <c r="N330" t="n">
        <v>0.8389303482587065</v>
      </c>
      <c r="O330" t="n">
        <v>-443064.8451896303</v>
      </c>
      <c r="P330" t="n">
        <v>59759.61579552956</v>
      </c>
      <c r="Q330">
        <f>'_live'!$C$21</f>
        <v/>
      </c>
      <c r="R330" t="inlineStr">
        <is>
          <t>shuffled: 1 of 200</t>
        </is>
      </c>
      <c r="S330" t="inlineStr">
        <is>
          <t>shuffled: 141 of 200</t>
        </is>
      </c>
      <c r="T330" t="n">
        <v>0.07654596480890612</v>
      </c>
      <c r="U330" t="n">
        <v>0.03618273238286887</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0.04097981655279918</v>
      </c>
      <c r="AI330">
        <f>IF($Y330="worse","Yes",IF($Y330="worse, not significant","Not sure",IF(OR($Y330="too few losses to test",$Y330="too few loans to test"),"Too few losses",IF($Y330="","","No"))))</f>
        <v/>
      </c>
      <c r="AJ330">
        <f>IF($AA330="yes","Yes",IF($AA330="","","No"))</f>
        <v/>
      </c>
      <c r="AK330" t="n">
        <v>0.0166684069411475</v>
      </c>
      <c r="AL330" t="n">
        <v>0.03823778624134375</v>
      </c>
      <c r="AM330">
        <f>IF(AND(ISNUMBER($AC330),ISNUMBER(IF($V330,IF($AL330="","",$AL330),IF($AK330="","",$AK330)))),IF(AND(ABS($AC330-significance_bar)&lt;=2.0*IF($V330,IF($AL330="","",$AL330),IF($AK330="","",$AK330)),OR($Y330="worse",$Y330="better",$Y330="worse, not significant",$Y330="better, not significant")),IF(ROUND($AC330,3)=ROUND(significance_bar,3),TEXT($AC330,"0.0000"),TEXT($AC330,"0.000")),""),"")</f>
        <v/>
      </c>
      <c r="AN330">
        <f>IF(AND(ISNUMBER($AC330),ISNUMBER(IF($V330,IF($AL330="","",$AL330),IF($AK330="","",$AK330)))),IF(AND(ABS($AC330-significance_bar)&lt;=2.0*IF($V330,IF($AL330="","",$AL330),IF($AK330="","",$AK330)),OR($Y330="worse",$Y330="worse, not significant")),IF(ROUND($AC330,3)=ROUND(significance_bar,3),TEXT($AC330,"0.0000"),TEXT($AC330,"0.000")),""),"")</f>
        <v/>
      </c>
      <c r="AO330">
        <f>IF(OR($AI330="",$AN330=""),$AI330,$AI330&amp;" · borderline (p "&amp;$AN330&amp;")")</f>
        <v/>
      </c>
    </row>
    <row r="331">
      <c r="A331" t="inlineStr">
        <is>
          <t>grids</t>
        </is>
      </c>
      <c r="B331" t="inlineStr">
        <is>
          <t>REV_DEBT x ASSET_CLASS</t>
        </is>
      </c>
      <c r="C331" t="inlineStr">
        <is>
          <t>0 - 6,558</t>
        </is>
      </c>
      <c r="D331" t="inlineStr">
        <is>
          <t>1</t>
        </is>
      </c>
      <c r="E331" t="inlineStr">
        <is>
          <t>gco_rate</t>
        </is>
      </c>
      <c r="F331" t="inlineStr">
        <is>
          <t>GCO per booked dollar</t>
        </is>
      </c>
      <c r="G331" t="n">
        <v>396</v>
      </c>
      <c r="H331" t="n">
        <v>12457487.44</v>
      </c>
      <c r="I331" t="b">
        <v>0</v>
      </c>
      <c r="J331" t="b">
        <v>0</v>
      </c>
      <c r="K331" t="n">
        <v>0.4714901123296011</v>
      </c>
      <c r="L331" t="n">
        <v>0.01350390902629709</v>
      </c>
      <c r="M331" t="n">
        <v>1.038533227129897</v>
      </c>
      <c r="N331" t="n">
        <v>0.9872857932559425</v>
      </c>
      <c r="O331" t="n">
        <v>-281097.6616406385</v>
      </c>
      <c r="P331" t="n">
        <v>9304.471115157852</v>
      </c>
      <c r="Q331">
        <f>'_live'!$C$22</f>
        <v/>
      </c>
      <c r="R331" t="inlineStr">
        <is>
          <t>shuffled: 0 of 200</t>
        </is>
      </c>
      <c r="S331" t="inlineStr">
        <is>
          <t>shuffled: 171 of 200</t>
        </is>
      </c>
      <c r="T331" t="n">
        <v>0.04269466970786193</v>
      </c>
      <c r="U331" t="n">
        <v>0.01938321672390481</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0.02013011461643504</v>
      </c>
      <c r="AI331">
        <f>IF($Y331="worse","Yes",IF($Y331="worse, not significant","Not sure",IF(OR($Y331="too few losses to test",$Y331="too few loans to test"),"Too few losses",IF($Y331="","","No"))))</f>
        <v/>
      </c>
      <c r="AJ331">
        <f>IF($AA331="yes","Yes",IF($AA331="","","No"))</f>
        <v/>
      </c>
      <c r="AK331" t="n">
        <v>0.01350390902629709</v>
      </c>
      <c r="AL331" t="n">
        <v>0.01835780030768503</v>
      </c>
      <c r="AM331">
        <f>IF(AND(ISNUMBER($AC331),ISNUMBER(IF($V331,IF($AL331="","",$AL331),IF($AK331="","",$AK331)))),IF(AND(ABS($AC331-significance_bar)&lt;=2.0*IF($V331,IF($AL331="","",$AL331),IF($AK331="","",$AK331)),OR($Y331="worse",$Y331="better",$Y331="worse, not significant",$Y331="better, not significant")),IF(ROUND($AC331,3)=ROUND(significance_bar,3),TEXT($AC331,"0.0000"),TEXT($AC331,"0.000")),""),"")</f>
        <v/>
      </c>
      <c r="AN331">
        <f>IF(AND(ISNUMBER($AC331),ISNUMBER(IF($V331,IF($AL331="","",$AL331),IF($AK331="","",$AK331)))),IF(AND(ABS($AC331-significance_bar)&lt;=2.0*IF($V331,IF($AL331="","",$AL331),IF($AK331="","",$AK331)),OR($Y331="worse",$Y331="worse, not significant")),IF(ROUND($AC331,3)=ROUND(significance_bar,3),TEXT($AC331,"0.0000"),TEXT($AC331,"0.000")),""),"")</f>
        <v/>
      </c>
      <c r="AO331">
        <f>IF(OR($AI331="",$AN331=""),$AI331,$AI331&amp;" · borderline (p "&amp;$AN331&amp;")")</f>
        <v/>
      </c>
    </row>
    <row r="332">
      <c r="A332" t="inlineStr">
        <is>
          <t>grids</t>
        </is>
      </c>
      <c r="B332" t="inlineStr">
        <is>
          <t>REV_DEBT x ASSET_CLASS</t>
        </is>
      </c>
      <c r="C332" t="inlineStr">
        <is>
          <t>0 - 6,558</t>
        </is>
      </c>
      <c r="D332" t="inlineStr">
        <is>
          <t>1</t>
        </is>
      </c>
      <c r="E332" t="inlineStr">
        <is>
          <t>ranr_rate</t>
        </is>
      </c>
      <c r="F332" t="inlineStr">
        <is>
          <t>Profit after losses: RANR per booked dollar</t>
        </is>
      </c>
      <c r="G332" t="n">
        <v>396</v>
      </c>
      <c r="H332" t="n">
        <v>12457487.44</v>
      </c>
      <c r="I332" t="b">
        <v>0</v>
      </c>
      <c r="J332" t="b">
        <v>0</v>
      </c>
      <c r="K332" t="n">
        <v>-0.02575030703834259</v>
      </c>
      <c r="L332" t="n">
        <v>0.06633499170812603</v>
      </c>
      <c r="M332" t="n">
        <v>-0.003863061045919658</v>
      </c>
      <c r="N332" t="n">
        <v>0.812603648424544</v>
      </c>
      <c r="O332" t="n">
        <v>320784.1265062965</v>
      </c>
      <c r="P332" t="n">
        <v>48124.03445949731</v>
      </c>
      <c r="Q332">
        <f>'_live'!$C$23</f>
        <v/>
      </c>
      <c r="R332" t="inlineStr">
        <is>
          <t>shuffled: 3 of 200</t>
        </is>
      </c>
      <c r="S332" t="inlineStr">
        <is>
          <t>shuffled: 133 of 200</t>
        </is>
      </c>
      <c r="T332" t="n">
        <v>0.1292330692092029</v>
      </c>
      <c r="U332" t="n">
        <v>0.1073458232167799</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0.1034827621708603</v>
      </c>
      <c r="AI332">
        <f>IF($Y332="worse","Yes",IF($Y332="worse, not significant","Not sure",IF(OR($Y332="too few losses to test",$Y332="too few loans to test"),"Too few losses",IF($Y332="","","No"))))</f>
        <v/>
      </c>
      <c r="AJ332">
        <f>IF($AA332="yes","Yes",IF($AA332="","","No"))</f>
        <v/>
      </c>
      <c r="AK332" t="n">
        <v>0.03291779973678144</v>
      </c>
      <c r="AL332" t="n">
        <v>0.03482587064676616</v>
      </c>
      <c r="AM332">
        <f>IF(AND(ISNUMBER($AC332),ISNUMBER(IF($V332,IF($AL332="","",$AL332),IF($AK332="","",$AK332)))),IF(AND(ABS($AC332-significance_bar)&lt;=2.0*IF($V332,IF($AL332="","",$AL332),IF($AK332="","",$AK332)),OR($Y332="worse",$Y332="better",$Y332="worse, not significant",$Y332="better, not significant",AND(profit_kind="test",$Y332="in line",ISNUMBER($AB332),$AB332&lt;&gt;0))),IF(ROUND($AC332,3)=ROUND(significance_bar,3),TEXT($AC332,"0.0000"),TEXT($AC332,"0.000")),""),"")</f>
        <v/>
      </c>
      <c r="AN332">
        <f>IF(AND(ISNUMBER($AC332),ISNUMBER(IF($V332,IF($AL332="","",$AL332),IF($AK332="","",$AK332)))),IF(AND(ABS($AC332-significance_bar)&lt;=2.0*IF($V332,IF($AL332="","",$AL332),IF($AK332="","",$AK332)),OR($Y332="worse",$Y332="worse, not significant",AND(profit_kind="test",$Y332="in line",ISNUMBER($AB332),$AB332&lt;0))),IF(ROUND($AC332,3)=ROUND(significance_bar,3),TEXT($AC332,"0.0000"),TEXT($AC332,"0.000")),""),"")</f>
        <v/>
      </c>
      <c r="AO332">
        <f>IF(OR($AI332="",$AN332=""),$AI332,$AI332&amp;" · borderline (p "&amp;$AN332&amp;")")</f>
        <v/>
      </c>
    </row>
    <row r="333">
      <c r="A333" t="inlineStr">
        <is>
          <t>grids</t>
        </is>
      </c>
      <c r="B333" t="inlineStr">
        <is>
          <t>REV_DEBT x ASSET_CLASS</t>
        </is>
      </c>
      <c r="C333" t="inlineStr">
        <is>
          <t>0 - 6,558</t>
        </is>
      </c>
      <c r="D333" t="inlineStr">
        <is>
          <t>1</t>
        </is>
      </c>
      <c r="E333" t="inlineStr">
        <is>
          <t>contribution_rate</t>
        </is>
      </c>
      <c r="F333" t="inlineStr">
        <is>
          <t>Contribution before losses per booked dollar</t>
        </is>
      </c>
      <c r="G333" t="n">
        <v>396</v>
      </c>
      <c r="H333" t="n">
        <v>12457487.44</v>
      </c>
      <c r="I333" t="b">
        <v>0</v>
      </c>
      <c r="J333" t="b">
        <v>0</v>
      </c>
      <c r="K333" t="n">
        <v>-0.04831205871021776</v>
      </c>
      <c r="L333" t="n">
        <v>0.006218905472636815</v>
      </c>
      <c r="M333" t="n">
        <v>-0.003116163153389417</v>
      </c>
      <c r="N333" t="n">
        <v>0.8135791630084869</v>
      </c>
      <c r="O333" t="n">
        <v>601846.8645830804</v>
      </c>
      <c r="P333" t="n">
        <v>38819.56334433961</v>
      </c>
      <c r="Q333">
        <f>'_live'!$C$24</f>
        <v/>
      </c>
      <c r="R333" t="inlineStr">
        <is>
          <t>shuffled: 0 of 200</t>
        </is>
      </c>
      <c r="S333" t="inlineStr">
        <is>
          <t>shuffled: 125 of 200</t>
        </is>
      </c>
      <c r="T333" t="n">
        <v>0.171924935497513</v>
      </c>
      <c r="U333" t="n">
        <v>0.1267290399406847</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0.1236128767872953</v>
      </c>
      <c r="AI333">
        <f>IF($Y333="worse","Yes",IF($Y333="worse, not significant","Not sure",IF(OR($Y333="too few losses to test",$Y333="too few loans to test"),"Too few losses",IF($Y333="","","No"))))</f>
        <v/>
      </c>
      <c r="AJ333">
        <f>IF($AA333="yes","Yes",IF($AA333="","","No"))</f>
        <v/>
      </c>
      <c r="AK333" t="n">
        <v>0.006218905472636815</v>
      </c>
      <c r="AL333" t="n">
        <v>0.0384214069236788</v>
      </c>
      <c r="AM333">
        <f>IF(AND(ISNUMBER($AC333),ISNUMBER(IF($V333,IF($AL333="","",$AL333),IF($AK333="","",$AK333)))),IF(AND(ABS($AC333-significance_bar)&lt;=2.0*IF($V333,IF($AL333="","",$AL333),IF($AK333="","",$AK333)),OR($Y333="worse",$Y333="better",$Y333="worse, not significant",$Y333="better, not significant",AND(profit_kind="test",$Y333="in line",ISNUMBER($AB333),$AB333&lt;&gt;0))),IF(ROUND($AC333,3)=ROUND(significance_bar,3),TEXT($AC333,"0.0000"),TEXT($AC333,"0.000")),""),"")</f>
        <v/>
      </c>
      <c r="AN333">
        <f>IF(AND(ISNUMBER($AC333),ISNUMBER(IF($V333,IF($AL333="","",$AL333),IF($AK333="","",$AK333)))),IF(AND(ABS($AC333-significance_bar)&lt;=2.0*IF($V333,IF($AL333="","",$AL333),IF($AK333="","",$AK333)),OR($Y333="worse",$Y333="worse, not significant",AND(profit_kind="test",$Y333="in line",ISNUMBER($AB333),$AB333&lt;0))),IF(ROUND($AC333,3)=ROUND(significance_bar,3),TEXT($AC333,"0.0000"),TEXT($AC333,"0.000")),""),"")</f>
        <v/>
      </c>
      <c r="AO333">
        <f>IF(OR($AI333="",$AN333=""),$AI333,$AI333&amp;" · borderline (p "&amp;$AN333&amp;")")</f>
        <v/>
      </c>
    </row>
    <row r="334">
      <c r="A334" t="inlineStr">
        <is>
          <t>grids</t>
        </is>
      </c>
      <c r="B334" t="inlineStr">
        <is>
          <t>REV_DEBT x ASSET_CLASS</t>
        </is>
      </c>
      <c r="C334" t="inlineStr">
        <is>
          <t>0 - 6,558</t>
        </is>
      </c>
      <c r="D334" t="inlineStr">
        <is>
          <t>4</t>
        </is>
      </c>
      <c r="E334" t="inlineStr">
        <is>
          <t>outcome_loans</t>
        </is>
      </c>
      <c r="F334" t="inlineStr">
        <is>
          <t>Outcome, share of loans</t>
        </is>
      </c>
      <c r="G334" t="n">
        <v>399</v>
      </c>
      <c r="H334" t="n">
        <v>399</v>
      </c>
      <c r="I334" t="b">
        <v>0</v>
      </c>
      <c r="J334" t="b">
        <v>0</v>
      </c>
      <c r="K334" t="n">
        <v>0.6688963210702341</v>
      </c>
      <c r="L334" t="n">
        <v>0.09126740205764383</v>
      </c>
      <c r="M334" t="n">
        <v>1.437799043062201</v>
      </c>
      <c r="N334" t="n">
        <v>0.3038051245608153</v>
      </c>
      <c r="O334" t="n">
        <v>-10.395</v>
      </c>
      <c r="P334" t="n">
        <v>6.394342762063227</v>
      </c>
      <c r="Q334">
        <f>'_live'!$C$20</f>
        <v/>
      </c>
      <c r="R334" t="inlineStr">
        <is>
          <t>z test</t>
        </is>
      </c>
      <c r="S334" t="inlineStr">
        <is>
          <t>z test</t>
        </is>
      </c>
      <c r="T334" t="n">
        <v>0.07868421052631579</v>
      </c>
      <c r="U334" t="n">
        <v>0.03660565723793677</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0.05263157894736842</v>
      </c>
      <c r="AI334">
        <f>IF($Y334="worse","Yes",IF($Y334="worse, not significant","Not sure",IF(OR($Y334="too few losses to test",$Y334="too few loans to test"),"Too few losses",IF($Y334="","","No"))))</f>
        <v/>
      </c>
      <c r="AJ334">
        <f>IF($AA334="yes","Yes",IF($AA334="","","No"))</f>
        <v/>
      </c>
      <c r="AM334">
        <f>IF(AND(ISNUMBER($AC334),ISNUMBER(IF($V334,IF($AL334="","",$AL334),IF($AK334="","",$AK334)))),IF(AND(ABS($AC334-significance_bar)&lt;=2.0*IF($V334,IF($AL334="","",$AL334),IF($AK334="","",$AK334)),OR($Y334="worse",$Y334="better",$Y334="worse, not significant",$Y334="better, not significant")),IF(ROUND($AC334,3)=ROUND(significance_bar,3),TEXT($AC334,"0.0000"),TEXT($AC334,"0.000")),""),"")</f>
        <v/>
      </c>
      <c r="AN334">
        <f>IF(AND(ISNUMBER($AC334),ISNUMBER(IF($V334,IF($AL334="","",$AL334),IF($AK334="","",$AK334)))),IF(AND(ABS($AC334-significance_bar)&lt;=2.0*IF($V334,IF($AL334="","",$AL334),IF($AK334="","",$AK334)),OR($Y334="worse",$Y334="worse, not significant")),IF(ROUND($AC334,3)=ROUND(significance_bar,3),TEXT($AC334,"0.0000"),TEXT($AC334,"0.000")),""),"")</f>
        <v/>
      </c>
      <c r="AO334">
        <f>IF(OR($AI334="",$AN334=""),$AI334,$AI334&amp;" · borderline (p "&amp;$AN334&amp;")")</f>
        <v/>
      </c>
    </row>
    <row r="335">
      <c r="A335" t="inlineStr">
        <is>
          <t>grids</t>
        </is>
      </c>
      <c r="B335" t="inlineStr">
        <is>
          <t>REV_DEBT x ASSET_CLASS</t>
        </is>
      </c>
      <c r="C335" t="inlineStr">
        <is>
          <t>0 - 6,558</t>
        </is>
      </c>
      <c r="D335" t="inlineStr">
        <is>
          <t>4</t>
        </is>
      </c>
      <c r="E335" t="inlineStr">
        <is>
          <t>outcome_booked</t>
        </is>
      </c>
      <c r="F335" t="inlineStr">
        <is>
          <t>Outcome, share of booked dollars</t>
        </is>
      </c>
      <c r="G335" t="n">
        <v>399</v>
      </c>
      <c r="H335" t="n">
        <v>13197743.57</v>
      </c>
      <c r="I335" t="b">
        <v>0</v>
      </c>
      <c r="J335" t="b">
        <v>0</v>
      </c>
      <c r="K335" t="n">
        <v>0.5948658978363538</v>
      </c>
      <c r="L335" t="n">
        <v>0.1323383084577114</v>
      </c>
      <c r="M335" t="n">
        <v>1.314268326351945</v>
      </c>
      <c r="N335" t="n">
        <v>0.5327905924920849</v>
      </c>
      <c r="O335" t="n">
        <v>-408565.3619061019</v>
      </c>
      <c r="P335" t="n">
        <v>143449.2846043198</v>
      </c>
      <c r="Q335">
        <f>'_live'!$C$21</f>
        <v/>
      </c>
      <c r="R335" t="inlineStr">
        <is>
          <t>shuffled: 13 of 200</t>
        </is>
      </c>
      <c r="S335" t="inlineStr">
        <is>
          <t>shuffled: 61 of 200</t>
        </is>
      </c>
      <c r="T335" t="n">
        <v>0.07641226218385312</v>
      </c>
      <c r="U335" t="n">
        <v>0.03458582089996465</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0.04545504894970465</v>
      </c>
      <c r="AI335">
        <f>IF($Y335="worse","Yes",IF($Y335="worse, not significant","Not sure",IF(OR($Y335="too few losses to test",$Y335="too few loans to test"),"Too few losses",IF($Y335="","","No"))))</f>
        <v/>
      </c>
      <c r="AJ335">
        <f>IF($AA335="yes","Yes",IF($AA335="","","No"))</f>
        <v/>
      </c>
      <c r="AK335" t="n">
        <v>0.0342000992823269</v>
      </c>
      <c r="AL335" t="n">
        <v>0.05640961107431024</v>
      </c>
      <c r="AM335">
        <f>IF(AND(ISNUMBER($AC335),ISNUMBER(IF($V335,IF($AL335="","",$AL335),IF($AK335="","",$AK335)))),IF(AND(ABS($AC335-significance_bar)&lt;=2.0*IF($V335,IF($AL335="","",$AL335),IF($AK335="","",$AK335)),OR($Y335="worse",$Y335="better",$Y335="worse, not significant",$Y335="better, not significant")),IF(ROUND($AC335,3)=ROUND(significance_bar,3),TEXT($AC335,"0.0000"),TEXT($AC335,"0.000")),""),"")</f>
        <v/>
      </c>
      <c r="AN335">
        <f>IF(AND(ISNUMBER($AC335),ISNUMBER(IF($V335,IF($AL335="","",$AL335),IF($AK335="","",$AK335)))),IF(AND(ABS($AC335-significance_bar)&lt;=2.0*IF($V335,IF($AL335="","",$AL335),IF($AK335="","",$AK335)),OR($Y335="worse",$Y335="worse, not significant")),IF(ROUND($AC335,3)=ROUND(significance_bar,3),TEXT($AC335,"0.0000"),TEXT($AC335,"0.000")),""),"")</f>
        <v/>
      </c>
      <c r="AO335">
        <f>IF(OR($AI335="",$AN335=""),$AI335,$AI335&amp;" · borderline (p "&amp;$AN335&amp;")")</f>
        <v/>
      </c>
    </row>
    <row r="336">
      <c r="A336" t="inlineStr">
        <is>
          <t>grids</t>
        </is>
      </c>
      <c r="B336" t="inlineStr">
        <is>
          <t>REV_DEBT x ASSET_CLASS</t>
        </is>
      </c>
      <c r="C336" t="inlineStr">
        <is>
          <t>0 - 6,558</t>
        </is>
      </c>
      <c r="D336" t="inlineStr">
        <is>
          <t>4</t>
        </is>
      </c>
      <c r="E336" t="inlineStr">
        <is>
          <t>gco_rate</t>
        </is>
      </c>
      <c r="F336" t="inlineStr">
        <is>
          <t>GCO per booked dollar</t>
        </is>
      </c>
      <c r="G336" t="n">
        <v>399</v>
      </c>
      <c r="H336" t="n">
        <v>13197743.57</v>
      </c>
      <c r="I336" t="b">
        <v>0</v>
      </c>
      <c r="J336" t="b">
        <v>0</v>
      </c>
      <c r="K336" t="n">
        <v>0.5451381230387952</v>
      </c>
      <c r="L336" t="n">
        <v>0.08507462686567163</v>
      </c>
      <c r="M336" t="n">
        <v>1.266906743237542</v>
      </c>
      <c r="N336" t="n">
        <v>0.6279317697228145</v>
      </c>
      <c r="O336" t="n">
        <v>-255711.9136687996</v>
      </c>
      <c r="P336" t="n">
        <v>64564.36382873758</v>
      </c>
      <c r="Q336">
        <f>'_live'!$C$22</f>
        <v/>
      </c>
      <c r="R336" t="inlineStr">
        <is>
          <t>shuffled: 8 of 200</t>
        </is>
      </c>
      <c r="S336" t="inlineStr">
        <is>
          <t>shuffled: 87 of 200</t>
        </is>
      </c>
      <c r="T336" t="n">
        <v>0.04259628630356845</v>
      </c>
      <c r="U336" t="n">
        <v>0.01832878362033991</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0.02322085956395044</v>
      </c>
      <c r="AI336">
        <f>IF($Y336="worse","Yes",IF($Y336="worse, not significant","Not sure",IF(OR($Y336="too few losses to test",$Y336="too few loans to test"),"Too few losses",IF($Y336="","","No"))))</f>
        <v/>
      </c>
      <c r="AJ336">
        <f>IF($AA336="yes","Yes",IF($AA336="","","No"))</f>
        <v/>
      </c>
      <c r="AK336" t="n">
        <v>0.02778525678380918</v>
      </c>
      <c r="AL336" t="n">
        <v>0.04784844870135109</v>
      </c>
      <c r="AM336">
        <f>IF(AND(ISNUMBER($AC336),ISNUMBER(IF($V336,IF($AL336="","",$AL336),IF($AK336="","",$AK336)))),IF(AND(ABS($AC336-significance_bar)&lt;=2.0*IF($V336,IF($AL336="","",$AL336),IF($AK336="","",$AK336)),OR($Y336="worse",$Y336="better",$Y336="worse, not significant",$Y336="better, not significant")),IF(ROUND($AC336,3)=ROUND(significance_bar,3),TEXT($AC336,"0.0000"),TEXT($AC336,"0.000")),""),"")</f>
        <v/>
      </c>
      <c r="AN336">
        <f>IF(AND(ISNUMBER($AC336),ISNUMBER(IF($V336,IF($AL336="","",$AL336),IF($AK336="","",$AK336)))),IF(AND(ABS($AC336-significance_bar)&lt;=2.0*IF($V336,IF($AL336="","",$AL336),IF($AK336="","",$AK336)),OR($Y336="worse",$Y336="worse, not significant")),IF(ROUND($AC336,3)=ROUND(significance_bar,3),TEXT($AC336,"0.0000"),TEXT($AC336,"0.000")),""),"")</f>
        <v/>
      </c>
      <c r="AO336">
        <f>IF(OR($AI336="",$AN336=""),$AI336,$AI336&amp;" · borderline (p "&amp;$AN336&amp;")")</f>
        <v/>
      </c>
    </row>
    <row r="337">
      <c r="A337" t="inlineStr">
        <is>
          <t>grids</t>
        </is>
      </c>
      <c r="B337" t="inlineStr">
        <is>
          <t>REV_DEBT x ASSET_CLASS</t>
        </is>
      </c>
      <c r="C337" t="inlineStr">
        <is>
          <t>0 - 6,558</t>
        </is>
      </c>
      <c r="D337" t="inlineStr">
        <is>
          <t>4</t>
        </is>
      </c>
      <c r="E337" t="inlineStr">
        <is>
          <t>ranr_rate</t>
        </is>
      </c>
      <c r="F337" t="inlineStr">
        <is>
          <t>Profit after losses: RANR per booked dollar</t>
        </is>
      </c>
      <c r="G337" t="n">
        <v>399</v>
      </c>
      <c r="H337" t="n">
        <v>13197743.57</v>
      </c>
      <c r="I337" t="b">
        <v>0</v>
      </c>
      <c r="J337" t="b">
        <v>0</v>
      </c>
      <c r="K337" t="n">
        <v>-0.02861027417250379</v>
      </c>
      <c r="L337" t="n">
        <v>0.06633499170812603</v>
      </c>
      <c r="M337" t="n">
        <v>-0.007464397916048943</v>
      </c>
      <c r="N337" t="n">
        <v>0.812603648424544</v>
      </c>
      <c r="O337" t="n">
        <v>377591.0619960991</v>
      </c>
      <c r="P337" t="n">
        <v>98513.20960045629</v>
      </c>
      <c r="Q337">
        <f>'_live'!$C$23</f>
        <v/>
      </c>
      <c r="R337" t="inlineStr">
        <is>
          <t>shuffled: 2 of 200</t>
        </is>
      </c>
      <c r="S337" t="inlineStr">
        <is>
          <t>shuffled: 74 of 200</t>
        </is>
      </c>
      <c r="T337" t="n">
        <v>0.1294531927321042</v>
      </c>
      <c r="U337" t="n">
        <v>0.1083073164756494</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0.1008429185596004</v>
      </c>
      <c r="AI337">
        <f>IF($Y337="worse","Yes",IF($Y337="worse, not significant","Not sure",IF(OR($Y337="too few losses to test",$Y337="too few loans to test"),"Too few losses",IF($Y337="","","No"))))</f>
        <v/>
      </c>
      <c r="AJ337">
        <f>IF($AA337="yes","Yes",IF($AA337="","","No"))</f>
        <v/>
      </c>
      <c r="AK337" t="n">
        <v>0.03291779973678144</v>
      </c>
      <c r="AL337" t="n">
        <v>0.03482587064676616</v>
      </c>
      <c r="AM337">
        <f>IF(AND(ISNUMBER($AC337),ISNUMBER(IF($V337,IF($AL337="","",$AL337),IF($AK337="","",$AK337)))),IF(AND(ABS($AC337-significance_bar)&lt;=2.0*IF($V337,IF($AL337="","",$AL337),IF($AK337="","",$AK337)),OR($Y337="worse",$Y337="better",$Y337="worse, not significant",$Y337="better, not significant",AND(profit_kind="test",$Y337="in line",ISNUMBER($AB337),$AB337&lt;&gt;0))),IF(ROUND($AC337,3)=ROUND(significance_bar,3),TEXT($AC337,"0.0000"),TEXT($AC337,"0.000")),""),"")</f>
        <v/>
      </c>
      <c r="AN337">
        <f>IF(AND(ISNUMBER($AC337),ISNUMBER(IF($V337,IF($AL337="","",$AL337),IF($AK337="","",$AK337)))),IF(AND(ABS($AC337-significance_bar)&lt;=2.0*IF($V337,IF($AL337="","",$AL337),IF($AK337="","",$AK337)),OR($Y337="worse",$Y337="worse, not significant",AND(profit_kind="test",$Y337="in line",ISNUMBER($AB337),$AB337&lt;0))),IF(ROUND($AC337,3)=ROUND(significance_bar,3),TEXT($AC337,"0.0000"),TEXT($AC337,"0.000")),""),"")</f>
        <v/>
      </c>
      <c r="AO337">
        <f>IF(OR($AI337="",$AN337=""),$AI337,$AI337&amp;" · borderline (p "&amp;$AN337&amp;")")</f>
        <v/>
      </c>
    </row>
    <row r="338">
      <c r="A338" t="inlineStr">
        <is>
          <t>grids</t>
        </is>
      </c>
      <c r="B338" t="inlineStr">
        <is>
          <t>REV_DEBT x ASSET_CLASS</t>
        </is>
      </c>
      <c r="C338" t="inlineStr">
        <is>
          <t>0 - 6,558</t>
        </is>
      </c>
      <c r="D338" t="inlineStr">
        <is>
          <t>4</t>
        </is>
      </c>
      <c r="E338" t="inlineStr">
        <is>
          <t>contribution_rate</t>
        </is>
      </c>
      <c r="F338" t="inlineStr">
        <is>
          <t>Contribution before losses per booked dollar</t>
        </is>
      </c>
      <c r="G338" t="n">
        <v>399</v>
      </c>
      <c r="H338" t="n">
        <v>13197743.57</v>
      </c>
      <c r="I338" t="b">
        <v>0</v>
      </c>
      <c r="J338" t="b">
        <v>0</v>
      </c>
      <c r="K338" t="n">
        <v>-0.04798292469593705</v>
      </c>
      <c r="L338" t="n">
        <v>0.006218905472636815</v>
      </c>
      <c r="M338" t="n">
        <v>-0.00257232197243841</v>
      </c>
      <c r="N338" t="n">
        <v>0.8135791630084869</v>
      </c>
      <c r="O338" t="n">
        <v>633266.3358755975</v>
      </c>
      <c r="P338" t="n">
        <v>33948.84577171877</v>
      </c>
      <c r="Q338">
        <f>'_live'!$C$24</f>
        <v/>
      </c>
      <c r="R338" t="inlineStr">
        <is>
          <t>shuffled: 0 of 200</t>
        </is>
      </c>
      <c r="S338" t="inlineStr">
        <is>
          <t>shuffled: 138 of 200</t>
        </is>
      </c>
      <c r="T338" t="n">
        <v>0.1720467028194879</v>
      </c>
      <c r="U338" t="n">
        <v>0.1266361000959892</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0.1240637781235508</v>
      </c>
      <c r="AI338">
        <f>IF($Y338="worse","Yes",IF($Y338="worse, not significant","Not sure",IF(OR($Y338="too few losses to test",$Y338="too few loans to test"),"Too few losses",IF($Y338="","","No"))))</f>
        <v/>
      </c>
      <c r="AJ338">
        <f>IF($AA338="yes","Yes",IF($AA338="","","No"))</f>
        <v/>
      </c>
      <c r="AK338" t="n">
        <v>0.006218905472636815</v>
      </c>
      <c r="AL338" t="n">
        <v>0.0384214069236788</v>
      </c>
      <c r="AM338">
        <f>IF(AND(ISNUMBER($AC338),ISNUMBER(IF($V338,IF($AL338="","",$AL338),IF($AK338="","",$AK338)))),IF(AND(ABS($AC338-significance_bar)&lt;=2.0*IF($V338,IF($AL338="","",$AL338),IF($AK338="","",$AK338)),OR($Y338="worse",$Y338="better",$Y338="worse, not significant",$Y338="better, not significant",AND(profit_kind="test",$Y338="in line",ISNUMBER($AB338),$AB338&lt;&gt;0))),IF(ROUND($AC338,3)=ROUND(significance_bar,3),TEXT($AC338,"0.0000"),TEXT($AC338,"0.000")),""),"")</f>
        <v/>
      </c>
      <c r="AN338">
        <f>IF(AND(ISNUMBER($AC338),ISNUMBER(IF($V338,IF($AL338="","",$AL338),IF($AK338="","",$AK338)))),IF(AND(ABS($AC338-significance_bar)&lt;=2.0*IF($V338,IF($AL338="","",$AL338),IF($AK338="","",$AK338)),OR($Y338="worse",$Y338="worse, not significant",AND(profit_kind="test",$Y338="in line",ISNUMBER($AB338),$AB338&lt;0))),IF(ROUND($AC338,3)=ROUND(significance_bar,3),TEXT($AC338,"0.0000"),TEXT($AC338,"0.000")),""),"")</f>
        <v/>
      </c>
      <c r="AO338">
        <f>IF(OR($AI338="",$AN338=""),$AI338,$AI338&amp;" · borderline (p "&amp;$AN338&amp;")")</f>
        <v/>
      </c>
    </row>
    <row r="339">
      <c r="A339" t="inlineStr">
        <is>
          <t>grids</t>
        </is>
      </c>
      <c r="B339" t="inlineStr">
        <is>
          <t>REV_DEBT x ASSET_CLASS</t>
        </is>
      </c>
      <c r="C339" t="inlineStr">
        <is>
          <t>13,052 - 17,186</t>
        </is>
      </c>
      <c r="D339" t="inlineStr">
        <is>
          <t>4</t>
        </is>
      </c>
      <c r="E339" t="inlineStr">
        <is>
          <t>outcome_loans</t>
        </is>
      </c>
      <c r="F339" t="inlineStr">
        <is>
          <t>Outcome, share of loans</t>
        </is>
      </c>
      <c r="G339" t="n">
        <v>411</v>
      </c>
      <c r="H339" t="n">
        <v>411</v>
      </c>
      <c r="I339" t="b">
        <v>0</v>
      </c>
      <c r="J339" t="b">
        <v>0</v>
      </c>
      <c r="K339" t="n">
        <v>1.764537174601124</v>
      </c>
      <c r="L339" t="n">
        <v>0.0001050385966474635</v>
      </c>
      <c r="M339" t="n">
        <v>1.644410295812524</v>
      </c>
      <c r="N339" t="n">
        <v>0.03722534987811791</v>
      </c>
      <c r="O339" t="n">
        <v>23.39707432788613</v>
      </c>
      <c r="P339" t="n">
        <v>21.16148023549201</v>
      </c>
      <c r="Q339">
        <f>'_live'!$C$20</f>
        <v/>
      </c>
      <c r="R339" t="inlineStr">
        <is>
          <t>z test</t>
        </is>
      </c>
      <c r="S339" t="inlineStr">
        <is>
          <t>z test</t>
        </is>
      </c>
      <c r="T339" t="n">
        <v>0.07445967316816025</v>
      </c>
      <c r="U339" t="n">
        <v>0.0798990748528175</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0.1313868613138686</v>
      </c>
      <c r="AI339">
        <f>IF($Y339="worse","Yes",IF($Y339="worse, not significant","Not sure",IF(OR($Y339="too few losses to test",$Y339="too few loans to test"),"Too few losses",IF($Y339="","","No"))))</f>
        <v/>
      </c>
      <c r="AJ339">
        <f>IF($AA339="yes","Yes",IF($AA339="","","No"))</f>
        <v/>
      </c>
      <c r="AM339">
        <f>IF(AND(ISNUMBER($AC339),ISNUMBER(IF($V339,IF($AL339="","",$AL339),IF($AK339="","",$AK339)))),IF(AND(ABS($AC339-significance_bar)&lt;=2.0*IF($V339,IF($AL339="","",$AL339),IF($AK339="","",$AK339)),OR($Y339="worse",$Y339="better",$Y339="worse, not significant",$Y339="better, not significant")),IF(ROUND($AC339,3)=ROUND(significance_bar,3),TEXT($AC339,"0.0000"),TEXT($AC339,"0.000")),""),"")</f>
        <v/>
      </c>
      <c r="AN339">
        <f>IF(AND(ISNUMBER($AC339),ISNUMBER(IF($V339,IF($AL339="","",$AL339),IF($AK339="","",$AK339)))),IF(AND(ABS($AC339-significance_bar)&lt;=2.0*IF($V339,IF($AL339="","",$AL339),IF($AK339="","",$AK339)),OR($Y339="worse",$Y339="worse, not significant")),IF(ROUND($AC339,3)=ROUND(significance_bar,3),TEXT($AC339,"0.0000"),TEXT($AC339,"0.000")),""),"")</f>
        <v/>
      </c>
      <c r="AO339">
        <f>IF(OR($AI339="",$AN339=""),$AI339,$AI339&amp;" · borderline (p "&amp;$AN339&amp;")")</f>
        <v/>
      </c>
    </row>
    <row r="340">
      <c r="A340" t="inlineStr">
        <is>
          <t>grids</t>
        </is>
      </c>
      <c r="B340" t="inlineStr">
        <is>
          <t>REV_DEBT x ASSET_CLASS</t>
        </is>
      </c>
      <c r="C340" t="inlineStr">
        <is>
          <t>13,052 - 17,186</t>
        </is>
      </c>
      <c r="D340" t="inlineStr">
        <is>
          <t>4</t>
        </is>
      </c>
      <c r="E340" t="inlineStr">
        <is>
          <t>outcome_booked</t>
        </is>
      </c>
      <c r="F340" t="inlineStr">
        <is>
          <t>Outcome, share of booked dollars</t>
        </is>
      </c>
      <c r="G340" t="n">
        <v>411</v>
      </c>
      <c r="H340" t="n">
        <v>12549776.71</v>
      </c>
      <c r="I340" t="b">
        <v>0</v>
      </c>
      <c r="J340" t="b">
        <v>0</v>
      </c>
      <c r="K340" t="n">
        <v>1.809169109759142</v>
      </c>
      <c r="L340" t="n">
        <v>0.01575456053067993</v>
      </c>
      <c r="M340" t="n">
        <v>1.657149684016287</v>
      </c>
      <c r="N340" t="n">
        <v>0.0472636815920398</v>
      </c>
      <c r="O340" t="n">
        <v>731106.1882221095</v>
      </c>
      <c r="P340" t="n">
        <v>648220.6973099593</v>
      </c>
      <c r="Q340">
        <f>'_live'!$C$21</f>
        <v/>
      </c>
      <c r="R340" t="inlineStr">
        <is>
          <t>shuffled: 0 of 200</t>
        </is>
      </c>
      <c r="S340" t="inlineStr">
        <is>
          <t>shuffled: 0 of 200</t>
        </is>
      </c>
      <c r="T340" t="n">
        <v>0.07199546913515485</v>
      </c>
      <c r="U340" t="n">
        <v>0.07860000822995043</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0.1302519788019399</v>
      </c>
      <c r="AI340">
        <f>IF($Y340="worse","Yes",IF($Y340="worse, not significant","Not sure",IF(OR($Y340="too few losses to test",$Y340="too few loans to test"),"Too few losses",IF($Y340="","","No"))))</f>
        <v/>
      </c>
      <c r="AJ340">
        <f>IF($AA340="yes","Yes",IF($AA340="","","No"))</f>
        <v/>
      </c>
      <c r="AK340" t="n">
        <v>0.01575456053067993</v>
      </c>
      <c r="AL340" t="n">
        <v>0.0472636815920398</v>
      </c>
      <c r="AM340">
        <f>IF(AND(ISNUMBER($AC340),ISNUMBER(IF($V340,IF($AL340="","",$AL340),IF($AK340="","",$AK340)))),IF(AND(ABS($AC340-significance_bar)&lt;=2.0*IF($V340,IF($AL340="","",$AL340),IF($AK340="","",$AK340)),OR($Y340="worse",$Y340="better",$Y340="worse, not significant",$Y340="better, not significant")),IF(ROUND($AC340,3)=ROUND(significance_bar,3),TEXT($AC340,"0.0000"),TEXT($AC340,"0.000")),""),"")</f>
        <v/>
      </c>
      <c r="AN340">
        <f>IF(AND(ISNUMBER($AC340),ISNUMBER(IF($V340,IF($AL340="","",$AL340),IF($AK340="","",$AK340)))),IF(AND(ABS($AC340-significance_bar)&lt;=2.0*IF($V340,IF($AL340="","",$AL340),IF($AK340="","",$AK340)),OR($Y340="worse",$Y340="worse, not significant")),IF(ROUND($AC340,3)=ROUND(significance_bar,3),TEXT($AC340,"0.0000"),TEXT($AC340,"0.000")),""),"")</f>
        <v/>
      </c>
      <c r="AO340">
        <f>IF(OR($AI340="",$AN340=""),$AI340,$AI340&amp;" · borderline (p "&amp;$AN340&amp;")")</f>
        <v/>
      </c>
    </row>
    <row r="341">
      <c r="A341" t="inlineStr">
        <is>
          <t>grids</t>
        </is>
      </c>
      <c r="B341" t="inlineStr">
        <is>
          <t>REV_DEBT x ASSET_CLASS</t>
        </is>
      </c>
      <c r="C341" t="inlineStr">
        <is>
          <t>13,052 - 17,186</t>
        </is>
      </c>
      <c r="D341" t="inlineStr">
        <is>
          <t>4</t>
        </is>
      </c>
      <c r="E341" t="inlineStr">
        <is>
          <t>gco_rate</t>
        </is>
      </c>
      <c r="F341" t="inlineStr">
        <is>
          <t>GCO per booked dollar</t>
        </is>
      </c>
      <c r="G341" t="n">
        <v>411</v>
      </c>
      <c r="H341" t="n">
        <v>12549776.71</v>
      </c>
      <c r="I341" t="b">
        <v>0</v>
      </c>
      <c r="J341" t="b">
        <v>0</v>
      </c>
      <c r="K341" t="n">
        <v>1.893891643794206</v>
      </c>
      <c r="L341" t="n">
        <v>0.01350390902629709</v>
      </c>
      <c r="M341" t="n">
        <v>1.720467033463513</v>
      </c>
      <c r="N341" t="n">
        <v>0.0472636815920398</v>
      </c>
      <c r="O341" t="n">
        <v>447287.3080901046</v>
      </c>
      <c r="P341" t="n">
        <v>396848.3543186327</v>
      </c>
      <c r="Q341">
        <f>'_live'!$C$22</f>
        <v/>
      </c>
      <c r="R341" t="inlineStr">
        <is>
          <t>shuffled: 0 of 200</t>
        </is>
      </c>
      <c r="S341" t="inlineStr">
        <is>
          <t>shuffled: 0 of 200</t>
        </is>
      </c>
      <c r="T341" t="n">
        <v>0.03987178684312184</v>
      </c>
      <c r="U341" t="n">
        <v>0.04389089849243755</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0.07551284392533222</v>
      </c>
      <c r="AI341">
        <f>IF($Y341="worse","Yes",IF($Y341="worse, not significant","Not sure",IF(OR($Y341="too few losses to test",$Y341="too few loans to test"),"Too few losses",IF($Y341="","","No"))))</f>
        <v/>
      </c>
      <c r="AJ341">
        <f>IF($AA341="yes","Yes",IF($AA341="","","No"))</f>
        <v/>
      </c>
      <c r="AK341" t="n">
        <v>0.01350390902629709</v>
      </c>
      <c r="AL341" t="n">
        <v>0.0472636815920398</v>
      </c>
      <c r="AM341">
        <f>IF(AND(ISNUMBER($AC341),ISNUMBER(IF($V341,IF($AL341="","",$AL341),IF($AK341="","",$AK341)))),IF(AND(ABS($AC341-significance_bar)&lt;=2.0*IF($V341,IF($AL341="","",$AL341),IF($AK341="","",$AK341)),OR($Y341="worse",$Y341="better",$Y341="worse, not significant",$Y341="better, not significant")),IF(ROUND($AC341,3)=ROUND(significance_bar,3),TEXT($AC341,"0.0000"),TEXT($AC341,"0.000")),""),"")</f>
        <v/>
      </c>
      <c r="AN341">
        <f>IF(AND(ISNUMBER($AC341),ISNUMBER(IF($V341,IF($AL341="","",$AL341),IF($AK341="","",$AK341)))),IF(AND(ABS($AC341-significance_bar)&lt;=2.0*IF($V341,IF($AL341="","",$AL341),IF($AK341="","",$AK341)),OR($Y341="worse",$Y341="worse, not significant")),IF(ROUND($AC341,3)=ROUND(significance_bar,3),TEXT($AC341,"0.0000"),TEXT($AC341,"0.000")),""),"")</f>
        <v/>
      </c>
      <c r="AO341">
        <f>IF(OR($AI341="",$AN341=""),$AI341,$AI341&amp;" · borderline (p "&amp;$AN341&amp;")")</f>
        <v/>
      </c>
    </row>
    <row r="342">
      <c r="A342" t="inlineStr">
        <is>
          <t>grids</t>
        </is>
      </c>
      <c r="B342" t="inlineStr">
        <is>
          <t>REV_DEBT x ASSET_CLASS</t>
        </is>
      </c>
      <c r="C342" t="inlineStr">
        <is>
          <t>13,052 - 17,186</t>
        </is>
      </c>
      <c r="D342" t="inlineStr">
        <is>
          <t>4</t>
        </is>
      </c>
      <c r="E342" t="inlineStr">
        <is>
          <t>ranr_rate</t>
        </is>
      </c>
      <c r="F342" t="inlineStr">
        <is>
          <t>Profit after losses: RANR per booked dollar</t>
        </is>
      </c>
      <c r="G342" t="n">
        <v>411</v>
      </c>
      <c r="H342" t="n">
        <v>12549776.71</v>
      </c>
      <c r="I342" t="b">
        <v>0</v>
      </c>
      <c r="J342" t="b">
        <v>0</v>
      </c>
      <c r="K342" t="n">
        <v>-0.01305112215640297</v>
      </c>
      <c r="L342" t="n">
        <v>0.3648424543946931</v>
      </c>
      <c r="M342" t="n">
        <v>-0.0312222603926747</v>
      </c>
      <c r="N342" t="n">
        <v>0.2736318407960199</v>
      </c>
      <c r="O342" t="n">
        <v>163788.6688777911</v>
      </c>
      <c r="P342" t="n">
        <v>391832.3963095446</v>
      </c>
      <c r="Q342">
        <f>'_live'!$C$23</f>
        <v/>
      </c>
      <c r="R342" t="inlineStr">
        <is>
          <t>shuffled: 43 of 200</t>
        </is>
      </c>
      <c r="S342" t="inlineStr">
        <is>
          <t>shuffled: 3 of 200</t>
        </is>
      </c>
      <c r="T342" t="n">
        <v>0.1286247210750406</v>
      </c>
      <c r="U342" t="n">
        <v>0.1467958593113123</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0.1155735989186376</v>
      </c>
      <c r="AI342">
        <f>IF($Y342="worse","Yes",IF($Y342="worse, not significant","Not sure",IF(OR($Y342="too few losses to test",$Y342="too few loans to test"),"Too few losses",IF($Y342="","","No"))))</f>
        <v/>
      </c>
      <c r="AJ342">
        <f>IF($AA342="yes","Yes",IF($AA342="","","No"))</f>
        <v/>
      </c>
      <c r="AK342" t="n">
        <v>0.04873195772774499</v>
      </c>
      <c r="AL342" t="n">
        <v>0.0804140789813165</v>
      </c>
      <c r="AM342">
        <f>IF(AND(ISNUMBER($AC342),ISNUMBER(IF($V342,IF($AL342="","",$AL342),IF($AK342="","",$AK342)))),IF(AND(ABS($AC342-significance_bar)&lt;=2.0*IF($V342,IF($AL342="","",$AL342),IF($AK342="","",$AK342)),OR($Y342="worse",$Y342="better",$Y342="worse, not significant",$Y342="better, not significant",AND(profit_kind="test",$Y342="in line",ISNUMBER($AB342),$AB342&lt;&gt;0))),IF(ROUND($AC342,3)=ROUND(significance_bar,3),TEXT($AC342,"0.0000"),TEXT($AC342,"0.000")),""),"")</f>
        <v/>
      </c>
      <c r="AN342">
        <f>IF(AND(ISNUMBER($AC342),ISNUMBER(IF($V342,IF($AL342="","",$AL342),IF($AK342="","",$AK342)))),IF(AND(ABS($AC342-significance_bar)&lt;=2.0*IF($V342,IF($AL342="","",$AL342),IF($AK342="","",$AK342)),OR($Y342="worse",$Y342="worse, not significant",AND(profit_kind="test",$Y342="in line",ISNUMBER($AB342),$AB342&lt;0))),IF(ROUND($AC342,3)=ROUND(significance_bar,3),TEXT($AC342,"0.0000"),TEXT($AC342,"0.000")),""),"")</f>
        <v/>
      </c>
      <c r="AO342">
        <f>IF(OR($AI342="",$AN342=""),$AI342,$AI342&amp;" · borderline (p "&amp;$AN342&amp;")")</f>
        <v/>
      </c>
    </row>
    <row r="343">
      <c r="A343" t="inlineStr">
        <is>
          <t>grids</t>
        </is>
      </c>
      <c r="B343" t="inlineStr">
        <is>
          <t>REV_DEBT x ASSET_CLASS</t>
        </is>
      </c>
      <c r="C343" t="inlineStr">
        <is>
          <t>13,052 - 17,186</t>
        </is>
      </c>
      <c r="D343" t="inlineStr">
        <is>
          <t>4</t>
        </is>
      </c>
      <c r="E343" t="inlineStr">
        <is>
          <t>contribution_rate</t>
        </is>
      </c>
      <c r="F343" t="inlineStr">
        <is>
          <t>Contribution before losses per booked dollar</t>
        </is>
      </c>
      <c r="G343" t="n">
        <v>411</v>
      </c>
      <c r="H343" t="n">
        <v>12549776.71</v>
      </c>
      <c r="I343" t="b">
        <v>0</v>
      </c>
      <c r="J343" t="b">
        <v>0</v>
      </c>
      <c r="K343" t="n">
        <v>0.02259283774561738</v>
      </c>
      <c r="L343" t="n">
        <v>0.006218905472636815</v>
      </c>
      <c r="M343" t="n">
        <v>0.000399685040219977</v>
      </c>
      <c r="N343" t="n">
        <v>0.9850746268656716</v>
      </c>
      <c r="O343" t="n">
        <v>-283535.0689527579</v>
      </c>
      <c r="P343" t="n">
        <v>-5015.958009087946</v>
      </c>
      <c r="Q343">
        <f>'_live'!$C$24</f>
        <v/>
      </c>
      <c r="R343" t="inlineStr">
        <is>
          <t>shuffled: 0 of 200</t>
        </is>
      </c>
      <c r="S343" t="inlineStr">
        <is>
          <t>shuffled: 197 of 200</t>
        </is>
      </c>
      <c r="T343" t="n">
        <v>0.1684936050983525</v>
      </c>
      <c r="U343" t="n">
        <v>0.1906867578037499</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0.1910864428439699</v>
      </c>
      <c r="AI343">
        <f>IF($Y343="worse","Yes",IF($Y343="worse, not significant","Not sure",IF(OR($Y343="too few losses to test",$Y343="too few loans to test"),"Too few losses",IF($Y343="","","No"))))</f>
        <v/>
      </c>
      <c r="AJ343">
        <f>IF($AA343="yes","Yes",IF($AA343="","","No"))</f>
        <v/>
      </c>
      <c r="AK343" t="n">
        <v>0.006218905472636815</v>
      </c>
      <c r="AL343" t="n">
        <v>0.008573974099310502</v>
      </c>
      <c r="AM343">
        <f>IF(AND(ISNUMBER($AC343),ISNUMBER(IF($V343,IF($AL343="","",$AL343),IF($AK343="","",$AK343)))),IF(AND(ABS($AC343-significance_bar)&lt;=2.0*IF($V343,IF($AL343="","",$AL343),IF($AK343="","",$AK343)),OR($Y343="worse",$Y343="better",$Y343="worse, not significant",$Y343="better, not significant",AND(profit_kind="test",$Y343="in line",ISNUMBER($AB343),$AB343&lt;&gt;0))),IF(ROUND($AC343,3)=ROUND(significance_bar,3),TEXT($AC343,"0.0000"),TEXT($AC343,"0.000")),""),"")</f>
        <v/>
      </c>
      <c r="AN343">
        <f>IF(AND(ISNUMBER($AC343),ISNUMBER(IF($V343,IF($AL343="","",$AL343),IF($AK343="","",$AK343)))),IF(AND(ABS($AC343-significance_bar)&lt;=2.0*IF($V343,IF($AL343="","",$AL343),IF($AK343="","",$AK343)),OR($Y343="worse",$Y343="worse, not significant",AND(profit_kind="test",$Y343="in line",ISNUMBER($AB343),$AB343&lt;0))),IF(ROUND($AC343,3)=ROUND(significance_bar,3),TEXT($AC343,"0.0000"),TEXT($AC343,"0.000")),""),"")</f>
        <v/>
      </c>
      <c r="AO343">
        <f>IF(OR($AI343="",$AN343=""),$AI343,$AI343&amp;" · borderline (p "&amp;$AN343&amp;")")</f>
        <v/>
      </c>
    </row>
    <row r="344">
      <c r="A344" t="inlineStr">
        <is>
          <t>grids</t>
        </is>
      </c>
      <c r="B344" t="inlineStr">
        <is>
          <t>REV_DEBT x ASSET_CLASS</t>
        </is>
      </c>
      <c r="C344" t="inlineStr">
        <is>
          <t>13,052 - 17,186</t>
        </is>
      </c>
      <c r="D344" t="inlineStr">
        <is>
          <t>2</t>
        </is>
      </c>
      <c r="E344" t="inlineStr">
        <is>
          <t>outcome_loans</t>
        </is>
      </c>
      <c r="F344" t="inlineStr">
        <is>
          <t>Outcome, share of loans</t>
        </is>
      </c>
      <c r="G344" t="n">
        <v>392</v>
      </c>
      <c r="H344" t="n">
        <v>392</v>
      </c>
      <c r="I344" t="b">
        <v>0</v>
      </c>
      <c r="J344" t="b">
        <v>0</v>
      </c>
      <c r="K344" t="n">
        <v>1.057886868546396</v>
      </c>
      <c r="L344" t="n">
        <v>0.8869036674562051</v>
      </c>
      <c r="M344" t="n">
        <v>0.8428396999825571</v>
      </c>
      <c r="N344" t="n">
        <v>0.4988000451395734</v>
      </c>
      <c r="O344" t="n">
        <v>1.751018798475087</v>
      </c>
      <c r="P344" t="n">
        <v>-5.966887417218544</v>
      </c>
      <c r="Q344">
        <f>'_live'!$C$20</f>
        <v/>
      </c>
      <c r="R344" t="inlineStr">
        <is>
          <t>z test</t>
        </is>
      </c>
      <c r="S344" t="inlineStr">
        <is>
          <t>z test</t>
        </is>
      </c>
      <c r="T344" t="n">
        <v>0.07716576837123702</v>
      </c>
      <c r="U344" t="n">
        <v>0.09685430463576158</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0.08163265306122448</v>
      </c>
      <c r="AI344">
        <f>IF($Y344="worse","Yes",IF($Y344="worse, not significant","Not sure",IF(OR($Y344="too few losses to test",$Y344="too few loans to test"),"Too few losses",IF($Y344="","","No"))))</f>
        <v/>
      </c>
      <c r="AJ344">
        <f>IF($AA344="yes","Yes",IF($AA344="","","No"))</f>
        <v/>
      </c>
      <c r="AM344">
        <f>IF(AND(ISNUMBER($AC344),ISNUMBER(IF($V344,IF($AL344="","",$AL344),IF($AK344="","",$AK344)))),IF(AND(ABS($AC344-significance_bar)&lt;=2.0*IF($V344,IF($AL344="","",$AL344),IF($AK344="","",$AK344)),OR($Y344="worse",$Y344="better",$Y344="worse, not significant",$Y344="better, not significant")),IF(ROUND($AC344,3)=ROUND(significance_bar,3),TEXT($AC344,"0.0000"),TEXT($AC344,"0.000")),""),"")</f>
        <v/>
      </c>
      <c r="AN344">
        <f>IF(AND(ISNUMBER($AC344),ISNUMBER(IF($V344,IF($AL344="","",$AL344),IF($AK344="","",$AK344)))),IF(AND(ABS($AC344-significance_bar)&lt;=2.0*IF($V344,IF($AL344="","",$AL344),IF($AK344="","",$AK344)),OR($Y344="worse",$Y344="worse, not significant")),IF(ROUND($AC344,3)=ROUND(significance_bar,3),TEXT($AC344,"0.0000"),TEXT($AC344,"0.000")),""),"")</f>
        <v/>
      </c>
      <c r="AO344">
        <f>IF(OR($AI344="",$AN344=""),$AI344,$AI344&amp;" · borderline (p "&amp;$AN344&amp;")")</f>
        <v/>
      </c>
    </row>
    <row r="345">
      <c r="A345" t="inlineStr">
        <is>
          <t>grids</t>
        </is>
      </c>
      <c r="B345" t="inlineStr">
        <is>
          <t>REV_DEBT x ASSET_CLASS</t>
        </is>
      </c>
      <c r="C345" t="inlineStr">
        <is>
          <t>13,052 - 17,186</t>
        </is>
      </c>
      <c r="D345" t="inlineStr">
        <is>
          <t>2</t>
        </is>
      </c>
      <c r="E345" t="inlineStr">
        <is>
          <t>outcome_booked</t>
        </is>
      </c>
      <c r="F345" t="inlineStr">
        <is>
          <t>Outcome, share of booked dollars</t>
        </is>
      </c>
      <c r="G345" t="n">
        <v>392</v>
      </c>
      <c r="H345" t="n">
        <v>12936713.87</v>
      </c>
      <c r="I345" t="b">
        <v>0</v>
      </c>
      <c r="J345" t="b">
        <v>0</v>
      </c>
      <c r="K345" t="n">
        <v>1.028404473893054</v>
      </c>
      <c r="L345" t="n">
        <v>0.9303482587064678</v>
      </c>
      <c r="M345" t="n">
        <v>0.7997208342791428</v>
      </c>
      <c r="N345" t="n">
        <v>0.5327905924920849</v>
      </c>
      <c r="O345" t="n">
        <v>27457.55521886575</v>
      </c>
      <c r="P345" t="n">
        <v>-248963.9332372595</v>
      </c>
      <c r="Q345">
        <f>'_live'!$C$21</f>
        <v/>
      </c>
      <c r="R345" t="inlineStr">
        <is>
          <t>shuffled: 182 of 200</t>
        </is>
      </c>
      <c r="S345" t="inlineStr">
        <is>
          <t>shuffled: 57 of 200</t>
        </is>
      </c>
      <c r="T345" t="n">
        <v>0.07472245691564751</v>
      </c>
      <c r="U345" t="n">
        <v>0.09608966741700532</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0.07684490899233286</v>
      </c>
      <c r="AI345">
        <f>IF($Y345="worse","Yes",IF($Y345="worse, not significant","Not sure",IF(OR($Y345="too few losses to test",$Y345="too few loans to test"),"Too few losses",IF($Y345="","","No"))))</f>
        <v/>
      </c>
      <c r="AJ345">
        <f>IF($AA345="yes","Yes",IF($AA345="","","No"))</f>
        <v/>
      </c>
      <c r="AK345" t="n">
        <v>0.01800005225385626</v>
      </c>
      <c r="AL345" t="n">
        <v>0.05640961107431024</v>
      </c>
      <c r="AM345">
        <f>IF(AND(ISNUMBER($AC345),ISNUMBER(IF($V345,IF($AL345="","",$AL345),IF($AK345="","",$AK345)))),IF(AND(ABS($AC345-significance_bar)&lt;=2.0*IF($V345,IF($AL345="","",$AL345),IF($AK345="","",$AK345)),OR($Y345="worse",$Y345="better",$Y345="worse, not significant",$Y345="better, not significant")),IF(ROUND($AC345,3)=ROUND(significance_bar,3),TEXT($AC345,"0.0000"),TEXT($AC345,"0.000")),""),"")</f>
        <v/>
      </c>
      <c r="AN345">
        <f>IF(AND(ISNUMBER($AC345),ISNUMBER(IF($V345,IF($AL345="","",$AL345),IF($AK345="","",$AK345)))),IF(AND(ABS($AC345-significance_bar)&lt;=2.0*IF($V345,IF($AL345="","",$AL345),IF($AK345="","",$AK345)),OR($Y345="worse",$Y345="worse, not significant")),IF(ROUND($AC345,3)=ROUND(significance_bar,3),TEXT($AC345,"0.0000"),TEXT($AC345,"0.000")),""),"")</f>
        <v/>
      </c>
      <c r="AO345">
        <f>IF(OR($AI345="",$AN345=""),$AI345,$AI345&amp;" · borderline (p "&amp;$AN345&amp;")")</f>
        <v/>
      </c>
    </row>
    <row r="346">
      <c r="A346" t="inlineStr">
        <is>
          <t>grids</t>
        </is>
      </c>
      <c r="B346" t="inlineStr">
        <is>
          <t>REV_DEBT x ASSET_CLASS</t>
        </is>
      </c>
      <c r="C346" t="inlineStr">
        <is>
          <t>13,052 - 17,186</t>
        </is>
      </c>
      <c r="D346" t="inlineStr">
        <is>
          <t>2</t>
        </is>
      </c>
      <c r="E346" t="inlineStr">
        <is>
          <t>gco_rate</t>
        </is>
      </c>
      <c r="F346" t="inlineStr">
        <is>
          <t>GCO per booked dollar</t>
        </is>
      </c>
      <c r="G346" t="n">
        <v>392</v>
      </c>
      <c r="H346" t="n">
        <v>12936713.87</v>
      </c>
      <c r="I346" t="b">
        <v>0</v>
      </c>
      <c r="J346" t="b">
        <v>0</v>
      </c>
      <c r="K346" t="n">
        <v>1.007249198995096</v>
      </c>
      <c r="L346" t="n">
        <v>0.9800995024875622</v>
      </c>
      <c r="M346" t="n">
        <v>0.7629128010306759</v>
      </c>
      <c r="N346" t="n">
        <v>0.5356550580431177</v>
      </c>
      <c r="O346" t="n">
        <v>3900.358026738046</v>
      </c>
      <c r="P346" t="n">
        <v>-168416.4803566494</v>
      </c>
      <c r="Q346">
        <f>'_live'!$C$22</f>
        <v/>
      </c>
      <c r="R346" t="inlineStr">
        <is>
          <t>shuffled: 196 of 200</t>
        </is>
      </c>
      <c r="S346" t="inlineStr">
        <is>
          <t>shuffled: 45 of 200</t>
        </is>
      </c>
      <c r="T346" t="n">
        <v>0.04159014935168091</v>
      </c>
      <c r="U346" t="n">
        <v>0.05491013463658291</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0.04189164462056701</v>
      </c>
      <c r="AI346">
        <f>IF($Y346="worse","Yes",IF($Y346="worse, not significant","Not sure",IF(OR($Y346="too few losses to test",$Y346="too few loans to test"),"Too few losses",IF($Y346="","","No"))))</f>
        <v/>
      </c>
      <c r="AJ346">
        <f>IF($AA346="yes","Yes",IF($AA346="","","No"))</f>
        <v/>
      </c>
      <c r="AK346" t="n">
        <v>0.009875339921034437</v>
      </c>
      <c r="AL346" t="n">
        <v>0.06495771715318038</v>
      </c>
      <c r="AM346">
        <f>IF(AND(ISNUMBER($AC346),ISNUMBER(IF($V346,IF($AL346="","",$AL346),IF($AK346="","",$AK346)))),IF(AND(ABS($AC346-significance_bar)&lt;=2.0*IF($V346,IF($AL346="","",$AL346),IF($AK346="","",$AK346)),OR($Y346="worse",$Y346="better",$Y346="worse, not significant",$Y346="better, not significant")),IF(ROUND($AC346,3)=ROUND(significance_bar,3),TEXT($AC346,"0.0000"),TEXT($AC346,"0.000")),""),"")</f>
        <v/>
      </c>
      <c r="AN346">
        <f>IF(AND(ISNUMBER($AC346),ISNUMBER(IF($V346,IF($AL346="","",$AL346),IF($AK346="","",$AK346)))),IF(AND(ABS($AC346-significance_bar)&lt;=2.0*IF($V346,IF($AL346="","",$AL346),IF($AK346="","",$AK346)),OR($Y346="worse",$Y346="worse, not significant")),IF(ROUND($AC346,3)=ROUND(significance_bar,3),TEXT($AC346,"0.0000"),TEXT($AC346,"0.000")),""),"")</f>
        <v/>
      </c>
      <c r="AO346">
        <f>IF(OR($AI346="",$AN346=""),$AI346,$AI346&amp;" · borderline (p "&amp;$AN346&amp;")")</f>
        <v/>
      </c>
    </row>
    <row r="347">
      <c r="A347" t="inlineStr">
        <is>
          <t>grids</t>
        </is>
      </c>
      <c r="B347" t="inlineStr">
        <is>
          <t>REV_DEBT x ASSET_CLASS</t>
        </is>
      </c>
      <c r="C347" t="inlineStr">
        <is>
          <t>13,052 - 17,186</t>
        </is>
      </c>
      <c r="D347" t="inlineStr">
        <is>
          <t>2</t>
        </is>
      </c>
      <c r="E347" t="inlineStr">
        <is>
          <t>ranr_rate</t>
        </is>
      </c>
      <c r="F347" t="inlineStr">
        <is>
          <t>Profit after losses: RANR per booked dollar</t>
        </is>
      </c>
      <c r="G347" t="n">
        <v>392</v>
      </c>
      <c r="H347" t="n">
        <v>12936713.87</v>
      </c>
      <c r="I347" t="b">
        <v>0</v>
      </c>
      <c r="J347" t="b">
        <v>0</v>
      </c>
      <c r="K347" t="n">
        <v>0.02675138756016587</v>
      </c>
      <c r="L347" t="n">
        <v>0.06633499170812603</v>
      </c>
      <c r="M347" t="n">
        <v>0.0190461007640241</v>
      </c>
      <c r="N347" t="n">
        <v>0.4690831556503198</v>
      </c>
      <c r="O347" t="n">
        <v>-346075.0464913433</v>
      </c>
      <c r="P347" t="n">
        <v>-246393.9559233682</v>
      </c>
      <c r="Q347">
        <f>'_live'!$C$23</f>
        <v/>
      </c>
      <c r="R347" t="inlineStr">
        <is>
          <t>shuffled: 3 of 200</t>
        </is>
      </c>
      <c r="S347" t="inlineStr">
        <is>
          <t>shuffled: 32 of 200</t>
        </is>
      </c>
      <c r="T347" t="n">
        <v>0.1266490292645437</v>
      </c>
      <c r="U347" t="n">
        <v>0.1343543160606855</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0.1534004168247096</v>
      </c>
      <c r="AI347">
        <f>IF($Y347="worse","Yes",IF($Y347="worse, not significant","Not sure",IF(OR($Y347="too few losses to test",$Y347="too few loans to test"),"Too few losses",IF($Y347="","","No"))))</f>
        <v/>
      </c>
      <c r="AJ347">
        <f>IF($AA347="yes","Yes",IF($AA347="","","No"))</f>
        <v/>
      </c>
      <c r="AK347" t="n">
        <v>0.03291779973678144</v>
      </c>
      <c r="AL347" t="n">
        <v>0.07483978155558313</v>
      </c>
      <c r="AM347">
        <f>IF(AND(ISNUMBER($AC347),ISNUMBER(IF($V347,IF($AL347="","",$AL347),IF($AK347="","",$AK347)))),IF(AND(ABS($AC347-significance_bar)&lt;=2.0*IF($V347,IF($AL347="","",$AL347),IF($AK347="","",$AK347)),OR($Y347="worse",$Y347="better",$Y347="worse, not significant",$Y347="better, not significant",AND(profit_kind="test",$Y347="in line",ISNUMBER($AB347),$AB347&lt;&gt;0))),IF(ROUND($AC347,3)=ROUND(significance_bar,3),TEXT($AC347,"0.0000"),TEXT($AC347,"0.000")),""),"")</f>
        <v/>
      </c>
      <c r="AN347">
        <f>IF(AND(ISNUMBER($AC347),ISNUMBER(IF($V347,IF($AL347="","",$AL347),IF($AK347="","",$AK347)))),IF(AND(ABS($AC347-significance_bar)&lt;=2.0*IF($V347,IF($AL347="","",$AL347),IF($AK347="","",$AK347)),OR($Y347="worse",$Y347="worse, not significant",AND(profit_kind="test",$Y347="in line",ISNUMBER($AB347),$AB347&lt;0))),IF(ROUND($AC347,3)=ROUND(significance_bar,3),TEXT($AC347,"0.0000"),TEXT($AC347,"0.000")),""),"")</f>
        <v/>
      </c>
      <c r="AO347">
        <f>IF(OR($AI347="",$AN347=""),$AI347,$AI347&amp;" · borderline (p "&amp;$AN347&amp;")")</f>
        <v/>
      </c>
    </row>
    <row r="348">
      <c r="A348" t="inlineStr">
        <is>
          <t>grids</t>
        </is>
      </c>
      <c r="B348" t="inlineStr">
        <is>
          <t>REV_DEBT x ASSET_CLASS</t>
        </is>
      </c>
      <c r="C348" t="inlineStr">
        <is>
          <t>13,052 - 17,186</t>
        </is>
      </c>
      <c r="D348" t="inlineStr">
        <is>
          <t>2</t>
        </is>
      </c>
      <c r="E348" t="inlineStr">
        <is>
          <t>contribution_rate</t>
        </is>
      </c>
      <c r="F348" t="inlineStr">
        <is>
          <t>Contribution before losses per booked dollar</t>
        </is>
      </c>
      <c r="G348" t="n">
        <v>392</v>
      </c>
      <c r="H348" t="n">
        <v>12936713.87</v>
      </c>
      <c r="I348" t="b">
        <v>0</v>
      </c>
      <c r="J348" t="b">
        <v>0</v>
      </c>
      <c r="K348" t="n">
        <v>0.02705611012863557</v>
      </c>
      <c r="L348" t="n">
        <v>0.006218905472636815</v>
      </c>
      <c r="M348" t="n">
        <v>0.006027610748008005</v>
      </c>
      <c r="N348" t="n">
        <v>0.8135791630084869</v>
      </c>
      <c r="O348" t="n">
        <v>-350017.1551693673</v>
      </c>
      <c r="P348" t="n">
        <v>-77977.4755667164</v>
      </c>
      <c r="Q348">
        <f>'_live'!$C$24</f>
        <v/>
      </c>
      <c r="R348" t="inlineStr">
        <is>
          <t>shuffled: 0 of 200</t>
        </is>
      </c>
      <c r="S348" t="inlineStr">
        <is>
          <t>shuffled: 95 of 200</t>
        </is>
      </c>
      <c r="T348" t="n">
        <v>0.1682359513166408</v>
      </c>
      <c r="U348" t="n">
        <v>0.1892644506972684</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0.1952920614452764</v>
      </c>
      <c r="AI348">
        <f>IF($Y348="worse","Yes",IF($Y348="worse, not significant","Not sure",IF(OR($Y348="too few losses to test",$Y348="too few loans to test"),"Too few losses",IF($Y348="","","No"))))</f>
        <v/>
      </c>
      <c r="AJ348">
        <f>IF($AA348="yes","Yes",IF($AA348="","","No"))</f>
        <v/>
      </c>
      <c r="AK348" t="n">
        <v>0.006218905472636815</v>
      </c>
      <c r="AL348" t="n">
        <v>0.0384214069236788</v>
      </c>
      <c r="AM348">
        <f>IF(AND(ISNUMBER($AC348),ISNUMBER(IF($V348,IF($AL348="","",$AL348),IF($AK348="","",$AK348)))),IF(AND(ABS($AC348-significance_bar)&lt;=2.0*IF($V348,IF($AL348="","",$AL348),IF($AK348="","",$AK348)),OR($Y348="worse",$Y348="better",$Y348="worse, not significant",$Y348="better, not significant",AND(profit_kind="test",$Y348="in line",ISNUMBER($AB348),$AB348&lt;&gt;0))),IF(ROUND($AC348,3)=ROUND(significance_bar,3),TEXT($AC348,"0.0000"),TEXT($AC348,"0.000")),""),"")</f>
        <v/>
      </c>
      <c r="AN348">
        <f>IF(AND(ISNUMBER($AC348),ISNUMBER(IF($V348,IF($AL348="","",$AL348),IF($AK348="","",$AK348)))),IF(AND(ABS($AC348-significance_bar)&lt;=2.0*IF($V348,IF($AL348="","",$AL348),IF($AK348="","",$AK348)),OR($Y348="worse",$Y348="worse, not significant",AND(profit_kind="test",$Y348="in line",ISNUMBER($AB348),$AB348&lt;0))),IF(ROUND($AC348,3)=ROUND(significance_bar,3),TEXT($AC348,"0.0000"),TEXT($AC348,"0.000")),""),"")</f>
        <v/>
      </c>
      <c r="AO348">
        <f>IF(OR($AI348="",$AN348=""),$AI348,$AI348&amp;" · borderline (p "&amp;$AN348&amp;")")</f>
        <v/>
      </c>
    </row>
    <row r="349">
      <c r="A349" t="inlineStr">
        <is>
          <t>grids</t>
        </is>
      </c>
      <c r="B349" t="inlineStr">
        <is>
          <t>REV_DEBT x ASSET_CLASS</t>
        </is>
      </c>
      <c r="C349" t="inlineStr">
        <is>
          <t>9,837 - 13,051</t>
        </is>
      </c>
      <c r="D349" t="inlineStr">
        <is>
          <t>1</t>
        </is>
      </c>
      <c r="E349" t="inlineStr">
        <is>
          <t>outcome_loans</t>
        </is>
      </c>
      <c r="F349" t="inlineStr">
        <is>
          <t>Outcome, share of loans</t>
        </is>
      </c>
      <c r="G349" t="n">
        <v>403</v>
      </c>
      <c r="H349" t="n">
        <v>403</v>
      </c>
      <c r="I349" t="b">
        <v>0</v>
      </c>
      <c r="J349" t="b">
        <v>0</v>
      </c>
      <c r="K349" t="n">
        <v>0.5968734491315136</v>
      </c>
      <c r="L349" t="n">
        <v>0.03750194111943851</v>
      </c>
      <c r="M349" t="n">
        <v>0.7042493796526055</v>
      </c>
      <c r="N349" t="n">
        <v>0.3038051245608153</v>
      </c>
      <c r="O349" t="n">
        <v>-12.83254344391785</v>
      </c>
      <c r="P349" t="n">
        <v>-7.979079497907946</v>
      </c>
      <c r="Q349">
        <f>'_live'!$C$20</f>
        <v/>
      </c>
      <c r="R349" t="inlineStr">
        <is>
          <t>z test</t>
        </is>
      </c>
      <c r="S349" t="inlineStr">
        <is>
          <t>z test</t>
        </is>
      </c>
      <c r="T349" t="n">
        <v>0.07898894154818326</v>
      </c>
      <c r="U349" t="n">
        <v>0.06694560669456066</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0.04714640198511166</v>
      </c>
      <c r="AI349">
        <f>IF($Y349="worse","Yes",IF($Y349="worse, not significant","Not sure",IF(OR($Y349="too few losses to test",$Y349="too few loans to test"),"Too few losses",IF($Y349="","","No"))))</f>
        <v/>
      </c>
      <c r="AJ349">
        <f>IF($AA349="yes","Yes",IF($AA349="","","No"))</f>
        <v/>
      </c>
      <c r="AM349">
        <f>IF(AND(ISNUMBER($AC349),ISNUMBER(IF($V349,IF($AL349="","",$AL349),IF($AK349="","",$AK349)))),IF(AND(ABS($AC349-significance_bar)&lt;=2.0*IF($V349,IF($AL349="","",$AL349),IF($AK349="","",$AK349)),OR($Y349="worse",$Y349="better",$Y349="worse, not significant",$Y349="better, not significant")),IF(ROUND($AC349,3)=ROUND(significance_bar,3),TEXT($AC349,"0.0000"),TEXT($AC349,"0.000")),""),"")</f>
        <v/>
      </c>
      <c r="AN349">
        <f>IF(AND(ISNUMBER($AC349),ISNUMBER(IF($V349,IF($AL349="","",$AL349),IF($AK349="","",$AK349)))),IF(AND(ABS($AC349-significance_bar)&lt;=2.0*IF($V349,IF($AL349="","",$AL349),IF($AK349="","",$AK349)),OR($Y349="worse",$Y349="worse, not significant")),IF(ROUND($AC349,3)=ROUND(significance_bar,3),TEXT($AC349,"0.0000"),TEXT($AC349,"0.000")),""),"")</f>
        <v/>
      </c>
      <c r="AO349">
        <f>IF(OR($AI349="",$AN349=""),$AI349,$AI349&amp;" · borderline (p "&amp;$AN349&amp;")")</f>
        <v/>
      </c>
    </row>
    <row r="350">
      <c r="A350" t="inlineStr">
        <is>
          <t>grids</t>
        </is>
      </c>
      <c r="B350" t="inlineStr">
        <is>
          <t>REV_DEBT x ASSET_CLASS</t>
        </is>
      </c>
      <c r="C350" t="inlineStr">
        <is>
          <t>9,837 - 13,051</t>
        </is>
      </c>
      <c r="D350" t="inlineStr">
        <is>
          <t>1</t>
        </is>
      </c>
      <c r="E350" t="inlineStr">
        <is>
          <t>outcome_booked</t>
        </is>
      </c>
      <c r="F350" t="inlineStr">
        <is>
          <t>Outcome, share of booked dollars</t>
        </is>
      </c>
      <c r="G350" t="n">
        <v>403</v>
      </c>
      <c r="H350" t="n">
        <v>13476229.77999999</v>
      </c>
      <c r="I350" t="b">
        <v>0</v>
      </c>
      <c r="J350" t="b">
        <v>0</v>
      </c>
      <c r="K350" t="n">
        <v>0.6789778449895717</v>
      </c>
      <c r="L350" t="n">
        <v>0.1374943464495703</v>
      </c>
      <c r="M350" t="n">
        <v>0.843630462786421</v>
      </c>
      <c r="N350" t="n">
        <v>0.5986733001658374</v>
      </c>
      <c r="O350" t="n">
        <v>-329242.3751699268</v>
      </c>
      <c r="P350" t="n">
        <v>-129073.2427797061</v>
      </c>
      <c r="Q350">
        <f>'_live'!$C$21</f>
        <v/>
      </c>
      <c r="R350" t="inlineStr">
        <is>
          <t>shuffled: 15 of 200</t>
        </is>
      </c>
      <c r="S350" t="inlineStr">
        <is>
          <t>shuffled: 94 of 200</t>
        </is>
      </c>
      <c r="T350" t="n">
        <v>0.07610484623021375</v>
      </c>
      <c r="U350" t="n">
        <v>0.0612513496916425</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0.05167350448665327</v>
      </c>
      <c r="AI350">
        <f>IF($Y350="worse","Yes",IF($Y350="worse, not significant","Not sure",IF(OR($Y350="too few losses to test",$Y350="too few loans to test"),"Too few losses",IF($Y350="","","No"))))</f>
        <v/>
      </c>
      <c r="AJ350">
        <f>IF($AA350="yes","Yes",IF($AA350="","","No"))</f>
        <v/>
      </c>
      <c r="AK350" t="n">
        <v>0.03305945700332479</v>
      </c>
      <c r="AL350" t="n">
        <v>0.04471631655290601</v>
      </c>
      <c r="AM350">
        <f>IF(AND(ISNUMBER($AC350),ISNUMBER(IF($V350,IF($AL350="","",$AL350),IF($AK350="","",$AK350)))),IF(AND(ABS($AC350-significance_bar)&lt;=2.0*IF($V350,IF($AL350="","",$AL350),IF($AK350="","",$AK350)),OR($Y350="worse",$Y350="better",$Y350="worse, not significant",$Y350="better, not significant")),IF(ROUND($AC350,3)=ROUND(significance_bar,3),TEXT($AC350,"0.0000"),TEXT($AC350,"0.000")),""),"")</f>
        <v/>
      </c>
      <c r="AN350">
        <f>IF(AND(ISNUMBER($AC350),ISNUMBER(IF($V350,IF($AL350="","",$AL350),IF($AK350="","",$AK350)))),IF(AND(ABS($AC350-significance_bar)&lt;=2.0*IF($V350,IF($AL350="","",$AL350),IF($AK350="","",$AK350)),OR($Y350="worse",$Y350="worse, not significant")),IF(ROUND($AC350,3)=ROUND(significance_bar,3),TEXT($AC350,"0.0000"),TEXT($AC350,"0.000")),""),"")</f>
        <v/>
      </c>
      <c r="AO350">
        <f>IF(OR($AI350="",$AN350=""),$AI350,$AI350&amp;" · borderline (p "&amp;$AN350&amp;")")</f>
        <v/>
      </c>
    </row>
    <row r="351">
      <c r="A351" t="inlineStr">
        <is>
          <t>grids</t>
        </is>
      </c>
      <c r="B351" t="inlineStr">
        <is>
          <t>REV_DEBT x ASSET_CLASS</t>
        </is>
      </c>
      <c r="C351" t="inlineStr">
        <is>
          <t>9,837 - 13,051</t>
        </is>
      </c>
      <c r="D351" t="inlineStr">
        <is>
          <t>1</t>
        </is>
      </c>
      <c r="E351" t="inlineStr">
        <is>
          <t>gco_rate</t>
        </is>
      </c>
      <c r="F351" t="inlineStr">
        <is>
          <t>GCO per booked dollar</t>
        </is>
      </c>
      <c r="G351" t="n">
        <v>403</v>
      </c>
      <c r="H351" t="n">
        <v>13476229.77999999</v>
      </c>
      <c r="I351" t="b">
        <v>0</v>
      </c>
      <c r="J351" t="b">
        <v>0</v>
      </c>
      <c r="K351" t="n">
        <v>0.767201937220102</v>
      </c>
      <c r="L351" t="n">
        <v>0.310589907604833</v>
      </c>
      <c r="M351" t="n">
        <v>1.001121069625541</v>
      </c>
      <c r="N351" t="n">
        <v>0.9950248756218907</v>
      </c>
      <c r="O351" t="n">
        <v>-132132.2389085888</v>
      </c>
      <c r="P351" t="n">
        <v>487.624038431677</v>
      </c>
      <c r="Q351">
        <f>'_live'!$C$22</f>
        <v/>
      </c>
      <c r="R351" t="inlineStr">
        <is>
          <t>shuffled: 45 of 200</t>
        </is>
      </c>
      <c r="S351" t="inlineStr">
        <is>
          <t>shuffled: 199 of 200</t>
        </is>
      </c>
      <c r="T351" t="n">
        <v>0.04211734870764344</v>
      </c>
      <c r="U351" t="n">
        <v>0.03227632750868459</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0.03231251151907861</v>
      </c>
      <c r="AI351">
        <f>IF($Y351="worse","Yes",IF($Y351="worse, not significant","Not sure",IF(OR($Y351="too few losses to test",$Y351="too few loans to test"),"Too few losses",IF($Y351="","","No"))))</f>
        <v/>
      </c>
      <c r="AJ351">
        <f>IF($AA351="yes","Yes",IF($AA351="","","No"))</f>
        <v/>
      </c>
      <c r="AK351" t="n">
        <v>0.04031431407704839</v>
      </c>
      <c r="AL351" t="n">
        <v>0.004975124378109441</v>
      </c>
      <c r="AM351">
        <f>IF(AND(ISNUMBER($AC351),ISNUMBER(IF($V351,IF($AL351="","",$AL351),IF($AK351="","",$AK351)))),IF(AND(ABS($AC351-significance_bar)&lt;=2.0*IF($V351,IF($AL351="","",$AL351),IF($AK351="","",$AK351)),OR($Y351="worse",$Y351="better",$Y351="worse, not significant",$Y351="better, not significant")),IF(ROUND($AC351,3)=ROUND(significance_bar,3),TEXT($AC351,"0.0000"),TEXT($AC351,"0.000")),""),"")</f>
        <v/>
      </c>
      <c r="AN351">
        <f>IF(AND(ISNUMBER($AC351),ISNUMBER(IF($V351,IF($AL351="","",$AL351),IF($AK351="","",$AK351)))),IF(AND(ABS($AC351-significance_bar)&lt;=2.0*IF($V351,IF($AL351="","",$AL351),IF($AK351="","",$AK351)),OR($Y351="worse",$Y351="worse, not significant")),IF(ROUND($AC351,3)=ROUND(significance_bar,3),TEXT($AC351,"0.0000"),TEXT($AC351,"0.000")),""),"")</f>
        <v/>
      </c>
      <c r="AO351">
        <f>IF(OR($AI351="",$AN351=""),$AI351,$AI351&amp;" · borderline (p "&amp;$AN351&amp;")")</f>
        <v/>
      </c>
    </row>
    <row r="352">
      <c r="A352" t="inlineStr">
        <is>
          <t>grids</t>
        </is>
      </c>
      <c r="B352" t="inlineStr">
        <is>
          <t>REV_DEBT x ASSET_CLASS</t>
        </is>
      </c>
      <c r="C352" t="inlineStr">
        <is>
          <t>9,837 - 13,051</t>
        </is>
      </c>
      <c r="D352" t="inlineStr">
        <is>
          <t>1</t>
        </is>
      </c>
      <c r="E352" t="inlineStr">
        <is>
          <t>ranr_rate</t>
        </is>
      </c>
      <c r="F352" t="inlineStr">
        <is>
          <t>Profit after losses: RANR per booked dollar</t>
        </is>
      </c>
      <c r="G352" t="n">
        <v>403</v>
      </c>
      <c r="H352" t="n">
        <v>13476229.77999999</v>
      </c>
      <c r="I352" t="b">
        <v>0</v>
      </c>
      <c r="J352" t="b">
        <v>0</v>
      </c>
      <c r="K352" t="n">
        <v>0.007090581732877882</v>
      </c>
      <c r="L352" t="n">
        <v>0.6405472636815921</v>
      </c>
      <c r="M352" t="n">
        <v>0.004458637609462412</v>
      </c>
      <c r="N352" t="n">
        <v>0.812603648424544</v>
      </c>
      <c r="O352" t="n">
        <v>-95554.30870613293</v>
      </c>
      <c r="P352" t="n">
        <v>-60085.62493086536</v>
      </c>
      <c r="Q352">
        <f>'_live'!$C$23</f>
        <v/>
      </c>
      <c r="R352" t="inlineStr">
        <is>
          <t>shuffled: 102 of 200</t>
        </is>
      </c>
      <c r="S352" t="inlineStr">
        <is>
          <t>shuffled: 139 of 200</t>
        </is>
      </c>
      <c r="T352" t="n">
        <v>0.127619782340478</v>
      </c>
      <c r="U352" t="n">
        <v>0.1302517264638935</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0.1347103640733559</v>
      </c>
      <c r="AI352">
        <f>IF($Y352="worse","Yes",IF($Y352="worse, not significant","Not sure",IF(OR($Y352="too few losses to test",$Y352="too few loans to test"),"Too few losses",IF($Y352="","","No"))))</f>
        <v/>
      </c>
      <c r="AJ352">
        <f>IF($AA352="yes","Yes",IF($AA352="","","No"))</f>
        <v/>
      </c>
      <c r="AK352" t="n">
        <v>0.04418049810674474</v>
      </c>
      <c r="AL352" t="n">
        <v>0.03482587064676616</v>
      </c>
      <c r="AM352">
        <f>IF(AND(ISNUMBER($AC352),ISNUMBER(IF($V352,IF($AL352="","",$AL352),IF($AK352="","",$AK352)))),IF(AND(ABS($AC352-significance_bar)&lt;=2.0*IF($V352,IF($AL352="","",$AL352),IF($AK352="","",$AK352)),OR($Y352="worse",$Y352="better",$Y352="worse, not significant",$Y352="better, not significant",AND(profit_kind="test",$Y352="in line",ISNUMBER($AB352),$AB352&lt;&gt;0))),IF(ROUND($AC352,3)=ROUND(significance_bar,3),TEXT($AC352,"0.0000"),TEXT($AC352,"0.000")),""),"")</f>
        <v/>
      </c>
      <c r="AN352">
        <f>IF(AND(ISNUMBER($AC352),ISNUMBER(IF($V352,IF($AL352="","",$AL352),IF($AK352="","",$AK352)))),IF(AND(ABS($AC352-significance_bar)&lt;=2.0*IF($V352,IF($AL352="","",$AL352),IF($AK352="","",$AK352)),OR($Y352="worse",$Y352="worse, not significant",AND(profit_kind="test",$Y352="in line",ISNUMBER($AB352),$AB352&lt;0))),IF(ROUND($AC352,3)=ROUND(significance_bar,3),TEXT($AC352,"0.0000"),TEXT($AC352,"0.000")),""),"")</f>
        <v/>
      </c>
      <c r="AO352">
        <f>IF(OR($AI352="",$AN352=""),$AI352,$AI352&amp;" · borderline (p "&amp;$AN352&amp;")")</f>
        <v/>
      </c>
    </row>
    <row r="353">
      <c r="A353" t="inlineStr">
        <is>
          <t>grids</t>
        </is>
      </c>
      <c r="B353" t="inlineStr">
        <is>
          <t>REV_DEBT x ASSET_CLASS</t>
        </is>
      </c>
      <c r="C353" t="inlineStr">
        <is>
          <t>9,837 - 13,051</t>
        </is>
      </c>
      <c r="D353" t="inlineStr">
        <is>
          <t>1</t>
        </is>
      </c>
      <c r="E353" t="inlineStr">
        <is>
          <t>contribution_rate</t>
        </is>
      </c>
      <c r="F353" t="inlineStr">
        <is>
          <t>Contribution before losses per booked dollar</t>
        </is>
      </c>
      <c r="G353" t="n">
        <v>403</v>
      </c>
      <c r="H353" t="n">
        <v>13476229.77999999</v>
      </c>
      <c r="I353" t="b">
        <v>0</v>
      </c>
      <c r="J353" t="b">
        <v>0</v>
      </c>
      <c r="K353" t="n">
        <v>-0.002711178563881728</v>
      </c>
      <c r="L353" t="n">
        <v>0.7069913589945012</v>
      </c>
      <c r="M353" t="n">
        <v>0.004494821619856287</v>
      </c>
      <c r="N353" t="n">
        <v>0.8135791630084869</v>
      </c>
      <c r="O353" t="n">
        <v>36536.46530148061</v>
      </c>
      <c r="P353" t="n">
        <v>-60573.24896929506</v>
      </c>
      <c r="Q353">
        <f>'_live'!$C$24</f>
        <v/>
      </c>
      <c r="R353" t="inlineStr">
        <is>
          <t>shuffled: 134 of 200</t>
        </is>
      </c>
      <c r="S353" t="inlineStr">
        <is>
          <t>shuffled: 110 of 200</t>
        </is>
      </c>
      <c r="T353" t="n">
        <v>0.1697340541563161</v>
      </c>
      <c r="U353" t="n">
        <v>0.1625280539725781</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0.1670228755924344</v>
      </c>
      <c r="AI353">
        <f>IF($Y353="worse","Yes",IF($Y353="worse, not significant","Not sure",IF(OR($Y353="too few losses to test",$Y353="too few loans to test"),"Too few losses",IF($Y353="","","No"))))</f>
        <v/>
      </c>
      <c r="AJ353">
        <f>IF($AA353="yes","Yes",IF($AA353="","","No"))</f>
        <v/>
      </c>
      <c r="AK353" t="n">
        <v>0.03495458831309817</v>
      </c>
      <c r="AL353" t="n">
        <v>0.0384214069236788</v>
      </c>
      <c r="AM353">
        <f>IF(AND(ISNUMBER($AC353),ISNUMBER(IF($V353,IF($AL353="","",$AL353),IF($AK353="","",$AK353)))),IF(AND(ABS($AC353-significance_bar)&lt;=2.0*IF($V353,IF($AL353="","",$AL353),IF($AK353="","",$AK353)),OR($Y353="worse",$Y353="better",$Y353="worse, not significant",$Y353="better, not significant",AND(profit_kind="test",$Y353="in line",ISNUMBER($AB353),$AB353&lt;&gt;0))),IF(ROUND($AC353,3)=ROUND(significance_bar,3),TEXT($AC353,"0.0000"),TEXT($AC353,"0.000")),""),"")</f>
        <v/>
      </c>
      <c r="AN353">
        <f>IF(AND(ISNUMBER($AC353),ISNUMBER(IF($V353,IF($AL353="","",$AL353),IF($AK353="","",$AK353)))),IF(AND(ABS($AC353-significance_bar)&lt;=2.0*IF($V353,IF($AL353="","",$AL353),IF($AK353="","",$AK353)),OR($Y353="worse",$Y353="worse, not significant",AND(profit_kind="test",$Y353="in line",ISNUMBER($AB353),$AB353&lt;0))),IF(ROUND($AC353,3)=ROUND(significance_bar,3),TEXT($AC353,"0.0000"),TEXT($AC353,"0.000")),""),"")</f>
        <v/>
      </c>
      <c r="AO353">
        <f>IF(OR($AI353="",$AN353=""),$AI353,$AI353&amp;" · borderline (p "&amp;$AN353&amp;")")</f>
        <v/>
      </c>
    </row>
    <row r="354">
      <c r="A354" t="inlineStr">
        <is>
          <t>grids</t>
        </is>
      </c>
      <c r="B354" t="inlineStr">
        <is>
          <t>REV_DEBT x ASSET_CLASS</t>
        </is>
      </c>
      <c r="C354" t="inlineStr">
        <is>
          <t>17,187 - 48,521</t>
        </is>
      </c>
      <c r="D354" t="inlineStr">
        <is>
          <t>4</t>
        </is>
      </c>
      <c r="E354" t="inlineStr">
        <is>
          <t>outcome_loans</t>
        </is>
      </c>
      <c r="F354" t="inlineStr">
        <is>
          <t>Outcome, share of loans</t>
        </is>
      </c>
      <c r="G354" t="n">
        <v>424</v>
      </c>
      <c r="H354" t="n">
        <v>424</v>
      </c>
      <c r="I354" t="b">
        <v>0</v>
      </c>
      <c r="J354" t="b">
        <v>0</v>
      </c>
      <c r="K354" t="n">
        <v>2.728075260883315</v>
      </c>
      <c r="L354" t="n">
        <v>7.67629080949824e-19</v>
      </c>
      <c r="M354" t="n">
        <v>1.412633305988515</v>
      </c>
      <c r="N354" t="n">
        <v>0.05185347876011516</v>
      </c>
      <c r="O354" t="n">
        <v>51.94217821782178</v>
      </c>
      <c r="P354" t="n">
        <v>23.95238095238095</v>
      </c>
      <c r="Q354">
        <f>'_live'!$C$20</f>
        <v/>
      </c>
      <c r="R354" t="inlineStr">
        <is>
          <t>z test</t>
        </is>
      </c>
      <c r="S354" t="inlineStr">
        <is>
          <t>z test</t>
        </is>
      </c>
      <c r="T354" t="n">
        <v>0.07089108910891088</v>
      </c>
      <c r="U354" t="n">
        <v>0.1369047619047619</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0.1933962264150944</v>
      </c>
      <c r="AI354">
        <f>IF($Y354="worse","Yes",IF($Y354="worse, not significant","Not sure",IF(OR($Y354="too few losses to test",$Y354="too few loans to test"),"Too few losses",IF($Y354="","","No"))))</f>
        <v/>
      </c>
      <c r="AJ354">
        <f>IF($AA354="yes","Yes",IF($AA354="","","No"))</f>
        <v/>
      </c>
      <c r="AM354">
        <f>IF(AND(ISNUMBER($AC354),ISNUMBER(IF($V354,IF($AL354="","",$AL354),IF($AK354="","",$AK354)))),IF(AND(ABS($AC354-significance_bar)&lt;=2.0*IF($V354,IF($AL354="","",$AL354),IF($AK354="","",$AK354)),OR($Y354="worse",$Y354="better",$Y354="worse, not significant",$Y354="better, not significant")),IF(ROUND($AC354,3)=ROUND(significance_bar,3),TEXT($AC354,"0.0000"),TEXT($AC354,"0.000")),""),"")</f>
        <v/>
      </c>
      <c r="AN354">
        <f>IF(AND(ISNUMBER($AC354),ISNUMBER(IF($V354,IF($AL354="","",$AL354),IF($AK354="","",$AK354)))),IF(AND(ABS($AC354-significance_bar)&lt;=2.0*IF($V354,IF($AL354="","",$AL354),IF($AK354="","",$AK354)),OR($Y354="worse",$Y354="worse, not significant")),IF(ROUND($AC354,3)=ROUND(significance_bar,3),TEXT($AC354,"0.0000"),TEXT($AC354,"0.000")),""),"")</f>
        <v/>
      </c>
      <c r="AO354">
        <f>IF(OR($AI354="",$AN354=""),$AI354,$AI354&amp;" · borderline (p "&amp;$AN354&amp;")")</f>
        <v/>
      </c>
    </row>
    <row r="355">
      <c r="A355" t="inlineStr">
        <is>
          <t>grids</t>
        </is>
      </c>
      <c r="B355" t="inlineStr">
        <is>
          <t>REV_DEBT x ASSET_CLASS</t>
        </is>
      </c>
      <c r="C355" t="inlineStr">
        <is>
          <t>17,187 - 48,521</t>
        </is>
      </c>
      <c r="D355" t="inlineStr">
        <is>
          <t>4</t>
        </is>
      </c>
      <c r="E355" t="inlineStr">
        <is>
          <t>outcome_booked</t>
        </is>
      </c>
      <c r="F355" t="inlineStr">
        <is>
          <t>Outcome, share of booked dollars</t>
        </is>
      </c>
      <c r="G355" t="n">
        <v>424</v>
      </c>
      <c r="H355" t="n">
        <v>13481217.98</v>
      </c>
      <c r="I355" t="b">
        <v>0</v>
      </c>
      <c r="J355" t="b">
        <v>0</v>
      </c>
      <c r="K355" t="n">
        <v>3.071863560435061</v>
      </c>
      <c r="L355" t="n">
        <v>0.01575456053067993</v>
      </c>
      <c r="M355" t="n">
        <v>1.603112774577653</v>
      </c>
      <c r="N355" t="n">
        <v>0.0472636815920398</v>
      </c>
      <c r="O355" t="n">
        <v>1885917.653109591</v>
      </c>
      <c r="P355" t="n">
        <v>1051956.904160923</v>
      </c>
      <c r="Q355">
        <f>'_live'!$C$21</f>
        <v/>
      </c>
      <c r="R355" t="inlineStr">
        <is>
          <t>shuffled: 0 of 200</t>
        </is>
      </c>
      <c r="S355" t="inlineStr">
        <is>
          <t>shuffled: 0 of 200</t>
        </is>
      </c>
      <c r="T355" t="n">
        <v>0.06752000140052704</v>
      </c>
      <c r="U355" t="n">
        <v>0.1293809363832479</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0.2074122319028033</v>
      </c>
      <c r="AI355">
        <f>IF($Y355="worse","Yes",IF($Y355="worse, not significant","Not sure",IF(OR($Y355="too few losses to test",$Y355="too few loans to test"),"Too few losses",IF($Y355="","","No"))))</f>
        <v/>
      </c>
      <c r="AJ355">
        <f>IF($AA355="yes","Yes",IF($AA355="","","No"))</f>
        <v/>
      </c>
      <c r="AK355" t="n">
        <v>0.01575456053067993</v>
      </c>
      <c r="AL355" t="n">
        <v>0.0472636815920398</v>
      </c>
      <c r="AM355">
        <f>IF(AND(ISNUMBER($AC355),ISNUMBER(IF($V355,IF($AL355="","",$AL355),IF($AK355="","",$AK355)))),IF(AND(ABS($AC355-significance_bar)&lt;=2.0*IF($V355,IF($AL355="","",$AL355),IF($AK355="","",$AK355)),OR($Y355="worse",$Y355="better",$Y355="worse, not significant",$Y355="better, not significant")),IF(ROUND($AC355,3)=ROUND(significance_bar,3),TEXT($AC355,"0.0000"),TEXT($AC355,"0.000")),""),"")</f>
        <v/>
      </c>
      <c r="AN355">
        <f>IF(AND(ISNUMBER($AC355),ISNUMBER(IF($V355,IF($AL355="","",$AL355),IF($AK355="","",$AK355)))),IF(AND(ABS($AC355-significance_bar)&lt;=2.0*IF($V355,IF($AL355="","",$AL355),IF($AK355="","",$AK355)),OR($Y355="worse",$Y355="worse, not significant")),IF(ROUND($AC355,3)=ROUND(significance_bar,3),TEXT($AC355,"0.0000"),TEXT($AC355,"0.000")),""),"")</f>
        <v/>
      </c>
      <c r="AO355">
        <f>IF(OR($AI355="",$AN355=""),$AI355,$AI355&amp;" · borderline (p "&amp;$AN355&amp;")")</f>
        <v/>
      </c>
    </row>
    <row r="356">
      <c r="A356" t="inlineStr">
        <is>
          <t>grids</t>
        </is>
      </c>
      <c r="B356" t="inlineStr">
        <is>
          <t>REV_DEBT x ASSET_CLASS</t>
        </is>
      </c>
      <c r="C356" t="inlineStr">
        <is>
          <t>17,187 - 48,521</t>
        </is>
      </c>
      <c r="D356" t="inlineStr">
        <is>
          <t>4</t>
        </is>
      </c>
      <c r="E356" t="inlineStr">
        <is>
          <t>gco_rate</t>
        </is>
      </c>
      <c r="F356" t="inlineStr">
        <is>
          <t>GCO per booked dollar</t>
        </is>
      </c>
      <c r="G356" t="n">
        <v>424</v>
      </c>
      <c r="H356" t="n">
        <v>13481217.98</v>
      </c>
      <c r="I356" t="b">
        <v>0</v>
      </c>
      <c r="J356" t="b">
        <v>0</v>
      </c>
      <c r="K356" t="n">
        <v>2.953293569108773</v>
      </c>
      <c r="L356" t="n">
        <v>0.01350390902629709</v>
      </c>
      <c r="M356" t="n">
        <v>1.516773258353906</v>
      </c>
      <c r="N356" t="n">
        <v>0.0472636815920398</v>
      </c>
      <c r="O356" t="n">
        <v>994127.781811918</v>
      </c>
      <c r="P356" t="n">
        <v>512106.9607901069</v>
      </c>
      <c r="Q356">
        <f>'_live'!$C$22</f>
        <v/>
      </c>
      <c r="R356" t="inlineStr">
        <is>
          <t>shuffled: 0 of 200</t>
        </is>
      </c>
      <c r="S356" t="inlineStr">
        <is>
          <t>shuffled: 0 of 200</t>
        </is>
      </c>
      <c r="T356" t="n">
        <v>0.03775248638091394</v>
      </c>
      <c r="U356" t="n">
        <v>0.07350747689712034</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0.1114941752466197</v>
      </c>
      <c r="AI356">
        <f>IF($Y356="worse","Yes",IF($Y356="worse, not significant","Not sure",IF(OR($Y356="too few losses to test",$Y356="too few loans to test"),"Too few losses",IF($Y356="","","No"))))</f>
        <v/>
      </c>
      <c r="AJ356">
        <f>IF($AA356="yes","Yes",IF($AA356="","","No"))</f>
        <v/>
      </c>
      <c r="AK356" t="n">
        <v>0.01350390902629709</v>
      </c>
      <c r="AL356" t="n">
        <v>0.0472636815920398</v>
      </c>
      <c r="AM356">
        <f>IF(AND(ISNUMBER($AC356),ISNUMBER(IF($V356,IF($AL356="","",$AL356),IF($AK356="","",$AK356)))),IF(AND(ABS($AC356-significance_bar)&lt;=2.0*IF($V356,IF($AL356="","",$AL356),IF($AK356="","",$AK356)),OR($Y356="worse",$Y356="better",$Y356="worse, not significant",$Y356="better, not significant")),IF(ROUND($AC356,3)=ROUND(significance_bar,3),TEXT($AC356,"0.0000"),TEXT($AC356,"0.000")),""),"")</f>
        <v/>
      </c>
      <c r="AN356">
        <f>IF(AND(ISNUMBER($AC356),ISNUMBER(IF($V356,IF($AL356="","",$AL356),IF($AK356="","",$AK356)))),IF(AND(ABS($AC356-significance_bar)&lt;=2.0*IF($V356,IF($AL356="","",$AL356),IF($AK356="","",$AK356)),OR($Y356="worse",$Y356="worse, not significant")),IF(ROUND($AC356,3)=ROUND(significance_bar,3),TEXT($AC356,"0.0000"),TEXT($AC356,"0.000")),""),"")</f>
        <v/>
      </c>
      <c r="AO356">
        <f>IF(OR($AI356="",$AN356=""),$AI356,$AI356&amp;" · borderline (p "&amp;$AN356&amp;")")</f>
        <v/>
      </c>
    </row>
    <row r="357">
      <c r="A357" t="inlineStr">
        <is>
          <t>grids</t>
        </is>
      </c>
      <c r="B357" t="inlineStr">
        <is>
          <t>REV_DEBT x ASSET_CLASS</t>
        </is>
      </c>
      <c r="C357" t="inlineStr">
        <is>
          <t>17,187 - 48,521</t>
        </is>
      </c>
      <c r="D357" t="inlineStr">
        <is>
          <t>4</t>
        </is>
      </c>
      <c r="E357" t="inlineStr">
        <is>
          <t>ranr_rate</t>
        </is>
      </c>
      <c r="F357" t="inlineStr">
        <is>
          <t>Profit after losses: RANR per booked dollar</t>
        </is>
      </c>
      <c r="G357" t="n">
        <v>424</v>
      </c>
      <c r="H357" t="n">
        <v>13481217.98</v>
      </c>
      <c r="I357" t="b">
        <v>0</v>
      </c>
      <c r="J357" t="b">
        <v>0</v>
      </c>
      <c r="K357" t="n">
        <v>-0.004540127430628274</v>
      </c>
      <c r="L357" t="n">
        <v>0.746268656716418</v>
      </c>
      <c r="M357" t="n">
        <v>-0.03065526849313636</v>
      </c>
      <c r="N357" t="n">
        <v>0.2736318407960199</v>
      </c>
      <c r="O357" t="n">
        <v>61206.44754927699</v>
      </c>
      <c r="P357" t="n">
        <v>413270.3567913973</v>
      </c>
      <c r="Q357">
        <f>'_live'!$C$23</f>
        <v/>
      </c>
      <c r="R357" t="inlineStr">
        <is>
          <t>shuffled: 134 of 200</t>
        </is>
      </c>
      <c r="S357" t="inlineStr">
        <is>
          <t>shuffled: 10 of 200</t>
        </is>
      </c>
      <c r="T357" t="n">
        <v>0.128227221020669</v>
      </c>
      <c r="U357" t="n">
        <v>0.1543423620831771</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0.1236870935900408</v>
      </c>
      <c r="AI357">
        <f>IF($Y357="worse","Yes",IF($Y357="worse, not significant","Not sure",IF(OR($Y357="too few losses to test",$Y357="too few loans to test"),"Too few losses",IF($Y357="","","No"))))</f>
        <v/>
      </c>
      <c r="AJ357">
        <f>IF($AA357="yes","Yes",IF($AA357="","","No"))</f>
        <v/>
      </c>
      <c r="AK357" t="n">
        <v>0.03689650988604807</v>
      </c>
      <c r="AL357" t="n">
        <v>0.0804140789813165</v>
      </c>
      <c r="AM357">
        <f>IF(AND(ISNUMBER($AC357),ISNUMBER(IF($V357,IF($AL357="","",$AL357),IF($AK357="","",$AK357)))),IF(AND(ABS($AC357-significance_bar)&lt;=2.0*IF($V357,IF($AL357="","",$AL357),IF($AK357="","",$AK357)),OR($Y357="worse",$Y357="better",$Y357="worse, not significant",$Y357="better, not significant",AND(profit_kind="test",$Y357="in line",ISNUMBER($AB357),$AB357&lt;&gt;0))),IF(ROUND($AC357,3)=ROUND(significance_bar,3),TEXT($AC357,"0.0000"),TEXT($AC357,"0.000")),""),"")</f>
        <v/>
      </c>
      <c r="AN357">
        <f>IF(AND(ISNUMBER($AC357),ISNUMBER(IF($V357,IF($AL357="","",$AL357),IF($AK357="","",$AK357)))),IF(AND(ABS($AC357-significance_bar)&lt;=2.0*IF($V357,IF($AL357="","",$AL357),IF($AK357="","",$AK357)),OR($Y357="worse",$Y357="worse, not significant",AND(profit_kind="test",$Y357="in line",ISNUMBER($AB357),$AB357&lt;0))),IF(ROUND($AC357,3)=ROUND(significance_bar,3),TEXT($AC357,"0.0000"),TEXT($AC357,"0.000")),""),"")</f>
        <v/>
      </c>
      <c r="AO357">
        <f>IF(OR($AI357="",$AN357=""),$AI357,$AI357&amp;" · borderline (p "&amp;$AN357&amp;")")</f>
        <v/>
      </c>
    </row>
    <row r="358">
      <c r="A358" t="inlineStr">
        <is>
          <t>grids</t>
        </is>
      </c>
      <c r="B358" t="inlineStr">
        <is>
          <t>REV_DEBT x ASSET_CLASS</t>
        </is>
      </c>
      <c r="C358" t="inlineStr">
        <is>
          <t>17,187 - 48,521</t>
        </is>
      </c>
      <c r="D358" t="inlineStr">
        <is>
          <t>4</t>
        </is>
      </c>
      <c r="E358" t="inlineStr">
        <is>
          <t>contribution_rate</t>
        </is>
      </c>
      <c r="F358" t="inlineStr">
        <is>
          <t>Contribution before losses per booked dollar</t>
        </is>
      </c>
      <c r="G358" t="n">
        <v>424</v>
      </c>
      <c r="H358" t="n">
        <v>13481217.98</v>
      </c>
      <c r="I358" t="b">
        <v>0</v>
      </c>
      <c r="J358" t="b">
        <v>0</v>
      </c>
      <c r="K358" t="n">
        <v>0.06920453981634664</v>
      </c>
      <c r="L358" t="n">
        <v>0.006218905472636815</v>
      </c>
      <c r="M358" t="n">
        <v>0.007331429856362898</v>
      </c>
      <c r="N358" t="n">
        <v>0.8070757324488668</v>
      </c>
      <c r="O358" t="n">
        <v>-932961.4864697577</v>
      </c>
      <c r="P358" t="n">
        <v>-98836.60399870807</v>
      </c>
      <c r="Q358">
        <f>'_live'!$C$24</f>
        <v/>
      </c>
      <c r="R358" t="inlineStr">
        <is>
          <t>shuffled: 0 of 200</t>
        </is>
      </c>
      <c r="S358" t="inlineStr">
        <is>
          <t>shuffled: 72 of 200</t>
        </is>
      </c>
      <c r="T358" t="n">
        <v>0.1659767290203137</v>
      </c>
      <c r="U358" t="n">
        <v>0.2278498389802975</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0.2351812688366604</v>
      </c>
      <c r="AI358">
        <f>IF($Y358="worse","Yes",IF($Y358="worse, not significant","Not sure",IF(OR($Y358="too few losses to test",$Y358="too few loans to test"),"Too few losses",IF($Y358="","","No"))))</f>
        <v/>
      </c>
      <c r="AJ358">
        <f>IF($AA358="yes","Yes",IF($AA358="","","No"))</f>
        <v/>
      </c>
      <c r="AK358" t="n">
        <v>0.006218905472636815</v>
      </c>
      <c r="AL358" t="n">
        <v>0.07556885567997816</v>
      </c>
      <c r="AM358">
        <f>IF(AND(ISNUMBER($AC358),ISNUMBER(IF($V358,IF($AL358="","",$AL358),IF($AK358="","",$AK358)))),IF(AND(ABS($AC358-significance_bar)&lt;=2.0*IF($V358,IF($AL358="","",$AL358),IF($AK358="","",$AK358)),OR($Y358="worse",$Y358="better",$Y358="worse, not significant",$Y358="better, not significant",AND(profit_kind="test",$Y358="in line",ISNUMBER($AB358),$AB358&lt;&gt;0))),IF(ROUND($AC358,3)=ROUND(significance_bar,3),TEXT($AC358,"0.0000"),TEXT($AC358,"0.000")),""),"")</f>
        <v/>
      </c>
      <c r="AN358">
        <f>IF(AND(ISNUMBER($AC358),ISNUMBER(IF($V358,IF($AL358="","",$AL358),IF($AK358="","",$AK358)))),IF(AND(ABS($AC358-significance_bar)&lt;=2.0*IF($V358,IF($AL358="","",$AL358),IF($AK358="","",$AK358)),OR($Y358="worse",$Y358="worse, not significant",AND(profit_kind="test",$Y358="in line",ISNUMBER($AB358),$AB358&lt;0))),IF(ROUND($AC358,3)=ROUND(significance_bar,3),TEXT($AC358,"0.0000"),TEXT($AC358,"0.000")),""),"")</f>
        <v/>
      </c>
      <c r="AO358">
        <f>IF(OR($AI358="",$AN358=""),$AI358,$AI358&amp;" · borderline (p "&amp;$AN358&amp;")")</f>
        <v/>
      </c>
    </row>
    <row r="359">
      <c r="A359" t="inlineStr">
        <is>
          <t>grids</t>
        </is>
      </c>
      <c r="B359" t="inlineStr">
        <is>
          <t>REV_DEBT x ASSET_CLASS</t>
        </is>
      </c>
      <c r="C359" t="inlineStr">
        <is>
          <t>17,187 - 48,521</t>
        </is>
      </c>
      <c r="D359" t="inlineStr">
        <is>
          <t>3</t>
        </is>
      </c>
      <c r="E359" t="inlineStr">
        <is>
          <t>outcome_loans</t>
        </is>
      </c>
      <c r="F359" t="inlineStr">
        <is>
          <t>Outcome, share of loans</t>
        </is>
      </c>
      <c r="G359" t="n">
        <v>380</v>
      </c>
      <c r="H359" t="n">
        <v>380</v>
      </c>
      <c r="I359" t="b">
        <v>0</v>
      </c>
      <c r="J359" t="b">
        <v>0</v>
      </c>
      <c r="K359" t="n">
        <v>2.033540925266904</v>
      </c>
      <c r="L359" t="n">
        <v>3.606449253775286e-07</v>
      </c>
      <c r="M359" t="n">
        <v>0.9838709677419355</v>
      </c>
      <c r="N359" t="n">
        <v>0.974366750465917</v>
      </c>
      <c r="O359" t="n">
        <v>28.97007481296758</v>
      </c>
      <c r="P359" t="n">
        <v>-0.9344262295081904</v>
      </c>
      <c r="Q359">
        <f>'_live'!$C$20</f>
        <v/>
      </c>
      <c r="R359" t="inlineStr">
        <is>
          <t>z test</t>
        </is>
      </c>
      <c r="S359" t="inlineStr">
        <is>
          <t>z test</t>
        </is>
      </c>
      <c r="T359" t="n">
        <v>0.07376296101850636</v>
      </c>
      <c r="U359" t="n">
        <v>0.1524590163934426</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0.15</v>
      </c>
      <c r="AI359">
        <f>IF($Y359="worse","Yes",IF($Y359="worse, not significant","Not sure",IF(OR($Y359="too few losses to test",$Y359="too few loans to test"),"Too few losses",IF($Y359="","","No"))))</f>
        <v/>
      </c>
      <c r="AJ359">
        <f>IF($AA359="yes","Yes",IF($AA359="","","No"))</f>
        <v/>
      </c>
      <c r="AM359">
        <f>IF(AND(ISNUMBER($AC359),ISNUMBER(IF($V359,IF($AL359="","",$AL359),IF($AK359="","",$AK359)))),IF(AND(ABS($AC359-significance_bar)&lt;=2.0*IF($V359,IF($AL359="","",$AL359),IF($AK359="","",$AK359)),OR($Y359="worse",$Y359="better",$Y359="worse, not significant",$Y359="better, not significant")),IF(ROUND($AC359,3)=ROUND(significance_bar,3),TEXT($AC359,"0.0000"),TEXT($AC359,"0.000")),""),"")</f>
        <v/>
      </c>
      <c r="AN359">
        <f>IF(AND(ISNUMBER($AC359),ISNUMBER(IF($V359,IF($AL359="","",$AL359),IF($AK359="","",$AK359)))),IF(AND(ABS($AC359-significance_bar)&lt;=2.0*IF($V359,IF($AL359="","",$AL359),IF($AK359="","",$AK359)),OR($Y359="worse",$Y359="worse, not significant")),IF(ROUND($AC359,3)=ROUND(significance_bar,3),TEXT($AC359,"0.0000"),TEXT($AC359,"0.000")),""),"")</f>
        <v/>
      </c>
      <c r="AO359">
        <f>IF(OR($AI359="",$AN359=""),$AI359,$AI359&amp;" · borderline (p "&amp;$AN359&amp;")")</f>
        <v/>
      </c>
    </row>
    <row r="360">
      <c r="A360" t="inlineStr">
        <is>
          <t>grids</t>
        </is>
      </c>
      <c r="B360" t="inlineStr">
        <is>
          <t>REV_DEBT x ASSET_CLASS</t>
        </is>
      </c>
      <c r="C360" t="inlineStr">
        <is>
          <t>17,187 - 48,521</t>
        </is>
      </c>
      <c r="D360" t="inlineStr">
        <is>
          <t>3</t>
        </is>
      </c>
      <c r="E360" t="inlineStr">
        <is>
          <t>outcome_booked</t>
        </is>
      </c>
      <c r="F360" t="inlineStr">
        <is>
          <t>Outcome, share of booked dollars</t>
        </is>
      </c>
      <c r="G360" t="n">
        <v>380</v>
      </c>
      <c r="H360" t="n">
        <v>12078250.31999999</v>
      </c>
      <c r="I360" t="b">
        <v>0</v>
      </c>
      <c r="J360" t="b">
        <v>0</v>
      </c>
      <c r="K360" t="n">
        <v>2.070728713351766</v>
      </c>
      <c r="L360" t="n">
        <v>0.01575456053067993</v>
      </c>
      <c r="M360" t="n">
        <v>0.9779039274209755</v>
      </c>
      <c r="N360" t="n">
        <v>0.9203980099502488</v>
      </c>
      <c r="O360" t="n">
        <v>921539.0341474406</v>
      </c>
      <c r="P360" t="n">
        <v>-40269.51411190955</v>
      </c>
      <c r="Q360">
        <f>'_live'!$C$21</f>
        <v/>
      </c>
      <c r="R360" t="inlineStr">
        <is>
          <t>shuffled: 0 of 200</t>
        </is>
      </c>
      <c r="S360" t="inlineStr">
        <is>
          <t>shuffled: 179 of 200</t>
        </is>
      </c>
      <c r="T360" t="n">
        <v>0.07125744731647192</v>
      </c>
      <c r="U360" t="n">
        <v>0.1508888941549864</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0.1475548421983691</v>
      </c>
      <c r="AI360">
        <f>IF($Y360="worse","Yes",IF($Y360="worse, not significant","Not sure",IF(OR($Y360="too few losses to test",$Y360="too few loans to test"),"Too few losses",IF($Y360="","","No"))))</f>
        <v/>
      </c>
      <c r="AJ360">
        <f>IF($AA360="yes","Yes",IF($AA360="","","No"))</f>
        <v/>
      </c>
      <c r="AK360" t="n">
        <v>0.01575456053067993</v>
      </c>
      <c r="AL360" t="n">
        <v>0.01913968563350382</v>
      </c>
      <c r="AM360">
        <f>IF(AND(ISNUMBER($AC360),ISNUMBER(IF($V360,IF($AL360="","",$AL360),IF($AK360="","",$AK360)))),IF(AND(ABS($AC360-significance_bar)&lt;=2.0*IF($V360,IF($AL360="","",$AL360),IF($AK360="","",$AK360)),OR($Y360="worse",$Y360="better",$Y360="worse, not significant",$Y360="better, not significant")),IF(ROUND($AC360,3)=ROUND(significance_bar,3),TEXT($AC360,"0.0000"),TEXT($AC360,"0.000")),""),"")</f>
        <v/>
      </c>
      <c r="AN360">
        <f>IF(AND(ISNUMBER($AC360),ISNUMBER(IF($V360,IF($AL360="","",$AL360),IF($AK360="","",$AK360)))),IF(AND(ABS($AC360-significance_bar)&lt;=2.0*IF($V360,IF($AL360="","",$AL360),IF($AK360="","",$AK360)),OR($Y360="worse",$Y360="worse, not significant")),IF(ROUND($AC360,3)=ROUND(significance_bar,3),TEXT($AC360,"0.0000"),TEXT($AC360,"0.000")),""),"")</f>
        <v/>
      </c>
      <c r="AO360">
        <f>IF(OR($AI360="",$AN360=""),$AI360,$AI360&amp;" · borderline (p "&amp;$AN360&amp;")")</f>
        <v/>
      </c>
    </row>
    <row r="361">
      <c r="A361" t="inlineStr">
        <is>
          <t>grids</t>
        </is>
      </c>
      <c r="B361" t="inlineStr">
        <is>
          <t>REV_DEBT x ASSET_CLASS</t>
        </is>
      </c>
      <c r="C361" t="inlineStr">
        <is>
          <t>17,187 - 48,521</t>
        </is>
      </c>
      <c r="D361" t="inlineStr">
        <is>
          <t>3</t>
        </is>
      </c>
      <c r="E361" t="inlineStr">
        <is>
          <t>gco_rate</t>
        </is>
      </c>
      <c r="F361" t="inlineStr">
        <is>
          <t>GCO per booked dollar</t>
        </is>
      </c>
      <c r="G361" t="n">
        <v>380</v>
      </c>
      <c r="H361" t="n">
        <v>12078250.31999999</v>
      </c>
      <c r="I361" t="b">
        <v>0</v>
      </c>
      <c r="J361" t="b">
        <v>0</v>
      </c>
      <c r="K361" t="n">
        <v>2.159829658838076</v>
      </c>
      <c r="L361" t="n">
        <v>0.01350390902629709</v>
      </c>
      <c r="M361" t="n">
        <v>1.025917240904168</v>
      </c>
      <c r="N361" t="n">
        <v>0.9872857932559425</v>
      </c>
      <c r="O361" t="n">
        <v>552822.7612780281</v>
      </c>
      <c r="P361" t="n">
        <v>26006.84345491475</v>
      </c>
      <c r="Q361">
        <f>'_live'!$C$22</f>
        <v/>
      </c>
      <c r="R361" t="inlineStr">
        <is>
          <t>shuffled: 0 of 200</t>
        </is>
      </c>
      <c r="S361" t="inlineStr">
        <is>
          <t>shuffled: 177 of 200</t>
        </is>
      </c>
      <c r="T361" t="n">
        <v>0.03946278029465216</v>
      </c>
      <c r="U361" t="n">
        <v>0.08307968703740908</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0.08523288330060051</v>
      </c>
      <c r="AI361">
        <f>IF($Y361="worse","Yes",IF($Y361="worse, not significant","Not sure",IF(OR($Y361="too few losses to test",$Y361="too few loans to test"),"Too few losses",IF($Y361="","","No"))))</f>
        <v/>
      </c>
      <c r="AJ361">
        <f>IF($AA361="yes","Yes",IF($AA361="","","No"))</f>
        <v/>
      </c>
      <c r="AK361" t="n">
        <v>0.01350390902629709</v>
      </c>
      <c r="AL361" t="n">
        <v>0.01835780030768503</v>
      </c>
      <c r="AM361">
        <f>IF(AND(ISNUMBER($AC361),ISNUMBER(IF($V361,IF($AL361="","",$AL361),IF($AK361="","",$AK361)))),IF(AND(ABS($AC361-significance_bar)&lt;=2.0*IF($V361,IF($AL361="","",$AL361),IF($AK361="","",$AK361)),OR($Y361="worse",$Y361="better",$Y361="worse, not significant",$Y361="better, not significant")),IF(ROUND($AC361,3)=ROUND(significance_bar,3),TEXT($AC361,"0.0000"),TEXT($AC361,"0.000")),""),"")</f>
        <v/>
      </c>
      <c r="AN361">
        <f>IF(AND(ISNUMBER($AC361),ISNUMBER(IF($V361,IF($AL361="","",$AL361),IF($AK361="","",$AK361)))),IF(AND(ABS($AC361-significance_bar)&lt;=2.0*IF($V361,IF($AL361="","",$AL361),IF($AK361="","",$AK361)),OR($Y361="worse",$Y361="worse, not significant")),IF(ROUND($AC361,3)=ROUND(significance_bar,3),TEXT($AC361,"0.0000"),TEXT($AC361,"0.000")),""),"")</f>
        <v/>
      </c>
      <c r="AO361">
        <f>IF(OR($AI361="",$AN361=""),$AI361,$AI361&amp;" · borderline (p "&amp;$AN361&amp;")")</f>
        <v/>
      </c>
    </row>
    <row r="362">
      <c r="A362" t="inlineStr">
        <is>
          <t>grids</t>
        </is>
      </c>
      <c r="B362" t="inlineStr">
        <is>
          <t>REV_DEBT x ASSET_CLASS</t>
        </is>
      </c>
      <c r="C362" t="inlineStr">
        <is>
          <t>17,187 - 48,521</t>
        </is>
      </c>
      <c r="D362" t="inlineStr">
        <is>
          <t>3</t>
        </is>
      </c>
      <c r="E362" t="inlineStr">
        <is>
          <t>ranr_rate</t>
        </is>
      </c>
      <c r="F362" t="inlineStr">
        <is>
          <t>Profit after losses: RANR per booked dollar</t>
        </is>
      </c>
      <c r="G362" t="n">
        <v>380</v>
      </c>
      <c r="H362" t="n">
        <v>12078250.31999999</v>
      </c>
      <c r="I362" t="b">
        <v>0</v>
      </c>
      <c r="J362" t="b">
        <v>0</v>
      </c>
      <c r="K362" t="n">
        <v>0.01464197845831763</v>
      </c>
      <c r="L362" t="n">
        <v>0.2885572139303483</v>
      </c>
      <c r="M362" t="n">
        <v>-0.005586195824498846</v>
      </c>
      <c r="N362" t="n">
        <v>0.812603648424544</v>
      </c>
      <c r="O362" t="n">
        <v>-176849.4809996081</v>
      </c>
      <c r="P362" t="n">
        <v>67471.47150483564</v>
      </c>
      <c r="Q362">
        <f>'_live'!$C$23</f>
        <v/>
      </c>
      <c r="R362" t="inlineStr">
        <is>
          <t>shuffled: 27 of 200</t>
        </is>
      </c>
      <c r="S362" t="inlineStr">
        <is>
          <t>shuffled: 146 of 200</t>
        </is>
      </c>
      <c r="T362" t="n">
        <v>0.1273047683449893</v>
      </c>
      <c r="U362" t="n">
        <v>0.1475329426278058</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0.1419467468033069</v>
      </c>
      <c r="AI362">
        <f>IF($Y362="worse","Yes",IF($Y362="worse, not significant","Not sure",IF(OR($Y362="too few losses to test",$Y362="too few loans to test"),"Too few losses",IF($Y362="","","No"))))</f>
        <v/>
      </c>
      <c r="AJ362">
        <f>IF($AA362="yes","Yes",IF($AA362="","","No"))</f>
        <v/>
      </c>
      <c r="AK362" t="n">
        <v>0.04969150642461204</v>
      </c>
      <c r="AL362" t="n">
        <v>0.03482587064676616</v>
      </c>
      <c r="AM362">
        <f>IF(AND(ISNUMBER($AC362),ISNUMBER(IF($V362,IF($AL362="","",$AL362),IF($AK362="","",$AK362)))),IF(AND(ABS($AC362-significance_bar)&lt;=2.0*IF($V362,IF($AL362="","",$AL362),IF($AK362="","",$AK362)),OR($Y362="worse",$Y362="better",$Y362="worse, not significant",$Y362="better, not significant",AND(profit_kind="test",$Y362="in line",ISNUMBER($AB362),$AB362&lt;&gt;0))),IF(ROUND($AC362,3)=ROUND(significance_bar,3),TEXT($AC362,"0.0000"),TEXT($AC362,"0.000")),""),"")</f>
        <v/>
      </c>
      <c r="AN362">
        <f>IF(AND(ISNUMBER($AC362),ISNUMBER(IF($V362,IF($AL362="","",$AL362),IF($AK362="","",$AK362)))),IF(AND(ABS($AC362-significance_bar)&lt;=2.0*IF($V362,IF($AL362="","",$AL362),IF($AK362="","",$AK362)),OR($Y362="worse",$Y362="worse, not significant",AND(profit_kind="test",$Y362="in line",ISNUMBER($AB362),$AB362&lt;0))),IF(ROUND($AC362,3)=ROUND(significance_bar,3),TEXT($AC362,"0.0000"),TEXT($AC362,"0.000")),""),"")</f>
        <v/>
      </c>
      <c r="AO362">
        <f>IF(OR($AI362="",$AN362=""),$AI362,$AI362&amp;" · borderline (p "&amp;$AN362&amp;")")</f>
        <v/>
      </c>
    </row>
    <row r="363">
      <c r="A363" t="inlineStr">
        <is>
          <t>grids</t>
        </is>
      </c>
      <c r="B363" t="inlineStr">
        <is>
          <t>REV_DEBT x ASSET_CLASS</t>
        </is>
      </c>
      <c r="C363" t="inlineStr">
        <is>
          <t>17,187 - 48,521</t>
        </is>
      </c>
      <c r="D363" t="inlineStr">
        <is>
          <t>3</t>
        </is>
      </c>
      <c r="E363" t="inlineStr">
        <is>
          <t>contribution_rate</t>
        </is>
      </c>
      <c r="F363" t="inlineStr">
        <is>
          <t>Contribution before losses per booked dollar</t>
        </is>
      </c>
      <c r="G363" t="n">
        <v>380</v>
      </c>
      <c r="H363" t="n">
        <v>12078250.31999999</v>
      </c>
      <c r="I363" t="b">
        <v>0</v>
      </c>
      <c r="J363" t="b">
        <v>0</v>
      </c>
      <c r="K363" t="n">
        <v>0.06041519169497064</v>
      </c>
      <c r="L363" t="n">
        <v>0.006218905472636815</v>
      </c>
      <c r="M363" t="n">
        <v>-0.003432999561307271</v>
      </c>
      <c r="N363" t="n">
        <v>0.8135791630084869</v>
      </c>
      <c r="O363" t="n">
        <v>-729709.80842264</v>
      </c>
      <c r="P363" t="n">
        <v>41464.62804991938</v>
      </c>
      <c r="Q363">
        <f>'_live'!$C$24</f>
        <v/>
      </c>
      <c r="R363" t="inlineStr">
        <is>
          <t>shuffled: 0 of 200</t>
        </is>
      </c>
      <c r="S363" t="inlineStr">
        <is>
          <t>shuffled: 132 of 200</t>
        </is>
      </c>
      <c r="T363" t="n">
        <v>0.1667644384089369</v>
      </c>
      <c r="U363" t="n">
        <v>0.2306126296652148</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0.2271796301039075</v>
      </c>
      <c r="AI363">
        <f>IF($Y363="worse","Yes",IF($Y363="worse, not significant","Not sure",IF(OR($Y363="too few losses to test",$Y363="too few loans to test"),"Too few losses",IF($Y363="","","No"))))</f>
        <v/>
      </c>
      <c r="AJ363">
        <f>IF($AA363="yes","Yes",IF($AA363="","","No"))</f>
        <v/>
      </c>
      <c r="AK363" t="n">
        <v>0.006218905472636815</v>
      </c>
      <c r="AL363" t="n">
        <v>0.0384214069236788</v>
      </c>
      <c r="AM363">
        <f>IF(AND(ISNUMBER($AC363),ISNUMBER(IF($V363,IF($AL363="","",$AL363),IF($AK363="","",$AK363)))),IF(AND(ABS($AC363-significance_bar)&lt;=2.0*IF($V363,IF($AL363="","",$AL363),IF($AK363="","",$AK363)),OR($Y363="worse",$Y363="better",$Y363="worse, not significant",$Y363="better, not significant",AND(profit_kind="test",$Y363="in line",ISNUMBER($AB363),$AB363&lt;&gt;0))),IF(ROUND($AC363,3)=ROUND(significance_bar,3),TEXT($AC363,"0.0000"),TEXT($AC363,"0.000")),""),"")</f>
        <v/>
      </c>
      <c r="AN363">
        <f>IF(AND(ISNUMBER($AC363),ISNUMBER(IF($V363,IF($AL363="","",$AL363),IF($AK363="","",$AK363)))),IF(AND(ABS($AC363-significance_bar)&lt;=2.0*IF($V363,IF($AL363="","",$AL363),IF($AK363="","",$AK363)),OR($Y363="worse",$Y363="worse, not significant",AND(profit_kind="test",$Y363="in line",ISNUMBER($AB363),$AB363&lt;0))),IF(ROUND($AC363,3)=ROUND(significance_bar,3),TEXT($AC363,"0.0000"),TEXT($AC363,"0.000")),""),"")</f>
        <v/>
      </c>
      <c r="AO363">
        <f>IF(OR($AI363="",$AN363=""),$AI363,$AI363&amp;" · borderline (p "&amp;$AN363&amp;")")</f>
        <v/>
      </c>
    </row>
    <row r="364">
      <c r="A364" t="inlineStr">
        <is>
          <t>grids</t>
        </is>
      </c>
      <c r="B364" t="inlineStr">
        <is>
          <t>REV_DEBT x ASSET_CLASS</t>
        </is>
      </c>
      <c r="C364" t="inlineStr">
        <is>
          <t>6,559 - 9,836</t>
        </is>
      </c>
      <c r="D364" t="inlineStr">
        <is>
          <t>3</t>
        </is>
      </c>
      <c r="E364" t="inlineStr">
        <is>
          <t>outcome_loans</t>
        </is>
      </c>
      <c r="F364" t="inlineStr">
        <is>
          <t>Outcome, share of loans</t>
        </is>
      </c>
      <c r="G364" t="n">
        <v>411</v>
      </c>
      <c r="H364" t="n">
        <v>411</v>
      </c>
      <c r="I364" t="b">
        <v>0</v>
      </c>
      <c r="J364" t="b">
        <v>0</v>
      </c>
      <c r="K364" t="n">
        <v>0.7124708110844397</v>
      </c>
      <c r="L364" t="n">
        <v>0.139047258440301</v>
      </c>
      <c r="M364" t="n">
        <v>1.663442822384428</v>
      </c>
      <c r="N364" t="n">
        <v>0.1706123501296883</v>
      </c>
      <c r="O364" t="n">
        <v>-9.282024248813919</v>
      </c>
      <c r="P364" t="n">
        <v>9.173254835996635</v>
      </c>
      <c r="Q364">
        <f>'_live'!$C$20</f>
        <v/>
      </c>
      <c r="R364" t="inlineStr">
        <is>
          <t>z test</t>
        </is>
      </c>
      <c r="S364" t="inlineStr">
        <is>
          <t>z test</t>
        </is>
      </c>
      <c r="T364" t="n">
        <v>0.07854507116499737</v>
      </c>
      <c r="U364" t="n">
        <v>0.0336417157275021</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0.05596107055961071</v>
      </c>
      <c r="AI364">
        <f>IF($Y364="worse","Yes",IF($Y364="worse, not significant","Not sure",IF(OR($Y364="too few losses to test",$Y364="too few loans to test"),"Too few losses",IF($Y364="","","No"))))</f>
        <v/>
      </c>
      <c r="AJ364">
        <f>IF($AA364="yes","Yes",IF($AA364="","","No"))</f>
        <v/>
      </c>
      <c r="AM364">
        <f>IF(AND(ISNUMBER($AC364),ISNUMBER(IF($V364,IF($AL364="","",$AL364),IF($AK364="","",$AK364)))),IF(AND(ABS($AC364-significance_bar)&lt;=2.0*IF($V364,IF($AL364="","",$AL364),IF($AK364="","",$AK364)),OR($Y364="worse",$Y364="better",$Y364="worse, not significant",$Y364="better, not significant")),IF(ROUND($AC364,3)=ROUND(significance_bar,3),TEXT($AC364,"0.0000"),TEXT($AC364,"0.000")),""),"")</f>
        <v/>
      </c>
      <c r="AN364">
        <f>IF(AND(ISNUMBER($AC364),ISNUMBER(IF($V364,IF($AL364="","",$AL364),IF($AK364="","",$AK364)))),IF(AND(ABS($AC364-significance_bar)&lt;=2.0*IF($V364,IF($AL364="","",$AL364),IF($AK364="","",$AK364)),OR($Y364="worse",$Y364="worse, not significant")),IF(ROUND($AC364,3)=ROUND(significance_bar,3),TEXT($AC364,"0.0000"),TEXT($AC364,"0.000")),""),"")</f>
        <v/>
      </c>
      <c r="AO364">
        <f>IF(OR($AI364="",$AN364=""),$AI364,$AI364&amp;" · borderline (p "&amp;$AN364&amp;")")</f>
        <v/>
      </c>
    </row>
    <row r="365">
      <c r="A365" t="inlineStr">
        <is>
          <t>grids</t>
        </is>
      </c>
      <c r="B365" t="inlineStr">
        <is>
          <t>REV_DEBT x ASSET_CLASS</t>
        </is>
      </c>
      <c r="C365" t="inlineStr">
        <is>
          <t>6,559 - 9,836</t>
        </is>
      </c>
      <c r="D365" t="inlineStr">
        <is>
          <t>3</t>
        </is>
      </c>
      <c r="E365" t="inlineStr">
        <is>
          <t>outcome_booked</t>
        </is>
      </c>
      <c r="F365" t="inlineStr">
        <is>
          <t>Outcome, share of booked dollars</t>
        </is>
      </c>
      <c r="G365" t="n">
        <v>411</v>
      </c>
      <c r="H365" t="n">
        <v>13053332.15999999</v>
      </c>
      <c r="I365" t="b">
        <v>0</v>
      </c>
      <c r="J365" t="b">
        <v>0</v>
      </c>
      <c r="K365" t="n">
        <v>0.7263470870728853</v>
      </c>
      <c r="L365" t="n">
        <v>0.2181400688863375</v>
      </c>
      <c r="M365" t="n">
        <v>1.667454280771733</v>
      </c>
      <c r="N365" t="n">
        <v>0.2457711442786069</v>
      </c>
      <c r="O365" t="n">
        <v>-271047.1484061144</v>
      </c>
      <c r="P365" t="n">
        <v>287976.1718032614</v>
      </c>
      <c r="Q365">
        <f>'_live'!$C$21</f>
        <v/>
      </c>
      <c r="R365" t="inlineStr">
        <is>
          <t>shuffled: 29 of 200</t>
        </is>
      </c>
      <c r="S365" t="inlineStr">
        <is>
          <t>shuffled: 12 of 200</t>
        </is>
      </c>
      <c r="T365" t="n">
        <v>0.07587931083538099</v>
      </c>
      <c r="U365" t="n">
        <v>0.03305320993201011</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0.055114716394377</v>
      </c>
      <c r="AI365">
        <f>IF($Y365="worse","Yes",IF($Y365="worse, not significant","Not sure",IF(OR($Y365="too few losses to test",$Y365="too few loans to test"),"Too few losses",IF($Y365="","","No"))))</f>
        <v/>
      </c>
      <c r="AJ365">
        <f>IF($AA365="yes","Yes",IF($AA365="","","No"))</f>
        <v/>
      </c>
      <c r="AK365" t="n">
        <v>0.03682628212474724</v>
      </c>
      <c r="AL365" t="n">
        <v>0.06608808110766609</v>
      </c>
      <c r="AM365">
        <f>IF(AND(ISNUMBER($AC365),ISNUMBER(IF($V365,IF($AL365="","",$AL365),IF($AK365="","",$AK365)))),IF(AND(ABS($AC365-significance_bar)&lt;=2.0*IF($V365,IF($AL365="","",$AL365),IF($AK365="","",$AK365)),OR($Y365="worse",$Y365="better",$Y365="worse, not significant",$Y365="better, not significant")),IF(ROUND($AC365,3)=ROUND(significance_bar,3),TEXT($AC365,"0.0000"),TEXT($AC365,"0.000")),""),"")</f>
        <v/>
      </c>
      <c r="AN365">
        <f>IF(AND(ISNUMBER($AC365),ISNUMBER(IF($V365,IF($AL365="","",$AL365),IF($AK365="","",$AK365)))),IF(AND(ABS($AC365-significance_bar)&lt;=2.0*IF($V365,IF($AL365="","",$AL365),IF($AK365="","",$AK365)),OR($Y365="worse",$Y365="worse, not significant")),IF(ROUND($AC365,3)=ROUND(significance_bar,3),TEXT($AC365,"0.0000"),TEXT($AC365,"0.000")),""),"")</f>
        <v/>
      </c>
      <c r="AO365">
        <f>IF(OR($AI365="",$AN365=""),$AI365,$AI365&amp;" · borderline (p "&amp;$AN365&amp;")")</f>
        <v/>
      </c>
    </row>
    <row r="366">
      <c r="A366" t="inlineStr">
        <is>
          <t>grids</t>
        </is>
      </c>
      <c r="B366" t="inlineStr">
        <is>
          <t>REV_DEBT x ASSET_CLASS</t>
        </is>
      </c>
      <c r="C366" t="inlineStr">
        <is>
          <t>6,559 - 9,836</t>
        </is>
      </c>
      <c r="D366" t="inlineStr">
        <is>
          <t>3</t>
        </is>
      </c>
      <c r="E366" t="inlineStr">
        <is>
          <t>gco_rate</t>
        </is>
      </c>
      <c r="F366" t="inlineStr">
        <is>
          <t>GCO per booked dollar</t>
        </is>
      </c>
      <c r="G366" t="n">
        <v>411</v>
      </c>
      <c r="H366" t="n">
        <v>13053332.15999999</v>
      </c>
      <c r="I366" t="b">
        <v>0</v>
      </c>
      <c r="J366" t="b">
        <v>0</v>
      </c>
      <c r="K366" t="n">
        <v>0.7082449589879937</v>
      </c>
      <c r="L366" t="n">
        <v>0.2035973976272484</v>
      </c>
      <c r="M366" t="n">
        <v>1.54262865510627</v>
      </c>
      <c r="N366" t="n">
        <v>0.4726368159203981</v>
      </c>
      <c r="O366" t="n">
        <v>-160822.1256228654</v>
      </c>
      <c r="P366" t="n">
        <v>137325.8359235841</v>
      </c>
      <c r="Q366">
        <f>'_live'!$C$22</f>
        <v/>
      </c>
      <c r="R366" t="inlineStr">
        <is>
          <t>shuffled: 27 of 200</t>
        </is>
      </c>
      <c r="S366" t="inlineStr">
        <is>
          <t>shuffled: 24 of 200</t>
        </is>
      </c>
      <c r="T366" t="n">
        <v>0.04222853742372445</v>
      </c>
      <c r="U366" t="n">
        <v>0.01938778244316247</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0.02990814875578868</v>
      </c>
      <c r="AI366">
        <f>IF($Y366="worse","Yes",IF($Y366="worse, not significant","Not sure",IF(OR($Y366="too few losses to test",$Y366="too few loans to test"),"Too few losses",IF($Y366="","","No"))))</f>
        <v/>
      </c>
      <c r="AJ366">
        <f>IF($AA366="yes","Yes",IF($AA366="","","No"))</f>
        <v/>
      </c>
      <c r="AK366" t="n">
        <v>0.03578501969964353</v>
      </c>
      <c r="AL366" t="n">
        <v>0.08867452680263201</v>
      </c>
      <c r="AM366">
        <f>IF(AND(ISNUMBER($AC366),ISNUMBER(IF($V366,IF($AL366="","",$AL366),IF($AK366="","",$AK366)))),IF(AND(ABS($AC366-significance_bar)&lt;=2.0*IF($V366,IF($AL366="","",$AL366),IF($AK366="","",$AK366)),OR($Y366="worse",$Y366="better",$Y366="worse, not significant",$Y366="better, not significant")),IF(ROUND($AC366,3)=ROUND(significance_bar,3),TEXT($AC366,"0.0000"),TEXT($AC366,"0.000")),""),"")</f>
        <v/>
      </c>
      <c r="AN366">
        <f>IF(AND(ISNUMBER($AC366),ISNUMBER(IF($V366,IF($AL366="","",$AL366),IF($AK366="","",$AK366)))),IF(AND(ABS($AC366-significance_bar)&lt;=2.0*IF($V366,IF($AL366="","",$AL366),IF($AK366="","",$AK366)),OR($Y366="worse",$Y366="worse, not significant")),IF(ROUND($AC366,3)=ROUND(significance_bar,3),TEXT($AC366,"0.0000"),TEXT($AC366,"0.000")),""),"")</f>
        <v/>
      </c>
      <c r="AO366">
        <f>IF(OR($AI366="",$AN366=""),$AI366,$AI366&amp;" · borderline (p "&amp;$AN366&amp;")")</f>
        <v/>
      </c>
    </row>
    <row r="367">
      <c r="A367" t="inlineStr">
        <is>
          <t>grids</t>
        </is>
      </c>
      <c r="B367" t="inlineStr">
        <is>
          <t>REV_DEBT x ASSET_CLASS</t>
        </is>
      </c>
      <c r="C367" t="inlineStr">
        <is>
          <t>6,559 - 9,836</t>
        </is>
      </c>
      <c r="D367" t="inlineStr">
        <is>
          <t>3</t>
        </is>
      </c>
      <c r="E367" t="inlineStr">
        <is>
          <t>ranr_rate</t>
        </is>
      </c>
      <c r="F367" t="inlineStr">
        <is>
          <t>Profit after losses: RANR per booked dollar</t>
        </is>
      </c>
      <c r="G367" t="n">
        <v>411</v>
      </c>
      <c r="H367" t="n">
        <v>13053332.15999999</v>
      </c>
      <c r="I367" t="b">
        <v>0</v>
      </c>
      <c r="J367" t="b">
        <v>0</v>
      </c>
      <c r="K367" t="n">
        <v>-0.02190121713228739</v>
      </c>
      <c r="L367" t="n">
        <v>0.07107320540156362</v>
      </c>
      <c r="M367" t="n">
        <v>-0.01365287771829203</v>
      </c>
      <c r="N367" t="n">
        <v>0.4690831556503198</v>
      </c>
      <c r="O367" t="n">
        <v>285883.8619360297</v>
      </c>
      <c r="P367" t="n">
        <v>178215.5477967286</v>
      </c>
      <c r="Q367">
        <f>'_live'!$C$23</f>
        <v/>
      </c>
      <c r="R367" t="inlineStr">
        <is>
          <t>shuffled: 4 of 200</t>
        </is>
      </c>
      <c r="S367" t="inlineStr">
        <is>
          <t>shuffled: 30 of 200</t>
        </is>
      </c>
      <c r="T367" t="n">
        <v>0.1290978327434235</v>
      </c>
      <c r="U367" t="n">
        <v>0.1208494933294282</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0.1071966156111361</v>
      </c>
      <c r="AI367">
        <f>IF($Y367="worse","Yes",IF($Y367="worse, not significant","Not sure",IF(OR($Y367="too few losses to test",$Y367="too few loans to test"),"Too few losses",IF($Y367="","","No"))))</f>
        <v/>
      </c>
      <c r="AJ367">
        <f>IF($AA367="yes","Yes",IF($AA367="","","No"))</f>
        <v/>
      </c>
      <c r="AK367" t="n">
        <v>0.03146544935490925</v>
      </c>
      <c r="AL367" t="n">
        <v>0.07483978155558313</v>
      </c>
      <c r="AM367">
        <f>IF(AND(ISNUMBER($AC367),ISNUMBER(IF($V367,IF($AL367="","",$AL367),IF($AK367="","",$AK367)))),IF(AND(ABS($AC367-significance_bar)&lt;=2.0*IF($V367,IF($AL367="","",$AL367),IF($AK367="","",$AK367)),OR($Y367="worse",$Y367="better",$Y367="worse, not significant",$Y367="better, not significant",AND(profit_kind="test",$Y367="in line",ISNUMBER($AB367),$AB367&lt;&gt;0))),IF(ROUND($AC367,3)=ROUND(significance_bar,3),TEXT($AC367,"0.0000"),TEXT($AC367,"0.000")),""),"")</f>
        <v/>
      </c>
      <c r="AN367">
        <f>IF(AND(ISNUMBER($AC367),ISNUMBER(IF($V367,IF($AL367="","",$AL367),IF($AK367="","",$AK367)))),IF(AND(ABS($AC367-significance_bar)&lt;=2.0*IF($V367,IF($AL367="","",$AL367),IF($AK367="","",$AK367)),OR($Y367="worse",$Y367="worse, not significant",AND(profit_kind="test",$Y367="in line",ISNUMBER($AB367),$AB367&lt;0))),IF(ROUND($AC367,3)=ROUND(significance_bar,3),TEXT($AC367,"0.0000"),TEXT($AC367,"0.000")),""),"")</f>
        <v/>
      </c>
      <c r="AO367">
        <f>IF(OR($AI367="",$AN367=""),$AI367,$AI367&amp;" · borderline (p "&amp;$AN367&amp;")")</f>
        <v/>
      </c>
    </row>
    <row r="368">
      <c r="A368" t="inlineStr">
        <is>
          <t>grids</t>
        </is>
      </c>
      <c r="B368" t="inlineStr">
        <is>
          <t>REV_DEBT x ASSET_CLASS</t>
        </is>
      </c>
      <c r="C368" t="inlineStr">
        <is>
          <t>6,559 - 9,836</t>
        </is>
      </c>
      <c r="D368" t="inlineStr">
        <is>
          <t>3</t>
        </is>
      </c>
      <c r="E368" t="inlineStr">
        <is>
          <t>contribution_rate</t>
        </is>
      </c>
      <c r="F368" t="inlineStr">
        <is>
          <t>Contribution before losses per booked dollar</t>
        </is>
      </c>
      <c r="G368" t="n">
        <v>411</v>
      </c>
      <c r="H368" t="n">
        <v>13053332.15999999</v>
      </c>
      <c r="I368" t="b">
        <v>0</v>
      </c>
      <c r="J368" t="b">
        <v>0</v>
      </c>
      <c r="K368" t="n">
        <v>-0.03421877365458728</v>
      </c>
      <c r="L368" t="n">
        <v>0.006218905472636815</v>
      </c>
      <c r="M368" t="n">
        <v>-0.003105903758684553</v>
      </c>
      <c r="N368" t="n">
        <v>0.8135791630084869</v>
      </c>
      <c r="O368" t="n">
        <v>446669.0186211844</v>
      </c>
      <c r="P368" t="n">
        <v>40542.39341910207</v>
      </c>
      <c r="Q368">
        <f>'_live'!$C$24</f>
        <v/>
      </c>
      <c r="R368" t="inlineStr">
        <is>
          <t>shuffled: 0 of 200</t>
        </is>
      </c>
      <c r="S368" t="inlineStr">
        <is>
          <t>shuffled: 121 of 200</t>
        </is>
      </c>
      <c r="T368" t="n">
        <v>0.1713235380215121</v>
      </c>
      <c r="U368" t="n">
        <v>0.1402106681256093</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0.1371047643669248</v>
      </c>
      <c r="AI368">
        <f>IF($Y368="worse","Yes",IF($Y368="worse, not significant","Not sure",IF(OR($Y368="too few losses to test",$Y368="too few loans to test"),"Too few losses",IF($Y368="","","No"))))</f>
        <v/>
      </c>
      <c r="AJ368">
        <f>IF($AA368="yes","Yes",IF($AA368="","","No"))</f>
        <v/>
      </c>
      <c r="AK368" t="n">
        <v>0.006218905472636815</v>
      </c>
      <c r="AL368" t="n">
        <v>0.0384214069236788</v>
      </c>
      <c r="AM368">
        <f>IF(AND(ISNUMBER($AC368),ISNUMBER(IF($V368,IF($AL368="","",$AL368),IF($AK368="","",$AK368)))),IF(AND(ABS($AC368-significance_bar)&lt;=2.0*IF($V368,IF($AL368="","",$AL368),IF($AK368="","",$AK368)),OR($Y368="worse",$Y368="better",$Y368="worse, not significant",$Y368="better, not significant",AND(profit_kind="test",$Y368="in line",ISNUMBER($AB368),$AB368&lt;&gt;0))),IF(ROUND($AC368,3)=ROUND(significance_bar,3),TEXT($AC368,"0.0000"),TEXT($AC368,"0.000")),""),"")</f>
        <v/>
      </c>
      <c r="AN368">
        <f>IF(AND(ISNUMBER($AC368),ISNUMBER(IF($V368,IF($AL368="","",$AL368),IF($AK368="","",$AK368)))),IF(AND(ABS($AC368-significance_bar)&lt;=2.0*IF($V368,IF($AL368="","",$AL368),IF($AK368="","",$AK368)),OR($Y368="worse",$Y368="worse, not significant",AND(profit_kind="test",$Y368="in line",ISNUMBER($AB368),$AB368&lt;0))),IF(ROUND($AC368,3)=ROUND(significance_bar,3),TEXT($AC368,"0.0000"),TEXT($AC368,"0.000")),""),"")</f>
        <v/>
      </c>
      <c r="AO368">
        <f>IF(OR($AI368="",$AN368=""),$AI368,$AI368&amp;" · borderline (p "&amp;$AN368&amp;")")</f>
        <v/>
      </c>
    </row>
    <row r="369">
      <c r="A369" t="inlineStr">
        <is>
          <t>grids</t>
        </is>
      </c>
      <c r="B369" t="inlineStr">
        <is>
          <t>REV_DEBT x ASSET_CLASS</t>
        </is>
      </c>
      <c r="C369" t="inlineStr">
        <is>
          <t>13,052 - 17,186</t>
        </is>
      </c>
      <c r="D369" t="inlineStr">
        <is>
          <t>3</t>
        </is>
      </c>
      <c r="E369" t="inlineStr">
        <is>
          <t>outcome_loans</t>
        </is>
      </c>
      <c r="F369" t="inlineStr">
        <is>
          <t>Outcome, share of loans</t>
        </is>
      </c>
      <c r="G369" t="n">
        <v>373</v>
      </c>
      <c r="H369" t="n">
        <v>373</v>
      </c>
      <c r="I369" t="b">
        <v>0</v>
      </c>
      <c r="J369" t="b">
        <v>0</v>
      </c>
      <c r="K369" t="n">
        <v>1.041343304642303</v>
      </c>
      <c r="L369" t="n">
        <v>0.9032392892759707</v>
      </c>
      <c r="M369" t="n">
        <v>0.8292968661995629</v>
      </c>
      <c r="N369" t="n">
        <v>0.4900456822445288</v>
      </c>
      <c r="O369" t="n">
        <v>1.191056910569106</v>
      </c>
      <c r="P369" t="n">
        <v>-6.175224123879381</v>
      </c>
      <c r="Q369">
        <f>'_live'!$C$20</f>
        <v/>
      </c>
      <c r="R369" t="inlineStr">
        <is>
          <t>z test</t>
        </is>
      </c>
      <c r="S369" t="inlineStr">
        <is>
          <t>z test</t>
        </is>
      </c>
      <c r="T369" t="n">
        <v>0.07723577235772358</v>
      </c>
      <c r="U369" t="n">
        <v>0.09698451507742462</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0.08042895442359249</v>
      </c>
      <c r="AI369">
        <f>IF($Y369="worse","Yes",IF($Y369="worse, not significant","Not sure",IF(OR($Y369="too few losses to test",$Y369="too few loans to test"),"Too few losses",IF($Y369="","","No"))))</f>
        <v/>
      </c>
      <c r="AJ369">
        <f>IF($AA369="yes","Yes",IF($AA369="","","No"))</f>
        <v/>
      </c>
      <c r="AM369">
        <f>IF(AND(ISNUMBER($AC369),ISNUMBER(IF($V369,IF($AL369="","",$AL369),IF($AK369="","",$AK369)))),IF(AND(ABS($AC369-significance_bar)&lt;=2.0*IF($V369,IF($AL369="","",$AL369),IF($AK369="","",$AK369)),OR($Y369="worse",$Y369="better",$Y369="worse, not significant",$Y369="better, not significant")),IF(ROUND($AC369,3)=ROUND(significance_bar,3),TEXT($AC369,"0.0000"),TEXT($AC369,"0.000")),""),"")</f>
        <v/>
      </c>
      <c r="AN369">
        <f>IF(AND(ISNUMBER($AC369),ISNUMBER(IF($V369,IF($AL369="","",$AL369),IF($AK369="","",$AK369)))),IF(AND(ABS($AC369-significance_bar)&lt;=2.0*IF($V369,IF($AL369="","",$AL369),IF($AK369="","",$AK369)),OR($Y369="worse",$Y369="worse, not significant")),IF(ROUND($AC369,3)=ROUND(significance_bar,3),TEXT($AC369,"0.0000"),TEXT($AC369,"0.000")),""),"")</f>
        <v/>
      </c>
      <c r="AO369">
        <f>IF(OR($AI369="",$AN369=""),$AI369,$AI369&amp;" · borderline (p "&amp;$AN369&amp;")")</f>
        <v/>
      </c>
    </row>
    <row r="370">
      <c r="A370" t="inlineStr">
        <is>
          <t>grids</t>
        </is>
      </c>
      <c r="B370" t="inlineStr">
        <is>
          <t>REV_DEBT x ASSET_CLASS</t>
        </is>
      </c>
      <c r="C370" t="inlineStr">
        <is>
          <t>13,052 - 17,186</t>
        </is>
      </c>
      <c r="D370" t="inlineStr">
        <is>
          <t>3</t>
        </is>
      </c>
      <c r="E370" t="inlineStr">
        <is>
          <t>outcome_booked</t>
        </is>
      </c>
      <c r="F370" t="inlineStr">
        <is>
          <t>Outcome, share of booked dollars</t>
        </is>
      </c>
      <c r="G370" t="n">
        <v>373</v>
      </c>
      <c r="H370" t="n">
        <v>12271809.96</v>
      </c>
      <c r="I370" t="b">
        <v>0</v>
      </c>
      <c r="J370" t="b">
        <v>0</v>
      </c>
      <c r="K370" t="n">
        <v>1.058690382088015</v>
      </c>
      <c r="L370" t="n">
        <v>0.8451858355282411</v>
      </c>
      <c r="M370" t="n">
        <v>0.8308445030661796</v>
      </c>
      <c r="N370" t="n">
        <v>0.5986733001658374</v>
      </c>
      <c r="O370" t="n">
        <v>53744.52010702365</v>
      </c>
      <c r="P370" t="n">
        <v>-197379.7454612462</v>
      </c>
      <c r="Q370">
        <f>'_live'!$C$21</f>
        <v/>
      </c>
      <c r="R370" t="inlineStr">
        <is>
          <t>shuffled: 151 of 200</t>
        </is>
      </c>
      <c r="S370" t="inlineStr">
        <is>
          <t>shuffled: 82 of 200</t>
        </is>
      </c>
      <c r="T370" t="n">
        <v>0.07462058187649581</v>
      </c>
      <c r="U370" t="n">
        <v>0.09508408859529363</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0.07900009233845734</v>
      </c>
      <c r="AI370">
        <f>IF($Y370="worse","Yes",IF($Y370="worse, not significant","Not sure",IF(OR($Y370="too few losses to test",$Y370="too few loans to test"),"Too few losses",IF($Y370="","","No"))))</f>
        <v/>
      </c>
      <c r="AJ370">
        <f>IF($AA370="yes","Yes",IF($AA370="","","No"))</f>
        <v/>
      </c>
      <c r="AK370" t="n">
        <v>0.03393231252507518</v>
      </c>
      <c r="AL370" t="n">
        <v>0.04471631655290601</v>
      </c>
      <c r="AM370">
        <f>IF(AND(ISNUMBER($AC370),ISNUMBER(IF($V370,IF($AL370="","",$AL370),IF($AK370="","",$AK370)))),IF(AND(ABS($AC370-significance_bar)&lt;=2.0*IF($V370,IF($AL370="","",$AL370),IF($AK370="","",$AK370)),OR($Y370="worse",$Y370="better",$Y370="worse, not significant",$Y370="better, not significant")),IF(ROUND($AC370,3)=ROUND(significance_bar,3),TEXT($AC370,"0.0000"),TEXT($AC370,"0.000")),""),"")</f>
        <v/>
      </c>
      <c r="AN370">
        <f>IF(AND(ISNUMBER($AC370),ISNUMBER(IF($V370,IF($AL370="","",$AL370),IF($AK370="","",$AK370)))),IF(AND(ABS($AC370-significance_bar)&lt;=2.0*IF($V370,IF($AL370="","",$AL370),IF($AK370="","",$AK370)),OR($Y370="worse",$Y370="worse, not significant")),IF(ROUND($AC370,3)=ROUND(significance_bar,3),TEXT($AC370,"0.0000"),TEXT($AC370,"0.000")),""),"")</f>
        <v/>
      </c>
      <c r="AO370">
        <f>IF(OR($AI370="",$AN370=""),$AI370,$AI370&amp;" · borderline (p "&amp;$AN370&amp;")")</f>
        <v/>
      </c>
    </row>
    <row r="371">
      <c r="A371" t="inlineStr">
        <is>
          <t>grids</t>
        </is>
      </c>
      <c r="B371" t="inlineStr">
        <is>
          <t>REV_DEBT x ASSET_CLASS</t>
        </is>
      </c>
      <c r="C371" t="inlineStr">
        <is>
          <t>13,052 - 17,186</t>
        </is>
      </c>
      <c r="D371" t="inlineStr">
        <is>
          <t>3</t>
        </is>
      </c>
      <c r="E371" t="inlineStr">
        <is>
          <t>gco_rate</t>
        </is>
      </c>
      <c r="F371" t="inlineStr">
        <is>
          <t>GCO per booked dollar</t>
        </is>
      </c>
      <c r="G371" t="n">
        <v>373</v>
      </c>
      <c r="H371" t="n">
        <v>12271809.96</v>
      </c>
      <c r="I371" t="b">
        <v>0</v>
      </c>
      <c r="J371" t="b">
        <v>0</v>
      </c>
      <c r="K371" t="n">
        <v>1.061977935160834</v>
      </c>
      <c r="L371" t="n">
        <v>0.8952297336845186</v>
      </c>
      <c r="M371" t="n">
        <v>0.8156886403636963</v>
      </c>
      <c r="N371" t="n">
        <v>0.6187245590230664</v>
      </c>
      <c r="O371" t="n">
        <v>31551.19047341752</v>
      </c>
      <c r="P371" t="n">
        <v>-122157.9762467821</v>
      </c>
      <c r="Q371">
        <f>'_live'!$C$22</f>
        <v/>
      </c>
      <c r="R371" t="inlineStr">
        <is>
          <t>shuffled: 160 of 200</t>
        </is>
      </c>
      <c r="S371" t="inlineStr">
        <is>
          <t>shuffled: 71 of 200</t>
        </is>
      </c>
      <c r="T371" t="n">
        <v>0.04148298752880807</v>
      </c>
      <c r="U371" t="n">
        <v>0.05400837434796639</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0.04405401744014623</v>
      </c>
      <c r="AI371">
        <f>IF($Y371="worse","Yes",IF($Y371="worse, not significant","Not sure",IF(OR($Y371="too few losses to test",$Y371="too few loans to test"),"Too few losses",IF($Y371="","","No"))))</f>
        <v/>
      </c>
      <c r="AJ371">
        <f>IF($AA371="yes","Yes",IF($AA371="","","No"))</f>
        <v/>
      </c>
      <c r="AK371" t="n">
        <v>0.03155270216249471</v>
      </c>
      <c r="AL371" t="n">
        <v>0.05856133436646144</v>
      </c>
      <c r="AM371">
        <f>IF(AND(ISNUMBER($AC371),ISNUMBER(IF($V371,IF($AL371="","",$AL371),IF($AK371="","",$AK371)))),IF(AND(ABS($AC371-significance_bar)&lt;=2.0*IF($V371,IF($AL371="","",$AL371),IF($AK371="","",$AK371)),OR($Y371="worse",$Y371="better",$Y371="worse, not significant",$Y371="better, not significant")),IF(ROUND($AC371,3)=ROUND(significance_bar,3),TEXT($AC371,"0.0000"),TEXT($AC371,"0.000")),""),"")</f>
        <v/>
      </c>
      <c r="AN371">
        <f>IF(AND(ISNUMBER($AC371),ISNUMBER(IF($V371,IF($AL371="","",$AL371),IF($AK371="","",$AK371)))),IF(AND(ABS($AC371-significance_bar)&lt;=2.0*IF($V371,IF($AL371="","",$AL371),IF($AK371="","",$AK371)),OR($Y371="worse",$Y371="worse, not significant")),IF(ROUND($AC371,3)=ROUND(significance_bar,3),TEXT($AC371,"0.0000"),TEXT($AC371,"0.000")),""),"")</f>
        <v/>
      </c>
      <c r="AO371">
        <f>IF(OR($AI371="",$AN371=""),$AI371,$AI371&amp;" · borderline (p "&amp;$AN371&amp;")")</f>
        <v/>
      </c>
    </row>
    <row r="372">
      <c r="A372" t="inlineStr">
        <is>
          <t>grids</t>
        </is>
      </c>
      <c r="B372" t="inlineStr">
        <is>
          <t>REV_DEBT x ASSET_CLASS</t>
        </is>
      </c>
      <c r="C372" t="inlineStr">
        <is>
          <t>13,052 - 17,186</t>
        </is>
      </c>
      <c r="D372" t="inlineStr">
        <is>
          <t>3</t>
        </is>
      </c>
      <c r="E372" t="inlineStr">
        <is>
          <t>ranr_rate</t>
        </is>
      </c>
      <c r="F372" t="inlineStr">
        <is>
          <t>Profit after losses: RANR per booked dollar</t>
        </is>
      </c>
      <c r="G372" t="n">
        <v>373</v>
      </c>
      <c r="H372" t="n">
        <v>12271809.96</v>
      </c>
      <c r="I372" t="b">
        <v>0</v>
      </c>
      <c r="J372" t="b">
        <v>0</v>
      </c>
      <c r="K372" t="n">
        <v>0.01311831441147823</v>
      </c>
      <c r="L372" t="n">
        <v>0.3980099502487562</v>
      </c>
      <c r="M372" t="n">
        <v>0.001744342946364053</v>
      </c>
      <c r="N372" t="n">
        <v>0.8955223880597016</v>
      </c>
      <c r="O372" t="n">
        <v>-160985.4614531901</v>
      </c>
      <c r="P372" t="n">
        <v>-21406.24514284614</v>
      </c>
      <c r="Q372">
        <f>'_live'!$C$23</f>
        <v/>
      </c>
      <c r="R372" t="inlineStr">
        <is>
          <t>shuffled: 51 of 200</t>
        </is>
      </c>
      <c r="S372" t="inlineStr">
        <is>
          <t>shuffled: 179 of 200</t>
        </is>
      </c>
      <c r="T372" t="n">
        <v>0.1273662404846114</v>
      </c>
      <c r="U372" t="n">
        <v>0.1387402119497256</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0.1404845548960896</v>
      </c>
      <c r="AI372">
        <f>IF($Y372="worse","Yes",IF($Y372="worse, not significant","Not sure",IF(OR($Y372="too few losses to test",$Y372="too few loans to test"),"Too few losses",IF($Y372="","","No"))))</f>
        <v/>
      </c>
      <c r="AJ372">
        <f>IF($AA372="yes","Yes",IF($AA372="","","No"))</f>
        <v/>
      </c>
      <c r="AK372" t="n">
        <v>0.04763985095934309</v>
      </c>
      <c r="AL372" t="n">
        <v>0.02162892051670065</v>
      </c>
      <c r="AM372">
        <f>IF(AND(ISNUMBER($AC372),ISNUMBER(IF($V372,IF($AL372="","",$AL372),IF($AK372="","",$AK372)))),IF(AND(ABS($AC372-significance_bar)&lt;=2.0*IF($V372,IF($AL372="","",$AL372),IF($AK372="","",$AK372)),OR($Y372="worse",$Y372="better",$Y372="worse, not significant",$Y372="better, not significant",AND(profit_kind="test",$Y372="in line",ISNUMBER($AB372),$AB372&lt;&gt;0))),IF(ROUND($AC372,3)=ROUND(significance_bar,3),TEXT($AC372,"0.0000"),TEXT($AC372,"0.000")),""),"")</f>
        <v/>
      </c>
      <c r="AN372">
        <f>IF(AND(ISNUMBER($AC372),ISNUMBER(IF($V372,IF($AL372="","",$AL372),IF($AK372="","",$AK372)))),IF(AND(ABS($AC372-significance_bar)&lt;=2.0*IF($V372,IF($AL372="","",$AL372),IF($AK372="","",$AK372)),OR($Y372="worse",$Y372="worse, not significant",AND(profit_kind="test",$Y372="in line",ISNUMBER($AB372),$AB372&lt;0))),IF(ROUND($AC372,3)=ROUND(significance_bar,3),TEXT($AC372,"0.0000"),TEXT($AC372,"0.000")),""),"")</f>
        <v/>
      </c>
      <c r="AO372">
        <f>IF(OR($AI372="",$AN372=""),$AI372,$AI372&amp;" · borderline (p "&amp;$AN372&amp;")")</f>
        <v/>
      </c>
    </row>
    <row r="373">
      <c r="A373" t="inlineStr">
        <is>
          <t>grids</t>
        </is>
      </c>
      <c r="B373" t="inlineStr">
        <is>
          <t>REV_DEBT x ASSET_CLASS</t>
        </is>
      </c>
      <c r="C373" t="inlineStr">
        <is>
          <t>13,052 - 17,186</t>
        </is>
      </c>
      <c r="D373" t="inlineStr">
        <is>
          <t>3</t>
        </is>
      </c>
      <c r="E373" t="inlineStr">
        <is>
          <t>contribution_rate</t>
        </is>
      </c>
      <c r="F373" t="inlineStr">
        <is>
          <t>Contribution before losses per booked dollar</t>
        </is>
      </c>
      <c r="G373" t="n">
        <v>373</v>
      </c>
      <c r="H373" t="n">
        <v>12271809.96</v>
      </c>
      <c r="I373" t="b">
        <v>0</v>
      </c>
      <c r="J373" t="b">
        <v>0</v>
      </c>
      <c r="K373" t="n">
        <v>0.01569244707673689</v>
      </c>
      <c r="L373" t="n">
        <v>0.05267778753292361</v>
      </c>
      <c r="M373" t="n">
        <v>-0.008210013961455931</v>
      </c>
      <c r="N373" t="n">
        <v>0.8070757324488668</v>
      </c>
      <c r="O373" t="n">
        <v>-192574.7283330725</v>
      </c>
      <c r="P373" t="n">
        <v>100751.7311039339</v>
      </c>
      <c r="Q373">
        <f>'_live'!$C$24</f>
        <v/>
      </c>
      <c r="R373" t="inlineStr">
        <is>
          <t>shuffled: 8 of 200</t>
        </is>
      </c>
      <c r="S373" t="inlineStr">
        <is>
          <t>shuffled: 68 of 200</t>
        </is>
      </c>
      <c r="T373" t="n">
        <v>0.1688461252594991</v>
      </c>
      <c r="U373" t="n">
        <v>0.1927485862976919</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0.184538572336236</v>
      </c>
      <c r="AI373">
        <f>IF($Y373="worse","Yes",IF($Y373="worse, not significant","Not sure",IF(OR($Y373="too few losses to test",$Y373="too few loans to test"),"Too few losses",IF($Y373="","","No"))))</f>
        <v/>
      </c>
      <c r="AJ373">
        <f>IF($AA373="yes","Yes",IF($AA373="","","No"))</f>
        <v/>
      </c>
      <c r="AK373" t="n">
        <v>0.01720449336458773</v>
      </c>
      <c r="AL373" t="n">
        <v>0.07556885567997816</v>
      </c>
      <c r="AM373">
        <f>IF(AND(ISNUMBER($AC373),ISNUMBER(IF($V373,IF($AL373="","",$AL373),IF($AK373="","",$AK373)))),IF(AND(ABS($AC373-significance_bar)&lt;=2.0*IF($V373,IF($AL373="","",$AL373),IF($AK373="","",$AK373)),OR($Y373="worse",$Y373="better",$Y373="worse, not significant",$Y373="better, not significant",AND(profit_kind="test",$Y373="in line",ISNUMBER($AB373),$AB373&lt;&gt;0))),IF(ROUND($AC373,3)=ROUND(significance_bar,3),TEXT($AC373,"0.0000"),TEXT($AC373,"0.000")),""),"")</f>
        <v/>
      </c>
      <c r="AN373">
        <f>IF(AND(ISNUMBER($AC373),ISNUMBER(IF($V373,IF($AL373="","",$AL373),IF($AK373="","",$AK373)))),IF(AND(ABS($AC373-significance_bar)&lt;=2.0*IF($V373,IF($AL373="","",$AL373),IF($AK373="","",$AK373)),OR($Y373="worse",$Y373="worse, not significant",AND(profit_kind="test",$Y373="in line",ISNUMBER($AB373),$AB373&lt;0))),IF(ROUND($AC373,3)=ROUND(significance_bar,3),TEXT($AC373,"0.0000"),TEXT($AC373,"0.000")),""),"")</f>
        <v/>
      </c>
      <c r="AO373">
        <f>IF(OR($AI373="",$AN373=""),$AI373,$AI373&amp;" · borderline (p "&amp;$AN373&amp;")")</f>
        <v/>
      </c>
    </row>
    <row r="374">
      <c r="A374" t="inlineStr">
        <is>
          <t>grids</t>
        </is>
      </c>
      <c r="B374" t="inlineStr">
        <is>
          <t>REV_DEBT x ASSET_CLASS</t>
        </is>
      </c>
      <c r="C374" t="inlineStr">
        <is>
          <t>9,837 - 13,051</t>
        </is>
      </c>
      <c r="D374" t="inlineStr">
        <is>
          <t>3</t>
        </is>
      </c>
      <c r="E374" t="inlineStr">
        <is>
          <t>outcome_loans</t>
        </is>
      </c>
      <c r="F374" t="inlineStr">
        <is>
          <t>Outcome, share of loans</t>
        </is>
      </c>
      <c r="G374" t="n">
        <v>400</v>
      </c>
      <c r="H374" t="n">
        <v>400</v>
      </c>
      <c r="I374" t="b">
        <v>0</v>
      </c>
      <c r="J374" t="b">
        <v>0</v>
      </c>
      <c r="K374" t="n">
        <v>0.9000507614213198</v>
      </c>
      <c r="L374" t="n">
        <v>0.7228147089293095</v>
      </c>
      <c r="M374" t="n">
        <v>1.18112676056338</v>
      </c>
      <c r="N374" t="n">
        <v>0.5581512696534571</v>
      </c>
      <c r="O374" t="n">
        <v>-3.109356494275563</v>
      </c>
      <c r="P374" t="n">
        <v>4.293823038397328</v>
      </c>
      <c r="Q374">
        <f>'_live'!$C$20</f>
        <v/>
      </c>
      <c r="R374" t="inlineStr">
        <is>
          <t>z test</t>
        </is>
      </c>
      <c r="S374" t="inlineStr">
        <is>
          <t>z test</t>
        </is>
      </c>
      <c r="T374" t="n">
        <v>0.07777339123568891</v>
      </c>
      <c r="U374" t="n">
        <v>0.05926544240400668</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0.07000000000000001</v>
      </c>
      <c r="AI374">
        <f>IF($Y374="worse","Yes",IF($Y374="worse, not significant","Not sure",IF(OR($Y374="too few losses to test",$Y374="too few loans to test"),"Too few losses",IF($Y374="","","No"))))</f>
        <v/>
      </c>
      <c r="AJ374">
        <f>IF($AA374="yes","Yes",IF($AA374="","","No"))</f>
        <v/>
      </c>
      <c r="AM374">
        <f>IF(AND(ISNUMBER($AC374),ISNUMBER(IF($V374,IF($AL374="","",$AL374),IF($AK374="","",$AK374)))),IF(AND(ABS($AC374-significance_bar)&lt;=2.0*IF($V374,IF($AL374="","",$AL374),IF($AK374="","",$AK374)),OR($Y374="worse",$Y374="better",$Y374="worse, not significant",$Y374="better, not significant")),IF(ROUND($AC374,3)=ROUND(significance_bar,3),TEXT($AC374,"0.0000"),TEXT($AC374,"0.000")),""),"")</f>
        <v/>
      </c>
      <c r="AN374">
        <f>IF(AND(ISNUMBER($AC374),ISNUMBER(IF($V374,IF($AL374="","",$AL374),IF($AK374="","",$AK374)))),IF(AND(ABS($AC374-significance_bar)&lt;=2.0*IF($V374,IF($AL374="","",$AL374),IF($AK374="","",$AK374)),OR($Y374="worse",$Y374="worse, not significant")),IF(ROUND($AC374,3)=ROUND(significance_bar,3),TEXT($AC374,"0.0000"),TEXT($AC374,"0.000")),""),"")</f>
        <v/>
      </c>
      <c r="AO374">
        <f>IF(OR($AI374="",$AN374=""),$AI374,$AI374&amp;" · borderline (p "&amp;$AN374&amp;")")</f>
        <v/>
      </c>
    </row>
    <row r="375">
      <c r="A375" t="inlineStr">
        <is>
          <t>grids</t>
        </is>
      </c>
      <c r="B375" t="inlineStr">
        <is>
          <t>REV_DEBT x ASSET_CLASS</t>
        </is>
      </c>
      <c r="C375" t="inlineStr">
        <is>
          <t>9,837 - 13,051</t>
        </is>
      </c>
      <c r="D375" t="inlineStr">
        <is>
          <t>3</t>
        </is>
      </c>
      <c r="E375" t="inlineStr">
        <is>
          <t>outcome_booked</t>
        </is>
      </c>
      <c r="F375" t="inlineStr">
        <is>
          <t>Outcome, share of booked dollars</t>
        </is>
      </c>
      <c r="G375" t="n">
        <v>400</v>
      </c>
      <c r="H375" t="n">
        <v>13091975.57</v>
      </c>
      <c r="I375" t="b">
        <v>0</v>
      </c>
      <c r="J375" t="b">
        <v>0</v>
      </c>
      <c r="K375" t="n">
        <v>0.6777068256586875</v>
      </c>
      <c r="L375" t="n">
        <v>0.1811774461028192</v>
      </c>
      <c r="M375" t="n">
        <v>0.8424487335771079</v>
      </c>
      <c r="N375" t="n">
        <v>0.5986733001658374</v>
      </c>
      <c r="O375" t="n">
        <v>-320985.9119596549</v>
      </c>
      <c r="P375" t="n">
        <v>-126227.8369494142</v>
      </c>
      <c r="Q375">
        <f>'_live'!$C$21</f>
        <v/>
      </c>
      <c r="R375" t="inlineStr">
        <is>
          <t>shuffled: 22 of 200</t>
        </is>
      </c>
      <c r="S375" t="inlineStr">
        <is>
          <t>shuffled: 93 of 200</t>
        </is>
      </c>
      <c r="T375" t="n">
        <v>0.07607284833633821</v>
      </c>
      <c r="U375" t="n">
        <v>0.06119670730102152</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0.05155508856483453</v>
      </c>
      <c r="AI375">
        <f>IF($Y375="worse","Yes",IF($Y375="worse, not significant","Not sure",IF(OR($Y375="too few losses to test",$Y375="too few loans to test"),"Too few losses",IF($Y375="","","No"))))</f>
        <v/>
      </c>
      <c r="AJ375">
        <f>IF($AA375="yes","Yes",IF($AA375="","","No"))</f>
        <v/>
      </c>
      <c r="AK375" t="n">
        <v>0.03563979676474441</v>
      </c>
      <c r="AL375" t="n">
        <v>0.04471631655290601</v>
      </c>
      <c r="AM375">
        <f>IF(AND(ISNUMBER($AC375),ISNUMBER(IF($V375,IF($AL375="","",$AL375),IF($AK375="","",$AK375)))),IF(AND(ABS($AC375-significance_bar)&lt;=2.0*IF($V375,IF($AL375="","",$AL375),IF($AK375="","",$AK375)),OR($Y375="worse",$Y375="better",$Y375="worse, not significant",$Y375="better, not significant")),IF(ROUND($AC375,3)=ROUND(significance_bar,3),TEXT($AC375,"0.0000"),TEXT($AC375,"0.000")),""),"")</f>
        <v/>
      </c>
      <c r="AN375">
        <f>IF(AND(ISNUMBER($AC375),ISNUMBER(IF($V375,IF($AL375="","",$AL375),IF($AK375="","",$AK375)))),IF(AND(ABS($AC375-significance_bar)&lt;=2.0*IF($V375,IF($AL375="","",$AL375),IF($AK375="","",$AK375)),OR($Y375="worse",$Y375="worse, not significant")),IF(ROUND($AC375,3)=ROUND(significance_bar,3),TEXT($AC375,"0.0000"),TEXT($AC375,"0.000")),""),"")</f>
        <v/>
      </c>
      <c r="AO375">
        <f>IF(OR($AI375="",$AN375=""),$AI375,$AI375&amp;" · borderline (p "&amp;$AN375&amp;")")</f>
        <v/>
      </c>
    </row>
    <row r="376">
      <c r="A376" t="inlineStr">
        <is>
          <t>grids</t>
        </is>
      </c>
      <c r="B376" t="inlineStr">
        <is>
          <t>REV_DEBT x ASSET_CLASS</t>
        </is>
      </c>
      <c r="C376" t="inlineStr">
        <is>
          <t>9,837 - 13,051</t>
        </is>
      </c>
      <c r="D376" t="inlineStr">
        <is>
          <t>3</t>
        </is>
      </c>
      <c r="E376" t="inlineStr">
        <is>
          <t>gco_rate</t>
        </is>
      </c>
      <c r="F376" t="inlineStr">
        <is>
          <t>GCO per booked dollar</t>
        </is>
      </c>
      <c r="G376" t="n">
        <v>400</v>
      </c>
      <c r="H376" t="n">
        <v>13091975.57</v>
      </c>
      <c r="I376" t="b">
        <v>0</v>
      </c>
      <c r="J376" t="b">
        <v>0</v>
      </c>
      <c r="K376" t="n">
        <v>0.6549302200237035</v>
      </c>
      <c r="L376" t="n">
        <v>0.1460877431026685</v>
      </c>
      <c r="M376" t="n">
        <v>0.8202233271234983</v>
      </c>
      <c r="N376" t="n">
        <v>0.6279317697228145</v>
      </c>
      <c r="O376" t="n">
        <v>-191307.28983353</v>
      </c>
      <c r="P376" t="n">
        <v>-79583.09865145013</v>
      </c>
      <c r="Q376">
        <f>'_live'!$C$22</f>
        <v/>
      </c>
      <c r="R376" t="inlineStr">
        <is>
          <t>shuffled: 16 of 200</t>
        </is>
      </c>
      <c r="S376" t="inlineStr">
        <is>
          <t>shuffled: 82 of 200</t>
        </is>
      </c>
      <c r="T376" t="n">
        <v>0.04234668380408</v>
      </c>
      <c r="U376" t="n">
        <v>0.03381289220137539</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0.02773412294108031</v>
      </c>
      <c r="AI376">
        <f>IF($Y376="worse","Yes",IF($Y376="worse, not significant","Not sure",IF(OR($Y376="too few losses to test",$Y376="too few loans to test"),"Too few losses",IF($Y376="","","No"))))</f>
        <v/>
      </c>
      <c r="AJ376">
        <f>IF($AA376="yes","Yes",IF($AA376="","","No"))</f>
        <v/>
      </c>
      <c r="AK376" t="n">
        <v>0.03398468373879861</v>
      </c>
      <c r="AL376" t="n">
        <v>0.04784844870135109</v>
      </c>
      <c r="AM376">
        <f>IF(AND(ISNUMBER($AC376),ISNUMBER(IF($V376,IF($AL376="","",$AL376),IF($AK376="","",$AK376)))),IF(AND(ABS($AC376-significance_bar)&lt;=2.0*IF($V376,IF($AL376="","",$AL376),IF($AK376="","",$AK376)),OR($Y376="worse",$Y376="better",$Y376="worse, not significant",$Y376="better, not significant")),IF(ROUND($AC376,3)=ROUND(significance_bar,3),TEXT($AC376,"0.0000"),TEXT($AC376,"0.000")),""),"")</f>
        <v/>
      </c>
      <c r="AN376">
        <f>IF(AND(ISNUMBER($AC376),ISNUMBER(IF($V376,IF($AL376="","",$AL376),IF($AK376="","",$AK376)))),IF(AND(ABS($AC376-significance_bar)&lt;=2.0*IF($V376,IF($AL376="","",$AL376),IF($AK376="","",$AK376)),OR($Y376="worse",$Y376="worse, not significant")),IF(ROUND($AC376,3)=ROUND(significance_bar,3),TEXT($AC376,"0.0000"),TEXT($AC376,"0.000")),""),"")</f>
        <v/>
      </c>
      <c r="AO376">
        <f>IF(OR($AI376="",$AN376=""),$AI376,$AI376&amp;" · borderline (p "&amp;$AN376&amp;")")</f>
        <v/>
      </c>
    </row>
    <row r="377">
      <c r="A377" t="inlineStr">
        <is>
          <t>grids</t>
        </is>
      </c>
      <c r="B377" t="inlineStr">
        <is>
          <t>REV_DEBT x ASSET_CLASS</t>
        </is>
      </c>
      <c r="C377" t="inlineStr">
        <is>
          <t>9,837 - 13,051</t>
        </is>
      </c>
      <c r="D377" t="inlineStr">
        <is>
          <t>3</t>
        </is>
      </c>
      <c r="E377" t="inlineStr">
        <is>
          <t>ranr_rate</t>
        </is>
      </c>
      <c r="F377" t="inlineStr">
        <is>
          <t>Profit after losses: RANR per booked dollar</t>
        </is>
      </c>
      <c r="G377" t="n">
        <v>400</v>
      </c>
      <c r="H377" t="n">
        <v>13091975.57</v>
      </c>
      <c r="I377" t="b">
        <v>0</v>
      </c>
      <c r="J377" t="b">
        <v>0</v>
      </c>
      <c r="K377" t="n">
        <v>-0.001839610573850292</v>
      </c>
      <c r="L377" t="n">
        <v>0.8955223880597015</v>
      </c>
      <c r="M377" t="n">
        <v>-0.006892710165021076</v>
      </c>
      <c r="N377" t="n">
        <v>0.812603648424544</v>
      </c>
      <c r="O377" t="n">
        <v>24084.13669116166</v>
      </c>
      <c r="P377" t="n">
        <v>90239.19309154665</v>
      </c>
      <c r="Q377">
        <f>'_live'!$C$23</f>
        <v/>
      </c>
      <c r="R377" t="inlineStr">
        <is>
          <t>shuffled: 170 of 200</t>
        </is>
      </c>
      <c r="S377" t="inlineStr">
        <is>
          <t>shuffled: 96 of 200</t>
        </is>
      </c>
      <c r="T377" t="n">
        <v>0.128083374256645</v>
      </c>
      <c r="U377" t="n">
        <v>0.1331364738478158</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0.1262437636827947</v>
      </c>
      <c r="AI377">
        <f>IF($Y377="worse","Yes",IF($Y377="worse, not significant","Not sure",IF(OR($Y377="too few losses to test",$Y377="too few loans to test"),"Too few losses",IF($Y377="","","No"))))</f>
        <v/>
      </c>
      <c r="AJ377">
        <f>IF($AA377="yes","Yes",IF($AA377="","","No"))</f>
        <v/>
      </c>
      <c r="AK377" t="n">
        <v>0.02652308407876533</v>
      </c>
      <c r="AL377" t="n">
        <v>0.03482587064676616</v>
      </c>
      <c r="AM377">
        <f>IF(AND(ISNUMBER($AC377),ISNUMBER(IF($V377,IF($AL377="","",$AL377),IF($AK377="","",$AK377)))),IF(AND(ABS($AC377-significance_bar)&lt;=2.0*IF($V377,IF($AL377="","",$AL377),IF($AK377="","",$AK377)),OR($Y377="worse",$Y377="better",$Y377="worse, not significant",$Y377="better, not significant",AND(profit_kind="test",$Y377="in line",ISNUMBER($AB377),$AB377&lt;&gt;0))),IF(ROUND($AC377,3)=ROUND(significance_bar,3),TEXT($AC377,"0.0000"),TEXT($AC377,"0.000")),""),"")</f>
        <v/>
      </c>
      <c r="AN377">
        <f>IF(AND(ISNUMBER($AC377),ISNUMBER(IF($V377,IF($AL377="","",$AL377),IF($AK377="","",$AK377)))),IF(AND(ABS($AC377-significance_bar)&lt;=2.0*IF($V377,IF($AL377="","",$AL377),IF($AK377="","",$AK377)),OR($Y377="worse",$Y377="worse, not significant",AND(profit_kind="test",$Y377="in line",ISNUMBER($AB377),$AB377&lt;0))),IF(ROUND($AC377,3)=ROUND(significance_bar,3),TEXT($AC377,"0.0000"),TEXT($AC377,"0.000")),""),"")</f>
        <v/>
      </c>
      <c r="AO377">
        <f>IF(OR($AI377="",$AN377=""),$AI377,$AI377&amp;" · borderline (p "&amp;$AN377&amp;")")</f>
        <v/>
      </c>
    </row>
    <row r="378">
      <c r="A378" t="inlineStr">
        <is>
          <t>grids</t>
        </is>
      </c>
      <c r="B378" t="inlineStr">
        <is>
          <t>REV_DEBT x ASSET_CLASS</t>
        </is>
      </c>
      <c r="C378" t="inlineStr">
        <is>
          <t>9,837 - 13,051</t>
        </is>
      </c>
      <c r="D378" t="inlineStr">
        <is>
          <t>3</t>
        </is>
      </c>
      <c r="E378" t="inlineStr">
        <is>
          <t>contribution_rate</t>
        </is>
      </c>
      <c r="F378" t="inlineStr">
        <is>
          <t>Contribution before losses per booked dollar</t>
        </is>
      </c>
      <c r="G378" t="n">
        <v>400</v>
      </c>
      <c r="H378" t="n">
        <v>13091975.57</v>
      </c>
      <c r="I378" t="b">
        <v>0</v>
      </c>
      <c r="J378" t="b">
        <v>0</v>
      </c>
      <c r="K378" t="n">
        <v>-0.01644917448277017</v>
      </c>
      <c r="L378" t="n">
        <v>0.006218905472636815</v>
      </c>
      <c r="M378" t="n">
        <v>-0.01297147942531618</v>
      </c>
      <c r="N378" t="n">
        <v>0.417910447761194</v>
      </c>
      <c r="O378" t="n">
        <v>215352.1904750944</v>
      </c>
      <c r="P378" t="n">
        <v>169822.291742997</v>
      </c>
      <c r="Q378">
        <f>'_live'!$C$24</f>
        <v/>
      </c>
      <c r="R378" t="inlineStr">
        <is>
          <t>shuffled: 0 of 200</t>
        </is>
      </c>
      <c r="S378" t="inlineStr">
        <is>
          <t>shuffled: 8 of 200</t>
        </is>
      </c>
      <c r="T378" t="n">
        <v>0.1704270611066452</v>
      </c>
      <c r="U378" t="n">
        <v>0.1669493660491912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0.153977886623875</v>
      </c>
      <c r="AI378">
        <f>IF($Y378="worse","Yes",IF($Y378="worse, not significant","Not sure",IF(OR($Y378="too few losses to test",$Y378="too few loans to test"),"Too few losses",IF($Y378="","","No"))))</f>
        <v/>
      </c>
      <c r="AJ378">
        <f>IF($AA378="yes","Yes",IF($AA378="","","No"))</f>
        <v/>
      </c>
      <c r="AK378" t="n">
        <v>0.006218905472636815</v>
      </c>
      <c r="AL378" t="n">
        <v>0.08651568206680262</v>
      </c>
      <c r="AM378">
        <f>IF(AND(ISNUMBER($AC378),ISNUMBER(IF($V378,IF($AL378="","",$AL378),IF($AK378="","",$AK378)))),IF(AND(ABS($AC378-significance_bar)&lt;=2.0*IF($V378,IF($AL378="","",$AL378),IF($AK378="","",$AK378)),OR($Y378="worse",$Y378="better",$Y378="worse, not significant",$Y378="better, not significant",AND(profit_kind="test",$Y378="in line",ISNUMBER($AB378),$AB378&lt;&gt;0))),IF(ROUND($AC378,3)=ROUND(significance_bar,3),TEXT($AC378,"0.0000"),TEXT($AC378,"0.000")),""),"")</f>
        <v/>
      </c>
      <c r="AN378">
        <f>IF(AND(ISNUMBER($AC378),ISNUMBER(IF($V378,IF($AL378="","",$AL378),IF($AK378="","",$AK378)))),IF(AND(ABS($AC378-significance_bar)&lt;=2.0*IF($V378,IF($AL378="","",$AL378),IF($AK378="","",$AK378)),OR($Y378="worse",$Y378="worse, not significant",AND(profit_kind="test",$Y378="in line",ISNUMBER($AB378),$AB378&lt;0))),IF(ROUND($AC378,3)=ROUND(significance_bar,3),TEXT($AC378,"0.0000"),TEXT($AC378,"0.000")),""),"")</f>
        <v/>
      </c>
      <c r="AO378">
        <f>IF(OR($AI378="",$AN378=""),$AI378,$AI378&amp;" · borderline (p "&amp;$AN378&amp;")")</f>
        <v/>
      </c>
    </row>
    <row r="379">
      <c r="A379" t="inlineStr">
        <is>
          <t>grids</t>
        </is>
      </c>
      <c r="B379" t="inlineStr">
        <is>
          <t>REV_DEBT x ASSET_CLASS</t>
        </is>
      </c>
      <c r="C379" t="inlineStr">
        <is>
          <t>0 - 6,558</t>
        </is>
      </c>
      <c r="D379" t="inlineStr">
        <is>
          <t>2</t>
        </is>
      </c>
      <c r="E379" t="inlineStr">
        <is>
          <t>outcome_loans</t>
        </is>
      </c>
      <c r="F379" t="inlineStr">
        <is>
          <t>Outcome, share of loans</t>
        </is>
      </c>
      <c r="G379" t="n">
        <v>435</v>
      </c>
      <c r="H379" t="n">
        <v>435</v>
      </c>
      <c r="I379" t="b">
        <v>0</v>
      </c>
      <c r="J379" t="b">
        <v>0</v>
      </c>
      <c r="K379" t="n">
        <v>0.5207871937575305</v>
      </c>
      <c r="L379" t="n">
        <v>0.01045252357056571</v>
      </c>
      <c r="M379" t="n">
        <v>1.026559060895084</v>
      </c>
      <c r="N379" t="n">
        <v>0.974366750465917</v>
      </c>
      <c r="O379" t="n">
        <v>-16.56306187202539</v>
      </c>
      <c r="P379" t="n">
        <v>0.4656946826758137</v>
      </c>
      <c r="Q379">
        <f>'_live'!$C$20</f>
        <v/>
      </c>
      <c r="R379" t="inlineStr">
        <is>
          <t>z test</t>
        </is>
      </c>
      <c r="S379" t="inlineStr">
        <is>
          <t>z test</t>
        </is>
      </c>
      <c r="T379" t="n">
        <v>0.07945531464833422</v>
      </c>
      <c r="U379" t="n">
        <v>0.04030874785591767</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0.04137931034482759</v>
      </c>
      <c r="AI379">
        <f>IF($Y379="worse","Yes",IF($Y379="worse, not significant","Not sure",IF(OR($Y379="too few losses to test",$Y379="too few loans to test"),"Too few losses",IF($Y379="","","No"))))</f>
        <v/>
      </c>
      <c r="AJ379">
        <f>IF($AA379="yes","Yes",IF($AA379="","","No"))</f>
        <v/>
      </c>
      <c r="AM379">
        <f>IF(AND(ISNUMBER($AC379),ISNUMBER(IF($V379,IF($AL379="","",$AL379),IF($AK379="","",$AK379)))),IF(AND(ABS($AC379-significance_bar)&lt;=2.0*IF($V379,IF($AL379="","",$AL379),IF($AK379="","",$AK379)),OR($Y379="worse",$Y379="better",$Y379="worse, not significant",$Y379="better, not significant")),IF(ROUND($AC379,3)=ROUND(significance_bar,3),TEXT($AC379,"0.0000"),TEXT($AC379,"0.000")),""),"")</f>
        <v/>
      </c>
      <c r="AN379">
        <f>IF(AND(ISNUMBER($AC379),ISNUMBER(IF($V379,IF($AL379="","",$AL379),IF($AK379="","",$AK379)))),IF(AND(ABS($AC379-significance_bar)&lt;=2.0*IF($V379,IF($AL379="","",$AL379),IF($AK379="","",$AK379)),OR($Y379="worse",$Y379="worse, not significant")),IF(ROUND($AC379,3)=ROUND(significance_bar,3),TEXT($AC379,"0.0000"),TEXT($AC379,"0.000")),""),"")</f>
        <v/>
      </c>
      <c r="AO379">
        <f>IF(OR($AI379="",$AN379=""),$AI379,$AI379&amp;" · borderline (p "&amp;$AN379&amp;")")</f>
        <v/>
      </c>
    </row>
    <row r="380">
      <c r="A380" t="inlineStr">
        <is>
          <t>grids</t>
        </is>
      </c>
      <c r="B380" t="inlineStr">
        <is>
          <t>REV_DEBT x ASSET_CLASS</t>
        </is>
      </c>
      <c r="C380" t="inlineStr">
        <is>
          <t>0 - 6,558</t>
        </is>
      </c>
      <c r="D380" t="inlineStr">
        <is>
          <t>2</t>
        </is>
      </c>
      <c r="E380" t="inlineStr">
        <is>
          <t>outcome_booked</t>
        </is>
      </c>
      <c r="F380" t="inlineStr">
        <is>
          <t>Outcome, share of booked dollars</t>
        </is>
      </c>
      <c r="G380" t="n">
        <v>435</v>
      </c>
      <c r="H380" t="n">
        <v>14426540.2</v>
      </c>
      <c r="I380" t="b">
        <v>0</v>
      </c>
      <c r="J380" t="b">
        <v>0</v>
      </c>
      <c r="K380" t="n">
        <v>0.4711508823603959</v>
      </c>
      <c r="L380" t="n">
        <v>0.0236318407960199</v>
      </c>
      <c r="M380" t="n">
        <v>0.963650888231939</v>
      </c>
      <c r="N380" t="n">
        <v>0.9203980099502488</v>
      </c>
      <c r="O380" t="n">
        <v>-588298.8843720816</v>
      </c>
      <c r="P380" t="n">
        <v>-19769.71125521971</v>
      </c>
      <c r="Q380">
        <f>'_live'!$C$21</f>
        <v/>
      </c>
      <c r="R380" t="inlineStr">
        <is>
          <t>shuffled: 1 of 200</t>
        </is>
      </c>
      <c r="S380" t="inlineStr">
        <is>
          <t>shuffled: 184 of 200</t>
        </is>
      </c>
      <c r="T380" t="n">
        <v>0.07710881881243306</v>
      </c>
      <c r="U380" t="n">
        <v>0.03770025894740998</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0.03632988802124573</v>
      </c>
      <c r="AI380">
        <f>IF($Y380="worse","Yes",IF($Y380="worse, not significant","Not sure",IF(OR($Y380="too few losses to test",$Y380="too few loans to test"),"Too few losses",IF($Y380="","","No"))))</f>
        <v/>
      </c>
      <c r="AJ380">
        <f>IF($AA380="yes","Yes",IF($AA380="","","No"))</f>
        <v/>
      </c>
      <c r="AK380" t="n">
        <v>0.0166684069411475</v>
      </c>
      <c r="AL380" t="n">
        <v>0.01913968563350382</v>
      </c>
      <c r="AM380">
        <f>IF(AND(ISNUMBER($AC380),ISNUMBER(IF($V380,IF($AL380="","",$AL380),IF($AK380="","",$AK380)))),IF(AND(ABS($AC380-significance_bar)&lt;=2.0*IF($V380,IF($AL380="","",$AL380),IF($AK380="","",$AK380)),OR($Y380="worse",$Y380="better",$Y380="worse, not significant",$Y380="better, not significant")),IF(ROUND($AC380,3)=ROUND(significance_bar,3),TEXT($AC380,"0.0000"),TEXT($AC380,"0.000")),""),"")</f>
        <v/>
      </c>
      <c r="AN380">
        <f>IF(AND(ISNUMBER($AC380),ISNUMBER(IF($V380,IF($AL380="","",$AL380),IF($AK380="","",$AK380)))),IF(AND(ABS($AC380-significance_bar)&lt;=2.0*IF($V380,IF($AL380="","",$AL380),IF($AK380="","",$AK380)),OR($Y380="worse",$Y380="worse, not significant")),IF(ROUND($AC380,3)=ROUND(significance_bar,3),TEXT($AC380,"0.0000"),TEXT($AC380,"0.000")),""),"")</f>
        <v/>
      </c>
      <c r="AO380">
        <f>IF(OR($AI380="",$AN380=""),$AI380,$AI380&amp;" · borderline (p "&amp;$AN380&amp;")")</f>
        <v/>
      </c>
    </row>
    <row r="381">
      <c r="A381" t="inlineStr">
        <is>
          <t>grids</t>
        </is>
      </c>
      <c r="B381" t="inlineStr">
        <is>
          <t>REV_DEBT x ASSET_CLASS</t>
        </is>
      </c>
      <c r="C381" t="inlineStr">
        <is>
          <t>0 - 6,558</t>
        </is>
      </c>
      <c r="D381" t="inlineStr">
        <is>
          <t>2</t>
        </is>
      </c>
      <c r="E381" t="inlineStr">
        <is>
          <t>gco_rate</t>
        </is>
      </c>
      <c r="F381" t="inlineStr">
        <is>
          <t>GCO per booked dollar</t>
        </is>
      </c>
      <c r="G381" t="n">
        <v>435</v>
      </c>
      <c r="H381" t="n">
        <v>14426540.2</v>
      </c>
      <c r="I381" t="b">
        <v>0</v>
      </c>
      <c r="J381" t="b">
        <v>0</v>
      </c>
      <c r="K381" t="n">
        <v>0.4652367842599152</v>
      </c>
      <c r="L381" t="n">
        <v>0.0236318407960199</v>
      </c>
      <c r="M381" t="n">
        <v>1.027872174502744</v>
      </c>
      <c r="N381" t="n">
        <v>0.9872857932559425</v>
      </c>
      <c r="O381" t="n">
        <v>-330868.1989530377</v>
      </c>
      <c r="P381" t="n">
        <v>7805.474142043036</v>
      </c>
      <c r="Q381">
        <f>'_live'!$C$22</f>
        <v/>
      </c>
      <c r="R381" t="inlineStr">
        <is>
          <t>shuffled: 1 of 200</t>
        </is>
      </c>
      <c r="S381" t="inlineStr">
        <is>
          <t>shuffled: 187 of 200</t>
        </is>
      </c>
      <c r="T381" t="n">
        <v>0.04288755726428695</v>
      </c>
      <c r="U381" t="n">
        <v>0.01941181960300897</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0.01995286922639983</v>
      </c>
      <c r="AI381">
        <f>IF($Y381="worse","Yes",IF($Y381="worse, not significant","Not sure",IF(OR($Y381="too few losses to test",$Y381="too few loans to test"),"Too few losses",IF($Y381="","","No"))))</f>
        <v/>
      </c>
      <c r="AJ381">
        <f>IF($AA381="yes","Yes",IF($AA381="","","No"))</f>
        <v/>
      </c>
      <c r="AK381" t="n">
        <v>0.0166684069411475</v>
      </c>
      <c r="AL381" t="n">
        <v>0.01835780030768503</v>
      </c>
      <c r="AM381">
        <f>IF(AND(ISNUMBER($AC381),ISNUMBER(IF($V381,IF($AL381="","",$AL381),IF($AK381="","",$AK381)))),IF(AND(ABS($AC381-significance_bar)&lt;=2.0*IF($V381,IF($AL381="","",$AL381),IF($AK381="","",$AK381)),OR($Y381="worse",$Y381="better",$Y381="worse, not significant",$Y381="better, not significant")),IF(ROUND($AC381,3)=ROUND(significance_bar,3),TEXT($AC381,"0.0000"),TEXT($AC381,"0.000")),""),"")</f>
        <v/>
      </c>
      <c r="AN381">
        <f>IF(AND(ISNUMBER($AC381),ISNUMBER(IF($V381,IF($AL381="","",$AL381),IF($AK381="","",$AK381)))),IF(AND(ABS($AC381-significance_bar)&lt;=2.0*IF($V381,IF($AL381="","",$AL381),IF($AK381="","",$AK381)),OR($Y381="worse",$Y381="worse, not significant")),IF(ROUND($AC381,3)=ROUND(significance_bar,3),TEXT($AC381,"0.0000"),TEXT($AC381,"0.000")),""),"")</f>
        <v/>
      </c>
      <c r="AO381">
        <f>IF(OR($AI381="",$AN381=""),$AI381,$AI381&amp;" · borderline (p "&amp;$AN381&amp;")")</f>
        <v/>
      </c>
    </row>
    <row r="382">
      <c r="A382" t="inlineStr">
        <is>
          <t>grids</t>
        </is>
      </c>
      <c r="B382" t="inlineStr">
        <is>
          <t>REV_DEBT x ASSET_CLASS</t>
        </is>
      </c>
      <c r="C382" t="inlineStr">
        <is>
          <t>0 - 6,558</t>
        </is>
      </c>
      <c r="D382" t="inlineStr">
        <is>
          <t>2</t>
        </is>
      </c>
      <c r="E382" t="inlineStr">
        <is>
          <t>ranr_rate</t>
        </is>
      </c>
      <c r="F382" t="inlineStr">
        <is>
          <t>Profit after losses: RANR per booked dollar</t>
        </is>
      </c>
      <c r="G382" t="n">
        <v>435</v>
      </c>
      <c r="H382" t="n">
        <v>14426540.2</v>
      </c>
      <c r="I382" t="b">
        <v>0</v>
      </c>
      <c r="J382" t="b">
        <v>0</v>
      </c>
      <c r="K382" t="n">
        <v>-0.02669924408903504</v>
      </c>
      <c r="L382" t="n">
        <v>0.04975124378109452</v>
      </c>
      <c r="M382" t="n">
        <v>-0.005028416942720909</v>
      </c>
      <c r="N382" t="n">
        <v>0.812603648424544</v>
      </c>
      <c r="O382" t="n">
        <v>385177.7181600763</v>
      </c>
      <c r="P382" t="n">
        <v>72542.65916652419</v>
      </c>
      <c r="Q382">
        <f>'_live'!$C$23</f>
        <v/>
      </c>
      <c r="R382" t="inlineStr">
        <is>
          <t>shuffled: 0 of 200</t>
        </is>
      </c>
      <c r="S382" t="inlineStr">
        <is>
          <t>shuffled: 107 of 200</t>
        </is>
      </c>
      <c r="T382" t="n">
        <v>0.1294825905770585</v>
      </c>
      <c r="U382" t="n">
        <v>0.1078117634307443</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0.1027833464880234</v>
      </c>
      <c r="AI382">
        <f>IF($Y382="worse","Yes",IF($Y382="worse, not significant","Not sure",IF(OR($Y382="too few losses to test",$Y382="too few loans to test"),"Too few losses",IF($Y382="","","No"))))</f>
        <v/>
      </c>
      <c r="AJ382">
        <f>IF($AA382="yes","Yes",IF($AA382="","","No"))</f>
        <v/>
      </c>
      <c r="AK382" t="n">
        <v>0.04975124378109452</v>
      </c>
      <c r="AL382" t="n">
        <v>0.03482587064676616</v>
      </c>
      <c r="AM382">
        <f>IF(AND(ISNUMBER($AC382),ISNUMBER(IF($V382,IF($AL382="","",$AL382),IF($AK382="","",$AK382)))),IF(AND(ABS($AC382-significance_bar)&lt;=2.0*IF($V382,IF($AL382="","",$AL382),IF($AK382="","",$AK382)),OR($Y382="worse",$Y382="better",$Y382="worse, not significant",$Y382="better, not significant",AND(profit_kind="test",$Y382="in line",ISNUMBER($AB382),$AB382&lt;&gt;0))),IF(ROUND($AC382,3)=ROUND(significance_bar,3),TEXT($AC382,"0.0000"),TEXT($AC382,"0.000")),""),"")</f>
        <v/>
      </c>
      <c r="AN382">
        <f>IF(AND(ISNUMBER($AC382),ISNUMBER(IF($V382,IF($AL382="","",$AL382),IF($AK382="","",$AK382)))),IF(AND(ABS($AC382-significance_bar)&lt;=2.0*IF($V382,IF($AL382="","",$AL382),IF($AK382="","",$AK382)),OR($Y382="worse",$Y382="worse, not significant",AND(profit_kind="test",$Y382="in line",ISNUMBER($AB382),$AB382&lt;0))),IF(ROUND($AC382,3)=ROUND(significance_bar,3),TEXT($AC382,"0.0000"),TEXT($AC382,"0.000")),""),"")</f>
        <v/>
      </c>
      <c r="AO382">
        <f>IF(OR($AI382="",$AN382=""),$AI382,$AI382&amp;" · borderline (p "&amp;$AN382&amp;")")</f>
        <v/>
      </c>
    </row>
    <row r="383">
      <c r="A383" t="inlineStr">
        <is>
          <t>grids</t>
        </is>
      </c>
      <c r="B383" t="inlineStr">
        <is>
          <t>REV_DEBT x ASSET_CLASS</t>
        </is>
      </c>
      <c r="C383" t="inlineStr">
        <is>
          <t>0 - 6,558</t>
        </is>
      </c>
      <c r="D383" t="inlineStr">
        <is>
          <t>2</t>
        </is>
      </c>
      <c r="E383" t="inlineStr">
        <is>
          <t>contribution_rate</t>
        </is>
      </c>
      <c r="F383" t="inlineStr">
        <is>
          <t>Contribution before losses per booked dollar</t>
        </is>
      </c>
      <c r="G383" t="n">
        <v>435</v>
      </c>
      <c r="H383" t="n">
        <v>14426540.2</v>
      </c>
      <c r="I383" t="b">
        <v>0</v>
      </c>
      <c r="J383" t="b">
        <v>0</v>
      </c>
      <c r="K383" t="n">
        <v>-0.04963114669584459</v>
      </c>
      <c r="L383" t="n">
        <v>0.006218905472636815</v>
      </c>
      <c r="M383" t="n">
        <v>-0.00448736731933011</v>
      </c>
      <c r="N383" t="n">
        <v>0.8135791630084869</v>
      </c>
      <c r="O383" t="n">
        <v>716005.732979699</v>
      </c>
      <c r="P383" t="n">
        <v>64737.1850244822</v>
      </c>
      <c r="Q383">
        <f>'_live'!$C$24</f>
        <v/>
      </c>
      <c r="R383" t="inlineStr">
        <is>
          <t>shuffled: 0 of 200</t>
        </is>
      </c>
      <c r="S383" t="inlineStr">
        <is>
          <t>shuffled: 107 of 200</t>
        </is>
      </c>
      <c r="T383" t="n">
        <v>0.1723673624102678</v>
      </c>
      <c r="U383" t="n">
        <v>0.1272235830337533</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0.1227362157144232</v>
      </c>
      <c r="AI383">
        <f>IF($Y383="worse","Yes",IF($Y383="worse, not significant","Not sure",IF(OR($Y383="too few losses to test",$Y383="too few loans to test"),"Too few losses",IF($Y383="","","No"))))</f>
        <v/>
      </c>
      <c r="AJ383">
        <f>IF($AA383="yes","Yes",IF($AA383="","","No"))</f>
        <v/>
      </c>
      <c r="AK383" t="n">
        <v>0.006218905472636815</v>
      </c>
      <c r="AL383" t="n">
        <v>0.0384214069236788</v>
      </c>
      <c r="AM383">
        <f>IF(AND(ISNUMBER($AC383),ISNUMBER(IF($V383,IF($AL383="","",$AL383),IF($AK383="","",$AK383)))),IF(AND(ABS($AC383-significance_bar)&lt;=2.0*IF($V383,IF($AL383="","",$AL383),IF($AK383="","",$AK383)),OR($Y383="worse",$Y383="better",$Y383="worse, not significant",$Y383="better, not significant",AND(profit_kind="test",$Y383="in line",ISNUMBER($AB383),$AB383&lt;&gt;0))),IF(ROUND($AC383,3)=ROUND(significance_bar,3),TEXT($AC383,"0.0000"),TEXT($AC383,"0.000")),""),"")</f>
        <v/>
      </c>
      <c r="AN383">
        <f>IF(AND(ISNUMBER($AC383),ISNUMBER(IF($V383,IF($AL383="","",$AL383),IF($AK383="","",$AK383)))),IF(AND(ABS($AC383-significance_bar)&lt;=2.0*IF($V383,IF($AL383="","",$AL383),IF($AK383="","",$AK383)),OR($Y383="worse",$Y383="worse, not significant",AND(profit_kind="test",$Y383="in line",ISNUMBER($AB383),$AB383&lt;0))),IF(ROUND($AC383,3)=ROUND(significance_bar,3),TEXT($AC383,"0.0000"),TEXT($AC383,"0.000")),""),"")</f>
        <v/>
      </c>
      <c r="AO383">
        <f>IF(OR($AI383="",$AN383=""),$AI383,$AI383&amp;" · borderline (p "&amp;$AN383&amp;")")</f>
        <v/>
      </c>
    </row>
    <row r="384">
      <c r="A384" t="inlineStr">
        <is>
          <t>grids</t>
        </is>
      </c>
      <c r="B384" t="inlineStr">
        <is>
          <t>REV_DEBT x ASSET_CLASS</t>
        </is>
      </c>
      <c r="C384" t="inlineStr">
        <is>
          <t>17,187 - 48,521</t>
        </is>
      </c>
      <c r="D384" t="inlineStr">
        <is>
          <t>2</t>
        </is>
      </c>
      <c r="E384" t="inlineStr">
        <is>
          <t>outcome_loans</t>
        </is>
      </c>
      <c r="F384" t="inlineStr">
        <is>
          <t>Outcome, share of loans</t>
        </is>
      </c>
      <c r="G384" t="n">
        <v>385</v>
      </c>
      <c r="H384" t="n">
        <v>385</v>
      </c>
      <c r="I384" t="b">
        <v>0</v>
      </c>
      <c r="J384" t="b">
        <v>0</v>
      </c>
      <c r="K384" t="n">
        <v>1.47637987012987</v>
      </c>
      <c r="L384" t="n">
        <v>0.02074167311658023</v>
      </c>
      <c r="M384" t="n">
        <v>0.6785064935064935</v>
      </c>
      <c r="N384" t="n">
        <v>0.07406676500503551</v>
      </c>
      <c r="O384" t="n">
        <v>13.87470449172577</v>
      </c>
      <c r="P384" t="n">
        <v>-20.37448559670782</v>
      </c>
      <c r="Q384">
        <f>'_live'!$C$20</f>
        <v/>
      </c>
      <c r="R384" t="inlineStr">
        <is>
          <t>z test</t>
        </is>
      </c>
      <c r="S384" t="inlineStr">
        <is>
          <t>z test</t>
        </is>
      </c>
      <c r="T384" t="n">
        <v>0.07565011820330969</v>
      </c>
      <c r="U384" t="n">
        <v>0.1646090534979424</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0.1116883116883117</v>
      </c>
      <c r="AI384">
        <f>IF($Y384="worse","Yes",IF($Y384="worse, not significant","Not sure",IF(OR($Y384="too few losses to test",$Y384="too few loans to test"),"Too few losses",IF($Y384="","","No"))))</f>
        <v/>
      </c>
      <c r="AJ384">
        <f>IF($AA384="yes","Yes",IF($AA384="","","No"))</f>
        <v/>
      </c>
      <c r="AM384">
        <f>IF(AND(ISNUMBER($AC384),ISNUMBER(IF($V384,IF($AL384="","",$AL384),IF($AK384="","",$AK384)))),IF(AND(ABS($AC384-significance_bar)&lt;=2.0*IF($V384,IF($AL384="","",$AL384),IF($AK384="","",$AK384)),OR($Y384="worse",$Y384="better",$Y384="worse, not significant",$Y384="better, not significant")),IF(ROUND($AC384,3)=ROUND(significance_bar,3),TEXT($AC384,"0.0000"),TEXT($AC384,"0.000")),""),"")</f>
        <v/>
      </c>
      <c r="AN384">
        <f>IF(AND(ISNUMBER($AC384),ISNUMBER(IF($V384,IF($AL384="","",$AL384),IF($AK384="","",$AK384)))),IF(AND(ABS($AC384-significance_bar)&lt;=2.0*IF($V384,IF($AL384="","",$AL384),IF($AK384="","",$AK384)),OR($Y384="worse",$Y384="worse, not significant")),IF(ROUND($AC384,3)=ROUND(significance_bar,3),TEXT($AC384,"0.0000"),TEXT($AC384,"0.000")),""),"")</f>
        <v/>
      </c>
      <c r="AO384">
        <f>IF(OR($AI384="",$AN384=""),$AI384,$AI384&amp;" · borderline (p "&amp;$AN384&amp;")")</f>
        <v/>
      </c>
    </row>
    <row r="385">
      <c r="A385" t="inlineStr">
        <is>
          <t>grids</t>
        </is>
      </c>
      <c r="B385" t="inlineStr">
        <is>
          <t>REV_DEBT x ASSET_CLASS</t>
        </is>
      </c>
      <c r="C385" t="inlineStr">
        <is>
          <t>17,187 - 48,521</t>
        </is>
      </c>
      <c r="D385" t="inlineStr">
        <is>
          <t>2</t>
        </is>
      </c>
      <c r="E385" t="inlineStr">
        <is>
          <t>outcome_booked</t>
        </is>
      </c>
      <c r="F385" t="inlineStr">
        <is>
          <t>Outcome, share of booked dollars</t>
        </is>
      </c>
      <c r="G385" t="n">
        <v>385</v>
      </c>
      <c r="H385" t="n">
        <v>12458582.54000001</v>
      </c>
      <c r="I385" t="b">
        <v>0</v>
      </c>
      <c r="J385" t="b">
        <v>0</v>
      </c>
      <c r="K385" t="n">
        <v>1.491877270825255</v>
      </c>
      <c r="L385" t="n">
        <v>0.05251520176893312</v>
      </c>
      <c r="M385" t="n">
        <v>0.6671878798179957</v>
      </c>
      <c r="N385" t="n">
        <v>0.2457711442786069</v>
      </c>
      <c r="O385" t="n">
        <v>447920.4644814815</v>
      </c>
      <c r="P385" t="n">
        <v>-677685.5619050704</v>
      </c>
      <c r="Q385">
        <f>'_live'!$C$21</f>
        <v/>
      </c>
      <c r="R385" t="inlineStr">
        <is>
          <t>shuffled: 4 of 200</t>
        </is>
      </c>
      <c r="S385" t="inlineStr">
        <is>
          <t>shuffled: 7 of 200</t>
        </is>
      </c>
      <c r="T385" t="n">
        <v>0.07309295440270187</v>
      </c>
      <c r="U385" t="n">
        <v>0.1634407947587486</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0.1090457173308577</v>
      </c>
      <c r="AI385">
        <f>IF($Y385="worse","Yes",IF($Y385="worse, not significant","Not sure",IF(OR($Y385="too few losses to test",$Y385="too few loans to test"),"Too few losses",IF($Y385="","","No"))))</f>
        <v/>
      </c>
      <c r="AJ385">
        <f>IF($AA385="yes","Yes",IF($AA385="","","No"))</f>
        <v/>
      </c>
      <c r="AK385" t="n">
        <v>0.0232494709122385</v>
      </c>
      <c r="AL385" t="n">
        <v>0.06608808110766609</v>
      </c>
      <c r="AM385">
        <f>IF(AND(ISNUMBER($AC385),ISNUMBER(IF($V385,IF($AL385="","",$AL385),IF($AK385="","",$AK385)))),IF(AND(ABS($AC385-significance_bar)&lt;=2.0*IF($V385,IF($AL385="","",$AL385),IF($AK385="","",$AK385)),OR($Y385="worse",$Y385="better",$Y385="worse, not significant",$Y385="better, not significant")),IF(ROUND($AC385,3)=ROUND(significance_bar,3),TEXT($AC385,"0.0000"),TEXT($AC385,"0.000")),""),"")</f>
        <v/>
      </c>
      <c r="AN385">
        <f>IF(AND(ISNUMBER($AC385),ISNUMBER(IF($V385,IF($AL385="","",$AL385),IF($AK385="","",$AK385)))),IF(AND(ABS($AC385-significance_bar)&lt;=2.0*IF($V385,IF($AL385="","",$AL385),IF($AK385="","",$AK385)),OR($Y385="worse",$Y385="worse, not significant")),IF(ROUND($AC385,3)=ROUND(significance_bar,3),TEXT($AC385,"0.0000"),TEXT($AC385,"0.000")),""),"")</f>
        <v/>
      </c>
      <c r="AO385">
        <f>IF(OR($AI385="",$AN385=""),$AI385,$AI385&amp;" · borderline (p "&amp;$AN385&amp;")")</f>
        <v/>
      </c>
    </row>
    <row r="386">
      <c r="A386" t="inlineStr">
        <is>
          <t>grids</t>
        </is>
      </c>
      <c r="B386" t="inlineStr">
        <is>
          <t>REV_DEBT x ASSET_CLASS</t>
        </is>
      </c>
      <c r="C386" t="inlineStr">
        <is>
          <t>17,187 - 48,521</t>
        </is>
      </c>
      <c r="D386" t="inlineStr">
        <is>
          <t>2</t>
        </is>
      </c>
      <c r="E386" t="inlineStr">
        <is>
          <t>gco_rate</t>
        </is>
      </c>
      <c r="F386" t="inlineStr">
        <is>
          <t>GCO per booked dollar</t>
        </is>
      </c>
      <c r="G386" t="n">
        <v>385</v>
      </c>
      <c r="H386" t="n">
        <v>12458582.54000001</v>
      </c>
      <c r="I386" t="b">
        <v>0</v>
      </c>
      <c r="J386" t="b">
        <v>0</v>
      </c>
      <c r="K386" t="n">
        <v>1.514770373725827</v>
      </c>
      <c r="L386" t="n">
        <v>0.06301824212271973</v>
      </c>
      <c r="M386" t="n">
        <v>0.6774291962569062</v>
      </c>
      <c r="N386" t="n">
        <v>0.1890547263681592</v>
      </c>
      <c r="O386" t="n">
        <v>260356.2710469148</v>
      </c>
      <c r="P386" t="n">
        <v>-364806.3985747074</v>
      </c>
      <c r="Q386">
        <f>'_live'!$C$22</f>
        <v/>
      </c>
      <c r="R386" t="inlineStr">
        <is>
          <t>shuffled: 5 of 200</t>
        </is>
      </c>
      <c r="S386" t="inlineStr">
        <is>
          <t>shuffled: 7 of 200</t>
        </is>
      </c>
      <c r="T386" t="n">
        <v>0.04059624498447034</v>
      </c>
      <c r="U386" t="n">
        <v>0.09077552241145298</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0.06149398918699137</v>
      </c>
      <c r="AI386">
        <f>IF($Y386="worse","Yes",IF($Y386="worse, not significant","Not sure",IF(OR($Y386="too few losses to test",$Y386="too few loans to test"),"Too few losses",IF($Y386="","","No"))))</f>
        <v/>
      </c>
      <c r="AJ386">
        <f>IF($AA386="yes","Yes",IF($AA386="","","No"))</f>
        <v/>
      </c>
      <c r="AK386" t="n">
        <v>0.02540346554190256</v>
      </c>
      <c r="AL386" t="n">
        <v>0.06566080492526027</v>
      </c>
      <c r="AM386">
        <f>IF(AND(ISNUMBER($AC386),ISNUMBER(IF($V386,IF($AL386="","",$AL386),IF($AK386="","",$AK386)))),IF(AND(ABS($AC386-significance_bar)&lt;=2.0*IF($V386,IF($AL386="","",$AL386),IF($AK386="","",$AK386)),OR($Y386="worse",$Y386="better",$Y386="worse, not significant",$Y386="better, not significant")),IF(ROUND($AC386,3)=ROUND(significance_bar,3),TEXT($AC386,"0.0000"),TEXT($AC386,"0.000")),""),"")</f>
        <v/>
      </c>
      <c r="AN386">
        <f>IF(AND(ISNUMBER($AC386),ISNUMBER(IF($V386,IF($AL386="","",$AL386),IF($AK386="","",$AK386)))),IF(AND(ABS($AC386-significance_bar)&lt;=2.0*IF($V386,IF($AL386="","",$AL386),IF($AK386="","",$AK386)),OR($Y386="worse",$Y386="worse, not significant")),IF(ROUND($AC386,3)=ROUND(significance_bar,3),TEXT($AC386,"0.0000"),TEXT($AC386,"0.000")),""),"")</f>
        <v/>
      </c>
      <c r="AO386">
        <f>IF(OR($AI386="",$AN386=""),$AI386,$AI386&amp;" · borderline (p "&amp;$AN386&amp;")")</f>
        <v/>
      </c>
    </row>
    <row r="387">
      <c r="A387" t="inlineStr">
        <is>
          <t>grids</t>
        </is>
      </c>
      <c r="B387" t="inlineStr">
        <is>
          <t>REV_DEBT x ASSET_CLASS</t>
        </is>
      </c>
      <c r="C387" t="inlineStr">
        <is>
          <t>17,187 - 48,521</t>
        </is>
      </c>
      <c r="D387" t="inlineStr">
        <is>
          <t>2</t>
        </is>
      </c>
      <c r="E387" t="inlineStr">
        <is>
          <t>ranr_rate</t>
        </is>
      </c>
      <c r="F387" t="inlineStr">
        <is>
          <t>Profit after losses: RANR per booked dollar</t>
        </is>
      </c>
      <c r="G387" t="n">
        <v>385</v>
      </c>
      <c r="H387" t="n">
        <v>12458582.54000001</v>
      </c>
      <c r="I387" t="b">
        <v>0</v>
      </c>
      <c r="J387" t="b">
        <v>0</v>
      </c>
      <c r="K387" t="n">
        <v>0.03043102624356472</v>
      </c>
      <c r="L387" t="n">
        <v>0.06633499170812603</v>
      </c>
      <c r="M387" t="n">
        <v>0.01424160332175861</v>
      </c>
      <c r="N387" t="n">
        <v>0.812603648424544</v>
      </c>
      <c r="O387" t="n">
        <v>-379127.4522323576</v>
      </c>
      <c r="P387" t="n">
        <v>-177430.1904860681</v>
      </c>
      <c r="Q387">
        <f>'_live'!$C$23</f>
        <v/>
      </c>
      <c r="R387" t="inlineStr">
        <is>
          <t>shuffled: 1 of 200</t>
        </is>
      </c>
      <c r="S387" t="inlineStr">
        <is>
          <t>shuffled: 76 of 200</t>
        </is>
      </c>
      <c r="T387" t="n">
        <v>0.1265209531426873</v>
      </c>
      <c r="U387" t="n">
        <v>0.1427103760644934</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0.156951979386252</v>
      </c>
      <c r="AI387">
        <f>IF($Y387="worse","Yes",IF($Y387="worse, not significant","Not sure",IF(OR($Y387="too few losses to test",$Y387="too few loans to test"),"Too few losses",IF($Y387="","","No"))))</f>
        <v/>
      </c>
      <c r="AJ387">
        <f>IF($AA387="yes","Yes",IF($AA387="","","No"))</f>
        <v/>
      </c>
      <c r="AK387" t="n">
        <v>0.03291779973678144</v>
      </c>
      <c r="AL387" t="n">
        <v>0.03482587064676616</v>
      </c>
      <c r="AM387">
        <f>IF(AND(ISNUMBER($AC387),ISNUMBER(IF($V387,IF($AL387="","",$AL387),IF($AK387="","",$AK387)))),IF(AND(ABS($AC387-significance_bar)&lt;=2.0*IF($V387,IF($AL387="","",$AL387),IF($AK387="","",$AK387)),OR($Y387="worse",$Y387="better",$Y387="worse, not significant",$Y387="better, not significant",AND(profit_kind="test",$Y387="in line",ISNUMBER($AB387),$AB387&lt;&gt;0))),IF(ROUND($AC387,3)=ROUND(significance_bar,3),TEXT($AC387,"0.0000"),TEXT($AC387,"0.000")),""),"")</f>
        <v/>
      </c>
      <c r="AN387">
        <f>IF(AND(ISNUMBER($AC387),ISNUMBER(IF($V387,IF($AL387="","",$AL387),IF($AK387="","",$AK387)))),IF(AND(ABS($AC387-significance_bar)&lt;=2.0*IF($V387,IF($AL387="","",$AL387),IF($AK387="","",$AK387)),OR($Y387="worse",$Y387="worse, not significant",AND(profit_kind="test",$Y387="in line",ISNUMBER($AB387),$AB387&lt;0))),IF(ROUND($AC387,3)=ROUND(significance_bar,3),TEXT($AC387,"0.0000"),TEXT($AC387,"0.000")),""),"")</f>
        <v/>
      </c>
      <c r="AO387">
        <f>IF(OR($AI387="",$AN387=""),$AI387,$AI387&amp;" · borderline (p "&amp;$AN387&amp;")")</f>
        <v/>
      </c>
    </row>
    <row r="388">
      <c r="A388" t="inlineStr">
        <is>
          <t>grids</t>
        </is>
      </c>
      <c r="B388" t="inlineStr">
        <is>
          <t>REV_DEBT x ASSET_CLASS</t>
        </is>
      </c>
      <c r="C388" t="inlineStr">
        <is>
          <t>17,187 - 48,521</t>
        </is>
      </c>
      <c r="D388" t="inlineStr">
        <is>
          <t>2</t>
        </is>
      </c>
      <c r="E388" t="inlineStr">
        <is>
          <t>contribution_rate</t>
        </is>
      </c>
      <c r="F388" t="inlineStr">
        <is>
          <t>Contribution before losses per booked dollar</t>
        </is>
      </c>
      <c r="G388" t="n">
        <v>385</v>
      </c>
      <c r="H388" t="n">
        <v>12458582.54000001</v>
      </c>
      <c r="I388" t="b">
        <v>0</v>
      </c>
      <c r="J388" t="b">
        <v>0</v>
      </c>
      <c r="K388" t="n">
        <v>0.05133201215928795</v>
      </c>
      <c r="L388" t="n">
        <v>0.006218905472636815</v>
      </c>
      <c r="M388" t="n">
        <v>-0.01503992990270292</v>
      </c>
      <c r="N388" t="n">
        <v>0.417910447761194</v>
      </c>
      <c r="O388" t="n">
        <v>-639524.1104307729</v>
      </c>
      <c r="P388" t="n">
        <v>187376.2080886387</v>
      </c>
      <c r="Q388">
        <f>'_live'!$C$24</f>
        <v/>
      </c>
      <c r="R388" t="inlineStr">
        <is>
          <t>shuffled: 0 of 200</t>
        </is>
      </c>
      <c r="S388" t="inlineStr">
        <is>
          <t>shuffled: 20 of 200</t>
        </is>
      </c>
      <c r="T388" t="n">
        <v>0.1671139564139555</v>
      </c>
      <c r="U388" t="n">
        <v>0.2334858984759464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0.2184459685732435</v>
      </c>
      <c r="AI388">
        <f>IF($Y388="worse","Yes",IF($Y388="worse, not significant","Not sure",IF(OR($Y388="too few losses to test",$Y388="too few loans to test"),"Too few losses",IF($Y388="","","No"))))</f>
        <v/>
      </c>
      <c r="AJ388">
        <f>IF($AA388="yes","Yes",IF($AA388="","","No"))</f>
        <v/>
      </c>
      <c r="AK388" t="n">
        <v>0.006218905472636815</v>
      </c>
      <c r="AL388" t="n">
        <v>0.08651568206680262</v>
      </c>
      <c r="AM388">
        <f>IF(AND(ISNUMBER($AC388),ISNUMBER(IF($V388,IF($AL388="","",$AL388),IF($AK388="","",$AK388)))),IF(AND(ABS($AC388-significance_bar)&lt;=2.0*IF($V388,IF($AL388="","",$AL388),IF($AK388="","",$AK388)),OR($Y388="worse",$Y388="better",$Y388="worse, not significant",$Y388="better, not significant",AND(profit_kind="test",$Y388="in line",ISNUMBER($AB388),$AB388&lt;&gt;0))),IF(ROUND($AC388,3)=ROUND(significance_bar,3),TEXT($AC388,"0.0000"),TEXT($AC388,"0.000")),""),"")</f>
        <v/>
      </c>
      <c r="AN388">
        <f>IF(AND(ISNUMBER($AC388),ISNUMBER(IF($V388,IF($AL388="","",$AL388),IF($AK388="","",$AK388)))),IF(AND(ABS($AC388-significance_bar)&lt;=2.0*IF($V388,IF($AL388="","",$AL388),IF($AK388="","",$AK388)),OR($Y388="worse",$Y388="worse, not significant",AND(profit_kind="test",$Y388="in line",ISNUMBER($AB388),$AB388&lt;0))),IF(ROUND($AC388,3)=ROUND(significance_bar,3),TEXT($AC388,"0.0000"),TEXT($AC388,"0.000")),""),"")</f>
        <v/>
      </c>
      <c r="AO388">
        <f>IF(OR($AI388="",$AN388=""),$AI388,$AI388&amp;" · borderline (p "&amp;$AN388&amp;")")</f>
        <v/>
      </c>
    </row>
    <row r="389">
      <c r="A389" t="inlineStr">
        <is>
          <t>grids</t>
        </is>
      </c>
      <c r="B389" t="inlineStr">
        <is>
          <t>REV_DEBT x ASSET_CLASS</t>
        </is>
      </c>
      <c r="C389" t="inlineStr">
        <is>
          <t>17,187 - 48,521</t>
        </is>
      </c>
      <c r="D389" t="inlineStr">
        <is>
          <t>1</t>
        </is>
      </c>
      <c r="E389" t="inlineStr">
        <is>
          <t>outcome_loans</t>
        </is>
      </c>
      <c r="F389" t="inlineStr">
        <is>
          <t>Outcome, share of loans</t>
        </is>
      </c>
      <c r="G389" t="n">
        <v>411</v>
      </c>
      <c r="H389" t="n">
        <v>411</v>
      </c>
      <c r="I389" t="b">
        <v>0</v>
      </c>
      <c r="J389" t="b">
        <v>0</v>
      </c>
      <c r="K389" t="n">
        <v>2.018278697817196</v>
      </c>
      <c r="L389" t="n">
        <v>2.981528775562468e-07</v>
      </c>
      <c r="M389" t="n">
        <v>0.9696131119488783</v>
      </c>
      <c r="N389" t="n">
        <v>0.974366750465917</v>
      </c>
      <c r="O389" t="n">
        <v>30.77622561939905</v>
      </c>
      <c r="P389" t="n">
        <v>-1.911690496215314</v>
      </c>
      <c r="Q389">
        <f>'_live'!$C$20</f>
        <v/>
      </c>
      <c r="R389" t="inlineStr">
        <is>
          <t>z test</t>
        </is>
      </c>
      <c r="S389" t="inlineStr">
        <is>
          <t>z test</t>
        </is>
      </c>
      <c r="T389" t="n">
        <v>0.073537163943068</v>
      </c>
      <c r="U389" t="n">
        <v>0.1530698065601346</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0.1484184914841849</v>
      </c>
      <c r="AI389">
        <f>IF($Y389="worse","Yes",IF($Y389="worse, not significant","Not sure",IF(OR($Y389="too few losses to test",$Y389="too few loans to test"),"Too few losses",IF($Y389="","","No"))))</f>
        <v/>
      </c>
      <c r="AJ389">
        <f>IF($AA389="yes","Yes",IF($AA389="","","No"))</f>
        <v/>
      </c>
      <c r="AM389">
        <f>IF(AND(ISNUMBER($AC389),ISNUMBER(IF($V389,IF($AL389="","",$AL389),IF($AK389="","",$AK389)))),IF(AND(ABS($AC389-significance_bar)&lt;=2.0*IF($V389,IF($AL389="","",$AL389),IF($AK389="","",$AK389)),OR($Y389="worse",$Y389="better",$Y389="worse, not significant",$Y389="better, not significant")),IF(ROUND($AC389,3)=ROUND(significance_bar,3),TEXT($AC389,"0.0000"),TEXT($AC389,"0.000")),""),"")</f>
        <v/>
      </c>
      <c r="AN389">
        <f>IF(AND(ISNUMBER($AC389),ISNUMBER(IF($V389,IF($AL389="","",$AL389),IF($AK389="","",$AK389)))),IF(AND(ABS($AC389-significance_bar)&lt;=2.0*IF($V389,IF($AL389="","",$AL389),IF($AK389="","",$AK389)),OR($Y389="worse",$Y389="worse, not significant")),IF(ROUND($AC389,3)=ROUND(significance_bar,3),TEXT($AC389,"0.0000"),TEXT($AC389,"0.000")),""),"")</f>
        <v/>
      </c>
      <c r="AO389">
        <f>IF(OR($AI389="",$AN389=""),$AI389,$AI389&amp;" · borderline (p "&amp;$AN389&amp;")")</f>
        <v/>
      </c>
    </row>
    <row r="390">
      <c r="A390" t="inlineStr">
        <is>
          <t>grids</t>
        </is>
      </c>
      <c r="B390" t="inlineStr">
        <is>
          <t>REV_DEBT x ASSET_CLASS</t>
        </is>
      </c>
      <c r="C390" t="inlineStr">
        <is>
          <t>17,187 - 48,521</t>
        </is>
      </c>
      <c r="D390" t="inlineStr">
        <is>
          <t>1</t>
        </is>
      </c>
      <c r="E390" t="inlineStr">
        <is>
          <t>outcome_booked</t>
        </is>
      </c>
      <c r="F390" t="inlineStr">
        <is>
          <t>Outcome, share of booked dollars</t>
        </is>
      </c>
      <c r="G390" t="n">
        <v>411</v>
      </c>
      <c r="H390" t="n">
        <v>12764381.87</v>
      </c>
      <c r="I390" t="b">
        <v>0</v>
      </c>
      <c r="J390" t="b">
        <v>0</v>
      </c>
      <c r="K390" t="n">
        <v>1.837558399267983</v>
      </c>
      <c r="L390" t="n">
        <v>0.01575456053067993</v>
      </c>
      <c r="M390" t="n">
        <v>0.8454874355877486</v>
      </c>
      <c r="N390" t="n">
        <v>0.5146489773355445</v>
      </c>
      <c r="O390" t="n">
        <v>768162.1343245008</v>
      </c>
      <c r="P390" t="n">
        <v>-307989.2723150032</v>
      </c>
      <c r="Q390">
        <f>'_live'!$C$21</f>
        <v/>
      </c>
      <c r="R390" t="inlineStr">
        <is>
          <t>shuffled: 0 of 200</t>
        </is>
      </c>
      <c r="S390" t="inlineStr">
        <is>
          <t>shuffled: 48 of 200</t>
        </is>
      </c>
      <c r="T390" t="n">
        <v>0.07185185894751829</v>
      </c>
      <c r="U390" t="n">
        <v>0.1561607912248244</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0.1320319869120306</v>
      </c>
      <c r="AI390">
        <f>IF($Y390="worse","Yes",IF($Y390="worse, not significant","Not sure",IF(OR($Y390="too few losses to test",$Y390="too few loans to test"),"Too few losses",IF($Y390="","","No"))))</f>
        <v/>
      </c>
      <c r="AJ390">
        <f>IF($AA390="yes","Yes",IF($AA390="","","No"))</f>
        <v/>
      </c>
      <c r="AK390" t="n">
        <v>0.01575456053067993</v>
      </c>
      <c r="AL390" t="n">
        <v>0.0640943681029198</v>
      </c>
      <c r="AM390">
        <f>IF(AND(ISNUMBER($AC390),ISNUMBER(IF($V390,IF($AL390="","",$AL390),IF($AK390="","",$AK390)))),IF(AND(ABS($AC390-significance_bar)&lt;=2.0*IF($V390,IF($AL390="","",$AL390),IF($AK390="","",$AK390)),OR($Y390="worse",$Y390="better",$Y390="worse, not significant",$Y390="better, not significant")),IF(ROUND($AC390,3)=ROUND(significance_bar,3),TEXT($AC390,"0.0000"),TEXT($AC390,"0.000")),""),"")</f>
        <v/>
      </c>
      <c r="AN390">
        <f>IF(AND(ISNUMBER($AC390),ISNUMBER(IF($V390,IF($AL390="","",$AL390),IF($AK390="","",$AK390)))),IF(AND(ABS($AC390-significance_bar)&lt;=2.0*IF($V390,IF($AL390="","",$AL390),IF($AK390="","",$AK390)),OR($Y390="worse",$Y390="worse, not significant")),IF(ROUND($AC390,3)=ROUND(significance_bar,3),TEXT($AC390,"0.0000"),TEXT($AC390,"0.000")),""),"")</f>
        <v/>
      </c>
      <c r="AO390">
        <f>IF(OR($AI390="",$AN390=""),$AI390,$AI390&amp;" · borderline (p "&amp;$AN390&amp;")")</f>
        <v/>
      </c>
    </row>
    <row r="391">
      <c r="A391" t="inlineStr">
        <is>
          <t>grids</t>
        </is>
      </c>
      <c r="B391" t="inlineStr">
        <is>
          <t>REV_DEBT x ASSET_CLASS</t>
        </is>
      </c>
      <c r="C391" t="inlineStr">
        <is>
          <t>17,187 - 48,521</t>
        </is>
      </c>
      <c r="D391" t="inlineStr">
        <is>
          <t>1</t>
        </is>
      </c>
      <c r="E391" t="inlineStr">
        <is>
          <t>gco_rate</t>
        </is>
      </c>
      <c r="F391" t="inlineStr">
        <is>
          <t>GCO per booked dollar</t>
        </is>
      </c>
      <c r="G391" t="n">
        <v>411</v>
      </c>
      <c r="H391" t="n">
        <v>12764381.87</v>
      </c>
      <c r="I391" t="b">
        <v>0</v>
      </c>
      <c r="J391" t="b">
        <v>0</v>
      </c>
      <c r="K391" t="n">
        <v>1.857530333606557</v>
      </c>
      <c r="L391" t="n">
        <v>0.01350390902629709</v>
      </c>
      <c r="M391" t="n">
        <v>0.8544607421841782</v>
      </c>
      <c r="N391" t="n">
        <v>0.5356550580431177</v>
      </c>
      <c r="O391" t="n">
        <v>436872.20383594</v>
      </c>
      <c r="P391" t="n">
        <v>-161186.5791695138</v>
      </c>
      <c r="Q391">
        <f>'_live'!$C$22</f>
        <v/>
      </c>
      <c r="R391" t="inlineStr">
        <is>
          <t>shuffled: 0 of 200</t>
        </is>
      </c>
      <c r="S391" t="inlineStr">
        <is>
          <t>shuffled: 50 of 200</t>
        </is>
      </c>
      <c r="T391" t="n">
        <v>0.03991215096450731</v>
      </c>
      <c r="U391" t="n">
        <v>0.08676587166139947</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0.07413803109605654</v>
      </c>
      <c r="AI391">
        <f>IF($Y391="worse","Yes",IF($Y391="worse, not significant","Not sure",IF(OR($Y391="too few losses to test",$Y391="too few loans to test"),"Too few losses",IF($Y391="","","No"))))</f>
        <v/>
      </c>
      <c r="AJ391">
        <f>IF($AA391="yes","Yes",IF($AA391="","","No"))</f>
        <v/>
      </c>
      <c r="AK391" t="n">
        <v>0.01350390902629709</v>
      </c>
      <c r="AL391" t="n">
        <v>0.06495771715318038</v>
      </c>
      <c r="AM391">
        <f>IF(AND(ISNUMBER($AC391),ISNUMBER(IF($V391,IF($AL391="","",$AL391),IF($AK391="","",$AK391)))),IF(AND(ABS($AC391-significance_bar)&lt;=2.0*IF($V391,IF($AL391="","",$AL391),IF($AK391="","",$AK391)),OR($Y391="worse",$Y391="better",$Y391="worse, not significant",$Y391="better, not significant")),IF(ROUND($AC391,3)=ROUND(significance_bar,3),TEXT($AC391,"0.0000"),TEXT($AC391,"0.000")),""),"")</f>
        <v/>
      </c>
      <c r="AN391">
        <f>IF(AND(ISNUMBER($AC391),ISNUMBER(IF($V391,IF($AL391="","",$AL391),IF($AK391="","",$AK391)))),IF(AND(ABS($AC391-significance_bar)&lt;=2.0*IF($V391,IF($AL391="","",$AL391),IF($AK391="","",$AK391)),OR($Y391="worse",$Y391="worse, not significant")),IF(ROUND($AC391,3)=ROUND(significance_bar,3),TEXT($AC391,"0.0000"),TEXT($AC391,"0.000")),""),"")</f>
        <v/>
      </c>
      <c r="AO391">
        <f>IF(OR($AI391="",$AN391=""),$AI391,$AI391&amp;" · borderline (p "&amp;$AN391&amp;")")</f>
        <v/>
      </c>
    </row>
    <row r="392">
      <c r="A392" t="inlineStr">
        <is>
          <t>grids</t>
        </is>
      </c>
      <c r="B392" t="inlineStr">
        <is>
          <t>REV_DEBT x ASSET_CLASS</t>
        </is>
      </c>
      <c r="C392" t="inlineStr">
        <is>
          <t>17,187 - 48,521</t>
        </is>
      </c>
      <c r="D392" t="inlineStr">
        <is>
          <t>1</t>
        </is>
      </c>
      <c r="E392" t="inlineStr">
        <is>
          <t>ranr_rate</t>
        </is>
      </c>
      <c r="F392" t="inlineStr">
        <is>
          <t>Profit after losses: RANR per booked dollar</t>
        </is>
      </c>
      <c r="G392" t="n">
        <v>411</v>
      </c>
      <c r="H392" t="n">
        <v>12764381.87</v>
      </c>
      <c r="I392" t="b">
        <v>0</v>
      </c>
      <c r="J392" t="b">
        <v>0</v>
      </c>
      <c r="K392" t="n">
        <v>0.03738355720935232</v>
      </c>
      <c r="L392" t="n">
        <v>0.04975124378109452</v>
      </c>
      <c r="M392" t="n">
        <v>0.02313546345800482</v>
      </c>
      <c r="N392" t="n">
        <v>0.4690831556503198</v>
      </c>
      <c r="O392" t="n">
        <v>-477177.9998791646</v>
      </c>
      <c r="P392" t="n">
        <v>-295309.8903174042</v>
      </c>
      <c r="Q392">
        <f>'_live'!$C$23</f>
        <v/>
      </c>
      <c r="R392" t="inlineStr">
        <is>
          <t>shuffled: 0 of 200</t>
        </is>
      </c>
      <c r="S392" t="inlineStr">
        <is>
          <t>shuffled: 24 of 200</t>
        </is>
      </c>
      <c r="T392" t="n">
        <v>0.1261410130564228</v>
      </c>
      <c r="U392" t="n">
        <v>0.1403891068077703</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0.1635245702657751</v>
      </c>
      <c r="AI392">
        <f>IF($Y392="worse","Yes",IF($Y392="worse, not significant","Not sure",IF(OR($Y392="too few losses to test",$Y392="too few loans to test"),"Too few losses",IF($Y392="","","No"))))</f>
        <v/>
      </c>
      <c r="AJ392">
        <f>IF($AA392="yes","Yes",IF($AA392="","","No"))</f>
        <v/>
      </c>
      <c r="AK392" t="n">
        <v>0.04975124378109452</v>
      </c>
      <c r="AL392" t="n">
        <v>0.07483978155558313</v>
      </c>
      <c r="AM392">
        <f>IF(AND(ISNUMBER($AC392),ISNUMBER(IF($V392,IF($AL392="","",$AL392),IF($AK392="","",$AK392)))),IF(AND(ABS($AC392-significance_bar)&lt;=2.0*IF($V392,IF($AL392="","",$AL392),IF($AK392="","",$AK392)),OR($Y392="worse",$Y392="better",$Y392="worse, not significant",$Y392="better, not significant",AND(profit_kind="test",$Y392="in line",ISNUMBER($AB392),$AB392&lt;&gt;0))),IF(ROUND($AC392,3)=ROUND(significance_bar,3),TEXT($AC392,"0.0000"),TEXT($AC392,"0.000")),""),"")</f>
        <v/>
      </c>
      <c r="AN392">
        <f>IF(AND(ISNUMBER($AC392),ISNUMBER(IF($V392,IF($AL392="","",$AL392),IF($AK392="","",$AK392)))),IF(AND(ABS($AC392-significance_bar)&lt;=2.0*IF($V392,IF($AL392="","",$AL392),IF($AK392="","",$AK392)),OR($Y392="worse",$Y392="worse, not significant",AND(profit_kind="test",$Y392="in line",ISNUMBER($AB392),$AB392&lt;0))),IF(ROUND($AC392,3)=ROUND(significance_bar,3),TEXT($AC392,"0.0000"),TEXT($AC392,"0.000")),""),"")</f>
        <v/>
      </c>
      <c r="AO392">
        <f>IF(OR($AI392="",$AN392=""),$AI392,$AI392&amp;" · borderline (p "&amp;$AN392&amp;")")</f>
        <v/>
      </c>
    </row>
    <row r="393">
      <c r="A393" t="inlineStr">
        <is>
          <t>grids</t>
        </is>
      </c>
      <c r="B393" t="inlineStr">
        <is>
          <t>REV_DEBT x ASSET_CLASS</t>
        </is>
      </c>
      <c r="C393" t="inlineStr">
        <is>
          <t>17,187 - 48,521</t>
        </is>
      </c>
      <c r="D393" t="inlineStr">
        <is>
          <t>1</t>
        </is>
      </c>
      <c r="E393" t="inlineStr">
        <is>
          <t>contribution_rate</t>
        </is>
      </c>
      <c r="F393" t="inlineStr">
        <is>
          <t>Contribution before losses per booked dollar</t>
        </is>
      </c>
      <c r="G393" t="n">
        <v>411</v>
      </c>
      <c r="H393" t="n">
        <v>12764381.87</v>
      </c>
      <c r="I393" t="b">
        <v>0</v>
      </c>
      <c r="J393" t="b">
        <v>0</v>
      </c>
      <c r="K393" t="n">
        <v>0.07161274457123876</v>
      </c>
      <c r="L393" t="n">
        <v>0.006218905472636815</v>
      </c>
      <c r="M393" t="n">
        <v>0.01050762289266188</v>
      </c>
      <c r="N393" t="n">
        <v>0.6633499170812603</v>
      </c>
      <c r="O393" t="n">
        <v>-914092.4184660604</v>
      </c>
      <c r="P393" t="n">
        <v>-134123.3111478901</v>
      </c>
      <c r="Q393">
        <f>'_live'!$C$24</f>
        <v/>
      </c>
      <c r="R393" t="inlineStr">
        <is>
          <t>shuffled: 0 of 200</t>
        </is>
      </c>
      <c r="S393" t="inlineStr">
        <is>
          <t>shuffled: 39 of 200</t>
        </is>
      </c>
      <c r="T393" t="n">
        <v>0.1660498567905929</v>
      </c>
      <c r="U393" t="n">
        <v>0.2271549784691697</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0.2376626013618316</v>
      </c>
      <c r="AI393">
        <f>IF($Y393="worse","Yes",IF($Y393="worse, not significant","Not sure",IF(OR($Y393="too few losses to test",$Y393="too few loans to test"),"Too few losses",IF($Y393="","","No"))))</f>
        <v/>
      </c>
      <c r="AJ393">
        <f>IF($AA393="yes","Yes",IF($AA393="","","No"))</f>
        <v/>
      </c>
      <c r="AK393" t="n">
        <v>0.006218905472636815</v>
      </c>
      <c r="AL393" t="n">
        <v>0.09410455030919475</v>
      </c>
      <c r="AM393">
        <f>IF(AND(ISNUMBER($AC393),ISNUMBER(IF($V393,IF($AL393="","",$AL393),IF($AK393="","",$AK393)))),IF(AND(ABS($AC393-significance_bar)&lt;=2.0*IF($V393,IF($AL393="","",$AL393),IF($AK393="","",$AK393)),OR($Y393="worse",$Y393="better",$Y393="worse, not significant",$Y393="better, not significant",AND(profit_kind="test",$Y393="in line",ISNUMBER($AB393),$AB393&lt;&gt;0))),IF(ROUND($AC393,3)=ROUND(significance_bar,3),TEXT($AC393,"0.0000"),TEXT($AC393,"0.000")),""),"")</f>
        <v/>
      </c>
      <c r="AN393">
        <f>IF(AND(ISNUMBER($AC393),ISNUMBER(IF($V393,IF($AL393="","",$AL393),IF($AK393="","",$AK393)))),IF(AND(ABS($AC393-significance_bar)&lt;=2.0*IF($V393,IF($AL393="","",$AL393),IF($AK393="","",$AK393)),OR($Y393="worse",$Y393="worse, not significant",AND(profit_kind="test",$Y393="in line",ISNUMBER($AB393),$AB393&lt;0))),IF(ROUND($AC393,3)=ROUND(significance_bar,3),TEXT($AC393,"0.0000"),TEXT($AC393,"0.000")),""),"")</f>
        <v/>
      </c>
      <c r="AO393">
        <f>IF(OR($AI393="",$AN393=""),$AI393,$AI393&amp;" · borderline (p "&amp;$AN393&amp;")")</f>
        <v/>
      </c>
    </row>
    <row r="394">
      <c r="A394" t="inlineStr">
        <is>
          <t>grids</t>
        </is>
      </c>
      <c r="B394" t="inlineStr">
        <is>
          <t>REV_DEBT x ASSET_CLASS</t>
        </is>
      </c>
      <c r="C394" t="inlineStr">
        <is>
          <t>0 - 6,558</t>
        </is>
      </c>
      <c r="D394" t="inlineStr">
        <is>
          <t>3</t>
        </is>
      </c>
      <c r="E394" t="inlineStr">
        <is>
          <t>outcome_loans</t>
        </is>
      </c>
      <c r="F394" t="inlineStr">
        <is>
          <t>Outcome, share of loans</t>
        </is>
      </c>
      <c r="G394" t="n">
        <v>371</v>
      </c>
      <c r="H394" t="n">
        <v>371</v>
      </c>
      <c r="I394" t="b">
        <v>0</v>
      </c>
      <c r="J394" t="b">
        <v>0</v>
      </c>
      <c r="K394" t="n">
        <v>0.337613249593917</v>
      </c>
      <c r="L394" t="n">
        <v>0.0006242284778371696</v>
      </c>
      <c r="M394" t="n">
        <v>0.6027934329821123</v>
      </c>
      <c r="N394" t="n">
        <v>0.3038051245608153</v>
      </c>
      <c r="O394" t="n">
        <v>-19.6196906135291</v>
      </c>
      <c r="P394" t="n">
        <v>-6.589430894308943</v>
      </c>
      <c r="Q394">
        <f>'_live'!$C$20</f>
        <v/>
      </c>
      <c r="R394" t="inlineStr">
        <is>
          <t>z test</t>
        </is>
      </c>
      <c r="S394" t="inlineStr">
        <is>
          <t>z test</t>
        </is>
      </c>
      <c r="T394" t="n">
        <v>0.07983744100681699</v>
      </c>
      <c r="U394" t="n">
        <v>0.04471544715447155</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0.02695417789757413</v>
      </c>
      <c r="AI394">
        <f>IF($Y394="worse","Yes",IF($Y394="worse, not significant","Not sure",IF(OR($Y394="too few losses to test",$Y394="too few loans to test"),"Too few losses",IF($Y394="","","No"))))</f>
        <v/>
      </c>
      <c r="AJ394">
        <f>IF($AA394="yes","Yes",IF($AA394="","","No"))</f>
        <v/>
      </c>
      <c r="AM394">
        <f>IF(AND(ISNUMBER($AC394),ISNUMBER(IF($V394,IF($AL394="","",$AL394),IF($AK394="","",$AK394)))),IF(AND(ABS($AC394-significance_bar)&lt;=2.0*IF($V394,IF($AL394="","",$AL394),IF($AK394="","",$AK394)),OR($Y394="worse",$Y394="better",$Y394="worse, not significant",$Y394="better, not significant")),IF(ROUND($AC394,3)=ROUND(significance_bar,3),TEXT($AC394,"0.0000"),TEXT($AC394,"0.000")),""),"")</f>
        <v/>
      </c>
      <c r="AN394">
        <f>IF(AND(ISNUMBER($AC394),ISNUMBER(IF($V394,IF($AL394="","",$AL394),IF($AK394="","",$AK394)))),IF(AND(ABS($AC394-significance_bar)&lt;=2.0*IF($V394,IF($AL394="","",$AL394),IF($AK394="","",$AK394)),OR($Y394="worse",$Y394="worse, not significant")),IF(ROUND($AC394,3)=ROUND(significance_bar,3),TEXT($AC394,"0.0000"),TEXT($AC394,"0.000")),""),"")</f>
        <v/>
      </c>
      <c r="AO394">
        <f>IF(OR($AI394="",$AN394=""),$AI394,$AI394&amp;" · borderline (p "&amp;$AN394&amp;")")</f>
        <v/>
      </c>
    </row>
    <row r="395">
      <c r="A395" t="inlineStr">
        <is>
          <t>grids</t>
        </is>
      </c>
      <c r="B395" t="inlineStr">
        <is>
          <t>REV_DEBT x ASSET_CLASS</t>
        </is>
      </c>
      <c r="C395" t="inlineStr">
        <is>
          <t>0 - 6,558</t>
        </is>
      </c>
      <c r="D395" t="inlineStr">
        <is>
          <t>3</t>
        </is>
      </c>
      <c r="E395" t="inlineStr">
        <is>
          <t>outcome_booked</t>
        </is>
      </c>
      <c r="F395" t="inlineStr">
        <is>
          <t>Outcome, share of booked dollars</t>
        </is>
      </c>
      <c r="G395" t="n">
        <v>371</v>
      </c>
      <c r="H395" t="n">
        <v>12325434.64000001</v>
      </c>
      <c r="I395" t="b">
        <v>0</v>
      </c>
      <c r="J395" t="b">
        <v>0</v>
      </c>
      <c r="K395" t="n">
        <v>0.3375247114359038</v>
      </c>
      <c r="L395" t="n">
        <v>0.01575456053067993</v>
      </c>
      <c r="M395" t="n">
        <v>0.6395809325757745</v>
      </c>
      <c r="N395" t="n">
        <v>0.4844527363184079</v>
      </c>
      <c r="O395" t="n">
        <v>-630966.5189448439</v>
      </c>
      <c r="P395" t="n">
        <v>-181156.7234861655</v>
      </c>
      <c r="Q395">
        <f>'_live'!$C$21</f>
        <v/>
      </c>
      <c r="R395" t="inlineStr">
        <is>
          <t>shuffled: 0 of 200</t>
        </is>
      </c>
      <c r="S395" t="inlineStr">
        <is>
          <t>shuffled: 38 of 200</t>
        </is>
      </c>
      <c r="T395" t="n">
        <v>0.07727417707882496</v>
      </c>
      <c r="U395" t="n">
        <v>0.04077974028234067</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0.02608194431997733</v>
      </c>
      <c r="AI395">
        <f>IF($Y395="worse","Yes",IF($Y395="worse, not significant","Not sure",IF(OR($Y395="too few losses to test",$Y395="too few loans to test"),"Too few losses",IF($Y395="","","No"))))</f>
        <v/>
      </c>
      <c r="AJ395">
        <f>IF($AA395="yes","Yes",IF($AA395="","","No"))</f>
        <v/>
      </c>
      <c r="AK395" t="n">
        <v>0.01575456053067993</v>
      </c>
      <c r="AL395" t="n">
        <v>0.06767129358264942</v>
      </c>
      <c r="AM395">
        <f>IF(AND(ISNUMBER($AC395),ISNUMBER(IF($V395,IF($AL395="","",$AL395),IF($AK395="","",$AK395)))),IF(AND(ABS($AC395-significance_bar)&lt;=2.0*IF($V395,IF($AL395="","",$AL395),IF($AK395="","",$AK395)),OR($Y395="worse",$Y395="better",$Y395="worse, not significant",$Y395="better, not significant")),IF(ROUND($AC395,3)=ROUND(significance_bar,3),TEXT($AC395,"0.0000"),TEXT($AC395,"0.000")),""),"")</f>
        <v/>
      </c>
      <c r="AN395">
        <f>IF(AND(ISNUMBER($AC395),ISNUMBER(IF($V395,IF($AL395="","",$AL395),IF($AK395="","",$AK395)))),IF(AND(ABS($AC395-significance_bar)&lt;=2.0*IF($V395,IF($AL395="","",$AL395),IF($AK395="","",$AK395)),OR($Y395="worse",$Y395="worse, not significant")),IF(ROUND($AC395,3)=ROUND(significance_bar,3),TEXT($AC395,"0.0000"),TEXT($AC395,"0.000")),""),"")</f>
        <v/>
      </c>
      <c r="AO395">
        <f>IF(OR($AI395="",$AN395=""),$AI395,$AI395&amp;" · borderline (p "&amp;$AN395&amp;")")</f>
        <v/>
      </c>
    </row>
    <row r="396">
      <c r="A396" t="inlineStr">
        <is>
          <t>grids</t>
        </is>
      </c>
      <c r="B396" t="inlineStr">
        <is>
          <t>REV_DEBT x ASSET_CLASS</t>
        </is>
      </c>
      <c r="C396" t="inlineStr">
        <is>
          <t>0 - 6,558</t>
        </is>
      </c>
      <c r="D396" t="inlineStr">
        <is>
          <t>3</t>
        </is>
      </c>
      <c r="E396" t="inlineStr">
        <is>
          <t>gco_rate</t>
        </is>
      </c>
      <c r="F396" t="inlineStr">
        <is>
          <t>GCO per booked dollar</t>
        </is>
      </c>
      <c r="G396" t="n">
        <v>371</v>
      </c>
      <c r="H396" t="n">
        <v>12325434.64000001</v>
      </c>
      <c r="I396" t="b">
        <v>0</v>
      </c>
      <c r="J396" t="b">
        <v>0</v>
      </c>
      <c r="K396" t="n">
        <v>0.340022111939206</v>
      </c>
      <c r="L396" t="n">
        <v>0.01350390902629709</v>
      </c>
      <c r="M396" t="n">
        <v>0.6928099239075833</v>
      </c>
      <c r="N396" t="n">
        <v>0.5955223880597015</v>
      </c>
      <c r="O396" t="n">
        <v>-349455.4224244817</v>
      </c>
      <c r="P396" t="n">
        <v>-79829.35873876681</v>
      </c>
      <c r="Q396">
        <f>'_live'!$C$22</f>
        <v/>
      </c>
      <c r="R396" t="inlineStr">
        <is>
          <t>shuffled: 0 of 200</t>
        </is>
      </c>
      <c r="S396" t="inlineStr">
        <is>
          <t>shuffled: 62 of 200</t>
        </is>
      </c>
      <c r="T396" t="n">
        <v>0.04295959273566691</v>
      </c>
      <c r="U396" t="n">
        <v>0.02108401012451165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0.01460721145002964</v>
      </c>
      <c r="AI396">
        <f>IF($Y396="worse","Yes",IF($Y396="worse, not significant","Not sure",IF(OR($Y396="too few losses to test",$Y396="too few loans to test"),"Too few losses",IF($Y396="","","No"))))</f>
        <v/>
      </c>
      <c r="AJ396">
        <f>IF($AA396="yes","Yes",IF($AA396="","","No"))</f>
        <v/>
      </c>
      <c r="AK396" t="n">
        <v>0.01350390902629709</v>
      </c>
      <c r="AL396" t="n">
        <v>0.06232357590162423</v>
      </c>
      <c r="AM396">
        <f>IF(AND(ISNUMBER($AC396),ISNUMBER(IF($V396,IF($AL396="","",$AL396),IF($AK396="","",$AK396)))),IF(AND(ABS($AC396-significance_bar)&lt;=2.0*IF($V396,IF($AL396="","",$AL396),IF($AK396="","",$AK396)),OR($Y396="worse",$Y396="better",$Y396="worse, not significant",$Y396="better, not significant")),IF(ROUND($AC396,3)=ROUND(significance_bar,3),TEXT($AC396,"0.0000"),TEXT($AC396,"0.000")),""),"")</f>
        <v/>
      </c>
      <c r="AN396">
        <f>IF(AND(ISNUMBER($AC396),ISNUMBER(IF($V396,IF($AL396="","",$AL396),IF($AK396="","",$AK396)))),IF(AND(ABS($AC396-significance_bar)&lt;=2.0*IF($V396,IF($AL396="","",$AL396),IF($AK396="","",$AK396)),OR($Y396="worse",$Y396="worse, not significant")),IF(ROUND($AC396,3)=ROUND(significance_bar,3),TEXT($AC396,"0.0000"),TEXT($AC396,"0.000")),""),"")</f>
        <v/>
      </c>
      <c r="AO396">
        <f>IF(OR($AI396="",$AN396=""),$AI396,$AI396&amp;" · borderline (p "&amp;$AN396&amp;")")</f>
        <v/>
      </c>
    </row>
    <row r="397">
      <c r="A397" t="inlineStr">
        <is>
          <t>grids</t>
        </is>
      </c>
      <c r="B397" t="inlineStr">
        <is>
          <t>REV_DEBT x ASSET_CLASS</t>
        </is>
      </c>
      <c r="C397" t="inlineStr">
        <is>
          <t>0 - 6,558</t>
        </is>
      </c>
      <c r="D397" t="inlineStr">
        <is>
          <t>3</t>
        </is>
      </c>
      <c r="E397" t="inlineStr">
        <is>
          <t>ranr_rate</t>
        </is>
      </c>
      <c r="F397" t="inlineStr">
        <is>
          <t>Profit after losses: RANR per booked dollar</t>
        </is>
      </c>
      <c r="G397" t="n">
        <v>371</v>
      </c>
      <c r="H397" t="n">
        <v>12325434.64000001</v>
      </c>
      <c r="I397" t="b">
        <v>0</v>
      </c>
      <c r="J397" t="b">
        <v>0</v>
      </c>
      <c r="K397" t="n">
        <v>-0.008759195320479196</v>
      </c>
      <c r="L397" t="n">
        <v>0.5174129353233831</v>
      </c>
      <c r="M397" t="n">
        <v>0.01728739586071525</v>
      </c>
      <c r="N397" t="n">
        <v>0.2736318407960199</v>
      </c>
      <c r="O397" t="n">
        <v>107960.8894215603</v>
      </c>
      <c r="P397" t="n">
        <v>-213074.6677770524</v>
      </c>
      <c r="Q397">
        <f>'_live'!$C$23</f>
        <v/>
      </c>
      <c r="R397" t="inlineStr">
        <is>
          <t>shuffled: 77 of 200</t>
        </is>
      </c>
      <c r="S397" t="inlineStr">
        <is>
          <t>shuffled: 7 of 200</t>
        </is>
      </c>
      <c r="T397" t="n">
        <v>0.1284083917239903</v>
      </c>
      <c r="U397" t="n">
        <v>0.1023618005427959</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0.1196491964035111</v>
      </c>
      <c r="AI397">
        <f>IF($Y397="worse","Yes",IF($Y397="worse, not significant","Not sure",IF(OR($Y397="too few losses to test",$Y397="too few loans to test"),"Too few losses",IF($Y397="","","No"))))</f>
        <v/>
      </c>
      <c r="AJ397">
        <f>IF($AA397="yes","Yes",IF($AA397="","","No"))</f>
        <v/>
      </c>
      <c r="AK397" t="n">
        <v>0.04594386619150326</v>
      </c>
      <c r="AL397" t="n">
        <v>0.0804140789813165</v>
      </c>
      <c r="AM397">
        <f>IF(AND(ISNUMBER($AC397),ISNUMBER(IF($V397,IF($AL397="","",$AL397),IF($AK397="","",$AK397)))),IF(AND(ABS($AC397-significance_bar)&lt;=2.0*IF($V397,IF($AL397="","",$AL397),IF($AK397="","",$AK397)),OR($Y397="worse",$Y397="better",$Y397="worse, not significant",$Y397="better, not significant",AND(profit_kind="test",$Y397="in line",ISNUMBER($AB397),$AB397&lt;&gt;0))),IF(ROUND($AC397,3)=ROUND(significance_bar,3),TEXT($AC397,"0.0000"),TEXT($AC397,"0.000")),""),"")</f>
        <v/>
      </c>
      <c r="AN397">
        <f>IF(AND(ISNUMBER($AC397),ISNUMBER(IF($V397,IF($AL397="","",$AL397),IF($AK397="","",$AK397)))),IF(AND(ABS($AC397-significance_bar)&lt;=2.0*IF($V397,IF($AL397="","",$AL397),IF($AK397="","",$AK397)),OR($Y397="worse",$Y397="worse, not significant",AND(profit_kind="test",$Y397="in line",ISNUMBER($AB397),$AB397&lt;0))),IF(ROUND($AC397,3)=ROUND(significance_bar,3),TEXT($AC397,"0.0000"),TEXT($AC397,"0.000")),""),"")</f>
        <v/>
      </c>
      <c r="AO397">
        <f>IF(OR($AI397="",$AN397=""),$AI397,$AI397&amp;" · borderline (p "&amp;$AN397&amp;")")</f>
        <v/>
      </c>
    </row>
    <row r="398">
      <c r="A398" t="inlineStr">
        <is>
          <t>grids</t>
        </is>
      </c>
      <c r="B398" t="inlineStr">
        <is>
          <t>REV_DEBT x ASSET_CLASS</t>
        </is>
      </c>
      <c r="C398" t="inlineStr">
        <is>
          <t>0 - 6,558</t>
        </is>
      </c>
      <c r="D398" t="inlineStr">
        <is>
          <t>3</t>
        </is>
      </c>
      <c r="E398" t="inlineStr">
        <is>
          <t>contribution_rate</t>
        </is>
      </c>
      <c r="F398" t="inlineStr">
        <is>
          <t>Contribution before losses per booked dollar</t>
        </is>
      </c>
      <c r="G398" t="n">
        <v>371</v>
      </c>
      <c r="H398" t="n">
        <v>12325434.64000001</v>
      </c>
      <c r="I398" t="b">
        <v>0</v>
      </c>
      <c r="J398" t="b">
        <v>0</v>
      </c>
      <c r="K398" t="n">
        <v>-0.03710864149662418</v>
      </c>
      <c r="L398" t="n">
        <v>0.006218905472636815</v>
      </c>
      <c r="M398" t="n">
        <v>0.01081059718623323</v>
      </c>
      <c r="N398" t="n">
        <v>0.417910447761194</v>
      </c>
      <c r="O398" t="n">
        <v>457380.1353458331</v>
      </c>
      <c r="P398" t="n">
        <v>-133245.3090382859</v>
      </c>
      <c r="Q398">
        <f>'_live'!$C$24</f>
        <v/>
      </c>
      <c r="R398" t="inlineStr">
        <is>
          <t>shuffled: 0 of 200</t>
        </is>
      </c>
      <c r="S398" t="inlineStr">
        <is>
          <t>shuffled: 17 of 200</t>
        </is>
      </c>
      <c r="T398" t="n">
        <v>0.1713650493501649</v>
      </c>
      <c r="U398" t="n">
        <v>0.1234458106673075</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0.1342564078535407</v>
      </c>
      <c r="AI398">
        <f>IF($Y398="worse","Yes",IF($Y398="worse, not significant","Not sure",IF(OR($Y398="too few losses to test",$Y398="too few loans to test"),"Too few losses",IF($Y398="","","No"))))</f>
        <v/>
      </c>
      <c r="AJ398">
        <f>IF($AA398="yes","Yes",IF($AA398="","","No"))</f>
        <v/>
      </c>
      <c r="AK398" t="n">
        <v>0.006218905472636815</v>
      </c>
      <c r="AL398" t="n">
        <v>0.08651568206680262</v>
      </c>
      <c r="AM398">
        <f>IF(AND(ISNUMBER($AC398),ISNUMBER(IF($V398,IF($AL398="","",$AL398),IF($AK398="","",$AK398)))),IF(AND(ABS($AC398-significance_bar)&lt;=2.0*IF($V398,IF($AL398="","",$AL398),IF($AK398="","",$AK398)),OR($Y398="worse",$Y398="better",$Y398="worse, not significant",$Y398="better, not significant",AND(profit_kind="test",$Y398="in line",ISNUMBER($AB398),$AB398&lt;&gt;0))),IF(ROUND($AC398,3)=ROUND(significance_bar,3),TEXT($AC398,"0.0000"),TEXT($AC398,"0.000")),""),"")</f>
        <v/>
      </c>
      <c r="AN398">
        <f>IF(AND(ISNUMBER($AC398),ISNUMBER(IF($V398,IF($AL398="","",$AL398),IF($AK398="","",$AK398)))),IF(AND(ABS($AC398-significance_bar)&lt;=2.0*IF($V398,IF($AL398="","",$AL398),IF($AK398="","",$AK398)),OR($Y398="worse",$Y398="worse, not significant",AND(profit_kind="test",$Y398="in line",ISNUMBER($AB398),$AB398&lt;0))),IF(ROUND($AC398,3)=ROUND(significance_bar,3),TEXT($AC398,"0.0000"),TEXT($AC398,"0.000")),""),"")</f>
        <v/>
      </c>
      <c r="AO398">
        <f>IF(OR($AI398="",$AN398=""),$AI398,$AI398&amp;" · borderline (p "&amp;$AN398&amp;")")</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246"/>
  <sheetViews>
    <sheetView tabSelected="0" workbookViewId="0">
      <selection activeCell="A1" sqref="A1"/>
    </sheetView>
  </sheetViews>
  <sheetFormatPr baseColWidth="8" defaultRowHeight="15"/>
  <sheetData>
    <row r="1">
      <c r="A1" s="135" t="inlineStr">
        <is>
          <t>Pockets</t>
        </is>
      </c>
      <c r="B1" s="135" t="inlineStr">
        <is>
          <t>Measure</t>
        </is>
      </c>
      <c r="C1" s="135" t="inlineStr">
        <is>
          <t>_pockets row</t>
        </is>
      </c>
      <c r="D1" s="135" t="inlineStr">
        <is>
          <t>Band</t>
        </is>
      </c>
      <c r="E1" s="135" t="inlineStr">
        <is>
          <t>Segment</t>
        </is>
      </c>
      <c r="F1" s="135" t="inlineStr">
        <is>
          <t>Half</t>
        </is>
      </c>
      <c r="G1" s="135" t="inlineStr">
        <is>
          <t>Loans</t>
        </is>
      </c>
      <c r="H1" s="135" t="inlineStr">
        <is>
          <t>Could have caught (last Run)</t>
        </is>
      </c>
      <c r="I1" s="135" t="inlineStr">
        <is>
          <t>Holds fixed?</t>
        </is>
      </c>
      <c r="J1" s="135" t="inlineStr">
        <is>
          <t>Order (last Run)</t>
        </is>
      </c>
      <c r="K1" s="135" t="inlineStr">
        <is>
          <t>Worse? (live)</t>
        </is>
      </c>
      <c r="L1" s="135" t="inlineStr">
        <is>
          <t>Material? (live)</t>
        </is>
      </c>
      <c r="M1" s="135" t="inlineStr">
        <is>
          <t>Shown now (1: yes)</t>
        </is>
      </c>
      <c r="N1" s="135" t="inlineStr">
        <is>
          <t>Shown so far</t>
        </is>
      </c>
      <c r="O1" s="135" t="inlineStr">
        <is>
          <t>Kind (key)</t>
        </is>
      </c>
      <c r="P1" s="135"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IF(AND($A2='Pockets'!$D$17,$B2='Pockets'!$C$17,OR('Pockets'!$E$17="All",AND('Pockets'!$E$17="Worse and material",$K2="Yes",$L2="Yes"),AND('Pockets'!$E$17="Worse or not sure",OR($K2="Yes",$K2="Not sure")))),1,0)</f>
        <v/>
      </c>
      <c r="N2">
        <f>$M2</f>
        <v/>
      </c>
      <c r="O2" t="inlineStr">
        <is>
          <t>grids</t>
        </is>
      </c>
      <c r="P2" t="inlineStr">
        <is>
          <t>outcome_loans</t>
        </is>
      </c>
    </row>
    <row r="3">
      <c r="A3" t="inlineStr">
        <is>
          <t>Two-way</t>
        </is>
      </c>
      <c r="B3" t="inlineStr">
        <is>
          <t>Bad loans</t>
        </is>
      </c>
      <c r="C3" t="n">
        <v>274</v>
      </c>
      <c r="D3" t="inlineStr">
        <is>
          <t>REV_DEBT 17,187 - 48,521</t>
        </is>
      </c>
      <c r="E3" t="inlineStr">
        <is>
          <t>Broker</t>
        </is>
      </c>
      <c r="G3" t="n">
        <v>507</v>
      </c>
      <c r="H3" t="n">
        <v>1.471851729337479</v>
      </c>
      <c r="J3" t="n">
        <v>2</v>
      </c>
      <c r="K3">
        <f>'_pockets'!$AI$274</f>
        <v/>
      </c>
      <c r="L3">
        <f>'_pockets'!$AJ$274</f>
        <v/>
      </c>
      <c r="M3">
        <f>IF(AND($A3='Pockets'!$D$17,$B3='Pockets'!$C$17,OR('Pockets'!$E$17="All",AND('Pockets'!$E$17="Worse and material",$K3="Yes",$L3="Yes"),AND('Pockets'!$E$17="Worse or not sure",OR($K3="Yes",$K3="Not sure")))),1,0)</f>
        <v/>
      </c>
      <c r="N3">
        <f>$N2+$M3</f>
        <v/>
      </c>
      <c r="O3" t="inlineStr">
        <is>
          <t>grids</t>
        </is>
      </c>
      <c r="P3" t="inlineStr">
        <is>
          <t>outcome_loans</t>
        </is>
      </c>
    </row>
    <row r="4">
      <c r="A4" t="inlineStr">
        <is>
          <t>Two-way</t>
        </is>
      </c>
      <c r="B4" t="inlineStr">
        <is>
          <t>Bad loans</t>
        </is>
      </c>
      <c r="C4" t="n">
        <v>39</v>
      </c>
      <c r="D4" t="inlineStr">
        <is>
          <t>FICO 712 - 745</t>
        </is>
      </c>
      <c r="E4" t="inlineStr">
        <is>
          <t>Online</t>
        </is>
      </c>
      <c r="G4" t="n">
        <v>564</v>
      </c>
      <c r="H4" t="n">
        <v>1.448150295811065</v>
      </c>
      <c r="J4" t="n">
        <v>3</v>
      </c>
      <c r="K4">
        <f>'_pockets'!$AI$39</f>
        <v/>
      </c>
      <c r="L4">
        <f>'_pockets'!$AJ$39</f>
        <v/>
      </c>
      <c r="M4">
        <f>IF(AND($A4='Pockets'!$D$17,$B4='Pockets'!$C$17,OR('Pockets'!$E$17="All",AND('Pockets'!$E$17="Worse and material",$K4="Yes",$L4="Yes"),AND('Pockets'!$E$17="Worse or not sure",OR($K4="Yes",$K4="Not sure")))),1,0)</f>
        <v/>
      </c>
      <c r="N4">
        <f>$N3+$M4</f>
        <v/>
      </c>
      <c r="O4" t="inlineStr">
        <is>
          <t>grids</t>
        </is>
      </c>
      <c r="P4" t="inlineStr">
        <is>
          <t>outcome_loans</t>
        </is>
      </c>
    </row>
    <row r="5">
      <c r="A5" t="inlineStr">
        <is>
          <t>Two-way</t>
        </is>
      </c>
      <c r="B5" t="inlineStr">
        <is>
          <t>Bad loans</t>
        </is>
      </c>
      <c r="C5" t="n">
        <v>149</v>
      </c>
      <c r="D5" t="inlineStr">
        <is>
          <t>FICO 496 - 653</t>
        </is>
      </c>
      <c r="E5" t="inlineStr">
        <is>
          <t>ASSET_CLASS 4</t>
        </is>
      </c>
      <c r="G5" t="n">
        <v>392</v>
      </c>
      <c r="H5" t="n">
        <v>1.535532051077121</v>
      </c>
      <c r="J5" t="n">
        <v>4</v>
      </c>
      <c r="K5">
        <f>'_pockets'!$AI$149</f>
        <v/>
      </c>
      <c r="L5">
        <f>'_pockets'!$AJ$149</f>
        <v/>
      </c>
      <c r="M5">
        <f>IF(AND($A5='Pockets'!$D$17,$B5='Pockets'!$C$17,OR('Pockets'!$E$17="All",AND('Pockets'!$E$17="Worse and material",$K5="Yes",$L5="Yes"),AND('Pockets'!$E$17="Worse or not sure",OR($K5="Yes",$K5="Not sure")))),1,0)</f>
        <v/>
      </c>
      <c r="N5">
        <f>$N4+$M5</f>
        <v/>
      </c>
      <c r="O5" t="inlineStr">
        <is>
          <t>grids</t>
        </is>
      </c>
      <c r="P5" t="inlineStr">
        <is>
          <t>outcome_loans</t>
        </is>
      </c>
    </row>
    <row r="6">
      <c r="A6" t="inlineStr">
        <is>
          <t>Two-way</t>
        </is>
      </c>
      <c r="B6" t="inlineStr">
        <is>
          <t>Bad loans</t>
        </is>
      </c>
      <c r="C6" t="n">
        <v>339</v>
      </c>
      <c r="D6" t="inlineStr">
        <is>
          <t>REV_DEBT 13,052 - 17,186</t>
        </is>
      </c>
      <c r="E6" t="inlineStr">
        <is>
          <t>ASSET_CLASS 4</t>
        </is>
      </c>
      <c r="G6" t="n">
        <v>411</v>
      </c>
      <c r="H6" t="n">
        <v>1.523092120409747</v>
      </c>
      <c r="J6" t="n">
        <v>5</v>
      </c>
      <c r="K6">
        <f>'_pockets'!$AI$339</f>
        <v/>
      </c>
      <c r="L6">
        <f>'_pockets'!$AJ$339</f>
        <v/>
      </c>
      <c r="M6">
        <f>IF(AND($A6='Pockets'!$D$17,$B6='Pockets'!$C$17,OR('Pockets'!$E$17="All",AND('Pockets'!$E$17="Worse and material",$K6="Yes",$L6="Yes"),AND('Pockets'!$E$17="Worse or not sure",OR($K6="Yes",$K6="Not sure")))),1,0)</f>
        <v/>
      </c>
      <c r="N6">
        <f>$N5+$M6</f>
        <v/>
      </c>
      <c r="O6" t="inlineStr">
        <is>
          <t>grids</t>
        </is>
      </c>
      <c r="P6" t="inlineStr">
        <is>
          <t>outcome_loans</t>
        </is>
      </c>
    </row>
    <row r="7">
      <c r="A7" t="inlineStr">
        <is>
          <t>Two-way</t>
        </is>
      </c>
      <c r="B7" t="inlineStr">
        <is>
          <t>Bad loans</t>
        </is>
      </c>
      <c r="C7" t="n">
        <v>189</v>
      </c>
      <c r="D7" t="inlineStr">
        <is>
          <t>FICO 654 - 685</t>
        </is>
      </c>
      <c r="E7" t="inlineStr">
        <is>
          <t>ASSET_CLASS 4</t>
        </is>
      </c>
      <c r="G7" t="n">
        <v>410</v>
      </c>
      <c r="H7" t="n">
        <v>1.523724118574306</v>
      </c>
      <c r="J7" t="n">
        <v>6</v>
      </c>
      <c r="K7">
        <f>'_pockets'!$AI$189</f>
        <v/>
      </c>
      <c r="L7">
        <f>'_pockets'!$AJ$189</f>
        <v/>
      </c>
      <c r="M7">
        <f>IF(AND($A7='Pockets'!$D$17,$B7='Pockets'!$C$17,OR('Pockets'!$E$17="All",AND('Pockets'!$E$17="Worse and material",$K7="Yes",$L7="Yes"),AND('Pockets'!$E$17="Worse or not sure",OR($K7="Yes",$K7="Not sure")))),1,0)</f>
        <v/>
      </c>
      <c r="N7">
        <f>$N6+$M7</f>
        <v/>
      </c>
      <c r="O7" t="inlineStr">
        <is>
          <t>grids</t>
        </is>
      </c>
      <c r="P7" t="inlineStr">
        <is>
          <t>outcome_loans</t>
        </is>
      </c>
    </row>
    <row r="8">
      <c r="A8" t="inlineStr">
        <is>
          <t>Two-way</t>
        </is>
      </c>
      <c r="B8" t="inlineStr">
        <is>
          <t>Bad loans</t>
        </is>
      </c>
      <c r="C8" t="n">
        <v>124</v>
      </c>
      <c r="D8" t="inlineStr">
        <is>
          <t>FICO 712 - 745</t>
        </is>
      </c>
      <c r="E8" t="inlineStr">
        <is>
          <t>ASSET_CLASS 4</t>
        </is>
      </c>
      <c r="G8" t="n">
        <v>427</v>
      </c>
      <c r="H8" t="n">
        <v>1.513299527641975</v>
      </c>
      <c r="J8" t="n">
        <v>7</v>
      </c>
      <c r="K8">
        <f>'_pockets'!$AI$124</f>
        <v/>
      </c>
      <c r="L8">
        <f>'_pockets'!$AJ$124</f>
        <v/>
      </c>
      <c r="M8">
        <f>IF(AND($A8='Pockets'!$D$17,$B8='Pockets'!$C$17,OR('Pockets'!$E$17="All",AND('Pockets'!$E$17="Worse and material",$K8="Yes",$L8="Yes"),AND('Pockets'!$E$17="Worse or not sure",OR($K8="Yes",$K8="Not sure")))),1,0)</f>
        <v/>
      </c>
      <c r="N8">
        <f>$N7+$M8</f>
        <v/>
      </c>
      <c r="O8" t="inlineStr">
        <is>
          <t>grids</t>
        </is>
      </c>
      <c r="P8" t="inlineStr">
        <is>
          <t>outcome_loans</t>
        </is>
      </c>
    </row>
    <row r="9">
      <c r="A9" t="inlineStr">
        <is>
          <t>Two-way</t>
        </is>
      </c>
      <c r="B9" t="inlineStr">
        <is>
          <t>Bad loans</t>
        </is>
      </c>
      <c r="C9" t="n">
        <v>354</v>
      </c>
      <c r="D9" t="inlineStr">
        <is>
          <t>REV_DEBT 17,187 - 48,521</t>
        </is>
      </c>
      <c r="E9" t="inlineStr">
        <is>
          <t>ASSET_CLASS 4</t>
        </is>
      </c>
      <c r="G9" t="n">
        <v>424</v>
      </c>
      <c r="H9" t="n">
        <v>1.515091138534566</v>
      </c>
      <c r="J9" t="n">
        <v>8</v>
      </c>
      <c r="K9">
        <f>'_pockets'!$AI$354</f>
        <v/>
      </c>
      <c r="L9">
        <f>'_pockets'!$AJ$354</f>
        <v/>
      </c>
      <c r="M9">
        <f>IF(AND($A9='Pockets'!$D$17,$B9='Pockets'!$C$17,OR('Pockets'!$E$17="All",AND('Pockets'!$E$17="Worse and material",$K9="Yes",$L9="Yes"),AND('Pockets'!$E$17="Worse or not sure",OR($K9="Yes",$K9="Not sure")))),1,0)</f>
        <v/>
      </c>
      <c r="N9">
        <f>$N8+$M9</f>
        <v/>
      </c>
      <c r="O9" t="inlineStr">
        <is>
          <t>grids</t>
        </is>
      </c>
      <c r="P9" t="inlineStr">
        <is>
          <t>outcome_loans</t>
        </is>
      </c>
    </row>
    <row r="10">
      <c r="A10" t="inlineStr">
        <is>
          <t>Two-way</t>
        </is>
      </c>
      <c r="B10" t="inlineStr">
        <is>
          <t>Bad loans</t>
        </is>
      </c>
      <c r="C10" t="n">
        <v>224</v>
      </c>
      <c r="D10" t="inlineStr">
        <is>
          <t>REV_DEBT 13,052 - 17,186</t>
        </is>
      </c>
      <c r="E10" t="inlineStr">
        <is>
          <t>Online</t>
        </is>
      </c>
      <c r="G10" t="n">
        <v>522</v>
      </c>
      <c r="H10" t="n">
        <v>1.465217552398334</v>
      </c>
      <c r="J10" t="n">
        <v>9</v>
      </c>
      <c r="K10">
        <f>'_pockets'!$AI$224</f>
        <v/>
      </c>
      <c r="L10">
        <f>'_pockets'!$AJ$224</f>
        <v/>
      </c>
      <c r="M10">
        <f>IF(AND($A10='Pockets'!$D$17,$B10='Pockets'!$C$17,OR('Pockets'!$E$17="All",AND('Pockets'!$E$17="Worse and material",$K10="Yes",$L10="Yes"),AND('Pockets'!$E$17="Worse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IF(AND($A11='Pockets'!$D$17,$B11='Pockets'!$C$17,OR('Pockets'!$E$17="All",AND('Pockets'!$E$17="Worse and material",$K11="Yes",$L11="Yes"),AND('Pockets'!$E$17="Worse or not sure",OR($K11="Yes",$K11="Not sure")))),1,0)</f>
        <v/>
      </c>
      <c r="N11">
        <f>$N10+$M11</f>
        <v/>
      </c>
      <c r="O11" t="inlineStr">
        <is>
          <t>grids</t>
        </is>
      </c>
      <c r="P11" t="inlineStr">
        <is>
          <t>outcome_loans</t>
        </is>
      </c>
    </row>
    <row r="12">
      <c r="A12" t="inlineStr">
        <is>
          <t>Two-way</t>
        </is>
      </c>
      <c r="B12" t="inlineStr">
        <is>
          <t>Bad loans</t>
        </is>
      </c>
      <c r="C12" t="n">
        <v>154</v>
      </c>
      <c r="D12" t="inlineStr">
        <is>
          <t>FICO 686 - 711</t>
        </is>
      </c>
      <c r="E12" t="inlineStr">
        <is>
          <t>ASSET_CLASS 4</t>
        </is>
      </c>
      <c r="G12" t="n">
        <v>407</v>
      </c>
      <c r="H12" t="n">
        <v>1.525634792681764</v>
      </c>
      <c r="J12" t="n">
        <v>11</v>
      </c>
      <c r="K12">
        <f>'_pockets'!$AI$154</f>
        <v/>
      </c>
      <c r="L12">
        <f>'_pockets'!$AJ$154</f>
        <v/>
      </c>
      <c r="M12">
        <f>IF(AND($A12='Pockets'!$D$17,$B12='Pockets'!$C$17,OR('Pockets'!$E$17="All",AND('Pockets'!$E$17="Worse and material",$K12="Yes",$L12="Yes"),AND('Pockets'!$E$17="Worse or not sure",OR($K12="Yes",$K12="Not sure")))),1,0)</f>
        <v/>
      </c>
      <c r="N12">
        <f>$N11+$M12</f>
        <v/>
      </c>
      <c r="O12" t="inlineStr">
        <is>
          <t>grids</t>
        </is>
      </c>
      <c r="P12" t="inlineStr">
        <is>
          <t>outcome_loans</t>
        </is>
      </c>
    </row>
    <row r="13">
      <c r="A13" t="inlineStr">
        <is>
          <t>Two-way</t>
        </is>
      </c>
      <c r="B13" t="inlineStr">
        <is>
          <t>Bad loans</t>
        </is>
      </c>
      <c r="C13" t="n">
        <v>314</v>
      </c>
      <c r="D13" t="inlineStr">
        <is>
          <t>REV_DEBT 9,837 - 13,051</t>
        </is>
      </c>
      <c r="E13" t="inlineStr">
        <is>
          <t>ASSET_CLASS 4</t>
        </is>
      </c>
      <c r="G13" t="n">
        <v>414</v>
      </c>
      <c r="H13" t="n">
        <v>1.521210593461203</v>
      </c>
      <c r="J13" t="n">
        <v>12</v>
      </c>
      <c r="K13">
        <f>'_pockets'!$AI$314</f>
        <v/>
      </c>
      <c r="L13">
        <f>'_pockets'!$AJ$314</f>
        <v/>
      </c>
      <c r="M13">
        <f>IF(AND($A13='Pockets'!$D$17,$B13='Pockets'!$C$17,OR('Pockets'!$E$17="All",AND('Pockets'!$E$17="Worse and material",$K13="Yes",$L13="Yes"),AND('Pockets'!$E$17="Worse or not sure",OR($K13="Yes",$K13="Not sure")))),1,0)</f>
        <v/>
      </c>
      <c r="N13">
        <f>$N12+$M13</f>
        <v/>
      </c>
      <c r="O13" t="inlineStr">
        <is>
          <t>grids</t>
        </is>
      </c>
      <c r="P13" t="inlineStr">
        <is>
          <t>outcome_loans</t>
        </is>
      </c>
    </row>
    <row r="14">
      <c r="A14" t="inlineStr">
        <is>
          <t>Two-way</t>
        </is>
      </c>
      <c r="B14" t="inlineStr">
        <is>
          <t>Bad loans</t>
        </is>
      </c>
      <c r="C14" t="n">
        <v>324</v>
      </c>
      <c r="D14" t="inlineStr">
        <is>
          <t>REV_DEBT 6,559 - 9,836</t>
        </is>
      </c>
      <c r="E14" t="inlineStr">
        <is>
          <t>ASSET_CLASS 4</t>
        </is>
      </c>
      <c r="G14" t="n">
        <v>400</v>
      </c>
      <c r="H14" t="n">
        <v>1.530180667812667</v>
      </c>
      <c r="J14" t="n">
        <v>13</v>
      </c>
      <c r="K14">
        <f>'_pockets'!$AI$324</f>
        <v/>
      </c>
      <c r="L14">
        <f>'_pockets'!$AJ$324</f>
        <v/>
      </c>
      <c r="M14">
        <f>IF(AND($A14='Pockets'!$D$17,$B14='Pockets'!$C$17,OR('Pockets'!$E$17="All",AND('Pockets'!$E$17="Worse and material",$K14="Yes",$L14="Yes"),AND('Pockets'!$E$17="Worse or not sure",OR($K14="Yes",$K14="Not sure")))),1,0)</f>
        <v/>
      </c>
      <c r="N14">
        <f>$N13+$M14</f>
        <v/>
      </c>
      <c r="O14" t="inlineStr">
        <is>
          <t>grids</t>
        </is>
      </c>
      <c r="P14" t="inlineStr">
        <is>
          <t>outcome_loans</t>
        </is>
      </c>
    </row>
    <row r="15">
      <c r="A15" t="inlineStr">
        <is>
          <t>Two-way</t>
        </is>
      </c>
      <c r="B15" t="inlineStr">
        <is>
          <t>Bad loans</t>
        </is>
      </c>
      <c r="C15" t="n">
        <v>364</v>
      </c>
      <c r="D15" t="inlineStr">
        <is>
          <t>REV_DEBT 6,559 - 9,836</t>
        </is>
      </c>
      <c r="E15" t="inlineStr">
        <is>
          <t>ASSET_CLASS 3</t>
        </is>
      </c>
      <c r="G15" t="n">
        <v>411</v>
      </c>
      <c r="H15" t="n">
        <v>1.523092120409747</v>
      </c>
      <c r="J15" t="n">
        <v>14</v>
      </c>
      <c r="K15">
        <f>'_pockets'!$AI$364</f>
        <v/>
      </c>
      <c r="L15">
        <f>'_pockets'!$AJ$364</f>
        <v/>
      </c>
      <c r="M15">
        <f>IF(AND($A15='Pockets'!$D$17,$B15='Pockets'!$C$17,OR('Pockets'!$E$17="All",AND('Pockets'!$E$17="Worse and material",$K15="Yes",$L15="Yes"),AND('Pockets'!$E$17="Worse or not sure",OR($K15="Yes",$K15="Not sure")))),1,0)</f>
        <v/>
      </c>
      <c r="N15">
        <f>$N14+$M15</f>
        <v/>
      </c>
      <c r="O15" t="inlineStr">
        <is>
          <t>grids</t>
        </is>
      </c>
      <c r="P15" t="inlineStr">
        <is>
          <t>outcome_loans</t>
        </is>
      </c>
    </row>
    <row r="16">
      <c r="A16" t="inlineStr">
        <is>
          <t>Two-way</t>
        </is>
      </c>
      <c r="B16" t="inlineStr">
        <is>
          <t>Bad loans</t>
        </is>
      </c>
      <c r="C16" t="n">
        <v>254</v>
      </c>
      <c r="D16" t="inlineStr">
        <is>
          <t>REV_DEBT 6,559 - 9,836</t>
        </is>
      </c>
      <c r="E16" t="inlineStr">
        <is>
          <t>Online</t>
        </is>
      </c>
      <c r="G16" t="n">
        <v>565</v>
      </c>
      <c r="H16" t="n">
        <v>1.447768640256475</v>
      </c>
      <c r="J16" t="n">
        <v>15</v>
      </c>
      <c r="K16">
        <f>'_pockets'!$AI$254</f>
        <v/>
      </c>
      <c r="L16">
        <f>'_pockets'!$AJ$254</f>
        <v/>
      </c>
      <c r="M16">
        <f>IF(AND($A16='Pockets'!$D$17,$B16='Pockets'!$C$17,OR('Pockets'!$E$17="All",AND('Pockets'!$E$17="Worse and material",$K16="Yes",$L16="Yes"),AND('Pockets'!$E$17="Worse or not sure",OR($K16="Yes",$K16="Not sure")))),1,0)</f>
        <v/>
      </c>
      <c r="N16">
        <f>$N15+$M16</f>
        <v/>
      </c>
      <c r="O16" t="inlineStr">
        <is>
          <t>grids</t>
        </is>
      </c>
      <c r="P16" t="inlineStr">
        <is>
          <t>outcome_loans</t>
        </is>
      </c>
    </row>
    <row r="17">
      <c r="A17" t="inlineStr">
        <is>
          <t>Two-way</t>
        </is>
      </c>
      <c r="B17" t="inlineStr">
        <is>
          <t>Bad loans</t>
        </is>
      </c>
      <c r="C17" t="n">
        <v>334</v>
      </c>
      <c r="D17" t="inlineStr">
        <is>
          <t>REV_DEBT 0 - 6,558</t>
        </is>
      </c>
      <c r="E17" t="inlineStr">
        <is>
          <t>ASSET_CLASS 4</t>
        </is>
      </c>
      <c r="G17" t="n">
        <v>399</v>
      </c>
      <c r="H17" t="n">
        <v>1.530840329248716</v>
      </c>
      <c r="J17" t="n">
        <v>16</v>
      </c>
      <c r="K17">
        <f>'_pockets'!$AI$334</f>
        <v/>
      </c>
      <c r="L17">
        <f>'_pockets'!$AJ$334</f>
        <v/>
      </c>
      <c r="M17">
        <f>IF(AND($A17='Pockets'!$D$17,$B17='Pockets'!$C$17,OR('Pockets'!$E$17="All",AND('Pockets'!$E$17="Worse and material",$K17="Yes",$L17="Yes"),AND('Pockets'!$E$17="Worse or not sure",OR($K17="Yes",$K17="Not sure")))),1,0)</f>
        <v/>
      </c>
      <c r="N17">
        <f>$N16+$M17</f>
        <v/>
      </c>
      <c r="O17" t="inlineStr">
        <is>
          <t>grids</t>
        </is>
      </c>
      <c r="P17" t="inlineStr">
        <is>
          <t>outcome_loans</t>
        </is>
      </c>
    </row>
    <row r="18">
      <c r="A18" t="inlineStr">
        <is>
          <t>Two-way</t>
        </is>
      </c>
      <c r="B18" t="inlineStr">
        <is>
          <t>Bad loans</t>
        </is>
      </c>
      <c r="C18" t="n">
        <v>94</v>
      </c>
      <c r="D18" t="inlineStr">
        <is>
          <t>FICO (marked missing)</t>
        </is>
      </c>
      <c r="E18" t="inlineStr">
        <is>
          <t>Broker</t>
        </is>
      </c>
      <c r="G18" t="n">
        <v>54</v>
      </c>
      <c r="H18" t="n">
        <v>2.515266476498722</v>
      </c>
      <c r="J18" t="n">
        <v>17</v>
      </c>
      <c r="K18">
        <f>'_pockets'!$AI$94</f>
        <v/>
      </c>
      <c r="L18">
        <f>'_pockets'!$AJ$94</f>
        <v/>
      </c>
      <c r="M18">
        <f>IF(AND($A18='Pockets'!$D$17,$B18='Pockets'!$C$17,OR('Pockets'!$E$17="All",AND('Pockets'!$E$17="Worse and material",$K18="Yes",$L18="Yes"),AND('Pockets'!$E$17="Worse or not sure",OR($K18="Yes",$K18="Not sure")))),1,0)</f>
        <v/>
      </c>
      <c r="N18">
        <f>$N17+$M18</f>
        <v/>
      </c>
      <c r="O18" t="inlineStr">
        <is>
          <t>grids</t>
        </is>
      </c>
      <c r="P18" t="inlineStr">
        <is>
          <t>outcome_loans</t>
        </is>
      </c>
    </row>
    <row r="19">
      <c r="A19" t="inlineStr">
        <is>
          <t>Two-way</t>
        </is>
      </c>
      <c r="B19" t="inlineStr">
        <is>
          <t>Bad loans</t>
        </is>
      </c>
      <c r="C19" t="n">
        <v>244</v>
      </c>
      <c r="D19" t="inlineStr">
        <is>
          <t>REV_DEBT 13,052 - 17,186</t>
        </is>
      </c>
      <c r="E19" t="inlineStr">
        <is>
          <t>Broker</t>
        </is>
      </c>
      <c r="G19" t="n">
        <v>553</v>
      </c>
      <c r="H19" t="n">
        <v>1.452420729342193</v>
      </c>
      <c r="J19" t="n">
        <v>18</v>
      </c>
      <c r="K19">
        <f>'_pockets'!$AI$244</f>
        <v/>
      </c>
      <c r="L19">
        <f>'_pockets'!$AJ$244</f>
        <v/>
      </c>
      <c r="M19">
        <f>IF(AND($A19='Pockets'!$D$17,$B19='Pockets'!$C$17,OR('Pockets'!$E$17="All",AND('Pockets'!$E$17="Worse and material",$K19="Yes",$L19="Yes"),AND('Pockets'!$E$17="Worse or not sure",OR($K19="Yes",$K19="Not sure")))),1,0)</f>
        <v/>
      </c>
      <c r="N19">
        <f>$N18+$M19</f>
        <v/>
      </c>
      <c r="O19" t="inlineStr">
        <is>
          <t>grids</t>
        </is>
      </c>
      <c r="P19" t="inlineStr">
        <is>
          <t>outcome_loans</t>
        </is>
      </c>
    </row>
    <row r="20">
      <c r="A20" t="inlineStr">
        <is>
          <t>Two-way</t>
        </is>
      </c>
      <c r="B20" t="inlineStr">
        <is>
          <t>Bad loans</t>
        </is>
      </c>
      <c r="C20" t="n">
        <v>374</v>
      </c>
      <c r="D20" t="inlineStr">
        <is>
          <t>REV_DEBT 9,837 - 13,051</t>
        </is>
      </c>
      <c r="E20" t="inlineStr">
        <is>
          <t>ASSET_CLASS 3</t>
        </is>
      </c>
      <c r="G20" t="n">
        <v>400</v>
      </c>
      <c r="H20" t="n">
        <v>1.530180667812667</v>
      </c>
      <c r="J20" t="n">
        <v>19</v>
      </c>
      <c r="K20">
        <f>'_pockets'!$AI$374</f>
        <v/>
      </c>
      <c r="L20">
        <f>'_pockets'!$AJ$374</f>
        <v/>
      </c>
      <c r="M20">
        <f>IF(AND($A20='Pockets'!$D$17,$B20='Pockets'!$C$17,OR('Pockets'!$E$17="All",AND('Pockets'!$E$17="Worse and material",$K20="Yes",$L20="Yes"),AND('Pockets'!$E$17="Worse or not sure",OR($K20="Yes",$K20="Not sure")))),1,0)</f>
        <v/>
      </c>
      <c r="N20">
        <f>$N19+$M20</f>
        <v/>
      </c>
      <c r="O20" t="inlineStr">
        <is>
          <t>grids</t>
        </is>
      </c>
      <c r="P20" t="inlineStr">
        <is>
          <t>outcome_loans</t>
        </is>
      </c>
    </row>
    <row r="21">
      <c r="A21" t="inlineStr">
        <is>
          <t>Two-way</t>
        </is>
      </c>
      <c r="B21" t="inlineStr">
        <is>
          <t>Bad loans</t>
        </is>
      </c>
      <c r="C21" t="n">
        <v>209</v>
      </c>
      <c r="D21" t="inlineStr">
        <is>
          <t>FICO 686 - 711</t>
        </is>
      </c>
      <c r="E21" t="inlineStr">
        <is>
          <t>ASSET_CLASS 3</t>
        </is>
      </c>
      <c r="G21" t="n">
        <v>388</v>
      </c>
      <c r="H21" t="n">
        <v>1.53827278277665</v>
      </c>
      <c r="J21" t="n">
        <v>20</v>
      </c>
      <c r="K21">
        <f>'_pockets'!$AI$209</f>
        <v/>
      </c>
      <c r="L21">
        <f>'_pockets'!$AJ$209</f>
        <v/>
      </c>
      <c r="M21">
        <f>IF(AND($A21='Pockets'!$D$17,$B21='Pockets'!$C$17,OR('Pockets'!$E$17="All",AND('Pockets'!$E$17="Worse and material",$K21="Yes",$L21="Yes"),AND('Pockets'!$E$17="Worse or not sure",OR($K21="Yes",$K21="Not sure")))),1,0)</f>
        <v/>
      </c>
      <c r="N21">
        <f>$N20+$M21</f>
        <v/>
      </c>
      <c r="O21" t="inlineStr">
        <is>
          <t>grids</t>
        </is>
      </c>
      <c r="P21" t="inlineStr">
        <is>
          <t>outcome_loans</t>
        </is>
      </c>
    </row>
    <row r="22">
      <c r="A22" t="inlineStr">
        <is>
          <t>Two-way</t>
        </is>
      </c>
      <c r="B22" t="inlineStr">
        <is>
          <t>Bad loans</t>
        </is>
      </c>
      <c r="C22" t="n">
        <v>24</v>
      </c>
      <c r="D22" t="inlineStr">
        <is>
          <t>FICO 746 - 921</t>
        </is>
      </c>
      <c r="E22" t="inlineStr">
        <is>
          <t>Branch</t>
        </is>
      </c>
      <c r="G22" t="n">
        <v>518</v>
      </c>
      <c r="H22" t="n">
        <v>1.466956849722849</v>
      </c>
      <c r="J22" t="n">
        <v>21</v>
      </c>
      <c r="K22">
        <f>'_pockets'!$AI$24</f>
        <v/>
      </c>
      <c r="L22">
        <f>'_pockets'!$AJ$24</f>
        <v/>
      </c>
      <c r="M22">
        <f>IF(AND($A22='Pockets'!$D$17,$B22='Pockets'!$C$17,OR('Pockets'!$E$17="All",AND('Pockets'!$E$17="Worse and material",$K22="Yes",$L22="Yes"),AND('Pockets'!$E$17="Worse or not sure",OR($K22="Yes",$K22="Not sure")))),1,0)</f>
        <v/>
      </c>
      <c r="N22">
        <f>$N21+$M22</f>
        <v/>
      </c>
      <c r="O22" t="inlineStr">
        <is>
          <t>grids</t>
        </is>
      </c>
      <c r="P22" t="inlineStr">
        <is>
          <t>outcome_loans</t>
        </is>
      </c>
    </row>
    <row r="23">
      <c r="A23" t="inlineStr">
        <is>
          <t>Two-way</t>
        </is>
      </c>
      <c r="B23" t="inlineStr">
        <is>
          <t>Bad loans</t>
        </is>
      </c>
      <c r="C23" t="n">
        <v>54</v>
      </c>
      <c r="D23" t="inlineStr">
        <is>
          <t>FICO 654 - 685</t>
        </is>
      </c>
      <c r="E23" t="inlineStr">
        <is>
          <t>Branch</t>
        </is>
      </c>
      <c r="G23" t="n">
        <v>503</v>
      </c>
      <c r="H23" t="n">
        <v>1.473673649827915</v>
      </c>
      <c r="J23" t="n">
        <v>22</v>
      </c>
      <c r="K23">
        <f>'_pockets'!$AI$54</f>
        <v/>
      </c>
      <c r="L23">
        <f>'_pockets'!$AJ$54</f>
        <v/>
      </c>
      <c r="M23">
        <f>IF(AND($A23='Pockets'!$D$17,$B23='Pockets'!$C$17,OR('Pockets'!$E$17="All",AND('Pockets'!$E$17="Worse and material",$K23="Yes",$L23="Yes"),AND('Pockets'!$E$17="Worse or not sure",OR($K23="Yes",$K23="Not sure")))),1,0)</f>
        <v/>
      </c>
      <c r="N23">
        <f>$N22+$M23</f>
        <v/>
      </c>
      <c r="O23" t="inlineStr">
        <is>
          <t>grids</t>
        </is>
      </c>
      <c r="P23" t="inlineStr">
        <is>
          <t>outcome_loans</t>
        </is>
      </c>
    </row>
    <row r="24">
      <c r="A24" t="inlineStr">
        <is>
          <t>Two-way</t>
        </is>
      </c>
      <c r="B24" t="inlineStr">
        <is>
          <t>Bad loans</t>
        </is>
      </c>
      <c r="C24" t="n">
        <v>219</v>
      </c>
      <c r="D24" t="inlineStr">
        <is>
          <t>FICO (marked missing)</t>
        </is>
      </c>
      <c r="E24" t="inlineStr">
        <is>
          <t>ASSET_CLASS 2</t>
        </is>
      </c>
      <c r="G24" t="n">
        <v>36</v>
      </c>
      <c r="H24" t="n">
        <v>2.890952952258553</v>
      </c>
      <c r="J24" t="n">
        <v>23</v>
      </c>
      <c r="K24">
        <f>'_pockets'!$AI$219</f>
        <v/>
      </c>
      <c r="L24">
        <f>'_pockets'!$AJ$219</f>
        <v/>
      </c>
      <c r="M24">
        <f>IF(AND($A24='Pockets'!$D$17,$B24='Pockets'!$C$17,OR('Pockets'!$E$17="All",AND('Pockets'!$E$17="Worse and material",$K24="Yes",$L24="Yes"),AND('Pockets'!$E$17="Worse or not sure",OR($K24="Yes",$K24="Not sure")))),1,0)</f>
        <v/>
      </c>
      <c r="N24">
        <f>$N23+$M24</f>
        <v/>
      </c>
      <c r="O24" t="inlineStr">
        <is>
          <t>grids</t>
        </is>
      </c>
      <c r="P24" t="inlineStr">
        <is>
          <t>outcome_loans</t>
        </is>
      </c>
    </row>
    <row r="25">
      <c r="A25" t="inlineStr">
        <is>
          <t>Two-way</t>
        </is>
      </c>
      <c r="B25" t="inlineStr">
        <is>
          <t>Bad loans</t>
        </is>
      </c>
      <c r="C25" t="n">
        <v>269</v>
      </c>
      <c r="D25" t="inlineStr">
        <is>
          <t>REV_DEBT 0 - 6,558</t>
        </is>
      </c>
      <c r="E25" t="inlineStr">
        <is>
          <t>Online</t>
        </is>
      </c>
      <c r="G25" t="n">
        <v>537</v>
      </c>
      <c r="H25" t="n">
        <v>1.458879081319792</v>
      </c>
      <c r="J25" t="n">
        <v>24</v>
      </c>
      <c r="K25">
        <f>'_pockets'!$AI$269</f>
        <v/>
      </c>
      <c r="L25">
        <f>'_pockets'!$AJ$269</f>
        <v/>
      </c>
      <c r="M25">
        <f>IF(AND($A25='Pockets'!$D$17,$B25='Pockets'!$C$17,OR('Pockets'!$E$17="All",AND('Pockets'!$E$17="Worse and material",$K25="Yes",$L25="Yes"),AND('Pockets'!$E$17="Worse or not sure",OR($K25="Yes",$K25="Not sure")))),1,0)</f>
        <v/>
      </c>
      <c r="N25">
        <f>$N24+$M25</f>
        <v/>
      </c>
      <c r="O25" t="inlineStr">
        <is>
          <t>grids</t>
        </is>
      </c>
      <c r="P25" t="inlineStr">
        <is>
          <t>outcome_loans</t>
        </is>
      </c>
    </row>
    <row r="26">
      <c r="A26" t="inlineStr">
        <is>
          <t>Two-way</t>
        </is>
      </c>
      <c r="B26" t="inlineStr">
        <is>
          <t>Bad loans</t>
        </is>
      </c>
      <c r="C26" t="n">
        <v>229</v>
      </c>
      <c r="D26" t="inlineStr">
        <is>
          <t>REV_DEBT 9,837 - 13,051</t>
        </is>
      </c>
      <c r="E26" t="inlineStr">
        <is>
          <t>Broker</t>
        </is>
      </c>
      <c r="G26" t="n">
        <v>532</v>
      </c>
      <c r="H26" t="n">
        <v>1.46096036737218</v>
      </c>
      <c r="J26" t="n">
        <v>25</v>
      </c>
      <c r="K26">
        <f>'_pockets'!$AI$229</f>
        <v/>
      </c>
      <c r="L26">
        <f>'_pockets'!$AJ$229</f>
        <v/>
      </c>
      <c r="M26">
        <f>IF(AND($A26='Pockets'!$D$17,$B26='Pockets'!$C$17,OR('Pockets'!$E$17="All",AND('Pockets'!$E$17="Worse and material",$K26="Yes",$L26="Yes"),AND('Pockets'!$E$17="Worse or not sure",OR($K26="Yes",$K26="Not sure")))),1,0)</f>
        <v/>
      </c>
      <c r="N26">
        <f>$N25+$M26</f>
        <v/>
      </c>
      <c r="O26" t="inlineStr">
        <is>
          <t>grids</t>
        </is>
      </c>
      <c r="P26" t="inlineStr">
        <is>
          <t>outcome_loans</t>
        </is>
      </c>
    </row>
    <row r="27">
      <c r="A27" t="inlineStr">
        <is>
          <t>Two-way</t>
        </is>
      </c>
      <c r="B27" t="inlineStr">
        <is>
          <t>Bad loans</t>
        </is>
      </c>
      <c r="C27" t="n">
        <v>284</v>
      </c>
      <c r="D27" t="inlineStr">
        <is>
          <t>REV_DEBT 0 - 6,558</t>
        </is>
      </c>
      <c r="E27" t="inlineStr">
        <is>
          <t>Branch</t>
        </is>
      </c>
      <c r="G27" t="n">
        <v>522</v>
      </c>
      <c r="H27" t="n">
        <v>1.465217552398334</v>
      </c>
      <c r="J27" t="n">
        <v>26</v>
      </c>
      <c r="K27">
        <f>'_pockets'!$AI$284</f>
        <v/>
      </c>
      <c r="L27">
        <f>'_pockets'!$AJ$284</f>
        <v/>
      </c>
      <c r="M27">
        <f>IF(AND($A27='Pockets'!$D$17,$B27='Pockets'!$C$17,OR('Pockets'!$E$17="All",AND('Pockets'!$E$17="Worse and material",$K27="Yes",$L27="Yes"),AND('Pockets'!$E$17="Worse or not sure",OR($K27="Yes",$K27="Not sure")))),1,0)</f>
        <v/>
      </c>
      <c r="N27">
        <f>$N26+$M27</f>
        <v/>
      </c>
      <c r="O27" t="inlineStr">
        <is>
          <t>grids</t>
        </is>
      </c>
      <c r="P27" t="inlineStr">
        <is>
          <t>outcome_loans</t>
        </is>
      </c>
    </row>
    <row r="28">
      <c r="A28" t="inlineStr">
        <is>
          <t>Two-way</t>
        </is>
      </c>
      <c r="B28" t="inlineStr">
        <is>
          <t>Bad loans</t>
        </is>
      </c>
      <c r="C28" t="n">
        <v>184</v>
      </c>
      <c r="D28" t="inlineStr">
        <is>
          <t>FICO 746 - 921</t>
        </is>
      </c>
      <c r="E28" t="inlineStr">
        <is>
          <t>ASSET_CLASS 3</t>
        </is>
      </c>
      <c r="G28" t="n">
        <v>385</v>
      </c>
      <c r="H28" t="n">
        <v>1.540357730630177</v>
      </c>
      <c r="J28" t="n">
        <v>27</v>
      </c>
      <c r="K28">
        <f>'_pockets'!$AI$184</f>
        <v/>
      </c>
      <c r="L28">
        <f>'_pockets'!$AJ$184</f>
        <v/>
      </c>
      <c r="M28">
        <f>IF(AND($A28='Pockets'!$D$17,$B28='Pockets'!$C$17,OR('Pockets'!$E$17="All",AND('Pockets'!$E$17="Worse and material",$K28="Yes",$L28="Yes"),AND('Pockets'!$E$17="Worse or not sure",OR($K28="Yes",$K28="Not sure")))),1,0)</f>
        <v/>
      </c>
      <c r="N28">
        <f>$N27+$M28</f>
        <v/>
      </c>
      <c r="O28" t="inlineStr">
        <is>
          <t>grids</t>
        </is>
      </c>
      <c r="P28" t="inlineStr">
        <is>
          <t>outcome_loans</t>
        </is>
      </c>
    </row>
    <row r="29">
      <c r="A29" t="inlineStr">
        <is>
          <t>Two-way</t>
        </is>
      </c>
      <c r="B29" t="inlineStr">
        <is>
          <t>Bad loans</t>
        </is>
      </c>
      <c r="C29" t="n">
        <v>239</v>
      </c>
      <c r="D29" t="inlineStr">
        <is>
          <t>REV_DEBT 9,837 - 13,051</t>
        </is>
      </c>
      <c r="E29" t="inlineStr">
        <is>
          <t>Branch</t>
        </is>
      </c>
      <c r="G29" t="n">
        <v>540</v>
      </c>
      <c r="H29" t="n">
        <v>1.457645016927148</v>
      </c>
      <c r="J29" t="n">
        <v>28</v>
      </c>
      <c r="K29">
        <f>'_pockets'!$AI$239</f>
        <v/>
      </c>
      <c r="L29">
        <f>'_pockets'!$AJ$239</f>
        <v/>
      </c>
      <c r="M29">
        <f>IF(AND($A29='Pockets'!$D$17,$B29='Pockets'!$C$17,OR('Pockets'!$E$17="All",AND('Pockets'!$E$17="Worse and material",$K29="Yes",$L29="Yes"),AND('Pockets'!$E$17="Worse or not sure",OR($K29="Yes",$K29="Not sure")))),1,0)</f>
        <v/>
      </c>
      <c r="N29">
        <f>$N28+$M29</f>
        <v/>
      </c>
      <c r="O29" t="inlineStr">
        <is>
          <t>grids</t>
        </is>
      </c>
      <c r="P29" t="inlineStr">
        <is>
          <t>outcome_loans</t>
        </is>
      </c>
    </row>
    <row r="30">
      <c r="A30" t="inlineStr">
        <is>
          <t>Two-way</t>
        </is>
      </c>
      <c r="B30" t="inlineStr">
        <is>
          <t>Bad loans</t>
        </is>
      </c>
      <c r="C30" t="n">
        <v>379</v>
      </c>
      <c r="D30" t="inlineStr">
        <is>
          <t>REV_DEBT 0 - 6,558</t>
        </is>
      </c>
      <c r="E30" t="inlineStr">
        <is>
          <t>ASSET_CLASS 2</t>
        </is>
      </c>
      <c r="G30" t="n">
        <v>435</v>
      </c>
      <c r="H30" t="n">
        <v>1.508617565351684</v>
      </c>
      <c r="J30" t="n">
        <v>29</v>
      </c>
      <c r="K30">
        <f>'_pockets'!$AI$379</f>
        <v/>
      </c>
      <c r="L30">
        <f>'_pockets'!$AJ$379</f>
        <v/>
      </c>
      <c r="M30">
        <f>IF(AND($A30='Pockets'!$D$17,$B30='Pockets'!$C$17,OR('Pockets'!$E$17="All",AND('Pockets'!$E$17="Worse and material",$K30="Yes",$L30="Yes"),AND('Pockets'!$E$17="Worse or not sure",OR($K30="Yes",$K30="Not sure")))),1,0)</f>
        <v/>
      </c>
      <c r="N30">
        <f>$N29+$M30</f>
        <v/>
      </c>
      <c r="O30" t="inlineStr">
        <is>
          <t>grids</t>
        </is>
      </c>
      <c r="P30" t="inlineStr">
        <is>
          <t>outcome_loans</t>
        </is>
      </c>
    </row>
    <row r="31">
      <c r="A31" t="inlineStr">
        <is>
          <t>Two-way</t>
        </is>
      </c>
      <c r="B31" t="inlineStr">
        <is>
          <t>Bad loans</t>
        </is>
      </c>
      <c r="C31" t="n">
        <v>174</v>
      </c>
      <c r="D31" t="inlineStr">
        <is>
          <t>FICO 496 - 653</t>
        </is>
      </c>
      <c r="E31" t="inlineStr">
        <is>
          <t>ASSET_CLASS 3</t>
        </is>
      </c>
      <c r="G31" t="n">
        <v>350</v>
      </c>
      <c r="H31" t="n">
        <v>1.566732582657731</v>
      </c>
      <c r="J31" t="n">
        <v>30</v>
      </c>
      <c r="K31">
        <f>'_pockets'!$AI$174</f>
        <v/>
      </c>
      <c r="L31">
        <f>'_pockets'!$AJ$174</f>
        <v/>
      </c>
      <c r="M31">
        <f>IF(AND($A31='Pockets'!$D$17,$B31='Pockets'!$C$17,OR('Pockets'!$E$17="All",AND('Pockets'!$E$17="Worse and material",$K31="Yes",$L31="Yes"),AND('Pockets'!$E$17="Worse or not sure",OR($K31="Yes",$K31="Not sure")))),1,0)</f>
        <v/>
      </c>
      <c r="N31">
        <f>$N30+$M31</f>
        <v/>
      </c>
      <c r="O31" t="inlineStr">
        <is>
          <t>grids</t>
        </is>
      </c>
      <c r="P31" t="inlineStr">
        <is>
          <t>outcome_loans</t>
        </is>
      </c>
    </row>
    <row r="32">
      <c r="A32" t="inlineStr">
        <is>
          <t>Two-way</t>
        </is>
      </c>
      <c r="B32" t="inlineStr">
        <is>
          <t>Bad loans</t>
        </is>
      </c>
      <c r="C32" t="n">
        <v>164</v>
      </c>
      <c r="D32" t="inlineStr">
        <is>
          <t>FICO 746 - 921</t>
        </is>
      </c>
      <c r="E32" t="inlineStr">
        <is>
          <t>ASSET_CLASS 4</t>
        </is>
      </c>
      <c r="G32" t="n">
        <v>373</v>
      </c>
      <c r="H32" t="n">
        <v>1.548960422417389</v>
      </c>
      <c r="J32" t="n">
        <v>31</v>
      </c>
      <c r="K32">
        <f>'_pockets'!$AI$164</f>
        <v/>
      </c>
      <c r="L32">
        <f>'_pockets'!$AJ$164</f>
        <v/>
      </c>
      <c r="M32">
        <f>IF(AND($A32='Pockets'!$D$17,$B32='Pockets'!$C$17,OR('Pockets'!$E$17="All",AND('Pockets'!$E$17="Worse and material",$K32="Yes",$L32="Yes"),AND('Pockets'!$E$17="Worse or not sure",OR($K32="Yes",$K32="Not sure")))),1,0)</f>
        <v/>
      </c>
      <c r="N32">
        <f>$N31+$M32</f>
        <v/>
      </c>
      <c r="O32" t="inlineStr">
        <is>
          <t>grids</t>
        </is>
      </c>
      <c r="P32" t="inlineStr">
        <is>
          <t>outcome_loans</t>
        </is>
      </c>
    </row>
    <row r="33">
      <c r="A33" t="inlineStr">
        <is>
          <t>Two-way</t>
        </is>
      </c>
      <c r="B33" t="inlineStr">
        <is>
          <t>Bad loans</t>
        </is>
      </c>
      <c r="C33" t="n">
        <v>129</v>
      </c>
      <c r="D33" t="inlineStr">
        <is>
          <t>FICO 746 - 921</t>
        </is>
      </c>
      <c r="E33" t="inlineStr">
        <is>
          <t>ASSET_CLASS 2</t>
        </is>
      </c>
      <c r="G33" t="n">
        <v>399</v>
      </c>
      <c r="H33" t="n">
        <v>1.530840329248716</v>
      </c>
      <c r="J33" t="n">
        <v>32</v>
      </c>
      <c r="K33">
        <f>'_pockets'!$AI$129</f>
        <v/>
      </c>
      <c r="L33">
        <f>'_pockets'!$AJ$129</f>
        <v/>
      </c>
      <c r="M33">
        <f>IF(AND($A33='Pockets'!$D$17,$B33='Pockets'!$C$17,OR('Pockets'!$E$17="All",AND('Pockets'!$E$17="Worse and material",$K33="Yes",$L33="Yes"),AND('Pockets'!$E$17="Worse or not sure",OR($K33="Yes",$K33="Not sure")))),1,0)</f>
        <v/>
      </c>
      <c r="N33">
        <f>$N32+$M33</f>
        <v/>
      </c>
      <c r="O33" t="inlineStr">
        <is>
          <t>grids</t>
        </is>
      </c>
      <c r="P33" t="inlineStr">
        <is>
          <t>outcome_loans</t>
        </is>
      </c>
    </row>
    <row r="34">
      <c r="A34" t="inlineStr">
        <is>
          <t>Two-way</t>
        </is>
      </c>
      <c r="B34" t="inlineStr">
        <is>
          <t>Bad loans</t>
        </is>
      </c>
      <c r="C34" t="n">
        <v>389</v>
      </c>
      <c r="D34" t="inlineStr">
        <is>
          <t>REV_DEBT 17,187 - 48,521</t>
        </is>
      </c>
      <c r="E34" t="inlineStr">
        <is>
          <t>ASSET_CLASS 1</t>
        </is>
      </c>
      <c r="G34" t="n">
        <v>411</v>
      </c>
      <c r="H34" t="n">
        <v>1.523092120409747</v>
      </c>
      <c r="J34" t="n">
        <v>33</v>
      </c>
      <c r="K34">
        <f>'_pockets'!$AI$389</f>
        <v/>
      </c>
      <c r="L34">
        <f>'_pockets'!$AJ$389</f>
        <v/>
      </c>
      <c r="M34">
        <f>IF(AND($A34='Pockets'!$D$17,$B34='Pockets'!$C$17,OR('Pockets'!$E$17="All",AND('Pockets'!$E$17="Worse and material",$K34="Yes",$L34="Yes"),AND('Pockets'!$E$17="Worse or not sure",OR($K34="Yes",$K34="Not sure")))),1,0)</f>
        <v/>
      </c>
      <c r="N34">
        <f>$N33+$M34</f>
        <v/>
      </c>
      <c r="O34" t="inlineStr">
        <is>
          <t>grids</t>
        </is>
      </c>
      <c r="P34" t="inlineStr">
        <is>
          <t>outcome_loans</t>
        </is>
      </c>
    </row>
    <row r="35">
      <c r="A35" t="inlineStr">
        <is>
          <t>Two-way</t>
        </is>
      </c>
      <c r="B35" t="inlineStr">
        <is>
          <t>Bad loans</t>
        </is>
      </c>
      <c r="C35" t="n">
        <v>359</v>
      </c>
      <c r="D35" t="inlineStr">
        <is>
          <t>REV_DEBT 17,187 - 48,521</t>
        </is>
      </c>
      <c r="E35" t="inlineStr">
        <is>
          <t>ASSET_CLASS 3</t>
        </is>
      </c>
      <c r="G35" t="n">
        <v>380</v>
      </c>
      <c r="H35" t="n">
        <v>1.543890147834931</v>
      </c>
      <c r="J35" t="n">
        <v>34</v>
      </c>
      <c r="K35">
        <f>'_pockets'!$AI$359</f>
        <v/>
      </c>
      <c r="L35">
        <f>'_pockets'!$AJ$359</f>
        <v/>
      </c>
      <c r="M35">
        <f>IF(AND($A35='Pockets'!$D$17,$B35='Pockets'!$C$17,OR('Pockets'!$E$17="All",AND('Pockets'!$E$17="Worse and material",$K35="Yes",$L35="Yes"),AND('Pockets'!$E$17="Worse or not sure",OR($K35="Yes",$K35="Not sure")))),1,0)</f>
        <v/>
      </c>
      <c r="N35">
        <f>$N34+$M35</f>
        <v/>
      </c>
      <c r="O35" t="inlineStr">
        <is>
          <t>grids</t>
        </is>
      </c>
      <c r="P35" t="inlineStr">
        <is>
          <t>outcome_loans</t>
        </is>
      </c>
    </row>
    <row r="36">
      <c r="A36" t="inlineStr">
        <is>
          <t>Two-way</t>
        </is>
      </c>
      <c r="B36" t="inlineStr">
        <is>
          <t>Bad loans</t>
        </is>
      </c>
      <c r="C36" t="n">
        <v>294</v>
      </c>
      <c r="D36" t="inlineStr">
        <is>
          <t>REV_DEBT 17,187 - 48,521</t>
        </is>
      </c>
      <c r="E36" t="inlineStr">
        <is>
          <t>Online</t>
        </is>
      </c>
      <c r="G36" t="n">
        <v>568</v>
      </c>
      <c r="H36" t="n">
        <v>1.446630091365176</v>
      </c>
      <c r="J36" t="n">
        <v>35</v>
      </c>
      <c r="K36">
        <f>'_pockets'!$AI$294</f>
        <v/>
      </c>
      <c r="L36">
        <f>'_pockets'!$AJ$294</f>
        <v/>
      </c>
      <c r="M36">
        <f>IF(AND($A36='Pockets'!$D$17,$B36='Pockets'!$C$17,OR('Pockets'!$E$17="All",AND('Pockets'!$E$17="Worse and material",$K36="Yes",$L36="Yes"),AND('Pockets'!$E$17="Worse or not sure",OR($K36="Yes",$K36="Not sure")))),1,0)</f>
        <v/>
      </c>
      <c r="N36">
        <f>$N35+$M36</f>
        <v/>
      </c>
      <c r="O36" t="inlineStr">
        <is>
          <t>grids</t>
        </is>
      </c>
      <c r="P36" t="inlineStr">
        <is>
          <t>outcome_loans</t>
        </is>
      </c>
    </row>
    <row r="37">
      <c r="A37" t="inlineStr">
        <is>
          <t>Two-way</t>
        </is>
      </c>
      <c r="B37" t="inlineStr">
        <is>
          <t>Bad loans</t>
        </is>
      </c>
      <c r="C37" t="n">
        <v>134</v>
      </c>
      <c r="D37" t="inlineStr">
        <is>
          <t>FICO 496 - 653</t>
        </is>
      </c>
      <c r="E37" t="inlineStr">
        <is>
          <t>ASSET_CLASS 1</t>
        </is>
      </c>
      <c r="G37" t="n">
        <v>420</v>
      </c>
      <c r="H37" t="n">
        <v>1.517511317901789</v>
      </c>
      <c r="J37" t="n">
        <v>36</v>
      </c>
      <c r="K37">
        <f>'_pockets'!$AI$134</f>
        <v/>
      </c>
      <c r="L37">
        <f>'_pockets'!$AJ$134</f>
        <v/>
      </c>
      <c r="M37">
        <f>IF(AND($A37='Pockets'!$D$17,$B37='Pockets'!$C$17,OR('Pockets'!$E$17="All",AND('Pockets'!$E$17="Worse and material",$K37="Yes",$L37="Yes"),AND('Pockets'!$E$17="Worse or not sure",OR($K37="Yes",$K37="Not sure")))),1,0)</f>
        <v/>
      </c>
      <c r="N37">
        <f>$N36+$M37</f>
        <v/>
      </c>
      <c r="O37" t="inlineStr">
        <is>
          <t>grids</t>
        </is>
      </c>
      <c r="P37" t="inlineStr">
        <is>
          <t>outcome_loans</t>
        </is>
      </c>
    </row>
    <row r="38">
      <c r="A38" t="inlineStr">
        <is>
          <t>Two-way</t>
        </is>
      </c>
      <c r="B38" t="inlineStr">
        <is>
          <t>Bad loans</t>
        </is>
      </c>
      <c r="C38" t="n">
        <v>279</v>
      </c>
      <c r="D38" t="inlineStr">
        <is>
          <t>REV_DEBT 17,187 - 48,521</t>
        </is>
      </c>
      <c r="E38" t="inlineStr">
        <is>
          <t>Branch</t>
        </is>
      </c>
      <c r="G38" t="n">
        <v>525</v>
      </c>
      <c r="H38" t="n">
        <v>1.463926893377382</v>
      </c>
      <c r="J38" t="n">
        <v>37</v>
      </c>
      <c r="K38">
        <f>'_pockets'!$AI$279</f>
        <v/>
      </c>
      <c r="L38">
        <f>'_pockets'!$AJ$279</f>
        <v/>
      </c>
      <c r="M38">
        <f>IF(AND($A38='Pockets'!$D$17,$B38='Pockets'!$C$17,OR('Pockets'!$E$17="All",AND('Pockets'!$E$17="Worse and material",$K38="Yes",$L38="Yes"),AND('Pockets'!$E$17="Worse or not sure",OR($K38="Yes",$K38="Not sure")))),1,0)</f>
        <v/>
      </c>
      <c r="N38">
        <f>$N37+$M38</f>
        <v/>
      </c>
      <c r="O38" t="inlineStr">
        <is>
          <t>grids</t>
        </is>
      </c>
      <c r="P38" t="inlineStr">
        <is>
          <t>outcome_loans</t>
        </is>
      </c>
    </row>
    <row r="39">
      <c r="A39" t="inlineStr">
        <is>
          <t>Two-way</t>
        </is>
      </c>
      <c r="B39" t="inlineStr">
        <is>
          <t>Bad loans</t>
        </is>
      </c>
      <c r="C39" t="n">
        <v>79</v>
      </c>
      <c r="D39" t="inlineStr">
        <is>
          <t>FICO 496 - 653</t>
        </is>
      </c>
      <c r="E39" t="inlineStr">
        <is>
          <t>Online</t>
        </is>
      </c>
      <c r="G39" t="n">
        <v>531</v>
      </c>
      <c r="H39" t="n">
        <v>1.461380354433167</v>
      </c>
      <c r="J39" t="n">
        <v>38</v>
      </c>
      <c r="K39">
        <f>'_pockets'!$AI$79</f>
        <v/>
      </c>
      <c r="L39">
        <f>'_pockets'!$AJ$79</f>
        <v/>
      </c>
      <c r="M39">
        <f>IF(AND($A39='Pockets'!$D$17,$B39='Pockets'!$C$17,OR('Pockets'!$E$17="All",AND('Pockets'!$E$17="Worse and material",$K39="Yes",$L39="Yes"),AND('Pockets'!$E$17="Worse or not sure",OR($K39="Yes",$K39="Not sure")))),1,0)</f>
        <v/>
      </c>
      <c r="N39">
        <f>$N38+$M39</f>
        <v/>
      </c>
      <c r="O39" t="inlineStr">
        <is>
          <t>grids</t>
        </is>
      </c>
      <c r="P39" t="inlineStr">
        <is>
          <t>outcome_loans</t>
        </is>
      </c>
    </row>
    <row r="40">
      <c r="A40" t="inlineStr">
        <is>
          <t>Two-way</t>
        </is>
      </c>
      <c r="B40" t="inlineStr">
        <is>
          <t>Bad loans</t>
        </is>
      </c>
      <c r="C40" t="n">
        <v>119</v>
      </c>
      <c r="D40" t="inlineStr">
        <is>
          <t>FICO 496 - 653</t>
        </is>
      </c>
      <c r="E40" t="inlineStr">
        <is>
          <t>ASSET_CLASS 2</t>
        </is>
      </c>
      <c r="G40" t="n">
        <v>393</v>
      </c>
      <c r="H40" t="n">
        <v>1.534853746149558</v>
      </c>
      <c r="J40" t="n">
        <v>39</v>
      </c>
      <c r="K40">
        <f>'_pockets'!$AI$119</f>
        <v/>
      </c>
      <c r="L40">
        <f>'_pockets'!$AJ$119</f>
        <v/>
      </c>
      <c r="M40">
        <f>IF(AND($A40='Pockets'!$D$17,$B40='Pockets'!$C$17,OR('Pockets'!$E$17="All",AND('Pockets'!$E$17="Worse and material",$K40="Yes",$L40="Yes"),AND('Pockets'!$E$17="Worse or not sure",OR($K40="Yes",$K40="Not sure")))),1,0)</f>
        <v/>
      </c>
      <c r="N40">
        <f>$N39+$M40</f>
        <v/>
      </c>
      <c r="O40" t="inlineStr">
        <is>
          <t>grids</t>
        </is>
      </c>
      <c r="P40" t="inlineStr">
        <is>
          <t>outcome_loans</t>
        </is>
      </c>
    </row>
    <row r="41">
      <c r="A41" t="inlineStr">
        <is>
          <t>Two-way</t>
        </is>
      </c>
      <c r="B41" t="inlineStr">
        <is>
          <t>Bad loans</t>
        </is>
      </c>
      <c r="C41" t="n">
        <v>384</v>
      </c>
      <c r="D41" t="inlineStr">
        <is>
          <t>REV_DEBT 17,187 - 48,521</t>
        </is>
      </c>
      <c r="E41" t="inlineStr">
        <is>
          <t>ASSET_CLASS 2</t>
        </is>
      </c>
      <c r="G41" t="n">
        <v>385</v>
      </c>
      <c r="H41" t="n">
        <v>1.540357730630177</v>
      </c>
      <c r="J41" t="n">
        <v>40</v>
      </c>
      <c r="K41">
        <f>'_pockets'!$AI$384</f>
        <v/>
      </c>
      <c r="L41">
        <f>'_pockets'!$AJ$384</f>
        <v/>
      </c>
      <c r="M41">
        <f>IF(AND($A41='Pockets'!$D$17,$B41='Pockets'!$C$17,OR('Pockets'!$E$17="All",AND('Pockets'!$E$17="Worse and material",$K41="Yes",$L41="Yes"),AND('Pockets'!$E$17="Worse or not sure",OR($K41="Yes",$K41="Not sure")))),1,0)</f>
        <v/>
      </c>
      <c r="N41">
        <f>$N40+$M41</f>
        <v/>
      </c>
      <c r="O41" t="inlineStr">
        <is>
          <t>grids</t>
        </is>
      </c>
      <c r="P41" t="inlineStr">
        <is>
          <t>outcome_loans</t>
        </is>
      </c>
    </row>
    <row r="42">
      <c r="A42" t="inlineStr">
        <is>
          <t>Two-way</t>
        </is>
      </c>
      <c r="B42" t="inlineStr">
        <is>
          <t>Bad loans</t>
        </is>
      </c>
      <c r="C42" t="n">
        <v>19</v>
      </c>
      <c r="D42" t="inlineStr">
        <is>
          <t>FICO 496 - 653</t>
        </is>
      </c>
      <c r="E42" t="inlineStr">
        <is>
          <t>Branch</t>
        </is>
      </c>
      <c r="G42" t="n">
        <v>501</v>
      </c>
      <c r="H42" t="n">
        <v>1.474593245223238</v>
      </c>
      <c r="J42" t="n">
        <v>41</v>
      </c>
      <c r="K42">
        <f>'_pockets'!$AI$19</f>
        <v/>
      </c>
      <c r="L42">
        <f>'_pockets'!$AJ$19</f>
        <v/>
      </c>
      <c r="M42">
        <f>IF(AND($A42='Pockets'!$D$17,$B42='Pockets'!$C$17,OR('Pockets'!$E$17="All",AND('Pockets'!$E$17="Worse and material",$K42="Yes",$L42="Yes"),AND('Pockets'!$E$17="Worse or not sure",OR($K42="Yes",$K42="Not sure")))),1,0)</f>
        <v/>
      </c>
      <c r="N42">
        <f>$N41+$M42</f>
        <v/>
      </c>
      <c r="O42" t="inlineStr">
        <is>
          <t>grids</t>
        </is>
      </c>
      <c r="P42" t="inlineStr">
        <is>
          <t>outcome_loans</t>
        </is>
      </c>
    </row>
    <row r="43">
      <c r="A43" t="inlineStr">
        <is>
          <t>Two-way</t>
        </is>
      </c>
      <c r="B43" t="inlineStr">
        <is>
          <t>Bad loans</t>
        </is>
      </c>
      <c r="C43" t="n">
        <v>69</v>
      </c>
      <c r="D43" t="inlineStr">
        <is>
          <t>FICO 654 - 685</t>
        </is>
      </c>
      <c r="E43" t="inlineStr">
        <is>
          <t>Online</t>
        </is>
      </c>
      <c r="G43" t="n">
        <v>505</v>
      </c>
      <c r="H43" t="n">
        <v>1.472759830638605</v>
      </c>
      <c r="J43" t="n">
        <v>42</v>
      </c>
      <c r="K43">
        <f>'_pockets'!$AI$69</f>
        <v/>
      </c>
      <c r="L43">
        <f>'_pockets'!$AJ$69</f>
        <v/>
      </c>
      <c r="M43">
        <f>IF(AND($A43='Pockets'!$D$17,$B43='Pockets'!$C$17,OR('Pockets'!$E$17="All",AND('Pockets'!$E$17="Worse and material",$K43="Yes",$L43="Yes"),AND('Pockets'!$E$17="Worse or not sure",OR($K43="Yes",$K43="Not sure")))),1,0)</f>
        <v/>
      </c>
      <c r="N43">
        <f>$N42+$M43</f>
        <v/>
      </c>
      <c r="O43" t="inlineStr">
        <is>
          <t>grids</t>
        </is>
      </c>
      <c r="P43" t="inlineStr">
        <is>
          <t>outcome_loans</t>
        </is>
      </c>
    </row>
    <row r="44">
      <c r="A44" t="inlineStr">
        <is>
          <t>Two-way</t>
        </is>
      </c>
      <c r="B44" t="inlineStr">
        <is>
          <t>Bad loans</t>
        </is>
      </c>
      <c r="C44" t="n">
        <v>74</v>
      </c>
      <c r="D44" t="inlineStr">
        <is>
          <t>FICO 654 - 685</t>
        </is>
      </c>
      <c r="E44" t="inlineStr">
        <is>
          <t>Broker</t>
        </is>
      </c>
      <c r="G44" t="n">
        <v>531</v>
      </c>
      <c r="H44" t="n">
        <v>1.461380354433167</v>
      </c>
      <c r="J44" t="n">
        <v>43</v>
      </c>
      <c r="K44">
        <f>'_pockets'!$AI$74</f>
        <v/>
      </c>
      <c r="L44">
        <f>'_pockets'!$AJ$74</f>
        <v/>
      </c>
      <c r="M44">
        <f>IF(AND($A44='Pockets'!$D$17,$B44='Pockets'!$C$17,OR('Pockets'!$E$17="All",AND('Pockets'!$E$17="Worse and material",$K44="Yes",$L44="Yes"),AND('Pockets'!$E$17="Worse or not sure",OR($K44="Yes",$K44="Not sure")))),1,0)</f>
        <v/>
      </c>
      <c r="N44">
        <f>$N43+$M44</f>
        <v/>
      </c>
      <c r="O44" t="inlineStr">
        <is>
          <t>grids</t>
        </is>
      </c>
      <c r="P44" t="inlineStr">
        <is>
          <t>outcome_loans</t>
        </is>
      </c>
    </row>
    <row r="45">
      <c r="A45" t="inlineStr">
        <is>
          <t>Two-way</t>
        </is>
      </c>
      <c r="B45" t="inlineStr">
        <is>
          <t>Bad loans</t>
        </is>
      </c>
      <c r="C45" t="n">
        <v>179</v>
      </c>
      <c r="D45" t="inlineStr">
        <is>
          <t>FICO 654 - 685</t>
        </is>
      </c>
      <c r="E45" t="inlineStr">
        <is>
          <t>ASSET_CLASS 3</t>
        </is>
      </c>
      <c r="G45" t="n">
        <v>377</v>
      </c>
      <c r="H45" t="n">
        <v>1.546044958168855</v>
      </c>
      <c r="J45" t="n">
        <v>44</v>
      </c>
      <c r="K45">
        <f>'_pockets'!$AI$179</f>
        <v/>
      </c>
      <c r="L45">
        <f>'_pockets'!$AJ$179</f>
        <v/>
      </c>
      <c r="M45">
        <f>IF(AND($A45='Pockets'!$D$17,$B45='Pockets'!$C$17,OR('Pockets'!$E$17="All",AND('Pockets'!$E$17="Worse and material",$K45="Yes",$L45="Yes"),AND('Pockets'!$E$17="Worse or not sure",OR($K45="Yes",$K45="Not sure")))),1,0)</f>
        <v/>
      </c>
      <c r="N45">
        <f>$N44+$M45</f>
        <v/>
      </c>
      <c r="O45" t="inlineStr">
        <is>
          <t>grids</t>
        </is>
      </c>
      <c r="P45" t="inlineStr">
        <is>
          <t>outcome_loans</t>
        </is>
      </c>
    </row>
    <row r="46">
      <c r="A46" t="inlineStr">
        <is>
          <t>Two-way</t>
        </is>
      </c>
      <c r="B46" t="inlineStr">
        <is>
          <t>Bad loans</t>
        </is>
      </c>
      <c r="C46" t="n">
        <v>344</v>
      </c>
      <c r="D46" t="inlineStr">
        <is>
          <t>REV_DEBT 13,052 - 17,186</t>
        </is>
      </c>
      <c r="E46" t="inlineStr">
        <is>
          <t>ASSET_CLASS 2</t>
        </is>
      </c>
      <c r="G46" t="n">
        <v>392</v>
      </c>
      <c r="H46" t="n">
        <v>1.535532051077121</v>
      </c>
      <c r="J46" t="n">
        <v>45</v>
      </c>
      <c r="K46">
        <f>'_pockets'!$AI$344</f>
        <v/>
      </c>
      <c r="L46">
        <f>'_pockets'!$AJ$344</f>
        <v/>
      </c>
      <c r="M46">
        <f>IF(AND($A46='Pockets'!$D$17,$B46='Pockets'!$C$17,OR('Pockets'!$E$17="All",AND('Pockets'!$E$17="Worse and material",$K46="Yes",$L46="Yes"),AND('Pockets'!$E$17="Worse or not sure",OR($K46="Yes",$K46="Not sure")))),1,0)</f>
        <v/>
      </c>
      <c r="N46">
        <f>$N45+$M46</f>
        <v/>
      </c>
      <c r="O46" t="inlineStr">
        <is>
          <t>grids</t>
        </is>
      </c>
      <c r="P46" t="inlineStr">
        <is>
          <t>outcome_loans</t>
        </is>
      </c>
    </row>
    <row r="47">
      <c r="A47" t="inlineStr">
        <is>
          <t>Two-way</t>
        </is>
      </c>
      <c r="B47" t="inlineStr">
        <is>
          <t>Bad loans</t>
        </is>
      </c>
      <c r="C47" t="n">
        <v>369</v>
      </c>
      <c r="D47" t="inlineStr">
        <is>
          <t>REV_DEBT 13,052 - 17,186</t>
        </is>
      </c>
      <c r="E47" t="inlineStr">
        <is>
          <t>ASSET_CLASS 3</t>
        </is>
      </c>
      <c r="G47" t="n">
        <v>373</v>
      </c>
      <c r="H47" t="n">
        <v>1.548960422417389</v>
      </c>
      <c r="J47" t="n">
        <v>46</v>
      </c>
      <c r="K47">
        <f>'_pockets'!$AI$369</f>
        <v/>
      </c>
      <c r="L47">
        <f>'_pockets'!$AJ$369</f>
        <v/>
      </c>
      <c r="M47">
        <f>IF(AND($A47='Pockets'!$D$17,$B47='Pockets'!$C$17,OR('Pockets'!$E$17="All",AND('Pockets'!$E$17="Worse and material",$K47="Yes",$L47="Yes"),AND('Pockets'!$E$17="Worse or not sure",OR($K47="Yes",$K47="Not sure")))),1,0)</f>
        <v/>
      </c>
      <c r="N47">
        <f>$N46+$M47</f>
        <v/>
      </c>
      <c r="O47" t="inlineStr">
        <is>
          <t>grids</t>
        </is>
      </c>
      <c r="P47" t="inlineStr">
        <is>
          <t>outcome_loans</t>
        </is>
      </c>
    </row>
    <row r="48">
      <c r="A48" t="inlineStr">
        <is>
          <t>Two-way</t>
        </is>
      </c>
      <c r="B48" t="inlineStr">
        <is>
          <t>Bad loans</t>
        </is>
      </c>
      <c r="C48" t="n">
        <v>299</v>
      </c>
      <c r="D48" t="inlineStr">
        <is>
          <t>REV_DEBT 13,052 - 17,186</t>
        </is>
      </c>
      <c r="E48" t="inlineStr">
        <is>
          <t>ASSET_CLASS 1</t>
        </is>
      </c>
      <c r="G48" t="n">
        <v>424</v>
      </c>
      <c r="H48" t="n">
        <v>1.515091138534566</v>
      </c>
      <c r="J48" t="n">
        <v>47</v>
      </c>
      <c r="K48">
        <f>'_pockets'!$AI$299</f>
        <v/>
      </c>
      <c r="L48">
        <f>'_pockets'!$AJ$299</f>
        <v/>
      </c>
      <c r="M48">
        <f>IF(AND($A48='Pockets'!$D$17,$B48='Pockets'!$C$17,OR('Pockets'!$E$17="All",AND('Pockets'!$E$17="Worse and material",$K48="Yes",$L48="Yes"),AND('Pockets'!$E$17="Worse or not sure",OR($K48="Yes",$K48="Not sure")))),1,0)</f>
        <v/>
      </c>
      <c r="N48">
        <f>$N47+$M48</f>
        <v/>
      </c>
      <c r="O48" t="inlineStr">
        <is>
          <t>grids</t>
        </is>
      </c>
      <c r="P48" t="inlineStr">
        <is>
          <t>outcome_loans</t>
        </is>
      </c>
    </row>
    <row r="49">
      <c r="A49" t="inlineStr">
        <is>
          <t>Two-way</t>
        </is>
      </c>
      <c r="B49" t="inlineStr">
        <is>
          <t>Bad dollars</t>
        </is>
      </c>
      <c r="C49" t="n">
        <v>30</v>
      </c>
      <c r="D49" t="inlineStr">
        <is>
          <t>FICO 496 - 653</t>
        </is>
      </c>
      <c r="E49" t="inlineStr">
        <is>
          <t>Broker</t>
        </is>
      </c>
      <c r="G49" t="n">
        <v>523</v>
      </c>
      <c r="H49" t="n">
        <v>1.507862277408946</v>
      </c>
      <c r="J49" t="n">
        <v>1</v>
      </c>
      <c r="K49">
        <f>'_pockets'!$AI$30</f>
        <v/>
      </c>
      <c r="L49">
        <f>'_pockets'!$AJ$30</f>
        <v/>
      </c>
      <c r="M49">
        <f>IF(AND($A49='Pockets'!$D$17,$B49='Pockets'!$C$17,OR('Pockets'!$E$17="All",AND('Pockets'!$E$17="Worse and material",$K49="Yes",$L49="Yes"),AND('Pockets'!$E$17="Worse or not sure",OR($K49="Yes",$K49="Not sure")))),1,0)</f>
        <v/>
      </c>
      <c r="N49">
        <f>$N48+$M49</f>
        <v/>
      </c>
      <c r="O49" t="inlineStr">
        <is>
          <t>grids</t>
        </is>
      </c>
      <c r="P49" t="inlineStr">
        <is>
          <t>outcome_booked</t>
        </is>
      </c>
    </row>
    <row r="50">
      <c r="A50" t="inlineStr">
        <is>
          <t>Two-way</t>
        </is>
      </c>
      <c r="B50" t="inlineStr">
        <is>
          <t>Bad dollars</t>
        </is>
      </c>
      <c r="C50" t="n">
        <v>275</v>
      </c>
      <c r="D50" t="inlineStr">
        <is>
          <t>REV_DEBT 17,187 - 48,521</t>
        </is>
      </c>
      <c r="E50" t="inlineStr">
        <is>
          <t>Broker</t>
        </is>
      </c>
      <c r="G50" t="n">
        <v>507</v>
      </c>
      <c r="H50" t="n">
        <v>1.516311901851988</v>
      </c>
      <c r="J50" t="n">
        <v>2</v>
      </c>
      <c r="K50">
        <f>'_pockets'!$AI$275</f>
        <v/>
      </c>
      <c r="L50">
        <f>'_pockets'!$AJ$275</f>
        <v/>
      </c>
      <c r="M50">
        <f>IF(AND($A50='Pockets'!$D$17,$B50='Pockets'!$C$17,OR('Pockets'!$E$17="All",AND('Pockets'!$E$17="Worse and material",$K50="Yes",$L50="Yes"),AND('Pockets'!$E$17="Worse or not sure",OR($K50="Yes",$K50="Not sure")))),1,0)</f>
        <v/>
      </c>
      <c r="N50">
        <f>$N49+$M50</f>
        <v/>
      </c>
      <c r="O50" t="inlineStr">
        <is>
          <t>grids</t>
        </is>
      </c>
      <c r="P50" t="inlineStr">
        <is>
          <t>outcome_booked</t>
        </is>
      </c>
    </row>
    <row r="51">
      <c r="A51" t="inlineStr">
        <is>
          <t>Two-way</t>
        </is>
      </c>
      <c r="B51" t="inlineStr">
        <is>
          <t>Bad dollars</t>
        </is>
      </c>
      <c r="C51" t="n">
        <v>150</v>
      </c>
      <c r="D51" t="inlineStr">
        <is>
          <t>FICO 496 - 653</t>
        </is>
      </c>
      <c r="E51" t="inlineStr">
        <is>
          <t>ASSET_CLASS 4</t>
        </is>
      </c>
      <c r="G51" t="n">
        <v>392</v>
      </c>
      <c r="H51" t="n">
        <v>1.592202791842569</v>
      </c>
      <c r="J51" t="n">
        <v>3</v>
      </c>
      <c r="K51">
        <f>'_pockets'!$AI$150</f>
        <v/>
      </c>
      <c r="L51">
        <f>'_pockets'!$AJ$150</f>
        <v/>
      </c>
      <c r="M51">
        <f>IF(AND($A51='Pockets'!$D$17,$B51='Pockets'!$C$17,OR('Pockets'!$E$17="All",AND('Pockets'!$E$17="Worse and material",$K51="Yes",$L51="Yes"),AND('Pockets'!$E$17="Worse or not sure",OR($K51="Yes",$K51="Not sure")))),1,0)</f>
        <v/>
      </c>
      <c r="N51">
        <f>$N50+$M51</f>
        <v/>
      </c>
      <c r="O51" t="inlineStr">
        <is>
          <t>grids</t>
        </is>
      </c>
      <c r="P51" t="inlineStr">
        <is>
          <t>outcome_booked</t>
        </is>
      </c>
    </row>
    <row r="52">
      <c r="A52" t="inlineStr">
        <is>
          <t>Two-way</t>
        </is>
      </c>
      <c r="B52" t="inlineStr">
        <is>
          <t>Bad dollars</t>
        </is>
      </c>
      <c r="C52" t="n">
        <v>355</v>
      </c>
      <c r="D52" t="inlineStr">
        <is>
          <t>REV_DEBT 17,187 - 48,521</t>
        </is>
      </c>
      <c r="E52" t="inlineStr">
        <is>
          <t>ASSET_CLASS 4</t>
        </is>
      </c>
      <c r="G52" t="n">
        <v>424</v>
      </c>
      <c r="H52" t="n">
        <v>1.567883048228115</v>
      </c>
      <c r="J52" t="n">
        <v>4</v>
      </c>
      <c r="K52">
        <f>'_pockets'!$AI$355</f>
        <v/>
      </c>
      <c r="L52">
        <f>'_pockets'!$AJ$355</f>
        <v/>
      </c>
      <c r="M52">
        <f>IF(AND($A52='Pockets'!$D$17,$B52='Pockets'!$C$17,OR('Pockets'!$E$17="All",AND('Pockets'!$E$17="Worse and material",$K52="Yes",$L52="Yes"),AND('Pockets'!$E$17="Worse or not sure",OR($K52="Yes",$K52="Not sure")))),1,0)</f>
        <v/>
      </c>
      <c r="N52">
        <f>$N51+$M52</f>
        <v/>
      </c>
      <c r="O52" t="inlineStr">
        <is>
          <t>grids</t>
        </is>
      </c>
      <c r="P52" t="inlineStr">
        <is>
          <t>outcome_booked</t>
        </is>
      </c>
    </row>
    <row r="53">
      <c r="A53" t="inlineStr">
        <is>
          <t>Two-way</t>
        </is>
      </c>
      <c r="B53" t="inlineStr">
        <is>
          <t>Bad dollars</t>
        </is>
      </c>
      <c r="C53" t="n">
        <v>40</v>
      </c>
      <c r="D53" t="inlineStr">
        <is>
          <t>FICO 712 - 745</t>
        </is>
      </c>
      <c r="E53" t="inlineStr">
        <is>
          <t>Online</t>
        </is>
      </c>
      <c r="G53" t="n">
        <v>564</v>
      </c>
      <c r="H53" t="n">
        <v>1.487935097568543</v>
      </c>
      <c r="J53" t="n">
        <v>5</v>
      </c>
      <c r="K53">
        <f>'_pockets'!$AI$40</f>
        <v/>
      </c>
      <c r="L53">
        <f>'_pockets'!$AJ$40</f>
        <v/>
      </c>
      <c r="M53">
        <f>IF(AND($A53='Pockets'!$D$17,$B53='Pockets'!$C$17,OR('Pockets'!$E$17="All",AND('Pockets'!$E$17="Worse and material",$K53="Yes",$L53="Yes"),AND('Pockets'!$E$17="Worse or not sure",OR($K53="Yes",$K53="Not sure")))),1,0)</f>
        <v/>
      </c>
      <c r="N53">
        <f>$N52+$M53</f>
        <v/>
      </c>
      <c r="O53" t="inlineStr">
        <is>
          <t>grids</t>
        </is>
      </c>
      <c r="P53" t="inlineStr">
        <is>
          <t>outcome_booked</t>
        </is>
      </c>
    </row>
    <row r="54">
      <c r="A54" t="inlineStr">
        <is>
          <t>Two-way</t>
        </is>
      </c>
      <c r="B54" t="inlineStr">
        <is>
          <t>Bad dollars</t>
        </is>
      </c>
      <c r="C54" t="n">
        <v>340</v>
      </c>
      <c r="D54" t="inlineStr">
        <is>
          <t>REV_DEBT 13,052 - 17,186</t>
        </is>
      </c>
      <c r="E54" t="inlineStr">
        <is>
          <t>ASSET_CLASS 4</t>
        </is>
      </c>
      <c r="G54" t="n">
        <v>411</v>
      </c>
      <c r="H54" t="n">
        <v>1.577405812992053</v>
      </c>
      <c r="J54" t="n">
        <v>6</v>
      </c>
      <c r="K54">
        <f>'_pockets'!$AI$340</f>
        <v/>
      </c>
      <c r="L54">
        <f>'_pockets'!$AJ$340</f>
        <v/>
      </c>
      <c r="M54">
        <f>IF(AND($A54='Pockets'!$D$17,$B54='Pockets'!$C$17,OR('Pockets'!$E$17="All",AND('Pockets'!$E$17="Worse and material",$K54="Yes",$L54="Yes"),AND('Pockets'!$E$17="Worse or not sure",OR($K54="Yes",$K54="Not sure")))),1,0)</f>
        <v/>
      </c>
      <c r="N54">
        <f>$N53+$M54</f>
        <v/>
      </c>
      <c r="O54" t="inlineStr">
        <is>
          <t>grids</t>
        </is>
      </c>
      <c r="P54" t="inlineStr">
        <is>
          <t>outcome_booked</t>
        </is>
      </c>
    </row>
    <row r="55">
      <c r="A55" t="inlineStr">
        <is>
          <t>Two-way</t>
        </is>
      </c>
      <c r="B55" t="inlineStr">
        <is>
          <t>Bad dollars</t>
        </is>
      </c>
      <c r="C55" t="n">
        <v>190</v>
      </c>
      <c r="D55" t="inlineStr">
        <is>
          <t>FICO 654 - 685</t>
        </is>
      </c>
      <c r="E55" t="inlineStr">
        <is>
          <t>ASSET_CLASS 4</t>
        </is>
      </c>
      <c r="G55" t="n">
        <v>410</v>
      </c>
      <c r="H55" t="n">
        <v>1.578157811852914</v>
      </c>
      <c r="J55" t="n">
        <v>7</v>
      </c>
      <c r="K55">
        <f>'_pockets'!$AI$190</f>
        <v/>
      </c>
      <c r="L55">
        <f>'_pockets'!$AJ$190</f>
        <v/>
      </c>
      <c r="M55">
        <f>IF(AND($A55='Pockets'!$D$17,$B55='Pockets'!$C$17,OR('Pockets'!$E$17="All",AND('Pockets'!$E$17="Worse and material",$K55="Yes",$L55="Yes"),AND('Pockets'!$E$17="Worse or not sure",OR($K55="Yes",$K55="Not sure")))),1,0)</f>
        <v/>
      </c>
      <c r="N55">
        <f>$N54+$M55</f>
        <v/>
      </c>
      <c r="O55" t="inlineStr">
        <is>
          <t>grids</t>
        </is>
      </c>
      <c r="P55" t="inlineStr">
        <is>
          <t>outcome_booked</t>
        </is>
      </c>
    </row>
    <row r="56">
      <c r="A56" t="inlineStr">
        <is>
          <t>Two-way</t>
        </is>
      </c>
      <c r="B56" t="inlineStr">
        <is>
          <t>Bad dollars</t>
        </is>
      </c>
      <c r="C56" t="n">
        <v>65</v>
      </c>
      <c r="D56" t="inlineStr">
        <is>
          <t>FICO 686 - 711</t>
        </is>
      </c>
      <c r="E56" t="inlineStr">
        <is>
          <t>Online</t>
        </is>
      </c>
      <c r="G56" t="n">
        <v>546</v>
      </c>
      <c r="H56" t="n">
        <v>1.496396790753007</v>
      </c>
      <c r="J56" t="n">
        <v>8</v>
      </c>
      <c r="K56">
        <f>'_pockets'!$AI$65</f>
        <v/>
      </c>
      <c r="L56">
        <f>'_pockets'!$AJ$65</f>
        <v/>
      </c>
      <c r="M56">
        <f>IF(AND($A56='Pockets'!$D$17,$B56='Pockets'!$C$17,OR('Pockets'!$E$17="All",AND('Pockets'!$E$17="Worse and material",$K56="Yes",$L56="Yes"),AND('Pockets'!$E$17="Worse or not sure",OR($K56="Yes",$K56="Not sure")))),1,0)</f>
        <v/>
      </c>
      <c r="N56">
        <f>$N55+$M56</f>
        <v/>
      </c>
      <c r="O56" t="inlineStr">
        <is>
          <t>grids</t>
        </is>
      </c>
      <c r="P56" t="inlineStr">
        <is>
          <t>outcome_booked</t>
        </is>
      </c>
    </row>
    <row r="57">
      <c r="A57" t="inlineStr">
        <is>
          <t>Two-way</t>
        </is>
      </c>
      <c r="B57" t="inlineStr">
        <is>
          <t>Bad dollars</t>
        </is>
      </c>
      <c r="C57" t="n">
        <v>125</v>
      </c>
      <c r="D57" t="inlineStr">
        <is>
          <t>FICO 712 - 745</t>
        </is>
      </c>
      <c r="E57" t="inlineStr">
        <is>
          <t>ASSET_CLASS 4</t>
        </is>
      </c>
      <c r="G57" t="n">
        <v>427</v>
      </c>
      <c r="H57" t="n">
        <v>1.565749979913249</v>
      </c>
      <c r="J57" t="n">
        <v>9</v>
      </c>
      <c r="K57">
        <f>'_pockets'!$AI$125</f>
        <v/>
      </c>
      <c r="L57">
        <f>'_pockets'!$AJ$125</f>
        <v/>
      </c>
      <c r="M57">
        <f>IF(AND($A57='Pockets'!$D$17,$B57='Pockets'!$C$17,OR('Pockets'!$E$17="All",AND('Pockets'!$E$17="Worse and material",$K57="Yes",$L57="Yes"),AND('Pockets'!$E$17="Worse or not sure",OR($K57="Yes",$K57="Not sure")))),1,0)</f>
        <v/>
      </c>
      <c r="N57">
        <f>$N56+$M57</f>
        <v/>
      </c>
      <c r="O57" t="inlineStr">
        <is>
          <t>grids</t>
        </is>
      </c>
      <c r="P57" t="inlineStr">
        <is>
          <t>outcome_booked</t>
        </is>
      </c>
    </row>
    <row r="58">
      <c r="A58" t="inlineStr">
        <is>
          <t>Two-way</t>
        </is>
      </c>
      <c r="B58" t="inlineStr">
        <is>
          <t>Bad dollars</t>
        </is>
      </c>
      <c r="C58" t="n">
        <v>245</v>
      </c>
      <c r="D58" t="inlineStr">
        <is>
          <t>REV_DEBT 13,052 - 17,186</t>
        </is>
      </c>
      <c r="E58" t="inlineStr">
        <is>
          <t>Broker</t>
        </is>
      </c>
      <c r="G58" t="n">
        <v>553</v>
      </c>
      <c r="H58" t="n">
        <v>1.493055268738885</v>
      </c>
      <c r="J58" t="n">
        <v>10</v>
      </c>
      <c r="K58">
        <f>'_pockets'!$AI$245</f>
        <v/>
      </c>
      <c r="L58">
        <f>'_pockets'!$AJ$245</f>
        <v/>
      </c>
      <c r="M58">
        <f>IF(AND($A58='Pockets'!$D$17,$B58='Pockets'!$C$17,OR('Pockets'!$E$17="All",AND('Pockets'!$E$17="Worse and material",$K58="Yes",$L58="Yes"),AND('Pockets'!$E$17="Worse or not sure",OR($K58="Yes",$K58="Not sure")))),1,0)</f>
        <v/>
      </c>
      <c r="N58">
        <f>$N57+$M58</f>
        <v/>
      </c>
      <c r="O58" t="inlineStr">
        <is>
          <t>grids</t>
        </is>
      </c>
      <c r="P58" t="inlineStr">
        <is>
          <t>outcome_booked</t>
        </is>
      </c>
    </row>
    <row r="59">
      <c r="A59" t="inlineStr">
        <is>
          <t>Two-way</t>
        </is>
      </c>
      <c r="B59" t="inlineStr">
        <is>
          <t>Bad dollars</t>
        </is>
      </c>
      <c r="C59" t="n">
        <v>315</v>
      </c>
      <c r="D59" t="inlineStr">
        <is>
          <t>REV_DEBT 9,837 - 13,051</t>
        </is>
      </c>
      <c r="E59" t="inlineStr">
        <is>
          <t>ASSET_CLASS 4</t>
        </is>
      </c>
      <c r="G59" t="n">
        <v>414</v>
      </c>
      <c r="H59" t="n">
        <v>1.57516685859874</v>
      </c>
      <c r="J59" t="n">
        <v>11</v>
      </c>
      <c r="K59">
        <f>'_pockets'!$AI$315</f>
        <v/>
      </c>
      <c r="L59">
        <f>'_pockets'!$AJ$315</f>
        <v/>
      </c>
      <c r="M59">
        <f>IF(AND($A59='Pockets'!$D$17,$B59='Pockets'!$C$17,OR('Pockets'!$E$17="All",AND('Pockets'!$E$17="Worse and material",$K59="Yes",$L59="Yes"),AND('Pockets'!$E$17="Worse or not sure",OR($K59="Yes",$K59="Not sure")))),1,0)</f>
        <v/>
      </c>
      <c r="N59">
        <f>$N58+$M59</f>
        <v/>
      </c>
      <c r="O59" t="inlineStr">
        <is>
          <t>grids</t>
        </is>
      </c>
      <c r="P59" t="inlineStr">
        <is>
          <t>outcome_booked</t>
        </is>
      </c>
    </row>
    <row r="60">
      <c r="A60" t="inlineStr">
        <is>
          <t>Two-way</t>
        </is>
      </c>
      <c r="B60" t="inlineStr">
        <is>
          <t>Bad dollars</t>
        </is>
      </c>
      <c r="C60" t="n">
        <v>365</v>
      </c>
      <c r="D60" t="inlineStr">
        <is>
          <t>REV_DEBT 6,559 - 9,836</t>
        </is>
      </c>
      <c r="E60" t="inlineStr">
        <is>
          <t>ASSET_CLASS 3</t>
        </is>
      </c>
      <c r="G60" t="n">
        <v>411</v>
      </c>
      <c r="H60" t="n">
        <v>1.577405812992053</v>
      </c>
      <c r="J60" t="n">
        <v>12</v>
      </c>
      <c r="K60">
        <f>'_pockets'!$AI$365</f>
        <v/>
      </c>
      <c r="L60">
        <f>'_pockets'!$AJ$365</f>
        <v/>
      </c>
      <c r="M60">
        <f>IF(AND($A60='Pockets'!$D$17,$B60='Pockets'!$C$17,OR('Pockets'!$E$17="All",AND('Pockets'!$E$17="Worse and material",$K60="Yes",$L60="Yes"),AND('Pockets'!$E$17="Worse or not sure",OR($K60="Yes",$K60="Not sure")))),1,0)</f>
        <v/>
      </c>
      <c r="N60">
        <f>$N59+$M60</f>
        <v/>
      </c>
      <c r="O60" t="inlineStr">
        <is>
          <t>grids</t>
        </is>
      </c>
      <c r="P60" t="inlineStr">
        <is>
          <t>outcome_booked</t>
        </is>
      </c>
    </row>
    <row r="61">
      <c r="A61" t="inlineStr">
        <is>
          <t>Two-way</t>
        </is>
      </c>
      <c r="B61" t="inlineStr">
        <is>
          <t>Bad dollars</t>
        </is>
      </c>
      <c r="C61" t="n">
        <v>225</v>
      </c>
      <c r="D61" t="inlineStr">
        <is>
          <t>REV_DEBT 13,052 - 17,186</t>
        </is>
      </c>
      <c r="E61" t="inlineStr">
        <is>
          <t>Online</t>
        </is>
      </c>
      <c r="G61" t="n">
        <v>522</v>
      </c>
      <c r="H61" t="n">
        <v>1.508378545251152</v>
      </c>
      <c r="J61" t="n">
        <v>13</v>
      </c>
      <c r="K61">
        <f>'_pockets'!$AI$225</f>
        <v/>
      </c>
      <c r="L61">
        <f>'_pockets'!$AJ$225</f>
        <v/>
      </c>
      <c r="M61">
        <f>IF(AND($A61='Pockets'!$D$17,$B61='Pockets'!$C$17,OR('Pockets'!$E$17="All",AND('Pockets'!$E$17="Worse and material",$K61="Yes",$L61="Yes"),AND('Pockets'!$E$17="Worse or not sure",OR($K61="Yes",$K61="Not sure")))),1,0)</f>
        <v/>
      </c>
      <c r="N61">
        <f>$N60+$M61</f>
        <v/>
      </c>
      <c r="O61" t="inlineStr">
        <is>
          <t>grids</t>
        </is>
      </c>
      <c r="P61" t="inlineStr">
        <is>
          <t>outcome_booked</t>
        </is>
      </c>
    </row>
    <row r="62">
      <c r="A62" t="inlineStr">
        <is>
          <t>Two-way</t>
        </is>
      </c>
      <c r="B62" t="inlineStr">
        <is>
          <t>Bad dollars</t>
        </is>
      </c>
      <c r="C62" t="n">
        <v>325</v>
      </c>
      <c r="D62" t="inlineStr">
        <is>
          <t>REV_DEBT 6,559 - 9,836</t>
        </is>
      </c>
      <c r="E62" t="inlineStr">
        <is>
          <t>ASSET_CLASS 4</t>
        </is>
      </c>
      <c r="G62" t="n">
        <v>400</v>
      </c>
      <c r="H62" t="n">
        <v>1.585838703696417</v>
      </c>
      <c r="J62" t="n">
        <v>14</v>
      </c>
      <c r="K62">
        <f>'_pockets'!$AI$325</f>
        <v/>
      </c>
      <c r="L62">
        <f>'_pockets'!$AJ$325</f>
        <v/>
      </c>
      <c r="M62">
        <f>IF(AND($A62='Pockets'!$D$17,$B62='Pockets'!$C$17,OR('Pockets'!$E$17="All",AND('Pockets'!$E$17="Worse and material",$K62="Yes",$L62="Yes"),AND('Pockets'!$E$17="Worse or not sure",OR($K62="Yes",$K62="Not sure")))),1,0)</f>
        <v/>
      </c>
      <c r="N62">
        <f>$N61+$M62</f>
        <v/>
      </c>
      <c r="O62" t="inlineStr">
        <is>
          <t>grids</t>
        </is>
      </c>
      <c r="P62" t="inlineStr">
        <is>
          <t>outcome_booked</t>
        </is>
      </c>
    </row>
    <row r="63">
      <c r="A63" t="inlineStr">
        <is>
          <t>Two-way</t>
        </is>
      </c>
      <c r="B63" t="inlineStr">
        <is>
          <t>Bad dollars</t>
        </is>
      </c>
      <c r="C63" t="n">
        <v>255</v>
      </c>
      <c r="D63" t="inlineStr">
        <is>
          <t>REV_DEBT 6,559 - 9,836</t>
        </is>
      </c>
      <c r="E63" t="inlineStr">
        <is>
          <t>Online</t>
        </is>
      </c>
      <c r="G63" t="n">
        <v>565</v>
      </c>
      <c r="H63" t="n">
        <v>1.487477325515363</v>
      </c>
      <c r="J63" t="n">
        <v>15</v>
      </c>
      <c r="K63">
        <f>'_pockets'!$AI$255</f>
        <v/>
      </c>
      <c r="L63">
        <f>'_pockets'!$AJ$255</f>
        <v/>
      </c>
      <c r="M63">
        <f>IF(AND($A63='Pockets'!$D$17,$B63='Pockets'!$C$17,OR('Pockets'!$E$17="All",AND('Pockets'!$E$17="Worse and material",$K63="Yes",$L63="Yes"),AND('Pockets'!$E$17="Worse or not sure",OR($K63="Yes",$K63="Not sure")))),1,0)</f>
        <v/>
      </c>
      <c r="N63">
        <f>$N62+$M63</f>
        <v/>
      </c>
      <c r="O63" t="inlineStr">
        <is>
          <t>grids</t>
        </is>
      </c>
      <c r="P63" t="inlineStr">
        <is>
          <t>outcome_booked</t>
        </is>
      </c>
    </row>
    <row r="64">
      <c r="A64" t="inlineStr">
        <is>
          <t>Two-way</t>
        </is>
      </c>
      <c r="B64" t="inlineStr">
        <is>
          <t>Bad dollars</t>
        </is>
      </c>
      <c r="C64" t="n">
        <v>130</v>
      </c>
      <c r="D64" t="inlineStr">
        <is>
          <t>FICO 746 - 921</t>
        </is>
      </c>
      <c r="E64" t="inlineStr">
        <is>
          <t>ASSET_CLASS 2</t>
        </is>
      </c>
      <c r="G64" t="n">
        <v>399</v>
      </c>
      <c r="H64" t="n">
        <v>1.586623298130326</v>
      </c>
      <c r="J64" t="n">
        <v>16</v>
      </c>
      <c r="K64">
        <f>'_pockets'!$AI$130</f>
        <v/>
      </c>
      <c r="L64">
        <f>'_pockets'!$AJ$130</f>
        <v/>
      </c>
      <c r="M64">
        <f>IF(AND($A64='Pockets'!$D$17,$B64='Pockets'!$C$17,OR('Pockets'!$E$17="All",AND('Pockets'!$E$17="Worse and material",$K64="Yes",$L64="Yes"),AND('Pockets'!$E$17="Worse or not sure",OR($K64="Yes",$K64="Not sure")))),1,0)</f>
        <v/>
      </c>
      <c r="N64">
        <f>$N63+$M64</f>
        <v/>
      </c>
      <c r="O64" t="inlineStr">
        <is>
          <t>grids</t>
        </is>
      </c>
      <c r="P64" t="inlineStr">
        <is>
          <t>outcome_booked</t>
        </is>
      </c>
    </row>
    <row r="65">
      <c r="A65" t="inlineStr">
        <is>
          <t>Two-way</t>
        </is>
      </c>
      <c r="B65" t="inlineStr">
        <is>
          <t>Bad dollars</t>
        </is>
      </c>
      <c r="C65" t="n">
        <v>55</v>
      </c>
      <c r="D65" t="inlineStr">
        <is>
          <t>FICO 654 - 685</t>
        </is>
      </c>
      <c r="E65" t="inlineStr">
        <is>
          <t>Branch</t>
        </is>
      </c>
      <c r="G65" t="n">
        <v>503</v>
      </c>
      <c r="H65" t="n">
        <v>1.518489457951721</v>
      </c>
      <c r="J65" t="n">
        <v>17</v>
      </c>
      <c r="K65">
        <f>'_pockets'!$AI$55</f>
        <v/>
      </c>
      <c r="L65">
        <f>'_pockets'!$AJ$55</f>
        <v/>
      </c>
      <c r="M65">
        <f>IF(AND($A65='Pockets'!$D$17,$B65='Pockets'!$C$17,OR('Pockets'!$E$17="All",AND('Pockets'!$E$17="Worse and material",$K65="Yes",$L65="Yes"),AND('Pockets'!$E$17="Worse or not sure",OR($K65="Yes",$K65="Not sure")))),1,0)</f>
        <v/>
      </c>
      <c r="N65">
        <f>$N64+$M65</f>
        <v/>
      </c>
      <c r="O65" t="inlineStr">
        <is>
          <t>grids</t>
        </is>
      </c>
      <c r="P65" t="inlineStr">
        <is>
          <t>outcome_booked</t>
        </is>
      </c>
    </row>
    <row r="66">
      <c r="A66" t="inlineStr">
        <is>
          <t>Two-way</t>
        </is>
      </c>
      <c r="B66" t="inlineStr">
        <is>
          <t>Bad dollars</t>
        </is>
      </c>
      <c r="C66" t="n">
        <v>335</v>
      </c>
      <c r="D66" t="inlineStr">
        <is>
          <t>REV_DEBT 0 - 6,558</t>
        </is>
      </c>
      <c r="E66" t="inlineStr">
        <is>
          <t>ASSET_CLASS 4</t>
        </is>
      </c>
      <c r="G66" t="n">
        <v>399</v>
      </c>
      <c r="H66" t="n">
        <v>1.586623298130326</v>
      </c>
      <c r="J66" t="n">
        <v>18</v>
      </c>
      <c r="K66">
        <f>'_pockets'!$AI$335</f>
        <v/>
      </c>
      <c r="L66">
        <f>'_pockets'!$AJ$335</f>
        <v/>
      </c>
      <c r="M66">
        <f>IF(AND($A66='Pockets'!$D$17,$B66='Pockets'!$C$17,OR('Pockets'!$E$17="All",AND('Pockets'!$E$17="Worse and material",$K66="Yes",$L66="Yes"),AND('Pockets'!$E$17="Worse or not sure",OR($K66="Yes",$K66="Not sure")))),1,0)</f>
        <v/>
      </c>
      <c r="N66">
        <f>$N65+$M66</f>
        <v/>
      </c>
      <c r="O66" t="inlineStr">
        <is>
          <t>grids</t>
        </is>
      </c>
      <c r="P66" t="inlineStr">
        <is>
          <t>outcome_booked</t>
        </is>
      </c>
    </row>
    <row r="67">
      <c r="A67" t="inlineStr">
        <is>
          <t>Two-way</t>
        </is>
      </c>
      <c r="B67" t="inlineStr">
        <is>
          <t>Bad dollars</t>
        </is>
      </c>
      <c r="C67" t="n">
        <v>155</v>
      </c>
      <c r="D67" t="inlineStr">
        <is>
          <t>FICO 686 - 711</t>
        </is>
      </c>
      <c r="E67" t="inlineStr">
        <is>
          <t>ASSET_CLASS 4</t>
        </is>
      </c>
      <c r="G67" t="n">
        <v>407</v>
      </c>
      <c r="H67" t="n">
        <v>1.580431102130149</v>
      </c>
      <c r="J67" t="n">
        <v>19</v>
      </c>
      <c r="K67">
        <f>'_pockets'!$AI$155</f>
        <v/>
      </c>
      <c r="L67">
        <f>'_pockets'!$AJ$155</f>
        <v/>
      </c>
      <c r="M67">
        <f>IF(AND($A67='Pockets'!$D$17,$B67='Pockets'!$C$17,OR('Pockets'!$E$17="All",AND('Pockets'!$E$17="Worse and material",$K67="Yes",$L67="Yes"),AND('Pockets'!$E$17="Worse or not sure",OR($K67="Yes",$K67="Not sure")))),1,0)</f>
        <v/>
      </c>
      <c r="N67">
        <f>$N66+$M67</f>
        <v/>
      </c>
      <c r="O67" t="inlineStr">
        <is>
          <t>grids</t>
        </is>
      </c>
      <c r="P67" t="inlineStr">
        <is>
          <t>outcome_booked</t>
        </is>
      </c>
    </row>
    <row r="68">
      <c r="A68" t="inlineStr">
        <is>
          <t>Two-way</t>
        </is>
      </c>
      <c r="B68" t="inlineStr">
        <is>
          <t>Bad dollars</t>
        </is>
      </c>
      <c r="C68" t="n">
        <v>95</v>
      </c>
      <c r="D68" t="inlineStr">
        <is>
          <t>FICO (marked missing)</t>
        </is>
      </c>
      <c r="E68" t="inlineStr">
        <is>
          <t>Broker</t>
        </is>
      </c>
      <c r="G68" t="n">
        <v>54</v>
      </c>
      <c r="H68" t="n">
        <v>2.775118494361108</v>
      </c>
      <c r="J68" t="n">
        <v>20</v>
      </c>
      <c r="K68">
        <f>'_pockets'!$AI$95</f>
        <v/>
      </c>
      <c r="L68">
        <f>'_pockets'!$AJ$95</f>
        <v/>
      </c>
      <c r="M68">
        <f>IF(AND($A68='Pockets'!$D$17,$B68='Pockets'!$C$17,OR('Pockets'!$E$17="All",AND('Pockets'!$E$17="Worse and material",$K68="Yes",$L68="Yes"),AND('Pockets'!$E$17="Worse or not sure",OR($K68="Yes",$K68="Not sure")))),1,0)</f>
        <v/>
      </c>
      <c r="N68">
        <f>$N67+$M68</f>
        <v/>
      </c>
      <c r="O68" t="inlineStr">
        <is>
          <t>grids</t>
        </is>
      </c>
      <c r="P68" t="inlineStr">
        <is>
          <t>outcome_booked</t>
        </is>
      </c>
    </row>
    <row r="69">
      <c r="A69" t="inlineStr">
        <is>
          <t>Two-way</t>
        </is>
      </c>
      <c r="B69" t="inlineStr">
        <is>
          <t>Bad dollars</t>
        </is>
      </c>
      <c r="C69" t="n">
        <v>210</v>
      </c>
      <c r="D69" t="inlineStr">
        <is>
          <t>FICO 686 - 711</t>
        </is>
      </c>
      <c r="E69" t="inlineStr">
        <is>
          <t>ASSET_CLASS 3</t>
        </is>
      </c>
      <c r="G69" t="n">
        <v>388</v>
      </c>
      <c r="H69" t="n">
        <v>1.59546151206406</v>
      </c>
      <c r="J69" t="n">
        <v>21</v>
      </c>
      <c r="K69">
        <f>'_pockets'!$AI$210</f>
        <v/>
      </c>
      <c r="L69">
        <f>'_pockets'!$AJ$210</f>
        <v/>
      </c>
      <c r="M69">
        <f>IF(AND($A69='Pockets'!$D$17,$B69='Pockets'!$C$17,OR('Pockets'!$E$17="All",AND('Pockets'!$E$17="Worse and material",$K69="Yes",$L69="Yes"),AND('Pockets'!$E$17="Worse or not sure",OR($K69="Yes",$K69="Not sure")))),1,0)</f>
        <v/>
      </c>
      <c r="N69">
        <f>$N68+$M69</f>
        <v/>
      </c>
      <c r="O69" t="inlineStr">
        <is>
          <t>grids</t>
        </is>
      </c>
      <c r="P69" t="inlineStr">
        <is>
          <t>outcome_booked</t>
        </is>
      </c>
    </row>
    <row r="70">
      <c r="A70" t="inlineStr">
        <is>
          <t>Two-way</t>
        </is>
      </c>
      <c r="B70" t="inlineStr">
        <is>
          <t>Bad dollars</t>
        </is>
      </c>
      <c r="C70" t="n">
        <v>230</v>
      </c>
      <c r="D70" t="inlineStr">
        <is>
          <t>REV_DEBT 9,837 - 13,051</t>
        </is>
      </c>
      <c r="E70" t="inlineStr">
        <is>
          <t>Broker</t>
        </is>
      </c>
      <c r="G70" t="n">
        <v>532</v>
      </c>
      <c r="H70" t="n">
        <v>1.503284001238636</v>
      </c>
      <c r="J70" t="n">
        <v>22</v>
      </c>
      <c r="K70">
        <f>'_pockets'!$AI$230</f>
        <v/>
      </c>
      <c r="L70">
        <f>'_pockets'!$AJ$230</f>
        <v/>
      </c>
      <c r="M70">
        <f>IF(AND($A70='Pockets'!$D$17,$B70='Pockets'!$C$17,OR('Pockets'!$E$17="All",AND('Pockets'!$E$17="Worse and material",$K70="Yes",$L70="Yes"),AND('Pockets'!$E$17="Worse or not sure",OR($K70="Yes",$K70="Not sure")))),1,0)</f>
        <v/>
      </c>
      <c r="N70">
        <f>$N69+$M70</f>
        <v/>
      </c>
      <c r="O70" t="inlineStr">
        <is>
          <t>grids</t>
        </is>
      </c>
      <c r="P70" t="inlineStr">
        <is>
          <t>outcome_booked</t>
        </is>
      </c>
    </row>
    <row r="71">
      <c r="A71" t="inlineStr">
        <is>
          <t>Two-way</t>
        </is>
      </c>
      <c r="B71" t="inlineStr">
        <is>
          <t>Bad dollars</t>
        </is>
      </c>
      <c r="C71" t="n">
        <v>25</v>
      </c>
      <c r="D71" t="inlineStr">
        <is>
          <t>FICO 746 - 921</t>
        </is>
      </c>
      <c r="E71" t="inlineStr">
        <is>
          <t>Branch</t>
        </is>
      </c>
      <c r="G71" t="n">
        <v>518</v>
      </c>
      <c r="H71" t="n">
        <v>1.510459107688015</v>
      </c>
      <c r="J71" t="n">
        <v>23</v>
      </c>
      <c r="K71">
        <f>'_pockets'!$AI$25</f>
        <v/>
      </c>
      <c r="L71">
        <f>'_pockets'!$AJ$25</f>
        <v/>
      </c>
      <c r="M71">
        <f>IF(AND($A71='Pockets'!$D$17,$B71='Pockets'!$C$17,OR('Pockets'!$E$17="All",AND('Pockets'!$E$17="Worse and material",$K71="Yes",$L71="Yes"),AND('Pockets'!$E$17="Worse or not sure",OR($K71="Yes",$K71="Not sure")))),1,0)</f>
        <v/>
      </c>
      <c r="N71">
        <f>$N70+$M71</f>
        <v/>
      </c>
      <c r="O71" t="inlineStr">
        <is>
          <t>grids</t>
        </is>
      </c>
      <c r="P71" t="inlineStr">
        <is>
          <t>outcome_booked</t>
        </is>
      </c>
    </row>
    <row r="72">
      <c r="A72" t="inlineStr">
        <is>
          <t>Two-way</t>
        </is>
      </c>
      <c r="B72" t="inlineStr">
        <is>
          <t>Bad dollars</t>
        </is>
      </c>
      <c r="C72" t="n">
        <v>270</v>
      </c>
      <c r="D72" t="inlineStr">
        <is>
          <t>REV_DEBT 0 - 6,558</t>
        </is>
      </c>
      <c r="E72" t="inlineStr">
        <is>
          <t>Online</t>
        </is>
      </c>
      <c r="G72" t="n">
        <v>537</v>
      </c>
      <c r="H72" t="n">
        <v>1.500792236745585</v>
      </c>
      <c r="J72" t="n">
        <v>24</v>
      </c>
      <c r="K72">
        <f>'_pockets'!$AI$270</f>
        <v/>
      </c>
      <c r="L72">
        <f>'_pockets'!$AJ$270</f>
        <v/>
      </c>
      <c r="M72">
        <f>IF(AND($A72='Pockets'!$D$17,$B72='Pockets'!$C$17,OR('Pockets'!$E$17="All",AND('Pockets'!$E$17="Worse and material",$K72="Yes",$L72="Yes"),AND('Pockets'!$E$17="Worse or not sure",OR($K72="Yes",$K72="Not sure")))),1,0)</f>
        <v/>
      </c>
      <c r="N72">
        <f>$N71+$M72</f>
        <v/>
      </c>
      <c r="O72" t="inlineStr">
        <is>
          <t>grids</t>
        </is>
      </c>
      <c r="P72" t="inlineStr">
        <is>
          <t>outcome_booked</t>
        </is>
      </c>
    </row>
    <row r="73">
      <c r="A73" t="inlineStr">
        <is>
          <t>Two-way</t>
        </is>
      </c>
      <c r="B73" t="inlineStr">
        <is>
          <t>Bad dollars</t>
        </is>
      </c>
      <c r="C73" t="n">
        <v>220</v>
      </c>
      <c r="D73" t="inlineStr">
        <is>
          <t>FICO (marked missing)</t>
        </is>
      </c>
      <c r="E73" t="inlineStr">
        <is>
          <t>ASSET_CLASS 2</t>
        </is>
      </c>
      <c r="G73" t="n">
        <v>36</v>
      </c>
      <c r="H73" t="n">
        <v>3.248325025675372</v>
      </c>
      <c r="J73" t="n">
        <v>25</v>
      </c>
      <c r="K73">
        <f>'_pockets'!$AI$220</f>
        <v/>
      </c>
      <c r="L73">
        <f>'_pockets'!$AJ$220</f>
        <v/>
      </c>
      <c r="M73">
        <f>IF(AND($A73='Pockets'!$D$17,$B73='Pockets'!$C$17,OR('Pockets'!$E$17="All",AND('Pockets'!$E$17="Worse and material",$K73="Yes",$L73="Yes"),AND('Pockets'!$E$17="Worse or not sure",OR($K73="Yes",$K73="Not sure")))),1,0)</f>
        <v/>
      </c>
      <c r="N73">
        <f>$N72+$M73</f>
        <v/>
      </c>
      <c r="O73" t="inlineStr">
        <is>
          <t>grids</t>
        </is>
      </c>
      <c r="P73" t="inlineStr">
        <is>
          <t>outcome_booked</t>
        </is>
      </c>
    </row>
    <row r="74">
      <c r="A74" t="inlineStr">
        <is>
          <t>Two-way</t>
        </is>
      </c>
      <c r="B74" t="inlineStr">
        <is>
          <t>Bad dollars</t>
        </is>
      </c>
      <c r="C74" t="n">
        <v>330</v>
      </c>
      <c r="D74" t="inlineStr">
        <is>
          <t>REV_DEBT 0 - 6,558</t>
        </is>
      </c>
      <c r="E74" t="inlineStr">
        <is>
          <t>ASSET_CLASS 1</t>
        </is>
      </c>
      <c r="G74" t="n">
        <v>396</v>
      </c>
      <c r="H74" t="n">
        <v>1.588995633160832</v>
      </c>
      <c r="J74" t="n">
        <v>26</v>
      </c>
      <c r="K74">
        <f>'_pockets'!$AI$330</f>
        <v/>
      </c>
      <c r="L74">
        <f>'_pockets'!$AJ$330</f>
        <v/>
      </c>
      <c r="M74">
        <f>IF(AND($A74='Pockets'!$D$17,$B74='Pockets'!$C$17,OR('Pockets'!$E$17="All",AND('Pockets'!$E$17="Worse and material",$K74="Yes",$L74="Yes"),AND('Pockets'!$E$17="Worse or not sure",OR($K74="Yes",$K74="Not sure")))),1,0)</f>
        <v/>
      </c>
      <c r="N74">
        <f>$N73+$M74</f>
        <v/>
      </c>
      <c r="O74" t="inlineStr">
        <is>
          <t>grids</t>
        </is>
      </c>
      <c r="P74" t="inlineStr">
        <is>
          <t>outcome_booked</t>
        </is>
      </c>
    </row>
    <row r="75">
      <c r="A75" t="inlineStr">
        <is>
          <t>Two-way</t>
        </is>
      </c>
      <c r="B75" t="inlineStr">
        <is>
          <t>Bad dollars</t>
        </is>
      </c>
      <c r="C75" t="n">
        <v>180</v>
      </c>
      <c r="D75" t="inlineStr">
        <is>
          <t>FICO 654 - 685</t>
        </is>
      </c>
      <c r="E75" t="inlineStr">
        <is>
          <t>ASSET_CLASS 3</t>
        </is>
      </c>
      <c r="G75" t="n">
        <v>377</v>
      </c>
      <c r="H75" t="n">
        <v>1.604700327407687</v>
      </c>
      <c r="J75" t="n">
        <v>27</v>
      </c>
      <c r="K75">
        <f>'_pockets'!$AI$180</f>
        <v/>
      </c>
      <c r="L75">
        <f>'_pockets'!$AJ$180</f>
        <v/>
      </c>
      <c r="M75">
        <f>IF(AND($A75='Pockets'!$D$17,$B75='Pockets'!$C$17,OR('Pockets'!$E$17="All",AND('Pockets'!$E$17="Worse and material",$K75="Yes",$L75="Yes"),AND('Pockets'!$E$17="Worse or not sure",OR($K75="Yes",$K75="Not sure")))),1,0)</f>
        <v/>
      </c>
      <c r="N75">
        <f>$N74+$M75</f>
        <v/>
      </c>
      <c r="O75" t="inlineStr">
        <is>
          <t>grids</t>
        </is>
      </c>
      <c r="P75" t="inlineStr">
        <is>
          <t>outcome_booked</t>
        </is>
      </c>
    </row>
    <row r="76">
      <c r="A76" t="inlineStr">
        <is>
          <t>Two-way</t>
        </is>
      </c>
      <c r="B76" t="inlineStr">
        <is>
          <t>Bad dollars</t>
        </is>
      </c>
      <c r="C76" t="n">
        <v>140</v>
      </c>
      <c r="D76" t="inlineStr">
        <is>
          <t>FICO 686 - 711</t>
        </is>
      </c>
      <c r="E76" t="inlineStr">
        <is>
          <t>ASSET_CLASS 1</t>
        </is>
      </c>
      <c r="G76" t="n">
        <v>372</v>
      </c>
      <c r="H76" t="n">
        <v>1.609040446254195</v>
      </c>
      <c r="J76" t="n">
        <v>28</v>
      </c>
      <c r="K76">
        <f>'_pockets'!$AI$140</f>
        <v/>
      </c>
      <c r="L76">
        <f>'_pockets'!$AJ$140</f>
        <v/>
      </c>
      <c r="M76">
        <f>IF(AND($A76='Pockets'!$D$17,$B76='Pockets'!$C$17,OR('Pockets'!$E$17="All",AND('Pockets'!$E$17="Worse and material",$K76="Yes",$L76="Yes"),AND('Pockets'!$E$17="Worse or not sure",OR($K76="Yes",$K76="Not sure")))),1,0)</f>
        <v/>
      </c>
      <c r="N76">
        <f>$N75+$M76</f>
        <v/>
      </c>
      <c r="O76" t="inlineStr">
        <is>
          <t>grids</t>
        </is>
      </c>
      <c r="P76" t="inlineStr">
        <is>
          <t>outcome_booked</t>
        </is>
      </c>
    </row>
    <row r="77">
      <c r="A77" t="inlineStr">
        <is>
          <t>Two-way</t>
        </is>
      </c>
      <c r="B77" t="inlineStr">
        <is>
          <t>Bad dollars</t>
        </is>
      </c>
      <c r="C77" t="n">
        <v>215</v>
      </c>
      <c r="D77" t="inlineStr">
        <is>
          <t>FICO (marked missing)</t>
        </is>
      </c>
      <c r="E77" t="inlineStr">
        <is>
          <t>ASSET_CLASS 4</t>
        </is>
      </c>
      <c r="G77" t="n">
        <v>39</v>
      </c>
      <c r="H77" t="n">
        <v>3.145013153546541</v>
      </c>
      <c r="J77" t="n">
        <v>29</v>
      </c>
      <c r="K77">
        <f>'_pockets'!$AI$215</f>
        <v/>
      </c>
      <c r="L77">
        <f>'_pockets'!$AJ$215</f>
        <v/>
      </c>
      <c r="M77">
        <f>IF(AND($A77='Pockets'!$D$17,$B77='Pockets'!$C$17,OR('Pockets'!$E$17="All",AND('Pockets'!$E$17="Worse and material",$K77="Yes",$L77="Yes"),AND('Pockets'!$E$17="Worse or not sure",OR($K77="Yes",$K77="Not sure")))),1,0)</f>
        <v/>
      </c>
      <c r="N77">
        <f>$N76+$M77</f>
        <v/>
      </c>
      <c r="O77" t="inlineStr">
        <is>
          <t>grids</t>
        </is>
      </c>
      <c r="P77" t="inlineStr">
        <is>
          <t>outcome_booked</t>
        </is>
      </c>
    </row>
    <row r="78">
      <c r="A78" t="inlineStr">
        <is>
          <t>Two-way</t>
        </is>
      </c>
      <c r="B78" t="inlineStr">
        <is>
          <t>Bad dollars</t>
        </is>
      </c>
      <c r="C78" t="n">
        <v>295</v>
      </c>
      <c r="D78" t="inlineStr">
        <is>
          <t>REV_DEBT 17,187 - 48,521</t>
        </is>
      </c>
      <c r="E78" t="inlineStr">
        <is>
          <t>Online</t>
        </is>
      </c>
      <c r="G78" t="n">
        <v>568</v>
      </c>
      <c r="H78" t="n">
        <v>1.486111533097848</v>
      </c>
      <c r="J78" t="n">
        <v>30</v>
      </c>
      <c r="K78">
        <f>'_pockets'!$AI$295</f>
        <v/>
      </c>
      <c r="L78">
        <f>'_pockets'!$AJ$295</f>
        <v/>
      </c>
      <c r="M78">
        <f>IF(AND($A78='Pockets'!$D$17,$B78='Pockets'!$C$17,OR('Pockets'!$E$17="All",AND('Pockets'!$E$17="Worse and material",$K78="Yes",$L78="Yes"),AND('Pockets'!$E$17="Worse or not sure",OR($K78="Yes",$K78="Not sure")))),1,0)</f>
        <v/>
      </c>
      <c r="N78">
        <f>$N77+$M78</f>
        <v/>
      </c>
      <c r="O78" t="inlineStr">
        <is>
          <t>grids</t>
        </is>
      </c>
      <c r="P78" t="inlineStr">
        <is>
          <t>outcome_booked</t>
        </is>
      </c>
    </row>
    <row r="79">
      <c r="A79" t="inlineStr">
        <is>
          <t>Two-way</t>
        </is>
      </c>
      <c r="B79" t="inlineStr">
        <is>
          <t>Bad dollars</t>
        </is>
      </c>
      <c r="C79" t="n">
        <v>360</v>
      </c>
      <c r="D79" t="inlineStr">
        <is>
          <t>REV_DEBT 17,187 - 48,521</t>
        </is>
      </c>
      <c r="E79" t="inlineStr">
        <is>
          <t>ASSET_CLASS 3</t>
        </is>
      </c>
      <c r="G79" t="n">
        <v>380</v>
      </c>
      <c r="H79" t="n">
        <v>1.602139217391149</v>
      </c>
      <c r="J79" t="n">
        <v>31</v>
      </c>
      <c r="K79">
        <f>'_pockets'!$AI$360</f>
        <v/>
      </c>
      <c r="L79">
        <f>'_pockets'!$AJ$360</f>
        <v/>
      </c>
      <c r="M79">
        <f>IF(AND($A79='Pockets'!$D$17,$B79='Pockets'!$C$17,OR('Pockets'!$E$17="All",AND('Pockets'!$E$17="Worse and material",$K79="Yes",$L79="Yes"),AND('Pockets'!$E$17="Worse or not sure",OR($K79="Yes",$K79="Not sure")))),1,0)</f>
        <v/>
      </c>
      <c r="N79">
        <f>$N78+$M79</f>
        <v/>
      </c>
      <c r="O79" t="inlineStr">
        <is>
          <t>grids</t>
        </is>
      </c>
      <c r="P79" t="inlineStr">
        <is>
          <t>outcome_booked</t>
        </is>
      </c>
    </row>
    <row r="80">
      <c r="A80" t="inlineStr">
        <is>
          <t>Two-way</t>
        </is>
      </c>
      <c r="B80" t="inlineStr">
        <is>
          <t>Bad dollars</t>
        </is>
      </c>
      <c r="C80" t="n">
        <v>280</v>
      </c>
      <c r="D80" t="inlineStr">
        <is>
          <t>REV_DEBT 17,187 - 48,521</t>
        </is>
      </c>
      <c r="E80" t="inlineStr">
        <is>
          <t>Branch</t>
        </is>
      </c>
      <c r="G80" t="n">
        <v>525</v>
      </c>
      <c r="H80" t="n">
        <v>1.506834335904775</v>
      </c>
      <c r="J80" t="n">
        <v>32</v>
      </c>
      <c r="K80">
        <f>'_pockets'!$AI$280</f>
        <v/>
      </c>
      <c r="L80">
        <f>'_pockets'!$AJ$280</f>
        <v/>
      </c>
      <c r="M80">
        <f>IF(AND($A80='Pockets'!$D$17,$B80='Pockets'!$C$17,OR('Pockets'!$E$17="All",AND('Pockets'!$E$17="Worse and material",$K80="Yes",$L80="Yes"),AND('Pockets'!$E$17="Worse or not sure",OR($K80="Yes",$K80="Not sure")))),1,0)</f>
        <v/>
      </c>
      <c r="N80">
        <f>$N79+$M80</f>
        <v/>
      </c>
      <c r="O80" t="inlineStr">
        <is>
          <t>grids</t>
        </is>
      </c>
      <c r="P80" t="inlineStr">
        <is>
          <t>outcome_booked</t>
        </is>
      </c>
    </row>
    <row r="81">
      <c r="A81" t="inlineStr">
        <is>
          <t>Two-way</t>
        </is>
      </c>
      <c r="B81" t="inlineStr">
        <is>
          <t>Bad dollars</t>
        </is>
      </c>
      <c r="C81" t="n">
        <v>175</v>
      </c>
      <c r="D81" t="inlineStr">
        <is>
          <t>FICO 496 - 653</t>
        </is>
      </c>
      <c r="E81" t="inlineStr">
        <is>
          <t>ASSET_CLASS 3</t>
        </is>
      </c>
      <c r="G81" t="n">
        <v>350</v>
      </c>
      <c r="H81" t="n">
        <v>1.629278045295928</v>
      </c>
      <c r="J81" t="n">
        <v>33</v>
      </c>
      <c r="K81">
        <f>'_pockets'!$AI$175</f>
        <v/>
      </c>
      <c r="L81">
        <f>'_pockets'!$AJ$175</f>
        <v/>
      </c>
      <c r="M81">
        <f>IF(AND($A81='Pockets'!$D$17,$B81='Pockets'!$C$17,OR('Pockets'!$E$17="All",AND('Pockets'!$E$17="Worse and material",$K81="Yes",$L81="Yes"),AND('Pockets'!$E$17="Worse or not sure",OR($K81="Yes",$K81="Not sure")))),1,0)</f>
        <v/>
      </c>
      <c r="N81">
        <f>$N80+$M81</f>
        <v/>
      </c>
      <c r="O81" t="inlineStr">
        <is>
          <t>grids</t>
        </is>
      </c>
      <c r="P81" t="inlineStr">
        <is>
          <t>outcome_booked</t>
        </is>
      </c>
    </row>
    <row r="82">
      <c r="A82" t="inlineStr">
        <is>
          <t>Two-way</t>
        </is>
      </c>
      <c r="B82" t="inlineStr">
        <is>
          <t>Bad dollars</t>
        </is>
      </c>
      <c r="C82" t="n">
        <v>390</v>
      </c>
      <c r="D82" t="inlineStr">
        <is>
          <t>REV_DEBT 17,187 - 48,521</t>
        </is>
      </c>
      <c r="E82" t="inlineStr">
        <is>
          <t>ASSET_CLASS 1</t>
        </is>
      </c>
      <c r="G82" t="n">
        <v>411</v>
      </c>
      <c r="H82" t="n">
        <v>1.577405812992053</v>
      </c>
      <c r="J82" t="n">
        <v>34</v>
      </c>
      <c r="K82">
        <f>'_pockets'!$AI$390</f>
        <v/>
      </c>
      <c r="L82">
        <f>'_pockets'!$AJ$390</f>
        <v/>
      </c>
      <c r="M82">
        <f>IF(AND($A82='Pockets'!$D$17,$B82='Pockets'!$C$17,OR('Pockets'!$E$17="All",AND('Pockets'!$E$17="Worse and material",$K82="Yes",$L82="Yes"),AND('Pockets'!$E$17="Worse or not sure",OR($K82="Yes",$K82="Not sure")))),1,0)</f>
        <v/>
      </c>
      <c r="N82">
        <f>$N81+$M82</f>
        <v/>
      </c>
      <c r="O82" t="inlineStr">
        <is>
          <t>grids</t>
        </is>
      </c>
      <c r="P82" t="inlineStr">
        <is>
          <t>outcome_booked</t>
        </is>
      </c>
    </row>
    <row r="83">
      <c r="A83" t="inlineStr">
        <is>
          <t>Two-way</t>
        </is>
      </c>
      <c r="B83" t="inlineStr">
        <is>
          <t>Bad dollars</t>
        </is>
      </c>
      <c r="C83" t="n">
        <v>135</v>
      </c>
      <c r="D83" t="inlineStr">
        <is>
          <t>FICO 496 - 653</t>
        </is>
      </c>
      <c r="E83" t="inlineStr">
        <is>
          <t>ASSET_CLASS 1</t>
        </is>
      </c>
      <c r="G83" t="n">
        <v>420</v>
      </c>
      <c r="H83" t="n">
        <v>1.570764067819862</v>
      </c>
      <c r="J83" t="n">
        <v>35</v>
      </c>
      <c r="K83">
        <f>'_pockets'!$AI$135</f>
        <v/>
      </c>
      <c r="L83">
        <f>'_pockets'!$AJ$135</f>
        <v/>
      </c>
      <c r="M83">
        <f>IF(AND($A83='Pockets'!$D$17,$B83='Pockets'!$C$17,OR('Pockets'!$E$17="All",AND('Pockets'!$E$17="Worse and material",$K83="Yes",$L83="Yes"),AND('Pockets'!$E$17="Worse or not sure",OR($K83="Yes",$K83="Not sure")))),1,0)</f>
        <v/>
      </c>
      <c r="N83">
        <f>$N82+$M83</f>
        <v/>
      </c>
      <c r="O83" t="inlineStr">
        <is>
          <t>grids</t>
        </is>
      </c>
      <c r="P83" t="inlineStr">
        <is>
          <t>outcome_booked</t>
        </is>
      </c>
    </row>
    <row r="84">
      <c r="A84" t="inlineStr">
        <is>
          <t>Two-way</t>
        </is>
      </c>
      <c r="B84" t="inlineStr">
        <is>
          <t>Bad dollars</t>
        </is>
      </c>
      <c r="C84" t="n">
        <v>20</v>
      </c>
      <c r="D84" t="inlineStr">
        <is>
          <t>FICO 496 - 653</t>
        </is>
      </c>
      <c r="E84" t="inlineStr">
        <is>
          <t>Branch</t>
        </is>
      </c>
      <c r="G84" t="n">
        <v>501</v>
      </c>
      <c r="H84" t="n">
        <v>1.519588375545581</v>
      </c>
      <c r="J84" t="n">
        <v>36</v>
      </c>
      <c r="K84">
        <f>'_pockets'!$AI$20</f>
        <v/>
      </c>
      <c r="L84">
        <f>'_pockets'!$AJ$20</f>
        <v/>
      </c>
      <c r="M84">
        <f>IF(AND($A84='Pockets'!$D$17,$B84='Pockets'!$C$17,OR('Pockets'!$E$17="All",AND('Pockets'!$E$17="Worse and material",$K84="Yes",$L84="Yes"),AND('Pockets'!$E$17="Worse or not sure",OR($K84="Yes",$K84="Not sure")))),1,0)</f>
        <v/>
      </c>
      <c r="N84">
        <f>$N83+$M84</f>
        <v/>
      </c>
      <c r="O84" t="inlineStr">
        <is>
          <t>grids</t>
        </is>
      </c>
      <c r="P84" t="inlineStr">
        <is>
          <t>outcome_booked</t>
        </is>
      </c>
    </row>
    <row r="85">
      <c r="A85" t="inlineStr">
        <is>
          <t>Two-way</t>
        </is>
      </c>
      <c r="B85" t="inlineStr">
        <is>
          <t>Bad dollars</t>
        </is>
      </c>
      <c r="C85" t="n">
        <v>120</v>
      </c>
      <c r="D85" t="inlineStr">
        <is>
          <t>FICO 496 - 653</t>
        </is>
      </c>
      <c r="E85" t="inlineStr">
        <is>
          <t>ASSET_CLASS 2</t>
        </is>
      </c>
      <c r="G85" t="n">
        <v>393</v>
      </c>
      <c r="H85" t="n">
        <v>1.591396221153347</v>
      </c>
      <c r="J85" t="n">
        <v>37</v>
      </c>
      <c r="K85">
        <f>'_pockets'!$AI$120</f>
        <v/>
      </c>
      <c r="L85">
        <f>'_pockets'!$AJ$120</f>
        <v/>
      </c>
      <c r="M85">
        <f>IF(AND($A85='Pockets'!$D$17,$B85='Pockets'!$C$17,OR('Pockets'!$E$17="All",AND('Pockets'!$E$17="Worse and material",$K85="Yes",$L85="Yes"),AND('Pockets'!$E$17="Worse or not sure",OR($K85="Yes",$K85="Not sure")))),1,0)</f>
        <v/>
      </c>
      <c r="N85">
        <f>$N84+$M85</f>
        <v/>
      </c>
      <c r="O85" t="inlineStr">
        <is>
          <t>grids</t>
        </is>
      </c>
      <c r="P85" t="inlineStr">
        <is>
          <t>outcome_booked</t>
        </is>
      </c>
    </row>
    <row r="86">
      <c r="A86" t="inlineStr">
        <is>
          <t>Two-way</t>
        </is>
      </c>
      <c r="B86" t="inlineStr">
        <is>
          <t>Bad dollars</t>
        </is>
      </c>
      <c r="C86" t="n">
        <v>385</v>
      </c>
      <c r="D86" t="inlineStr">
        <is>
          <t>REV_DEBT 17,187 - 48,521</t>
        </is>
      </c>
      <c r="E86" t="inlineStr">
        <is>
          <t>ASSET_CLASS 2</t>
        </is>
      </c>
      <c r="G86" t="n">
        <v>385</v>
      </c>
      <c r="H86" t="n">
        <v>1.597940218936309</v>
      </c>
      <c r="J86" t="n">
        <v>38</v>
      </c>
      <c r="K86">
        <f>'_pockets'!$AI$385</f>
        <v/>
      </c>
      <c r="L86">
        <f>'_pockets'!$AJ$385</f>
        <v/>
      </c>
      <c r="M86">
        <f>IF(AND($A86='Pockets'!$D$17,$B86='Pockets'!$C$17,OR('Pockets'!$E$17="All",AND('Pockets'!$E$17="Worse and material",$K86="Yes",$L86="Yes"),AND('Pockets'!$E$17="Worse or not sure",OR($K86="Yes",$K86="Not sure")))),1,0)</f>
        <v/>
      </c>
      <c r="N86">
        <f>$N85+$M86</f>
        <v/>
      </c>
      <c r="O86" t="inlineStr">
        <is>
          <t>grids</t>
        </is>
      </c>
      <c r="P86" t="inlineStr">
        <is>
          <t>outcome_booked</t>
        </is>
      </c>
    </row>
    <row r="87">
      <c r="A87" t="inlineStr">
        <is>
          <t>Two-way</t>
        </is>
      </c>
      <c r="B87" t="inlineStr">
        <is>
          <t>Bad dollars</t>
        </is>
      </c>
      <c r="C87" t="n">
        <v>80</v>
      </c>
      <c r="D87" t="inlineStr">
        <is>
          <t>FICO 496 - 653</t>
        </is>
      </c>
      <c r="E87" t="inlineStr">
        <is>
          <t>Online</t>
        </is>
      </c>
      <c r="G87" t="n">
        <v>531</v>
      </c>
      <c r="H87" t="n">
        <v>1.50378673024631</v>
      </c>
      <c r="J87" t="n">
        <v>39</v>
      </c>
      <c r="K87">
        <f>'_pockets'!$AI$80</f>
        <v/>
      </c>
      <c r="L87">
        <f>'_pockets'!$AJ$80</f>
        <v/>
      </c>
      <c r="M87">
        <f>IF(AND($A87='Pockets'!$D$17,$B87='Pockets'!$C$17,OR('Pockets'!$E$17="All",AND('Pockets'!$E$17="Worse and material",$K87="Yes",$L87="Yes"),AND('Pockets'!$E$17="Worse or not sure",OR($K87="Yes",$K87="Not sure")))),1,0)</f>
        <v/>
      </c>
      <c r="N87">
        <f>$N86+$M87</f>
        <v/>
      </c>
      <c r="O87" t="inlineStr">
        <is>
          <t>grids</t>
        </is>
      </c>
      <c r="P87" t="inlineStr">
        <is>
          <t>outcome_booked</t>
        </is>
      </c>
    </row>
    <row r="88">
      <c r="A88" t="inlineStr">
        <is>
          <t>Two-way</t>
        </is>
      </c>
      <c r="B88" t="inlineStr">
        <is>
          <t>Bad dollars</t>
        </is>
      </c>
      <c r="C88" t="n">
        <v>300</v>
      </c>
      <c r="D88" t="inlineStr">
        <is>
          <t>REV_DEBT 13,052 - 17,186</t>
        </is>
      </c>
      <c r="E88" t="inlineStr">
        <is>
          <t>ASSET_CLASS 1</t>
        </is>
      </c>
      <c r="G88" t="n">
        <v>424</v>
      </c>
      <c r="H88" t="n">
        <v>1.567883048228115</v>
      </c>
      <c r="J88" t="n">
        <v>40</v>
      </c>
      <c r="K88">
        <f>'_pockets'!$AI$300</f>
        <v/>
      </c>
      <c r="L88">
        <f>'_pockets'!$AJ$300</f>
        <v/>
      </c>
      <c r="M88">
        <f>IF(AND($A88='Pockets'!$D$17,$B88='Pockets'!$C$17,OR('Pockets'!$E$17="All",AND('Pockets'!$E$17="Worse and material",$K88="Yes",$L88="Yes"),AND('Pockets'!$E$17="Worse or not sure",OR($K88="Yes",$K88="Not sure")))),1,0)</f>
        <v/>
      </c>
      <c r="N88">
        <f>$N87+$M88</f>
        <v/>
      </c>
      <c r="O88" t="inlineStr">
        <is>
          <t>grids</t>
        </is>
      </c>
      <c r="P88" t="inlineStr">
        <is>
          <t>outcome_booked</t>
        </is>
      </c>
    </row>
    <row r="89">
      <c r="A89" t="inlineStr">
        <is>
          <t>Two-way</t>
        </is>
      </c>
      <c r="B89" t="inlineStr">
        <is>
          <t>Bad dollars</t>
        </is>
      </c>
      <c r="C89" t="n">
        <v>370</v>
      </c>
      <c r="D89" t="inlineStr">
        <is>
          <t>REV_DEBT 13,052 - 17,186</t>
        </is>
      </c>
      <c r="E89" t="inlineStr">
        <is>
          <t>ASSET_CLASS 3</t>
        </is>
      </c>
      <c r="G89" t="n">
        <v>373</v>
      </c>
      <c r="H89" t="n">
        <v>1.608165146821992</v>
      </c>
      <c r="J89" t="n">
        <v>41</v>
      </c>
      <c r="K89">
        <f>'_pockets'!$AI$370</f>
        <v/>
      </c>
      <c r="L89">
        <f>'_pockets'!$AJ$370</f>
        <v/>
      </c>
      <c r="M89">
        <f>IF(AND($A89='Pockets'!$D$17,$B89='Pockets'!$C$17,OR('Pockets'!$E$17="All",AND('Pockets'!$E$17="Worse and material",$K89="Yes",$L89="Yes"),AND('Pockets'!$E$17="Worse or not sure",OR($K89="Yes",$K89="Not sure")))),1,0)</f>
        <v/>
      </c>
      <c r="N89">
        <f>$N88+$M89</f>
        <v/>
      </c>
      <c r="O89" t="inlineStr">
        <is>
          <t>grids</t>
        </is>
      </c>
      <c r="P89" t="inlineStr">
        <is>
          <t>outcome_booked</t>
        </is>
      </c>
    </row>
    <row r="90">
      <c r="A90" t="inlineStr">
        <is>
          <t>Two-way</t>
        </is>
      </c>
      <c r="B90" t="inlineStr">
        <is>
          <t>Bad dollars</t>
        </is>
      </c>
      <c r="C90" t="n">
        <v>70</v>
      </c>
      <c r="D90" t="inlineStr">
        <is>
          <t>FICO 654 - 685</t>
        </is>
      </c>
      <c r="E90" t="inlineStr">
        <is>
          <t>Online</t>
        </is>
      </c>
      <c r="G90" t="n">
        <v>505</v>
      </c>
      <c r="H90" t="n">
        <v>1.517397323008664</v>
      </c>
      <c r="J90" t="n">
        <v>42</v>
      </c>
      <c r="K90">
        <f>'_pockets'!$AI$70</f>
        <v/>
      </c>
      <c r="L90">
        <f>'_pockets'!$AJ$70</f>
        <v/>
      </c>
      <c r="M90">
        <f>IF(AND($A90='Pockets'!$D$17,$B90='Pockets'!$C$17,OR('Pockets'!$E$17="All",AND('Pockets'!$E$17="Worse and material",$K90="Yes",$L90="Yes"),AND('Pockets'!$E$17="Worse or not sure",OR($K90="Yes",$K90="Not sure")))),1,0)</f>
        <v/>
      </c>
      <c r="N90">
        <f>$N89+$M90</f>
        <v/>
      </c>
      <c r="O90" t="inlineStr">
        <is>
          <t>grids</t>
        </is>
      </c>
      <c r="P90" t="inlineStr">
        <is>
          <t>outcome_booked</t>
        </is>
      </c>
    </row>
    <row r="91">
      <c r="A91" t="inlineStr">
        <is>
          <t>Two-way</t>
        </is>
      </c>
      <c r="B91" t="inlineStr">
        <is>
          <t>Bad dollars</t>
        </is>
      </c>
      <c r="C91" t="n">
        <v>75</v>
      </c>
      <c r="D91" t="inlineStr">
        <is>
          <t>FICO 654 - 685</t>
        </is>
      </c>
      <c r="E91" t="inlineStr">
        <is>
          <t>Broker</t>
        </is>
      </c>
      <c r="G91" t="n">
        <v>531</v>
      </c>
      <c r="H91" t="n">
        <v>1.50378673024631</v>
      </c>
      <c r="J91" t="n">
        <v>43</v>
      </c>
      <c r="K91">
        <f>'_pockets'!$AI$75</f>
        <v/>
      </c>
      <c r="L91">
        <f>'_pockets'!$AJ$75</f>
        <v/>
      </c>
      <c r="M91">
        <f>IF(AND($A91='Pockets'!$D$17,$B91='Pockets'!$C$17,OR('Pockets'!$E$17="All",AND('Pockets'!$E$17="Worse and material",$K91="Yes",$L91="Yes"),AND('Pockets'!$E$17="Worse or not sure",OR($K91="Yes",$K91="Not sure")))),1,0)</f>
        <v/>
      </c>
      <c r="N91">
        <f>$N90+$M91</f>
        <v/>
      </c>
      <c r="O91" t="inlineStr">
        <is>
          <t>grids</t>
        </is>
      </c>
      <c r="P91" t="inlineStr">
        <is>
          <t>outcome_booked</t>
        </is>
      </c>
    </row>
    <row r="92">
      <c r="A92" t="inlineStr">
        <is>
          <t>Two-way</t>
        </is>
      </c>
      <c r="B92" t="inlineStr">
        <is>
          <t>Bad dollars</t>
        </is>
      </c>
      <c r="C92" t="n">
        <v>345</v>
      </c>
      <c r="D92" t="inlineStr">
        <is>
          <t>REV_DEBT 13,052 - 17,186</t>
        </is>
      </c>
      <c r="E92" t="inlineStr">
        <is>
          <t>ASSET_CLASS 2</t>
        </is>
      </c>
      <c r="G92" t="n">
        <v>392</v>
      </c>
      <c r="H92" t="n">
        <v>1.592202791842569</v>
      </c>
      <c r="J92" t="n">
        <v>44</v>
      </c>
      <c r="K92">
        <f>'_pockets'!$AI$345</f>
        <v/>
      </c>
      <c r="L92">
        <f>'_pockets'!$AJ$345</f>
        <v/>
      </c>
      <c r="M92">
        <f>IF(AND($A92='Pockets'!$D$17,$B92='Pockets'!$C$17,OR('Pockets'!$E$17="All",AND('Pockets'!$E$17="Worse and material",$K92="Yes",$L92="Yes"),AND('Pockets'!$E$17="Worse or not sure",OR($K92="Yes",$K92="Not sure")))),1,0)</f>
        <v/>
      </c>
      <c r="N92">
        <f>$N91+$M92</f>
        <v/>
      </c>
      <c r="O92" t="inlineStr">
        <is>
          <t>grids</t>
        </is>
      </c>
      <c r="P92" t="inlineStr">
        <is>
          <t>outcome_booked</t>
        </is>
      </c>
    </row>
    <row r="93">
      <c r="A93" t="inlineStr">
        <is>
          <t>Two-way</t>
        </is>
      </c>
      <c r="B93" t="inlineStr">
        <is>
          <t>Charge-offs</t>
        </is>
      </c>
      <c r="C93" t="n">
        <v>31</v>
      </c>
      <c r="D93" t="inlineStr">
        <is>
          <t>FICO 496 - 653</t>
        </is>
      </c>
      <c r="E93" t="inlineStr">
        <is>
          <t>Broker</t>
        </is>
      </c>
      <c r="G93" t="n">
        <v>523</v>
      </c>
      <c r="H93" t="n">
        <v>1.526452452779882</v>
      </c>
      <c r="J93" t="n">
        <v>1</v>
      </c>
      <c r="K93">
        <f>'_pockets'!$AI$31</f>
        <v/>
      </c>
      <c r="L93">
        <f>'_pockets'!$AJ$31</f>
        <v/>
      </c>
      <c r="M93">
        <f>IF(AND($A93='Pockets'!$D$17,$B93='Pockets'!$C$17,OR('Pockets'!$E$17="All",AND('Pockets'!$E$17="Worse and material",$K93="Yes",$L93="Yes"),AND('Pockets'!$E$17="Worse or not sure",OR($K93="Yes",$K93="Not sure")))),1,0)</f>
        <v/>
      </c>
      <c r="N93">
        <f>$N92+$M93</f>
        <v/>
      </c>
      <c r="O93" t="inlineStr">
        <is>
          <t>grids</t>
        </is>
      </c>
      <c r="P93" t="inlineStr">
        <is>
          <t>gco_rate</t>
        </is>
      </c>
    </row>
    <row r="94">
      <c r="A94" t="inlineStr">
        <is>
          <t>Two-way</t>
        </is>
      </c>
      <c r="B94" t="inlineStr">
        <is>
          <t>Charge-offs</t>
        </is>
      </c>
      <c r="C94" t="n">
        <v>276</v>
      </c>
      <c r="D94" t="inlineStr">
        <is>
          <t>REV_DEBT 17,187 - 48,521</t>
        </is>
      </c>
      <c r="E94" t="inlineStr">
        <is>
          <t>Broker</t>
        </is>
      </c>
      <c r="G94" t="n">
        <v>507</v>
      </c>
      <c r="H94" t="n">
        <v>1.535226799243398</v>
      </c>
      <c r="J94" t="n">
        <v>2</v>
      </c>
      <c r="K94">
        <f>'_pockets'!$AI$276</f>
        <v/>
      </c>
      <c r="L94">
        <f>'_pockets'!$AJ$276</f>
        <v/>
      </c>
      <c r="M94">
        <f>IF(AND($A94='Pockets'!$D$17,$B94='Pockets'!$C$17,OR('Pockets'!$E$17="All",AND('Pockets'!$E$17="Worse and material",$K94="Yes",$L94="Yes"),AND('Pockets'!$E$17="Worse or not sure",OR($K94="Yes",$K94="Not sure")))),1,0)</f>
        <v/>
      </c>
      <c r="N94">
        <f>$N93+$M94</f>
        <v/>
      </c>
      <c r="O94" t="inlineStr">
        <is>
          <t>grids</t>
        </is>
      </c>
      <c r="P94" t="inlineStr">
        <is>
          <t>gco_rate</t>
        </is>
      </c>
    </row>
    <row r="95">
      <c r="A95" t="inlineStr">
        <is>
          <t>Two-way</t>
        </is>
      </c>
      <c r="B95" t="inlineStr">
        <is>
          <t>Charge-offs</t>
        </is>
      </c>
      <c r="C95" t="n">
        <v>356</v>
      </c>
      <c r="D95" t="inlineStr">
        <is>
          <t>REV_DEBT 17,187 - 48,521</t>
        </is>
      </c>
      <c r="E95" t="inlineStr">
        <is>
          <t>ASSET_CLASS 4</t>
        </is>
      </c>
      <c r="G95" t="n">
        <v>424</v>
      </c>
      <c r="H95" t="n">
        <v>1.588788794806324</v>
      </c>
      <c r="J95" t="n">
        <v>3</v>
      </c>
      <c r="K95">
        <f>'_pockets'!$AI$356</f>
        <v/>
      </c>
      <c r="L95">
        <f>'_pockets'!$AJ$356</f>
        <v/>
      </c>
      <c r="M95">
        <f>IF(AND($A95='Pockets'!$D$17,$B95='Pockets'!$C$17,OR('Pockets'!$E$17="All",AND('Pockets'!$E$17="Worse and material",$K95="Yes",$L95="Yes"),AND('Pockets'!$E$17="Worse or not sure",OR($K95="Yes",$K95="Not sure")))),1,0)</f>
        <v/>
      </c>
      <c r="N95">
        <f>$N94+$M95</f>
        <v/>
      </c>
      <c r="O95" t="inlineStr">
        <is>
          <t>grids</t>
        </is>
      </c>
      <c r="P95" t="inlineStr">
        <is>
          <t>gco_rate</t>
        </is>
      </c>
    </row>
    <row r="96">
      <c r="A96" t="inlineStr">
        <is>
          <t>Two-way</t>
        </is>
      </c>
      <c r="B96" t="inlineStr">
        <is>
          <t>Charge-offs</t>
        </is>
      </c>
      <c r="C96" t="n">
        <v>41</v>
      </c>
      <c r="D96" t="inlineStr">
        <is>
          <t>FICO 712 - 745</t>
        </is>
      </c>
      <c r="E96" t="inlineStr">
        <is>
          <t>Online</t>
        </is>
      </c>
      <c r="G96" t="n">
        <v>564</v>
      </c>
      <c r="H96" t="n">
        <v>1.50576113984669</v>
      </c>
      <c r="J96" t="n">
        <v>4</v>
      </c>
      <c r="K96">
        <f>'_pockets'!$AI$41</f>
        <v/>
      </c>
      <c r="L96">
        <f>'_pockets'!$AJ$41</f>
        <v/>
      </c>
      <c r="M96">
        <f>IF(AND($A96='Pockets'!$D$17,$B96='Pockets'!$C$17,OR('Pockets'!$E$17="All",AND('Pockets'!$E$17="Worse and material",$K96="Yes",$L96="Yes"),AND('Pockets'!$E$17="Worse or not sure",OR($K96="Yes",$K96="Not sure")))),1,0)</f>
        <v/>
      </c>
      <c r="N96">
        <f>$N95+$M96</f>
        <v/>
      </c>
      <c r="O96" t="inlineStr">
        <is>
          <t>grids</t>
        </is>
      </c>
      <c r="P96" t="inlineStr">
        <is>
          <t>gco_rate</t>
        </is>
      </c>
    </row>
    <row r="97">
      <c r="A97" t="inlineStr">
        <is>
          <t>Two-way</t>
        </is>
      </c>
      <c r="B97" t="inlineStr">
        <is>
          <t>Charge-offs</t>
        </is>
      </c>
      <c r="C97" t="n">
        <v>341</v>
      </c>
      <c r="D97" t="inlineStr">
        <is>
          <t>REV_DEBT 13,052 - 17,186</t>
        </is>
      </c>
      <c r="E97" t="inlineStr">
        <is>
          <t>ASSET_CLASS 4</t>
        </is>
      </c>
      <c r="G97" t="n">
        <v>411</v>
      </c>
      <c r="H97" t="n">
        <v>1.598680823859024</v>
      </c>
      <c r="J97" t="n">
        <v>5</v>
      </c>
      <c r="K97">
        <f>'_pockets'!$AI$341</f>
        <v/>
      </c>
      <c r="L97">
        <f>'_pockets'!$AJ$341</f>
        <v/>
      </c>
      <c r="M97">
        <f>IF(AND($A97='Pockets'!$D$17,$B97='Pockets'!$C$17,OR('Pockets'!$E$17="All",AND('Pockets'!$E$17="Worse and material",$K97="Yes",$L97="Yes"),AND('Pockets'!$E$17="Worse or not sure",OR($K97="Yes",$K97="Not sure")))),1,0)</f>
        <v/>
      </c>
      <c r="N97">
        <f>$N96+$M97</f>
        <v/>
      </c>
      <c r="O97" t="inlineStr">
        <is>
          <t>grids</t>
        </is>
      </c>
      <c r="P97" t="inlineStr">
        <is>
          <t>gco_rate</t>
        </is>
      </c>
    </row>
    <row r="98">
      <c r="A98" t="inlineStr">
        <is>
          <t>Two-way</t>
        </is>
      </c>
      <c r="B98" t="inlineStr">
        <is>
          <t>Charge-offs</t>
        </is>
      </c>
      <c r="C98" t="n">
        <v>151</v>
      </c>
      <c r="D98" t="inlineStr">
        <is>
          <t>FICO 496 - 653</t>
        </is>
      </c>
      <c r="E98" t="inlineStr">
        <is>
          <t>ASSET_CLASS 4</t>
        </is>
      </c>
      <c r="G98" t="n">
        <v>392</v>
      </c>
      <c r="H98" t="n">
        <v>1.614052582173903</v>
      </c>
      <c r="J98" t="n">
        <v>6</v>
      </c>
      <c r="K98">
        <f>'_pockets'!$AI$151</f>
        <v/>
      </c>
      <c r="L98">
        <f>'_pockets'!$AJ$151</f>
        <v/>
      </c>
      <c r="M98">
        <f>IF(AND($A98='Pockets'!$D$17,$B98='Pockets'!$C$17,OR('Pockets'!$E$17="All",AND('Pockets'!$E$17="Worse and material",$K98="Yes",$L98="Yes"),AND('Pockets'!$E$17="Worse or not sure",OR($K98="Yes",$K98="Not sure")))),1,0)</f>
        <v/>
      </c>
      <c r="N98">
        <f>$N97+$M98</f>
        <v/>
      </c>
      <c r="O98" t="inlineStr">
        <is>
          <t>grids</t>
        </is>
      </c>
      <c r="P98" t="inlineStr">
        <is>
          <t>gco_rate</t>
        </is>
      </c>
    </row>
    <row r="99">
      <c r="A99" t="inlineStr">
        <is>
          <t>Two-way</t>
        </is>
      </c>
      <c r="B99" t="inlineStr">
        <is>
          <t>Charge-offs</t>
        </is>
      </c>
      <c r="C99" t="n">
        <v>191</v>
      </c>
      <c r="D99" t="inlineStr">
        <is>
          <t>FICO 654 - 685</t>
        </is>
      </c>
      <c r="E99" t="inlineStr">
        <is>
          <t>ASSET_CLASS 4</t>
        </is>
      </c>
      <c r="G99" t="n">
        <v>410</v>
      </c>
      <c r="H99" t="n">
        <v>1.59946200447568</v>
      </c>
      <c r="J99" t="n">
        <v>7</v>
      </c>
      <c r="K99">
        <f>'_pockets'!$AI$191</f>
        <v/>
      </c>
      <c r="L99">
        <f>'_pockets'!$AJ$191</f>
        <v/>
      </c>
      <c r="M99">
        <f>IF(AND($A99='Pockets'!$D$17,$B99='Pockets'!$C$17,OR('Pockets'!$E$17="All",AND('Pockets'!$E$17="Worse and material",$K99="Yes",$L99="Yes"),AND('Pockets'!$E$17="Worse or not sure",OR($K99="Yes",$K99="Not sure")))),1,0)</f>
        <v/>
      </c>
      <c r="N99">
        <f>$N98+$M99</f>
        <v/>
      </c>
      <c r="O99" t="inlineStr">
        <is>
          <t>grids</t>
        </is>
      </c>
      <c r="P99" t="inlineStr">
        <is>
          <t>gco_rate</t>
        </is>
      </c>
    </row>
    <row r="100">
      <c r="A100" t="inlineStr">
        <is>
          <t>Two-way</t>
        </is>
      </c>
      <c r="B100" t="inlineStr">
        <is>
          <t>Charge-offs</t>
        </is>
      </c>
      <c r="C100" t="n">
        <v>66</v>
      </c>
      <c r="D100" t="inlineStr">
        <is>
          <t>FICO 686 - 711</t>
        </is>
      </c>
      <c r="E100" t="inlineStr">
        <is>
          <t>Online</t>
        </is>
      </c>
      <c r="G100" t="n">
        <v>546</v>
      </c>
      <c r="H100" t="n">
        <v>1.514547018225334</v>
      </c>
      <c r="J100" t="n">
        <v>8</v>
      </c>
      <c r="K100">
        <f>'_pockets'!$AI$66</f>
        <v/>
      </c>
      <c r="L100">
        <f>'_pockets'!$AJ$66</f>
        <v/>
      </c>
      <c r="M100">
        <f>IF(AND($A100='Pockets'!$D$17,$B100='Pockets'!$C$17,OR('Pockets'!$E$17="All",AND('Pockets'!$E$17="Worse and material",$K100="Yes",$L100="Yes"),AND('Pockets'!$E$17="Worse or not sure",OR($K100="Yes",$K100="Not sure")))),1,0)</f>
        <v/>
      </c>
      <c r="N100">
        <f>$N99+$M100</f>
        <v/>
      </c>
      <c r="O100" t="inlineStr">
        <is>
          <t>grids</t>
        </is>
      </c>
      <c r="P100" t="inlineStr">
        <is>
          <t>gco_rate</t>
        </is>
      </c>
    </row>
    <row r="101">
      <c r="A101" t="inlineStr">
        <is>
          <t>Two-way</t>
        </is>
      </c>
      <c r="B101" t="inlineStr">
        <is>
          <t>Charge-offs</t>
        </is>
      </c>
      <c r="C101" t="n">
        <v>126</v>
      </c>
      <c r="D101" t="inlineStr">
        <is>
          <t>FICO 712 - 745</t>
        </is>
      </c>
      <c r="E101" t="inlineStr">
        <is>
          <t>ASSET_CLASS 4</t>
        </is>
      </c>
      <c r="G101" t="n">
        <v>427</v>
      </c>
      <c r="H101" t="n">
        <v>1.586573081902287</v>
      </c>
      <c r="J101" t="n">
        <v>9</v>
      </c>
      <c r="K101">
        <f>'_pockets'!$AI$126</f>
        <v/>
      </c>
      <c r="L101">
        <f>'_pockets'!$AJ$126</f>
        <v/>
      </c>
      <c r="M101">
        <f>IF(AND($A101='Pockets'!$D$17,$B101='Pockets'!$C$17,OR('Pockets'!$E$17="All",AND('Pockets'!$E$17="Worse and material",$K101="Yes",$L101="Yes"),AND('Pockets'!$E$17="Worse or not sure",OR($K101="Yes",$K101="Not sure")))),1,0)</f>
        <v/>
      </c>
      <c r="N101">
        <f>$N100+$M101</f>
        <v/>
      </c>
      <c r="O101" t="inlineStr">
        <is>
          <t>grids</t>
        </is>
      </c>
      <c r="P101" t="inlineStr">
        <is>
          <t>gco_rate</t>
        </is>
      </c>
    </row>
    <row r="102">
      <c r="A102" t="inlineStr">
        <is>
          <t>Two-way</t>
        </is>
      </c>
      <c r="B102" t="inlineStr">
        <is>
          <t>Charge-offs</t>
        </is>
      </c>
      <c r="C102" t="n">
        <v>246</v>
      </c>
      <c r="D102" t="inlineStr">
        <is>
          <t>REV_DEBT 13,052 - 17,186</t>
        </is>
      </c>
      <c r="E102" t="inlineStr">
        <is>
          <t>Broker</t>
        </is>
      </c>
      <c r="G102" t="n">
        <v>553</v>
      </c>
      <c r="H102" t="n">
        <v>1.511077424266149</v>
      </c>
      <c r="J102" t="n">
        <v>10</v>
      </c>
      <c r="K102">
        <f>'_pockets'!$AI$246</f>
        <v/>
      </c>
      <c r="L102">
        <f>'_pockets'!$AJ$246</f>
        <v/>
      </c>
      <c r="M102">
        <f>IF(AND($A102='Pockets'!$D$17,$B102='Pockets'!$C$17,OR('Pockets'!$E$17="All",AND('Pockets'!$E$17="Worse and material",$K102="Yes",$L102="Yes"),AND('Pockets'!$E$17="Worse or not sure",OR($K102="Yes",$K102="Not sure")))),1,0)</f>
        <v/>
      </c>
      <c r="N102">
        <f>$N101+$M102</f>
        <v/>
      </c>
      <c r="O102" t="inlineStr">
        <is>
          <t>grids</t>
        </is>
      </c>
      <c r="P102" t="inlineStr">
        <is>
          <t>gco_rate</t>
        </is>
      </c>
    </row>
    <row r="103">
      <c r="A103" t="inlineStr">
        <is>
          <t>Two-way</t>
        </is>
      </c>
      <c r="B103" t="inlineStr">
        <is>
          <t>Charge-offs</t>
        </is>
      </c>
      <c r="C103" t="n">
        <v>226</v>
      </c>
      <c r="D103" t="inlineStr">
        <is>
          <t>REV_DEBT 13,052 - 17,186</t>
        </is>
      </c>
      <c r="E103" t="inlineStr">
        <is>
          <t>Online</t>
        </is>
      </c>
      <c r="G103" t="n">
        <v>522</v>
      </c>
      <c r="H103" t="n">
        <v>1.526988548916686</v>
      </c>
      <c r="J103" t="n">
        <v>11</v>
      </c>
      <c r="K103">
        <f>'_pockets'!$AI$226</f>
        <v/>
      </c>
      <c r="L103">
        <f>'_pockets'!$AJ$226</f>
        <v/>
      </c>
      <c r="M103">
        <f>IF(AND($A103='Pockets'!$D$17,$B103='Pockets'!$C$17,OR('Pockets'!$E$17="All",AND('Pockets'!$E$17="Worse and material",$K103="Yes",$L103="Yes"),AND('Pockets'!$E$17="Worse or not sure",OR($K103="Yes",$K103="Not sure")))),1,0)</f>
        <v/>
      </c>
      <c r="N103">
        <f>$N102+$M103</f>
        <v/>
      </c>
      <c r="O103" t="inlineStr">
        <is>
          <t>grids</t>
        </is>
      </c>
      <c r="P103" t="inlineStr">
        <is>
          <t>gco_rate</t>
        </is>
      </c>
    </row>
    <row r="104">
      <c r="A104" t="inlineStr">
        <is>
          <t>Two-way</t>
        </is>
      </c>
      <c r="B104" t="inlineStr">
        <is>
          <t>Charge-offs</t>
        </is>
      </c>
      <c r="C104" t="n">
        <v>326</v>
      </c>
      <c r="D104" t="inlineStr">
        <is>
          <t>REV_DEBT 6,559 - 9,836</t>
        </is>
      </c>
      <c r="E104" t="inlineStr">
        <is>
          <t>ASSET_CLASS 4</t>
        </is>
      </c>
      <c r="G104" t="n">
        <v>400</v>
      </c>
      <c r="H104" t="n">
        <v>1.607441137060733</v>
      </c>
      <c r="J104" t="n">
        <v>12</v>
      </c>
      <c r="K104">
        <f>'_pockets'!$AI$326</f>
        <v/>
      </c>
      <c r="L104">
        <f>'_pockets'!$AJ$326</f>
        <v/>
      </c>
      <c r="M104">
        <f>IF(AND($A104='Pockets'!$D$17,$B104='Pockets'!$C$17,OR('Pockets'!$E$17="All",AND('Pockets'!$E$17="Worse and material",$K104="Yes",$L104="Yes"),AND('Pockets'!$E$17="Worse or not sure",OR($K104="Yes",$K104="Not sure")))),1,0)</f>
        <v/>
      </c>
      <c r="N104">
        <f>$N103+$M104</f>
        <v/>
      </c>
      <c r="O104" t="inlineStr">
        <is>
          <t>grids</t>
        </is>
      </c>
      <c r="P104" t="inlineStr">
        <is>
          <t>gco_rate</t>
        </is>
      </c>
    </row>
    <row r="105">
      <c r="A105" t="inlineStr">
        <is>
          <t>Two-way</t>
        </is>
      </c>
      <c r="B105" t="inlineStr">
        <is>
          <t>Charge-offs</t>
        </is>
      </c>
      <c r="C105" t="n">
        <v>316</v>
      </c>
      <c r="D105" t="inlineStr">
        <is>
          <t>REV_DEBT 9,837 - 13,051</t>
        </is>
      </c>
      <c r="E105" t="inlineStr">
        <is>
          <t>ASSET_CLASS 4</t>
        </is>
      </c>
      <c r="G105" t="n">
        <v>414</v>
      </c>
      <c r="H105" t="n">
        <v>1.596355004118796</v>
      </c>
      <c r="J105" t="n">
        <v>13</v>
      </c>
      <c r="K105">
        <f>'_pockets'!$AI$316</f>
        <v/>
      </c>
      <c r="L105">
        <f>'_pockets'!$AJ$316</f>
        <v/>
      </c>
      <c r="M105">
        <f>IF(AND($A105='Pockets'!$D$17,$B105='Pockets'!$C$17,OR('Pockets'!$E$17="All",AND('Pockets'!$E$17="Worse and material",$K105="Yes",$L105="Yes"),AND('Pockets'!$E$17="Worse or not sure",OR($K105="Yes",$K105="Not sure")))),1,0)</f>
        <v/>
      </c>
      <c r="N105">
        <f>$N104+$M105</f>
        <v/>
      </c>
      <c r="O105" t="inlineStr">
        <is>
          <t>grids</t>
        </is>
      </c>
      <c r="P105" t="inlineStr">
        <is>
          <t>gco_rate</t>
        </is>
      </c>
    </row>
    <row r="106">
      <c r="A106" t="inlineStr">
        <is>
          <t>Two-way</t>
        </is>
      </c>
      <c r="B106" t="inlineStr">
        <is>
          <t>Charge-offs</t>
        </is>
      </c>
      <c r="C106" t="n">
        <v>366</v>
      </c>
      <c r="D106" t="inlineStr">
        <is>
          <t>REV_DEBT 6,559 - 9,836</t>
        </is>
      </c>
      <c r="E106" t="inlineStr">
        <is>
          <t>ASSET_CLASS 3</t>
        </is>
      </c>
      <c r="G106" t="n">
        <v>411</v>
      </c>
      <c r="H106" t="n">
        <v>1.598680823859024</v>
      </c>
      <c r="J106" t="n">
        <v>14</v>
      </c>
      <c r="K106">
        <f>'_pockets'!$AI$366</f>
        <v/>
      </c>
      <c r="L106">
        <f>'_pockets'!$AJ$366</f>
        <v/>
      </c>
      <c r="M106">
        <f>IF(AND($A106='Pockets'!$D$17,$B106='Pockets'!$C$17,OR('Pockets'!$E$17="All",AND('Pockets'!$E$17="Worse and material",$K106="Yes",$L106="Yes"),AND('Pockets'!$E$17="Worse or not sure",OR($K106="Yes",$K106="Not sure")))),1,0)</f>
        <v/>
      </c>
      <c r="N106">
        <f>$N105+$M106</f>
        <v/>
      </c>
      <c r="O106" t="inlineStr">
        <is>
          <t>grids</t>
        </is>
      </c>
      <c r="P106" t="inlineStr">
        <is>
          <t>gco_rate</t>
        </is>
      </c>
    </row>
    <row r="107">
      <c r="A107" t="inlineStr">
        <is>
          <t>Two-way</t>
        </is>
      </c>
      <c r="B107" t="inlineStr">
        <is>
          <t>Charge-offs</t>
        </is>
      </c>
      <c r="C107" t="n">
        <v>156</v>
      </c>
      <c r="D107" t="inlineStr">
        <is>
          <t>FICO 686 - 711</t>
        </is>
      </c>
      <c r="E107" t="inlineStr">
        <is>
          <t>ASSET_CLASS 4</t>
        </is>
      </c>
      <c r="G107" t="n">
        <v>407</v>
      </c>
      <c r="H107" t="n">
        <v>1.601823530173228</v>
      </c>
      <c r="J107" t="n">
        <v>15</v>
      </c>
      <c r="K107">
        <f>'_pockets'!$AI$156</f>
        <v/>
      </c>
      <c r="L107">
        <f>'_pockets'!$AJ$156</f>
        <v/>
      </c>
      <c r="M107">
        <f>IF(AND($A107='Pockets'!$D$17,$B107='Pockets'!$C$17,OR('Pockets'!$E$17="All",AND('Pockets'!$E$17="Worse and material",$K107="Yes",$L107="Yes"),AND('Pockets'!$E$17="Worse or not sure",OR($K107="Yes",$K107="Not sure")))),1,0)</f>
        <v/>
      </c>
      <c r="N107">
        <f>$N106+$M107</f>
        <v/>
      </c>
      <c r="O107" t="inlineStr">
        <is>
          <t>grids</t>
        </is>
      </c>
      <c r="P107" t="inlineStr">
        <is>
          <t>gco_rate</t>
        </is>
      </c>
    </row>
    <row r="108">
      <c r="A108" t="inlineStr">
        <is>
          <t>Two-way</t>
        </is>
      </c>
      <c r="B108" t="inlineStr">
        <is>
          <t>Charge-offs</t>
        </is>
      </c>
      <c r="C108" t="n">
        <v>56</v>
      </c>
      <c r="D108" t="inlineStr">
        <is>
          <t>FICO 654 - 685</t>
        </is>
      </c>
      <c r="E108" t="inlineStr">
        <is>
          <t>Branch</t>
        </is>
      </c>
      <c r="G108" t="n">
        <v>503</v>
      </c>
      <c r="H108" t="n">
        <v>1.537488107510056</v>
      </c>
      <c r="J108" t="n">
        <v>16</v>
      </c>
      <c r="K108">
        <f>'_pockets'!$AI$56</f>
        <v/>
      </c>
      <c r="L108">
        <f>'_pockets'!$AJ$56</f>
        <v/>
      </c>
      <c r="M108">
        <f>IF(AND($A108='Pockets'!$D$17,$B108='Pockets'!$C$17,OR('Pockets'!$E$17="All",AND('Pockets'!$E$17="Worse and material",$K108="Yes",$L108="Yes"),AND('Pockets'!$E$17="Worse or not sure",OR($K108="Yes",$K108="Not sure")))),1,0)</f>
        <v/>
      </c>
      <c r="N108">
        <f>$N107+$M108</f>
        <v/>
      </c>
      <c r="O108" t="inlineStr">
        <is>
          <t>grids</t>
        </is>
      </c>
      <c r="P108" t="inlineStr">
        <is>
          <t>gco_rate</t>
        </is>
      </c>
    </row>
    <row r="109">
      <c r="A109" t="inlineStr">
        <is>
          <t>Two-way</t>
        </is>
      </c>
      <c r="B109" t="inlineStr">
        <is>
          <t>Charge-offs</t>
        </is>
      </c>
      <c r="C109" t="n">
        <v>131</v>
      </c>
      <c r="D109" t="inlineStr">
        <is>
          <t>FICO 746 - 921</t>
        </is>
      </c>
      <c r="E109" t="inlineStr">
        <is>
          <t>ASSET_CLASS 2</t>
        </is>
      </c>
      <c r="G109" t="n">
        <v>399</v>
      </c>
      <c r="H109" t="n">
        <v>1.608256214780859</v>
      </c>
      <c r="J109" t="n">
        <v>17</v>
      </c>
      <c r="K109">
        <f>'_pockets'!$AI$131</f>
        <v/>
      </c>
      <c r="L109">
        <f>'_pockets'!$AJ$131</f>
        <v/>
      </c>
      <c r="M109">
        <f>IF(AND($A109='Pockets'!$D$17,$B109='Pockets'!$C$17,OR('Pockets'!$E$17="All",AND('Pockets'!$E$17="Worse and material",$K109="Yes",$L109="Yes"),AND('Pockets'!$E$17="Worse or not sure",OR($K109="Yes",$K109="Not sure")))),1,0)</f>
        <v/>
      </c>
      <c r="N109">
        <f>$N108+$M109</f>
        <v/>
      </c>
      <c r="O109" t="inlineStr">
        <is>
          <t>grids</t>
        </is>
      </c>
      <c r="P109" t="inlineStr">
        <is>
          <t>gco_rate</t>
        </is>
      </c>
    </row>
    <row r="110">
      <c r="A110" t="inlineStr">
        <is>
          <t>Two-way</t>
        </is>
      </c>
      <c r="B110" t="inlineStr">
        <is>
          <t>Charge-offs</t>
        </is>
      </c>
      <c r="C110" t="n">
        <v>26</v>
      </c>
      <c r="D110" t="inlineStr">
        <is>
          <t>FICO 746 - 921</t>
        </is>
      </c>
      <c r="E110" t="inlineStr">
        <is>
          <t>Branch</t>
        </is>
      </c>
      <c r="G110" t="n">
        <v>518</v>
      </c>
      <c r="H110" t="n">
        <v>1.529149035433254</v>
      </c>
      <c r="J110" t="n">
        <v>18</v>
      </c>
      <c r="K110">
        <f>'_pockets'!$AI$26</f>
        <v/>
      </c>
      <c r="L110">
        <f>'_pockets'!$AJ$26</f>
        <v/>
      </c>
      <c r="M110">
        <f>IF(AND($A110='Pockets'!$D$17,$B110='Pockets'!$C$17,OR('Pockets'!$E$17="All",AND('Pockets'!$E$17="Worse and material",$K110="Yes",$L110="Yes"),AND('Pockets'!$E$17="Worse or not sure",OR($K110="Yes",$K110="Not sure")))),1,0)</f>
        <v/>
      </c>
      <c r="N110">
        <f>$N109+$M110</f>
        <v/>
      </c>
      <c r="O110" t="inlineStr">
        <is>
          <t>grids</t>
        </is>
      </c>
      <c r="P110" t="inlineStr">
        <is>
          <t>gco_rate</t>
        </is>
      </c>
    </row>
    <row r="111">
      <c r="A111" t="inlineStr">
        <is>
          <t>Two-way</t>
        </is>
      </c>
      <c r="B111" t="inlineStr">
        <is>
          <t>Charge-offs</t>
        </is>
      </c>
      <c r="C111" t="n">
        <v>231</v>
      </c>
      <c r="D111" t="inlineStr">
        <is>
          <t>REV_DEBT 9,837 - 13,051</t>
        </is>
      </c>
      <c r="E111" t="inlineStr">
        <is>
          <t>Broker</t>
        </is>
      </c>
      <c r="G111" t="n">
        <v>532</v>
      </c>
      <c r="H111" t="n">
        <v>1.521698407742922</v>
      </c>
      <c r="J111" t="n">
        <v>19</v>
      </c>
      <c r="K111">
        <f>'_pockets'!$AI$231</f>
        <v/>
      </c>
      <c r="L111">
        <f>'_pockets'!$AJ$231</f>
        <v/>
      </c>
      <c r="M111">
        <f>IF(AND($A111='Pockets'!$D$17,$B111='Pockets'!$C$17,OR('Pockets'!$E$17="All",AND('Pockets'!$E$17="Worse and material",$K111="Yes",$L111="Yes"),AND('Pockets'!$E$17="Worse or not sure",OR($K111="Yes",$K111="Not sure")))),1,0)</f>
        <v/>
      </c>
      <c r="N111">
        <f>$N110+$M111</f>
        <v/>
      </c>
      <c r="O111" t="inlineStr">
        <is>
          <t>grids</t>
        </is>
      </c>
      <c r="P111" t="inlineStr">
        <is>
          <t>gco_rate</t>
        </is>
      </c>
    </row>
    <row r="112">
      <c r="A112" t="inlineStr">
        <is>
          <t>Two-way</t>
        </is>
      </c>
      <c r="B112" t="inlineStr">
        <is>
          <t>Charge-offs</t>
        </is>
      </c>
      <c r="C112" t="n">
        <v>256</v>
      </c>
      <c r="D112" t="inlineStr">
        <is>
          <t>REV_DEBT 6,559 - 9,836</t>
        </is>
      </c>
      <c r="E112" t="inlineStr">
        <is>
          <t>Online</t>
        </is>
      </c>
      <c r="G112" t="n">
        <v>565</v>
      </c>
      <c r="H112" t="n">
        <v>1.505285841835598</v>
      </c>
      <c r="J112" t="n">
        <v>20</v>
      </c>
      <c r="K112">
        <f>'_pockets'!$AI$256</f>
        <v/>
      </c>
      <c r="L112">
        <f>'_pockets'!$AJ$256</f>
        <v/>
      </c>
      <c r="M112">
        <f>IF(AND($A112='Pockets'!$D$17,$B112='Pockets'!$C$17,OR('Pockets'!$E$17="All",AND('Pockets'!$E$17="Worse and material",$K112="Yes",$L112="Yes"),AND('Pockets'!$E$17="Worse or not sure",OR($K112="Yes",$K112="Not sure")))),1,0)</f>
        <v/>
      </c>
      <c r="N112">
        <f>$N111+$M112</f>
        <v/>
      </c>
      <c r="O112" t="inlineStr">
        <is>
          <t>grids</t>
        </is>
      </c>
      <c r="P112" t="inlineStr">
        <is>
          <t>gco_rate</t>
        </is>
      </c>
    </row>
    <row r="113">
      <c r="A113" t="inlineStr">
        <is>
          <t>Two-way</t>
        </is>
      </c>
      <c r="B113" t="inlineStr">
        <is>
          <t>Charge-offs</t>
        </is>
      </c>
      <c r="C113" t="n">
        <v>96</v>
      </c>
      <c r="D113" t="inlineStr">
        <is>
          <t>FICO (marked missing)</t>
        </is>
      </c>
      <c r="E113" t="inlineStr">
        <is>
          <t>Broker</t>
        </is>
      </c>
      <c r="G113" t="n">
        <v>54</v>
      </c>
      <c r="H113" t="n">
        <v>2.845904937669949</v>
      </c>
      <c r="J113" t="n">
        <v>21</v>
      </c>
      <c r="K113">
        <f>'_pockets'!$AI$96</f>
        <v/>
      </c>
      <c r="L113">
        <f>'_pockets'!$AJ$96</f>
        <v/>
      </c>
      <c r="M113">
        <f>IF(AND($A113='Pockets'!$D$17,$B113='Pockets'!$C$17,OR('Pockets'!$E$17="All",AND('Pockets'!$E$17="Worse and material",$K113="Yes",$L113="Yes"),AND('Pockets'!$E$17="Worse or not sure",OR($K113="Yes",$K113="Not sure")))),1,0)</f>
        <v/>
      </c>
      <c r="N113">
        <f>$N112+$M113</f>
        <v/>
      </c>
      <c r="O113" t="inlineStr">
        <is>
          <t>grids</t>
        </is>
      </c>
      <c r="P113" t="inlineStr">
        <is>
          <t>gco_rate</t>
        </is>
      </c>
    </row>
    <row r="114">
      <c r="A114" t="inlineStr">
        <is>
          <t>Two-way</t>
        </is>
      </c>
      <c r="B114" t="inlineStr">
        <is>
          <t>Charge-offs</t>
        </is>
      </c>
      <c r="C114" t="n">
        <v>336</v>
      </c>
      <c r="D114" t="inlineStr">
        <is>
          <t>REV_DEBT 0 - 6,558</t>
        </is>
      </c>
      <c r="E114" t="inlineStr">
        <is>
          <t>ASSET_CLASS 4</t>
        </is>
      </c>
      <c r="G114" t="n">
        <v>399</v>
      </c>
      <c r="H114" t="n">
        <v>1.608256214780859</v>
      </c>
      <c r="J114" t="n">
        <v>22</v>
      </c>
      <c r="K114">
        <f>'_pockets'!$AI$336</f>
        <v/>
      </c>
      <c r="L114">
        <f>'_pockets'!$AJ$336</f>
        <v/>
      </c>
      <c r="M114">
        <f>IF(AND($A114='Pockets'!$D$17,$B114='Pockets'!$C$17,OR('Pockets'!$E$17="All",AND('Pockets'!$E$17="Worse and material",$K114="Yes",$L114="Yes"),AND('Pockets'!$E$17="Worse or not sure",OR($K114="Yes",$K114="Not sure")))),1,0)</f>
        <v/>
      </c>
      <c r="N114">
        <f>$N113+$M114</f>
        <v/>
      </c>
      <c r="O114" t="inlineStr">
        <is>
          <t>grids</t>
        </is>
      </c>
      <c r="P114" t="inlineStr">
        <is>
          <t>gco_rate</t>
        </is>
      </c>
    </row>
    <row r="115">
      <c r="A115" t="inlineStr">
        <is>
          <t>Two-way</t>
        </is>
      </c>
      <c r="B115" t="inlineStr">
        <is>
          <t>Charge-offs</t>
        </is>
      </c>
      <c r="C115" t="n">
        <v>181</v>
      </c>
      <c r="D115" t="inlineStr">
        <is>
          <t>FICO 654 - 685</t>
        </is>
      </c>
      <c r="E115" t="inlineStr">
        <is>
          <t>ASSET_CLASS 3</t>
        </is>
      </c>
      <c r="G115" t="n">
        <v>377</v>
      </c>
      <c r="H115" t="n">
        <v>1.627036511817176</v>
      </c>
      <c r="J115" t="n">
        <v>23</v>
      </c>
      <c r="K115">
        <f>'_pockets'!$AI$181</f>
        <v/>
      </c>
      <c r="L115">
        <f>'_pockets'!$AJ$181</f>
        <v/>
      </c>
      <c r="M115">
        <f>IF(AND($A115='Pockets'!$D$17,$B115='Pockets'!$C$17,OR('Pockets'!$E$17="All",AND('Pockets'!$E$17="Worse and material",$K115="Yes",$L115="Yes"),AND('Pockets'!$E$17="Worse or not sure",OR($K115="Yes",$K115="Not sure")))),1,0)</f>
        <v/>
      </c>
      <c r="N115">
        <f>$N114+$M115</f>
        <v/>
      </c>
      <c r="O115" t="inlineStr">
        <is>
          <t>grids</t>
        </is>
      </c>
      <c r="P115" t="inlineStr">
        <is>
          <t>gco_rate</t>
        </is>
      </c>
    </row>
    <row r="116">
      <c r="A116" t="inlineStr">
        <is>
          <t>Two-way</t>
        </is>
      </c>
      <c r="B116" t="inlineStr">
        <is>
          <t>Charge-offs</t>
        </is>
      </c>
      <c r="C116" t="n">
        <v>141</v>
      </c>
      <c r="D116" t="inlineStr">
        <is>
          <t>FICO 686 - 711</t>
        </is>
      </c>
      <c r="E116" t="inlineStr">
        <is>
          <t>ASSET_CLASS 1</t>
        </is>
      </c>
      <c r="G116" t="n">
        <v>372</v>
      </c>
      <c r="H116" t="n">
        <v>1.631545743130565</v>
      </c>
      <c r="J116" t="n">
        <v>24</v>
      </c>
      <c r="K116">
        <f>'_pockets'!$AI$141</f>
        <v/>
      </c>
      <c r="L116">
        <f>'_pockets'!$AJ$141</f>
        <v/>
      </c>
      <c r="M116">
        <f>IF(AND($A116='Pockets'!$D$17,$B116='Pockets'!$C$17,OR('Pockets'!$E$17="All",AND('Pockets'!$E$17="Worse and material",$K116="Yes",$L116="Yes"),AND('Pockets'!$E$17="Worse or not sure",OR($K116="Yes",$K116="Not sure")))),1,0)</f>
        <v/>
      </c>
      <c r="N116">
        <f>$N115+$M116</f>
        <v/>
      </c>
      <c r="O116" t="inlineStr">
        <is>
          <t>grids</t>
        </is>
      </c>
      <c r="P116" t="inlineStr">
        <is>
          <t>gco_rate</t>
        </is>
      </c>
    </row>
    <row r="117">
      <c r="A117" t="inlineStr">
        <is>
          <t>Two-way</t>
        </is>
      </c>
      <c r="B117" t="inlineStr">
        <is>
          <t>Charge-offs</t>
        </is>
      </c>
      <c r="C117" t="n">
        <v>211</v>
      </c>
      <c r="D117" t="inlineStr">
        <is>
          <t>FICO 686 - 711</t>
        </is>
      </c>
      <c r="E117" t="inlineStr">
        <is>
          <t>ASSET_CLASS 3</t>
        </is>
      </c>
      <c r="G117" t="n">
        <v>388</v>
      </c>
      <c r="H117" t="n">
        <v>1.617438047075257</v>
      </c>
      <c r="J117" t="n">
        <v>25</v>
      </c>
      <c r="K117">
        <f>'_pockets'!$AI$211</f>
        <v/>
      </c>
      <c r="L117">
        <f>'_pockets'!$AJ$211</f>
        <v/>
      </c>
      <c r="M117">
        <f>IF(AND($A117='Pockets'!$D$17,$B117='Pockets'!$C$17,OR('Pockets'!$E$17="All",AND('Pockets'!$E$17="Worse and material",$K117="Yes",$L117="Yes"),AND('Pockets'!$E$17="Worse or not sure",OR($K117="Yes",$K117="Not sure")))),1,0)</f>
        <v/>
      </c>
      <c r="N117">
        <f>$N116+$M117</f>
        <v/>
      </c>
      <c r="O117" t="inlineStr">
        <is>
          <t>grids</t>
        </is>
      </c>
      <c r="P117" t="inlineStr">
        <is>
          <t>gco_rate</t>
        </is>
      </c>
    </row>
    <row r="118">
      <c r="A118" t="inlineStr">
        <is>
          <t>Two-way</t>
        </is>
      </c>
      <c r="B118" t="inlineStr">
        <is>
          <t>Charge-offs</t>
        </is>
      </c>
      <c r="C118" t="n">
        <v>221</v>
      </c>
      <c r="D118" t="inlineStr">
        <is>
          <t>FICO (marked missing)</t>
        </is>
      </c>
      <c r="E118" t="inlineStr">
        <is>
          <t>ASSET_CLASS 2</t>
        </is>
      </c>
      <c r="G118" t="n">
        <v>36</v>
      </c>
      <c r="H118" t="n">
        <v>3.33989142619436</v>
      </c>
      <c r="J118" t="n">
        <v>26</v>
      </c>
      <c r="K118">
        <f>'_pockets'!$AI$221</f>
        <v/>
      </c>
      <c r="L118">
        <f>'_pockets'!$AJ$221</f>
        <v/>
      </c>
      <c r="M118">
        <f>IF(AND($A118='Pockets'!$D$17,$B118='Pockets'!$C$17,OR('Pockets'!$E$17="All",AND('Pockets'!$E$17="Worse and material",$K118="Yes",$L118="Yes"),AND('Pockets'!$E$17="Worse or not sure",OR($K118="Yes",$K118="Not sure")))),1,0)</f>
        <v/>
      </c>
      <c r="N118">
        <f>$N117+$M118</f>
        <v/>
      </c>
      <c r="O118" t="inlineStr">
        <is>
          <t>grids</t>
        </is>
      </c>
      <c r="P118" t="inlineStr">
        <is>
          <t>gco_rate</t>
        </is>
      </c>
    </row>
    <row r="119">
      <c r="A119" t="inlineStr">
        <is>
          <t>Two-way</t>
        </is>
      </c>
      <c r="B119" t="inlineStr">
        <is>
          <t>Charge-offs</t>
        </is>
      </c>
      <c r="C119" t="n">
        <v>241</v>
      </c>
      <c r="D119" t="inlineStr">
        <is>
          <t>REV_DEBT 9,837 - 13,051</t>
        </is>
      </c>
      <c r="E119" t="inlineStr">
        <is>
          <t>Branch</t>
        </is>
      </c>
      <c r="G119" t="n">
        <v>540</v>
      </c>
      <c r="H119" t="n">
        <v>1.517576539888928</v>
      </c>
      <c r="J119" t="n">
        <v>27</v>
      </c>
      <c r="K119">
        <f>'_pockets'!$AI$241</f>
        <v/>
      </c>
      <c r="L119">
        <f>'_pockets'!$AJ$241</f>
        <v/>
      </c>
      <c r="M119">
        <f>IF(AND($A119='Pockets'!$D$17,$B119='Pockets'!$C$17,OR('Pockets'!$E$17="All",AND('Pockets'!$E$17="Worse and material",$K119="Yes",$L119="Yes"),AND('Pockets'!$E$17="Worse or not sure",OR($K119="Yes",$K119="Not sure")))),1,0)</f>
        <v/>
      </c>
      <c r="N119">
        <f>$N118+$M119</f>
        <v/>
      </c>
      <c r="O119" t="inlineStr">
        <is>
          <t>grids</t>
        </is>
      </c>
      <c r="P119" t="inlineStr">
        <is>
          <t>gco_rate</t>
        </is>
      </c>
    </row>
    <row r="120">
      <c r="A120" t="inlineStr">
        <is>
          <t>Two-way</t>
        </is>
      </c>
      <c r="B120" t="inlineStr">
        <is>
          <t>Charge-offs</t>
        </is>
      </c>
      <c r="C120" t="n">
        <v>361</v>
      </c>
      <c r="D120" t="inlineStr">
        <is>
          <t>REV_DEBT 17,187 - 48,521</t>
        </is>
      </c>
      <c r="E120" t="inlineStr">
        <is>
          <t>ASSET_CLASS 3</t>
        </is>
      </c>
      <c r="G120" t="n">
        <v>380</v>
      </c>
      <c r="H120" t="n">
        <v>1.624375656182924</v>
      </c>
      <c r="J120" t="n">
        <v>28</v>
      </c>
      <c r="K120">
        <f>'_pockets'!$AI$361</f>
        <v/>
      </c>
      <c r="L120">
        <f>'_pockets'!$AJ$361</f>
        <v/>
      </c>
      <c r="M120">
        <f>IF(AND($A120='Pockets'!$D$17,$B120='Pockets'!$C$17,OR('Pockets'!$E$17="All",AND('Pockets'!$E$17="Worse and material",$K120="Yes",$L120="Yes"),AND('Pockets'!$E$17="Worse or not sure",OR($K120="Yes",$K120="Not sure")))),1,0)</f>
        <v/>
      </c>
      <c r="N120">
        <f>$N119+$M120</f>
        <v/>
      </c>
      <c r="O120" t="inlineStr">
        <is>
          <t>grids</t>
        </is>
      </c>
      <c r="P120" t="inlineStr">
        <is>
          <t>gco_rate</t>
        </is>
      </c>
    </row>
    <row r="121">
      <c r="A121" t="inlineStr">
        <is>
          <t>Two-way</t>
        </is>
      </c>
      <c r="B121" t="inlineStr">
        <is>
          <t>Charge-offs</t>
        </is>
      </c>
      <c r="C121" t="n">
        <v>271</v>
      </c>
      <c r="D121" t="inlineStr">
        <is>
          <t>REV_DEBT 0 - 6,558</t>
        </is>
      </c>
      <c r="E121" t="inlineStr">
        <is>
          <t>Online</t>
        </is>
      </c>
      <c r="G121" t="n">
        <v>537</v>
      </c>
      <c r="H121" t="n">
        <v>1.519111031794549</v>
      </c>
      <c r="J121" t="n">
        <v>29</v>
      </c>
      <c r="K121">
        <f>'_pockets'!$AI$271</f>
        <v/>
      </c>
      <c r="L121">
        <f>'_pockets'!$AJ$271</f>
        <v/>
      </c>
      <c r="M121">
        <f>IF(AND($A121='Pockets'!$D$17,$B121='Pockets'!$C$17,OR('Pockets'!$E$17="All",AND('Pockets'!$E$17="Worse and material",$K121="Yes",$L121="Yes"),AND('Pockets'!$E$17="Worse or not sure",OR($K121="Yes",$K121="Not sure")))),1,0)</f>
        <v/>
      </c>
      <c r="N121">
        <f>$N120+$M121</f>
        <v/>
      </c>
      <c r="O121" t="inlineStr">
        <is>
          <t>grids</t>
        </is>
      </c>
      <c r="P121" t="inlineStr">
        <is>
          <t>gco_rate</t>
        </is>
      </c>
    </row>
    <row r="122">
      <c r="A122" t="inlineStr">
        <is>
          <t>Two-way</t>
        </is>
      </c>
      <c r="B122" t="inlineStr">
        <is>
          <t>Charge-offs</t>
        </is>
      </c>
      <c r="C122" t="n">
        <v>331</v>
      </c>
      <c r="D122" t="inlineStr">
        <is>
          <t>REV_DEBT 0 - 6,558</t>
        </is>
      </c>
      <c r="E122" t="inlineStr">
        <is>
          <t>ASSET_CLASS 1</t>
        </is>
      </c>
      <c r="G122" t="n">
        <v>396</v>
      </c>
      <c r="H122" t="n">
        <v>1.610720741052153</v>
      </c>
      <c r="J122" t="n">
        <v>30</v>
      </c>
      <c r="K122">
        <f>'_pockets'!$AI$331</f>
        <v/>
      </c>
      <c r="L122">
        <f>'_pockets'!$AJ$331</f>
        <v/>
      </c>
      <c r="M122">
        <f>IF(AND($A122='Pockets'!$D$17,$B122='Pockets'!$C$17,OR('Pockets'!$E$17="All",AND('Pockets'!$E$17="Worse and material",$K122="Yes",$L122="Yes"),AND('Pockets'!$E$17="Worse or not sure",OR($K122="Yes",$K122="Not sure")))),1,0)</f>
        <v/>
      </c>
      <c r="N122">
        <f>$N121+$M122</f>
        <v/>
      </c>
      <c r="O122" t="inlineStr">
        <is>
          <t>grids</t>
        </is>
      </c>
      <c r="P122" t="inlineStr">
        <is>
          <t>gco_rate</t>
        </is>
      </c>
    </row>
    <row r="123">
      <c r="A123" t="inlineStr">
        <is>
          <t>Two-way</t>
        </is>
      </c>
      <c r="B123" t="inlineStr">
        <is>
          <t>Charge-offs</t>
        </is>
      </c>
      <c r="C123" t="n">
        <v>381</v>
      </c>
      <c r="D123" t="inlineStr">
        <is>
          <t>REV_DEBT 0 - 6,558</t>
        </is>
      </c>
      <c r="E123" t="inlineStr">
        <is>
          <t>ASSET_CLASS 2</t>
        </is>
      </c>
      <c r="G123" t="n">
        <v>435</v>
      </c>
      <c r="H123" t="n">
        <v>1.580781612635678</v>
      </c>
      <c r="J123" t="n">
        <v>31</v>
      </c>
      <c r="K123">
        <f>'_pockets'!$AI$381</f>
        <v/>
      </c>
      <c r="L123">
        <f>'_pockets'!$AJ$381</f>
        <v/>
      </c>
      <c r="M123">
        <f>IF(AND($A123='Pockets'!$D$17,$B123='Pockets'!$C$17,OR('Pockets'!$E$17="All",AND('Pockets'!$E$17="Worse and material",$K123="Yes",$L123="Yes"),AND('Pockets'!$E$17="Worse or not sure",OR($K123="Yes",$K123="Not sure")))),1,0)</f>
        <v/>
      </c>
      <c r="N123">
        <f>$N122+$M123</f>
        <v/>
      </c>
      <c r="O123" t="inlineStr">
        <is>
          <t>grids</t>
        </is>
      </c>
      <c r="P123" t="inlineStr">
        <is>
          <t>gco_rate</t>
        </is>
      </c>
    </row>
    <row r="124">
      <c r="A124" t="inlineStr">
        <is>
          <t>Two-way</t>
        </is>
      </c>
      <c r="B124" t="inlineStr">
        <is>
          <t>Charge-offs</t>
        </is>
      </c>
      <c r="C124" t="n">
        <v>261</v>
      </c>
      <c r="D124" t="inlineStr">
        <is>
          <t>REV_DEBT 0 - 6,558</t>
        </is>
      </c>
      <c r="E124" t="inlineStr">
        <is>
          <t>Broker</t>
        </is>
      </c>
      <c r="G124" t="n">
        <v>542</v>
      </c>
      <c r="H124" t="n">
        <v>1.516560899328699</v>
      </c>
      <c r="J124" t="n">
        <v>32</v>
      </c>
      <c r="K124">
        <f>'_pockets'!$AI$261</f>
        <v/>
      </c>
      <c r="L124">
        <f>'_pockets'!$AJ$261</f>
        <v/>
      </c>
      <c r="M124">
        <f>IF(AND($A124='Pockets'!$D$17,$B124='Pockets'!$C$17,OR('Pockets'!$E$17="All",AND('Pockets'!$E$17="Worse and material",$K124="Yes",$L124="Yes"),AND('Pockets'!$E$17="Worse or not sure",OR($K124="Yes",$K124="Not sure")))),1,0)</f>
        <v/>
      </c>
      <c r="N124">
        <f>$N123+$M124</f>
        <v/>
      </c>
      <c r="O124" t="inlineStr">
        <is>
          <t>grids</t>
        </is>
      </c>
      <c r="P124" t="inlineStr">
        <is>
          <t>gco_rate</t>
        </is>
      </c>
    </row>
    <row r="125">
      <c r="A125" t="inlineStr">
        <is>
          <t>Two-way</t>
        </is>
      </c>
      <c r="B125" t="inlineStr">
        <is>
          <t>Charge-offs</t>
        </is>
      </c>
      <c r="C125" t="n">
        <v>251</v>
      </c>
      <c r="D125" t="inlineStr">
        <is>
          <t>REV_DEBT 6,559 - 9,836</t>
        </is>
      </c>
      <c r="E125" t="inlineStr">
        <is>
          <t>Broker</t>
        </is>
      </c>
      <c r="G125" t="n">
        <v>521</v>
      </c>
      <c r="H125" t="n">
        <v>1.527526247299735</v>
      </c>
      <c r="J125" t="n">
        <v>33</v>
      </c>
      <c r="K125">
        <f>'_pockets'!$AI$251</f>
        <v/>
      </c>
      <c r="L125">
        <f>'_pockets'!$AJ$251</f>
        <v/>
      </c>
      <c r="M125">
        <f>IF(AND($A125='Pockets'!$D$17,$B125='Pockets'!$C$17,OR('Pockets'!$E$17="All",AND('Pockets'!$E$17="Worse and material",$K125="Yes",$L125="Yes"),AND('Pockets'!$E$17="Worse or not sure",OR($K125="Yes",$K125="Not sure")))),1,0)</f>
        <v/>
      </c>
      <c r="N125">
        <f>$N124+$M125</f>
        <v/>
      </c>
      <c r="O125" t="inlineStr">
        <is>
          <t>grids</t>
        </is>
      </c>
      <c r="P125" t="inlineStr">
        <is>
          <t>gco_rate</t>
        </is>
      </c>
    </row>
    <row r="126">
      <c r="A126" t="inlineStr">
        <is>
          <t>Two-way</t>
        </is>
      </c>
      <c r="B126" t="inlineStr">
        <is>
          <t>Charge-offs</t>
        </is>
      </c>
      <c r="C126" t="n">
        <v>351</v>
      </c>
      <c r="D126" t="inlineStr">
        <is>
          <t>REV_DEBT 9,837 - 13,051</t>
        </is>
      </c>
      <c r="E126" t="inlineStr">
        <is>
          <t>ASSET_CLASS 1</t>
        </is>
      </c>
      <c r="G126" t="n">
        <v>403</v>
      </c>
      <c r="H126" t="n">
        <v>1.605014908457125</v>
      </c>
      <c r="J126" t="n">
        <v>34</v>
      </c>
      <c r="K126">
        <f>'_pockets'!$AI$351</f>
        <v/>
      </c>
      <c r="L126">
        <f>'_pockets'!$AJ$351</f>
        <v/>
      </c>
      <c r="M126">
        <f>IF(AND($A126='Pockets'!$D$17,$B126='Pockets'!$C$17,OR('Pockets'!$E$17="All",AND('Pockets'!$E$17="Worse and material",$K126="Yes",$L126="Yes"),AND('Pockets'!$E$17="Worse or not sure",OR($K126="Yes",$K126="Not sure")))),1,0)</f>
        <v/>
      </c>
      <c r="N126">
        <f>$N125+$M126</f>
        <v/>
      </c>
      <c r="O126" t="inlineStr">
        <is>
          <t>grids</t>
        </is>
      </c>
      <c r="P126" t="inlineStr">
        <is>
          <t>gco_rate</t>
        </is>
      </c>
    </row>
    <row r="127">
      <c r="A127" t="inlineStr">
        <is>
          <t>Two-way</t>
        </is>
      </c>
      <c r="B127" t="inlineStr">
        <is>
          <t>Charge-offs</t>
        </is>
      </c>
      <c r="C127" t="n">
        <v>296</v>
      </c>
      <c r="D127" t="inlineStr">
        <is>
          <t>REV_DEBT 17,187 - 48,521</t>
        </is>
      </c>
      <c r="E127" t="inlineStr">
        <is>
          <t>Online</t>
        </is>
      </c>
      <c r="G127" t="n">
        <v>568</v>
      </c>
      <c r="H127" t="n">
        <v>1.503867767088633</v>
      </c>
      <c r="J127" t="n">
        <v>35</v>
      </c>
      <c r="K127">
        <f>'_pockets'!$AI$296</f>
        <v/>
      </c>
      <c r="L127">
        <f>'_pockets'!$AJ$296</f>
        <v/>
      </c>
      <c r="M127">
        <f>IF(AND($A127='Pockets'!$D$17,$B127='Pockets'!$C$17,OR('Pockets'!$E$17="All",AND('Pockets'!$E$17="Worse and material",$K127="Yes",$L127="Yes"),AND('Pockets'!$E$17="Worse or not sure",OR($K127="Yes",$K127="Not sure")))),1,0)</f>
        <v/>
      </c>
      <c r="N127">
        <f>$N126+$M127</f>
        <v/>
      </c>
      <c r="O127" t="inlineStr">
        <is>
          <t>grids</t>
        </is>
      </c>
      <c r="P127" t="inlineStr">
        <is>
          <t>gco_rate</t>
        </is>
      </c>
    </row>
    <row r="128">
      <c r="A128" t="inlineStr">
        <is>
          <t>Two-way</t>
        </is>
      </c>
      <c r="B128" t="inlineStr">
        <is>
          <t>Charge-offs</t>
        </is>
      </c>
      <c r="C128" t="n">
        <v>176</v>
      </c>
      <c r="D128" t="inlineStr">
        <is>
          <t>FICO 496 - 653</t>
        </is>
      </c>
      <c r="E128" t="inlineStr">
        <is>
          <t>ASSET_CLASS 3</t>
        </is>
      </c>
      <c r="G128" t="n">
        <v>350</v>
      </c>
      <c r="H128" t="n">
        <v>1.652573236078345</v>
      </c>
      <c r="J128" t="n">
        <v>36</v>
      </c>
      <c r="K128">
        <f>'_pockets'!$AI$176</f>
        <v/>
      </c>
      <c r="L128">
        <f>'_pockets'!$AJ$176</f>
        <v/>
      </c>
      <c r="M128">
        <f>IF(AND($A128='Pockets'!$D$17,$B128='Pockets'!$C$17,OR('Pockets'!$E$17="All",AND('Pockets'!$E$17="Worse and material",$K128="Yes",$L128="Yes"),AND('Pockets'!$E$17="Worse or not sure",OR($K128="Yes",$K128="Not sure")))),1,0)</f>
        <v/>
      </c>
      <c r="N128">
        <f>$N127+$M128</f>
        <v/>
      </c>
      <c r="O128" t="inlineStr">
        <is>
          <t>grids</t>
        </is>
      </c>
      <c r="P128" t="inlineStr">
        <is>
          <t>gco_rate</t>
        </is>
      </c>
    </row>
    <row r="129">
      <c r="A129" t="inlineStr">
        <is>
          <t>Two-way</t>
        </is>
      </c>
      <c r="B129" t="inlineStr">
        <is>
          <t>Charge-offs</t>
        </is>
      </c>
      <c r="C129" t="n">
        <v>136</v>
      </c>
      <c r="D129" t="inlineStr">
        <is>
          <t>FICO 496 - 653</t>
        </is>
      </c>
      <c r="E129" t="inlineStr">
        <is>
          <t>ASSET_CLASS 1</t>
        </is>
      </c>
      <c r="G129" t="n">
        <v>420</v>
      </c>
      <c r="H129" t="n">
        <v>1.591781478365131</v>
      </c>
      <c r="J129" t="n">
        <v>37</v>
      </c>
      <c r="K129">
        <f>'_pockets'!$AI$136</f>
        <v/>
      </c>
      <c r="L129">
        <f>'_pockets'!$AJ$136</f>
        <v/>
      </c>
      <c r="M129">
        <f>IF(AND($A129='Pockets'!$D$17,$B129='Pockets'!$C$17,OR('Pockets'!$E$17="All",AND('Pockets'!$E$17="Worse and material",$K129="Yes",$L129="Yes"),AND('Pockets'!$E$17="Worse or not sure",OR($K129="Yes",$K129="Not sure")))),1,0)</f>
        <v/>
      </c>
      <c r="N129">
        <f>$N128+$M129</f>
        <v/>
      </c>
      <c r="O129" t="inlineStr">
        <is>
          <t>grids</t>
        </is>
      </c>
      <c r="P129" t="inlineStr">
        <is>
          <t>gco_rate</t>
        </is>
      </c>
    </row>
    <row r="130">
      <c r="A130" t="inlineStr">
        <is>
          <t>Two-way</t>
        </is>
      </c>
      <c r="B130" t="inlineStr">
        <is>
          <t>Charge-offs</t>
        </is>
      </c>
      <c r="C130" t="n">
        <v>281</v>
      </c>
      <c r="D130" t="inlineStr">
        <is>
          <t>REV_DEBT 17,187 - 48,521</t>
        </is>
      </c>
      <c r="E130" t="inlineStr">
        <is>
          <t>Branch</t>
        </is>
      </c>
      <c r="G130" t="n">
        <v>525</v>
      </c>
      <c r="H130" t="n">
        <v>1.525385035822323</v>
      </c>
      <c r="J130" t="n">
        <v>38</v>
      </c>
      <c r="K130">
        <f>'_pockets'!$AI$281</f>
        <v/>
      </c>
      <c r="L130">
        <f>'_pockets'!$AJ$281</f>
        <v/>
      </c>
      <c r="M130">
        <f>IF(AND($A130='Pockets'!$D$17,$B130='Pockets'!$C$17,OR('Pockets'!$E$17="All",AND('Pockets'!$E$17="Worse and material",$K130="Yes",$L130="Yes"),AND('Pockets'!$E$17="Worse or not sure",OR($K130="Yes",$K130="Not sure")))),1,0)</f>
        <v/>
      </c>
      <c r="N130">
        <f>$N129+$M130</f>
        <v/>
      </c>
      <c r="O130" t="inlineStr">
        <is>
          <t>grids</t>
        </is>
      </c>
      <c r="P130" t="inlineStr">
        <is>
          <t>gco_rate</t>
        </is>
      </c>
    </row>
    <row r="131">
      <c r="A131" t="inlineStr">
        <is>
          <t>Two-way</t>
        </is>
      </c>
      <c r="B131" t="inlineStr">
        <is>
          <t>Charge-offs</t>
        </is>
      </c>
      <c r="C131" t="n">
        <v>391</v>
      </c>
      <c r="D131" t="inlineStr">
        <is>
          <t>REV_DEBT 17,187 - 48,521</t>
        </is>
      </c>
      <c r="E131" t="inlineStr">
        <is>
          <t>ASSET_CLASS 1</t>
        </is>
      </c>
      <c r="G131" t="n">
        <v>411</v>
      </c>
      <c r="H131" t="n">
        <v>1.598680823859024</v>
      </c>
      <c r="J131" t="n">
        <v>39</v>
      </c>
      <c r="K131">
        <f>'_pockets'!$AI$391</f>
        <v/>
      </c>
      <c r="L131">
        <f>'_pockets'!$AJ$391</f>
        <v/>
      </c>
      <c r="M131">
        <f>IF(AND($A131='Pockets'!$D$17,$B131='Pockets'!$C$17,OR('Pockets'!$E$17="All",AND('Pockets'!$E$17="Worse and material",$K131="Yes",$L131="Yes"),AND('Pockets'!$E$17="Worse or not sure",OR($K131="Yes",$K131="Not sure")))),1,0)</f>
        <v/>
      </c>
      <c r="N131">
        <f>$N130+$M131</f>
        <v/>
      </c>
      <c r="O131" t="inlineStr">
        <is>
          <t>grids</t>
        </is>
      </c>
      <c r="P131" t="inlineStr">
        <is>
          <t>gco_rate</t>
        </is>
      </c>
    </row>
    <row r="132">
      <c r="A132" t="inlineStr">
        <is>
          <t>Two-way</t>
        </is>
      </c>
      <c r="B132" t="inlineStr">
        <is>
          <t>Charge-offs</t>
        </is>
      </c>
      <c r="C132" t="n">
        <v>386</v>
      </c>
      <c r="D132" t="inlineStr">
        <is>
          <t>REV_DEBT 17,187 - 48,521</t>
        </is>
      </c>
      <c r="E132" t="inlineStr">
        <is>
          <t>ASSET_CLASS 2</t>
        </is>
      </c>
      <c r="G132" t="n">
        <v>385</v>
      </c>
      <c r="H132" t="n">
        <v>1.620013199641492</v>
      </c>
      <c r="J132" t="n">
        <v>40</v>
      </c>
      <c r="K132">
        <f>'_pockets'!$AI$386</f>
        <v/>
      </c>
      <c r="L132">
        <f>'_pockets'!$AJ$386</f>
        <v/>
      </c>
      <c r="M132">
        <f>IF(AND($A132='Pockets'!$D$17,$B132='Pockets'!$C$17,OR('Pockets'!$E$17="All",AND('Pockets'!$E$17="Worse and material",$K132="Yes",$L132="Yes"),AND('Pockets'!$E$17="Worse or not sure",OR($K132="Yes",$K132="Not sure")))),1,0)</f>
        <v/>
      </c>
      <c r="N132">
        <f>$N131+$M132</f>
        <v/>
      </c>
      <c r="O132" t="inlineStr">
        <is>
          <t>grids</t>
        </is>
      </c>
      <c r="P132" t="inlineStr">
        <is>
          <t>gco_rate</t>
        </is>
      </c>
    </row>
    <row r="133">
      <c r="A133" t="inlineStr">
        <is>
          <t>Two-way</t>
        </is>
      </c>
      <c r="B133" t="inlineStr">
        <is>
          <t>Charge-offs</t>
        </is>
      </c>
      <c r="C133" t="n">
        <v>121</v>
      </c>
      <c r="D133" t="inlineStr">
        <is>
          <t>FICO 496 - 653</t>
        </is>
      </c>
      <c r="E133" t="inlineStr">
        <is>
          <t>ASSET_CLASS 2</t>
        </is>
      </c>
      <c r="G133" t="n">
        <v>394</v>
      </c>
      <c r="H133" t="n">
        <v>1.612380046491247</v>
      </c>
      <c r="J133" t="n">
        <v>41</v>
      </c>
      <c r="K133">
        <f>'_pockets'!$AI$121</f>
        <v/>
      </c>
      <c r="L133">
        <f>'_pockets'!$AJ$121</f>
        <v/>
      </c>
      <c r="M133">
        <f>IF(AND($A133='Pockets'!$D$17,$B133='Pockets'!$C$17,OR('Pockets'!$E$17="All",AND('Pockets'!$E$17="Worse and material",$K133="Yes",$L133="Yes"),AND('Pockets'!$E$17="Worse or not sure",OR($K133="Yes",$K133="Not sure")))),1,0)</f>
        <v/>
      </c>
      <c r="N133">
        <f>$N132+$M133</f>
        <v/>
      </c>
      <c r="O133" t="inlineStr">
        <is>
          <t>grids</t>
        </is>
      </c>
      <c r="P133" t="inlineStr">
        <is>
          <t>gco_rate</t>
        </is>
      </c>
    </row>
    <row r="134">
      <c r="A134" t="inlineStr">
        <is>
          <t>Two-way</t>
        </is>
      </c>
      <c r="B134" t="inlineStr">
        <is>
          <t>Charge-offs</t>
        </is>
      </c>
      <c r="C134" t="n">
        <v>81</v>
      </c>
      <c r="D134" t="inlineStr">
        <is>
          <t>FICO 496 - 653</t>
        </is>
      </c>
      <c r="E134" t="inlineStr">
        <is>
          <t>Online</t>
        </is>
      </c>
      <c r="G134" t="n">
        <v>531</v>
      </c>
      <c r="H134" t="n">
        <v>1.522220431423272</v>
      </c>
      <c r="J134" t="n">
        <v>42</v>
      </c>
      <c r="K134">
        <f>'_pockets'!$AI$81</f>
        <v/>
      </c>
      <c r="L134">
        <f>'_pockets'!$AJ$81</f>
        <v/>
      </c>
      <c r="M134">
        <f>IF(AND($A134='Pockets'!$D$17,$B134='Pockets'!$C$17,OR('Pockets'!$E$17="All",AND('Pockets'!$E$17="Worse and material",$K134="Yes",$L134="Yes"),AND('Pockets'!$E$17="Worse or not sure",OR($K134="Yes",$K134="Not sure")))),1,0)</f>
        <v/>
      </c>
      <c r="N134">
        <f>$N133+$M134</f>
        <v/>
      </c>
      <c r="O134" t="inlineStr">
        <is>
          <t>grids</t>
        </is>
      </c>
      <c r="P134" t="inlineStr">
        <is>
          <t>gco_rate</t>
        </is>
      </c>
    </row>
    <row r="135">
      <c r="A135" t="inlineStr">
        <is>
          <t>Two-way</t>
        </is>
      </c>
      <c r="B135" t="inlineStr">
        <is>
          <t>Charge-offs</t>
        </is>
      </c>
      <c r="C135" t="n">
        <v>21</v>
      </c>
      <c r="D135" t="inlineStr">
        <is>
          <t>FICO 496 - 653</t>
        </is>
      </c>
      <c r="E135" t="inlineStr">
        <is>
          <t>Branch</t>
        </is>
      </c>
      <c r="G135" t="n">
        <v>502</v>
      </c>
      <c r="H135" t="n">
        <v>1.5380578187653</v>
      </c>
      <c r="J135" t="n">
        <v>43</v>
      </c>
      <c r="K135">
        <f>'_pockets'!$AI$21</f>
        <v/>
      </c>
      <c r="L135">
        <f>'_pockets'!$AJ$21</f>
        <v/>
      </c>
      <c r="M135">
        <f>IF(AND($A135='Pockets'!$D$17,$B135='Pockets'!$C$17,OR('Pockets'!$E$17="All",AND('Pockets'!$E$17="Worse and material",$K135="Yes",$L135="Yes"),AND('Pockets'!$E$17="Worse or not sure",OR($K135="Yes",$K135="Not sure")))),1,0)</f>
        <v/>
      </c>
      <c r="N135">
        <f>$N134+$M135</f>
        <v/>
      </c>
      <c r="O135" t="inlineStr">
        <is>
          <t>grids</t>
        </is>
      </c>
      <c r="P135" t="inlineStr">
        <is>
          <t>gco_rate</t>
        </is>
      </c>
    </row>
    <row r="136">
      <c r="A136" t="inlineStr">
        <is>
          <t>Two-way</t>
        </is>
      </c>
      <c r="B136" t="inlineStr">
        <is>
          <t>Charge-offs</t>
        </is>
      </c>
      <c r="C136" t="n">
        <v>301</v>
      </c>
      <c r="D136" t="inlineStr">
        <is>
          <t>REV_DEBT 13,052 - 17,186</t>
        </is>
      </c>
      <c r="E136" t="inlineStr">
        <is>
          <t>ASSET_CLASS 1</t>
        </is>
      </c>
      <c r="G136" t="n">
        <v>424</v>
      </c>
      <c r="H136" t="n">
        <v>1.588788794806324</v>
      </c>
      <c r="J136" t="n">
        <v>44</v>
      </c>
      <c r="K136">
        <f>'_pockets'!$AI$301</f>
        <v/>
      </c>
      <c r="L136">
        <f>'_pockets'!$AJ$301</f>
        <v/>
      </c>
      <c r="M136">
        <f>IF(AND($A136='Pockets'!$D$17,$B136='Pockets'!$C$17,OR('Pockets'!$E$17="All",AND('Pockets'!$E$17="Worse and material",$K136="Yes",$L136="Yes"),AND('Pockets'!$E$17="Worse or not sure",OR($K136="Yes",$K136="Not sure")))),1,0)</f>
        <v/>
      </c>
      <c r="N136">
        <f>$N135+$M136</f>
        <v/>
      </c>
      <c r="O136" t="inlineStr">
        <is>
          <t>grids</t>
        </is>
      </c>
      <c r="P136" t="inlineStr">
        <is>
          <t>gco_rate</t>
        </is>
      </c>
    </row>
    <row r="137">
      <c r="A137" t="inlineStr">
        <is>
          <t>Two-way</t>
        </is>
      </c>
      <c r="B137" t="inlineStr">
        <is>
          <t>Charge-offs</t>
        </is>
      </c>
      <c r="C137" t="n">
        <v>71</v>
      </c>
      <c r="D137" t="inlineStr">
        <is>
          <t>FICO 654 - 685</t>
        </is>
      </c>
      <c r="E137" t="inlineStr">
        <is>
          <t>Online</t>
        </is>
      </c>
      <c r="G137" t="n">
        <v>505</v>
      </c>
      <c r="H137" t="n">
        <v>1.536353963902831</v>
      </c>
      <c r="J137" t="n">
        <v>45</v>
      </c>
      <c r="K137">
        <f>'_pockets'!$AI$71</f>
        <v/>
      </c>
      <c r="L137">
        <f>'_pockets'!$AJ$71</f>
        <v/>
      </c>
      <c r="M137">
        <f>IF(AND($A137='Pockets'!$D$17,$B137='Pockets'!$C$17,OR('Pockets'!$E$17="All",AND('Pockets'!$E$17="Worse and material",$K137="Yes",$L137="Yes"),AND('Pockets'!$E$17="Worse or not sure",OR($K137="Yes",$K137="Not sure")))),1,0)</f>
        <v/>
      </c>
      <c r="N137">
        <f>$N136+$M137</f>
        <v/>
      </c>
      <c r="O137" t="inlineStr">
        <is>
          <t>grids</t>
        </is>
      </c>
      <c r="P137" t="inlineStr">
        <is>
          <t>gco_rate</t>
        </is>
      </c>
    </row>
    <row r="138">
      <c r="A138" t="inlineStr">
        <is>
          <t>Two-way</t>
        </is>
      </c>
      <c r="B138" t="inlineStr">
        <is>
          <t>Charge-offs</t>
        </is>
      </c>
      <c r="C138" t="n">
        <v>371</v>
      </c>
      <c r="D138" t="inlineStr">
        <is>
          <t>REV_DEBT 13,052 - 17,186</t>
        </is>
      </c>
      <c r="E138" t="inlineStr">
        <is>
          <t>ASSET_CLASS 3</t>
        </is>
      </c>
      <c r="G138" t="n">
        <v>373</v>
      </c>
      <c r="H138" t="n">
        <v>1.630636329507988</v>
      </c>
      <c r="J138" t="n">
        <v>46</v>
      </c>
      <c r="K138">
        <f>'_pockets'!$AI$371</f>
        <v/>
      </c>
      <c r="L138">
        <f>'_pockets'!$AJ$371</f>
        <v/>
      </c>
      <c r="M138">
        <f>IF(AND($A138='Pockets'!$D$17,$B138='Pockets'!$C$17,OR('Pockets'!$E$17="All",AND('Pockets'!$E$17="Worse and material",$K138="Yes",$L138="Yes"),AND('Pockets'!$E$17="Worse or not sure",OR($K138="Yes",$K138="Not sure")))),1,0)</f>
        <v/>
      </c>
      <c r="N138">
        <f>$N137+$M138</f>
        <v/>
      </c>
      <c r="O138" t="inlineStr">
        <is>
          <t>grids</t>
        </is>
      </c>
      <c r="P138" t="inlineStr">
        <is>
          <t>gco_rate</t>
        </is>
      </c>
    </row>
    <row r="139">
      <c r="A139" t="inlineStr">
        <is>
          <t>Two-way</t>
        </is>
      </c>
      <c r="B139" t="inlineStr">
        <is>
          <t>Charge-offs</t>
        </is>
      </c>
      <c r="C139" t="n">
        <v>76</v>
      </c>
      <c r="D139" t="inlineStr">
        <is>
          <t>FICO 654 - 685</t>
        </is>
      </c>
      <c r="E139" t="inlineStr">
        <is>
          <t>Broker</t>
        </is>
      </c>
      <c r="G139" t="n">
        <v>531</v>
      </c>
      <c r="H139" t="n">
        <v>1.522220431423272</v>
      </c>
      <c r="J139" t="n">
        <v>47</v>
      </c>
      <c r="K139">
        <f>'_pockets'!$AI$76</f>
        <v/>
      </c>
      <c r="L139">
        <f>'_pockets'!$AJ$76</f>
        <v/>
      </c>
      <c r="M139">
        <f>IF(AND($A139='Pockets'!$D$17,$B139='Pockets'!$C$17,OR('Pockets'!$E$17="All",AND('Pockets'!$E$17="Worse and material",$K139="Yes",$L139="Yes"),AND('Pockets'!$E$17="Worse or not sure",OR($K139="Yes",$K139="Not sure")))),1,0)</f>
        <v/>
      </c>
      <c r="N139">
        <f>$N138+$M139</f>
        <v/>
      </c>
      <c r="O139" t="inlineStr">
        <is>
          <t>grids</t>
        </is>
      </c>
      <c r="P139" t="inlineStr">
        <is>
          <t>gco_rate</t>
        </is>
      </c>
    </row>
    <row r="140">
      <c r="A140" t="inlineStr">
        <is>
          <t>Two-way</t>
        </is>
      </c>
      <c r="B140" t="inlineStr">
        <is>
          <t>Charge-offs</t>
        </is>
      </c>
      <c r="C140" t="n">
        <v>346</v>
      </c>
      <c r="D140" t="inlineStr">
        <is>
          <t>REV_DEBT 13,052 - 17,186</t>
        </is>
      </c>
      <c r="E140" t="inlineStr">
        <is>
          <t>ASSET_CLASS 2</t>
        </is>
      </c>
      <c r="G140" t="n">
        <v>392</v>
      </c>
      <c r="H140" t="n">
        <v>1.614052582173903</v>
      </c>
      <c r="J140" t="n">
        <v>48</v>
      </c>
      <c r="K140">
        <f>'_pockets'!$AI$346</f>
        <v/>
      </c>
      <c r="L140">
        <f>'_pockets'!$AJ$346</f>
        <v/>
      </c>
      <c r="M140">
        <f>IF(AND($A140='Pockets'!$D$17,$B140='Pockets'!$C$17,OR('Pockets'!$E$17="All",AND('Pockets'!$E$17="Worse and material",$K140="Yes",$L140="Yes"),AND('Pockets'!$E$17="Worse or not sure",OR($K140="Yes",$K140="Not sure")))),1,0)</f>
        <v/>
      </c>
      <c r="N140">
        <f>$N139+$M140</f>
        <v/>
      </c>
      <c r="O140" t="inlineStr">
        <is>
          <t>grids</t>
        </is>
      </c>
      <c r="P140" t="inlineStr">
        <is>
          <t>gco_rate</t>
        </is>
      </c>
    </row>
    <row r="141">
      <c r="A141" t="inlineStr">
        <is>
          <t>Two-way</t>
        </is>
      </c>
      <c r="B141" t="inlineStr">
        <is>
          <t>Kept after losses</t>
        </is>
      </c>
      <c r="C141" t="n">
        <v>32</v>
      </c>
      <c r="D141" t="inlineStr">
        <is>
          <t>FICO 496 - 653</t>
        </is>
      </c>
      <c r="E141" t="inlineStr">
        <is>
          <t>Broker</t>
        </is>
      </c>
      <c r="G141" t="n">
        <v>523</v>
      </c>
      <c r="H141" t="n">
        <v>-2.57623637023422</v>
      </c>
      <c r="J141" t="n">
        <v>1</v>
      </c>
      <c r="K141">
        <f>'_pockets'!$AI$32</f>
        <v/>
      </c>
      <c r="L141">
        <f>'_pockets'!$AJ$32</f>
        <v/>
      </c>
      <c r="M141">
        <f>IF(AND($A141='Pockets'!$D$17,$B141='Pockets'!$C$17,OR('Pockets'!$E$17="All",AND('Pockets'!$E$17="Worse and material",$K141="Yes",$L141="Yes"),AND('Pockets'!$E$17="Worse or not sure",OR($K141="Yes",$K141="Not sure")))),1,0)</f>
        <v/>
      </c>
      <c r="N141">
        <f>$N140+$M141</f>
        <v/>
      </c>
      <c r="O141" t="inlineStr">
        <is>
          <t>grids</t>
        </is>
      </c>
      <c r="P141" t="inlineStr">
        <is>
          <t>ranr_rate</t>
        </is>
      </c>
    </row>
    <row r="142">
      <c r="A142" t="inlineStr">
        <is>
          <t>Two-way</t>
        </is>
      </c>
      <c r="B142" t="inlineStr">
        <is>
          <t>Kept after losses</t>
        </is>
      </c>
      <c r="C142" t="n">
        <v>277</v>
      </c>
      <c r="D142" t="inlineStr">
        <is>
          <t>REV_DEBT 17,187 - 48,521</t>
        </is>
      </c>
      <c r="E142" t="inlineStr">
        <is>
          <t>Broker</t>
        </is>
      </c>
      <c r="G142" t="n">
        <v>507</v>
      </c>
      <c r="H142" t="n">
        <v>-2.613775807368956</v>
      </c>
      <c r="J142" t="n">
        <v>2</v>
      </c>
      <c r="K142">
        <f>'_pockets'!$AI$277</f>
        <v/>
      </c>
      <c r="L142">
        <f>'_pockets'!$AJ$277</f>
        <v/>
      </c>
      <c r="M142">
        <f>IF(AND($A142='Pockets'!$D$17,$B142='Pockets'!$C$17,OR('Pockets'!$E$17="All",AND('Pockets'!$E$17="Worse and material",$K142="Yes",$L142="Yes"),AND('Pockets'!$E$17="Worse or not sure",OR($K142="Yes",$K142="Not sure")))),1,0)</f>
        <v/>
      </c>
      <c r="N142">
        <f>$N141+$M142</f>
        <v/>
      </c>
      <c r="O142" t="inlineStr">
        <is>
          <t>grids</t>
        </is>
      </c>
      <c r="P142" t="inlineStr">
        <is>
          <t>ranr_rate</t>
        </is>
      </c>
    </row>
    <row r="143">
      <c r="A143" t="inlineStr">
        <is>
          <t>Two-way</t>
        </is>
      </c>
      <c r="B143" t="inlineStr">
        <is>
          <t>Kept after losses</t>
        </is>
      </c>
      <c r="C143" t="n">
        <v>242</v>
      </c>
      <c r="D143" t="inlineStr">
        <is>
          <t>REV_DEBT 9,837 - 13,051</t>
        </is>
      </c>
      <c r="E143" t="inlineStr">
        <is>
          <t>Branch</t>
        </is>
      </c>
      <c r="G143" t="n">
        <v>540</v>
      </c>
      <c r="H143" t="n">
        <v>-2.538247776565272</v>
      </c>
      <c r="J143" t="n">
        <v>3</v>
      </c>
      <c r="K143">
        <f>'_pockets'!$AI$242</f>
        <v/>
      </c>
      <c r="L143">
        <f>'_pockets'!$AJ$242</f>
        <v/>
      </c>
      <c r="M143">
        <f>IF(AND($A143='Pockets'!$D$17,$B143='Pockets'!$C$17,OR('Pockets'!$E$17="All",AND('Pockets'!$E$17="Worse and material",$K143="Yes",$L143="Yes"),AND('Pockets'!$E$17="Worse or not sure",OR($K143="Yes",$K143="Not sure")))),1,0)</f>
        <v/>
      </c>
      <c r="N143">
        <f>$N142+$M143</f>
        <v/>
      </c>
      <c r="O143" t="inlineStr">
        <is>
          <t>grids</t>
        </is>
      </c>
      <c r="P143" t="inlineStr">
        <is>
          <t>ranr_rate</t>
        </is>
      </c>
    </row>
    <row r="144">
      <c r="A144" t="inlineStr">
        <is>
          <t>Two-way</t>
        </is>
      </c>
      <c r="B144" t="inlineStr">
        <is>
          <t>Kept after losses</t>
        </is>
      </c>
      <c r="C144" t="n">
        <v>262</v>
      </c>
      <c r="D144" t="inlineStr">
        <is>
          <t>REV_DEBT 0 - 6,558</t>
        </is>
      </c>
      <c r="E144" t="inlineStr">
        <is>
          <t>Broker</t>
        </is>
      </c>
      <c r="G144" t="n">
        <v>542</v>
      </c>
      <c r="H144" t="n">
        <v>-2.533900067582121</v>
      </c>
      <c r="J144" t="n">
        <v>4</v>
      </c>
      <c r="K144">
        <f>'_pockets'!$AI$262</f>
        <v/>
      </c>
      <c r="L144">
        <f>'_pockets'!$AJ$262</f>
        <v/>
      </c>
      <c r="M144">
        <f>IF(AND($A144='Pockets'!$D$17,$B144='Pockets'!$C$17,OR('Pockets'!$E$17="All",AND('Pockets'!$E$17="Worse and material",$K144="Yes",$L144="Yes"),AND('Pockets'!$E$17="Worse or not sure",OR($K144="Yes",$K144="Not sure")))),1,0)</f>
        <v/>
      </c>
      <c r="N144">
        <f>$N143+$M144</f>
        <v/>
      </c>
      <c r="O144" t="inlineStr">
        <is>
          <t>grids</t>
        </is>
      </c>
      <c r="P144" t="inlineStr">
        <is>
          <t>ranr_rate</t>
        </is>
      </c>
    </row>
    <row r="145">
      <c r="A145" t="inlineStr">
        <is>
          <t>Two-way</t>
        </is>
      </c>
      <c r="B145" t="inlineStr">
        <is>
          <t>Kept after losses</t>
        </is>
      </c>
      <c r="C145" t="n">
        <v>37</v>
      </c>
      <c r="D145" t="inlineStr">
        <is>
          <t>FICO 686 - 711</t>
        </is>
      </c>
      <c r="E145" t="inlineStr">
        <is>
          <t>Broker</t>
        </is>
      </c>
      <c r="G145" t="n">
        <v>501</v>
      </c>
      <c r="H145" t="n">
        <v>-2.628328334371023</v>
      </c>
      <c r="J145" t="n">
        <v>5</v>
      </c>
      <c r="K145">
        <f>'_pockets'!$AI$37</f>
        <v/>
      </c>
      <c r="L145">
        <f>'_pockets'!$AJ$37</f>
        <v/>
      </c>
      <c r="M145">
        <f>IF(AND($A145='Pockets'!$D$17,$B145='Pockets'!$C$17,OR('Pockets'!$E$17="All",AND('Pockets'!$E$17="Worse and material",$K145="Yes",$L145="Yes"),AND('Pockets'!$E$17="Worse or not sure",OR($K145="Yes",$K145="Not sure")))),1,0)</f>
        <v/>
      </c>
      <c r="N145">
        <f>$N144+$M145</f>
        <v/>
      </c>
      <c r="O145" t="inlineStr">
        <is>
          <t>grids</t>
        </is>
      </c>
      <c r="P145" t="inlineStr">
        <is>
          <t>ranr_rate</t>
        </is>
      </c>
    </row>
    <row r="146">
      <c r="A146" t="inlineStr">
        <is>
          <t>Two-way</t>
        </is>
      </c>
      <c r="B146" t="inlineStr">
        <is>
          <t>Kept after losses</t>
        </is>
      </c>
      <c r="C146" t="n">
        <v>152</v>
      </c>
      <c r="D146" t="inlineStr">
        <is>
          <t>FICO 496 - 653</t>
        </is>
      </c>
      <c r="E146" t="inlineStr">
        <is>
          <t>ASSET_CLASS 4</t>
        </is>
      </c>
      <c r="G146" t="n">
        <v>392</v>
      </c>
      <c r="H146" t="n">
        <v>-2.949996198155777</v>
      </c>
      <c r="J146" t="n">
        <v>6</v>
      </c>
      <c r="K146">
        <f>'_pockets'!$AI$152</f>
        <v/>
      </c>
      <c r="L146">
        <f>'_pockets'!$AJ$152</f>
        <v/>
      </c>
      <c r="M146">
        <f>IF(AND($A146='Pockets'!$D$17,$B146='Pockets'!$C$17,OR('Pockets'!$E$17="All",AND('Pockets'!$E$17="Worse and material",$K146="Yes",$L146="Yes"),AND('Pockets'!$E$17="Worse or not sure",OR($K146="Yes",$K146="Not sure")))),1,0)</f>
        <v/>
      </c>
      <c r="N146">
        <f>$N145+$M146</f>
        <v/>
      </c>
      <c r="O146" t="inlineStr">
        <is>
          <t>grids</t>
        </is>
      </c>
      <c r="P146" t="inlineStr">
        <is>
          <t>ranr_rate</t>
        </is>
      </c>
    </row>
    <row r="147">
      <c r="A147" t="inlineStr">
        <is>
          <t>Two-way</t>
        </is>
      </c>
      <c r="B147" t="inlineStr">
        <is>
          <t>Kept after losses</t>
        </is>
      </c>
      <c r="C147" t="n">
        <v>192</v>
      </c>
      <c r="D147" t="inlineStr">
        <is>
          <t>FICO 654 - 685</t>
        </is>
      </c>
      <c r="E147" t="inlineStr">
        <is>
          <t>ASSET_CLASS 4</t>
        </is>
      </c>
      <c r="G147" t="n">
        <v>410</v>
      </c>
      <c r="H147" t="n">
        <v>-2.887932200381736</v>
      </c>
      <c r="J147" t="n">
        <v>7</v>
      </c>
      <c r="K147">
        <f>'_pockets'!$AI$192</f>
        <v/>
      </c>
      <c r="L147">
        <f>'_pockets'!$AJ$192</f>
        <v/>
      </c>
      <c r="M147">
        <f>IF(AND($A147='Pockets'!$D$17,$B147='Pockets'!$C$17,OR('Pockets'!$E$17="All",AND('Pockets'!$E$17="Worse and material",$K147="Yes",$L147="Yes"),AND('Pockets'!$E$17="Worse or not sure",OR($K147="Yes",$K147="Not sure")))),1,0)</f>
        <v/>
      </c>
      <c r="N147">
        <f>$N146+$M147</f>
        <v/>
      </c>
      <c r="O147" t="inlineStr">
        <is>
          <t>grids</t>
        </is>
      </c>
      <c r="P147" t="inlineStr">
        <is>
          <t>ranr_rate</t>
        </is>
      </c>
    </row>
    <row r="148">
      <c r="A148" t="inlineStr">
        <is>
          <t>Two-way</t>
        </is>
      </c>
      <c r="B148" t="inlineStr">
        <is>
          <t>Kept after losses</t>
        </is>
      </c>
      <c r="C148" t="n">
        <v>357</v>
      </c>
      <c r="D148" t="inlineStr">
        <is>
          <t>REV_DEBT 17,187 - 48,521</t>
        </is>
      </c>
      <c r="E148" t="inlineStr">
        <is>
          <t>ASSET_CLASS 4</t>
        </is>
      </c>
      <c r="G148" t="n">
        <v>424</v>
      </c>
      <c r="H148" t="n">
        <v>-2.842476946101582</v>
      </c>
      <c r="J148" t="n">
        <v>8</v>
      </c>
      <c r="K148">
        <f>'_pockets'!$AI$357</f>
        <v/>
      </c>
      <c r="L148">
        <f>'_pockets'!$AJ$357</f>
        <v/>
      </c>
      <c r="M148">
        <f>IF(AND($A148='Pockets'!$D$17,$B148='Pockets'!$C$17,OR('Pockets'!$E$17="All",AND('Pockets'!$E$17="Worse and material",$K148="Yes",$L148="Yes"),AND('Pockets'!$E$17="Worse or not sure",OR($K148="Yes",$K148="Not sure")))),1,0)</f>
        <v/>
      </c>
      <c r="N148">
        <f>$N147+$M148</f>
        <v/>
      </c>
      <c r="O148" t="inlineStr">
        <is>
          <t>grids</t>
        </is>
      </c>
      <c r="P148" t="inlineStr">
        <is>
          <t>ranr_rate</t>
        </is>
      </c>
    </row>
    <row r="149">
      <c r="A149" t="inlineStr">
        <is>
          <t>Two-way</t>
        </is>
      </c>
      <c r="B149" t="inlineStr">
        <is>
          <t>Kept after losses</t>
        </is>
      </c>
      <c r="C149" t="n">
        <v>342</v>
      </c>
      <c r="D149" t="inlineStr">
        <is>
          <t>REV_DEBT 13,052 - 17,186</t>
        </is>
      </c>
      <c r="E149" t="inlineStr">
        <is>
          <t>ASSET_CLASS 4</t>
        </is>
      </c>
      <c r="G149" t="n">
        <v>411</v>
      </c>
      <c r="H149" t="n">
        <v>-2.884606819321259</v>
      </c>
      <c r="J149" t="n">
        <v>9</v>
      </c>
      <c r="K149">
        <f>'_pockets'!$AI$342</f>
        <v/>
      </c>
      <c r="L149">
        <f>'_pockets'!$AJ$342</f>
        <v/>
      </c>
      <c r="M149">
        <f>IF(AND($A149='Pockets'!$D$17,$B149='Pockets'!$C$17,OR('Pockets'!$E$17="All",AND('Pockets'!$E$17="Worse and material",$K149="Yes",$L149="Yes"),AND('Pockets'!$E$17="Worse or not sure",OR($K149="Yes",$K149="Not sure")))),1,0)</f>
        <v/>
      </c>
      <c r="N149">
        <f>$N148+$M149</f>
        <v/>
      </c>
      <c r="O149" t="inlineStr">
        <is>
          <t>grids</t>
        </is>
      </c>
      <c r="P149" t="inlineStr">
        <is>
          <t>ranr_rate</t>
        </is>
      </c>
    </row>
    <row r="150">
      <c r="A150" t="inlineStr">
        <is>
          <t>Two-way</t>
        </is>
      </c>
      <c r="B150" t="inlineStr">
        <is>
          <t>Kept after losses</t>
        </is>
      </c>
      <c r="C150" t="n">
        <v>247</v>
      </c>
      <c r="D150" t="inlineStr">
        <is>
          <t>REV_DEBT 13,052 - 17,186</t>
        </is>
      </c>
      <c r="E150" t="inlineStr">
        <is>
          <t>Broker</t>
        </is>
      </c>
      <c r="G150" t="n">
        <v>553</v>
      </c>
      <c r="H150" t="n">
        <v>-2.510424220480884</v>
      </c>
      <c r="J150" t="n">
        <v>10</v>
      </c>
      <c r="K150">
        <f>'_pockets'!$AI$247</f>
        <v/>
      </c>
      <c r="L150">
        <f>'_pockets'!$AJ$247</f>
        <v/>
      </c>
      <c r="M150">
        <f>IF(AND($A150='Pockets'!$D$17,$B150='Pockets'!$C$17,OR('Pockets'!$E$17="All",AND('Pockets'!$E$17="Worse and material",$K150="Yes",$L150="Yes"),AND('Pockets'!$E$17="Worse or not sure",OR($K150="Yes",$K150="Not sure")))),1,0)</f>
        <v/>
      </c>
      <c r="N150">
        <f>$N149+$M150</f>
        <v/>
      </c>
      <c r="O150" t="inlineStr">
        <is>
          <t>grids</t>
        </is>
      </c>
      <c r="P150" t="inlineStr">
        <is>
          <t>ranr_rate</t>
        </is>
      </c>
    </row>
    <row r="151">
      <c r="A151" t="inlineStr">
        <is>
          <t>Two-way</t>
        </is>
      </c>
      <c r="B151" t="inlineStr">
        <is>
          <t>Kept after losses</t>
        </is>
      </c>
      <c r="C151" t="n">
        <v>57</v>
      </c>
      <c r="D151" t="inlineStr">
        <is>
          <t>FICO 654 - 685</t>
        </is>
      </c>
      <c r="E151" t="inlineStr">
        <is>
          <t>Branch</t>
        </is>
      </c>
      <c r="G151" t="n">
        <v>503</v>
      </c>
      <c r="H151" t="n">
        <v>-2.62344773470867</v>
      </c>
      <c r="J151" t="n">
        <v>11</v>
      </c>
      <c r="K151">
        <f>'_pockets'!$AI$57</f>
        <v/>
      </c>
      <c r="L151">
        <f>'_pockets'!$AJ$57</f>
        <v/>
      </c>
      <c r="M151">
        <f>IF(AND($A151='Pockets'!$D$17,$B151='Pockets'!$C$17,OR('Pockets'!$E$17="All",AND('Pockets'!$E$17="Worse and material",$K151="Yes",$L151="Yes"),AND('Pockets'!$E$17="Worse or not sure",OR($K151="Yes",$K151="Not sure")))),1,0)</f>
        <v/>
      </c>
      <c r="N151">
        <f>$N150+$M151</f>
        <v/>
      </c>
      <c r="O151" t="inlineStr">
        <is>
          <t>grids</t>
        </is>
      </c>
      <c r="P151" t="inlineStr">
        <is>
          <t>ranr_rate</t>
        </is>
      </c>
    </row>
    <row r="152">
      <c r="A152" t="inlineStr">
        <is>
          <t>Two-way</t>
        </is>
      </c>
      <c r="B152" t="inlineStr">
        <is>
          <t>Kept after losses</t>
        </is>
      </c>
      <c r="C152" t="n">
        <v>87</v>
      </c>
      <c r="D152" t="inlineStr">
        <is>
          <t>FICO 686 - 711</t>
        </is>
      </c>
      <c r="E152" t="inlineStr">
        <is>
          <t>Branch</t>
        </is>
      </c>
      <c r="G152" t="n">
        <v>515</v>
      </c>
      <c r="H152" t="n">
        <v>-2.59478090908457</v>
      </c>
      <c r="J152" t="n">
        <v>12</v>
      </c>
      <c r="K152">
        <f>'_pockets'!$AI$87</f>
        <v/>
      </c>
      <c r="L152">
        <f>'_pockets'!$AJ$87</f>
        <v/>
      </c>
      <c r="M152">
        <f>IF(AND($A152='Pockets'!$D$17,$B152='Pockets'!$C$17,OR('Pockets'!$E$17="All",AND('Pockets'!$E$17="Worse and material",$K152="Yes",$L152="Yes"),AND('Pockets'!$E$17="Worse or not sure",OR($K152="Yes",$K152="Not sure")))),1,0)</f>
        <v/>
      </c>
      <c r="N152">
        <f>$N151+$M152</f>
        <v/>
      </c>
      <c r="O152" t="inlineStr">
        <is>
          <t>grids</t>
        </is>
      </c>
      <c r="P152" t="inlineStr">
        <is>
          <t>ranr_rate</t>
        </is>
      </c>
    </row>
    <row r="153">
      <c r="A153" t="inlineStr">
        <is>
          <t>Two-way</t>
        </is>
      </c>
      <c r="B153" t="inlineStr">
        <is>
          <t>Kept after losses</t>
        </is>
      </c>
      <c r="C153" t="n">
        <v>287</v>
      </c>
      <c r="D153" t="inlineStr">
        <is>
          <t>REV_DEBT 0 - 6,558</t>
        </is>
      </c>
      <c r="E153" t="inlineStr">
        <is>
          <t>Branch</t>
        </is>
      </c>
      <c r="G153" t="n">
        <v>522</v>
      </c>
      <c r="H153" t="n">
        <v>-2.578530400781553</v>
      </c>
      <c r="J153" t="n">
        <v>13</v>
      </c>
      <c r="K153">
        <f>'_pockets'!$AI$287</f>
        <v/>
      </c>
      <c r="L153">
        <f>'_pockets'!$AJ$287</f>
        <v/>
      </c>
      <c r="M153">
        <f>IF(AND($A153='Pockets'!$D$17,$B153='Pockets'!$C$17,OR('Pockets'!$E$17="All",AND('Pockets'!$E$17="Worse and material",$K153="Yes",$L153="Yes"),AND('Pockets'!$E$17="Worse or not sure",OR($K153="Yes",$K153="Not sure")))),1,0)</f>
        <v/>
      </c>
      <c r="N153">
        <f>$N152+$M153</f>
        <v/>
      </c>
      <c r="O153" t="inlineStr">
        <is>
          <t>grids</t>
        </is>
      </c>
      <c r="P153" t="inlineStr">
        <is>
          <t>ranr_rate</t>
        </is>
      </c>
    </row>
    <row r="154">
      <c r="A154" t="inlineStr">
        <is>
          <t>Two-way</t>
        </is>
      </c>
      <c r="B154" t="inlineStr">
        <is>
          <t>Kept after losses</t>
        </is>
      </c>
      <c r="C154" t="n">
        <v>17</v>
      </c>
      <c r="D154" t="inlineStr">
        <is>
          <t>FICO 712 - 745</t>
        </is>
      </c>
      <c r="E154" t="inlineStr">
        <is>
          <t>Branch</t>
        </is>
      </c>
      <c r="G154" t="n">
        <v>537</v>
      </c>
      <c r="H154" t="n">
        <v>-2.544816269941326</v>
      </c>
      <c r="J154" t="n">
        <v>14</v>
      </c>
      <c r="K154">
        <f>'_pockets'!$AI$17</f>
        <v/>
      </c>
      <c r="L154">
        <f>'_pockets'!$AJ$17</f>
        <v/>
      </c>
      <c r="M154">
        <f>IF(AND($A154='Pockets'!$D$17,$B154='Pockets'!$C$17,OR('Pockets'!$E$17="All",AND('Pockets'!$E$17="Worse and material",$K154="Yes",$L154="Yes"),AND('Pockets'!$E$17="Worse or not sure",OR($K154="Yes",$K154="Not sure")))),1,0)</f>
        <v/>
      </c>
      <c r="N154">
        <f>$N153+$M154</f>
        <v/>
      </c>
      <c r="O154" t="inlineStr">
        <is>
          <t>grids</t>
        </is>
      </c>
      <c r="P154" t="inlineStr">
        <is>
          <t>ranr_rate</t>
        </is>
      </c>
    </row>
    <row r="155">
      <c r="A155" t="inlineStr">
        <is>
          <t>Two-way</t>
        </is>
      </c>
      <c r="B155" t="inlineStr">
        <is>
          <t>Kept after losses</t>
        </is>
      </c>
      <c r="C155" t="n">
        <v>252</v>
      </c>
      <c r="D155" t="inlineStr">
        <is>
          <t>REV_DEBT 6,559 - 9,836</t>
        </is>
      </c>
      <c r="E155" t="inlineStr">
        <is>
          <t>Broker</t>
        </is>
      </c>
      <c r="G155" t="n">
        <v>521</v>
      </c>
      <c r="H155" t="n">
        <v>-2.580831232901564</v>
      </c>
      <c r="J155" t="n">
        <v>15</v>
      </c>
      <c r="K155">
        <f>'_pockets'!$AI$252</f>
        <v/>
      </c>
      <c r="L155">
        <f>'_pockets'!$AJ$252</f>
        <v/>
      </c>
      <c r="M155">
        <f>IF(AND($A155='Pockets'!$D$17,$B155='Pockets'!$C$17,OR('Pockets'!$E$17="All",AND('Pockets'!$E$17="Worse and material",$K155="Yes",$L155="Yes"),AND('Pockets'!$E$17="Worse or not sure",OR($K155="Yes",$K155="Not sure")))),1,0)</f>
        <v/>
      </c>
      <c r="N155">
        <f>$N154+$M155</f>
        <v/>
      </c>
      <c r="O155" t="inlineStr">
        <is>
          <t>grids</t>
        </is>
      </c>
      <c r="P155" t="inlineStr">
        <is>
          <t>ranr_rate</t>
        </is>
      </c>
    </row>
    <row r="156">
      <c r="A156" t="inlineStr">
        <is>
          <t>Two-way</t>
        </is>
      </c>
      <c r="B156" t="inlineStr">
        <is>
          <t>Kept after losses</t>
        </is>
      </c>
      <c r="C156" t="n">
        <v>367</v>
      </c>
      <c r="D156" t="inlineStr">
        <is>
          <t>REV_DEBT 6,559 - 9,836</t>
        </is>
      </c>
      <c r="E156" t="inlineStr">
        <is>
          <t>ASSET_CLASS 3</t>
        </is>
      </c>
      <c r="G156" t="n">
        <v>411</v>
      </c>
      <c r="H156" t="n">
        <v>-2.884606819321259</v>
      </c>
      <c r="J156" t="n">
        <v>16</v>
      </c>
      <c r="K156">
        <f>'_pockets'!$AI$367</f>
        <v/>
      </c>
      <c r="L156">
        <f>'_pockets'!$AJ$367</f>
        <v/>
      </c>
      <c r="M156">
        <f>IF(AND($A156='Pockets'!$D$17,$B156='Pockets'!$C$17,OR('Pockets'!$E$17="All",AND('Pockets'!$E$17="Worse and material",$K156="Yes",$L156="Yes"),AND('Pockets'!$E$17="Worse or not sure",OR($K156="Yes",$K156="Not sure")))),1,0)</f>
        <v/>
      </c>
      <c r="N156">
        <f>$N155+$M156</f>
        <v/>
      </c>
      <c r="O156" t="inlineStr">
        <is>
          <t>grids</t>
        </is>
      </c>
      <c r="P156" t="inlineStr">
        <is>
          <t>ranr_rate</t>
        </is>
      </c>
    </row>
    <row r="157">
      <c r="A157" t="inlineStr">
        <is>
          <t>Two-way</t>
        </is>
      </c>
      <c r="B157" t="inlineStr">
        <is>
          <t>Kept after losses</t>
        </is>
      </c>
      <c r="C157" t="n">
        <v>212</v>
      </c>
      <c r="D157" t="inlineStr">
        <is>
          <t>FICO 686 - 711</t>
        </is>
      </c>
      <c r="E157" t="inlineStr">
        <is>
          <t>ASSET_CLASS 3</t>
        </is>
      </c>
      <c r="G157" t="n">
        <v>388</v>
      </c>
      <c r="H157" t="n">
        <v>-2.964384092905167</v>
      </c>
      <c r="J157" t="n">
        <v>17</v>
      </c>
      <c r="K157">
        <f>'_pockets'!$AI$212</f>
        <v/>
      </c>
      <c r="L157">
        <f>'_pockets'!$AJ$212</f>
        <v/>
      </c>
      <c r="M157">
        <f>IF(AND($A157='Pockets'!$D$17,$B157='Pockets'!$C$17,OR('Pockets'!$E$17="All",AND('Pockets'!$E$17="Worse and material",$K157="Yes",$L157="Yes"),AND('Pockets'!$E$17="Worse or not sure",OR($K157="Yes",$K157="Not sure")))),1,0)</f>
        <v/>
      </c>
      <c r="N157">
        <f>$N156+$M157</f>
        <v/>
      </c>
      <c r="O157" t="inlineStr">
        <is>
          <t>grids</t>
        </is>
      </c>
      <c r="P157" t="inlineStr">
        <is>
          <t>ranr_rate</t>
        </is>
      </c>
    </row>
    <row r="158">
      <c r="A158" t="inlineStr">
        <is>
          <t>Two-way</t>
        </is>
      </c>
      <c r="B158" t="inlineStr">
        <is>
          <t>Kept after losses</t>
        </is>
      </c>
      <c r="C158" t="n">
        <v>237</v>
      </c>
      <c r="D158" t="inlineStr">
        <is>
          <t>REV_DEBT 6,559 - 9,836</t>
        </is>
      </c>
      <c r="E158" t="inlineStr">
        <is>
          <t>Branch</t>
        </is>
      </c>
      <c r="G158" t="n">
        <v>514</v>
      </c>
      <c r="H158" t="n">
        <v>-2.597130282159654</v>
      </c>
      <c r="J158" t="n">
        <v>18</v>
      </c>
      <c r="K158">
        <f>'_pockets'!$AI$237</f>
        <v/>
      </c>
      <c r="L158">
        <f>'_pockets'!$AJ$237</f>
        <v/>
      </c>
      <c r="M158">
        <f>IF(AND($A158='Pockets'!$D$17,$B158='Pockets'!$C$17,OR('Pockets'!$E$17="All",AND('Pockets'!$E$17="Worse and material",$K158="Yes",$L158="Yes"),AND('Pockets'!$E$17="Worse or not sure",OR($K158="Yes",$K158="Not sure")))),1,0)</f>
        <v/>
      </c>
      <c r="N158">
        <f>$N157+$M158</f>
        <v/>
      </c>
      <c r="O158" t="inlineStr">
        <is>
          <t>grids</t>
        </is>
      </c>
      <c r="P158" t="inlineStr">
        <is>
          <t>ranr_rate</t>
        </is>
      </c>
    </row>
    <row r="159">
      <c r="A159" t="inlineStr">
        <is>
          <t>Two-way</t>
        </is>
      </c>
      <c r="B159" t="inlineStr">
        <is>
          <t>Kept after losses</t>
        </is>
      </c>
      <c r="C159" t="n">
        <v>77</v>
      </c>
      <c r="D159" t="inlineStr">
        <is>
          <t>FICO 654 - 685</t>
        </is>
      </c>
      <c r="E159" t="inlineStr">
        <is>
          <t>Broker</t>
        </is>
      </c>
      <c r="G159" t="n">
        <v>531</v>
      </c>
      <c r="H159" t="n">
        <v>-2.558125122195801</v>
      </c>
      <c r="J159" t="n">
        <v>19</v>
      </c>
      <c r="K159">
        <f>'_pockets'!$AI$77</f>
        <v/>
      </c>
      <c r="L159">
        <f>'_pockets'!$AJ$77</f>
        <v/>
      </c>
      <c r="M159">
        <f>IF(AND($A159='Pockets'!$D$17,$B159='Pockets'!$C$17,OR('Pockets'!$E$17="All",AND('Pockets'!$E$17="Worse and material",$K159="Yes",$L159="Yes"),AND('Pockets'!$E$17="Worse or not sure",OR($K159="Yes",$K159="Not sure")))),1,0)</f>
        <v/>
      </c>
      <c r="N159">
        <f>$N158+$M159</f>
        <v/>
      </c>
      <c r="O159" t="inlineStr">
        <is>
          <t>grids</t>
        </is>
      </c>
      <c r="P159" t="inlineStr">
        <is>
          <t>ranr_rate</t>
        </is>
      </c>
    </row>
    <row r="160">
      <c r="A160" t="inlineStr">
        <is>
          <t>Two-way</t>
        </is>
      </c>
      <c r="B160" t="inlineStr">
        <is>
          <t>Kept after losses</t>
        </is>
      </c>
      <c r="C160" t="n">
        <v>127</v>
      </c>
      <c r="D160" t="inlineStr">
        <is>
          <t>FICO 712 - 745</t>
        </is>
      </c>
      <c r="E160" t="inlineStr">
        <is>
          <t>ASSET_CLASS 4</t>
        </is>
      </c>
      <c r="G160" t="n">
        <v>427</v>
      </c>
      <c r="H160" t="n">
        <v>-2.833035116263248</v>
      </c>
      <c r="J160" t="n">
        <v>20</v>
      </c>
      <c r="K160">
        <f>'_pockets'!$AI$127</f>
        <v/>
      </c>
      <c r="L160">
        <f>'_pockets'!$AJ$127</f>
        <v/>
      </c>
      <c r="M160">
        <f>IF(AND($A160='Pockets'!$D$17,$B160='Pockets'!$C$17,OR('Pockets'!$E$17="All",AND('Pockets'!$E$17="Worse and material",$K160="Yes",$L160="Yes"),AND('Pockets'!$E$17="Worse or not sure",OR($K160="Yes",$K160="Not sure")))),1,0)</f>
        <v/>
      </c>
      <c r="N160">
        <f>$N159+$M160</f>
        <v/>
      </c>
      <c r="O160" t="inlineStr">
        <is>
          <t>grids</t>
        </is>
      </c>
      <c r="P160" t="inlineStr">
        <is>
          <t>ranr_rate</t>
        </is>
      </c>
    </row>
    <row r="161">
      <c r="A161" t="inlineStr">
        <is>
          <t>Two-way</t>
        </is>
      </c>
      <c r="B161" t="inlineStr">
        <is>
          <t>Kept after losses</t>
        </is>
      </c>
      <c r="C161" t="n">
        <v>132</v>
      </c>
      <c r="D161" t="inlineStr">
        <is>
          <t>FICO 746 - 921</t>
        </is>
      </c>
      <c r="E161" t="inlineStr">
        <is>
          <t>ASSET_CLASS 2</t>
        </is>
      </c>
      <c r="G161" t="n">
        <v>399</v>
      </c>
      <c r="H161" t="n">
        <v>-2.925350806685462</v>
      </c>
      <c r="J161" t="n">
        <v>21</v>
      </c>
      <c r="K161">
        <f>'_pockets'!$AI$132</f>
        <v/>
      </c>
      <c r="L161">
        <f>'_pockets'!$AJ$132</f>
        <v/>
      </c>
      <c r="M161">
        <f>IF(AND($A161='Pockets'!$D$17,$B161='Pockets'!$C$17,OR('Pockets'!$E$17="All",AND('Pockets'!$E$17="Worse and material",$K161="Yes",$L161="Yes"),AND('Pockets'!$E$17="Worse or not sure",OR($K161="Yes",$K161="Not sure")))),1,0)</f>
        <v/>
      </c>
      <c r="N161">
        <f>$N160+$M161</f>
        <v/>
      </c>
      <c r="O161" t="inlineStr">
        <is>
          <t>grids</t>
        </is>
      </c>
      <c r="P161" t="inlineStr">
        <is>
          <t>ranr_rate</t>
        </is>
      </c>
    </row>
    <row r="162">
      <c r="A162" t="inlineStr">
        <is>
          <t>Two-way</t>
        </is>
      </c>
      <c r="B162" t="inlineStr">
        <is>
          <t>Kept after losses</t>
        </is>
      </c>
      <c r="C162" t="n">
        <v>62</v>
      </c>
      <c r="D162" t="inlineStr">
        <is>
          <t>FICO 712 - 745</t>
        </is>
      </c>
      <c r="E162" t="inlineStr">
        <is>
          <t>Broker</t>
        </is>
      </c>
      <c r="G162" t="n">
        <v>509</v>
      </c>
      <c r="H162" t="n">
        <v>-2.608983892862613</v>
      </c>
      <c r="J162" t="n">
        <v>22</v>
      </c>
      <c r="K162">
        <f>'_pockets'!$AI$62</f>
        <v/>
      </c>
      <c r="L162">
        <f>'_pockets'!$AJ$62</f>
        <v/>
      </c>
      <c r="M162">
        <f>IF(AND($A162='Pockets'!$D$17,$B162='Pockets'!$C$17,OR('Pockets'!$E$17="All",AND('Pockets'!$E$17="Worse and material",$K162="Yes",$L162="Yes"),AND('Pockets'!$E$17="Worse or not sure",OR($K162="Yes",$K162="Not sure")))),1,0)</f>
        <v/>
      </c>
      <c r="N162">
        <f>$N161+$M162</f>
        <v/>
      </c>
      <c r="O162" t="inlineStr">
        <is>
          <t>grids</t>
        </is>
      </c>
      <c r="P162" t="inlineStr">
        <is>
          <t>ranr_rate</t>
        </is>
      </c>
    </row>
    <row r="163">
      <c r="A163" t="inlineStr">
        <is>
          <t>Two-way</t>
        </is>
      </c>
      <c r="B163" t="inlineStr">
        <is>
          <t>Kept after losses</t>
        </is>
      </c>
      <c r="C163" t="n">
        <v>337</v>
      </c>
      <c r="D163" t="inlineStr">
        <is>
          <t>REV_DEBT 0 - 6,558</t>
        </is>
      </c>
      <c r="E163" t="inlineStr">
        <is>
          <t>ASSET_CLASS 4</t>
        </is>
      </c>
      <c r="G163" t="n">
        <v>399</v>
      </c>
      <c r="H163" t="n">
        <v>-2.925350806685462</v>
      </c>
      <c r="J163" t="n">
        <v>23</v>
      </c>
      <c r="K163">
        <f>'_pockets'!$AI$337</f>
        <v/>
      </c>
      <c r="L163">
        <f>'_pockets'!$AJ$337</f>
        <v/>
      </c>
      <c r="M163">
        <f>IF(AND($A163='Pockets'!$D$17,$B163='Pockets'!$C$17,OR('Pockets'!$E$17="All",AND('Pockets'!$E$17="Worse and material",$K163="Yes",$L163="Yes"),AND('Pockets'!$E$17="Worse or not sure",OR($K163="Yes",$K163="Not sure")))),1,0)</f>
        <v/>
      </c>
      <c r="N163">
        <f>$N162+$M163</f>
        <v/>
      </c>
      <c r="O163" t="inlineStr">
        <is>
          <t>grids</t>
        </is>
      </c>
      <c r="P163" t="inlineStr">
        <is>
          <t>ranr_rate</t>
        </is>
      </c>
    </row>
    <row r="164">
      <c r="A164" t="inlineStr">
        <is>
          <t>Two-way</t>
        </is>
      </c>
      <c r="B164" t="inlineStr">
        <is>
          <t>Kept after losses</t>
        </is>
      </c>
      <c r="C164" t="n">
        <v>377</v>
      </c>
      <c r="D164" t="inlineStr">
        <is>
          <t>REV_DEBT 9,837 - 13,051</t>
        </is>
      </c>
      <c r="E164" t="inlineStr">
        <is>
          <t>ASSET_CLASS 3</t>
        </is>
      </c>
      <c r="G164" t="n">
        <v>400</v>
      </c>
      <c r="H164" t="n">
        <v>-2.921884065424104</v>
      </c>
      <c r="J164" t="n">
        <v>24</v>
      </c>
      <c r="K164">
        <f>'_pockets'!$AI$377</f>
        <v/>
      </c>
      <c r="L164">
        <f>'_pockets'!$AJ$377</f>
        <v/>
      </c>
      <c r="M164">
        <f>IF(AND($A164='Pockets'!$D$17,$B164='Pockets'!$C$17,OR('Pockets'!$E$17="All",AND('Pockets'!$E$17="Worse and material",$K164="Yes",$L164="Yes"),AND('Pockets'!$E$17="Worse or not sure",OR($K164="Yes",$K164="Not sure")))),1,0)</f>
        <v/>
      </c>
      <c r="N164">
        <f>$N163+$M164</f>
        <v/>
      </c>
      <c r="O164" t="inlineStr">
        <is>
          <t>grids</t>
        </is>
      </c>
      <c r="P164" t="inlineStr">
        <is>
          <t>ranr_rate</t>
        </is>
      </c>
    </row>
    <row r="165">
      <c r="A165" t="inlineStr">
        <is>
          <t>Two-way</t>
        </is>
      </c>
      <c r="B165" t="inlineStr">
        <is>
          <t>Kept after losses</t>
        </is>
      </c>
      <c r="C165" t="n">
        <v>382</v>
      </c>
      <c r="D165" t="inlineStr">
        <is>
          <t>REV_DEBT 0 - 6,558</t>
        </is>
      </c>
      <c r="E165" t="inlineStr">
        <is>
          <t>ASSET_CLASS 2</t>
        </is>
      </c>
      <c r="G165" t="n">
        <v>435</v>
      </c>
      <c r="H165" t="n">
        <v>-2.808347265453937</v>
      </c>
      <c r="J165" t="n">
        <v>25</v>
      </c>
      <c r="K165">
        <f>'_pockets'!$AI$382</f>
        <v/>
      </c>
      <c r="L165">
        <f>'_pockets'!$AJ$382</f>
        <v/>
      </c>
      <c r="M165">
        <f>IF(AND($A165='Pockets'!$D$17,$B165='Pockets'!$C$17,OR('Pockets'!$E$17="All",AND('Pockets'!$E$17="Worse and material",$K165="Yes",$L165="Yes"),AND('Pockets'!$E$17="Worse or not sure",OR($K165="Yes",$K165="Not sure")))),1,0)</f>
        <v/>
      </c>
      <c r="N165">
        <f>$N164+$M165</f>
        <v/>
      </c>
      <c r="O165" t="inlineStr">
        <is>
          <t>grids</t>
        </is>
      </c>
      <c r="P165" t="inlineStr">
        <is>
          <t>ranr_rate</t>
        </is>
      </c>
    </row>
    <row r="166">
      <c r="A166" t="inlineStr">
        <is>
          <t>Two-way</t>
        </is>
      </c>
      <c r="B166" t="inlineStr">
        <is>
          <t>Kept after losses</t>
        </is>
      </c>
      <c r="C166" t="n">
        <v>97</v>
      </c>
      <c r="D166" t="inlineStr">
        <is>
          <t>FICO (marked missing)</t>
        </is>
      </c>
      <c r="E166" t="inlineStr">
        <is>
          <t>Broker</t>
        </is>
      </c>
      <c r="G166" t="n">
        <v>54</v>
      </c>
      <c r="H166" t="n">
        <v>-7.77727341693524</v>
      </c>
      <c r="J166" t="n">
        <v>26</v>
      </c>
      <c r="K166">
        <f>'_pockets'!$AI$97</f>
        <v/>
      </c>
      <c r="L166">
        <f>'_pockets'!$AJ$97</f>
        <v/>
      </c>
      <c r="M166">
        <f>IF(AND($A166='Pockets'!$D$17,$B166='Pockets'!$C$17,OR('Pockets'!$E$17="All",AND('Pockets'!$E$17="Worse and material",$K166="Yes",$L166="Yes"),AND('Pockets'!$E$17="Worse or not sure",OR($K166="Yes",$K166="Not sure")))),1,0)</f>
        <v/>
      </c>
      <c r="N166">
        <f>$N165+$M166</f>
        <v/>
      </c>
      <c r="O166" t="inlineStr">
        <is>
          <t>grids</t>
        </is>
      </c>
      <c r="P166" t="inlineStr">
        <is>
          <t>ranr_rate</t>
        </is>
      </c>
    </row>
    <row r="167">
      <c r="A167" t="inlineStr">
        <is>
          <t>Two-way</t>
        </is>
      </c>
      <c r="B167" t="inlineStr">
        <is>
          <t>Kept after losses</t>
        </is>
      </c>
      <c r="C167" t="n">
        <v>362</v>
      </c>
      <c r="D167" t="inlineStr">
        <is>
          <t>REV_DEBT 17,187 - 48,521</t>
        </is>
      </c>
      <c r="E167" t="inlineStr">
        <is>
          <t>ASSET_CLASS 3</t>
        </is>
      </c>
      <c r="G167" t="n">
        <v>380</v>
      </c>
      <c r="H167" t="n">
        <v>-2.993852589218301</v>
      </c>
      <c r="J167" t="n">
        <v>27</v>
      </c>
      <c r="K167">
        <f>'_pockets'!$AI$362</f>
        <v/>
      </c>
      <c r="L167">
        <f>'_pockets'!$AJ$362</f>
        <v/>
      </c>
      <c r="M167">
        <f>IF(AND($A167='Pockets'!$D$17,$B167='Pockets'!$C$17,OR('Pockets'!$E$17="All",AND('Pockets'!$E$17="Worse and material",$K167="Yes",$L167="Yes"),AND('Pockets'!$E$17="Worse or not sure",OR($K167="Yes",$K167="Not sure")))),1,0)</f>
        <v/>
      </c>
      <c r="N167">
        <f>$N166+$M167</f>
        <v/>
      </c>
      <c r="O167" t="inlineStr">
        <is>
          <t>grids</t>
        </is>
      </c>
      <c r="P167" t="inlineStr">
        <is>
          <t>ranr_rate</t>
        </is>
      </c>
    </row>
    <row r="168">
      <c r="A168" t="inlineStr">
        <is>
          <t>Two-way</t>
        </is>
      </c>
      <c r="B168" t="inlineStr">
        <is>
          <t>Kept after losses</t>
        </is>
      </c>
      <c r="C168" t="n">
        <v>222</v>
      </c>
      <c r="D168" t="inlineStr">
        <is>
          <t>FICO (marked missing)</t>
        </is>
      </c>
      <c r="E168" t="inlineStr">
        <is>
          <t>ASSET_CLASS 2</t>
        </is>
      </c>
      <c r="G168" t="n">
        <v>36</v>
      </c>
      <c r="H168" t="n">
        <v>-9.514404026460207</v>
      </c>
      <c r="J168" t="n">
        <v>28</v>
      </c>
      <c r="K168">
        <f>'_pockets'!$AI$222</f>
        <v/>
      </c>
      <c r="L168">
        <f>'_pockets'!$AJ$222</f>
        <v/>
      </c>
      <c r="M168">
        <f>IF(AND($A168='Pockets'!$D$17,$B168='Pockets'!$C$17,OR('Pockets'!$E$17="All",AND('Pockets'!$E$17="Worse and material",$K168="Yes",$L168="Yes"),AND('Pockets'!$E$17="Worse or not sure",OR($K168="Yes",$K168="Not sure")))),1,0)</f>
        <v/>
      </c>
      <c r="N168">
        <f>$N167+$M168</f>
        <v/>
      </c>
      <c r="O168" t="inlineStr">
        <is>
          <t>grids</t>
        </is>
      </c>
      <c r="P168" t="inlineStr">
        <is>
          <t>ranr_rate</t>
        </is>
      </c>
    </row>
    <row r="169">
      <c r="A169" t="inlineStr">
        <is>
          <t>Two-way</t>
        </is>
      </c>
      <c r="B169" t="inlineStr">
        <is>
          <t>Kept after losses</t>
        </is>
      </c>
      <c r="C169" t="n">
        <v>317</v>
      </c>
      <c r="D169" t="inlineStr">
        <is>
          <t>REV_DEBT 9,837 - 13,051</t>
        </is>
      </c>
      <c r="E169" t="inlineStr">
        <is>
          <t>ASSET_CLASS 4</t>
        </is>
      </c>
      <c r="G169" t="n">
        <v>414</v>
      </c>
      <c r="H169" t="n">
        <v>-2.874704671970373</v>
      </c>
      <c r="J169" t="n">
        <v>29</v>
      </c>
      <c r="K169">
        <f>'_pockets'!$AI$317</f>
        <v/>
      </c>
      <c r="L169">
        <f>'_pockets'!$AJ$317</f>
        <v/>
      </c>
      <c r="M169">
        <f>IF(AND($A169='Pockets'!$D$17,$B169='Pockets'!$C$17,OR('Pockets'!$E$17="All",AND('Pockets'!$E$17="Worse and material",$K169="Yes",$L169="Yes"),AND('Pockets'!$E$17="Worse or not sure",OR($K169="Yes",$K169="Not sure")))),1,0)</f>
        <v/>
      </c>
      <c r="N169">
        <f>$N168+$M169</f>
        <v/>
      </c>
      <c r="O169" t="inlineStr">
        <is>
          <t>grids</t>
        </is>
      </c>
      <c r="P169" t="inlineStr">
        <is>
          <t>ranr_rate</t>
        </is>
      </c>
    </row>
    <row r="170">
      <c r="A170" t="inlineStr">
        <is>
          <t>Two-way</t>
        </is>
      </c>
      <c r="B170" t="inlineStr">
        <is>
          <t>Kept after losses</t>
        </is>
      </c>
      <c r="C170" t="n">
        <v>182</v>
      </c>
      <c r="D170" t="inlineStr">
        <is>
          <t>FICO 654 - 685</t>
        </is>
      </c>
      <c r="E170" t="inlineStr">
        <is>
          <t>ASSET_CLASS 3</t>
        </is>
      </c>
      <c r="G170" t="n">
        <v>377</v>
      </c>
      <c r="H170" t="n">
        <v>-3.005149281758492</v>
      </c>
      <c r="J170" t="n">
        <v>30</v>
      </c>
      <c r="K170">
        <f>'_pockets'!$AI$182</f>
        <v/>
      </c>
      <c r="L170">
        <f>'_pockets'!$AJ$182</f>
        <v/>
      </c>
      <c r="M170">
        <f>IF(AND($A170='Pockets'!$D$17,$B170='Pockets'!$C$17,OR('Pockets'!$E$17="All",AND('Pockets'!$E$17="Worse and material",$K170="Yes",$L170="Yes"),AND('Pockets'!$E$17="Worse or not sure",OR($K170="Yes",$K170="Not sure")))),1,0)</f>
        <v/>
      </c>
      <c r="N170">
        <f>$N169+$M170</f>
        <v/>
      </c>
      <c r="O170" t="inlineStr">
        <is>
          <t>grids</t>
        </is>
      </c>
      <c r="P170" t="inlineStr">
        <is>
          <t>ranr_rate</t>
        </is>
      </c>
    </row>
    <row r="171">
      <c r="A171" t="inlineStr">
        <is>
          <t>Two-way</t>
        </is>
      </c>
      <c r="B171" t="inlineStr">
        <is>
          <t>Kept after losses</t>
        </is>
      </c>
      <c r="C171" t="n">
        <v>27</v>
      </c>
      <c r="D171" t="inlineStr">
        <is>
          <t>FICO 746 - 921</t>
        </is>
      </c>
      <c r="E171" t="inlineStr">
        <is>
          <t>Branch</t>
        </is>
      </c>
      <c r="G171" t="n">
        <v>518</v>
      </c>
      <c r="H171" t="n">
        <v>-2.587774867455973</v>
      </c>
      <c r="J171" t="n">
        <v>31</v>
      </c>
      <c r="K171">
        <f>'_pockets'!$AI$27</f>
        <v/>
      </c>
      <c r="L171">
        <f>'_pockets'!$AJ$27</f>
        <v/>
      </c>
      <c r="M171">
        <f>IF(AND($A171='Pockets'!$D$17,$B171='Pockets'!$C$17,OR('Pockets'!$E$17="All",AND('Pockets'!$E$17="Worse and material",$K171="Yes",$L171="Yes"),AND('Pockets'!$E$17="Worse or not sure",OR($K171="Yes",$K171="Not sure")))),1,0)</f>
        <v/>
      </c>
      <c r="N171">
        <f>$N170+$M171</f>
        <v/>
      </c>
      <c r="O171" t="inlineStr">
        <is>
          <t>grids</t>
        </is>
      </c>
      <c r="P171" t="inlineStr">
        <is>
          <t>ranr_rate</t>
        </is>
      </c>
    </row>
    <row r="172">
      <c r="A172" t="inlineStr">
        <is>
          <t>Two-way</t>
        </is>
      </c>
      <c r="B172" t="inlineStr">
        <is>
          <t>Kept after losses</t>
        </is>
      </c>
      <c r="C172" t="n">
        <v>327</v>
      </c>
      <c r="D172" t="inlineStr">
        <is>
          <t>REV_DEBT 6,559 - 9,836</t>
        </is>
      </c>
      <c r="E172" t="inlineStr">
        <is>
          <t>ASSET_CLASS 4</t>
        </is>
      </c>
      <c r="G172" t="n">
        <v>400</v>
      </c>
      <c r="H172" t="n">
        <v>-2.921884065424104</v>
      </c>
      <c r="J172" t="n">
        <v>32</v>
      </c>
      <c r="K172">
        <f>'_pockets'!$AI$327</f>
        <v/>
      </c>
      <c r="L172">
        <f>'_pockets'!$AJ$327</f>
        <v/>
      </c>
      <c r="M172">
        <f>IF(AND($A172='Pockets'!$D$17,$B172='Pockets'!$C$17,OR('Pockets'!$E$17="All",AND('Pockets'!$E$17="Worse and material",$K172="Yes",$L172="Yes"),AND('Pockets'!$E$17="Worse or not sure",OR($K172="Yes",$K172="Not sure")))),1,0)</f>
        <v/>
      </c>
      <c r="N172">
        <f>$N171+$M172</f>
        <v/>
      </c>
      <c r="O172" t="inlineStr">
        <is>
          <t>grids</t>
        </is>
      </c>
      <c r="P172" t="inlineStr">
        <is>
          <t>ranr_rate</t>
        </is>
      </c>
    </row>
    <row r="173">
      <c r="A173" t="inlineStr">
        <is>
          <t>Two-way</t>
        </is>
      </c>
      <c r="B173" t="inlineStr">
        <is>
          <t>Kept after losses</t>
        </is>
      </c>
      <c r="C173" t="n">
        <v>232</v>
      </c>
      <c r="D173" t="inlineStr">
        <is>
          <t>REV_DEBT 9,837 - 13,051</t>
        </is>
      </c>
      <c r="E173" t="inlineStr">
        <is>
          <t>Broker</t>
        </is>
      </c>
      <c r="G173" t="n">
        <v>532</v>
      </c>
      <c r="H173" t="n">
        <v>-2.555890866957728</v>
      </c>
      <c r="J173" t="n">
        <v>33</v>
      </c>
      <c r="K173">
        <f>'_pockets'!$AI$232</f>
        <v/>
      </c>
      <c r="L173">
        <f>'_pockets'!$AJ$232</f>
        <v/>
      </c>
      <c r="M173">
        <f>IF(AND($A173='Pockets'!$D$17,$B173='Pockets'!$C$17,OR('Pockets'!$E$17="All",AND('Pockets'!$E$17="Worse and material",$K173="Yes",$L173="Yes"),AND('Pockets'!$E$17="Worse or not sure",OR($K173="Yes",$K173="Not sure")))),1,0)</f>
        <v/>
      </c>
      <c r="N173">
        <f>$N172+$M173</f>
        <v/>
      </c>
      <c r="O173" t="inlineStr">
        <is>
          <t>grids</t>
        </is>
      </c>
      <c r="P173" t="inlineStr">
        <is>
          <t>ranr_rate</t>
        </is>
      </c>
    </row>
    <row r="174">
      <c r="A174" t="inlineStr">
        <is>
          <t>Two-way</t>
        </is>
      </c>
      <c r="B174" t="inlineStr">
        <is>
          <t>Kept after losses</t>
        </is>
      </c>
      <c r="C174" t="n">
        <v>332</v>
      </c>
      <c r="D174" t="inlineStr">
        <is>
          <t>REV_DEBT 0 - 6,558</t>
        </is>
      </c>
      <c r="E174" t="inlineStr">
        <is>
          <t>ASSET_CLASS 1</t>
        </is>
      </c>
      <c r="G174" t="n">
        <v>396</v>
      </c>
      <c r="H174" t="n">
        <v>-2.93583139033319</v>
      </c>
      <c r="J174" t="n">
        <v>34</v>
      </c>
      <c r="K174">
        <f>'_pockets'!$AI$332</f>
        <v/>
      </c>
      <c r="L174">
        <f>'_pockets'!$AJ$332</f>
        <v/>
      </c>
      <c r="M174">
        <f>IF(AND($A174='Pockets'!$D$17,$B174='Pockets'!$C$17,OR('Pockets'!$E$17="All",AND('Pockets'!$E$17="Worse and material",$K174="Yes",$L174="Yes"),AND('Pockets'!$E$17="Worse or not sure",OR($K174="Yes",$K174="Not sure")))),1,0)</f>
        <v/>
      </c>
      <c r="N174">
        <f>$N173+$M174</f>
        <v/>
      </c>
      <c r="O174" t="inlineStr">
        <is>
          <t>grids</t>
        </is>
      </c>
      <c r="P174" t="inlineStr">
        <is>
          <t>ranr_rate</t>
        </is>
      </c>
    </row>
    <row r="175">
      <c r="A175" t="inlineStr">
        <is>
          <t>Two-way</t>
        </is>
      </c>
      <c r="B175" t="inlineStr">
        <is>
          <t>Kept after losses</t>
        </is>
      </c>
      <c r="C175" t="n">
        <v>142</v>
      </c>
      <c r="D175" t="inlineStr">
        <is>
          <t>FICO 686 - 711</t>
        </is>
      </c>
      <c r="E175" t="inlineStr">
        <is>
          <t>ASSET_CLASS 1</t>
        </is>
      </c>
      <c r="G175" t="n">
        <v>372</v>
      </c>
      <c r="H175" t="n">
        <v>-3.02428597036371</v>
      </c>
      <c r="J175" t="n">
        <v>35</v>
      </c>
      <c r="K175">
        <f>'_pockets'!$AI$142</f>
        <v/>
      </c>
      <c r="L175">
        <f>'_pockets'!$AJ$142</f>
        <v/>
      </c>
      <c r="M175">
        <f>IF(AND($A175='Pockets'!$D$17,$B175='Pockets'!$C$17,OR('Pockets'!$E$17="All",AND('Pockets'!$E$17="Worse and material",$K175="Yes",$L175="Yes"),AND('Pockets'!$E$17="Worse or not sure",OR($K175="Yes",$K175="Not sure")))),1,0)</f>
        <v/>
      </c>
      <c r="N175">
        <f>$N174+$M175</f>
        <v/>
      </c>
      <c r="O175" t="inlineStr">
        <is>
          <t>grids</t>
        </is>
      </c>
      <c r="P175" t="inlineStr">
        <is>
          <t>ranr_rate</t>
        </is>
      </c>
    </row>
    <row r="176">
      <c r="A176" t="inlineStr">
        <is>
          <t>Two-way</t>
        </is>
      </c>
      <c r="B176" t="inlineStr">
        <is>
          <t>Kept after losses</t>
        </is>
      </c>
      <c r="C176" t="n">
        <v>322</v>
      </c>
      <c r="D176" t="inlineStr">
        <is>
          <t>REV_DEBT 6,559 - 9,836</t>
        </is>
      </c>
      <c r="E176" t="inlineStr">
        <is>
          <t>ASSET_CLASS 2</t>
        </is>
      </c>
      <c r="G176" t="n">
        <v>417</v>
      </c>
      <c r="H176" t="n">
        <v>-2.86491195955833</v>
      </c>
      <c r="J176" t="n">
        <v>36</v>
      </c>
      <c r="K176">
        <f>'_pockets'!$AI$322</f>
        <v/>
      </c>
      <c r="L176">
        <f>'_pockets'!$AJ$322</f>
        <v/>
      </c>
      <c r="M176">
        <f>IF(AND($A176='Pockets'!$D$17,$B176='Pockets'!$C$17,OR('Pockets'!$E$17="All",AND('Pockets'!$E$17="Worse and material",$K176="Yes",$L176="Yes"),AND('Pockets'!$E$17="Worse or not sure",OR($K176="Yes",$K176="Not sure")))),1,0)</f>
        <v/>
      </c>
      <c r="N176">
        <f>$N175+$M176</f>
        <v/>
      </c>
      <c r="O176" t="inlineStr">
        <is>
          <t>grids</t>
        </is>
      </c>
      <c r="P176" t="inlineStr">
        <is>
          <t>ranr_rate</t>
        </is>
      </c>
    </row>
    <row r="177">
      <c r="A177" t="inlineStr">
        <is>
          <t>Two-way</t>
        </is>
      </c>
      <c r="B177" t="inlineStr">
        <is>
          <t>Kept after losses</t>
        </is>
      </c>
      <c r="C177" t="n">
        <v>117</v>
      </c>
      <c r="D177" t="inlineStr">
        <is>
          <t>FICO 712 - 745</t>
        </is>
      </c>
      <c r="E177" t="inlineStr">
        <is>
          <t>ASSET_CLASS 2</t>
        </is>
      </c>
      <c r="G177" t="n">
        <v>430</v>
      </c>
      <c r="H177" t="n">
        <v>-2.823694562384432</v>
      </c>
      <c r="J177" t="n">
        <v>37</v>
      </c>
      <c r="K177">
        <f>'_pockets'!$AI$117</f>
        <v/>
      </c>
      <c r="L177">
        <f>'_pockets'!$AJ$117</f>
        <v/>
      </c>
      <c r="M177">
        <f>IF(AND($A177='Pockets'!$D$17,$B177='Pockets'!$C$17,OR('Pockets'!$E$17="All",AND('Pockets'!$E$17="Worse and material",$K177="Yes",$L177="Yes"),AND('Pockets'!$E$17="Worse or not sure",OR($K177="Yes",$K177="Not sure")))),1,0)</f>
        <v/>
      </c>
      <c r="N177">
        <f>$N176+$M177</f>
        <v/>
      </c>
      <c r="O177" t="inlineStr">
        <is>
          <t>grids</t>
        </is>
      </c>
      <c r="P177" t="inlineStr">
        <is>
          <t>ranr_rate</t>
        </is>
      </c>
    </row>
    <row r="178">
      <c r="A178" t="inlineStr">
        <is>
          <t>Two-way</t>
        </is>
      </c>
      <c r="B178" t="inlineStr">
        <is>
          <t>Kept after losses</t>
        </is>
      </c>
      <c r="C178" t="n">
        <v>92</v>
      </c>
      <c r="D178" t="inlineStr">
        <is>
          <t>FICO (marked missing)</t>
        </is>
      </c>
      <c r="E178" t="inlineStr">
        <is>
          <t>Branch</t>
        </is>
      </c>
      <c r="G178" t="n">
        <v>51</v>
      </c>
      <c r="H178" t="n">
        <v>-8.001237848606335</v>
      </c>
      <c r="J178" t="n">
        <v>38</v>
      </c>
      <c r="K178">
        <f>'_pockets'!$AI$92</f>
        <v/>
      </c>
      <c r="L178">
        <f>'_pockets'!$AJ$92</f>
        <v/>
      </c>
      <c r="M178">
        <f>IF(AND($A178='Pockets'!$D$17,$B178='Pockets'!$C$17,OR('Pockets'!$E$17="All",AND('Pockets'!$E$17="Worse and material",$K178="Yes",$L178="Yes"),AND('Pockets'!$E$17="Worse or not sure",OR($K178="Yes",$K178="Not sure")))),1,0)</f>
        <v/>
      </c>
      <c r="N178">
        <f>$N177+$M178</f>
        <v/>
      </c>
      <c r="O178" t="inlineStr">
        <is>
          <t>grids</t>
        </is>
      </c>
      <c r="P178" t="inlineStr">
        <is>
          <t>ranr_rate</t>
        </is>
      </c>
    </row>
    <row r="179">
      <c r="A179" t="inlineStr">
        <is>
          <t>Two-way</t>
        </is>
      </c>
      <c r="B179" t="inlineStr">
        <is>
          <t>Kept after losses</t>
        </is>
      </c>
      <c r="C179" t="n">
        <v>52</v>
      </c>
      <c r="D179" t="inlineStr">
        <is>
          <t>FICO 746 - 921</t>
        </is>
      </c>
      <c r="E179" t="inlineStr">
        <is>
          <t>Online</t>
        </is>
      </c>
      <c r="G179" t="n">
        <v>517</v>
      </c>
      <c r="H179" t="n">
        <v>-2.590103235738988</v>
      </c>
      <c r="J179" t="n">
        <v>39</v>
      </c>
      <c r="K179">
        <f>'_pockets'!$AI$52</f>
        <v/>
      </c>
      <c r="L179">
        <f>'_pockets'!$AJ$52</f>
        <v/>
      </c>
      <c r="M179">
        <f>IF(AND($A179='Pockets'!$D$17,$B179='Pockets'!$C$17,OR('Pockets'!$E$17="All",AND('Pockets'!$E$17="Worse and material",$K179="Yes",$L179="Yes"),AND('Pockets'!$E$17="Worse or not sure",OR($K179="Yes",$K179="Not sure")))),1,0)</f>
        <v/>
      </c>
      <c r="N179">
        <f>$N178+$M179</f>
        <v/>
      </c>
      <c r="O179" t="inlineStr">
        <is>
          <t>grids</t>
        </is>
      </c>
      <c r="P179" t="inlineStr">
        <is>
          <t>ranr_rate</t>
        </is>
      </c>
    </row>
    <row r="180">
      <c r="A180" t="inlineStr">
        <is>
          <t>Two-way</t>
        </is>
      </c>
      <c r="B180" t="inlineStr">
        <is>
          <t>Kept after losses</t>
        </is>
      </c>
      <c r="C180" t="n">
        <v>202</v>
      </c>
      <c r="D180" t="inlineStr">
        <is>
          <t>FICO (marked missing)</t>
        </is>
      </c>
      <c r="E180" t="inlineStr">
        <is>
          <t>ASSET_CLASS 3</t>
        </is>
      </c>
      <c r="G180" t="n">
        <v>43</v>
      </c>
      <c r="H180" t="n">
        <v>-8.70942699043948</v>
      </c>
      <c r="J180" t="n">
        <v>40</v>
      </c>
      <c r="K180">
        <f>'_pockets'!$AI$202</f>
        <v/>
      </c>
      <c r="L180">
        <f>'_pockets'!$AJ$202</f>
        <v/>
      </c>
      <c r="M180">
        <f>IF(AND($A180='Pockets'!$D$17,$B180='Pockets'!$C$17,OR('Pockets'!$E$17="All",AND('Pockets'!$E$17="Worse and material",$K180="Yes",$L180="Yes"),AND('Pockets'!$E$17="Worse or not sure",OR($K180="Yes",$K180="Not sure")))),1,0)</f>
        <v/>
      </c>
      <c r="N180">
        <f>$N179+$M180</f>
        <v/>
      </c>
      <c r="O180" t="inlineStr">
        <is>
          <t>grids</t>
        </is>
      </c>
      <c r="P180" t="inlineStr">
        <is>
          <t>ranr_rate</t>
        </is>
      </c>
    </row>
    <row r="181">
      <c r="A181" t="inlineStr">
        <is>
          <t>Two-way</t>
        </is>
      </c>
      <c r="B181" t="inlineStr">
        <is>
          <t>Kept after losses</t>
        </is>
      </c>
      <c r="C181" t="n">
        <v>47</v>
      </c>
      <c r="D181" t="inlineStr">
        <is>
          <t>FICO 746 - 921</t>
        </is>
      </c>
      <c r="E181" t="inlineStr">
        <is>
          <t>Broker</t>
        </is>
      </c>
      <c r="G181" t="n">
        <v>536</v>
      </c>
      <c r="H181" t="n">
        <v>-2.54701839930311</v>
      </c>
      <c r="J181" t="n">
        <v>41</v>
      </c>
      <c r="K181">
        <f>'_pockets'!$AI$47</f>
        <v/>
      </c>
      <c r="L181">
        <f>'_pockets'!$AJ$47</f>
        <v/>
      </c>
      <c r="M181">
        <f>IF(AND($A181='Pockets'!$D$17,$B181='Pockets'!$C$17,OR('Pockets'!$E$17="All",AND('Pockets'!$E$17="Worse and material",$K181="Yes",$L181="Yes"),AND('Pockets'!$E$17="Worse or not sure",OR($K181="Yes",$K181="Not sure")))),1,0)</f>
        <v/>
      </c>
      <c r="N181">
        <f>$N180+$M181</f>
        <v/>
      </c>
      <c r="O181" t="inlineStr">
        <is>
          <t>grids</t>
        </is>
      </c>
      <c r="P181" t="inlineStr">
        <is>
          <t>ranr_rate</t>
        </is>
      </c>
    </row>
    <row r="182">
      <c r="A182" t="inlineStr">
        <is>
          <t>Two-way</t>
        </is>
      </c>
      <c r="B182" t="inlineStr">
        <is>
          <t>Kept after losses</t>
        </is>
      </c>
      <c r="C182" t="n">
        <v>147</v>
      </c>
      <c r="D182" t="inlineStr">
        <is>
          <t>FICO 746 - 921</t>
        </is>
      </c>
      <c r="E182" t="inlineStr">
        <is>
          <t>ASSET_CLASS 1</t>
        </is>
      </c>
      <c r="G182" t="n">
        <v>414</v>
      </c>
      <c r="H182" t="n">
        <v>-2.874704671970373</v>
      </c>
      <c r="J182" t="n">
        <v>42</v>
      </c>
      <c r="K182">
        <f>'_pockets'!$AI$147</f>
        <v/>
      </c>
      <c r="L182">
        <f>'_pockets'!$AJ$147</f>
        <v/>
      </c>
      <c r="M182">
        <f>IF(AND($A182='Pockets'!$D$17,$B182='Pockets'!$C$17,OR('Pockets'!$E$17="All",AND('Pockets'!$E$17="Worse and material",$K182="Yes",$L182="Yes"),AND('Pockets'!$E$17="Worse or not sure",OR($K182="Yes",$K182="Not sure")))),1,0)</f>
        <v/>
      </c>
      <c r="N182">
        <f>$N181+$M182</f>
        <v/>
      </c>
      <c r="O182" t="inlineStr">
        <is>
          <t>grids</t>
        </is>
      </c>
      <c r="P182" t="inlineStr">
        <is>
          <t>ranr_rate</t>
        </is>
      </c>
    </row>
    <row r="183">
      <c r="A183" t="inlineStr">
        <is>
          <t>Two-way</t>
        </is>
      </c>
      <c r="B183" t="inlineStr">
        <is>
          <t>Kept after losses</t>
        </is>
      </c>
      <c r="C183" t="n">
        <v>187</v>
      </c>
      <c r="D183" t="inlineStr">
        <is>
          <t>FICO 746 - 921</t>
        </is>
      </c>
      <c r="E183" t="inlineStr">
        <is>
          <t>ASSET_CLASS 3</t>
        </is>
      </c>
      <c r="G183" t="n">
        <v>385</v>
      </c>
      <c r="H183" t="n">
        <v>-2.975324900744644</v>
      </c>
      <c r="J183" t="n">
        <v>43</v>
      </c>
      <c r="K183">
        <f>'_pockets'!$AI$187</f>
        <v/>
      </c>
      <c r="L183">
        <f>'_pockets'!$AJ$187</f>
        <v/>
      </c>
      <c r="M183">
        <f>IF(AND($A183='Pockets'!$D$17,$B183='Pockets'!$C$17,OR('Pockets'!$E$17="All",AND('Pockets'!$E$17="Worse and material",$K183="Yes",$L183="Yes"),AND('Pockets'!$E$17="Worse or not sure",OR($K183="Yes",$K183="Not sure")))),1,0)</f>
        <v/>
      </c>
      <c r="N183">
        <f>$N182+$M183</f>
        <v/>
      </c>
      <c r="O183" t="inlineStr">
        <is>
          <t>grids</t>
        </is>
      </c>
      <c r="P183" t="inlineStr">
        <is>
          <t>ranr_rate</t>
        </is>
      </c>
    </row>
    <row r="184">
      <c r="A184" t="inlineStr">
        <is>
          <t>Two-way</t>
        </is>
      </c>
      <c r="B184" t="inlineStr">
        <is>
          <t>Kept after losses</t>
        </is>
      </c>
      <c r="C184" t="n">
        <v>167</v>
      </c>
      <c r="D184" t="inlineStr">
        <is>
          <t>FICO 746 - 921</t>
        </is>
      </c>
      <c r="E184" t="inlineStr">
        <is>
          <t>ASSET_CLASS 4</t>
        </is>
      </c>
      <c r="G184" t="n">
        <v>373</v>
      </c>
      <c r="H184" t="n">
        <v>-3.020427262272253</v>
      </c>
      <c r="J184" t="n">
        <v>44</v>
      </c>
      <c r="K184">
        <f>'_pockets'!$AI$167</f>
        <v/>
      </c>
      <c r="L184">
        <f>'_pockets'!$AJ$167</f>
        <v/>
      </c>
      <c r="M184">
        <f>IF(AND($A184='Pockets'!$D$17,$B184='Pockets'!$C$17,OR('Pockets'!$E$17="All",AND('Pockets'!$E$17="Worse and material",$K184="Yes",$L184="Yes"),AND('Pockets'!$E$17="Worse or not sure",OR($K184="Yes",$K184="Not sure")))),1,0)</f>
        <v/>
      </c>
      <c r="N184">
        <f>$N183+$M184</f>
        <v/>
      </c>
      <c r="O184" t="inlineStr">
        <is>
          <t>grids</t>
        </is>
      </c>
      <c r="P184" t="inlineStr">
        <is>
          <t>ranr_rate</t>
        </is>
      </c>
    </row>
    <row r="185">
      <c r="A185" t="inlineStr">
        <is>
          <t>Two-way</t>
        </is>
      </c>
      <c r="B185" t="inlineStr">
        <is>
          <t>Kept after losses</t>
        </is>
      </c>
      <c r="C185" t="n">
        <v>42</v>
      </c>
      <c r="D185" t="inlineStr">
        <is>
          <t>FICO 712 - 745</t>
        </is>
      </c>
      <c r="E185" t="inlineStr">
        <is>
          <t>Online</t>
        </is>
      </c>
      <c r="G185" t="n">
        <v>564</v>
      </c>
      <c r="H185" t="n">
        <v>-2.487660781617332</v>
      </c>
      <c r="J185" t="n">
        <v>45</v>
      </c>
      <c r="K185">
        <f>'_pockets'!$AI$42</f>
        <v/>
      </c>
      <c r="L185">
        <f>'_pockets'!$AJ$42</f>
        <v/>
      </c>
      <c r="M185">
        <f>IF(AND($A185='Pockets'!$D$17,$B185='Pockets'!$C$17,OR('Pockets'!$E$17="All",AND('Pockets'!$E$17="Worse and material",$K185="Yes",$L185="Yes"),AND('Pockets'!$E$17="Worse or not sure",OR($K185="Yes",$K185="Not sure")))),1,0)</f>
        <v/>
      </c>
      <c r="N185">
        <f>$N184+$M185</f>
        <v/>
      </c>
      <c r="O185" t="inlineStr">
        <is>
          <t>grids</t>
        </is>
      </c>
      <c r="P185" t="inlineStr">
        <is>
          <t>ranr_rate</t>
        </is>
      </c>
    </row>
    <row r="186">
      <c r="A186" t="inlineStr">
        <is>
          <t>Two-way</t>
        </is>
      </c>
      <c r="B186" t="inlineStr">
        <is>
          <t>Kept after losses</t>
        </is>
      </c>
      <c r="C186" t="n">
        <v>207</v>
      </c>
      <c r="D186" t="inlineStr">
        <is>
          <t>FICO 712 - 745</t>
        </is>
      </c>
      <c r="E186" t="inlineStr">
        <is>
          <t>ASSET_CLASS 3</t>
        </is>
      </c>
      <c r="G186" t="n">
        <v>392</v>
      </c>
      <c r="H186" t="n">
        <v>-2.949996198155777</v>
      </c>
      <c r="J186" t="n">
        <v>46</v>
      </c>
      <c r="K186">
        <f>'_pockets'!$AI$207</f>
        <v/>
      </c>
      <c r="L186">
        <f>'_pockets'!$AJ$207</f>
        <v/>
      </c>
      <c r="M186">
        <f>IF(AND($A186='Pockets'!$D$17,$B186='Pockets'!$C$17,OR('Pockets'!$E$17="All",AND('Pockets'!$E$17="Worse and material",$K186="Yes",$L186="Yes"),AND('Pockets'!$E$17="Worse or not sure",OR($K186="Yes",$K186="Not sure")))),1,0)</f>
        <v/>
      </c>
      <c r="N186">
        <f>$N185+$M186</f>
        <v/>
      </c>
      <c r="O186" t="inlineStr">
        <is>
          <t>grids</t>
        </is>
      </c>
      <c r="P186" t="inlineStr">
        <is>
          <t>ranr_rate</t>
        </is>
      </c>
    </row>
    <row r="187">
      <c r="A187" t="inlineStr">
        <is>
          <t>Two-way</t>
        </is>
      </c>
      <c r="B187" t="inlineStr">
        <is>
          <t>Kept after losses</t>
        </is>
      </c>
      <c r="C187" t="n">
        <v>112</v>
      </c>
      <c r="D187" t="inlineStr">
        <is>
          <t>FICO 712 - 745</t>
        </is>
      </c>
      <c r="E187" t="inlineStr">
        <is>
          <t>ASSET_CLASS 1</t>
        </is>
      </c>
      <c r="G187" t="n">
        <v>361</v>
      </c>
      <c r="H187" t="n">
        <v>-3.067805134252851</v>
      </c>
      <c r="J187" t="n">
        <v>47</v>
      </c>
      <c r="K187">
        <f>'_pockets'!$AI$112</f>
        <v/>
      </c>
      <c r="L187">
        <f>'_pockets'!$AJ$112</f>
        <v/>
      </c>
      <c r="M187">
        <f>IF(AND($A187='Pockets'!$D$17,$B187='Pockets'!$C$17,OR('Pockets'!$E$17="All",AND('Pockets'!$E$17="Worse and material",$K187="Yes",$L187="Yes"),AND('Pockets'!$E$17="Worse or not sure",OR($K187="Yes",$K187="Not sure")))),1,0)</f>
        <v/>
      </c>
      <c r="N187">
        <f>$N186+$M187</f>
        <v/>
      </c>
      <c r="O187" t="inlineStr">
        <is>
          <t>grids</t>
        </is>
      </c>
      <c r="P187" t="inlineStr">
        <is>
          <t>ranr_rate</t>
        </is>
      </c>
    </row>
    <row r="188">
      <c r="A188" t="inlineStr">
        <is>
          <t>Two-way</t>
        </is>
      </c>
      <c r="B188" t="inlineStr">
        <is>
          <t>Kept after losses</t>
        </is>
      </c>
      <c r="C188" t="n">
        <v>397</v>
      </c>
      <c r="D188" t="inlineStr">
        <is>
          <t>REV_DEBT 0 - 6,558</t>
        </is>
      </c>
      <c r="E188" t="inlineStr">
        <is>
          <t>ASSET_CLASS 3</t>
        </is>
      </c>
      <c r="G188" t="n">
        <v>371</v>
      </c>
      <c r="H188" t="n">
        <v>-3.028160575297228</v>
      </c>
      <c r="J188" t="n">
        <v>48</v>
      </c>
      <c r="K188">
        <f>'_pockets'!$AI$397</f>
        <v/>
      </c>
      <c r="L188">
        <f>'_pockets'!$AJ$397</f>
        <v/>
      </c>
      <c r="M188">
        <f>IF(AND($A188='Pockets'!$D$17,$B188='Pockets'!$C$17,OR('Pockets'!$E$17="All",AND('Pockets'!$E$17="Worse and material",$K188="Yes",$L188="Yes"),AND('Pockets'!$E$17="Worse or not sure",OR($K188="Yes",$K188="Not sure")))),1,0)</f>
        <v/>
      </c>
      <c r="N188">
        <f>$N187+$M188</f>
        <v/>
      </c>
      <c r="O188" t="inlineStr">
        <is>
          <t>grids</t>
        </is>
      </c>
      <c r="P188" t="inlineStr">
        <is>
          <t>ranr_rate</t>
        </is>
      </c>
    </row>
    <row r="189">
      <c r="A189" t="inlineStr">
        <is>
          <t>Two-way</t>
        </is>
      </c>
      <c r="B189" t="inlineStr">
        <is>
          <t>Earned before losses</t>
        </is>
      </c>
      <c r="C189" t="n">
        <v>38</v>
      </c>
      <c r="D189" t="inlineStr">
        <is>
          <t>FICO 686 - 711</t>
        </is>
      </c>
      <c r="E189" t="inlineStr">
        <is>
          <t>Broker</t>
        </is>
      </c>
      <c r="G189" t="n">
        <v>501</v>
      </c>
      <c r="H189" t="n">
        <v>-1.726562587794613</v>
      </c>
      <c r="J189" t="n">
        <v>1</v>
      </c>
      <c r="K189">
        <f>'_pockets'!$AI$38</f>
        <v/>
      </c>
      <c r="L189">
        <f>'_pockets'!$AJ$38</f>
        <v/>
      </c>
      <c r="M189">
        <f>IF(AND($A189='Pockets'!$D$17,$B189='Pockets'!$C$17,OR('Pockets'!$E$17="All",AND('Pockets'!$E$17="Worse and material",$K189="Yes",$L189="Yes"),AND('Pockets'!$E$17="Worse or not sure",OR($K189="Yes",$K189="Not sure")))),1,0)</f>
        <v/>
      </c>
      <c r="N189">
        <f>$N188+$M189</f>
        <v/>
      </c>
      <c r="O189" t="inlineStr">
        <is>
          <t>grids</t>
        </is>
      </c>
      <c r="P189" t="inlineStr">
        <is>
          <t>contribution_rate</t>
        </is>
      </c>
    </row>
    <row r="190">
      <c r="A190" t="inlineStr">
        <is>
          <t>Two-way</t>
        </is>
      </c>
      <c r="B190" t="inlineStr">
        <is>
          <t>Earned before losses</t>
        </is>
      </c>
      <c r="C190" t="n">
        <v>88</v>
      </c>
      <c r="D190" t="inlineStr">
        <is>
          <t>FICO 686 - 711</t>
        </is>
      </c>
      <c r="E190" t="inlineStr">
        <is>
          <t>Branch</t>
        </is>
      </c>
      <c r="G190" t="n">
        <v>515</v>
      </c>
      <c r="H190" t="n">
        <v>-1.704525321854186</v>
      </c>
      <c r="J190" t="n">
        <v>2</v>
      </c>
      <c r="K190">
        <f>'_pockets'!$AI$88</f>
        <v/>
      </c>
      <c r="L190">
        <f>'_pockets'!$AJ$88</f>
        <v/>
      </c>
      <c r="M190">
        <f>IF(AND($A190='Pockets'!$D$17,$B190='Pockets'!$C$17,OR('Pockets'!$E$17="All",AND('Pockets'!$E$17="Worse and material",$K190="Yes",$L190="Yes"),AND('Pockets'!$E$17="Worse or not sure",OR($K190="Yes",$K190="Not sure")))),1,0)</f>
        <v/>
      </c>
      <c r="N190">
        <f>$N189+$M190</f>
        <v/>
      </c>
      <c r="O190" t="inlineStr">
        <is>
          <t>grids</t>
        </is>
      </c>
      <c r="P190" t="inlineStr">
        <is>
          <t>contribution_rate</t>
        </is>
      </c>
    </row>
    <row r="191">
      <c r="A191" t="inlineStr">
        <is>
          <t>Two-way</t>
        </is>
      </c>
      <c r="B191" t="inlineStr">
        <is>
          <t>Earned before losses</t>
        </is>
      </c>
      <c r="C191" t="n">
        <v>18</v>
      </c>
      <c r="D191" t="inlineStr">
        <is>
          <t>FICO 712 - 745</t>
        </is>
      </c>
      <c r="E191" t="inlineStr">
        <is>
          <t>Branch</t>
        </is>
      </c>
      <c r="G191" t="n">
        <v>536</v>
      </c>
      <c r="H191" t="n">
        <v>-1.673150190798175</v>
      </c>
      <c r="J191" t="n">
        <v>3</v>
      </c>
      <c r="K191">
        <f>'_pockets'!$AI$18</f>
        <v/>
      </c>
      <c r="L191">
        <f>'_pockets'!$AJ$18</f>
        <v/>
      </c>
      <c r="M191">
        <f>IF(AND($A191='Pockets'!$D$17,$B191='Pockets'!$C$17,OR('Pockets'!$E$17="All",AND('Pockets'!$E$17="Worse and material",$K191="Yes",$L191="Yes"),AND('Pockets'!$E$17="Worse or not sure",OR($K191="Yes",$K191="Not sure")))),1,0)</f>
        <v/>
      </c>
      <c r="N191">
        <f>$N190+$M191</f>
        <v/>
      </c>
      <c r="O191" t="inlineStr">
        <is>
          <t>grids</t>
        </is>
      </c>
      <c r="P191" t="inlineStr">
        <is>
          <t>contribution_rate</t>
        </is>
      </c>
    </row>
    <row r="192">
      <c r="A192" t="inlineStr">
        <is>
          <t>Two-way</t>
        </is>
      </c>
      <c r="B192" t="inlineStr">
        <is>
          <t>Earned before losses</t>
        </is>
      </c>
      <c r="C192" t="n">
        <v>243</v>
      </c>
      <c r="D192" t="inlineStr">
        <is>
          <t>REV_DEBT 9,837 - 13,051</t>
        </is>
      </c>
      <c r="E192" t="inlineStr">
        <is>
          <t>Branch</t>
        </is>
      </c>
      <c r="G192" t="n">
        <v>540</v>
      </c>
      <c r="H192" t="n">
        <v>-1.667388781101161</v>
      </c>
      <c r="J192" t="n">
        <v>4</v>
      </c>
      <c r="K192">
        <f>'_pockets'!$AI$243</f>
        <v/>
      </c>
      <c r="L192">
        <f>'_pockets'!$AJ$243</f>
        <v/>
      </c>
      <c r="M192">
        <f>IF(AND($A192='Pockets'!$D$17,$B192='Pockets'!$C$17,OR('Pockets'!$E$17="All",AND('Pockets'!$E$17="Worse and material",$K192="Yes",$L192="Yes"),AND('Pockets'!$E$17="Worse or not sure",OR($K192="Yes",$K192="Not sure")))),1,0)</f>
        <v/>
      </c>
      <c r="N192">
        <f>$N191+$M192</f>
        <v/>
      </c>
      <c r="O192" t="inlineStr">
        <is>
          <t>grids</t>
        </is>
      </c>
      <c r="P192" t="inlineStr">
        <is>
          <t>contribution_rate</t>
        </is>
      </c>
    </row>
    <row r="193">
      <c r="A193" t="inlineStr">
        <is>
          <t>Two-way</t>
        </is>
      </c>
      <c r="B193" t="inlineStr">
        <is>
          <t>Earned before losses</t>
        </is>
      </c>
      <c r="C193" t="n">
        <v>263</v>
      </c>
      <c r="D193" t="inlineStr">
        <is>
          <t>REV_DEBT 0 - 6,558</t>
        </is>
      </c>
      <c r="E193" t="inlineStr">
        <is>
          <t>Broker</t>
        </is>
      </c>
      <c r="G193" t="n">
        <v>542</v>
      </c>
      <c r="H193" t="n">
        <v>-1.664532777333787</v>
      </c>
      <c r="J193" t="n">
        <v>5</v>
      </c>
      <c r="K193">
        <f>'_pockets'!$AI$263</f>
        <v/>
      </c>
      <c r="L193">
        <f>'_pockets'!$AJ$263</f>
        <v/>
      </c>
      <c r="M193">
        <f>IF(AND($A193='Pockets'!$D$17,$B193='Pockets'!$C$17,OR('Pockets'!$E$17="All",AND('Pockets'!$E$17="Worse and material",$K193="Yes",$L193="Yes"),AND('Pockets'!$E$17="Worse or not sure",OR($K193="Yes",$K193="Not sure")))),1,0)</f>
        <v/>
      </c>
      <c r="N193">
        <f>$N192+$M193</f>
        <v/>
      </c>
      <c r="O193" t="inlineStr">
        <is>
          <t>grids</t>
        </is>
      </c>
      <c r="P193" t="inlineStr">
        <is>
          <t>contribution_rate</t>
        </is>
      </c>
    </row>
    <row r="194">
      <c r="A194" t="inlineStr">
        <is>
          <t>Two-way</t>
        </is>
      </c>
      <c r="B194" t="inlineStr">
        <is>
          <t>Earned before losses</t>
        </is>
      </c>
      <c r="C194" t="n">
        <v>63</v>
      </c>
      <c r="D194" t="inlineStr">
        <is>
          <t>FICO 712 - 745</t>
        </is>
      </c>
      <c r="E194" t="inlineStr">
        <is>
          <t>Broker</t>
        </is>
      </c>
      <c r="G194" t="n">
        <v>509</v>
      </c>
      <c r="H194" t="n">
        <v>-1.713855245385327</v>
      </c>
      <c r="J194" t="n">
        <v>6</v>
      </c>
      <c r="K194">
        <f>'_pockets'!$AI$63</f>
        <v/>
      </c>
      <c r="L194">
        <f>'_pockets'!$AJ$63</f>
        <v/>
      </c>
      <c r="M194">
        <f>IF(AND($A194='Pockets'!$D$17,$B194='Pockets'!$C$17,OR('Pockets'!$E$17="All",AND('Pockets'!$E$17="Worse and material",$K194="Yes",$L194="Yes"),AND('Pockets'!$E$17="Worse or not sure",OR($K194="Yes",$K194="Not sure")))),1,0)</f>
        <v/>
      </c>
      <c r="N194">
        <f>$N193+$M194</f>
        <v/>
      </c>
      <c r="O194" t="inlineStr">
        <is>
          <t>grids</t>
        </is>
      </c>
      <c r="P194" t="inlineStr">
        <is>
          <t>contribution_rate</t>
        </is>
      </c>
    </row>
    <row r="195">
      <c r="A195" t="inlineStr">
        <is>
          <t>Two-way</t>
        </is>
      </c>
      <c r="B195" t="inlineStr">
        <is>
          <t>Earned before losses</t>
        </is>
      </c>
      <c r="C195" t="n">
        <v>288</v>
      </c>
      <c r="D195" t="inlineStr">
        <is>
          <t>REV_DEBT 0 - 6,558</t>
        </is>
      </c>
      <c r="E195" t="inlineStr">
        <is>
          <t>Branch</t>
        </is>
      </c>
      <c r="G195" t="n">
        <v>522</v>
      </c>
      <c r="H195" t="n">
        <v>-1.693850382842272</v>
      </c>
      <c r="J195" t="n">
        <v>7</v>
      </c>
      <c r="K195">
        <f>'_pockets'!$AI$288</f>
        <v/>
      </c>
      <c r="L195">
        <f>'_pockets'!$AJ$288</f>
        <v/>
      </c>
      <c r="M195">
        <f>IF(AND($A195='Pockets'!$D$17,$B195='Pockets'!$C$17,OR('Pockets'!$E$17="All",AND('Pockets'!$E$17="Worse and material",$K195="Yes",$L195="Yes"),AND('Pockets'!$E$17="Worse or not sure",OR($K195="Yes",$K195="Not sure")))),1,0)</f>
        <v/>
      </c>
      <c r="N195">
        <f>$N194+$M195</f>
        <v/>
      </c>
      <c r="O195" t="inlineStr">
        <is>
          <t>grids</t>
        </is>
      </c>
      <c r="P195" t="inlineStr">
        <is>
          <t>contribution_rate</t>
        </is>
      </c>
    </row>
    <row r="196">
      <c r="A196" t="inlineStr">
        <is>
          <t>Two-way</t>
        </is>
      </c>
      <c r="B196" t="inlineStr">
        <is>
          <t>Earned before losses</t>
        </is>
      </c>
      <c r="C196" t="n">
        <v>238</v>
      </c>
      <c r="D196" t="inlineStr">
        <is>
          <t>REV_DEBT 6,559 - 9,836</t>
        </is>
      </c>
      <c r="E196" t="inlineStr">
        <is>
          <t>Branch</t>
        </is>
      </c>
      <c r="G196" t="n">
        <v>513</v>
      </c>
      <c r="H196" t="n">
        <v>-1.707616566921085</v>
      </c>
      <c r="J196" t="n">
        <v>8</v>
      </c>
      <c r="K196">
        <f>'_pockets'!$AI$238</f>
        <v/>
      </c>
      <c r="L196">
        <f>'_pockets'!$AJ$238</f>
        <v/>
      </c>
      <c r="M196">
        <f>IF(AND($A196='Pockets'!$D$17,$B196='Pockets'!$C$17,OR('Pockets'!$E$17="All",AND('Pockets'!$E$17="Worse and material",$K196="Yes",$L196="Yes"),AND('Pockets'!$E$17="Worse or not sure",OR($K196="Yes",$K196="Not sure")))),1,0)</f>
        <v/>
      </c>
      <c r="N196">
        <f>$N195+$M196</f>
        <v/>
      </c>
      <c r="O196" t="inlineStr">
        <is>
          <t>grids</t>
        </is>
      </c>
      <c r="P196" t="inlineStr">
        <is>
          <t>contribution_rate</t>
        </is>
      </c>
    </row>
    <row r="197">
      <c r="A197" t="inlineStr">
        <is>
          <t>Two-way</t>
        </is>
      </c>
      <c r="B197" t="inlineStr">
        <is>
          <t>Earned before losses</t>
        </is>
      </c>
      <c r="C197" t="n">
        <v>268</v>
      </c>
      <c r="D197" t="inlineStr">
        <is>
          <t>REV_DEBT 13,052 - 17,186</t>
        </is>
      </c>
      <c r="E197" t="inlineStr">
        <is>
          <t>Branch</t>
        </is>
      </c>
      <c r="G197" t="n">
        <v>525</v>
      </c>
      <c r="H197" t="n">
        <v>-1.68934286405473</v>
      </c>
      <c r="J197" t="n">
        <v>9</v>
      </c>
      <c r="K197">
        <f>'_pockets'!$AI$268</f>
        <v/>
      </c>
      <c r="L197">
        <f>'_pockets'!$AJ$268</f>
        <v/>
      </c>
      <c r="M197">
        <f>IF(AND($A197='Pockets'!$D$17,$B197='Pockets'!$C$17,OR('Pockets'!$E$17="All",AND('Pockets'!$E$17="Worse and material",$K197="Yes",$L197="Yes"),AND('Pockets'!$E$17="Worse or not sure",OR($K197="Yes",$K197="Not sure")))),1,0)</f>
        <v/>
      </c>
      <c r="N197">
        <f>$N196+$M197</f>
        <v/>
      </c>
      <c r="O197" t="inlineStr">
        <is>
          <t>grids</t>
        </is>
      </c>
      <c r="P197" t="inlineStr">
        <is>
          <t>contribution_rate</t>
        </is>
      </c>
    </row>
    <row r="198">
      <c r="A198" t="inlineStr">
        <is>
          <t>Two-way</t>
        </is>
      </c>
      <c r="B198" t="inlineStr">
        <is>
          <t>Earned before losses</t>
        </is>
      </c>
      <c r="C198" t="n">
        <v>78</v>
      </c>
      <c r="D198" t="inlineStr">
        <is>
          <t>FICO 654 - 685</t>
        </is>
      </c>
      <c r="E198" t="inlineStr">
        <is>
          <t>Broker</t>
        </is>
      </c>
      <c r="G198" t="n">
        <v>531</v>
      </c>
      <c r="H198" t="n">
        <v>-1.680446181873959</v>
      </c>
      <c r="J198" t="n">
        <v>10</v>
      </c>
      <c r="K198">
        <f>'_pockets'!$AI$78</f>
        <v/>
      </c>
      <c r="L198">
        <f>'_pockets'!$AJ$78</f>
        <v/>
      </c>
      <c r="M198">
        <f>IF(AND($A198='Pockets'!$D$17,$B198='Pockets'!$C$17,OR('Pockets'!$E$17="All",AND('Pockets'!$E$17="Worse and material",$K198="Yes",$L198="Yes"),AND('Pockets'!$E$17="Worse or not sure",OR($K198="Yes",$K198="Not sure")))),1,0)</f>
        <v/>
      </c>
      <c r="N198">
        <f>$N197+$M198</f>
        <v/>
      </c>
      <c r="O198" t="inlineStr">
        <is>
          <t>grids</t>
        </is>
      </c>
      <c r="P198" t="inlineStr">
        <is>
          <t>contribution_rate</t>
        </is>
      </c>
    </row>
    <row r="199">
      <c r="A199" t="inlineStr">
        <is>
          <t>Two-way</t>
        </is>
      </c>
      <c r="B199" t="inlineStr">
        <is>
          <t>Earned before losses</t>
        </is>
      </c>
      <c r="C199" t="n">
        <v>58</v>
      </c>
      <c r="D199" t="inlineStr">
        <is>
          <t>FICO 654 - 685</t>
        </is>
      </c>
      <c r="E199" t="inlineStr">
        <is>
          <t>Branch</t>
        </is>
      </c>
      <c r="G199" t="n">
        <v>503</v>
      </c>
      <c r="H199" t="n">
        <v>-1.723356527093468</v>
      </c>
      <c r="J199" t="n">
        <v>11</v>
      </c>
      <c r="K199">
        <f>'_pockets'!$AI$58</f>
        <v/>
      </c>
      <c r="L199">
        <f>'_pockets'!$AJ$58</f>
        <v/>
      </c>
      <c r="M199">
        <f>IF(AND($A199='Pockets'!$D$17,$B199='Pockets'!$C$17,OR('Pockets'!$E$17="All",AND('Pockets'!$E$17="Worse and material",$K199="Yes",$L199="Yes"),AND('Pockets'!$E$17="Worse or not sure",OR($K199="Yes",$K199="Not sure")))),1,0)</f>
        <v/>
      </c>
      <c r="N199">
        <f>$N198+$M199</f>
        <v/>
      </c>
      <c r="O199" t="inlineStr">
        <is>
          <t>grids</t>
        </is>
      </c>
      <c r="P199" t="inlineStr">
        <is>
          <t>contribution_rate</t>
        </is>
      </c>
    </row>
    <row r="200">
      <c r="A200" t="inlineStr">
        <is>
          <t>Two-way</t>
        </is>
      </c>
      <c r="B200" t="inlineStr">
        <is>
          <t>Earned before losses</t>
        </is>
      </c>
      <c r="C200" t="n">
        <v>388</v>
      </c>
      <c r="D200" t="inlineStr">
        <is>
          <t>REV_DEBT 17,187 - 48,521</t>
        </is>
      </c>
      <c r="E200" t="inlineStr">
        <is>
          <t>ASSET_CLASS 2</t>
        </is>
      </c>
      <c r="G200" t="n">
        <v>385</v>
      </c>
      <c r="H200" t="n">
        <v>-1.954504455666212</v>
      </c>
      <c r="J200" t="n">
        <v>12</v>
      </c>
      <c r="K200">
        <f>'_pockets'!$AI$388</f>
        <v/>
      </c>
      <c r="L200">
        <f>'_pockets'!$AJ$388</f>
        <v/>
      </c>
      <c r="M200">
        <f>IF(AND($A200='Pockets'!$D$17,$B200='Pockets'!$C$17,OR('Pockets'!$E$17="All",AND('Pockets'!$E$17="Worse and material",$K200="Yes",$L200="Yes"),AND('Pockets'!$E$17="Worse or not sure",OR($K200="Yes",$K200="Not sure")))),1,0)</f>
        <v/>
      </c>
      <c r="N200">
        <f>$N199+$M200</f>
        <v/>
      </c>
      <c r="O200" t="inlineStr">
        <is>
          <t>grids</t>
        </is>
      </c>
      <c r="P200" t="inlineStr">
        <is>
          <t>contribution_rate</t>
        </is>
      </c>
    </row>
    <row r="201">
      <c r="A201" t="inlineStr">
        <is>
          <t>Two-way</t>
        </is>
      </c>
      <c r="B201" t="inlineStr">
        <is>
          <t>Earned before losses</t>
        </is>
      </c>
      <c r="C201" t="n">
        <v>253</v>
      </c>
      <c r="D201" t="inlineStr">
        <is>
          <t>REV_DEBT 6,559 - 9,836</t>
        </is>
      </c>
      <c r="E201" t="inlineStr">
        <is>
          <t>Broker</t>
        </is>
      </c>
      <c r="G201" t="n">
        <v>521</v>
      </c>
      <c r="H201" t="n">
        <v>-1.695361796579559</v>
      </c>
      <c r="J201" t="n">
        <v>13</v>
      </c>
      <c r="K201">
        <f>'_pockets'!$AI$253</f>
        <v/>
      </c>
      <c r="L201">
        <f>'_pockets'!$AJ$253</f>
        <v/>
      </c>
      <c r="M201">
        <f>IF(AND($A201='Pockets'!$D$17,$B201='Pockets'!$C$17,OR('Pockets'!$E$17="All",AND('Pockets'!$E$17="Worse and material",$K201="Yes",$L201="Yes"),AND('Pockets'!$E$17="Worse or not sure",OR($K201="Yes",$K201="Not sure")))),1,0)</f>
        <v/>
      </c>
      <c r="N201">
        <f>$N200+$M201</f>
        <v/>
      </c>
      <c r="O201" t="inlineStr">
        <is>
          <t>grids</t>
        </is>
      </c>
      <c r="P201" t="inlineStr">
        <is>
          <t>contribution_rate</t>
        </is>
      </c>
    </row>
    <row r="202">
      <c r="A202" t="inlineStr">
        <is>
          <t>Two-way</t>
        </is>
      </c>
      <c r="B202" t="inlineStr">
        <is>
          <t>Earned before losses</t>
        </is>
      </c>
      <c r="C202" t="n">
        <v>378</v>
      </c>
      <c r="D202" t="inlineStr">
        <is>
          <t>REV_DEBT 9,837 - 13,051</t>
        </is>
      </c>
      <c r="E202" t="inlineStr">
        <is>
          <t>ASSET_CLASS 3</t>
        </is>
      </c>
      <c r="G202" t="n">
        <v>400</v>
      </c>
      <c r="H202" t="n">
        <v>-1.919399176793125</v>
      </c>
      <c r="J202" t="n">
        <v>14</v>
      </c>
      <c r="K202">
        <f>'_pockets'!$AI$378</f>
        <v/>
      </c>
      <c r="L202">
        <f>'_pockets'!$AJ$378</f>
        <v/>
      </c>
      <c r="M202">
        <f>IF(AND($A202='Pockets'!$D$17,$B202='Pockets'!$C$17,OR('Pockets'!$E$17="All",AND('Pockets'!$E$17="Worse and material",$K202="Yes",$L202="Yes"),AND('Pockets'!$E$17="Worse or not sure",OR($K202="Yes",$K202="Not sure")))),1,0)</f>
        <v/>
      </c>
      <c r="N202">
        <f>$N201+$M202</f>
        <v/>
      </c>
      <c r="O202" t="inlineStr">
        <is>
          <t>grids</t>
        </is>
      </c>
      <c r="P202" t="inlineStr">
        <is>
          <t>contribution_rate</t>
        </is>
      </c>
    </row>
    <row r="203">
      <c r="A203" t="inlineStr">
        <is>
          <t>Two-way</t>
        </is>
      </c>
      <c r="B203" t="inlineStr">
        <is>
          <t>Earned before losses</t>
        </is>
      </c>
      <c r="C203" t="n">
        <v>323</v>
      </c>
      <c r="D203" t="inlineStr">
        <is>
          <t>REV_DEBT 6,559 - 9,836</t>
        </is>
      </c>
      <c r="E203" t="inlineStr">
        <is>
          <t>ASSET_CLASS 2</t>
        </is>
      </c>
      <c r="G203" t="n">
        <v>417</v>
      </c>
      <c r="H203" t="n">
        <v>-1.881974214237317</v>
      </c>
      <c r="J203" t="n">
        <v>15</v>
      </c>
      <c r="K203">
        <f>'_pockets'!$AI$323</f>
        <v/>
      </c>
      <c r="L203">
        <f>'_pockets'!$AJ$323</f>
        <v/>
      </c>
      <c r="M203">
        <f>IF(AND($A203='Pockets'!$D$17,$B203='Pockets'!$C$17,OR('Pockets'!$E$17="All",AND('Pockets'!$E$17="Worse and material",$K203="Yes",$L203="Yes"),AND('Pockets'!$E$17="Worse or not sure",OR($K203="Yes",$K203="Not sure")))),1,0)</f>
        <v/>
      </c>
      <c r="N203">
        <f>$N202+$M203</f>
        <v/>
      </c>
      <c r="O203" t="inlineStr">
        <is>
          <t>grids</t>
        </is>
      </c>
      <c r="P203" t="inlineStr">
        <is>
          <t>contribution_rate</t>
        </is>
      </c>
    </row>
    <row r="204">
      <c r="A204" t="inlineStr">
        <is>
          <t>Two-way</t>
        </is>
      </c>
      <c r="B204" t="inlineStr">
        <is>
          <t>Earned before losses</t>
        </is>
      </c>
      <c r="C204" t="n">
        <v>123</v>
      </c>
      <c r="D204" t="inlineStr">
        <is>
          <t>FICO 496 - 653</t>
        </is>
      </c>
      <c r="E204" t="inlineStr">
        <is>
          <t>ASSET_CLASS 2</t>
        </is>
      </c>
      <c r="G204" t="n">
        <v>394</v>
      </c>
      <c r="H204" t="n">
        <v>-1.933195517493483</v>
      </c>
      <c r="J204" t="n">
        <v>16</v>
      </c>
      <c r="K204">
        <f>'_pockets'!$AI$123</f>
        <v/>
      </c>
      <c r="L204">
        <f>'_pockets'!$AJ$123</f>
        <v/>
      </c>
      <c r="M204">
        <f>IF(AND($A204='Pockets'!$D$17,$B204='Pockets'!$C$17,OR('Pockets'!$E$17="All",AND('Pockets'!$E$17="Worse and material",$K204="Yes",$L204="Yes"),AND('Pockets'!$E$17="Worse or not sure",OR($K204="Yes",$K204="Not sure")))),1,0)</f>
        <v/>
      </c>
      <c r="N204">
        <f>$N203+$M204</f>
        <v/>
      </c>
      <c r="O204" t="inlineStr">
        <is>
          <t>grids</t>
        </is>
      </c>
      <c r="P204" t="inlineStr">
        <is>
          <t>contribution_rate</t>
        </is>
      </c>
    </row>
    <row r="205">
      <c r="A205" t="inlineStr">
        <is>
          <t>Two-way</t>
        </is>
      </c>
      <c r="B205" t="inlineStr">
        <is>
          <t>Earned before losses</t>
        </is>
      </c>
      <c r="C205" t="n">
        <v>278</v>
      </c>
      <c r="D205" t="inlineStr">
        <is>
          <t>REV_DEBT 17,187 - 48,521</t>
        </is>
      </c>
      <c r="E205" t="inlineStr">
        <is>
          <t>Broker</t>
        </is>
      </c>
      <c r="G205" t="n">
        <v>507</v>
      </c>
      <c r="H205" t="n">
        <v>-1.71700304863338</v>
      </c>
      <c r="J205" t="n">
        <v>17</v>
      </c>
      <c r="K205">
        <f>'_pockets'!$AI$278</f>
        <v/>
      </c>
      <c r="L205">
        <f>'_pockets'!$AJ$278</f>
        <v/>
      </c>
      <c r="M205">
        <f>IF(AND($A205='Pockets'!$D$17,$B205='Pockets'!$C$17,OR('Pockets'!$E$17="All",AND('Pockets'!$E$17="Worse and material",$K205="Yes",$L205="Yes"),AND('Pockets'!$E$17="Worse or not sure",OR($K205="Yes",$K205="Not sure")))),1,0)</f>
        <v/>
      </c>
      <c r="N205">
        <f>$N204+$M205</f>
        <v/>
      </c>
      <c r="O205" t="inlineStr">
        <is>
          <t>grids</t>
        </is>
      </c>
      <c r="P205" t="inlineStr">
        <is>
          <t>contribution_rate</t>
        </is>
      </c>
    </row>
    <row r="206">
      <c r="A206" t="inlineStr">
        <is>
          <t>Two-way</t>
        </is>
      </c>
      <c r="B206" t="inlineStr">
        <is>
          <t>Earned before losses</t>
        </is>
      </c>
      <c r="C206" t="n">
        <v>248</v>
      </c>
      <c r="D206" t="inlineStr">
        <is>
          <t>REV_DEBT 13,052 - 17,186</t>
        </is>
      </c>
      <c r="E206" t="inlineStr">
        <is>
          <t>Broker</t>
        </is>
      </c>
      <c r="G206" t="n">
        <v>553</v>
      </c>
      <c r="H206" t="n">
        <v>-1.6491115286818</v>
      </c>
      <c r="J206" t="n">
        <v>18</v>
      </c>
      <c r="K206">
        <f>'_pockets'!$AI$248</f>
        <v/>
      </c>
      <c r="L206">
        <f>'_pockets'!$AJ$248</f>
        <v/>
      </c>
      <c r="M206">
        <f>IF(AND($A206='Pockets'!$D$17,$B206='Pockets'!$C$17,OR('Pockets'!$E$17="All",AND('Pockets'!$E$17="Worse and material",$K206="Yes",$L206="Yes"),AND('Pockets'!$E$17="Worse or not sure",OR($K206="Yes",$K206="Not sure")))),1,0)</f>
        <v/>
      </c>
      <c r="N206">
        <f>$N205+$M206</f>
        <v/>
      </c>
      <c r="O206" t="inlineStr">
        <is>
          <t>grids</t>
        </is>
      </c>
      <c r="P206" t="inlineStr">
        <is>
          <t>contribution_rate</t>
        </is>
      </c>
    </row>
    <row r="207">
      <c r="A207" t="inlineStr">
        <is>
          <t>Two-way</t>
        </is>
      </c>
      <c r="B207" t="inlineStr">
        <is>
          <t>Earned before losses</t>
        </is>
      </c>
      <c r="C207" t="n">
        <v>213</v>
      </c>
      <c r="D207" t="inlineStr">
        <is>
          <t>FICO 686 - 711</t>
        </is>
      </c>
      <c r="E207" t="inlineStr">
        <is>
          <t>ASSET_CLASS 3</t>
        </is>
      </c>
      <c r="G207" t="n">
        <v>388</v>
      </c>
      <c r="H207" t="n">
        <v>-1.947317439661805</v>
      </c>
      <c r="J207" t="n">
        <v>19</v>
      </c>
      <c r="K207">
        <f>'_pockets'!$AI$213</f>
        <v/>
      </c>
      <c r="L207">
        <f>'_pockets'!$AJ$213</f>
        <v/>
      </c>
      <c r="M207">
        <f>IF(AND($A207='Pockets'!$D$17,$B207='Pockets'!$C$17,OR('Pockets'!$E$17="All",AND('Pockets'!$E$17="Worse and material",$K207="Yes",$L207="Yes"),AND('Pockets'!$E$17="Worse or not sure",OR($K207="Yes",$K207="Not sure")))),1,0)</f>
        <v/>
      </c>
      <c r="N207">
        <f>$N206+$M207</f>
        <v/>
      </c>
      <c r="O207" t="inlineStr">
        <is>
          <t>grids</t>
        </is>
      </c>
      <c r="P207" t="inlineStr">
        <is>
          <t>contribution_rate</t>
        </is>
      </c>
    </row>
    <row r="208">
      <c r="A208" t="inlineStr">
        <is>
          <t>Two-way</t>
        </is>
      </c>
      <c r="B208" t="inlineStr">
        <is>
          <t>Earned before losses</t>
        </is>
      </c>
      <c r="C208" t="n">
        <v>283</v>
      </c>
      <c r="D208" t="inlineStr">
        <is>
          <t>REV_DEBT 17,187 - 48,521</t>
        </is>
      </c>
      <c r="E208" t="inlineStr">
        <is>
          <t>Branch</t>
        </is>
      </c>
      <c r="G208" t="n">
        <v>525</v>
      </c>
      <c r="H208" t="n">
        <v>-1.68934286405473</v>
      </c>
      <c r="J208" t="n">
        <v>20</v>
      </c>
      <c r="K208">
        <f>'_pockets'!$AI$283</f>
        <v/>
      </c>
      <c r="L208">
        <f>'_pockets'!$AJ$283</f>
        <v/>
      </c>
      <c r="M208">
        <f>IF(AND($A208='Pockets'!$D$17,$B208='Pockets'!$C$17,OR('Pockets'!$E$17="All",AND('Pockets'!$E$17="Worse and material",$K208="Yes",$L208="Yes"),AND('Pockets'!$E$17="Worse or not sure",OR($K208="Yes",$K208="Not sure")))),1,0)</f>
        <v/>
      </c>
      <c r="N208">
        <f>$N207+$M208</f>
        <v/>
      </c>
      <c r="O208" t="inlineStr">
        <is>
          <t>grids</t>
        </is>
      </c>
      <c r="P208" t="inlineStr">
        <is>
          <t>contribution_rate</t>
        </is>
      </c>
    </row>
    <row r="209">
      <c r="A209" t="inlineStr">
        <is>
          <t>Two-way</t>
        </is>
      </c>
      <c r="B209" t="inlineStr">
        <is>
          <t>Earned before losses</t>
        </is>
      </c>
      <c r="C209" t="n">
        <v>118</v>
      </c>
      <c r="D209" t="inlineStr">
        <is>
          <t>FICO 712 - 745</t>
        </is>
      </c>
      <c r="E209" t="inlineStr">
        <is>
          <t>ASSET_CLASS 2</t>
        </is>
      </c>
      <c r="G209" t="n">
        <v>430</v>
      </c>
      <c r="H209" t="n">
        <v>-1.854898521239641</v>
      </c>
      <c r="J209" t="n">
        <v>21</v>
      </c>
      <c r="K209">
        <f>'_pockets'!$AI$118</f>
        <v/>
      </c>
      <c r="L209">
        <f>'_pockets'!$AJ$118</f>
        <v/>
      </c>
      <c r="M209">
        <f>IF(AND($A209='Pockets'!$D$17,$B209='Pockets'!$C$17,OR('Pockets'!$E$17="All",AND('Pockets'!$E$17="Worse and material",$K209="Yes",$L209="Yes"),AND('Pockets'!$E$17="Worse or not sure",OR($K209="Yes",$K209="Not sure")))),1,0)</f>
        <v/>
      </c>
      <c r="N209">
        <f>$N208+$M209</f>
        <v/>
      </c>
      <c r="O209" t="inlineStr">
        <is>
          <t>grids</t>
        </is>
      </c>
      <c r="P209" t="inlineStr">
        <is>
          <t>contribution_rate</t>
        </is>
      </c>
    </row>
    <row r="210">
      <c r="A210" t="inlineStr">
        <is>
          <t>Two-way</t>
        </is>
      </c>
      <c r="B210" t="inlineStr">
        <is>
          <t>Earned before losses</t>
        </is>
      </c>
      <c r="C210" t="n">
        <v>373</v>
      </c>
      <c r="D210" t="inlineStr">
        <is>
          <t>REV_DEBT 13,052 - 17,186</t>
        </is>
      </c>
      <c r="E210" t="inlineStr">
        <is>
          <t>ASSET_CLASS 3</t>
        </is>
      </c>
      <c r="G210" t="n">
        <v>373</v>
      </c>
      <c r="H210" t="n">
        <v>-1.984132196973086</v>
      </c>
      <c r="J210" t="n">
        <v>22</v>
      </c>
      <c r="K210">
        <f>'_pockets'!$AI$373</f>
        <v/>
      </c>
      <c r="L210">
        <f>'_pockets'!$AJ$373</f>
        <v/>
      </c>
      <c r="M210">
        <f>IF(AND($A210='Pockets'!$D$17,$B210='Pockets'!$C$17,OR('Pockets'!$E$17="All",AND('Pockets'!$E$17="Worse and material",$K210="Yes",$L210="Yes"),AND('Pockets'!$E$17="Worse or not sure",OR($K210="Yes",$K210="Not sure")))),1,0)</f>
        <v/>
      </c>
      <c r="N210">
        <f>$N209+$M210</f>
        <v/>
      </c>
      <c r="O210" t="inlineStr">
        <is>
          <t>grids</t>
        </is>
      </c>
      <c r="P210" t="inlineStr">
        <is>
          <t>contribution_rate</t>
        </is>
      </c>
    </row>
    <row r="211">
      <c r="A211" t="inlineStr">
        <is>
          <t>Two-way</t>
        </is>
      </c>
      <c r="B211" t="inlineStr">
        <is>
          <t>Earned before losses</t>
        </is>
      </c>
      <c r="C211" t="n">
        <v>83</v>
      </c>
      <c r="D211" t="inlineStr">
        <is>
          <t>FICO 496 - 653</t>
        </is>
      </c>
      <c r="E211" t="inlineStr">
        <is>
          <t>Online</t>
        </is>
      </c>
      <c r="G211" t="n">
        <v>531</v>
      </c>
      <c r="H211" t="n">
        <v>-1.680446181873959</v>
      </c>
      <c r="J211" t="n">
        <v>23</v>
      </c>
      <c r="K211">
        <f>'_pockets'!$AI$83</f>
        <v/>
      </c>
      <c r="L211">
        <f>'_pockets'!$AJ$83</f>
        <v/>
      </c>
      <c r="M211">
        <f>IF(AND($A211='Pockets'!$D$17,$B211='Pockets'!$C$17,OR('Pockets'!$E$17="All",AND('Pockets'!$E$17="Worse and material",$K211="Yes",$L211="Yes"),AND('Pockets'!$E$17="Worse or not sure",OR($K211="Yes",$K211="Not sure")))),1,0)</f>
        <v/>
      </c>
      <c r="N211">
        <f>$N210+$M211</f>
        <v/>
      </c>
      <c r="O211" t="inlineStr">
        <is>
          <t>grids</t>
        </is>
      </c>
      <c r="P211" t="inlineStr">
        <is>
          <t>contribution_rate</t>
        </is>
      </c>
    </row>
    <row r="212">
      <c r="A212" t="inlineStr">
        <is>
          <t>Two-way</t>
        </is>
      </c>
      <c r="B212" t="inlineStr">
        <is>
          <t>Earned before losses</t>
        </is>
      </c>
      <c r="C212" t="n">
        <v>193</v>
      </c>
      <c r="D212" t="inlineStr">
        <is>
          <t>FICO 654 - 685</t>
        </is>
      </c>
      <c r="E212" t="inlineStr">
        <is>
          <t>ASSET_CLASS 4</t>
        </is>
      </c>
      <c r="G212" t="n">
        <v>410</v>
      </c>
      <c r="H212" t="n">
        <v>-1.897096203884834</v>
      </c>
      <c r="J212" t="n">
        <v>24</v>
      </c>
      <c r="K212">
        <f>'_pockets'!$AI$193</f>
        <v/>
      </c>
      <c r="L212">
        <f>'_pockets'!$AJ$193</f>
        <v/>
      </c>
      <c r="M212">
        <f>IF(AND($A212='Pockets'!$D$17,$B212='Pockets'!$C$17,OR('Pockets'!$E$17="All",AND('Pockets'!$E$17="Worse and material",$K212="Yes",$L212="Yes"),AND('Pockets'!$E$17="Worse or not sure",OR($K212="Yes",$K212="Not sure")))),1,0)</f>
        <v/>
      </c>
      <c r="N212">
        <f>$N211+$M212</f>
        <v/>
      </c>
      <c r="O212" t="inlineStr">
        <is>
          <t>grids</t>
        </is>
      </c>
      <c r="P212" t="inlineStr">
        <is>
          <t>contribution_rate</t>
        </is>
      </c>
    </row>
    <row r="213">
      <c r="A213" t="inlineStr">
        <is>
          <t>Two-way</t>
        </is>
      </c>
      <c r="B213" t="inlineStr">
        <is>
          <t>Earned before losses</t>
        </is>
      </c>
      <c r="C213" t="n">
        <v>93</v>
      </c>
      <c r="D213" t="inlineStr">
        <is>
          <t>FICO (marked missing)</t>
        </is>
      </c>
      <c r="E213" t="inlineStr">
        <is>
          <t>Branch</t>
        </is>
      </c>
      <c r="G213" t="n">
        <v>51</v>
      </c>
      <c r="H213" t="n">
        <v>-5.256035016781256</v>
      </c>
      <c r="J213" t="n">
        <v>25</v>
      </c>
      <c r="K213">
        <f>'_pockets'!$AI$93</f>
        <v/>
      </c>
      <c r="L213">
        <f>'_pockets'!$AJ$93</f>
        <v/>
      </c>
      <c r="M213">
        <f>IF(AND($A213='Pockets'!$D$17,$B213='Pockets'!$C$17,OR('Pockets'!$E$17="All",AND('Pockets'!$E$17="Worse and material",$K213="Yes",$L213="Yes"),AND('Pockets'!$E$17="Worse or not sure",OR($K213="Yes",$K213="Not sure")))),1,0)</f>
        <v/>
      </c>
      <c r="N213">
        <f>$N212+$M213</f>
        <v/>
      </c>
      <c r="O213" t="inlineStr">
        <is>
          <t>grids</t>
        </is>
      </c>
      <c r="P213" t="inlineStr">
        <is>
          <t>contribution_rate</t>
        </is>
      </c>
    </row>
    <row r="214">
      <c r="A214" t="inlineStr">
        <is>
          <t>Two-way</t>
        </is>
      </c>
      <c r="B214" t="inlineStr">
        <is>
          <t>Earned before losses</t>
        </is>
      </c>
      <c r="C214" t="n">
        <v>23</v>
      </c>
      <c r="D214" t="inlineStr">
        <is>
          <t>FICO 496 - 653</t>
        </is>
      </c>
      <c r="E214" t="inlineStr">
        <is>
          <t>Branch</t>
        </is>
      </c>
      <c r="G214" t="n">
        <v>502</v>
      </c>
      <c r="H214" t="n">
        <v>-1.724957093665302</v>
      </c>
      <c r="J214" t="n">
        <v>26</v>
      </c>
      <c r="K214">
        <f>'_pockets'!$AI$23</f>
        <v/>
      </c>
      <c r="L214">
        <f>'_pockets'!$AJ$23</f>
        <v/>
      </c>
      <c r="M214">
        <f>IF(AND($A214='Pockets'!$D$17,$B214='Pockets'!$C$17,OR('Pockets'!$E$17="All",AND('Pockets'!$E$17="Worse and material",$K214="Yes",$L214="Yes"),AND('Pockets'!$E$17="Worse or not sure",OR($K214="Yes",$K214="Not sure")))),1,0)</f>
        <v/>
      </c>
      <c r="N214">
        <f>$N213+$M214</f>
        <v/>
      </c>
      <c r="O214" t="inlineStr">
        <is>
          <t>grids</t>
        </is>
      </c>
      <c r="P214" t="inlineStr">
        <is>
          <t>contribution_rate</t>
        </is>
      </c>
    </row>
    <row r="215">
      <c r="A215" t="inlineStr">
        <is>
          <t>Two-way</t>
        </is>
      </c>
      <c r="B215" t="inlineStr">
        <is>
          <t>Earned before losses</t>
        </is>
      </c>
      <c r="C215" t="n">
        <v>383</v>
      </c>
      <c r="D215" t="inlineStr">
        <is>
          <t>REV_DEBT 0 - 6,558</t>
        </is>
      </c>
      <c r="E215" t="inlineStr">
        <is>
          <t>ASSET_CLASS 2</t>
        </is>
      </c>
      <c r="G215" t="n">
        <v>435</v>
      </c>
      <c r="H215" t="n">
        <v>-1.844816888735113</v>
      </c>
      <c r="J215" t="n">
        <v>27</v>
      </c>
      <c r="K215">
        <f>'_pockets'!$AI$383</f>
        <v/>
      </c>
      <c r="L215">
        <f>'_pockets'!$AJ$383</f>
        <v/>
      </c>
      <c r="M215">
        <f>IF(AND($A215='Pockets'!$D$17,$B215='Pockets'!$C$17,OR('Pockets'!$E$17="All",AND('Pockets'!$E$17="Worse and material",$K215="Yes",$L215="Yes"),AND('Pockets'!$E$17="Worse or not sure",OR($K215="Yes",$K215="Not sure")))),1,0)</f>
        <v/>
      </c>
      <c r="N215">
        <f>$N214+$M215</f>
        <v/>
      </c>
      <c r="O215" t="inlineStr">
        <is>
          <t>grids</t>
        </is>
      </c>
      <c r="P215" t="inlineStr">
        <is>
          <t>contribution_rate</t>
        </is>
      </c>
    </row>
    <row r="216">
      <c r="A216" t="inlineStr">
        <is>
          <t>Two-way</t>
        </is>
      </c>
      <c r="B216" t="inlineStr">
        <is>
          <t>Earned before losses</t>
        </is>
      </c>
      <c r="C216" t="n">
        <v>53</v>
      </c>
      <c r="D216" t="inlineStr">
        <is>
          <t>FICO 746 - 921</t>
        </is>
      </c>
      <c r="E216" t="inlineStr">
        <is>
          <t>Online</t>
        </is>
      </c>
      <c r="G216" t="n">
        <v>517</v>
      </c>
      <c r="H216" t="n">
        <v>-1.701452563848922</v>
      </c>
      <c r="J216" t="n">
        <v>28</v>
      </c>
      <c r="K216">
        <f>'_pockets'!$AI$53</f>
        <v/>
      </c>
      <c r="L216">
        <f>'_pockets'!$AJ$53</f>
        <v/>
      </c>
      <c r="M216">
        <f>IF(AND($A216='Pockets'!$D$17,$B216='Pockets'!$C$17,OR('Pockets'!$E$17="All",AND('Pockets'!$E$17="Worse and material",$K216="Yes",$L216="Yes"),AND('Pockets'!$E$17="Worse or not sure",OR($K216="Yes",$K216="Not sure")))),1,0)</f>
        <v/>
      </c>
      <c r="N216">
        <f>$N215+$M216</f>
        <v/>
      </c>
      <c r="O216" t="inlineStr">
        <is>
          <t>grids</t>
        </is>
      </c>
      <c r="P216" t="inlineStr">
        <is>
          <t>contribution_rate</t>
        </is>
      </c>
    </row>
    <row r="217">
      <c r="A217" t="inlineStr">
        <is>
          <t>Two-way</t>
        </is>
      </c>
      <c r="B217" t="inlineStr">
        <is>
          <t>Earned before losses</t>
        </is>
      </c>
      <c r="C217" t="n">
        <v>133</v>
      </c>
      <c r="D217" t="inlineStr">
        <is>
          <t>FICO 746 - 921</t>
        </is>
      </c>
      <c r="E217" t="inlineStr">
        <is>
          <t>ASSET_CLASS 2</t>
        </is>
      </c>
      <c r="G217" t="n">
        <v>399</v>
      </c>
      <c r="H217" t="n">
        <v>-1.921676478546325</v>
      </c>
      <c r="J217" t="n">
        <v>29</v>
      </c>
      <c r="K217">
        <f>'_pockets'!$AI$133</f>
        <v/>
      </c>
      <c r="L217">
        <f>'_pockets'!$AJ$133</f>
        <v/>
      </c>
      <c r="M217">
        <f>IF(AND($A217='Pockets'!$D$17,$B217='Pockets'!$C$17,OR('Pockets'!$E$17="All",AND('Pockets'!$E$17="Worse and material",$K217="Yes",$L217="Yes"),AND('Pockets'!$E$17="Worse or not sure",OR($K217="Yes",$K217="Not sure")))),1,0)</f>
        <v/>
      </c>
      <c r="N217">
        <f>$N216+$M217</f>
        <v/>
      </c>
      <c r="O217" t="inlineStr">
        <is>
          <t>grids</t>
        </is>
      </c>
      <c r="P217" t="inlineStr">
        <is>
          <t>contribution_rate</t>
        </is>
      </c>
    </row>
    <row r="218">
      <c r="A218" t="inlineStr">
        <is>
          <t>Two-way</t>
        </is>
      </c>
      <c r="B218" t="inlineStr">
        <is>
          <t>Earned before losses</t>
        </is>
      </c>
      <c r="C218" t="n">
        <v>363</v>
      </c>
      <c r="D218" t="inlineStr">
        <is>
          <t>REV_DEBT 17,187 - 48,521</t>
        </is>
      </c>
      <c r="E218" t="inlineStr">
        <is>
          <t>ASSET_CLASS 3</t>
        </is>
      </c>
      <c r="G218" t="n">
        <v>380</v>
      </c>
      <c r="H218" t="n">
        <v>-1.966675293701799</v>
      </c>
      <c r="J218" t="n">
        <v>30</v>
      </c>
      <c r="K218">
        <f>'_pockets'!$AI$363</f>
        <v/>
      </c>
      <c r="L218">
        <f>'_pockets'!$AJ$363</f>
        <v/>
      </c>
      <c r="M218">
        <f>IF(AND($A218='Pockets'!$D$17,$B218='Pockets'!$C$17,OR('Pockets'!$E$17="All",AND('Pockets'!$E$17="Worse and material",$K218="Yes",$L218="Yes"),AND('Pockets'!$E$17="Worse or not sure",OR($K218="Yes",$K218="Not sure")))),1,0)</f>
        <v/>
      </c>
      <c r="N218">
        <f>$N217+$M218</f>
        <v/>
      </c>
      <c r="O218" t="inlineStr">
        <is>
          <t>grids</t>
        </is>
      </c>
      <c r="P218" t="inlineStr">
        <is>
          <t>contribution_rate</t>
        </is>
      </c>
    </row>
    <row r="219">
      <c r="A219" t="inlineStr">
        <is>
          <t>Two-way</t>
        </is>
      </c>
      <c r="B219" t="inlineStr">
        <is>
          <t>Earned before losses</t>
        </is>
      </c>
      <c r="C219" t="n">
        <v>368</v>
      </c>
      <c r="D219" t="inlineStr">
        <is>
          <t>REV_DEBT 6,559 - 9,836</t>
        </is>
      </c>
      <c r="E219" t="inlineStr">
        <is>
          <t>ASSET_CLASS 3</t>
        </is>
      </c>
      <c r="G219" t="n">
        <v>411</v>
      </c>
      <c r="H219" t="n">
        <v>-1.894911761928809</v>
      </c>
      <c r="J219" t="n">
        <v>31</v>
      </c>
      <c r="K219">
        <f>'_pockets'!$AI$368</f>
        <v/>
      </c>
      <c r="L219">
        <f>'_pockets'!$AJ$368</f>
        <v/>
      </c>
      <c r="M219">
        <f>IF(AND($A219='Pockets'!$D$17,$B219='Pockets'!$C$17,OR('Pockets'!$E$17="All",AND('Pockets'!$E$17="Worse and material",$K219="Yes",$L219="Yes"),AND('Pockets'!$E$17="Worse or not sure",OR($K219="Yes",$K219="Not sure")))),1,0)</f>
        <v/>
      </c>
      <c r="N219">
        <f>$N218+$M219</f>
        <v/>
      </c>
      <c r="O219" t="inlineStr">
        <is>
          <t>grids</t>
        </is>
      </c>
      <c r="P219" t="inlineStr">
        <is>
          <t>contribution_rate</t>
        </is>
      </c>
    </row>
    <row r="220">
      <c r="A220" t="inlineStr">
        <is>
          <t>Two-way</t>
        </is>
      </c>
      <c r="B220" t="inlineStr">
        <is>
          <t>Earned before losses</t>
        </is>
      </c>
      <c r="C220" t="n">
        <v>333</v>
      </c>
      <c r="D220" t="inlineStr">
        <is>
          <t>REV_DEBT 0 - 6,558</t>
        </is>
      </c>
      <c r="E220" t="inlineStr">
        <is>
          <t>ASSET_CLASS 1</t>
        </is>
      </c>
      <c r="G220" t="n">
        <v>396</v>
      </c>
      <c r="H220" t="n">
        <v>-1.928561172360492</v>
      </c>
      <c r="J220" t="n">
        <v>32</v>
      </c>
      <c r="K220">
        <f>'_pockets'!$AI$333</f>
        <v/>
      </c>
      <c r="L220">
        <f>'_pockets'!$AJ$333</f>
        <v/>
      </c>
      <c r="M220">
        <f>IF(AND($A220='Pockets'!$D$17,$B220='Pockets'!$C$17,OR('Pockets'!$E$17="All",AND('Pockets'!$E$17="Worse and material",$K220="Yes",$L220="Yes"),AND('Pockets'!$E$17="Worse or not sure",OR($K220="Yes",$K220="Not sure")))),1,0)</f>
        <v/>
      </c>
      <c r="N220">
        <f>$N219+$M220</f>
        <v/>
      </c>
      <c r="O220" t="inlineStr">
        <is>
          <t>grids</t>
        </is>
      </c>
      <c r="P220" t="inlineStr">
        <is>
          <t>contribution_rate</t>
        </is>
      </c>
    </row>
    <row r="221">
      <c r="A221" t="inlineStr">
        <is>
          <t>Two-way</t>
        </is>
      </c>
      <c r="B221" t="inlineStr">
        <is>
          <t>Earned before losses</t>
        </is>
      </c>
      <c r="C221" t="n">
        <v>208</v>
      </c>
      <c r="D221" t="inlineStr">
        <is>
          <t>FICO 712 - 745</t>
        </is>
      </c>
      <c r="E221" t="inlineStr">
        <is>
          <t>ASSET_CLASS 3</t>
        </is>
      </c>
      <c r="G221" t="n">
        <v>392</v>
      </c>
      <c r="H221" t="n">
        <v>-1.937866032887387</v>
      </c>
      <c r="J221" t="n">
        <v>33</v>
      </c>
      <c r="K221">
        <f>'_pockets'!$AI$208</f>
        <v/>
      </c>
      <c r="L221">
        <f>'_pockets'!$AJ$208</f>
        <v/>
      </c>
      <c r="M221">
        <f>IF(AND($A221='Pockets'!$D$17,$B221='Pockets'!$C$17,OR('Pockets'!$E$17="All",AND('Pockets'!$E$17="Worse and material",$K221="Yes",$L221="Yes"),AND('Pockets'!$E$17="Worse or not sure",OR($K221="Yes",$K221="Not sure")))),1,0)</f>
        <v/>
      </c>
      <c r="N221">
        <f>$N220+$M221</f>
        <v/>
      </c>
      <c r="O221" t="inlineStr">
        <is>
          <t>grids</t>
        </is>
      </c>
      <c r="P221" t="inlineStr">
        <is>
          <t>contribution_rate</t>
        </is>
      </c>
    </row>
    <row r="222">
      <c r="A222" t="inlineStr">
        <is>
          <t>Two-way</t>
        </is>
      </c>
      <c r="B222" t="inlineStr">
        <is>
          <t>Earned before losses</t>
        </is>
      </c>
      <c r="C222" t="n">
        <v>338</v>
      </c>
      <c r="D222" t="inlineStr">
        <is>
          <t>REV_DEBT 0 - 6,558</t>
        </is>
      </c>
      <c r="E222" t="inlineStr">
        <is>
          <t>ASSET_CLASS 4</t>
        </is>
      </c>
      <c r="G222" t="n">
        <v>399</v>
      </c>
      <c r="H222" t="n">
        <v>-1.921676478546325</v>
      </c>
      <c r="J222" t="n">
        <v>34</v>
      </c>
      <c r="K222">
        <f>'_pockets'!$AI$338</f>
        <v/>
      </c>
      <c r="L222">
        <f>'_pockets'!$AJ$338</f>
        <v/>
      </c>
      <c r="M222">
        <f>IF(AND($A222='Pockets'!$D$17,$B222='Pockets'!$C$17,OR('Pockets'!$E$17="All",AND('Pockets'!$E$17="Worse and material",$K222="Yes",$L222="Yes"),AND('Pockets'!$E$17="Worse or not sure",OR($K222="Yes",$K222="Not sure")))),1,0)</f>
        <v/>
      </c>
      <c r="N222">
        <f>$N221+$M222</f>
        <v/>
      </c>
      <c r="O222" t="inlineStr">
        <is>
          <t>grids</t>
        </is>
      </c>
      <c r="P222" t="inlineStr">
        <is>
          <t>contribution_rate</t>
        </is>
      </c>
    </row>
    <row r="223">
      <c r="A223" t="inlineStr">
        <is>
          <t>Two-way</t>
        </is>
      </c>
      <c r="B223" t="inlineStr">
        <is>
          <t>Earned before losses</t>
        </is>
      </c>
      <c r="C223" t="n">
        <v>198</v>
      </c>
      <c r="D223" t="inlineStr">
        <is>
          <t>FICO 686 - 711</t>
        </is>
      </c>
      <c r="E223" t="inlineStr">
        <is>
          <t>ASSET_CLASS 2</t>
        </is>
      </c>
      <c r="G223" t="n">
        <v>395</v>
      </c>
      <c r="H223" t="n">
        <v>-1.930873852335372</v>
      </c>
      <c r="J223" t="n">
        <v>35</v>
      </c>
      <c r="K223">
        <f>'_pockets'!$AI$198</f>
        <v/>
      </c>
      <c r="L223">
        <f>'_pockets'!$AJ$198</f>
        <v/>
      </c>
      <c r="M223">
        <f>IF(AND($A223='Pockets'!$D$17,$B223='Pockets'!$C$17,OR('Pockets'!$E$17="All",AND('Pockets'!$E$17="Worse and material",$K223="Yes",$L223="Yes"),AND('Pockets'!$E$17="Worse or not sure",OR($K223="Yes",$K223="Not sure")))),1,0)</f>
        <v/>
      </c>
      <c r="N223">
        <f>$N222+$M223</f>
        <v/>
      </c>
      <c r="O223" t="inlineStr">
        <is>
          <t>grids</t>
        </is>
      </c>
      <c r="P223" t="inlineStr">
        <is>
          <t>contribution_rate</t>
        </is>
      </c>
    </row>
    <row r="224">
      <c r="A224" t="inlineStr">
        <is>
          <t>Two-way</t>
        </is>
      </c>
      <c r="B224" t="inlineStr">
        <is>
          <t>Earned before losses</t>
        </is>
      </c>
      <c r="C224" t="n">
        <v>178</v>
      </c>
      <c r="D224" t="inlineStr">
        <is>
          <t>FICO 496 - 653</t>
        </is>
      </c>
      <c r="E224" t="inlineStr">
        <is>
          <t>ASSET_CLASS 3</t>
        </is>
      </c>
      <c r="G224" t="n">
        <v>350</v>
      </c>
      <c r="H224" t="n">
        <v>-2.045205644576562</v>
      </c>
      <c r="J224" t="n">
        <v>36</v>
      </c>
      <c r="K224">
        <f>'_pockets'!$AI$178</f>
        <v/>
      </c>
      <c r="L224">
        <f>'_pockets'!$AJ$178</f>
        <v/>
      </c>
      <c r="M224">
        <f>IF(AND($A224='Pockets'!$D$17,$B224='Pockets'!$C$17,OR('Pockets'!$E$17="All",AND('Pockets'!$E$17="Worse and material",$K224="Yes",$L224="Yes"),AND('Pockets'!$E$17="Worse or not sure",OR($K224="Yes",$K224="Not sure")))),1,0)</f>
        <v/>
      </c>
      <c r="N224">
        <f>$N223+$M224</f>
        <v/>
      </c>
      <c r="O224" t="inlineStr">
        <is>
          <t>grids</t>
        </is>
      </c>
      <c r="P224" t="inlineStr">
        <is>
          <t>contribution_rate</t>
        </is>
      </c>
    </row>
    <row r="225">
      <c r="A225" t="inlineStr">
        <is>
          <t>Two-way</t>
        </is>
      </c>
      <c r="B225" t="inlineStr">
        <is>
          <t>Earned before losses</t>
        </is>
      </c>
      <c r="C225" t="n">
        <v>223</v>
      </c>
      <c r="D225" t="inlineStr">
        <is>
          <t>FICO (marked missing)</t>
        </is>
      </c>
      <c r="E225" t="inlineStr">
        <is>
          <t>ASSET_CLASS 2</t>
        </is>
      </c>
      <c r="G225" t="n">
        <v>36</v>
      </c>
      <c r="H225" t="n">
        <v>-6.250037275017217</v>
      </c>
      <c r="J225" t="n">
        <v>37</v>
      </c>
      <c r="K225">
        <f>'_pockets'!$AI$223</f>
        <v/>
      </c>
      <c r="L225">
        <f>'_pockets'!$AJ$223</f>
        <v/>
      </c>
      <c r="M225">
        <f>IF(AND($A225='Pockets'!$D$17,$B225='Pockets'!$C$17,OR('Pockets'!$E$17="All",AND('Pockets'!$E$17="Worse and material",$K225="Yes",$L225="Yes"),AND('Pockets'!$E$17="Worse or not sure",OR($K225="Yes",$K225="Not sure")))),1,0)</f>
        <v/>
      </c>
      <c r="N225">
        <f>$N224+$M225</f>
        <v/>
      </c>
      <c r="O225" t="inlineStr">
        <is>
          <t>grids</t>
        </is>
      </c>
      <c r="P225" t="inlineStr">
        <is>
          <t>contribution_rate</t>
        </is>
      </c>
    </row>
    <row r="226">
      <c r="A226" t="inlineStr">
        <is>
          <t>Two-way</t>
        </is>
      </c>
      <c r="B226" t="inlineStr">
        <is>
          <t>Earned before losses</t>
        </is>
      </c>
      <c r="C226" t="n">
        <v>168</v>
      </c>
      <c r="D226" t="inlineStr">
        <is>
          <t>FICO 746 - 921</t>
        </is>
      </c>
      <c r="E226" t="inlineStr">
        <is>
          <t>ASSET_CLASS 4</t>
        </is>
      </c>
      <c r="G226" t="n">
        <v>373</v>
      </c>
      <c r="H226" t="n">
        <v>-1.984132196973086</v>
      </c>
      <c r="J226" t="n">
        <v>38</v>
      </c>
      <c r="K226">
        <f>'_pockets'!$AI$168</f>
        <v/>
      </c>
      <c r="L226">
        <f>'_pockets'!$AJ$168</f>
        <v/>
      </c>
      <c r="M226">
        <f>IF(AND($A226='Pockets'!$D$17,$B226='Pockets'!$C$17,OR('Pockets'!$E$17="All",AND('Pockets'!$E$17="Worse and material",$K226="Yes",$L226="Yes"),AND('Pockets'!$E$17="Worse or not sure",OR($K226="Yes",$K226="Not sure")))),1,0)</f>
        <v/>
      </c>
      <c r="N226">
        <f>$N225+$M226</f>
        <v/>
      </c>
      <c r="O226" t="inlineStr">
        <is>
          <t>grids</t>
        </is>
      </c>
      <c r="P226" t="inlineStr">
        <is>
          <t>contribution_rate</t>
        </is>
      </c>
    </row>
    <row r="227">
      <c r="A227" t="inlineStr">
        <is>
          <t>Two-way</t>
        </is>
      </c>
      <c r="B227" t="inlineStr">
        <is>
          <t>Earned before losses</t>
        </is>
      </c>
      <c r="C227" t="n">
        <v>98</v>
      </c>
      <c r="D227" t="inlineStr">
        <is>
          <t>FICO (marked missing)</t>
        </is>
      </c>
      <c r="E227" t="inlineStr">
        <is>
          <t>Broker</t>
        </is>
      </c>
      <c r="G227" t="n">
        <v>54</v>
      </c>
      <c r="H227" t="n">
        <v>-5.108912290708759</v>
      </c>
      <c r="J227" t="n">
        <v>39</v>
      </c>
      <c r="K227">
        <f>'_pockets'!$AI$98</f>
        <v/>
      </c>
      <c r="L227">
        <f>'_pockets'!$AJ$98</f>
        <v/>
      </c>
      <c r="M227">
        <f>IF(AND($A227='Pockets'!$D$17,$B227='Pockets'!$C$17,OR('Pockets'!$E$17="All",AND('Pockets'!$E$17="Worse and material",$K227="Yes",$L227="Yes"),AND('Pockets'!$E$17="Worse or not sure",OR($K227="Yes",$K227="Not sure")))),1,0)</f>
        <v/>
      </c>
      <c r="N227">
        <f>$N226+$M227</f>
        <v/>
      </c>
      <c r="O227" t="inlineStr">
        <is>
          <t>grids</t>
        </is>
      </c>
      <c r="P227" t="inlineStr">
        <is>
          <t>contribution_rate</t>
        </is>
      </c>
    </row>
    <row r="228">
      <c r="A228" t="inlineStr">
        <is>
          <t>Two-way</t>
        </is>
      </c>
      <c r="B228" t="inlineStr">
        <is>
          <t>Earned before losses</t>
        </is>
      </c>
      <c r="C228" t="n">
        <v>113</v>
      </c>
      <c r="D228" t="inlineStr">
        <is>
          <t>FICO 712 - 745</t>
        </is>
      </c>
      <c r="E228" t="inlineStr">
        <is>
          <t>ASSET_CLASS 1</t>
        </is>
      </c>
      <c r="G228" t="n">
        <v>360</v>
      </c>
      <c r="H228" t="n">
        <v>-2.017919639174049</v>
      </c>
      <c r="J228" t="n">
        <v>40</v>
      </c>
      <c r="K228">
        <f>'_pockets'!$AI$113</f>
        <v/>
      </c>
      <c r="L228">
        <f>'_pockets'!$AJ$113</f>
        <v/>
      </c>
      <c r="M228">
        <f>IF(AND($A228='Pockets'!$D$17,$B228='Pockets'!$C$17,OR('Pockets'!$E$17="All",AND('Pockets'!$E$17="Worse and material",$K228="Yes",$L228="Yes"),AND('Pockets'!$E$17="Worse or not sure",OR($K228="Yes",$K228="Not sure")))),1,0)</f>
        <v/>
      </c>
      <c r="N228">
        <f>$N227+$M228</f>
        <v/>
      </c>
      <c r="O228" t="inlineStr">
        <is>
          <t>grids</t>
        </is>
      </c>
      <c r="P228" t="inlineStr">
        <is>
          <t>contribution_rate</t>
        </is>
      </c>
    </row>
    <row r="229">
      <c r="A229" t="inlineStr">
        <is>
          <t>Two-way</t>
        </is>
      </c>
      <c r="B229" t="inlineStr">
        <is>
          <t>Earned before losses</t>
        </is>
      </c>
      <c r="C229" t="n">
        <v>203</v>
      </c>
      <c r="D229" t="inlineStr">
        <is>
          <t>FICO (marked missing)</t>
        </is>
      </c>
      <c r="E229" t="inlineStr">
        <is>
          <t>ASSET_CLASS 3</t>
        </is>
      </c>
      <c r="G229" t="n">
        <v>43</v>
      </c>
      <c r="H229" t="n">
        <v>-5.72124603816749</v>
      </c>
      <c r="J229" t="n">
        <v>41</v>
      </c>
      <c r="K229">
        <f>'_pockets'!$AI$203</f>
        <v/>
      </c>
      <c r="L229">
        <f>'_pockets'!$AJ$203</f>
        <v/>
      </c>
      <c r="M229">
        <f>IF(AND($A229='Pockets'!$D$17,$B229='Pockets'!$C$17,OR('Pockets'!$E$17="All",AND('Pockets'!$E$17="Worse and material",$K229="Yes",$L229="Yes"),AND('Pockets'!$E$17="Worse or not sure",OR($K229="Yes",$K229="Not sure")))),1,0)</f>
        <v/>
      </c>
      <c r="N229">
        <f>$N228+$M229</f>
        <v/>
      </c>
      <c r="O229" t="inlineStr">
        <is>
          <t>grids</t>
        </is>
      </c>
      <c r="P229" t="inlineStr">
        <is>
          <t>contribution_rate</t>
        </is>
      </c>
    </row>
    <row r="230">
      <c r="A230" t="inlineStr">
        <is>
          <t>Two-way</t>
        </is>
      </c>
      <c r="B230" t="inlineStr">
        <is>
          <t>Earned before losses</t>
        </is>
      </c>
      <c r="C230" t="n">
        <v>13</v>
      </c>
      <c r="D230" t="inlineStr">
        <is>
          <t>FICO (blank)</t>
        </is>
      </c>
      <c r="E230" t="inlineStr">
        <is>
          <t>Broker</t>
        </is>
      </c>
      <c r="G230" t="n">
        <v>1</v>
      </c>
      <c r="J230" t="n">
        <v>42</v>
      </c>
      <c r="K230">
        <f>'_pockets'!$AI$13</f>
        <v/>
      </c>
      <c r="L230">
        <f>'_pockets'!$AJ$13</f>
        <v/>
      </c>
      <c r="M230">
        <f>IF(AND($A230='Pockets'!$D$17,$B230='Pockets'!$C$17,OR('Pockets'!$E$17="All",AND('Pockets'!$E$17="Worse and material",$K230="Yes",$L230="Yes"),AND('Pockets'!$E$17="Worse or not sure",OR($K230="Yes",$K230="Not sure")))),1,0)</f>
        <v/>
      </c>
      <c r="N230">
        <f>$N229+$M230</f>
        <v/>
      </c>
      <c r="O230" t="inlineStr">
        <is>
          <t>grids</t>
        </is>
      </c>
      <c r="P230" t="inlineStr">
        <is>
          <t>contribution_rate</t>
        </is>
      </c>
    </row>
    <row r="231">
      <c r="A231" t="inlineStr">
        <is>
          <t>Two-way</t>
        </is>
      </c>
      <c r="B231" t="inlineStr">
        <is>
          <t>Earned before losses</t>
        </is>
      </c>
      <c r="C231" t="n">
        <v>108</v>
      </c>
      <c r="D231" t="inlineStr">
        <is>
          <t>FICO (blank)</t>
        </is>
      </c>
      <c r="E231" t="inlineStr">
        <is>
          <t>ASSET_CLASS 2</t>
        </is>
      </c>
      <c r="G231" t="n">
        <v>1</v>
      </c>
      <c r="J231" t="n">
        <v>43</v>
      </c>
      <c r="K231">
        <f>'_pockets'!$AI$108</f>
        <v/>
      </c>
      <c r="L231">
        <f>'_pockets'!$AJ$108</f>
        <v/>
      </c>
      <c r="M231">
        <f>IF(AND($A231='Pockets'!$D$17,$B231='Pockets'!$C$17,OR('Pockets'!$E$17="All",AND('Pockets'!$E$17="Worse and material",$K231="Yes",$L231="Yes"),AND('Pockets'!$E$17="Worse or not sure",OR($K231="Yes",$K231="Not sure")))),1,0)</f>
        <v/>
      </c>
      <c r="N231">
        <f>$N230+$M231</f>
        <v/>
      </c>
      <c r="O231" t="inlineStr">
        <is>
          <t>grids</t>
        </is>
      </c>
      <c r="P231" t="inlineStr">
        <is>
          <t>contribution_rate</t>
        </is>
      </c>
    </row>
    <row r="232">
      <c r="A232" t="inlineStr">
        <is>
          <t>Two-way</t>
        </is>
      </c>
      <c r="B232" t="inlineStr">
        <is>
          <t>Earned before losses</t>
        </is>
      </c>
      <c r="C232" t="n">
        <v>48</v>
      </c>
      <c r="D232" t="inlineStr">
        <is>
          <t>FICO 746 - 921</t>
        </is>
      </c>
      <c r="E232" t="inlineStr">
        <is>
          <t>Broker</t>
        </is>
      </c>
      <c r="G232" t="n">
        <v>536</v>
      </c>
      <c r="H232" t="n">
        <v>-1.673150190798175</v>
      </c>
      <c r="J232" t="n">
        <v>44</v>
      </c>
      <c r="K232">
        <f>'_pockets'!$AI$48</f>
        <v/>
      </c>
      <c r="L232">
        <f>'_pockets'!$AJ$48</f>
        <v/>
      </c>
      <c r="M232">
        <f>IF(AND($A232='Pockets'!$D$17,$B232='Pockets'!$C$17,OR('Pockets'!$E$17="All",AND('Pockets'!$E$17="Worse and material",$K232="Yes",$L232="Yes"),AND('Pockets'!$E$17="Worse or not sure",OR($K232="Yes",$K232="Not sure")))),1,0)</f>
        <v/>
      </c>
      <c r="N232">
        <f>$N231+$M232</f>
        <v/>
      </c>
      <c r="O232" t="inlineStr">
        <is>
          <t>grids</t>
        </is>
      </c>
      <c r="P232" t="inlineStr">
        <is>
          <t>contribution_rate</t>
        </is>
      </c>
    </row>
    <row r="233">
      <c r="A233" t="inlineStr">
        <is>
          <t>Two-way</t>
        </is>
      </c>
      <c r="B233" t="inlineStr">
        <is>
          <t>Earned before losses</t>
        </is>
      </c>
      <c r="C233" t="n">
        <v>28</v>
      </c>
      <c r="D233" t="inlineStr">
        <is>
          <t>FICO 746 - 921</t>
        </is>
      </c>
      <c r="E233" t="inlineStr">
        <is>
          <t>Branch</t>
        </is>
      </c>
      <c r="G233" t="n">
        <v>518</v>
      </c>
      <c r="H233" t="n">
        <v>-1.699923061552088</v>
      </c>
      <c r="J233" t="n">
        <v>45</v>
      </c>
      <c r="K233">
        <f>'_pockets'!$AI$28</f>
        <v/>
      </c>
      <c r="L233">
        <f>'_pockets'!$AJ$28</f>
        <v/>
      </c>
      <c r="M233">
        <f>IF(AND($A233='Pockets'!$D$17,$B233='Pockets'!$C$17,OR('Pockets'!$E$17="All",AND('Pockets'!$E$17="Worse and material",$K233="Yes",$L233="Yes"),AND('Pockets'!$E$17="Worse or not sure",OR($K233="Yes",$K233="Not sure")))),1,0)</f>
        <v/>
      </c>
      <c r="N233">
        <f>$N232+$M233</f>
        <v/>
      </c>
      <c r="O233" t="inlineStr">
        <is>
          <t>grids</t>
        </is>
      </c>
      <c r="P233" t="inlineStr">
        <is>
          <t>contribution_rate</t>
        </is>
      </c>
    </row>
    <row r="234">
      <c r="A234" t="inlineStr">
        <is>
          <t>Two-way</t>
        </is>
      </c>
      <c r="B234" t="inlineStr">
        <is>
          <t>Earned before losses</t>
        </is>
      </c>
      <c r="C234" t="n">
        <v>148</v>
      </c>
      <c r="D234" t="inlineStr">
        <is>
          <t>FICO 746 - 921</t>
        </is>
      </c>
      <c r="E234" t="inlineStr">
        <is>
          <t>ASSET_CLASS 1</t>
        </is>
      </c>
      <c r="G234" t="n">
        <v>414</v>
      </c>
      <c r="H234" t="n">
        <v>-1.888407044068783</v>
      </c>
      <c r="J234" t="n">
        <v>46</v>
      </c>
      <c r="K234">
        <f>'_pockets'!$AI$148</f>
        <v/>
      </c>
      <c r="L234">
        <f>'_pockets'!$AJ$148</f>
        <v/>
      </c>
      <c r="M234">
        <f>IF(AND($A234='Pockets'!$D$17,$B234='Pockets'!$C$17,OR('Pockets'!$E$17="All",AND('Pockets'!$E$17="Worse and material",$K234="Yes",$L234="Yes"),AND('Pockets'!$E$17="Worse or not sure",OR($K234="Yes",$K234="Not sure")))),1,0)</f>
        <v/>
      </c>
      <c r="N234">
        <f>$N233+$M234</f>
        <v/>
      </c>
      <c r="O234" t="inlineStr">
        <is>
          <t>grids</t>
        </is>
      </c>
      <c r="P234" t="inlineStr">
        <is>
          <t>contribution_rate</t>
        </is>
      </c>
    </row>
    <row r="235">
      <c r="A235" t="inlineStr">
        <is>
          <t>Two-way</t>
        </is>
      </c>
      <c r="B235" t="inlineStr">
        <is>
          <t>Earned before losses</t>
        </is>
      </c>
      <c r="C235" t="n">
        <v>188</v>
      </c>
      <c r="D235" t="inlineStr">
        <is>
          <t>FICO 746 - 921</t>
        </is>
      </c>
      <c r="E235" t="inlineStr">
        <is>
          <t>ASSET_CLASS 3</t>
        </is>
      </c>
      <c r="G235" t="n">
        <v>385</v>
      </c>
      <c r="H235" t="n">
        <v>-1.954504455666212</v>
      </c>
      <c r="J235" t="n">
        <v>47</v>
      </c>
      <c r="K235">
        <f>'_pockets'!$AI$188</f>
        <v/>
      </c>
      <c r="L235">
        <f>'_pockets'!$AJ$188</f>
        <v/>
      </c>
      <c r="M235">
        <f>IF(AND($A235='Pockets'!$D$17,$B235='Pockets'!$C$17,OR('Pockets'!$E$17="All",AND('Pockets'!$E$17="Worse and material",$K235="Yes",$L235="Yes"),AND('Pockets'!$E$17="Worse or not sure",OR($K235="Yes",$K235="Not sure")))),1,0)</f>
        <v/>
      </c>
      <c r="N235">
        <f>$N234+$M235</f>
        <v/>
      </c>
      <c r="O235" t="inlineStr">
        <is>
          <t>grids</t>
        </is>
      </c>
      <c r="P235" t="inlineStr">
        <is>
          <t>contribution_rate</t>
        </is>
      </c>
    </row>
    <row r="236">
      <c r="A236" t="inlineStr">
        <is>
          <t>Two-way</t>
        </is>
      </c>
      <c r="B236" t="inlineStr">
        <is>
          <t>Earned before losses</t>
        </is>
      </c>
      <c r="C236" t="n">
        <v>128</v>
      </c>
      <c r="D236" t="inlineStr">
        <is>
          <t>FICO 712 - 745</t>
        </is>
      </c>
      <c r="E236" t="inlineStr">
        <is>
          <t>ASSET_CLASS 4</t>
        </is>
      </c>
      <c r="G236" t="n">
        <v>427</v>
      </c>
      <c r="H236" t="n">
        <v>-1.861034327234625</v>
      </c>
      <c r="J236" t="n">
        <v>48</v>
      </c>
      <c r="K236">
        <f>'_pockets'!$AI$128</f>
        <v/>
      </c>
      <c r="L236">
        <f>'_pockets'!$AJ$128</f>
        <v/>
      </c>
      <c r="M236">
        <f>IF(AND($A236='Pockets'!$D$17,$B236='Pockets'!$C$17,OR('Pockets'!$E$17="All",AND('Pockets'!$E$17="Worse and material",$K236="Yes",$L236="Yes"),AND('Pockets'!$E$17="Worse or not sure",OR($K236="Yes",$K236="Not sure")))),1,0)</f>
        <v/>
      </c>
      <c r="N236">
        <f>$N235+$M236</f>
        <v/>
      </c>
      <c r="O236" t="inlineStr">
        <is>
          <t>grids</t>
        </is>
      </c>
      <c r="P236" t="inlineStr">
        <is>
          <t>contribution_rate</t>
        </is>
      </c>
    </row>
    <row r="237">
      <c r="A237" t="inlineStr">
        <is>
          <t>Two-way</t>
        </is>
      </c>
      <c r="B237" t="inlineStr">
        <is>
          <t>Earned before losses</t>
        </is>
      </c>
      <c r="C237" t="n">
        <v>398</v>
      </c>
      <c r="D237" t="inlineStr">
        <is>
          <t>REV_DEBT 0 - 6,558</t>
        </is>
      </c>
      <c r="E237" t="inlineStr">
        <is>
          <t>ASSET_CLASS 3</t>
        </is>
      </c>
      <c r="G237" t="n">
        <v>371</v>
      </c>
      <c r="H237" t="n">
        <v>-1.989212210736075</v>
      </c>
      <c r="J237" t="n">
        <v>49</v>
      </c>
      <c r="K237">
        <f>'_pockets'!$AI$398</f>
        <v/>
      </c>
      <c r="L237">
        <f>'_pockets'!$AJ$398</f>
        <v/>
      </c>
      <c r="M237">
        <f>IF(AND($A237='Pockets'!$D$17,$B237='Pockets'!$C$17,OR('Pockets'!$E$17="All",AND('Pockets'!$E$17="Worse and material",$K237="Yes",$L237="Yes"),AND('Pockets'!$E$17="Worse or not sure",OR($K237="Yes",$K237="Not sure")))),1,0)</f>
        <v/>
      </c>
      <c r="N237">
        <f>$N236+$M237</f>
        <v/>
      </c>
      <c r="O237" t="inlineStr">
        <is>
          <t>grids</t>
        </is>
      </c>
      <c r="P237" t="inlineStr">
        <is>
          <t>contribution_rate</t>
        </is>
      </c>
    </row>
    <row r="238">
      <c r="A238" t="inlineStr">
        <is>
          <t>Two-way</t>
        </is>
      </c>
      <c r="B238" t="inlineStr">
        <is>
          <t>Earned before losses</t>
        </is>
      </c>
      <c r="C238" t="n">
        <v>273</v>
      </c>
      <c r="D238" t="inlineStr">
        <is>
          <t>REV_DEBT 0 - 6,558</t>
        </is>
      </c>
      <c r="E238" t="inlineStr">
        <is>
          <t>Online</t>
        </is>
      </c>
      <c r="G238" t="n">
        <v>537</v>
      </c>
      <c r="H238" t="n">
        <v>-1.671703615096666</v>
      </c>
      <c r="J238" t="n">
        <v>50</v>
      </c>
      <c r="K238">
        <f>'_pockets'!$AI$273</f>
        <v/>
      </c>
      <c r="L238">
        <f>'_pockets'!$AJ$273</f>
        <v/>
      </c>
      <c r="M238">
        <f>IF(AND($A238='Pockets'!$D$17,$B238='Pockets'!$C$17,OR('Pockets'!$E$17="All",AND('Pockets'!$E$17="Worse and material",$K238="Yes",$L238="Yes"),AND('Pockets'!$E$17="Worse or not sure",OR($K238="Yes",$K238="Not sure")))),1,0)</f>
        <v/>
      </c>
      <c r="N238">
        <f>$N237+$M238</f>
        <v/>
      </c>
      <c r="O238" t="inlineStr">
        <is>
          <t>grids</t>
        </is>
      </c>
      <c r="P238" t="inlineStr">
        <is>
          <t>contribution_rate</t>
        </is>
      </c>
    </row>
    <row r="239">
      <c r="A239" t="inlineStr">
        <is>
          <t>Two-way</t>
        </is>
      </c>
      <c r="B239" t="inlineStr">
        <is>
          <t>Earned before losses</t>
        </is>
      </c>
      <c r="C239" t="n">
        <v>313</v>
      </c>
      <c r="D239" t="inlineStr">
        <is>
          <t>REV_DEBT 6,559 - 9,836</t>
        </is>
      </c>
      <c r="E239" t="inlineStr">
        <is>
          <t>ASSET_CLASS 1</t>
        </is>
      </c>
      <c r="G239" t="n">
        <v>371</v>
      </c>
      <c r="H239" t="n">
        <v>-1.989212210736075</v>
      </c>
      <c r="J239" t="n">
        <v>51</v>
      </c>
      <c r="K239">
        <f>'_pockets'!$AI$313</f>
        <v/>
      </c>
      <c r="L239">
        <f>'_pockets'!$AJ$313</f>
        <v/>
      </c>
      <c r="M239">
        <f>IF(AND($A239='Pockets'!$D$17,$B239='Pockets'!$C$17,OR('Pockets'!$E$17="All",AND('Pockets'!$E$17="Worse and material",$K239="Yes",$L239="Yes"),AND('Pockets'!$E$17="Worse or not sure",OR($K239="Yes",$K239="Not sure")))),1,0)</f>
        <v/>
      </c>
      <c r="N239">
        <f>$N238+$M239</f>
        <v/>
      </c>
      <c r="O239" t="inlineStr">
        <is>
          <t>grids</t>
        </is>
      </c>
      <c r="P239" t="inlineStr">
        <is>
          <t>contribution_rate</t>
        </is>
      </c>
    </row>
    <row r="240">
      <c r="A240" t="inlineStr">
        <is>
          <t>Two-way</t>
        </is>
      </c>
      <c r="B240" t="inlineStr">
        <is>
          <t>Earned before losses</t>
        </is>
      </c>
      <c r="C240" t="n">
        <v>258</v>
      </c>
      <c r="D240" t="inlineStr">
        <is>
          <t>REV_DEBT 6,559 - 9,836</t>
        </is>
      </c>
      <c r="E240" t="inlineStr">
        <is>
          <t>Online</t>
        </is>
      </c>
      <c r="G240" t="n">
        <v>565</v>
      </c>
      <c r="H240" t="n">
        <v>-1.632821289062129</v>
      </c>
      <c r="J240" t="n">
        <v>52</v>
      </c>
      <c r="K240">
        <f>'_pockets'!$AI$258</f>
        <v/>
      </c>
      <c r="L240">
        <f>'_pockets'!$AJ$258</f>
        <v/>
      </c>
      <c r="M240">
        <f>IF(AND($A240='Pockets'!$D$17,$B240='Pockets'!$C$17,OR('Pockets'!$E$17="All",AND('Pockets'!$E$17="Worse and material",$K240="Yes",$L240="Yes"),AND('Pockets'!$E$17="Worse or not sure",OR($K240="Yes",$K240="Not sure")))),1,0)</f>
        <v/>
      </c>
      <c r="N240">
        <f>$N239+$M240</f>
        <v/>
      </c>
      <c r="O240" t="inlineStr">
        <is>
          <t>grids</t>
        </is>
      </c>
      <c r="P240" t="inlineStr">
        <is>
          <t>contribution_rate</t>
        </is>
      </c>
    </row>
    <row r="241">
      <c r="A241" t="inlineStr">
        <is>
          <t>Two-way</t>
        </is>
      </c>
      <c r="B241" t="inlineStr">
        <is>
          <t>Earned before losses</t>
        </is>
      </c>
      <c r="C241" t="n">
        <v>43</v>
      </c>
      <c r="D241" t="inlineStr">
        <is>
          <t>FICO 712 - 745</t>
        </is>
      </c>
      <c r="E241" t="inlineStr">
        <is>
          <t>Online</t>
        </is>
      </c>
      <c r="G241" t="n">
        <v>564</v>
      </c>
      <c r="H241" t="n">
        <v>-1.634158262403751</v>
      </c>
      <c r="J241" t="n">
        <v>53</v>
      </c>
      <c r="K241">
        <f>'_pockets'!$AI$43</f>
        <v/>
      </c>
      <c r="L241">
        <f>'_pockets'!$AJ$43</f>
        <v/>
      </c>
      <c r="M241">
        <f>IF(AND($A241='Pockets'!$D$17,$B241='Pockets'!$C$17,OR('Pockets'!$E$17="All",AND('Pockets'!$E$17="Worse and material",$K241="Yes",$L241="Yes"),AND('Pockets'!$E$17="Worse or not sure",OR($K241="Yes",$K241="Not sure")))),1,0)</f>
        <v/>
      </c>
      <c r="N241">
        <f>$N240+$M241</f>
        <v/>
      </c>
      <c r="O241" t="inlineStr">
        <is>
          <t>grids</t>
        </is>
      </c>
      <c r="P241" t="inlineStr">
        <is>
          <t>contribution_rate</t>
        </is>
      </c>
    </row>
    <row r="242">
      <c r="A242" t="inlineStr">
        <is>
          <t>Two-way</t>
        </is>
      </c>
      <c r="B242" t="inlineStr">
        <is>
          <t>Earned before losses</t>
        </is>
      </c>
      <c r="C242" t="n">
        <v>328</v>
      </c>
      <c r="D242" t="inlineStr">
        <is>
          <t>REV_DEBT 6,559 - 9,836</t>
        </is>
      </c>
      <c r="E242" t="inlineStr">
        <is>
          <t>ASSET_CLASS 4</t>
        </is>
      </c>
      <c r="G242" t="n">
        <v>400</v>
      </c>
      <c r="H242" t="n">
        <v>-1.919399176793125</v>
      </c>
      <c r="J242" t="n">
        <v>54</v>
      </c>
      <c r="K242">
        <f>'_pockets'!$AI$328</f>
        <v/>
      </c>
      <c r="L242">
        <f>'_pockets'!$AJ$328</f>
        <v/>
      </c>
      <c r="M242">
        <f>IF(AND($A242='Pockets'!$D$17,$B242='Pockets'!$C$17,OR('Pockets'!$E$17="All",AND('Pockets'!$E$17="Worse and material",$K242="Yes",$L242="Yes"),AND('Pockets'!$E$17="Worse or not sure",OR($K242="Yes",$K242="Not sure")))),1,0)</f>
        <v/>
      </c>
      <c r="N242">
        <f>$N241+$M242</f>
        <v/>
      </c>
      <c r="O242" t="inlineStr">
        <is>
          <t>grids</t>
        </is>
      </c>
      <c r="P242" t="inlineStr">
        <is>
          <t>contribution_rate</t>
        </is>
      </c>
    </row>
    <row r="243">
      <c r="A243" t="inlineStr">
        <is>
          <t>Two-way</t>
        </is>
      </c>
      <c r="B243" t="inlineStr">
        <is>
          <t>Earned before losses</t>
        </is>
      </c>
      <c r="C243" t="n">
        <v>233</v>
      </c>
      <c r="D243" t="inlineStr">
        <is>
          <t>REV_DEBT 9,837 - 13,051</t>
        </is>
      </c>
      <c r="E243" t="inlineStr">
        <is>
          <t>Broker</t>
        </is>
      </c>
      <c r="G243" t="n">
        <v>532</v>
      </c>
      <c r="H243" t="n">
        <v>-1.678978502621186</v>
      </c>
      <c r="J243" t="n">
        <v>55</v>
      </c>
      <c r="K243">
        <f>'_pockets'!$AI$233</f>
        <v/>
      </c>
      <c r="L243">
        <f>'_pockets'!$AJ$233</f>
        <v/>
      </c>
      <c r="M243">
        <f>IF(AND($A243='Pockets'!$D$17,$B243='Pockets'!$C$17,OR('Pockets'!$E$17="All",AND('Pockets'!$E$17="Worse and material",$K243="Yes",$L243="Yes"),AND('Pockets'!$E$17="Worse or not sure",OR($K243="Yes",$K243="Not sure")))),1,0)</f>
        <v/>
      </c>
      <c r="N243">
        <f>$N242+$M243</f>
        <v/>
      </c>
      <c r="O243" t="inlineStr">
        <is>
          <t>grids</t>
        </is>
      </c>
      <c r="P243" t="inlineStr">
        <is>
          <t>contribution_rate</t>
        </is>
      </c>
    </row>
    <row r="244">
      <c r="A244" t="inlineStr">
        <is>
          <t>Two-way</t>
        </is>
      </c>
      <c r="B244" t="inlineStr">
        <is>
          <t>Earned before losses</t>
        </is>
      </c>
      <c r="C244" t="n">
        <v>308</v>
      </c>
      <c r="D244" t="inlineStr">
        <is>
          <t>REV_DEBT 9,837 - 13,051</t>
        </is>
      </c>
      <c r="E244" t="inlineStr">
        <is>
          <t>ASSET_CLASS 2</t>
        </is>
      </c>
      <c r="G244" t="n">
        <v>381</v>
      </c>
      <c r="H244" t="n">
        <v>-1.964221583239594</v>
      </c>
      <c r="J244" t="n">
        <v>56</v>
      </c>
      <c r="K244">
        <f>'_pockets'!$AI$308</f>
        <v/>
      </c>
      <c r="L244">
        <f>'_pockets'!$AJ$308</f>
        <v/>
      </c>
      <c r="M244">
        <f>IF(AND($A244='Pockets'!$D$17,$B244='Pockets'!$C$17,OR('Pockets'!$E$17="All",AND('Pockets'!$E$17="Worse and material",$K244="Yes",$L244="Yes"),AND('Pockets'!$E$17="Worse or not sure",OR($K244="Yes",$K244="Not sure")))),1,0)</f>
        <v/>
      </c>
      <c r="N244">
        <f>$N243+$M244</f>
        <v/>
      </c>
      <c r="O244" t="inlineStr">
        <is>
          <t>grids</t>
        </is>
      </c>
      <c r="P244" t="inlineStr">
        <is>
          <t>contribution_rate</t>
        </is>
      </c>
    </row>
    <row r="245">
      <c r="A245" t="inlineStr">
        <is>
          <t>Two-way</t>
        </is>
      </c>
      <c r="B245" t="inlineStr">
        <is>
          <t>Earned before losses</t>
        </is>
      </c>
      <c r="C245" t="n">
        <v>353</v>
      </c>
      <c r="D245" t="inlineStr">
        <is>
          <t>REV_DEBT 9,837 - 13,051</t>
        </is>
      </c>
      <c r="E245" t="inlineStr">
        <is>
          <t>ASSET_CLASS 1</t>
        </is>
      </c>
      <c r="G245" t="n">
        <v>403</v>
      </c>
      <c r="H245" t="n">
        <v>-1.912619293105316</v>
      </c>
      <c r="J245" t="n">
        <v>57</v>
      </c>
      <c r="K245">
        <f>'_pockets'!$AI$353</f>
        <v/>
      </c>
      <c r="L245">
        <f>'_pockets'!$AJ$353</f>
        <v/>
      </c>
      <c r="M245">
        <f>IF(AND($A245='Pockets'!$D$17,$B245='Pockets'!$C$17,OR('Pockets'!$E$17="All",AND('Pockets'!$E$17="Worse and material",$K245="Yes",$L245="Yes"),AND('Pockets'!$E$17="Worse or not sure",OR($K245="Yes",$K245="Not sure")))),1,0)</f>
        <v/>
      </c>
      <c r="N245">
        <f>$N244+$M245</f>
        <v/>
      </c>
      <c r="O245" t="inlineStr">
        <is>
          <t>grids</t>
        </is>
      </c>
      <c r="P245" t="inlineStr">
        <is>
          <t>contribution_rate</t>
        </is>
      </c>
    </row>
    <row r="246">
      <c r="A246" t="inlineStr">
        <is>
          <t>Two-way</t>
        </is>
      </c>
      <c r="B246" t="inlineStr">
        <is>
          <t>Earned before losses</t>
        </is>
      </c>
      <c r="C246" t="n">
        <v>318</v>
      </c>
      <c r="D246" t="inlineStr">
        <is>
          <t>REV_DEBT 9,837 - 13,051</t>
        </is>
      </c>
      <c r="E246" t="inlineStr">
        <is>
          <t>ASSET_CLASS 4</t>
        </is>
      </c>
      <c r="G246" t="n">
        <v>414</v>
      </c>
      <c r="H246" t="n">
        <v>-1.888407044068783</v>
      </c>
      <c r="J246" t="n">
        <v>58</v>
      </c>
      <c r="K246">
        <f>'_pockets'!$AI$318</f>
        <v/>
      </c>
      <c r="L246">
        <f>'_pockets'!$AJ$318</f>
        <v/>
      </c>
      <c r="M246">
        <f>IF(AND($A246='Pockets'!$D$17,$B246='Pockets'!$C$17,OR('Pockets'!$E$17="All",AND('Pockets'!$E$17="Worse and material",$K246="Yes",$L246="Yes"),AND('Pockets'!$E$17="Worse or not sure",OR($K246="Yes",$K246="Not sure")))),1,0)</f>
        <v/>
      </c>
      <c r="N246">
        <f>$N245+$M246</f>
        <v/>
      </c>
      <c r="O246" t="inlineStr">
        <is>
          <t>grids</t>
        </is>
      </c>
      <c r="P246" t="inlineStr">
        <is>
          <t>contribution_rate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kept'!$AV$20="","",'Paid, cost, kept'!$B$20&amp;" / "&amp;'Paid, cost, kept'!$C$20)</f>
        <v/>
      </c>
      <c r="D1">
        <f>IF('Paid, cost, kept'!$AV$20="",NA(),'Paid, cost, kept'!$G$20)</f>
        <v/>
      </c>
      <c r="E1">
        <f>IF('Paid, cost, kept'!$AV$20="",NA(),'Paid, cost, kept'!$I$20)</f>
        <v/>
      </c>
      <c r="F1">
        <f>IF(AND(NOT(ISNA(A1)),'Paid, cost, kept'!$AV$20="Net drain"),A1,NA())</f>
        <v/>
      </c>
      <c r="G1">
        <f>IF(ISNA(F1),NA(),B1)</f>
        <v/>
      </c>
      <c r="H1">
        <f>IF(AND(NOT(ISNA(A1)),OR('Paid, cost, kept'!$AV$20="Priced for it",'Paid, cost, kept'!$AV$20="Strong")),A1,NA())</f>
        <v/>
      </c>
      <c r="I1">
        <f>IF(ISNA(H1),NA(),B1)</f>
        <v/>
      </c>
      <c r="J1">
        <f>IF(C1="","",1)</f>
        <v/>
      </c>
    </row>
    <row r="2">
      <c r="A2">
        <f>IF(OR('Paid, cost, kept'!$AO$21&lt;&gt;0,'Paid, cost, kept'!$G$21="",'Paid, cost, kept'!$I$21=""),NA(),'Paid, cost, kept'!$G$21)</f>
        <v/>
      </c>
      <c r="B2">
        <f>IF(ISNA(A2),NA(),'Paid, cost, kept'!$I$21)</f>
        <v/>
      </c>
      <c r="C2">
        <f>IF('Paid, cost, kept'!$AV$21="","",'Paid, cost, kept'!$B$21&amp;" / "&amp;'Paid, cost, kept'!$C$21)</f>
        <v/>
      </c>
      <c r="D2">
        <f>IF('Paid, cost, kept'!$AV$21="",NA(),'Paid, cost, kept'!$G$21)</f>
        <v/>
      </c>
      <c r="E2">
        <f>IF('Paid, cost, kept'!$AV$21="",NA(),'Paid, cost, kept'!$I$21)</f>
        <v/>
      </c>
      <c r="F2">
        <f>IF(AND(NOT(ISNA(A2)),'Paid, cost, kept'!$AV$21="Net drain"),A2,NA())</f>
        <v/>
      </c>
      <c r="G2">
        <f>IF(ISNA(F2),NA(),B2)</f>
        <v/>
      </c>
      <c r="H2">
        <f>IF(AND(NOT(ISNA(A2)),OR('Paid, cost, kept'!$AV$21="Priced for it",'Paid, cost, kept'!$AV$21="Strong")),A2,NA())</f>
        <v/>
      </c>
      <c r="I2">
        <f>IF(ISNA(H2),NA(),B2)</f>
        <v/>
      </c>
      <c r="J2">
        <f>IF(C2="","",2)</f>
        <v/>
      </c>
    </row>
    <row r="3">
      <c r="A3">
        <f>IF(OR('Paid, cost, kept'!$AO$22&lt;&gt;0,'Paid, cost, kept'!$G$22="",'Paid, cost, kept'!$I$22=""),NA(),'Paid, cost, kept'!$G$22)</f>
        <v/>
      </c>
      <c r="B3">
        <f>IF(ISNA(A3),NA(),'Paid, cost, kept'!$I$22)</f>
        <v/>
      </c>
      <c r="C3">
        <f>IF('Paid, cost, kept'!$AV$22="","",'Paid, cost, kept'!$B$22&amp;" / "&amp;'Paid, cost, kept'!$C$22)</f>
        <v/>
      </c>
      <c r="D3">
        <f>IF('Paid, cost, kept'!$AV$22="",NA(),'Paid, cost, kept'!$G$22)</f>
        <v/>
      </c>
      <c r="E3">
        <f>IF('Paid, cost, kept'!$AV$22="",NA(),'Paid, cost, kept'!$I$22)</f>
        <v/>
      </c>
      <c r="F3">
        <f>IF(AND(NOT(ISNA(A3)),'Paid, cost, kept'!$AV$22="Net drain"),A3,NA())</f>
        <v/>
      </c>
      <c r="G3">
        <f>IF(ISNA(F3),NA(),B3)</f>
        <v/>
      </c>
      <c r="H3">
        <f>IF(AND(NOT(ISNA(A3)),OR('Paid, cost, kept'!$AV$22="Priced for it",'Paid, cost, kept'!$AV$22="Strong")),A3,NA())</f>
        <v/>
      </c>
      <c r="I3">
        <f>IF(ISNA(H3),NA(),B3)</f>
        <v/>
      </c>
      <c r="J3">
        <f>IF(C3="","",3)</f>
        <v/>
      </c>
    </row>
    <row r="4">
      <c r="A4">
        <f>IF(OR('Paid, cost, kept'!$AO$23&lt;&gt;0,'Paid, cost, kept'!$G$23="",'Paid, cost, kept'!$I$23=""),NA(),'Paid, cost, kept'!$G$23)</f>
        <v/>
      </c>
      <c r="B4">
        <f>IF(ISNA(A4),NA(),'Paid, cost, kept'!$I$23)</f>
        <v/>
      </c>
      <c r="C4">
        <f>IF('Paid, cost, kept'!$AV$23="","",'Paid, cost, kept'!$B$23&amp;" / "&amp;'Paid, cost, kept'!$C$23)</f>
        <v/>
      </c>
      <c r="D4">
        <f>IF('Paid, cost, kept'!$AV$23="",NA(),'Paid, cost, kept'!$G$23)</f>
        <v/>
      </c>
      <c r="E4">
        <f>IF('Paid, cost, kept'!$AV$23="",NA(),'Paid, cost, kept'!$I$23)</f>
        <v/>
      </c>
      <c r="F4">
        <f>IF(AND(NOT(ISNA(A4)),'Paid, cost, kept'!$AV$23="Net drain"),A4,NA())</f>
        <v/>
      </c>
      <c r="G4">
        <f>IF(ISNA(F4),NA(),B4)</f>
        <v/>
      </c>
      <c r="H4">
        <f>IF(AND(NOT(ISNA(A4)),OR('Paid, cost, kept'!$AV$23="Priced for it",'Paid, cost, kept'!$AV$23="Strong")),A4,NA())</f>
        <v/>
      </c>
      <c r="I4">
        <f>IF(ISNA(H4),NA(),B4)</f>
        <v/>
      </c>
      <c r="J4">
        <f>IF(C4="","",4)</f>
        <v/>
      </c>
    </row>
    <row r="5">
      <c r="A5">
        <f>IF(OR('Paid, cost, kept'!$AO$24&lt;&gt;0,'Paid, cost, kept'!$G$24="",'Paid, cost, kept'!$I$24=""),NA(),'Paid, cost, kept'!$G$24)</f>
        <v/>
      </c>
      <c r="B5">
        <f>IF(ISNA(A5),NA(),'Paid, cost, kept'!$I$24)</f>
        <v/>
      </c>
      <c r="C5">
        <f>IF('Paid, cost, kept'!$AV$24="","",'Paid, cost, kept'!$B$24&amp;" / "&amp;'Paid, cost, kept'!$C$24)</f>
        <v/>
      </c>
      <c r="D5">
        <f>IF('Paid, cost, kept'!$AV$24="",NA(),'Paid, cost, kept'!$G$24)</f>
        <v/>
      </c>
      <c r="E5">
        <f>IF('Paid, cost, kept'!$AV$24="",NA(),'Paid, cost, kept'!$I$24)</f>
        <v/>
      </c>
      <c r="F5">
        <f>IF(AND(NOT(ISNA(A5)),'Paid, cost, kept'!$AV$24="Net drain"),A5,NA())</f>
        <v/>
      </c>
      <c r="G5">
        <f>IF(ISNA(F5),NA(),B5)</f>
        <v/>
      </c>
      <c r="H5">
        <f>IF(AND(NOT(ISNA(A5)),OR('Paid, cost, kept'!$AV$24="Priced for it",'Paid, cost, kept'!$AV$24="Strong")),A5,NA())</f>
        <v/>
      </c>
      <c r="I5">
        <f>IF(ISNA(H5),NA(),B5)</f>
        <v/>
      </c>
      <c r="J5">
        <f>IF(C5="","",5)</f>
        <v/>
      </c>
    </row>
    <row r="6">
      <c r="A6">
        <f>IF(OR('Paid, cost, kept'!$AO$25&lt;&gt;0,'Paid, cost, kept'!$G$25="",'Paid, cost, kept'!$I$25=""),NA(),'Paid, cost, kept'!$G$25)</f>
        <v/>
      </c>
      <c r="B6">
        <f>IF(ISNA(A6),NA(),'Paid, cost, kept'!$I$25)</f>
        <v/>
      </c>
      <c r="C6">
        <f>IF('Paid, cost, kept'!$AV$25="","",'Paid, cost, kept'!$B$25&amp;" / "&amp;'Paid, cost, kept'!$C$25)</f>
        <v/>
      </c>
      <c r="D6">
        <f>IF('Paid, cost, kept'!$AV$25="",NA(),'Paid, cost, kept'!$G$25)</f>
        <v/>
      </c>
      <c r="E6">
        <f>IF('Paid, cost, kept'!$AV$25="",NA(),'Paid, cost, kept'!$I$25)</f>
        <v/>
      </c>
      <c r="F6">
        <f>IF(AND(NOT(ISNA(A6)),'Paid, cost, kept'!$AV$25="Net drain"),A6,NA())</f>
        <v/>
      </c>
      <c r="G6">
        <f>IF(ISNA(F6),NA(),B6)</f>
        <v/>
      </c>
      <c r="H6">
        <f>IF(AND(NOT(ISNA(A6)),OR('Paid, cost, kept'!$AV$25="Priced for it",'Paid, cost, kept'!$AV$25="Strong")),A6,NA())</f>
        <v/>
      </c>
      <c r="I6">
        <f>IF(ISNA(H6),NA(),B6)</f>
        <v/>
      </c>
      <c r="J6">
        <f>IF(C6="","",6)</f>
        <v/>
      </c>
    </row>
    <row r="7">
      <c r="A7">
        <f>IF(OR('Paid, cost, kept'!$AO$26&lt;&gt;0,'Paid, cost, kept'!$G$26="",'Paid, cost, kept'!$I$26=""),NA(),'Paid, cost, kept'!$G$26)</f>
        <v/>
      </c>
      <c r="B7">
        <f>IF(ISNA(A7),NA(),'Paid, cost, kept'!$I$26)</f>
        <v/>
      </c>
      <c r="C7">
        <f>IF('Paid, cost, kept'!$AV$26="","",'Paid, cost, kept'!$B$26&amp;" / "&amp;'Paid, cost, kept'!$C$26)</f>
        <v/>
      </c>
      <c r="D7">
        <f>IF('Paid, cost, kept'!$AV$26="",NA(),'Paid, cost, kept'!$G$26)</f>
        <v/>
      </c>
      <c r="E7">
        <f>IF('Paid, cost, kept'!$AV$26="",NA(),'Paid, cost, kept'!$I$26)</f>
        <v/>
      </c>
      <c r="F7">
        <f>IF(AND(NOT(ISNA(A7)),'Paid, cost, kept'!$AV$26="Net drain"),A7,NA())</f>
        <v/>
      </c>
      <c r="G7">
        <f>IF(ISNA(F7),NA(),B7)</f>
        <v/>
      </c>
      <c r="H7">
        <f>IF(AND(NOT(ISNA(A7)),OR('Paid, cost, kept'!$AV$26="Priced for it",'Paid, cost, kept'!$AV$26="Strong")),A7,NA())</f>
        <v/>
      </c>
      <c r="I7">
        <f>IF(ISNA(H7),NA(),B7)</f>
        <v/>
      </c>
      <c r="J7">
        <f>IF(C7="","",7)</f>
        <v/>
      </c>
    </row>
    <row r="8">
      <c r="A8">
        <f>IF(OR('Paid, cost, kept'!$AO$27&lt;&gt;0,'Paid, cost, kept'!$G$27="",'Paid, cost, kept'!$I$27=""),NA(),'Paid, cost, kept'!$G$27)</f>
        <v/>
      </c>
      <c r="B8">
        <f>IF(ISNA(A8),NA(),'Paid, cost, kept'!$I$27)</f>
        <v/>
      </c>
      <c r="C8">
        <f>IF('Paid, cost, kept'!$AV$27="","",'Paid, cost, kept'!$B$27&amp;" / "&amp;'Paid, cost, kept'!$C$27)</f>
        <v/>
      </c>
      <c r="D8">
        <f>IF('Paid, cost, kept'!$AV$27="",NA(),'Paid, cost, kept'!$G$27)</f>
        <v/>
      </c>
      <c r="E8">
        <f>IF('Paid, cost, kept'!$AV$27="",NA(),'Paid, cost, kept'!$I$27)</f>
        <v/>
      </c>
      <c r="F8">
        <f>IF(AND(NOT(ISNA(A8)),'Paid, cost, kept'!$AV$27="Net drain"),A8,NA())</f>
        <v/>
      </c>
      <c r="G8">
        <f>IF(ISNA(F8),NA(),B8)</f>
        <v/>
      </c>
      <c r="H8">
        <f>IF(AND(NOT(ISNA(A8)),OR('Paid, cost, kept'!$AV$27="Priced for it",'Paid, cost, kept'!$AV$27="Strong")),A8,NA())</f>
        <v/>
      </c>
      <c r="I8">
        <f>IF(ISNA(H8),NA(),B8)</f>
        <v/>
      </c>
      <c r="J8">
        <f>IF(C8="","",8)</f>
        <v/>
      </c>
    </row>
    <row r="9">
      <c r="A9">
        <f>IF(OR('Paid, cost, kept'!$AO$28&lt;&gt;0,'Paid, cost, kept'!$G$28="",'Paid, cost, kept'!$I$28=""),NA(),'Paid, cost, kept'!$G$28)</f>
        <v/>
      </c>
      <c r="B9">
        <f>IF(ISNA(A9),NA(),'Paid, cost, kept'!$I$28)</f>
        <v/>
      </c>
      <c r="C9">
        <f>IF('Paid, cost, kept'!$AV$28="","",'Paid, cost, kept'!$B$28&amp;" / "&amp;'Paid, cost, kept'!$C$28)</f>
        <v/>
      </c>
      <c r="D9">
        <f>IF('Paid, cost, kept'!$AV$28="",NA(),'Paid, cost, kept'!$G$28)</f>
        <v/>
      </c>
      <c r="E9">
        <f>IF('Paid, cost, kept'!$AV$28="",NA(),'Paid, cost, kept'!$I$28)</f>
        <v/>
      </c>
      <c r="F9">
        <f>IF(AND(NOT(ISNA(A9)),'Paid, cost, kept'!$AV$28="Net drain"),A9,NA())</f>
        <v/>
      </c>
      <c r="G9">
        <f>IF(ISNA(F9),NA(),B9)</f>
        <v/>
      </c>
      <c r="H9">
        <f>IF(AND(NOT(ISNA(A9)),OR('Paid, cost, kept'!$AV$28="Priced for it",'Paid, cost, kept'!$AV$28="Strong")),A9,NA())</f>
        <v/>
      </c>
      <c r="I9">
        <f>IF(ISNA(H9),NA(),B9)</f>
        <v/>
      </c>
      <c r="J9">
        <f>IF(C9="","",9)</f>
        <v/>
      </c>
    </row>
    <row r="10">
      <c r="A10">
        <f>IF(OR('Paid, cost, kept'!$AO$29&lt;&gt;0,'Paid, cost, kept'!$G$29="",'Paid, cost, kept'!$I$29=""),NA(),'Paid, cost, kept'!$G$29)</f>
        <v/>
      </c>
      <c r="B10">
        <f>IF(ISNA(A10),NA(),'Paid, cost, kept'!$I$29)</f>
        <v/>
      </c>
      <c r="C10">
        <f>IF('Paid, cost, kept'!$AV$29="","",'Paid, cost, kept'!$B$29&amp;" / "&amp;'Paid, cost, kept'!$C$29)</f>
        <v/>
      </c>
      <c r="D10">
        <f>IF('Paid, cost, kept'!$AV$29="",NA(),'Paid, cost, kept'!$G$29)</f>
        <v/>
      </c>
      <c r="E10">
        <f>IF('Paid, cost, kept'!$AV$29="",NA(),'Paid, cost, kept'!$I$29)</f>
        <v/>
      </c>
      <c r="F10">
        <f>IF(AND(NOT(ISNA(A10)),'Paid, cost, kept'!$AV$29="Net drain"),A10,NA())</f>
        <v/>
      </c>
      <c r="G10">
        <f>IF(ISNA(F10),NA(),B10)</f>
        <v/>
      </c>
      <c r="H10">
        <f>IF(AND(NOT(ISNA(A10)),OR('Paid, cost, kept'!$AV$29="Priced for it",'Paid, cost, kept'!$AV$29="Strong")),A10,NA())</f>
        <v/>
      </c>
      <c r="I10">
        <f>IF(ISNA(H10),NA(),B10)</f>
        <v/>
      </c>
      <c r="J10">
        <f>IF(C10="","",10)</f>
        <v/>
      </c>
    </row>
    <row r="11">
      <c r="A11">
        <f>IF(OR('Paid, cost, kept'!$AO$30&lt;&gt;0,'Paid, cost, kept'!$G$30="",'Paid, cost, kept'!$I$30=""),NA(),'Paid, cost, kept'!$G$30)</f>
        <v/>
      </c>
      <c r="B11">
        <f>IF(ISNA(A11),NA(),'Paid, cost, kept'!$I$30)</f>
        <v/>
      </c>
      <c r="C11">
        <f>IF('Paid, cost, kept'!$AV$30="","",'Paid, cost, kept'!$B$30&amp;" / "&amp;'Paid, cost, kept'!$C$30)</f>
        <v/>
      </c>
      <c r="D11">
        <f>IF('Paid, cost, kept'!$AV$30="",NA(),'Paid, cost, kept'!$G$30)</f>
        <v/>
      </c>
      <c r="E11">
        <f>IF('Paid, cost, kept'!$AV$30="",NA(),'Paid, cost, kept'!$I$30)</f>
        <v/>
      </c>
      <c r="F11">
        <f>IF(AND(NOT(ISNA(A11)),'Paid, cost, kept'!$AV$30="Net drain"),A11,NA())</f>
        <v/>
      </c>
      <c r="G11">
        <f>IF(ISNA(F11),NA(),B11)</f>
        <v/>
      </c>
      <c r="H11">
        <f>IF(AND(NOT(ISNA(A11)),OR('Paid, cost, kept'!$AV$30="Priced for it",'Paid, cost, kept'!$AV$30="Strong")),A11,NA())</f>
        <v/>
      </c>
      <c r="I11">
        <f>IF(ISNA(H11),NA(),B11)</f>
        <v/>
      </c>
      <c r="J11">
        <f>IF(C11="","",11)</f>
        <v/>
      </c>
    </row>
    <row r="12">
      <c r="A12">
        <f>IF(OR('Paid, cost, kept'!$AO$31&lt;&gt;0,'Paid, cost, kept'!$G$31="",'Paid, cost, kept'!$I$31=""),NA(),'Paid, cost, kept'!$G$31)</f>
        <v/>
      </c>
      <c r="B12">
        <f>IF(ISNA(A12),NA(),'Paid, cost, kept'!$I$31)</f>
        <v/>
      </c>
      <c r="C12">
        <f>IF('Paid, cost, kept'!$AV$31="","",'Paid, cost, kept'!$B$31&amp;" / "&amp;'Paid, cost, kept'!$C$31)</f>
        <v/>
      </c>
      <c r="D12">
        <f>IF('Paid, cost, kept'!$AV$31="",NA(),'Paid, cost, kept'!$G$31)</f>
        <v/>
      </c>
      <c r="E12">
        <f>IF('Paid, cost, kept'!$AV$31="",NA(),'Paid, cost, kept'!$I$31)</f>
        <v/>
      </c>
      <c r="F12">
        <f>IF(AND(NOT(ISNA(A12)),'Paid, cost, kept'!$AV$31="Net drain"),A12,NA())</f>
        <v/>
      </c>
      <c r="G12">
        <f>IF(ISNA(F12),NA(),B12)</f>
        <v/>
      </c>
      <c r="H12">
        <f>IF(AND(NOT(ISNA(A12)),OR('Paid, cost, kept'!$AV$31="Priced for it",'Paid, cost, kept'!$AV$31="Strong")),A12,NA())</f>
        <v/>
      </c>
      <c r="I12">
        <f>IF(ISNA(H12),NA(),B12)</f>
        <v/>
      </c>
      <c r="J12">
        <f>IF(C12="","",12)</f>
        <v/>
      </c>
    </row>
    <row r="13">
      <c r="A13">
        <f>IF(OR('Paid, cost, kept'!$AO$32&lt;&gt;0,'Paid, cost, kept'!$G$32="",'Paid, cost, kept'!$I$32=""),NA(),'Paid, cost, kept'!$G$32)</f>
        <v/>
      </c>
      <c r="B13">
        <f>IF(ISNA(A13),NA(),'Paid, cost, kept'!$I$32)</f>
        <v/>
      </c>
      <c r="C13">
        <f>IF('Paid, cost, kept'!$AV$32="","",'Paid, cost, kept'!$B$32&amp;" / "&amp;'Paid, cost, kept'!$C$32)</f>
        <v/>
      </c>
      <c r="D13">
        <f>IF('Paid, cost, kept'!$AV$32="",NA(),'Paid, cost, kept'!$G$32)</f>
        <v/>
      </c>
      <c r="E13">
        <f>IF('Paid, cost, kept'!$AV$32="",NA(),'Paid, cost, kept'!$I$32)</f>
        <v/>
      </c>
      <c r="F13">
        <f>IF(AND(NOT(ISNA(A13)),'Paid, cost, kept'!$AV$32="Net drain"),A13,NA())</f>
        <v/>
      </c>
      <c r="G13">
        <f>IF(ISNA(F13),NA(),B13)</f>
        <v/>
      </c>
      <c r="H13">
        <f>IF(AND(NOT(ISNA(A13)),OR('Paid, cost, kept'!$AV$32="Priced for it",'Paid, cost, kept'!$AV$32="Strong")),A13,NA())</f>
        <v/>
      </c>
      <c r="I13">
        <f>IF(ISNA(H13),NA(),B13)</f>
        <v/>
      </c>
      <c r="J13">
        <f>IF(C13="","",13)</f>
        <v/>
      </c>
    </row>
    <row r="14">
      <c r="A14">
        <f>IF(OR('Paid, cost, kept'!$AO$33&lt;&gt;0,'Paid, cost, kept'!$G$33="",'Paid, cost, kept'!$I$33=""),NA(),'Paid, cost, kept'!$G$33)</f>
        <v/>
      </c>
      <c r="B14">
        <f>IF(ISNA(A14),NA(),'Paid, cost, kept'!$I$33)</f>
        <v/>
      </c>
      <c r="C14">
        <f>IF('Paid, cost, kept'!$AV$33="","",'Paid, cost, kept'!$B$33&amp;" / "&amp;'Paid, cost, kept'!$C$33)</f>
        <v/>
      </c>
      <c r="D14">
        <f>IF('Paid, cost, kept'!$AV$33="",NA(),'Paid, cost, kept'!$G$33)</f>
        <v/>
      </c>
      <c r="E14">
        <f>IF('Paid, cost, kept'!$AV$33="",NA(),'Paid, cost, kept'!$I$33)</f>
        <v/>
      </c>
      <c r="F14">
        <f>IF(AND(NOT(ISNA(A14)),'Paid, cost, kept'!$AV$33="Net drain"),A14,NA())</f>
        <v/>
      </c>
      <c r="G14">
        <f>IF(ISNA(F14),NA(),B14)</f>
        <v/>
      </c>
      <c r="H14">
        <f>IF(AND(NOT(ISNA(A14)),OR('Paid, cost, kept'!$AV$33="Priced for it",'Paid, cost, kept'!$AV$33="Strong")),A14,NA())</f>
        <v/>
      </c>
      <c r="I14">
        <f>IF(ISNA(H14),NA(),B14)</f>
        <v/>
      </c>
      <c r="J14">
        <f>IF(C14="","",14)</f>
        <v/>
      </c>
    </row>
    <row r="15">
      <c r="A15">
        <f>IF(OR('Paid, cost, kept'!$AO$34&lt;&gt;0,'Paid, cost, kept'!$G$34="",'Paid, cost, kept'!$I$34=""),NA(),'Paid, cost, kept'!$G$34)</f>
        <v/>
      </c>
      <c r="B15">
        <f>IF(ISNA(A15),NA(),'Paid, cost, kept'!$I$34)</f>
        <v/>
      </c>
      <c r="C15">
        <f>IF('Paid, cost, kept'!$AV$34="","",'Paid, cost, kept'!$B$34&amp;" / "&amp;'Paid, cost, kept'!$C$34)</f>
        <v/>
      </c>
      <c r="D15">
        <f>IF('Paid, cost, kept'!$AV$34="",NA(),'Paid, cost, kept'!$G$34)</f>
        <v/>
      </c>
      <c r="E15">
        <f>IF('Paid, cost, kept'!$AV$34="",NA(),'Paid, cost, kept'!$I$34)</f>
        <v/>
      </c>
      <c r="F15">
        <f>IF(AND(NOT(ISNA(A15)),'Paid, cost, kept'!$AV$34="Net drain"),A15,NA())</f>
        <v/>
      </c>
      <c r="G15">
        <f>IF(ISNA(F15),NA(),B15)</f>
        <v/>
      </c>
      <c r="H15">
        <f>IF(AND(NOT(ISNA(A15)),OR('Paid, cost, kept'!$AV$34="Priced for it",'Paid, cost, kept'!$AV$34="Strong")),A15,NA())</f>
        <v/>
      </c>
      <c r="I15">
        <f>IF(ISNA(H15),NA(),B15)</f>
        <v/>
      </c>
      <c r="J15">
        <f>IF(C15="","",15)</f>
        <v/>
      </c>
    </row>
    <row r="16">
      <c r="A16">
        <f>IF(OR('Paid, cost, kept'!$AO$35&lt;&gt;0,'Paid, cost, kept'!$G$35="",'Paid, cost, kept'!$I$35=""),NA(),'Paid, cost, kept'!$G$35)</f>
        <v/>
      </c>
      <c r="B16">
        <f>IF(ISNA(A16),NA(),'Paid, cost, kept'!$I$35)</f>
        <v/>
      </c>
      <c r="C16">
        <f>IF('Paid, cost, kept'!$AV$35="","",'Paid, cost, kept'!$B$35&amp;" / "&amp;'Paid, cost, kept'!$C$35)</f>
        <v/>
      </c>
      <c r="D16">
        <f>IF('Paid, cost, kept'!$AV$35="",NA(),'Paid, cost, kept'!$G$35)</f>
        <v/>
      </c>
      <c r="E16">
        <f>IF('Paid, cost, kept'!$AV$35="",NA(),'Paid, cost, kept'!$I$35)</f>
        <v/>
      </c>
      <c r="F16">
        <f>IF(AND(NOT(ISNA(A16)),'Paid, cost, kept'!$AV$35="Net drain"),A16,NA())</f>
        <v/>
      </c>
      <c r="G16">
        <f>IF(ISNA(F16),NA(),B16)</f>
        <v/>
      </c>
      <c r="H16">
        <f>IF(AND(NOT(ISNA(A16)),OR('Paid, cost, kept'!$AV$35="Priced for it",'Paid, cost, kept'!$AV$35="Strong")),A16,NA())</f>
        <v/>
      </c>
      <c r="I16">
        <f>IF(ISNA(H16),NA(),B16)</f>
        <v/>
      </c>
      <c r="J16">
        <f>IF(C16="","",16)</f>
        <v/>
      </c>
    </row>
    <row r="17">
      <c r="A17">
        <f>IF(OR('Paid, cost, kept'!$AO$36&lt;&gt;0,'Paid, cost, kept'!$G$36="",'Paid, cost, kept'!$I$36=""),NA(),'Paid, cost, kept'!$G$36)</f>
        <v/>
      </c>
      <c r="B17">
        <f>IF(ISNA(A17),NA(),'Paid, cost, kept'!$I$36)</f>
        <v/>
      </c>
      <c r="C17">
        <f>IF('Paid, cost, kept'!$AV$36="","",'Paid, cost, kept'!$B$36&amp;" / "&amp;'Paid, cost, kept'!$C$36)</f>
        <v/>
      </c>
      <c r="D17">
        <f>IF('Paid, cost, kept'!$AV$36="",NA(),'Paid, cost, kept'!$G$36)</f>
        <v/>
      </c>
      <c r="E17">
        <f>IF('Paid, cost, kept'!$AV$36="",NA(),'Paid, cost, kept'!$I$36)</f>
        <v/>
      </c>
      <c r="F17">
        <f>IF(AND(NOT(ISNA(A17)),'Paid, cost, kept'!$AV$36="Net drain"),A17,NA())</f>
        <v/>
      </c>
      <c r="G17">
        <f>IF(ISNA(F17),NA(),B17)</f>
        <v/>
      </c>
      <c r="H17">
        <f>IF(AND(NOT(ISNA(A17)),OR('Paid, cost, kept'!$AV$36="Priced for it",'Paid, cost, kept'!$AV$36="Strong")),A17,NA())</f>
        <v/>
      </c>
      <c r="I17">
        <f>IF(ISNA(H17),NA(),B17)</f>
        <v/>
      </c>
      <c r="J17">
        <f>IF(C17="","",17)</f>
        <v/>
      </c>
    </row>
    <row r="18">
      <c r="A18">
        <f>IF(OR('Paid, cost, kept'!$AO$37&lt;&gt;0,'Paid, cost, kept'!$G$37="",'Paid, cost, kept'!$I$37=""),NA(),'Paid, cost, kept'!$G$37)</f>
        <v/>
      </c>
      <c r="B18">
        <f>IF(ISNA(A18),NA(),'Paid, cost, kept'!$I$37)</f>
        <v/>
      </c>
      <c r="C18">
        <f>IF('Paid, cost, kept'!$AV$37="","",'Paid, cost, kept'!$B$37&amp;" / "&amp;'Paid, cost, kept'!$C$37)</f>
        <v/>
      </c>
      <c r="D18">
        <f>IF('Paid, cost, kept'!$AV$37="",NA(),'Paid, cost, kept'!$G$37)</f>
        <v/>
      </c>
      <c r="E18">
        <f>IF('Paid, cost, kept'!$AV$37="",NA(),'Paid, cost, kept'!$I$37)</f>
        <v/>
      </c>
      <c r="F18">
        <f>IF(AND(NOT(ISNA(A18)),'Paid, cost, kept'!$AV$37="Net drain"),A18,NA())</f>
        <v/>
      </c>
      <c r="G18">
        <f>IF(ISNA(F18),NA(),B18)</f>
        <v/>
      </c>
      <c r="H18">
        <f>IF(AND(NOT(ISNA(A18)),OR('Paid, cost, kept'!$AV$37="Priced for it",'Paid, cost, kept'!$AV$37="Strong")),A18,NA())</f>
        <v/>
      </c>
      <c r="I18">
        <f>IF(ISNA(H18),NA(),B18)</f>
        <v/>
      </c>
      <c r="J18">
        <f>IF(C18="","",18)</f>
        <v/>
      </c>
    </row>
    <row r="19">
      <c r="A19">
        <f>IF(OR('Paid, cost, kept'!$AO$38&lt;&gt;0,'Paid, cost, kept'!$G$38="",'Paid, cost, kept'!$I$38=""),NA(),'Paid, cost, kept'!$G$38)</f>
        <v/>
      </c>
      <c r="B19">
        <f>IF(ISNA(A19),NA(),'Paid, cost, kept'!$I$38)</f>
        <v/>
      </c>
      <c r="C19">
        <f>IF('Paid, cost, kept'!$AV$38="","",'Paid, cost, kept'!$B$38&amp;" / "&amp;'Paid, cost, kept'!$C$38)</f>
        <v/>
      </c>
      <c r="D19">
        <f>IF('Paid, cost, kept'!$AV$38="",NA(),'Paid, cost, kept'!$G$38)</f>
        <v/>
      </c>
      <c r="E19">
        <f>IF('Paid, cost, kept'!$AV$38="",NA(),'Paid, cost, kept'!$I$38)</f>
        <v/>
      </c>
      <c r="F19">
        <f>IF(AND(NOT(ISNA(A19)),'Paid, cost, kept'!$AV$38="Net drain"),A19,NA())</f>
        <v/>
      </c>
      <c r="G19">
        <f>IF(ISNA(F19),NA(),B19)</f>
        <v/>
      </c>
      <c r="H19">
        <f>IF(AND(NOT(ISNA(A19)),OR('Paid, cost, kept'!$AV$38="Priced for it",'Paid, cost, kept'!$AV$38="Strong")),A19,NA())</f>
        <v/>
      </c>
      <c r="I19">
        <f>IF(ISNA(H19),NA(),B19)</f>
        <v/>
      </c>
      <c r="J19">
        <f>IF(C19="","",19)</f>
        <v/>
      </c>
    </row>
    <row r="20">
      <c r="A20">
        <f>IF(OR('Paid, cost, kept'!$AO$39&lt;&gt;0,'Paid, cost, kept'!$G$39="",'Paid, cost, kept'!$I$39=""),NA(),'Paid, cost, kept'!$G$39)</f>
        <v/>
      </c>
      <c r="B20">
        <f>IF(ISNA(A20),NA(),'Paid, cost, kept'!$I$39)</f>
        <v/>
      </c>
      <c r="C20">
        <f>IF('Paid, cost, kept'!$AV$39="","",'Paid, cost, kept'!$B$39&amp;" / "&amp;'Paid, cost, kept'!$C$39)</f>
        <v/>
      </c>
      <c r="D20">
        <f>IF('Paid, cost, kept'!$AV$39="",NA(),'Paid, cost, kept'!$G$39)</f>
        <v/>
      </c>
      <c r="E20">
        <f>IF('Paid, cost, kept'!$AV$39="",NA(),'Paid, cost, kept'!$I$39)</f>
        <v/>
      </c>
      <c r="F20">
        <f>IF(AND(NOT(ISNA(A20)),'Paid, cost, kept'!$AV$39="Net drain"),A20,NA())</f>
        <v/>
      </c>
      <c r="G20">
        <f>IF(ISNA(F20),NA(),B20)</f>
        <v/>
      </c>
      <c r="H20">
        <f>IF(AND(NOT(ISNA(A20)),OR('Paid, cost, kept'!$AV$39="Priced for it",'Paid, cost, kept'!$AV$39="Strong")),A20,NA())</f>
        <v/>
      </c>
      <c r="I20">
        <f>IF(ISNA(H20),NA(),B20)</f>
        <v/>
      </c>
      <c r="J20">
        <f>IF(C20="","",20)</f>
        <v/>
      </c>
    </row>
    <row r="21">
      <c r="A21">
        <f>IF(OR('Paid, cost, kept'!$AO$40&lt;&gt;0,'Paid, cost, kept'!$G$40="",'Paid, cost, kept'!$I$40=""),NA(),'Paid, cost, kept'!$G$40)</f>
        <v/>
      </c>
      <c r="B21">
        <f>IF(ISNA(A21),NA(),'Paid, cost, kept'!$I$40)</f>
        <v/>
      </c>
      <c r="C21">
        <f>IF('Paid, cost, kept'!$AV$40="","",'Paid, cost, kept'!$B$40&amp;" / "&amp;'Paid, cost, kept'!$C$40)</f>
        <v/>
      </c>
      <c r="D21">
        <f>IF('Paid, cost, kept'!$AV$40="",NA(),'Paid, cost, kept'!$G$40)</f>
        <v/>
      </c>
      <c r="E21">
        <f>IF('Paid, cost, kept'!$AV$40="",NA(),'Paid, cost, kept'!$I$40)</f>
        <v/>
      </c>
      <c r="F21">
        <f>IF(AND(NOT(ISNA(A21)),'Paid, cost, kept'!$AV$40="Net drain"),A21,NA())</f>
        <v/>
      </c>
      <c r="G21">
        <f>IF(ISNA(F21),NA(),B21)</f>
        <v/>
      </c>
      <c r="H21">
        <f>IF(AND(NOT(ISNA(A21)),OR('Paid, cost, kept'!$AV$40="Priced for it",'Paid, cost, kept'!$AV$40="Strong")),A21,NA())</f>
        <v/>
      </c>
      <c r="I21">
        <f>IF(ISNA(H21),NA(),B21)</f>
        <v/>
      </c>
      <c r="J21">
        <f>IF(C21="","",21)</f>
        <v/>
      </c>
    </row>
    <row r="22">
      <c r="A22">
        <f>IF(OR('Paid, cost, kept'!$AO$41&lt;&gt;0,'Paid, cost, kept'!$G$41="",'Paid, cost, kept'!$I$41=""),NA(),'Paid, cost, kept'!$G$41)</f>
        <v/>
      </c>
      <c r="B22">
        <f>IF(ISNA(A22),NA(),'Paid, cost, kept'!$I$41)</f>
        <v/>
      </c>
      <c r="C22">
        <f>IF('Paid, cost, kept'!$AV$41="","",'Paid, cost, kept'!$B$41&amp;" / "&amp;'Paid, cost, kept'!$C$41)</f>
        <v/>
      </c>
      <c r="D22">
        <f>IF('Paid, cost, kept'!$AV$41="",NA(),'Paid, cost, kept'!$G$41)</f>
        <v/>
      </c>
      <c r="E22">
        <f>IF('Paid, cost, kept'!$AV$41="",NA(),'Paid, cost, kept'!$I$41)</f>
        <v/>
      </c>
      <c r="F22">
        <f>IF(AND(NOT(ISNA(A22)),'Paid, cost, kept'!$AV$41="Net drain"),A22,NA())</f>
        <v/>
      </c>
      <c r="G22">
        <f>IF(ISNA(F22),NA(),B22)</f>
        <v/>
      </c>
      <c r="H22">
        <f>IF(AND(NOT(ISNA(A22)),OR('Paid, cost, kept'!$AV$41="Priced for it",'Paid, cost, kept'!$AV$41="Strong")),A22,NA())</f>
        <v/>
      </c>
      <c r="I22">
        <f>IF(ISNA(H22),NA(),B22)</f>
        <v/>
      </c>
      <c r="J22">
        <f>IF(C22="","",22)</f>
        <v/>
      </c>
    </row>
    <row r="23">
      <c r="A23">
        <f>IF(OR('Paid, cost, kept'!$AO$42&lt;&gt;0,'Paid, cost, kept'!$G$42="",'Paid, cost, kept'!$I$42=""),NA(),'Paid, cost, kept'!$G$42)</f>
        <v/>
      </c>
      <c r="B23">
        <f>IF(ISNA(A23),NA(),'Paid, cost, kept'!$I$42)</f>
        <v/>
      </c>
      <c r="C23">
        <f>IF('Paid, cost, kept'!$AV$42="","",'Paid, cost, kept'!$B$42&amp;" / "&amp;'Paid, cost, kept'!$C$42)</f>
        <v/>
      </c>
      <c r="D23">
        <f>IF('Paid, cost, kept'!$AV$42="",NA(),'Paid, cost, kept'!$G$42)</f>
        <v/>
      </c>
      <c r="E23">
        <f>IF('Paid, cost, kept'!$AV$42="",NA(),'Paid, cost, kept'!$I$42)</f>
        <v/>
      </c>
      <c r="F23">
        <f>IF(AND(NOT(ISNA(A23)),'Paid, cost, kept'!$AV$42="Net drain"),A23,NA())</f>
        <v/>
      </c>
      <c r="G23">
        <f>IF(ISNA(F23),NA(),B23)</f>
        <v/>
      </c>
      <c r="H23">
        <f>IF(AND(NOT(ISNA(A23)),OR('Paid, cost, kept'!$AV$42="Priced for it",'Paid, cost, kept'!$AV$42="Strong")),A23,NA())</f>
        <v/>
      </c>
      <c r="I23">
        <f>IF(ISNA(H23),NA(),B23)</f>
        <v/>
      </c>
      <c r="J23">
        <f>IF(C23="","",23)</f>
        <v/>
      </c>
    </row>
    <row r="24">
      <c r="A24">
        <f>IF(OR('Paid, cost, kept'!$AO$43&lt;&gt;0,'Paid, cost, kept'!$G$43="",'Paid, cost, kept'!$I$43=""),NA(),'Paid, cost, kept'!$G$43)</f>
        <v/>
      </c>
      <c r="B24">
        <f>IF(ISNA(A24),NA(),'Paid, cost, kept'!$I$43)</f>
        <v/>
      </c>
      <c r="C24">
        <f>IF('Paid, cost, kept'!$AV$43="","",'Paid, cost, kept'!$B$43&amp;" / "&amp;'Paid, cost, kept'!$C$43)</f>
        <v/>
      </c>
      <c r="D24">
        <f>IF('Paid, cost, kept'!$AV$43="",NA(),'Paid, cost, kept'!$G$43)</f>
        <v/>
      </c>
      <c r="E24">
        <f>IF('Paid, cost, kept'!$AV$43="",NA(),'Paid, cost, kept'!$I$43)</f>
        <v/>
      </c>
      <c r="F24">
        <f>IF(AND(NOT(ISNA(A24)),'Paid, cost, kept'!$AV$43="Net drain"),A24,NA())</f>
        <v/>
      </c>
      <c r="G24">
        <f>IF(ISNA(F24),NA(),B24)</f>
        <v/>
      </c>
      <c r="H24">
        <f>IF(AND(NOT(ISNA(A24)),OR('Paid, cost, kept'!$AV$43="Priced for it",'Paid, cost, kept'!$AV$43="Strong")),A24,NA())</f>
        <v/>
      </c>
      <c r="I24">
        <f>IF(ISNA(H24),NA(),B24)</f>
        <v/>
      </c>
      <c r="J24">
        <f>IF(C24="","",24)</f>
        <v/>
      </c>
    </row>
    <row r="25">
      <c r="A25">
        <f>IF(OR('Paid, cost, kept'!$AO$44&lt;&gt;0,'Paid, cost, kept'!$G$44="",'Paid, cost, kept'!$I$44=""),NA(),'Paid, cost, kept'!$G$44)</f>
        <v/>
      </c>
      <c r="B25">
        <f>IF(ISNA(A25),NA(),'Paid, cost, kept'!$I$44)</f>
        <v/>
      </c>
      <c r="C25">
        <f>IF('Paid, cost, kept'!$AV$44="","",'Paid, cost, kept'!$B$44&amp;" / "&amp;'Paid, cost, kept'!$C$44)</f>
        <v/>
      </c>
      <c r="D25">
        <f>IF('Paid, cost, kept'!$AV$44="",NA(),'Paid, cost, kept'!$G$44)</f>
        <v/>
      </c>
      <c r="E25">
        <f>IF('Paid, cost, kept'!$AV$44="",NA(),'Paid, cost, kept'!$I$44)</f>
        <v/>
      </c>
      <c r="F25">
        <f>IF(AND(NOT(ISNA(A25)),'Paid, cost, kept'!$AV$44="Net drain"),A25,NA())</f>
        <v/>
      </c>
      <c r="G25">
        <f>IF(ISNA(F25),NA(),B25)</f>
        <v/>
      </c>
      <c r="H25">
        <f>IF(AND(NOT(ISNA(A25)),OR('Paid, cost, kept'!$AV$44="Priced for it",'Paid, cost, kept'!$AV$44="Strong")),A25,NA())</f>
        <v/>
      </c>
      <c r="I25">
        <f>IF(ISNA(H25),NA(),B25)</f>
        <v/>
      </c>
      <c r="J25">
        <f>IF(C25="","",25)</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1.25 times</t>
        </is>
      </c>
      <c r="C2" t="inlineStr">
        <is>
          <t>1.25 times</t>
        </is>
      </c>
    </row>
    <row r="3">
      <c r="A3" t="inlineStr">
        <is>
          <t>better_at</t>
        </is>
      </c>
      <c r="B3" t="inlineStr">
        <is>
          <t>0.8 times</t>
        </is>
      </c>
      <c r="C3" t="inlineStr">
        <is>
          <t>0.8 times</t>
        </is>
      </c>
    </row>
    <row r="4">
      <c r="A4" t="inlineStr">
        <is>
          <t>revenue_line</t>
        </is>
      </c>
      <c r="B4" t="inlineStr">
        <is>
          <t>Each pocket's own test (suggested)</t>
        </is>
      </c>
      <c r="C4" t="inlineStr">
        <is>
          <t>Each pocket's own test (suggested)</t>
        </is>
      </c>
    </row>
    <row r="5">
      <c r="A5" t="inlineStr">
        <is>
          <t>confidence</t>
        </is>
      </c>
      <c r="B5" t="inlineStr">
        <is>
          <t>95%</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30</t>
        </is>
      </c>
      <c r="C8" t="inlineStr">
        <is>
          <t>30 loans</t>
        </is>
      </c>
    </row>
    <row r="9">
      <c r="A9" t="inlineStr">
        <is>
          <t>min_events</t>
        </is>
      </c>
      <c r="B9" t="inlineStr">
        <is>
          <t>10</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REV_DEBT</t>
        </is>
      </c>
      <c r="C17" t="inlineStr">
        <is>
          <t>FICO, REV_DEBT</t>
        </is>
      </c>
    </row>
    <row r="18">
      <c r="A18" t="inlineStr">
        <is>
          <t>launcher|segments</t>
        </is>
      </c>
      <c r="B18" t="inlineStr">
        <is>
          <t>CHANNEL, ASSET_CLASS</t>
        </is>
      </c>
      <c r="C18" t="inlineStr">
        <is>
          <t>CHANNEL, ASSET_CLASS</t>
        </is>
      </c>
    </row>
    <row r="19">
      <c r="A19" t="inlineStr">
        <is>
          <t>launcher|split</t>
        </is>
      </c>
    </row>
    <row r="20">
      <c r="A20" t="inlineStr">
        <is>
          <t>launcher|filter</t>
        </is>
      </c>
      <c r="B20" t="inlineStr">
        <is>
          <t>ORIG_YEAR</t>
        </is>
      </c>
      <c r="C20" t="inlineStr">
        <is>
          <t>ORIG_YEAR</t>
        </is>
      </c>
    </row>
    <row r="21">
      <c r="A21" t="inlineStr">
        <is>
          <t>launcher|outcome</t>
        </is>
      </c>
    </row>
    <row r="22">
      <c r="A22" t="inlineStr">
        <is>
          <t>launcher|test</t>
        </is>
      </c>
    </row>
    <row r="23">
      <c r="A23" t="inlineStr">
        <is>
          <t>launcher|hold</t>
        </is>
      </c>
    </row>
    <row r="24">
      <c r="A24" t="inlineStr">
        <is>
          <t>prespec</t>
        </is>
      </c>
    </row>
    <row r="25">
      <c r="A25" t="inlineStr">
        <is>
          <t>few_values</t>
        </is>
      </c>
      <c r="B25" t="inlineStr">
        <is>
          <t>12 values</t>
        </is>
      </c>
      <c r="C25" t="inlineStr">
        <is>
          <t>12 values</t>
        </is>
      </c>
    </row>
    <row r="26">
      <c r="A26" t="inlineStr">
        <is>
          <t>many_values</t>
        </is>
      </c>
      <c r="B26" t="inlineStr">
        <is>
          <t>50 values</t>
        </is>
      </c>
      <c r="C26" t="inlineStr">
        <is>
          <t>50 values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53"/>
  <sheetViews>
    <sheetView tabSelected="0" workbookViewId="0">
      <selection activeCell="A1" sqref="A1"/>
    </sheetView>
  </sheetViews>
  <sheetFormatPr baseColWidth="8" defaultRowHeight="15"/>
  <sheetData>
    <row r="1">
      <c r="A1" t="inlineStr">
        <is>
          <t>stamp</t>
        </is>
      </c>
      <c r="B1" t="inlineStr">
        <is>
          <t>2026-09-30 15:23</t>
        </is>
      </c>
    </row>
    <row r="2">
      <c r="A2" t="inlineStr">
        <is>
          <t>measure</t>
        </is>
      </c>
      <c r="B2" t="inlineStr">
        <is>
          <t>gco_rate</t>
        </is>
      </c>
    </row>
    <row r="3">
      <c r="A3" t="inlineStr">
        <is>
          <t>measure_title</t>
        </is>
      </c>
      <c r="B3" t="inlineStr">
        <is>
          <t>charge-offs</t>
        </is>
      </c>
    </row>
    <row r="4">
      <c r="A4" t="inlineStr">
        <is>
          <t>pockets</t>
        </is>
      </c>
      <c r="B4" t="n">
        <v>79</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REV_DEBT 17,187 - 48,521</t>
        </is>
      </c>
      <c r="C7" t="inlineStr">
        <is>
          <t>Broker</t>
        </is>
      </c>
      <c r="D7" t="n">
        <v>507</v>
      </c>
      <c r="E7" t="n">
        <v>276</v>
      </c>
      <c r="F7">
        <f>IF(AND('_pockets'!$AI$276="Yes",'_pockets'!$AJ$276="Yes"),1,0)</f>
        <v/>
      </c>
      <c r="G7">
        <f>G6+F7</f>
        <v/>
      </c>
    </row>
    <row r="8">
      <c r="A8" t="inlineStr">
        <is>
          <t>top</t>
        </is>
      </c>
      <c r="B8" t="inlineStr">
        <is>
          <t>FICO 496 - 653</t>
        </is>
      </c>
      <c r="C8" t="inlineStr">
        <is>
          <t>ASSET_CLASS 4</t>
        </is>
      </c>
      <c r="D8" t="n">
        <v>392</v>
      </c>
      <c r="E8" t="n">
        <v>151</v>
      </c>
      <c r="F8">
        <f>IF(AND('_pockets'!$AI$151="Yes",'_pockets'!$AJ$151="Yes"),1,0)</f>
        <v/>
      </c>
      <c r="G8">
        <f>G7+F8</f>
        <v/>
      </c>
    </row>
    <row r="9">
      <c r="A9" t="inlineStr">
        <is>
          <t>top</t>
        </is>
      </c>
      <c r="B9" t="inlineStr">
        <is>
          <t>REV_DEBT 17,187 - 48,521</t>
        </is>
      </c>
      <c r="C9" t="inlineStr">
        <is>
          <t>ASSET_CLASS 4</t>
        </is>
      </c>
      <c r="D9" t="n">
        <v>424</v>
      </c>
      <c r="E9" t="n">
        <v>356</v>
      </c>
      <c r="F9">
        <f>IF(AND('_pockets'!$AI$356="Yes",'_pockets'!$AJ$356="Yes"),1,0)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REV_DEBT 13,052 - 17,186</t>
        </is>
      </c>
      <c r="C11" t="inlineStr">
        <is>
          <t>ASSET_CLASS 4</t>
        </is>
      </c>
      <c r="D11" t="n">
        <v>411</v>
      </c>
      <c r="E11" t="n">
        <v>341</v>
      </c>
      <c r="F11">
        <f>IF(AND('_pockets'!$AI$341="Yes",'_pockets'!$AJ$341="Yes"),1,0)</f>
        <v/>
      </c>
      <c r="G11">
        <f>G10+F11</f>
        <v/>
      </c>
    </row>
    <row r="12">
      <c r="A12" t="inlineStr">
        <is>
          <t>top</t>
        </is>
      </c>
      <c r="B12" t="inlineStr">
        <is>
          <t>FICO 654 - 685</t>
        </is>
      </c>
      <c r="C12" t="inlineStr">
        <is>
          <t>ASSET_CLASS 4</t>
        </is>
      </c>
      <c r="D12" t="n">
        <v>410</v>
      </c>
      <c r="E12" t="n">
        <v>191</v>
      </c>
      <c r="F12">
        <f>IF(AND('_pockets'!$AI$191="Yes",'_pockets'!$AJ$191="Yes"),1,0)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FICO 712 - 745</t>
        </is>
      </c>
      <c r="C14" t="inlineStr">
        <is>
          <t>ASSET_CLASS 4</t>
        </is>
      </c>
      <c r="D14" t="n">
        <v>427</v>
      </c>
      <c r="E14" t="n">
        <v>126</v>
      </c>
      <c r="F14">
        <f>IF(AND('_pockets'!$AI$126="Yes",'_pockets'!$AJ$126="Yes"),1,0)</f>
        <v/>
      </c>
      <c r="G14">
        <f>G13+F14</f>
        <v/>
      </c>
    </row>
    <row r="15">
      <c r="A15" t="inlineStr">
        <is>
          <t>top</t>
        </is>
      </c>
      <c r="B15" t="inlineStr">
        <is>
          <t>REV_DEBT 13,052 - 17,186</t>
        </is>
      </c>
      <c r="C15" t="inlineStr">
        <is>
          <t>Broker</t>
        </is>
      </c>
      <c r="D15" t="n">
        <v>553</v>
      </c>
      <c r="E15" t="n">
        <v>246</v>
      </c>
      <c r="F15">
        <f>IF(AND('_pockets'!$AI$246="Yes",'_pockets'!$AJ$246="Yes"),1,0)</f>
        <v/>
      </c>
      <c r="G15">
        <f>G14+F15</f>
        <v/>
      </c>
    </row>
    <row r="16">
      <c r="A16" t="inlineStr">
        <is>
          <t>top</t>
        </is>
      </c>
      <c r="B16" t="inlineStr">
        <is>
          <t>REV_DEBT 13,052 - 17,186</t>
        </is>
      </c>
      <c r="C16" t="inlineStr">
        <is>
          <t>Online</t>
        </is>
      </c>
      <c r="D16" t="n">
        <v>522</v>
      </c>
      <c r="E16" t="n">
        <v>226</v>
      </c>
      <c r="F16">
        <f>IF(AND('_pockets'!$AI$226="Yes",'_pockets'!$AJ$226="Yes"),1,0)</f>
        <v/>
      </c>
      <c r="G16">
        <f>G15+F16</f>
        <v/>
      </c>
    </row>
    <row r="17">
      <c r="A17" t="inlineStr">
        <is>
          <t>top</t>
        </is>
      </c>
      <c r="B17" t="inlineStr">
        <is>
          <t>REV_DEBT 6,559 - 9,836</t>
        </is>
      </c>
      <c r="C17" t="inlineStr">
        <is>
          <t>ASSET_CLASS 4</t>
        </is>
      </c>
      <c r="D17" t="n">
        <v>400</v>
      </c>
      <c r="E17" t="n">
        <v>326</v>
      </c>
      <c r="F17">
        <f>IF(AND('_pockets'!$AI$326="Yes",'_pockets'!$AJ$326="Yes"),1,0)</f>
        <v/>
      </c>
      <c r="G17">
        <f>G16+F17</f>
        <v/>
      </c>
    </row>
    <row r="18">
      <c r="A18" t="inlineStr">
        <is>
          <t>top</t>
        </is>
      </c>
      <c r="B18" t="inlineStr">
        <is>
          <t>REV_DEBT 9,837 - 13,051</t>
        </is>
      </c>
      <c r="C18" t="inlineStr">
        <is>
          <t>ASSET_CLASS 4</t>
        </is>
      </c>
      <c r="D18" t="n">
        <v>414</v>
      </c>
      <c r="E18" t="n">
        <v>316</v>
      </c>
      <c r="F18">
        <f>IF(AND('_pockets'!$AI$316="Yes",'_pockets'!$AJ$316="Yes"),1,0)</f>
        <v/>
      </c>
      <c r="G18">
        <f>G17+F18</f>
        <v/>
      </c>
    </row>
    <row r="19">
      <c r="A19" t="inlineStr">
        <is>
          <t>top</t>
        </is>
      </c>
      <c r="B19" t="inlineStr">
        <is>
          <t>REV_DEBT 6,559 - 9,836</t>
        </is>
      </c>
      <c r="C19" t="inlineStr">
        <is>
          <t>ASSET_CLASS 3</t>
        </is>
      </c>
      <c r="D19" t="n">
        <v>411</v>
      </c>
      <c r="E19" t="n">
        <v>366</v>
      </c>
      <c r="F19">
        <f>IF(AND('_pockets'!$AI$366="Yes",'_pockets'!$AJ$366="Yes"),1,0)</f>
        <v/>
      </c>
      <c r="G19">
        <f>G18+F19</f>
        <v/>
      </c>
    </row>
    <row r="20">
      <c r="A20" t="inlineStr">
        <is>
          <t>top</t>
        </is>
      </c>
      <c r="B20" t="inlineStr">
        <is>
          <t>FICO 686 - 711</t>
        </is>
      </c>
      <c r="C20" t="inlineStr">
        <is>
          <t>ASSET_CLASS 4</t>
        </is>
      </c>
      <c r="D20" t="n">
        <v>407</v>
      </c>
      <c r="E20" t="n">
        <v>156</v>
      </c>
      <c r="F20">
        <f>IF(AND('_pockets'!$AI$156="Yes",'_pockets'!$AJ$156="Yes"),1,0)</f>
        <v/>
      </c>
      <c r="G20">
        <f>G19+F20</f>
        <v/>
      </c>
    </row>
    <row r="21">
      <c r="A21" t="inlineStr">
        <is>
          <t>top</t>
        </is>
      </c>
      <c r="B21" t="inlineStr">
        <is>
          <t>FICO 654 - 685</t>
        </is>
      </c>
      <c r="C21" t="inlineStr">
        <is>
          <t>Branch</t>
        </is>
      </c>
      <c r="D21" t="n">
        <v>503</v>
      </c>
      <c r="E21" t="n">
        <v>56</v>
      </c>
      <c r="F21">
        <f>IF(AND('_pockets'!$AI$56="Yes",'_pockets'!$AJ$56="Yes"),1,0)</f>
        <v/>
      </c>
      <c r="G21">
        <f>G20+F21</f>
        <v/>
      </c>
    </row>
    <row r="22">
      <c r="A22" t="inlineStr">
        <is>
          <t>top</t>
        </is>
      </c>
      <c r="B22" t="inlineStr">
        <is>
          <t>FICO 746 - 921</t>
        </is>
      </c>
      <c r="C22" t="inlineStr">
        <is>
          <t>ASSET_CLASS 2</t>
        </is>
      </c>
      <c r="D22" t="n">
        <v>399</v>
      </c>
      <c r="E22" t="n">
        <v>131</v>
      </c>
      <c r="F22">
        <f>IF(AND('_pockets'!$AI$131="Yes",'_pockets'!$AJ$131="Yes"),1,0)</f>
        <v/>
      </c>
      <c r="G22">
        <f>G21+F22</f>
        <v/>
      </c>
    </row>
    <row r="23">
      <c r="A23" t="inlineStr">
        <is>
          <t>top</t>
        </is>
      </c>
      <c r="B23" t="inlineStr">
        <is>
          <t>FICO 746 - 921</t>
        </is>
      </c>
      <c r="C23" t="inlineStr">
        <is>
          <t>Branch</t>
        </is>
      </c>
      <c r="D23" t="n">
        <v>518</v>
      </c>
      <c r="E23" t="n">
        <v>26</v>
      </c>
      <c r="F23">
        <f>IF(AND('_pockets'!$AI$26="Yes",'_pockets'!$AJ$26="Yes"),1,0)</f>
        <v/>
      </c>
      <c r="G23">
        <f>G22+F23</f>
        <v/>
      </c>
    </row>
    <row r="24">
      <c r="A24" t="inlineStr">
        <is>
          <t>top</t>
        </is>
      </c>
      <c r="B24" t="inlineStr">
        <is>
          <t>REV_DEBT 9,837 - 13,051</t>
        </is>
      </c>
      <c r="C24" t="inlineStr">
        <is>
          <t>Broker</t>
        </is>
      </c>
      <c r="D24" t="n">
        <v>532</v>
      </c>
      <c r="E24" t="n">
        <v>231</v>
      </c>
      <c r="F24">
        <f>IF(AND('_pockets'!$AI$231="Yes",'_pockets'!$AJ$231="Yes"),1,0)</f>
        <v/>
      </c>
      <c r="G24">
        <f>G23+F24</f>
        <v/>
      </c>
    </row>
    <row r="25">
      <c r="A25" t="inlineStr">
        <is>
          <t>top</t>
        </is>
      </c>
      <c r="B25" t="inlineStr">
        <is>
          <t>REV_DEBT 6,559 - 9,836</t>
        </is>
      </c>
      <c r="C25" t="inlineStr">
        <is>
          <t>Online</t>
        </is>
      </c>
      <c r="D25" t="n">
        <v>565</v>
      </c>
      <c r="E25" t="n">
        <v>256</v>
      </c>
      <c r="F25">
        <f>IF(AND('_pockets'!$AI$256="Yes",'_pockets'!$AJ$256="Yes"),1,0)</f>
        <v/>
      </c>
      <c r="G25">
        <f>G24+F25</f>
        <v/>
      </c>
    </row>
    <row r="26">
      <c r="A26" t="inlineStr">
        <is>
          <t>top</t>
        </is>
      </c>
      <c r="B26" t="inlineStr">
        <is>
          <t>FICO (marked missing)</t>
        </is>
      </c>
      <c r="C26" t="inlineStr">
        <is>
          <t>Broker</t>
        </is>
      </c>
      <c r="D26" t="n">
        <v>54</v>
      </c>
      <c r="E26" t="n">
        <v>96</v>
      </c>
      <c r="F26">
        <f>IF(AND('_pockets'!$AI$96="Yes",'_pockets'!$AJ$96="Yes"),1,0)</f>
        <v/>
      </c>
      <c r="G26">
        <f>G25+F26</f>
        <v/>
      </c>
    </row>
    <row r="27">
      <c r="A27" t="inlineStr">
        <is>
          <t>top</t>
        </is>
      </c>
      <c r="B27" t="inlineStr">
        <is>
          <t>REV_DEBT 0 - 6,558</t>
        </is>
      </c>
      <c r="C27" t="inlineStr">
        <is>
          <t>ASSET_CLASS 4</t>
        </is>
      </c>
      <c r="D27" t="n">
        <v>399</v>
      </c>
      <c r="E27" t="n">
        <v>336</v>
      </c>
      <c r="F27">
        <f>IF(AND('_pockets'!$AI$336="Yes",'_pockets'!$AJ$336="Yes"),1,0)</f>
        <v/>
      </c>
      <c r="G27">
        <f>G26+F27</f>
        <v/>
      </c>
    </row>
    <row r="28">
      <c r="A28" t="inlineStr">
        <is>
          <t>top</t>
        </is>
      </c>
      <c r="B28" t="inlineStr">
        <is>
          <t>FICO 654 - 685</t>
        </is>
      </c>
      <c r="C28" t="inlineStr">
        <is>
          <t>ASSET_CLASS 3</t>
        </is>
      </c>
      <c r="D28" t="n">
        <v>377</v>
      </c>
      <c r="E28" t="n">
        <v>181</v>
      </c>
      <c r="F28">
        <f>IF(AND('_pockets'!$AI$181="Yes",'_pockets'!$AJ$181="Yes"),1,0)</f>
        <v/>
      </c>
      <c r="G28">
        <f>G27+F28</f>
        <v/>
      </c>
    </row>
    <row r="29">
      <c r="A29" t="inlineStr">
        <is>
          <t>top</t>
        </is>
      </c>
      <c r="B29" t="inlineStr">
        <is>
          <t>FICO 686 - 711</t>
        </is>
      </c>
      <c r="C29" t="inlineStr">
        <is>
          <t>ASSET_CLASS 1</t>
        </is>
      </c>
      <c r="D29" t="n">
        <v>372</v>
      </c>
      <c r="E29" t="n">
        <v>141</v>
      </c>
      <c r="F29">
        <f>IF(AND('_pockets'!$AI$141="Yes",'_pockets'!$AJ$141="Yes"),1,0)</f>
        <v/>
      </c>
      <c r="G29">
        <f>G28+F29</f>
        <v/>
      </c>
    </row>
    <row r="30">
      <c r="A30" t="inlineStr">
        <is>
          <t>top</t>
        </is>
      </c>
      <c r="B30" t="inlineStr">
        <is>
          <t>FICO 686 - 711</t>
        </is>
      </c>
      <c r="C30" t="inlineStr">
        <is>
          <t>ASSET_CLASS 3</t>
        </is>
      </c>
      <c r="D30" t="n">
        <v>388</v>
      </c>
      <c r="E30" t="n">
        <v>211</v>
      </c>
      <c r="F30">
        <f>IF(AND('_pockets'!$AI$211="Yes",'_pockets'!$AJ$211="Yes"),1,0)</f>
        <v/>
      </c>
      <c r="G30">
        <f>G29+F30</f>
        <v/>
      </c>
    </row>
    <row r="31">
      <c r="A31" t="inlineStr">
        <is>
          <t>top</t>
        </is>
      </c>
      <c r="B31" t="inlineStr">
        <is>
          <t>FICO (marked missing)</t>
        </is>
      </c>
      <c r="C31" t="inlineStr">
        <is>
          <t>ASSET_CLASS 2</t>
        </is>
      </c>
      <c r="D31" t="n">
        <v>36</v>
      </c>
      <c r="E31" t="n">
        <v>221</v>
      </c>
      <c r="F31">
        <f>IF(AND('_pockets'!$AI$221="Yes",'_pockets'!$AJ$221="Yes"),1,0)</f>
        <v/>
      </c>
      <c r="G31">
        <f>G30+F31</f>
        <v/>
      </c>
    </row>
    <row r="32">
      <c r="A32" t="inlineStr">
        <is>
          <t>top</t>
        </is>
      </c>
      <c r="B32" t="inlineStr">
        <is>
          <t>REV_DEBT 9,837 - 13,051</t>
        </is>
      </c>
      <c r="C32" t="inlineStr">
        <is>
          <t>Branch</t>
        </is>
      </c>
      <c r="D32" t="n">
        <v>540</v>
      </c>
      <c r="E32" t="n">
        <v>241</v>
      </c>
      <c r="F32">
        <f>IF(AND('_pockets'!$AI$241="Yes",'_pockets'!$AJ$241="Yes"),1,0)</f>
        <v/>
      </c>
      <c r="G32">
        <f>G31+F32</f>
        <v/>
      </c>
    </row>
    <row r="33">
      <c r="A33" t="inlineStr">
        <is>
          <t>top</t>
        </is>
      </c>
      <c r="B33" t="inlineStr">
        <is>
          <t>REV_DEBT 17,187 - 48,521</t>
        </is>
      </c>
      <c r="C33" t="inlineStr">
        <is>
          <t>ASSET_CLASS 3</t>
        </is>
      </c>
      <c r="D33" t="n">
        <v>380</v>
      </c>
      <c r="E33" t="n">
        <v>361</v>
      </c>
      <c r="F33">
        <f>IF(AND('_pockets'!$AI$361="Yes",'_pockets'!$AJ$361="Yes"),1,0)</f>
        <v/>
      </c>
      <c r="G33">
        <f>G32+F33</f>
        <v/>
      </c>
    </row>
    <row r="34">
      <c r="A34" t="inlineStr">
        <is>
          <t>top</t>
        </is>
      </c>
      <c r="B34" t="inlineStr">
        <is>
          <t>REV_DEBT 0 - 6,558</t>
        </is>
      </c>
      <c r="C34" t="inlineStr">
        <is>
          <t>Online</t>
        </is>
      </c>
      <c r="D34" t="n">
        <v>537</v>
      </c>
      <c r="E34" t="n">
        <v>271</v>
      </c>
      <c r="F34">
        <f>IF(AND('_pockets'!$AI$271="Yes",'_pockets'!$AJ$271="Yes"),1,0)</f>
        <v/>
      </c>
      <c r="G34">
        <f>G33+F34</f>
        <v/>
      </c>
    </row>
    <row r="35">
      <c r="A35" t="inlineStr">
        <is>
          <t>top</t>
        </is>
      </c>
      <c r="B35" t="inlineStr">
        <is>
          <t>REV_DEBT 0 - 6,558</t>
        </is>
      </c>
      <c r="C35" t="inlineStr">
        <is>
          <t>ASSET_CLASS 1</t>
        </is>
      </c>
      <c r="D35" t="n">
        <v>396</v>
      </c>
      <c r="E35" t="n">
        <v>331</v>
      </c>
      <c r="F35">
        <f>IF(AND('_pockets'!$AI$331="Yes",'_pockets'!$AJ$331="Yes"),1,0)</f>
        <v/>
      </c>
      <c r="G35">
        <f>G34+F35</f>
        <v/>
      </c>
    </row>
    <row r="36">
      <c r="A36" t="inlineStr">
        <is>
          <t>top</t>
        </is>
      </c>
      <c r="B36" t="inlineStr">
        <is>
          <t>REV_DEBT 0 - 6,558</t>
        </is>
      </c>
      <c r="C36" t="inlineStr">
        <is>
          <t>ASSET_CLASS 2</t>
        </is>
      </c>
      <c r="D36" t="n">
        <v>435</v>
      </c>
      <c r="E36" t="n">
        <v>381</v>
      </c>
      <c r="F36">
        <f>IF(AND('_pockets'!$AI$381="Yes",'_pockets'!$AJ$381="Yes"),1,0)</f>
        <v/>
      </c>
      <c r="G36">
        <f>G35+F36</f>
        <v/>
      </c>
    </row>
    <row r="37">
      <c r="A37" t="inlineStr">
        <is>
          <t>top</t>
        </is>
      </c>
      <c r="B37" t="inlineStr">
        <is>
          <t>REV_DEBT 0 - 6,558</t>
        </is>
      </c>
      <c r="C37" t="inlineStr">
        <is>
          <t>Broker</t>
        </is>
      </c>
      <c r="D37" t="n">
        <v>542</v>
      </c>
      <c r="E37" t="n">
        <v>261</v>
      </c>
      <c r="F37">
        <f>IF(AND('_pockets'!$AI$261="Yes",'_pockets'!$AJ$261="Yes"),1,0)</f>
        <v/>
      </c>
      <c r="G37">
        <f>G36+F37</f>
        <v/>
      </c>
    </row>
    <row r="38">
      <c r="A38" t="inlineStr">
        <is>
          <t>top</t>
        </is>
      </c>
      <c r="B38" t="inlineStr">
        <is>
          <t>REV_DEBT 6,559 - 9,836</t>
        </is>
      </c>
      <c r="C38" t="inlineStr">
        <is>
          <t>Broker</t>
        </is>
      </c>
      <c r="D38" t="n">
        <v>521</v>
      </c>
      <c r="E38" t="n">
        <v>251</v>
      </c>
      <c r="F38">
        <f>IF(AND('_pockets'!$AI$251="Yes",'_pockets'!$AJ$251="Yes"),1,0)</f>
        <v/>
      </c>
      <c r="G38">
        <f>G37+F38</f>
        <v/>
      </c>
    </row>
    <row r="39">
      <c r="A39" t="inlineStr">
        <is>
          <t>top</t>
        </is>
      </c>
      <c r="B39" t="inlineStr">
        <is>
          <t>REV_DEBT 9,837 - 13,051</t>
        </is>
      </c>
      <c r="C39" t="inlineStr">
        <is>
          <t>ASSET_CLASS 1</t>
        </is>
      </c>
      <c r="D39" t="n">
        <v>403</v>
      </c>
      <c r="E39" t="n">
        <v>351</v>
      </c>
      <c r="F39">
        <f>IF(AND('_pockets'!$AI$351="Yes",'_pockets'!$AJ$351="Yes"),1,0)</f>
        <v/>
      </c>
      <c r="G39">
        <f>G38+F39</f>
        <v/>
      </c>
    </row>
    <row r="40">
      <c r="A40" t="inlineStr">
        <is>
          <t>top</t>
        </is>
      </c>
      <c r="B40" t="inlineStr">
        <is>
          <t>REV_DEBT 17,187 - 48,521</t>
        </is>
      </c>
      <c r="C40" t="inlineStr">
        <is>
          <t>Online</t>
        </is>
      </c>
      <c r="D40" t="n">
        <v>568</v>
      </c>
      <c r="E40" t="n">
        <v>296</v>
      </c>
      <c r="F40">
        <f>IF(AND('_pockets'!$AI$296="Yes",'_pockets'!$AJ$296="Yes"),1,0)</f>
        <v/>
      </c>
      <c r="G40">
        <f>G39+F40</f>
        <v/>
      </c>
    </row>
    <row r="41">
      <c r="A41" t="inlineStr">
        <is>
          <t>top</t>
        </is>
      </c>
      <c r="B41" t="inlineStr">
        <is>
          <t>FICO 496 - 653</t>
        </is>
      </c>
      <c r="C41" t="inlineStr">
        <is>
          <t>ASSET_CLASS 3</t>
        </is>
      </c>
      <c r="D41" t="n">
        <v>350</v>
      </c>
      <c r="E41" t="n">
        <v>176</v>
      </c>
      <c r="F41">
        <f>IF(AND('_pockets'!$AI$176="Yes",'_pockets'!$AJ$176="Yes"),1,0)</f>
        <v/>
      </c>
      <c r="G41">
        <f>G40+F41</f>
        <v/>
      </c>
    </row>
    <row r="42">
      <c r="A42" t="inlineStr">
        <is>
          <t>top</t>
        </is>
      </c>
      <c r="B42" t="inlineStr">
        <is>
          <t>FICO 496 - 653</t>
        </is>
      </c>
      <c r="C42" t="inlineStr">
        <is>
          <t>ASSET_CLASS 1</t>
        </is>
      </c>
      <c r="D42" t="n">
        <v>420</v>
      </c>
      <c r="E42" t="n">
        <v>136</v>
      </c>
      <c r="F42">
        <f>IF(AND('_pockets'!$AI$136="Yes",'_pockets'!$AJ$136="Yes"),1,0)</f>
        <v/>
      </c>
      <c r="G42">
        <f>G41+F42</f>
        <v/>
      </c>
    </row>
    <row r="43">
      <c r="A43" t="inlineStr">
        <is>
          <t>top</t>
        </is>
      </c>
      <c r="B43" t="inlineStr">
        <is>
          <t>REV_DEBT 17,187 - 48,521</t>
        </is>
      </c>
      <c r="C43" t="inlineStr">
        <is>
          <t>Branch</t>
        </is>
      </c>
      <c r="D43" t="n">
        <v>525</v>
      </c>
      <c r="E43" t="n">
        <v>281</v>
      </c>
      <c r="F43">
        <f>IF(AND('_pockets'!$AI$281="Yes",'_pockets'!$AJ$281="Yes"),1,0)</f>
        <v/>
      </c>
      <c r="G43">
        <f>G42+F43</f>
        <v/>
      </c>
    </row>
    <row r="44">
      <c r="A44" t="inlineStr">
        <is>
          <t>top</t>
        </is>
      </c>
      <c r="B44" t="inlineStr">
        <is>
          <t>REV_DEBT 17,187 - 48,521</t>
        </is>
      </c>
      <c r="C44" t="inlineStr">
        <is>
          <t>ASSET_CLASS 1</t>
        </is>
      </c>
      <c r="D44" t="n">
        <v>411</v>
      </c>
      <c r="E44" t="n">
        <v>391</v>
      </c>
      <c r="F44">
        <f>IF(AND('_pockets'!$AI$391="Yes",'_pockets'!$AJ$391="Yes"),1,0)</f>
        <v/>
      </c>
      <c r="G44">
        <f>G43+F44</f>
        <v/>
      </c>
    </row>
    <row r="45">
      <c r="A45" t="inlineStr">
        <is>
          <t>top</t>
        </is>
      </c>
      <c r="B45" t="inlineStr">
        <is>
          <t>REV_DEBT 17,187 - 48,521</t>
        </is>
      </c>
      <c r="C45" t="inlineStr">
        <is>
          <t>ASSET_CLASS 2</t>
        </is>
      </c>
      <c r="D45" t="n">
        <v>385</v>
      </c>
      <c r="E45" t="n">
        <v>386</v>
      </c>
      <c r="F45">
        <f>IF(AND('_pockets'!$AI$386="Yes",'_pockets'!$AJ$386="Yes"),1,0)</f>
        <v/>
      </c>
      <c r="G45">
        <f>G44+F45</f>
        <v/>
      </c>
    </row>
    <row r="46">
      <c r="A46" t="inlineStr">
        <is>
          <t>top</t>
        </is>
      </c>
      <c r="B46" t="inlineStr">
        <is>
          <t>FICO 496 - 653</t>
        </is>
      </c>
      <c r="C46" t="inlineStr">
        <is>
          <t>ASSET_CLASS 2</t>
        </is>
      </c>
      <c r="D46" t="n">
        <v>394</v>
      </c>
      <c r="E46" t="n">
        <v>121</v>
      </c>
      <c r="F46">
        <f>IF(AND('_pockets'!$AI$121="Yes",'_pockets'!$AJ$121="Yes"),1,0)</f>
        <v/>
      </c>
      <c r="G46">
        <f>G45+F46</f>
        <v/>
      </c>
    </row>
    <row r="47">
      <c r="A47" t="inlineStr">
        <is>
          <t>top</t>
        </is>
      </c>
      <c r="B47" t="inlineStr">
        <is>
          <t>FICO 496 - 653</t>
        </is>
      </c>
      <c r="C47" t="inlineStr">
        <is>
          <t>Online</t>
        </is>
      </c>
      <c r="D47" t="n">
        <v>531</v>
      </c>
      <c r="E47" t="n">
        <v>81</v>
      </c>
      <c r="F47">
        <f>IF(AND('_pockets'!$AI$81="Yes",'_pockets'!$AJ$81="Yes"),1,0)</f>
        <v/>
      </c>
      <c r="G47">
        <f>G46+F47</f>
        <v/>
      </c>
    </row>
    <row r="48">
      <c r="A48" t="inlineStr">
        <is>
          <t>top</t>
        </is>
      </c>
      <c r="B48" t="inlineStr">
        <is>
          <t>FICO 496 - 653</t>
        </is>
      </c>
      <c r="C48" t="inlineStr">
        <is>
          <t>Branch</t>
        </is>
      </c>
      <c r="D48" t="n">
        <v>502</v>
      </c>
      <c r="E48" t="n">
        <v>21</v>
      </c>
      <c r="F48">
        <f>IF(AND('_pockets'!$AI$21="Yes",'_pockets'!$AJ$21="Yes"),1,0)</f>
        <v/>
      </c>
      <c r="G48">
        <f>G47+F48</f>
        <v/>
      </c>
    </row>
    <row r="49">
      <c r="A49" t="inlineStr">
        <is>
          <t>top</t>
        </is>
      </c>
      <c r="B49" t="inlineStr">
        <is>
          <t>REV_DEBT 13,052 - 17,186</t>
        </is>
      </c>
      <c r="C49" t="inlineStr">
        <is>
          <t>ASSET_CLASS 1</t>
        </is>
      </c>
      <c r="D49" t="n">
        <v>424</v>
      </c>
      <c r="E49" t="n">
        <v>301</v>
      </c>
      <c r="F49">
        <f>IF(AND('_pockets'!$AI$301="Yes",'_pockets'!$AJ$301="Yes"),1,0)</f>
        <v/>
      </c>
      <c r="G49">
        <f>G48+F49</f>
        <v/>
      </c>
    </row>
    <row r="50">
      <c r="A50" t="inlineStr">
        <is>
          <t>top</t>
        </is>
      </c>
      <c r="B50" t="inlineStr">
        <is>
          <t>FICO 654 - 685</t>
        </is>
      </c>
      <c r="C50" t="inlineStr">
        <is>
          <t>Online</t>
        </is>
      </c>
      <c r="D50" t="n">
        <v>505</v>
      </c>
      <c r="E50" t="n">
        <v>71</v>
      </c>
      <c r="F50">
        <f>IF(AND('_pockets'!$AI$71="Yes",'_pockets'!$AJ$71="Yes"),1,0)</f>
        <v/>
      </c>
      <c r="G50">
        <f>G49+F50</f>
        <v/>
      </c>
    </row>
    <row r="51">
      <c r="A51" t="inlineStr">
        <is>
          <t>top</t>
        </is>
      </c>
      <c r="B51" t="inlineStr">
        <is>
          <t>REV_DEBT 13,052 - 17,186</t>
        </is>
      </c>
      <c r="C51" t="inlineStr">
        <is>
          <t>ASSET_CLASS 3</t>
        </is>
      </c>
      <c r="D51" t="n">
        <v>373</v>
      </c>
      <c r="E51" t="n">
        <v>371</v>
      </c>
      <c r="F51">
        <f>IF(AND('_pockets'!$AI$371="Yes",'_pockets'!$AJ$371="Yes"),1,0)</f>
        <v/>
      </c>
      <c r="G51">
        <f>G50+F51</f>
        <v/>
      </c>
    </row>
    <row r="52">
      <c r="A52" t="inlineStr">
        <is>
          <t>top</t>
        </is>
      </c>
      <c r="B52" t="inlineStr">
        <is>
          <t>FICO 654 - 685</t>
        </is>
      </c>
      <c r="C52" t="inlineStr">
        <is>
          <t>Broker</t>
        </is>
      </c>
      <c r="D52" t="n">
        <v>531</v>
      </c>
      <c r="E52" t="n">
        <v>76</v>
      </c>
      <c r="F52">
        <f>IF(AND('_pockets'!$AI$76="Yes",'_pockets'!$AJ$76="Yes"),1,0)</f>
        <v/>
      </c>
      <c r="G52">
        <f>G51+F52</f>
        <v/>
      </c>
    </row>
    <row r="53">
      <c r="A53" t="inlineStr">
        <is>
          <t>top</t>
        </is>
      </c>
      <c r="B53" t="inlineStr">
        <is>
          <t>REV_DEBT 13,052 - 17,186</t>
        </is>
      </c>
      <c r="C53" t="inlineStr">
        <is>
          <t>ASSET_CLASS 2</t>
        </is>
      </c>
      <c r="D53" t="n">
        <v>392</v>
      </c>
      <c r="E53" t="n">
        <v>346</v>
      </c>
      <c r="F53">
        <f>IF(AND('_pockets'!$AI$346="Yes",'_pockets'!$AJ$346="Yes"),1,0)</f>
        <v/>
      </c>
      <c r="G53">
        <f>G52+F53</f>
        <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N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70</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N2" t="inlineStr">
        <is>
          <t>bar label</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A2" t="inlineStr">
        <is>
          <t>bar label</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N2" t="inlineStr">
        <is>
          <t>bar label</t>
        </is>
      </c>
    </row>
    <row r="3">
      <c r="A3" t="inlineStr">
        <is>
          <t>|</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N4">
        <f>IF($G$4="","",IFERROR(IF(ABS($G$4)&gt;=1000000,ROUND($G$4/1000000,MAX(0,1-INT(LOG10($F$27/1000000))))&amp;"M",IF(ABS($G$4)&gt;=1000,ROUND($G$4/1000,MAX(0,1-INT(LOG10($F$27/1000))))&amp;"k",TEXT($G$4,"#,##0"))),TEXT($G$4,"#,##0")))</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A4">
        <f>IF($T$4="","",IFERROR(IF(ABS($T$4)&gt;=1000000,ROUND($T$4/1000000,MAX(0,1-INT(LOG10($S$27/1000000))))&amp;"M",IF(ABS($T$4)&gt;=1000,ROUND($T$4/1000,MAX(0,1-INT(LOG10($S$27/1000))))&amp;"k",TEXT($T$4,"#,##0"))),TEXT($T$4,"#,##0")))</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N4">
        <f>IF($AG$4="","",IFERROR(IF(ABS($AG$4)&gt;=1000000,ROUND($AG$4/1000000,MAX(0,1-INT(LOG10($AF$27/1000000))))&amp;"M",IF(ABS($AG$4)&gt;=1000,ROUND($AG$4/1000,MAX(0,1-INT(LOG10($AF$27/1000))))&amp;"k",TEXT($AG$4,"#,##0"))),TEXT($AG$4,"#,##0")))</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N5">
        <f>IF($G$5="","",IFERROR(IF(ABS($G$5)&gt;=1000000,ROUND($G$5/1000000,MAX(0,1-INT(LOG10($F$27/1000000))))&amp;"M",IF(ABS($G$5)&gt;=1000,ROUND($G$5/1000,MAX(0,1-INT(LOG10($F$27/1000))))&amp;"k",TEXT($G$5,"#,##0"))),TEXT($G$5,"#,##0")))</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A5">
        <f>IF($T$5="","",IFERROR(IF(ABS($T$5)&gt;=1000000,ROUND($T$5/1000000,MAX(0,1-INT(LOG10($S$27/1000000))))&amp;"M",IF(ABS($T$5)&gt;=1000,ROUND($T$5/1000,MAX(0,1-INT(LOG10($S$27/1000))))&amp;"k",TEXT($T$5,"#,##0"))),TEXT($T$5,"#,##0")))</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N5">
        <f>IF($AG$5="","",IFERROR(IF(ABS($AG$5)&gt;=1000000,ROUND($AG$5/1000000,MAX(0,1-INT(LOG10($AF$27/1000000))))&amp;"M",IF(ABS($AG$5)&gt;=1000,ROUND($AG$5/1000,MAX(0,1-INT(LOG10($AF$27/1000))))&amp;"k",TEXT($AG$5,"#,##0"))),TEXT($AG$5,"#,##0")))</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N6">
        <f>IF($G$6="","",IFERROR(IF(ABS($G$6)&gt;=1000000,ROUND($G$6/1000000,MAX(0,1-INT(LOG10($F$27/1000000))))&amp;"M",IF(ABS($G$6)&gt;=1000,ROUND($G$6/1000,MAX(0,1-INT(LOG10($F$27/1000))))&amp;"k",TEXT($G$6,"#,##0"))),TEXT($G$6,"#,##0")))</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A6">
        <f>IF($T$6="","",IFERROR(IF(ABS($T$6)&gt;=1000000,ROUND($T$6/1000000,MAX(0,1-INT(LOG10($S$27/1000000))))&amp;"M",IF(ABS($T$6)&gt;=1000,ROUND($T$6/1000,MAX(0,1-INT(LOG10($S$27/1000))))&amp;"k",TEXT($T$6,"#,##0"))),TEXT($T$6,"#,##0")))</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N6">
        <f>IF($AG$6="","",IFERROR(IF(ABS($AG$6)&gt;=1000000,ROUND($AG$6/1000000,MAX(0,1-INT(LOG10($AF$27/1000000))))&amp;"M",IF(ABS($AG$6)&gt;=1000,ROUND($AG$6/1000,MAX(0,1-INT(LOG10($AF$27/1000))))&amp;"k",TEXT($AG$6,"#,##0"))),TEXT($AG$6,"#,##0")))</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N7">
        <f>IF($G$7="","",IFERROR(IF(ABS($G$7)&gt;=1000000,ROUND($G$7/1000000,MAX(0,1-INT(LOG10($F$27/1000000))))&amp;"M",IF(ABS($G$7)&gt;=1000,ROUND($G$7/1000,MAX(0,1-INT(LOG10($F$27/1000))))&amp;"k",TEXT($G$7,"#,##0"))),TEXT($G$7,"#,##0")))</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A7">
        <f>IF($T$7="","",IFERROR(IF(ABS($T$7)&gt;=1000000,ROUND($T$7/1000000,MAX(0,1-INT(LOG10($S$27/1000000))))&amp;"M",IF(ABS($T$7)&gt;=1000,ROUND($T$7/1000,MAX(0,1-INT(LOG10($S$27/1000))))&amp;"k",TEXT($T$7,"#,##0"))),TEXT($T$7,"#,##0")))</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N7">
        <f>IF($AG$7="","",IFERROR(IF(ABS($AG$7)&gt;=1000000,ROUND($AG$7/1000000,MAX(0,1-INT(LOG10($AF$27/1000000))))&amp;"M",IF(ABS($AG$7)&gt;=1000,ROUND($AG$7/1000,MAX(0,1-INT(LOG10($AF$27/1000))))&amp;"k",TEXT($AG$7,"#,##0"))),TEXT($AG$7,"#,##0")))</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N8">
        <f>IF($G$8="","",IFERROR(IF(ABS($G$8)&gt;=1000000,ROUND($G$8/1000000,MAX(0,1-INT(LOG10($F$27/1000000))))&amp;"M",IF(ABS($G$8)&gt;=1000,ROUND($G$8/1000,MAX(0,1-INT(LOG10($F$27/1000))))&amp;"k",TEXT($G$8,"#,##0"))),TEXT($G$8,"#,##0")))</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A8">
        <f>IF($T$8="","",IFERROR(IF(ABS($T$8)&gt;=1000000,ROUND($T$8/1000000,MAX(0,1-INT(LOG10($S$27/1000000))))&amp;"M",IF(ABS($T$8)&gt;=1000,ROUND($T$8/1000,MAX(0,1-INT(LOG10($S$27/1000))))&amp;"k",TEXT($T$8,"#,##0"))),TEXT($T$8,"#,##0")))</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N8">
        <f>IF($AG$8="","",IFERROR(IF(ABS($AG$8)&gt;=1000000,ROUND($AG$8/1000000,MAX(0,1-INT(LOG10($AF$27/1000000))))&amp;"M",IF(ABS($AG$8)&gt;=1000,ROUND($AG$8/1000,MAX(0,1-INT(LOG10($AF$27/1000))))&amp;"k",TEXT($AG$8,"#,##0"))),TEXT($AG$8,"#,##0")))</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N9">
        <f>IF($G$9="","",IFERROR(IF(ABS($G$9)&gt;=1000000,ROUND($G$9/1000000,MAX(0,1-INT(LOG10($F$27/1000000))))&amp;"M",IF(ABS($G$9)&gt;=1000,ROUND($G$9/1000,MAX(0,1-INT(LOG10($F$27/1000))))&amp;"k",TEXT($G$9,"#,##0"))),TEXT($G$9,"#,##0")))</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A9">
        <f>IF($T$9="","",IFERROR(IF(ABS($T$9)&gt;=1000000,ROUND($T$9/1000000,MAX(0,1-INT(LOG10($S$27/1000000))))&amp;"M",IF(ABS($T$9)&gt;=1000,ROUND($T$9/1000,MAX(0,1-INT(LOG10($S$27/1000))))&amp;"k",TEXT($T$9,"#,##0"))),TEXT($T$9,"#,##0")))</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N9">
        <f>IF($AG$9="","",IFERROR(IF(ABS($AG$9)&gt;=1000000,ROUND($AG$9/1000000,MAX(0,1-INT(LOG10($AF$27/1000000))))&amp;"M",IF(ABS($AG$9)&gt;=1000,ROUND($AG$9/1000,MAX(0,1-INT(LOG10($AF$27/1000))))&amp;"k",TEXT($AG$9,"#,##0"))),TEXT($AG$9,"#,##0")))</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N10">
        <f>IF($G$10="","",IFERROR(IF(ABS($G$10)&gt;=1000000,ROUND($G$10/1000000,MAX(0,1-INT(LOG10($F$27/1000000))))&amp;"M",IF(ABS($G$10)&gt;=1000,ROUND($G$10/1000,MAX(0,1-INT(LOG10($F$27/1000))))&amp;"k",TEXT($G$10,"#,##0"))),TEXT($G$10,"#,##0")))</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A10">
        <f>IF($T$10="","",IFERROR(IF(ABS($T$10)&gt;=1000000,ROUND($T$10/1000000,MAX(0,1-INT(LOG10($S$27/1000000))))&amp;"M",IF(ABS($T$10)&gt;=1000,ROUND($T$10/1000,MAX(0,1-INT(LOG10($S$27/1000))))&amp;"k",TEXT($T$10,"#,##0"))),TEXT($T$10,"#,##0")))</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N10">
        <f>IF($AG$10="","",IFERROR(IF(ABS($AG$10)&gt;=1000000,ROUND($AG$10/1000000,MAX(0,1-INT(LOG10($AF$27/1000000))))&amp;"M",IF(ABS($AG$10)&gt;=1000,ROUND($AG$10/1000,MAX(0,1-INT(LOG10($AF$27/1000))))&amp;"k",TEXT($AG$10,"#,##0"))),TEXT($AG$10,"#,##0")))</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N11">
        <f>IF($G$11="","",IFERROR(IF(ABS($G$11)&gt;=1000000,ROUND($G$11/1000000,MAX(0,1-INT(LOG10($F$27/1000000))))&amp;"M",IF(ABS($G$11)&gt;=1000,ROUND($G$11/1000,MAX(0,1-INT(LOG10($F$27/1000))))&amp;"k",TEXT($G$11,"#,##0"))),TEXT($G$11,"#,##0")))</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A11">
        <f>IF($T$11="","",IFERROR(IF(ABS($T$11)&gt;=1000000,ROUND($T$11/1000000,MAX(0,1-INT(LOG10($S$27/1000000))))&amp;"M",IF(ABS($T$11)&gt;=1000,ROUND($T$11/1000,MAX(0,1-INT(LOG10($S$27/1000))))&amp;"k",TEXT($T$11,"#,##0"))),TEXT($T$11,"#,##0")))</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N11">
        <f>IF($AG$11="","",IFERROR(IF(ABS($AG$11)&gt;=1000000,ROUND($AG$11/1000000,MAX(0,1-INT(LOG10($AF$27/1000000))))&amp;"M",IF(ABS($AG$11)&gt;=1000,ROUND($AG$11/1000,MAX(0,1-INT(LOG10($AF$27/1000))))&amp;"k",TEXT($AG$11,"#,##0"))),TEXT($AG$11,"#,##0")))</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N12">
        <f>IF($G$12="","",IFERROR(IF(ABS($G$12)&gt;=1000000,ROUND($G$12/1000000,MAX(0,1-INT(LOG10($F$27/1000000))))&amp;"M",IF(ABS($G$12)&gt;=1000,ROUND($G$12/1000,MAX(0,1-INT(LOG10($F$27/1000))))&amp;"k",TEXT($G$12,"#,##0"))),TEXT($G$12,"#,##0")))</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A12">
        <f>IF($T$12="","",IFERROR(IF(ABS($T$12)&gt;=1000000,ROUND($T$12/1000000,MAX(0,1-INT(LOG10($S$27/1000000))))&amp;"M",IF(ABS($T$12)&gt;=1000,ROUND($T$12/1000,MAX(0,1-INT(LOG10($S$27/1000))))&amp;"k",TEXT($T$12,"#,##0"))),TEXT($T$12,"#,##0")))</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N12">
        <f>IF($AG$12="","",IFERROR(IF(ABS($AG$12)&gt;=1000000,ROUND($AG$12/1000000,MAX(0,1-INT(LOG10($AF$27/1000000))))&amp;"M",IF(ABS($AG$12)&gt;=1000,ROUND($AG$12/1000,MAX(0,1-INT(LOG10($AF$27/1000))))&amp;"k",TEXT($AG$12,"#,##0"))),TEXT($AG$12,"#,##0")))</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N13">
        <f>IF($G$13="","",IFERROR(IF(ABS($G$13)&gt;=1000000,ROUND($G$13/1000000,MAX(0,1-INT(LOG10($F$27/1000000))))&amp;"M",IF(ABS($G$13)&gt;=1000,ROUND($G$13/1000,MAX(0,1-INT(LOG10($F$27/1000))))&amp;"k",TEXT($G$13,"#,##0"))),TEXT($G$13,"#,##0")))</f>
        <v/>
      </c>
      <c r="O13" t="n">
        <v>2700</v>
      </c>
      <c r="P13" t="n">
        <v>2850</v>
      </c>
      <c r="Q13" t="n">
        <v>0</v>
      </c>
      <c r="R13" t="inlineStr">
        <is>
          <t>bars</t>
        </is>
      </c>
      <c r="S13">
        <f>Look!$C$40</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A13">
        <f>IF($T$13="","",IFERROR(IF(ABS($T$13)&gt;=1000000,ROUND($T$13/1000000,MAX(0,1-INT(LOG10($S$27/1000000))))&amp;"M",IF(ABS($T$13)&gt;=1000,ROUND($T$13/1000,MAX(0,1-INT(LOG10($S$27/1000))))&amp;"k",TEXT($T$13,"#,##0"))),TEXT($T$13,"#,##0")))</f>
        <v/>
      </c>
      <c r="AB13" t="n">
        <v>1350</v>
      </c>
      <c r="AC13" t="n">
        <v>1425</v>
      </c>
      <c r="AD13" t="n">
        <v>24</v>
      </c>
      <c r="AE13" t="inlineStr">
        <is>
          <t>bars</t>
        </is>
      </c>
      <c r="AF13">
        <f>Look!$C$60</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N13">
        <f>IF($AG$13="","",IFERROR(IF(ABS($AG$13)&gt;=1000000,ROUND($AG$13/1000000,MAX(0,1-INT(LOG10($AF$27/1000000))))&amp;"M",IF(ABS($AG$13)&gt;=1000,ROUND($AG$13/1000,MAX(0,1-INT(LOG10($AF$27/1000))))&amp;"k",TEXT($AG$13,"#,##0"))),TEXT($AG$13,"#,##0")))</f>
        <v/>
      </c>
    </row>
    <row r="14">
      <c r="B14" t="n">
        <v>565</v>
      </c>
      <c r="C14" t="n">
        <v>565.75</v>
      </c>
      <c r="D14" t="n">
        <v>4</v>
      </c>
      <c r="E14" t="inlineStr">
        <is>
          <t>from</t>
        </is>
      </c>
      <c r="F14">
        <f>Look!$C$21</f>
        <v/>
      </c>
      <c r="G14">
        <f>IF(11&lt;=$F$13,$F$14+(11-1)*$F$16,"")</f>
        <v/>
      </c>
      <c r="H14">
        <f>IF(11&gt;$F$13,"",SUMIFS($D$4:$D$203,$C$4:$C$203,"&gt;="&amp;$G$14,$C$4:$C$203,IF(11=$F$13,"&lt;=","&lt;")&amp;($G$14+$F$16)))</f>
        <v/>
      </c>
      <c r="I14">
        <f>IF(AND(MOD(0,$F$17)=0,MOD((INT(0/$F$17)+1)-1,$F$13/5)=0),INDEX($N$4:$N$53,(INT(0/$F$17)+1)),"")</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N14">
        <f>IF($G$14="","",IFERROR(IF(ABS($G$14)&gt;=1000000,ROUND($G$14/1000000,MAX(0,1-INT(LOG10($F$27/1000000))))&amp;"M",IF(ABS($G$14)&gt;=1000,ROUND($G$14/1000,MAX(0,1-INT(LOG10($F$27/1000))))&amp;"k",TEXT($G$14,"#,##0"))),TEXT($G$14,"#,##0")))</f>
        <v/>
      </c>
      <c r="O14" t="n">
        <v>3000</v>
      </c>
      <c r="P14" t="n">
        <v>3150</v>
      </c>
      <c r="Q14" t="n">
        <v>0</v>
      </c>
      <c r="R14" t="inlineStr">
        <is>
          <t>from</t>
        </is>
      </c>
      <c r="S14">
        <f>Look!$C$41</f>
        <v/>
      </c>
      <c r="T14">
        <f>IF(11&lt;=$S$13,$S$14+(11-1)*$S$16,"")</f>
        <v/>
      </c>
      <c r="U14">
        <f>IF(11&gt;$S$13,"",SUMIFS($Q$4:$Q$203,$P$4:$P$203,"&gt;="&amp;$T$14,$P$4:$P$203,IF(11=$S$13,"&lt;=","&lt;")&amp;($T$14+$S$16)))</f>
        <v/>
      </c>
      <c r="V14">
        <f>IF(AND(MOD(0,$S$17)=0,MOD((INT(0/$S$17)+1)-1,$S$13/5)=0),INDEX($AA$4:$AA$53,(INT(0/$S$17)+1)),"")</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A14">
        <f>IF($T$14="","",IFERROR(IF(ABS($T$14)&gt;=1000000,ROUND($T$14/1000000,MAX(0,1-INT(LOG10($S$27/1000000))))&amp;"M",IF(ABS($T$14)&gt;=1000,ROUND($T$14/1000,MAX(0,1-INT(LOG10($S$27/1000))))&amp;"k",TEXT($T$14,"#,##0"))),TEXT($T$14,"#,##0")))</f>
        <v/>
      </c>
      <c r="AB14" t="n">
        <v>1500</v>
      </c>
      <c r="AC14" t="n">
        <v>1575</v>
      </c>
      <c r="AD14" t="n">
        <v>23</v>
      </c>
      <c r="AE14" t="inlineStr">
        <is>
          <t>from</t>
        </is>
      </c>
      <c r="AF14">
        <f>Look!$C$61</f>
        <v/>
      </c>
      <c r="AG14">
        <f>IF(11&lt;=$AF$13,$AF$14+(11-1)*$AF$16,"")</f>
        <v/>
      </c>
      <c r="AH14">
        <f>IF(11&gt;$AF$13,"",SUMIFS($AD$4:$AD$203,$AC$4:$AC$203,"&gt;="&amp;$AG$14,$AC$4:$AC$203,IF(11=$AF$13,"&lt;=","&lt;")&amp;($AG$14+$AF$16)))</f>
        <v/>
      </c>
      <c r="AI14">
        <f>IF(AND(MOD(0,$AF$17)=0,MOD((INT(0/$AF$17)+1)-1,$AF$13/5)=0),INDEX($AN$4:$AN$53,(INT(0/$AF$17)+1)),"")</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N14">
        <f>IF($AG$14="","",IFERROR(IF(ABS($AG$14)&gt;=1000000,ROUND($AG$14/1000000,MAX(0,1-INT(LOG10($AF$27/1000000))))&amp;"M",IF(ABS($AG$14)&gt;=1000,ROUND($AG$14/1000,MAX(0,1-INT(LOG10($AF$27/1000))))&amp;"k",TEXT($AG$14,"#,##0"))),TEXT($AG$14,"#,##0")))</f>
        <v/>
      </c>
    </row>
    <row r="15">
      <c r="B15" t="n">
        <v>566.5</v>
      </c>
      <c r="C15" t="n">
        <v>567.25</v>
      </c>
      <c r="D15" t="n">
        <v>3</v>
      </c>
      <c r="E15" t="inlineStr">
        <is>
          <t>to</t>
        </is>
      </c>
      <c r="F15">
        <f>Look!$C$22</f>
        <v/>
      </c>
      <c r="G15">
        <f>IF(12&lt;=$F$13,$F$14+(12-1)*$F$16,"")</f>
        <v/>
      </c>
      <c r="H15">
        <f>IF(12&gt;$F$13,"",SUMIFS($D$4:$D$203,$C$4:$C$203,"&gt;="&amp;$G$15,$C$4:$C$203,IF(12=$F$13,"&lt;=","&lt;")&amp;($G$15+$F$16)))</f>
        <v/>
      </c>
      <c r="I15">
        <f>IF(AND(MOD(1,$F$17)=0,MOD((INT(1/$F$17)+1)-1,$F$13/5)=0),INDEX($N$4:$N$53,(INT(1/$F$17)+1)),"")</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N15">
        <f>IF($G$15="","",IFERROR(IF(ABS($G$15)&gt;=1000000,ROUND($G$15/1000000,MAX(0,1-INT(LOG10($F$27/1000000))))&amp;"M",IF(ABS($G$15)&gt;=1000,ROUND($G$15/1000,MAX(0,1-INT(LOG10($F$27/1000))))&amp;"k",TEXT($G$15,"#,##0"))),TEXT($G$15,"#,##0")))</f>
        <v/>
      </c>
      <c r="O15" t="n">
        <v>3300</v>
      </c>
      <c r="P15" t="n">
        <v>3450</v>
      </c>
      <c r="Q15" t="n">
        <v>0</v>
      </c>
      <c r="R15" t="inlineStr">
        <is>
          <t>to</t>
        </is>
      </c>
      <c r="S15">
        <f>Look!$C$42</f>
        <v/>
      </c>
      <c r="T15">
        <f>IF(12&lt;=$S$13,$S$14+(12-1)*$S$16,"")</f>
        <v/>
      </c>
      <c r="U15">
        <f>IF(12&gt;$S$13,"",SUMIFS($Q$4:$Q$203,$P$4:$P$203,"&gt;="&amp;$T$15,$P$4:$P$203,IF(12=$S$13,"&lt;=","&lt;")&amp;($T$15+$S$16)))</f>
        <v/>
      </c>
      <c r="V15">
        <f>IF(AND(MOD(1,$S$17)=0,MOD((INT(1/$S$17)+1)-1,$S$13/5)=0),INDEX($AA$4:$AA$53,(INT(1/$S$17)+1)),"")</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A15">
        <f>IF($T$15="","",IFERROR(IF(ABS($T$15)&gt;=1000000,ROUND($T$15/1000000,MAX(0,1-INT(LOG10($S$27/1000000))))&amp;"M",IF(ABS($T$15)&gt;=1000,ROUND($T$15/1000,MAX(0,1-INT(LOG10($S$27/1000))))&amp;"k",TEXT($T$15,"#,##0"))),TEXT($T$15,"#,##0")))</f>
        <v/>
      </c>
      <c r="AB15" t="n">
        <v>1650</v>
      </c>
      <c r="AC15" t="n">
        <v>1725</v>
      </c>
      <c r="AD15" t="n">
        <v>15</v>
      </c>
      <c r="AE15" t="inlineStr">
        <is>
          <t>to</t>
        </is>
      </c>
      <c r="AF15">
        <f>Look!$C$62</f>
        <v/>
      </c>
      <c r="AG15">
        <f>IF(12&lt;=$AF$13,$AF$14+(12-1)*$AF$16,"")</f>
        <v/>
      </c>
      <c r="AH15">
        <f>IF(12&gt;$AF$13,"",SUMIFS($AD$4:$AD$203,$AC$4:$AC$203,"&gt;="&amp;$AG$15,$AC$4:$AC$203,IF(12=$AF$13,"&lt;=","&lt;")&amp;($AG$15+$AF$16)))</f>
        <v/>
      </c>
      <c r="AI15">
        <f>IF(AND(MOD(1,$AF$17)=0,MOD((INT(1/$AF$17)+1)-1,$AF$13/5)=0),INDEX($AN$4:$AN$53,(INT(1/$AF$17)+1)),"")</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N15">
        <f>IF($AG$15="","",IFERROR(IF(ABS($AG$15)&gt;=1000000,ROUND($AG$15/1000000,MAX(0,1-INT(LOG10($AF$27/1000000))))&amp;"M",IF(ABS($AG$15)&gt;=1000,ROUND($AG$15/1000,MAX(0,1-INT(LOG10($AF$27/1000))))&amp;"k",TEXT($AG$15,"#,##0"))),TEXT($AG$15,"#,##0")))</f>
        <v/>
      </c>
    </row>
    <row r="16">
      <c r="B16" t="n">
        <v>568</v>
      </c>
      <c r="C16" t="n">
        <v>568.75</v>
      </c>
      <c r="D16" t="n">
        <v>4</v>
      </c>
      <c r="E16" t="inlineStr">
        <is>
          <t>bar width</t>
        </is>
      </c>
      <c r="F16">
        <f>($F$15-$F$14)/$F$13</f>
        <v/>
      </c>
      <c r="G16">
        <f>IF(13&lt;=$F$13,$F$14+(13-1)*$F$16,"")</f>
        <v/>
      </c>
      <c r="H16">
        <f>IF(13&gt;$F$13,"",SUMIFS($D$4:$D$203,$C$4:$C$203,"&gt;="&amp;$G$16,$C$4:$C$203,IF(13=$F$13,"&lt;=","&lt;")&amp;($G$16+$F$16)))</f>
        <v/>
      </c>
      <c r="I16">
        <f>IF(AND(MOD(2,$F$17)=0,MOD((INT(2/$F$17)+1)-1,$F$13/5)=0),INDEX($N$4:$N$53,(INT(2/$F$17)+1)),"")</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N16">
        <f>IF($G$16="","",IFERROR(IF(ABS($G$16)&gt;=1000000,ROUND($G$16/1000000,MAX(0,1-INT(LOG10($F$27/1000000))))&amp;"M",IF(ABS($G$16)&gt;=1000,ROUND($G$16/1000,MAX(0,1-INT(LOG10($F$27/1000))))&amp;"k",TEXT($G$16,"#,##0"))),TEXT($G$16,"#,##0")))</f>
        <v/>
      </c>
      <c r="O16" t="n">
        <v>3600</v>
      </c>
      <c r="P16" t="n">
        <v>3750</v>
      </c>
      <c r="Q16" t="n">
        <v>0</v>
      </c>
      <c r="R16" t="inlineStr">
        <is>
          <t>bar width</t>
        </is>
      </c>
      <c r="S16">
        <f>($S$15-$S$14)/$S$13</f>
        <v/>
      </c>
      <c r="T16">
        <f>IF(13&lt;=$S$13,$S$14+(13-1)*$S$16,"")</f>
        <v/>
      </c>
      <c r="U16">
        <f>IF(13&gt;$S$13,"",SUMIFS($Q$4:$Q$203,$P$4:$P$203,"&gt;="&amp;$T$16,$P$4:$P$203,IF(13=$S$13,"&lt;=","&lt;")&amp;($T$16+$S$16)))</f>
        <v/>
      </c>
      <c r="V16">
        <f>IF(AND(MOD(2,$S$17)=0,MOD((INT(2/$S$17)+1)-1,$S$13/5)=0),INDEX($AA$4:$AA$53,(INT(2/$S$17)+1)),"")</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A16">
        <f>IF($T$16="","",IFERROR(IF(ABS($T$16)&gt;=1000000,ROUND($T$16/1000000,MAX(0,1-INT(LOG10($S$27/1000000))))&amp;"M",IF(ABS($T$16)&gt;=1000,ROUND($T$16/1000,MAX(0,1-INT(LOG10($S$27/1000))))&amp;"k",TEXT($T$16,"#,##0"))),TEXT($T$16,"#,##0")))</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IF(AND(MOD(2,$AF$17)=0,MOD((INT(2/$AF$17)+1)-1,$AF$13/5)=0),INDEX($AN$4:$AN$53,(INT(2/$AF$17)+1)),"")</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N16">
        <f>IF($AG$16="","",IFERROR(IF(ABS($AG$16)&gt;=1000000,ROUND($AG$16/1000000,MAX(0,1-INT(LOG10($AF$27/1000000))))&amp;"M",IF(ABS($AG$16)&gt;=1000,ROUND($AG$16/1000,MAX(0,1-INT(LOG10($AF$27/1000))))&amp;"k",TEXT($AG$16,"#,##0"))),TEXT($AG$16,"#,##0")))</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IF(AND(MOD(3,$F$17)=0,MOD((INT(3/$F$17)+1)-1,$F$13/5)=0),INDEX($N$4:$N$53,(INT(3/$F$17)+1)),"")</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N17">
        <f>IF($G$17="","",IFERROR(IF(ABS($G$17)&gt;=1000000,ROUND($G$17/1000000,MAX(0,1-INT(LOG10($F$27/1000000))))&amp;"M",IF(ABS($G$17)&gt;=1000,ROUND($G$17/1000,MAX(0,1-INT(LOG10($F$27/1000))))&amp;"k",TEXT($G$17,"#,##0"))),TEXT($G$17,"#,##0")))</f>
        <v/>
      </c>
      <c r="O17" t="n">
        <v>3900</v>
      </c>
      <c r="P17" t="n">
        <v>4050</v>
      </c>
      <c r="Q17" t="n">
        <v>0</v>
      </c>
      <c r="R17" t="inlineStr">
        <is>
          <t>chart slots per bar</t>
        </is>
      </c>
      <c r="S17">
        <f>100/$S$13</f>
        <v/>
      </c>
      <c r="T17">
        <f>IF(14&lt;=$S$13,$S$14+(14-1)*$S$16,"")</f>
        <v/>
      </c>
      <c r="U17">
        <f>IF(14&gt;$S$13,"",SUMIFS($Q$4:$Q$203,$P$4:$P$203,"&gt;="&amp;$T$17,$P$4:$P$203,IF(14=$S$13,"&lt;=","&lt;")&amp;($T$17+$S$16)))</f>
        <v/>
      </c>
      <c r="V17">
        <f>IF(AND(MOD(3,$S$17)=0,MOD((INT(3/$S$17)+1)-1,$S$13/5)=0),INDEX($AA$4:$AA$53,(INT(3/$S$17)+1)),"")</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A17">
        <f>IF($T$17="","",IFERROR(IF(ABS($T$17)&gt;=1000000,ROUND($T$17/1000000,MAX(0,1-INT(LOG10($S$27/1000000))))&amp;"M",IF(ABS($T$17)&gt;=1000,ROUND($T$17/1000,MAX(0,1-INT(LOG10($S$27/1000))))&amp;"k",TEXT($T$17,"#,##0"))),TEXT($T$17,"#,##0")))</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IF(AND(MOD(3,$AF$17)=0,MOD((INT(3/$AF$17)+1)-1,$AF$13/5)=0),INDEX($AN$4:$AN$53,(INT(3/$AF$17)+1)),"")</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N17">
        <f>IF($AG$17="","",IFERROR(IF(ABS($AG$17)&gt;=1000000,ROUND($AG$17/1000000,MAX(0,1-INT(LOG10($AF$27/1000000))))&amp;"M",IF(ABS($AG$17)&gt;=1000,ROUND($AG$17/1000,MAX(0,1-INT(LOG10($AF$27/1000))))&amp;"k",TEXT($AG$17,"#,##0"))),TEXT($AG$17,"#,##0")))</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IF(AND(MOD(4,$F$17)=0,MOD((INT(4/$F$17)+1)-1,$F$13/5)=0),INDEX($N$4:$N$53,(INT(4/$F$17)+1)),"")</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N18">
        <f>IF($G$18="","",IFERROR(IF(ABS($G$18)&gt;=1000000,ROUND($G$18/1000000,MAX(0,1-INT(LOG10($F$27/1000000))))&amp;"M",IF(ABS($G$18)&gt;=1000,ROUND($G$18/1000,MAX(0,1-INT(LOG10($F$27/1000))))&amp;"k",TEXT($G$18,"#,##0"))),TEXT($G$18,"#,##0")))</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IF(AND(MOD(4,$S$17)=0,MOD((INT(4/$S$17)+1)-1,$S$13/5)=0),INDEX($AA$4:$AA$53,(INT(4/$S$17)+1)),"")</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A18">
        <f>IF($T$18="","",IFERROR(IF(ABS($T$18)&gt;=1000000,ROUND($T$18/1000000,MAX(0,1-INT(LOG10($S$27/1000000))))&amp;"M",IF(ABS($T$18)&gt;=1000,ROUND($T$18/1000,MAX(0,1-INT(LOG10($S$27/1000))))&amp;"k",TEXT($T$18,"#,##0"))),TEXT($T$18,"#,##0")))</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IF(AND(MOD(4,$AF$17)=0,MOD((INT(4/$AF$17)+1)-1,$AF$13/5)=0),INDEX($AN$4:$AN$53,(INT(4/$AF$17)+1)),"")</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N18">
        <f>IF($AG$18="","",IFERROR(IF(ABS($AG$18)&gt;=1000000,ROUND($AG$18/1000000,MAX(0,1-INT(LOG10($AF$27/1000000))))&amp;"M",IF(ABS($AG$18)&gt;=1000,ROUND($AG$18/1000,MAX(0,1-INT(LOG10($AF$27/1000))))&amp;"k",TEXT($AG$18,"#,##0"))),TEXT($AG$18,"#,##0")))</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IF(AND(MOD(5,$F$17)=0,MOD((INT(5/$F$17)+1)-1,$F$13/5)=0),INDEX($N$4:$N$53,(INT(5/$F$17)+1)),"")</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N19">
        <f>IF($G$19="","",IFERROR(IF(ABS($G$19)&gt;=1000000,ROUND($G$19/1000000,MAX(0,1-INT(LOG10($F$27/1000000))))&amp;"M",IF(ABS($G$19)&gt;=1000,ROUND($G$19/1000,MAX(0,1-INT(LOG10($F$27/1000))))&amp;"k",TEXT($G$19,"#,##0"))),TEXT($G$19,"#,##0")))</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IF(AND(MOD(5,$S$17)=0,MOD((INT(5/$S$17)+1)-1,$S$13/5)=0),INDEX($AA$4:$AA$53,(INT(5/$S$17)+1)),"")</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A19">
        <f>IF($T$19="","",IFERROR(IF(ABS($T$19)&gt;=1000000,ROUND($T$19/1000000,MAX(0,1-INT(LOG10($S$27/1000000))))&amp;"M",IF(ABS($T$19)&gt;=1000,ROUND($T$19/1000,MAX(0,1-INT(LOG10($S$27/1000))))&amp;"k",TEXT($T$19,"#,##0"))),TEXT($T$19,"#,##0")))</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IF(AND(MOD(5,$AF$17)=0,MOD((INT(5/$AF$17)+1)-1,$AF$13/5)=0),INDEX($AN$4:$AN$53,(INT(5/$AF$17)+1)),"")</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N19">
        <f>IF($AG$19="","",IFERROR(IF(ABS($AG$19)&gt;=1000000,ROUND($AG$19/1000000,MAX(0,1-INT(LOG10($AF$27/1000000))))&amp;"M",IF(ABS($AG$19)&gt;=1000,ROUND($AG$19/1000,MAX(0,1-INT(LOG10($AF$27/1000))))&amp;"k",TEXT($AG$19,"#,##0"))),TEXT($AG$19,"#,##0")))</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IF(AND(MOD(6,$F$17)=0,MOD((INT(6/$F$17)+1)-1,$F$13/5)=0),INDEX($N$4:$N$53,(INT(6/$F$17)+1)),"")</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N20">
        <f>IF($G$20="","",IFERROR(IF(ABS($G$20)&gt;=1000000,ROUND($G$20/1000000,MAX(0,1-INT(LOG10($F$27/1000000))))&amp;"M",IF(ABS($G$20)&gt;=1000,ROUND($G$20/1000,MAX(0,1-INT(LOG10($F$27/1000))))&amp;"k",TEXT($G$20,"#,##0"))),TEXT($G$20,"#,##0")))</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IF(AND(MOD(6,$S$17)=0,MOD((INT(6/$S$17)+1)-1,$S$13/5)=0),INDEX($AA$4:$AA$53,(INT(6/$S$17)+1)),"")</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A20">
        <f>IF($T$20="","",IFERROR(IF(ABS($T$20)&gt;=1000000,ROUND($T$20/1000000,MAX(0,1-INT(LOG10($S$27/1000000))))&amp;"M",IF(ABS($T$20)&gt;=1000,ROUND($T$20/1000,MAX(0,1-INT(LOG10($S$27/1000))))&amp;"k",TEXT($T$20,"#,##0"))),TEXT($T$20,"#,##0")))</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IF(AND(MOD(6,$AF$17)=0,MOD((INT(6/$AF$17)+1)-1,$AF$13/5)=0),INDEX($AN$4:$AN$53,(INT(6/$AF$17)+1)),"")</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N20">
        <f>IF($AG$20="","",IFERROR(IF(ABS($AG$20)&gt;=1000000,ROUND($AG$20/1000000,MAX(0,1-INT(LOG10($AF$27/1000000))))&amp;"M",IF(ABS($AG$20)&gt;=1000,ROUND($AG$20/1000,MAX(0,1-INT(LOG10($AF$27/1000))))&amp;"k",TEXT($AG$20,"#,##0"))),TEXT($AG$20,"#,##0")))</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IF(AND(MOD(7,$F$17)=0,MOD((INT(7/$F$17)+1)-1,$F$13/5)=0),INDEX($N$4:$N$53,(INT(7/$F$17)+1)),"")</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N21">
        <f>IF($G$21="","",IFERROR(IF(ABS($G$21)&gt;=1000000,ROUND($G$21/1000000,MAX(0,1-INT(LOG10($F$27/1000000))))&amp;"M",IF(ABS($G$21)&gt;=1000,ROUND($G$21/1000,MAX(0,1-INT(LOG10($F$27/1000))))&amp;"k",TEXT($G$21,"#,##0"))),TEXT($G$21,"#,##0")))</f>
        <v/>
      </c>
      <c r="O21" t="n">
        <v>5100</v>
      </c>
      <c r="P21" t="n">
        <v>5250</v>
      </c>
      <c r="Q21" t="n">
        <v>48</v>
      </c>
      <c r="R21" t="inlineStr">
        <is>
          <t>format</t>
        </is>
      </c>
      <c r="S21" t="inlineStr">
        <is>
          <t>#,##0</t>
        </is>
      </c>
      <c r="T21">
        <f>IF(18&lt;=$S$13,$S$14+(18-1)*$S$16,"")</f>
        <v/>
      </c>
      <c r="U21">
        <f>IF(18&gt;$S$13,"",SUMIFS($Q$4:$Q$203,$P$4:$P$203,"&gt;="&amp;$T$21,$P$4:$P$203,IF(18=$S$13,"&lt;=","&lt;")&amp;($T$21+$S$16)))</f>
        <v/>
      </c>
      <c r="V21">
        <f>IF(AND(MOD(7,$S$17)=0,MOD((INT(7/$S$17)+1)-1,$S$13/5)=0),INDEX($AA$4:$AA$53,(INT(7/$S$17)+1)),"")</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A21">
        <f>IF($T$21="","",IFERROR(IF(ABS($T$21)&gt;=1000000,ROUND($T$21/1000000,MAX(0,1-INT(LOG10($S$27/1000000))))&amp;"M",IF(ABS($T$21)&gt;=1000,ROUND($T$21/1000,MAX(0,1-INT(LOG10($S$27/1000))))&amp;"k",TEXT($T$21,"#,##0"))),TEXT($T$21,"#,##0")))</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IF(AND(MOD(7,$AF$17)=0,MOD((INT(7/$AF$17)+1)-1,$AF$13/5)=0),INDEX($AN$4:$AN$53,(INT(7/$AF$17)+1)),"")</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N21">
        <f>IF($AG$21="","",IFERROR(IF(ABS($AG$21)&gt;=1000000,ROUND($AG$21/1000000,MAX(0,1-INT(LOG10($AF$27/1000000))))&amp;"M",IF(ABS($AG$21)&gt;=1000,ROUND($AG$21/1000,MAX(0,1-INT(LOG10($AF$27/1000))))&amp;"k",TEXT($AG$21,"#,##0"))),TEXT($AG$21,"#,##0")))</f>
        <v/>
      </c>
    </row>
    <row r="22">
      <c r="B22" t="n">
        <v>577</v>
      </c>
      <c r="C22" t="n">
        <v>577.75</v>
      </c>
      <c r="D22" t="n">
        <v>10</v>
      </c>
      <c r="E22" t="inlineStr">
        <is>
          <t>P10</t>
        </is>
      </c>
      <c r="F22" t="n">
        <v>629</v>
      </c>
      <c r="G22">
        <f>IF(19&lt;=$F$13,$F$14+(19-1)*$F$16,"")</f>
        <v/>
      </c>
      <c r="H22">
        <f>IF(19&gt;$F$13,"",SUMIFS($D$4:$D$203,$C$4:$C$203,"&gt;="&amp;$G$22,$C$4:$C$203,IF(19=$F$13,"&lt;=","&lt;")&amp;($G$22+$F$16)))</f>
        <v/>
      </c>
      <c r="I22">
        <f>IF(AND(MOD(8,$F$17)=0,MOD((INT(8/$F$17)+1)-1,$F$13/5)=0),INDEX($N$4:$N$53,(INT(8/$F$17)+1)),"")</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N22">
        <f>IF($G$22="","",IFERROR(IF(ABS($G$22)&gt;=1000000,ROUND($G$22/1000000,MAX(0,1-INT(LOG10($F$27/1000000))))&amp;"M",IF(ABS($G$22)&gt;=1000,ROUND($G$22/1000,MAX(0,1-INT(LOG10($F$27/1000))))&amp;"k",TEXT($G$22,"#,##0"))),TEXT($G$22,"#,##0")))</f>
        <v/>
      </c>
      <c r="O22" t="n">
        <v>5400</v>
      </c>
      <c r="P22" t="n">
        <v>5550</v>
      </c>
      <c r="Q22" t="n">
        <v>58</v>
      </c>
      <c r="R22" t="inlineStr">
        <is>
          <t>P10</t>
        </is>
      </c>
      <c r="S22" t="n">
        <v>10110.416</v>
      </c>
      <c r="T22">
        <f>IF(19&lt;=$S$13,$S$14+(19-1)*$S$16,"")</f>
        <v/>
      </c>
      <c r="U22">
        <f>IF(19&gt;$S$13,"",SUMIFS($Q$4:$Q$203,$P$4:$P$203,"&gt;="&amp;$T$22,$P$4:$P$203,IF(19=$S$13,"&lt;=","&lt;")&amp;($T$22+$S$16)))</f>
        <v/>
      </c>
      <c r="V22">
        <f>IF(AND(MOD(8,$S$17)=0,MOD((INT(8/$S$17)+1)-1,$S$13/5)=0),INDEX($AA$4:$AA$53,(INT(8/$S$17)+1)),"")</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A22">
        <f>IF($T$22="","",IFERROR(IF(ABS($T$22)&gt;=1000000,ROUND($T$22/1000000,MAX(0,1-INT(LOG10($S$27/1000000))))&amp;"M",IF(ABS($T$22)&gt;=1000,ROUND($T$22/1000,MAX(0,1-INT(LOG10($S$27/1000))))&amp;"k",TEXT($T$22,"#,##0"))),TEXT($T$22,"#,##0")))</f>
        <v/>
      </c>
      <c r="AB22" t="n">
        <v>2700</v>
      </c>
      <c r="AC22" t="n">
        <v>2775</v>
      </c>
      <c r="AD22" t="n">
        <v>18</v>
      </c>
      <c r="AE22" t="inlineStr">
        <is>
          <t>P10</t>
        </is>
      </c>
      <c r="AF22" t="n">
        <v>4382.994000000001</v>
      </c>
      <c r="AG22">
        <f>IF(19&lt;=$AF$13,$AF$14+(19-1)*$AF$16,"")</f>
        <v/>
      </c>
      <c r="AH22">
        <f>IF(19&gt;$AF$13,"",SUMIFS($AD$4:$AD$203,$AC$4:$AC$203,"&gt;="&amp;$AG$22,$AC$4:$AC$203,IF(19=$AF$13,"&lt;=","&lt;")&amp;($AG$22+$AF$16)))</f>
        <v/>
      </c>
      <c r="AI22">
        <f>IF(AND(MOD(8,$AF$17)=0,MOD((INT(8/$AF$17)+1)-1,$AF$13/5)=0),INDEX($AN$4:$AN$53,(INT(8/$AF$17)+1)),"")</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N22">
        <f>IF($AG$22="","",IFERROR(IF(ABS($AG$22)&gt;=1000000,ROUND($AG$22/1000000,MAX(0,1-INT(LOG10($AF$27/1000000))))&amp;"M",IF(ABS($AG$22)&gt;=1000,ROUND($AG$22/1000,MAX(0,1-INT(LOG10($AF$27/1000))))&amp;"k",TEXT($AG$22,"#,##0"))),TEXT($AG$22,"#,##0")))</f>
        <v/>
      </c>
    </row>
    <row r="23">
      <c r="B23" t="n">
        <v>578.5</v>
      </c>
      <c r="C23" t="n">
        <v>579.25</v>
      </c>
      <c r="D23" t="n">
        <v>3</v>
      </c>
      <c r="E23" t="inlineStr">
        <is>
          <t>P25</t>
        </is>
      </c>
      <c r="F23" t="n">
        <v>663</v>
      </c>
      <c r="G23">
        <f>IF(20&lt;=$F$13,$F$14+(20-1)*$F$16,"")</f>
        <v/>
      </c>
      <c r="H23">
        <f>IF(20&gt;$F$13,"",SUMIFS($D$4:$D$203,$C$4:$C$203,"&gt;="&amp;$G$23,$C$4:$C$203,IF(20=$F$13,"&lt;=","&lt;")&amp;($G$23+$F$16)))</f>
        <v/>
      </c>
      <c r="I23">
        <f>IF(AND(MOD(9,$F$17)=0,MOD((INT(9/$F$17)+1)-1,$F$13/5)=0),INDEX($N$4:$N$53,(INT(9/$F$17)+1)),"")</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N23">
        <f>IF($G$23="","",IFERROR(IF(ABS($G$23)&gt;=1000000,ROUND($G$23/1000000,MAX(0,1-INT(LOG10($F$27/1000000))))&amp;"M",IF(ABS($G$23)&gt;=1000,ROUND($G$23/1000,MAX(0,1-INT(LOG10($F$27/1000))))&amp;"k",TEXT($G$23,"#,##0"))),TEXT($G$23,"#,##0")))</f>
        <v/>
      </c>
      <c r="O23" t="n">
        <v>5700</v>
      </c>
      <c r="P23" t="n">
        <v>5850</v>
      </c>
      <c r="Q23" t="n">
        <v>39</v>
      </c>
      <c r="R23" t="inlineStr">
        <is>
          <t>P25</t>
        </is>
      </c>
      <c r="S23" t="n">
        <v>18191.43</v>
      </c>
      <c r="T23">
        <f>IF(20&lt;=$S$13,$S$14+(20-1)*$S$16,"")</f>
        <v/>
      </c>
      <c r="U23">
        <f>IF(20&gt;$S$13,"",SUMIFS($Q$4:$Q$203,$P$4:$P$203,"&gt;="&amp;$T$23,$P$4:$P$203,IF(20=$S$13,"&lt;=","&lt;")&amp;($T$23+$S$16)))</f>
        <v/>
      </c>
      <c r="V23">
        <f>IF(AND(MOD(9,$S$17)=0,MOD((INT(9/$S$17)+1)-1,$S$13/5)=0),INDEX($AA$4:$AA$53,(INT(9/$S$17)+1)),"")</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A23">
        <f>IF($T$23="","",IFERROR(IF(ABS($T$23)&gt;=1000000,ROUND($T$23/1000000,MAX(0,1-INT(LOG10($S$27/1000000))))&amp;"M",IF(ABS($T$23)&gt;=1000,ROUND($T$23/1000,MAX(0,1-INT(LOG10($S$27/1000))))&amp;"k",TEXT($T$23,"#,##0"))),TEXT($T$23,"#,##0")))</f>
        <v/>
      </c>
      <c r="AB23" t="n">
        <v>2850</v>
      </c>
      <c r="AC23" t="n">
        <v>2925</v>
      </c>
      <c r="AD23" t="n">
        <v>31</v>
      </c>
      <c r="AE23" t="inlineStr">
        <is>
          <t>P25</t>
        </is>
      </c>
      <c r="AF23" t="n">
        <v>7384.4825</v>
      </c>
      <c r="AG23">
        <f>IF(20&lt;=$AF$13,$AF$14+(20-1)*$AF$16,"")</f>
        <v/>
      </c>
      <c r="AH23">
        <f>IF(20&gt;$AF$13,"",SUMIFS($AD$4:$AD$203,$AC$4:$AC$203,"&gt;="&amp;$AG$23,$AC$4:$AC$203,IF(20=$AF$13,"&lt;=","&lt;")&amp;($AG$23+$AF$16)))</f>
        <v/>
      </c>
      <c r="AI23">
        <f>IF(AND(MOD(9,$AF$17)=0,MOD((INT(9/$AF$17)+1)-1,$AF$13/5)=0),INDEX($AN$4:$AN$53,(INT(9/$AF$17)+1)),"")</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N23">
        <f>IF($AG$23="","",IFERROR(IF(ABS($AG$23)&gt;=1000000,ROUND($AG$23/1000000,MAX(0,1-INT(LOG10($AF$27/1000000))))&amp;"M",IF(ABS($AG$23)&gt;=1000,ROUND($AG$23/1000,MAX(0,1-INT(LOG10($AF$27/1000))))&amp;"k",TEXT($AG$23,"#,##0"))),TEXT($AG$23,"#,##0")))</f>
        <v/>
      </c>
    </row>
    <row r="24">
      <c r="B24" t="n">
        <v>580</v>
      </c>
      <c r="C24" t="n">
        <v>580.75</v>
      </c>
      <c r="D24" t="n">
        <v>9</v>
      </c>
      <c r="E24" t="inlineStr">
        <is>
          <t>P50</t>
        </is>
      </c>
      <c r="F24" t="n">
        <v>699</v>
      </c>
      <c r="G24">
        <f>IF(21&lt;=$F$13,$F$14+(21-1)*$F$16,"")</f>
        <v/>
      </c>
      <c r="H24">
        <f>IF(21&gt;$F$13,"",SUMIFS($D$4:$D$203,$C$4:$C$203,"&gt;="&amp;$G$24,$C$4:$C$203,IF(21=$F$13,"&lt;=","&lt;")&amp;($G$24+$F$16)))</f>
        <v/>
      </c>
      <c r="I24">
        <f>IF(AND(MOD(10,$F$17)=0,MOD((INT(10/$F$17)+1)-1,$F$13/5)=0),INDEX($N$4:$N$53,(INT(10/$F$17)+1)),"")</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N24">
        <f>IF($G$24="","",IFERROR(IF(ABS($G$24)&gt;=1000000,ROUND($G$24/1000000,MAX(0,1-INT(LOG10($F$27/1000000))))&amp;"M",IF(ABS($G$24)&gt;=1000,ROUND($G$24/1000,MAX(0,1-INT(LOG10($F$27/1000))))&amp;"k",TEXT($G$24,"#,##0"))),TEXT($G$24,"#,##0")))</f>
        <v/>
      </c>
      <c r="O24" t="n">
        <v>6000</v>
      </c>
      <c r="P24" t="n">
        <v>6150</v>
      </c>
      <c r="Q24" t="n">
        <v>46</v>
      </c>
      <c r="R24" t="inlineStr">
        <is>
          <t>P50</t>
        </is>
      </c>
      <c r="S24" t="n">
        <v>32112.83</v>
      </c>
      <c r="T24">
        <f>IF(21&lt;=$S$13,$S$14+(21-1)*$S$16,"")</f>
        <v/>
      </c>
      <c r="U24">
        <f>IF(21&gt;$S$13,"",SUMIFS($Q$4:$Q$203,$P$4:$P$203,"&gt;="&amp;$T$24,$P$4:$P$203,IF(21=$S$13,"&lt;=","&lt;")&amp;($T$24+$S$16)))</f>
        <v/>
      </c>
      <c r="V24">
        <f>IF(AND(MOD(10,$S$17)=0,MOD((INT(10/$S$17)+1)-1,$S$13/5)=0),INDEX($AA$4:$AA$53,(INT(10/$S$17)+1)),"")</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A24">
        <f>IF($T$24="","",IFERROR(IF(ABS($T$24)&gt;=1000000,ROUND($T$24/1000000,MAX(0,1-INT(LOG10($S$27/1000000))))&amp;"M",IF(ABS($T$24)&gt;=1000,ROUND($T$24/1000,MAX(0,1-INT(LOG10($S$27/1000))))&amp;"k",TEXT($T$24,"#,##0"))),TEXT($T$24,"#,##0")))</f>
        <v/>
      </c>
      <c r="AB24" t="n">
        <v>3000</v>
      </c>
      <c r="AC24" t="n">
        <v>3075</v>
      </c>
      <c r="AD24" t="n">
        <v>25</v>
      </c>
      <c r="AE24" t="inlineStr">
        <is>
          <t>P50</t>
        </is>
      </c>
      <c r="AF24" t="n">
        <v>11392.84</v>
      </c>
      <c r="AG24">
        <f>IF(21&lt;=$AF$13,$AF$14+(21-1)*$AF$16,"")</f>
        <v/>
      </c>
      <c r="AH24">
        <f>IF(21&gt;$AF$13,"",SUMIFS($AD$4:$AD$203,$AC$4:$AC$203,"&gt;="&amp;$AG$24,$AC$4:$AC$203,IF(21=$AF$13,"&lt;=","&lt;")&amp;($AG$24+$AF$16)))</f>
        <v/>
      </c>
      <c r="AI24">
        <f>IF(AND(MOD(10,$AF$17)=0,MOD((INT(10/$AF$17)+1)-1,$AF$13/5)=0),INDEX($AN$4:$AN$53,(INT(10/$AF$17)+1)),"")</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N24">
        <f>IF($AG$24="","",IFERROR(IF(ABS($AG$24)&gt;=1000000,ROUND($AG$24/1000000,MAX(0,1-INT(LOG10($AF$27/1000000))))&amp;"M",IF(ABS($AG$24)&gt;=1000,ROUND($AG$24/1000,MAX(0,1-INT(LOG10($AF$27/1000))))&amp;"k",TEXT($AG$24,"#,##0"))),TEXT($AG$24,"#,##0")))</f>
        <v/>
      </c>
    </row>
    <row r="25">
      <c r="B25" t="n">
        <v>581.5</v>
      </c>
      <c r="C25" t="n">
        <v>582.25</v>
      </c>
      <c r="D25" t="n">
        <v>4</v>
      </c>
      <c r="E25" t="inlineStr">
        <is>
          <t>P75</t>
        </is>
      </c>
      <c r="F25" t="n">
        <v>736</v>
      </c>
      <c r="G25">
        <f>IF(22&lt;=$F$13,$F$14+(22-1)*$F$16,"")</f>
        <v/>
      </c>
      <c r="H25">
        <f>IF(22&gt;$F$13,"",SUMIFS($D$4:$D$203,$C$4:$C$203,"&gt;="&amp;$G$25,$C$4:$C$203,IF(22=$F$13,"&lt;=","&lt;")&amp;($G$25+$F$16)))</f>
        <v/>
      </c>
      <c r="I25">
        <f>IF(AND(MOD(11,$F$17)=0,MOD((INT(11/$F$17)+1)-1,$F$13/5)=0),INDEX($N$4:$N$53,(INT(11/$F$17)+1)),"")</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N25">
        <f>IF($G$25="","",IFERROR(IF(ABS($G$25)&gt;=1000000,ROUND($G$25/1000000,MAX(0,1-INT(LOG10($F$27/1000000))))&amp;"M",IF(ABS($G$25)&gt;=1000,ROUND($G$25/1000,MAX(0,1-INT(LOG10($F$27/1000))))&amp;"k",TEXT($G$25,"#,##0"))),TEXT($G$25,"#,##0")))</f>
        <v/>
      </c>
      <c r="O25" t="n">
        <v>6300</v>
      </c>
      <c r="P25" t="n">
        <v>6450</v>
      </c>
      <c r="Q25" t="n">
        <v>44</v>
      </c>
      <c r="R25" t="inlineStr">
        <is>
          <t>P75</t>
        </is>
      </c>
      <c r="S25" t="n">
        <v>46264.885</v>
      </c>
      <c r="T25">
        <f>IF(22&lt;=$S$13,$S$14+(22-1)*$S$16,"")</f>
        <v/>
      </c>
      <c r="U25">
        <f>IF(22&gt;$S$13,"",SUMIFS($Q$4:$Q$203,$P$4:$P$203,"&gt;="&amp;$T$25,$P$4:$P$203,IF(22=$S$13,"&lt;=","&lt;")&amp;($T$25+$S$16)))</f>
        <v/>
      </c>
      <c r="V25">
        <f>IF(AND(MOD(11,$S$17)=0,MOD((INT(11/$S$17)+1)-1,$S$13/5)=0),INDEX($AA$4:$AA$53,(INT(11/$S$17)+1)),"")</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A25">
        <f>IF($T$25="","",IFERROR(IF(ABS($T$25)&gt;=1000000,ROUND($T$25/1000000,MAX(0,1-INT(LOG10($S$27/1000000))))&amp;"M",IF(ABS($T$25)&gt;=1000,ROUND($T$25/1000,MAX(0,1-INT(LOG10($S$27/1000))))&amp;"k",TEXT($T$25,"#,##0"))),TEXT($T$25,"#,##0")))</f>
        <v/>
      </c>
      <c r="AB25" t="n">
        <v>3150</v>
      </c>
      <c r="AC25" t="n">
        <v>3225</v>
      </c>
      <c r="AD25" t="n">
        <v>33</v>
      </c>
      <c r="AE25" t="inlineStr">
        <is>
          <t>P75</t>
        </is>
      </c>
      <c r="AF25" t="n">
        <v>15940.795</v>
      </c>
      <c r="AG25">
        <f>IF(22&lt;=$AF$13,$AF$14+(22-1)*$AF$16,"")</f>
        <v/>
      </c>
      <c r="AH25">
        <f>IF(22&gt;$AF$13,"",SUMIFS($AD$4:$AD$203,$AC$4:$AC$203,"&gt;="&amp;$AG$25,$AC$4:$AC$203,IF(22=$AF$13,"&lt;=","&lt;")&amp;($AG$25+$AF$16)))</f>
        <v/>
      </c>
      <c r="AI25">
        <f>IF(AND(MOD(11,$AF$17)=0,MOD((INT(11/$AF$17)+1)-1,$AF$13/5)=0),INDEX($AN$4:$AN$53,(INT(11/$AF$17)+1)),"")</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N25">
        <f>IF($AG$25="","",IFERROR(IF(ABS($AG$25)&gt;=1000000,ROUND($AG$25/1000000,MAX(0,1-INT(LOG10($AF$27/1000000))))&amp;"M",IF(ABS($AG$25)&gt;=1000,ROUND($AG$25/1000,MAX(0,1-INT(LOG10($AF$27/1000))))&amp;"k",TEXT($AG$25,"#,##0"))),TEXT($AG$25,"#,##0")))</f>
        <v/>
      </c>
    </row>
    <row r="26">
      <c r="B26" t="n">
        <v>583</v>
      </c>
      <c r="C26" t="n">
        <v>583.75</v>
      </c>
      <c r="D26" t="n">
        <v>12</v>
      </c>
      <c r="E26" t="inlineStr">
        <is>
          <t>P90</t>
        </is>
      </c>
      <c r="F26" t="n">
        <v>772</v>
      </c>
      <c r="G26">
        <f>IF(23&lt;=$F$13,$F$14+(23-1)*$F$16,"")</f>
        <v/>
      </c>
      <c r="H26">
        <f>IF(23&gt;$F$13,"",SUMIFS($D$4:$D$203,$C$4:$C$203,"&gt;="&amp;$G$26,$C$4:$C$203,IF(23=$F$13,"&lt;=","&lt;")&amp;($G$26+$F$16)))</f>
        <v/>
      </c>
      <c r="I26">
        <f>IF(AND(MOD(12,$F$17)=0,MOD((INT(12/$F$17)+1)-1,$F$13/5)=0),INDEX($N$4:$N$53,(INT(12/$F$17)+1)),"")</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N26">
        <f>IF($G$26="","",IFERROR(IF(ABS($G$26)&gt;=1000000,ROUND($G$26/1000000,MAX(0,1-INT(LOG10($F$27/1000000))))&amp;"M",IF(ABS($G$26)&gt;=1000,ROUND($G$26/1000,MAX(0,1-INT(LOG10($F$27/1000))))&amp;"k",TEXT($G$26,"#,##0"))),TEXT($G$26,"#,##0")))</f>
        <v/>
      </c>
      <c r="O26" t="n">
        <v>6600</v>
      </c>
      <c r="P26" t="n">
        <v>6750</v>
      </c>
      <c r="Q26" t="n">
        <v>34</v>
      </c>
      <c r="R26" t="inlineStr">
        <is>
          <t>P90</t>
        </is>
      </c>
      <c r="S26" t="n">
        <v>54495.472</v>
      </c>
      <c r="T26">
        <f>IF(23&lt;=$S$13,$S$14+(23-1)*$S$16,"")</f>
        <v/>
      </c>
      <c r="U26">
        <f>IF(23&gt;$S$13,"",SUMIFS($Q$4:$Q$203,$P$4:$P$203,"&gt;="&amp;$T$26,$P$4:$P$203,IF(23=$S$13,"&lt;=","&lt;")&amp;($T$26+$S$16)))</f>
        <v/>
      </c>
      <c r="V26">
        <f>IF(AND(MOD(12,$S$17)=0,MOD((INT(12/$S$17)+1)-1,$S$13/5)=0),INDEX($AA$4:$AA$53,(INT(12/$S$17)+1)),"")</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A26">
        <f>IF($T$26="","",IFERROR(IF(ABS($T$26)&gt;=1000000,ROUND($T$26/1000000,MAX(0,1-INT(LOG10($S$27/1000000))))&amp;"M",IF(ABS($T$26)&gt;=1000,ROUND($T$26/1000,MAX(0,1-INT(LOG10($S$27/1000))))&amp;"k",TEXT($T$26,"#,##0"))),TEXT($T$26,"#,##0")))</f>
        <v/>
      </c>
      <c r="AB26" t="n">
        <v>3300</v>
      </c>
      <c r="AC26" t="n">
        <v>3375</v>
      </c>
      <c r="AD26" t="n">
        <v>25</v>
      </c>
      <c r="AE26" t="inlineStr">
        <is>
          <t>P90</t>
        </is>
      </c>
      <c r="AF26" t="n">
        <v>20607.534</v>
      </c>
      <c r="AG26">
        <f>IF(23&lt;=$AF$13,$AF$14+(23-1)*$AF$16,"")</f>
        <v/>
      </c>
      <c r="AH26">
        <f>IF(23&gt;$AF$13,"",SUMIFS($AD$4:$AD$203,$AC$4:$AC$203,"&gt;="&amp;$AG$26,$AC$4:$AC$203,IF(23=$AF$13,"&lt;=","&lt;")&amp;($AG$26+$AF$16)))</f>
        <v/>
      </c>
      <c r="AI26">
        <f>IF(AND(MOD(12,$AF$17)=0,MOD((INT(12/$AF$17)+1)-1,$AF$13/5)=0),INDEX($AN$4:$AN$53,(INT(12/$AF$17)+1)),"")</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N26">
        <f>IF($AG$26="","",IFERROR(IF(ABS($AG$26)&gt;=1000000,ROUND($AG$26/1000000,MAX(0,1-INT(LOG10($AF$27/1000000))))&amp;"M",IF(ABS($AG$26)&gt;=1000,ROUND($AG$26/1000,MAX(0,1-INT(LOG10($AF$27/1000))))&amp;"k",TEXT($AG$26,"#,##0"))),TEXT($AG$26,"#,##0")))</f>
        <v/>
      </c>
    </row>
    <row r="27">
      <c r="B27" t="n">
        <v>584.5</v>
      </c>
      <c r="C27" t="n">
        <v>585.25</v>
      </c>
      <c r="D27" t="n">
        <v>6</v>
      </c>
      <c r="E27" t="inlineStr">
        <is>
          <t>step between labels</t>
        </is>
      </c>
      <c r="F27">
        <f>($F$15-$F$14)/5</f>
        <v/>
      </c>
      <c r="G27">
        <f>IF(24&lt;=$F$13,$F$14+(24-1)*$F$16,"")</f>
        <v/>
      </c>
      <c r="H27">
        <f>IF(24&gt;$F$13,"",SUMIFS($D$4:$D$203,$C$4:$C$203,"&gt;="&amp;$G$27,$C$4:$C$203,IF(24=$F$13,"&lt;=","&lt;")&amp;($G$27+$F$16)))</f>
        <v/>
      </c>
      <c r="I27">
        <f>IF(AND(MOD(13,$F$17)=0,MOD((INT(13/$F$17)+1)-1,$F$13/5)=0),INDEX($N$4:$N$53,(INT(13/$F$17)+1)),"")</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N27">
        <f>IF($G$27="","",IFERROR(IF(ABS($G$27)&gt;=1000000,ROUND($G$27/1000000,MAX(0,1-INT(LOG10($F$27/1000000))))&amp;"M",IF(ABS($G$27)&gt;=1000,ROUND($G$27/1000,MAX(0,1-INT(LOG10($F$27/1000))))&amp;"k",TEXT($G$27,"#,##0"))),TEXT($G$27,"#,##0")))</f>
        <v/>
      </c>
      <c r="O27" t="n">
        <v>6900</v>
      </c>
      <c r="P27" t="n">
        <v>7050</v>
      </c>
      <c r="Q27" t="n">
        <v>47</v>
      </c>
      <c r="R27" t="inlineStr">
        <is>
          <t>step between labels</t>
        </is>
      </c>
      <c r="S27">
        <f>($S$15-$S$14)/5</f>
        <v/>
      </c>
      <c r="T27">
        <f>IF(24&lt;=$S$13,$S$14+(24-1)*$S$16,"")</f>
        <v/>
      </c>
      <c r="U27">
        <f>IF(24&gt;$S$13,"",SUMIFS($Q$4:$Q$203,$P$4:$P$203,"&gt;="&amp;$T$27,$P$4:$P$203,IF(24=$S$13,"&lt;=","&lt;")&amp;($T$27+$S$16)))</f>
        <v/>
      </c>
      <c r="V27">
        <f>IF(AND(MOD(13,$S$17)=0,MOD((INT(13/$S$17)+1)-1,$S$13/5)=0),INDEX($AA$4:$AA$53,(INT(13/$S$17)+1)),"")</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A27">
        <f>IF($T$27="","",IFERROR(IF(ABS($T$27)&gt;=1000000,ROUND($T$27/1000000,MAX(0,1-INT(LOG10($S$27/1000000))))&amp;"M",IF(ABS($T$27)&gt;=1000,ROUND($T$27/1000,MAX(0,1-INT(LOG10($S$27/1000))))&amp;"k",TEXT($T$27,"#,##0"))),TEXT($T$27,"#,##0")))</f>
        <v/>
      </c>
      <c r="AB27" t="n">
        <v>3450</v>
      </c>
      <c r="AC27" t="n">
        <v>3525</v>
      </c>
      <c r="AD27" t="n">
        <v>39</v>
      </c>
      <c r="AE27" t="inlineStr">
        <is>
          <t>step between labels</t>
        </is>
      </c>
      <c r="AF27">
        <f>($AF$15-$AF$14)/5</f>
        <v/>
      </c>
      <c r="AG27">
        <f>IF(24&lt;=$AF$13,$AF$14+(24-1)*$AF$16,"")</f>
        <v/>
      </c>
      <c r="AH27">
        <f>IF(24&gt;$AF$13,"",SUMIFS($AD$4:$AD$203,$AC$4:$AC$203,"&gt;="&amp;$AG$27,$AC$4:$AC$203,IF(24=$AF$13,"&lt;=","&lt;")&amp;($AG$27+$AF$16)))</f>
        <v/>
      </c>
      <c r="AI27">
        <f>IF(AND(MOD(13,$AF$17)=0,MOD((INT(13/$AF$17)+1)-1,$AF$13/5)=0),INDEX($AN$4:$AN$53,(INT(13/$AF$17)+1)),"")</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N27">
        <f>IF($AG$27="","",IFERROR(IF(ABS($AG$27)&gt;=1000000,ROUND($AG$27/1000000,MAX(0,1-INT(LOG10($AF$27/1000000))))&amp;"M",IF(ABS($AG$27)&gt;=1000,ROUND($AG$27/1000,MAX(0,1-INT(LOG10($AF$27/1000))))&amp;"k",TEXT($AG$27,"#,##0"))),TEXT($AG$27,"#,##0")))</f>
        <v/>
      </c>
    </row>
    <row r="28">
      <c r="B28" t="n">
        <v>586</v>
      </c>
      <c r="C28" t="n">
        <v>586.75</v>
      </c>
      <c r="D28" t="n">
        <v>16</v>
      </c>
      <c r="G28">
        <f>IF(25&lt;=$F$13,$F$14+(25-1)*$F$16,"")</f>
        <v/>
      </c>
      <c r="H28">
        <f>IF(25&gt;$F$13,"",SUMIFS($D$4:$D$203,$C$4:$C$203,"&gt;="&amp;$G$28,$C$4:$C$203,IF(25=$F$13,"&lt;=","&lt;")&amp;($G$28+$F$16)))</f>
        <v/>
      </c>
      <c r="I28">
        <f>IF(AND(MOD(14,$F$17)=0,MOD((INT(14/$F$17)+1)-1,$F$13/5)=0),INDEX($N$4:$N$53,(INT(14/$F$17)+1)),"")</f>
        <v/>
      </c>
      <c r="J28">
        <f>IF(MOD(14,$F$17)=$F$17-1,0,INDEX($H$4:$H$53,(INT(14/$F$17)+1)))</f>
        <v/>
      </c>
      <c r="K28">
        <f>IFERROR(IF(AND($M$16&gt;=$F$14,$M$16&lt;=$F$15),10+0.5+100*($M$16-$F$14)/($F$15-$F$14),NA()),NA())</f>
        <v/>
      </c>
      <c r="L28">
        <f>IF(ISNA($K$28),NA(),0)</f>
        <v/>
      </c>
      <c r="N28">
        <f>IF($G$28="","",IFERROR(IF(ABS($G$28)&gt;=1000000,ROUND($G$28/1000000,MAX(0,1-INT(LOG10($F$27/1000000))))&amp;"M",IF(ABS($G$28)&gt;=1000,ROUND($G$28/1000,MAX(0,1-INT(LOG10($F$27/1000))))&amp;"k",TEXT($G$28,"#,##0"))),TEXT($G$28,"#,##0")))</f>
        <v/>
      </c>
      <c r="O28" t="n">
        <v>7200</v>
      </c>
      <c r="P28" t="n">
        <v>7350</v>
      </c>
      <c r="Q28" t="n">
        <v>42</v>
      </c>
      <c r="T28">
        <f>IF(25&lt;=$S$13,$S$14+(25-1)*$S$16,"")</f>
        <v/>
      </c>
      <c r="U28">
        <f>IF(25&gt;$S$13,"",SUMIFS($Q$4:$Q$203,$P$4:$P$203,"&gt;="&amp;$T$28,$P$4:$P$203,IF(25=$S$13,"&lt;=","&lt;")&amp;($T$28+$S$16)))</f>
        <v/>
      </c>
      <c r="V28">
        <f>IF(AND(MOD(14,$S$17)=0,MOD((INT(14/$S$17)+1)-1,$S$13/5)=0),INDEX($AA$4:$AA$53,(INT(14/$S$17)+1)),"")</f>
        <v/>
      </c>
      <c r="W28">
        <f>IF(MOD(14,$S$17)=$S$17-1,0,INDEX($U$4:$U$53,(INT(14/$S$17)+1)))</f>
        <v/>
      </c>
      <c r="X28">
        <f>IFERROR(IF(AND($Z$16&gt;=$S$14,$Z$16&lt;=$S$15),10+0.5+100*($Z$16-$S$14)/($S$15-$S$14),NA()),NA())</f>
        <v/>
      </c>
      <c r="Y28">
        <f>IF(ISNA($X$28),NA(),0)</f>
        <v/>
      </c>
      <c r="AA28">
        <f>IF($T$28="","",IFERROR(IF(ABS($T$28)&gt;=1000000,ROUND($T$28/1000000,MAX(0,1-INT(LOG10($S$27/1000000))))&amp;"M",IF(ABS($T$28)&gt;=1000,ROUND($T$28/1000,MAX(0,1-INT(LOG10($S$27/1000))))&amp;"k",TEXT($T$28,"#,##0"))),TEXT($T$28,"#,##0")))</f>
        <v/>
      </c>
      <c r="AB28" t="n">
        <v>3600</v>
      </c>
      <c r="AC28" t="n">
        <v>3675</v>
      </c>
      <c r="AD28" t="n">
        <v>48</v>
      </c>
      <c r="AG28">
        <f>IF(25&lt;=$AF$13,$AF$14+(25-1)*$AF$16,"")</f>
        <v/>
      </c>
      <c r="AH28">
        <f>IF(25&gt;$AF$13,"",SUMIFS($AD$4:$AD$203,$AC$4:$AC$203,"&gt;="&amp;$AG$28,$AC$4:$AC$203,IF(25=$AF$13,"&lt;=","&lt;")&amp;($AG$28+$AF$16)))</f>
        <v/>
      </c>
      <c r="AI28">
        <f>IF(AND(MOD(14,$AF$17)=0,MOD((INT(14/$AF$17)+1)-1,$AF$13/5)=0),INDEX($AN$4:$AN$53,(INT(14/$AF$17)+1)),"")</f>
        <v/>
      </c>
      <c r="AJ28">
        <f>IF(MOD(14,$AF$17)=$AF$17-1,0,INDEX($AH$4:$AH$53,(INT(14/$AF$17)+1)))</f>
        <v/>
      </c>
      <c r="AK28">
        <f>IFERROR(IF(AND($AM$16&gt;=$AF$14,$AM$16&lt;=$AF$15),10+0.5+100*($AM$16-$AF$14)/($AF$15-$AF$14),NA()),NA())</f>
        <v/>
      </c>
      <c r="AL28">
        <f>IF(ISNA($AK$28),NA(),0)</f>
        <v/>
      </c>
      <c r="AN28">
        <f>IF($AG$28="","",IFERROR(IF(ABS($AG$28)&gt;=1000000,ROUND($AG$28/1000000,MAX(0,1-INT(LOG10($AF$27/1000000))))&amp;"M",IF(ABS($AG$28)&gt;=1000,ROUND($AG$28/1000,MAX(0,1-INT(LOG10($AF$27/1000))))&amp;"k",TEXT($AG$28,"#,##0"))),TEXT($AG$28,"#,##0")))</f>
        <v/>
      </c>
    </row>
    <row r="29">
      <c r="B29" t="n">
        <v>587.5</v>
      </c>
      <c r="C29" t="n">
        <v>588.25</v>
      </c>
      <c r="D29" t="n">
        <v>7</v>
      </c>
      <c r="G29">
        <f>IF(26&lt;=$F$13,$F$14+(26-1)*$F$16,"")</f>
        <v/>
      </c>
      <c r="H29">
        <f>IF(26&gt;$F$13,"",SUMIFS($D$4:$D$203,$C$4:$C$203,"&gt;="&amp;$G$29,$C$4:$C$203,IF(26=$F$13,"&lt;=","&lt;")&amp;($G$29+$F$16)))</f>
        <v/>
      </c>
      <c r="I29">
        <f>IF(AND(MOD(15,$F$17)=0,MOD((INT(15/$F$17)+1)-1,$F$13/5)=0),INDEX($N$4:$N$53,(INT(15/$F$17)+1)),"")</f>
        <v/>
      </c>
      <c r="J29">
        <f>IF(MOD(15,$F$17)=$F$17-1,0,INDEX($H$4:$H$53,(INT(15/$F$17)+1)))</f>
        <v/>
      </c>
      <c r="K29">
        <f>IFERROR(IF(AND($M$16&gt;=$F$14,$M$16&lt;=$F$15),10+0.5+100*($M$16-$F$14)/($F$15-$F$14),NA()),NA())</f>
        <v/>
      </c>
      <c r="L29">
        <f>IF(ISNA($K$29),NA(),MAX($J$4:$J$123))</f>
        <v/>
      </c>
      <c r="N29">
        <f>IF($G$29="","",IFERROR(IF(ABS($G$29)&gt;=1000000,ROUND($G$29/1000000,MAX(0,1-INT(LOG10($F$27/1000000))))&amp;"M",IF(ABS($G$29)&gt;=1000,ROUND($G$29/1000,MAX(0,1-INT(LOG10($F$27/1000))))&amp;"k",TEXT($G$29,"#,##0"))),TEXT($G$29,"#,##0")))</f>
        <v/>
      </c>
      <c r="O29" t="n">
        <v>7500</v>
      </c>
      <c r="P29" t="n">
        <v>7650</v>
      </c>
      <c r="Q29" t="n">
        <v>50</v>
      </c>
      <c r="T29">
        <f>IF(26&lt;=$S$13,$S$14+(26-1)*$S$16,"")</f>
        <v/>
      </c>
      <c r="U29">
        <f>IF(26&gt;$S$13,"",SUMIFS($Q$4:$Q$203,$P$4:$P$203,"&gt;="&amp;$T$29,$P$4:$P$203,IF(26=$S$13,"&lt;=","&lt;")&amp;($T$29+$S$16)))</f>
        <v/>
      </c>
      <c r="V29">
        <f>IF(AND(MOD(15,$S$17)=0,MOD((INT(15/$S$17)+1)-1,$S$13/5)=0),INDEX($AA$4:$AA$53,(INT(15/$S$17)+1)),"")</f>
        <v/>
      </c>
      <c r="W29">
        <f>IF(MOD(15,$S$17)=$S$17-1,0,INDEX($U$4:$U$53,(INT(15/$S$17)+1)))</f>
        <v/>
      </c>
      <c r="X29">
        <f>IFERROR(IF(AND($Z$16&gt;=$S$14,$Z$16&lt;=$S$15),10+0.5+100*($Z$16-$S$14)/($S$15-$S$14),NA()),NA())</f>
        <v/>
      </c>
      <c r="Y29">
        <f>IF(ISNA($X$29),NA(),MAX($W$4:$W$123))</f>
        <v/>
      </c>
      <c r="AA29">
        <f>IF($T$29="","",IFERROR(IF(ABS($T$29)&gt;=1000000,ROUND($T$29/1000000,MAX(0,1-INT(LOG10($S$27/1000000))))&amp;"M",IF(ABS($T$29)&gt;=1000,ROUND($T$29/1000,MAX(0,1-INT(LOG10($S$27/1000))))&amp;"k",TEXT($T$29,"#,##0"))),TEXT($T$29,"#,##0")))</f>
        <v/>
      </c>
      <c r="AB29" t="n">
        <v>3750</v>
      </c>
      <c r="AC29" t="n">
        <v>3825</v>
      </c>
      <c r="AD29" t="n">
        <v>39</v>
      </c>
      <c r="AG29">
        <f>IF(26&lt;=$AF$13,$AF$14+(26-1)*$AF$16,"")</f>
        <v/>
      </c>
      <c r="AH29">
        <f>IF(26&gt;$AF$13,"",SUMIFS($AD$4:$AD$203,$AC$4:$AC$203,"&gt;="&amp;$AG$29,$AC$4:$AC$203,IF(26=$AF$13,"&lt;=","&lt;")&amp;($AG$29+$AF$16)))</f>
        <v/>
      </c>
      <c r="AI29">
        <f>IF(AND(MOD(15,$AF$17)=0,MOD((INT(15/$AF$17)+1)-1,$AF$13/5)=0),INDEX($AN$4:$AN$53,(INT(15/$AF$17)+1)),"")</f>
        <v/>
      </c>
      <c r="AJ29">
        <f>IF(MOD(15,$AF$17)=$AF$17-1,0,INDEX($AH$4:$AH$53,(INT(15/$AF$17)+1)))</f>
        <v/>
      </c>
      <c r="AK29">
        <f>IFERROR(IF(AND($AM$16&gt;=$AF$14,$AM$16&lt;=$AF$15),10+0.5+100*($AM$16-$AF$14)/($AF$15-$AF$14),NA()),NA())</f>
        <v/>
      </c>
      <c r="AL29">
        <f>IF(ISNA($AK$29),NA(),MAX($AJ$4:$AJ$123))</f>
        <v/>
      </c>
      <c r="AN29">
        <f>IF($AG$29="","",IFERROR(IF(ABS($AG$29)&gt;=1000000,ROUND($AG$29/1000000,MAX(0,1-INT(LOG10($AF$27/1000000))))&amp;"M",IF(ABS($AG$29)&gt;=1000,ROUND($AG$29/1000,MAX(0,1-INT(LOG10($AF$27/1000))))&amp;"k",TEXT($AG$29,"#,##0"))),TEXT($AG$29,"#,##0")))</f>
        <v/>
      </c>
    </row>
    <row r="30">
      <c r="B30" t="n">
        <v>589</v>
      </c>
      <c r="C30" t="n">
        <v>589.75</v>
      </c>
      <c r="D30" t="n">
        <v>13</v>
      </c>
      <c r="G30">
        <f>IF(27&lt;=$F$13,$F$14+(27-1)*$F$16,"")</f>
        <v/>
      </c>
      <c r="H30">
        <f>IF(27&gt;$F$13,"",SUMIFS($D$4:$D$203,$C$4:$C$203,"&gt;="&amp;$G$30,$C$4:$C$203,IF(27=$F$13,"&lt;=","&lt;")&amp;($G$30+$F$16)))</f>
        <v/>
      </c>
      <c r="I30">
        <f>IF(AND(MOD(16,$F$17)=0,MOD((INT(16/$F$17)+1)-1,$F$13/5)=0),INDEX($N$4:$N$53,(INT(16/$F$17)+1)),"")</f>
        <v/>
      </c>
      <c r="J30">
        <f>IF(MOD(16,$F$17)=$F$17-1,0,INDEX($H$4:$H$53,(INT(16/$F$17)+1)))</f>
        <v/>
      </c>
      <c r="K30">
        <f>IFERROR(IF(AND($M$17&gt;=$F$14,$M$17&lt;=$F$15),10+0.5+100*($M$17-$F$14)/($F$15-$F$14),NA()),NA())</f>
        <v/>
      </c>
      <c r="L30">
        <f>IF(ISNA($K$30),NA(),0)</f>
        <v/>
      </c>
      <c r="N30">
        <f>IF($G$30="","",IFERROR(IF(ABS($G$30)&gt;=1000000,ROUND($G$30/1000000,MAX(0,1-INT(LOG10($F$27/1000000))))&amp;"M",IF(ABS($G$30)&gt;=1000,ROUND($G$30/1000,MAX(0,1-INT(LOG10($F$27/1000))))&amp;"k",TEXT($G$30,"#,##0"))),TEXT($G$30,"#,##0")))</f>
        <v/>
      </c>
      <c r="O30" t="n">
        <v>7800</v>
      </c>
      <c r="P30" t="n">
        <v>7950</v>
      </c>
      <c r="Q30" t="n">
        <v>50</v>
      </c>
      <c r="T30">
        <f>IF(27&lt;=$S$13,$S$14+(27-1)*$S$16,"")</f>
        <v/>
      </c>
      <c r="U30">
        <f>IF(27&gt;$S$13,"",SUMIFS($Q$4:$Q$203,$P$4:$P$203,"&gt;="&amp;$T$30,$P$4:$P$203,IF(27=$S$13,"&lt;=","&lt;")&amp;($T$30+$S$16)))</f>
        <v/>
      </c>
      <c r="V30">
        <f>IF(AND(MOD(16,$S$17)=0,MOD((INT(16/$S$17)+1)-1,$S$13/5)=0),INDEX($AA$4:$AA$53,(INT(16/$S$17)+1)),"")</f>
        <v/>
      </c>
      <c r="W30">
        <f>IF(MOD(16,$S$17)=$S$17-1,0,INDEX($U$4:$U$53,(INT(16/$S$17)+1)))</f>
        <v/>
      </c>
      <c r="X30">
        <f>IFERROR(IF(AND($Z$17&gt;=$S$14,$Z$17&lt;=$S$15),10+0.5+100*($Z$17-$S$14)/($S$15-$S$14),NA()),NA())</f>
        <v/>
      </c>
      <c r="Y30">
        <f>IF(ISNA($X$30),NA(),0)</f>
        <v/>
      </c>
      <c r="AA30">
        <f>IF($T$30="","",IFERROR(IF(ABS($T$30)&gt;=1000000,ROUND($T$30/1000000,MAX(0,1-INT(LOG10($S$27/1000000))))&amp;"M",IF(ABS($T$30)&gt;=1000,ROUND($T$30/1000,MAX(0,1-INT(LOG10($S$27/1000))))&amp;"k",TEXT($T$30,"#,##0"))),TEXT($T$30,"#,##0")))</f>
        <v/>
      </c>
      <c r="AB30" t="n">
        <v>3900</v>
      </c>
      <c r="AC30" t="n">
        <v>3975</v>
      </c>
      <c r="AD30" t="n">
        <v>47</v>
      </c>
      <c r="AG30">
        <f>IF(27&lt;=$AF$13,$AF$14+(27-1)*$AF$16,"")</f>
        <v/>
      </c>
      <c r="AH30">
        <f>IF(27&gt;$AF$13,"",SUMIFS($AD$4:$AD$203,$AC$4:$AC$203,"&gt;="&amp;$AG$30,$AC$4:$AC$203,IF(27=$AF$13,"&lt;=","&lt;")&amp;($AG$30+$AF$16)))</f>
        <v/>
      </c>
      <c r="AI30">
        <f>IF(AND(MOD(16,$AF$17)=0,MOD((INT(16/$AF$17)+1)-1,$AF$13/5)=0),INDEX($AN$4:$AN$53,(INT(16/$AF$17)+1)),"")</f>
        <v/>
      </c>
      <c r="AJ30">
        <f>IF(MOD(16,$AF$17)=$AF$17-1,0,INDEX($AH$4:$AH$53,(INT(16/$AF$17)+1)))</f>
        <v/>
      </c>
      <c r="AK30">
        <f>IFERROR(IF(AND($AM$17&gt;=$AF$14,$AM$17&lt;=$AF$15),10+0.5+100*($AM$17-$AF$14)/($AF$15-$AF$14),NA()),NA())</f>
        <v/>
      </c>
      <c r="AL30">
        <f>IF(ISNA($AK$30),NA(),0)</f>
        <v/>
      </c>
      <c r="AN30">
        <f>IF($AG$30="","",IFERROR(IF(ABS($AG$30)&gt;=1000000,ROUND($AG$30/1000000,MAX(0,1-INT(LOG10($AF$27/1000000))))&amp;"M",IF(ABS($AG$30)&gt;=1000,ROUND($AG$30/1000,MAX(0,1-INT(LOG10($AF$27/1000))))&amp;"k",TEXT($AG$30,"#,##0"))),TEXT($AG$30,"#,##0")))</f>
        <v/>
      </c>
    </row>
    <row r="31">
      <c r="B31" t="n">
        <v>590.5</v>
      </c>
      <c r="C31" t="n">
        <v>591.25</v>
      </c>
      <c r="D31" t="n">
        <v>8</v>
      </c>
      <c r="G31">
        <f>IF(28&lt;=$F$13,$F$14+(28-1)*$F$16,"")</f>
        <v/>
      </c>
      <c r="H31">
        <f>IF(28&gt;$F$13,"",SUMIFS($D$4:$D$203,$C$4:$C$203,"&gt;="&amp;$G$31,$C$4:$C$203,IF(28=$F$13,"&lt;=","&lt;")&amp;($G$31+$F$16)))</f>
        <v/>
      </c>
      <c r="I31">
        <f>IF(AND(MOD(17,$F$17)=0,MOD((INT(17/$F$17)+1)-1,$F$13/5)=0),INDEX($N$4:$N$53,(INT(17/$F$17)+1)),"")</f>
        <v/>
      </c>
      <c r="J31">
        <f>IF(MOD(17,$F$17)=$F$17-1,0,INDEX($H$4:$H$53,(INT(17/$F$17)+1)))</f>
        <v/>
      </c>
      <c r="K31">
        <f>IFERROR(IF(AND($M$17&gt;=$F$14,$M$17&lt;=$F$15),10+0.5+100*($M$17-$F$14)/($F$15-$F$14),NA()),NA())</f>
        <v/>
      </c>
      <c r="L31">
        <f>IF(ISNA($K$31),NA(),MAX($J$4:$J$123))</f>
        <v/>
      </c>
      <c r="N31">
        <f>IF($G$31="","",IFERROR(IF(ABS($G$31)&gt;=1000000,ROUND($G$31/1000000,MAX(0,1-INT(LOG10($F$27/1000000))))&amp;"M",IF(ABS($G$31)&gt;=1000,ROUND($G$31/1000,MAX(0,1-INT(LOG10($F$27/1000))))&amp;"k",TEXT($G$31,"#,##0"))),TEXT($G$31,"#,##0")))</f>
        <v/>
      </c>
      <c r="O31" t="n">
        <v>8100</v>
      </c>
      <c r="P31" t="n">
        <v>8250</v>
      </c>
      <c r="Q31" t="n">
        <v>57</v>
      </c>
      <c r="T31">
        <f>IF(28&lt;=$S$13,$S$14+(28-1)*$S$16,"")</f>
        <v/>
      </c>
      <c r="U31">
        <f>IF(28&gt;$S$13,"",SUMIFS($Q$4:$Q$203,$P$4:$P$203,"&gt;="&amp;$T$31,$P$4:$P$203,IF(28=$S$13,"&lt;=","&lt;")&amp;($T$31+$S$16)))</f>
        <v/>
      </c>
      <c r="V31">
        <f>IF(AND(MOD(17,$S$17)=0,MOD((INT(17/$S$17)+1)-1,$S$13/5)=0),INDEX($AA$4:$AA$53,(INT(17/$S$17)+1)),"")</f>
        <v/>
      </c>
      <c r="W31">
        <f>IF(MOD(17,$S$17)=$S$17-1,0,INDEX($U$4:$U$53,(INT(17/$S$17)+1)))</f>
        <v/>
      </c>
      <c r="X31">
        <f>IFERROR(IF(AND($Z$17&gt;=$S$14,$Z$17&lt;=$S$15),10+0.5+100*($Z$17-$S$14)/($S$15-$S$14),NA()),NA())</f>
        <v/>
      </c>
      <c r="Y31">
        <f>IF(ISNA($X$31),NA(),MAX($W$4:$W$123))</f>
        <v/>
      </c>
      <c r="AA31">
        <f>IF($T$31="","",IFERROR(IF(ABS($T$31)&gt;=1000000,ROUND($T$31/1000000,MAX(0,1-INT(LOG10($S$27/1000000))))&amp;"M",IF(ABS($T$31)&gt;=1000,ROUND($T$31/1000,MAX(0,1-INT(LOG10($S$27/1000))))&amp;"k",TEXT($T$31,"#,##0"))),TEXT($T$31,"#,##0")))</f>
        <v/>
      </c>
      <c r="AB31" t="n">
        <v>4050</v>
      </c>
      <c r="AC31" t="n">
        <v>4125</v>
      </c>
      <c r="AD31" t="n">
        <v>38</v>
      </c>
      <c r="AG31">
        <f>IF(28&lt;=$AF$13,$AF$14+(28-1)*$AF$16,"")</f>
        <v/>
      </c>
      <c r="AH31">
        <f>IF(28&gt;$AF$13,"",SUMIFS($AD$4:$AD$203,$AC$4:$AC$203,"&gt;="&amp;$AG$31,$AC$4:$AC$203,IF(28=$AF$13,"&lt;=","&lt;")&amp;($AG$31+$AF$16)))</f>
        <v/>
      </c>
      <c r="AI31">
        <f>IF(AND(MOD(17,$AF$17)=0,MOD((INT(17/$AF$17)+1)-1,$AF$13/5)=0),INDEX($AN$4:$AN$53,(INT(17/$AF$17)+1)),"")</f>
        <v/>
      </c>
      <c r="AJ31">
        <f>IF(MOD(17,$AF$17)=$AF$17-1,0,INDEX($AH$4:$AH$53,(INT(17/$AF$17)+1)))</f>
        <v/>
      </c>
      <c r="AK31">
        <f>IFERROR(IF(AND($AM$17&gt;=$AF$14,$AM$17&lt;=$AF$15),10+0.5+100*($AM$17-$AF$14)/($AF$15-$AF$14),NA()),NA())</f>
        <v/>
      </c>
      <c r="AL31">
        <f>IF(ISNA($AK$31),NA(),MAX($AJ$4:$AJ$123))</f>
        <v/>
      </c>
      <c r="AN31">
        <f>IF($AG$31="","",IFERROR(IF(ABS($AG$31)&gt;=1000000,ROUND($AG$31/1000000,MAX(0,1-INT(LOG10($AF$27/1000000))))&amp;"M",IF(ABS($AG$31)&gt;=1000,ROUND($AG$31/1000,MAX(0,1-INT(LOG10($AF$27/1000))))&amp;"k",TEXT($AG$31,"#,##0"))),TEXT($AG$31,"#,##0")))</f>
        <v/>
      </c>
    </row>
    <row r="32">
      <c r="B32" t="n">
        <v>592</v>
      </c>
      <c r="C32" t="n">
        <v>592.75</v>
      </c>
      <c r="D32" t="n">
        <v>13</v>
      </c>
      <c r="G32">
        <f>IF(29&lt;=$F$13,$F$14+(29-1)*$F$16,"")</f>
        <v/>
      </c>
      <c r="H32">
        <f>IF(29&gt;$F$13,"",SUMIFS($D$4:$D$203,$C$4:$C$203,"&gt;="&amp;$G$32,$C$4:$C$203,IF(29=$F$13,"&lt;=","&lt;")&amp;($G$32+$F$16)))</f>
        <v/>
      </c>
      <c r="I32">
        <f>IF(AND(MOD(18,$F$17)=0,MOD((INT(18/$F$17)+1)-1,$F$13/5)=0),INDEX($N$4:$N$53,(INT(18/$F$17)+1)),"")</f>
        <v/>
      </c>
      <c r="J32">
        <f>IF(MOD(18,$F$17)=$F$17-1,0,INDEX($H$4:$H$53,(INT(18/$F$17)+1)))</f>
        <v/>
      </c>
      <c r="K32">
        <f>IFERROR(IF(AND($M$18&gt;=$F$14,$M$18&lt;=$F$15),10+0.5+100*($M$18-$F$14)/($F$15-$F$14),NA()),NA())</f>
        <v/>
      </c>
      <c r="L32">
        <f>IF(ISNA($K$32),NA(),0)</f>
        <v/>
      </c>
      <c r="N32">
        <f>IF($G$32="","",IFERROR(IF(ABS($G$32)&gt;=1000000,ROUND($G$32/1000000,MAX(0,1-INT(LOG10($F$27/1000000))))&amp;"M",IF(ABS($G$32)&gt;=1000,ROUND($G$32/1000,MAX(0,1-INT(LOG10($F$27/1000))))&amp;"k",TEXT($G$32,"#,##0"))),TEXT($G$32,"#,##0")))</f>
        <v/>
      </c>
      <c r="O32" t="n">
        <v>8400</v>
      </c>
      <c r="P32" t="n">
        <v>8550</v>
      </c>
      <c r="Q32" t="n">
        <v>50</v>
      </c>
      <c r="T32">
        <f>IF(29&lt;=$S$13,$S$14+(29-1)*$S$16,"")</f>
        <v/>
      </c>
      <c r="U32">
        <f>IF(29&gt;$S$13,"",SUMIFS($Q$4:$Q$203,$P$4:$P$203,"&gt;="&amp;$T$32,$P$4:$P$203,IF(29=$S$13,"&lt;=","&lt;")&amp;($T$32+$S$16)))</f>
        <v/>
      </c>
      <c r="V32">
        <f>IF(AND(MOD(18,$S$17)=0,MOD((INT(18/$S$17)+1)-1,$S$13/5)=0),INDEX($AA$4:$AA$53,(INT(18/$S$17)+1)),"")</f>
        <v/>
      </c>
      <c r="W32">
        <f>IF(MOD(18,$S$17)=$S$17-1,0,INDEX($U$4:$U$53,(INT(18/$S$17)+1)))</f>
        <v/>
      </c>
      <c r="X32">
        <f>IFERROR(IF(AND($Z$18&gt;=$S$14,$Z$18&lt;=$S$15),10+0.5+100*($Z$18-$S$14)/($S$15-$S$14),NA()),NA())</f>
        <v/>
      </c>
      <c r="Y32">
        <f>IF(ISNA($X$32),NA(),0)</f>
        <v/>
      </c>
      <c r="AA32">
        <f>IF($T$32="","",IFERROR(IF(ABS($T$32)&gt;=1000000,ROUND($T$32/1000000,MAX(0,1-INT(LOG10($S$27/1000000))))&amp;"M",IF(ABS($T$32)&gt;=1000,ROUND($T$32/1000,MAX(0,1-INT(LOG10($S$27/1000))))&amp;"k",TEXT($T$32,"#,##0"))),TEXT($T$32,"#,##0")))</f>
        <v/>
      </c>
      <c r="AB32" t="n">
        <v>4200</v>
      </c>
      <c r="AC32" t="n">
        <v>4275</v>
      </c>
      <c r="AD32" t="n">
        <v>41</v>
      </c>
      <c r="AG32">
        <f>IF(29&lt;=$AF$13,$AF$14+(29-1)*$AF$16,"")</f>
        <v/>
      </c>
      <c r="AH32">
        <f>IF(29&gt;$AF$13,"",SUMIFS($AD$4:$AD$203,$AC$4:$AC$203,"&gt;="&amp;$AG$32,$AC$4:$AC$203,IF(29=$AF$13,"&lt;=","&lt;")&amp;($AG$32+$AF$16)))</f>
        <v/>
      </c>
      <c r="AI32">
        <f>IF(AND(MOD(18,$AF$17)=0,MOD((INT(18/$AF$17)+1)-1,$AF$13/5)=0),INDEX($AN$4:$AN$53,(INT(18/$AF$17)+1)),"")</f>
        <v/>
      </c>
      <c r="AJ32">
        <f>IF(MOD(18,$AF$17)=$AF$17-1,0,INDEX($AH$4:$AH$53,(INT(18/$AF$17)+1)))</f>
        <v/>
      </c>
      <c r="AK32">
        <f>IFERROR(IF(AND($AM$18&gt;=$AF$14,$AM$18&lt;=$AF$15),10+0.5+100*($AM$18-$AF$14)/($AF$15-$AF$14),NA()),NA())</f>
        <v/>
      </c>
      <c r="AL32">
        <f>IF(ISNA($AK$32),NA(),0)</f>
        <v/>
      </c>
      <c r="AN32">
        <f>IF($AG$32="","",IFERROR(IF(ABS($AG$32)&gt;=1000000,ROUND($AG$32/1000000,MAX(0,1-INT(LOG10($AF$27/1000000))))&amp;"M",IF(ABS($AG$32)&gt;=1000,ROUND($AG$32/1000,MAX(0,1-INT(LOG10($AF$27/1000))))&amp;"k",TEXT($AG$32,"#,##0"))),TEXT($AG$32,"#,##0")))</f>
        <v/>
      </c>
    </row>
    <row r="33">
      <c r="B33" t="n">
        <v>593.5</v>
      </c>
      <c r="C33" t="n">
        <v>594.25</v>
      </c>
      <c r="D33" t="n">
        <v>8</v>
      </c>
      <c r="G33">
        <f>IF(30&lt;=$F$13,$F$14+(30-1)*$F$16,"")</f>
        <v/>
      </c>
      <c r="H33">
        <f>IF(30&gt;$F$13,"",SUMIFS($D$4:$D$203,$C$4:$C$203,"&gt;="&amp;$G$33,$C$4:$C$203,IF(30=$F$13,"&lt;=","&lt;")&amp;($G$33+$F$16)))</f>
        <v/>
      </c>
      <c r="I33">
        <f>IF(AND(MOD(19,$F$17)=0,MOD((INT(19/$F$17)+1)-1,$F$13/5)=0),INDEX($N$4:$N$53,(INT(19/$F$17)+1)),"")</f>
        <v/>
      </c>
      <c r="J33">
        <f>IF(MOD(19,$F$17)=$F$17-1,0,INDEX($H$4:$H$53,(INT(19/$F$17)+1)))</f>
        <v/>
      </c>
      <c r="K33">
        <f>IFERROR(IF(AND($M$18&gt;=$F$14,$M$18&lt;=$F$15),10+0.5+100*($M$18-$F$14)/($F$15-$F$14),NA()),NA())</f>
        <v/>
      </c>
      <c r="L33">
        <f>IF(ISNA($K$33),NA(),MAX($J$4:$J$123))</f>
        <v/>
      </c>
      <c r="N33">
        <f>IF($G$33="","",IFERROR(IF(ABS($G$33)&gt;=1000000,ROUND($G$33/1000000,MAX(0,1-INT(LOG10($F$27/1000000))))&amp;"M",IF(ABS($G$33)&gt;=1000,ROUND($G$33/1000,MAX(0,1-INT(LOG10($F$27/1000))))&amp;"k",TEXT($G$33,"#,##0"))),TEXT($G$33,"#,##0")))</f>
        <v/>
      </c>
      <c r="O33" t="n">
        <v>8700</v>
      </c>
      <c r="P33" t="n">
        <v>8850</v>
      </c>
      <c r="Q33" t="n">
        <v>42</v>
      </c>
      <c r="T33">
        <f>IF(30&lt;=$S$13,$S$14+(30-1)*$S$16,"")</f>
        <v/>
      </c>
      <c r="U33">
        <f>IF(30&gt;$S$13,"",SUMIFS($Q$4:$Q$203,$P$4:$P$203,"&gt;="&amp;$T$33,$P$4:$P$203,IF(30=$S$13,"&lt;=","&lt;")&amp;($T$33+$S$16)))</f>
        <v/>
      </c>
      <c r="V33">
        <f>IF(AND(MOD(19,$S$17)=0,MOD((INT(19/$S$17)+1)-1,$S$13/5)=0),INDEX($AA$4:$AA$53,(INT(19/$S$17)+1)),"")</f>
        <v/>
      </c>
      <c r="W33">
        <f>IF(MOD(19,$S$17)=$S$17-1,0,INDEX($U$4:$U$53,(INT(19/$S$17)+1)))</f>
        <v/>
      </c>
      <c r="X33">
        <f>IFERROR(IF(AND($Z$18&gt;=$S$14,$Z$18&lt;=$S$15),10+0.5+100*($Z$18-$S$14)/($S$15-$S$14),NA()),NA())</f>
        <v/>
      </c>
      <c r="Y33">
        <f>IF(ISNA($X$33),NA(),MAX($W$4:$W$123))</f>
        <v/>
      </c>
      <c r="AA33">
        <f>IF($T$33="","",IFERROR(IF(ABS($T$33)&gt;=1000000,ROUND($T$33/1000000,MAX(0,1-INT(LOG10($S$27/1000000))))&amp;"M",IF(ABS($T$33)&gt;=1000,ROUND($T$33/1000,MAX(0,1-INT(LOG10($S$27/1000))))&amp;"k",TEXT($T$33,"#,##0"))),TEXT($T$33,"#,##0")))</f>
        <v/>
      </c>
      <c r="AB33" t="n">
        <v>4350</v>
      </c>
      <c r="AC33" t="n">
        <v>4425</v>
      </c>
      <c r="AD33" t="n">
        <v>50</v>
      </c>
      <c r="AG33">
        <f>IF(30&lt;=$AF$13,$AF$14+(30-1)*$AF$16,"")</f>
        <v/>
      </c>
      <c r="AH33">
        <f>IF(30&gt;$AF$13,"",SUMIFS($AD$4:$AD$203,$AC$4:$AC$203,"&gt;="&amp;$AG$33,$AC$4:$AC$203,IF(30=$AF$13,"&lt;=","&lt;")&amp;($AG$33+$AF$16)))</f>
        <v/>
      </c>
      <c r="AI33">
        <f>IF(AND(MOD(19,$AF$17)=0,MOD((INT(19/$AF$17)+1)-1,$AF$13/5)=0),INDEX($AN$4:$AN$53,(INT(19/$AF$17)+1)),"")</f>
        <v/>
      </c>
      <c r="AJ33">
        <f>IF(MOD(19,$AF$17)=$AF$17-1,0,INDEX($AH$4:$AH$53,(INT(19/$AF$17)+1)))</f>
        <v/>
      </c>
      <c r="AK33">
        <f>IFERROR(IF(AND($AM$18&gt;=$AF$14,$AM$18&lt;=$AF$15),10+0.5+100*($AM$18-$AF$14)/($AF$15-$AF$14),NA()),NA())</f>
        <v/>
      </c>
      <c r="AL33">
        <f>IF(ISNA($AK$33),NA(),MAX($AJ$4:$AJ$123))</f>
        <v/>
      </c>
      <c r="AN33">
        <f>IF($AG$33="","",IFERROR(IF(ABS($AG$33)&gt;=1000000,ROUND($AG$33/1000000,MAX(0,1-INT(LOG10($AF$27/1000000))))&amp;"M",IF(ABS($AG$33)&gt;=1000,ROUND($AG$33/1000,MAX(0,1-INT(LOG10($AF$27/1000))))&amp;"k",TEXT($AG$33,"#,##0"))),TEXT($AG$33,"#,##0")))</f>
        <v/>
      </c>
    </row>
    <row r="34">
      <c r="B34" t="n">
        <v>595</v>
      </c>
      <c r="C34" t="n">
        <v>595.75</v>
      </c>
      <c r="D34" t="n">
        <v>17</v>
      </c>
      <c r="G34">
        <f>IF(31&lt;=$F$13,$F$14+(31-1)*$F$16,"")</f>
        <v/>
      </c>
      <c r="H34">
        <f>IF(31&gt;$F$13,"",SUMIFS($D$4:$D$203,$C$4:$C$203,"&gt;="&amp;$G$34,$C$4:$C$203,IF(31=$F$13,"&lt;=","&lt;")&amp;($G$34+$F$16)))</f>
        <v/>
      </c>
      <c r="I34">
        <f>IF(AND(MOD(20,$F$17)=0,MOD((INT(20/$F$17)+1)-1,$F$13/5)=0),INDEX($N$4:$N$53,(INT(20/$F$17)+1)),"")</f>
        <v/>
      </c>
      <c r="J34">
        <f>IF(MOD(20,$F$17)=$F$17-1,0,INDEX($H$4:$H$53,(INT(20/$F$17)+1)))</f>
        <v/>
      </c>
      <c r="K34">
        <f>IFERROR(IF(AND($M$19&gt;=$F$14,$M$19&lt;=$F$15),10+0.5+100*($M$19-$F$14)/($F$15-$F$14),NA()),NA())</f>
        <v/>
      </c>
      <c r="L34">
        <f>IF(ISNA($K$34),NA(),0)</f>
        <v/>
      </c>
      <c r="N34">
        <f>IF($G$34="","",IFERROR(IF(ABS($G$34)&gt;=1000000,ROUND($G$34/1000000,MAX(0,1-INT(LOG10($F$27/1000000))))&amp;"M",IF(ABS($G$34)&gt;=1000,ROUND($G$34/1000,MAX(0,1-INT(LOG10($F$27/1000))))&amp;"k",TEXT($G$34,"#,##0"))),TEXT($G$34,"#,##0")))</f>
        <v/>
      </c>
      <c r="O34" t="n">
        <v>9000</v>
      </c>
      <c r="P34" t="n">
        <v>9150</v>
      </c>
      <c r="Q34" t="n">
        <v>41</v>
      </c>
      <c r="T34">
        <f>IF(31&lt;=$S$13,$S$14+(31-1)*$S$16,"")</f>
        <v/>
      </c>
      <c r="U34">
        <f>IF(31&gt;$S$13,"",SUMIFS($Q$4:$Q$203,$P$4:$P$203,"&gt;="&amp;$T$34,$P$4:$P$203,IF(31=$S$13,"&lt;=","&lt;")&amp;($T$34+$S$16)))</f>
        <v/>
      </c>
      <c r="V34">
        <f>IF(AND(MOD(20,$S$17)=0,MOD((INT(20/$S$17)+1)-1,$S$13/5)=0),INDEX($AA$4:$AA$53,(INT(20/$S$17)+1)),"")</f>
        <v/>
      </c>
      <c r="W34">
        <f>IF(MOD(20,$S$17)=$S$17-1,0,INDEX($U$4:$U$53,(INT(20/$S$17)+1)))</f>
        <v/>
      </c>
      <c r="X34">
        <f>IFERROR(IF(AND($Z$19&gt;=$S$14,$Z$19&lt;=$S$15),10+0.5+100*($Z$19-$S$14)/($S$15-$S$14),NA()),NA())</f>
        <v/>
      </c>
      <c r="Y34">
        <f>IF(ISNA($X$34),NA(),0)</f>
        <v/>
      </c>
      <c r="AA34">
        <f>IF($T$34="","",IFERROR(IF(ABS($T$34)&gt;=1000000,ROUND($T$34/1000000,MAX(0,1-INT(LOG10($S$27/1000000))))&amp;"M",IF(ABS($T$34)&gt;=1000,ROUND($T$34/1000,MAX(0,1-INT(LOG10($S$27/1000))))&amp;"k",TEXT($T$34,"#,##0"))),TEXT($T$34,"#,##0")))</f>
        <v/>
      </c>
      <c r="AB34" t="n">
        <v>4500</v>
      </c>
      <c r="AC34" t="n">
        <v>4575</v>
      </c>
      <c r="AD34" t="n">
        <v>39</v>
      </c>
      <c r="AG34">
        <f>IF(31&lt;=$AF$13,$AF$14+(31-1)*$AF$16,"")</f>
        <v/>
      </c>
      <c r="AH34">
        <f>IF(31&gt;$AF$13,"",SUMIFS($AD$4:$AD$203,$AC$4:$AC$203,"&gt;="&amp;$AG$34,$AC$4:$AC$203,IF(31=$AF$13,"&lt;=","&lt;")&amp;($AG$34+$AF$16)))</f>
        <v/>
      </c>
      <c r="AI34">
        <f>IF(AND(MOD(20,$AF$17)=0,MOD((INT(20/$AF$17)+1)-1,$AF$13/5)=0),INDEX($AN$4:$AN$53,(INT(20/$AF$17)+1)),"")</f>
        <v/>
      </c>
      <c r="AJ34">
        <f>IF(MOD(20,$AF$17)=$AF$17-1,0,INDEX($AH$4:$AH$53,(INT(20/$AF$17)+1)))</f>
        <v/>
      </c>
      <c r="AK34">
        <f>IFERROR(IF(AND($AM$19&gt;=$AF$14,$AM$19&lt;=$AF$15),10+0.5+100*($AM$19-$AF$14)/($AF$15-$AF$14),NA()),NA())</f>
        <v/>
      </c>
      <c r="AL34">
        <f>IF(ISNA($AK$34),NA(),0)</f>
        <v/>
      </c>
      <c r="AN34">
        <f>IF($AG$34="","",IFERROR(IF(ABS($AG$34)&gt;=1000000,ROUND($AG$34/1000000,MAX(0,1-INT(LOG10($AF$27/1000000))))&amp;"M",IF(ABS($AG$34)&gt;=1000,ROUND($AG$34/1000,MAX(0,1-INT(LOG10($AF$27/1000))))&amp;"k",TEXT($AG$34,"#,##0"))),TEXT($AG$34,"#,##0")))</f>
        <v/>
      </c>
    </row>
    <row r="35">
      <c r="B35" t="n">
        <v>596.5</v>
      </c>
      <c r="C35" t="n">
        <v>597.25</v>
      </c>
      <c r="D35" t="n">
        <v>9</v>
      </c>
      <c r="G35">
        <f>IF(32&lt;=$F$13,$F$14+(32-1)*$F$16,"")</f>
        <v/>
      </c>
      <c r="H35">
        <f>IF(32&gt;$F$13,"",SUMIFS($D$4:$D$203,$C$4:$C$203,"&gt;="&amp;$G$35,$C$4:$C$203,IF(32=$F$13,"&lt;=","&lt;")&amp;($G$35+$F$16)))</f>
        <v/>
      </c>
      <c r="I35">
        <f>IF(AND(MOD(21,$F$17)=0,MOD((INT(21/$F$17)+1)-1,$F$13/5)=0),INDEX($N$4:$N$53,(INT(21/$F$17)+1)),"")</f>
        <v/>
      </c>
      <c r="J35">
        <f>IF(MOD(21,$F$17)=$F$17-1,0,INDEX($H$4:$H$53,(INT(21/$F$17)+1)))</f>
        <v/>
      </c>
      <c r="K35">
        <f>IFERROR(IF(AND($M$19&gt;=$F$14,$M$19&lt;=$F$15),10+0.5+100*($M$19-$F$14)/($F$15-$F$14),NA()),NA())</f>
        <v/>
      </c>
      <c r="L35">
        <f>IF(ISNA($K$35),NA(),MAX($J$4:$J$123))</f>
        <v/>
      </c>
      <c r="N35">
        <f>IF($G$35="","",IFERROR(IF(ABS($G$35)&gt;=1000000,ROUND($G$35/1000000,MAX(0,1-INT(LOG10($F$27/1000000))))&amp;"M",IF(ABS($G$35)&gt;=1000,ROUND($G$35/1000,MAX(0,1-INT(LOG10($F$27/1000))))&amp;"k",TEXT($G$35,"#,##0"))),TEXT($G$35,"#,##0")))</f>
        <v/>
      </c>
      <c r="O35" t="n">
        <v>9300</v>
      </c>
      <c r="P35" t="n">
        <v>9450</v>
      </c>
      <c r="Q35" t="n">
        <v>46</v>
      </c>
      <c r="T35">
        <f>IF(32&lt;=$S$13,$S$14+(32-1)*$S$16,"")</f>
        <v/>
      </c>
      <c r="U35">
        <f>IF(32&gt;$S$13,"",SUMIFS($Q$4:$Q$203,$P$4:$P$203,"&gt;="&amp;$T$35,$P$4:$P$203,IF(32=$S$13,"&lt;=","&lt;")&amp;($T$35+$S$16)))</f>
        <v/>
      </c>
      <c r="V35">
        <f>IF(AND(MOD(21,$S$17)=0,MOD((INT(21/$S$17)+1)-1,$S$13/5)=0),INDEX($AA$4:$AA$53,(INT(21/$S$17)+1)),"")</f>
        <v/>
      </c>
      <c r="W35">
        <f>IF(MOD(21,$S$17)=$S$17-1,0,INDEX($U$4:$U$53,(INT(21/$S$17)+1)))</f>
        <v/>
      </c>
      <c r="X35">
        <f>IFERROR(IF(AND($Z$19&gt;=$S$14,$Z$19&lt;=$S$15),10+0.5+100*($Z$19-$S$14)/($S$15-$S$14),NA()),NA())</f>
        <v/>
      </c>
      <c r="Y35">
        <f>IF(ISNA($X$35),NA(),MAX($W$4:$W$123))</f>
        <v/>
      </c>
      <c r="AA35">
        <f>IF($T$35="","",IFERROR(IF(ABS($T$35)&gt;=1000000,ROUND($T$35/1000000,MAX(0,1-INT(LOG10($S$27/1000000))))&amp;"M",IF(ABS($T$35)&gt;=1000,ROUND($T$35/1000,MAX(0,1-INT(LOG10($S$27/1000))))&amp;"k",TEXT($T$35,"#,##0"))),TEXT($T$35,"#,##0")))</f>
        <v/>
      </c>
      <c r="AB35" t="n">
        <v>4650</v>
      </c>
      <c r="AC35" t="n">
        <v>4725</v>
      </c>
      <c r="AD35" t="n">
        <v>53</v>
      </c>
      <c r="AG35">
        <f>IF(32&lt;=$AF$13,$AF$14+(32-1)*$AF$16,"")</f>
        <v/>
      </c>
      <c r="AH35">
        <f>IF(32&gt;$AF$13,"",SUMIFS($AD$4:$AD$203,$AC$4:$AC$203,"&gt;="&amp;$AG$35,$AC$4:$AC$203,IF(32=$AF$13,"&lt;=","&lt;")&amp;($AG$35+$AF$16)))</f>
        <v/>
      </c>
      <c r="AI35">
        <f>IF(AND(MOD(21,$AF$17)=0,MOD((INT(21/$AF$17)+1)-1,$AF$13/5)=0),INDEX($AN$4:$AN$53,(INT(21/$AF$17)+1)),"")</f>
        <v/>
      </c>
      <c r="AJ35">
        <f>IF(MOD(21,$AF$17)=$AF$17-1,0,INDEX($AH$4:$AH$53,(INT(21/$AF$17)+1)))</f>
        <v/>
      </c>
      <c r="AK35">
        <f>IFERROR(IF(AND($AM$19&gt;=$AF$14,$AM$19&lt;=$AF$15),10+0.5+100*($AM$19-$AF$14)/($AF$15-$AF$14),NA()),NA())</f>
        <v/>
      </c>
      <c r="AL35">
        <f>IF(ISNA($AK$35),NA(),MAX($AJ$4:$AJ$123))</f>
        <v/>
      </c>
      <c r="AN35">
        <f>IF($AG$35="","",IFERROR(IF(ABS($AG$35)&gt;=1000000,ROUND($AG$35/1000000,MAX(0,1-INT(LOG10($AF$27/1000000))))&amp;"M",IF(ABS($AG$35)&gt;=1000,ROUND($AG$35/1000,MAX(0,1-INT(LOG10($AF$27/1000))))&amp;"k",TEXT($AG$35,"#,##0"))),TEXT($AG$35,"#,##0")))</f>
        <v/>
      </c>
    </row>
    <row r="36">
      <c r="B36" t="n">
        <v>598</v>
      </c>
      <c r="C36" t="n">
        <v>598.75</v>
      </c>
      <c r="D36" t="n">
        <v>25</v>
      </c>
      <c r="G36">
        <f>IF(33&lt;=$F$13,$F$14+(33-1)*$F$16,"")</f>
        <v/>
      </c>
      <c r="H36">
        <f>IF(33&gt;$F$13,"",SUMIFS($D$4:$D$203,$C$4:$C$203,"&gt;="&amp;$G$36,$C$4:$C$203,IF(33=$F$13,"&lt;=","&lt;")&amp;($G$36+$F$16)))</f>
        <v/>
      </c>
      <c r="I36">
        <f>IF(AND(MOD(22,$F$17)=0,MOD((INT(22/$F$17)+1)-1,$F$13/5)=0),INDEX($N$4:$N$53,(INT(22/$F$17)+1)),"")</f>
        <v/>
      </c>
      <c r="J36">
        <f>IF(MOD(22,$F$17)=$F$17-1,0,INDEX($H$4:$H$53,(INT(22/$F$17)+1)))</f>
        <v/>
      </c>
      <c r="K36">
        <f>IFERROR(IF(AND($M$20&gt;=$F$14,$M$20&lt;=$F$15),10+0.5+100*($M$20-$F$14)/($F$15-$F$14),NA()),NA())</f>
        <v/>
      </c>
      <c r="L36">
        <f>IF(ISNA($K$36),NA(),0)</f>
        <v/>
      </c>
      <c r="N36">
        <f>IF($G$36="","",IFERROR(IF(ABS($G$36)&gt;=1000000,ROUND($G$36/1000000,MAX(0,1-INT(LOG10($F$27/1000000))))&amp;"M",IF(ABS($G$36)&gt;=1000,ROUND($G$36/1000,MAX(0,1-INT(LOG10($F$27/1000))))&amp;"k",TEXT($G$36,"#,##0"))),TEXT($G$36,"#,##0")))</f>
        <v/>
      </c>
      <c r="O36" t="n">
        <v>9600</v>
      </c>
      <c r="P36" t="n">
        <v>9750</v>
      </c>
      <c r="Q36" t="n">
        <v>51</v>
      </c>
      <c r="T36">
        <f>IF(33&lt;=$S$13,$S$14+(33-1)*$S$16,"")</f>
        <v/>
      </c>
      <c r="U36">
        <f>IF(33&gt;$S$13,"",SUMIFS($Q$4:$Q$203,$P$4:$P$203,"&gt;="&amp;$T$36,$P$4:$P$203,IF(33=$S$13,"&lt;=","&lt;")&amp;($T$36+$S$16)))</f>
        <v/>
      </c>
      <c r="V36">
        <f>IF(AND(MOD(22,$S$17)=0,MOD((INT(22/$S$17)+1)-1,$S$13/5)=0),INDEX($AA$4:$AA$53,(INT(22/$S$17)+1)),"")</f>
        <v/>
      </c>
      <c r="W36">
        <f>IF(MOD(22,$S$17)=$S$17-1,0,INDEX($U$4:$U$53,(INT(22/$S$17)+1)))</f>
        <v/>
      </c>
      <c r="X36">
        <f>IFERROR(IF(AND($Z$20&gt;=$S$14,$Z$20&lt;=$S$15),10+0.5+100*($Z$20-$S$14)/($S$15-$S$14),NA()),NA())</f>
        <v/>
      </c>
      <c r="Y36">
        <f>IF(ISNA($X$36),NA(),0)</f>
        <v/>
      </c>
      <c r="AA36">
        <f>IF($T$36="","",IFERROR(IF(ABS($T$36)&gt;=1000000,ROUND($T$36/1000000,MAX(0,1-INT(LOG10($S$27/1000000))))&amp;"M",IF(ABS($T$36)&gt;=1000,ROUND($T$36/1000,MAX(0,1-INT(LOG10($S$27/1000))))&amp;"k",TEXT($T$36,"#,##0"))),TEXT($T$36,"#,##0")))</f>
        <v/>
      </c>
      <c r="AB36" t="n">
        <v>4800</v>
      </c>
      <c r="AC36" t="n">
        <v>4875</v>
      </c>
      <c r="AD36" t="n">
        <v>45</v>
      </c>
      <c r="AG36">
        <f>IF(33&lt;=$AF$13,$AF$14+(33-1)*$AF$16,"")</f>
        <v/>
      </c>
      <c r="AH36">
        <f>IF(33&gt;$AF$13,"",SUMIFS($AD$4:$AD$203,$AC$4:$AC$203,"&gt;="&amp;$AG$36,$AC$4:$AC$203,IF(33=$AF$13,"&lt;=","&lt;")&amp;($AG$36+$AF$16)))</f>
        <v/>
      </c>
      <c r="AI36">
        <f>IF(AND(MOD(22,$AF$17)=0,MOD((INT(22/$AF$17)+1)-1,$AF$13/5)=0),INDEX($AN$4:$AN$53,(INT(22/$AF$17)+1)),"")</f>
        <v/>
      </c>
      <c r="AJ36">
        <f>IF(MOD(22,$AF$17)=$AF$17-1,0,INDEX($AH$4:$AH$53,(INT(22/$AF$17)+1)))</f>
        <v/>
      </c>
      <c r="AK36">
        <f>IFERROR(IF(AND($AM$20&gt;=$AF$14,$AM$20&lt;=$AF$15),10+0.5+100*($AM$20-$AF$14)/($AF$15-$AF$14),NA()),NA())</f>
        <v/>
      </c>
      <c r="AL36">
        <f>IF(ISNA($AK$36),NA(),0)</f>
        <v/>
      </c>
      <c r="AN36">
        <f>IF($AG$36="","",IFERROR(IF(ABS($AG$36)&gt;=1000000,ROUND($AG$36/1000000,MAX(0,1-INT(LOG10($AF$27/1000000))))&amp;"M",IF(ABS($AG$36)&gt;=1000,ROUND($AG$36/1000,MAX(0,1-INT(LOG10($AF$27/1000))))&amp;"k",TEXT($AG$36,"#,##0"))),TEXT($AG$36,"#,##0")))</f>
        <v/>
      </c>
    </row>
    <row r="37">
      <c r="B37" t="n">
        <v>599.5</v>
      </c>
      <c r="C37" t="n">
        <v>600.25</v>
      </c>
      <c r="D37" t="n">
        <v>12</v>
      </c>
      <c r="G37">
        <f>IF(34&lt;=$F$13,$F$14+(34-1)*$F$16,"")</f>
        <v/>
      </c>
      <c r="H37">
        <f>IF(34&gt;$F$13,"",SUMIFS($D$4:$D$203,$C$4:$C$203,"&gt;="&amp;$G$37,$C$4:$C$203,IF(34=$F$13,"&lt;=","&lt;")&amp;($G$37+$F$16)))</f>
        <v/>
      </c>
      <c r="I37">
        <f>IF(AND(MOD(23,$F$17)=0,MOD((INT(23/$F$17)+1)-1,$F$13/5)=0),INDEX($N$4:$N$53,(INT(23/$F$17)+1)),"")</f>
        <v/>
      </c>
      <c r="J37">
        <f>IF(MOD(23,$F$17)=$F$17-1,0,INDEX($H$4:$H$53,(INT(23/$F$17)+1)))</f>
        <v/>
      </c>
      <c r="K37">
        <f>IFERROR(IF(AND($M$20&gt;=$F$14,$M$20&lt;=$F$15),10+0.5+100*($M$20-$F$14)/($F$15-$F$14),NA()),NA())</f>
        <v/>
      </c>
      <c r="L37">
        <f>IF(ISNA($K$37),NA(),MAX($J$4:$J$123))</f>
        <v/>
      </c>
      <c r="N37">
        <f>IF($G$37="","",IFERROR(IF(ABS($G$37)&gt;=1000000,ROUND($G$37/1000000,MAX(0,1-INT(LOG10($F$27/1000000))))&amp;"M",IF(ABS($G$37)&gt;=1000,ROUND($G$37/1000,MAX(0,1-INT(LOG10($F$27/1000))))&amp;"k",TEXT($G$37,"#,##0"))),TEXT($G$37,"#,##0")))</f>
        <v/>
      </c>
      <c r="O37" t="n">
        <v>9900</v>
      </c>
      <c r="P37" t="n">
        <v>10050</v>
      </c>
      <c r="Q37" t="n">
        <v>58</v>
      </c>
      <c r="T37">
        <f>IF(34&lt;=$S$13,$S$14+(34-1)*$S$16,"")</f>
        <v/>
      </c>
      <c r="U37">
        <f>IF(34&gt;$S$13,"",SUMIFS($Q$4:$Q$203,$P$4:$P$203,"&gt;="&amp;$T$37,$P$4:$P$203,IF(34=$S$13,"&lt;=","&lt;")&amp;($T$37+$S$16)))</f>
        <v/>
      </c>
      <c r="V37">
        <f>IF(AND(MOD(23,$S$17)=0,MOD((INT(23/$S$17)+1)-1,$S$13/5)=0),INDEX($AA$4:$AA$53,(INT(23/$S$17)+1)),"")</f>
        <v/>
      </c>
      <c r="W37">
        <f>IF(MOD(23,$S$17)=$S$17-1,0,INDEX($U$4:$U$53,(INT(23/$S$17)+1)))</f>
        <v/>
      </c>
      <c r="X37">
        <f>IFERROR(IF(AND($Z$20&gt;=$S$14,$Z$20&lt;=$S$15),10+0.5+100*($Z$20-$S$14)/($S$15-$S$14),NA()),NA())</f>
        <v/>
      </c>
      <c r="Y37">
        <f>IF(ISNA($X$37),NA(),MAX($W$4:$W$123))</f>
        <v/>
      </c>
      <c r="AA37">
        <f>IF($T$37="","",IFERROR(IF(ABS($T$37)&gt;=1000000,ROUND($T$37/1000000,MAX(0,1-INT(LOG10($S$27/1000000))))&amp;"M",IF(ABS($T$37)&gt;=1000,ROUND($T$37/1000,MAX(0,1-INT(LOG10($S$27/1000))))&amp;"k",TEXT($T$37,"#,##0"))),TEXT($T$37,"#,##0")))</f>
        <v/>
      </c>
      <c r="AB37" t="n">
        <v>4950</v>
      </c>
      <c r="AC37" t="n">
        <v>5025</v>
      </c>
      <c r="AD37" t="n">
        <v>52</v>
      </c>
      <c r="AG37">
        <f>IF(34&lt;=$AF$13,$AF$14+(34-1)*$AF$16,"")</f>
        <v/>
      </c>
      <c r="AH37">
        <f>IF(34&gt;$AF$13,"",SUMIFS($AD$4:$AD$203,$AC$4:$AC$203,"&gt;="&amp;$AG$37,$AC$4:$AC$203,IF(34=$AF$13,"&lt;=","&lt;")&amp;($AG$37+$AF$16)))</f>
        <v/>
      </c>
      <c r="AI37">
        <f>IF(AND(MOD(23,$AF$17)=0,MOD((INT(23/$AF$17)+1)-1,$AF$13/5)=0),INDEX($AN$4:$AN$53,(INT(23/$AF$17)+1)),"")</f>
        <v/>
      </c>
      <c r="AJ37">
        <f>IF(MOD(23,$AF$17)=$AF$17-1,0,INDEX($AH$4:$AH$53,(INT(23/$AF$17)+1)))</f>
        <v/>
      </c>
      <c r="AK37">
        <f>IFERROR(IF(AND($AM$20&gt;=$AF$14,$AM$20&lt;=$AF$15),10+0.5+100*($AM$20-$AF$14)/($AF$15-$AF$14),NA()),NA())</f>
        <v/>
      </c>
      <c r="AL37">
        <f>IF(ISNA($AK$37),NA(),MAX($AJ$4:$AJ$123))</f>
        <v/>
      </c>
      <c r="AN37">
        <f>IF($AG$37="","",IFERROR(IF(ABS($AG$37)&gt;=1000000,ROUND($AG$37/1000000,MAX(0,1-INT(LOG10($AF$27/1000000))))&amp;"M",IF(ABS($AG$37)&gt;=1000,ROUND($AG$37/1000,MAX(0,1-INT(LOG10($AF$27/1000))))&amp;"k",TEXT($AG$37,"#,##0"))),TEXT($AG$37,"#,##0")))</f>
        <v/>
      </c>
    </row>
    <row r="38">
      <c r="B38" t="n">
        <v>601</v>
      </c>
      <c r="C38" t="n">
        <v>601.75</v>
      </c>
      <c r="D38" t="n">
        <v>25</v>
      </c>
      <c r="G38">
        <f>IF(35&lt;=$F$13,$F$14+(35-1)*$F$16,"")</f>
        <v/>
      </c>
      <c r="H38">
        <f>IF(35&gt;$F$13,"",SUMIFS($D$4:$D$203,$C$4:$C$203,"&gt;="&amp;$G$38,$C$4:$C$203,IF(35=$F$13,"&lt;=","&lt;")&amp;($G$38+$F$16)))</f>
        <v/>
      </c>
      <c r="I38">
        <f>IF(AND(MOD(24,$F$17)=0,MOD((INT(24/$F$17)+1)-1,$F$13/5)=0),INDEX($N$4:$N$53,(INT(24/$F$17)+1)),"")</f>
        <v/>
      </c>
      <c r="J38">
        <f>IF(MOD(24,$F$17)=$F$17-1,0,INDEX($H$4:$H$53,(INT(24/$F$17)+1)))</f>
        <v/>
      </c>
      <c r="K38">
        <f>IFERROR(IF(AND($M$21&gt;=$F$14,$M$21&lt;=$F$15),10+0.5+100*($M$21-$F$14)/($F$15-$F$14),NA()),NA())</f>
        <v/>
      </c>
      <c r="L38">
        <f>IF(ISNA($K$38),NA(),0)</f>
        <v/>
      </c>
      <c r="N38">
        <f>IF($G$38="","",IFERROR(IF(ABS($G$38)&gt;=1000000,ROUND($G$38/1000000,MAX(0,1-INT(LOG10($F$27/1000000))))&amp;"M",IF(ABS($G$38)&gt;=1000,ROUND($G$38/1000,MAX(0,1-INT(LOG10($F$27/1000))))&amp;"k",TEXT($G$38,"#,##0"))),TEXT($G$38,"#,##0")))</f>
        <v/>
      </c>
      <c r="O38" t="n">
        <v>10200</v>
      </c>
      <c r="P38" t="n">
        <v>10350</v>
      </c>
      <c r="Q38" t="n">
        <v>40</v>
      </c>
      <c r="T38">
        <f>IF(35&lt;=$S$13,$S$14+(35-1)*$S$16,"")</f>
        <v/>
      </c>
      <c r="U38">
        <f>IF(35&gt;$S$13,"",SUMIFS($Q$4:$Q$203,$P$4:$P$203,"&gt;="&amp;$T$38,$P$4:$P$203,IF(35=$S$13,"&lt;=","&lt;")&amp;($T$38+$S$16)))</f>
        <v/>
      </c>
      <c r="V38">
        <f>IF(AND(MOD(24,$S$17)=0,MOD((INT(24/$S$17)+1)-1,$S$13/5)=0),INDEX($AA$4:$AA$53,(INT(24/$S$17)+1)),"")</f>
        <v/>
      </c>
      <c r="W38">
        <f>IF(MOD(24,$S$17)=$S$17-1,0,INDEX($U$4:$U$53,(INT(24/$S$17)+1)))</f>
        <v/>
      </c>
      <c r="X38">
        <f>IFERROR(IF(AND($Z$21&gt;=$S$14,$Z$21&lt;=$S$15),10+0.5+100*($Z$21-$S$14)/($S$15-$S$14),NA()),NA())</f>
        <v/>
      </c>
      <c r="Y38">
        <f>IF(ISNA($X$38),NA(),0)</f>
        <v/>
      </c>
      <c r="AA38">
        <f>IF($T$38="","",IFERROR(IF(ABS($T$38)&gt;=1000000,ROUND($T$38/1000000,MAX(0,1-INT(LOG10($S$27/1000000))))&amp;"M",IF(ABS($T$38)&gt;=1000,ROUND($T$38/1000,MAX(0,1-INT(LOG10($S$27/1000))))&amp;"k",TEXT($T$38,"#,##0"))),TEXT($T$38,"#,##0")))</f>
        <v/>
      </c>
      <c r="AB38" t="n">
        <v>5100</v>
      </c>
      <c r="AC38" t="n">
        <v>5175</v>
      </c>
      <c r="AD38" t="n">
        <v>46</v>
      </c>
      <c r="AG38">
        <f>IF(35&lt;=$AF$13,$AF$14+(35-1)*$AF$16,"")</f>
        <v/>
      </c>
      <c r="AH38">
        <f>IF(35&gt;$AF$13,"",SUMIFS($AD$4:$AD$203,$AC$4:$AC$203,"&gt;="&amp;$AG$38,$AC$4:$AC$203,IF(35=$AF$13,"&lt;=","&lt;")&amp;($AG$38+$AF$16)))</f>
        <v/>
      </c>
      <c r="AI38">
        <f>IF(AND(MOD(24,$AF$17)=0,MOD((INT(24/$AF$17)+1)-1,$AF$13/5)=0),INDEX($AN$4:$AN$53,(INT(24/$AF$17)+1)),"")</f>
        <v/>
      </c>
      <c r="AJ38">
        <f>IF(MOD(24,$AF$17)=$AF$17-1,0,INDEX($AH$4:$AH$53,(INT(24/$AF$17)+1)))</f>
        <v/>
      </c>
      <c r="AK38">
        <f>IFERROR(IF(AND($AM$21&gt;=$AF$14,$AM$21&lt;=$AF$15),10+0.5+100*($AM$21-$AF$14)/($AF$15-$AF$14),NA()),NA())</f>
        <v/>
      </c>
      <c r="AL38">
        <f>IF(ISNA($AK$38),NA(),0)</f>
        <v/>
      </c>
      <c r="AN38">
        <f>IF($AG$38="","",IFERROR(IF(ABS($AG$38)&gt;=1000000,ROUND($AG$38/1000000,MAX(0,1-INT(LOG10($AF$27/1000000))))&amp;"M",IF(ABS($AG$38)&gt;=1000,ROUND($AG$38/1000,MAX(0,1-INT(LOG10($AF$27/1000))))&amp;"k",TEXT($AG$38,"#,##0"))),TEXT($AG$38,"#,##0")))</f>
        <v/>
      </c>
    </row>
    <row r="39">
      <c r="B39" t="n">
        <v>602.5</v>
      </c>
      <c r="C39" t="n">
        <v>603.25</v>
      </c>
      <c r="D39" t="n">
        <v>12</v>
      </c>
      <c r="G39">
        <f>IF(36&lt;=$F$13,$F$14+(36-1)*$F$16,"")</f>
        <v/>
      </c>
      <c r="H39">
        <f>IF(36&gt;$F$13,"",SUMIFS($D$4:$D$203,$C$4:$C$203,"&gt;="&amp;$G$39,$C$4:$C$203,IF(36=$F$13,"&lt;=","&lt;")&amp;($G$39+$F$16)))</f>
        <v/>
      </c>
      <c r="I39">
        <f>IF(AND(MOD(25,$F$17)=0,MOD((INT(25/$F$17)+1)-1,$F$13/5)=0),INDEX($N$4:$N$53,(INT(25/$F$17)+1)),"")</f>
        <v/>
      </c>
      <c r="J39">
        <f>IF(MOD(25,$F$17)=$F$17-1,0,INDEX($H$4:$H$53,(INT(25/$F$17)+1)))</f>
        <v/>
      </c>
      <c r="K39">
        <f>IFERROR(IF(AND($M$21&gt;=$F$14,$M$21&lt;=$F$15),10+0.5+100*($M$21-$F$14)/($F$15-$F$14),NA()),NA())</f>
        <v/>
      </c>
      <c r="L39">
        <f>IF(ISNA($K$39),NA(),MAX($J$4:$J$123))</f>
        <v/>
      </c>
      <c r="N39">
        <f>IF($G$39="","",IFERROR(IF(ABS($G$39)&gt;=1000000,ROUND($G$39/1000000,MAX(0,1-INT(LOG10($F$27/1000000))))&amp;"M",IF(ABS($G$39)&gt;=1000,ROUND($G$39/1000,MAX(0,1-INT(LOG10($F$27/1000))))&amp;"k",TEXT($G$39,"#,##0"))),TEXT($G$39,"#,##0")))</f>
        <v/>
      </c>
      <c r="O39" t="n">
        <v>10500</v>
      </c>
      <c r="P39" t="n">
        <v>10650</v>
      </c>
      <c r="Q39" t="n">
        <v>56</v>
      </c>
      <c r="T39">
        <f>IF(36&lt;=$S$13,$S$14+(36-1)*$S$16,"")</f>
        <v/>
      </c>
      <c r="U39">
        <f>IF(36&gt;$S$13,"",SUMIFS($Q$4:$Q$203,$P$4:$P$203,"&gt;="&amp;$T$39,$P$4:$P$203,IF(36=$S$13,"&lt;=","&lt;")&amp;($T$39+$S$16)))</f>
        <v/>
      </c>
      <c r="V39">
        <f>IF(AND(MOD(25,$S$17)=0,MOD((INT(25/$S$17)+1)-1,$S$13/5)=0),INDEX($AA$4:$AA$53,(INT(25/$S$17)+1)),"")</f>
        <v/>
      </c>
      <c r="W39">
        <f>IF(MOD(25,$S$17)=$S$17-1,0,INDEX($U$4:$U$53,(INT(25/$S$17)+1)))</f>
        <v/>
      </c>
      <c r="X39">
        <f>IFERROR(IF(AND($Z$21&gt;=$S$14,$Z$21&lt;=$S$15),10+0.5+100*($Z$21-$S$14)/($S$15-$S$14),NA()),NA())</f>
        <v/>
      </c>
      <c r="Y39">
        <f>IF(ISNA($X$39),NA(),MAX($W$4:$W$123))</f>
        <v/>
      </c>
      <c r="AA39">
        <f>IF($T$39="","",IFERROR(IF(ABS($T$39)&gt;=1000000,ROUND($T$39/1000000,MAX(0,1-INT(LOG10($S$27/1000000))))&amp;"M",IF(ABS($T$39)&gt;=1000,ROUND($T$39/1000,MAX(0,1-INT(LOG10($S$27/1000))))&amp;"k",TEXT($T$39,"#,##0"))),TEXT($T$39,"#,##0")))</f>
        <v/>
      </c>
      <c r="AB39" t="n">
        <v>5250</v>
      </c>
      <c r="AC39" t="n">
        <v>5325</v>
      </c>
      <c r="AD39" t="n">
        <v>54</v>
      </c>
      <c r="AG39">
        <f>IF(36&lt;=$AF$13,$AF$14+(36-1)*$AF$16,"")</f>
        <v/>
      </c>
      <c r="AH39">
        <f>IF(36&gt;$AF$13,"",SUMIFS($AD$4:$AD$203,$AC$4:$AC$203,"&gt;="&amp;$AG$39,$AC$4:$AC$203,IF(36=$AF$13,"&lt;=","&lt;")&amp;($AG$39+$AF$16)))</f>
        <v/>
      </c>
      <c r="AI39">
        <f>IF(AND(MOD(25,$AF$17)=0,MOD((INT(25/$AF$17)+1)-1,$AF$13/5)=0),INDEX($AN$4:$AN$53,(INT(25/$AF$17)+1)),"")</f>
        <v/>
      </c>
      <c r="AJ39">
        <f>IF(MOD(25,$AF$17)=$AF$17-1,0,INDEX($AH$4:$AH$53,(INT(25/$AF$17)+1)))</f>
        <v/>
      </c>
      <c r="AK39">
        <f>IFERROR(IF(AND($AM$21&gt;=$AF$14,$AM$21&lt;=$AF$15),10+0.5+100*($AM$21-$AF$14)/($AF$15-$AF$14),NA()),NA())</f>
        <v/>
      </c>
      <c r="AL39">
        <f>IF(ISNA($AK$39),NA(),MAX($AJ$4:$AJ$123))</f>
        <v/>
      </c>
      <c r="AN39">
        <f>IF($AG$39="","",IFERROR(IF(ABS($AG$39)&gt;=1000000,ROUND($AG$39/1000000,MAX(0,1-INT(LOG10($AF$27/1000000))))&amp;"M",IF(ABS($AG$39)&gt;=1000,ROUND($AG$39/1000,MAX(0,1-INT(LOG10($AF$27/1000))))&amp;"k",TEXT($AG$39,"#,##0"))),TEXT($AG$39,"#,##0")))</f>
        <v/>
      </c>
    </row>
    <row r="40">
      <c r="B40" t="n">
        <v>604</v>
      </c>
      <c r="C40" t="n">
        <v>604.75</v>
      </c>
      <c r="D40" t="n">
        <v>24</v>
      </c>
      <c r="G40">
        <f>IF(37&lt;=$F$13,$F$14+(37-1)*$F$16,"")</f>
        <v/>
      </c>
      <c r="H40">
        <f>IF(37&gt;$F$13,"",SUMIFS($D$4:$D$203,$C$4:$C$203,"&gt;="&amp;$G$40,$C$4:$C$203,IF(37=$F$13,"&lt;=","&lt;")&amp;($G$40+$F$16)))</f>
        <v/>
      </c>
      <c r="I40">
        <f>IF(AND(MOD(26,$F$17)=0,MOD((INT(26/$F$17)+1)-1,$F$13/5)=0),INDEX($N$4:$N$53,(INT(26/$F$17)+1)),"")</f>
        <v/>
      </c>
      <c r="J40">
        <f>IF(MOD(26,$F$17)=$F$17-1,0,INDEX($H$4:$H$53,(INT(26/$F$17)+1)))</f>
        <v/>
      </c>
      <c r="K40">
        <f>IFERROR(IF(AND($M$22&gt;=$F$14,$M$22&lt;=$F$15),10+0.5+100*($M$22-$F$14)/($F$15-$F$14),NA()),NA())</f>
        <v/>
      </c>
      <c r="L40">
        <f>IF(ISNA($K$40),NA(),0)</f>
        <v/>
      </c>
      <c r="N40">
        <f>IF($G$40="","",IFERROR(IF(ABS($G$40)&gt;=1000000,ROUND($G$40/1000000,MAX(0,1-INT(LOG10($F$27/1000000))))&amp;"M",IF(ABS($G$40)&gt;=1000,ROUND($G$40/1000,MAX(0,1-INT(LOG10($F$27/1000))))&amp;"k",TEXT($G$40,"#,##0"))),TEXT($G$40,"#,##0")))</f>
        <v/>
      </c>
      <c r="O40" t="n">
        <v>10800</v>
      </c>
      <c r="P40" t="n">
        <v>10950</v>
      </c>
      <c r="Q40" t="n">
        <v>41</v>
      </c>
      <c r="T40">
        <f>IF(37&lt;=$S$13,$S$14+(37-1)*$S$16,"")</f>
        <v/>
      </c>
      <c r="U40">
        <f>IF(37&gt;$S$13,"",SUMIFS($Q$4:$Q$203,$P$4:$P$203,"&gt;="&amp;$T$40,$P$4:$P$203,IF(37=$S$13,"&lt;=","&lt;")&amp;($T$40+$S$16)))</f>
        <v/>
      </c>
      <c r="V40">
        <f>IF(AND(MOD(26,$S$17)=0,MOD((INT(26/$S$17)+1)-1,$S$13/5)=0),INDEX($AA$4:$AA$53,(INT(26/$S$17)+1)),"")</f>
        <v/>
      </c>
      <c r="W40">
        <f>IF(MOD(26,$S$17)=$S$17-1,0,INDEX($U$4:$U$53,(INT(26/$S$17)+1)))</f>
        <v/>
      </c>
      <c r="X40">
        <f>IFERROR(IF(AND($Z$22&gt;=$S$14,$Z$22&lt;=$S$15),10+0.5+100*($Z$22-$S$14)/($S$15-$S$14),NA()),NA())</f>
        <v/>
      </c>
      <c r="Y40">
        <f>IF(ISNA($X$40),NA(),0)</f>
        <v/>
      </c>
      <c r="AA40">
        <f>IF($T$40="","",IFERROR(IF(ABS($T$40)&gt;=1000000,ROUND($T$40/1000000,MAX(0,1-INT(LOG10($S$27/1000000))))&amp;"M",IF(ABS($T$40)&gt;=1000,ROUND($T$40/1000,MAX(0,1-INT(LOG10($S$27/1000))))&amp;"k",TEXT($T$40,"#,##0"))),TEXT($T$40,"#,##0")))</f>
        <v/>
      </c>
      <c r="AB40" t="n">
        <v>5400</v>
      </c>
      <c r="AC40" t="n">
        <v>5475</v>
      </c>
      <c r="AD40" t="n">
        <v>56</v>
      </c>
      <c r="AG40">
        <f>IF(37&lt;=$AF$13,$AF$14+(37-1)*$AF$16,"")</f>
        <v/>
      </c>
      <c r="AH40">
        <f>IF(37&gt;$AF$13,"",SUMIFS($AD$4:$AD$203,$AC$4:$AC$203,"&gt;="&amp;$AG$40,$AC$4:$AC$203,IF(37=$AF$13,"&lt;=","&lt;")&amp;($AG$40+$AF$16)))</f>
        <v/>
      </c>
      <c r="AI40">
        <f>IF(AND(MOD(26,$AF$17)=0,MOD((INT(26/$AF$17)+1)-1,$AF$13/5)=0),INDEX($AN$4:$AN$53,(INT(26/$AF$17)+1)),"")</f>
        <v/>
      </c>
      <c r="AJ40">
        <f>IF(MOD(26,$AF$17)=$AF$17-1,0,INDEX($AH$4:$AH$53,(INT(26/$AF$17)+1)))</f>
        <v/>
      </c>
      <c r="AK40">
        <f>IFERROR(IF(AND($AM$22&gt;=$AF$14,$AM$22&lt;=$AF$15),10+0.5+100*($AM$22-$AF$14)/($AF$15-$AF$14),NA()),NA())</f>
        <v/>
      </c>
      <c r="AL40">
        <f>IF(ISNA($AK$40),NA(),0)</f>
        <v/>
      </c>
      <c r="AN40">
        <f>IF($AG$40="","",IFERROR(IF(ABS($AG$40)&gt;=1000000,ROUND($AG$40/1000000,MAX(0,1-INT(LOG10($AF$27/1000000))))&amp;"M",IF(ABS($AG$40)&gt;=1000,ROUND($AG$40/1000,MAX(0,1-INT(LOG10($AF$27/1000))))&amp;"k",TEXT($AG$40,"#,##0"))),TEXT($AG$40,"#,##0")))</f>
        <v/>
      </c>
    </row>
    <row r="41">
      <c r="B41" t="n">
        <v>605.5</v>
      </c>
      <c r="C41" t="n">
        <v>606.25</v>
      </c>
      <c r="D41" t="n">
        <v>17</v>
      </c>
      <c r="G41">
        <f>IF(38&lt;=$F$13,$F$14+(38-1)*$F$16,"")</f>
        <v/>
      </c>
      <c r="H41">
        <f>IF(38&gt;$F$13,"",SUMIFS($D$4:$D$203,$C$4:$C$203,"&gt;="&amp;$G$41,$C$4:$C$203,IF(38=$F$13,"&lt;=","&lt;")&amp;($G$41+$F$16)))</f>
        <v/>
      </c>
      <c r="I41">
        <f>IF(AND(MOD(27,$F$17)=0,MOD((INT(27/$F$17)+1)-1,$F$13/5)=0),INDEX($N$4:$N$53,(INT(27/$F$17)+1)),"")</f>
        <v/>
      </c>
      <c r="J41">
        <f>IF(MOD(27,$F$17)=$F$17-1,0,INDEX($H$4:$H$53,(INT(27/$F$17)+1)))</f>
        <v/>
      </c>
      <c r="K41">
        <f>IFERROR(IF(AND($M$22&gt;=$F$14,$M$22&lt;=$F$15),10+0.5+100*($M$22-$F$14)/($F$15-$F$14),NA()),NA())</f>
        <v/>
      </c>
      <c r="L41">
        <f>IF(ISNA($K$41),NA(),MAX($J$4:$J$123))</f>
        <v/>
      </c>
      <c r="N41">
        <f>IF($G$41="","",IFERROR(IF(ABS($G$41)&gt;=1000000,ROUND($G$41/1000000,MAX(0,1-INT(LOG10($F$27/1000000))))&amp;"M",IF(ABS($G$41)&gt;=1000,ROUND($G$41/1000,MAX(0,1-INT(LOG10($F$27/1000))))&amp;"k",TEXT($G$41,"#,##0"))),TEXT($G$41,"#,##0")))</f>
        <v/>
      </c>
      <c r="O41" t="n">
        <v>11100</v>
      </c>
      <c r="P41" t="n">
        <v>11250</v>
      </c>
      <c r="Q41" t="n">
        <v>50</v>
      </c>
      <c r="T41">
        <f>IF(38&lt;=$S$13,$S$14+(38-1)*$S$16,"")</f>
        <v/>
      </c>
      <c r="U41">
        <f>IF(38&gt;$S$13,"",SUMIFS($Q$4:$Q$203,$P$4:$P$203,"&gt;="&amp;$T$41,$P$4:$P$203,IF(38=$S$13,"&lt;=","&lt;")&amp;($T$41+$S$16)))</f>
        <v/>
      </c>
      <c r="V41">
        <f>IF(AND(MOD(27,$S$17)=0,MOD((INT(27/$S$17)+1)-1,$S$13/5)=0),INDEX($AA$4:$AA$53,(INT(27/$S$17)+1)),"")</f>
        <v/>
      </c>
      <c r="W41">
        <f>IF(MOD(27,$S$17)=$S$17-1,0,INDEX($U$4:$U$53,(INT(27/$S$17)+1)))</f>
        <v/>
      </c>
      <c r="X41">
        <f>IFERROR(IF(AND($Z$22&gt;=$S$14,$Z$22&lt;=$S$15),10+0.5+100*($Z$22-$S$14)/($S$15-$S$14),NA()),NA())</f>
        <v/>
      </c>
      <c r="Y41">
        <f>IF(ISNA($X$41),NA(),MAX($W$4:$W$123))</f>
        <v/>
      </c>
      <c r="AA41">
        <f>IF($T$41="","",IFERROR(IF(ABS($T$41)&gt;=1000000,ROUND($T$41/1000000,MAX(0,1-INT(LOG10($S$27/1000000))))&amp;"M",IF(ABS($T$41)&gt;=1000,ROUND($T$41/1000,MAX(0,1-INT(LOG10($S$27/1000))))&amp;"k",TEXT($T$41,"#,##0"))),TEXT($T$41,"#,##0")))</f>
        <v/>
      </c>
      <c r="AB41" t="n">
        <v>5550</v>
      </c>
      <c r="AC41" t="n">
        <v>5625</v>
      </c>
      <c r="AD41" t="n">
        <v>57</v>
      </c>
      <c r="AG41">
        <f>IF(38&lt;=$AF$13,$AF$14+(38-1)*$AF$16,"")</f>
        <v/>
      </c>
      <c r="AH41">
        <f>IF(38&gt;$AF$13,"",SUMIFS($AD$4:$AD$203,$AC$4:$AC$203,"&gt;="&amp;$AG$41,$AC$4:$AC$203,IF(38=$AF$13,"&lt;=","&lt;")&amp;($AG$41+$AF$16)))</f>
        <v/>
      </c>
      <c r="AI41">
        <f>IF(AND(MOD(27,$AF$17)=0,MOD((INT(27/$AF$17)+1)-1,$AF$13/5)=0),INDEX($AN$4:$AN$53,(INT(27/$AF$17)+1)),"")</f>
        <v/>
      </c>
      <c r="AJ41">
        <f>IF(MOD(27,$AF$17)=$AF$17-1,0,INDEX($AH$4:$AH$53,(INT(27/$AF$17)+1)))</f>
        <v/>
      </c>
      <c r="AK41">
        <f>IFERROR(IF(AND($AM$22&gt;=$AF$14,$AM$22&lt;=$AF$15),10+0.5+100*($AM$22-$AF$14)/($AF$15-$AF$14),NA()),NA())</f>
        <v/>
      </c>
      <c r="AL41">
        <f>IF(ISNA($AK$41),NA(),MAX($AJ$4:$AJ$123))</f>
        <v/>
      </c>
      <c r="AN41">
        <f>IF($AG$41="","",IFERROR(IF(ABS($AG$41)&gt;=1000000,ROUND($AG$41/1000000,MAX(0,1-INT(LOG10($AF$27/1000000))))&amp;"M",IF(ABS($AG$41)&gt;=1000,ROUND($AG$41/1000,MAX(0,1-INT(LOG10($AF$27/1000))))&amp;"k",TEXT($AG$41,"#,##0"))),TEXT($AG$41,"#,##0")))</f>
        <v/>
      </c>
    </row>
    <row r="42">
      <c r="B42" t="n">
        <v>607</v>
      </c>
      <c r="C42" t="n">
        <v>607.75</v>
      </c>
      <c r="D42" t="n">
        <v>34</v>
      </c>
      <c r="G42">
        <f>IF(39&lt;=$F$13,$F$14+(39-1)*$F$16,"")</f>
        <v/>
      </c>
      <c r="H42">
        <f>IF(39&gt;$F$13,"",SUMIFS($D$4:$D$203,$C$4:$C$203,"&gt;="&amp;$G$42,$C$4:$C$203,IF(39=$F$13,"&lt;=","&lt;")&amp;($G$42+$F$16)))</f>
        <v/>
      </c>
      <c r="I42">
        <f>IF(AND(MOD(28,$F$17)=0,MOD((INT(28/$F$17)+1)-1,$F$13/5)=0),INDEX($N$4:$N$53,(INT(28/$F$17)+1)),"")</f>
        <v/>
      </c>
      <c r="J42">
        <f>IF(MOD(28,$F$17)=$F$17-1,0,INDEX($H$4:$H$53,(INT(28/$F$17)+1)))</f>
        <v/>
      </c>
      <c r="K42">
        <f>IFERROR(IF(AND($M$23&gt;=$F$14,$M$23&lt;=$F$15),10+0.5+100*($M$23-$F$14)/($F$15-$F$14),NA()),NA())</f>
        <v/>
      </c>
      <c r="L42">
        <f>IF(ISNA($K$42),NA(),0)</f>
        <v/>
      </c>
      <c r="N42">
        <f>IF($G$42="","",IFERROR(IF(ABS($G$42)&gt;=1000000,ROUND($G$42/1000000,MAX(0,1-INT(LOG10($F$27/1000000))))&amp;"M",IF(ABS($G$42)&gt;=1000,ROUND($G$42/1000,MAX(0,1-INT(LOG10($F$27/1000))))&amp;"k",TEXT($G$42,"#,##0"))),TEXT($G$42,"#,##0")))</f>
        <v/>
      </c>
      <c r="O42" t="n">
        <v>11400</v>
      </c>
      <c r="P42" t="n">
        <v>11550</v>
      </c>
      <c r="Q42" t="n">
        <v>49</v>
      </c>
      <c r="T42">
        <f>IF(39&lt;=$S$13,$S$14+(39-1)*$S$16,"")</f>
        <v/>
      </c>
      <c r="U42">
        <f>IF(39&gt;$S$13,"",SUMIFS($Q$4:$Q$203,$P$4:$P$203,"&gt;="&amp;$T$42,$P$4:$P$203,IF(39=$S$13,"&lt;=","&lt;")&amp;($T$42+$S$16)))</f>
        <v/>
      </c>
      <c r="V42">
        <f>IF(AND(MOD(28,$S$17)=0,MOD((INT(28/$S$17)+1)-1,$S$13/5)=0),INDEX($AA$4:$AA$53,(INT(28/$S$17)+1)),"")</f>
        <v/>
      </c>
      <c r="W42">
        <f>IF(MOD(28,$S$17)=$S$17-1,0,INDEX($U$4:$U$53,(INT(28/$S$17)+1)))</f>
        <v/>
      </c>
      <c r="X42">
        <f>IFERROR(IF(AND($Z$23&gt;=$S$14,$Z$23&lt;=$S$15),10+0.5+100*($Z$23-$S$14)/($S$15-$S$14),NA()),NA())</f>
        <v/>
      </c>
      <c r="Y42">
        <f>IF(ISNA($X$42),NA(),0)</f>
        <v/>
      </c>
      <c r="AA42">
        <f>IF($T$42="","",IFERROR(IF(ABS($T$42)&gt;=1000000,ROUND($T$42/1000000,MAX(0,1-INT(LOG10($S$27/1000000))))&amp;"M",IF(ABS($T$42)&gt;=1000,ROUND($T$42/1000,MAX(0,1-INT(LOG10($S$27/1000))))&amp;"k",TEXT($T$42,"#,##0"))),TEXT($T$42,"#,##0")))</f>
        <v/>
      </c>
      <c r="AB42" t="n">
        <v>5700</v>
      </c>
      <c r="AC42" t="n">
        <v>5775</v>
      </c>
      <c r="AD42" t="n">
        <v>58</v>
      </c>
      <c r="AG42">
        <f>IF(39&lt;=$AF$13,$AF$14+(39-1)*$AF$16,"")</f>
        <v/>
      </c>
      <c r="AH42">
        <f>IF(39&gt;$AF$13,"",SUMIFS($AD$4:$AD$203,$AC$4:$AC$203,"&gt;="&amp;$AG$42,$AC$4:$AC$203,IF(39=$AF$13,"&lt;=","&lt;")&amp;($AG$42+$AF$16)))</f>
        <v/>
      </c>
      <c r="AI42">
        <f>IF(AND(MOD(28,$AF$17)=0,MOD((INT(28/$AF$17)+1)-1,$AF$13/5)=0),INDEX($AN$4:$AN$53,(INT(28/$AF$17)+1)),"")</f>
        <v/>
      </c>
      <c r="AJ42">
        <f>IF(MOD(28,$AF$17)=$AF$17-1,0,INDEX($AH$4:$AH$53,(INT(28/$AF$17)+1)))</f>
        <v/>
      </c>
      <c r="AK42">
        <f>IFERROR(IF(AND($AM$23&gt;=$AF$14,$AM$23&lt;=$AF$15),10+0.5+100*($AM$23-$AF$14)/($AF$15-$AF$14),NA()),NA())</f>
        <v/>
      </c>
      <c r="AL42">
        <f>IF(ISNA($AK$42),NA(),0)</f>
        <v/>
      </c>
      <c r="AN42">
        <f>IF($AG$42="","",IFERROR(IF(ABS($AG$42)&gt;=1000000,ROUND($AG$42/1000000,MAX(0,1-INT(LOG10($AF$27/1000000))))&amp;"M",IF(ABS($AG$42)&gt;=1000,ROUND($AG$42/1000,MAX(0,1-INT(LOG10($AF$27/1000))))&amp;"k",TEXT($AG$42,"#,##0"))),TEXT($AG$42,"#,##0")))</f>
        <v/>
      </c>
    </row>
    <row r="43">
      <c r="B43" t="n">
        <v>608.5</v>
      </c>
      <c r="C43" t="n">
        <v>609.25</v>
      </c>
      <c r="D43" t="n">
        <v>18</v>
      </c>
      <c r="G43">
        <f>IF(40&lt;=$F$13,$F$14+(40-1)*$F$16,"")</f>
        <v/>
      </c>
      <c r="H43">
        <f>IF(40&gt;$F$13,"",SUMIFS($D$4:$D$203,$C$4:$C$203,"&gt;="&amp;$G$43,$C$4:$C$203,IF(40=$F$13,"&lt;=","&lt;")&amp;($G$43+$F$16)))</f>
        <v/>
      </c>
      <c r="I43">
        <f>IF(AND(MOD(29,$F$17)=0,MOD((INT(29/$F$17)+1)-1,$F$13/5)=0),INDEX($N$4:$N$53,(INT(29/$F$17)+1)),"")</f>
        <v/>
      </c>
      <c r="J43">
        <f>IF(MOD(29,$F$17)=$F$17-1,0,INDEX($H$4:$H$53,(INT(29/$F$17)+1)))</f>
        <v/>
      </c>
      <c r="K43">
        <f>IFERROR(IF(AND($M$23&gt;=$F$14,$M$23&lt;=$F$15),10+0.5+100*($M$23-$F$14)/($F$15-$F$14),NA()),NA())</f>
        <v/>
      </c>
      <c r="L43">
        <f>IF(ISNA($K$43),NA(),MAX($J$4:$J$123))</f>
        <v/>
      </c>
      <c r="N43">
        <f>IF($G$43="","",IFERROR(IF(ABS($G$43)&gt;=1000000,ROUND($G$43/1000000,MAX(0,1-INT(LOG10($F$27/1000000))))&amp;"M",IF(ABS($G$43)&gt;=1000,ROUND($G$43/1000,MAX(0,1-INT(LOG10($F$27/1000))))&amp;"k",TEXT($G$43,"#,##0"))),TEXT($G$43,"#,##0")))</f>
        <v/>
      </c>
      <c r="O43" t="n">
        <v>11700</v>
      </c>
      <c r="P43" t="n">
        <v>11850</v>
      </c>
      <c r="Q43" t="n">
        <v>52</v>
      </c>
      <c r="T43">
        <f>IF(40&lt;=$S$13,$S$14+(40-1)*$S$16,"")</f>
        <v/>
      </c>
      <c r="U43">
        <f>IF(40&gt;$S$13,"",SUMIFS($Q$4:$Q$203,$P$4:$P$203,"&gt;="&amp;$T$43,$P$4:$P$203,IF(40=$S$13,"&lt;=","&lt;")&amp;($T$43+$S$16)))</f>
        <v/>
      </c>
      <c r="V43">
        <f>IF(AND(MOD(29,$S$17)=0,MOD((INT(29/$S$17)+1)-1,$S$13/5)=0),INDEX($AA$4:$AA$53,(INT(29/$S$17)+1)),"")</f>
        <v/>
      </c>
      <c r="W43">
        <f>IF(MOD(29,$S$17)=$S$17-1,0,INDEX($U$4:$U$53,(INT(29/$S$17)+1)))</f>
        <v/>
      </c>
      <c r="X43">
        <f>IFERROR(IF(AND($Z$23&gt;=$S$14,$Z$23&lt;=$S$15),10+0.5+100*($Z$23-$S$14)/($S$15-$S$14),NA()),NA())</f>
        <v/>
      </c>
      <c r="Y43">
        <f>IF(ISNA($X$43),NA(),MAX($W$4:$W$123))</f>
        <v/>
      </c>
      <c r="AA43">
        <f>IF($T$43="","",IFERROR(IF(ABS($T$43)&gt;=1000000,ROUND($T$43/1000000,MAX(0,1-INT(LOG10($S$27/1000000))))&amp;"M",IF(ABS($T$43)&gt;=1000,ROUND($T$43/1000,MAX(0,1-INT(LOG10($S$27/1000))))&amp;"k",TEXT($T$43,"#,##0"))),TEXT($T$43,"#,##0")))</f>
        <v/>
      </c>
      <c r="AB43" t="n">
        <v>5850</v>
      </c>
      <c r="AC43" t="n">
        <v>5925</v>
      </c>
      <c r="AD43" t="n">
        <v>59</v>
      </c>
      <c r="AG43">
        <f>IF(40&lt;=$AF$13,$AF$14+(40-1)*$AF$16,"")</f>
        <v/>
      </c>
      <c r="AH43">
        <f>IF(40&gt;$AF$13,"",SUMIFS($AD$4:$AD$203,$AC$4:$AC$203,"&gt;="&amp;$AG$43,$AC$4:$AC$203,IF(40=$AF$13,"&lt;=","&lt;")&amp;($AG$43+$AF$16)))</f>
        <v/>
      </c>
      <c r="AI43">
        <f>IF(AND(MOD(29,$AF$17)=0,MOD((INT(29/$AF$17)+1)-1,$AF$13/5)=0),INDEX($AN$4:$AN$53,(INT(29/$AF$17)+1)),"")</f>
        <v/>
      </c>
      <c r="AJ43">
        <f>IF(MOD(29,$AF$17)=$AF$17-1,0,INDEX($AH$4:$AH$53,(INT(29/$AF$17)+1)))</f>
        <v/>
      </c>
      <c r="AK43">
        <f>IFERROR(IF(AND($AM$23&gt;=$AF$14,$AM$23&lt;=$AF$15),10+0.5+100*($AM$23-$AF$14)/($AF$15-$AF$14),NA()),NA())</f>
        <v/>
      </c>
      <c r="AL43">
        <f>IF(ISNA($AK$43),NA(),MAX($AJ$4:$AJ$123))</f>
        <v/>
      </c>
      <c r="AN43">
        <f>IF($AG$43="","",IFERROR(IF(ABS($AG$43)&gt;=1000000,ROUND($AG$43/1000000,MAX(0,1-INT(LOG10($AF$27/1000000))))&amp;"M",IF(ABS($AG$43)&gt;=1000,ROUND($AG$43/1000,MAX(0,1-INT(LOG10($AF$27/1000))))&amp;"k",TEXT($AG$43,"#,##0"))),TEXT($AG$43,"#,##0")))</f>
        <v/>
      </c>
    </row>
    <row r="44">
      <c r="B44" t="n">
        <v>610</v>
      </c>
      <c r="C44" t="n">
        <v>610.75</v>
      </c>
      <c r="D44" t="n">
        <v>35</v>
      </c>
      <c r="G44">
        <f>IF(41&lt;=$F$13,$F$14+(41-1)*$F$16,"")</f>
        <v/>
      </c>
      <c r="H44">
        <f>IF(41&gt;$F$13,"",SUMIFS($D$4:$D$203,$C$4:$C$203,"&gt;="&amp;$G$44,$C$4:$C$203,IF(41=$F$13,"&lt;=","&lt;")&amp;($G$44+$F$16)))</f>
        <v/>
      </c>
      <c r="I44">
        <f>IF(AND(MOD(30,$F$17)=0,MOD((INT(30/$F$17)+1)-1,$F$13/5)=0),INDEX($N$4:$N$53,(INT(30/$F$17)+1)),"")</f>
        <v/>
      </c>
      <c r="J44">
        <f>IF(MOD(30,$F$17)=$F$17-1,0,INDEX($H$4:$H$53,(INT(30/$F$17)+1)))</f>
        <v/>
      </c>
      <c r="K44">
        <f>IFERROR(IF(AND($M$24&gt;=$F$14,$M$24&lt;=$F$15),10+0.5+100*($M$24-$F$14)/($F$15-$F$14),NA()),NA())</f>
        <v/>
      </c>
      <c r="L44">
        <f>IF(ISNA($K$44),NA(),0)</f>
        <v/>
      </c>
      <c r="N44">
        <f>IF($G$44="","",IFERROR(IF(ABS($G$44)&gt;=1000000,ROUND($G$44/1000000,MAX(0,1-INT(LOG10($F$27/1000000))))&amp;"M",IF(ABS($G$44)&gt;=1000,ROUND($G$44/1000,MAX(0,1-INT(LOG10($F$27/1000))))&amp;"k",TEXT($G$44,"#,##0"))),TEXT($G$44,"#,##0")))</f>
        <v/>
      </c>
      <c r="O44" t="n">
        <v>12000</v>
      </c>
      <c r="P44" t="n">
        <v>12150</v>
      </c>
      <c r="Q44" t="n">
        <v>34</v>
      </c>
      <c r="T44">
        <f>IF(41&lt;=$S$13,$S$14+(41-1)*$S$16,"")</f>
        <v/>
      </c>
      <c r="U44">
        <f>IF(41&gt;$S$13,"",SUMIFS($Q$4:$Q$203,$P$4:$P$203,"&gt;="&amp;$T$44,$P$4:$P$203,IF(41=$S$13,"&lt;=","&lt;")&amp;($T$44+$S$16)))</f>
        <v/>
      </c>
      <c r="V44">
        <f>IF(AND(MOD(30,$S$17)=0,MOD((INT(30/$S$17)+1)-1,$S$13/5)=0),INDEX($AA$4:$AA$53,(INT(30/$S$17)+1)),"")</f>
        <v/>
      </c>
      <c r="W44">
        <f>IF(MOD(30,$S$17)=$S$17-1,0,INDEX($U$4:$U$53,(INT(30/$S$17)+1)))</f>
        <v/>
      </c>
      <c r="X44">
        <f>IFERROR(IF(AND($Z$24&gt;=$S$14,$Z$24&lt;=$S$15),10+0.5+100*($Z$24-$S$14)/($S$15-$S$14),NA()),NA())</f>
        <v/>
      </c>
      <c r="Y44">
        <f>IF(ISNA($X$44),NA(),0)</f>
        <v/>
      </c>
      <c r="AA44">
        <f>IF($T$44="","",IFERROR(IF(ABS($T$44)&gt;=1000000,ROUND($T$44/1000000,MAX(0,1-INT(LOG10($S$27/1000000))))&amp;"M",IF(ABS($T$44)&gt;=1000,ROUND($T$44/1000,MAX(0,1-INT(LOG10($S$27/1000))))&amp;"k",TEXT($T$44,"#,##0"))),TEXT($T$44,"#,##0")))</f>
        <v/>
      </c>
      <c r="AB44" t="n">
        <v>6000</v>
      </c>
      <c r="AC44" t="n">
        <v>6075</v>
      </c>
      <c r="AD44" t="n">
        <v>56</v>
      </c>
      <c r="AG44">
        <f>IF(41&lt;=$AF$13,$AF$14+(41-1)*$AF$16,"")</f>
        <v/>
      </c>
      <c r="AH44">
        <f>IF(41&gt;$AF$13,"",SUMIFS($AD$4:$AD$203,$AC$4:$AC$203,"&gt;="&amp;$AG$44,$AC$4:$AC$203,IF(41=$AF$13,"&lt;=","&lt;")&amp;($AG$44+$AF$16)))</f>
        <v/>
      </c>
      <c r="AI44">
        <f>IF(AND(MOD(30,$AF$17)=0,MOD((INT(30/$AF$17)+1)-1,$AF$13/5)=0),INDEX($AN$4:$AN$53,(INT(30/$AF$17)+1)),"")</f>
        <v/>
      </c>
      <c r="AJ44">
        <f>IF(MOD(30,$AF$17)=$AF$17-1,0,INDEX($AH$4:$AH$53,(INT(30/$AF$17)+1)))</f>
        <v/>
      </c>
      <c r="AK44">
        <f>IFERROR(IF(AND($AM$24&gt;=$AF$14,$AM$24&lt;=$AF$15),10+0.5+100*($AM$24-$AF$14)/($AF$15-$AF$14),NA()),NA())</f>
        <v/>
      </c>
      <c r="AL44">
        <f>IF(ISNA($AK$44),NA(),0)</f>
        <v/>
      </c>
      <c r="AN44">
        <f>IF($AG$44="","",IFERROR(IF(ABS($AG$44)&gt;=1000000,ROUND($AG$44/1000000,MAX(0,1-INT(LOG10($AF$27/1000000))))&amp;"M",IF(ABS($AG$44)&gt;=1000,ROUND($AG$44/1000,MAX(0,1-INT(LOG10($AF$27/1000))))&amp;"k",TEXT($AG$44,"#,##0"))),TEXT($AG$44,"#,##0")))</f>
        <v/>
      </c>
    </row>
    <row r="45">
      <c r="B45" t="n">
        <v>611.5</v>
      </c>
      <c r="C45" t="n">
        <v>612.25</v>
      </c>
      <c r="D45" t="n">
        <v>15</v>
      </c>
      <c r="G45">
        <f>IF(42&lt;=$F$13,$F$14+(42-1)*$F$16,"")</f>
        <v/>
      </c>
      <c r="H45">
        <f>IF(42&gt;$F$13,"",SUMIFS($D$4:$D$203,$C$4:$C$203,"&gt;="&amp;$G$45,$C$4:$C$203,IF(42=$F$13,"&lt;=","&lt;")&amp;($G$45+$F$16)))</f>
        <v/>
      </c>
      <c r="I45">
        <f>IF(AND(MOD(31,$F$17)=0,MOD((INT(31/$F$17)+1)-1,$F$13/5)=0),INDEX($N$4:$N$53,(INT(31/$F$17)+1)),"")</f>
        <v/>
      </c>
      <c r="J45">
        <f>IF(MOD(31,$F$17)=$F$17-1,0,INDEX($H$4:$H$53,(INT(31/$F$17)+1)))</f>
        <v/>
      </c>
      <c r="K45">
        <f>IFERROR(IF(AND($M$24&gt;=$F$14,$M$24&lt;=$F$15),10+0.5+100*($M$24-$F$14)/($F$15-$F$14),NA()),NA())</f>
        <v/>
      </c>
      <c r="L45">
        <f>IF(ISNA($K$45),NA(),MAX($J$4:$J$123))</f>
        <v/>
      </c>
      <c r="N45">
        <f>IF($G$45="","",IFERROR(IF(ABS($G$45)&gt;=1000000,ROUND($G$45/1000000,MAX(0,1-INT(LOG10($F$27/1000000))))&amp;"M",IF(ABS($G$45)&gt;=1000,ROUND($G$45/1000,MAX(0,1-INT(LOG10($F$27/1000))))&amp;"k",TEXT($G$45,"#,##0"))),TEXT($G$45,"#,##0")))</f>
        <v/>
      </c>
      <c r="O45" t="n">
        <v>12300</v>
      </c>
      <c r="P45" t="n">
        <v>12450</v>
      </c>
      <c r="Q45" t="n">
        <v>43</v>
      </c>
      <c r="T45">
        <f>IF(42&lt;=$S$13,$S$14+(42-1)*$S$16,"")</f>
        <v/>
      </c>
      <c r="U45">
        <f>IF(42&gt;$S$13,"",SUMIFS($Q$4:$Q$203,$P$4:$P$203,"&gt;="&amp;$T$45,$P$4:$P$203,IF(42=$S$13,"&lt;=","&lt;")&amp;($T$45+$S$16)))</f>
        <v/>
      </c>
      <c r="V45">
        <f>IF(AND(MOD(31,$S$17)=0,MOD((INT(31/$S$17)+1)-1,$S$13/5)=0),INDEX($AA$4:$AA$53,(INT(31/$S$17)+1)),"")</f>
        <v/>
      </c>
      <c r="W45">
        <f>IF(MOD(31,$S$17)=$S$17-1,0,INDEX($U$4:$U$53,(INT(31/$S$17)+1)))</f>
        <v/>
      </c>
      <c r="X45">
        <f>IFERROR(IF(AND($Z$24&gt;=$S$14,$Z$24&lt;=$S$15),10+0.5+100*($Z$24-$S$14)/($S$15-$S$14),NA()),NA())</f>
        <v/>
      </c>
      <c r="Y45">
        <f>IF(ISNA($X$45),NA(),MAX($W$4:$W$123))</f>
        <v/>
      </c>
      <c r="AA45">
        <f>IF($T$45="","",IFERROR(IF(ABS($T$45)&gt;=1000000,ROUND($T$45/1000000,MAX(0,1-INT(LOG10($S$27/1000000))))&amp;"M",IF(ABS($T$45)&gt;=1000,ROUND($T$45/1000,MAX(0,1-INT(LOG10($S$27/1000))))&amp;"k",TEXT($T$45,"#,##0"))),TEXT($T$45,"#,##0")))</f>
        <v/>
      </c>
      <c r="AB45" t="n">
        <v>6150</v>
      </c>
      <c r="AC45" t="n">
        <v>6225</v>
      </c>
      <c r="AD45" t="n">
        <v>63</v>
      </c>
      <c r="AG45">
        <f>IF(42&lt;=$AF$13,$AF$14+(42-1)*$AF$16,"")</f>
        <v/>
      </c>
      <c r="AH45">
        <f>IF(42&gt;$AF$13,"",SUMIFS($AD$4:$AD$203,$AC$4:$AC$203,"&gt;="&amp;$AG$45,$AC$4:$AC$203,IF(42=$AF$13,"&lt;=","&lt;")&amp;($AG$45+$AF$16)))</f>
        <v/>
      </c>
      <c r="AI45">
        <f>IF(AND(MOD(31,$AF$17)=0,MOD((INT(31/$AF$17)+1)-1,$AF$13/5)=0),INDEX($AN$4:$AN$53,(INT(31/$AF$17)+1)),"")</f>
        <v/>
      </c>
      <c r="AJ45">
        <f>IF(MOD(31,$AF$17)=$AF$17-1,0,INDEX($AH$4:$AH$53,(INT(31/$AF$17)+1)))</f>
        <v/>
      </c>
      <c r="AK45">
        <f>IFERROR(IF(AND($AM$24&gt;=$AF$14,$AM$24&lt;=$AF$15),10+0.5+100*($AM$24-$AF$14)/($AF$15-$AF$14),NA()),NA())</f>
        <v/>
      </c>
      <c r="AL45">
        <f>IF(ISNA($AK$45),NA(),MAX($AJ$4:$AJ$123))</f>
        <v/>
      </c>
      <c r="AN45">
        <f>IF($AG$45="","",IFERROR(IF(ABS($AG$45)&gt;=1000000,ROUND($AG$45/1000000,MAX(0,1-INT(LOG10($AF$27/1000000))))&amp;"M",IF(ABS($AG$45)&gt;=1000,ROUND($AG$45/1000,MAX(0,1-INT(LOG10($AF$27/1000))))&amp;"k",TEXT($AG$45,"#,##0"))),TEXT($AG$45,"#,##0")))</f>
        <v/>
      </c>
    </row>
    <row r="46">
      <c r="B46" t="n">
        <v>613</v>
      </c>
      <c r="C46" t="n">
        <v>613.75</v>
      </c>
      <c r="D46" t="n">
        <v>36</v>
      </c>
      <c r="G46">
        <f>IF(43&lt;=$F$13,$F$14+(43-1)*$F$16,"")</f>
        <v/>
      </c>
      <c r="H46">
        <f>IF(43&gt;$F$13,"",SUMIFS($D$4:$D$203,$C$4:$C$203,"&gt;="&amp;$G$46,$C$4:$C$203,IF(43=$F$13,"&lt;=","&lt;")&amp;($G$46+$F$16)))</f>
        <v/>
      </c>
      <c r="I46">
        <f>IF(AND(MOD(32,$F$17)=0,MOD((INT(32/$F$17)+1)-1,$F$13/5)=0),INDEX($N$4:$N$53,(INT(32/$F$17)+1)),"")</f>
        <v/>
      </c>
      <c r="J46">
        <f>IF(MOD(32,$F$17)=$F$17-1,0,INDEX($H$4:$H$53,(INT(32/$F$17)+1)))</f>
        <v/>
      </c>
      <c r="K46">
        <f>IFERROR(IF(AND($M$25&gt;=$F$14,$M$25&lt;=$F$15),10+0.5+100*($M$25-$F$14)/($F$15-$F$14),NA()),NA())</f>
        <v/>
      </c>
      <c r="L46">
        <f>IF(ISNA($K$46),NA(),0)</f>
        <v/>
      </c>
      <c r="N46">
        <f>IF($G$46="","",IFERROR(IF(ABS($G$46)&gt;=1000000,ROUND($G$46/1000000,MAX(0,1-INT(LOG10($F$27/1000000))))&amp;"M",IF(ABS($G$46)&gt;=1000,ROUND($G$46/1000,MAX(0,1-INT(LOG10($F$27/1000))))&amp;"k",TEXT($G$46,"#,##0"))),TEXT($G$46,"#,##0")))</f>
        <v/>
      </c>
      <c r="O46" t="n">
        <v>12600</v>
      </c>
      <c r="P46" t="n">
        <v>12750</v>
      </c>
      <c r="Q46" t="n">
        <v>44</v>
      </c>
      <c r="T46">
        <f>IF(43&lt;=$S$13,$S$14+(43-1)*$S$16,"")</f>
        <v/>
      </c>
      <c r="U46">
        <f>IF(43&gt;$S$13,"",SUMIFS($Q$4:$Q$203,$P$4:$P$203,"&gt;="&amp;$T$46,$P$4:$P$203,IF(43=$S$13,"&lt;=","&lt;")&amp;($T$46+$S$16)))</f>
        <v/>
      </c>
      <c r="V46">
        <f>IF(AND(MOD(32,$S$17)=0,MOD((INT(32/$S$17)+1)-1,$S$13/5)=0),INDEX($AA$4:$AA$53,(INT(32/$S$17)+1)),"")</f>
        <v/>
      </c>
      <c r="W46">
        <f>IF(MOD(32,$S$17)=$S$17-1,0,INDEX($U$4:$U$53,(INT(32/$S$17)+1)))</f>
        <v/>
      </c>
      <c r="X46">
        <f>IFERROR(IF(AND($Z$25&gt;=$S$14,$Z$25&lt;=$S$15),10+0.5+100*($Z$25-$S$14)/($S$15-$S$14),NA()),NA())</f>
        <v/>
      </c>
      <c r="Y46">
        <f>IF(ISNA($X$46),NA(),0)</f>
        <v/>
      </c>
      <c r="AA46">
        <f>IF($T$46="","",IFERROR(IF(ABS($T$46)&gt;=1000000,ROUND($T$46/1000000,MAX(0,1-INT(LOG10($S$27/1000000))))&amp;"M",IF(ABS($T$46)&gt;=1000,ROUND($T$46/1000,MAX(0,1-INT(LOG10($S$27/1000))))&amp;"k",TEXT($T$46,"#,##0"))),TEXT($T$46,"#,##0")))</f>
        <v/>
      </c>
      <c r="AB46" t="n">
        <v>6300</v>
      </c>
      <c r="AC46" t="n">
        <v>6375</v>
      </c>
      <c r="AD46" t="n">
        <v>71</v>
      </c>
      <c r="AG46">
        <f>IF(43&lt;=$AF$13,$AF$14+(43-1)*$AF$16,"")</f>
        <v/>
      </c>
      <c r="AH46">
        <f>IF(43&gt;$AF$13,"",SUMIFS($AD$4:$AD$203,$AC$4:$AC$203,"&gt;="&amp;$AG$46,$AC$4:$AC$203,IF(43=$AF$13,"&lt;=","&lt;")&amp;($AG$46+$AF$16)))</f>
        <v/>
      </c>
      <c r="AI46">
        <f>IF(AND(MOD(32,$AF$17)=0,MOD((INT(32/$AF$17)+1)-1,$AF$13/5)=0),INDEX($AN$4:$AN$53,(INT(32/$AF$17)+1)),"")</f>
        <v/>
      </c>
      <c r="AJ46">
        <f>IF(MOD(32,$AF$17)=$AF$17-1,0,INDEX($AH$4:$AH$53,(INT(32/$AF$17)+1)))</f>
        <v/>
      </c>
      <c r="AK46">
        <f>IFERROR(IF(AND($AM$25&gt;=$AF$14,$AM$25&lt;=$AF$15),10+0.5+100*($AM$25-$AF$14)/($AF$15-$AF$14),NA()),NA())</f>
        <v/>
      </c>
      <c r="AL46">
        <f>IF(ISNA($AK$46),NA(),0)</f>
        <v/>
      </c>
      <c r="AN46">
        <f>IF($AG$46="","",IFERROR(IF(ABS($AG$46)&gt;=1000000,ROUND($AG$46/1000000,MAX(0,1-INT(LOG10($AF$27/1000000))))&amp;"M",IF(ABS($AG$46)&gt;=1000,ROUND($AG$46/1000,MAX(0,1-INT(LOG10($AF$27/1000))))&amp;"k",TEXT($AG$46,"#,##0"))),TEXT($AG$46,"#,##0")))</f>
        <v/>
      </c>
    </row>
    <row r="47">
      <c r="B47" t="n">
        <v>614.5</v>
      </c>
      <c r="C47" t="n">
        <v>615.25</v>
      </c>
      <c r="D47" t="n">
        <v>22</v>
      </c>
      <c r="G47">
        <f>IF(44&lt;=$F$13,$F$14+(44-1)*$F$16,"")</f>
        <v/>
      </c>
      <c r="H47">
        <f>IF(44&gt;$F$13,"",SUMIFS($D$4:$D$203,$C$4:$C$203,"&gt;="&amp;$G$47,$C$4:$C$203,IF(44=$F$13,"&lt;=","&lt;")&amp;($G$47+$F$16)))</f>
        <v/>
      </c>
      <c r="I47">
        <f>IF(AND(MOD(33,$F$17)=0,MOD((INT(33/$F$17)+1)-1,$F$13/5)=0),INDEX($N$4:$N$53,(INT(33/$F$17)+1)),"")</f>
        <v/>
      </c>
      <c r="J47">
        <f>IF(MOD(33,$F$17)=$F$17-1,0,INDEX($H$4:$H$53,(INT(33/$F$17)+1)))</f>
        <v/>
      </c>
      <c r="K47">
        <f>IFERROR(IF(AND($M$25&gt;=$F$14,$M$25&lt;=$F$15),10+0.5+100*($M$25-$F$14)/($F$15-$F$14),NA()),NA())</f>
        <v/>
      </c>
      <c r="L47">
        <f>IF(ISNA($K$47),NA(),MAX($J$4:$J$123))</f>
        <v/>
      </c>
      <c r="N47">
        <f>IF($G$47="","",IFERROR(IF(ABS($G$47)&gt;=1000000,ROUND($G$47/1000000,MAX(0,1-INT(LOG10($F$27/1000000))))&amp;"M",IF(ABS($G$47)&gt;=1000,ROUND($G$47/1000,MAX(0,1-INT(LOG10($F$27/1000))))&amp;"k",TEXT($G$47,"#,##0"))),TEXT($G$47,"#,##0")))</f>
        <v/>
      </c>
      <c r="O47" t="n">
        <v>12900</v>
      </c>
      <c r="P47" t="n">
        <v>13050</v>
      </c>
      <c r="Q47" t="n">
        <v>43</v>
      </c>
      <c r="T47">
        <f>IF(44&lt;=$S$13,$S$14+(44-1)*$S$16,"")</f>
        <v/>
      </c>
      <c r="U47">
        <f>IF(44&gt;$S$13,"",SUMIFS($Q$4:$Q$203,$P$4:$P$203,"&gt;="&amp;$T$47,$P$4:$P$203,IF(44=$S$13,"&lt;=","&lt;")&amp;($T$47+$S$16)))</f>
        <v/>
      </c>
      <c r="V47">
        <f>IF(AND(MOD(33,$S$17)=0,MOD((INT(33/$S$17)+1)-1,$S$13/5)=0),INDEX($AA$4:$AA$53,(INT(33/$S$17)+1)),"")</f>
        <v/>
      </c>
      <c r="W47">
        <f>IF(MOD(33,$S$17)=$S$17-1,0,INDEX($U$4:$U$53,(INT(33/$S$17)+1)))</f>
        <v/>
      </c>
      <c r="X47">
        <f>IFERROR(IF(AND($Z$25&gt;=$S$14,$Z$25&lt;=$S$15),10+0.5+100*($Z$25-$S$14)/($S$15-$S$14),NA()),NA())</f>
        <v/>
      </c>
      <c r="Y47">
        <f>IF(ISNA($X$47),NA(),MAX($W$4:$W$123))</f>
        <v/>
      </c>
      <c r="AA47">
        <f>IF($T$47="","",IFERROR(IF(ABS($T$47)&gt;=1000000,ROUND($T$47/1000000,MAX(0,1-INT(LOG10($S$27/1000000))))&amp;"M",IF(ABS($T$47)&gt;=1000,ROUND($T$47/1000,MAX(0,1-INT(LOG10($S$27/1000))))&amp;"k",TEXT($T$47,"#,##0"))),TEXT($T$47,"#,##0")))</f>
        <v/>
      </c>
      <c r="AB47" t="n">
        <v>6450</v>
      </c>
      <c r="AC47" t="n">
        <v>6525</v>
      </c>
      <c r="AD47" t="n">
        <v>76</v>
      </c>
      <c r="AG47">
        <f>IF(44&lt;=$AF$13,$AF$14+(44-1)*$AF$16,"")</f>
        <v/>
      </c>
      <c r="AH47">
        <f>IF(44&gt;$AF$13,"",SUMIFS($AD$4:$AD$203,$AC$4:$AC$203,"&gt;="&amp;$AG$47,$AC$4:$AC$203,IF(44=$AF$13,"&lt;=","&lt;")&amp;($AG$47+$AF$16)))</f>
        <v/>
      </c>
      <c r="AI47">
        <f>IF(AND(MOD(33,$AF$17)=0,MOD((INT(33/$AF$17)+1)-1,$AF$13/5)=0),INDEX($AN$4:$AN$53,(INT(33/$AF$17)+1)),"")</f>
        <v/>
      </c>
      <c r="AJ47">
        <f>IF(MOD(33,$AF$17)=$AF$17-1,0,INDEX($AH$4:$AH$53,(INT(33/$AF$17)+1)))</f>
        <v/>
      </c>
      <c r="AK47">
        <f>IFERROR(IF(AND($AM$25&gt;=$AF$14,$AM$25&lt;=$AF$15),10+0.5+100*($AM$25-$AF$14)/($AF$15-$AF$14),NA()),NA())</f>
        <v/>
      </c>
      <c r="AL47">
        <f>IF(ISNA($AK$47),NA(),MAX($AJ$4:$AJ$123))</f>
        <v/>
      </c>
      <c r="AN47">
        <f>IF($AG$47="","",IFERROR(IF(ABS($AG$47)&gt;=1000000,ROUND($AG$47/1000000,MAX(0,1-INT(LOG10($AF$27/1000000))))&amp;"M",IF(ABS($AG$47)&gt;=1000,ROUND($AG$47/1000,MAX(0,1-INT(LOG10($AF$27/1000))))&amp;"k",TEXT($AG$47,"#,##0"))),TEXT($AG$47,"#,##0")))</f>
        <v/>
      </c>
    </row>
    <row r="48">
      <c r="B48" t="n">
        <v>616</v>
      </c>
      <c r="C48" t="n">
        <v>616.75</v>
      </c>
      <c r="D48" t="n">
        <v>32</v>
      </c>
      <c r="G48">
        <f>IF(45&lt;=$F$13,$F$14+(45-1)*$F$16,"")</f>
        <v/>
      </c>
      <c r="H48">
        <f>IF(45&gt;$F$13,"",SUMIFS($D$4:$D$203,$C$4:$C$203,"&gt;="&amp;$G$48,$C$4:$C$203,IF(45=$F$13,"&lt;=","&lt;")&amp;($G$48+$F$16)))</f>
        <v/>
      </c>
      <c r="I48">
        <f>IF(AND(MOD(34,$F$17)=0,MOD((INT(34/$F$17)+1)-1,$F$13/5)=0),INDEX($N$4:$N$53,(INT(34/$F$17)+1)),"")</f>
        <v/>
      </c>
      <c r="J48">
        <f>IF(MOD(34,$F$17)=$F$17-1,0,INDEX($H$4:$H$53,(INT(34/$F$17)+1)))</f>
        <v/>
      </c>
      <c r="K48">
        <f>IFERROR(IF(AND($M$26&gt;=$F$14,$M$26&lt;=$F$15),10+0.5+100*($M$26-$F$14)/($F$15-$F$14),NA()),NA())</f>
        <v/>
      </c>
      <c r="L48">
        <f>IF(ISNA($K$48),NA(),0)</f>
        <v/>
      </c>
      <c r="N48">
        <f>IF($G$48="","",IFERROR(IF(ABS($G$48)&gt;=1000000,ROUND($G$48/1000000,MAX(0,1-INT(LOG10($F$27/1000000))))&amp;"M",IF(ABS($G$48)&gt;=1000,ROUND($G$48/1000,MAX(0,1-INT(LOG10($F$27/1000))))&amp;"k",TEXT($G$48,"#,##0"))),TEXT($G$48,"#,##0")))</f>
        <v/>
      </c>
      <c r="O48" t="n">
        <v>13200</v>
      </c>
      <c r="P48" t="n">
        <v>13350</v>
      </c>
      <c r="Q48" t="n">
        <v>56</v>
      </c>
      <c r="T48">
        <f>IF(45&lt;=$S$13,$S$14+(45-1)*$S$16,"")</f>
        <v/>
      </c>
      <c r="U48">
        <f>IF(45&gt;$S$13,"",SUMIFS($Q$4:$Q$203,$P$4:$P$203,"&gt;="&amp;$T$48,$P$4:$P$203,IF(45=$S$13,"&lt;=","&lt;")&amp;($T$48+$S$16)))</f>
        <v/>
      </c>
      <c r="V48">
        <f>IF(AND(MOD(34,$S$17)=0,MOD((INT(34/$S$17)+1)-1,$S$13/5)=0),INDEX($AA$4:$AA$53,(INT(34/$S$17)+1)),"")</f>
        <v/>
      </c>
      <c r="W48">
        <f>IF(MOD(34,$S$17)=$S$17-1,0,INDEX($U$4:$U$53,(INT(34/$S$17)+1)))</f>
        <v/>
      </c>
      <c r="X48">
        <f>IFERROR(IF(AND($Z$26&gt;=$S$14,$Z$26&lt;=$S$15),10+0.5+100*($Z$26-$S$14)/($S$15-$S$14),NA()),NA())</f>
        <v/>
      </c>
      <c r="Y48">
        <f>IF(ISNA($X$48),NA(),0)</f>
        <v/>
      </c>
      <c r="AA48">
        <f>IF($T$48="","",IFERROR(IF(ABS($T$48)&gt;=1000000,ROUND($T$48/1000000,MAX(0,1-INT(LOG10($S$27/1000000))))&amp;"M",IF(ABS($T$48)&gt;=1000,ROUND($T$48/1000,MAX(0,1-INT(LOG10($S$27/1000))))&amp;"k",TEXT($T$48,"#,##0"))),TEXT($T$48,"#,##0")))</f>
        <v/>
      </c>
      <c r="AB48" t="n">
        <v>6600</v>
      </c>
      <c r="AC48" t="n">
        <v>6675</v>
      </c>
      <c r="AD48" t="n">
        <v>73</v>
      </c>
      <c r="AG48">
        <f>IF(45&lt;=$AF$13,$AF$14+(45-1)*$AF$16,"")</f>
        <v/>
      </c>
      <c r="AH48">
        <f>IF(45&gt;$AF$13,"",SUMIFS($AD$4:$AD$203,$AC$4:$AC$203,"&gt;="&amp;$AG$48,$AC$4:$AC$203,IF(45=$AF$13,"&lt;=","&lt;")&amp;($AG$48+$AF$16)))</f>
        <v/>
      </c>
      <c r="AI48">
        <f>IF(AND(MOD(34,$AF$17)=0,MOD((INT(34/$AF$17)+1)-1,$AF$13/5)=0),INDEX($AN$4:$AN$53,(INT(34/$AF$17)+1)),"")</f>
        <v/>
      </c>
      <c r="AJ48">
        <f>IF(MOD(34,$AF$17)=$AF$17-1,0,INDEX($AH$4:$AH$53,(INT(34/$AF$17)+1)))</f>
        <v/>
      </c>
      <c r="AK48">
        <f>IFERROR(IF(AND($AM$26&gt;=$AF$14,$AM$26&lt;=$AF$15),10+0.5+100*($AM$26-$AF$14)/($AF$15-$AF$14),NA()),NA())</f>
        <v/>
      </c>
      <c r="AL48">
        <f>IF(ISNA($AK$48),NA(),0)</f>
        <v/>
      </c>
      <c r="AN48">
        <f>IF($AG$48="","",IFERROR(IF(ABS($AG$48)&gt;=1000000,ROUND($AG$48/1000000,MAX(0,1-INT(LOG10($AF$27/1000000))))&amp;"M",IF(ABS($AG$48)&gt;=1000,ROUND($AG$48/1000,MAX(0,1-INT(LOG10($AF$27/1000))))&amp;"k",TEXT($AG$48,"#,##0"))),TEXT($AG$48,"#,##0")))</f>
        <v/>
      </c>
    </row>
    <row r="49">
      <c r="B49" t="n">
        <v>617.5</v>
      </c>
      <c r="C49" t="n">
        <v>618.25</v>
      </c>
      <c r="D49" t="n">
        <v>21</v>
      </c>
      <c r="G49">
        <f>IF(46&lt;=$F$13,$F$14+(46-1)*$F$16,"")</f>
        <v/>
      </c>
      <c r="H49">
        <f>IF(46&gt;$F$13,"",SUMIFS($D$4:$D$203,$C$4:$C$203,"&gt;="&amp;$G$49,$C$4:$C$203,IF(46=$F$13,"&lt;=","&lt;")&amp;($G$49+$F$16)))</f>
        <v/>
      </c>
      <c r="I49">
        <f>IF(AND(MOD(35,$F$17)=0,MOD((INT(35/$F$17)+1)-1,$F$13/5)=0),INDEX($N$4:$N$53,(INT(35/$F$17)+1)),"")</f>
        <v/>
      </c>
      <c r="J49">
        <f>IF(MOD(35,$F$17)=$F$17-1,0,INDEX($H$4:$H$53,(INT(35/$F$17)+1)))</f>
        <v/>
      </c>
      <c r="K49">
        <f>IFERROR(IF(AND($M$26&gt;=$F$14,$M$26&lt;=$F$15),10+0.5+100*($M$26-$F$14)/($F$15-$F$14),NA()),NA())</f>
        <v/>
      </c>
      <c r="L49">
        <f>IF(ISNA($K$49),NA(),MAX($J$4:$J$123))</f>
        <v/>
      </c>
      <c r="N49">
        <f>IF($G$49="","",IFERROR(IF(ABS($G$49)&gt;=1000000,ROUND($G$49/1000000,MAX(0,1-INT(LOG10($F$27/1000000))))&amp;"M",IF(ABS($G$49)&gt;=1000,ROUND($G$49/1000,MAX(0,1-INT(LOG10($F$27/1000))))&amp;"k",TEXT($G$49,"#,##0"))),TEXT($G$49,"#,##0")))</f>
        <v/>
      </c>
      <c r="O49" t="n">
        <v>13500</v>
      </c>
      <c r="P49" t="n">
        <v>13650</v>
      </c>
      <c r="Q49" t="n">
        <v>45</v>
      </c>
      <c r="T49">
        <f>IF(46&lt;=$S$13,$S$14+(46-1)*$S$16,"")</f>
        <v/>
      </c>
      <c r="U49">
        <f>IF(46&gt;$S$13,"",SUMIFS($Q$4:$Q$203,$P$4:$P$203,"&gt;="&amp;$T$49,$P$4:$P$203,IF(46=$S$13,"&lt;=","&lt;")&amp;($T$49+$S$16)))</f>
        <v/>
      </c>
      <c r="V49">
        <f>IF(AND(MOD(35,$S$17)=0,MOD((INT(35/$S$17)+1)-1,$S$13/5)=0),INDEX($AA$4:$AA$53,(INT(35/$S$17)+1)),"")</f>
        <v/>
      </c>
      <c r="W49">
        <f>IF(MOD(35,$S$17)=$S$17-1,0,INDEX($U$4:$U$53,(INT(35/$S$17)+1)))</f>
        <v/>
      </c>
      <c r="X49">
        <f>IFERROR(IF(AND($Z$26&gt;=$S$14,$Z$26&lt;=$S$15),10+0.5+100*($Z$26-$S$14)/($S$15-$S$14),NA()),NA())</f>
        <v/>
      </c>
      <c r="Y49">
        <f>IF(ISNA($X$49),NA(),MAX($W$4:$W$123))</f>
        <v/>
      </c>
      <c r="AA49">
        <f>IF($T$49="","",IFERROR(IF(ABS($T$49)&gt;=1000000,ROUND($T$49/1000000,MAX(0,1-INT(LOG10($S$27/1000000))))&amp;"M",IF(ABS($T$49)&gt;=1000,ROUND($T$49/1000,MAX(0,1-INT(LOG10($S$27/1000))))&amp;"k",TEXT($T$49,"#,##0"))),TEXT($T$49,"#,##0")))</f>
        <v/>
      </c>
      <c r="AB49" t="n">
        <v>6750</v>
      </c>
      <c r="AC49" t="n">
        <v>6825</v>
      </c>
      <c r="AD49" t="n">
        <v>58</v>
      </c>
      <c r="AG49">
        <f>IF(46&lt;=$AF$13,$AF$14+(46-1)*$AF$16,"")</f>
        <v/>
      </c>
      <c r="AH49">
        <f>IF(46&gt;$AF$13,"",SUMIFS($AD$4:$AD$203,$AC$4:$AC$203,"&gt;="&amp;$AG$49,$AC$4:$AC$203,IF(46=$AF$13,"&lt;=","&lt;")&amp;($AG$49+$AF$16)))</f>
        <v/>
      </c>
      <c r="AI49">
        <f>IF(AND(MOD(35,$AF$17)=0,MOD((INT(35/$AF$17)+1)-1,$AF$13/5)=0),INDEX($AN$4:$AN$53,(INT(35/$AF$17)+1)),"")</f>
        <v/>
      </c>
      <c r="AJ49">
        <f>IF(MOD(35,$AF$17)=$AF$17-1,0,INDEX($AH$4:$AH$53,(INT(35/$AF$17)+1)))</f>
        <v/>
      </c>
      <c r="AK49">
        <f>IFERROR(IF(AND($AM$26&gt;=$AF$14,$AM$26&lt;=$AF$15),10+0.5+100*($AM$26-$AF$14)/($AF$15-$AF$14),NA()),NA())</f>
        <v/>
      </c>
      <c r="AL49">
        <f>IF(ISNA($AK$49),NA(),MAX($AJ$4:$AJ$123))</f>
        <v/>
      </c>
      <c r="AN49">
        <f>IF($AG$49="","",IFERROR(IF(ABS($AG$49)&gt;=1000000,ROUND($AG$49/1000000,MAX(0,1-INT(LOG10($AF$27/1000000))))&amp;"M",IF(ABS($AG$49)&gt;=1000,ROUND($AG$49/1000,MAX(0,1-INT(LOG10($AF$27/1000))))&amp;"k",TEXT($AG$49,"#,##0"))),TEXT($AG$49,"#,##0")))</f>
        <v/>
      </c>
    </row>
    <row r="50">
      <c r="B50" t="n">
        <v>619</v>
      </c>
      <c r="C50" t="n">
        <v>619.75</v>
      </c>
      <c r="D50" t="n">
        <v>30</v>
      </c>
      <c r="G50">
        <f>IF(47&lt;=$F$13,$F$14+(47-1)*$F$16,"")</f>
        <v/>
      </c>
      <c r="H50">
        <f>IF(47&gt;$F$13,"",SUMIFS($D$4:$D$203,$C$4:$C$203,"&gt;="&amp;$G$50,$C$4:$C$203,IF(47=$F$13,"&lt;=","&lt;")&amp;($G$50+$F$16)))</f>
        <v/>
      </c>
      <c r="I50">
        <f>IF(AND(MOD(36,$F$17)=0,MOD((INT(36/$F$17)+1)-1,$F$13/5)=0),INDEX($N$4:$N$53,(INT(36/$F$17)+1)),"")</f>
        <v/>
      </c>
      <c r="J50">
        <f>IF(MOD(36,$F$17)=$F$17-1,0,INDEX($H$4:$H$53,(INT(36/$F$17)+1)))</f>
        <v/>
      </c>
      <c r="K50">
        <f>IFERROR(IF(AND($M$27&gt;=$F$14,$M$27&lt;=$F$15),10+0.5+100*($M$27-$F$14)/($F$15-$F$14),NA()),NA())</f>
        <v/>
      </c>
      <c r="L50">
        <f>IF(ISNA($K$50),NA(),0)</f>
        <v/>
      </c>
      <c r="N50">
        <f>IF($G$50="","",IFERROR(IF(ABS($G$50)&gt;=1000000,ROUND($G$50/1000000,MAX(0,1-INT(LOG10($F$27/1000000))))&amp;"M",IF(ABS($G$50)&gt;=1000,ROUND($G$50/1000,MAX(0,1-INT(LOG10($F$27/1000))))&amp;"k",TEXT($G$50,"#,##0"))),TEXT($G$50,"#,##0")))</f>
        <v/>
      </c>
      <c r="O50" t="n">
        <v>13800</v>
      </c>
      <c r="P50" t="n">
        <v>13950</v>
      </c>
      <c r="Q50" t="n">
        <v>45</v>
      </c>
      <c r="T50">
        <f>IF(47&lt;=$S$13,$S$14+(47-1)*$S$16,"")</f>
        <v/>
      </c>
      <c r="U50">
        <f>IF(47&gt;$S$13,"",SUMIFS($Q$4:$Q$203,$P$4:$P$203,"&gt;="&amp;$T$50,$P$4:$P$203,IF(47=$S$13,"&lt;=","&lt;")&amp;($T$50+$S$16)))</f>
        <v/>
      </c>
      <c r="V50">
        <f>IF(AND(MOD(36,$S$17)=0,MOD((INT(36/$S$17)+1)-1,$S$13/5)=0),INDEX($AA$4:$AA$53,(INT(36/$S$17)+1)),"")</f>
        <v/>
      </c>
      <c r="W50">
        <f>IF(MOD(36,$S$17)=$S$17-1,0,INDEX($U$4:$U$53,(INT(36/$S$17)+1)))</f>
        <v/>
      </c>
      <c r="X50">
        <f>IFERROR(IF(AND($Z$27&gt;=$S$14,$Z$27&lt;=$S$15),10+0.5+100*($Z$27-$S$14)/($S$15-$S$14),NA()),NA())</f>
        <v/>
      </c>
      <c r="Y50">
        <f>IF(ISNA($X$50),NA(),0)</f>
        <v/>
      </c>
      <c r="AA50">
        <f>IF($T$50="","",IFERROR(IF(ABS($T$50)&gt;=1000000,ROUND($T$50/1000000,MAX(0,1-INT(LOG10($S$27/1000000))))&amp;"M",IF(ABS($T$50)&gt;=1000,ROUND($T$50/1000,MAX(0,1-INT(LOG10($S$27/1000))))&amp;"k",TEXT($T$50,"#,##0"))),TEXT($T$50,"#,##0")))</f>
        <v/>
      </c>
      <c r="AB50" t="n">
        <v>6900</v>
      </c>
      <c r="AC50" t="n">
        <v>6975</v>
      </c>
      <c r="AD50" t="n">
        <v>78</v>
      </c>
      <c r="AG50">
        <f>IF(47&lt;=$AF$13,$AF$14+(47-1)*$AF$16,"")</f>
        <v/>
      </c>
      <c r="AH50">
        <f>IF(47&gt;$AF$13,"",SUMIFS($AD$4:$AD$203,$AC$4:$AC$203,"&gt;="&amp;$AG$50,$AC$4:$AC$203,IF(47=$AF$13,"&lt;=","&lt;")&amp;($AG$50+$AF$16)))</f>
        <v/>
      </c>
      <c r="AI50">
        <f>IF(AND(MOD(36,$AF$17)=0,MOD((INT(36/$AF$17)+1)-1,$AF$13/5)=0),INDEX($AN$4:$AN$53,(INT(36/$AF$17)+1)),"")</f>
        <v/>
      </c>
      <c r="AJ50">
        <f>IF(MOD(36,$AF$17)=$AF$17-1,0,INDEX($AH$4:$AH$53,(INT(36/$AF$17)+1)))</f>
        <v/>
      </c>
      <c r="AK50">
        <f>IFERROR(IF(AND($AM$27&gt;=$AF$14,$AM$27&lt;=$AF$15),10+0.5+100*($AM$27-$AF$14)/($AF$15-$AF$14),NA()),NA())</f>
        <v/>
      </c>
      <c r="AL50">
        <f>IF(ISNA($AK$50),NA(),0)</f>
        <v/>
      </c>
      <c r="AN50">
        <f>IF($AG$50="","",IFERROR(IF(ABS($AG$50)&gt;=1000000,ROUND($AG$50/1000000,MAX(0,1-INT(LOG10($AF$27/1000000))))&amp;"M",IF(ABS($AG$50)&gt;=1000,ROUND($AG$50/1000,MAX(0,1-INT(LOG10($AF$27/1000))))&amp;"k",TEXT($AG$50,"#,##0"))),TEXT($AG$50,"#,##0")))</f>
        <v/>
      </c>
    </row>
    <row r="51">
      <c r="B51" t="n">
        <v>620.5</v>
      </c>
      <c r="C51" t="n">
        <v>621.25</v>
      </c>
      <c r="D51" t="n">
        <v>30</v>
      </c>
      <c r="G51">
        <f>IF(48&lt;=$F$13,$F$14+(48-1)*$F$16,"")</f>
        <v/>
      </c>
      <c r="H51">
        <f>IF(48&gt;$F$13,"",SUMIFS($D$4:$D$203,$C$4:$C$203,"&gt;="&amp;$G$51,$C$4:$C$203,IF(48=$F$13,"&lt;=","&lt;")&amp;($G$51+$F$16)))</f>
        <v/>
      </c>
      <c r="I51">
        <f>IF(AND(MOD(37,$F$17)=0,MOD((INT(37/$F$17)+1)-1,$F$13/5)=0),INDEX($N$4:$N$53,(INT(37/$F$17)+1)),"")</f>
        <v/>
      </c>
      <c r="J51">
        <f>IF(MOD(37,$F$17)=$F$17-1,0,INDEX($H$4:$H$53,(INT(37/$F$17)+1)))</f>
        <v/>
      </c>
      <c r="K51">
        <f>IFERROR(IF(AND($M$27&gt;=$F$14,$M$27&lt;=$F$15),10+0.5+100*($M$27-$F$14)/($F$15-$F$14),NA()),NA())</f>
        <v/>
      </c>
      <c r="L51">
        <f>IF(ISNA($K$51),NA(),MAX($J$4:$J$123))</f>
        <v/>
      </c>
      <c r="N51">
        <f>IF($G$51="","",IFERROR(IF(ABS($G$51)&gt;=1000000,ROUND($G$51/1000000,MAX(0,1-INT(LOG10($F$27/1000000))))&amp;"M",IF(ABS($G$51)&gt;=1000,ROUND($G$51/1000,MAX(0,1-INT(LOG10($F$27/1000))))&amp;"k",TEXT($G$51,"#,##0"))),TEXT($G$51,"#,##0")))</f>
        <v/>
      </c>
      <c r="O51" t="n">
        <v>14100</v>
      </c>
      <c r="P51" t="n">
        <v>14250</v>
      </c>
      <c r="Q51" t="n">
        <v>44</v>
      </c>
      <c r="T51">
        <f>IF(48&lt;=$S$13,$S$14+(48-1)*$S$16,"")</f>
        <v/>
      </c>
      <c r="U51">
        <f>IF(48&gt;$S$13,"",SUMIFS($Q$4:$Q$203,$P$4:$P$203,"&gt;="&amp;$T$51,$P$4:$P$203,IF(48=$S$13,"&lt;=","&lt;")&amp;($T$51+$S$16)))</f>
        <v/>
      </c>
      <c r="V51">
        <f>IF(AND(MOD(37,$S$17)=0,MOD((INT(37/$S$17)+1)-1,$S$13/5)=0),INDEX($AA$4:$AA$53,(INT(37/$S$17)+1)),"")</f>
        <v/>
      </c>
      <c r="W51">
        <f>IF(MOD(37,$S$17)=$S$17-1,0,INDEX($U$4:$U$53,(INT(37/$S$17)+1)))</f>
        <v/>
      </c>
      <c r="X51">
        <f>IFERROR(IF(AND($Z$27&gt;=$S$14,$Z$27&lt;=$S$15),10+0.5+100*($Z$27-$S$14)/($S$15-$S$14),NA()),NA())</f>
        <v/>
      </c>
      <c r="Y51">
        <f>IF(ISNA($X$51),NA(),MAX($W$4:$W$123))</f>
        <v/>
      </c>
      <c r="AA51">
        <f>IF($T$51="","",IFERROR(IF(ABS($T$51)&gt;=1000000,ROUND($T$51/1000000,MAX(0,1-INT(LOG10($S$27/1000000))))&amp;"M",IF(ABS($T$51)&gt;=1000,ROUND($T$51/1000,MAX(0,1-INT(LOG10($S$27/1000))))&amp;"k",TEXT($T$51,"#,##0"))),TEXT($T$51,"#,##0")))</f>
        <v/>
      </c>
      <c r="AB51" t="n">
        <v>7050</v>
      </c>
      <c r="AC51" t="n">
        <v>7125</v>
      </c>
      <c r="AD51" t="n">
        <v>81</v>
      </c>
      <c r="AG51">
        <f>IF(48&lt;=$AF$13,$AF$14+(48-1)*$AF$16,"")</f>
        <v/>
      </c>
      <c r="AH51">
        <f>IF(48&gt;$AF$13,"",SUMIFS($AD$4:$AD$203,$AC$4:$AC$203,"&gt;="&amp;$AG$51,$AC$4:$AC$203,IF(48=$AF$13,"&lt;=","&lt;")&amp;($AG$51+$AF$16)))</f>
        <v/>
      </c>
      <c r="AI51">
        <f>IF(AND(MOD(37,$AF$17)=0,MOD((INT(37/$AF$17)+1)-1,$AF$13/5)=0),INDEX($AN$4:$AN$53,(INT(37/$AF$17)+1)),"")</f>
        <v/>
      </c>
      <c r="AJ51">
        <f>IF(MOD(37,$AF$17)=$AF$17-1,0,INDEX($AH$4:$AH$53,(INT(37/$AF$17)+1)))</f>
        <v/>
      </c>
      <c r="AK51">
        <f>IFERROR(IF(AND($AM$27&gt;=$AF$14,$AM$27&lt;=$AF$15),10+0.5+100*($AM$27-$AF$14)/($AF$15-$AF$14),NA()),NA())</f>
        <v/>
      </c>
      <c r="AL51">
        <f>IF(ISNA($AK$51),NA(),MAX($AJ$4:$AJ$123))</f>
        <v/>
      </c>
      <c r="AN51">
        <f>IF($AG$51="","",IFERROR(IF(ABS($AG$51)&gt;=1000000,ROUND($AG$51/1000000,MAX(0,1-INT(LOG10($AF$27/1000000))))&amp;"M",IF(ABS($AG$51)&gt;=1000,ROUND($AG$51/1000,MAX(0,1-INT(LOG10($AF$27/1000))))&amp;"k",TEXT($AG$51,"#,##0"))),TEXT($AG$51,"#,##0")))</f>
        <v/>
      </c>
    </row>
    <row r="52">
      <c r="B52" t="n">
        <v>622</v>
      </c>
      <c r="C52" t="n">
        <v>622.75</v>
      </c>
      <c r="D52" t="n">
        <v>43</v>
      </c>
      <c r="G52">
        <f>IF(49&lt;=$F$13,$F$14+(49-1)*$F$16,"")</f>
        <v/>
      </c>
      <c r="H52">
        <f>IF(49&gt;$F$13,"",SUMIFS($D$4:$D$203,$C$4:$C$203,"&gt;="&amp;$G$52,$C$4:$C$203,IF(49=$F$13,"&lt;=","&lt;")&amp;($G$52+$F$16)))</f>
        <v/>
      </c>
      <c r="I52">
        <f>IF(AND(MOD(38,$F$17)=0,MOD((INT(38/$F$17)+1)-1,$F$13/5)=0),INDEX($N$4:$N$53,(INT(38/$F$17)+1)),"")</f>
        <v/>
      </c>
      <c r="J52">
        <f>IF(MOD(38,$F$17)=$F$17-1,0,INDEX($H$4:$H$53,(INT(38/$F$17)+1)))</f>
        <v/>
      </c>
      <c r="K52">
        <f>IFERROR(IF(AND($F$22&gt;=$F$14,$F$22&lt;=$F$15),10+0.5+100*($F$22-$F$14)/($F$15-$F$14),NA()),NA())</f>
        <v/>
      </c>
      <c r="L52">
        <f>IF(ISNA($K$52),NA(),0)</f>
        <v/>
      </c>
      <c r="N52">
        <f>IF($G$52="","",IFERROR(IF(ABS($G$52)&gt;=1000000,ROUND($G$52/1000000,MAX(0,1-INT(LOG10($F$27/1000000))))&amp;"M",IF(ABS($G$52)&gt;=1000,ROUND($G$52/1000,MAX(0,1-INT(LOG10($F$27/1000))))&amp;"k",TEXT($G$52,"#,##0"))),TEXT($G$52,"#,##0")))</f>
        <v/>
      </c>
      <c r="O52" t="n">
        <v>14400</v>
      </c>
      <c r="P52" t="n">
        <v>14550</v>
      </c>
      <c r="Q52" t="n">
        <v>45</v>
      </c>
      <c r="T52">
        <f>IF(49&lt;=$S$13,$S$14+(49-1)*$S$16,"")</f>
        <v/>
      </c>
      <c r="U52">
        <f>IF(49&gt;$S$13,"",SUMIFS($Q$4:$Q$203,$P$4:$P$203,"&gt;="&amp;$T$52,$P$4:$P$203,IF(49=$S$13,"&lt;=","&lt;")&amp;($T$52+$S$16)))</f>
        <v/>
      </c>
      <c r="V52">
        <f>IF(AND(MOD(38,$S$17)=0,MOD((INT(38/$S$17)+1)-1,$S$13/5)=0),INDEX($AA$4:$AA$53,(INT(38/$S$17)+1)),"")</f>
        <v/>
      </c>
      <c r="W52">
        <f>IF(MOD(38,$S$17)=$S$17-1,0,INDEX($U$4:$U$53,(INT(38/$S$17)+1)))</f>
        <v/>
      </c>
      <c r="X52">
        <f>IFERROR(IF(AND($S$22&gt;=$S$14,$S$22&lt;=$S$15),10+0.5+100*($S$22-$S$14)/($S$15-$S$14),NA()),NA())</f>
        <v/>
      </c>
      <c r="Y52">
        <f>IF(ISNA($X$52),NA(),0)</f>
        <v/>
      </c>
      <c r="AA52">
        <f>IF($T$52="","",IFERROR(IF(ABS($T$52)&gt;=1000000,ROUND($T$52/1000000,MAX(0,1-INT(LOG10($S$27/1000000))))&amp;"M",IF(ABS($T$52)&gt;=1000,ROUND($T$52/1000,MAX(0,1-INT(LOG10($S$27/1000))))&amp;"k",TEXT($T$52,"#,##0"))),TEXT($T$52,"#,##0")))</f>
        <v/>
      </c>
      <c r="AB52" t="n">
        <v>7200</v>
      </c>
      <c r="AC52" t="n">
        <v>7275</v>
      </c>
      <c r="AD52" t="n">
        <v>70</v>
      </c>
      <c r="AG52">
        <f>IF(49&lt;=$AF$13,$AF$14+(49-1)*$AF$16,"")</f>
        <v/>
      </c>
      <c r="AH52">
        <f>IF(49&gt;$AF$13,"",SUMIFS($AD$4:$AD$203,$AC$4:$AC$203,"&gt;="&amp;$AG$52,$AC$4:$AC$203,IF(49=$AF$13,"&lt;=","&lt;")&amp;($AG$52+$AF$16)))</f>
        <v/>
      </c>
      <c r="AI52">
        <f>IF(AND(MOD(38,$AF$17)=0,MOD((INT(38/$AF$17)+1)-1,$AF$13/5)=0),INDEX($AN$4:$AN$53,(INT(38/$AF$17)+1)),"")</f>
        <v/>
      </c>
      <c r="AJ52">
        <f>IF(MOD(38,$AF$17)=$AF$17-1,0,INDEX($AH$4:$AH$53,(INT(38/$AF$17)+1)))</f>
        <v/>
      </c>
      <c r="AK52">
        <f>IFERROR(IF(AND($AF$22&gt;=$AF$14,$AF$22&lt;=$AF$15),10+0.5+100*($AF$22-$AF$14)/($AF$15-$AF$14),NA()),NA())</f>
        <v/>
      </c>
      <c r="AL52">
        <f>IF(ISNA($AK$52),NA(),0)</f>
        <v/>
      </c>
      <c r="AN52">
        <f>IF($AG$52="","",IFERROR(IF(ABS($AG$52)&gt;=1000000,ROUND($AG$52/1000000,MAX(0,1-INT(LOG10($AF$27/1000000))))&amp;"M",IF(ABS($AG$52)&gt;=1000,ROUND($AG$52/1000,MAX(0,1-INT(LOG10($AF$27/1000))))&amp;"k",TEXT($AG$52,"#,##0"))),TEXT($AG$52,"#,##0")))</f>
        <v/>
      </c>
    </row>
    <row r="53">
      <c r="B53" t="n">
        <v>623.5</v>
      </c>
      <c r="C53" t="n">
        <v>624.25</v>
      </c>
      <c r="D53" t="n">
        <v>16</v>
      </c>
      <c r="G53">
        <f>IF(50&lt;=$F$13,$F$14+(50-1)*$F$16,"")</f>
        <v/>
      </c>
      <c r="H53">
        <f>IF(50&gt;$F$13,"",SUMIFS($D$4:$D$203,$C$4:$C$203,"&gt;="&amp;$G$53,$C$4:$C$203,IF(50=$F$13,"&lt;=","&lt;")&amp;($G$53+$F$16)))</f>
        <v/>
      </c>
      <c r="I53">
        <f>IF(AND(MOD(39,$F$17)=0,MOD((INT(39/$F$17)+1)-1,$F$13/5)=0),INDEX($N$4:$N$53,(INT(39/$F$17)+1)),"")</f>
        <v/>
      </c>
      <c r="J53">
        <f>IF(MOD(39,$F$17)=$F$17-1,0,INDEX($H$4:$H$53,(INT(39/$F$17)+1)))</f>
        <v/>
      </c>
      <c r="K53">
        <f>IFERROR(IF(AND($F$22&gt;=$F$14,$F$22&lt;=$F$15),10+0.5+100*($F$22-$F$14)/($F$15-$F$14),NA()),NA())</f>
        <v/>
      </c>
      <c r="L53">
        <f>IF(ISNA($K$53),NA(),MAX($J$4:$J$123))</f>
        <v/>
      </c>
      <c r="N53">
        <f>IF($G$53="","",IFERROR(IF(ABS($G$53)&gt;=1000000,ROUND($G$53/1000000,MAX(0,1-INT(LOG10($F$27/1000000))))&amp;"M",IF(ABS($G$53)&gt;=1000,ROUND($G$53/1000,MAX(0,1-INT(LOG10($F$27/1000))))&amp;"k",TEXT($G$53,"#,##0"))),TEXT($G$53,"#,##0")))</f>
        <v/>
      </c>
      <c r="O53" t="n">
        <v>14700</v>
      </c>
      <c r="P53" t="n">
        <v>14850</v>
      </c>
      <c r="Q53" t="n">
        <v>35</v>
      </c>
      <c r="T53">
        <f>IF(50&lt;=$S$13,$S$14+(50-1)*$S$16,"")</f>
        <v/>
      </c>
      <c r="U53">
        <f>IF(50&gt;$S$13,"",SUMIFS($Q$4:$Q$203,$P$4:$P$203,"&gt;="&amp;$T$53,$P$4:$P$203,IF(50=$S$13,"&lt;=","&lt;")&amp;($T$53+$S$16)))</f>
        <v/>
      </c>
      <c r="V53">
        <f>IF(AND(MOD(39,$S$17)=0,MOD((INT(39/$S$17)+1)-1,$S$13/5)=0),INDEX($AA$4:$AA$53,(INT(39/$S$17)+1)),"")</f>
        <v/>
      </c>
      <c r="W53">
        <f>IF(MOD(39,$S$17)=$S$17-1,0,INDEX($U$4:$U$53,(INT(39/$S$17)+1)))</f>
        <v/>
      </c>
      <c r="X53">
        <f>IFERROR(IF(AND($S$22&gt;=$S$14,$S$22&lt;=$S$15),10+0.5+100*($S$22-$S$14)/($S$15-$S$14),NA()),NA())</f>
        <v/>
      </c>
      <c r="Y53">
        <f>IF(ISNA($X$53),NA(),MAX($W$4:$W$123))</f>
        <v/>
      </c>
      <c r="AA53">
        <f>IF($T$53="","",IFERROR(IF(ABS($T$53)&gt;=1000000,ROUND($T$53/1000000,MAX(0,1-INT(LOG10($S$27/1000000))))&amp;"M",IF(ABS($T$53)&gt;=1000,ROUND($T$53/1000,MAX(0,1-INT(LOG10($S$27/1000))))&amp;"k",TEXT($T$53,"#,##0"))),TEXT($T$53,"#,##0")))</f>
        <v/>
      </c>
      <c r="AB53" t="n">
        <v>7350</v>
      </c>
      <c r="AC53" t="n">
        <v>7425</v>
      </c>
      <c r="AD53" t="n">
        <v>74</v>
      </c>
      <c r="AG53">
        <f>IF(50&lt;=$AF$13,$AF$14+(50-1)*$AF$16,"")</f>
        <v/>
      </c>
      <c r="AH53">
        <f>IF(50&gt;$AF$13,"",SUMIFS($AD$4:$AD$203,$AC$4:$AC$203,"&gt;="&amp;$AG$53,$AC$4:$AC$203,IF(50=$AF$13,"&lt;=","&lt;")&amp;($AG$53+$AF$16)))</f>
        <v/>
      </c>
      <c r="AI53">
        <f>IF(AND(MOD(39,$AF$17)=0,MOD((INT(39/$AF$17)+1)-1,$AF$13/5)=0),INDEX($AN$4:$AN$53,(INT(39/$AF$17)+1)),"")</f>
        <v/>
      </c>
      <c r="AJ53">
        <f>IF(MOD(39,$AF$17)=$AF$17-1,0,INDEX($AH$4:$AH$53,(INT(39/$AF$17)+1)))</f>
        <v/>
      </c>
      <c r="AK53">
        <f>IFERROR(IF(AND($AF$22&gt;=$AF$14,$AF$22&lt;=$AF$15),10+0.5+100*($AF$22-$AF$14)/($AF$15-$AF$14),NA()),NA())</f>
        <v/>
      </c>
      <c r="AL53">
        <f>IF(ISNA($AK$53),NA(),MAX($AJ$4:$AJ$123))</f>
        <v/>
      </c>
      <c r="AN53">
        <f>IF($AG$53="","",IFERROR(IF(ABS($AG$53)&gt;=1000000,ROUND($AG$53/1000000,MAX(0,1-INT(LOG10($AF$27/1000000))))&amp;"M",IF(ABS($AG$53)&gt;=1000,ROUND($AG$53/1000,MAX(0,1-INT(LOG10($AF$27/1000))))&amp;"k",TEXT($AG$53,"#,##0"))),TEXT($AG$53,"#,##0")))</f>
        <v/>
      </c>
    </row>
    <row r="54">
      <c r="B54" t="n">
        <v>625</v>
      </c>
      <c r="C54" t="n">
        <v>625.75</v>
      </c>
      <c r="D54" t="n">
        <v>46</v>
      </c>
      <c r="I54">
        <f>IF(AND(MOD(40,$F$17)=0,MOD((INT(40/$F$17)+1)-1,$F$13/5)=0),INDEX($N$4:$N$53,(INT(40/$F$17)+1)),"")</f>
        <v/>
      </c>
      <c r="J54">
        <f>IF(MOD(40,$F$17)=$F$17-1,0,INDEX($H$4:$H$53,(INT(40/$F$17)+1)))</f>
        <v/>
      </c>
      <c r="K54">
        <f>IFERROR(IF(AND($F$23&gt;=$F$14,$F$23&lt;=$F$15),10+0.5+100*($F$23-$F$14)/($F$15-$F$14),NA()),NA())</f>
        <v/>
      </c>
      <c r="L54">
        <f>IF(ISNA($K$54),NA(),0)</f>
        <v/>
      </c>
      <c r="O54" t="n">
        <v>15000</v>
      </c>
      <c r="P54" t="n">
        <v>15150</v>
      </c>
      <c r="Q54" t="n">
        <v>42</v>
      </c>
      <c r="V54">
        <f>IF(AND(MOD(40,$S$17)=0,MOD((INT(40/$S$17)+1)-1,$S$13/5)=0),INDEX($AA$4:$AA$53,(INT(40/$S$17)+1)),"")</f>
        <v/>
      </c>
      <c r="W54">
        <f>IF(MOD(40,$S$17)=$S$17-1,0,INDEX($U$4:$U$53,(INT(40/$S$17)+1)))</f>
        <v/>
      </c>
      <c r="X54">
        <f>IFERROR(IF(AND($S$23&gt;=$S$14,$S$23&lt;=$S$15),10+0.5+100*($S$23-$S$14)/($S$15-$S$14),NA()),NA())</f>
        <v/>
      </c>
      <c r="Y54">
        <f>IF(ISNA($X$54),NA(),0)</f>
        <v/>
      </c>
      <c r="AB54" t="n">
        <v>7500</v>
      </c>
      <c r="AC54" t="n">
        <v>7575</v>
      </c>
      <c r="AD54" t="n">
        <v>70</v>
      </c>
      <c r="AI54">
        <f>IF(AND(MOD(40,$AF$17)=0,MOD((INT(40/$AF$17)+1)-1,$AF$13/5)=0),INDEX($AN$4:$AN$53,(INT(40/$AF$17)+1)),"")</f>
        <v/>
      </c>
      <c r="AJ54">
        <f>IF(MOD(40,$AF$17)=$AF$17-1,0,INDEX($AH$4:$AH$53,(INT(40/$AF$17)+1)))</f>
        <v/>
      </c>
      <c r="AK54">
        <f>IFERROR(IF(AND($AF$23&gt;=$AF$14,$AF$23&lt;=$AF$15),10+0.5+100*($AF$23-$AF$14)/($AF$15-$AF$14),NA()),NA())</f>
        <v/>
      </c>
      <c r="AL54">
        <f>IF(ISNA($AK$54),NA(),0)</f>
        <v/>
      </c>
    </row>
    <row r="55">
      <c r="B55" t="n">
        <v>626.5</v>
      </c>
      <c r="C55" t="n">
        <v>627.25</v>
      </c>
      <c r="D55" t="n">
        <v>24</v>
      </c>
      <c r="I55">
        <f>IF(AND(MOD(41,$F$17)=0,MOD((INT(41/$F$17)+1)-1,$F$13/5)=0),INDEX($N$4:$N$53,(INT(41/$F$17)+1)),"")</f>
        <v/>
      </c>
      <c r="J55">
        <f>IF(MOD(41,$F$17)=$F$17-1,0,INDEX($H$4:$H$53,(INT(41/$F$17)+1)))</f>
        <v/>
      </c>
      <c r="K55">
        <f>IFERROR(IF(AND($F$23&gt;=$F$14,$F$23&lt;=$F$15),10+0.5+100*($F$23-$F$14)/($F$15-$F$14),NA()),NA())</f>
        <v/>
      </c>
      <c r="L55">
        <f>IF(ISNA($K$55),NA(),MAX($J$4:$J$123))</f>
        <v/>
      </c>
      <c r="O55" t="n">
        <v>15300</v>
      </c>
      <c r="P55" t="n">
        <v>15450</v>
      </c>
      <c r="Q55" t="n">
        <v>39</v>
      </c>
      <c r="V55">
        <f>IF(AND(MOD(41,$S$17)=0,MOD((INT(41/$S$17)+1)-1,$S$13/5)=0),INDEX($AA$4:$AA$53,(INT(41/$S$17)+1)),"")</f>
        <v/>
      </c>
      <c r="W55">
        <f>IF(MOD(41,$S$17)=$S$17-1,0,INDEX($U$4:$U$53,(INT(41/$S$17)+1)))</f>
        <v/>
      </c>
      <c r="X55">
        <f>IFERROR(IF(AND($S$23&gt;=$S$14,$S$23&lt;=$S$15),10+0.5+100*($S$23-$S$14)/($S$15-$S$14),NA()),NA())</f>
        <v/>
      </c>
      <c r="Y55">
        <f>IF(ISNA($X$55),NA(),MAX($W$4:$W$123))</f>
        <v/>
      </c>
      <c r="AB55" t="n">
        <v>7650</v>
      </c>
      <c r="AC55" t="n">
        <v>7725</v>
      </c>
      <c r="AD55" t="n">
        <v>60</v>
      </c>
      <c r="AI55">
        <f>IF(AND(MOD(41,$AF$17)=0,MOD((INT(41/$AF$17)+1)-1,$AF$13/5)=0),INDEX($AN$4:$AN$53,(INT(41/$AF$17)+1)),"")</f>
        <v/>
      </c>
      <c r="AJ55">
        <f>IF(MOD(41,$AF$17)=$AF$17-1,0,INDEX($AH$4:$AH$53,(INT(41/$AF$17)+1)))</f>
        <v/>
      </c>
      <c r="AK55">
        <f>IFERROR(IF(AND($AF$23&gt;=$AF$14,$AF$23&lt;=$AF$15),10+0.5+100*($AF$23-$AF$14)/($AF$15-$AF$14),NA()),NA())</f>
        <v/>
      </c>
      <c r="AL55">
        <f>IF(ISNA($AK$55),NA(),MAX($AJ$4:$AJ$123))</f>
        <v/>
      </c>
    </row>
    <row r="56">
      <c r="B56" t="n">
        <v>628</v>
      </c>
      <c r="C56" t="n">
        <v>628.75</v>
      </c>
      <c r="D56" t="n">
        <v>56</v>
      </c>
      <c r="I56">
        <f>IF(AND(MOD(42,$F$17)=0,MOD((INT(42/$F$17)+1)-1,$F$13/5)=0),INDEX($N$4:$N$53,(INT(42/$F$17)+1)),"")</f>
        <v/>
      </c>
      <c r="J56">
        <f>IF(MOD(42,$F$17)=$F$17-1,0,INDEX($H$4:$H$53,(INT(42/$F$17)+1)))</f>
        <v/>
      </c>
      <c r="K56">
        <f>IFERROR(IF(AND($F$24&gt;=$F$14,$F$24&lt;=$F$15),10+0.5+100*($F$24-$F$14)/($F$15-$F$14),NA()),NA())</f>
        <v/>
      </c>
      <c r="L56">
        <f>IF(ISNA($K$56),NA(),0)</f>
        <v/>
      </c>
      <c r="O56" t="n">
        <v>15600</v>
      </c>
      <c r="P56" t="n">
        <v>15750</v>
      </c>
      <c r="Q56" t="n">
        <v>42</v>
      </c>
      <c r="V56">
        <f>IF(AND(MOD(42,$S$17)=0,MOD((INT(42/$S$17)+1)-1,$S$13/5)=0),INDEX($AA$4:$AA$53,(INT(42/$S$17)+1)),"")</f>
        <v/>
      </c>
      <c r="W56">
        <f>IF(MOD(42,$S$17)=$S$17-1,0,INDEX($U$4:$U$53,(INT(42/$S$17)+1)))</f>
        <v/>
      </c>
      <c r="X56">
        <f>IFERROR(IF(AND($S$24&gt;=$S$14,$S$24&lt;=$S$15),10+0.5+100*($S$24-$S$14)/($S$15-$S$14),NA()),NA())</f>
        <v/>
      </c>
      <c r="Y56">
        <f>IF(ISNA($X$56),NA(),0)</f>
        <v/>
      </c>
      <c r="AB56" t="n">
        <v>7800</v>
      </c>
      <c r="AC56" t="n">
        <v>7875</v>
      </c>
      <c r="AD56" t="n">
        <v>69</v>
      </c>
      <c r="AI56">
        <f>IF(AND(MOD(42,$AF$17)=0,MOD((INT(42/$AF$17)+1)-1,$AF$13/5)=0),INDEX($AN$4:$AN$53,(INT(42/$AF$17)+1)),"")</f>
        <v/>
      </c>
      <c r="AJ56">
        <f>IF(MOD(42,$AF$17)=$AF$17-1,0,INDEX($AH$4:$AH$53,(INT(42/$AF$17)+1)))</f>
        <v/>
      </c>
      <c r="AK56">
        <f>IFERROR(IF(AND($AF$24&gt;=$AF$14,$AF$24&lt;=$AF$15),10+0.5+100*($AF$24-$AF$14)/($AF$15-$AF$14),NA()),NA())</f>
        <v/>
      </c>
      <c r="AL56">
        <f>IF(ISNA($AK$56),NA(),0)</f>
        <v/>
      </c>
    </row>
    <row r="57">
      <c r="B57" t="n">
        <v>629.5</v>
      </c>
      <c r="C57" t="n">
        <v>630.25</v>
      </c>
      <c r="D57" t="n">
        <v>28</v>
      </c>
      <c r="I57">
        <f>IF(AND(MOD(43,$F$17)=0,MOD((INT(43/$F$17)+1)-1,$F$13/5)=0),INDEX($N$4:$N$53,(INT(43/$F$17)+1)),"")</f>
        <v/>
      </c>
      <c r="J57">
        <f>IF(MOD(43,$F$17)=$F$17-1,0,INDEX($H$4:$H$53,(INT(43/$F$17)+1)))</f>
        <v/>
      </c>
      <c r="K57">
        <f>IFERROR(IF(AND($F$24&gt;=$F$14,$F$24&lt;=$F$15),10+0.5+100*($F$24-$F$14)/($F$15-$F$14),NA()),NA())</f>
        <v/>
      </c>
      <c r="L57">
        <f>IF(ISNA($K$57),NA(),MAX($J$4:$J$123))</f>
        <v/>
      </c>
      <c r="O57" t="n">
        <v>15900</v>
      </c>
      <c r="P57" t="n">
        <v>16050</v>
      </c>
      <c r="Q57" t="n">
        <v>44</v>
      </c>
      <c r="V57">
        <f>IF(AND(MOD(43,$S$17)=0,MOD((INT(43/$S$17)+1)-1,$S$13/5)=0),INDEX($AA$4:$AA$53,(INT(43/$S$17)+1)),"")</f>
        <v/>
      </c>
      <c r="W57">
        <f>IF(MOD(43,$S$17)=$S$17-1,0,INDEX($U$4:$U$53,(INT(43/$S$17)+1)))</f>
        <v/>
      </c>
      <c r="X57">
        <f>IFERROR(IF(AND($S$24&gt;=$S$14,$S$24&lt;=$S$15),10+0.5+100*($S$24-$S$14)/($S$15-$S$14),NA()),NA())</f>
        <v/>
      </c>
      <c r="Y57">
        <f>IF(ISNA($X$57),NA(),MAX($W$4:$W$123))</f>
        <v/>
      </c>
      <c r="AB57" t="n">
        <v>7950</v>
      </c>
      <c r="AC57" t="n">
        <v>8025</v>
      </c>
      <c r="AD57" t="n">
        <v>61</v>
      </c>
      <c r="AI57">
        <f>IF(AND(MOD(43,$AF$17)=0,MOD((INT(43/$AF$17)+1)-1,$AF$13/5)=0),INDEX($AN$4:$AN$53,(INT(43/$AF$17)+1)),"")</f>
        <v/>
      </c>
      <c r="AJ57">
        <f>IF(MOD(43,$AF$17)=$AF$17-1,0,INDEX($AH$4:$AH$53,(INT(43/$AF$17)+1)))</f>
        <v/>
      </c>
      <c r="AK57">
        <f>IFERROR(IF(AND($AF$24&gt;=$AF$14,$AF$24&lt;=$AF$15),10+0.5+100*($AF$24-$AF$14)/($AF$15-$AF$14),NA()),NA())</f>
        <v/>
      </c>
      <c r="AL57">
        <f>IF(ISNA($AK$57),NA(),MAX($AJ$4:$AJ$123))</f>
        <v/>
      </c>
    </row>
    <row r="58">
      <c r="B58" t="n">
        <v>631</v>
      </c>
      <c r="C58" t="n">
        <v>631.75</v>
      </c>
      <c r="D58" t="n">
        <v>58</v>
      </c>
      <c r="I58">
        <f>IF(AND(MOD(44,$F$17)=0,MOD((INT(44/$F$17)+1)-1,$F$13/5)=0),INDEX($N$4:$N$53,(INT(44/$F$17)+1)),"")</f>
        <v/>
      </c>
      <c r="J58">
        <f>IF(MOD(44,$F$17)=$F$17-1,0,INDEX($H$4:$H$53,(INT(44/$F$17)+1)))</f>
        <v/>
      </c>
      <c r="K58">
        <f>IFERROR(IF(AND($F$25&gt;=$F$14,$F$25&lt;=$F$15),10+0.5+100*($F$25-$F$14)/($F$15-$F$14),NA()),NA())</f>
        <v/>
      </c>
      <c r="L58">
        <f>IF(ISNA($K$58),NA(),0)</f>
        <v/>
      </c>
      <c r="O58" t="n">
        <v>16200</v>
      </c>
      <c r="P58" t="n">
        <v>16350</v>
      </c>
      <c r="Q58" t="n">
        <v>44</v>
      </c>
      <c r="V58">
        <f>IF(AND(MOD(44,$S$17)=0,MOD((INT(44/$S$17)+1)-1,$S$13/5)=0),INDEX($AA$4:$AA$53,(INT(44/$S$17)+1)),"")</f>
        <v/>
      </c>
      <c r="W58">
        <f>IF(MOD(44,$S$17)=$S$17-1,0,INDEX($U$4:$U$53,(INT(44/$S$17)+1)))</f>
        <v/>
      </c>
      <c r="X58">
        <f>IFERROR(IF(AND($S$25&gt;=$S$14,$S$25&lt;=$S$15),10+0.5+100*($S$25-$S$14)/($S$15-$S$14),NA()),NA())</f>
        <v/>
      </c>
      <c r="Y58">
        <f>IF(ISNA($X$58),NA(),0)</f>
        <v/>
      </c>
      <c r="AB58" t="n">
        <v>8100</v>
      </c>
      <c r="AC58" t="n">
        <v>8175</v>
      </c>
      <c r="AD58" t="n">
        <v>64</v>
      </c>
      <c r="AI58">
        <f>IF(AND(MOD(44,$AF$17)=0,MOD((INT(44/$AF$17)+1)-1,$AF$13/5)=0),INDEX($AN$4:$AN$53,(INT(44/$AF$17)+1)),"")</f>
        <v/>
      </c>
      <c r="AJ58">
        <f>IF(MOD(44,$AF$17)=$AF$17-1,0,INDEX($AH$4:$AH$53,(INT(44/$AF$17)+1)))</f>
        <v/>
      </c>
      <c r="AK58">
        <f>IFERROR(IF(AND($AF$25&gt;=$AF$14,$AF$25&lt;=$AF$15),10+0.5+100*($AF$25-$AF$14)/($AF$15-$AF$14),NA()),NA())</f>
        <v/>
      </c>
      <c r="AL58">
        <f>IF(ISNA($AK$58),NA(),0)</f>
        <v/>
      </c>
    </row>
    <row r="59">
      <c r="B59" t="n">
        <v>632.5</v>
      </c>
      <c r="C59" t="n">
        <v>633.25</v>
      </c>
      <c r="D59" t="n">
        <v>27</v>
      </c>
      <c r="I59">
        <f>IF(AND(MOD(45,$F$17)=0,MOD((INT(45/$F$17)+1)-1,$F$13/5)=0),INDEX($N$4:$N$53,(INT(45/$F$17)+1)),"")</f>
        <v/>
      </c>
      <c r="J59">
        <f>IF(MOD(45,$F$17)=$F$17-1,0,INDEX($H$4:$H$53,(INT(45/$F$17)+1)))</f>
        <v/>
      </c>
      <c r="K59">
        <f>IFERROR(IF(AND($F$25&gt;=$F$14,$F$25&lt;=$F$15),10+0.5+100*($F$25-$F$14)/($F$15-$F$14),NA()),NA())</f>
        <v/>
      </c>
      <c r="L59">
        <f>IF(ISNA($K$59),NA(),MAX($J$4:$J$123))</f>
        <v/>
      </c>
      <c r="O59" t="n">
        <v>16500</v>
      </c>
      <c r="P59" t="n">
        <v>16650</v>
      </c>
      <c r="Q59" t="n">
        <v>50</v>
      </c>
      <c r="V59">
        <f>IF(AND(MOD(45,$S$17)=0,MOD((INT(45/$S$17)+1)-1,$S$13/5)=0),INDEX($AA$4:$AA$53,(INT(45/$S$17)+1)),"")</f>
        <v/>
      </c>
      <c r="W59">
        <f>IF(MOD(45,$S$17)=$S$17-1,0,INDEX($U$4:$U$53,(INT(45/$S$17)+1)))</f>
        <v/>
      </c>
      <c r="X59">
        <f>IFERROR(IF(AND($S$25&gt;=$S$14,$S$25&lt;=$S$15),10+0.5+100*($S$25-$S$14)/($S$15-$S$14),NA()),NA())</f>
        <v/>
      </c>
      <c r="Y59">
        <f>IF(ISNA($X$59),NA(),MAX($W$4:$W$123))</f>
        <v/>
      </c>
      <c r="AB59" t="n">
        <v>8250</v>
      </c>
      <c r="AC59" t="n">
        <v>8325</v>
      </c>
      <c r="AD59" t="n">
        <v>76</v>
      </c>
      <c r="AI59">
        <f>IF(AND(MOD(45,$AF$17)=0,MOD((INT(45/$AF$17)+1)-1,$AF$13/5)=0),INDEX($AN$4:$AN$53,(INT(45/$AF$17)+1)),"")</f>
        <v/>
      </c>
      <c r="AJ59">
        <f>IF(MOD(45,$AF$17)=$AF$17-1,0,INDEX($AH$4:$AH$53,(INT(45/$AF$17)+1)))</f>
        <v/>
      </c>
      <c r="AK59">
        <f>IFERROR(IF(AND($AF$25&gt;=$AF$14,$AF$25&lt;=$AF$15),10+0.5+100*($AF$25-$AF$14)/($AF$15-$AF$14),NA()),NA())</f>
        <v/>
      </c>
      <c r="AL59">
        <f>IF(ISNA($AK$59),NA(),MAX($AJ$4:$AJ$123))</f>
        <v/>
      </c>
    </row>
    <row r="60">
      <c r="B60" t="n">
        <v>634</v>
      </c>
      <c r="C60" t="n">
        <v>634.75</v>
      </c>
      <c r="D60" t="n">
        <v>52</v>
      </c>
      <c r="I60">
        <f>IF(AND(MOD(46,$F$17)=0,MOD((INT(46/$F$17)+1)-1,$F$13/5)=0),INDEX($N$4:$N$53,(INT(46/$F$17)+1)),"")</f>
        <v/>
      </c>
      <c r="J60">
        <f>IF(MOD(46,$F$17)=$F$17-1,0,INDEX($H$4:$H$53,(INT(46/$F$17)+1)))</f>
        <v/>
      </c>
      <c r="K60">
        <f>IFERROR(IF(AND($F$26&gt;=$F$14,$F$26&lt;=$F$15),10+0.5+100*($F$26-$F$14)/($F$15-$F$14),NA()),NA())</f>
        <v/>
      </c>
      <c r="L60">
        <f>IF(ISNA($K$60),NA(),0)</f>
        <v/>
      </c>
      <c r="O60" t="n">
        <v>16800</v>
      </c>
      <c r="P60" t="n">
        <v>16950</v>
      </c>
      <c r="Q60" t="n">
        <v>47</v>
      </c>
      <c r="V60">
        <f>IF(AND(MOD(46,$S$17)=0,MOD((INT(46/$S$17)+1)-1,$S$13/5)=0),INDEX($AA$4:$AA$53,(INT(46/$S$17)+1)),"")</f>
        <v/>
      </c>
      <c r="W60">
        <f>IF(MOD(46,$S$17)=$S$17-1,0,INDEX($U$4:$U$53,(INT(46/$S$17)+1)))</f>
        <v/>
      </c>
      <c r="X60">
        <f>IFERROR(IF(AND($S$26&gt;=$S$14,$S$26&lt;=$S$15),10+0.5+100*($S$26-$S$14)/($S$15-$S$14),NA()),NA())</f>
        <v/>
      </c>
      <c r="Y60">
        <f>IF(ISNA($X$60),NA(),0)</f>
        <v/>
      </c>
      <c r="AB60" t="n">
        <v>8400</v>
      </c>
      <c r="AC60" t="n">
        <v>8475</v>
      </c>
      <c r="AD60" t="n">
        <v>68</v>
      </c>
      <c r="AI60">
        <f>IF(AND(MOD(46,$AF$17)=0,MOD((INT(46/$AF$17)+1)-1,$AF$13/5)=0),INDEX($AN$4:$AN$53,(INT(46/$AF$17)+1)),"")</f>
        <v/>
      </c>
      <c r="AJ60">
        <f>IF(MOD(46,$AF$17)=$AF$17-1,0,INDEX($AH$4:$AH$53,(INT(46/$AF$17)+1)))</f>
        <v/>
      </c>
      <c r="AK60">
        <f>IFERROR(IF(AND($AF$26&gt;=$AF$14,$AF$26&lt;=$AF$15),10+0.5+100*($AF$26-$AF$14)/($AF$15-$AF$14),NA()),NA())</f>
        <v/>
      </c>
      <c r="AL60">
        <f>IF(ISNA($AK$60),NA(),0)</f>
        <v/>
      </c>
    </row>
    <row r="61">
      <c r="B61" t="n">
        <v>635.5</v>
      </c>
      <c r="C61" t="n">
        <v>636.25</v>
      </c>
      <c r="D61" t="n">
        <v>29</v>
      </c>
      <c r="I61">
        <f>IF(AND(MOD(47,$F$17)=0,MOD((INT(47/$F$17)+1)-1,$F$13/5)=0),INDEX($N$4:$N$53,(INT(47/$F$17)+1)),"")</f>
        <v/>
      </c>
      <c r="J61">
        <f>IF(MOD(47,$F$17)=$F$17-1,0,INDEX($H$4:$H$53,(INT(47/$F$17)+1)))</f>
        <v/>
      </c>
      <c r="K61">
        <f>IFERROR(IF(AND($F$26&gt;=$F$14,$F$26&lt;=$F$15),10+0.5+100*($F$26-$F$14)/($F$15-$F$14),NA()),NA())</f>
        <v/>
      </c>
      <c r="L61">
        <f>IF(ISNA($K$61),NA(),MAX($J$4:$J$123))</f>
        <v/>
      </c>
      <c r="O61" t="n">
        <v>17100</v>
      </c>
      <c r="P61" t="n">
        <v>17250</v>
      </c>
      <c r="Q61" t="n">
        <v>47</v>
      </c>
      <c r="V61">
        <f>IF(AND(MOD(47,$S$17)=0,MOD((INT(47/$S$17)+1)-1,$S$13/5)=0),INDEX($AA$4:$AA$53,(INT(47/$S$17)+1)),"")</f>
        <v/>
      </c>
      <c r="W61">
        <f>IF(MOD(47,$S$17)=$S$17-1,0,INDEX($U$4:$U$53,(INT(47/$S$17)+1)))</f>
        <v/>
      </c>
      <c r="X61">
        <f>IFERROR(IF(AND($S$26&gt;=$S$14,$S$26&lt;=$S$15),10+0.5+100*($S$26-$S$14)/($S$15-$S$14),NA()),NA())</f>
        <v/>
      </c>
      <c r="Y61">
        <f>IF(ISNA($X$61),NA(),MAX($W$4:$W$123))</f>
        <v/>
      </c>
      <c r="AB61" t="n">
        <v>8550</v>
      </c>
      <c r="AC61" t="n">
        <v>8625</v>
      </c>
      <c r="AD61" t="n">
        <v>81</v>
      </c>
      <c r="AI61">
        <f>IF(AND(MOD(47,$AF$17)=0,MOD((INT(47/$AF$17)+1)-1,$AF$13/5)=0),INDEX($AN$4:$AN$53,(INT(47/$AF$17)+1)),"")</f>
        <v/>
      </c>
      <c r="AJ61">
        <f>IF(MOD(47,$AF$17)=$AF$17-1,0,INDEX($AH$4:$AH$53,(INT(47/$AF$17)+1)))</f>
        <v/>
      </c>
      <c r="AK61">
        <f>IFERROR(IF(AND($AF$26&gt;=$AF$14,$AF$26&lt;=$AF$15),10+0.5+100*($AF$26-$AF$14)/($AF$15-$AF$14),NA()),NA())</f>
        <v/>
      </c>
      <c r="AL61">
        <f>IF(ISNA($AK$61),NA(),MAX($AJ$4:$AJ$123))</f>
        <v/>
      </c>
    </row>
    <row r="62">
      <c r="B62" t="n">
        <v>637</v>
      </c>
      <c r="C62" t="n">
        <v>637.75</v>
      </c>
      <c r="D62" t="n">
        <v>65</v>
      </c>
      <c r="I62">
        <f>IF(AND(MOD(48,$F$17)=0,MOD((INT(48/$F$17)+1)-1,$F$13/5)=0),INDEX($N$4:$N$53,(INT(48/$F$17)+1)),"")</f>
        <v/>
      </c>
      <c r="J62">
        <f>IF(MOD(48,$F$17)=$F$17-1,0,INDEX($H$4:$H$53,(INT(48/$F$17)+1)))</f>
        <v/>
      </c>
      <c r="O62" t="n">
        <v>17400</v>
      </c>
      <c r="P62" t="n">
        <v>17550</v>
      </c>
      <c r="Q62" t="n">
        <v>37</v>
      </c>
      <c r="V62">
        <f>IF(AND(MOD(48,$S$17)=0,MOD((INT(48/$S$17)+1)-1,$S$13/5)=0),INDEX($AA$4:$AA$53,(INT(48/$S$17)+1)),"")</f>
        <v/>
      </c>
      <c r="W62">
        <f>IF(MOD(48,$S$17)=$S$17-1,0,INDEX($U$4:$U$53,(INT(48/$S$17)+1)))</f>
        <v/>
      </c>
      <c r="AB62" t="n">
        <v>8700</v>
      </c>
      <c r="AC62" t="n">
        <v>8775</v>
      </c>
      <c r="AD62" t="n">
        <v>74</v>
      </c>
      <c r="AI62">
        <f>IF(AND(MOD(48,$AF$17)=0,MOD((INT(48/$AF$17)+1)-1,$AF$13/5)=0),INDEX($AN$4:$AN$53,(INT(48/$AF$17)+1)),"")</f>
        <v/>
      </c>
      <c r="AJ62">
        <f>IF(MOD(48,$AF$17)=$AF$17-1,0,INDEX($AH$4:$AH$53,(INT(48/$AF$17)+1)))</f>
        <v/>
      </c>
    </row>
    <row r="63">
      <c r="B63" t="n">
        <v>638.5</v>
      </c>
      <c r="C63" t="n">
        <v>639.25</v>
      </c>
      <c r="D63" t="n">
        <v>20</v>
      </c>
      <c r="I63">
        <f>IF(AND(MOD(49,$F$17)=0,MOD((INT(49/$F$17)+1)-1,$F$13/5)=0),INDEX($N$4:$N$53,(INT(49/$F$17)+1)),"")</f>
        <v/>
      </c>
      <c r="J63">
        <f>IF(MOD(49,$F$17)=$F$17-1,0,INDEX($H$4:$H$53,(INT(49/$F$17)+1)))</f>
        <v/>
      </c>
      <c r="O63" t="n">
        <v>17700</v>
      </c>
      <c r="P63" t="n">
        <v>17850</v>
      </c>
      <c r="Q63" t="n">
        <v>42</v>
      </c>
      <c r="V63">
        <f>IF(AND(MOD(49,$S$17)=0,MOD((INT(49/$S$17)+1)-1,$S$13/5)=0),INDEX($AA$4:$AA$53,(INT(49/$S$17)+1)),"")</f>
        <v/>
      </c>
      <c r="W63">
        <f>IF(MOD(49,$S$17)=$S$17-1,0,INDEX($U$4:$U$53,(INT(49/$S$17)+1)))</f>
        <v/>
      </c>
      <c r="AB63" t="n">
        <v>8850</v>
      </c>
      <c r="AC63" t="n">
        <v>8925</v>
      </c>
      <c r="AD63" t="n">
        <v>88</v>
      </c>
      <c r="AI63">
        <f>IF(AND(MOD(49,$AF$17)=0,MOD((INT(49/$AF$17)+1)-1,$AF$13/5)=0),INDEX($AN$4:$AN$53,(INT(49/$AF$17)+1)),"")</f>
        <v/>
      </c>
      <c r="AJ63">
        <f>IF(MOD(49,$AF$17)=$AF$17-1,0,INDEX($AH$4:$AH$53,(INT(49/$AF$17)+1)))</f>
        <v/>
      </c>
    </row>
    <row r="64">
      <c r="B64" t="n">
        <v>640</v>
      </c>
      <c r="C64" t="n">
        <v>640.75</v>
      </c>
      <c r="D64" t="n">
        <v>67</v>
      </c>
      <c r="I64">
        <f>IF(AND(MOD(50,$F$17)=0,MOD((INT(50/$F$17)+1)-1,$F$13/5)=0),INDEX($N$4:$N$53,(INT(50/$F$17)+1)),"")</f>
        <v/>
      </c>
      <c r="J64">
        <f>IF(MOD(50,$F$17)=$F$17-1,0,INDEX($H$4:$H$53,(INT(50/$F$17)+1)))</f>
        <v/>
      </c>
      <c r="O64" t="n">
        <v>18000</v>
      </c>
      <c r="P64" t="n">
        <v>18150</v>
      </c>
      <c r="Q64" t="n">
        <v>45</v>
      </c>
      <c r="V64">
        <f>IF(AND(MOD(50,$S$17)=0,MOD((INT(50/$S$17)+1)-1,$S$13/5)=0),INDEX($AA$4:$AA$53,(INT(50/$S$17)+1)),"")</f>
        <v/>
      </c>
      <c r="W64">
        <f>IF(MOD(50,$S$17)=$S$17-1,0,INDEX($U$4:$U$53,(INT(50/$S$17)+1)))</f>
        <v/>
      </c>
      <c r="AB64" t="n">
        <v>9000</v>
      </c>
      <c r="AC64" t="n">
        <v>9075</v>
      </c>
      <c r="AD64" t="n">
        <v>80</v>
      </c>
      <c r="AI64">
        <f>IF(AND(MOD(50,$AF$17)=0,MOD((INT(50/$AF$17)+1)-1,$AF$13/5)=0),INDEX($AN$4:$AN$53,(INT(50/$AF$17)+1)),"")</f>
        <v/>
      </c>
      <c r="AJ64">
        <f>IF(MOD(50,$AF$17)=$AF$17-1,0,INDEX($AH$4:$AH$53,(INT(50/$AF$17)+1)))</f>
        <v/>
      </c>
    </row>
    <row r="65">
      <c r="B65" t="n">
        <v>641.5</v>
      </c>
      <c r="C65" t="n">
        <v>642.25</v>
      </c>
      <c r="D65" t="n">
        <v>34</v>
      </c>
      <c r="I65">
        <f>IF(AND(MOD(51,$F$17)=0,MOD((INT(51/$F$17)+1)-1,$F$13/5)=0),INDEX($N$4:$N$53,(INT(51/$F$17)+1)),"")</f>
        <v/>
      </c>
      <c r="J65">
        <f>IF(MOD(51,$F$17)=$F$17-1,0,INDEX($H$4:$H$53,(INT(51/$F$17)+1)))</f>
        <v/>
      </c>
      <c r="O65" t="n">
        <v>18300</v>
      </c>
      <c r="P65" t="n">
        <v>18450</v>
      </c>
      <c r="Q65" t="n">
        <v>47</v>
      </c>
      <c r="V65">
        <f>IF(AND(MOD(51,$S$17)=0,MOD((INT(51/$S$17)+1)-1,$S$13/5)=0),INDEX($AA$4:$AA$53,(INT(51/$S$17)+1)),"")</f>
        <v/>
      </c>
      <c r="W65">
        <f>IF(MOD(51,$S$17)=$S$17-1,0,INDEX($U$4:$U$53,(INT(51/$S$17)+1)))</f>
        <v/>
      </c>
      <c r="AB65" t="n">
        <v>9150</v>
      </c>
      <c r="AC65" t="n">
        <v>9225</v>
      </c>
      <c r="AD65" t="n">
        <v>77</v>
      </c>
      <c r="AI65">
        <f>IF(AND(MOD(51,$AF$17)=0,MOD((INT(51/$AF$17)+1)-1,$AF$13/5)=0),INDEX($AN$4:$AN$53,(INT(51/$AF$17)+1)),"")</f>
        <v/>
      </c>
      <c r="AJ65">
        <f>IF(MOD(51,$AF$17)=$AF$17-1,0,INDEX($AH$4:$AH$53,(INT(51/$AF$17)+1)))</f>
        <v/>
      </c>
    </row>
    <row r="66">
      <c r="B66" t="n">
        <v>643</v>
      </c>
      <c r="C66" t="n">
        <v>643.75</v>
      </c>
      <c r="D66" t="n">
        <v>78</v>
      </c>
      <c r="I66">
        <f>IF(AND(MOD(52,$F$17)=0,MOD((INT(52/$F$17)+1)-1,$F$13/5)=0),INDEX($N$4:$N$53,(INT(52/$F$17)+1)),"")</f>
        <v/>
      </c>
      <c r="J66">
        <f>IF(MOD(52,$F$17)=$F$17-1,0,INDEX($H$4:$H$53,(INT(52/$F$17)+1)))</f>
        <v/>
      </c>
      <c r="O66" t="n">
        <v>18600</v>
      </c>
      <c r="P66" t="n">
        <v>18750</v>
      </c>
      <c r="Q66" t="n">
        <v>58</v>
      </c>
      <c r="V66">
        <f>IF(AND(MOD(52,$S$17)=0,MOD((INT(52/$S$17)+1)-1,$S$13/5)=0),INDEX($AA$4:$AA$53,(INT(52/$S$17)+1)),"")</f>
        <v/>
      </c>
      <c r="W66">
        <f>IF(MOD(52,$S$17)=$S$17-1,0,INDEX($U$4:$U$53,(INT(52/$S$17)+1)))</f>
        <v/>
      </c>
      <c r="AB66" t="n">
        <v>9300</v>
      </c>
      <c r="AC66" t="n">
        <v>9375</v>
      </c>
      <c r="AD66" t="n">
        <v>85</v>
      </c>
      <c r="AI66">
        <f>IF(AND(MOD(52,$AF$17)=0,MOD((INT(52/$AF$17)+1)-1,$AF$13/5)=0),INDEX($AN$4:$AN$53,(INT(52/$AF$17)+1)),"")</f>
        <v/>
      </c>
      <c r="AJ66">
        <f>IF(MOD(52,$AF$17)=$AF$17-1,0,INDEX($AH$4:$AH$53,(INT(52/$AF$17)+1)))</f>
        <v/>
      </c>
    </row>
    <row r="67">
      <c r="B67" t="n">
        <v>644.5</v>
      </c>
      <c r="C67" t="n">
        <v>645.25</v>
      </c>
      <c r="D67" t="n">
        <v>34</v>
      </c>
      <c r="I67">
        <f>IF(AND(MOD(53,$F$17)=0,MOD((INT(53/$F$17)+1)-1,$F$13/5)=0),INDEX($N$4:$N$53,(INT(53/$F$17)+1)),"")</f>
        <v/>
      </c>
      <c r="J67">
        <f>IF(MOD(53,$F$17)=$F$17-1,0,INDEX($H$4:$H$53,(INT(53/$F$17)+1)))</f>
        <v/>
      </c>
      <c r="O67" t="n">
        <v>18900</v>
      </c>
      <c r="P67" t="n">
        <v>19050</v>
      </c>
      <c r="Q67" t="n">
        <v>40</v>
      </c>
      <c r="V67">
        <f>IF(AND(MOD(53,$S$17)=0,MOD((INT(53/$S$17)+1)-1,$S$13/5)=0),INDEX($AA$4:$AA$53,(INT(53/$S$17)+1)),"")</f>
        <v/>
      </c>
      <c r="W67">
        <f>IF(MOD(53,$S$17)=$S$17-1,0,INDEX($U$4:$U$53,(INT(53/$S$17)+1)))</f>
        <v/>
      </c>
      <c r="AB67" t="n">
        <v>9450</v>
      </c>
      <c r="AC67" t="n">
        <v>9525</v>
      </c>
      <c r="AD67" t="n">
        <v>66</v>
      </c>
      <c r="AI67">
        <f>IF(AND(MOD(53,$AF$17)=0,MOD((INT(53/$AF$17)+1)-1,$AF$13/5)=0),INDEX($AN$4:$AN$53,(INT(53/$AF$17)+1)),"")</f>
        <v/>
      </c>
      <c r="AJ67">
        <f>IF(MOD(53,$AF$17)=$AF$17-1,0,INDEX($AH$4:$AH$53,(INT(53/$AF$17)+1)))</f>
        <v/>
      </c>
    </row>
    <row r="68">
      <c r="B68" t="n">
        <v>646</v>
      </c>
      <c r="C68" t="n">
        <v>646.75</v>
      </c>
      <c r="D68" t="n">
        <v>67</v>
      </c>
      <c r="I68">
        <f>IF(AND(MOD(54,$F$17)=0,MOD((INT(54/$F$17)+1)-1,$F$13/5)=0),INDEX($N$4:$N$53,(INT(54/$F$17)+1)),"")</f>
        <v/>
      </c>
      <c r="J68">
        <f>IF(MOD(54,$F$17)=$F$17-1,0,INDEX($H$4:$H$53,(INT(54/$F$17)+1)))</f>
        <v/>
      </c>
      <c r="O68" t="n">
        <v>19200</v>
      </c>
      <c r="P68" t="n">
        <v>19350</v>
      </c>
      <c r="Q68" t="n">
        <v>52</v>
      </c>
      <c r="V68">
        <f>IF(AND(MOD(54,$S$17)=0,MOD((INT(54/$S$17)+1)-1,$S$13/5)=0),INDEX($AA$4:$AA$53,(INT(54/$S$17)+1)),"")</f>
        <v/>
      </c>
      <c r="W68">
        <f>IF(MOD(54,$S$17)=$S$17-1,0,INDEX($U$4:$U$53,(INT(54/$S$17)+1)))</f>
        <v/>
      </c>
      <c r="AB68" t="n">
        <v>9600</v>
      </c>
      <c r="AC68" t="n">
        <v>9675</v>
      </c>
      <c r="AD68" t="n">
        <v>72</v>
      </c>
      <c r="AI68">
        <f>IF(AND(MOD(54,$AF$17)=0,MOD((INT(54/$AF$17)+1)-1,$AF$13/5)=0),INDEX($AN$4:$AN$53,(INT(54/$AF$17)+1)),"")</f>
        <v/>
      </c>
      <c r="AJ68">
        <f>IF(MOD(54,$AF$17)=$AF$17-1,0,INDEX($AH$4:$AH$53,(INT(54/$AF$17)+1)))</f>
        <v/>
      </c>
    </row>
    <row r="69">
      <c r="B69" t="n">
        <v>647.5</v>
      </c>
      <c r="C69" t="n">
        <v>648.25</v>
      </c>
      <c r="D69" t="n">
        <v>20</v>
      </c>
      <c r="I69">
        <f>IF(AND(MOD(55,$F$17)=0,MOD((INT(55/$F$17)+1)-1,$F$13/5)=0),INDEX($N$4:$N$53,(INT(55/$F$17)+1)),"")</f>
        <v/>
      </c>
      <c r="J69">
        <f>IF(MOD(55,$F$17)=$F$17-1,0,INDEX($H$4:$H$53,(INT(55/$F$17)+1)))</f>
        <v/>
      </c>
      <c r="O69" t="n">
        <v>19500</v>
      </c>
      <c r="P69" t="n">
        <v>19650</v>
      </c>
      <c r="Q69" t="n">
        <v>53</v>
      </c>
      <c r="V69">
        <f>IF(AND(MOD(55,$S$17)=0,MOD((INT(55/$S$17)+1)-1,$S$13/5)=0),INDEX($AA$4:$AA$53,(INT(55/$S$17)+1)),"")</f>
        <v/>
      </c>
      <c r="W69">
        <f>IF(MOD(55,$S$17)=$S$17-1,0,INDEX($U$4:$U$53,(INT(55/$S$17)+1)))</f>
        <v/>
      </c>
      <c r="AB69" t="n">
        <v>9750</v>
      </c>
      <c r="AC69" t="n">
        <v>9825</v>
      </c>
      <c r="AD69" t="n">
        <v>81</v>
      </c>
      <c r="AI69">
        <f>IF(AND(MOD(55,$AF$17)=0,MOD((INT(55/$AF$17)+1)-1,$AF$13/5)=0),INDEX($AN$4:$AN$53,(INT(55/$AF$17)+1)),"")</f>
        <v/>
      </c>
      <c r="AJ69">
        <f>IF(MOD(55,$AF$17)=$AF$17-1,0,INDEX($AH$4:$AH$53,(INT(55/$AF$17)+1)))</f>
        <v/>
      </c>
    </row>
    <row r="70">
      <c r="B70" t="n">
        <v>649</v>
      </c>
      <c r="C70" t="n">
        <v>649.75</v>
      </c>
      <c r="D70" t="n">
        <v>76</v>
      </c>
      <c r="I70">
        <f>IF(AND(MOD(56,$F$17)=0,MOD((INT(56/$F$17)+1)-1,$F$13/5)=0),INDEX($N$4:$N$53,(INT(56/$F$17)+1)),"")</f>
        <v/>
      </c>
      <c r="J70">
        <f>IF(MOD(56,$F$17)=$F$17-1,0,INDEX($H$4:$H$53,(INT(56/$F$17)+1)))</f>
        <v/>
      </c>
      <c r="O70" t="n">
        <v>19800</v>
      </c>
      <c r="P70" t="n">
        <v>19950</v>
      </c>
      <c r="Q70" t="n">
        <v>33</v>
      </c>
      <c r="V70">
        <f>IF(AND(MOD(56,$S$17)=0,MOD((INT(56/$S$17)+1)-1,$S$13/5)=0),INDEX($AA$4:$AA$53,(INT(56/$S$17)+1)),"")</f>
        <v/>
      </c>
      <c r="W70">
        <f>IF(MOD(56,$S$17)=$S$17-1,0,INDEX($U$4:$U$53,(INT(56/$S$17)+1)))</f>
        <v/>
      </c>
      <c r="AB70" t="n">
        <v>9900</v>
      </c>
      <c r="AC70" t="n">
        <v>9975</v>
      </c>
      <c r="AD70" t="n">
        <v>66</v>
      </c>
      <c r="AI70">
        <f>IF(AND(MOD(56,$AF$17)=0,MOD((INT(56/$AF$17)+1)-1,$AF$13/5)=0),INDEX($AN$4:$AN$53,(INT(56/$AF$17)+1)),"")</f>
        <v/>
      </c>
      <c r="AJ70">
        <f>IF(MOD(56,$AF$17)=$AF$17-1,0,INDEX($AH$4:$AH$53,(INT(56/$AF$17)+1)))</f>
        <v/>
      </c>
    </row>
    <row r="71">
      <c r="B71" t="n">
        <v>650.5</v>
      </c>
      <c r="C71" t="n">
        <v>651.25</v>
      </c>
      <c r="D71" t="n">
        <v>30</v>
      </c>
      <c r="I71">
        <f>IF(AND(MOD(57,$F$17)=0,MOD((INT(57/$F$17)+1)-1,$F$13/5)=0),INDEX($N$4:$N$53,(INT(57/$F$17)+1)),"")</f>
        <v/>
      </c>
      <c r="J71">
        <f>IF(MOD(57,$F$17)=$F$17-1,0,INDEX($H$4:$H$53,(INT(57/$F$17)+1)))</f>
        <v/>
      </c>
      <c r="O71" t="n">
        <v>20100</v>
      </c>
      <c r="P71" t="n">
        <v>20250</v>
      </c>
      <c r="Q71" t="n">
        <v>39</v>
      </c>
      <c r="V71">
        <f>IF(AND(MOD(57,$S$17)=0,MOD((INT(57/$S$17)+1)-1,$S$13/5)=0),INDEX($AA$4:$AA$53,(INT(57/$S$17)+1)),"")</f>
        <v/>
      </c>
      <c r="W71">
        <f>IF(MOD(57,$S$17)=$S$17-1,0,INDEX($U$4:$U$53,(INT(57/$S$17)+1)))</f>
        <v/>
      </c>
      <c r="AB71" t="n">
        <v>10050</v>
      </c>
      <c r="AC71" t="n">
        <v>10125</v>
      </c>
      <c r="AD71" t="n">
        <v>73</v>
      </c>
      <c r="AI71">
        <f>IF(AND(MOD(57,$AF$17)=0,MOD((INT(57/$AF$17)+1)-1,$AF$13/5)=0),INDEX($AN$4:$AN$53,(INT(57/$AF$17)+1)),"")</f>
        <v/>
      </c>
      <c r="AJ71">
        <f>IF(MOD(57,$AF$17)=$AF$17-1,0,INDEX($AH$4:$AH$53,(INT(57/$AF$17)+1)))</f>
        <v/>
      </c>
    </row>
    <row r="72">
      <c r="B72" t="n">
        <v>652</v>
      </c>
      <c r="C72" t="n">
        <v>652.75</v>
      </c>
      <c r="D72" t="n">
        <v>74</v>
      </c>
      <c r="I72">
        <f>IF(AND(MOD(58,$F$17)=0,MOD((INT(58/$F$17)+1)-1,$F$13/5)=0),INDEX($N$4:$N$53,(INT(58/$F$17)+1)),"")</f>
        <v/>
      </c>
      <c r="J72">
        <f>IF(MOD(58,$F$17)=$F$17-1,0,INDEX($H$4:$H$53,(INT(58/$F$17)+1)))</f>
        <v/>
      </c>
      <c r="O72" t="n">
        <v>20400</v>
      </c>
      <c r="P72" t="n">
        <v>20550</v>
      </c>
      <c r="Q72" t="n">
        <v>39</v>
      </c>
      <c r="V72">
        <f>IF(AND(MOD(58,$S$17)=0,MOD((INT(58/$S$17)+1)-1,$S$13/5)=0),INDEX($AA$4:$AA$53,(INT(58/$S$17)+1)),"")</f>
        <v/>
      </c>
      <c r="W72">
        <f>IF(MOD(58,$S$17)=$S$17-1,0,INDEX($U$4:$U$53,(INT(58/$S$17)+1)))</f>
        <v/>
      </c>
      <c r="AB72" t="n">
        <v>10200</v>
      </c>
      <c r="AC72" t="n">
        <v>10275</v>
      </c>
      <c r="AD72" t="n">
        <v>78</v>
      </c>
      <c r="AI72">
        <f>IF(AND(MOD(58,$AF$17)=0,MOD((INT(58/$AF$17)+1)-1,$AF$13/5)=0),INDEX($AN$4:$AN$53,(INT(58/$AF$17)+1)),"")</f>
        <v/>
      </c>
      <c r="AJ72">
        <f>IF(MOD(58,$AF$17)=$AF$17-1,0,INDEX($AH$4:$AH$53,(INT(58/$AF$17)+1)))</f>
        <v/>
      </c>
    </row>
    <row r="73">
      <c r="B73" t="n">
        <v>653.5</v>
      </c>
      <c r="C73" t="n">
        <v>654.25</v>
      </c>
      <c r="D73" t="n">
        <v>50</v>
      </c>
      <c r="I73">
        <f>IF(AND(MOD(59,$F$17)=0,MOD((INT(59/$F$17)+1)-1,$F$13/5)=0),INDEX($N$4:$N$53,(INT(59/$F$17)+1)),"")</f>
        <v/>
      </c>
      <c r="J73">
        <f>IF(MOD(59,$F$17)=$F$17-1,0,INDEX($H$4:$H$53,(INT(59/$F$17)+1)))</f>
        <v/>
      </c>
      <c r="O73" t="n">
        <v>20700</v>
      </c>
      <c r="P73" t="n">
        <v>20850</v>
      </c>
      <c r="Q73" t="n">
        <v>41</v>
      </c>
      <c r="V73">
        <f>IF(AND(MOD(59,$S$17)=0,MOD((INT(59/$S$17)+1)-1,$S$13/5)=0),INDEX($AA$4:$AA$53,(INT(59/$S$17)+1)),"")</f>
        <v/>
      </c>
      <c r="W73">
        <f>IF(MOD(59,$S$17)=$S$17-1,0,INDEX($U$4:$U$53,(INT(59/$S$17)+1)))</f>
        <v/>
      </c>
      <c r="AB73" t="n">
        <v>10350</v>
      </c>
      <c r="AC73" t="n">
        <v>10425</v>
      </c>
      <c r="AD73" t="n">
        <v>76</v>
      </c>
      <c r="AI73">
        <f>IF(AND(MOD(59,$AF$17)=0,MOD((INT(59/$AF$17)+1)-1,$AF$13/5)=0),INDEX($AN$4:$AN$53,(INT(59/$AF$17)+1)),"")</f>
        <v/>
      </c>
      <c r="AJ73">
        <f>IF(MOD(59,$AF$17)=$AF$17-1,0,INDEX($AH$4:$AH$53,(INT(59/$AF$17)+1)))</f>
        <v/>
      </c>
    </row>
    <row r="74">
      <c r="B74" t="n">
        <v>655</v>
      </c>
      <c r="C74" t="n">
        <v>655.75</v>
      </c>
      <c r="D74" t="n">
        <v>83</v>
      </c>
      <c r="I74">
        <f>IF(AND(MOD(60,$F$17)=0,MOD((INT(60/$F$17)+1)-1,$F$13/5)=0),INDEX($N$4:$N$53,(INT(60/$F$17)+1)),"")</f>
        <v/>
      </c>
      <c r="J74">
        <f>IF(MOD(60,$F$17)=$F$17-1,0,INDEX($H$4:$H$53,(INT(60/$F$17)+1)))</f>
        <v/>
      </c>
      <c r="O74" t="n">
        <v>21000</v>
      </c>
      <c r="P74" t="n">
        <v>21150</v>
      </c>
      <c r="Q74" t="n">
        <v>29</v>
      </c>
      <c r="V74">
        <f>IF(AND(MOD(60,$S$17)=0,MOD((INT(60/$S$17)+1)-1,$S$13/5)=0),INDEX($AA$4:$AA$53,(INT(60/$S$17)+1)),"")</f>
        <v/>
      </c>
      <c r="W74">
        <f>IF(MOD(60,$S$17)=$S$17-1,0,INDEX($U$4:$U$53,(INT(60/$S$17)+1)))</f>
        <v/>
      </c>
      <c r="AB74" t="n">
        <v>10500</v>
      </c>
      <c r="AC74" t="n">
        <v>10575</v>
      </c>
      <c r="AD74" t="n">
        <v>81</v>
      </c>
      <c r="AI74">
        <f>IF(AND(MOD(60,$AF$17)=0,MOD((INT(60/$AF$17)+1)-1,$AF$13/5)=0),INDEX($AN$4:$AN$53,(INT(60/$AF$17)+1)),"")</f>
        <v/>
      </c>
      <c r="AJ74">
        <f>IF(MOD(60,$AF$17)=$AF$17-1,0,INDEX($AH$4:$AH$53,(INT(60/$AF$17)+1)))</f>
        <v/>
      </c>
    </row>
    <row r="75">
      <c r="B75" t="n">
        <v>656.5</v>
      </c>
      <c r="C75" t="n">
        <v>657.25</v>
      </c>
      <c r="D75" t="n">
        <v>49</v>
      </c>
      <c r="I75">
        <f>IF(AND(MOD(61,$F$17)=0,MOD((INT(61/$F$17)+1)-1,$F$13/5)=0),INDEX($N$4:$N$53,(INT(61/$F$17)+1)),"")</f>
        <v/>
      </c>
      <c r="J75">
        <f>IF(MOD(61,$F$17)=$F$17-1,0,INDEX($H$4:$H$53,(INT(61/$F$17)+1)))</f>
        <v/>
      </c>
      <c r="O75" t="n">
        <v>21300</v>
      </c>
      <c r="P75" t="n">
        <v>21450</v>
      </c>
      <c r="Q75" t="n">
        <v>39</v>
      </c>
      <c r="V75">
        <f>IF(AND(MOD(61,$S$17)=0,MOD((INT(61/$S$17)+1)-1,$S$13/5)=0),INDEX($AA$4:$AA$53,(INT(61/$S$17)+1)),"")</f>
        <v/>
      </c>
      <c r="W75">
        <f>IF(MOD(61,$S$17)=$S$17-1,0,INDEX($U$4:$U$53,(INT(61/$S$17)+1)))</f>
        <v/>
      </c>
      <c r="AB75" t="n">
        <v>10650</v>
      </c>
      <c r="AC75" t="n">
        <v>10725</v>
      </c>
      <c r="AD75" t="n">
        <v>94</v>
      </c>
      <c r="AI75">
        <f>IF(AND(MOD(61,$AF$17)=0,MOD((INT(61/$AF$17)+1)-1,$AF$13/5)=0),INDEX($AN$4:$AN$53,(INT(61/$AF$17)+1)),"")</f>
        <v/>
      </c>
      <c r="AJ75">
        <f>IF(MOD(61,$AF$17)=$AF$17-1,0,INDEX($AH$4:$AH$53,(INT(61/$AF$17)+1)))</f>
        <v/>
      </c>
    </row>
    <row r="76">
      <c r="B76" t="n">
        <v>658</v>
      </c>
      <c r="C76" t="n">
        <v>658.75</v>
      </c>
      <c r="D76" t="n">
        <v>84</v>
      </c>
      <c r="I76">
        <f>IF(AND(MOD(62,$F$17)=0,MOD((INT(62/$F$17)+1)-1,$F$13/5)=0),INDEX($N$4:$N$53,(INT(62/$F$17)+1)),"")</f>
        <v/>
      </c>
      <c r="J76">
        <f>IF(MOD(62,$F$17)=$F$17-1,0,INDEX($H$4:$H$53,(INT(62/$F$17)+1)))</f>
        <v/>
      </c>
      <c r="O76" t="n">
        <v>21600</v>
      </c>
      <c r="P76" t="n">
        <v>21750</v>
      </c>
      <c r="Q76" t="n">
        <v>51</v>
      </c>
      <c r="V76">
        <f>IF(AND(MOD(62,$S$17)=0,MOD((INT(62/$S$17)+1)-1,$S$13/5)=0),INDEX($AA$4:$AA$53,(INT(62/$S$17)+1)),"")</f>
        <v/>
      </c>
      <c r="W76">
        <f>IF(MOD(62,$S$17)=$S$17-1,0,INDEX($U$4:$U$53,(INT(62/$S$17)+1)))</f>
        <v/>
      </c>
      <c r="AB76" t="n">
        <v>10800</v>
      </c>
      <c r="AC76" t="n">
        <v>10875</v>
      </c>
      <c r="AD76" t="n">
        <v>82</v>
      </c>
      <c r="AI76">
        <f>IF(AND(MOD(62,$AF$17)=0,MOD((INT(62/$AF$17)+1)-1,$AF$13/5)=0),INDEX($AN$4:$AN$53,(INT(62/$AF$17)+1)),"")</f>
        <v/>
      </c>
      <c r="AJ76">
        <f>IF(MOD(62,$AF$17)=$AF$17-1,0,INDEX($AH$4:$AH$53,(INT(62/$AF$17)+1)))</f>
        <v/>
      </c>
    </row>
    <row r="77">
      <c r="B77" t="n">
        <v>659.5</v>
      </c>
      <c r="C77" t="n">
        <v>660.25</v>
      </c>
      <c r="D77" t="n">
        <v>43</v>
      </c>
      <c r="I77">
        <f>IF(AND(MOD(63,$F$17)=0,MOD((INT(63/$F$17)+1)-1,$F$13/5)=0),INDEX($N$4:$N$53,(INT(63/$F$17)+1)),"")</f>
        <v/>
      </c>
      <c r="J77">
        <f>IF(MOD(63,$F$17)=$F$17-1,0,INDEX($H$4:$H$53,(INT(63/$F$17)+1)))</f>
        <v/>
      </c>
      <c r="O77" t="n">
        <v>21900</v>
      </c>
      <c r="P77" t="n">
        <v>22050</v>
      </c>
      <c r="Q77" t="n">
        <v>42</v>
      </c>
      <c r="V77">
        <f>IF(AND(MOD(63,$S$17)=0,MOD((INT(63/$S$17)+1)-1,$S$13/5)=0),INDEX($AA$4:$AA$53,(INT(63/$S$17)+1)),"")</f>
        <v/>
      </c>
      <c r="W77">
        <f>IF(MOD(63,$S$17)=$S$17-1,0,INDEX($U$4:$U$53,(INT(63/$S$17)+1)))</f>
        <v/>
      </c>
      <c r="AB77" t="n">
        <v>10950</v>
      </c>
      <c r="AC77" t="n">
        <v>11025</v>
      </c>
      <c r="AD77" t="n">
        <v>68</v>
      </c>
      <c r="AI77">
        <f>IF(AND(MOD(63,$AF$17)=0,MOD((INT(63/$AF$17)+1)-1,$AF$13/5)=0),INDEX($AN$4:$AN$53,(INT(63/$AF$17)+1)),"")</f>
        <v/>
      </c>
      <c r="AJ77">
        <f>IF(MOD(63,$AF$17)=$AF$17-1,0,INDEX($AH$4:$AH$53,(INT(63/$AF$17)+1)))</f>
        <v/>
      </c>
    </row>
    <row r="78">
      <c r="B78" t="n">
        <v>661</v>
      </c>
      <c r="C78" t="n">
        <v>661.75</v>
      </c>
      <c r="D78" t="n">
        <v>75</v>
      </c>
      <c r="I78">
        <f>IF(AND(MOD(64,$F$17)=0,MOD((INT(64/$F$17)+1)-1,$F$13/5)=0),INDEX($N$4:$N$53,(INT(64/$F$17)+1)),"")</f>
        <v/>
      </c>
      <c r="J78">
        <f>IF(MOD(64,$F$17)=$F$17-1,0,INDEX($H$4:$H$53,(INT(64/$F$17)+1)))</f>
        <v/>
      </c>
      <c r="O78" t="n">
        <v>22200</v>
      </c>
      <c r="P78" t="n">
        <v>22350</v>
      </c>
      <c r="Q78" t="n">
        <v>42</v>
      </c>
      <c r="V78">
        <f>IF(AND(MOD(64,$S$17)=0,MOD((INT(64/$S$17)+1)-1,$S$13/5)=0),INDEX($AA$4:$AA$53,(INT(64/$S$17)+1)),"")</f>
        <v/>
      </c>
      <c r="W78">
        <f>IF(MOD(64,$S$17)=$S$17-1,0,INDEX($U$4:$U$53,(INT(64/$S$17)+1)))</f>
        <v/>
      </c>
      <c r="AB78" t="n">
        <v>11100</v>
      </c>
      <c r="AC78" t="n">
        <v>11175</v>
      </c>
      <c r="AD78" t="n">
        <v>74</v>
      </c>
      <c r="AI78">
        <f>IF(AND(MOD(64,$AF$17)=0,MOD((INT(64/$AF$17)+1)-1,$AF$13/5)=0),INDEX($AN$4:$AN$53,(INT(64/$AF$17)+1)),"")</f>
        <v/>
      </c>
      <c r="AJ78">
        <f>IF(MOD(64,$AF$17)=$AF$17-1,0,INDEX($AH$4:$AH$53,(INT(64/$AF$17)+1)))</f>
        <v/>
      </c>
    </row>
    <row r="79">
      <c r="B79" t="n">
        <v>662.5</v>
      </c>
      <c r="C79" t="n">
        <v>663.25</v>
      </c>
      <c r="D79" t="n">
        <v>40</v>
      </c>
      <c r="I79">
        <f>IF(AND(MOD(65,$F$17)=0,MOD((INT(65/$F$17)+1)-1,$F$13/5)=0),INDEX($N$4:$N$53,(INT(65/$F$17)+1)),"")</f>
        <v/>
      </c>
      <c r="J79">
        <f>IF(MOD(65,$F$17)=$F$17-1,0,INDEX($H$4:$H$53,(INT(65/$F$17)+1)))</f>
        <v/>
      </c>
      <c r="O79" t="n">
        <v>22500</v>
      </c>
      <c r="P79" t="n">
        <v>22650</v>
      </c>
      <c r="Q79" t="n">
        <v>55</v>
      </c>
      <c r="V79">
        <f>IF(AND(MOD(65,$S$17)=0,MOD((INT(65/$S$17)+1)-1,$S$13/5)=0),INDEX($AA$4:$AA$53,(INT(65/$S$17)+1)),"")</f>
        <v/>
      </c>
      <c r="W79">
        <f>IF(MOD(65,$S$17)=$S$17-1,0,INDEX($U$4:$U$53,(INT(65/$S$17)+1)))</f>
        <v/>
      </c>
      <c r="AB79" t="n">
        <v>11250</v>
      </c>
      <c r="AC79" t="n">
        <v>11325</v>
      </c>
      <c r="AD79" t="n">
        <v>79</v>
      </c>
      <c r="AI79">
        <f>IF(AND(MOD(65,$AF$17)=0,MOD((INT(65/$AF$17)+1)-1,$AF$13/5)=0),INDEX($AN$4:$AN$53,(INT(65/$AF$17)+1)),"")</f>
        <v/>
      </c>
      <c r="AJ79">
        <f>IF(MOD(65,$AF$17)=$AF$17-1,0,INDEX($AH$4:$AH$53,(INT(65/$AF$17)+1)))</f>
        <v/>
      </c>
    </row>
    <row r="80">
      <c r="B80" t="n">
        <v>664</v>
      </c>
      <c r="C80" t="n">
        <v>664.75</v>
      </c>
      <c r="D80" t="n">
        <v>86</v>
      </c>
      <c r="I80">
        <f>IF(AND(MOD(66,$F$17)=0,MOD((INT(66/$F$17)+1)-1,$F$13/5)=0),INDEX($N$4:$N$53,(INT(66/$F$17)+1)),"")</f>
        <v/>
      </c>
      <c r="J80">
        <f>IF(MOD(66,$F$17)=$F$17-1,0,INDEX($H$4:$H$53,(INT(66/$F$17)+1)))</f>
        <v/>
      </c>
      <c r="O80" t="n">
        <v>22800</v>
      </c>
      <c r="P80" t="n">
        <v>22950</v>
      </c>
      <c r="Q80" t="n">
        <v>45</v>
      </c>
      <c r="V80">
        <f>IF(AND(MOD(66,$S$17)=0,MOD((INT(66/$S$17)+1)-1,$S$13/5)=0),INDEX($AA$4:$AA$53,(INT(66/$S$17)+1)),"")</f>
        <v/>
      </c>
      <c r="W80">
        <f>IF(MOD(66,$S$17)=$S$17-1,0,INDEX($U$4:$U$53,(INT(66/$S$17)+1)))</f>
        <v/>
      </c>
      <c r="AB80" t="n">
        <v>11400</v>
      </c>
      <c r="AC80" t="n">
        <v>11475</v>
      </c>
      <c r="AD80" t="n">
        <v>76</v>
      </c>
      <c r="AI80">
        <f>IF(AND(MOD(66,$AF$17)=0,MOD((INT(66/$AF$17)+1)-1,$AF$13/5)=0),INDEX($AN$4:$AN$53,(INT(66/$AF$17)+1)),"")</f>
        <v/>
      </c>
      <c r="AJ80">
        <f>IF(MOD(66,$AF$17)=$AF$17-1,0,INDEX($AH$4:$AH$53,(INT(66/$AF$17)+1)))</f>
        <v/>
      </c>
    </row>
    <row r="81">
      <c r="B81" t="n">
        <v>665.5</v>
      </c>
      <c r="C81" t="n">
        <v>666.25</v>
      </c>
      <c r="D81" t="n">
        <v>54</v>
      </c>
      <c r="I81">
        <f>IF(AND(MOD(67,$F$17)=0,MOD((INT(67/$F$17)+1)-1,$F$13/5)=0),INDEX($N$4:$N$53,(INT(67/$F$17)+1)),"")</f>
        <v/>
      </c>
      <c r="J81">
        <f>IF(MOD(67,$F$17)=$F$17-1,0,INDEX($H$4:$H$53,(INT(67/$F$17)+1)))</f>
        <v/>
      </c>
      <c r="O81" t="n">
        <v>23100</v>
      </c>
      <c r="P81" t="n">
        <v>23250</v>
      </c>
      <c r="Q81" t="n">
        <v>41</v>
      </c>
      <c r="V81">
        <f>IF(AND(MOD(67,$S$17)=0,MOD((INT(67/$S$17)+1)-1,$S$13/5)=0),INDEX($AA$4:$AA$53,(INT(67/$S$17)+1)),"")</f>
        <v/>
      </c>
      <c r="W81">
        <f>IF(MOD(67,$S$17)=$S$17-1,0,INDEX($U$4:$U$53,(INT(67/$S$17)+1)))</f>
        <v/>
      </c>
      <c r="AB81" t="n">
        <v>11550</v>
      </c>
      <c r="AC81" t="n">
        <v>11625</v>
      </c>
      <c r="AD81" t="n">
        <v>72</v>
      </c>
      <c r="AI81">
        <f>IF(AND(MOD(67,$AF$17)=0,MOD((INT(67/$AF$17)+1)-1,$AF$13/5)=0),INDEX($AN$4:$AN$53,(INT(67/$AF$17)+1)),"")</f>
        <v/>
      </c>
      <c r="AJ81">
        <f>IF(MOD(67,$AF$17)=$AF$17-1,0,INDEX($AH$4:$AH$53,(INT(67/$AF$17)+1)))</f>
        <v/>
      </c>
    </row>
    <row r="82">
      <c r="B82" t="n">
        <v>667</v>
      </c>
      <c r="C82" t="n">
        <v>667.75</v>
      </c>
      <c r="D82" t="n">
        <v>98</v>
      </c>
      <c r="I82">
        <f>IF(AND(MOD(68,$F$17)=0,MOD((INT(68/$F$17)+1)-1,$F$13/5)=0),INDEX($N$4:$N$53,(INT(68/$F$17)+1)),"")</f>
        <v/>
      </c>
      <c r="J82">
        <f>IF(MOD(68,$F$17)=$F$17-1,0,INDEX($H$4:$H$53,(INT(68/$F$17)+1)))</f>
        <v/>
      </c>
      <c r="O82" t="n">
        <v>23400</v>
      </c>
      <c r="P82" t="n">
        <v>23550</v>
      </c>
      <c r="Q82" t="n">
        <v>42</v>
      </c>
      <c r="V82">
        <f>IF(AND(MOD(68,$S$17)=0,MOD((INT(68/$S$17)+1)-1,$S$13/5)=0),INDEX($AA$4:$AA$53,(INT(68/$S$17)+1)),"")</f>
        <v/>
      </c>
      <c r="W82">
        <f>IF(MOD(68,$S$17)=$S$17-1,0,INDEX($U$4:$U$53,(INT(68/$S$17)+1)))</f>
        <v/>
      </c>
      <c r="AB82" t="n">
        <v>11700</v>
      </c>
      <c r="AC82" t="n">
        <v>11775</v>
      </c>
      <c r="AD82" t="n">
        <v>72</v>
      </c>
      <c r="AI82">
        <f>IF(AND(MOD(68,$AF$17)=0,MOD((INT(68/$AF$17)+1)-1,$AF$13/5)=0),INDEX($AN$4:$AN$53,(INT(68/$AF$17)+1)),"")</f>
        <v/>
      </c>
      <c r="AJ82">
        <f>IF(MOD(68,$AF$17)=$AF$17-1,0,INDEX($AH$4:$AH$53,(INT(68/$AF$17)+1)))</f>
        <v/>
      </c>
    </row>
    <row r="83">
      <c r="B83" t="n">
        <v>668.5</v>
      </c>
      <c r="C83" t="n">
        <v>669.25</v>
      </c>
      <c r="D83" t="n">
        <v>53</v>
      </c>
      <c r="I83">
        <f>IF(AND(MOD(69,$F$17)=0,MOD((INT(69/$F$17)+1)-1,$F$13/5)=0),INDEX($N$4:$N$53,(INT(69/$F$17)+1)),"")</f>
        <v/>
      </c>
      <c r="J83">
        <f>IF(MOD(69,$F$17)=$F$17-1,0,INDEX($H$4:$H$53,(INT(69/$F$17)+1)))</f>
        <v/>
      </c>
      <c r="O83" t="n">
        <v>23700</v>
      </c>
      <c r="P83" t="n">
        <v>23850</v>
      </c>
      <c r="Q83" t="n">
        <v>48</v>
      </c>
      <c r="V83">
        <f>IF(AND(MOD(69,$S$17)=0,MOD((INT(69/$S$17)+1)-1,$S$13/5)=0),INDEX($AA$4:$AA$53,(INT(69/$S$17)+1)),"")</f>
        <v/>
      </c>
      <c r="W83">
        <f>IF(MOD(69,$S$17)=$S$17-1,0,INDEX($U$4:$U$53,(INT(69/$S$17)+1)))</f>
        <v/>
      </c>
      <c r="AB83" t="n">
        <v>11850</v>
      </c>
      <c r="AC83" t="n">
        <v>11925</v>
      </c>
      <c r="AD83" t="n">
        <v>78</v>
      </c>
      <c r="AI83">
        <f>IF(AND(MOD(69,$AF$17)=0,MOD((INT(69/$AF$17)+1)-1,$AF$13/5)=0),INDEX($AN$4:$AN$53,(INT(69/$AF$17)+1)),"")</f>
        <v/>
      </c>
      <c r="AJ83">
        <f>IF(MOD(69,$AF$17)=$AF$17-1,0,INDEX($AH$4:$AH$53,(INT(69/$AF$17)+1)))</f>
        <v/>
      </c>
    </row>
    <row r="84">
      <c r="B84" t="n">
        <v>670</v>
      </c>
      <c r="C84" t="n">
        <v>670.75</v>
      </c>
      <c r="D84" t="n">
        <v>108</v>
      </c>
      <c r="I84">
        <f>IF(AND(MOD(70,$F$17)=0,MOD((INT(70/$F$17)+1)-1,$F$13/5)=0),INDEX($N$4:$N$53,(INT(70/$F$17)+1)),"")</f>
        <v/>
      </c>
      <c r="J84">
        <f>IF(MOD(70,$F$17)=$F$17-1,0,INDEX($H$4:$H$53,(INT(70/$F$17)+1)))</f>
        <v/>
      </c>
      <c r="O84" t="n">
        <v>24000</v>
      </c>
      <c r="P84" t="n">
        <v>24150</v>
      </c>
      <c r="Q84" t="n">
        <v>44</v>
      </c>
      <c r="V84">
        <f>IF(AND(MOD(70,$S$17)=0,MOD((INT(70/$S$17)+1)-1,$S$13/5)=0),INDEX($AA$4:$AA$53,(INT(70/$S$17)+1)),"")</f>
        <v/>
      </c>
      <c r="W84">
        <f>IF(MOD(70,$S$17)=$S$17-1,0,INDEX($U$4:$U$53,(INT(70/$S$17)+1)))</f>
        <v/>
      </c>
      <c r="AB84" t="n">
        <v>12000</v>
      </c>
      <c r="AC84" t="n">
        <v>12075</v>
      </c>
      <c r="AD84" t="n">
        <v>76</v>
      </c>
      <c r="AI84">
        <f>IF(AND(MOD(70,$AF$17)=0,MOD((INT(70/$AF$17)+1)-1,$AF$13/5)=0),INDEX($AN$4:$AN$53,(INT(70/$AF$17)+1)),"")</f>
        <v/>
      </c>
      <c r="AJ84">
        <f>IF(MOD(70,$AF$17)=$AF$17-1,0,INDEX($AH$4:$AH$53,(INT(70/$AF$17)+1)))</f>
        <v/>
      </c>
    </row>
    <row r="85">
      <c r="B85" t="n">
        <v>671.5</v>
      </c>
      <c r="C85" t="n">
        <v>672.25</v>
      </c>
      <c r="D85" t="n">
        <v>57</v>
      </c>
      <c r="I85">
        <f>IF(AND(MOD(71,$F$17)=0,MOD((INT(71/$F$17)+1)-1,$F$13/5)=0),INDEX($N$4:$N$53,(INT(71/$F$17)+1)),"")</f>
        <v/>
      </c>
      <c r="J85">
        <f>IF(MOD(71,$F$17)=$F$17-1,0,INDEX($H$4:$H$53,(INT(71/$F$17)+1)))</f>
        <v/>
      </c>
      <c r="O85" t="n">
        <v>24300</v>
      </c>
      <c r="P85" t="n">
        <v>24450</v>
      </c>
      <c r="Q85" t="n">
        <v>49</v>
      </c>
      <c r="V85">
        <f>IF(AND(MOD(71,$S$17)=0,MOD((INT(71/$S$17)+1)-1,$S$13/5)=0),INDEX($AA$4:$AA$53,(INT(71/$S$17)+1)),"")</f>
        <v/>
      </c>
      <c r="W85">
        <f>IF(MOD(71,$S$17)=$S$17-1,0,INDEX($U$4:$U$53,(INT(71/$S$17)+1)))</f>
        <v/>
      </c>
      <c r="AB85" t="n">
        <v>12150</v>
      </c>
      <c r="AC85" t="n">
        <v>12225</v>
      </c>
      <c r="AD85" t="n">
        <v>72</v>
      </c>
      <c r="AI85">
        <f>IF(AND(MOD(71,$AF$17)=0,MOD((INT(71/$AF$17)+1)-1,$AF$13/5)=0),INDEX($AN$4:$AN$53,(INT(71/$AF$17)+1)),"")</f>
        <v/>
      </c>
      <c r="AJ85">
        <f>IF(MOD(71,$AF$17)=$AF$17-1,0,INDEX($AH$4:$AH$53,(INT(71/$AF$17)+1)))</f>
        <v/>
      </c>
    </row>
    <row r="86">
      <c r="B86" t="n">
        <v>673</v>
      </c>
      <c r="C86" t="n">
        <v>673.75</v>
      </c>
      <c r="D86" t="n">
        <v>103</v>
      </c>
      <c r="I86">
        <f>IF(AND(MOD(72,$F$17)=0,MOD((INT(72/$F$17)+1)-1,$F$13/5)=0),INDEX($N$4:$N$53,(INT(72/$F$17)+1)),"")</f>
        <v/>
      </c>
      <c r="J86">
        <f>IF(MOD(72,$F$17)=$F$17-1,0,INDEX($H$4:$H$53,(INT(72/$F$17)+1)))</f>
        <v/>
      </c>
      <c r="O86" t="n">
        <v>24600</v>
      </c>
      <c r="P86" t="n">
        <v>24750</v>
      </c>
      <c r="Q86" t="n">
        <v>40</v>
      </c>
      <c r="V86">
        <f>IF(AND(MOD(72,$S$17)=0,MOD((INT(72/$S$17)+1)-1,$S$13/5)=0),INDEX($AA$4:$AA$53,(INT(72/$S$17)+1)),"")</f>
        <v/>
      </c>
      <c r="W86">
        <f>IF(MOD(72,$S$17)=$S$17-1,0,INDEX($U$4:$U$53,(INT(72/$S$17)+1)))</f>
        <v/>
      </c>
      <c r="AB86" t="n">
        <v>12300</v>
      </c>
      <c r="AC86" t="n">
        <v>12375</v>
      </c>
      <c r="AD86" t="n">
        <v>68</v>
      </c>
      <c r="AI86">
        <f>IF(AND(MOD(72,$AF$17)=0,MOD((INT(72/$AF$17)+1)-1,$AF$13/5)=0),INDEX($AN$4:$AN$53,(INT(72/$AF$17)+1)),"")</f>
        <v/>
      </c>
      <c r="AJ86">
        <f>IF(MOD(72,$AF$17)=$AF$17-1,0,INDEX($AH$4:$AH$53,(INT(72/$AF$17)+1)))</f>
        <v/>
      </c>
    </row>
    <row r="87">
      <c r="B87" t="n">
        <v>674.5</v>
      </c>
      <c r="C87" t="n">
        <v>675.25</v>
      </c>
      <c r="D87" t="n">
        <v>53</v>
      </c>
      <c r="I87">
        <f>IF(AND(MOD(73,$F$17)=0,MOD((INT(73/$F$17)+1)-1,$F$13/5)=0),INDEX($N$4:$N$53,(INT(73/$F$17)+1)),"")</f>
        <v/>
      </c>
      <c r="J87">
        <f>IF(MOD(73,$F$17)=$F$17-1,0,INDEX($H$4:$H$53,(INT(73/$F$17)+1)))</f>
        <v/>
      </c>
      <c r="O87" t="n">
        <v>24900</v>
      </c>
      <c r="P87" t="n">
        <v>25050</v>
      </c>
      <c r="Q87" t="n">
        <v>39</v>
      </c>
      <c r="V87">
        <f>IF(AND(MOD(73,$S$17)=0,MOD((INT(73/$S$17)+1)-1,$S$13/5)=0),INDEX($AA$4:$AA$53,(INT(73/$S$17)+1)),"")</f>
        <v/>
      </c>
      <c r="W87">
        <f>IF(MOD(73,$S$17)=$S$17-1,0,INDEX($U$4:$U$53,(INT(73/$S$17)+1)))</f>
        <v/>
      </c>
      <c r="AB87" t="n">
        <v>12450</v>
      </c>
      <c r="AC87" t="n">
        <v>12525</v>
      </c>
      <c r="AD87" t="n">
        <v>76</v>
      </c>
      <c r="AI87">
        <f>IF(AND(MOD(73,$AF$17)=0,MOD((INT(73/$AF$17)+1)-1,$AF$13/5)=0),INDEX($AN$4:$AN$53,(INT(73/$AF$17)+1)),"")</f>
        <v/>
      </c>
      <c r="AJ87">
        <f>IF(MOD(73,$AF$17)=$AF$17-1,0,INDEX($AH$4:$AH$53,(INT(73/$AF$17)+1)))</f>
        <v/>
      </c>
    </row>
    <row r="88">
      <c r="B88" t="n">
        <v>676</v>
      </c>
      <c r="C88" t="n">
        <v>676.75</v>
      </c>
      <c r="D88" t="n">
        <v>92</v>
      </c>
      <c r="I88">
        <f>IF(AND(MOD(74,$F$17)=0,MOD((INT(74/$F$17)+1)-1,$F$13/5)=0),INDEX($N$4:$N$53,(INT(74/$F$17)+1)),"")</f>
        <v/>
      </c>
      <c r="J88">
        <f>IF(MOD(74,$F$17)=$F$17-1,0,INDEX($H$4:$H$53,(INT(74/$F$17)+1)))</f>
        <v/>
      </c>
      <c r="O88" t="n">
        <v>25200</v>
      </c>
      <c r="P88" t="n">
        <v>25350</v>
      </c>
      <c r="Q88" t="n">
        <v>47</v>
      </c>
      <c r="V88">
        <f>IF(AND(MOD(74,$S$17)=0,MOD((INT(74/$S$17)+1)-1,$S$13/5)=0),INDEX($AA$4:$AA$53,(INT(74/$S$17)+1)),"")</f>
        <v/>
      </c>
      <c r="W88">
        <f>IF(MOD(74,$S$17)=$S$17-1,0,INDEX($U$4:$U$53,(INT(74/$S$17)+1)))</f>
        <v/>
      </c>
      <c r="AB88" t="n">
        <v>12600</v>
      </c>
      <c r="AC88" t="n">
        <v>12675</v>
      </c>
      <c r="AD88" t="n">
        <v>83</v>
      </c>
      <c r="AI88">
        <f>IF(AND(MOD(74,$AF$17)=0,MOD((INT(74/$AF$17)+1)-1,$AF$13/5)=0),INDEX($AN$4:$AN$53,(INT(74/$AF$17)+1)),"")</f>
        <v/>
      </c>
      <c r="AJ88">
        <f>IF(MOD(74,$AF$17)=$AF$17-1,0,INDEX($AH$4:$AH$53,(INT(74/$AF$17)+1)))</f>
        <v/>
      </c>
    </row>
    <row r="89">
      <c r="B89" t="n">
        <v>677.5</v>
      </c>
      <c r="C89" t="n">
        <v>678.25</v>
      </c>
      <c r="D89" t="n">
        <v>57</v>
      </c>
      <c r="I89">
        <f>IF(AND(MOD(75,$F$17)=0,MOD((INT(75/$F$17)+1)-1,$F$13/5)=0),INDEX($N$4:$N$53,(INT(75/$F$17)+1)),"")</f>
        <v/>
      </c>
      <c r="J89">
        <f>IF(MOD(75,$F$17)=$F$17-1,0,INDEX($H$4:$H$53,(INT(75/$F$17)+1)))</f>
        <v/>
      </c>
      <c r="O89" t="n">
        <v>25500</v>
      </c>
      <c r="P89" t="n">
        <v>25650</v>
      </c>
      <c r="Q89" t="n">
        <v>46</v>
      </c>
      <c r="V89">
        <f>IF(AND(MOD(75,$S$17)=0,MOD((INT(75/$S$17)+1)-1,$S$13/5)=0),INDEX($AA$4:$AA$53,(INT(75/$S$17)+1)),"")</f>
        <v/>
      </c>
      <c r="W89">
        <f>IF(MOD(75,$S$17)=$S$17-1,0,INDEX($U$4:$U$53,(INT(75/$S$17)+1)))</f>
        <v/>
      </c>
      <c r="AB89" t="n">
        <v>12750</v>
      </c>
      <c r="AC89" t="n">
        <v>12825</v>
      </c>
      <c r="AD89" t="n">
        <v>56</v>
      </c>
      <c r="AI89">
        <f>IF(AND(MOD(75,$AF$17)=0,MOD((INT(75/$AF$17)+1)-1,$AF$13/5)=0),INDEX($AN$4:$AN$53,(INT(75/$AF$17)+1)),"")</f>
        <v/>
      </c>
      <c r="AJ89">
        <f>IF(MOD(75,$AF$17)=$AF$17-1,0,INDEX($AH$4:$AH$53,(INT(75/$AF$17)+1)))</f>
        <v/>
      </c>
    </row>
    <row r="90">
      <c r="B90" t="n">
        <v>679</v>
      </c>
      <c r="C90" t="n">
        <v>679.75</v>
      </c>
      <c r="D90" t="n">
        <v>103</v>
      </c>
      <c r="I90">
        <f>IF(AND(MOD(76,$F$17)=0,MOD((INT(76/$F$17)+1)-1,$F$13/5)=0),INDEX($N$4:$N$53,(INT(76/$F$17)+1)),"")</f>
        <v/>
      </c>
      <c r="J90">
        <f>IF(MOD(76,$F$17)=$F$17-1,0,INDEX($H$4:$H$53,(INT(76/$F$17)+1)))</f>
        <v/>
      </c>
      <c r="O90" t="n">
        <v>25800</v>
      </c>
      <c r="P90" t="n">
        <v>25950</v>
      </c>
      <c r="Q90" t="n">
        <v>41</v>
      </c>
      <c r="V90">
        <f>IF(AND(MOD(76,$S$17)=0,MOD((INT(76/$S$17)+1)-1,$S$13/5)=0),INDEX($AA$4:$AA$53,(INT(76/$S$17)+1)),"")</f>
        <v/>
      </c>
      <c r="W90">
        <f>IF(MOD(76,$S$17)=$S$17-1,0,INDEX($U$4:$U$53,(INT(76/$S$17)+1)))</f>
        <v/>
      </c>
      <c r="AB90" t="n">
        <v>12900</v>
      </c>
      <c r="AC90" t="n">
        <v>12975</v>
      </c>
      <c r="AD90" t="n">
        <v>66</v>
      </c>
      <c r="AI90">
        <f>IF(AND(MOD(76,$AF$17)=0,MOD((INT(76/$AF$17)+1)-1,$AF$13/5)=0),INDEX($AN$4:$AN$53,(INT(76/$AF$17)+1)),"")</f>
        <v/>
      </c>
      <c r="AJ90">
        <f>IF(MOD(76,$AF$17)=$AF$17-1,0,INDEX($AH$4:$AH$53,(INT(76/$AF$17)+1)))</f>
        <v/>
      </c>
    </row>
    <row r="91">
      <c r="B91" t="n">
        <v>680.5</v>
      </c>
      <c r="C91" t="n">
        <v>681.25</v>
      </c>
      <c r="D91" t="n">
        <v>34</v>
      </c>
      <c r="I91">
        <f>IF(AND(MOD(77,$F$17)=0,MOD((INT(77/$F$17)+1)-1,$F$13/5)=0),INDEX($N$4:$N$53,(INT(77/$F$17)+1)),"")</f>
        <v/>
      </c>
      <c r="J91">
        <f>IF(MOD(77,$F$17)=$F$17-1,0,INDEX($H$4:$H$53,(INT(77/$F$17)+1)))</f>
        <v/>
      </c>
      <c r="O91" t="n">
        <v>26100</v>
      </c>
      <c r="P91" t="n">
        <v>26250</v>
      </c>
      <c r="Q91" t="n">
        <v>48</v>
      </c>
      <c r="V91">
        <f>IF(AND(MOD(77,$S$17)=0,MOD((INT(77/$S$17)+1)-1,$S$13/5)=0),INDEX($AA$4:$AA$53,(INT(77/$S$17)+1)),"")</f>
        <v/>
      </c>
      <c r="W91">
        <f>IF(MOD(77,$S$17)=$S$17-1,0,INDEX($U$4:$U$53,(INT(77/$S$17)+1)))</f>
        <v/>
      </c>
      <c r="AB91" t="n">
        <v>13050</v>
      </c>
      <c r="AC91" t="n">
        <v>13125</v>
      </c>
      <c r="AD91" t="n">
        <v>69</v>
      </c>
      <c r="AI91">
        <f>IF(AND(MOD(77,$AF$17)=0,MOD((INT(77/$AF$17)+1)-1,$AF$13/5)=0),INDEX($AN$4:$AN$53,(INT(77/$AF$17)+1)),"")</f>
        <v/>
      </c>
      <c r="AJ91">
        <f>IF(MOD(77,$AF$17)=$AF$17-1,0,INDEX($AH$4:$AH$53,(INT(77/$AF$17)+1)))</f>
        <v/>
      </c>
    </row>
    <row r="92">
      <c r="B92" t="n">
        <v>682</v>
      </c>
      <c r="C92" t="n">
        <v>682.75</v>
      </c>
      <c r="D92" t="n">
        <v>109</v>
      </c>
      <c r="I92">
        <f>IF(AND(MOD(78,$F$17)=0,MOD((INT(78/$F$17)+1)-1,$F$13/5)=0),INDEX($N$4:$N$53,(INT(78/$F$17)+1)),"")</f>
        <v/>
      </c>
      <c r="J92">
        <f>IF(MOD(78,$F$17)=$F$17-1,0,INDEX($H$4:$H$53,(INT(78/$F$17)+1)))</f>
        <v/>
      </c>
      <c r="O92" t="n">
        <v>26400</v>
      </c>
      <c r="P92" t="n">
        <v>26550</v>
      </c>
      <c r="Q92" t="n">
        <v>41</v>
      </c>
      <c r="V92">
        <f>IF(AND(MOD(78,$S$17)=0,MOD((INT(78/$S$17)+1)-1,$S$13/5)=0),INDEX($AA$4:$AA$53,(INT(78/$S$17)+1)),"")</f>
        <v/>
      </c>
      <c r="W92">
        <f>IF(MOD(78,$S$17)=$S$17-1,0,INDEX($U$4:$U$53,(INT(78/$S$17)+1)))</f>
        <v/>
      </c>
      <c r="AB92" t="n">
        <v>13200</v>
      </c>
      <c r="AC92" t="n">
        <v>13275</v>
      </c>
      <c r="AD92" t="n">
        <v>59</v>
      </c>
      <c r="AI92">
        <f>IF(AND(MOD(78,$AF$17)=0,MOD((INT(78/$AF$17)+1)-1,$AF$13/5)=0),INDEX($AN$4:$AN$53,(INT(78/$AF$17)+1)),"")</f>
        <v/>
      </c>
      <c r="AJ92">
        <f>IF(MOD(78,$AF$17)=$AF$17-1,0,INDEX($AH$4:$AH$53,(INT(78/$AF$17)+1)))</f>
        <v/>
      </c>
    </row>
    <row r="93">
      <c r="B93" t="n">
        <v>683.5</v>
      </c>
      <c r="C93" t="n">
        <v>684.25</v>
      </c>
      <c r="D93" t="n">
        <v>52</v>
      </c>
      <c r="I93">
        <f>IF(AND(MOD(79,$F$17)=0,MOD((INT(79/$F$17)+1)-1,$F$13/5)=0),INDEX($N$4:$N$53,(INT(79/$F$17)+1)),"")</f>
        <v/>
      </c>
      <c r="J93">
        <f>IF(MOD(79,$F$17)=$F$17-1,0,INDEX($H$4:$H$53,(INT(79/$F$17)+1)))</f>
        <v/>
      </c>
      <c r="O93" t="n">
        <v>26700</v>
      </c>
      <c r="P93" t="n">
        <v>26850</v>
      </c>
      <c r="Q93" t="n">
        <v>43</v>
      </c>
      <c r="V93">
        <f>IF(AND(MOD(79,$S$17)=0,MOD((INT(79/$S$17)+1)-1,$S$13/5)=0),INDEX($AA$4:$AA$53,(INT(79/$S$17)+1)),"")</f>
        <v/>
      </c>
      <c r="W93">
        <f>IF(MOD(79,$S$17)=$S$17-1,0,INDEX($U$4:$U$53,(INT(79/$S$17)+1)))</f>
        <v/>
      </c>
      <c r="AB93" t="n">
        <v>13350</v>
      </c>
      <c r="AC93" t="n">
        <v>13425</v>
      </c>
      <c r="AD93" t="n">
        <v>77</v>
      </c>
      <c r="AI93">
        <f>IF(AND(MOD(79,$AF$17)=0,MOD((INT(79/$AF$17)+1)-1,$AF$13/5)=0),INDEX($AN$4:$AN$53,(INT(79/$AF$17)+1)),"")</f>
        <v/>
      </c>
      <c r="AJ93">
        <f>IF(MOD(79,$AF$17)=$AF$17-1,0,INDEX($AH$4:$AH$53,(INT(79/$AF$17)+1)))</f>
        <v/>
      </c>
    </row>
    <row r="94">
      <c r="B94" t="n">
        <v>685</v>
      </c>
      <c r="C94" t="n">
        <v>685.75</v>
      </c>
      <c r="D94" t="n">
        <v>116</v>
      </c>
      <c r="I94">
        <f>IF(AND(MOD(80,$F$17)=0,MOD((INT(80/$F$17)+1)-1,$F$13/5)=0),INDEX($N$4:$N$53,(INT(80/$F$17)+1)),"")</f>
        <v/>
      </c>
      <c r="J94">
        <f>IF(MOD(80,$F$17)=$F$17-1,0,INDEX($H$4:$H$53,(INT(80/$F$17)+1)))</f>
        <v/>
      </c>
      <c r="O94" t="n">
        <v>27000</v>
      </c>
      <c r="P94" t="n">
        <v>27150</v>
      </c>
      <c r="Q94" t="n">
        <v>39</v>
      </c>
      <c r="V94">
        <f>IF(AND(MOD(80,$S$17)=0,MOD((INT(80/$S$17)+1)-1,$S$13/5)=0),INDEX($AA$4:$AA$53,(INT(80/$S$17)+1)),"")</f>
        <v/>
      </c>
      <c r="W94">
        <f>IF(MOD(80,$S$17)=$S$17-1,0,INDEX($U$4:$U$53,(INT(80/$S$17)+1)))</f>
        <v/>
      </c>
      <c r="AB94" t="n">
        <v>13500</v>
      </c>
      <c r="AC94" t="n">
        <v>13575</v>
      </c>
      <c r="AD94" t="n">
        <v>80</v>
      </c>
      <c r="AI94">
        <f>IF(AND(MOD(80,$AF$17)=0,MOD((INT(80/$AF$17)+1)-1,$AF$13/5)=0),INDEX($AN$4:$AN$53,(INT(80/$AF$17)+1)),"")</f>
        <v/>
      </c>
      <c r="AJ94">
        <f>IF(MOD(80,$AF$17)=$AF$17-1,0,INDEX($AH$4:$AH$53,(INT(80/$AF$17)+1)))</f>
        <v/>
      </c>
    </row>
    <row r="95">
      <c r="B95" t="n">
        <v>686.5</v>
      </c>
      <c r="C95" t="n">
        <v>687.25</v>
      </c>
      <c r="D95" t="n">
        <v>53</v>
      </c>
      <c r="I95">
        <f>IF(AND(MOD(81,$F$17)=0,MOD((INT(81/$F$17)+1)-1,$F$13/5)=0),INDEX($N$4:$N$53,(INT(81/$F$17)+1)),"")</f>
        <v/>
      </c>
      <c r="J95">
        <f>IF(MOD(81,$F$17)=$F$17-1,0,INDEX($H$4:$H$53,(INT(81/$F$17)+1)))</f>
        <v/>
      </c>
      <c r="O95" t="n">
        <v>27300</v>
      </c>
      <c r="P95" t="n">
        <v>27450</v>
      </c>
      <c r="Q95" t="n">
        <v>45</v>
      </c>
      <c r="V95">
        <f>IF(AND(MOD(81,$S$17)=0,MOD((INT(81/$S$17)+1)-1,$S$13/5)=0),INDEX($AA$4:$AA$53,(INT(81/$S$17)+1)),"")</f>
        <v/>
      </c>
      <c r="W95">
        <f>IF(MOD(81,$S$17)=$S$17-1,0,INDEX($U$4:$U$53,(INT(81/$S$17)+1)))</f>
        <v/>
      </c>
      <c r="AB95" t="n">
        <v>13650</v>
      </c>
      <c r="AC95" t="n">
        <v>13725</v>
      </c>
      <c r="AD95" t="n">
        <v>63</v>
      </c>
      <c r="AI95">
        <f>IF(AND(MOD(81,$AF$17)=0,MOD((INT(81/$AF$17)+1)-1,$AF$13/5)=0),INDEX($AN$4:$AN$53,(INT(81/$AF$17)+1)),"")</f>
        <v/>
      </c>
      <c r="AJ95">
        <f>IF(MOD(81,$AF$17)=$AF$17-1,0,INDEX($AH$4:$AH$53,(INT(81/$AF$17)+1)))</f>
        <v/>
      </c>
    </row>
    <row r="96">
      <c r="B96" t="n">
        <v>688</v>
      </c>
      <c r="C96" t="n">
        <v>688.75</v>
      </c>
      <c r="D96" t="n">
        <v>129</v>
      </c>
      <c r="I96">
        <f>IF(AND(MOD(82,$F$17)=0,MOD((INT(82/$F$17)+1)-1,$F$13/5)=0),INDEX($N$4:$N$53,(INT(82/$F$17)+1)),"")</f>
        <v/>
      </c>
      <c r="J96">
        <f>IF(MOD(82,$F$17)=$F$17-1,0,INDEX($H$4:$H$53,(INT(82/$F$17)+1)))</f>
        <v/>
      </c>
      <c r="O96" t="n">
        <v>27600</v>
      </c>
      <c r="P96" t="n">
        <v>27750</v>
      </c>
      <c r="Q96" t="n">
        <v>39</v>
      </c>
      <c r="V96">
        <f>IF(AND(MOD(82,$S$17)=0,MOD((INT(82/$S$17)+1)-1,$S$13/5)=0),INDEX($AA$4:$AA$53,(INT(82/$S$17)+1)),"")</f>
        <v/>
      </c>
      <c r="W96">
        <f>IF(MOD(82,$S$17)=$S$17-1,0,INDEX($U$4:$U$53,(INT(82/$S$17)+1)))</f>
        <v/>
      </c>
      <c r="AB96" t="n">
        <v>13800</v>
      </c>
      <c r="AC96" t="n">
        <v>13875</v>
      </c>
      <c r="AD96" t="n">
        <v>81</v>
      </c>
      <c r="AI96">
        <f>IF(AND(MOD(82,$AF$17)=0,MOD((INT(82/$AF$17)+1)-1,$AF$13/5)=0),INDEX($AN$4:$AN$53,(INT(82/$AF$17)+1)),"")</f>
        <v/>
      </c>
      <c r="AJ96">
        <f>IF(MOD(82,$AF$17)=$AF$17-1,0,INDEX($AH$4:$AH$53,(INT(82/$AF$17)+1)))</f>
        <v/>
      </c>
    </row>
    <row r="97">
      <c r="B97" t="n">
        <v>689.5</v>
      </c>
      <c r="C97" t="n">
        <v>690.25</v>
      </c>
      <c r="D97" t="n">
        <v>60</v>
      </c>
      <c r="I97">
        <f>IF(AND(MOD(83,$F$17)=0,MOD((INT(83/$F$17)+1)-1,$F$13/5)=0),INDEX($N$4:$N$53,(INT(83/$F$17)+1)),"")</f>
        <v/>
      </c>
      <c r="J97">
        <f>IF(MOD(83,$F$17)=$F$17-1,0,INDEX($H$4:$H$53,(INT(83/$F$17)+1)))</f>
        <v/>
      </c>
      <c r="O97" t="n">
        <v>27900</v>
      </c>
      <c r="P97" t="n">
        <v>28050</v>
      </c>
      <c r="Q97" t="n">
        <v>38</v>
      </c>
      <c r="V97">
        <f>IF(AND(MOD(83,$S$17)=0,MOD((INT(83/$S$17)+1)-1,$S$13/5)=0),INDEX($AA$4:$AA$53,(INT(83/$S$17)+1)),"")</f>
        <v/>
      </c>
      <c r="W97">
        <f>IF(MOD(83,$S$17)=$S$17-1,0,INDEX($U$4:$U$53,(INT(83/$S$17)+1)))</f>
        <v/>
      </c>
      <c r="AB97" t="n">
        <v>13950</v>
      </c>
      <c r="AC97" t="n">
        <v>14025</v>
      </c>
      <c r="AD97" t="n">
        <v>58</v>
      </c>
      <c r="AI97">
        <f>IF(AND(MOD(83,$AF$17)=0,MOD((INT(83/$AF$17)+1)-1,$AF$13/5)=0),INDEX($AN$4:$AN$53,(INT(83/$AF$17)+1)),"")</f>
        <v/>
      </c>
      <c r="AJ97">
        <f>IF(MOD(83,$AF$17)=$AF$17-1,0,INDEX($AH$4:$AH$53,(INT(83/$AF$17)+1)))</f>
        <v/>
      </c>
    </row>
    <row r="98">
      <c r="B98" t="n">
        <v>691</v>
      </c>
      <c r="C98" t="n">
        <v>691.75</v>
      </c>
      <c r="D98" t="n">
        <v>134</v>
      </c>
      <c r="I98">
        <f>IF(AND(MOD(84,$F$17)=0,MOD((INT(84/$F$17)+1)-1,$F$13/5)=0),INDEX($N$4:$N$53,(INT(84/$F$17)+1)),"")</f>
        <v/>
      </c>
      <c r="J98">
        <f>IF(MOD(84,$F$17)=$F$17-1,0,INDEX($H$4:$H$53,(INT(84/$F$17)+1)))</f>
        <v/>
      </c>
      <c r="O98" t="n">
        <v>28200</v>
      </c>
      <c r="P98" t="n">
        <v>28350</v>
      </c>
      <c r="Q98" t="n">
        <v>44</v>
      </c>
      <c r="V98">
        <f>IF(AND(MOD(84,$S$17)=0,MOD((INT(84/$S$17)+1)-1,$S$13/5)=0),INDEX($AA$4:$AA$53,(INT(84/$S$17)+1)),"")</f>
        <v/>
      </c>
      <c r="W98">
        <f>IF(MOD(84,$S$17)=$S$17-1,0,INDEX($U$4:$U$53,(INT(84/$S$17)+1)))</f>
        <v/>
      </c>
      <c r="AB98" t="n">
        <v>14100</v>
      </c>
      <c r="AC98" t="n">
        <v>14175</v>
      </c>
      <c r="AD98" t="n">
        <v>58</v>
      </c>
      <c r="AI98">
        <f>IF(AND(MOD(84,$AF$17)=0,MOD((INT(84/$AF$17)+1)-1,$AF$13/5)=0),INDEX($AN$4:$AN$53,(INT(84/$AF$17)+1)),"")</f>
        <v/>
      </c>
      <c r="AJ98">
        <f>IF(MOD(84,$AF$17)=$AF$17-1,0,INDEX($AH$4:$AH$53,(INT(84/$AF$17)+1)))</f>
        <v/>
      </c>
    </row>
    <row r="99">
      <c r="B99" t="n">
        <v>692.5</v>
      </c>
      <c r="C99" t="n">
        <v>693.25</v>
      </c>
      <c r="D99" t="n">
        <v>58</v>
      </c>
      <c r="I99">
        <f>IF(AND(MOD(85,$F$17)=0,MOD((INT(85/$F$17)+1)-1,$F$13/5)=0),INDEX($N$4:$N$53,(INT(85/$F$17)+1)),"")</f>
        <v/>
      </c>
      <c r="J99">
        <f>IF(MOD(85,$F$17)=$F$17-1,0,INDEX($H$4:$H$53,(INT(85/$F$17)+1)))</f>
        <v/>
      </c>
      <c r="O99" t="n">
        <v>28500</v>
      </c>
      <c r="P99" t="n">
        <v>28650</v>
      </c>
      <c r="Q99" t="n">
        <v>41</v>
      </c>
      <c r="V99">
        <f>IF(AND(MOD(85,$S$17)=0,MOD((INT(85/$S$17)+1)-1,$S$13/5)=0),INDEX($AA$4:$AA$53,(INT(85/$S$17)+1)),"")</f>
        <v/>
      </c>
      <c r="W99">
        <f>IF(MOD(85,$S$17)=$S$17-1,0,INDEX($U$4:$U$53,(INT(85/$S$17)+1)))</f>
        <v/>
      </c>
      <c r="AB99" t="n">
        <v>14250</v>
      </c>
      <c r="AC99" t="n">
        <v>14325</v>
      </c>
      <c r="AD99" t="n">
        <v>41</v>
      </c>
      <c r="AI99">
        <f>IF(AND(MOD(85,$AF$17)=0,MOD((INT(85/$AF$17)+1)-1,$AF$13/5)=0),INDEX($AN$4:$AN$53,(INT(85/$AF$17)+1)),"")</f>
        <v/>
      </c>
      <c r="AJ99">
        <f>IF(MOD(85,$AF$17)=$AF$17-1,0,INDEX($AH$4:$AH$53,(INT(85/$AF$17)+1)))</f>
        <v/>
      </c>
    </row>
    <row r="100">
      <c r="B100" t="n">
        <v>694</v>
      </c>
      <c r="C100" t="n">
        <v>694.75</v>
      </c>
      <c r="D100" t="n">
        <v>110</v>
      </c>
      <c r="I100">
        <f>IF(AND(MOD(86,$F$17)=0,MOD((INT(86/$F$17)+1)-1,$F$13/5)=0),INDEX($N$4:$N$53,(INT(86/$F$17)+1)),"")</f>
        <v/>
      </c>
      <c r="J100">
        <f>IF(MOD(86,$F$17)=$F$17-1,0,INDEX($H$4:$H$53,(INT(86/$F$17)+1)))</f>
        <v/>
      </c>
      <c r="O100" t="n">
        <v>28800</v>
      </c>
      <c r="P100" t="n">
        <v>28950</v>
      </c>
      <c r="Q100" t="n">
        <v>40</v>
      </c>
      <c r="V100">
        <f>IF(AND(MOD(86,$S$17)=0,MOD((INT(86/$S$17)+1)-1,$S$13/5)=0),INDEX($AA$4:$AA$53,(INT(86/$S$17)+1)),"")</f>
        <v/>
      </c>
      <c r="W100">
        <f>IF(MOD(86,$S$17)=$S$17-1,0,INDEX($U$4:$U$53,(INT(86/$S$17)+1)))</f>
        <v/>
      </c>
      <c r="AB100" t="n">
        <v>14400</v>
      </c>
      <c r="AC100" t="n">
        <v>14475</v>
      </c>
      <c r="AD100" t="n">
        <v>67</v>
      </c>
      <c r="AI100">
        <f>IF(AND(MOD(86,$AF$17)=0,MOD((INT(86/$AF$17)+1)-1,$AF$13/5)=0),INDEX($AN$4:$AN$53,(INT(86/$AF$17)+1)),"")</f>
        <v/>
      </c>
      <c r="AJ100">
        <f>IF(MOD(86,$AF$17)=$AF$17-1,0,INDEX($AH$4:$AH$53,(INT(86/$AF$17)+1)))</f>
        <v/>
      </c>
    </row>
    <row r="101">
      <c r="B101" t="n">
        <v>695.5</v>
      </c>
      <c r="C101" t="n">
        <v>696.25</v>
      </c>
      <c r="D101" t="n">
        <v>52</v>
      </c>
      <c r="I101">
        <f>IF(AND(MOD(87,$F$17)=0,MOD((INT(87/$F$17)+1)-1,$F$13/5)=0),INDEX($N$4:$N$53,(INT(87/$F$17)+1)),"")</f>
        <v/>
      </c>
      <c r="J101">
        <f>IF(MOD(87,$F$17)=$F$17-1,0,INDEX($H$4:$H$53,(INT(87/$F$17)+1)))</f>
        <v/>
      </c>
      <c r="O101" t="n">
        <v>29100</v>
      </c>
      <c r="P101" t="n">
        <v>29250</v>
      </c>
      <c r="Q101" t="n">
        <v>47</v>
      </c>
      <c r="V101">
        <f>IF(AND(MOD(87,$S$17)=0,MOD((INT(87/$S$17)+1)-1,$S$13/5)=0),INDEX($AA$4:$AA$53,(INT(87/$S$17)+1)),"")</f>
        <v/>
      </c>
      <c r="W101">
        <f>IF(MOD(87,$S$17)=$S$17-1,0,INDEX($U$4:$U$53,(INT(87/$S$17)+1)))</f>
        <v/>
      </c>
      <c r="AB101" t="n">
        <v>14550</v>
      </c>
      <c r="AC101" t="n">
        <v>14625</v>
      </c>
      <c r="AD101" t="n">
        <v>58</v>
      </c>
      <c r="AI101">
        <f>IF(AND(MOD(87,$AF$17)=0,MOD((INT(87/$AF$17)+1)-1,$AF$13/5)=0),INDEX($AN$4:$AN$53,(INT(87/$AF$17)+1)),"")</f>
        <v/>
      </c>
      <c r="AJ101">
        <f>IF(MOD(87,$AF$17)=$AF$17-1,0,INDEX($AH$4:$AH$53,(INT(87/$AF$17)+1)))</f>
        <v/>
      </c>
    </row>
    <row r="102">
      <c r="B102" t="n">
        <v>697</v>
      </c>
      <c r="C102" t="n">
        <v>697.75</v>
      </c>
      <c r="D102" t="n">
        <v>115</v>
      </c>
      <c r="I102">
        <f>IF(AND(MOD(88,$F$17)=0,MOD((INT(88/$F$17)+1)-1,$F$13/5)=0),INDEX($N$4:$N$53,(INT(88/$F$17)+1)),"")</f>
        <v/>
      </c>
      <c r="J102">
        <f>IF(MOD(88,$F$17)=$F$17-1,0,INDEX($H$4:$H$53,(INT(88/$F$17)+1)))</f>
        <v/>
      </c>
      <c r="O102" t="n">
        <v>29400</v>
      </c>
      <c r="P102" t="n">
        <v>29550</v>
      </c>
      <c r="Q102" t="n">
        <v>35</v>
      </c>
      <c r="V102">
        <f>IF(AND(MOD(88,$S$17)=0,MOD((INT(88/$S$17)+1)-1,$S$13/5)=0),INDEX($AA$4:$AA$53,(INT(88/$S$17)+1)),"")</f>
        <v/>
      </c>
      <c r="W102">
        <f>IF(MOD(88,$S$17)=$S$17-1,0,INDEX($U$4:$U$53,(INT(88/$S$17)+1)))</f>
        <v/>
      </c>
      <c r="AB102" t="n">
        <v>14700</v>
      </c>
      <c r="AC102" t="n">
        <v>14775</v>
      </c>
      <c r="AD102" t="n">
        <v>56</v>
      </c>
      <c r="AI102">
        <f>IF(AND(MOD(88,$AF$17)=0,MOD((INT(88/$AF$17)+1)-1,$AF$13/5)=0),INDEX($AN$4:$AN$53,(INT(88/$AF$17)+1)),"")</f>
        <v/>
      </c>
      <c r="AJ102">
        <f>IF(MOD(88,$AF$17)=$AF$17-1,0,INDEX($AH$4:$AH$53,(INT(88/$AF$17)+1)))</f>
        <v/>
      </c>
    </row>
    <row r="103">
      <c r="B103" t="n">
        <v>698.5</v>
      </c>
      <c r="C103" t="n">
        <v>699.25</v>
      </c>
      <c r="D103" t="n">
        <v>56</v>
      </c>
      <c r="I103">
        <f>IF(AND(MOD(89,$F$17)=0,MOD((INT(89/$F$17)+1)-1,$F$13/5)=0),INDEX($N$4:$N$53,(INT(89/$F$17)+1)),"")</f>
        <v/>
      </c>
      <c r="J103">
        <f>IF(MOD(89,$F$17)=$F$17-1,0,INDEX($H$4:$H$53,(INT(89/$F$17)+1)))</f>
        <v/>
      </c>
      <c r="O103" t="n">
        <v>29700</v>
      </c>
      <c r="P103" t="n">
        <v>29850</v>
      </c>
      <c r="Q103" t="n">
        <v>43</v>
      </c>
      <c r="V103">
        <f>IF(AND(MOD(89,$S$17)=0,MOD((INT(89/$S$17)+1)-1,$S$13/5)=0),INDEX($AA$4:$AA$53,(INT(89/$S$17)+1)),"")</f>
        <v/>
      </c>
      <c r="W103">
        <f>IF(MOD(89,$S$17)=$S$17-1,0,INDEX($U$4:$U$53,(INT(89/$S$17)+1)))</f>
        <v/>
      </c>
      <c r="AB103" t="n">
        <v>14850</v>
      </c>
      <c r="AC103" t="n">
        <v>14925</v>
      </c>
      <c r="AD103" t="n">
        <v>58</v>
      </c>
      <c r="AI103">
        <f>IF(AND(MOD(89,$AF$17)=0,MOD((INT(89/$AF$17)+1)-1,$AF$13/5)=0),INDEX($AN$4:$AN$53,(INT(89/$AF$17)+1)),"")</f>
        <v/>
      </c>
      <c r="AJ103">
        <f>IF(MOD(89,$AF$17)=$AF$17-1,0,INDEX($AH$4:$AH$53,(INT(89/$AF$17)+1)))</f>
        <v/>
      </c>
    </row>
    <row r="104">
      <c r="B104" t="n">
        <v>700</v>
      </c>
      <c r="C104" t="n">
        <v>700.75</v>
      </c>
      <c r="D104" t="n">
        <v>117</v>
      </c>
      <c r="I104">
        <f>IF(AND(MOD(90,$F$17)=0,MOD((INT(90/$F$17)+1)-1,$F$13/5)=0),INDEX($N$4:$N$53,(INT(90/$F$17)+1)),"")</f>
        <v/>
      </c>
      <c r="J104">
        <f>IF(MOD(90,$F$17)=$F$17-1,0,INDEX($H$4:$H$53,(INT(90/$F$17)+1)))</f>
        <v/>
      </c>
      <c r="O104" t="n">
        <v>30000</v>
      </c>
      <c r="P104" t="n">
        <v>30150</v>
      </c>
      <c r="Q104" t="n">
        <v>38</v>
      </c>
      <c r="V104">
        <f>IF(AND(MOD(90,$S$17)=0,MOD((INT(90/$S$17)+1)-1,$S$13/5)=0),INDEX($AA$4:$AA$53,(INT(90/$S$17)+1)),"")</f>
        <v/>
      </c>
      <c r="W104">
        <f>IF(MOD(90,$S$17)=$S$17-1,0,INDEX($U$4:$U$53,(INT(90/$S$17)+1)))</f>
        <v/>
      </c>
      <c r="AB104" t="n">
        <v>15000</v>
      </c>
      <c r="AC104" t="n">
        <v>15075</v>
      </c>
      <c r="AD104" t="n">
        <v>59</v>
      </c>
      <c r="AI104">
        <f>IF(AND(MOD(90,$AF$17)=0,MOD((INT(90/$AF$17)+1)-1,$AF$13/5)=0),INDEX($AN$4:$AN$53,(INT(90/$AF$17)+1)),"")</f>
        <v/>
      </c>
      <c r="AJ104">
        <f>IF(MOD(90,$AF$17)=$AF$17-1,0,INDEX($AH$4:$AH$53,(INT(90/$AF$17)+1)))</f>
        <v/>
      </c>
    </row>
    <row r="105">
      <c r="B105" t="n">
        <v>701.5</v>
      </c>
      <c r="C105" t="n">
        <v>702.25</v>
      </c>
      <c r="D105" t="n">
        <v>55</v>
      </c>
      <c r="I105">
        <f>IF(AND(MOD(91,$F$17)=0,MOD((INT(91/$F$17)+1)-1,$F$13/5)=0),INDEX($N$4:$N$53,(INT(91/$F$17)+1)),"")</f>
        <v/>
      </c>
      <c r="J105">
        <f>IF(MOD(91,$F$17)=$F$17-1,0,INDEX($H$4:$H$53,(INT(91/$F$17)+1)))</f>
        <v/>
      </c>
      <c r="O105" t="n">
        <v>30300</v>
      </c>
      <c r="P105" t="n">
        <v>30450</v>
      </c>
      <c r="Q105" t="n">
        <v>42</v>
      </c>
      <c r="V105">
        <f>IF(AND(MOD(91,$S$17)=0,MOD((INT(91/$S$17)+1)-1,$S$13/5)=0),INDEX($AA$4:$AA$53,(INT(91/$S$17)+1)),"")</f>
        <v/>
      </c>
      <c r="W105">
        <f>IF(MOD(91,$S$17)=$S$17-1,0,INDEX($U$4:$U$53,(INT(91/$S$17)+1)))</f>
        <v/>
      </c>
      <c r="AB105" t="n">
        <v>15150</v>
      </c>
      <c r="AC105" t="n">
        <v>15225</v>
      </c>
      <c r="AD105" t="n">
        <v>62</v>
      </c>
      <c r="AI105">
        <f>IF(AND(MOD(91,$AF$17)=0,MOD((INT(91/$AF$17)+1)-1,$AF$13/5)=0),INDEX($AN$4:$AN$53,(INT(91/$AF$17)+1)),"")</f>
        <v/>
      </c>
      <c r="AJ105">
        <f>IF(MOD(91,$AF$17)=$AF$17-1,0,INDEX($AH$4:$AH$53,(INT(91/$AF$17)+1)))</f>
        <v/>
      </c>
    </row>
    <row r="106">
      <c r="B106" t="n">
        <v>703</v>
      </c>
      <c r="C106" t="n">
        <v>703.75</v>
      </c>
      <c r="D106" t="n">
        <v>120</v>
      </c>
      <c r="I106">
        <f>IF(AND(MOD(92,$F$17)=0,MOD((INT(92/$F$17)+1)-1,$F$13/5)=0),INDEX($N$4:$N$53,(INT(92/$F$17)+1)),"")</f>
        <v/>
      </c>
      <c r="J106">
        <f>IF(MOD(92,$F$17)=$F$17-1,0,INDEX($H$4:$H$53,(INT(92/$F$17)+1)))</f>
        <v/>
      </c>
      <c r="O106" t="n">
        <v>30600</v>
      </c>
      <c r="P106" t="n">
        <v>30750</v>
      </c>
      <c r="Q106" t="n">
        <v>46</v>
      </c>
      <c r="V106">
        <f>IF(AND(MOD(92,$S$17)=0,MOD((INT(92/$S$17)+1)-1,$S$13/5)=0),INDEX($AA$4:$AA$53,(INT(92/$S$17)+1)),"")</f>
        <v/>
      </c>
      <c r="W106">
        <f>IF(MOD(92,$S$17)=$S$17-1,0,INDEX($U$4:$U$53,(INT(92/$S$17)+1)))</f>
        <v/>
      </c>
      <c r="AB106" t="n">
        <v>15300</v>
      </c>
      <c r="AC106" t="n">
        <v>15375</v>
      </c>
      <c r="AD106" t="n">
        <v>62</v>
      </c>
      <c r="AI106">
        <f>IF(AND(MOD(92,$AF$17)=0,MOD((INT(92/$AF$17)+1)-1,$AF$13/5)=0),INDEX($AN$4:$AN$53,(INT(92/$AF$17)+1)),"")</f>
        <v/>
      </c>
      <c r="AJ106">
        <f>IF(MOD(92,$AF$17)=$AF$17-1,0,INDEX($AH$4:$AH$53,(INT(92/$AF$17)+1)))</f>
        <v/>
      </c>
    </row>
    <row r="107">
      <c r="B107" t="n">
        <v>704.5</v>
      </c>
      <c r="C107" t="n">
        <v>705.25</v>
      </c>
      <c r="D107" t="n">
        <v>49</v>
      </c>
      <c r="I107">
        <f>IF(AND(MOD(93,$F$17)=0,MOD((INT(93/$F$17)+1)-1,$F$13/5)=0),INDEX($N$4:$N$53,(INT(93/$F$17)+1)),"")</f>
        <v/>
      </c>
      <c r="J107">
        <f>IF(MOD(93,$F$17)=$F$17-1,0,INDEX($H$4:$H$53,(INT(93/$F$17)+1)))</f>
        <v/>
      </c>
      <c r="O107" t="n">
        <v>30900</v>
      </c>
      <c r="P107" t="n">
        <v>31050</v>
      </c>
      <c r="Q107" t="n">
        <v>37</v>
      </c>
      <c r="V107">
        <f>IF(AND(MOD(93,$S$17)=0,MOD((INT(93/$S$17)+1)-1,$S$13/5)=0),INDEX($AA$4:$AA$53,(INT(93/$S$17)+1)),"")</f>
        <v/>
      </c>
      <c r="W107">
        <f>IF(MOD(93,$S$17)=$S$17-1,0,INDEX($U$4:$U$53,(INT(93/$S$17)+1)))</f>
        <v/>
      </c>
      <c r="AB107" t="n">
        <v>15450</v>
      </c>
      <c r="AC107" t="n">
        <v>15525</v>
      </c>
      <c r="AD107" t="n">
        <v>61</v>
      </c>
      <c r="AI107">
        <f>IF(AND(MOD(93,$AF$17)=0,MOD((INT(93/$AF$17)+1)-1,$AF$13/5)=0),INDEX($AN$4:$AN$53,(INT(93/$AF$17)+1)),"")</f>
        <v/>
      </c>
      <c r="AJ107">
        <f>IF(MOD(93,$AF$17)=$AF$17-1,0,INDEX($AH$4:$AH$53,(INT(93/$AF$17)+1)))</f>
        <v/>
      </c>
    </row>
    <row r="108">
      <c r="B108" t="n">
        <v>706</v>
      </c>
      <c r="C108" t="n">
        <v>706.75</v>
      </c>
      <c r="D108" t="n">
        <v>128</v>
      </c>
      <c r="I108">
        <f>IF(AND(MOD(94,$F$17)=0,MOD((INT(94/$F$17)+1)-1,$F$13/5)=0),INDEX($N$4:$N$53,(INT(94/$F$17)+1)),"")</f>
        <v/>
      </c>
      <c r="J108">
        <f>IF(MOD(94,$F$17)=$F$17-1,0,INDEX($H$4:$H$53,(INT(94/$F$17)+1)))</f>
        <v/>
      </c>
      <c r="O108" t="n">
        <v>31200</v>
      </c>
      <c r="P108" t="n">
        <v>31350</v>
      </c>
      <c r="Q108" t="n">
        <v>38</v>
      </c>
      <c r="V108">
        <f>IF(AND(MOD(94,$S$17)=0,MOD((INT(94/$S$17)+1)-1,$S$13/5)=0),INDEX($AA$4:$AA$53,(INT(94/$S$17)+1)),"")</f>
        <v/>
      </c>
      <c r="W108">
        <f>IF(MOD(94,$S$17)=$S$17-1,0,INDEX($U$4:$U$53,(INT(94/$S$17)+1)))</f>
        <v/>
      </c>
      <c r="AB108" t="n">
        <v>15600</v>
      </c>
      <c r="AC108" t="n">
        <v>15675</v>
      </c>
      <c r="AD108" t="n">
        <v>57</v>
      </c>
      <c r="AI108">
        <f>IF(AND(MOD(94,$AF$17)=0,MOD((INT(94/$AF$17)+1)-1,$AF$13/5)=0),INDEX($AN$4:$AN$53,(INT(94/$AF$17)+1)),"")</f>
        <v/>
      </c>
      <c r="AJ108">
        <f>IF(MOD(94,$AF$17)=$AF$17-1,0,INDEX($AH$4:$AH$53,(INT(94/$AF$17)+1)))</f>
        <v/>
      </c>
    </row>
    <row r="109">
      <c r="B109" t="n">
        <v>707.5</v>
      </c>
      <c r="C109" t="n">
        <v>708.25</v>
      </c>
      <c r="D109" t="n">
        <v>76</v>
      </c>
      <c r="I109">
        <f>IF(AND(MOD(95,$F$17)=0,MOD((INT(95/$F$17)+1)-1,$F$13/5)=0),INDEX($N$4:$N$53,(INT(95/$F$17)+1)),"")</f>
        <v/>
      </c>
      <c r="J109">
        <f>IF(MOD(95,$F$17)=$F$17-1,0,INDEX($H$4:$H$53,(INT(95/$F$17)+1)))</f>
        <v/>
      </c>
      <c r="O109" t="n">
        <v>31500</v>
      </c>
      <c r="P109" t="n">
        <v>31650</v>
      </c>
      <c r="Q109" t="n">
        <v>49</v>
      </c>
      <c r="V109">
        <f>IF(AND(MOD(95,$S$17)=0,MOD((INT(95/$S$17)+1)-1,$S$13/5)=0),INDEX($AA$4:$AA$53,(INT(95/$S$17)+1)),"")</f>
        <v/>
      </c>
      <c r="W109">
        <f>IF(MOD(95,$S$17)=$S$17-1,0,INDEX($U$4:$U$53,(INT(95/$S$17)+1)))</f>
        <v/>
      </c>
      <c r="AB109" t="n">
        <v>15750</v>
      </c>
      <c r="AC109" t="n">
        <v>15825</v>
      </c>
      <c r="AD109" t="n">
        <v>58</v>
      </c>
      <c r="AI109">
        <f>IF(AND(MOD(95,$AF$17)=0,MOD((INT(95/$AF$17)+1)-1,$AF$13/5)=0),INDEX($AN$4:$AN$53,(INT(95/$AF$17)+1)),"")</f>
        <v/>
      </c>
      <c r="AJ109">
        <f>IF(MOD(95,$AF$17)=$AF$17-1,0,INDEX($AH$4:$AH$53,(INT(95/$AF$17)+1)))</f>
        <v/>
      </c>
    </row>
    <row r="110">
      <c r="B110" t="n">
        <v>709</v>
      </c>
      <c r="C110" t="n">
        <v>709.75</v>
      </c>
      <c r="D110" t="n">
        <v>120</v>
      </c>
      <c r="I110">
        <f>IF(AND(MOD(96,$F$17)=0,MOD((INT(96/$F$17)+1)-1,$F$13/5)=0),INDEX($N$4:$N$53,(INT(96/$F$17)+1)),"")</f>
        <v/>
      </c>
      <c r="J110">
        <f>IF(MOD(96,$F$17)=$F$17-1,0,INDEX($H$4:$H$53,(INT(96/$F$17)+1)))</f>
        <v/>
      </c>
      <c r="O110" t="n">
        <v>31800</v>
      </c>
      <c r="P110" t="n">
        <v>31950</v>
      </c>
      <c r="Q110" t="n">
        <v>43</v>
      </c>
      <c r="V110">
        <f>IF(AND(MOD(96,$S$17)=0,MOD((INT(96/$S$17)+1)-1,$S$13/5)=0),INDEX($AA$4:$AA$53,(INT(96/$S$17)+1)),"")</f>
        <v/>
      </c>
      <c r="W110">
        <f>IF(MOD(96,$S$17)=$S$17-1,0,INDEX($U$4:$U$53,(INT(96/$S$17)+1)))</f>
        <v/>
      </c>
      <c r="AB110" t="n">
        <v>15900</v>
      </c>
      <c r="AC110" t="n">
        <v>15975</v>
      </c>
      <c r="AD110" t="n">
        <v>51</v>
      </c>
      <c r="AI110">
        <f>IF(AND(MOD(96,$AF$17)=0,MOD((INT(96/$AF$17)+1)-1,$AF$13/5)=0),INDEX($AN$4:$AN$53,(INT(96/$AF$17)+1)),"")</f>
        <v/>
      </c>
      <c r="AJ110">
        <f>IF(MOD(96,$AF$17)=$AF$17-1,0,INDEX($AH$4:$AH$53,(INT(96/$AF$17)+1)))</f>
        <v/>
      </c>
    </row>
    <row r="111">
      <c r="B111" t="n">
        <v>710.5</v>
      </c>
      <c r="C111" t="n">
        <v>711.25</v>
      </c>
      <c r="D111" t="n">
        <v>70</v>
      </c>
      <c r="I111">
        <f>IF(AND(MOD(97,$F$17)=0,MOD((INT(97/$F$17)+1)-1,$F$13/5)=0),INDEX($N$4:$N$53,(INT(97/$F$17)+1)),"")</f>
        <v/>
      </c>
      <c r="J111">
        <f>IF(MOD(97,$F$17)=$F$17-1,0,INDEX($H$4:$H$53,(INT(97/$F$17)+1)))</f>
        <v/>
      </c>
      <c r="O111" t="n">
        <v>32100</v>
      </c>
      <c r="P111" t="n">
        <v>32250</v>
      </c>
      <c r="Q111" t="n">
        <v>48</v>
      </c>
      <c r="V111">
        <f>IF(AND(MOD(97,$S$17)=0,MOD((INT(97/$S$17)+1)-1,$S$13/5)=0),INDEX($AA$4:$AA$53,(INT(97/$S$17)+1)),"")</f>
        <v/>
      </c>
      <c r="W111">
        <f>IF(MOD(97,$S$17)=$S$17-1,0,INDEX($U$4:$U$53,(INT(97/$S$17)+1)))</f>
        <v/>
      </c>
      <c r="AB111" t="n">
        <v>16050</v>
      </c>
      <c r="AC111" t="n">
        <v>16125</v>
      </c>
      <c r="AD111" t="n">
        <v>51</v>
      </c>
      <c r="AI111">
        <f>IF(AND(MOD(97,$AF$17)=0,MOD((INT(97/$AF$17)+1)-1,$AF$13/5)=0),INDEX($AN$4:$AN$53,(INT(97/$AF$17)+1)),"")</f>
        <v/>
      </c>
      <c r="AJ111">
        <f>IF(MOD(97,$AF$17)=$AF$17-1,0,INDEX($AH$4:$AH$53,(INT(97/$AF$17)+1)))</f>
        <v/>
      </c>
    </row>
    <row r="112">
      <c r="B112" t="n">
        <v>712</v>
      </c>
      <c r="C112" t="n">
        <v>712.75</v>
      </c>
      <c r="D112" t="n">
        <v>108</v>
      </c>
      <c r="I112">
        <f>IF(AND(MOD(98,$F$17)=0,MOD((INT(98/$F$17)+1)-1,$F$13/5)=0),INDEX($N$4:$N$53,(INT(98/$F$17)+1)),"")</f>
        <v/>
      </c>
      <c r="J112">
        <f>IF(MOD(98,$F$17)=$F$17-1,0,INDEX($H$4:$H$53,(INT(98/$F$17)+1)))</f>
        <v/>
      </c>
      <c r="O112" t="n">
        <v>32400</v>
      </c>
      <c r="P112" t="n">
        <v>32550</v>
      </c>
      <c r="Q112" t="n">
        <v>36</v>
      </c>
      <c r="V112">
        <f>IF(AND(MOD(98,$S$17)=0,MOD((INT(98/$S$17)+1)-1,$S$13/5)=0),INDEX($AA$4:$AA$53,(INT(98/$S$17)+1)),"")</f>
        <v/>
      </c>
      <c r="W112">
        <f>IF(MOD(98,$S$17)=$S$17-1,0,INDEX($U$4:$U$53,(INT(98/$S$17)+1)))</f>
        <v/>
      </c>
      <c r="AB112" t="n">
        <v>16200</v>
      </c>
      <c r="AC112" t="n">
        <v>16275</v>
      </c>
      <c r="AD112" t="n">
        <v>48</v>
      </c>
      <c r="AI112">
        <f>IF(AND(MOD(98,$AF$17)=0,MOD((INT(98/$AF$17)+1)-1,$AF$13/5)=0),INDEX($AN$4:$AN$53,(INT(98/$AF$17)+1)),"")</f>
        <v/>
      </c>
      <c r="AJ112">
        <f>IF(MOD(98,$AF$17)=$AF$17-1,0,INDEX($AH$4:$AH$53,(INT(98/$AF$17)+1)))</f>
        <v/>
      </c>
    </row>
    <row r="113">
      <c r="B113" t="n">
        <v>713.5</v>
      </c>
      <c r="C113" t="n">
        <v>714.25</v>
      </c>
      <c r="D113" t="n">
        <v>46</v>
      </c>
      <c r="I113">
        <f>IF(AND(MOD(99,$F$17)=0,MOD((INT(99/$F$17)+1)-1,$F$13/5)=0),INDEX($N$4:$N$53,(INT(99/$F$17)+1)),"")</f>
        <v/>
      </c>
      <c r="J113">
        <f>IF(MOD(99,$F$17)=$F$17-1,0,INDEX($H$4:$H$53,(INT(99/$F$17)+1)))</f>
        <v/>
      </c>
      <c r="O113" t="n">
        <v>32700</v>
      </c>
      <c r="P113" t="n">
        <v>32850</v>
      </c>
      <c r="Q113" t="n">
        <v>41</v>
      </c>
      <c r="V113">
        <f>IF(AND(MOD(99,$S$17)=0,MOD((INT(99/$S$17)+1)-1,$S$13/5)=0),INDEX($AA$4:$AA$53,(INT(99/$S$17)+1)),"")</f>
        <v/>
      </c>
      <c r="W113">
        <f>IF(MOD(99,$S$17)=$S$17-1,0,INDEX($U$4:$U$53,(INT(99/$S$17)+1)))</f>
        <v/>
      </c>
      <c r="AB113" t="n">
        <v>16350</v>
      </c>
      <c r="AC113" t="n">
        <v>16425</v>
      </c>
      <c r="AD113" t="n">
        <v>52</v>
      </c>
      <c r="AI113">
        <f>IF(AND(MOD(99,$AF$17)=0,MOD((INT(99/$AF$17)+1)-1,$AF$13/5)=0),INDEX($AN$4:$AN$53,(INT(99/$AF$17)+1)),"")</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2026-09-30 15:23</t>
        </is>
      </c>
      <c r="B4" t="inlineStr">
        <is>
          <t>Ran on 8,000 loans from Summary book.csv. What was run: Where the book bleeds.</t>
        </is>
      </c>
    </row>
    <row r="5">
      <c r="B5" t="inlineStr">
        <is>
          <t>Warning: open data question: "RANR_AMT": negative values in a column that is mostly positive (595 rows). Used as recorded until answered Real or Missing under Treat as on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2026-09-30T15:23:07Z</dcterms:created>
  <dcterms:modified xsi:type="dcterms:W3CDTF">2026-09-30T15:23:15Z</dcterms:modified>
</cp:coreProperties>
</file>