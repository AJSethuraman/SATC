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erify 2025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0F766E"/>
      <sz val="13"/>
    </font>
    <font>
      <i val="1"/>
      <color rgb="00546E7A"/>
      <sz val="8"/>
    </font>
    <font>
      <b val="1"/>
      <color rgb="000F766E"/>
      <sz val="9"/>
    </font>
    <font>
      <b val="1"/>
      <color rgb="00FFFFFF"/>
      <sz val="10"/>
    </font>
    <font>
      <sz val="9"/>
    </font>
    <font>
      <color rgb="00546E7A"/>
      <sz val="8"/>
    </font>
    <font>
      <b val="1"/>
      <sz val="9"/>
    </font>
    <font>
      <i val="1"/>
      <color rgb="00546E7A"/>
      <sz val="9"/>
    </font>
  </fonts>
  <fills count="9">
    <fill>
      <patternFill/>
    </fill>
    <fill>
      <patternFill patternType="gray125"/>
    </fill>
    <fill>
      <patternFill patternType="solid">
        <fgColor rgb="00E0F7FA"/>
      </patternFill>
    </fill>
    <fill>
      <patternFill patternType="solid">
        <fgColor rgb="000F766E"/>
      </patternFill>
    </fill>
    <fill>
      <patternFill patternType="solid">
        <fgColor rgb="00FFFDE7"/>
      </patternFill>
    </fill>
    <fill>
      <patternFill patternType="solid">
        <fgColor rgb="00FFFFFF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3E0"/>
      </patternFill>
    </fill>
  </fills>
  <borders count="4">
    <border>
      <left/>
      <right/>
      <top/>
      <bottom/>
      <diagonal/>
    </border>
    <border>
      <left style="medium">
        <color rgb="000F766E"/>
      </left>
      <right style="medium">
        <color rgb="000F766E"/>
      </right>
      <top style="medium">
        <color rgb="000F766E"/>
      </top>
      <bottom style="medium">
        <color rgb="000F766E"/>
      </bottom>
    </border>
    <border>
      <left style="thin">
        <color rgb="00B0BEC5"/>
      </left>
      <right style="thin">
        <color rgb="00B0BEC5"/>
      </right>
      <top style="thin">
        <color rgb="00B0BEC5"/>
      </top>
      <bottom style="thin">
        <color rgb="00B0BEC5"/>
      </bottom>
    </border>
    <border/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indent="1"/>
    </xf>
    <xf numFmtId="0" fontId="0" fillId="3" borderId="1" pivotButton="0" quotePrefix="0" xfId="0"/>
    <xf numFmtId="0" fontId="5" fillId="0" borderId="2" applyAlignment="1" pivotButton="0" quotePrefix="0" xfId="0">
      <alignment vertical="center" indent="1"/>
    </xf>
    <xf numFmtId="49" fontId="5" fillId="4" borderId="2" applyAlignment="1" pivotButton="0" quotePrefix="0" xfId="0">
      <alignment horizontal="right" vertical="center"/>
    </xf>
    <xf numFmtId="0" fontId="6" fillId="0" borderId="2" applyAlignment="1" pivotButton="0" quotePrefix="0" xfId="0">
      <alignment vertical="center" wrapText="1"/>
    </xf>
    <xf numFmtId="3" fontId="5" fillId="4" borderId="2" applyAlignment="1" pivotButton="0" quotePrefix="0" xfId="0">
      <alignment horizontal="right" vertical="center"/>
    </xf>
    <xf numFmtId="4" fontId="5" fillId="4" borderId="2" applyAlignment="1" pivotButton="0" quotePrefix="0" xfId="0">
      <alignment horizontal="right" vertical="center"/>
    </xf>
    <xf numFmtId="0" fontId="0" fillId="5" borderId="3" pivotButton="0" quotePrefix="0" xfId="0"/>
    <xf numFmtId="3" fontId="5" fillId="6" borderId="2" applyAlignment="1" pivotButton="0" quotePrefix="0" xfId="0">
      <alignment horizontal="right" vertical="center"/>
    </xf>
    <xf numFmtId="4" fontId="5" fillId="6" borderId="2" applyAlignment="1" pivotButton="0" quotePrefix="0" xfId="0">
      <alignment horizontal="right" vertical="center"/>
    </xf>
    <xf numFmtId="0" fontId="7" fillId="0" borderId="2" applyAlignment="1" pivotButton="0" quotePrefix="0" xfId="0">
      <alignment vertical="center" indent="1"/>
    </xf>
    <xf numFmtId="4" fontId="5" fillId="7" borderId="2" applyAlignment="1" pivotButton="0" quotePrefix="0" xfId="0">
      <alignment horizontal="right" vertical="center"/>
    </xf>
    <xf numFmtId="4" fontId="0" fillId="0" borderId="0" pivotButton="0" quotePrefix="0" xfId="0"/>
    <xf numFmtId="10" fontId="5" fillId="6" borderId="2" applyAlignment="1" pivotButton="0" quotePrefix="0" xfId="0">
      <alignment horizontal="right" vertical="center"/>
    </xf>
    <xf numFmtId="0" fontId="8" fillId="8" borderId="0" applyAlignment="1" pivotButton="0" quotePrefix="0" xfId="0">
      <alignment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48" customWidth="1" min="3" max="3"/>
    <col width="16" customWidth="1" min="4" max="4"/>
  </cols>
  <sheetData>
    <row r="1" ht="22" customHeight="1">
      <c r="A1" s="1" t="inlineStr">
        <is>
          <t>Tax Withholding Estimator — 2025 Verification Sheet</t>
        </is>
      </c>
    </row>
    <row r="2" ht="13" customHeight="1">
      <c r="A2" s="2" t="inlineStr">
        <is>
          <t>Yellow cells = user inputs.  Blue = Excel formula.  Green = final results.  Paste twe output in column D to compare.</t>
        </is>
      </c>
    </row>
    <row r="3" ht="6" customHeight="1"/>
    <row r="4" ht="28" customHeight="1">
      <c r="D4" s="3" t="inlineStr">
        <is>
          <t>TWE Output
(paste here)</t>
        </is>
      </c>
    </row>
    <row r="5" ht="16" customHeight="1">
      <c r="A5" s="4" t="inlineStr">
        <is>
          <t>① INPUTS  (pre-filled from examples/sample_input.json)</t>
        </is>
      </c>
      <c r="B5" s="5" t="n"/>
      <c r="C5" s="5" t="n"/>
      <c r="D5" s="5" t="n"/>
    </row>
    <row r="6" ht="16" customHeight="1">
      <c r="A6" s="4" t="inlineStr">
        <is>
          <t xml:space="preserve">  Filing &amp; Year</t>
        </is>
      </c>
      <c r="B6" s="5" t="n"/>
      <c r="C6" s="5" t="n"/>
      <c r="D6" s="5" t="n"/>
    </row>
    <row r="7" ht="15" customHeight="1">
      <c r="A7" s="6" t="inlineStr">
        <is>
          <t>Filing status</t>
        </is>
      </c>
      <c r="B7" s="7" t="inlineStr">
        <is>
          <t>single</t>
        </is>
      </c>
      <c r="C7" s="8" t="inlineStr">
        <is>
          <t>single | married_jointly | married_separately | head_of_household</t>
        </is>
      </c>
    </row>
    <row r="8" ht="15" customHeight="1">
      <c r="A8" s="6" t="inlineStr">
        <is>
          <t>Tax year</t>
        </is>
      </c>
      <c r="B8" s="9" t="n">
        <v>2025</v>
      </c>
      <c r="C8" s="8" t="inlineStr"/>
    </row>
    <row r="9" ht="15" customHeight="1">
      <c r="A9" s="6" t="inlineStr">
        <is>
          <t>Standard deduction (2025 single)</t>
        </is>
      </c>
      <c r="B9" s="10" t="n">
        <v>15000</v>
      </c>
      <c r="C9" s="8" t="inlineStr">
        <is>
          <t>Update if using a different filing status or age-65/blind add-on</t>
        </is>
      </c>
    </row>
    <row r="10" ht="6" customHeight="1">
      <c r="A10" s="11" t="n"/>
      <c r="B10" s="11" t="n"/>
      <c r="C10" s="11" t="n"/>
    </row>
    <row r="11" ht="16" customHeight="1">
      <c r="A11" s="4" t="inlineStr">
        <is>
          <t xml:space="preserve">  Paystub  (Job 1)</t>
        </is>
      </c>
      <c r="B11" s="5" t="n"/>
      <c r="C11" s="5" t="n"/>
      <c r="D11" s="5" t="n"/>
    </row>
    <row r="12" ht="15" customHeight="1">
      <c r="A12" s="6" t="inlineStr">
        <is>
          <t>Pay frequency</t>
        </is>
      </c>
      <c r="B12" s="7" t="inlineStr">
        <is>
          <t>biweekly</t>
        </is>
      </c>
      <c r="C12" s="8" t="inlineStr">
        <is>
          <t>weekly=52  biweekly=26  semimonthly=24  monthly=12</t>
        </is>
      </c>
    </row>
    <row r="13" ht="15" customHeight="1">
      <c r="A13" s="6" t="inlineStr">
        <is>
          <t>Periods per year</t>
        </is>
      </c>
      <c r="B13" s="9" t="n">
        <v>26</v>
      </c>
      <c r="C13" s="8" t="inlineStr">
        <is>
          <t>biweekly = 26</t>
        </is>
      </c>
    </row>
    <row r="14" ht="15" customHeight="1">
      <c r="A14" s="6" t="inlineStr">
        <is>
          <t>Taxable wages this period ($)</t>
        </is>
      </c>
      <c r="B14" s="10" t="n">
        <v>2950</v>
      </c>
      <c r="C14" s="8" t="inlineStr">
        <is>
          <t>Box 1 equivalent on your stub</t>
        </is>
      </c>
    </row>
    <row r="15" ht="15" customHeight="1">
      <c r="A15" s="6" t="inlineStr">
        <is>
          <t>Federal tax withheld per period ($)</t>
        </is>
      </c>
      <c r="B15" s="10" t="n">
        <v>410</v>
      </c>
      <c r="C15" s="8" t="inlineStr"/>
    </row>
    <row r="16" ht="15" customHeight="1">
      <c r="A16" s="6" t="inlineStr">
        <is>
          <t>Pay periods remaining</t>
        </is>
      </c>
      <c r="B16" s="9" t="n">
        <v>14</v>
      </c>
      <c r="C16" s="8" t="inlineStr"/>
    </row>
    <row r="17" ht="15" customHeight="1">
      <c r="A17" s="6" t="inlineStr">
        <is>
          <t>YTD taxable wages ($)</t>
        </is>
      </c>
      <c r="B17" s="10" t="n">
        <v>35100</v>
      </c>
      <c r="C17" s="8" t="inlineStr">
        <is>
          <t>Leave 0 to infer from per-period amount</t>
        </is>
      </c>
    </row>
    <row r="18" ht="15" customHeight="1">
      <c r="A18" s="6" t="inlineStr">
        <is>
          <t>YTD federal tax withheld ($)</t>
        </is>
      </c>
      <c r="B18" s="10" t="n">
        <v>4920</v>
      </c>
      <c r="C18" s="8" t="inlineStr"/>
    </row>
    <row r="19" ht="6" customHeight="1">
      <c r="A19" s="11" t="n"/>
      <c r="B19" s="11" t="n"/>
      <c r="C19" s="11" t="n"/>
    </row>
    <row r="20" ht="16" customHeight="1">
      <c r="A20" s="4" t="inlineStr">
        <is>
          <t xml:space="preserve">  Other Income (annual)</t>
        </is>
      </c>
      <c r="B20" s="5" t="n"/>
      <c r="C20" s="5" t="n"/>
      <c r="D20" s="5" t="n"/>
    </row>
    <row r="21" ht="15" customHeight="1">
      <c r="A21" s="6" t="inlineStr">
        <is>
          <t>Interest income ($)</t>
        </is>
      </c>
      <c r="B21" s="10" t="n">
        <v>350</v>
      </c>
      <c r="C21" s="8" t="inlineStr"/>
    </row>
    <row r="22" ht="15" customHeight="1">
      <c r="A22" s="6" t="inlineStr">
        <is>
          <t>Ordinary dividends ($)</t>
        </is>
      </c>
      <c r="B22" s="10" t="n">
        <v>800</v>
      </c>
      <c r="C22" s="8" t="inlineStr"/>
    </row>
    <row r="23" ht="15" customHeight="1">
      <c r="A23" s="6" t="inlineStr">
        <is>
          <t>Qualified dividends ($)</t>
        </is>
      </c>
      <c r="B23" s="10" t="n">
        <v>600</v>
      </c>
      <c r="C23" s="8" t="inlineStr">
        <is>
          <t>Must be ≤ ordinary dividends; part of LTCG rate pool</t>
        </is>
      </c>
    </row>
    <row r="24" ht="15" customHeight="1">
      <c r="A24" s="6" t="inlineStr">
        <is>
          <t>Taxable IRA / retirement distributions ($)</t>
        </is>
      </c>
      <c r="B24" s="10" t="n">
        <v>5000</v>
      </c>
      <c r="C24" s="8" t="inlineStr"/>
    </row>
    <row r="25" ht="15" customHeight="1">
      <c r="A25" s="6" t="inlineStr">
        <is>
          <t>Long-term capital gains ($)</t>
        </is>
      </c>
      <c r="B25" s="10" t="n">
        <v>2000</v>
      </c>
      <c r="C25" s="8" t="inlineStr"/>
    </row>
    <row r="26" ht="15" customHeight="1">
      <c r="A26" s="6" t="inlineStr">
        <is>
          <t>Short-term capital gains ($)</t>
        </is>
      </c>
      <c r="B26" s="10" t="n">
        <v>0</v>
      </c>
      <c r="C26" s="8" t="inlineStr"/>
    </row>
    <row r="27" ht="15" customHeight="1">
      <c r="A27" s="6" t="inlineStr">
        <is>
          <t>Self-employment net income ($)</t>
        </is>
      </c>
      <c r="B27" s="10" t="n">
        <v>0</v>
      </c>
      <c r="C27" s="8" t="inlineStr"/>
    </row>
    <row r="28" ht="15" customHeight="1">
      <c r="A28" s="6" t="inlineStr">
        <is>
          <t>Unemployment compensation ($)</t>
        </is>
      </c>
      <c r="B28" s="10" t="n">
        <v>0</v>
      </c>
      <c r="C28" s="8" t="inlineStr"/>
    </row>
    <row r="29" ht="15" customHeight="1">
      <c r="A29" s="6" t="inlineStr">
        <is>
          <t>Other taxable income ($)</t>
        </is>
      </c>
      <c r="B29" s="10" t="n">
        <v>0</v>
      </c>
      <c r="C29" s="8" t="inlineStr"/>
    </row>
    <row r="30" ht="15" customHeight="1">
      <c r="A30" s="6" t="inlineStr">
        <is>
          <t>Spouse taxable wages ($)</t>
        </is>
      </c>
      <c r="B30" s="10" t="n">
        <v>0</v>
      </c>
      <c r="C30" s="8" t="inlineStr"/>
    </row>
    <row r="31" ht="15" customHeight="1">
      <c r="A31" s="6" t="inlineStr">
        <is>
          <t>Spouse federal tax withheld ($)</t>
        </is>
      </c>
      <c r="B31" s="10" t="n">
        <v>0</v>
      </c>
      <c r="C31" s="8" t="inlineStr"/>
    </row>
    <row r="32" ht="6" customHeight="1">
      <c r="A32" s="11" t="n"/>
      <c r="B32" s="11" t="n"/>
      <c r="C32" s="11" t="n"/>
    </row>
    <row r="33" ht="16" customHeight="1">
      <c r="A33" s="4" t="inlineStr">
        <is>
          <t xml:space="preserve">  Adjustments (above-the-line)</t>
        </is>
      </c>
      <c r="B33" s="5" t="n"/>
      <c r="C33" s="5" t="n"/>
      <c r="D33" s="5" t="n"/>
    </row>
    <row r="34" ht="15" customHeight="1">
      <c r="A34" s="6" t="inlineStr">
        <is>
          <t>Traditional IRA deduction ($)</t>
        </is>
      </c>
      <c r="B34" s="10" t="n">
        <v>0</v>
      </c>
      <c r="C34" s="8" t="inlineStr"/>
    </row>
    <row r="35" ht="15" customHeight="1">
      <c r="A35" s="6" t="inlineStr">
        <is>
          <t>HSA deduction ($)</t>
        </is>
      </c>
      <c r="B35" s="10" t="n">
        <v>2000</v>
      </c>
      <c r="C35" s="8" t="inlineStr"/>
    </row>
    <row r="36" ht="15" customHeight="1">
      <c r="A36" s="6" t="inlineStr">
        <is>
          <t>Student loan interest ($)</t>
        </is>
      </c>
      <c r="B36" s="10" t="n">
        <v>1200</v>
      </c>
      <c r="C36" s="8" t="inlineStr"/>
    </row>
    <row r="37" ht="15" customHeight="1">
      <c r="A37" s="6" t="inlineStr">
        <is>
          <t>Other adjustments ($)</t>
        </is>
      </c>
      <c r="B37" s="10" t="n">
        <v>0</v>
      </c>
      <c r="C37" s="8" t="inlineStr"/>
    </row>
    <row r="38" ht="6" customHeight="1">
      <c r="A38" s="11" t="n"/>
      <c r="B38" s="11" t="n"/>
      <c r="C38" s="11" t="n"/>
    </row>
    <row r="39" ht="16" customHeight="1">
      <c r="A39" s="4" t="inlineStr">
        <is>
          <t xml:space="preserve">  Deductions &amp; Credits</t>
        </is>
      </c>
      <c r="B39" s="5" t="n"/>
      <c r="C39" s="5" t="n"/>
      <c r="D39" s="5" t="n"/>
    </row>
    <row r="40" ht="15" customHeight="1">
      <c r="A40" s="6" t="inlineStr">
        <is>
          <t>Itemized total ($, or 0 = use standard)</t>
        </is>
      </c>
      <c r="B40" s="10" t="n">
        <v>0</v>
      </c>
      <c r="C40" s="8" t="inlineStr">
        <is>
          <t>0 → uses standard deduction</t>
        </is>
      </c>
    </row>
    <row r="41" ht="15" customHeight="1">
      <c r="A41" s="6" t="inlineStr">
        <is>
          <t>Child Tax Credit ($)</t>
        </is>
      </c>
      <c r="B41" s="10" t="n">
        <v>0</v>
      </c>
      <c r="C41" s="8" t="inlineStr"/>
    </row>
    <row r="42" ht="15" customHeight="1">
      <c r="A42" s="6" t="inlineStr">
        <is>
          <t>Other nonrefundable credits ($)</t>
        </is>
      </c>
      <c r="B42" s="10" t="n">
        <v>0</v>
      </c>
      <c r="C42" s="8" t="inlineStr"/>
    </row>
    <row r="43" ht="15" customHeight="1">
      <c r="A43" s="6" t="inlineStr">
        <is>
          <t>Refundable credits ($)</t>
        </is>
      </c>
      <c r="B43" s="10" t="n">
        <v>0</v>
      </c>
      <c r="C43" s="8" t="inlineStr"/>
    </row>
    <row r="44" ht="6" customHeight="1">
      <c r="A44" s="11" t="n"/>
      <c r="B44" s="11" t="n"/>
      <c r="C44" s="11" t="n"/>
    </row>
    <row r="45" ht="16" customHeight="1">
      <c r="A45" s="4" t="inlineStr">
        <is>
          <t xml:space="preserve">  Other Payments &amp; Target</t>
        </is>
      </c>
      <c r="B45" s="5" t="n"/>
      <c r="C45" s="5" t="n"/>
      <c r="D45" s="5" t="n"/>
    </row>
    <row r="46" ht="15" customHeight="1">
      <c r="A46" s="6" t="inlineStr">
        <is>
          <t>Estimated tax payments ($)</t>
        </is>
      </c>
      <c r="B46" s="10" t="n">
        <v>0</v>
      </c>
      <c r="C46" s="8" t="inlineStr"/>
    </row>
    <row r="47" ht="15" customHeight="1">
      <c r="A47" s="6" t="inlineStr">
        <is>
          <t>Other withholding ($)</t>
        </is>
      </c>
      <c r="B47" s="10" t="n">
        <v>0</v>
      </c>
      <c r="C47" s="8" t="inlineStr"/>
    </row>
    <row r="48" ht="15" customHeight="1">
      <c r="A48" s="6" t="inlineStr">
        <is>
          <t>Target refund ($, 0 = break even)</t>
        </is>
      </c>
      <c r="B48" s="10" t="n">
        <v>0</v>
      </c>
      <c r="C48" s="8" t="inlineStr"/>
    </row>
    <row r="49" ht="15" customHeight="1">
      <c r="A49" s="6" t="inlineStr">
        <is>
          <t>Prior-year tax ($)</t>
        </is>
      </c>
      <c r="B49" s="10" t="n">
        <v>8200</v>
      </c>
      <c r="C49" s="8" t="inlineStr">
        <is>
          <t>For safe-harbor calculation</t>
        </is>
      </c>
    </row>
    <row r="50" ht="15" customHeight="1">
      <c r="A50" s="6" t="inlineStr">
        <is>
          <t>Prior-year AGI ($)</t>
        </is>
      </c>
      <c r="B50" s="10" t="n">
        <v>71000</v>
      </c>
      <c r="C50" s="8" t="inlineStr"/>
    </row>
    <row r="51" ht="6" customHeight="1">
      <c r="A51" s="11" t="n"/>
      <c r="B51" s="11" t="n"/>
      <c r="C51" s="11" t="n"/>
    </row>
    <row r="52" ht="16" customHeight="1">
      <c r="A52" s="4" t="inlineStr">
        <is>
          <t>② INCOME PROJECTION</t>
        </is>
      </c>
      <c r="B52" s="5" t="n"/>
      <c r="C52" s="5" t="n"/>
      <c r="D52" s="5" t="n"/>
    </row>
    <row r="53" ht="15" customHeight="1">
      <c r="A53" s="6" t="inlineStr">
        <is>
          <t>Elapsed periods</t>
        </is>
      </c>
      <c r="B53" s="12">
        <f>$B$13-$B$16</f>
        <v/>
      </c>
      <c r="C53" s="8" t="inlineStr">
        <is>
          <t>periods_per_year − remaining</t>
        </is>
      </c>
    </row>
    <row r="54" ht="15" customHeight="1">
      <c r="A54" s="6" t="inlineStr">
        <is>
          <t>YTD taxable wages used</t>
        </is>
      </c>
      <c r="B54" s="13">
        <f>IF($B$17&gt;0, $B$17, $B$14*$B$53)</f>
        <v/>
      </c>
      <c r="C54" s="8" t="inlineStr">
        <is>
          <t>From input if provided, else inferred</t>
        </is>
      </c>
    </row>
    <row r="55" ht="15" customHeight="1">
      <c r="A55" s="6" t="inlineStr">
        <is>
          <t>Projected taxable wages</t>
        </is>
      </c>
      <c r="B55" s="13">
        <f>$B$54+$B$14*$B$16</f>
        <v/>
      </c>
      <c r="C55" s="8" t="inlineStr"/>
    </row>
    <row r="56" ht="15" customHeight="1">
      <c r="A56" s="6" t="inlineStr">
        <is>
          <t>YTD withholding used</t>
        </is>
      </c>
      <c r="B56" s="13">
        <f>IF($B$18&gt;0, $B$18, $B$15*$B$53)</f>
        <v/>
      </c>
      <c r="C56" s="8" t="inlineStr"/>
    </row>
    <row r="57" ht="15" customHeight="1">
      <c r="A57" s="6" t="inlineStr">
        <is>
          <t>Projected total withholding (job 1)</t>
        </is>
      </c>
      <c r="B57" s="13">
        <f>$B$56+$B$15*$B$16</f>
        <v/>
      </c>
      <c r="C57" s="8" t="inlineStr"/>
    </row>
    <row r="58" ht="15" customHeight="1">
      <c r="A58" s="6" t="inlineStr">
        <is>
          <t>Total income</t>
        </is>
      </c>
      <c r="B58" s="13">
        <f>$B$55+$B$21+$B$22+$B$24+$B$26+$B$25+$B$27+$B$28+$B$29+$B$30</f>
        <v/>
      </c>
      <c r="C58" s="8" t="inlineStr"/>
    </row>
    <row r="59" ht="6" customHeight="1">
      <c r="A59" s="11" t="n"/>
      <c r="B59" s="11" t="n"/>
      <c r="C59" s="11" t="n"/>
    </row>
    <row r="60" ht="16" customHeight="1">
      <c r="A60" s="4" t="inlineStr">
        <is>
          <t>③ ADJUSTMENTS → AGI</t>
        </is>
      </c>
      <c r="B60" s="5" t="n"/>
      <c r="C60" s="5" t="n"/>
      <c r="D60" s="5" t="n"/>
    </row>
    <row r="61" ht="15" customHeight="1">
      <c r="A61" s="6" t="inlineStr">
        <is>
          <t>One-half SE tax deduction</t>
        </is>
      </c>
      <c r="B61" s="13">
        <f>IF($B$27&lt;=0, 0, ($B$27*0.9235*(0.124+0.029))/2)</f>
        <v/>
      </c>
      <c r="C61" s="8" t="inlineStr">
        <is>
          <t>Approx — exact calc in SE Tax section below; use that value</t>
        </is>
      </c>
    </row>
    <row r="62" ht="15" customHeight="1">
      <c r="A62" s="6" t="inlineStr">
        <is>
          <t>Total adjustments</t>
        </is>
      </c>
      <c r="B62" s="13">
        <f>$B$34+$B$35+$B$36+$B$37+$B$61</f>
        <v/>
      </c>
      <c r="C62" s="8" t="inlineStr"/>
    </row>
    <row r="63" ht="15" customHeight="1">
      <c r="A63" s="14" t="inlineStr">
        <is>
          <t>Adjusted Gross Income (AGI)</t>
        </is>
      </c>
      <c r="B63" s="15">
        <f>MAX(0, $B$58-$B$62)</f>
        <v/>
      </c>
      <c r="C63" s="8" t="inlineStr"/>
      <c r="D63" s="16" t="n"/>
    </row>
    <row r="64" ht="6" customHeight="1">
      <c r="A64" s="11" t="n"/>
      <c r="B64" s="11" t="n"/>
      <c r="C64" s="11" t="n"/>
    </row>
    <row r="65" ht="16" customHeight="1">
      <c r="A65" s="4" t="inlineStr">
        <is>
          <t>④ DEDUCTION → TAXABLE INCOME</t>
        </is>
      </c>
      <c r="B65" s="5" t="n"/>
      <c r="C65" s="5" t="n"/>
      <c r="D65" s="5" t="n"/>
    </row>
    <row r="66" ht="15" customHeight="1">
      <c r="A66" s="6" t="inlineStr">
        <is>
          <t>Deduction used (larger of standard/itemized)</t>
        </is>
      </c>
      <c r="B66" s="13">
        <f>IF($B$40&gt;$B$9, $B$40, $B$9)</f>
        <v/>
      </c>
      <c r="C66" s="8" t="inlineStr">
        <is>
          <t>Standard = $15,000 for single 2025; update std_ded input for other status</t>
        </is>
      </c>
    </row>
    <row r="67" ht="15" customHeight="1">
      <c r="A67" s="14" t="inlineStr">
        <is>
          <t>Taxable Income</t>
        </is>
      </c>
      <c r="B67" s="15">
        <f>MAX(0, $B$63-$B$66)</f>
        <v/>
      </c>
      <c r="C67" s="8" t="inlineStr"/>
      <c r="D67" s="16" t="n"/>
    </row>
    <row r="68" ht="6" customHeight="1">
      <c r="A68" s="11" t="n"/>
      <c r="B68" s="11" t="n"/>
      <c r="C68" s="11" t="n"/>
    </row>
    <row r="69" ht="16" customHeight="1">
      <c r="A69" s="4" t="inlineStr">
        <is>
          <t>⑤ ORDINARY INCOME TAX  (2025 Single brackets — update for other status)</t>
        </is>
      </c>
      <c r="B69" s="5" t="n"/>
      <c r="C69" s="5" t="n"/>
      <c r="D69" s="5" t="n"/>
    </row>
    <row r="70" ht="15" customHeight="1">
      <c r="A70" s="6" t="inlineStr">
        <is>
          <t>Preferential income (LTCG + qual. dividends)</t>
        </is>
      </c>
      <c r="B70" s="13">
        <f>MIN(MAX(0,$B$23+$B$25), $B$67)</f>
        <v/>
      </c>
      <c r="C70" s="8" t="inlineStr">
        <is>
          <t>Taxed at 0/15/20% rates — subtracted from ordinary TI</t>
        </is>
      </c>
    </row>
    <row r="71" ht="15" customHeight="1">
      <c r="A71" s="6" t="inlineStr">
        <is>
          <t>Ordinary taxable income</t>
        </is>
      </c>
      <c r="B71" s="13">
        <f>MAX(0, $B$67-$B$70)</f>
        <v/>
      </c>
      <c r="C71" s="8" t="inlineStr"/>
    </row>
    <row r="72" ht="15" customHeight="1">
      <c r="A72" s="6" t="inlineStr">
        <is>
          <t>Ordinary income tax</t>
        </is>
      </c>
      <c r="B72" s="13">
        <f>IFS($B$71&lt;=0, 0, $B$71&lt;=11925, $B$71*0.10, $B$71&lt;=48475, 1192.50+($B$71-11925)*0.12, $B$71&lt;=103350, 5578.50+($B$71-48475)*0.22, $B$71&lt;=197300, 17651.00+($B$71-103350)*0.24, $B$71&lt;=250525, 40199.00+($B$71-197300)*0.32, $B$71&lt;=626350, 57231.00+($B$71-250525)*0.35, TRUE, 188769.75+($B$71-626350)*0.37)</f>
        <v/>
      </c>
      <c r="C72" s="8" t="inlineStr">
        <is>
          <t>IFS brackets: 10/12/22/24/32/35/37%  (2025 single)</t>
        </is>
      </c>
    </row>
    <row r="73" ht="15" customHeight="1">
      <c r="A73" s="6" t="inlineStr">
        <is>
          <t>Marginal rate</t>
        </is>
      </c>
      <c r="B73" s="17">
        <f>IFS($B$71&lt;=0, 0.10, $B$71&lt;=11925, 0.10, $B$71&lt;=48475, 0.12, $B$71&lt;=103350, 0.22, $B$71&lt;=197300, 0.24, $B$71&lt;=250525, 0.32, $B$71&lt;=626350, 0.35, TRUE, 0.37)</f>
        <v/>
      </c>
      <c r="C73" s="8" t="inlineStr"/>
    </row>
    <row r="74" ht="6" customHeight="1">
      <c r="A74" s="11" t="n"/>
      <c r="B74" s="11" t="n"/>
      <c r="C74" s="11" t="n"/>
    </row>
    <row r="75" ht="16" customHeight="1">
      <c r="A75" s="4" t="inlineStr">
        <is>
          <t>⑥ CAPITAL GAINS TAX  (2025 Single — 0/15/20% stacked on ordinary TI)</t>
        </is>
      </c>
      <c r="B75" s="5" t="n"/>
      <c r="C75" s="5" t="n"/>
      <c r="D75" s="5" t="n"/>
    </row>
    <row r="76" ht="15" customHeight="1">
      <c r="A76" s="6" t="inlineStr">
        <is>
          <t>Room in 0% bracket</t>
        </is>
      </c>
      <c r="B76" s="13">
        <f>MAX(0, 48350-$B$71)</f>
        <v/>
      </c>
      <c r="C76" s="8" t="inlineStr">
        <is>
          <t>2025 single 0% LTCG threshold: $48,350</t>
        </is>
      </c>
    </row>
    <row r="77" ht="15" customHeight="1">
      <c r="A77" s="6" t="inlineStr">
        <is>
          <t>Amount taxed at 0%</t>
        </is>
      </c>
      <c r="B77" s="13">
        <f>MIN($B$70, $B$76)</f>
        <v/>
      </c>
      <c r="C77" s="8" t="inlineStr"/>
    </row>
    <row r="78" ht="15" customHeight="1">
      <c r="A78" s="6" t="inlineStr">
        <is>
          <t>Preferential income above 0% threshold</t>
        </is>
      </c>
      <c r="B78" s="13">
        <f>MAX(0, $B$70-$B$77)</f>
        <v/>
      </c>
      <c r="C78" s="8" t="inlineStr"/>
    </row>
    <row r="79" ht="15" customHeight="1">
      <c r="A79" s="6" t="inlineStr">
        <is>
          <t>Room in 15% bracket</t>
        </is>
      </c>
      <c r="B79" s="13">
        <f>MAX(0, 533400-MAX($B$71, 48350))</f>
        <v/>
      </c>
      <c r="C79" s="8" t="inlineStr">
        <is>
          <t>2025 single 15% LTCG threshold: $533,400</t>
        </is>
      </c>
    </row>
    <row r="80" ht="15" customHeight="1">
      <c r="A80" s="6" t="inlineStr">
        <is>
          <t>Amount taxed at 15%</t>
        </is>
      </c>
      <c r="B80" s="13">
        <f>MIN($B$78, $B$79)</f>
        <v/>
      </c>
      <c r="C80" s="8" t="inlineStr"/>
    </row>
    <row r="81" ht="15" customHeight="1">
      <c r="A81" s="6" t="inlineStr">
        <is>
          <t>Amount taxed at 20%</t>
        </is>
      </c>
      <c r="B81" s="13">
        <f>MAX(0, $B$78-$B$80)</f>
        <v/>
      </c>
      <c r="C81" s="8" t="inlineStr"/>
    </row>
    <row r="82" ht="15" customHeight="1">
      <c r="A82" s="6" t="inlineStr">
        <is>
          <t>Capital gains tax</t>
        </is>
      </c>
      <c r="B82" s="13">
        <f>$B$80*0.15+$B$81*0.20</f>
        <v/>
      </c>
      <c r="C82" s="8" t="inlineStr"/>
    </row>
    <row r="83" ht="6" customHeight="1">
      <c r="A83" s="11" t="n"/>
      <c r="B83" s="11" t="n"/>
      <c r="C83" s="11" t="n"/>
    </row>
    <row r="84" ht="16" customHeight="1">
      <c r="A84" s="4" t="inlineStr">
        <is>
          <t>⑦ SELF-EMPLOYMENT TAX  (if applicable)</t>
        </is>
      </c>
      <c r="B84" s="5" t="n"/>
      <c r="C84" s="5" t="n"/>
      <c r="D84" s="5" t="n"/>
    </row>
    <row r="85" ht="15" customHeight="1">
      <c r="A85" s="6" t="inlineStr">
        <is>
          <t>SE net earnings (×0.9235)</t>
        </is>
      </c>
      <c r="B85" s="13">
        <f>IF($B$27&lt;=0, 0, $B$27*0.9235)</f>
        <v/>
      </c>
      <c r="C85" s="8" t="inlineStr"/>
    </row>
    <row r="86" ht="15" customHeight="1">
      <c r="A86" s="6" t="inlineStr">
        <is>
          <t>SS wage base room (2025: $176,100)</t>
        </is>
      </c>
      <c r="B86" s="13">
        <f>MAX(0, 176100-$B$55-$B$30)</f>
        <v/>
      </c>
      <c r="C86" s="8" t="inlineStr"/>
    </row>
    <row r="87" ht="15" customHeight="1">
      <c r="A87" s="6" t="inlineStr">
        <is>
          <t>SE income subject to SS</t>
        </is>
      </c>
      <c r="B87" s="13">
        <f>MIN($B$85, $B$86)</f>
        <v/>
      </c>
      <c r="C87" s="8" t="inlineStr"/>
    </row>
    <row r="88" ht="15" customHeight="1">
      <c r="A88" s="6" t="inlineStr">
        <is>
          <t>Self-employment tax (SS 12.4% + Medicare 2.9%)</t>
        </is>
      </c>
      <c r="B88" s="13">
        <f>IF($B$27&lt;=0, 0, $B$87*0.124 + $B$85*0.029)</f>
        <v/>
      </c>
      <c r="C88" s="8" t="inlineStr"/>
    </row>
    <row r="89" ht="15" customHeight="1">
      <c r="A89" s="6" t="inlineStr">
        <is>
          <t>One-half SE tax (above-the-line deduction)</t>
        </is>
      </c>
      <c r="B89" s="13">
        <f>$B$88/2</f>
        <v/>
      </c>
      <c r="C89" s="8" t="inlineStr">
        <is>
          <t>This is the exact value; the approximation above in Section ③ is close but update AGI if SE income is large</t>
        </is>
      </c>
    </row>
    <row r="90" ht="6" customHeight="1">
      <c r="A90" s="11" t="n"/>
      <c r="B90" s="11" t="n"/>
      <c r="C90" s="11" t="n"/>
    </row>
    <row r="91" ht="16" customHeight="1">
      <c r="A91" s="4" t="inlineStr">
        <is>
          <t>⑧ ADDITIONAL MEDICARE TAX &amp; NIIT</t>
        </is>
      </c>
      <c r="B91" s="5" t="n"/>
      <c r="C91" s="5" t="n"/>
      <c r="D91" s="5" t="n"/>
    </row>
    <row r="92" ht="15" customHeight="1">
      <c r="A92" s="6" t="inlineStr">
        <is>
          <t>Medicare wages (wages + spouse wages + SE base)</t>
        </is>
      </c>
      <c r="B92" s="13">
        <f>$B$55+$B$30+$B$85</f>
        <v/>
      </c>
      <c r="C92" s="8" t="inlineStr"/>
    </row>
    <row r="93" ht="15" customHeight="1">
      <c r="A93" s="6" t="inlineStr">
        <is>
          <t>Additional Medicare Tax (0.9% over $200K single)</t>
        </is>
      </c>
      <c r="B93" s="13">
        <f>MAX(0, $B$92-200000)*0.009</f>
        <v/>
      </c>
      <c r="C93" s="8" t="inlineStr"/>
    </row>
    <row r="94" ht="15" customHeight="1">
      <c r="A94" s="6" t="inlineStr">
        <is>
          <t>Net investment income</t>
        </is>
      </c>
      <c r="B94" s="13">
        <f>MAX(0, $B$21+$B$22+$B$26+$B$25)</f>
        <v/>
      </c>
      <c r="C94" s="8" t="inlineStr"/>
    </row>
    <row r="95" ht="15" customHeight="1">
      <c r="A95" s="6" t="inlineStr">
        <is>
          <t>Net Investment Income Tax (3.8% over $200K single)</t>
        </is>
      </c>
      <c r="B95" s="13">
        <f>MIN($B$94, MAX(0,$B$63-200000))*0.038</f>
        <v/>
      </c>
      <c r="C95" s="8" t="inlineStr"/>
    </row>
    <row r="96" ht="6" customHeight="1">
      <c r="A96" s="11" t="n"/>
      <c r="B96" s="11" t="n"/>
      <c r="C96" s="11" t="n"/>
    </row>
    <row r="97" ht="16" customHeight="1">
      <c r="A97" s="4" t="inlineStr">
        <is>
          <t>⑨ TAX LIABILITY</t>
        </is>
      </c>
      <c r="B97" s="5" t="n"/>
      <c r="C97" s="5" t="n"/>
      <c r="D97" s="5" t="n"/>
    </row>
    <row r="98" ht="15" customHeight="1">
      <c r="A98" s="6" t="inlineStr">
        <is>
          <t>Income tax before credits</t>
        </is>
      </c>
      <c r="B98" s="13">
        <f>$B$72+$B$82</f>
        <v/>
      </c>
      <c r="C98" s="8" t="inlineStr"/>
    </row>
    <row r="99" ht="15" customHeight="1">
      <c r="A99" s="6" t="inlineStr">
        <is>
          <t>Tax before credits</t>
        </is>
      </c>
      <c r="B99" s="13">
        <f>$B$98+$B$88+$B$93+$B$95</f>
        <v/>
      </c>
      <c r="C99" s="8" t="inlineStr"/>
    </row>
    <row r="100" ht="15" customHeight="1">
      <c r="A100" s="6" t="inlineStr">
        <is>
          <t>Nonrefundable credits applied</t>
        </is>
      </c>
      <c r="B100" s="13">
        <f>MIN($B$41+$B$42, $B$99)</f>
        <v/>
      </c>
      <c r="C100" s="8" t="inlineStr"/>
    </row>
    <row r="101" ht="15" customHeight="1">
      <c r="A101" s="14" t="inlineStr">
        <is>
          <t>TOTAL TAX LIABILITY</t>
        </is>
      </c>
      <c r="B101" s="15">
        <f>MAX(0, $B$99-$B$100-$B$43)</f>
        <v/>
      </c>
      <c r="C101" s="8" t="inlineStr"/>
      <c r="D101" s="16" t="n"/>
    </row>
    <row r="102" ht="15" customHeight="1">
      <c r="A102" s="6" t="inlineStr">
        <is>
          <t>Effective rate</t>
        </is>
      </c>
      <c r="B102" s="17">
        <f>IF($B$63&gt;0, $B$101/$B$63, 0)</f>
        <v/>
      </c>
      <c r="C102" s="8" t="inlineStr"/>
    </row>
    <row r="103" ht="6" customHeight="1">
      <c r="A103" s="11" t="n"/>
      <c r="B103" s="11" t="n"/>
      <c r="C103" s="11" t="n"/>
    </row>
    <row r="104" ht="16" customHeight="1">
      <c r="A104" s="4" t="inlineStr">
        <is>
          <t>⑩ WITHHOLDING RECOMMENDATION</t>
        </is>
      </c>
      <c r="B104" s="5" t="n"/>
      <c r="C104" s="5" t="n"/>
      <c r="D104" s="5" t="n"/>
    </row>
    <row r="105" ht="15" customHeight="1">
      <c r="A105" s="6" t="inlineStr">
        <is>
          <t>Other payments (estimated tax + other withholding)</t>
        </is>
      </c>
      <c r="B105" s="13">
        <f>$B$46+$B$47+$B$31</f>
        <v/>
      </c>
      <c r="C105" s="8" t="inlineStr"/>
    </row>
    <row r="106" ht="15" customHeight="1">
      <c r="A106" s="6" t="inlineStr">
        <is>
          <t>Already secured (YTD withholding + other payments)</t>
        </is>
      </c>
      <c r="B106" s="13">
        <f>$B$56+$B$105</f>
        <v/>
      </c>
      <c r="C106" s="8" t="inlineStr"/>
    </row>
    <row r="107" ht="15" customHeight="1">
      <c r="A107" s="6" t="inlineStr">
        <is>
          <t>Future withholding from OTHER jobs</t>
        </is>
      </c>
      <c r="B107" s="13">
        <f>0</f>
        <v/>
      </c>
      <c r="C107" s="8" t="inlineStr">
        <is>
          <t>0 for single-job; add other jobs' remaining withholding here</t>
        </is>
      </c>
    </row>
    <row r="108" ht="15" customHeight="1">
      <c r="A108" s="6" t="inlineStr">
        <is>
          <t>Required from remaining paychecks</t>
        </is>
      </c>
      <c r="B108" s="13">
        <f>MAX(0, ($B$101+$B$48)-$B$106-$B$107)</f>
        <v/>
      </c>
      <c r="C108" s="8" t="inlineStr"/>
    </row>
    <row r="109" ht="15" customHeight="1">
      <c r="A109" s="14" t="inlineStr">
        <is>
          <t>Recommended withholding per paycheck</t>
        </is>
      </c>
      <c r="B109" s="15">
        <f>IF($B$16&gt;0, $B$108/$B$16, 0)</f>
        <v/>
      </c>
      <c r="C109" s="8" t="inlineStr"/>
      <c r="D109" s="16" t="n"/>
    </row>
    <row r="110" ht="15" customHeight="1">
      <c r="A110" s="14" t="inlineStr">
        <is>
          <t>Additional withholding per paycheck (W-4 line 4c)</t>
        </is>
      </c>
      <c r="B110" s="15">
        <f>MAX(0, $B$109-$B$15)</f>
        <v/>
      </c>
      <c r="C110" s="8" t="inlineStr"/>
      <c r="D110" s="16" t="n"/>
    </row>
    <row r="111" ht="15" customHeight="1">
      <c r="A111" s="6" t="inlineStr">
        <is>
          <t>Projected refund (+) / owe (−) at current rate</t>
        </is>
      </c>
      <c r="B111" s="15">
        <f>$B$57+$B$105-$B$101</f>
        <v/>
      </c>
      <c r="C111" s="8" t="inlineStr"/>
      <c r="D111" s="16" t="n"/>
    </row>
    <row r="112" ht="6" customHeight="1">
      <c r="A112" s="11" t="n"/>
      <c r="B112" s="11" t="n"/>
      <c r="C112" s="11" t="n"/>
    </row>
    <row r="113" ht="16" customHeight="1">
      <c r="A113" s="4" t="inlineStr">
        <is>
          <t>⑪ SAFE HARBOR  (penalty avoidance)</t>
        </is>
      </c>
      <c r="B113" s="5" t="n"/>
      <c r="C113" s="5" t="n"/>
      <c r="D113" s="5" t="n"/>
    </row>
    <row r="114" ht="15" customHeight="1">
      <c r="A114" s="6" t="inlineStr">
        <is>
          <t>90% of current-year liability</t>
        </is>
      </c>
      <c r="B114" s="13">
        <f>$B$101*0.90</f>
        <v/>
      </c>
      <c r="C114" s="8" t="inlineStr"/>
    </row>
    <row r="115" ht="15" customHeight="1">
      <c r="A115" s="6" t="inlineStr">
        <is>
          <t>100% (or 110%) of prior-year tax</t>
        </is>
      </c>
      <c r="B115" s="13">
        <f>IF($B$50&gt;150000, $B$49*1.10, $B$49*1.00)</f>
        <v/>
      </c>
      <c r="C115" s="8" t="inlineStr">
        <is>
          <t>110% applies if prior-year AGI &gt; $150,000</t>
        </is>
      </c>
    </row>
    <row r="116" ht="15" customHeight="1">
      <c r="A116" s="6" t="inlineStr">
        <is>
          <t>Safe-harbor target (lesser of the two)</t>
        </is>
      </c>
      <c r="B116" s="13">
        <f>MIN($B$114, $B$115)</f>
        <v/>
      </c>
      <c r="C116" s="8" t="inlineStr"/>
    </row>
    <row r="117" ht="15" customHeight="1">
      <c r="A117" s="6" t="inlineStr">
        <is>
          <t>Safe-harbor additional per paycheck</t>
        </is>
      </c>
      <c r="B117" s="15">
        <f>MAX(0, ($B$116-$B$106-$B$107)/$B$16)</f>
        <v/>
      </c>
      <c r="C117" s="8" t="inlineStr"/>
      <c r="D117" s="16" t="n"/>
    </row>
    <row r="118" ht="6" customHeight="1">
      <c r="A118" s="11" t="n"/>
      <c r="B118" s="11" t="n"/>
      <c r="C118" s="11" t="n"/>
    </row>
    <row r="119" ht="40" customHeight="1">
      <c r="A119" s="18" t="inlineStr">
        <is>
          <t>COMPARISON: paste the values from `twe estimate` output (or the web UI) into column D on the matching rows above. Differences &gt; $1 indicate a discrepancy to investigate.</t>
        </is>
      </c>
    </row>
  </sheetData>
  <mergeCells count="3">
    <mergeCell ref="A1:C1"/>
    <mergeCell ref="A2:C2"/>
    <mergeCell ref="A119:D1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2026-06-05T18:31:13Z</dcterms:created>
  <dcterms:modified xsi:type="dcterms:W3CDTF">2026-06-05T18:31:13Z</dcterms:modified>
</cp:coreProperties>
</file>