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y 2025" sheetId="1" state="visible" r:id="rId1"/>
    <sheet name="How It 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766E"/>
      <sz val="13"/>
    </font>
    <font>
      <i val="1"/>
      <color rgb="00546E7A"/>
      <sz val="8"/>
    </font>
    <font>
      <b val="1"/>
      <color rgb="000F766E"/>
      <sz val="9"/>
    </font>
    <font>
      <b val="1"/>
      <color rgb="00FFFFFF"/>
      <sz val="10"/>
    </font>
    <font>
      <sz val="9"/>
    </font>
    <font>
      <color rgb="00546E7A"/>
      <sz val="8"/>
    </font>
    <font>
      <b val="1"/>
      <sz val="9"/>
    </font>
    <font>
      <i val="1"/>
      <color rgb="00546E7A"/>
      <sz val="9"/>
    </font>
    <font>
      <b val="1"/>
      <color rgb="004A148C"/>
      <sz val="9"/>
    </font>
  </fonts>
  <fills count="10">
    <fill>
      <patternFill/>
    </fill>
    <fill>
      <patternFill patternType="gray125"/>
    </fill>
    <fill>
      <patternFill patternType="solid">
        <fgColor rgb="00E0F7FA"/>
      </patternFill>
    </fill>
    <fill>
      <patternFill patternType="solid">
        <fgColor rgb="000F766E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4">
    <border>
      <left/>
      <right/>
      <top/>
      <bottom/>
      <diagonal/>
    </border>
    <border>
      <left style="medium">
        <color rgb="000F766E"/>
      </left>
      <right style="medium">
        <color rgb="000F766E"/>
      </right>
      <top style="medium">
        <color rgb="000F766E"/>
      </top>
      <bottom style="medium">
        <color rgb="000F766E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5" fillId="0" borderId="2" applyAlignment="1" pivotButton="0" quotePrefix="0" xfId="0">
      <alignment vertical="center" indent="1"/>
    </xf>
    <xf numFmtId="49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 wrapText="1"/>
    </xf>
    <xf numFmtId="3" fontId="5" fillId="4" borderId="2" applyAlignment="1" pivotButton="0" quotePrefix="0" xfId="0">
      <alignment horizontal="right" vertical="center"/>
    </xf>
    <xf numFmtId="4" fontId="5" fillId="4" borderId="2" applyAlignment="1" pivotButton="0" quotePrefix="0" xfId="0">
      <alignment horizontal="right" vertical="center"/>
    </xf>
    <xf numFmtId="0" fontId="0" fillId="5" borderId="3" pivotButton="0" quotePrefix="0" xfId="0"/>
    <xf numFmtId="3" fontId="5" fillId="6" borderId="2" applyAlignment="1" pivotButton="0" quotePrefix="0" xfId="0">
      <alignment horizontal="right" vertical="center"/>
    </xf>
    <xf numFmtId="4" fontId="5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vertical="center" indent="1"/>
    </xf>
    <xf numFmtId="4" fontId="5" fillId="7" borderId="2" applyAlignment="1" pivotButton="0" quotePrefix="0" xfId="0">
      <alignment horizontal="right" vertical="center"/>
    </xf>
    <xf numFmtId="4" fontId="0" fillId="0" borderId="0" pivotButton="0" quotePrefix="0" xfId="0"/>
    <xf numFmtId="10" fontId="5" fillId="6" borderId="2" applyAlignment="1" pivotButton="0" quotePrefix="0" xfId="0">
      <alignment horizontal="right" vertical="center"/>
    </xf>
    <xf numFmtId="0" fontId="8" fillId="8" borderId="0" applyAlignment="1" pivotButton="0" quotePrefix="0" xfId="0">
      <alignment vertical="center" wrapText="1" indent="1"/>
    </xf>
    <xf numFmtId="0" fontId="8" fillId="0" borderId="0" pivotButton="0" quotePrefix="0" xfId="0"/>
    <xf numFmtId="0" fontId="9" fillId="9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52" customWidth="1" min="3" max="3"/>
    <col width="16" customWidth="1" min="4" max="4"/>
  </cols>
  <sheetData>
    <row r="1" ht="22" customHeight="1">
      <c r="A1" s="1" t="inlineStr">
        <is>
          <t>Tax Withholding Estimator — 2025 Verification Sheet</t>
        </is>
      </c>
    </row>
    <row r="2" ht="13" customHeight="1">
      <c r="A2" s="2" t="inlineStr">
        <is>
          <t>Yellow = input you type.  Blue = Excel formula.  Green = key result.  See the 'How It Works' tab for plain-English logic explanations.</t>
        </is>
      </c>
    </row>
    <row r="3" ht="6" customHeight="1"/>
    <row r="4" ht="28" customHeight="1">
      <c r="D4" s="3" t="inlineStr">
        <is>
          <t>TWE Output
(paste here)</t>
        </is>
      </c>
    </row>
    <row r="5" ht="16" customHeight="1">
      <c r="A5" s="4" t="inlineStr">
        <is>
          <t>① INPUTS  (pre-filled from examples/sample_input.json)</t>
        </is>
      </c>
      <c r="B5" s="5" t="n"/>
      <c r="C5" s="5" t="n"/>
      <c r="D5" s="5" t="n"/>
    </row>
    <row r="6" ht="16" customHeight="1">
      <c r="A6" s="4" t="inlineStr">
        <is>
          <t xml:space="preserve">  Filing &amp; Year</t>
        </is>
      </c>
      <c r="B6" s="5" t="n"/>
      <c r="C6" s="5" t="n"/>
      <c r="D6" s="5" t="n"/>
    </row>
    <row r="7" ht="15" customHeight="1">
      <c r="A7" s="6" t="inlineStr">
        <is>
          <t>Filing status</t>
        </is>
      </c>
      <c r="B7" s="7" t="inlineStr">
        <is>
          <t>single</t>
        </is>
      </c>
      <c r="C7" s="8" t="inlineStr">
        <is>
          <t>single | married_jointly | married_separately | head_of_household</t>
        </is>
      </c>
    </row>
    <row r="8" ht="15" customHeight="1">
      <c r="A8" s="6" t="inlineStr">
        <is>
          <t>Tax year</t>
        </is>
      </c>
      <c r="B8" s="9" t="n">
        <v>2025</v>
      </c>
      <c r="C8" s="8" t="inlineStr"/>
    </row>
    <row r="9" ht="15" customHeight="1">
      <c r="A9" s="6" t="inlineStr">
        <is>
          <t>Standard deduction (2025 single)</t>
        </is>
      </c>
      <c r="B9" s="10" t="n">
        <v>15000</v>
      </c>
      <c r="C9" s="8" t="inlineStr">
        <is>
          <t>Single $15K | MFJ $30K | HoH $22.5K | MFS $15K  (+$2K if 65+/blind, single)</t>
        </is>
      </c>
    </row>
    <row r="10" ht="6" customHeight="1">
      <c r="A10" s="11" t="n"/>
      <c r="B10" s="11" t="n"/>
      <c r="C10" s="11" t="n"/>
    </row>
    <row r="11" ht="16" customHeight="1">
      <c r="A11" s="4" t="inlineStr">
        <is>
          <t xml:space="preserve">  Paystub  (Job 1)</t>
        </is>
      </c>
      <c r="B11" s="5" t="n"/>
      <c r="C11" s="5" t="n"/>
      <c r="D11" s="5" t="n"/>
    </row>
    <row r="12" ht="15" customHeight="1">
      <c r="A12" s="6" t="inlineStr">
        <is>
          <t>Pay frequency</t>
        </is>
      </c>
      <c r="B12" s="7" t="inlineStr">
        <is>
          <t>biweekly</t>
        </is>
      </c>
      <c r="C12" s="8" t="inlineStr">
        <is>
          <t>weekly=52  biweekly=26  semimonthly=24  monthly=12</t>
        </is>
      </c>
    </row>
    <row r="13" ht="15" customHeight="1">
      <c r="A13" s="6" t="inlineStr">
        <is>
          <t>Periods per year</t>
        </is>
      </c>
      <c r="B13" s="9" t="n">
        <v>26</v>
      </c>
      <c r="C13" s="8" t="inlineStr">
        <is>
          <t>biweekly = 26</t>
        </is>
      </c>
    </row>
    <row r="14" ht="15" customHeight="1">
      <c r="A14" s="6" t="inlineStr">
        <is>
          <t>Taxable wages this period ($)</t>
        </is>
      </c>
      <c r="B14" s="10" t="n">
        <v>2950</v>
      </c>
      <c r="C14" s="8" t="inlineStr">
        <is>
          <t>Gross pay MINUS pre-tax deductions (401k, HSA, etc.) — your 'Federal Taxable' line</t>
        </is>
      </c>
    </row>
    <row r="15" ht="15" customHeight="1">
      <c r="A15" s="6" t="inlineStr">
        <is>
          <t>Federal tax withheld per period ($)</t>
        </is>
      </c>
      <c r="B15" s="10" t="n">
        <v>410</v>
      </c>
      <c r="C15" s="8" t="inlineStr">
        <is>
          <t>'Federal Income Tax' on your paystub — NOT SS or Medicare</t>
        </is>
      </c>
    </row>
    <row r="16" ht="15" customHeight="1">
      <c r="A16" s="6" t="inlineStr">
        <is>
          <t>Pay periods remaining</t>
        </is>
      </c>
      <c r="B16" s="9" t="n">
        <v>14</v>
      </c>
      <c r="C16" s="8" t="inlineStr">
        <is>
          <t>Count paychecks left this calendar year including the next one</t>
        </is>
      </c>
    </row>
    <row r="17" ht="15" customHeight="1">
      <c r="A17" s="6" t="inlineStr">
        <is>
          <t>YTD taxable wages ($)</t>
        </is>
      </c>
      <c r="B17" s="10" t="n">
        <v>35100</v>
      </c>
      <c r="C17" s="8" t="inlineStr">
        <is>
          <t>From paystub YTD column. Leave 0 → inferred as elapsed×per-period (see How It Works tab)</t>
        </is>
      </c>
    </row>
    <row r="18" ht="15" customHeight="1">
      <c r="A18" s="6" t="inlineStr">
        <is>
          <t>YTD federal tax withheld ($)</t>
        </is>
      </c>
      <c r="B18" s="10" t="n">
        <v>4920</v>
      </c>
      <c r="C18" s="8" t="inlineStr">
        <is>
          <t>From paystub YTD column. Leave 0 → inferred as elapsed×per-period</t>
        </is>
      </c>
    </row>
    <row r="19" ht="6" customHeight="1">
      <c r="A19" s="11" t="n"/>
      <c r="B19" s="11" t="n"/>
      <c r="C19" s="11" t="n"/>
    </row>
    <row r="20" ht="16" customHeight="1">
      <c r="A20" s="4" t="inlineStr">
        <is>
          <t xml:space="preserve">  Other Income (annual)</t>
        </is>
      </c>
      <c r="B20" s="5" t="n"/>
      <c r="C20" s="5" t="n"/>
      <c r="D20" s="5" t="n"/>
    </row>
    <row r="21" ht="15" customHeight="1">
      <c r="A21" s="6" t="inlineStr">
        <is>
          <t>Interest income ($)</t>
        </is>
      </c>
      <c r="B21" s="10" t="n">
        <v>350</v>
      </c>
      <c r="C21" s="8" t="inlineStr">
        <is>
          <t>1099-INT box 1</t>
        </is>
      </c>
    </row>
    <row r="22" ht="15" customHeight="1">
      <c r="A22" s="6" t="inlineStr">
        <is>
          <t>Ordinary dividends ($)</t>
        </is>
      </c>
      <c r="B22" s="10" t="n">
        <v>800</v>
      </c>
      <c r="C22" s="8" t="inlineStr">
        <is>
          <t>1099-DIV box 1a</t>
        </is>
      </c>
    </row>
    <row r="23" ht="15" customHeight="1">
      <c r="A23" s="6" t="inlineStr">
        <is>
          <t>Qualified dividends ($)</t>
        </is>
      </c>
      <c r="B23" s="10" t="n">
        <v>600</v>
      </c>
      <c r="C23" s="8" t="inlineStr">
        <is>
          <t>1099-DIV box 1b — must be ≤ ordinary dividends; taxed at 0/15/20% (see How It Works)</t>
        </is>
      </c>
    </row>
    <row r="24" ht="15" customHeight="1">
      <c r="A24" s="6" t="inlineStr">
        <is>
          <t>Taxable IRA / retirement distributions ($)</t>
        </is>
      </c>
      <c r="B24" s="10" t="n">
        <v>5000</v>
      </c>
      <c r="C24" s="8" t="inlineStr">
        <is>
          <t>1099-R box 2a taxable amount — Roth conversions, traditional withdrawals</t>
        </is>
      </c>
    </row>
    <row r="25" ht="15" customHeight="1">
      <c r="A25" s="6" t="inlineStr">
        <is>
          <t>Long-term capital gains ($)</t>
        </is>
      </c>
      <c r="B25" s="10" t="n">
        <v>2000</v>
      </c>
      <c r="C25" s="8" t="inlineStr">
        <is>
          <t>Held &gt;1 year; taxed at 0/15/20% stacked on top of ordinary income (see How It Works)</t>
        </is>
      </c>
    </row>
    <row r="26" ht="15" customHeight="1">
      <c r="A26" s="6" t="inlineStr">
        <is>
          <t>Short-term capital gains ($)</t>
        </is>
      </c>
      <c r="B26" s="10" t="n">
        <v>0</v>
      </c>
      <c r="C26" s="8" t="inlineStr">
        <is>
          <t>Held ≤1 year; taxed as ordinary income</t>
        </is>
      </c>
    </row>
    <row r="27" ht="15" customHeight="1">
      <c r="A27" s="6" t="inlineStr">
        <is>
          <t>Self-employment net income ($)</t>
        </is>
      </c>
      <c r="B27" s="10" t="n">
        <v>0</v>
      </c>
      <c r="C27" s="8" t="inlineStr">
        <is>
          <t>Schedule C profit (after business expenses). SE tax computed in Section ⑦</t>
        </is>
      </c>
    </row>
    <row r="28" ht="15" customHeight="1">
      <c r="A28" s="6" t="inlineStr">
        <is>
          <t>Unemployment compensation ($)</t>
        </is>
      </c>
      <c r="B28" s="10" t="n">
        <v>0</v>
      </c>
      <c r="C28" s="8" t="inlineStr"/>
    </row>
    <row r="29" ht="15" customHeight="1">
      <c r="A29" s="6" t="inlineStr">
        <is>
          <t>Other taxable income ($)</t>
        </is>
      </c>
      <c r="B29" s="10" t="n">
        <v>0</v>
      </c>
      <c r="C29" s="8" t="inlineStr"/>
    </row>
    <row r="30" ht="15" customHeight="1">
      <c r="A30" s="6" t="inlineStr">
        <is>
          <t>Spouse taxable wages ($)</t>
        </is>
      </c>
      <c r="B30" s="10" t="n">
        <v>0</v>
      </c>
      <c r="C30" s="8" t="inlineStr"/>
    </row>
    <row r="31" ht="15" customHeight="1">
      <c r="A31" s="6" t="inlineStr">
        <is>
          <t>Spouse federal tax withheld ($)</t>
        </is>
      </c>
      <c r="B31" s="10" t="n">
        <v>0</v>
      </c>
      <c r="C31" s="8" t="inlineStr"/>
    </row>
    <row r="32" ht="6" customHeight="1">
      <c r="A32" s="11" t="n"/>
      <c r="B32" s="11" t="n"/>
      <c r="C32" s="11" t="n"/>
    </row>
    <row r="33" ht="16" customHeight="1">
      <c r="A33" s="4" t="inlineStr">
        <is>
          <t xml:space="preserve">  Adjustments (above-the-line — reduce income before deduction)</t>
        </is>
      </c>
      <c r="B33" s="5" t="n"/>
      <c r="C33" s="5" t="n"/>
      <c r="D33" s="5" t="n"/>
    </row>
    <row r="34" ht="15" customHeight="1">
      <c r="A34" s="6" t="inlineStr">
        <is>
          <t>Traditional IRA deduction ($)</t>
        </is>
      </c>
      <c r="B34" s="10" t="n">
        <v>0</v>
      </c>
      <c r="C34" s="8" t="inlineStr">
        <is>
          <t>Deductible if no workplace plan, or income below phaseout; up to $7,000 ($8K age 50+)</t>
        </is>
      </c>
    </row>
    <row r="35" ht="15" customHeight="1">
      <c r="A35" s="6" t="inlineStr">
        <is>
          <t>HSA deduction ($)</t>
        </is>
      </c>
      <c r="B35" s="10" t="n">
        <v>2000</v>
      </c>
      <c r="C35" s="8" t="inlineStr">
        <is>
          <t>Employee-paid HSA contributions not via payroll; 2025 limit $4,300 self / $8,550 family</t>
        </is>
      </c>
    </row>
    <row r="36" ht="15" customHeight="1">
      <c r="A36" s="6" t="inlineStr">
        <is>
          <t>Student loan interest ($)</t>
        </is>
      </c>
      <c r="B36" s="10" t="n">
        <v>1200</v>
      </c>
      <c r="C36" s="8" t="inlineStr">
        <is>
          <t>Deductible up to $2,500; phases out at $85K–$100K AGI (single 2025)</t>
        </is>
      </c>
    </row>
    <row r="37" ht="15" customHeight="1">
      <c r="A37" s="6" t="inlineStr">
        <is>
          <t>Other adjustments ($)</t>
        </is>
      </c>
      <c r="B37" s="10" t="n">
        <v>0</v>
      </c>
      <c r="C37" s="8" t="inlineStr">
        <is>
          <t>Educator expenses ($300), alimony (pre-2019 divorces), self-employed health ins., etc.</t>
        </is>
      </c>
    </row>
    <row r="38" ht="6" customHeight="1">
      <c r="A38" s="11" t="n"/>
      <c r="B38" s="11" t="n"/>
      <c r="C38" s="11" t="n"/>
    </row>
    <row r="39" ht="16" customHeight="1">
      <c r="A39" s="4" t="inlineStr">
        <is>
          <t xml:space="preserve">  Deductions &amp; Credits</t>
        </is>
      </c>
      <c r="B39" s="5" t="n"/>
      <c r="C39" s="5" t="n"/>
      <c r="D39" s="5" t="n"/>
    </row>
    <row r="40" ht="15" customHeight="1">
      <c r="A40" s="6" t="inlineStr">
        <is>
          <t>Itemized total ($, or 0 = use standard)</t>
        </is>
      </c>
      <c r="B40" s="10" t="n">
        <v>0</v>
      </c>
      <c r="C40" s="8" t="inlineStr">
        <is>
          <t>Mortgage int + state/local taxes (cap $10K) + charity + medical &gt;7.5% AGI. 0 → standard wins</t>
        </is>
      </c>
    </row>
    <row r="41" ht="15" customHeight="1">
      <c r="A41" s="6" t="inlineStr">
        <is>
          <t>Child Tax Credit ($)</t>
        </is>
      </c>
      <c r="B41" s="10" t="n">
        <v>0</v>
      </c>
      <c r="C41" s="8" t="inlineStr">
        <is>
          <t>Up to $2,000/child under 17; phases out above $200K AGI (single). Enter expected credit amount.</t>
        </is>
      </c>
    </row>
    <row r="42" ht="15" customHeight="1">
      <c r="A42" s="6" t="inlineStr">
        <is>
          <t>Other nonrefundable credits ($)</t>
        </is>
      </c>
      <c r="B42" s="10" t="n">
        <v>0</v>
      </c>
      <c r="C42" s="8" t="inlineStr">
        <is>
          <t>Education credits, child/dependent care, savers credit, etc. Cannot exceed tax owed.</t>
        </is>
      </c>
    </row>
    <row r="43" ht="15" customHeight="1">
      <c r="A43" s="6" t="inlineStr">
        <is>
          <t>Refundable credits ($)</t>
        </is>
      </c>
      <c r="B43" s="10" t="n">
        <v>0</v>
      </c>
      <c r="C43" s="8" t="inlineStr">
        <is>
          <t>EITC, Additional Child Tax Credit, American Opportunity Credit (40% refundable). Can produce refund.</t>
        </is>
      </c>
    </row>
    <row r="44" ht="6" customHeight="1">
      <c r="A44" s="11" t="n"/>
      <c r="B44" s="11" t="n"/>
      <c r="C44" s="11" t="n"/>
    </row>
    <row r="45" ht="16" customHeight="1">
      <c r="A45" s="4" t="inlineStr">
        <is>
          <t xml:space="preserve">  Other Payments &amp; Target</t>
        </is>
      </c>
      <c r="B45" s="5" t="n"/>
      <c r="C45" s="5" t="n"/>
      <c r="D45" s="5" t="n"/>
    </row>
    <row r="46" ht="15" customHeight="1">
      <c r="A46" s="6" t="inlineStr">
        <is>
          <t>Estimated tax payments ($)</t>
        </is>
      </c>
      <c r="B46" s="10" t="n">
        <v>0</v>
      </c>
      <c r="C46" s="8" t="inlineStr">
        <is>
          <t>Quarterly Form 1040-ES payments already made this year</t>
        </is>
      </c>
    </row>
    <row r="47" ht="15" customHeight="1">
      <c r="A47" s="6" t="inlineStr">
        <is>
          <t>Other withholding ($)</t>
        </is>
      </c>
      <c r="B47" s="10" t="n">
        <v>0</v>
      </c>
      <c r="C47" s="8" t="inlineStr">
        <is>
          <t>Backup withholding, pension withholding, etc.</t>
        </is>
      </c>
    </row>
    <row r="48" ht="15" customHeight="1">
      <c r="A48" s="6" t="inlineStr">
        <is>
          <t>Target refund ($, 0 = break even)</t>
        </is>
      </c>
      <c r="B48" s="10" t="n">
        <v>0</v>
      </c>
      <c r="C48" s="8" t="inlineStr">
        <is>
          <t>Positive = over-withhold to get a refund. Negative = accept owing up to this amount at filing.</t>
        </is>
      </c>
    </row>
    <row r="49" ht="15" customHeight="1">
      <c r="A49" s="6" t="inlineStr">
        <is>
          <t>Prior-year tax ($)</t>
        </is>
      </c>
      <c r="B49" s="10" t="n">
        <v>8200</v>
      </c>
      <c r="C49" s="8" t="inlineStr">
        <is>
          <t>Your actual 2024 total tax (Form 1040 line 24). Used for safe-harbor calculation in Section ⑪</t>
        </is>
      </c>
    </row>
    <row r="50" ht="15" customHeight="1">
      <c r="A50" s="6" t="inlineStr">
        <is>
          <t>Prior-year AGI ($)</t>
        </is>
      </c>
      <c r="B50" s="10" t="n">
        <v>71000</v>
      </c>
      <c r="C50" s="8" t="inlineStr">
        <is>
          <t>2024 AGI (Form 1040 line 11). If &gt;$150K, safe harbor requires 110% of prior-year tax.</t>
        </is>
      </c>
    </row>
    <row r="51" ht="6" customHeight="1">
      <c r="A51" s="11" t="n"/>
      <c r="B51" s="11" t="n"/>
      <c r="C51" s="11" t="n"/>
    </row>
    <row r="52" ht="16" customHeight="1">
      <c r="A52" s="4" t="inlineStr">
        <is>
          <t>② INCOME PROJECTION</t>
        </is>
      </c>
      <c r="B52" s="5" t="n"/>
      <c r="C52" s="5" t="n"/>
      <c r="D52" s="5" t="n"/>
    </row>
    <row r="53" ht="15" customHeight="1">
      <c r="A53" s="6" t="inlineStr">
        <is>
          <t>Elapsed periods</t>
        </is>
      </c>
      <c r="B53" s="12">
        <f>$B$13-$B$16</f>
        <v/>
      </c>
      <c r="C53" s="8">
        <f> periods_per_year − remaining. Example: biweekly 26 total, 14 remaining → 12 elapsed</f>
        <v/>
      </c>
    </row>
    <row r="54" ht="15" customHeight="1">
      <c r="A54" s="6" t="inlineStr">
        <is>
          <t>YTD taxable wages used</t>
        </is>
      </c>
      <c r="B54" s="13">
        <f>IF($B$17&gt;0, $B$17, $B$14*$B$53)</f>
        <v/>
      </c>
      <c r="C54" s="8" t="inlineStr">
        <is>
          <t>Uses input if non-zero; otherwise infers as elapsed×per-period. Enter actual YTD from paystub for accuracy.</t>
        </is>
      </c>
    </row>
    <row r="55" ht="15" customHeight="1">
      <c r="A55" s="6" t="inlineStr">
        <is>
          <t>Projected full-year taxable wages</t>
        </is>
      </c>
      <c r="B55" s="13">
        <f>$B$54+$B$14*$B$16</f>
        <v/>
      </c>
      <c r="C55" s="8">
        <f> YTD used + (remaining × per-period). Best estimate of W-2 Box 1.</f>
        <v/>
      </c>
    </row>
    <row r="56" ht="15" customHeight="1">
      <c r="A56" s="6" t="inlineStr">
        <is>
          <t>YTD withholding used</t>
        </is>
      </c>
      <c r="B56" s="13">
        <f>IF($B$18&gt;0, $B$18, $B$15*$B$53)</f>
        <v/>
      </c>
      <c r="C56" s="8" t="inlineStr">
        <is>
          <t>Uses input if non-zero; otherwise infers as elapsed×per-period</t>
        </is>
      </c>
    </row>
    <row r="57" ht="15" customHeight="1">
      <c r="A57" s="6" t="inlineStr">
        <is>
          <t>Projected total withholding (job 1 only)</t>
        </is>
      </c>
      <c r="B57" s="13">
        <f>$B$56+$B$15*$B$16</f>
        <v/>
      </c>
      <c r="C57" s="8" t="inlineStr">
        <is>
          <t>Projected if nothing changes. Add spouse/other withholding in Section ⑩.</t>
        </is>
      </c>
    </row>
    <row r="58" ht="15" customHeight="1">
      <c r="A58" s="6" t="inlineStr">
        <is>
          <t>Total income</t>
        </is>
      </c>
      <c r="B58" s="13">
        <f>$B$55+$B$21+$B$22+$B$24+$B$26+$B$25+$B$27+$B$28+$B$29+$B$30</f>
        <v/>
      </c>
      <c r="C58" s="8" t="inlineStr">
        <is>
          <t>Sum of all income sources before any deductions or adjustments</t>
        </is>
      </c>
    </row>
    <row r="59" ht="6" customHeight="1">
      <c r="A59" s="11" t="n"/>
      <c r="B59" s="11" t="n"/>
      <c r="C59" s="11" t="n"/>
    </row>
    <row r="60" ht="16" customHeight="1">
      <c r="A60" s="4" t="inlineStr">
        <is>
          <t>③ ADJUSTMENTS → AGI</t>
        </is>
      </c>
      <c r="B60" s="5" t="n"/>
      <c r="C60" s="5" t="n"/>
      <c r="D60" s="5" t="n"/>
    </row>
    <row r="61" ht="15" customHeight="1">
      <c r="A61" s="6" t="inlineStr">
        <is>
          <t>One-half SE tax deduction (approx.)</t>
        </is>
      </c>
      <c r="B61" s="13">
        <f>IF($B$27&lt;=0, 0, ($B$27*0.9235*(0.124+0.029))/2)</f>
        <v/>
      </c>
      <c r="C61" s="8" t="inlineStr">
        <is>
          <t>Quick estimate used here. Compare to exact value in Section ⑦ — they should agree. Large SE income? Update AGI manually.</t>
        </is>
      </c>
    </row>
    <row r="62" ht="15" customHeight="1">
      <c r="A62" s="6" t="inlineStr">
        <is>
          <t>Total adjustments (above-the-line)</t>
        </is>
      </c>
      <c r="B62" s="13">
        <f>$B$34+$B$35+$B$36+$B$37+$B$61</f>
        <v/>
      </c>
      <c r="C62" s="8" t="inlineStr">
        <is>
          <t>IRA + HSA + student loan interest + other + ½ SE tax</t>
        </is>
      </c>
    </row>
    <row r="63" ht="15" customHeight="1">
      <c r="A63" s="14" t="inlineStr">
        <is>
          <t>Adjusted Gross Income (AGI)</t>
        </is>
      </c>
      <c r="B63" s="15">
        <f>MAX(0, $B$58-$B$62)</f>
        <v/>
      </c>
      <c r="C63" s="8" t="inlineStr">
        <is>
          <t>Total income minus above-the-line adjustments. Many credits and phaseouts are based on AGI.</t>
        </is>
      </c>
      <c r="D63" s="16" t="n"/>
    </row>
    <row r="64" ht="6" customHeight="1">
      <c r="A64" s="11" t="n"/>
      <c r="B64" s="11" t="n"/>
      <c r="C64" s="11" t="n"/>
    </row>
    <row r="65" ht="16" customHeight="1">
      <c r="A65" s="4" t="inlineStr">
        <is>
          <t>④ DEDUCTION → TAXABLE INCOME</t>
        </is>
      </c>
      <c r="B65" s="5" t="n"/>
      <c r="C65" s="5" t="n"/>
      <c r="D65" s="5" t="n"/>
    </row>
    <row r="66" ht="15" customHeight="1">
      <c r="A66" s="6" t="inlineStr">
        <is>
          <t>Deduction used (larger of standard / itemized)</t>
        </is>
      </c>
      <c r="B66" s="13">
        <f>IF($B$40&gt;$B$9, $B$40, $B$9)</f>
        <v/>
      </c>
      <c r="C66" s="8" t="inlineStr">
        <is>
          <t>Itemized wins only if it exceeds standard. Most filers use standard after 2017 TCJA.</t>
        </is>
      </c>
    </row>
    <row r="67" ht="15" customHeight="1">
      <c r="A67" s="14" t="inlineStr">
        <is>
          <t>Taxable Income</t>
        </is>
      </c>
      <c r="B67" s="15">
        <f>MAX(0, $B$63-$B$66)</f>
        <v/>
      </c>
      <c r="C67" s="8">
        <f> AGI − deduction. Brackets are applied to this number (after separating LTCG below).</f>
        <v/>
      </c>
      <c r="D67" s="16" t="n"/>
    </row>
    <row r="68" ht="6" customHeight="1">
      <c r="A68" s="11" t="n"/>
      <c r="B68" s="11" t="n"/>
      <c r="C68" s="11" t="n"/>
    </row>
    <row r="69" ht="16" customHeight="1">
      <c r="A69" s="4" t="inlineStr">
        <is>
          <t>⑤ ORDINARY INCOME TAX  (2025 Single brackets — update for other status)</t>
        </is>
      </c>
      <c r="B69" s="5" t="n"/>
      <c r="C69" s="5" t="n"/>
      <c r="D69" s="5" t="n"/>
    </row>
    <row r="70" ht="15" customHeight="1">
      <c r="A70" s="6" t="inlineStr">
        <is>
          <t>Preferential income (LTCG + qual. dividends)</t>
        </is>
      </c>
      <c r="B70" s="13">
        <f>MIN(MAX(0,$B$23+$B$25), $B$67)</f>
        <v/>
      </c>
      <c r="C70" s="8" t="inlineStr">
        <is>
          <t>Removed from ordinary TI and taxed at 0/15/20% in Section ⑥. Capped at taxable income.</t>
        </is>
      </c>
    </row>
    <row r="71" ht="15" customHeight="1">
      <c r="A71" s="6" t="inlineStr">
        <is>
          <t>Ordinary taxable income</t>
        </is>
      </c>
      <c r="B71" s="13">
        <f>MAX(0, $B$67-$B$70)</f>
        <v/>
      </c>
      <c r="C71" s="8">
        <f> Taxable income − preferential. This is what the 10–37% brackets apply to.</f>
        <v/>
      </c>
    </row>
    <row r="72" ht="15" customHeight="1">
      <c r="A72" s="6" t="inlineStr">
        <is>
          <t>Ordinary income tax</t>
        </is>
      </c>
      <c r="B72" s="13">
        <f>IFS($B$71&lt;=0, 0, $B$71&lt;=11925, $B$71*0.10, $B$71&lt;=48475, 1192.50+($B$71-11925)*0.12, $B$71&lt;=103350, 5578.50+($B$71-48475)*0.22, $B$71&lt;=197300, 17651.00+($B$71-103350)*0.24, $B$71&lt;=250525, 40199.00+($B$71-197300)*0.32, $B$71&lt;=626350, 57231.00+($B$71-250525)*0.35, TRUE, 188769.75+($B$71-626350)*0.37)</f>
        <v/>
      </c>
      <c r="C72" s="8" t="inlineStr">
        <is>
          <t>Cumulative bracket amounts encoded: $1,192.50 at $11,925 / $5,578.50 at $48,475 / etc.</t>
        </is>
      </c>
    </row>
    <row r="73" ht="15" customHeight="1">
      <c r="A73" s="6" t="inlineStr">
        <is>
          <t>Marginal rate</t>
        </is>
      </c>
      <c r="B73" s="17">
        <f>IFS($B$71&lt;=0, 0.10, $B$71&lt;=11925, 0.10, $B$71&lt;=48475, 0.12, $B$71&lt;=103350, 0.22, $B$71&lt;=197300, 0.24, $B$71&lt;=250525, 0.32, $B$71&lt;=626350, 0.35, TRUE, 0.37)</f>
        <v/>
      </c>
      <c r="C73" s="8" t="inlineStr">
        <is>
          <t>The rate that applies to your next dollar of ordinary income.</t>
        </is>
      </c>
    </row>
    <row r="74" ht="6" customHeight="1">
      <c r="A74" s="11" t="n"/>
      <c r="B74" s="11" t="n"/>
      <c r="C74" s="11" t="n"/>
    </row>
    <row r="75" ht="16" customHeight="1">
      <c r="A75" s="4" t="inlineStr">
        <is>
          <t>⑥ CAPITAL GAINS TAX  (2025 Single — 0/15/20% stacked on ordinary TI)</t>
        </is>
      </c>
      <c r="B75" s="5" t="n"/>
      <c r="C75" s="5" t="n"/>
      <c r="D75" s="5" t="n"/>
    </row>
    <row r="76" ht="15" customHeight="1">
      <c r="A76" s="6" t="inlineStr">
        <is>
          <t>Room remaining in 0% bracket</t>
        </is>
      </c>
      <c r="B76" s="13">
        <f>MAX(0, 48350-$B$71)</f>
        <v/>
      </c>
      <c r="C76" s="8" t="inlineStr">
        <is>
          <t>0% rate applies up to $48,350 of total TI (single 2025). Ordinary income fills this bucket first.</t>
        </is>
      </c>
    </row>
    <row r="77" ht="15" customHeight="1">
      <c r="A77" s="6" t="inlineStr">
        <is>
          <t>Amount taxed at 0%</t>
        </is>
      </c>
      <c r="B77" s="13">
        <f>MIN($B$70, $B$76)</f>
        <v/>
      </c>
      <c r="C77" s="8" t="inlineStr">
        <is>
          <t>The slice of preferential income that fits in the remaining 0% room.</t>
        </is>
      </c>
    </row>
    <row r="78" ht="15" customHeight="1">
      <c r="A78" s="6" t="inlineStr">
        <is>
          <t>Preferential income above 0% threshold</t>
        </is>
      </c>
      <c r="B78" s="13">
        <f>MAX(0, $B$70-$B$77)</f>
        <v/>
      </c>
      <c r="C78" s="8" t="inlineStr">
        <is>
          <t>Spills into 15% or 20% bracket.</t>
        </is>
      </c>
    </row>
    <row r="79" ht="15" customHeight="1">
      <c r="A79" s="6" t="inlineStr">
        <is>
          <t>Room in 15% bracket</t>
        </is>
      </c>
      <c r="B79" s="13">
        <f>MAX(0, 533400-MAX($B$71, 48350))</f>
        <v/>
      </c>
      <c r="C79" s="8" t="inlineStr">
        <is>
          <t>15% rate applies from $48,350 to $533,400 of total TI (single 2025).</t>
        </is>
      </c>
    </row>
    <row r="80" ht="15" customHeight="1">
      <c r="A80" s="6" t="inlineStr">
        <is>
          <t>Amount taxed at 15%</t>
        </is>
      </c>
      <c r="B80" s="13">
        <f>MIN($B$78, $B$79)</f>
        <v/>
      </c>
      <c r="C80" s="8" t="inlineStr"/>
    </row>
    <row r="81" ht="15" customHeight="1">
      <c r="A81" s="6" t="inlineStr">
        <is>
          <t>Amount taxed at 20%</t>
        </is>
      </c>
      <c r="B81" s="13">
        <f>MAX(0, $B$78-$B$80)</f>
        <v/>
      </c>
      <c r="C81" s="8" t="inlineStr">
        <is>
          <t>Any preferential income above $533,400 total TI.</t>
        </is>
      </c>
    </row>
    <row r="82" ht="15" customHeight="1">
      <c r="A82" s="6" t="inlineStr">
        <is>
          <t>Capital gains tax</t>
        </is>
      </c>
      <c r="B82" s="13">
        <f>$B$80*0.15+$B$81*0.20</f>
        <v/>
      </c>
      <c r="C82" s="8" t="inlineStr">
        <is>
          <t>0% amount is free — no tax on that slice.</t>
        </is>
      </c>
    </row>
    <row r="83" ht="6" customHeight="1">
      <c r="A83" s="11" t="n"/>
      <c r="B83" s="11" t="n"/>
      <c r="C83" s="11" t="n"/>
    </row>
    <row r="84" ht="16" customHeight="1">
      <c r="A84" s="4" t="inlineStr">
        <is>
          <t>⑦ SELF-EMPLOYMENT TAX  (if applicable)</t>
        </is>
      </c>
      <c r="B84" s="5" t="n"/>
      <c r="C84" s="5" t="n"/>
      <c r="D84" s="5" t="n"/>
    </row>
    <row r="85" ht="15" customHeight="1">
      <c r="A85" s="6" t="inlineStr">
        <is>
          <t>SE net earnings (× 0.9235 factor)</t>
        </is>
      </c>
      <c r="B85" s="13">
        <f>IF($B$27&lt;=0, 0, $B$27*0.9235)</f>
        <v/>
      </c>
      <c r="C85" s="8" t="inlineStr">
        <is>
          <t>0.9235 = 1 − 0.0765 adjusts for the employer-half SS/Medicare that employees don't pay. See How It Works.</t>
        </is>
      </c>
    </row>
    <row r="86" ht="15" customHeight="1">
      <c r="A86" s="6" t="inlineStr">
        <is>
          <t>Remaining SS wage base room (2025: $176,100)</t>
        </is>
      </c>
      <c r="B86" s="13">
        <f>MAX(0, 176100-$B$55-$B$30)</f>
        <v/>
      </c>
      <c r="C86" s="8" t="inlineStr">
        <is>
          <t>SS tax only applies to earnings up to $176,100. If wages already exceed this, SE income has no SS portion.</t>
        </is>
      </c>
    </row>
    <row r="87" ht="15" customHeight="1">
      <c r="A87" s="6" t="inlineStr">
        <is>
          <t>SE net earnings subject to SS (12.4%)</t>
        </is>
      </c>
      <c r="B87" s="13">
        <f>MIN($B$85, $B$86)</f>
        <v/>
      </c>
      <c r="C87" s="8" t="inlineStr"/>
    </row>
    <row r="88" ht="15" customHeight="1">
      <c r="A88" s="6" t="inlineStr">
        <is>
          <t>Self-employment tax (SS 12.4% + Medicare 2.9%)</t>
        </is>
      </c>
      <c r="B88" s="13">
        <f>IF($B$27&lt;=0, 0, $B$87*0.124 + $B$85*0.029)</f>
        <v/>
      </c>
      <c r="C88" s="8" t="inlineStr">
        <is>
          <t>Both halves (employee + employer equivalent) are owed by self-employed filers.</t>
        </is>
      </c>
    </row>
    <row r="89" ht="15" customHeight="1">
      <c r="A89" s="6" t="inlineStr">
        <is>
          <t>One-half SE tax (exact above-the-line deduction)</t>
        </is>
      </c>
      <c r="B89" s="13">
        <f>$B$88/2</f>
        <v/>
      </c>
      <c r="C89" s="8" t="inlineStr">
        <is>
          <t>Deduct this amount above-the-line. Compare to the approx. in Section ③ — if different, update AGI manually.</t>
        </is>
      </c>
    </row>
    <row r="90" ht="6" customHeight="1">
      <c r="A90" s="11" t="n"/>
      <c r="B90" s="11" t="n"/>
      <c r="C90" s="11" t="n"/>
    </row>
    <row r="91" ht="16" customHeight="1">
      <c r="A91" s="4" t="inlineStr">
        <is>
          <t>⑧ ADDITIONAL MEDICARE TAX &amp; NIIT</t>
        </is>
      </c>
      <c r="B91" s="5" t="n"/>
      <c r="C91" s="5" t="n"/>
      <c r="D91" s="5" t="n"/>
    </row>
    <row r="92" ht="15" customHeight="1">
      <c r="A92" s="6" t="inlineStr">
        <is>
          <t>Medicare wages (wages + spouse wages + SE base)</t>
        </is>
      </c>
      <c r="B92" s="13">
        <f>$B$55+$B$30+$B$85</f>
        <v/>
      </c>
      <c r="C92" s="8" t="inlineStr">
        <is>
          <t>The base for Additional Medicare Tax. Your employer only sees their own wages — they miss spouse or SE income.</t>
        </is>
      </c>
    </row>
    <row r="93" ht="15" customHeight="1">
      <c r="A93" s="6" t="inlineStr">
        <is>
          <t>Additional Medicare Tax (0.9% over $200K single)</t>
        </is>
      </c>
      <c r="B93" s="13">
        <f>MAX(0, $B$92-200000)*0.009</f>
        <v/>
      </c>
      <c r="C93" s="8" t="inlineStr">
        <is>
          <t>Threshold: $200K single | $250K MFJ | $125K MFS. No SS component — Medicare only.</t>
        </is>
      </c>
    </row>
    <row r="94" ht="15" customHeight="1">
      <c r="A94" s="6" t="inlineStr">
        <is>
          <t>Net investment income</t>
        </is>
      </c>
      <c r="B94" s="13">
        <f>MAX(0, $B$21+$B$22+$B$26+$B$25)</f>
        <v/>
      </c>
      <c r="C94" s="8" t="inlineStr">
        <is>
          <t>Interest + dividends + capital gains (short &amp; long). Does NOT include wages or SE income.</t>
        </is>
      </c>
    </row>
    <row r="95" ht="15" customHeight="1">
      <c r="A95" s="6" t="inlineStr">
        <is>
          <t>Net Investment Income Tax (3.8% over $200K single)</t>
        </is>
      </c>
      <c r="B95" s="13">
        <f>MIN($B$94, MAX(0,$B$63-200000))*0.038</f>
        <v/>
      </c>
      <c r="C95" s="8">
        <f> 3.8% × MIN(net investment income, MAX(0, AGI − $200K)). Zero if AGI ≤ $200K.</f>
        <v/>
      </c>
    </row>
    <row r="96" ht="6" customHeight="1">
      <c r="A96" s="11" t="n"/>
      <c r="B96" s="11" t="n"/>
      <c r="C96" s="11" t="n"/>
    </row>
    <row r="97" ht="16" customHeight="1">
      <c r="A97" s="4" t="inlineStr">
        <is>
          <t>⑨ TAX LIABILITY</t>
        </is>
      </c>
      <c r="B97" s="5" t="n"/>
      <c r="C97" s="5" t="n"/>
      <c r="D97" s="5" t="n"/>
    </row>
    <row r="98" ht="15" customHeight="1">
      <c r="A98" s="6" t="inlineStr">
        <is>
          <t>Income tax before credits</t>
        </is>
      </c>
      <c r="B98" s="13">
        <f>$B$72+$B$82</f>
        <v/>
      </c>
      <c r="C98" s="8" t="inlineStr">
        <is>
          <t>Ordinary income tax + capital gains tax</t>
        </is>
      </c>
    </row>
    <row r="99" ht="15" customHeight="1">
      <c r="A99" s="6" t="inlineStr">
        <is>
          <t>Tax before credits</t>
        </is>
      </c>
      <c r="B99" s="13">
        <f>$B$98+$B$88+$B$93+$B$95</f>
        <v/>
      </c>
      <c r="C99" s="8" t="inlineStr">
        <is>
          <t>Income tax + SE tax + Additional Medicare Tax + NIIT</t>
        </is>
      </c>
    </row>
    <row r="100" ht="15" customHeight="1">
      <c r="A100" s="6" t="inlineStr">
        <is>
          <t>Nonrefundable credits applied</t>
        </is>
      </c>
      <c r="B100" s="13">
        <f>MIN($B$41+$B$42, $B$99)</f>
        <v/>
      </c>
      <c r="C100" s="8" t="inlineStr">
        <is>
          <t>Capped at tax before credits — cannot go below $0. Refundable credits applied separately below.</t>
        </is>
      </c>
    </row>
    <row r="101" ht="15" customHeight="1">
      <c r="A101" s="14" t="inlineStr">
        <is>
          <t>TOTAL TAX LIABILITY</t>
        </is>
      </c>
      <c r="B101" s="15">
        <f>MAX(0, $B$99-$B$100-$B$43)</f>
        <v/>
      </c>
      <c r="C101" s="8">
        <f> Tax before credits − nonrefundable credits − refundable credits. Cannot go below $0.</f>
        <v/>
      </c>
      <c r="D101" s="16" t="n"/>
    </row>
    <row r="102" ht="15" customHeight="1">
      <c r="A102" s="6" t="inlineStr">
        <is>
          <t>Effective tax rate</t>
        </is>
      </c>
      <c r="B102" s="17">
        <f>IF($B$63&gt;0, $B$101/$B$63, 0)</f>
        <v/>
      </c>
      <c r="C102" s="8" t="inlineStr">
        <is>
          <t>Total liability ÷ AGI. Different from marginal rate — shows average tax burden.</t>
        </is>
      </c>
    </row>
    <row r="103" ht="6" customHeight="1">
      <c r="A103" s="11" t="n"/>
      <c r="B103" s="11" t="n"/>
      <c r="C103" s="11" t="n"/>
    </row>
    <row r="104" ht="16" customHeight="1">
      <c r="A104" s="4" t="inlineStr">
        <is>
          <t>⑩ WITHHOLDING RECOMMENDATION</t>
        </is>
      </c>
      <c r="B104" s="5" t="n"/>
      <c r="C104" s="5" t="n"/>
      <c r="D104" s="5" t="n"/>
    </row>
    <row r="105" ht="15" customHeight="1">
      <c r="A105" s="6" t="inlineStr">
        <is>
          <t>Other payments (estimated tax + withholding)</t>
        </is>
      </c>
      <c r="B105" s="13">
        <f>$B$46+$B$47+$B$31</f>
        <v/>
      </c>
      <c r="C105" s="8" t="inlineStr">
        <is>
          <t>Quarterly estimated tax payments + any other withholding sources + spouse withholding</t>
        </is>
      </c>
    </row>
    <row r="106" ht="15" customHeight="1">
      <c r="A106" s="6" t="inlineStr">
        <is>
          <t>Already secured toward liability</t>
        </is>
      </c>
      <c r="B106" s="13">
        <f>$B$56+$B$105</f>
        <v/>
      </c>
      <c r="C106" s="8" t="inlineStr">
        <is>
          <t>YTD withholding + all other payments. These are locked in — only future paychecks are adjustable.</t>
        </is>
      </c>
    </row>
    <row r="107" ht="15" customHeight="1">
      <c r="A107" s="6" t="inlineStr">
        <is>
          <t>Future withholding from OTHER jobs</t>
        </is>
      </c>
      <c r="B107" s="13">
        <f>0</f>
        <v/>
      </c>
      <c r="C107" s="8" t="inlineStr">
        <is>
          <t>If you have a second job, enter its expected remaining withholding here so we don't double-count.</t>
        </is>
      </c>
    </row>
    <row r="108" ht="15" customHeight="1">
      <c r="A108" s="6" t="inlineStr">
        <is>
          <t>Still needed from remaining paychecks</t>
        </is>
      </c>
      <c r="B108" s="13">
        <f>MAX(0, ($B$101+$B$48)-$B$106-$B$107)</f>
        <v/>
      </c>
      <c r="C108" s="8">
        <f> (Liability + target refund) − already secured − other future. This is the total gap.</f>
        <v/>
      </c>
    </row>
    <row r="109" ht="15" customHeight="1">
      <c r="A109" s="14" t="inlineStr">
        <is>
          <t>Recommended withholding per paycheck</t>
        </is>
      </c>
      <c r="B109" s="15">
        <f>IF($B$16&gt;0, $B$108/$B$16, 0)</f>
        <v/>
      </c>
      <c r="C109" s="8">
        <f> gap ÷ remaining periods. Set your W-4 so each check withholds at least this amount.</f>
        <v/>
      </c>
      <c r="D109" s="16" t="n"/>
    </row>
    <row r="110" ht="15" customHeight="1">
      <c r="A110" s="14" t="inlineStr">
        <is>
          <t>Extra per paycheck needed (W-4 line 4c)</t>
        </is>
      </c>
      <c r="B110" s="15">
        <f>MAX(0, $B$109-$B$15)</f>
        <v/>
      </c>
      <c r="C110" s="8">
        <f> recommended − current withholding per period. Enter this on Form W-4 Step 4(c) as extra withholding.</f>
        <v/>
      </c>
      <c r="D110" s="16" t="n"/>
    </row>
    <row r="111" ht="15" customHeight="1">
      <c r="A111" s="6" t="inlineStr">
        <is>
          <t>Projected refund (+) / owe (−) at current rate</t>
        </is>
      </c>
      <c r="B111" s="15">
        <f>$B$57+$B$105-$B$101</f>
        <v/>
      </c>
      <c r="C111" s="8" t="inlineStr">
        <is>
          <t>If you change NOTHING on your W-4. Positive = refund, negative = balance due at filing.</t>
        </is>
      </c>
      <c r="D111" s="16" t="n"/>
    </row>
    <row r="112" ht="6" customHeight="1">
      <c r="A112" s="11" t="n"/>
      <c r="B112" s="11" t="n"/>
      <c r="C112" s="11" t="n"/>
    </row>
    <row r="113" ht="16" customHeight="1">
      <c r="A113" s="4" t="inlineStr">
        <is>
          <t>⑪ SAFE HARBOR  (minimum to avoid underpayment penalty)</t>
        </is>
      </c>
      <c r="B113" s="5" t="n"/>
      <c r="C113" s="5" t="n"/>
      <c r="D113" s="5" t="n"/>
    </row>
    <row r="114" ht="15" customHeight="1">
      <c r="A114" s="6" t="inlineStr">
        <is>
          <t>90% of current-year liability</t>
        </is>
      </c>
      <c r="B114" s="13">
        <f>$B$101*0.90</f>
        <v/>
      </c>
      <c r="C114" s="8" t="inlineStr">
        <is>
          <t>Option A for safe harbor. Pay at least 90% of this year's tax to avoid penalty.</t>
        </is>
      </c>
    </row>
    <row r="115" ht="15" customHeight="1">
      <c r="A115" s="6" t="inlineStr">
        <is>
          <t>100% (or 110%) of prior-year tax</t>
        </is>
      </c>
      <c r="B115" s="13">
        <f>IF($B$50&gt;150000, $B$49*1.10, $B$49*1.00)</f>
        <v/>
      </c>
      <c r="C115" s="8" t="inlineStr">
        <is>
          <t>Option B. If 2024 AGI &gt;$150K, you need 110% of 2024 tax, not 100%. Prior-year safe harbor is often easier to hit.</t>
        </is>
      </c>
    </row>
    <row r="116" ht="15" customHeight="1">
      <c r="A116" s="6" t="inlineStr">
        <is>
          <t>Safe-harbor target (lesser of the two)</t>
        </is>
      </c>
      <c r="B116" s="13">
        <f>MIN($B$114, $B$115)</f>
        <v/>
      </c>
      <c r="C116" s="8" t="inlineStr">
        <is>
          <t>You only need to hit the LOWER of Option A or B. Usually Option B (prior year) is easier.</t>
        </is>
      </c>
    </row>
    <row r="117" ht="15" customHeight="1">
      <c r="A117" s="6" t="inlineStr">
        <is>
          <t>Safe-harbor additional per paycheck</t>
        </is>
      </c>
      <c r="B117" s="15">
        <f>MAX(0, ($B$116-$B$106-$B$107)/$B$16)</f>
        <v/>
      </c>
      <c r="C117" s="8" t="inlineStr">
        <is>
          <t>Minimum extra withholding per check to avoid underpayment penalty. May be less than full break-even amount.</t>
        </is>
      </c>
      <c r="D117" s="16" t="n"/>
    </row>
    <row r="118" ht="6" customHeight="1">
      <c r="A118" s="11" t="n"/>
      <c r="B118" s="11" t="n"/>
      <c r="C118" s="11" t="n"/>
    </row>
    <row r="119" ht="40" customHeight="1">
      <c r="A119" s="18" t="inlineStr">
        <is>
          <t>COMPARISON: paste values from `twe estimate` (or the web UI) into column D on matching rows. Differences &gt; $1 indicate a discrepancy to investigate. See the 'How It Works' tab for explanations of each calculation step.</t>
        </is>
      </c>
    </row>
  </sheetData>
  <mergeCells count="3">
    <mergeCell ref="A1:C1"/>
    <mergeCell ref="A2:C2"/>
    <mergeCell ref="A119:D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4" customHeight="1">
      <c r="A1" s="1" t="inlineStr">
        <is>
          <t>How the Estimator Computes Your Withholding</t>
        </is>
      </c>
    </row>
    <row r="2" ht="14" customHeight="1">
      <c r="A2" s="19" t="inlineStr">
        <is>
          <t>Plain-English explanation of each section on the 'Verify 2025' sheet.</t>
        </is>
      </c>
    </row>
    <row r="4" ht="48" customHeight="1">
      <c r="A4" s="20" t="inlineStr">
        <is>
          <t>OVERVIEW</t>
        </is>
      </c>
      <c r="B4" s="21" t="inlineStr">
        <is>
          <t>This sheet walks through how the Tax Withholding Estimator (TWE) calculates your recommended federal withholding per paycheck. Each section below matches a numbered section on the Verify 2025 sheet. Change the yellow input cells there and every formula updates automatically.</t>
        </is>
      </c>
    </row>
    <row r="5" ht="16" customHeight="1">
      <c r="A5" s="4" t="inlineStr">
        <is>
          <t>① INPUTS</t>
        </is>
      </c>
      <c r="B5" s="5" t="n"/>
    </row>
    <row r="6" ht="34" customHeight="1">
      <c r="A6" s="20" t="inlineStr">
        <is>
          <t xml:space="preserve">  Filing status</t>
        </is>
      </c>
      <c r="B6" s="21" t="inlineStr">
        <is>
          <t>Controls which tax bracket table and standard deduction amount are used. The four options are: single, married_jointly, married_separately, head_of_household. The Verify 2025 sheet is pre-set to 'single' with 2025 single-filer constants.</t>
        </is>
      </c>
    </row>
    <row r="7" ht="34" customHeight="1">
      <c r="A7" s="20" t="inlineStr">
        <is>
          <t xml:space="preserve">  Standard deduction 2025</t>
        </is>
      </c>
      <c r="B7" s="21" t="inlineStr">
        <is>
          <t>Single: $15,000 | Married jointly: $30,000 | Head of household: $22,500 | Married separately: $15,000. Add $2,000 if single and age 65+ or blind (add $1,600 per qualifying person if married jointly).</t>
        </is>
      </c>
    </row>
    <row r="8" ht="34" customHeight="1">
      <c r="A8" s="20" t="inlineStr">
        <is>
          <t xml:space="preserve">  Pay periods per year</t>
        </is>
      </c>
      <c r="B8" s="21" t="inlineStr">
        <is>
          <t>Weekly = 52 | Biweekly = 26 | Semimonthly = 24 | Monthly = 12. Your paystub should show pay period or check date — count how many times per year you receive a paycheck.</t>
        </is>
      </c>
    </row>
    <row r="9" ht="48" customHeight="1">
      <c r="A9" s="20" t="inlineStr">
        <is>
          <t xml:space="preserve">  Taxable wages this period</t>
        </is>
      </c>
      <c r="B9" s="21" t="inlineStr">
        <is>
          <t>The gross wages that appear in Box 1 of your W-2 equivalent. This is NOT your gross pay — it is gross pay MINUS pre-tax deductions (401k, HSA, medical premiums, FSA, etc.). Your paystub may label this 'Federal Taxable' or 'Current Taxable Wages'.</t>
        </is>
      </c>
    </row>
    <row r="10" ht="16" customHeight="1">
      <c r="A10" s="4" t="inlineStr">
        <is>
          <t>② INCOME PROJECTION — how YTD is inferred</t>
        </is>
      </c>
      <c r="B10" s="5" t="n"/>
    </row>
    <row r="11" ht="34" customHeight="1">
      <c r="A11" s="20" t="inlineStr">
        <is>
          <t xml:space="preserve">  Elapsed periods</t>
        </is>
      </c>
      <c r="B11" s="21">
        <f> periods_per_year − remaining_periods.
Example: biweekly (26) with 14 remaining → 26 − 14 = 12 elapsed.</f>
        <v/>
      </c>
    </row>
    <row r="12" ht="104" customHeight="1">
      <c r="A12" s="20" t="inlineStr">
        <is>
          <t xml:space="preserve">  YTD taxable wages — if you leave it at 0</t>
        </is>
      </c>
      <c r="B12" s="21" t="inlineStr">
        <is>
          <t>The tool infers it as: elapsed_periods × taxable_wages_per_period.
Example: 12 elapsed × $2,950/period = $35,400 inferred YTD wages.
If you enter a non-zero value, the actual YTD figure from your paystub is used instead. Always prefer the real number from your paystub because it accounts for mid-year changes in pay rate or deductions.</t>
        </is>
      </c>
    </row>
    <row r="13" ht="48" customHeight="1">
      <c r="A13" s="20" t="inlineStr">
        <is>
          <t xml:space="preserve">  YTD withholding — if you leave it at 0</t>
        </is>
      </c>
      <c r="B13" s="21" t="inlineStr">
        <is>
          <t>Same inference logic: elapsed_periods × withholding_per_period.
Again, if your paystub shows a YTD federal tax withheld amount, enter that real number — it is more accurate.</t>
        </is>
      </c>
    </row>
    <row r="14" ht="34" customHeight="1">
      <c r="A14" s="20" t="inlineStr">
        <is>
          <t xml:space="preserve">  Projected wages</t>
        </is>
      </c>
      <c r="B14" s="21">
        <f> YTD_wages_used + (remaining_periods × taxable_wages_per_period).
This is the best estimate of what Box 1 of your W-2 will say.</f>
        <v/>
      </c>
    </row>
    <row r="15" ht="16" customHeight="1">
      <c r="A15" s="4" t="inlineStr">
        <is>
          <t>③ ADJUSTMENTS → AGI</t>
        </is>
      </c>
      <c r="B15" s="5" t="n"/>
    </row>
    <row r="16" ht="118" customHeight="1">
      <c r="A16" s="20" t="inlineStr">
        <is>
          <t xml:space="preserve">  What counts as an adjustment?</t>
        </is>
      </c>
      <c r="B16" s="21" t="inlineStr">
        <is>
          <t>Above-the-line deductions reduce income BEFORE the standard/itemized deduction is applied. Common ones:
• Traditional IRA contribution (if deductible) — up to $7,000 ($8,000 age 50+)
• HSA contribution (employee portion) — up to $4,300 single / $8,550 family
• Student loan interest paid — up to $2,500
• One-half of self-employment tax (computed automatically in Section ⑦)</t>
        </is>
      </c>
    </row>
    <row r="17" ht="34" customHeight="1">
      <c r="A17" s="20" t="inlineStr">
        <is>
          <t xml:space="preserve">  One-half SE tax approximation in Section ③</t>
        </is>
      </c>
      <c r="B17" s="21" t="inlineStr">
        <is>
          <t>Section ③ uses a quick approximation so AGI can be estimated early. Section ⑦ computes the exact SE tax. If you have SE income, confirm the exact half-SE deduction matches between the two sections — they should be within a few dollars.</t>
        </is>
      </c>
    </row>
    <row r="18" ht="16" customHeight="1">
      <c r="A18" s="4" t="inlineStr">
        <is>
          <t>④ DEDUCTION → TAXABLE INCOME</t>
        </is>
      </c>
      <c r="B18" s="5" t="n"/>
    </row>
    <row r="19" ht="62" customHeight="1">
      <c r="A19" s="20" t="inlineStr">
        <is>
          <t xml:space="preserve">  Standard vs. itemized</t>
        </is>
      </c>
      <c r="B19" s="21" t="inlineStr">
        <is>
          <t>The tool picks whichever is larger. If your itemized deductions (mortgage interest, state taxes up to $10K, charitable contributions, unreimbursed medical over 7.5% of AGI) exceed the standard deduction, enter your itemized total in the input cell. Otherwise leave it at 0 and the standard deduction applies automatically.</t>
        </is>
      </c>
    </row>
    <row r="20" ht="48" customHeight="1">
      <c r="A20" s="20" t="inlineStr">
        <is>
          <t xml:space="preserve">  Taxable income</t>
        </is>
      </c>
      <c r="B20" s="21">
        <f> AGI − deduction (standard or itemized, whichever is larger).
This is the number the ordinary tax brackets are applied to, after the LTCG/qualified dividend portion is separated out.</f>
        <v/>
      </c>
    </row>
    <row r="21" ht="16" customHeight="1">
      <c r="A21" s="4" t="inlineStr">
        <is>
          <t>⑤ ORDINARY INCOME TAX — how brackets work</t>
        </is>
      </c>
      <c r="B21" s="5" t="n"/>
    </row>
    <row r="22" ht="104" customHeight="1">
      <c r="A22" s="20" t="inlineStr">
        <is>
          <t xml:space="preserve">  LTCG / qualified dividends are separated first</t>
        </is>
      </c>
      <c r="B22" s="21" t="inlineStr">
        <is>
          <t>Long-term capital gains and qualified dividends get their own preferential rate (0/15/20%). They are removed from ordinary taxable income so the ordinary brackets apply only to wages, interest, short-term gains, etc.
Preferential income = MIN(LTCG + qual_dividends, taxable_income)
Ordinary TI = taxable_income − preferential_income</t>
        </is>
      </c>
    </row>
    <row r="23" ht="244" customHeight="1">
      <c r="A23" s="20" t="inlineStr">
        <is>
          <t xml:space="preserve">  Bracket math (single, 2025)</t>
        </is>
      </c>
      <c r="B23" s="21" t="inlineStr">
        <is>
          <t>The brackets are cumulative — each bracket only taxes the income WITHIN that range, not all income at the higher rate:
  $0 – $11,925          → 10%  (max tax: $1,192.50)
  $11,925 – $48,475      → 12%  (max additional: $4,386.00)
  $48,475 – $103,350     → 22%  (max additional: $12,072.50)
  $103,350 – $197,300    → 24%  (max additional: $22,548.00)
  $197,300 – $250,525    → 32%  (max additional: $17,032.00)
  $250,525 – $626,350    → 35%  (max additional: $131,538.75)
  Over $626,350          → 37%
The IFS formula on the Verify sheet encodes the cumulative amounts at each breakpoint so it only needs one lookup rather than stacking.</t>
        </is>
      </c>
    </row>
    <row r="24" ht="16" customHeight="1">
      <c r="A24" s="4" t="inlineStr">
        <is>
          <t>⑥ CAPITAL GAINS TAX — 'stacking' explained</t>
        </is>
      </c>
      <c r="B24" s="5" t="n"/>
    </row>
    <row r="25" ht="216" customHeight="1">
      <c r="A25" s="20" t="inlineStr">
        <is>
          <t xml:space="preserve">  Why LTCG rates depend on ordinary income</t>
        </is>
      </c>
      <c r="B25" s="21" t="inlineStr">
        <is>
          <t>The 0%/15%/20% LTCG rate thresholds apply to TOTAL taxable income (ordinary + preferential combined), not just the gains themselves. So if your ordinary income already uses up the 0% room, your gains are taxed at 15% even if they would otherwise fall below the threshold.
Example (single 2025):
  Ordinary TI = $40,000 → uses $40,000 of the $48,350 zero-rate room
  Room remaining = $48,350 − $40,000 = $8,350
  LTCG = $5,000 → first $8,350 of LTCG taxed at 0%, so all $5,000 = 0%
  Ordinary TI = $50,000 → already exceeds $48,350, zero-rate room = $0
  LTCG = $5,000 → all taxed at 15%</t>
        </is>
      </c>
    </row>
    <row r="26" ht="16" customHeight="1">
      <c r="A26" s="4" t="inlineStr">
        <is>
          <t>⑦ SELF-EMPLOYMENT TAX</t>
        </is>
      </c>
      <c r="B26" s="5" t="n"/>
    </row>
    <row r="27" ht="62" customHeight="1">
      <c r="A27" s="20" t="inlineStr">
        <is>
          <t xml:space="preserve">  Why the 0.9235 factor?</t>
        </is>
      </c>
      <c r="B27" s="21" t="inlineStr">
        <is>
          <t>As an employee, your employer pays half of FICA (SS + Medicare). Self-employed people pay both halves, but the IRS lets you deduct the employer-equivalent half. The 0.9235 factor (= 1 − 0.0765) approximates this: it reduces your net earnings to the amount that would be left after a hypothetical employer's 7.65% share is removed.</t>
        </is>
      </c>
    </row>
    <row r="28" ht="34" customHeight="1">
      <c r="A28" s="20" t="inlineStr">
        <is>
          <t xml:space="preserve">  Social Security wage base</t>
        </is>
      </c>
      <c r="B28" s="21" t="inlineStr">
        <is>
          <t>2025 SS wage base = $176,100. Only earnings up to this amount are subject to the 12.4% SS portion. Medicare (2.9%) has no cap. If your projected wages already exceed $176,100, none of your SE income faces SS tax.</t>
        </is>
      </c>
    </row>
    <row r="29" ht="48" customHeight="1">
      <c r="A29" s="20" t="inlineStr">
        <is>
          <t xml:space="preserve">  One-half SE tax deduction</t>
        </is>
      </c>
      <c r="B29" s="21" t="inlineStr">
        <is>
          <t>Half of your total SE tax (SS + Medicare) is deductible above the line, reducing AGI. Section ③ estimates this; Section ⑦ computes it exactly. If SE income is large, update the half-SE input in Section ③ to the exact value from Section ⑦ for a more accurate AGI.</t>
        </is>
      </c>
    </row>
    <row r="30" ht="16" customHeight="1">
      <c r="A30" s="4" t="inlineStr">
        <is>
          <t>⑧ ADDITIONAL MEDICARE TAX &amp; NIIT</t>
        </is>
      </c>
      <c r="B30" s="5" t="n"/>
    </row>
    <row r="31" ht="48" customHeight="1">
      <c r="A31" s="20" t="inlineStr">
        <is>
          <t xml:space="preserve">  Additional Medicare Tax (0.9%)</t>
        </is>
      </c>
      <c r="B31" s="21" t="inlineStr">
        <is>
          <t>Applies to wages/SE earnings over $200,000 (single), $250,000 (married jointly), $125,000 (married separately). Your employer withholds this automatically once your wages exceed $200K in a calendar year, but they do NOT know about your spouse's wages or SE income — you may owe more at filing.</t>
        </is>
      </c>
    </row>
    <row r="32" ht="90" customHeight="1">
      <c r="A32" s="20" t="inlineStr">
        <is>
          <t xml:space="preserve">  Net Investment Income Tax — NIIT (3.8%)</t>
        </is>
      </c>
      <c r="B32" s="21" t="inlineStr">
        <is>
          <t>Applies to the LESSER of:
  (a) net investment income (interest + dividends + capital gains), or
  (b) AGI − $200,000 (single) / $250,000 (MFJ)
If your AGI is below $200K, NIIT is $0 regardless of investment income.</t>
        </is>
      </c>
    </row>
    <row r="33" ht="16" customHeight="1">
      <c r="A33" s="4" t="inlineStr">
        <is>
          <t>⑨ TAX LIABILITY</t>
        </is>
      </c>
      <c r="B33" s="5" t="n"/>
    </row>
    <row r="34" ht="48" customHeight="1">
      <c r="A34" s="20" t="inlineStr">
        <is>
          <t xml:space="preserve">  Order of credits</t>
        </is>
      </c>
      <c r="B34" s="21" t="inlineStr">
        <is>
          <t>Nonrefundable credits (Child Tax Credit, education credits, etc.) reduce tax but cannot create a refund — they stop at $0 tax. Refundable credits (EITC, Additional Child Tax Credit) can produce a refund even if tax = $0. The tool applies nonrefundable credits first, then refundable credits.</t>
        </is>
      </c>
    </row>
    <row r="35" ht="16" customHeight="1">
      <c r="A35" s="4" t="inlineStr">
        <is>
          <t>⑩ WITHHOLDING RECOMMENDATION</t>
        </is>
      </c>
      <c r="B35" s="5" t="n"/>
    </row>
    <row r="36" ht="216" customHeight="1">
      <c r="A36" s="20" t="inlineStr">
        <is>
          <t xml:space="preserve">  How the per-paycheck number is calculated</t>
        </is>
      </c>
      <c r="B36" s="21" t="inlineStr">
        <is>
          <t>1. Compute total liability (Section ⑨)
2. Add target refund (usually $0 for break-even)
3. Subtract everything already secured:
   • YTD withholding from your paystub
   • Estimated tax payments already made
   • Spouse/other withholding
4. Result = amount still needed from remaining paychecks
5. Divide by remaining_periods → recommended per-paycheck withholding
6. If that exceeds your normal withholding, the difference is what to
   enter on Form W-4 line 4(c) as extra withholding.</t>
        </is>
      </c>
    </row>
    <row r="37" ht="48" customHeight="1">
      <c r="A37" s="20" t="inlineStr">
        <is>
          <t xml:space="preserve">  Target refund</t>
        </is>
      </c>
      <c r="B37" s="21" t="inlineStr">
        <is>
          <t>Set to $0 to break even. A positive target refund (e.g. $500) means you want to over-withhold by that amount so you get a refund at filing. A negative target means you accept owing up to that amount at filing (only safe if within safe-harbor limits — see Section ⑪).</t>
        </is>
      </c>
    </row>
    <row r="38" ht="16" customHeight="1">
      <c r="A38" s="4" t="inlineStr">
        <is>
          <t>⑪ SAFE HARBOR — penalty avoidance</t>
        </is>
      </c>
      <c r="B38" s="5" t="n"/>
    </row>
    <row r="39" ht="132" customHeight="1">
      <c r="A39" s="20" t="inlineStr">
        <is>
          <t xml:space="preserve">  What is safe harbor?</t>
        </is>
      </c>
      <c r="B39" s="21" t="inlineStr">
        <is>
          <t>The IRS waives the underpayment penalty if you paid the lesser of:
  (a) 90% of this year's tax liability, OR
  (b) 100% of last year's tax (110% if last year's AGI exceeded $150,000)
Safe harbor does NOT protect you from owing money — it just means no penalty on top of what you owe. The Section ⑪ row on the Verify sheet shows how much additional withholding per check is needed to hit this minimum, as an alternative to the full break-even recommendation.</t>
        </is>
      </c>
    </row>
    <row r="40" ht="48" customHeight="1">
      <c r="A40" s="20" t="inlineStr">
        <is>
          <t xml:space="preserve">  High-income rule (110%)</t>
        </is>
      </c>
      <c r="B40" s="21" t="inlineStr">
        <is>
          <t>If your prior-year AGI was over $150,000 (single or married jointly), you must pay 110% of last year's tax (not 100%) to qualify for the prior-year safe harbor. Married filing separately threshold: $75,000. This is captured in the IFS formula in Section ⑪.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2026-06-05T18:39:01Z</dcterms:created>
  <dcterms:modified xsi:type="dcterms:W3CDTF">2026-06-05T18:39:01Z</dcterms:modified>
</cp:coreProperties>
</file>